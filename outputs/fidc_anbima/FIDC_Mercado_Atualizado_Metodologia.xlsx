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2.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charts/chart7.xml" ContentType="application/vnd.openxmlformats-officedocument.drawingml.chart+xml"/>
  <Override PartName="/xl/drawings/charts/chart8.xml" ContentType="application/vnd.openxmlformats-officedocument.drawingml.chart+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worksheets/sheet6.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7.xml" ContentType="application/vnd.openxmlformats-officedocument.spreadsheetml.worksheet+xml"/>
  <Override PartName="/xl/drawings/drawing5.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worksheets/sheet8.xml" ContentType="application/vnd.openxmlformats-officedocument.spreadsheetml.worksheet+xml"/>
  <Override PartName="/xl/drawings/drawing6.xml" ContentType="application/vnd.openxmlformats-officedocument.drawing+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worksheets/sheet9.xml" ContentType="application/vnd.openxmlformats-officedocument.spreadsheetml.worksheet+xml"/>
  <Override PartName="/xl/drawings/drawing7.xml" ContentType="application/vnd.openxmlformats-officedocument.drawing+xml"/>
  <Override PartName="/xl/drawings/charts/chart18.xml" ContentType="application/vnd.openxmlformats-officedocument.drawingml.chart+xml"/>
  <Override PartName="/xl/worksheets/sheet10.xml" ContentType="application/vnd.openxmlformats-officedocument.spreadsheetml.worksheet+xml"/>
  <Override PartName="/xl/drawings/drawing8.xml" ContentType="application/vnd.openxmlformats-officedocument.drawing+xml"/>
  <Override PartName="/xl/drawings/charts/chart19.xml" ContentType="application/vnd.openxmlformats-officedocument.drawingml.chart+xml"/>
  <Override PartName="/xl/drawings/charts/chart20.xml" ContentType="application/vnd.openxmlformats-officedocument.drawingml.chart+xml"/>
  <Override PartName="/xl/drawings/charts/chart21.xml" ContentType="application/vnd.openxmlformats-officedocument.drawingml.chart+xml"/>
  <Override PartName="/xl/drawings/charts/chart22.xml" ContentType="application/vnd.openxmlformats-officedocument.drawingml.chart+xml"/>
  <Override PartName="/xl/worksheets/sheet11.xml" ContentType="application/vnd.openxmlformats-officedocument.spreadsheetml.worksheet+xml"/>
  <Override PartName="/xl/drawings/drawing9.xml" ContentType="application/vnd.openxmlformats-officedocument.drawing+xml"/>
  <Override PartName="/xl/drawings/charts/chart23.xml" ContentType="application/vnd.openxmlformats-officedocument.drawingml.chart+xml"/>
  <Override PartName="/xl/worksheets/sheet12.xml" ContentType="application/vnd.openxmlformats-officedocument.spreadsheetml.worksheet+xml"/>
  <Override PartName="/xl/drawings/drawing10.xml" ContentType="application/vnd.openxmlformats-officedocument.drawing+xml"/>
  <Override PartName="/xl/drawings/charts/chart24.xml" ContentType="application/vnd.openxmlformats-officedocument.drawingml.chart+xml"/>
  <Override PartName="/xl/worksheets/sheet13.xml" ContentType="application/vnd.openxmlformats-officedocument.spreadsheetml.worksheet+xml"/>
  <Override PartName="/xl/drawings/drawing11.xml" ContentType="application/vnd.openxmlformats-officedocument.drawing+xml"/>
  <Override PartName="/xl/drawings/charts/chart25.xml" ContentType="application/vnd.openxmlformats-officedocument.drawingml.chart+xml"/>
  <Override PartName="/xl/drawings/charts/chart26.xml" ContentType="application/vnd.openxmlformats-officedocument.drawingml.chart+xml"/>
  <Override PartName="/xl/worksheets/sheet14.xml" ContentType="application/vnd.openxmlformats-officedocument.spreadsheetml.worksheet+xml"/>
  <Override PartName="/xl/drawings/drawing12.xml" ContentType="application/vnd.openxmlformats-officedocument.drawing+xml"/>
  <Override PartName="/xl/drawings/charts/chart27.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3.xml" ContentType="application/vnd.openxmlformats-officedocument.drawing+xml"/>
  <Override PartName="/xl/drawings/charts/chart28.xml" ContentType="application/vnd.openxmlformats-officedocument.drawingml.chart+xml"/>
  <Override PartName="/xl/worksheets/sheet22.xml" ContentType="application/vnd.openxmlformats-officedocument.spreadsheetml.worksheet+xml"/>
  <Override PartName="/xl/worksheets/sheet23.xml" ContentType="application/vnd.openxmlformats-officedocument.spreadsheetml.worksheet+xml"/>
  <Override PartName="/xl/drawings/drawing14.xml" ContentType="application/vnd.openxmlformats-officedocument.drawing+xml"/>
  <Override PartName="/xl/drawings/charts/chart29.xml" ContentType="application/vnd.openxmlformats-officedocument.drawingml.chart+xml"/>
  <Override PartName="/xl/worksheets/sheet24.xml" ContentType="application/vnd.openxmlformats-officedocument.spreadsheetml.worksheet+xml"/>
  <Override PartName="/xl/drawings/drawing15.xml" ContentType="application/vnd.openxmlformats-officedocument.drawing+xml"/>
  <Override PartName="/xl/drawings/charts/chart30.xml" ContentType="application/vnd.openxmlformats-officedocument.drawingml.char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16.xml" ContentType="application/vnd.openxmlformats-officedocument.drawing+xml"/>
  <Override PartName="/xl/drawings/charts/chart31.xml" ContentType="application/vnd.openxmlformats-officedocument.drawingml.chart+xml"/>
  <Override PartName="/xl/drawings/charts/chart32.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5ab00925137401a" /></Relationships>
</file>

<file path=xl/workbook.xml><?xml version="1.0" encoding="utf-8"?>
<x:workbook xmlns:x="http://schemas.openxmlformats.org/spreadsheetml/2006/main">
  <x:sheets>
    <x:sheet xmlns:r="http://schemas.openxmlformats.org/officeDocument/2006/relationships" name="Leia-me" sheetId="1" r:id="Rb4867c41060d419e"/>
    <x:sheet xmlns:r="http://schemas.openxmlformats.org/officeDocument/2006/relationships" name="Painel" sheetId="2" r:id="Rb8048b2ce4e145d2"/>
    <x:sheet xmlns:r="http://schemas.openxmlformats.org/officeDocument/2006/relationships" name="Evolucao PL" sheetId="3" r:id="Rc6a9b8491e5f4b10"/>
    <x:sheet xmlns:r="http://schemas.openxmlformats.org/officeDocument/2006/relationships" name="PL por Classe" sheetId="4" r:id="Rd6a6cae2e6e349e0"/>
    <x:sheet xmlns:r="http://schemas.openxmlformats.org/officeDocument/2006/relationships" name="Emissoes" sheetId="5" r:id="Ra8cc957e3eef4de4"/>
    <x:sheet xmlns:r="http://schemas.openxmlformats.org/officeDocument/2006/relationships" name="Classif Gestoras" sheetId="6" r:id="R337143d1a87042f5"/>
    <x:sheet xmlns:r="http://schemas.openxmlformats.org/officeDocument/2006/relationships" name="Ranking Gestoras" sheetId="7" r:id="R642175ec49764dc6"/>
    <x:sheet xmlns:r="http://schemas.openxmlformats.org/officeDocument/2006/relationships" name="Gestoras por Tipo" sheetId="8" r:id="R632449895f9a41bc"/>
    <x:sheet xmlns:r="http://schemas.openxmlformats.org/officeDocument/2006/relationships" name="Ranking Admins" sheetId="9" r:id="Rba6e795f072843ee"/>
    <x:sheet xmlns:r="http://schemas.openxmlformats.org/officeDocument/2006/relationships" name="Admins por Tipo" sheetId="10" r:id="Rd325d11790ad4266"/>
    <x:sheet xmlns:r="http://schemas.openxmlformats.org/officeDocument/2006/relationships" name="Ranking Custodia" sheetId="11" r:id="Rcc9f09ab26bd4631"/>
    <x:sheet xmlns:r="http://schemas.openxmlformats.org/officeDocument/2006/relationships" name="Ranking Fundos" sheetId="12" r:id="Re527742bc0ae4886"/>
    <x:sheet xmlns:r="http://schemas.openxmlformats.org/officeDocument/2006/relationships" name="Cotistas" sheetId="13" r:id="R49a24a73628240ec"/>
    <x:sheet xmlns:r="http://schemas.openxmlformats.org/officeDocument/2006/relationships" name="Multicarteira" sheetId="14" r:id="R66efbded2ac74f3f"/>
    <x:sheet xmlns:r="http://schemas.openxmlformats.org/officeDocument/2006/relationships" name="Base Admins" sheetId="15" r:id="Rf8b2523bb98145d2"/>
    <x:sheet xmlns:r="http://schemas.openxmlformats.org/officeDocument/2006/relationships" name="Base Fundos" sheetId="16" r:id="R9fc0a8e85d2c46f0"/>
    <x:sheet xmlns:r="http://schemas.openxmlformats.org/officeDocument/2006/relationships" name="Checks" sheetId="17" r:id="R856db1ef35004e1c"/>
    <x:sheet xmlns:r="http://schemas.openxmlformats.org/officeDocument/2006/relationships" name="Fontes" sheetId="18" r:id="R26172bbdee0f48db"/>
    <x:sheet xmlns:r="http://schemas.openxmlformats.org/officeDocument/2006/relationships" name="Metodologia" sheetId="19" r:id="R7a831380562f4bea"/>
    <x:sheet xmlns:r="http://schemas.openxmlformats.org/officeDocument/2006/relationships" name="Glossario Oficial" sheetId="20" r:id="Re34e2ea9dbe5437f"/>
    <x:sheet xmlns:r="http://schemas.openxmlformats.org/officeDocument/2006/relationships" name="Comparacao Ref" sheetId="21" r:id="Rbc9afb665e21465e"/>
    <x:sheet xmlns:r="http://schemas.openxmlformats.org/officeDocument/2006/relationships" name="Depara Conglom" sheetId="22" r:id="Rfec44d125924498b"/>
    <x:sheet xmlns:r="http://schemas.openxmlformats.org/officeDocument/2006/relationships" name="Historico Gestores" sheetId="23" r:id="R8f87a4f9912d43d3"/>
    <x:sheet xmlns:r="http://schemas.openxmlformats.org/officeDocument/2006/relationships" name="Historico Admins" sheetId="24" r:id="R7b884abb09004692"/>
    <x:sheet xmlns:r="http://schemas.openxmlformats.org/officeDocument/2006/relationships" name="Top 25 Detalhe" sheetId="25" r:id="R8e86e2ae45814741"/>
    <x:sheet xmlns:r="http://schemas.openxmlformats.org/officeDocument/2006/relationships" name="Glossario Dashboard" sheetId="26" r:id="R26c7f7d11ce243e3"/>
    <x:sheet xmlns:r="http://schemas.openxmlformats.org/officeDocument/2006/relationships" name="Fluxos IME" sheetId="27" r:id="R5489fea273d642d3"/>
  </x:sheets>
</x:workbook>
</file>

<file path=xl/comments1.xml><?xml version="1.0" encoding="utf-8"?>
<x:comments xmlns:x="http://schemas.openxmlformats.org/spreadsheetml/2006/main">
  <x:authors>
    <x:author>tc={AEFC39D5-F470-02D1-B49F-670E591EA5EE}</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Histórico 2013–2023: Imagens de referência fornecidas pelo usuário (histórico 2013–2023). 2024–2026 YTD: https://data.anbima.com.br/publicacoes/fundos-de-investimento/dashboard-de-fidcs</x:t>
        </x:r>
      </x:text>
    </x:comment>
  </x:commentList>
</x:comments>
</file>

<file path=xl/comments2.xml><?xml version="1.0" encoding="utf-8"?>
<x:comments xmlns:x="http://schemas.openxmlformats.org/spreadsheetml/2006/main">
  <x:authors>
    <x:author>tc={64DC37B9-5D7C-4536-6635-8F4BFA6AF0DC}</x:author>
  </x:authors>
  <x:commentList>
    <x:comment ref="B4" authorId="0">
      <x:text>
        <x:r>
          <x:t>[Threaded comment]
Your version of Excel allows you to read this threaded comment; however, any edits to it will get removed if the file is opened in a newer version of Excel. Learn more: https://go.microsoft.com/fwlink/?linkid=870924
Comment:
    Fonte: https://data.anbima.com.br/publicacoes/fundos-de-investimento/dashboard-de-fidcs. Consulta agregada por tipo ANBIMA e mês.</x:t>
        </x:r>
      </x:text>
    </x:comment>
  </x:commentList>
</x:comments>
</file>

<file path=xl/comments3.xml><?xml version="1.0" encoding="utf-8"?>
<x:comments xmlns:x="http://schemas.openxmlformats.org/spreadsheetml/2006/main">
  <x:authors>
    <x:author>tc={24DEE59D-71AE-8A6B-D114-084A15FEE8F4}</x:author>
  </x:authors>
  <x:commentList>
    <x:comment ref="B4" authorId="0">
      <x:text>
        <x:r>
          <x:t>[Threaded comment]
Your version of Excel allows you to read this threaded comment; however, any edits to it will get removed if the file is opened in a newer version of Excel. Learn more: https://go.microsoft.com/fwlink/?linkid=870924
Comment:
    Fonte: https://data.anbima.com.br/publicacoes/fundos-de-investimento/dashboard-de-fidcs. Volume encerrado/captado exibido pelo dashboard.</x:t>
        </x:r>
      </x:text>
    </x:comment>
  </x:commentList>
</x:comments>
</file>

<file path=xl/comments4.xml><?xml version="1.0" encoding="utf-8"?>
<x:comments xmlns:x="http://schemas.openxmlformats.org/spreadsheetml/2006/main">
  <x:authors>
    <x:author>tc={5C578F23-51AC-EA6A-7BEC-9DCA9D92C56B}</x:author>
  </x:authors>
  <x:commentList>
    <x:comment ref="H5" authorId="0">
      <x:text>
        <x:r>
          <x:t>[Threaded comment]
Your version of Excel allows you to read this threaded comment; however, any edits to it will get removed if the file is opened in a newer version of Excel. Learn more: https://go.microsoft.com/fwlink/?linkid=870924
Comment:
    Input do usuário. Alterações recalculam Ranking Gestoras e os gráficos banco × independente.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0"/>
    <x:numFmt numFmtId="202" formatCode="0.0%"/>
    <x:numFmt numFmtId="203" formatCode="R$ #,##0"/>
    <x:numFmt numFmtId="204" formatCode="mmm/yy"/>
    <x:numFmt numFmtId="205" formatCode="R$ #,##0.0,,,&quot; bi&quot;"/>
    <x:numFmt numFmtId="206" formatCode="@"/>
    <x:numFmt numFmtId="207" formatCode="#,##0.00"/>
  </x:numFmts>
  <x:fonts count="23">
    <x:font>
      <x:sz val="11"/>
      <x:name val="Carlito"/>
    </x:font>
    <x:font>
      <x:b/>
      <x:sz val="17"/>
      <x:color rgb="FFFFFFFF"/>
      <x:name val="Aptos"/>
    </x:font>
    <x:font>
      <x:sz val="11"/>
      <x:color rgb="FF666666"/>
      <x:name val="Aptos"/>
    </x:font>
    <x:font>
      <x:b/>
      <x:sz val="11"/>
      <x:color rgb="FFFFFFFF"/>
      <x:name val="Aptos"/>
    </x:font>
    <x:font>
      <x:b/>
      <x:sz val="10"/>
      <x:color rgb="FFFFFFFF"/>
      <x:name val="Aptos"/>
    </x:font>
    <x:font>
      <x:sz val="10"/>
      <x:color rgb="FF242424"/>
      <x:name val="Aptos"/>
    </x:font>
    <x:font>
      <x:b/>
      <x:sz val="13"/>
      <x:color rgb="FFFFFFFF"/>
      <x:name val="Aptos"/>
    </x:font>
    <x:font>
      <x:b/>
      <x:sz val="10"/>
      <x:color rgb="FF1C1C1C"/>
      <x:name val="Aptos"/>
    </x:font>
    <x:font>
      <x:i/>
      <x:sz val="8"/>
      <x:color rgb="FF666666"/>
      <x:name val="Aptos"/>
    </x:font>
    <x:font>
      <x:sz val="10"/>
      <x:color rgb="FF666666"/>
      <x:name val="Aptos"/>
    </x:font>
    <x:font>
      <x:b/>
      <x:sz val="23"/>
      <x:color rgb="FF1C1C1C"/>
      <x:name val="Aptos"/>
    </x:font>
    <x:font>
      <x:sz val="9"/>
      <x:color rgb="FF242424"/>
      <x:name val="Aptos"/>
    </x:font>
    <x:font>
      <x:sz val="11"/>
      <x:color rgb="FFFFFFFF"/>
      <x:name val="Carlito"/>
    </x:font>
    <x:font>
      <x:b/>
      <x:sz val="10"/>
      <x:color rgb="FF0000FF"/>
      <x:name val="Aptos"/>
    </x:font>
    <x:font>
      <x:b/>
      <x:sz val="9"/>
      <x:color rgb="FF0000FF"/>
      <x:name val="Aptos"/>
    </x:font>
    <x:font>
      <x:sz val="9"/>
      <x:color rgb="FFEC7000"/>
      <x:name val="Aptos"/>
    </x:font>
    <x:font>
      <x:sz val="8"/>
      <x:color rgb="FF242424"/>
      <x:name val="Aptos"/>
    </x:font>
    <x:font>
      <x:b/>
      <x:sz val="11"/>
      <x:color rgb="FF0000FF"/>
      <x:name val="Aptos"/>
    </x:font>
    <x:font>
      <x:sz val="8"/>
      <x:color rgb="FF0000FF"/>
      <x:name val="Aptos"/>
    </x:font>
    <x:font>
      <x:b/>
      <x:sz val="10"/>
      <x:color rgb="FF242424"/>
      <x:name val="Aptos"/>
    </x:font>
    <x:font>
      <x:b/>
      <x:sz val="9"/>
      <x:color rgb="FF242424"/>
      <x:name val="Aptos"/>
    </x:font>
    <x:font>
      <x:sz val="11"/>
      <x:name val="Aptos"/>
    </x:font>
    <x:font>
      <x:sz val="11"/>
      <x:color rgb="FFFFFFFF"/>
      <x:name val="Aptos"/>
    </x:font>
  </x:fonts>
  <x:fills count="10">
    <x:fill>
      <x:patternFill patternType="none"/>
    </x:fill>
    <x:fill>
      <x:patternFill patternType="gray125"/>
    </x:fill>
    <x:fill>
      <x:patternFill patternType="solid">
        <x:fgColor rgb="FF1C1C1C"/>
      </x:patternFill>
    </x:fill>
    <x:fill>
      <x:patternFill patternType="solid">
        <x:fgColor rgb="FF333333"/>
      </x:patternFill>
    </x:fill>
    <x:fill>
      <x:patternFill patternType="solid">
        <x:fgColor rgb="FFEC7000"/>
      </x:patternFill>
    </x:fill>
    <x:fill>
      <x:patternFill patternType="solid">
        <x:fgColor rgb="FFF2F2F2"/>
      </x:patternFill>
    </x:fill>
    <x:fill>
      <x:patternFill patternType="solid">
        <x:fgColor rgb="FFFFF2CC"/>
      </x:patternFill>
    </x:fill>
    <x:fill>
      <x:patternFill patternType="solid">
        <x:fgColor rgb="FFFFF3E5"/>
      </x:patternFill>
    </x:fill>
    <x:fill>
      <x:patternFill patternType="solid">
        <x:fgColor rgb="FF7A7A7A"/>
      </x:patternFill>
    </x:fill>
    <x:fill>
      <x:patternFill patternType="solid">
        <x:fgColor rgb="FFA6A6A6"/>
      </x:patternFill>
    </x:fill>
  </x:fills>
  <x:borders count="15">
    <x:border/>
    <x:border>
      <x:left style="thin">
        <x:color rgb="FF333333"/>
      </x:left>
      <x:top style="thin">
        <x:color rgb="FF333333"/>
      </x:top>
      <x:bottom style="thin">
        <x:color rgb="FF333333"/>
      </x:bottom>
    </x:border>
    <x:border>
      <x:top style="thin">
        <x:color rgb="FF333333"/>
      </x:top>
      <x:bottom style="thin">
        <x:color rgb="FF333333"/>
      </x:bottom>
    </x:border>
    <x:border>
      <x:right style="thin">
        <x:color rgb="FF333333"/>
      </x:right>
      <x:top style="thin">
        <x:color rgb="FF333333"/>
      </x:top>
      <x:bottom style="thin">
        <x:color rgb="FF333333"/>
      </x:bottom>
    </x:border>
    <x:border>
      <x:bottom style="thin">
        <x:color rgb="FFE8EBF2"/>
      </x:bottom>
    </x:border>
    <x:border>
      <x:top style="thin">
        <x:color rgb="FFE8EBF2"/>
      </x:top>
      <x:bottom style="thin">
        <x:color rgb="FFE8EBF2"/>
      </x:bottom>
    </x:border>
    <x:border>
      <x:top style="thin">
        <x:color rgb="FFE8EBF2"/>
      </x:top>
    </x:border>
    <x:border>
      <x:left style="thin">
        <x:color rgb="FFD0D0D0"/>
      </x:left>
      <x:top style="thin">
        <x:color rgb="FFD0D0D0"/>
      </x:top>
    </x:border>
    <x:border>
      <x:top style="thin">
        <x:color rgb="FFD0D0D0"/>
      </x:top>
    </x:border>
    <x:border>
      <x:right style="thin">
        <x:color rgb="FFD0D0D0"/>
      </x:right>
      <x:top style="thin">
        <x:color rgb="FFD0D0D0"/>
      </x:top>
    </x:border>
    <x:border>
      <x:left style="thin">
        <x:color rgb="FFD0D0D0"/>
      </x:left>
    </x:border>
    <x:border>
      <x:right style="thin">
        <x:color rgb="FFD0D0D0"/>
      </x:right>
    </x:border>
    <x:border>
      <x:left style="thin">
        <x:color rgb="FFD0D0D0"/>
      </x:left>
      <x:bottom style="thin">
        <x:color rgb="FFD0D0D0"/>
      </x:bottom>
    </x:border>
    <x:border>
      <x:bottom style="thin">
        <x:color rgb="FFD0D0D0"/>
      </x:bottom>
    </x:border>
    <x:border>
      <x:right style="thin">
        <x:color rgb="FFD0D0D0"/>
      </x:right>
      <x:bottom style="thin">
        <x:color rgb="FFD0D0D0"/>
      </x:bottom>
    </x:border>
  </x:borders>
  <x:cellStyleXfs count="1">
    <x:xf numFmtId="0" fontId="0" fillId="0" borderId="0"/>
  </x:cellStyleXfs>
  <x:cellXfs count="2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2" xfId="0" applyNumberFormat="1" applyFont="1" applyFill="1" applyBorder="1" applyAlignment="1">
      <x:alignment horizontal="center" wrapText="1"/>
    </x:xf>
    <x:xf numFmtId="0" fontId="4" fillId="3" borderId="3"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4" xfId="0" applyNumberFormat="1" applyFont="1" applyFill="1" applyBorder="1" applyAlignment="1">
      <x:alignment vertical="top"/>
    </x:xf>
    <x:xf numFmtId="0" fontId="5" fillId="0" borderId="5" xfId="0" applyNumberFormat="1" applyFont="1" applyFill="1" applyBorder="1" applyAlignment="1">
      <x:alignment vertical="top"/>
    </x:xf>
    <x:xf numFmtId="0" fontId="5" fillId="0" borderId="6" xfId="0" applyNumberFormat="1" applyFont="1" applyFill="1" applyBorder="1" applyAlignment="1">
      <x:alignment vertical="top"/>
    </x:xf>
    <x:xf numFmtId="0" fontId="5" fillId="4" borderId="4" xfId="0" applyNumberFormat="1" applyFont="1" applyFill="1" applyBorder="1" applyAlignment="1">
      <x:alignment vertical="top"/>
    </x:xf>
    <x:xf numFmtId="0" fontId="5" fillId="4" borderId="5" xfId="0" applyNumberFormat="1" applyFont="1" applyFill="1" applyBorder="1" applyAlignment="1">
      <x:alignment vertical="top"/>
    </x:xf>
    <x:xf numFmtId="0" fontId="5" fillId="4" borderId="6" xfId="0" applyNumberFormat="1" applyFont="1" applyFill="1" applyBorder="1" applyAlignment="1">
      <x:alignment vertical="top"/>
    </x:xf>
    <x:xf numFmtId="0" fontId="6" fillId="4" borderId="4" xfId="0" applyNumberFormat="1" applyFont="1" applyFill="1" applyBorder="1" applyAlignment="1">
      <x:alignment vertical="top"/>
    </x:xf>
    <x:xf numFmtId="0" fontId="6" fillId="4" borderId="5" xfId="0" applyNumberFormat="1" applyFont="1" applyFill="1" applyBorder="1" applyAlignment="1">
      <x:alignment vertical="top"/>
    </x:xf>
    <x:xf numFmtId="0" fontId="6" fillId="4" borderId="6" xfId="0" applyNumberFormat="1" applyFont="1" applyFill="1" applyBorder="1" applyAlignment="1">
      <x:alignment vertical="top"/>
    </x:xf>
    <x:xf numFmtId="0" fontId="6" fillId="4" borderId="4" xfId="0" applyNumberFormat="1" applyFont="1" applyFill="1" applyBorder="1" applyAlignment="1">
      <x:alignment horizontal="center" vertical="top"/>
    </x:xf>
    <x:xf numFmtId="0" fontId="6" fillId="4" borderId="5" xfId="0" applyNumberFormat="1" applyFont="1" applyFill="1" applyBorder="1" applyAlignment="1">
      <x:alignment horizontal="center" vertical="top"/>
    </x:xf>
    <x:xf numFmtId="0" fontId="6" fillId="4" borderId="6" xfId="0" applyNumberFormat="1" applyFont="1" applyFill="1" applyBorder="1" applyAlignment="1">
      <x:alignment horizontal="center" vertical="top"/>
    </x:xf>
    <x:xf numFmtId="0" fontId="6" fillId="4" borderId="4" xfId="0" applyNumberFormat="1" applyFont="1" applyFill="1" applyBorder="1" applyAlignment="1">
      <x:alignment horizontal="center" vertical="center"/>
    </x:xf>
    <x:xf numFmtId="0" fontId="6" fillId="4" borderId="5" xfId="0" applyNumberFormat="1" applyFont="1" applyFill="1" applyBorder="1" applyAlignment="1">
      <x:alignment horizontal="center" vertical="center"/>
    </x:xf>
    <x:xf numFmtId="0" fontId="6" fillId="4" borderId="6" xfId="0" applyNumberFormat="1" applyFont="1" applyFill="1" applyBorder="1" applyAlignment="1">
      <x:alignment horizontal="center"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center"/>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top" wrapText="1"/>
    </x:xf>
    <x:xf numFmtId="0" fontId="9" fillId="0"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10" fillId="5" borderId="0" xfId="0" applyNumberFormat="1" applyFont="1" applyFill="1" applyBorder="1"/>
    <x:xf numFmtId="0" fontId="10" fillId="5" borderId="7" xfId="0" applyNumberFormat="1" applyFont="1" applyFill="1" applyBorder="1"/>
    <x:xf numFmtId="0" fontId="10" fillId="5" borderId="8" xfId="0" applyNumberFormat="1" applyFont="1" applyFill="1" applyBorder="1"/>
    <x:xf numFmtId="0" fontId="10" fillId="5" borderId="9"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7" xfId="0" applyNumberFormat="1" applyFont="1" applyFill="1" applyBorder="1" applyAlignment="1">
      <x:alignment horizontal="center"/>
    </x:xf>
    <x:xf numFmtId="0" fontId="10" fillId="5" borderId="8" xfId="0" applyNumberFormat="1" applyFont="1" applyFill="1" applyBorder="1" applyAlignment="1">
      <x:alignment horizontal="center"/>
    </x:xf>
    <x:xf numFmtId="0" fontId="10" fillId="5" borderId="9" xfId="0" applyNumberFormat="1" applyFont="1" applyFill="1" applyBorder="1" applyAlignment="1">
      <x:alignment horizontal="center"/>
    </x:xf>
    <x:xf numFmtId="0" fontId="10" fillId="5" borderId="10" xfId="0" applyNumberFormat="1" applyFont="1" applyFill="1" applyBorder="1" applyAlignment="1">
      <x:alignment horizontal="center"/>
    </x:xf>
    <x:xf numFmtId="0" fontId="10" fillId="5" borderId="0" xfId="0" applyNumberFormat="1" applyFont="1" applyFill="1" applyBorder="1" applyAlignment="1">
      <x:alignment horizontal="center"/>
    </x:xf>
    <x:xf numFmtId="0" fontId="10" fillId="5" borderId="11" xfId="0" applyNumberFormat="1" applyFont="1" applyFill="1" applyBorder="1" applyAlignment="1">
      <x:alignment horizontal="center"/>
    </x:xf>
    <x:xf numFmtId="0" fontId="10" fillId="5" borderId="12" xfId="0" applyNumberFormat="1" applyFont="1" applyFill="1" applyBorder="1" applyAlignment="1">
      <x:alignment horizontal="center"/>
    </x:xf>
    <x:xf numFmtId="0" fontId="10" fillId="5" borderId="13" xfId="0" applyNumberFormat="1" applyFont="1" applyFill="1" applyBorder="1" applyAlignment="1">
      <x:alignment horizontal="center"/>
    </x:xf>
    <x:xf numFmtId="0" fontId="10" fillId="5" borderId="14" xfId="0" applyNumberFormat="1" applyFont="1" applyFill="1" applyBorder="1" applyAlignment="1">
      <x:alignment horizontal="center"/>
    </x:xf>
    <x:xf numFmtId="0" fontId="10" fillId="5" borderId="7" xfId="0" applyNumberFormat="1" applyFont="1" applyFill="1" applyBorder="1" applyAlignment="1">
      <x:alignment horizontal="center" vertical="center"/>
    </x:xf>
    <x:xf numFmtId="0" fontId="10" fillId="5" borderId="8" xfId="0" applyNumberFormat="1" applyFont="1" applyFill="1" applyBorder="1" applyAlignment="1">
      <x:alignment horizontal="center" vertical="center"/>
    </x:xf>
    <x:xf numFmtId="0" fontId="10" fillId="5" borderId="9" xfId="0" applyNumberFormat="1" applyFont="1" applyFill="1" applyBorder="1" applyAlignment="1">
      <x:alignment horizontal="center" vertical="center"/>
    </x:xf>
    <x:xf numFmtId="0" fontId="10" fillId="5" borderId="10" xfId="0" applyNumberFormat="1" applyFont="1" applyFill="1" applyBorder="1" applyAlignment="1">
      <x:alignment horizontal="center" vertical="center"/>
    </x:xf>
    <x:xf numFmtId="0" fontId="10" fillId="5" borderId="0" xfId="0" applyNumberFormat="1" applyFont="1" applyFill="1" applyBorder="1" applyAlignment="1">
      <x:alignment horizontal="center" vertical="center"/>
    </x:xf>
    <x:xf numFmtId="0" fontId="10" fillId="5" borderId="11" xfId="0" applyNumberFormat="1" applyFont="1" applyFill="1" applyBorder="1" applyAlignment="1">
      <x:alignment horizontal="center" vertical="center"/>
    </x:xf>
    <x:xf numFmtId="0" fontId="10" fillId="5" borderId="12" xfId="0" applyNumberFormat="1" applyFont="1" applyFill="1" applyBorder="1" applyAlignment="1">
      <x:alignment horizontal="center" vertical="center"/>
    </x:xf>
    <x:xf numFmtId="0" fontId="10" fillId="5" borderId="13" xfId="0" applyNumberFormat="1" applyFont="1" applyFill="1" applyBorder="1" applyAlignment="1">
      <x:alignment horizontal="center" vertical="center"/>
    </x:xf>
    <x:xf numFmtId="0" fontId="10" fillId="5" borderId="14" xfId="0" applyNumberFormat="1" applyFont="1" applyFill="1" applyBorder="1" applyAlignment="1">
      <x:alignment horizontal="center" vertical="center"/>
    </x:xf>
    <x:xf numFmtId="200" fontId="10" fillId="5" borderId="7" xfId="0" applyNumberFormat="1" applyFont="1" applyFill="1" applyBorder="1" applyAlignment="1">
      <x:alignment horizontal="center" vertical="center"/>
    </x:xf>
    <x:xf numFmtId="200" fontId="10" fillId="5" borderId="8" xfId="0" applyNumberFormat="1" applyFont="1" applyFill="1" applyBorder="1" applyAlignment="1">
      <x:alignment horizontal="center" vertical="center"/>
    </x:xf>
    <x:xf numFmtId="200" fontId="10" fillId="5" borderId="9" xfId="0" applyNumberFormat="1" applyFont="1" applyFill="1" applyBorder="1" applyAlignment="1">
      <x:alignment horizontal="center" vertical="center"/>
    </x:xf>
    <x:xf numFmtId="200" fontId="10" fillId="5" borderId="10" xfId="0" applyNumberFormat="1" applyFont="1" applyFill="1" applyBorder="1" applyAlignment="1">
      <x:alignment horizontal="center" vertical="center"/>
    </x:xf>
    <x:xf numFmtId="200" fontId="10" fillId="5" borderId="0" xfId="0" applyNumberFormat="1" applyFont="1" applyFill="1" applyBorder="1" applyAlignment="1">
      <x:alignment horizontal="center" vertical="center"/>
    </x:xf>
    <x:xf numFmtId="200" fontId="10" fillId="5" borderId="11" xfId="0" applyNumberFormat="1" applyFont="1" applyFill="1" applyBorder="1" applyAlignment="1">
      <x:alignment horizontal="center" vertical="center"/>
    </x:xf>
    <x:xf numFmtId="200" fontId="10" fillId="5" borderId="12" xfId="0" applyNumberFormat="1" applyFont="1" applyFill="1" applyBorder="1" applyAlignment="1">
      <x:alignment horizontal="center" vertical="center"/>
    </x:xf>
    <x:xf numFmtId="200" fontId="10" fillId="5" borderId="13" xfId="0" applyNumberFormat="1" applyFont="1" applyFill="1" applyBorder="1" applyAlignment="1">
      <x:alignment horizontal="center" vertical="center"/>
    </x:xf>
    <x:xf numFmtId="200" fontId="10" fillId="5" borderId="14" xfId="0" applyNumberFormat="1" applyFont="1" applyFill="1" applyBorder="1" applyAlignment="1">
      <x:alignment horizontal="center" vertical="center"/>
    </x:xf>
    <x:xf numFmtId="201" fontId="10" fillId="5" borderId="7" xfId="0" applyNumberFormat="1" applyFont="1" applyFill="1" applyBorder="1" applyAlignment="1">
      <x:alignment horizontal="center" vertical="center"/>
    </x:xf>
    <x:xf numFmtId="201" fontId="10" fillId="5" borderId="8" xfId="0" applyNumberFormat="1" applyFont="1" applyFill="1" applyBorder="1" applyAlignment="1">
      <x:alignment horizontal="center" vertical="center"/>
    </x:xf>
    <x:xf numFmtId="201" fontId="10" fillId="5" borderId="9" xfId="0" applyNumberFormat="1" applyFont="1" applyFill="1" applyBorder="1" applyAlignment="1">
      <x:alignment horizontal="center" vertical="center"/>
    </x:xf>
    <x:xf numFmtId="201" fontId="10" fillId="5" borderId="10" xfId="0" applyNumberFormat="1" applyFont="1" applyFill="1" applyBorder="1" applyAlignment="1">
      <x:alignment horizontal="center" vertical="center"/>
    </x:xf>
    <x:xf numFmtId="201" fontId="10" fillId="5" borderId="0" xfId="0" applyNumberFormat="1" applyFont="1" applyFill="1" applyBorder="1" applyAlignment="1">
      <x:alignment horizontal="center" vertical="center"/>
    </x:xf>
    <x:xf numFmtId="201" fontId="10" fillId="5" borderId="11" xfId="0" applyNumberFormat="1" applyFont="1" applyFill="1" applyBorder="1" applyAlignment="1">
      <x:alignment horizontal="center" vertical="center"/>
    </x:xf>
    <x:xf numFmtId="201" fontId="10" fillId="5" borderId="12" xfId="0" applyNumberFormat="1" applyFont="1" applyFill="1" applyBorder="1" applyAlignment="1">
      <x:alignment horizontal="center" vertical="center"/>
    </x:xf>
    <x:xf numFmtId="201" fontId="10" fillId="5" borderId="13" xfId="0" applyNumberFormat="1" applyFont="1" applyFill="1" applyBorder="1" applyAlignment="1">
      <x:alignment horizontal="center" vertical="center"/>
    </x:xf>
    <x:xf numFmtId="201" fontId="10" fillId="5" borderId="14" xfId="0" applyNumberFormat="1" applyFont="1" applyFill="1" applyBorder="1" applyAlignment="1">
      <x:alignment horizontal="center"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11" fillId="0" borderId="0" xfId="0" applyNumberFormat="1" applyFont="1" applyFill="1" applyBorder="1"/>
    <x:xf numFmtId="0" fontId="11" fillId="0" borderId="4" xfId="0" applyNumberFormat="1" applyFont="1" applyFill="1" applyBorder="1"/>
    <x:xf numFmtId="0" fontId="11" fillId="0" borderId="5" xfId="0" applyNumberFormat="1" applyFont="1" applyFill="1" applyBorder="1"/>
    <x:xf numFmtId="0" fontId="11" fillId="0" borderId="6" xfId="0" applyNumberFormat="1" applyFont="1" applyFill="1" applyBorder="1"/>
    <x:xf numFmtId="0" fontId="11" fillId="0" borderId="4" xfId="0" applyNumberFormat="1" applyFont="1" applyFill="1" applyBorder="1" applyAlignment="1">
      <x:alignment vertical="top"/>
    </x:xf>
    <x:xf numFmtId="0" fontId="11" fillId="0" borderId="5" xfId="0" applyNumberFormat="1" applyFont="1" applyFill="1" applyBorder="1" applyAlignment="1">
      <x:alignment vertical="top"/>
    </x:xf>
    <x:xf numFmtId="0" fontId="11" fillId="0" borderId="6" xfId="0" applyNumberFormat="1" applyFont="1" applyFill="1" applyBorder="1" applyAlignment="1">
      <x:alignment vertical="top"/>
    </x:xf>
    <x:xf numFmtId="201" fontId="11" fillId="0" borderId="4" xfId="0" applyNumberFormat="1" applyFont="1" applyFill="1" applyBorder="1" applyAlignment="1">
      <x:alignment vertical="top"/>
    </x:xf>
    <x:xf numFmtId="201" fontId="11" fillId="0" borderId="5" xfId="0" applyNumberFormat="1" applyFont="1" applyFill="1" applyBorder="1" applyAlignment="1">
      <x:alignment vertical="top"/>
    </x:xf>
    <x:xf numFmtId="201" fontId="11" fillId="0" borderId="6" xfId="0" applyNumberFormat="1" applyFont="1" applyFill="1" applyBorder="1" applyAlignment="1">
      <x:alignment vertical="top"/>
    </x:xf>
    <x:xf numFmtId="202" fontId="11" fillId="0" borderId="4" xfId="0" applyNumberFormat="1" applyFont="1" applyFill="1" applyBorder="1" applyAlignment="1">
      <x:alignment vertical="top"/>
    </x:xf>
    <x:xf numFmtId="202" fontId="11" fillId="0" borderId="5" xfId="0" applyNumberFormat="1" applyFont="1" applyFill="1" applyBorder="1" applyAlignment="1">
      <x:alignment vertical="top"/>
    </x:xf>
    <x:xf numFmtId="202" fontId="11" fillId="0" borderId="6" xfId="0" applyNumberFormat="1" applyFont="1" applyFill="1" applyBorder="1" applyAlignment="1">
      <x:alignment vertical="top"/>
    </x:xf>
    <x:xf numFmtId="200" fontId="11" fillId="0" borderId="4" xfId="0" applyNumberFormat="1" applyFont="1" applyFill="1" applyBorder="1" applyAlignment="1">
      <x:alignment vertical="top"/>
    </x:xf>
    <x:xf numFmtId="200" fontId="11" fillId="0" borderId="5" xfId="0" applyNumberFormat="1" applyFont="1" applyFill="1" applyBorder="1" applyAlignment="1">
      <x:alignment vertical="top"/>
    </x:xf>
    <x:xf numFmtId="203" fontId="11" fillId="0" borderId="4" xfId="0" applyNumberFormat="1" applyFont="1" applyFill="1" applyBorder="1" applyAlignment="1">
      <x:alignment vertical="top"/>
    </x:xf>
    <x:xf numFmtId="203" fontId="11" fillId="0" borderId="5" xfId="0" applyNumberFormat="1" applyFont="1" applyFill="1" applyBorder="1" applyAlignment="1">
      <x:alignment vertical="top"/>
    </x:xf>
    <x:xf numFmtId="203" fontId="11" fillId="0" borderId="6" xfId="0" applyNumberFormat="1" applyFont="1" applyFill="1" applyBorder="1" applyAlignment="1">
      <x:alignment vertical="top"/>
    </x:xf>
    <x:xf numFmtId="200" fontId="11" fillId="0" borderId="6" xfId="0" applyNumberFormat="1" applyFont="1" applyFill="1" applyBorder="1" applyAlignment="1">
      <x:alignment vertical="top"/>
    </x:xf>
    <x:xf numFmtId="204" fontId="11" fillId="0" borderId="4" xfId="0" applyNumberFormat="1" applyFont="1" applyFill="1" applyBorder="1" applyAlignment="1">
      <x:alignment vertical="top"/>
    </x:xf>
    <x:xf numFmtId="204" fontId="11" fillId="0" borderId="5" xfId="0" applyNumberFormat="1" applyFont="1" applyFill="1" applyBorder="1" applyAlignment="1">
      <x:alignment vertical="top"/>
    </x:xf>
    <x:xf numFmtId="204" fontId="11" fillId="0" borderId="6" xfId="0" applyNumberFormat="1" applyFont="1" applyFill="1" applyBorder="1" applyAlignment="1">
      <x:alignment vertical="top"/>
    </x:xf>
    <x:xf numFmtId="0" fontId="11" fillId="0" borderId="0" xfId="0" applyNumberFormat="1" applyFont="1" applyFill="1" applyBorder="1" applyAlignment="1">
      <x:alignment vertical="top"/>
    </x:xf>
    <x:xf numFmtId="200" fontId="11" fillId="0" borderId="0" xfId="0" applyNumberFormat="1" applyFont="1" applyFill="1" applyBorder="1" applyAlignment="1">
      <x:alignment vertical="top"/>
    </x:xf>
    <x:xf numFmtId="0" fontId="12" fillId="0" borderId="0" xfId="0" applyNumberFormat="1" applyFont="1" applyFill="1" applyBorder="1"/>
    <x:xf numFmtId="0" fontId="0" fillId="6" borderId="0" xfId="0" applyNumberFormat="1" applyFont="1" applyFill="1" applyBorder="1"/>
    <x:xf numFmtId="0" fontId="13" fillId="6" borderId="0" xfId="0" applyNumberFormat="1" applyFont="1" applyFill="1" applyBorder="1"/>
    <x:xf numFmtId="0" fontId="13" fillId="6" borderId="0" xfId="0" applyNumberFormat="1" applyFont="1" applyFill="1" applyBorder="1" applyAlignment="1">
      <x:alignment vertical="center"/>
    </x:xf>
    <x:xf numFmtId="205" fontId="11" fillId="0" borderId="4" xfId="0" applyNumberFormat="1" applyFont="1" applyFill="1" applyBorder="1" applyAlignment="1">
      <x:alignment vertical="top"/>
    </x:xf>
    <x:xf numFmtId="205" fontId="11" fillId="0" borderId="5" xfId="0" applyNumberFormat="1" applyFont="1" applyFill="1" applyBorder="1" applyAlignment="1">
      <x:alignment vertical="top"/>
    </x:xf>
    <x:xf numFmtId="205" fontId="11" fillId="0" borderId="6" xfId="0" applyNumberFormat="1" applyFont="1" applyFill="1" applyBorder="1" applyAlignment="1">
      <x:alignment vertical="top"/>
    </x:xf>
    <x:xf numFmtId="0" fontId="11" fillId="6" borderId="4" xfId="0" applyNumberFormat="1" applyFont="1" applyFill="1" applyBorder="1" applyAlignment="1">
      <x:alignment vertical="top"/>
    </x:xf>
    <x:xf numFmtId="0" fontId="11" fillId="6" borderId="5" xfId="0" applyNumberFormat="1" applyFont="1" applyFill="1" applyBorder="1" applyAlignment="1">
      <x:alignment vertical="top"/>
    </x:xf>
    <x:xf numFmtId="0" fontId="11" fillId="6" borderId="6" xfId="0" applyNumberFormat="1" applyFont="1" applyFill="1" applyBorder="1" applyAlignment="1">
      <x:alignment vertical="top"/>
    </x:xf>
    <x:xf numFmtId="0" fontId="14" fillId="6" borderId="4" xfId="0" applyNumberFormat="1" applyFont="1" applyFill="1" applyBorder="1" applyAlignment="1">
      <x:alignment vertical="top"/>
    </x:xf>
    <x:xf numFmtId="0" fontId="14" fillId="6" borderId="5" xfId="0" applyNumberFormat="1" applyFont="1" applyFill="1" applyBorder="1" applyAlignment="1">
      <x:alignment vertical="top"/>
    </x:xf>
    <x:xf numFmtId="0" fontId="14" fillId="6" borderId="6" xfId="0" applyNumberFormat="1" applyFont="1" applyFill="1" applyBorder="1" applyAlignment="1">
      <x:alignment vertical="top"/>
    </x:xf>
    <x:xf numFmtId="0" fontId="14" fillId="6" borderId="4" xfId="0" applyNumberFormat="1" applyFont="1" applyFill="1" applyBorder="1" applyAlignment="1">
      <x:alignment horizontal="center" vertical="top"/>
    </x:xf>
    <x:xf numFmtId="0" fontId="14" fillId="6" borderId="5" xfId="0" applyNumberFormat="1" applyFont="1" applyFill="1" applyBorder="1" applyAlignment="1">
      <x:alignment horizontal="center" vertical="top"/>
    </x:xf>
    <x:xf numFmtId="0" fontId="14" fillId="6" borderId="6" xfId="0" applyNumberFormat="1" applyFont="1" applyFill="1" applyBorder="1" applyAlignment="1">
      <x:alignment horizontal="center" vertical="top"/>
    </x:xf>
    <x:xf numFmtId="0" fontId="11" fillId="7" borderId="4" xfId="0" applyNumberFormat="1" applyFont="1" applyFill="1" applyBorder="1" applyAlignment="1">
      <x:alignment vertical="top"/>
    </x:xf>
    <x:xf numFmtId="0" fontId="11" fillId="7" borderId="5" xfId="0" applyNumberFormat="1" applyFont="1" applyFill="1" applyBorder="1" applyAlignment="1">
      <x:alignment vertical="top"/>
    </x:xf>
    <x:xf numFmtId="0" fontId="11" fillId="7" borderId="6" xfId="0" applyNumberFormat="1" applyFont="1" applyFill="1" applyBorder="1" applyAlignment="1">
      <x:alignment vertical="top"/>
    </x:xf>
    <x:xf numFmtId="0" fontId="15" fillId="7" borderId="4" xfId="0" applyNumberFormat="1" applyFont="1" applyFill="1" applyBorder="1" applyAlignment="1">
      <x:alignment vertical="top"/>
    </x:xf>
    <x:xf numFmtId="0" fontId="15" fillId="7" borderId="5" xfId="0" applyNumberFormat="1" applyFont="1" applyFill="1" applyBorder="1" applyAlignment="1">
      <x:alignment vertical="top"/>
    </x:xf>
    <x:xf numFmtId="0" fontId="15" fillId="7" borderId="6" xfId="0" applyNumberFormat="1" applyFont="1" applyFill="1" applyBorder="1" applyAlignment="1">
      <x:alignment vertical="top"/>
    </x:xf>
    <x:xf numFmtId="0" fontId="15" fillId="7" borderId="4" xfId="0" applyNumberFormat="1" applyFont="1" applyFill="1" applyBorder="1" applyAlignment="1">
      <x:alignment horizontal="center" vertical="top"/>
    </x:xf>
    <x:xf numFmtId="0" fontId="15" fillId="7" borderId="5" xfId="0" applyNumberFormat="1" applyFont="1" applyFill="1" applyBorder="1" applyAlignment="1">
      <x:alignment horizontal="center" vertical="top"/>
    </x:xf>
    <x:xf numFmtId="0" fontId="15" fillId="7" borderId="6" xfId="0" applyNumberFormat="1" applyFont="1" applyFill="1" applyBorder="1" applyAlignment="1">
      <x:alignment horizontal="center" vertical="top"/>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vertical="center"/>
    </x:xf>
    <x:xf numFmtId="0" fontId="16" fillId="0" borderId="0" xfId="0" applyNumberFormat="1" applyFont="1" applyFill="1" applyBorder="1"/>
    <x:xf numFmtId="0" fontId="16" fillId="0" borderId="4" xfId="0" applyNumberFormat="1" applyFont="1" applyFill="1" applyBorder="1"/>
    <x:xf numFmtId="0" fontId="16" fillId="0" borderId="5" xfId="0" applyNumberFormat="1" applyFont="1" applyFill="1" applyBorder="1"/>
    <x:xf numFmtId="0" fontId="16" fillId="0" borderId="6" xfId="0" applyNumberFormat="1" applyFont="1" applyFill="1" applyBorder="1"/>
    <x:xf numFmtId="0" fontId="16" fillId="0" borderId="4" xfId="0" applyNumberFormat="1" applyFont="1" applyFill="1" applyBorder="1" applyAlignment="1">
      <x:alignment vertical="top"/>
    </x:xf>
    <x:xf numFmtId="0" fontId="16" fillId="0" borderId="5" xfId="0" applyNumberFormat="1" applyFont="1" applyFill="1" applyBorder="1" applyAlignment="1">
      <x:alignment vertical="top"/>
    </x:xf>
    <x:xf numFmtId="0" fontId="16" fillId="0" borderId="6" xfId="0" applyNumberFormat="1" applyFont="1" applyFill="1" applyBorder="1" applyAlignment="1">
      <x:alignment vertical="top"/>
    </x:xf>
    <x:xf numFmtId="200" fontId="16" fillId="0" borderId="4" xfId="0" applyNumberFormat="1" applyFont="1" applyFill="1" applyBorder="1" applyAlignment="1">
      <x:alignment vertical="top"/>
    </x:xf>
    <x:xf numFmtId="200" fontId="16" fillId="0" borderId="5" xfId="0" applyNumberFormat="1" applyFont="1" applyFill="1" applyBorder="1" applyAlignment="1">
      <x:alignment vertical="top"/>
    </x:xf>
    <x:xf numFmtId="200" fontId="16" fillId="0" borderId="6" xfId="0" applyNumberFormat="1" applyFont="1" applyFill="1" applyBorder="1" applyAlignment="1">
      <x:alignment vertical="top"/>
    </x:xf>
    <x:xf numFmtId="201" fontId="16" fillId="0" borderId="4" xfId="0" applyNumberFormat="1" applyFont="1" applyFill="1" applyBorder="1" applyAlignment="1">
      <x:alignment vertical="top"/>
    </x:xf>
    <x:xf numFmtId="201" fontId="16" fillId="0" borderId="5" xfId="0" applyNumberFormat="1" applyFont="1" applyFill="1" applyBorder="1" applyAlignment="1">
      <x:alignment vertical="top"/>
    </x:xf>
    <x:xf numFmtId="201" fontId="16" fillId="0" borderId="6" xfId="0" applyNumberFormat="1" applyFont="1" applyFill="1" applyBorder="1" applyAlignment="1">
      <x:alignment vertical="top"/>
    </x:xf>
    <x:xf numFmtId="206" fontId="16" fillId="0" borderId="4" xfId="0" applyNumberFormat="1" applyFont="1" applyFill="1" applyBorder="1" applyAlignment="1">
      <x:alignment vertical="top"/>
    </x:xf>
    <x:xf numFmtId="206" fontId="16" fillId="0" borderId="5" xfId="0" applyNumberFormat="1" applyFont="1" applyFill="1" applyBorder="1" applyAlignment="1">
      <x:alignment vertical="top"/>
    </x:xf>
    <x:xf numFmtId="206" fontId="16" fillId="0" borderId="6" xfId="0" applyNumberFormat="1" applyFont="1" applyFill="1" applyBorder="1" applyAlignment="1">
      <x:alignment vertical="top"/>
    </x:xf>
    <x:xf numFmtId="0" fontId="4" fillId="2" borderId="0" xfId="0" applyNumberFormat="1" applyFont="1" applyFill="1" applyBorder="1"/>
    <x:xf numFmtId="0" fontId="17" fillId="6" borderId="0" xfId="0" applyNumberFormat="1" applyFont="1" applyFill="1" applyBorder="1"/>
    <x:xf numFmtId="201" fontId="17" fillId="6" borderId="0" xfId="0" applyNumberFormat="1" applyFont="1" applyFill="1" applyBorder="1"/>
    <x:xf numFmtId="0" fontId="14" fillId="6" borderId="0" xfId="0" applyNumberFormat="1" applyFont="1" applyFill="1" applyBorder="1"/>
    <x:xf numFmtId="0" fontId="16" fillId="6" borderId="4" xfId="0" applyNumberFormat="1" applyFont="1" applyFill="1" applyBorder="1" applyAlignment="1">
      <x:alignment vertical="top"/>
    </x:xf>
    <x:xf numFmtId="0" fontId="16" fillId="6" borderId="5" xfId="0" applyNumberFormat="1" applyFont="1" applyFill="1" applyBorder="1" applyAlignment="1">
      <x:alignment vertical="top"/>
    </x:xf>
    <x:xf numFmtId="0" fontId="16" fillId="6" borderId="6" xfId="0" applyNumberFormat="1" applyFont="1" applyFill="1" applyBorder="1" applyAlignment="1">
      <x:alignment vertical="top"/>
    </x:xf>
    <x:xf numFmtId="0" fontId="18" fillId="6" borderId="4" xfId="0" applyNumberFormat="1" applyFont="1" applyFill="1" applyBorder="1" applyAlignment="1">
      <x:alignment vertical="top"/>
    </x:xf>
    <x:xf numFmtId="0" fontId="18" fillId="6" borderId="5" xfId="0" applyNumberFormat="1" applyFont="1" applyFill="1" applyBorder="1" applyAlignment="1">
      <x:alignment vertical="top"/>
    </x:xf>
    <x:xf numFmtId="0" fontId="18" fillId="6" borderId="6" xfId="0" applyNumberFormat="1" applyFont="1" applyFill="1" applyBorder="1" applyAlignment="1">
      <x:alignment vertical="top"/>
    </x:xf>
    <x:xf numFmtId="203" fontId="16" fillId="0" borderId="4" xfId="0" applyNumberFormat="1" applyFont="1" applyFill="1" applyBorder="1" applyAlignment="1">
      <x:alignment vertical="top"/>
    </x:xf>
    <x:xf numFmtId="203" fontId="16" fillId="0" borderId="5" xfId="0" applyNumberFormat="1" applyFont="1" applyFill="1" applyBorder="1" applyAlignment="1">
      <x:alignment vertical="top"/>
    </x:xf>
    <x:xf numFmtId="203" fontId="16" fillId="0" borderId="6" xfId="0" applyNumberFormat="1" applyFont="1" applyFill="1" applyBorder="1" applyAlignment="1">
      <x:alignment vertical="top"/>
    </x:xf>
    <x:xf numFmtId="207" fontId="11" fillId="0" borderId="4" xfId="0" applyNumberFormat="1" applyFont="1" applyFill="1" applyBorder="1" applyAlignment="1">
      <x:alignment vertical="top"/>
    </x:xf>
    <x:xf numFmtId="207" fontId="11" fillId="0" borderId="5" xfId="0" applyNumberFormat="1" applyFont="1" applyFill="1" applyBorder="1" applyAlignment="1">
      <x:alignment vertical="top"/>
    </x:xf>
    <x:xf numFmtId="207" fontId="11" fillId="0" borderId="6" xfId="0" applyNumberFormat="1" applyFont="1" applyFill="1" applyBorder="1" applyAlignment="1">
      <x:alignment vertical="top"/>
    </x:xf>
    <x:xf numFmtId="0" fontId="11" fillId="0" borderId="4"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19" fillId="5" borderId="0" xfId="0" applyNumberFormat="1" applyFont="1" applyFill="1" applyBorder="1"/>
    <x:xf numFmtId="0" fontId="19" fillId="5" borderId="0" xfId="0" applyNumberFormat="1" applyFont="1" applyFill="1" applyBorder="1" applyAlignment="1">
      <x:alignment wrapText="1"/>
    </x:xf>
    <x:xf numFmtId="0" fontId="19" fillId="5" borderId="0" xfId="0" applyNumberFormat="1" applyFont="1" applyFill="1" applyBorder="1" applyAlignment="1">
      <x:alignment vertical="center" wrapText="1"/>
    </x:xf>
    <x:xf numFmtId="0" fontId="14" fillId="6" borderId="0" xfId="0" applyNumberFormat="1" applyFont="1" applyFill="1" applyBorder="1" applyAlignment="1">
      <x:alignment wrapText="1"/>
    </x:xf>
    <x:xf numFmtId="0" fontId="20" fillId="5" borderId="0" xfId="0" applyNumberFormat="1" applyFont="1" applyFill="1" applyBorder="1"/>
    <x:xf numFmtId="0" fontId="20" fillId="5" borderId="0" xfId="0" applyNumberFormat="1" applyFont="1" applyFill="1" applyBorder="1" applyAlignment="1">
      <x:alignment wrapText="1"/>
    </x:xf>
    <x:xf numFmtId="202" fontId="16" fillId="0" borderId="4" xfId="0" applyNumberFormat="1" applyFont="1" applyFill="1" applyBorder="1" applyAlignment="1">
      <x:alignment vertical="top"/>
    </x:xf>
    <x:xf numFmtId="202" fontId="16" fillId="0" borderId="5" xfId="0" applyNumberFormat="1" applyFont="1" applyFill="1" applyBorder="1" applyAlignment="1">
      <x:alignment vertical="top"/>
    </x:xf>
    <x:xf numFmtId="202" fontId="16" fillId="0" borderId="6" xfId="0" applyNumberFormat="1" applyFont="1" applyFill="1" applyBorder="1" applyAlignment="1">
      <x:alignment vertical="top"/>
    </x:xf>
    <x:xf numFmtId="0" fontId="16" fillId="0" borderId="4"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200" fontId="16" fillId="0" borderId="4" xfId="0" applyNumberFormat="1" applyFont="1" applyFill="1" applyBorder="1" applyAlignment="1">
      <x:alignment vertical="top" wrapText="1"/>
    </x:xf>
    <x:xf numFmtId="200" fontId="16" fillId="0" borderId="5" xfId="0" applyNumberFormat="1" applyFont="1" applyFill="1" applyBorder="1" applyAlignment="1">
      <x:alignment vertical="top" wrapText="1"/>
    </x:xf>
    <x:xf numFmtId="200" fontId="16" fillId="0" borderId="6" xfId="0" applyNumberFormat="1" applyFont="1" applyFill="1" applyBorder="1" applyAlignment="1">
      <x:alignment vertical="top" wrapText="1"/>
    </x:xf>
    <x:xf numFmtId="0" fontId="21" fillId="0" borderId="0" xfId="0" applyNumberFormat="1" applyFont="1" applyFill="1" applyBorder="1"/>
    <x:xf numFmtId="0" fontId="22" fillId="0" borderId="0" xfId="0" applyNumberFormat="1" applyFont="1" applyFill="1" applyBorder="1"/>
  </x:cellXfs>
  <x:cellStyles count="1">
    <x:cellStyle name="Normal" xfId="0"/>
  </x:cellStyles>
  <x:dxfs count="2">
    <x:dxf>
      <x:font>
        <x:b/>
        <x:color rgb="FF4F4F4F"/>
      </x:font>
      <x:fill>
        <x:patternFill patternType="solid">
          <x:bgColor rgb="FFDDF4E7"/>
        </x:patternFill>
      </x:fill>
    </x:dxf>
    <x:dxf>
      <x:font>
        <x:b/>
        <x:color rgb="FFEC7000"/>
      </x:font>
      <x:fill>
        <x:patternFill patternType="solid">
          <x:bgColor rgb="FFFE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e4d7412519478b" /><Relationship Type="http://schemas.openxmlformats.org/officeDocument/2006/relationships/theme" Target="/xl/theme/theme1.xml" Id="R392a32ba29634e4b" /><Relationship Type="http://schemas.openxmlformats.org/officeDocument/2006/relationships/sharedStrings" Target="/xl/sharedStrings.xml" Id="R3f0b615e7187498d" /><Relationship Type="http://schemas.openxmlformats.org/officeDocument/2006/relationships/worksheet" Target="/xl/worksheets/sheet1.xml" Id="Rb4867c41060d419e" /><Relationship Type="http://schemas.openxmlformats.org/officeDocument/2006/relationships/worksheet" Target="/xl/worksheets/sheet2.xml" Id="Rb8048b2ce4e145d2" /><Relationship Type="http://schemas.openxmlformats.org/officeDocument/2006/relationships/worksheet" Target="/xl/worksheets/sheet3.xml" Id="Rc6a9b8491e5f4b10" /><Relationship Type="http://schemas.openxmlformats.org/officeDocument/2006/relationships/worksheet" Target="/xl/worksheets/sheet4.xml" Id="Rd6a6cae2e6e349e0" /><Relationship Type="http://schemas.openxmlformats.org/officeDocument/2006/relationships/worksheet" Target="/xl/worksheets/sheet5.xml" Id="Ra8cc957e3eef4de4" /><Relationship Type="http://schemas.openxmlformats.org/officeDocument/2006/relationships/worksheet" Target="/xl/worksheets/sheet6.xml" Id="R337143d1a87042f5" /><Relationship Type="http://schemas.openxmlformats.org/officeDocument/2006/relationships/worksheet" Target="/xl/worksheets/sheet7.xml" Id="R642175ec49764dc6" /><Relationship Type="http://schemas.openxmlformats.org/officeDocument/2006/relationships/worksheet" Target="/xl/worksheets/sheet8.xml" Id="R632449895f9a41bc" /><Relationship Type="http://schemas.openxmlformats.org/officeDocument/2006/relationships/worksheet" Target="/xl/worksheets/sheet9.xml" Id="Rba6e795f072843ee" /><Relationship Type="http://schemas.openxmlformats.org/officeDocument/2006/relationships/worksheet" Target="/xl/worksheets/sheet10.xml" Id="Rd325d11790ad4266" /><Relationship Type="http://schemas.openxmlformats.org/officeDocument/2006/relationships/worksheet" Target="/xl/worksheets/sheet11.xml" Id="Rcc9f09ab26bd4631" /><Relationship Type="http://schemas.openxmlformats.org/officeDocument/2006/relationships/worksheet" Target="/xl/worksheets/sheet12.xml" Id="Re527742bc0ae4886" /><Relationship Type="http://schemas.openxmlformats.org/officeDocument/2006/relationships/worksheet" Target="/xl/worksheets/sheet13.xml" Id="R49a24a73628240ec" /><Relationship Type="http://schemas.openxmlformats.org/officeDocument/2006/relationships/worksheet" Target="/xl/worksheets/sheet14.xml" Id="R66efbded2ac74f3f" /><Relationship Type="http://schemas.openxmlformats.org/officeDocument/2006/relationships/worksheet" Target="/xl/worksheets/sheet15.xml" Id="Rf8b2523bb98145d2" /><Relationship Type="http://schemas.openxmlformats.org/officeDocument/2006/relationships/worksheet" Target="/xl/worksheets/sheet16.xml" Id="R9fc0a8e85d2c46f0" /><Relationship Type="http://schemas.openxmlformats.org/officeDocument/2006/relationships/worksheet" Target="/xl/worksheets/sheet17.xml" Id="R856db1ef35004e1c" /><Relationship Type="http://schemas.openxmlformats.org/officeDocument/2006/relationships/worksheet" Target="/xl/worksheets/sheet18.xml" Id="R26172bbdee0f48db" /><Relationship Type="http://schemas.openxmlformats.org/officeDocument/2006/relationships/worksheet" Target="/xl/worksheets/sheet19.xml" Id="R7a831380562f4bea" /><Relationship Type="http://schemas.openxmlformats.org/officeDocument/2006/relationships/worksheet" Target="/xl/worksheets/sheet20.xml" Id="Re34e2ea9dbe5437f" /><Relationship Type="http://schemas.openxmlformats.org/officeDocument/2006/relationships/worksheet" Target="/xl/worksheets/sheet21.xml" Id="Rbc9afb665e21465e" /><Relationship Type="http://schemas.openxmlformats.org/officeDocument/2006/relationships/worksheet" Target="/xl/worksheets/sheet22.xml" Id="Rfec44d125924498b" /><Relationship Type="http://schemas.openxmlformats.org/officeDocument/2006/relationships/worksheet" Target="/xl/worksheets/sheet23.xml" Id="R8f87a4f9912d43d3" /><Relationship Type="http://schemas.openxmlformats.org/officeDocument/2006/relationships/worksheet" Target="/xl/worksheets/sheet24.xml" Id="R7b884abb09004692" /><Relationship Type="http://schemas.openxmlformats.org/officeDocument/2006/relationships/worksheet" Target="/xl/worksheets/sheet25.xml" Id="R8e86e2ae45814741" /><Relationship Type="http://schemas.openxmlformats.org/officeDocument/2006/relationships/worksheet" Target="/xl/worksheets/sheet26.xml" Id="R26c7f7d11ce243e3" /><Relationship Type="http://schemas.openxmlformats.org/officeDocument/2006/relationships/worksheet" Target="/xl/worksheets/sheet27.xml" Id="R5489fea273d642d3" /><Relationship Type="http://schemas.microsoft.com/office/2017/10/relationships/person" Target="/xl/persons/person.xml" Id="R9498ce4aed964a66"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b61f6c2ea4430c" /><Relationship Type="http://schemas.openxmlformats.org/officeDocument/2006/relationships/chart" Target="/xl/drawings/charts/chart2.xml" Id="R444cdc70ffa74a85" /><Relationship Type="http://schemas.openxmlformats.org/officeDocument/2006/relationships/chart" Target="/xl/drawings/charts/chart3.xml" Id="Rcef9ab7e4cfa4790" /><Relationship Type="http://schemas.openxmlformats.org/officeDocument/2006/relationships/chart" Target="/xl/drawings/charts/chart4.xml" Id="R3cbbae83dc0245b9" /></Relationships>
</file>

<file path=xl/drawings/_rels/drawing2.xml.rels>&#65279;<?xml version="1.0" encoding="utf-8"?><Relationships xmlns="http://schemas.openxmlformats.org/package/2006/relationships"><Relationship Type="http://schemas.openxmlformats.org/officeDocument/2006/relationships/chart" Target="/xl/drawings/charts/chart5.xml" Id="R49eb589a203b4507" /><Relationship Type="http://schemas.openxmlformats.org/officeDocument/2006/relationships/chart" Target="/xl/drawings/charts/chart6.xml" Id="R29b4d9e8f4944387" /></Relationships>
</file>

<file path=xl/drawings/_rels/drawing3.xml.rels>&#65279;<?xml version="1.0" encoding="utf-8"?><Relationships xmlns="http://schemas.openxmlformats.org/package/2006/relationships"><Relationship Type="http://schemas.openxmlformats.org/officeDocument/2006/relationships/chart" Target="/xl/drawings/charts/chart7.xml" Id="Rf4bd1d2dfd524ee4" /><Relationship Type="http://schemas.openxmlformats.org/officeDocument/2006/relationships/chart" Target="/xl/drawings/charts/chart8.xml" Id="Rd89b19be108b4cb8" /></Relationships>
</file>

<file path=xl/drawings/_rels/drawing4.xml.rels>&#65279;<?xml version="1.0" encoding="utf-8"?><Relationships xmlns="http://schemas.openxmlformats.org/package/2006/relationships"><Relationship Type="http://schemas.openxmlformats.org/officeDocument/2006/relationships/chart" Target="/xl/drawings/charts/chart9.xml" Id="Rf44e3229e70d4852" /><Relationship Type="http://schemas.openxmlformats.org/officeDocument/2006/relationships/chart" Target="/xl/drawings/charts/chart10.xml" Id="R581e2296a5584fba" /></Relationships>
</file>

<file path=xl/drawings/_rels/drawing5.xml.rels>&#65279;<?xml version="1.0" encoding="utf-8"?><Relationships xmlns="http://schemas.openxmlformats.org/package/2006/relationships"><Relationship Type="http://schemas.openxmlformats.org/officeDocument/2006/relationships/chart" Target="/xl/drawings/charts/chart11.xml" Id="R0c3e482d5bb54ad3" /><Relationship Type="http://schemas.openxmlformats.org/officeDocument/2006/relationships/chart" Target="/xl/drawings/charts/chart12.xml" Id="R0837972e72e04078" /><Relationship Type="http://schemas.openxmlformats.org/officeDocument/2006/relationships/chart" Target="/xl/drawings/charts/chart13.xml" Id="R24fbf70006ae44cd" /></Relationships>
</file>

<file path=xl/drawings/_rels/drawing6.xml.rels>&#65279;<?xml version="1.0" encoding="utf-8"?><Relationships xmlns="http://schemas.openxmlformats.org/package/2006/relationships"><Relationship Type="http://schemas.openxmlformats.org/officeDocument/2006/relationships/chart" Target="/xl/drawings/charts/chart14.xml" Id="R74ba86c4b0fc4b3e" /><Relationship Type="http://schemas.openxmlformats.org/officeDocument/2006/relationships/chart" Target="/xl/drawings/charts/chart15.xml" Id="R21a33b7b4e53426c" /><Relationship Type="http://schemas.openxmlformats.org/officeDocument/2006/relationships/chart" Target="/xl/drawings/charts/chart16.xml" Id="R2480d21ea6db409c" /><Relationship Type="http://schemas.openxmlformats.org/officeDocument/2006/relationships/chart" Target="/xl/drawings/charts/chart17.xml" Id="R48cc41c06a8c40a1" /></Relationships>
</file>

<file path=xl/drawings/_rels/drawing7.xml.rels>&#65279;<?xml version="1.0" encoding="utf-8"?><Relationships xmlns="http://schemas.openxmlformats.org/package/2006/relationships"><Relationship Type="http://schemas.openxmlformats.org/officeDocument/2006/relationships/chart" Target="/xl/drawings/charts/chart18.xml" Id="R54acdbea649748ed" /></Relationships>
</file>

<file path=xl/drawings/_rels/drawing8.xml.rels>&#65279;<?xml version="1.0" encoding="utf-8"?><Relationships xmlns="http://schemas.openxmlformats.org/package/2006/relationships"><Relationship Type="http://schemas.openxmlformats.org/officeDocument/2006/relationships/chart" Target="/xl/drawings/charts/chart19.xml" Id="R3e7ec8cc91394bb8" /><Relationship Type="http://schemas.openxmlformats.org/officeDocument/2006/relationships/chart" Target="/xl/drawings/charts/chart20.xml" Id="Rbfaf0e8da3c44ae4" /><Relationship Type="http://schemas.openxmlformats.org/officeDocument/2006/relationships/chart" Target="/xl/drawings/charts/chart21.xml" Id="Ra11b51f9831d407a" /><Relationship Type="http://schemas.openxmlformats.org/officeDocument/2006/relationships/chart" Target="/xl/drawings/charts/chart22.xml" Id="R9ba39d05e78741b6" /></Relationships>
</file>

<file path=xl/drawings/_rels/drawing9.xml.rels>&#65279;<?xml version="1.0" encoding="utf-8"?><Relationships xmlns="http://schemas.openxmlformats.org/package/2006/relationships"><Relationship Type="http://schemas.openxmlformats.org/officeDocument/2006/relationships/chart" Target="/xl/drawings/charts/chart23.xml" Id="Rb6c7630996a049fc" /></Relationships>
</file>

<file path=xl/drawings/_rels/drawing10.xml.rels>&#65279;<?xml version="1.0" encoding="utf-8"?><Relationships xmlns="http://schemas.openxmlformats.org/package/2006/relationships"><Relationship Type="http://schemas.openxmlformats.org/officeDocument/2006/relationships/chart" Target="/xl/drawings/charts/chart24.xml" Id="R3dbc33b72ba04d91" /></Relationships>
</file>

<file path=xl/drawings/_rels/drawing11.xml.rels>&#65279;<?xml version="1.0" encoding="utf-8"?><Relationships xmlns="http://schemas.openxmlformats.org/package/2006/relationships"><Relationship Type="http://schemas.openxmlformats.org/officeDocument/2006/relationships/chart" Target="/xl/drawings/charts/chart25.xml" Id="Rc673971c5e644073" /><Relationship Type="http://schemas.openxmlformats.org/officeDocument/2006/relationships/chart" Target="/xl/drawings/charts/chart26.xml" Id="R6a7ff080f8db46b5" /></Relationships>
</file>

<file path=xl/drawings/_rels/drawing12.xml.rels>&#65279;<?xml version="1.0" encoding="utf-8"?><Relationships xmlns="http://schemas.openxmlformats.org/package/2006/relationships"><Relationship Type="http://schemas.openxmlformats.org/officeDocument/2006/relationships/chart" Target="/xl/drawings/charts/chart27.xml" Id="R74c9471f59954bd7" /></Relationships>
</file>

<file path=xl/drawings/_rels/drawing13.xml.rels>&#65279;<?xml version="1.0" encoding="utf-8"?><Relationships xmlns="http://schemas.openxmlformats.org/package/2006/relationships"><Relationship Type="http://schemas.openxmlformats.org/officeDocument/2006/relationships/chart" Target="/xl/drawings/charts/chart28.xml" Id="R8724621f944641ac" /></Relationships>
</file>

<file path=xl/drawings/_rels/drawing14.xml.rels>&#65279;<?xml version="1.0" encoding="utf-8"?><Relationships xmlns="http://schemas.openxmlformats.org/package/2006/relationships"><Relationship Type="http://schemas.openxmlformats.org/officeDocument/2006/relationships/chart" Target="/xl/drawings/charts/chart29.xml" Id="R92e351f99db84353" /></Relationships>
</file>

<file path=xl/drawings/_rels/drawing15.xml.rels>&#65279;<?xml version="1.0" encoding="utf-8"?><Relationships xmlns="http://schemas.openxmlformats.org/package/2006/relationships"><Relationship Type="http://schemas.openxmlformats.org/officeDocument/2006/relationships/chart" Target="/xl/drawings/charts/chart30.xml" Id="R1de55d3c2bb14d5c" /></Relationships>
</file>

<file path=xl/drawings/_rels/drawing16.xml.rels>&#65279;<?xml version="1.0" encoding="utf-8"?><Relationships xmlns="http://schemas.openxmlformats.org/package/2006/relationships"><Relationship Type="http://schemas.openxmlformats.org/officeDocument/2006/relationships/chart" Target="/xl/drawings/charts/chart31.xml" Id="Rea46e387f4764188" /><Relationship Type="http://schemas.openxmlformats.org/officeDocument/2006/relationships/chart" Target="/xl/drawings/charts/chart32.xml" Id="Rac85c9e57f3847f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PL da indústria 2013–2026 YTD (R$ mm)</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'Evolucao PL'!$A$5:$A$18</c:f>
              <c:strCache>
                <c:ptCount val="0"/>
              </c:strCache>
            </c:strRef>
          </c:cat>
          <c:val>
            <c:numRef>
              <c:f>'Evolucao PL'!$B$5:$B$18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Composição do PL — Mai/26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5F5F5F"/>
            </a:solidFill>
          </c:spPr>
          <c:cat>
            <c:strRef>
              <c:f>'PL por Classe'!$L$5:$L$8</c:f>
              <c:strCache>
                <c:ptCount val="0"/>
              </c:strCache>
            </c:strRef>
          </c:cat>
          <c:val>
            <c:numRef>
              <c:f>'PL por Classe'!$M$5:$M$8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gestoras independentes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'Ranking Gestoras'!$B$15:$B$34</c:f>
              <c:strCache>
                <c:ptCount val="0"/>
              </c:strCache>
            </c:strRef>
          </c:cat>
          <c:val>
            <c:numRef>
              <c:f>'Ranking Gestoras'!$C$15:$C$34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Fundos por número de cotistas | PL &gt; R$ 200 mm</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Fundos</c:v>
          </c:tx>
          <c:spPr>
            <a:solidFill xmlns:a="http://schemas.openxmlformats.org/drawingml/2006/main">
              <a:srgbClr val="A6A6A6"/>
            </a:solidFill>
          </c:spPr>
          <c:cat>
            <c:strRef>
              <c:f>'Cotistas'!$A$7:$A$10</c:f>
              <c:strCache>
                <c:ptCount val="0"/>
              </c:strCache>
            </c:strRef>
          </c:cat>
          <c:val>
            <c:numRef>
              <c:f>'Cotistas'!$B$7:$B$10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PL da indústria — R$ milhões</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'Evolucao PL'!$A$5:$A$18</c:f>
              <c:strCache>
                <c:ptCount val="0"/>
              </c:strCache>
            </c:strRef>
          </c:cat>
          <c:val>
            <c:numRef>
              <c:f>'Evolucao PL'!$B$5:$B$18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PL mensal — Out/24 a Mai/26 (R$ bi)</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PL</c:v>
          </c:tx>
          <c:spPr>
            <a:solidFill xmlns:a="http://schemas.openxmlformats.org/drawingml/2006/main">
              <a:srgbClr val="5F5F5F"/>
            </a:solidFill>
          </c:spPr>
          <c:marker>
            <c:symbol val="none"/>
          </c:marker>
          <c:cat>
            <c:strRef>
              <c:f>'Evolucao PL'!$A$22:$A$41</c:f>
              <c:strCache>
                <c:ptCount val="0"/>
              </c:strCache>
            </c:strRef>
          </c:cat>
          <c:val>
            <c:numRef>
              <c:f>'Evolucao PL'!$C$22:$C$41</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Evolução mensal do PL por Tipo ANBIMA (R$ bi)</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Agro, Indústria e Comércio</c:v>
          </c:tx>
          <c:spPr>
            <a:solidFill xmlns:a="http://schemas.openxmlformats.org/drawingml/2006/main">
              <a:srgbClr val="1C1C1C"/>
            </a:solidFill>
          </c:spPr>
          <c:marker>
            <c:symbol val="none"/>
          </c:marker>
          <c:cat>
            <c:strRef>
              <c:f>'PL por Classe'!$A$5:$A$24</c:f>
              <c:strCache>
                <c:ptCount val="0"/>
              </c:strCache>
            </c:strRef>
          </c:cat>
          <c:val>
            <c:numRef>
              <c:f>'PL por Classe'!$B$5:$B$24</c:f>
              <c:numCache>
                <c:formatCode>0.0</c:formatCode>
                <c:ptCount val="0"/>
              </c:numCache>
            </c:numRef>
          </c:val>
        </c:ser>
        <c:ser>
          <c:idx val="1"/>
          <c:order val="1"/>
          <c:tx>
            <c:v>Financeiro</c:v>
          </c:tx>
          <c:spPr>
            <a:solidFill xmlns:a="http://schemas.openxmlformats.org/drawingml/2006/main">
              <a:srgbClr val="EC7000"/>
            </a:solidFill>
          </c:spPr>
          <c:marker>
            <c:symbol val="none"/>
          </c:marker>
          <c:cat>
            <c:strRef>
              <c:f>'PL por Classe'!$A$5:$A$24</c:f>
              <c:strCache>
                <c:ptCount val="0"/>
              </c:strCache>
            </c:strRef>
          </c:cat>
          <c:val>
            <c:numRef>
              <c:f>'PL por Classe'!$C$5:$C$24</c:f>
              <c:numCache>
                <c:formatCode>0.0</c:formatCode>
                <c:ptCount val="0"/>
              </c:numCache>
            </c:numRef>
          </c:val>
        </c:ser>
        <c:ser>
          <c:idx val="2"/>
          <c:order val="2"/>
          <c:tx>
            <c:v>Fomento Mercantil</c:v>
          </c:tx>
          <c:spPr>
            <a:solidFill xmlns:a="http://schemas.openxmlformats.org/drawingml/2006/main">
              <a:srgbClr val="7A7A7A"/>
            </a:solidFill>
          </c:spPr>
          <c:marker>
            <c:symbol val="none"/>
          </c:marker>
          <c:cat>
            <c:strRef>
              <c:f>'PL por Classe'!$A$5:$A$24</c:f>
              <c:strCache>
                <c:ptCount val="0"/>
              </c:strCache>
            </c:strRef>
          </c:cat>
          <c:val>
            <c:numRef>
              <c:f>'PL por Classe'!$D$5:$D$24</c:f>
              <c:numCache>
                <c:formatCode>0.0</c:formatCode>
                <c:ptCount val="0"/>
              </c:numCache>
            </c:numRef>
          </c:val>
        </c:ser>
        <c:ser>
          <c:idx val="3"/>
          <c:order val="3"/>
          <c:tx>
            <c:v>Outros</c:v>
          </c:tx>
          <c:spPr>
            <a:solidFill xmlns:a="http://schemas.openxmlformats.org/drawingml/2006/main">
              <a:srgbClr val="A6A6A6"/>
            </a:solidFill>
          </c:spPr>
          <c:marker>
            <c:symbol val="none"/>
          </c:marker>
          <c:cat>
            <c:strRef>
              <c:f>'PL por Classe'!$A$5:$A$24</c:f>
              <c:strCache>
                <c:ptCount val="0"/>
              </c:strCache>
            </c:strRef>
          </c:cat>
          <c:val>
            <c:numRef>
              <c:f>'PL por Classe'!$E$5:$E$24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Composição atual — Mai/26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'PL por Classe'!$L$5:$L$8</c:f>
              <c:strCache>
                <c:ptCount val="0"/>
              </c:strCache>
            </c:strRef>
          </c:cat>
          <c:val>
            <c:numRef>
              <c:f>'PL por Classe'!$M$5:$M$8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Volume mensal encerrado — Jan/25 a Mai/26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Volume</c:v>
          </c:tx>
          <c:spPr>
            <a:solidFill xmlns:a="http://schemas.openxmlformats.org/drawingml/2006/main">
              <a:srgbClr val="EC7000"/>
            </a:solidFill>
          </c:spPr>
          <c:cat>
            <c:strRef>
              <c:f>'Emissoes'!$E$5:$E$21</c:f>
              <c:strCache>
                <c:ptCount val="0"/>
              </c:strCache>
            </c:strRef>
          </c:cat>
          <c:val>
            <c:numRef>
              <c:f>'Emissoes'!$C$5:$C$21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Volume anual observado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Volume</c:v>
          </c:tx>
          <c:spPr>
            <a:solidFill xmlns:a="http://schemas.openxmlformats.org/drawingml/2006/main">
              <a:srgbClr val="1C1C1C"/>
            </a:solidFill>
          </c:spPr>
          <c:cat>
            <c:strRef>
              <c:f>'Emissoes'!$F$5:$F$7</c:f>
              <c:strCache>
                <c:ptCount val="0"/>
              </c:strCache>
            </c:strRef>
          </c:cat>
          <c:val>
            <c:numRef>
              <c:f>'Emissoes'!$G$5:$G$7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PL por classe e grupo de gestora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Independente</c:v>
          </c:tx>
          <c:spPr>
            <a:solidFill xmlns:a="http://schemas.openxmlformats.org/drawingml/2006/main">
              <a:srgbClr val="1C1C1C"/>
            </a:solidFill>
          </c:spPr>
          <c:cat>
            <c:strRef>
              <c:f>'Ranking Gestoras'!$A$5:$A$8</c:f>
              <c:strCache>
                <c:ptCount val="0"/>
              </c:strCache>
            </c:strRef>
          </c:cat>
          <c:val>
            <c:numRef>
              <c:f>'Ranking Gestoras'!$B$5:$B$8</c:f>
              <c:numCache>
                <c:formatCode>0.0</c:formatCode>
                <c:ptCount val="0"/>
              </c:numCache>
            </c:numRef>
          </c:val>
        </c:ser>
        <c:ser>
          <c:idx val="1"/>
          <c:order val="1"/>
          <c:tx>
            <c:v>Ligada a banco</c:v>
          </c:tx>
          <c:spPr>
            <a:solidFill xmlns:a="http://schemas.openxmlformats.org/drawingml/2006/main">
              <a:srgbClr val="EC7000"/>
            </a:solidFill>
          </c:spPr>
          <c:cat>
            <c:strRef>
              <c:f>'Ranking Gestoras'!$A$5:$A$8</c:f>
              <c:strCache>
                <c:ptCount val="0"/>
              </c:strCache>
            </c:strRef>
          </c:cat>
          <c:val>
            <c:numRef>
              <c:f>'Ranking Gestoras'!$C$5:$C$8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independentes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'Ranking Gestoras'!$B$13:$B$32</c:f>
              <c:strCache>
                <c:ptCount val="0"/>
              </c:strCache>
            </c:strRef>
          </c:cat>
          <c:val>
            <c:numRef>
              <c:f>'Ranking Gestoras'!$C$13:$C$32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total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'Ranking Gestoras'!$F$13:$F$32</c:f>
              <c:strCache>
                <c:ptCount val="0"/>
              </c:strCache>
            </c:strRef>
          </c:cat>
          <c:val>
            <c:numRef>
              <c:f>'Ranking Gestoras'!$G$13:$G$32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Agro, Indústria e Comércio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'Gestoras por Tipo'!$B$6:$B$20</c:f>
              <c:strCache>
                <c:ptCount val="0"/>
              </c:strCache>
            </c:strRef>
          </c:cat>
          <c:val>
            <c:numRef>
              <c:f>'Gestoras por Tipo'!$C$6:$C$20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Financeiro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'Gestoras por Tipo'!$B$27:$B$41</c:f>
              <c:strCache>
                <c:ptCount val="0"/>
              </c:strCache>
            </c:strRef>
          </c:cat>
          <c:val>
            <c:numRef>
              <c:f>'Gestoras por Tipo'!$C$27:$C$41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Fomento Mercantil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7A7A7A"/>
            </a:solidFill>
          </c:spPr>
          <c:cat>
            <c:strRef>
              <c:f>'Gestoras por Tipo'!$B$48:$B$62</c:f>
              <c:strCache>
                <c:ptCount val="0"/>
              </c:strCache>
            </c:strRef>
          </c:cat>
          <c:val>
            <c:numRef>
              <c:f>'Gestoras por Tipo'!$C$48:$C$62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Outros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A6A6A6"/>
            </a:solidFill>
          </c:spPr>
          <c:cat>
            <c:strRef>
              <c:f>'Gestoras por Tipo'!$B$69:$B$83</c:f>
              <c:strCache>
                <c:ptCount val="0"/>
              </c:strCache>
            </c:strRef>
          </c:cat>
          <c:val>
            <c:numRef>
              <c:f>'Gestoras por Tipo'!$C$69:$C$83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administradores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'Ranking Admins'!$B$5:$B$24</c:f>
              <c:strCache>
                <c:ptCount val="0"/>
              </c:strCache>
            </c:strRef>
          </c:cat>
          <c:val>
            <c:numRef>
              <c:f>'Ranking Admins'!$C$5:$C$24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Agro, Indústria e Comércio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'Admins por Tipo'!$B$6:$B$20</c:f>
              <c:strCache>
                <c:ptCount val="0"/>
              </c:strCache>
            </c:strRef>
          </c:cat>
          <c:val>
            <c:numRef>
              <c:f>'Admins por Tipo'!$C$6:$C$20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Financeiro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'Admins por Tipo'!$B$27:$B$41</c:f>
              <c:strCache>
                <c:ptCount val="0"/>
              </c:strCache>
            </c:strRef>
          </c:cat>
          <c:val>
            <c:numRef>
              <c:f>'Admins por Tipo'!$C$27:$C$41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Fomento Mercantil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7A7A7A"/>
            </a:solidFill>
          </c:spPr>
          <c:cat>
            <c:strRef>
              <c:f>'Admins por Tipo'!$B$48:$B$62</c:f>
              <c:strCache>
                <c:ptCount val="0"/>
              </c:strCache>
            </c:strRef>
          </c:cat>
          <c:val>
            <c:numRef>
              <c:f>'Admins por Tipo'!$C$48:$C$62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15 — Outros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A6A6A6"/>
            </a:solidFill>
          </c:spPr>
          <c:cat>
            <c:strRef>
              <c:f>'Admins por Tipo'!$B$69:$B$83</c:f>
              <c:strCache>
                <c:ptCount val="0"/>
              </c:strCache>
            </c:strRef>
          </c:cat>
          <c:val>
            <c:numRef>
              <c:f>'Admins por Tipo'!$C$69:$C$83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custodiantes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'Ranking Custodia'!$B$5:$B$24</c:f>
              <c:strCache>
                <c:ptCount val="0"/>
              </c:strCache>
            </c:strRef>
          </c:cat>
          <c:val>
            <c:numRef>
              <c:f>'Ranking Custodia'!$C$5:$C$24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FIDCs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'Ranking Fundos'!$B$5:$B$24</c:f>
              <c:strCache>
                <c:ptCount val="0"/>
              </c:strCache>
            </c:strRef>
          </c:cat>
          <c:val>
            <c:numRef>
              <c:f>'Ranking Fundos'!$C$5:$C$24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45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Número de fundos por faixa</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Fundos</c:v>
          </c:tx>
          <c:spPr>
            <a:solidFill xmlns:a="http://schemas.openxmlformats.org/drawingml/2006/main">
              <a:srgbClr val="A6A6A6"/>
            </a:solidFill>
          </c:spPr>
          <c:cat>
            <c:strRef>
              <c:f>'Cotistas'!$A$7:$A$10</c:f>
              <c:strCache>
                <c:ptCount val="0"/>
              </c:strCache>
            </c:strRef>
          </c:cat>
          <c:val>
            <c:numRef>
              <c:f>'Cotistas'!$B$7:$B$10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PL por faixa de cotistas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EC7000"/>
            </a:solidFill>
          </c:spPr>
          <c:cat>
            <c:strRef>
              <c:f>'Cotistas'!$A$7:$A$10</c:f>
              <c:strCache>
                <c:ptCount val="0"/>
              </c:strCache>
            </c:strRef>
          </c:cat>
          <c:val>
            <c:numRef>
              <c:f>'Cotistas'!$C$7:$C$10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Top 20 gestoras em focos Multicarteira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PL</c:v>
          </c:tx>
          <c:spPr>
            <a:solidFill xmlns:a="http://schemas.openxmlformats.org/drawingml/2006/main">
              <a:srgbClr val="1C1C1C"/>
            </a:solidFill>
          </c:spPr>
          <c:cat>
            <c:strRef>
              <c:f>'Multicarteira'!$B$8:$B$27</c:f>
              <c:strCache>
                <c:ptCount val="0"/>
              </c:strCache>
            </c:strRef>
          </c:cat>
          <c:val>
            <c:numRef>
              <c:f>'Multicarteira'!$C$8:$C$27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525"/>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Comparação das duas séries de referência — R$ bi</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IMG_8178</c:v>
          </c:tx>
          <c:spPr>
            <a:solidFill xmlns:a="http://schemas.openxmlformats.org/drawingml/2006/main">
              <a:srgbClr val="1C1C1C"/>
            </a:solidFill>
          </c:spPr>
          <c:marker>
            <c:symbol val="none"/>
          </c:marker>
          <c:cat>
            <c:strRef>
              <c:f>'Comparacao Ref'!$A$6:$A$16</c:f>
              <c:strCache>
                <c:ptCount val="0"/>
              </c:strCache>
            </c:strRef>
          </c:cat>
          <c:val>
            <c:numRef>
              <c:f>'Comparacao Ref'!$B$6:$B$16</c:f>
              <c:numCache>
                <c:formatCode>0.0</c:formatCode>
                <c:ptCount val="0"/>
              </c:numCache>
            </c:numRef>
          </c:val>
        </c:ser>
        <c:ser>
          <c:idx val="1"/>
          <c:order val="1"/>
          <c:tx>
            <c:v>IMG_8177</c:v>
          </c:tx>
          <c:spPr>
            <a:solidFill xmlns:a="http://schemas.openxmlformats.org/drawingml/2006/main">
              <a:srgbClr val="EC7000"/>
            </a:solidFill>
          </c:spPr>
          <c:marker>
            <c:symbol val="none"/>
          </c:marker>
          <c:cat>
            <c:strRef>
              <c:f>'Comparacao Ref'!$A$6:$A$16</c:f>
              <c:strCache>
                <c:ptCount val="0"/>
              </c:strCache>
            </c:strRef>
          </c:cat>
          <c:val>
            <c:numRef>
              <c:f>'Comparacao Ref'!$C$6:$C$16</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Evolução do PL dos líderes — R$ bi</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Oliveira Trust</c:v>
          </c:tx>
          <c:spPr>
            <a:solidFill xmlns:a="http://schemas.openxmlformats.org/drawingml/2006/main">
              <a:srgbClr val="EC7000"/>
            </a:solidFill>
          </c:spPr>
          <c:marker>
            <c:symbol val="none"/>
          </c:marker>
          <c:cat>
            <c:strRef>
              <c:f>'Historico Gestores'!$P$5:$R$5</c:f>
              <c:strCache>
                <c:ptCount val="0"/>
              </c:strCache>
            </c:strRef>
          </c:cat>
          <c:val>
            <c:numRef>
              <c:f>'Historico Gestores'!$P$6:$R$6</c:f>
              <c:numCache>
                <c:formatCode>0.0</c:formatCode>
                <c:ptCount val="0"/>
              </c:numCache>
            </c:numRef>
          </c:val>
        </c:ser>
        <c:ser>
          <c:idx val="1"/>
          <c:order val="1"/>
          <c:tx>
            <c:v>Banco do Brasil</c:v>
          </c:tx>
          <c:spPr>
            <a:solidFill xmlns:a="http://schemas.openxmlformats.org/drawingml/2006/main">
              <a:srgbClr val="1C1C1C"/>
            </a:solidFill>
          </c:spPr>
          <c:marker>
            <c:symbol val="none"/>
          </c:marker>
          <c:cat>
            <c:strRef>
              <c:f>'Historico Gestores'!$P$5:$R$5</c:f>
              <c:strCache>
                <c:ptCount val="0"/>
              </c:strCache>
            </c:strRef>
          </c:cat>
          <c:val>
            <c:numRef>
              <c:f>'Historico Gestores'!$P$7:$R$7</c:f>
              <c:numCache>
                <c:formatCode>0.0</c:formatCode>
                <c:ptCount val="0"/>
              </c:numCache>
            </c:numRef>
          </c:val>
        </c:ser>
        <c:ser>
          <c:idx val="2"/>
          <c:order val="2"/>
          <c:tx>
            <c:v>BTG Pactual</c:v>
          </c:tx>
          <c:spPr>
            <a:solidFill xmlns:a="http://schemas.openxmlformats.org/drawingml/2006/main">
              <a:srgbClr val="5F5F5F"/>
            </a:solidFill>
          </c:spPr>
          <c:marker>
            <c:symbol val="none"/>
          </c:marker>
          <c:cat>
            <c:strRef>
              <c:f>'Historico Gestores'!$P$5:$R$5</c:f>
              <c:strCache>
                <c:ptCount val="0"/>
              </c:strCache>
            </c:strRef>
          </c:cat>
          <c:val>
            <c:numRef>
              <c:f>'Historico Gestores'!$P$8:$R$8</c:f>
              <c:numCache>
                <c:formatCode>0.0</c:formatCode>
                <c:ptCount val="0"/>
              </c:numCache>
            </c:numRef>
          </c:val>
        </c:ser>
        <c:ser>
          <c:idx val="3"/>
          <c:order val="3"/>
          <c:tx>
            <c:v>Bradesco</c:v>
          </c:tx>
          <c:spPr>
            <a:solidFill xmlns:a="http://schemas.openxmlformats.org/drawingml/2006/main">
              <a:srgbClr val="7A7A7A"/>
            </a:solidFill>
          </c:spPr>
          <c:marker>
            <c:symbol val="none"/>
          </c:marker>
          <c:cat>
            <c:strRef>
              <c:f>'Historico Gestores'!$P$5:$R$5</c:f>
              <c:strCache>
                <c:ptCount val="0"/>
              </c:strCache>
            </c:strRef>
          </c:cat>
          <c:val>
            <c:numRef>
              <c:f>'Historico Gestores'!$P$9:$R$9</c:f>
              <c:numCache>
                <c:formatCode>0.0</c:formatCode>
                <c:ptCount val="0"/>
              </c:numCache>
            </c:numRef>
          </c:val>
        </c:ser>
        <c:ser>
          <c:idx val="4"/>
          <c:order val="4"/>
          <c:tx>
            <c:v>Banco Genial</c:v>
          </c:tx>
          <c:spPr>
            <a:solidFill xmlns:a="http://schemas.openxmlformats.org/drawingml/2006/main">
              <a:srgbClr val="A6A6A6"/>
            </a:solidFill>
          </c:spPr>
          <c:marker>
            <c:symbol val="none"/>
          </c:marker>
          <c:cat>
            <c:strRef>
              <c:f>'Historico Gestores'!$P$5:$R$5</c:f>
              <c:strCache>
                <c:ptCount val="0"/>
              </c:strCache>
            </c:strRef>
          </c:cat>
          <c:val>
            <c:numRef>
              <c:f>'Historico Gestores'!$P$10:$R$10</c:f>
              <c:numCache>
                <c:formatCode>0.0</c:formatCode>
                <c:ptCount val="0"/>
              </c:numCache>
            </c:numRef>
          </c:val>
        </c:ser>
        <c:ser>
          <c:idx val="5"/>
          <c:order val="5"/>
          <c:tx>
            <c:v>TERCON ASSET MANAGEMENT</c:v>
          </c:tx>
          <c:spPr>
            <a:solidFill xmlns:a="http://schemas.openxmlformats.org/drawingml/2006/main">
              <a:srgbClr val="4A4A4A"/>
            </a:solidFill>
          </c:spPr>
          <c:marker>
            <c:symbol val="none"/>
          </c:marker>
          <c:cat>
            <c:strRef>
              <c:f>'Historico Gestores'!$P$5:$R$5</c:f>
              <c:strCache>
                <c:ptCount val="0"/>
              </c:strCache>
            </c:strRef>
          </c:cat>
          <c:val>
            <c:numRef>
              <c:f>'Historico Gestores'!$P$11:$R$11</c:f>
              <c:numCache>
                <c:formatCode>0.0</c:formatCode>
                <c:ptCount val="0"/>
              </c:numCache>
            </c:numRef>
          </c:val>
        </c:ser>
        <c:ser>
          <c:idx val="6"/>
          <c:order val="6"/>
          <c:tx>
            <c:v>Itaú Unibanco</c:v>
          </c:tx>
          <c:spPr>
            <a:solidFill xmlns:a="http://schemas.openxmlformats.org/drawingml/2006/main">
              <a:srgbClr val="8A8A8A"/>
            </a:solidFill>
          </c:spPr>
          <c:marker>
            <c:symbol val="none"/>
          </c:marker>
          <c:cat>
            <c:strRef>
              <c:f>'Historico Gestores'!$P$5:$R$5</c:f>
              <c:strCache>
                <c:ptCount val="0"/>
              </c:strCache>
            </c:strRef>
          </c:cat>
          <c:val>
            <c:numRef>
              <c:f>'Historico Gestores'!$P$12:$R$12</c:f>
              <c:numCache>
                <c:formatCode>0.0</c:formatCode>
                <c:ptCount val="0"/>
              </c:numCache>
            </c:numRef>
          </c:val>
        </c:ser>
        <c:ser>
          <c:idx val="7"/>
          <c:order val="7"/>
          <c:tx>
            <c:v>Integral Investimentos</c:v>
          </c:tx>
          <c:spPr>
            <a:solidFill xmlns:a="http://schemas.openxmlformats.org/drawingml/2006/main">
              <a:srgbClr val="B0B0B0"/>
            </a:solidFill>
          </c:spPr>
          <c:marker>
            <c:symbol val="none"/>
          </c:marker>
          <c:cat>
            <c:strRef>
              <c:f>'Historico Gestores'!$P$5:$R$5</c:f>
              <c:strCache>
                <c:ptCount val="0"/>
              </c:strCache>
            </c:strRef>
          </c:cat>
          <c:val>
            <c:numRef>
              <c:f>'Historico Gestores'!$P$13:$R$13</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Evolução do PL dos líderes — R$ bi</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QI / Singulare</c:v>
          </c:tx>
          <c:spPr>
            <a:solidFill xmlns:a="http://schemas.openxmlformats.org/drawingml/2006/main">
              <a:srgbClr val="EC7000"/>
            </a:solidFill>
          </c:spPr>
          <c:marker>
            <c:symbol val="none"/>
          </c:marker>
          <c:cat>
            <c:strRef>
              <c:f>'Historico Admins'!$P$5:$R$5</c:f>
              <c:strCache>
                <c:ptCount val="0"/>
              </c:strCache>
            </c:strRef>
          </c:cat>
          <c:val>
            <c:numRef>
              <c:f>'Historico Admins'!$P$6:$R$6</c:f>
              <c:numCache>
                <c:formatCode>0.0</c:formatCode>
                <c:ptCount val="0"/>
              </c:numCache>
            </c:numRef>
          </c:val>
        </c:ser>
        <c:ser>
          <c:idx val="1"/>
          <c:order val="1"/>
          <c:tx>
            <c:v>Oliveira Trust</c:v>
          </c:tx>
          <c:spPr>
            <a:solidFill xmlns:a="http://schemas.openxmlformats.org/drawingml/2006/main">
              <a:srgbClr val="1C1C1C"/>
            </a:solidFill>
          </c:spPr>
          <c:marker>
            <c:symbol val="none"/>
          </c:marker>
          <c:cat>
            <c:strRef>
              <c:f>'Historico Admins'!$P$5:$R$5</c:f>
              <c:strCache>
                <c:ptCount val="0"/>
              </c:strCache>
            </c:strRef>
          </c:cat>
          <c:val>
            <c:numRef>
              <c:f>'Historico Admins'!$P$7:$R$7</c:f>
              <c:numCache>
                <c:formatCode>0.0</c:formatCode>
                <c:ptCount val="0"/>
              </c:numCache>
            </c:numRef>
          </c:val>
        </c:ser>
        <c:ser>
          <c:idx val="2"/>
          <c:order val="2"/>
          <c:tx>
            <c:v>BTG Pactual</c:v>
          </c:tx>
          <c:spPr>
            <a:solidFill xmlns:a="http://schemas.openxmlformats.org/drawingml/2006/main">
              <a:srgbClr val="5F5F5F"/>
            </a:solidFill>
          </c:spPr>
          <c:marker>
            <c:symbol val="none"/>
          </c:marker>
          <c:cat>
            <c:strRef>
              <c:f>'Historico Admins'!$P$5:$R$5</c:f>
              <c:strCache>
                <c:ptCount val="0"/>
              </c:strCache>
            </c:strRef>
          </c:cat>
          <c:val>
            <c:numRef>
              <c:f>'Historico Admins'!$P$8:$R$8</c:f>
              <c:numCache>
                <c:formatCode>0.0</c:formatCode>
                <c:ptCount val="0"/>
              </c:numCache>
            </c:numRef>
          </c:val>
        </c:ser>
        <c:ser>
          <c:idx val="3"/>
          <c:order val="3"/>
          <c:tx>
            <c:v>Banco do Brasil</c:v>
          </c:tx>
          <c:spPr>
            <a:solidFill xmlns:a="http://schemas.openxmlformats.org/drawingml/2006/main">
              <a:srgbClr val="7A7A7A"/>
            </a:solidFill>
          </c:spPr>
          <c:marker>
            <c:symbol val="none"/>
          </c:marker>
          <c:cat>
            <c:strRef>
              <c:f>'Historico Admins'!$P$5:$R$5</c:f>
              <c:strCache>
                <c:ptCount val="0"/>
              </c:strCache>
            </c:strRef>
          </c:cat>
          <c:val>
            <c:numRef>
              <c:f>'Historico Admins'!$P$9:$R$9</c:f>
              <c:numCache>
                <c:formatCode>0.0</c:formatCode>
                <c:ptCount val="0"/>
              </c:numCache>
            </c:numRef>
          </c:val>
        </c:ser>
        <c:ser>
          <c:idx val="4"/>
          <c:order val="4"/>
          <c:tx>
            <c:v>Bradesco</c:v>
          </c:tx>
          <c:spPr>
            <a:solidFill xmlns:a="http://schemas.openxmlformats.org/drawingml/2006/main">
              <a:srgbClr val="A6A6A6"/>
            </a:solidFill>
          </c:spPr>
          <c:marker>
            <c:symbol val="none"/>
          </c:marker>
          <c:cat>
            <c:strRef>
              <c:f>'Historico Admins'!$P$5:$R$5</c:f>
              <c:strCache>
                <c:ptCount val="0"/>
              </c:strCache>
            </c:strRef>
          </c:cat>
          <c:val>
            <c:numRef>
              <c:f>'Historico Admins'!$P$10:$R$10</c:f>
              <c:numCache>
                <c:formatCode>0.0</c:formatCode>
                <c:ptCount val="0"/>
              </c:numCache>
            </c:numRef>
          </c:val>
        </c:ser>
        <c:ser>
          <c:idx val="5"/>
          <c:order val="5"/>
          <c:tx>
            <c:v>Banco Daycoval</c:v>
          </c:tx>
          <c:spPr>
            <a:solidFill xmlns:a="http://schemas.openxmlformats.org/drawingml/2006/main">
              <a:srgbClr val="4A4A4A"/>
            </a:solidFill>
          </c:spPr>
          <c:marker>
            <c:symbol val="none"/>
          </c:marker>
          <c:cat>
            <c:strRef>
              <c:f>'Historico Admins'!$P$5:$R$5</c:f>
              <c:strCache>
                <c:ptCount val="0"/>
              </c:strCache>
            </c:strRef>
          </c:cat>
          <c:val>
            <c:numRef>
              <c:f>'Historico Admins'!$P$11:$R$11</c:f>
              <c:numCache>
                <c:formatCode>0.0</c:formatCode>
                <c:ptCount val="0"/>
              </c:numCache>
            </c:numRef>
          </c:val>
        </c:ser>
        <c:ser>
          <c:idx val="6"/>
          <c:order val="6"/>
          <c:tx>
            <c:v>Banco Genial</c:v>
          </c:tx>
          <c:spPr>
            <a:solidFill xmlns:a="http://schemas.openxmlformats.org/drawingml/2006/main">
              <a:srgbClr val="8A8A8A"/>
            </a:solidFill>
          </c:spPr>
          <c:marker>
            <c:symbol val="none"/>
          </c:marker>
          <c:cat>
            <c:strRef>
              <c:f>'Historico Admins'!$P$5:$R$5</c:f>
              <c:strCache>
                <c:ptCount val="0"/>
              </c:strCache>
            </c:strRef>
          </c:cat>
          <c:val>
            <c:numRef>
              <c:f>'Historico Admins'!$P$12:$R$12</c:f>
              <c:numCache>
                <c:formatCode>0.0</c:formatCode>
                <c:ptCount val="0"/>
              </c:numCache>
            </c:numRef>
          </c:val>
        </c:ser>
        <c:ser>
          <c:idx val="7"/>
          <c:order val="7"/>
          <c:tx>
            <c:v>Itaú Unibanco</c:v>
          </c:tx>
          <c:spPr>
            <a:solidFill xmlns:a="http://schemas.openxmlformats.org/drawingml/2006/main">
              <a:srgbClr val="B0B0B0"/>
            </a:solidFill>
          </c:spPr>
          <c:marker>
            <c:symbol val="none"/>
          </c:marker>
          <c:cat>
            <c:strRef>
              <c:f>'Historico Admins'!$P$5:$R$5</c:f>
              <c:strCache>
                <c:ptCount val="0"/>
              </c:strCache>
            </c:strRef>
          </c:cat>
          <c:val>
            <c:numRef>
              <c:f>'Historico Admins'!$P$13:$R$13</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Δ PL mensal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Δ PL</c:v>
          </c:tx>
          <c:spPr>
            <a:solidFill xmlns:a="http://schemas.openxmlformats.org/drawingml/2006/main">
              <a:srgbClr val="EC7000"/>
            </a:solidFill>
          </c:spPr>
          <c:cat>
            <c:strRef>
              <c:f>'Fluxos IME'!$H$5:$H$33</c:f>
              <c:strCache>
                <c:ptCount val="0"/>
              </c:strCache>
            </c:strRef>
          </c:cat>
          <c:val>
            <c:numRef>
              <c:f>'Fluxos IME'!$C$5:$C$33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Captação líquida mensal — R$ bi</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Captação líquida</c:v>
          </c:tx>
          <c:spPr>
            <a:solidFill xmlns:a="http://schemas.openxmlformats.org/drawingml/2006/main">
              <a:srgbClr val="1C1C1C"/>
            </a:solidFill>
          </c:spPr>
          <c:cat>
            <c:strRef>
              <c:f>'Fluxos IME'!$H$5:$H$33</c:f>
              <c:strCache>
                <c:ptCount val="0"/>
              </c:strCache>
            </c:strRef>
          </c:cat>
          <c:val>
            <c:numRef>
              <c:f>'Fluxos IME'!$D$5:$D$33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a:solidFill>
                <a:srgbClr val="E5E7EB"/>
              </a:solidFill>
              <a:prstDash val="solid"/>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9</xdr:row>
      <xdr:rowOff>0</xdr:rowOff>
    </xdr:from>
    <xdr:to>
      <xdr:col>7</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b61f6c2ea4430c"/>
        </a:graphicData>
      </a:graphic>
    </xdr:graphicFrame>
    <xdr:clientData/>
  </xdr:twoCellAnchor>
  <xdr:twoCellAnchor>
    <xdr:from>
      <xdr:col>7</xdr:col>
      <xdr:colOff>0</xdr:colOff>
      <xdr:row>9</xdr:row>
      <xdr:rowOff>0</xdr:rowOff>
    </xdr:from>
    <xdr:to>
      <xdr:col>14</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4cdc70ffa74a85"/>
        </a:graphicData>
      </a:graphic>
    </xdr:graphicFrame>
    <xdr:clientData/>
  </xdr:twoCellAnchor>
  <xdr:twoCellAnchor>
    <xdr:from>
      <xdr:col>0</xdr:col>
      <xdr:colOff>0</xdr:colOff>
      <xdr:row>30</xdr:row>
      <xdr:rowOff>0</xdr:rowOff>
    </xdr:from>
    <xdr:to>
      <xdr:col>7</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f9ab7e4cfa4790"/>
        </a:graphicData>
      </a:graphic>
    </xdr:graphicFrame>
    <xdr:clientData/>
  </xdr:twoCellAnchor>
  <xdr:twoCellAnchor>
    <xdr:from>
      <xdr:col>7</xdr:col>
      <xdr:colOff>0</xdr:colOff>
      <xdr:row>30</xdr:row>
      <xdr:rowOff>0</xdr:rowOff>
    </xdr:from>
    <xdr:to>
      <xdr:col>14</xdr:col>
      <xdr:colOff>0</xdr:colOff>
      <xdr:row>52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bbae83dc0245b9"/>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10</xdr:row>
      <xdr:rowOff>0</xdr:rowOff>
    </xdr:from>
    <xdr:to>
      <xdr:col>14</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eb589a203b4507"/>
        </a:graphicData>
      </a:graphic>
    </xdr:graphicFrame>
    <xdr:clientData/>
  </xdr:twoCellAnchor>
  <xdr:twoCellAnchor>
    <xdr:from>
      <xdr:col>5</xdr:col>
      <xdr:colOff>0</xdr:colOff>
      <xdr:row>28</xdr:row>
      <xdr:rowOff>0</xdr:rowOff>
    </xdr:from>
    <xdr:to>
      <xdr:col>14</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b4d9e8f4944387"/>
        </a:graphicData>
      </a:graphic>
    </xdr:graphicFrame>
    <xdr:clientData/>
  </xdr:twoCellAnchor>
</xdr:wsDr>
</file>

<file path=xl/drawings/drawing3.xml><?xml version="1.0" encoding="utf-8"?>
<xdr:wsDr xmlns:xdr="http://schemas.openxmlformats.org/drawingml/2006/spreadsheetDrawing">
  <xdr:twoCellAnchor>
    <xdr:from>
      <xdr:col>14</xdr:col>
      <xdr:colOff>0</xdr:colOff>
      <xdr:row>3</xdr:row>
      <xdr:rowOff>0</xdr:rowOff>
    </xdr:from>
    <xdr:to>
      <xdr:col>23</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bd1d2dfd524ee4"/>
        </a:graphicData>
      </a:graphic>
    </xdr:graphicFrame>
    <xdr:clientData/>
  </xdr:twoCellAnchor>
  <xdr:twoCellAnchor>
    <xdr:from>
      <xdr:col>14</xdr:col>
      <xdr:colOff>0</xdr:colOff>
      <xdr:row>23</xdr:row>
      <xdr:rowOff>0</xdr:rowOff>
    </xdr:from>
    <xdr:to>
      <xdr:col>23</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9b19be108b4cb8"/>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8</xdr:row>
      <xdr:rowOff>0</xdr:rowOff>
    </xdr:from>
    <xdr:to>
      <xdr:col>14</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4e3229e70d4852"/>
        </a:graphicData>
      </a:graphic>
    </xdr:graphicFrame>
    <xdr:clientData/>
  </xdr:twoCellAnchor>
  <xdr:twoCellAnchor>
    <xdr:from>
      <xdr:col>5</xdr:col>
      <xdr:colOff>0</xdr:colOff>
      <xdr:row>27</xdr:row>
      <xdr:rowOff>0</xdr:rowOff>
    </xdr:from>
    <xdr:to>
      <xdr:col>14</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1e2296a5584fba"/>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3e482d5bb54ad3"/>
        </a:graphicData>
      </a:graphic>
    </xdr:graphicFrame>
    <xdr:clientData/>
  </xdr:twoCellAnchor>
  <xdr:twoCellAnchor>
    <xdr:from>
      <xdr:col>0</xdr:col>
      <xdr:colOff>0</xdr:colOff>
      <xdr:row>39</xdr:row>
      <xdr:rowOff>0</xdr:rowOff>
    </xdr:from>
    <xdr:to>
      <xdr:col>7</xdr:col>
      <xdr:colOff>0</xdr:colOff>
      <xdr:row>61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37972e72e04078"/>
        </a:graphicData>
      </a:graphic>
    </xdr:graphicFrame>
    <xdr:clientData/>
  </xdr:twoCellAnchor>
  <xdr:twoCellAnchor>
    <xdr:from>
      <xdr:col>7</xdr:col>
      <xdr:colOff>0</xdr:colOff>
      <xdr:row>39</xdr:row>
      <xdr:rowOff>0</xdr:rowOff>
    </xdr:from>
    <xdr:to>
      <xdr:col>14</xdr:col>
      <xdr:colOff>0</xdr:colOff>
      <xdr:row>61</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fbf70006ae44cd"/>
        </a:graphicData>
      </a:graphic>
    </xdr:graphicFrame>
    <xdr:clientData/>
  </xdr:twoCellAnchor>
</xdr:wsDr>
</file>

<file path=xl/drawings/drawing6.xml><?xml version="1.0" encoding="utf-8"?>
<xdr:wsDr xmlns:xdr="http://schemas.openxmlformats.org/drawingml/2006/spreadsheetDrawing">
  <xdr:twoCellAnchor>
    <xdr:from>
      <xdr:col>4</xdr:col>
      <xdr:colOff>0</xdr:colOff>
      <xdr:row>4</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ba86c4b0fc4b3e"/>
        </a:graphicData>
      </a:graphic>
    </xdr:graphicFrame>
    <xdr:clientData/>
  </xdr:twoCellAnchor>
  <xdr:twoCellAnchor>
    <xdr:from>
      <xdr:col>4</xdr:col>
      <xdr:colOff>0</xdr:colOff>
      <xdr:row>25</xdr:row>
      <xdr:rowOff>0</xdr:rowOff>
    </xdr:from>
    <xdr:to>
      <xdr:col>14</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a33b7b4e53426c"/>
        </a:graphicData>
      </a:graphic>
    </xdr:graphicFrame>
    <xdr:clientData/>
  </xdr:twoCellAnchor>
  <xdr:twoCellAnchor>
    <xdr:from>
      <xdr:col>4</xdr:col>
      <xdr:colOff>0</xdr:colOff>
      <xdr:row>46</xdr:row>
      <xdr:rowOff>0</xdr:rowOff>
    </xdr:from>
    <xdr:to>
      <xdr:col>14</xdr:col>
      <xdr:colOff>0</xdr:colOff>
      <xdr:row>64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80d21ea6db409c"/>
        </a:graphicData>
      </a:graphic>
    </xdr:graphicFrame>
    <xdr:clientData/>
  </xdr:twoCellAnchor>
  <xdr:twoCellAnchor>
    <xdr:from>
      <xdr:col>4</xdr:col>
      <xdr:colOff>0</xdr:colOff>
      <xdr:row>67</xdr:row>
      <xdr:rowOff>0</xdr:rowOff>
    </xdr:from>
    <xdr:to>
      <xdr:col>14</xdr:col>
      <xdr:colOff>0</xdr:colOff>
      <xdr:row>85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cc41c06a8c40a1"/>
        </a:graphicData>
      </a:graphic>
    </xdr:graphicFrame>
    <xdr:clientData/>
  </xdr:twoCellAnchor>
</xdr:wsDr>
</file>

<file path=xl/drawings/drawing7.xml><?xml version="1.0" encoding="utf-8"?>
<xdr:wsDr xmlns:xdr="http://schemas.openxmlformats.org/drawingml/2006/spreadsheetDrawing">
  <xdr:twoCellAnchor>
    <xdr:from>
      <xdr:col>6</xdr:col>
      <xdr:colOff>0</xdr:colOff>
      <xdr:row>3</xdr:row>
      <xdr:rowOff>0</xdr:rowOff>
    </xdr:from>
    <xdr:to>
      <xdr:col>14</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acdbea649748ed"/>
        </a:graphicData>
      </a:graphic>
    </xdr:graphicFrame>
    <xdr:clientData/>
  </xdr:twoCellAnchor>
</xdr:wsDr>
</file>

<file path=xl/drawings/drawing8.xml><?xml version="1.0" encoding="utf-8"?>
<xdr:wsDr xmlns:xdr="http://schemas.openxmlformats.org/drawingml/2006/spreadsheetDrawing">
  <xdr:twoCellAnchor>
    <xdr:from>
      <xdr:col>4</xdr:col>
      <xdr:colOff>0</xdr:colOff>
      <xdr:row>4</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7ec8cc91394bb8"/>
        </a:graphicData>
      </a:graphic>
    </xdr:graphicFrame>
    <xdr:clientData/>
  </xdr:twoCellAnchor>
  <xdr:twoCellAnchor>
    <xdr:from>
      <xdr:col>4</xdr:col>
      <xdr:colOff>0</xdr:colOff>
      <xdr:row>25</xdr:row>
      <xdr:rowOff>0</xdr:rowOff>
    </xdr:from>
    <xdr:to>
      <xdr:col>14</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af0e8da3c44ae4"/>
        </a:graphicData>
      </a:graphic>
    </xdr:graphicFrame>
    <xdr:clientData/>
  </xdr:twoCellAnchor>
  <xdr:twoCellAnchor>
    <xdr:from>
      <xdr:col>4</xdr:col>
      <xdr:colOff>0</xdr:colOff>
      <xdr:row>46</xdr:row>
      <xdr:rowOff>0</xdr:rowOff>
    </xdr:from>
    <xdr:to>
      <xdr:col>14</xdr:col>
      <xdr:colOff>0</xdr:colOff>
      <xdr:row>64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1b51f9831d407a"/>
        </a:graphicData>
      </a:graphic>
    </xdr:graphicFrame>
    <xdr:clientData/>
  </xdr:twoCellAnchor>
  <xdr:twoCellAnchor>
    <xdr:from>
      <xdr:col>4</xdr:col>
      <xdr:colOff>0</xdr:colOff>
      <xdr:row>67</xdr:row>
      <xdr:rowOff>0</xdr:rowOff>
    </xdr:from>
    <xdr:to>
      <xdr:col>14</xdr:col>
      <xdr:colOff>0</xdr:colOff>
      <xdr:row>85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a39d05e78741b6"/>
        </a:graphicData>
      </a:graphic>
    </xdr:graphicFrame>
    <xdr:clientData/>
  </xdr:twoCellAnchor>
</xdr:wsDr>
</file>

<file path=xl/drawings/drawing9.xml><?xml version="1.0" encoding="utf-8"?>
<xdr:wsDr xmlns:xdr="http://schemas.openxmlformats.org/drawingml/2006/spreadsheetDrawing">
  <xdr:twoCellAnchor>
    <xdr:from>
      <xdr:col>5</xdr:col>
      <xdr:colOff>0</xdr:colOff>
      <xdr:row>3</xdr:row>
      <xdr:rowOff>0</xdr:rowOff>
    </xdr:from>
    <xdr:to>
      <xdr:col>14</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c7630996a049fc"/>
        </a:graphicData>
      </a:graphic>
    </xdr:graphicFrame>
    <xdr:clientData/>
  </xdr:twoCellAnchor>
</xdr:wsDr>
</file>

<file path=xl/drawings/drawing10.xml><?xml version="1.0" encoding="utf-8"?>
<xdr:wsDr xmlns:xdr="http://schemas.openxmlformats.org/drawingml/2006/spreadsheetDrawing">
  <xdr:twoCellAnchor>
    <xdr:from>
      <xdr:col>11</xdr:col>
      <xdr:colOff>0</xdr:colOff>
      <xdr:row>3</xdr:row>
      <xdr:rowOff>0</xdr:rowOff>
    </xdr:from>
    <xdr:to>
      <xdr:col>20</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bc33b72ba04d91"/>
        </a:graphicData>
      </a:graphic>
    </xdr:graphicFrame>
    <xdr:clientData/>
  </xdr:twoCellAnchor>
</xdr:wsDr>
</file>

<file path=xl/drawings/drawing11.xml><?xml version="1.0" encoding="utf-8"?>
<xdr:wsDr xmlns:xdr="http://schemas.openxmlformats.org/drawingml/2006/spreadsheetDrawing">
  <xdr:twoCellAnchor>
    <xdr:from>
      <xdr:col>4</xdr:col>
      <xdr:colOff>0</xdr:colOff>
      <xdr:row>5</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73971c5e644073"/>
        </a:graphicData>
      </a:graphic>
    </xdr:graphicFrame>
    <xdr:clientData/>
  </xdr:twoCellAnchor>
  <xdr:twoCellAnchor>
    <xdr:from>
      <xdr:col>4</xdr:col>
      <xdr:colOff>0</xdr:colOff>
      <xdr:row>24</xdr:row>
      <xdr:rowOff>0</xdr:rowOff>
    </xdr:from>
    <xdr:to>
      <xdr:col>13</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7ff080f8db46b5"/>
        </a:graphicData>
      </a:graphic>
    </xdr:graphicFrame>
    <xdr:clientData/>
  </xdr:twoCellAnchor>
</xdr:wsDr>
</file>

<file path=xl/drawings/drawing12.xml><?xml version="1.0" encoding="utf-8"?>
<xdr:wsDr xmlns:xdr="http://schemas.openxmlformats.org/drawingml/2006/spreadsheetDrawing">
  <xdr:twoCellAnchor>
    <xdr:from>
      <xdr:col>10</xdr:col>
      <xdr:colOff>0</xdr:colOff>
      <xdr:row>6</xdr:row>
      <xdr:rowOff>0</xdr:rowOff>
    </xdr:from>
    <xdr:to>
      <xdr:col>19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c9471f59954bd7"/>
        </a:graphicData>
      </a:graphic>
    </xdr:graphicFrame>
    <xdr:clientData/>
  </xdr:twoCellAnchor>
</xdr:wsDr>
</file>

<file path=xl/drawings/drawing13.xml><?xml version="1.0" encoding="utf-8"?>
<xdr:wsDr xmlns:xdr="http://schemas.openxmlformats.org/drawingml/2006/spreadsheetDrawing">
  <xdr:twoCellAnchor>
    <xdr:from>
      <xdr:col>0</xdr:col>
      <xdr:colOff>0</xdr:colOff>
      <xdr:row>18</xdr:row>
      <xdr:rowOff>0</xdr:rowOff>
    </xdr:from>
    <xdr:to>
      <xdr:col>7</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24621f944641ac"/>
        </a:graphicData>
      </a:graphic>
    </xdr:graphicFrame>
    <xdr:clientData/>
  </xdr:twoCellAnchor>
</xdr:wsDr>
</file>

<file path=xl/drawings/drawing14.xml><?xml version="1.0" encoding="utf-8"?>
<xdr:wsDr xmlns:xdr="http://schemas.openxmlformats.org/drawingml/2006/spreadsheetDrawing">
  <xdr:twoCellAnchor>
    <xdr:from>
      <xdr:col>14</xdr:col>
      <xdr:colOff>0</xdr:colOff>
      <xdr:row>14</xdr:row>
      <xdr:rowOff>0</xdr:rowOff>
    </xdr:from>
    <xdr:to>
      <xdr:col>23</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e351f99db84353"/>
        </a:graphicData>
      </a:graphic>
    </xdr:graphicFrame>
    <xdr:clientData/>
  </xdr:twoCellAnchor>
</xdr:wsDr>
</file>

<file path=xl/drawings/drawing15.xml><?xml version="1.0" encoding="utf-8"?>
<xdr:wsDr xmlns:xdr="http://schemas.openxmlformats.org/drawingml/2006/spreadsheetDrawing">
  <xdr:twoCellAnchor>
    <xdr:from>
      <xdr:col>14</xdr:col>
      <xdr:colOff>0</xdr:colOff>
      <xdr:row>14</xdr:row>
      <xdr:rowOff>0</xdr:rowOff>
    </xdr:from>
    <xdr:to>
      <xdr:col>23</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e55d3c2bb14d5c"/>
        </a:graphicData>
      </a:graphic>
    </xdr:graphicFrame>
    <xdr:clientData/>
  </xdr:twoCellAnchor>
</xdr:wsDr>
</file>

<file path=xl/drawings/drawing16.xml><?xml version="1.0" encoding="utf-8"?>
<xdr:wsDr xmlns:xdr="http://schemas.openxmlformats.org/drawingml/2006/spreadsheetDrawing">
  <xdr:twoCellAnchor>
    <xdr:from>
      <xdr:col>8</xdr:col>
      <xdr:colOff>0</xdr:colOff>
      <xdr:row>3</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46e387f4764188"/>
        </a:graphicData>
      </a:graphic>
    </xdr:graphicFrame>
    <xdr:clientData/>
  </xdr:twoCellAnchor>
  <xdr:twoCellAnchor>
    <xdr:from>
      <xdr:col>8</xdr:col>
      <xdr:colOff>0</xdr:colOff>
      <xdr:row>21</xdr:row>
      <xdr:rowOff>0</xdr:rowOff>
    </xdr:from>
    <xdr:to>
      <xdr:col>17</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85c9e57f3847f3"/>
        </a:graphicData>
      </a:graphic>
    </xdr:graphicFrame>
    <xdr:clientData/>
  </xdr:twoCellAnchor>
</xdr:wsDr>
</file>

<file path=xl/persons/person.xml><?xml version="1.0" encoding="utf-8"?>
<xltc:personList xmlns:xltc="http://schemas.microsoft.com/office/spreadsheetml/2018/threadedcomments">
  <xltc:person displayName="User" id="{BDD1A3FF-2F60-4E71-8B11-A92101ACEDC8}"/>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7-10T23:21:49.434" personId="{BDD1A3FF-2F60-4E71-8B11-A92101ACEDC8}" id="{AEFC39D5-F470-02D1-B49F-670E591EA5EE}">
    <xltc:text>Histórico 2013–2023: Imagens de referência fornecidas pelo usuário (histórico 2013–2023). 2024–2026 YTD: https://data.anbima.com.br/publicacoes/fundos-de-investimento/dashboard-de-fidcs</xltc:text>
  </xltc:threadedComment>
</xltc:ThreadedComments>
</file>

<file path=xl/threadedcomments/threadedcomment2.xml><?xml version="1.0" encoding="utf-8"?>
<xltc:ThreadedComments xmlns:xltc="http://schemas.microsoft.com/office/spreadsheetml/2018/threadedcomments">
  <xltc:threadedComment ref="B4" dT="2026-07-10T23:21:49.443" personId="{BDD1A3FF-2F60-4E71-8B11-A92101ACEDC8}" id="{64DC37B9-5D7C-4536-6635-8F4BFA6AF0DC}">
    <xltc:text>Fonte: https://data.anbima.com.br/publicacoes/fundos-de-investimento/dashboard-de-fidcs. Consulta agregada por tipo ANBIMA e mês.</xltc:text>
  </xltc:threadedComment>
</xltc:ThreadedComments>
</file>

<file path=xl/threadedcomments/threadedcomment3.xml><?xml version="1.0" encoding="utf-8"?>
<xltc:ThreadedComments xmlns:xltc="http://schemas.microsoft.com/office/spreadsheetml/2018/threadedcomments">
  <xltc:threadedComment ref="B4" dT="2026-07-10T23:21:49.447" personId="{BDD1A3FF-2F60-4E71-8B11-A92101ACEDC8}" id="{24DEE59D-71AE-8A6B-D114-084A15FEE8F4}">
    <xltc:text>Fonte: https://data.anbima.com.br/publicacoes/fundos-de-investimento/dashboard-de-fidcs. Volume encerrado/captado exibido pelo dashboard.</xltc:text>
  </xltc:threadedComment>
</xltc:ThreadedComments>
</file>

<file path=xl/threadedcomments/threadedcomment4.xml><?xml version="1.0" encoding="utf-8"?>
<xltc:ThreadedComments xmlns:xltc="http://schemas.microsoft.com/office/spreadsheetml/2018/threadedcomments">
  <xltc:threadedComment ref="H5" dT="2026-07-10T23:21:49.815" personId="{BDD1A3FF-2F60-4E71-8B11-A92101ACEDC8}" id="{5C578F23-51AC-EA6A-7BEC-9DCA9D92C56B}">
    <xltc:text>Input do usuário. Alterações recalculam Ranking Gestoras e os gráficos banco × independente.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7246cbc5207b458b" /></Relationships>
</file>

<file path=xl/worksheets/_rels/sheet3.xml.rels>&#65279;<?xml version="1.0" encoding="utf-8"?><Relationships xmlns="http://schemas.openxmlformats.org/package/2006/relationships"><Relationship Type="http://schemas.openxmlformats.org/officeDocument/2006/relationships/comments" Target="/xl/comments1.xml" Id="R0e9259a61a694429" /><Relationship Type="http://schemas.openxmlformats.org/officeDocument/2006/relationships/vmlDrawing" Target="/xl/drawings/vmldrawing.vml" Id="R9f11f39688f848c6" /><Relationship Type="http://schemas.microsoft.com/office/2017/10/relationships/threadedComment" Target="/xl/threadedcomments/threadedcomment.xml" Id="R641c92768a9b4d0e" /><Relationship Type="http://schemas.openxmlformats.org/officeDocument/2006/relationships/drawing" Target="/xl/drawings/drawing2.xml" Id="Rdeeb039725414a6d" /></Relationships>
</file>

<file path=xl/worksheets/_rels/sheet4.xml.rels>&#65279;<?xml version="1.0" encoding="utf-8"?><Relationships xmlns="http://schemas.openxmlformats.org/package/2006/relationships"><Relationship Type="http://schemas.openxmlformats.org/officeDocument/2006/relationships/comments" Target="/xl/comments2.xml" Id="R5b9e34faa2e34b58" /><Relationship Type="http://schemas.openxmlformats.org/officeDocument/2006/relationships/vmlDrawing" Target="/xl/drawings/vmldrawing2.vml" Id="R969f52aace5c4f18" /><Relationship Type="http://schemas.microsoft.com/office/2017/10/relationships/threadedComment" Target="/xl/threadedcomments/threadedcomment2.xml" Id="Rf498f8235b374094" /><Relationship Type="http://schemas.openxmlformats.org/officeDocument/2006/relationships/drawing" Target="/xl/drawings/drawing3.xml" Id="Rb2eec70064b646a1" /></Relationships>
</file>

<file path=xl/worksheets/_rels/sheet5.xml.rels>&#65279;<?xml version="1.0" encoding="utf-8"?><Relationships xmlns="http://schemas.openxmlformats.org/package/2006/relationships"><Relationship Type="http://schemas.openxmlformats.org/officeDocument/2006/relationships/comments" Target="/xl/comments3.xml" Id="R5465f217dbd043d3" /><Relationship Type="http://schemas.openxmlformats.org/officeDocument/2006/relationships/vmlDrawing" Target="/xl/drawings/vmldrawing3.vml" Id="R59c3cc3338b54435" /><Relationship Type="http://schemas.microsoft.com/office/2017/10/relationships/threadedComment" Target="/xl/threadedcomments/threadedcomment3.xml" Id="R71374c75c3e44e61" /><Relationship Type="http://schemas.openxmlformats.org/officeDocument/2006/relationships/drawing" Target="/xl/drawings/drawing4.xml" Id="R257366d049594855" /></Relationships>
</file>

<file path=xl/worksheets/_rels/sheet6.xml.rels>&#65279;<?xml version="1.0" encoding="utf-8"?><Relationships xmlns="http://schemas.openxmlformats.org/package/2006/relationships"><Relationship Type="http://schemas.openxmlformats.org/officeDocument/2006/relationships/comments" Target="/xl/comments4.xml" Id="R9e65cbbb40824f36" /><Relationship Type="http://schemas.openxmlformats.org/officeDocument/2006/relationships/vmlDrawing" Target="/xl/drawings/vmldrawing4.vml" Id="Rf93dd0ef863942a3" /><Relationship Type="http://schemas.microsoft.com/office/2017/10/relationships/threadedComment" Target="/xl/threadedcomments/threadedcomment4.xml" Id="R09fc6f2d18d44b83" /></Relationships>
</file>

<file path=xl/worksheets/_rels/sheet7.xml.rels>&#65279;<?xml version="1.0" encoding="utf-8"?><Relationships xmlns="http://schemas.openxmlformats.org/package/2006/relationships"><Relationship Type="http://schemas.openxmlformats.org/officeDocument/2006/relationships/drawing" Target="/xl/drawings/drawing5.xml" Id="R4b1485c93d884ffd" /></Relationships>
</file>

<file path=xl/worksheets/_rels/sheet8.xml.rels>&#65279;<?xml version="1.0" encoding="utf-8"?><Relationships xmlns="http://schemas.openxmlformats.org/package/2006/relationships"><Relationship Type="http://schemas.openxmlformats.org/officeDocument/2006/relationships/drawing" Target="/xl/drawings/drawing6.xml" Id="R28b2e6b6119c4488" /></Relationships>
</file>

<file path=xl/worksheets/_rels/sheet9.xml.rels>&#65279;<?xml version="1.0" encoding="utf-8"?><Relationships xmlns="http://schemas.openxmlformats.org/package/2006/relationships"><Relationship Type="http://schemas.openxmlformats.org/officeDocument/2006/relationships/drawing" Target="/xl/drawings/drawing7.xml" Id="Rc7f223462c2f4e4c" /></Relationships>
</file>

<file path=xl/worksheets/_rels/sheet10.xml.rels>&#65279;<?xml version="1.0" encoding="utf-8"?><Relationships xmlns="http://schemas.openxmlformats.org/package/2006/relationships"><Relationship Type="http://schemas.openxmlformats.org/officeDocument/2006/relationships/drawing" Target="/xl/drawings/drawing8.xml" Id="R769394d707c4422c" /></Relationships>
</file>

<file path=xl/worksheets/_rels/sheet11.xml.rels>&#65279;<?xml version="1.0" encoding="utf-8"?><Relationships xmlns="http://schemas.openxmlformats.org/package/2006/relationships"><Relationship Type="http://schemas.openxmlformats.org/officeDocument/2006/relationships/drawing" Target="/xl/drawings/drawing9.xml" Id="R1fb3a222ee0d47c0" /></Relationships>
</file>

<file path=xl/worksheets/_rels/sheet12.xml.rels>&#65279;<?xml version="1.0" encoding="utf-8"?><Relationships xmlns="http://schemas.openxmlformats.org/package/2006/relationships"><Relationship Type="http://schemas.openxmlformats.org/officeDocument/2006/relationships/drawing" Target="/xl/drawings/drawing10.xml" Id="Re574195a33e44b99" /></Relationships>
</file>

<file path=xl/worksheets/_rels/sheet13.xml.rels>&#65279;<?xml version="1.0" encoding="utf-8"?><Relationships xmlns="http://schemas.openxmlformats.org/package/2006/relationships"><Relationship Type="http://schemas.openxmlformats.org/officeDocument/2006/relationships/drawing" Target="/xl/drawings/drawing11.xml" Id="R4bce45c17eda4f23" /></Relationships>
</file>

<file path=xl/worksheets/_rels/sheet14.xml.rels>&#65279;<?xml version="1.0" encoding="utf-8"?><Relationships xmlns="http://schemas.openxmlformats.org/package/2006/relationships"><Relationship Type="http://schemas.openxmlformats.org/officeDocument/2006/relationships/drawing" Target="/xl/drawings/drawing12.xml" Id="R48054738f0db4390" /></Relationships>
</file>

<file path=xl/worksheets/_rels/sheet21.xml.rels>&#65279;<?xml version="1.0" encoding="utf-8"?><Relationships xmlns="http://schemas.openxmlformats.org/package/2006/relationships"><Relationship Type="http://schemas.openxmlformats.org/officeDocument/2006/relationships/drawing" Target="/xl/drawings/drawing13.xml" Id="Rbebe054abb0d47b1" /></Relationships>
</file>

<file path=xl/worksheets/_rels/sheet23.xml.rels>&#65279;<?xml version="1.0" encoding="utf-8"?><Relationships xmlns="http://schemas.openxmlformats.org/package/2006/relationships"><Relationship Type="http://schemas.openxmlformats.org/officeDocument/2006/relationships/drawing" Target="/xl/drawings/drawing14.xml" Id="R93a1cd1ef97d42f4" /></Relationships>
</file>

<file path=xl/worksheets/_rels/sheet24.xml.rels>&#65279;<?xml version="1.0" encoding="utf-8"?><Relationships xmlns="http://schemas.openxmlformats.org/package/2006/relationships"><Relationship Type="http://schemas.openxmlformats.org/officeDocument/2006/relationships/drawing" Target="/xl/drawings/drawing15.xml" Id="R94750bf47a1b418f" /></Relationships>
</file>

<file path=xl/worksheets/_rels/sheet27.xml.rels>&#65279;<?xml version="1.0" encoding="utf-8"?><Relationships xmlns="http://schemas.openxmlformats.org/package/2006/relationships"><Relationship Type="http://schemas.openxmlformats.org/officeDocument/2006/relationships/drawing" Target="/xl/drawings/drawing16.xml" Id="R514f2a0a9bb7459e"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4" t="str">
        <x:v>FIDCs | base atualizável de mercado e rankings</x:v>
      </x:c>
      <x:c r="B1" s="4" t="str">
        <x:v>FIDCs | base atualizável de mercado e rankings</x:v>
      </x:c>
      <x:c r="C1" s="4" t="str">
        <x:v>FIDCs | base atualizável de mercado e rankings</x:v>
      </x:c>
      <x:c r="D1" s="4" t="str">
        <x:v>FIDCs | base atualizável de mercado e rankings</x:v>
      </x:c>
      <x:c r="E1" s="4" t="str">
        <x:v>FIDCs | base atualizável de mercado e rankings</x:v>
      </x:c>
      <x:c r="F1" s="4" t="str">
        <x:v>FIDCs | base atualizável de mercado e rankings</x:v>
      </x:c>
      <x:c r="G1" s="4" t="str">
        <x:v>FIDCs | base atualizável de mercado e rankings</x:v>
      </x:c>
      <x:c r="H1" s="4" t="str">
        <x:v>FIDCs | base atualizável de mercado e rankings</x:v>
      </x:c>
      <x:c r="I1" s="4" t="str">
        <x:v>FIDCs | base atualizável de mercado e rankings</x:v>
      </x:c>
      <x:c r="J1" s="4" t="str">
        <x:v>FIDCs | base atualizável de mercado e rankings</x:v>
      </x:c>
    </x:row>
    <x:row r="2" ht="30" customHeight="1">
      <x:c r="A2" s="4" t="str">
        <x:v>FIDCs | base atualizável de mercado e rankings</x:v>
      </x:c>
      <x:c r="B2" s="4" t="str">
        <x:v>FIDCs | base atualizável de mercado e rankings</x:v>
      </x:c>
      <x:c r="C2" s="4" t="str">
        <x:v>FIDCs | base atualizável de mercado e rankings</x:v>
      </x:c>
      <x:c r="D2" s="4" t="str">
        <x:v>FIDCs | base atualizável de mercado e rankings</x:v>
      </x:c>
      <x:c r="E2" s="4" t="str">
        <x:v>FIDCs | base atualizável de mercado e rankings</x:v>
      </x:c>
      <x:c r="F2" s="4" t="str">
        <x:v>FIDCs | base atualizável de mercado e rankings</x:v>
      </x:c>
      <x:c r="G2" s="4" t="str">
        <x:v>FIDCs | base atualizável de mercado e rankings</x:v>
      </x:c>
      <x:c r="H2" s="4" t="str">
        <x:v>FIDCs | base atualizável de mercado e rankings</x:v>
      </x:c>
      <x:c r="I2" s="4" t="str">
        <x:v>FIDCs | base atualizável de mercado e rankings</x:v>
      </x:c>
      <x:c r="J2" s="4" t="str">
        <x:v>FIDCs | base atualizável de mercado e rankings</x:v>
      </x:c>
    </x:row>
    <x:row r="3">
      <x:c r="A3" s="6" t="str">
        <x:v>Excel de origem dos gráficos do PowerPoint | data-base transversal: competência maio/2026</x:v>
      </x:c>
      <x:c r="B3" s="6" t="str">
        <x:v>Excel de origem dos gráficos do PowerPoint | data-base transversal: competência maio/2026</x:v>
      </x:c>
      <x:c r="C3" s="6" t="str">
        <x:v>Excel de origem dos gráficos do PowerPoint | data-base transversal: competência maio/2026</x:v>
      </x:c>
      <x:c r="D3" s="6" t="str">
        <x:v>Excel de origem dos gráficos do PowerPoint | data-base transversal: competência maio/2026</x:v>
      </x:c>
      <x:c r="E3" s="6" t="str">
        <x:v>Excel de origem dos gráficos do PowerPoint | data-base transversal: competência maio/2026</x:v>
      </x:c>
      <x:c r="F3" s="6" t="str">
        <x:v>Excel de origem dos gráficos do PowerPoint | data-base transversal: competência maio/2026</x:v>
      </x:c>
      <x:c r="G3" s="6" t="str">
        <x:v>Excel de origem dos gráficos do PowerPoint | data-base transversal: competência maio/2026</x:v>
      </x:c>
      <x:c r="H3" s="6" t="str">
        <x:v>Excel de origem dos gráficos do PowerPoint | data-base transversal: competência maio/2026</x:v>
      </x:c>
      <x:c r="I3" s="6" t="str">
        <x:v>Excel de origem dos gráficos do PowerPoint | data-base transversal: competência maio/2026</x:v>
      </x:c>
      <x:c r="J3" s="6" t="str">
        <x:v>Excel de origem dos gráficos do PowerPoint | data-base transversal: competência maio/2026</x:v>
      </x:c>
    </x:row>
    <x:row r="4">
      <x:c r="A4" s="211"/>
      <x:c r="B4" s="211"/>
      <x:c r="C4" s="211"/>
      <x:c r="D4" s="211"/>
      <x:c r="E4" s="211"/>
      <x:c r="F4" s="211"/>
      <x:c r="G4" s="211"/>
      <x:c r="H4" s="211"/>
      <x:c r="I4" s="211"/>
      <x:c r="J4" s="211"/>
    </x:row>
    <x:row r="5" ht="23" customHeight="1">
      <x:c r="A5" s="8" t="str">
        <x:v>Como usar</x:v>
      </x:c>
      <x:c r="B5" s="8" t="str">
        <x:v>Como usar</x:v>
      </x:c>
      <x:c r="C5" s="8" t="str">
        <x:v>Como usar</x:v>
      </x:c>
      <x:c r="D5" s="8" t="str">
        <x:v>Como usar</x:v>
      </x:c>
      <x:c r="E5" s="8" t="str">
        <x:v>Como usar</x:v>
      </x:c>
      <x:c r="F5" s="8" t="str">
        <x:v>Como usar</x:v>
      </x:c>
      <x:c r="G5" s="8" t="str">
        <x:v>Como usar</x:v>
      </x:c>
      <x:c r="H5" s="8" t="str">
        <x:v>Como usar</x:v>
      </x:c>
      <x:c r="I5" s="8" t="str">
        <x:v>Como usar</x:v>
      </x:c>
      <x:c r="J5" s="8" t="str">
        <x:v>Como usar</x:v>
      </x:c>
    </x:row>
    <x:row r="6" ht="28" customHeight="1">
      <x:c r="A6" s="20" t="str">
        <x:v>Passo</x:v>
      </x:c>
      <x:c r="B6" s="21" t="str">
        <x:v>Onde</x:v>
      </x:c>
      <x:c r="C6" s="21" t="str">
        <x:v>Ação</x:v>
      </x:c>
      <x:c r="D6" s="21" t="str"/>
      <x:c r="E6" s="21" t="str"/>
      <x:c r="F6" s="21" t="str"/>
      <x:c r="G6" s="21" t="str"/>
      <x:c r="H6" s="21" t="str"/>
      <x:c r="I6" s="21" t="str"/>
      <x:c r="J6" s="22" t="str"/>
    </x:row>
    <x:row r="7">
      <x:c r="A7" s="39" t="str">
        <x:v>1</x:v>
      </x:c>
      <x:c r="B7" s="27" t="str">
        <x:v>Revise Depara Conglom!E:G</x:v>
      </x:c>
      <x:c r="C7" s="27" t="str">
        <x:v>Células amarelas e fonte azul são inputs. Confirme o conglomerado final e o vínculo bancário.</x:v>
      </x:c>
      <x:c r="D7" s="27" t="str"/>
      <x:c r="E7" s="27" t="str"/>
      <x:c r="F7" s="27" t="str"/>
      <x:c r="G7" s="27" t="str"/>
      <x:c r="H7" s="27" t="str"/>
      <x:c r="I7" s="27" t="str"/>
      <x:c r="J7" s="27" t="str"/>
    </x:row>
    <x:row r="8">
      <x:c r="A8" s="40" t="str">
        <x:v>2</x:v>
      </x:c>
      <x:c r="B8" s="28" t="str">
        <x:v>Revise Base Fundos!L:L</x:v>
      </x:c>
      <x:c r="C8" s="28" t="str">
        <x:v>Opcional: classifique a estrutura operacional somente após consultar regulamento, lastro ou concentração de cedentes/sacados.</x:v>
      </x:c>
      <x:c r="D8" s="28" t="str"/>
      <x:c r="E8" s="28" t="str"/>
      <x:c r="F8" s="28" t="str"/>
      <x:c r="G8" s="28" t="str"/>
      <x:c r="H8" s="28" t="str"/>
      <x:c r="I8" s="28" t="str"/>
      <x:c r="J8" s="28" t="str"/>
    </x:row>
    <x:row r="9">
      <x:c r="A9" s="40" t="str">
        <x:v>3</x:v>
      </x:c>
      <x:c r="B9" s="28" t="str">
        <x:v>Confira os históricos</x:v>
      </x:c>
      <x:c r="C9" s="28" t="str">
        <x:v>Historico Gestores e Historico Admins mostram posições consolidadas por conglomerado; Classif Gestoras preserva a visão legada por nome.</x:v>
      </x:c>
      <x:c r="D9" s="28" t="str"/>
      <x:c r="E9" s="28" t="str"/>
      <x:c r="F9" s="28" t="str"/>
      <x:c r="G9" s="28" t="str"/>
      <x:c r="H9" s="28" t="str"/>
      <x:c r="I9" s="28" t="str"/>
      <x:c r="J9" s="28" t="str"/>
    </x:row>
    <x:row r="10">
      <x:c r="A10" s="41" t="str">
        <x:v>4</x:v>
      </x:c>
      <x:c r="B10" s="29" t="str">
        <x:v>Atualize o PowerPoint</x:v>
      </x:c>
      <x:c r="C10" s="29" t="str">
        <x:v>Copie o gráfico nativo do Excel e use Colar Especial no slide correspondente.</x:v>
      </x:c>
      <x:c r="D10" s="29" t="str"/>
      <x:c r="E10" s="29" t="str"/>
      <x:c r="F10" s="29" t="str"/>
      <x:c r="G10" s="29" t="str"/>
      <x:c r="H10" s="29" t="str"/>
      <x:c r="I10" s="29" t="str"/>
      <x:c r="J10" s="29" t="str"/>
    </x:row>
    <x:row r="11">
      <x:c r="A11" s="211"/>
      <x:c r="B11" s="211"/>
      <x:c r="C11" s="211"/>
      <x:c r="D11" s="211"/>
      <x:c r="E11" s="211"/>
      <x:c r="F11" s="211"/>
      <x:c r="G11" s="211"/>
      <x:c r="H11" s="211"/>
      <x:c r="I11" s="211"/>
      <x:c r="J11" s="211"/>
    </x:row>
    <x:row r="12" ht="23" customHeight="1">
      <x:c r="A12" s="8" t="str">
        <x:v>Escopo entregue</x:v>
      </x:c>
      <x:c r="B12" s="8" t="str">
        <x:v>Escopo entregue</x:v>
      </x:c>
      <x:c r="C12" s="8" t="str">
        <x:v>Escopo entregue</x:v>
      </x:c>
      <x:c r="D12" s="8" t="str">
        <x:v>Escopo entregue</x:v>
      </x:c>
      <x:c r="E12" s="8" t="str">
        <x:v>Escopo entregue</x:v>
      </x:c>
      <x:c r="F12" s="8" t="str">
        <x:v>Escopo entregue</x:v>
      </x:c>
      <x:c r="G12" s="8" t="str">
        <x:v>Escopo entregue</x:v>
      </x:c>
      <x:c r="H12" s="8" t="str">
        <x:v>Escopo entregue</x:v>
      </x:c>
      <x:c r="I12" s="8" t="str">
        <x:v>Escopo entregue</x:v>
      </x:c>
      <x:c r="J12" s="8" t="str">
        <x:v>Escopo entregue</x:v>
      </x:c>
    </x:row>
    <x:row r="13">
      <x:c r="A13" s="44" t="str">
        <x:v>Evolução do PL</x:v>
      </x:c>
      <x:c r="B13" s="46" t="str">
        <x:v>2013–2025 em R$ mm + maio/2026 YTD; CAGRs 2013–18, 2019–23, 2023–25 e 2013–25</x:v>
      </x:c>
      <x:c r="C13" s="46" t="str"/>
      <x:c r="D13" s="46" t="str"/>
      <x:c r="E13" s="46" t="str"/>
      <x:c r="F13" s="46" t="str"/>
      <x:c r="G13" s="46" t="str"/>
      <x:c r="H13" s="46" t="str"/>
      <x:c r="I13" s="46" t="str"/>
      <x:c r="J13" s="46" t="str"/>
    </x:row>
    <x:row r="14">
      <x:c r="A14" s="44" t="str">
        <x:v>Tipos ANBIMA</x:v>
      </x:c>
      <x:c r="B14" s="46" t="str">
        <x:v>Agro/Indústria/Comércio, Financeiro, Fomento Mercantil e Outros; a Classe ANBIMA é FIDC</x:v>
      </x:c>
      <x:c r="C14" s="46" t="str"/>
      <x:c r="D14" s="46" t="str"/>
      <x:c r="E14" s="46" t="str"/>
      <x:c r="F14" s="46" t="str"/>
      <x:c r="G14" s="46" t="str"/>
      <x:c r="H14" s="46" t="str"/>
      <x:c r="I14" s="46" t="str"/>
      <x:c r="J14" s="46" t="str"/>
    </x:row>
    <x:row r="15">
      <x:c r="A15" s="44" t="str">
        <x:v>Emissões</x:v>
      </x:c>
      <x:c r="B15" s="46" t="str">
        <x:v>2024 anual completo; mensal jan/2025–mai/2026; 2026 é YTD</x:v>
      </x:c>
      <x:c r="C15" s="46" t="str"/>
      <x:c r="D15" s="46" t="str"/>
      <x:c r="E15" s="46" t="str"/>
      <x:c r="F15" s="46" t="str"/>
      <x:c r="G15" s="46" t="str"/>
      <x:c r="H15" s="46" t="str"/>
      <x:c r="I15" s="46" t="str"/>
      <x:c r="J15" s="46" t="str"/>
    </x:row>
    <x:row r="16">
      <x:c r="A16" s="44" t="str">
        <x:v>Prestadores</x:v>
      </x:c>
      <x:c r="B16" s="46" t="str">
        <x:v>Top gestores, independentes, administradores e custodiantes</x:v>
      </x:c>
      <x:c r="C16" s="46" t="str"/>
      <x:c r="D16" s="46" t="str"/>
      <x:c r="E16" s="46" t="str"/>
      <x:c r="F16" s="46" t="str"/>
      <x:c r="G16" s="46" t="str"/>
      <x:c r="H16" s="46" t="str"/>
      <x:c r="I16" s="46" t="str"/>
      <x:c r="J16" s="46" t="str"/>
    </x:row>
    <x:row r="17">
      <x:c r="A17" s="44" t="str">
        <x:v>Fundos</x:v>
      </x:c>
      <x:c r="B17" s="46" t="str">
        <x:v>Top 25 FIDCs, histograma de cotistas e análise de foco Multicarteira</x:v>
      </x:c>
      <x:c r="C17" s="46" t="str"/>
      <x:c r="D17" s="46" t="str"/>
      <x:c r="E17" s="46" t="str"/>
      <x:c r="F17" s="46" t="str"/>
      <x:c r="G17" s="46" t="str"/>
      <x:c r="H17" s="46" t="str"/>
      <x:c r="I17" s="46" t="str"/>
      <x:c r="J17" s="46" t="str"/>
    </x:row>
    <x:row r="18">
      <x:c r="A18" s="44" t="str">
        <x:v>Classificação</x:v>
      </x:c>
      <x:c r="B18" s="46" t="str">
        <x:v>485 nomes de gestores/administradores com de-para sugerido, regra, confiança e colunas finais editáveis</x:v>
      </x:c>
      <x:c r="C18" s="46" t="str"/>
      <x:c r="D18" s="46" t="str"/>
      <x:c r="E18" s="46" t="str"/>
      <x:c r="F18" s="46" t="str"/>
      <x:c r="G18" s="46" t="str"/>
      <x:c r="H18" s="46" t="str"/>
      <x:c r="I18" s="46" t="str"/>
      <x:c r="J18" s="46" t="str"/>
    </x:row>
    <x:row r="19">
      <x:c r="A19" s="211"/>
      <x:c r="B19" s="211"/>
      <x:c r="C19" s="211"/>
      <x:c r="D19" s="211"/>
      <x:c r="E19" s="211"/>
      <x:c r="F19" s="211"/>
      <x:c r="G19" s="211"/>
      <x:c r="H19" s="211"/>
      <x:c r="I19" s="211"/>
      <x:c r="J19" s="211"/>
    </x:row>
    <x:row r="20" ht="23" customHeight="1">
      <x:c r="A20" s="49" t="str">
        <x:v>Leitura correta das fontes</x:v>
      </x:c>
      <x:c r="B20" s="49" t="str">
        <x:v>Leitura correta das fontes</x:v>
      </x:c>
      <x:c r="C20" s="49" t="str">
        <x:v>Leitura correta das fontes</x:v>
      </x:c>
      <x:c r="D20" s="49" t="str">
        <x:v>Leitura correta das fontes</x:v>
      </x:c>
      <x:c r="E20" s="49" t="str">
        <x:v>Leitura correta das fontes</x:v>
      </x:c>
      <x:c r="F20" s="49" t="str">
        <x:v>Leitura correta das fontes</x:v>
      </x:c>
      <x:c r="G20" s="49" t="str">
        <x:v>Leitura correta das fontes</x:v>
      </x:c>
      <x:c r="H20" s="49" t="str">
        <x:v>Leitura correta das fontes</x:v>
      </x:c>
      <x:c r="I20" s="49" t="str">
        <x:v>Leitura correta das fontes</x:v>
      </x:c>
      <x:c r="J20" s="49" t="str">
        <x:v>Leitura correta das fontes</x:v>
      </x:c>
    </x:row>
    <x:row r="21">
      <x:c r="A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B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C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D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E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F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G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H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I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J21"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row>
    <x:row r="22">
      <x:c r="A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B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C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D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E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F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G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H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I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J22"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row>
    <x:row r="23">
      <x:c r="A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B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C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D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E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F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G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H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I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J23"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row>
    <x:row r="24">
      <x:c r="A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B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C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D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E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F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G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H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I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J24"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row>
    <x:row r="25">
      <x:c r="A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B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C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D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E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F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G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H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I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c r="J25" s="52" t="str">
        <x:v>2013–2023: valores transcritos do gráfico IMG_8178.JPG; a imagem IMG_8177.JPG contém pequenas diferenças, documentadas em Comparacao Ref. 2024–2026: dashboard ANBIMA público. Todos os rankings têm competência maio/2026 — as imagens de referência usavam abril/2025. Nomes, cotistas e custodiantes: CVM conciliado por CNPJ. Multicarteira não é proxy de multicedente/multissacado. A classificação banco × independente é uma segmentação analítica inicial, não uma classificação oficial.</x:v>
      </x:c>
    </x:row>
  </x:sheetData>
  <x:mergeCells>
    <x:mergeCell ref="A1:J2"/>
    <x:mergeCell ref="A3:J3"/>
    <x:mergeCell ref="A5:J5"/>
    <x:mergeCell ref="C7:J7"/>
    <x:mergeCell ref="C8:J8"/>
    <x:mergeCell ref="C9:J9"/>
    <x:mergeCell ref="C10:J10"/>
    <x:mergeCell ref="A12:J12"/>
    <x:mergeCell ref="B13:J13"/>
    <x:mergeCell ref="B14:J14"/>
    <x:mergeCell ref="B15:J15"/>
    <x:mergeCell ref="B16:J16"/>
    <x:mergeCell ref="B17:J17"/>
    <x:mergeCell ref="B18:J18"/>
    <x:mergeCell ref="A20:J20"/>
    <x:mergeCell ref="A21:J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s>
  <x:sheetData>
    <x:row r="1" ht="30" customHeight="1">
      <x:c r="A1" s="4" t="str">
        <x:v>Mercado de FIDCs | visão executiva atualizada</x:v>
      </x:c>
      <x:c r="B1" s="4" t="str">
        <x:v>Mercado de FIDCs | visão executiva atualizada</x:v>
      </x:c>
      <x:c r="C1" s="4" t="str">
        <x:v>Mercado de FIDCs | visão executiva atualizada</x:v>
      </x:c>
      <x:c r="D1" s="4" t="str">
        <x:v>Mercado de FIDCs | visão executiva atualizada</x:v>
      </x:c>
      <x:c r="E1" s="4" t="str">
        <x:v>Mercado de FIDCs | visão executiva atualizada</x:v>
      </x:c>
      <x:c r="F1" s="4" t="str">
        <x:v>Mercado de FIDCs | visão executiva atualizada</x:v>
      </x:c>
      <x:c r="G1" s="4" t="str">
        <x:v>Mercado de FIDCs | visão executiva atualizada</x:v>
      </x:c>
      <x:c r="H1" s="4" t="str">
        <x:v>Mercado de FIDCs | visão executiva atualizada</x:v>
      </x:c>
      <x:c r="I1" s="4" t="str">
        <x:v>Mercado de FIDCs | visão executiva atualizada</x:v>
      </x:c>
      <x:c r="J1" s="4" t="str">
        <x:v>Mercado de FIDCs | visão executiva atualizada</x:v>
      </x:c>
      <x:c r="K1" s="4" t="str">
        <x:v>Mercado de FIDCs | visão executiva atualizada</x:v>
      </x:c>
      <x:c r="L1" s="4" t="str">
        <x:v>Mercado de FIDCs | visão executiva atualizada</x:v>
      </x:c>
      <x:c r="M1" s="4" t="str">
        <x:v>Mercado de FIDCs | visão executiva atualizada</x:v>
      </x:c>
      <x:c r="N1" s="4" t="str">
        <x:v>Mercado de FIDCs | visão executiva atualizada</x:v>
      </x:c>
    </x:row>
    <x:row r="2" ht="30" customHeight="1">
      <x:c r="A2" s="4" t="str">
        <x:v>Mercado de FIDCs | visão executiva atualizada</x:v>
      </x:c>
      <x:c r="B2" s="4" t="str">
        <x:v>Mercado de FIDCs | visão executiva atualizada</x:v>
      </x:c>
      <x:c r="C2" s="4" t="str">
        <x:v>Mercado de FIDCs | visão executiva atualizada</x:v>
      </x:c>
      <x:c r="D2" s="4" t="str">
        <x:v>Mercado de FIDCs | visão executiva atualizada</x:v>
      </x:c>
      <x:c r="E2" s="4" t="str">
        <x:v>Mercado de FIDCs | visão executiva atualizada</x:v>
      </x:c>
      <x:c r="F2" s="4" t="str">
        <x:v>Mercado de FIDCs | visão executiva atualizada</x:v>
      </x:c>
      <x:c r="G2" s="4" t="str">
        <x:v>Mercado de FIDCs | visão executiva atualizada</x:v>
      </x:c>
      <x:c r="H2" s="4" t="str">
        <x:v>Mercado de FIDCs | visão executiva atualizada</x:v>
      </x:c>
      <x:c r="I2" s="4" t="str">
        <x:v>Mercado de FIDCs | visão executiva atualizada</x:v>
      </x:c>
      <x:c r="J2" s="4" t="str">
        <x:v>Mercado de FIDCs | visão executiva atualizada</x:v>
      </x:c>
      <x:c r="K2" s="4" t="str">
        <x:v>Mercado de FIDCs | visão executiva atualizada</x:v>
      </x:c>
      <x:c r="L2" s="4" t="str">
        <x:v>Mercado de FIDCs | visão executiva atualizada</x:v>
      </x:c>
      <x:c r="M2" s="4" t="str">
        <x:v>Mercado de FIDCs | visão executiva atualizada</x:v>
      </x:c>
      <x:c r="N2" s="4" t="str">
        <x:v>Mercado de FIDCs | visão executiva atualizada</x:v>
      </x:c>
    </x:row>
    <x:row r="3">
      <x:c r="A3" s="53" t="str">
        <x:v>Todos os gráficos abaixo são nativos do Excel e alimentados pelas abas de base</x:v>
      </x:c>
      <x:c r="B3" s="53" t="str">
        <x:v>Todos os gráficos abaixo são nativos do Excel e alimentados pelas abas de base</x:v>
      </x:c>
      <x:c r="C3" s="53" t="str">
        <x:v>Todos os gráficos abaixo são nativos do Excel e alimentados pelas abas de base</x:v>
      </x:c>
      <x:c r="D3" s="53" t="str">
        <x:v>Todos os gráficos abaixo são nativos do Excel e alimentados pelas abas de base</x:v>
      </x:c>
      <x:c r="E3" s="53" t="str">
        <x:v>Todos os gráficos abaixo são nativos do Excel e alimentados pelas abas de base</x:v>
      </x:c>
      <x:c r="F3" s="53" t="str">
        <x:v>Todos os gráficos abaixo são nativos do Excel e alimentados pelas abas de base</x:v>
      </x:c>
      <x:c r="G3" s="53" t="str">
        <x:v>Todos os gráficos abaixo são nativos do Excel e alimentados pelas abas de base</x:v>
      </x:c>
      <x:c r="H3" s="53" t="str">
        <x:v>Todos os gráficos abaixo são nativos do Excel e alimentados pelas abas de base</x:v>
      </x:c>
      <x:c r="I3" s="53" t="str">
        <x:v>Todos os gráficos abaixo são nativos do Excel e alimentados pelas abas de base</x:v>
      </x:c>
      <x:c r="J3" s="53" t="str">
        <x:v>Todos os gráficos abaixo são nativos do Excel e alimentados pelas abas de base</x:v>
      </x:c>
      <x:c r="K3" s="53" t="str">
        <x:v>Todos os gráficos abaixo são nativos do Excel e alimentados pelas abas de base</x:v>
      </x:c>
      <x:c r="L3" s="53" t="str">
        <x:v>Todos os gráficos abaixo são nativos do Excel e alimentados pelas abas de base</x:v>
      </x:c>
      <x:c r="M3" s="53" t="str">
        <x:v>Todos os gráficos abaixo são nativos do Excel e alimentados pelas abas de base</x:v>
      </x:c>
      <x:c r="N3" s="53" t="str">
        <x:v>Todos os gráficos abaixo são nativos do Excel e alimentados pelas abas de base</x:v>
      </x:c>
    </x:row>
    <x:row r="4">
      <x:c r="A4" s="211"/>
      <x:c r="B4" s="211"/>
      <x:c r="C4" s="211"/>
      <x:c r="D4" s="211"/>
      <x:c r="E4" s="211"/>
      <x:c r="F4" s="211"/>
      <x:c r="G4" s="211"/>
      <x:c r="H4" s="211"/>
      <x:c r="I4" s="211"/>
      <x:c r="J4" s="211"/>
      <x:c r="K4" s="211"/>
      <x:c r="L4" s="211"/>
      <x:c r="M4" s="211"/>
      <x:c r="N4" s="211"/>
    </x:row>
    <x:row r="5">
      <x:c r="A5" s="56" t="str">
        <x:v>PL atual (R$ bi)</x:v>
      </x:c>
      <x:c r="B5" s="56" t="str">
        <x:v>PL atual (R$ bi)</x:v>
      </x:c>
      <x:c r="C5" s="56" t="str">
        <x:v>PL atual (R$ bi)</x:v>
      </x:c>
      <x:c r="D5" s="56" t="str">
        <x:v>PL 2025 (R$ bi)</x:v>
      </x:c>
      <x:c r="E5" s="56" t="str">
        <x:v>PL 2025 (R$ bi)</x:v>
      </x:c>
      <x:c r="F5" s="56" t="str">
        <x:v>PL 2025 (R$ bi)</x:v>
      </x:c>
      <x:c r="G5" s="56" t="str">
        <x:v>Emissões 2025 (R$ bi)</x:v>
      </x:c>
      <x:c r="H5" s="56" t="str">
        <x:v>Emissões 2025 (R$ bi)</x:v>
      </x:c>
      <x:c r="I5" s="56" t="str">
        <x:v>Emissões 2025 (R$ bi)</x:v>
      </x:c>
      <x:c r="J5" s="56" t="str">
        <x:v>Fundos &gt; R$ 200 mm</x:v>
      </x:c>
      <x:c r="K5" s="56" t="str">
        <x:v>Fundos &gt; R$ 200 mm</x:v>
      </x:c>
      <x:c r="L5" s="56" t="str">
        <x:v>Fundos &gt; R$ 200 mm</x:v>
      </x:c>
      <x:c r="M5" s="105" t="str">
        <x:v>DATA-BASE
MAI/26
457 gestoras</x:v>
      </x:c>
      <x:c r="N5" s="105" t="str">
        <x:v>DATA-BASE
MAI/26
457 gestoras</x:v>
      </x:c>
    </x:row>
    <x:row r="6">
      <x:c r="A6" s="84" t="n">
        <x:f>'Evolucao PL'!$J$5</x:f>
        <x:v>751.0884551581736</x:v>
      </x:c>
      <x:c r="B6" s="85"/>
      <x:c r="C6" s="86"/>
      <x:c r="D6" s="84" t="n">
        <x:f>'Evolucao PL'!$J$6</x:f>
        <x:v>745.2873420566174</x:v>
      </x:c>
      <x:c r="E6" s="85"/>
      <x:c r="F6" s="86"/>
      <x:c r="G6" s="84" t="n">
        <x:f>'Emissoes'!$L$5</x:f>
        <x:v>90.8</x:v>
      </x:c>
      <x:c r="H6" s="85"/>
      <x:c r="I6" s="86"/>
      <x:c r="J6" s="93" t="n">
        <x:f>'Cotistas'!$J$5</x:f>
        <x:v>667</x:v>
      </x:c>
      <x:c r="K6" s="94"/>
      <x:c r="L6" s="95"/>
      <x:c r="M6" s="105" t="str">
        <x:v>DATA-BASE
MAI/26
457 gestoras</x:v>
      </x:c>
      <x:c r="N6" s="105" t="str">
        <x:v>DATA-BASE
MAI/26
457 gestoras</x:v>
      </x:c>
    </x:row>
    <x:row r="7">
      <x:c r="A7" s="87"/>
      <x:c r="B7" s="88"/>
      <x:c r="C7" s="89"/>
      <x:c r="D7" s="87"/>
      <x:c r="E7" s="88"/>
      <x:c r="F7" s="89"/>
      <x:c r="G7" s="87"/>
      <x:c r="H7" s="88"/>
      <x:c r="I7" s="89"/>
      <x:c r="J7" s="96"/>
      <x:c r="K7" s="97"/>
      <x:c r="L7" s="98"/>
      <x:c r="M7" s="105" t="str">
        <x:v>DATA-BASE
MAI/26
457 gestoras</x:v>
      </x:c>
      <x:c r="N7" s="105" t="str">
        <x:v>DATA-BASE
MAI/26
457 gestoras</x:v>
      </x:c>
    </x:row>
    <x:row r="8">
      <x:c r="A8" s="90"/>
      <x:c r="B8" s="91"/>
      <x:c r="C8" s="92"/>
      <x:c r="D8" s="90"/>
      <x:c r="E8" s="91"/>
      <x:c r="F8" s="92"/>
      <x:c r="G8" s="90"/>
      <x:c r="H8" s="91"/>
      <x:c r="I8" s="92"/>
      <x:c r="J8" s="99"/>
      <x:c r="K8" s="100"/>
      <x:c r="L8" s="101"/>
      <x:c r="M8" s="105" t="str">
        <x:v>DATA-BASE
MAI/26
457 gestoras</x:v>
      </x:c>
      <x:c r="N8" s="105" t="str">
        <x:v>DATA-BASE
MAI/26
457 gestoras</x:v>
      </x:c>
    </x:row>
    <x:row r="9">
      <x:c r="A9" s="211"/>
      <x:c r="B9" s="211"/>
      <x:c r="C9" s="211"/>
      <x:c r="D9" s="211"/>
      <x:c r="E9" s="211"/>
      <x:c r="F9" s="211"/>
      <x:c r="G9" s="211"/>
      <x:c r="H9" s="211"/>
      <x:c r="I9" s="211"/>
      <x:c r="J9" s="211"/>
      <x:c r="K9" s="211"/>
      <x:c r="L9" s="211"/>
      <x:c r="M9" s="211"/>
      <x:c r="N9" s="211"/>
    </x:row>
    <x:row r="10">
      <x:c r="A10" s="211"/>
      <x:c r="B10" s="211"/>
      <x:c r="C10" s="211"/>
      <x:c r="D10" s="211"/>
      <x:c r="E10" s="211"/>
      <x:c r="F10" s="211"/>
      <x:c r="G10" s="211"/>
      <x:c r="H10" s="211"/>
      <x:c r="I10" s="211"/>
      <x:c r="J10" s="211"/>
      <x:c r="K10" s="211"/>
      <x:c r="L10" s="211"/>
      <x:c r="M10" s="211"/>
      <x:c r="N10" s="211"/>
    </x:row>
    <x:row r="11">
      <x:c r="A11" s="211"/>
      <x:c r="B11" s="211"/>
      <x:c r="C11" s="211"/>
      <x:c r="D11" s="211"/>
      <x:c r="E11" s="211"/>
      <x:c r="F11" s="211"/>
      <x:c r="G11" s="211"/>
      <x:c r="H11" s="211"/>
      <x:c r="I11" s="211"/>
      <x:c r="J11" s="211"/>
      <x:c r="K11" s="211"/>
      <x:c r="L11" s="211"/>
      <x:c r="M11" s="211"/>
      <x:c r="N11" s="211"/>
    </x:row>
    <x:row r="12">
      <x:c r="A12" s="211"/>
      <x:c r="B12" s="211"/>
      <x:c r="C12" s="211"/>
      <x:c r="D12" s="211"/>
      <x:c r="E12" s="211"/>
      <x:c r="F12" s="211"/>
      <x:c r="G12" s="211"/>
      <x:c r="H12" s="211"/>
      <x:c r="I12" s="211"/>
      <x:c r="J12" s="211"/>
      <x:c r="K12" s="211"/>
      <x:c r="L12" s="211"/>
      <x:c r="M12" s="211"/>
      <x:c r="N12" s="211"/>
    </x:row>
    <x:row r="13">
      <x:c r="A13" s="211"/>
      <x:c r="B13" s="211"/>
      <x:c r="C13" s="211"/>
      <x:c r="D13" s="211"/>
      <x:c r="E13" s="211"/>
      <x:c r="F13" s="211"/>
      <x:c r="G13" s="211"/>
      <x:c r="H13" s="211"/>
      <x:c r="I13" s="211"/>
      <x:c r="J13" s="211"/>
      <x:c r="K13" s="211"/>
      <x:c r="L13" s="211"/>
      <x:c r="M13" s="211"/>
      <x:c r="N13" s="211"/>
    </x:row>
    <x:row r="14">
      <x:c r="A14" s="211"/>
      <x:c r="B14" s="211"/>
      <x:c r="C14" s="211"/>
      <x:c r="D14" s="211"/>
      <x:c r="E14" s="211"/>
      <x:c r="F14" s="211"/>
      <x:c r="G14" s="211"/>
      <x:c r="H14" s="211"/>
      <x:c r="I14" s="211"/>
      <x:c r="J14" s="211"/>
      <x:c r="K14" s="211"/>
      <x:c r="L14" s="211"/>
      <x:c r="M14" s="211"/>
      <x:c r="N14" s="211"/>
    </x:row>
    <x:row r="15">
      <x:c r="A15" s="211"/>
      <x:c r="B15" s="211"/>
      <x:c r="C15" s="211"/>
      <x:c r="D15" s="211"/>
      <x:c r="E15" s="211"/>
      <x:c r="F15" s="211"/>
      <x:c r="G15" s="211"/>
      <x:c r="H15" s="211"/>
      <x:c r="I15" s="211"/>
      <x:c r="J15" s="211"/>
      <x:c r="K15" s="211"/>
      <x:c r="L15" s="211"/>
      <x:c r="M15" s="211"/>
      <x:c r="N15" s="211"/>
    </x:row>
    <x:row r="16">
      <x:c r="A16" s="211"/>
      <x:c r="B16" s="211"/>
      <x:c r="C16" s="211"/>
      <x:c r="D16" s="211"/>
      <x:c r="E16" s="211"/>
      <x:c r="F16" s="211"/>
      <x:c r="G16" s="211"/>
      <x:c r="H16" s="211"/>
      <x:c r="I16" s="211"/>
      <x:c r="J16" s="211"/>
      <x:c r="K16" s="211"/>
      <x:c r="L16" s="211"/>
      <x:c r="M16" s="211"/>
      <x:c r="N16" s="211"/>
    </x:row>
    <x:row r="17">
      <x:c r="A17" s="211"/>
      <x:c r="B17" s="211"/>
      <x:c r="C17" s="211"/>
      <x:c r="D17" s="211"/>
      <x:c r="E17" s="211"/>
      <x:c r="F17" s="211"/>
      <x:c r="G17" s="211"/>
      <x:c r="H17" s="211"/>
      <x:c r="I17" s="211"/>
      <x:c r="J17" s="211"/>
      <x:c r="K17" s="211"/>
      <x:c r="L17" s="211"/>
      <x:c r="M17" s="211"/>
      <x:c r="N17" s="211"/>
    </x:row>
    <x:row r="18">
      <x:c r="A18" s="211"/>
      <x:c r="B18" s="211"/>
      <x:c r="C18" s="211"/>
      <x:c r="D18" s="211"/>
      <x:c r="E18" s="211"/>
      <x:c r="F18" s="211"/>
      <x:c r="G18" s="211"/>
      <x:c r="H18" s="211"/>
      <x:c r="I18" s="211"/>
      <x:c r="J18" s="211"/>
      <x:c r="K18" s="211"/>
      <x:c r="L18" s="211"/>
      <x:c r="M18" s="211"/>
      <x:c r="N18" s="211"/>
    </x:row>
    <x:row r="19">
      <x:c r="A19" s="211"/>
      <x:c r="B19" s="211"/>
      <x:c r="C19" s="211"/>
      <x:c r="D19" s="211"/>
      <x:c r="E19" s="211"/>
      <x:c r="F19" s="211"/>
      <x:c r="G19" s="211"/>
      <x:c r="H19" s="211"/>
      <x:c r="I19" s="211"/>
      <x:c r="J19" s="211"/>
      <x:c r="K19" s="211"/>
      <x:c r="L19" s="211"/>
      <x:c r="M19" s="211"/>
      <x:c r="N19" s="211"/>
    </x:row>
    <x:row r="20">
      <x:c r="A20" s="211"/>
      <x:c r="B20" s="211"/>
      <x:c r="C20" s="211"/>
      <x:c r="D20" s="211"/>
      <x:c r="E20" s="211"/>
      <x:c r="F20" s="211"/>
      <x:c r="G20" s="211"/>
      <x:c r="H20" s="211"/>
      <x:c r="I20" s="211"/>
      <x:c r="J20" s="211"/>
      <x:c r="K20" s="211"/>
      <x:c r="L20" s="211"/>
      <x:c r="M20" s="211"/>
      <x:c r="N20" s="211"/>
    </x:row>
    <x:row r="21">
      <x:c r="A21" s="211"/>
      <x:c r="B21" s="211"/>
      <x:c r="C21" s="211"/>
      <x:c r="D21" s="211"/>
      <x:c r="E21" s="211"/>
      <x:c r="F21" s="211"/>
      <x:c r="G21" s="211"/>
      <x:c r="H21" s="211"/>
      <x:c r="I21" s="211"/>
      <x:c r="J21" s="211"/>
      <x:c r="K21" s="211"/>
      <x:c r="L21" s="211"/>
      <x:c r="M21" s="211"/>
      <x:c r="N21" s="211"/>
    </x:row>
    <x:row r="22">
      <x:c r="A22" s="211"/>
      <x:c r="B22" s="211"/>
      <x:c r="C22" s="211"/>
      <x:c r="D22" s="211"/>
      <x:c r="E22" s="211"/>
      <x:c r="F22" s="211"/>
      <x:c r="G22" s="211"/>
      <x:c r="H22" s="211"/>
      <x:c r="I22" s="211"/>
      <x:c r="J22" s="211"/>
      <x:c r="K22" s="211"/>
      <x:c r="L22" s="211"/>
      <x:c r="M22" s="211"/>
      <x:c r="N22" s="211"/>
    </x:row>
    <x:row r="23">
      <x:c r="A23" s="211"/>
      <x:c r="B23" s="211"/>
      <x:c r="C23" s="211"/>
      <x:c r="D23" s="211"/>
      <x:c r="E23" s="211"/>
      <x:c r="F23" s="211"/>
      <x:c r="G23" s="211"/>
      <x:c r="H23" s="211"/>
      <x:c r="I23" s="211"/>
      <x:c r="J23" s="211"/>
      <x:c r="K23" s="211"/>
      <x:c r="L23" s="211"/>
      <x:c r="M23" s="211"/>
      <x:c r="N23" s="211"/>
    </x:row>
    <x:row r="24">
      <x:c r="A24" s="211"/>
      <x:c r="B24" s="211"/>
      <x:c r="C24" s="211"/>
      <x:c r="D24" s="211"/>
      <x:c r="E24" s="211"/>
      <x:c r="F24" s="211"/>
      <x:c r="G24" s="211"/>
      <x:c r="H24" s="211"/>
      <x:c r="I24" s="211"/>
      <x:c r="J24" s="211"/>
      <x:c r="K24" s="211"/>
      <x:c r="L24" s="211"/>
      <x:c r="M24" s="211"/>
      <x:c r="N24" s="211"/>
    </x:row>
    <x:row r="25">
      <x:c r="A25" s="211"/>
      <x:c r="B25" s="211"/>
      <x:c r="C25" s="211"/>
      <x:c r="D25" s="211"/>
      <x:c r="E25" s="211"/>
      <x:c r="F25" s="211"/>
      <x:c r="G25" s="211"/>
      <x:c r="H25" s="211"/>
      <x:c r="I25" s="211"/>
      <x:c r="J25" s="211"/>
      <x:c r="K25" s="211"/>
      <x:c r="L25" s="211"/>
      <x:c r="M25" s="211"/>
      <x:c r="N25" s="211"/>
    </x:row>
    <x:row r="26">
      <x:c r="A26" s="211"/>
      <x:c r="B26" s="211"/>
      <x:c r="C26" s="211"/>
      <x:c r="D26" s="211"/>
      <x:c r="E26" s="211"/>
      <x:c r="F26" s="211"/>
      <x:c r="G26" s="211"/>
      <x:c r="H26" s="211"/>
      <x:c r="I26" s="211"/>
      <x:c r="J26" s="211"/>
      <x:c r="K26" s="211"/>
      <x:c r="L26" s="211"/>
      <x:c r="M26" s="211"/>
      <x:c r="N26" s="211"/>
    </x:row>
    <x:row r="27">
      <x:c r="A27" s="211"/>
      <x:c r="B27" s="211"/>
      <x:c r="C27" s="211"/>
      <x:c r="D27" s="211"/>
      <x:c r="E27" s="211"/>
      <x:c r="F27" s="211"/>
      <x:c r="G27" s="211"/>
      <x:c r="H27" s="211"/>
      <x:c r="I27" s="211"/>
      <x:c r="J27" s="211"/>
      <x:c r="K27" s="211"/>
      <x:c r="L27" s="211"/>
      <x:c r="M27" s="211"/>
      <x:c r="N27" s="211"/>
    </x:row>
    <x:row r="28">
      <x:c r="A28" s="211"/>
      <x:c r="B28" s="211"/>
      <x:c r="C28" s="211"/>
      <x:c r="D28" s="211"/>
      <x:c r="E28" s="211"/>
      <x:c r="F28" s="211"/>
      <x:c r="G28" s="211"/>
      <x:c r="H28" s="211"/>
      <x:c r="I28" s="211"/>
      <x:c r="J28" s="211"/>
      <x:c r="K28" s="211"/>
      <x:c r="L28" s="211"/>
      <x:c r="M28" s="211"/>
      <x:c r="N28" s="211"/>
    </x:row>
    <x:row r="29">
      <x:c r="A29" s="211"/>
      <x:c r="B29" s="211"/>
      <x:c r="C29" s="211"/>
      <x:c r="D29" s="211"/>
      <x:c r="E29" s="211"/>
      <x:c r="F29" s="211"/>
      <x:c r="G29" s="211"/>
      <x:c r="H29" s="211"/>
      <x:c r="I29" s="211"/>
      <x:c r="J29" s="211"/>
      <x:c r="K29" s="211"/>
      <x:c r="L29" s="211"/>
      <x:c r="M29" s="211"/>
      <x:c r="N29" s="211"/>
    </x:row>
    <x:row r="30">
      <x:c r="A30" s="211"/>
      <x:c r="B30" s="211"/>
      <x:c r="C30" s="211"/>
      <x:c r="D30" s="211"/>
      <x:c r="E30" s="211"/>
      <x:c r="F30" s="211"/>
      <x:c r="G30" s="211"/>
      <x:c r="H30" s="211"/>
      <x:c r="I30" s="211"/>
      <x:c r="J30" s="211"/>
      <x:c r="K30" s="211"/>
      <x:c r="L30" s="211"/>
      <x:c r="M30" s="211"/>
      <x:c r="N30" s="211"/>
    </x:row>
    <x:row r="31">
      <x:c r="A31" s="211"/>
      <x:c r="B31" s="211"/>
      <x:c r="C31" s="211"/>
      <x:c r="D31" s="211"/>
      <x:c r="E31" s="211"/>
      <x:c r="F31" s="211"/>
      <x:c r="G31" s="211"/>
      <x:c r="H31" s="211"/>
      <x:c r="I31" s="211"/>
      <x:c r="J31" s="211"/>
      <x:c r="K31" s="211"/>
      <x:c r="L31" s="211"/>
      <x:c r="M31" s="211"/>
      <x:c r="N31" s="211"/>
    </x:row>
    <x:row r="32">
      <x:c r="A32" s="211"/>
      <x:c r="B32" s="211"/>
      <x:c r="C32" s="211"/>
      <x:c r="D32" s="211"/>
      <x:c r="E32" s="211"/>
      <x:c r="F32" s="211"/>
      <x:c r="G32" s="211"/>
      <x:c r="H32" s="211"/>
      <x:c r="I32" s="211"/>
      <x:c r="J32" s="211"/>
      <x:c r="K32" s="211"/>
      <x:c r="L32" s="211"/>
      <x:c r="M32" s="211"/>
      <x:c r="N32" s="211"/>
    </x:row>
    <x:row r="33">
      <x:c r="A33" s="211"/>
      <x:c r="B33" s="211"/>
      <x:c r="C33" s="211"/>
      <x:c r="D33" s="211"/>
      <x:c r="E33" s="211"/>
      <x:c r="F33" s="211"/>
      <x:c r="G33" s="211"/>
      <x:c r="H33" s="211"/>
      <x:c r="I33" s="211"/>
      <x:c r="J33" s="211"/>
      <x:c r="K33" s="211"/>
      <x:c r="L33" s="211"/>
      <x:c r="M33" s="211"/>
      <x:c r="N33" s="211"/>
    </x:row>
    <x:row r="34">
      <x:c r="A34" s="211"/>
      <x:c r="B34" s="211"/>
      <x:c r="C34" s="211"/>
      <x:c r="D34" s="211"/>
      <x:c r="E34" s="211"/>
      <x:c r="F34" s="211"/>
      <x:c r="G34" s="211"/>
      <x:c r="H34" s="211"/>
      <x:c r="I34" s="211"/>
      <x:c r="J34" s="211"/>
      <x:c r="K34" s="211"/>
      <x:c r="L34" s="211"/>
      <x:c r="M34" s="211"/>
      <x:c r="N34" s="211"/>
    </x:row>
    <x:row r="35">
      <x:c r="A35" s="211"/>
      <x:c r="B35" s="211"/>
      <x:c r="C35" s="211"/>
      <x:c r="D35" s="211"/>
      <x:c r="E35" s="211"/>
      <x:c r="F35" s="211"/>
      <x:c r="G35" s="211"/>
      <x:c r="H35" s="211"/>
      <x:c r="I35" s="211"/>
      <x:c r="J35" s="211"/>
      <x:c r="K35" s="211"/>
      <x:c r="L35" s="211"/>
      <x:c r="M35" s="211"/>
      <x:c r="N35" s="211"/>
    </x:row>
    <x:row r="36">
      <x:c r="A36" s="211"/>
      <x:c r="B36" s="211"/>
      <x:c r="C36" s="211"/>
      <x:c r="D36" s="211"/>
      <x:c r="E36" s="211"/>
      <x:c r="F36" s="211"/>
      <x:c r="G36" s="211"/>
      <x:c r="H36" s="211"/>
      <x:c r="I36" s="211"/>
      <x:c r="J36" s="211"/>
      <x:c r="K36" s="211"/>
      <x:c r="L36" s="211"/>
      <x:c r="M36" s="211"/>
      <x:c r="N36" s="211"/>
    </x:row>
    <x:row r="37">
      <x:c r="A37" s="211"/>
      <x:c r="B37" s="211"/>
      <x:c r="C37" s="211"/>
      <x:c r="D37" s="211"/>
      <x:c r="E37" s="211"/>
      <x:c r="F37" s="211"/>
      <x:c r="G37" s="211"/>
      <x:c r="H37" s="211"/>
      <x:c r="I37" s="211"/>
      <x:c r="J37" s="211"/>
      <x:c r="K37" s="211"/>
      <x:c r="L37" s="211"/>
      <x:c r="M37" s="211"/>
      <x:c r="N37" s="211"/>
    </x:row>
    <x:row r="38">
      <x:c r="A38" s="211"/>
      <x:c r="B38" s="211"/>
      <x:c r="C38" s="211"/>
      <x:c r="D38" s="211"/>
      <x:c r="E38" s="211"/>
      <x:c r="F38" s="211"/>
      <x:c r="G38" s="211"/>
      <x:c r="H38" s="211"/>
      <x:c r="I38" s="211"/>
      <x:c r="J38" s="211"/>
      <x:c r="K38" s="211"/>
      <x:c r="L38" s="211"/>
      <x:c r="M38" s="211"/>
      <x:c r="N38" s="211"/>
    </x:row>
    <x:row r="39">
      <x:c r="A39" s="211"/>
      <x:c r="B39" s="211"/>
      <x:c r="C39" s="211"/>
      <x:c r="D39" s="211"/>
      <x:c r="E39" s="211"/>
      <x:c r="F39" s="211"/>
      <x:c r="G39" s="211"/>
      <x:c r="H39" s="211"/>
      <x:c r="I39" s="211"/>
      <x:c r="J39" s="211"/>
      <x:c r="K39" s="211"/>
      <x:c r="L39" s="211"/>
      <x:c r="M39" s="211"/>
      <x:c r="N39" s="211"/>
    </x:row>
    <x:row r="40">
      <x:c r="A40" s="211"/>
      <x:c r="B40" s="211"/>
      <x:c r="C40" s="211"/>
      <x:c r="D40" s="211"/>
      <x:c r="E40" s="211"/>
      <x:c r="F40" s="211"/>
      <x:c r="G40" s="211"/>
      <x:c r="H40" s="211"/>
      <x:c r="I40" s="211"/>
      <x:c r="J40" s="211"/>
      <x:c r="K40" s="211"/>
      <x:c r="L40" s="211"/>
      <x:c r="M40" s="211"/>
      <x:c r="N40" s="211"/>
    </x:row>
    <x:row r="41">
      <x:c r="A41" s="211"/>
      <x:c r="B41" s="211"/>
      <x:c r="C41" s="211"/>
      <x:c r="D41" s="211"/>
      <x:c r="E41" s="211"/>
      <x:c r="F41" s="211"/>
      <x:c r="G41" s="211"/>
      <x:c r="H41" s="211"/>
      <x:c r="I41" s="211"/>
      <x:c r="J41" s="211"/>
      <x:c r="K41" s="211"/>
      <x:c r="L41" s="211"/>
      <x:c r="M41" s="211"/>
      <x:c r="N41" s="211"/>
    </x:row>
    <x:row r="42">
      <x:c r="A42" s="211"/>
      <x:c r="B42" s="211"/>
      <x:c r="C42" s="211"/>
      <x:c r="D42" s="211"/>
      <x:c r="E42" s="211"/>
      <x:c r="F42" s="211"/>
      <x:c r="G42" s="211"/>
      <x:c r="H42" s="211"/>
      <x:c r="I42" s="211"/>
      <x:c r="J42" s="211"/>
      <x:c r="K42" s="211"/>
      <x:c r="L42" s="211"/>
      <x:c r="M42" s="211"/>
      <x:c r="N42" s="211"/>
    </x:row>
    <x:row r="43">
      <x:c r="A43" s="211"/>
      <x:c r="B43" s="211"/>
      <x:c r="C43" s="211"/>
      <x:c r="D43" s="211"/>
      <x:c r="E43" s="211"/>
      <x:c r="F43" s="211"/>
      <x:c r="G43" s="211"/>
      <x:c r="H43" s="211"/>
      <x:c r="I43" s="211"/>
      <x:c r="J43" s="211"/>
      <x:c r="K43" s="211"/>
      <x:c r="L43" s="211"/>
      <x:c r="M43" s="211"/>
      <x:c r="N43" s="211"/>
    </x:row>
    <x:row r="44">
      <x:c r="A44" s="211"/>
      <x:c r="B44" s="211"/>
      <x:c r="C44" s="211"/>
      <x:c r="D44" s="211"/>
      <x:c r="E44" s="211"/>
      <x:c r="F44" s="211"/>
      <x:c r="G44" s="211"/>
      <x:c r="H44" s="211"/>
      <x:c r="I44" s="211"/>
      <x:c r="J44" s="211"/>
      <x:c r="K44" s="211"/>
      <x:c r="L44" s="211"/>
      <x:c r="M44" s="211"/>
      <x:c r="N44" s="211"/>
    </x:row>
    <x:row r="45">
      <x:c r="A45" s="211"/>
      <x:c r="B45" s="211"/>
      <x:c r="C45" s="211"/>
      <x:c r="D45" s="211"/>
      <x:c r="E45" s="211"/>
      <x:c r="F45" s="211"/>
      <x:c r="G45" s="211"/>
      <x:c r="H45" s="211"/>
      <x:c r="I45" s="211"/>
      <x:c r="J45" s="211"/>
      <x:c r="K45" s="211"/>
      <x:c r="L45" s="211"/>
      <x:c r="M45" s="211"/>
      <x:c r="N45" s="211"/>
    </x:row>
    <x:row r="46">
      <x:c r="A46" s="211"/>
      <x:c r="B46" s="211"/>
      <x:c r="C46" s="211"/>
      <x:c r="D46" s="211"/>
      <x:c r="E46" s="211"/>
      <x:c r="F46" s="211"/>
      <x:c r="G46" s="211"/>
      <x:c r="H46" s="211"/>
      <x:c r="I46" s="211"/>
      <x:c r="J46" s="211"/>
      <x:c r="K46" s="211"/>
      <x:c r="L46" s="211"/>
      <x:c r="M46" s="211"/>
      <x:c r="N46" s="211"/>
    </x:row>
    <x:row r="47">
      <x:c r="A47" s="211"/>
      <x:c r="B47" s="211"/>
      <x:c r="C47" s="211"/>
      <x:c r="D47" s="211"/>
      <x:c r="E47" s="211"/>
      <x:c r="F47" s="211"/>
      <x:c r="G47" s="211"/>
      <x:c r="H47" s="211"/>
      <x:c r="I47" s="211"/>
      <x:c r="J47" s="211"/>
      <x:c r="K47" s="211"/>
      <x:c r="L47" s="211"/>
      <x:c r="M47" s="211"/>
      <x:c r="N47" s="211"/>
    </x:row>
    <x:row r="48">
      <x:c r="A48" s="211"/>
      <x:c r="B48" s="211"/>
      <x:c r="C48" s="211"/>
      <x:c r="D48" s="211"/>
      <x:c r="E48" s="211"/>
      <x:c r="F48" s="211"/>
      <x:c r="G48" s="211"/>
      <x:c r="H48" s="211"/>
      <x:c r="I48" s="211"/>
      <x:c r="J48" s="211"/>
      <x:c r="K48" s="211"/>
      <x:c r="L48" s="211"/>
      <x:c r="M48" s="211"/>
      <x:c r="N48" s="211"/>
    </x:row>
    <x:row r="49">
      <x:c r="A49" s="211"/>
      <x:c r="B49" s="211"/>
      <x:c r="C49" s="211"/>
      <x:c r="D49" s="211"/>
      <x:c r="E49" s="211"/>
      <x:c r="F49" s="211"/>
      <x:c r="G49" s="211"/>
      <x:c r="H49" s="211"/>
      <x:c r="I49" s="211"/>
      <x:c r="J49" s="211"/>
      <x:c r="K49" s="211"/>
      <x:c r="L49" s="211"/>
      <x:c r="M49" s="211"/>
      <x:c r="N49" s="211"/>
    </x:row>
    <x:row r="50">
      <x:c r="A50" s="211"/>
      <x:c r="B50" s="211"/>
      <x:c r="C50" s="211"/>
      <x:c r="D50" s="211"/>
      <x:c r="E50" s="211"/>
      <x:c r="F50" s="211"/>
      <x:c r="G50" s="211"/>
      <x:c r="H50" s="211"/>
      <x:c r="I50" s="211"/>
      <x:c r="J50" s="211"/>
      <x:c r="K50" s="211"/>
      <x:c r="L50" s="211"/>
      <x:c r="M50" s="211"/>
      <x:c r="N50" s="211"/>
    </x:row>
    <x:row r="51">
      <x:c r="A51" s="211"/>
      <x:c r="B51" s="211"/>
      <x:c r="C51" s="211"/>
      <x:c r="D51" s="211"/>
      <x:c r="E51" s="211"/>
      <x:c r="F51" s="211"/>
      <x:c r="G51" s="211"/>
      <x:c r="H51" s="211"/>
      <x:c r="I51" s="211"/>
      <x:c r="J51" s="211"/>
      <x:c r="K51" s="211"/>
      <x:c r="L51" s="211"/>
      <x:c r="M51" s="211"/>
      <x:c r="N51" s="211"/>
    </x:row>
    <x:row r="52">
      <x:c r="A52" s="211"/>
      <x:c r="B52" s="211"/>
      <x:c r="C52" s="211"/>
      <x:c r="D52" s="211"/>
      <x:c r="E52" s="211"/>
      <x:c r="F52" s="211"/>
      <x:c r="G52" s="211"/>
      <x:c r="H52" s="211"/>
      <x:c r="I52" s="211"/>
      <x:c r="J52" s="211"/>
      <x:c r="K52" s="211"/>
      <x:c r="L52" s="211"/>
      <x:c r="M52" s="211"/>
      <x:c r="N52" s="211"/>
    </x:row>
    <x:row r="53">
      <x:c r="A53" s="211"/>
      <x:c r="B53" s="211"/>
      <x:c r="C53" s="211"/>
      <x:c r="D53" s="211"/>
      <x:c r="E53" s="211"/>
      <x:c r="F53" s="211"/>
      <x:c r="G53" s="211"/>
      <x:c r="H53" s="211"/>
      <x:c r="I53" s="211"/>
      <x:c r="J53" s="211"/>
      <x:c r="K53" s="211"/>
      <x:c r="L53" s="211"/>
      <x:c r="M53" s="211"/>
      <x:c r="N53" s="211"/>
    </x:row>
    <x:row r="54">
      <x:c r="A54" s="52" t="str">
        <x:v>Fontes: https://data.anbima.com.br/publicacoes/fundos-de-investimento/dashboard-de-fidcs | https://dados.cvm.gov.br/dados/FIDC/DOC/INF_MENSAL/DADOS/. Classificação banco × independente é input editável em Classif Gestoras.</x:v>
      </x:c>
      <x:c r="B54" s="52" t="str">
        <x:v>Fontes: https://data.anbima.com.br/publicacoes/fundos-de-investimento/dashboard-de-fidcs | https://dados.cvm.gov.br/dados/FIDC/DOC/INF_MENSAL/DADOS/. Classificação banco × independente é input editável em Classif Gestoras.</x:v>
      </x:c>
      <x:c r="C54" s="52" t="str">
        <x:v>Fontes: https://data.anbima.com.br/publicacoes/fundos-de-investimento/dashboard-de-fidcs | https://dados.cvm.gov.br/dados/FIDC/DOC/INF_MENSAL/DADOS/. Classificação banco × independente é input editável em Classif Gestoras.</x:v>
      </x:c>
      <x:c r="D54" s="52" t="str">
        <x:v>Fontes: https://data.anbima.com.br/publicacoes/fundos-de-investimento/dashboard-de-fidcs | https://dados.cvm.gov.br/dados/FIDC/DOC/INF_MENSAL/DADOS/. Classificação banco × independente é input editável em Classif Gestoras.</x:v>
      </x:c>
      <x:c r="E54" s="52" t="str">
        <x:v>Fontes: https://data.anbima.com.br/publicacoes/fundos-de-investimento/dashboard-de-fidcs | https://dados.cvm.gov.br/dados/FIDC/DOC/INF_MENSAL/DADOS/. Classificação banco × independente é input editável em Classif Gestoras.</x:v>
      </x:c>
      <x:c r="F54" s="52" t="str">
        <x:v>Fontes: https://data.anbima.com.br/publicacoes/fundos-de-investimento/dashboard-de-fidcs | https://dados.cvm.gov.br/dados/FIDC/DOC/INF_MENSAL/DADOS/. Classificação banco × independente é input editável em Classif Gestoras.</x:v>
      </x:c>
      <x:c r="G54" s="52" t="str">
        <x:v>Fontes: https://data.anbima.com.br/publicacoes/fundos-de-investimento/dashboard-de-fidcs | https://dados.cvm.gov.br/dados/FIDC/DOC/INF_MENSAL/DADOS/. Classificação banco × independente é input editável em Classif Gestoras.</x:v>
      </x:c>
      <x:c r="H54" s="52" t="str">
        <x:v>Fontes: https://data.anbima.com.br/publicacoes/fundos-de-investimento/dashboard-de-fidcs | https://dados.cvm.gov.br/dados/FIDC/DOC/INF_MENSAL/DADOS/. Classificação banco × independente é input editável em Classif Gestoras.</x:v>
      </x:c>
      <x:c r="I54" s="52" t="str">
        <x:v>Fontes: https://data.anbima.com.br/publicacoes/fundos-de-investimento/dashboard-de-fidcs | https://dados.cvm.gov.br/dados/FIDC/DOC/INF_MENSAL/DADOS/. Classificação banco × independente é input editável em Classif Gestoras.</x:v>
      </x:c>
      <x:c r="J54" s="52" t="str">
        <x:v>Fontes: https://data.anbima.com.br/publicacoes/fundos-de-investimento/dashboard-de-fidcs | https://dados.cvm.gov.br/dados/FIDC/DOC/INF_MENSAL/DADOS/. Classificação banco × independente é input editável em Classif Gestoras.</x:v>
      </x:c>
      <x:c r="K54" s="52" t="str">
        <x:v>Fontes: https://data.anbima.com.br/publicacoes/fundos-de-investimento/dashboard-de-fidcs | https://dados.cvm.gov.br/dados/FIDC/DOC/INF_MENSAL/DADOS/. Classificação banco × independente é input editável em Classif Gestoras.</x:v>
      </x:c>
      <x:c r="L54" s="52" t="str">
        <x:v>Fontes: https://data.anbima.com.br/publicacoes/fundos-de-investimento/dashboard-de-fidcs | https://dados.cvm.gov.br/dados/FIDC/DOC/INF_MENSAL/DADOS/. Classificação banco × independente é input editável em Classif Gestoras.</x:v>
      </x:c>
      <x:c r="M54" s="52" t="str">
        <x:v>Fontes: https://data.anbima.com.br/publicacoes/fundos-de-investimento/dashboard-de-fidcs | https://dados.cvm.gov.br/dados/FIDC/DOC/INF_MENSAL/DADOS/. Classificação banco × independente é input editável em Classif Gestoras.</x:v>
      </x:c>
      <x:c r="N54" s="52" t="str">
        <x:v>Fontes: https://data.anbima.com.br/publicacoes/fundos-de-investimento/dashboard-de-fidcs | https://dados.cvm.gov.br/dados/FIDC/DOC/INF_MENSAL/DADOS/. Classificação banco × independente é input editável em Classif Gestoras.</x:v>
      </x:c>
    </x:row>
    <x:row r="55">
      <x:c r="A55" s="52" t="str">
        <x:v>Fontes: https://data.anbima.com.br/publicacoes/fundos-de-investimento/dashboard-de-fidcs | https://dados.cvm.gov.br/dados/FIDC/DOC/INF_MENSAL/DADOS/. Classificação banco × independente é input editável em Classif Gestoras.</x:v>
      </x:c>
      <x:c r="B55" s="52" t="str">
        <x:v>Fontes: https://data.anbima.com.br/publicacoes/fundos-de-investimento/dashboard-de-fidcs | https://dados.cvm.gov.br/dados/FIDC/DOC/INF_MENSAL/DADOS/. Classificação banco × independente é input editável em Classif Gestoras.</x:v>
      </x:c>
      <x:c r="C55" s="52" t="str">
        <x:v>Fontes: https://data.anbima.com.br/publicacoes/fundos-de-investimento/dashboard-de-fidcs | https://dados.cvm.gov.br/dados/FIDC/DOC/INF_MENSAL/DADOS/. Classificação banco × independente é input editável em Classif Gestoras.</x:v>
      </x:c>
      <x:c r="D55" s="52" t="str">
        <x:v>Fontes: https://data.anbima.com.br/publicacoes/fundos-de-investimento/dashboard-de-fidcs | https://dados.cvm.gov.br/dados/FIDC/DOC/INF_MENSAL/DADOS/. Classificação banco × independente é input editável em Classif Gestoras.</x:v>
      </x:c>
      <x:c r="E55" s="52" t="str">
        <x:v>Fontes: https://data.anbima.com.br/publicacoes/fundos-de-investimento/dashboard-de-fidcs | https://dados.cvm.gov.br/dados/FIDC/DOC/INF_MENSAL/DADOS/. Classificação banco × independente é input editável em Classif Gestoras.</x:v>
      </x:c>
      <x:c r="F55" s="52" t="str">
        <x:v>Fontes: https://data.anbima.com.br/publicacoes/fundos-de-investimento/dashboard-de-fidcs | https://dados.cvm.gov.br/dados/FIDC/DOC/INF_MENSAL/DADOS/. Classificação banco × independente é input editável em Classif Gestoras.</x:v>
      </x:c>
      <x:c r="G55" s="52" t="str">
        <x:v>Fontes: https://data.anbima.com.br/publicacoes/fundos-de-investimento/dashboard-de-fidcs | https://dados.cvm.gov.br/dados/FIDC/DOC/INF_MENSAL/DADOS/. Classificação banco × independente é input editável em Classif Gestoras.</x:v>
      </x:c>
      <x:c r="H55" s="52" t="str">
        <x:v>Fontes: https://data.anbima.com.br/publicacoes/fundos-de-investimento/dashboard-de-fidcs | https://dados.cvm.gov.br/dados/FIDC/DOC/INF_MENSAL/DADOS/. Classificação banco × independente é input editável em Classif Gestoras.</x:v>
      </x:c>
      <x:c r="I55" s="52" t="str">
        <x:v>Fontes: https://data.anbima.com.br/publicacoes/fundos-de-investimento/dashboard-de-fidcs | https://dados.cvm.gov.br/dados/FIDC/DOC/INF_MENSAL/DADOS/. Classificação banco × independente é input editável em Classif Gestoras.</x:v>
      </x:c>
      <x:c r="J55" s="52" t="str">
        <x:v>Fontes: https://data.anbima.com.br/publicacoes/fundos-de-investimento/dashboard-de-fidcs | https://dados.cvm.gov.br/dados/FIDC/DOC/INF_MENSAL/DADOS/. Classificação banco × independente é input editável em Classif Gestoras.</x:v>
      </x:c>
      <x:c r="K55" s="52" t="str">
        <x:v>Fontes: https://data.anbima.com.br/publicacoes/fundos-de-investimento/dashboard-de-fidcs | https://dados.cvm.gov.br/dados/FIDC/DOC/INF_MENSAL/DADOS/. Classificação banco × independente é input editável em Classif Gestoras.</x:v>
      </x:c>
      <x:c r="L55" s="52" t="str">
        <x:v>Fontes: https://data.anbima.com.br/publicacoes/fundos-de-investimento/dashboard-de-fidcs | https://dados.cvm.gov.br/dados/FIDC/DOC/INF_MENSAL/DADOS/. Classificação banco × independente é input editável em Classif Gestoras.</x:v>
      </x:c>
      <x:c r="M55" s="52" t="str">
        <x:v>Fontes: https://data.anbima.com.br/publicacoes/fundos-de-investimento/dashboard-de-fidcs | https://dados.cvm.gov.br/dados/FIDC/DOC/INF_MENSAL/DADOS/. Classificação banco × independente é input editável em Classif Gestoras.</x:v>
      </x:c>
      <x:c r="N55" s="52" t="str">
        <x:v>Fontes: https://data.anbima.com.br/publicacoes/fundos-de-investimento/dashboard-de-fidcs | https://dados.cvm.gov.br/dados/FIDC/DOC/INF_MENSAL/DADOS/. Classificação banco × independente é input editável em Classif Gestoras.</x:v>
      </x:c>
    </x:row>
    <x:row r="56">
      <x:c r="A56" s="52" t="str">
        <x:v>Fontes: https://data.anbima.com.br/publicacoes/fundos-de-investimento/dashboard-de-fidcs | https://dados.cvm.gov.br/dados/FIDC/DOC/INF_MENSAL/DADOS/. Classificação banco × independente é input editável em Classif Gestoras.</x:v>
      </x:c>
      <x:c r="B56" s="52" t="str">
        <x:v>Fontes: https://data.anbima.com.br/publicacoes/fundos-de-investimento/dashboard-de-fidcs | https://dados.cvm.gov.br/dados/FIDC/DOC/INF_MENSAL/DADOS/. Classificação banco × independente é input editável em Classif Gestoras.</x:v>
      </x:c>
      <x:c r="C56" s="52" t="str">
        <x:v>Fontes: https://data.anbima.com.br/publicacoes/fundos-de-investimento/dashboard-de-fidcs | https://dados.cvm.gov.br/dados/FIDC/DOC/INF_MENSAL/DADOS/. Classificação banco × independente é input editável em Classif Gestoras.</x:v>
      </x:c>
      <x:c r="D56" s="52" t="str">
        <x:v>Fontes: https://data.anbima.com.br/publicacoes/fundos-de-investimento/dashboard-de-fidcs | https://dados.cvm.gov.br/dados/FIDC/DOC/INF_MENSAL/DADOS/. Classificação banco × independente é input editável em Classif Gestoras.</x:v>
      </x:c>
      <x:c r="E56" s="52" t="str">
        <x:v>Fontes: https://data.anbima.com.br/publicacoes/fundos-de-investimento/dashboard-de-fidcs | https://dados.cvm.gov.br/dados/FIDC/DOC/INF_MENSAL/DADOS/. Classificação banco × independente é input editável em Classif Gestoras.</x:v>
      </x:c>
      <x:c r="F56" s="52" t="str">
        <x:v>Fontes: https://data.anbima.com.br/publicacoes/fundos-de-investimento/dashboard-de-fidcs | https://dados.cvm.gov.br/dados/FIDC/DOC/INF_MENSAL/DADOS/. Classificação banco × independente é input editável em Classif Gestoras.</x:v>
      </x:c>
      <x:c r="G56" s="52" t="str">
        <x:v>Fontes: https://data.anbima.com.br/publicacoes/fundos-de-investimento/dashboard-de-fidcs | https://dados.cvm.gov.br/dados/FIDC/DOC/INF_MENSAL/DADOS/. Classificação banco × independente é input editável em Classif Gestoras.</x:v>
      </x:c>
      <x:c r="H56" s="52" t="str">
        <x:v>Fontes: https://data.anbima.com.br/publicacoes/fundos-de-investimento/dashboard-de-fidcs | https://dados.cvm.gov.br/dados/FIDC/DOC/INF_MENSAL/DADOS/. Classificação banco × independente é input editável em Classif Gestoras.</x:v>
      </x:c>
      <x:c r="I56" s="52" t="str">
        <x:v>Fontes: https://data.anbima.com.br/publicacoes/fundos-de-investimento/dashboard-de-fidcs | https://dados.cvm.gov.br/dados/FIDC/DOC/INF_MENSAL/DADOS/. Classificação banco × independente é input editável em Classif Gestoras.</x:v>
      </x:c>
      <x:c r="J56" s="52" t="str">
        <x:v>Fontes: https://data.anbima.com.br/publicacoes/fundos-de-investimento/dashboard-de-fidcs | https://dados.cvm.gov.br/dados/FIDC/DOC/INF_MENSAL/DADOS/. Classificação banco × independente é input editável em Classif Gestoras.</x:v>
      </x:c>
      <x:c r="K56" s="52" t="str">
        <x:v>Fontes: https://data.anbima.com.br/publicacoes/fundos-de-investimento/dashboard-de-fidcs | https://dados.cvm.gov.br/dados/FIDC/DOC/INF_MENSAL/DADOS/. Classificação banco × independente é input editável em Classif Gestoras.</x:v>
      </x:c>
      <x:c r="L56" s="52" t="str">
        <x:v>Fontes: https://data.anbima.com.br/publicacoes/fundos-de-investimento/dashboard-de-fidcs | https://dados.cvm.gov.br/dados/FIDC/DOC/INF_MENSAL/DADOS/. Classificação banco × independente é input editável em Classif Gestoras.</x:v>
      </x:c>
      <x:c r="M56" s="52" t="str">
        <x:v>Fontes: https://data.anbima.com.br/publicacoes/fundos-de-investimento/dashboard-de-fidcs | https://dados.cvm.gov.br/dados/FIDC/DOC/INF_MENSAL/DADOS/. Classificação banco × independente é input editável em Classif Gestoras.</x:v>
      </x:c>
      <x:c r="N56" s="52" t="str">
        <x:v>Fontes: https://data.anbima.com.br/publicacoes/fundos-de-investimento/dashboard-de-fidcs | https://dados.cvm.gov.br/dados/FIDC/DOC/INF_MENSAL/DADOS/. Classificação banco × independente é input editável em Classif Gestoras.</x:v>
      </x:c>
    </x:row>
  </x:sheetData>
  <x:mergeCells>
    <x:mergeCell ref="A1:N2"/>
    <x:mergeCell ref="A3:N3"/>
    <x:mergeCell ref="A5:C5"/>
    <x:mergeCell ref="A6:C8"/>
    <x:mergeCell ref="D5:F5"/>
    <x:mergeCell ref="D6:F8"/>
    <x:mergeCell ref="G5:I5"/>
    <x:mergeCell ref="G6:I8"/>
    <x:mergeCell ref="J5:L5"/>
    <x:mergeCell ref="J6:L8"/>
    <x:mergeCell ref="M5:N8"/>
    <x:mergeCell ref="A54:N56"/>
  </x:mergeCells>
  <x:pageMargins left="0.7" right="0.7" top="0.75" bottom="0.75" header="0.3" footer="0.3"/>
  <x:drawing xmlns:r="http://schemas.openxmlformats.org/officeDocument/2006/relationships" r:id="R7246cbc5207b458b"/>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7" hidden="0" customWidth="1"/>
    <x:col min="3" max="3" width="17" hidden="0" customWidth="1"/>
    <x:col min="4" max="4" width="43" hidden="0" customWidth="1"/>
    <x:col min="6" max="6" width="18" hidden="0" customWidth="1"/>
    <x:col min="7" max="7" width="20" hidden="0" customWidth="1"/>
    <x:col min="9" max="9" width="22" hidden="0" customWidth="1"/>
    <x:col min="10" max="10" width="16" hidden="0" customWidth="1"/>
  </x:cols>
  <x:sheetData>
    <x:row r="1" ht="30" customHeight="1">
      <x:c r="A1" s="4" t="str">
        <x:v>O PL atingiu R$ 751,1 bi em maio/2026; avanço YTD de 0,8%</x:v>
      </x:c>
      <x:c r="B1" s="4" t="str">
        <x:v>O PL atingiu R$ 751,1 bi em maio/2026; avanço YTD de 0,8%</x:v>
      </x:c>
      <x:c r="C1" s="4" t="str">
        <x:v>O PL atingiu R$ 751,1 bi em maio/2026; avanço YTD de 0,8%</x:v>
      </x:c>
      <x:c r="D1" s="4" t="str">
        <x:v>O PL atingiu R$ 751,1 bi em maio/2026; avanço YTD de 0,8%</x:v>
      </x:c>
      <x:c r="E1" s="4" t="str">
        <x:v>O PL atingiu R$ 751,1 bi em maio/2026; avanço YTD de 0,8%</x:v>
      </x:c>
      <x:c r="F1" s="4" t="str">
        <x:v>O PL atingiu R$ 751,1 bi em maio/2026; avanço YTD de 0,8%</x:v>
      </x:c>
      <x:c r="G1" s="4" t="str">
        <x:v>O PL atingiu R$ 751,1 bi em maio/2026; avanço YTD de 0,8%</x:v>
      </x:c>
      <x:c r="H1" s="4" t="str">
        <x:v>O PL atingiu R$ 751,1 bi em maio/2026; avanço YTD de 0,8%</x:v>
      </x:c>
      <x:c r="I1" s="4" t="str">
        <x:v>O PL atingiu R$ 751,1 bi em maio/2026; avanço YTD de 0,8%</x:v>
      </x:c>
      <x:c r="J1" s="4" t="str">
        <x:v>O PL atingiu R$ 751,1 bi em maio/2026; avanço YTD de 0,8%</x:v>
      </x:c>
      <x:c r="K1" s="4" t="str">
        <x:v>O PL atingiu R$ 751,1 bi em maio/2026; avanço YTD de 0,8%</x:v>
      </x:c>
      <x:c r="L1" s="4" t="str">
        <x:v>O PL atingiu R$ 751,1 bi em maio/2026; avanço YTD de 0,8%</x:v>
      </x:c>
      <x:c r="M1" s="4" t="str">
        <x:v>O PL atingiu R$ 751,1 bi em maio/2026; avanço YTD de 0,8%</x:v>
      </x:c>
      <x:c r="N1" s="4" t="str">
        <x:v>O PL atingiu R$ 751,1 bi em maio/2026; avanço YTD de 0,8%</x:v>
      </x:c>
    </x:row>
    <x:row r="2" ht="30" customHeight="1">
      <x:c r="A2" s="4" t="str">
        <x:v>O PL atingiu R$ 751,1 bi em maio/2026; avanço YTD de 0,8%</x:v>
      </x:c>
      <x:c r="B2" s="4" t="str">
        <x:v>O PL atingiu R$ 751,1 bi em maio/2026; avanço YTD de 0,8%</x:v>
      </x:c>
      <x:c r="C2" s="4" t="str">
        <x:v>O PL atingiu R$ 751,1 bi em maio/2026; avanço YTD de 0,8%</x:v>
      </x:c>
      <x:c r="D2" s="4" t="str">
        <x:v>O PL atingiu R$ 751,1 bi em maio/2026; avanço YTD de 0,8%</x:v>
      </x:c>
      <x:c r="E2" s="4" t="str">
        <x:v>O PL atingiu R$ 751,1 bi em maio/2026; avanço YTD de 0,8%</x:v>
      </x:c>
      <x:c r="F2" s="4" t="str">
        <x:v>O PL atingiu R$ 751,1 bi em maio/2026; avanço YTD de 0,8%</x:v>
      </x:c>
      <x:c r="G2" s="4" t="str">
        <x:v>O PL atingiu R$ 751,1 bi em maio/2026; avanço YTD de 0,8%</x:v>
      </x:c>
      <x:c r="H2" s="4" t="str">
        <x:v>O PL atingiu R$ 751,1 bi em maio/2026; avanço YTD de 0,8%</x:v>
      </x:c>
      <x:c r="I2" s="4" t="str">
        <x:v>O PL atingiu R$ 751,1 bi em maio/2026; avanço YTD de 0,8%</x:v>
      </x:c>
      <x:c r="J2" s="4" t="str">
        <x:v>O PL atingiu R$ 751,1 bi em maio/2026; avanço YTD de 0,8%</x:v>
      </x:c>
      <x:c r="K2" s="4" t="str">
        <x:v>O PL atingiu R$ 751,1 bi em maio/2026; avanço YTD de 0,8%</x:v>
      </x:c>
      <x:c r="L2" s="4" t="str">
        <x:v>O PL atingiu R$ 751,1 bi em maio/2026; avanço YTD de 0,8%</x:v>
      </x:c>
      <x:c r="M2" s="4" t="str">
        <x:v>O PL atingiu R$ 751,1 bi em maio/2026; avanço YTD de 0,8%</x:v>
      </x:c>
      <x:c r="N2" s="4" t="str">
        <x:v>O PL atingiu R$ 751,1 bi em maio/2026; avanço YTD de 0,8%</x:v>
      </x:c>
    </x:row>
    <x:row r="3">
      <x:c r="A3" s="211"/>
      <x:c r="B3" s="211"/>
      <x:c r="C3" s="211"/>
      <x:c r="D3" s="211"/>
      <x:c r="E3" s="211"/>
      <x:c r="F3" s="211"/>
      <x:c r="G3" s="211"/>
      <x:c r="H3" s="211"/>
      <x:c r="I3" s="211"/>
      <x:c r="J3" s="211"/>
      <x:c r="K3" s="211"/>
      <x:c r="L3" s="211"/>
      <x:c r="M3" s="211"/>
      <x:c r="N3" s="211"/>
    </x:row>
    <x:row r="4" ht="28" customHeight="1">
      <x:c r="A4" s="20" t="str">
        <x:v>Ano</x:v>
      </x:c>
      <x:c r="B4" s="21" t="str">
        <x:v>PL (R$ mm)</x:v>
      </x:c>
      <x:c r="C4" s="21" t="str">
        <x:v>Cresc. a/a</x:v>
      </x:c>
      <x:c r="D4" s="22" t="str">
        <x:v>Fonte</x:v>
      </x:c>
      <x:c r="E4" s="211"/>
      <x:c r="F4" s="20" t="str">
        <x:v>Período</x:v>
      </x:c>
      <x:c r="G4" s="22" t="str">
        <x:v>CAGR / crescimento</x:v>
      </x:c>
      <x:c r="H4" s="211"/>
      <x:c r="I4" s="20" t="str">
        <x:v>Indicador</x:v>
      </x:c>
      <x:c r="J4" s="22" t="str">
        <x:v>Valor</x:v>
      </x:c>
      <x:c r="K4" s="211"/>
      <x:c r="L4" s="211"/>
      <x:c r="M4" s="211"/>
      <x:c r="N4" s="211"/>
    </x:row>
    <x:row r="5">
      <x:c r="A5" s="110" t="n">
        <x:v>2013</x:v>
      </x:c>
      <x:c r="B5" s="113" t="n">
        <x:v>77000</x:v>
      </x:c>
      <x:c r="C5" s="116"/>
      <x:c r="D5" s="110" t="str">
        <x:v>Referência fornecida (histórico 2013–2023)</x:v>
      </x:c>
      <x:c r="E5" s="211"/>
      <x:c r="F5" s="110" t="str">
        <x:v>2013–2018</x:v>
      </x:c>
      <x:c r="G5" s="116" t="n">
        <x:f>(B10/B5)^(1/5)-1</x:f>
        <x:v>0.0964121033683023</x:v>
      </x:c>
      <x:c r="H5" s="211"/>
      <x:c r="I5" s="110" t="str">
        <x:v>PL atual (R$ bi)</x:v>
      </x:c>
      <x:c r="J5" s="119" t="n">
        <x:v>751.0884551581736</x:v>
      </x:c>
      <x:c r="K5" s="211"/>
      <x:c r="L5" s="211"/>
      <x:c r="M5" s="211"/>
      <x:c r="N5" s="211"/>
    </x:row>
    <x:row r="6">
      <x:c r="A6" s="111" t="n">
        <x:v>2014</x:v>
      </x:c>
      <x:c r="B6" s="114" t="n">
        <x:v>67000</x:v>
      </x:c>
      <x:c r="C6" s="117" t="n">
        <x:f>IFERROR(B6/B5-1,"")</x:f>
        <x:v>-0.1298701298701299</x:v>
      </x:c>
      <x:c r="D6" s="111" t="str">
        <x:v>Referência fornecida (histórico 2013–2023)</x:v>
      </x:c>
      <x:c r="E6" s="211"/>
      <x:c r="F6" s="111" t="str">
        <x:v>2019–2023</x:v>
      </x:c>
      <x:c r="G6" s="117" t="n">
        <x:f>(B15/B11)^(1/4)-1</x:f>
        <x:v>0.20211179359434683</x:v>
      </x:c>
      <x:c r="H6" s="211"/>
      <x:c r="I6" s="111" t="str">
        <x:v>PL 2025 (R$ bi)</x:v>
      </x:c>
      <x:c r="J6" s="120" t="n">
        <x:v>745.2873420566174</x:v>
      </x:c>
      <x:c r="K6" s="211"/>
      <x:c r="L6" s="211"/>
      <x:c r="M6" s="211"/>
      <x:c r="N6" s="211"/>
    </x:row>
    <x:row r="7">
      <x:c r="A7" s="111" t="n">
        <x:v>2015</x:v>
      </x:c>
      <x:c r="B7" s="114" t="n">
        <x:v>75000</x:v>
      </x:c>
      <x:c r="C7" s="117" t="n">
        <x:f>IFERROR(B7/B6-1,"")</x:f>
        <x:v>0.11940298507462677</x:v>
      </x:c>
      <x:c r="D7" s="111" t="str">
        <x:v>Referência fornecida (histórico 2013–2023)</x:v>
      </x:c>
      <x:c r="E7" s="211"/>
      <x:c r="F7" s="111" t="str">
        <x:v>2023–2025</x:v>
      </x:c>
      <x:c r="G7" s="117" t="n">
        <x:f>(B17/B15)^(1/2)-1</x:f>
        <x:v>0.3226869633249607</x:v>
      </x:c>
      <x:c r="H7" s="211"/>
      <x:c r="I7" s="112" t="str">
        <x:v>Data-base atual</x:v>
      </x:c>
      <x:c r="J7" s="112" t="str">
        <x:v>Mai/2026</x:v>
      </x:c>
      <x:c r="K7" s="211"/>
      <x:c r="L7" s="211"/>
      <x:c r="M7" s="211"/>
      <x:c r="N7" s="211"/>
    </x:row>
    <x:row r="8">
      <x:c r="A8" s="111" t="n">
        <x:v>2016</x:v>
      </x:c>
      <x:c r="B8" s="114" t="n">
        <x:v>87000</x:v>
      </x:c>
      <x:c r="C8" s="117" t="n">
        <x:f>IFERROR(B8/B7-1,"")</x:f>
        <x:v>0.15999999999999992</x:v>
      </x:c>
      <x:c r="D8" s="111" t="str">
        <x:v>Referência fornecida (histórico 2013–2023)</x:v>
      </x:c>
      <x:c r="E8" s="211"/>
      <x:c r="F8" s="111" t="str">
        <x:v>2013–2025</x:v>
      </x:c>
      <x:c r="G8" s="117" t="n">
        <x:f>(B17/B5)^(1/12)-1</x:f>
        <x:v>0.20823872660526077</x:v>
      </x:c>
      <x:c r="H8" s="211"/>
      <x:c r="I8" s="211"/>
      <x:c r="J8" s="211"/>
      <x:c r="K8" s="211"/>
      <x:c r="L8" s="211"/>
      <x:c r="M8" s="211"/>
      <x:c r="N8" s="211"/>
    </x:row>
    <x:row r="9">
      <x:c r="A9" s="111" t="n">
        <x:v>2017</x:v>
      </x:c>
      <x:c r="B9" s="114" t="n">
        <x:v>105000</x:v>
      </x:c>
      <x:c r="C9" s="117" t="n">
        <x:f>IFERROR(B9/B8-1,"")</x:f>
        <x:v>0.2068965517241379</x:v>
      </x:c>
      <x:c r="D9" s="111" t="str">
        <x:v>Referência fornecida (histórico 2013–2023)</x:v>
      </x:c>
      <x:c r="E9" s="211"/>
      <x:c r="F9" s="112" t="str">
        <x:v>2026 YTD</x:v>
      </x:c>
      <x:c r="G9" s="118" t="n">
        <x:f>B18/B17-1</x:f>
        <x:v>0.007783726858352491</x:v>
      </x:c>
      <x:c r="H9" s="211"/>
      <x:c r="I9" s="211"/>
      <x:c r="J9" s="211"/>
      <x:c r="K9" s="211"/>
      <x:c r="L9" s="211"/>
      <x:c r="M9" s="211"/>
      <x:c r="N9" s="211"/>
    </x:row>
    <x:row r="10">
      <x:c r="A10" s="111" t="n">
        <x:v>2018</x:v>
      </x:c>
      <x:c r="B10" s="114" t="n">
        <x:v>122000</x:v>
      </x:c>
      <x:c r="C10" s="117" t="n">
        <x:f>IFERROR(B10/B9-1,"")</x:f>
        <x:v>0.161904761904762</x:v>
      </x:c>
      <x:c r="D10" s="111" t="str">
        <x:v>Referência fornecida (histórico 2013–2023)</x:v>
      </x:c>
      <x:c r="E10" s="211"/>
      <x:c r="F10" s="211"/>
      <x:c r="G10" s="211"/>
      <x:c r="H10" s="211"/>
      <x:c r="I10" s="211"/>
      <x:c r="J10" s="211"/>
      <x:c r="K10" s="211"/>
      <x:c r="L10" s="211"/>
      <x:c r="M10" s="211"/>
      <x:c r="N10" s="211"/>
    </x:row>
    <x:row r="11">
      <x:c r="A11" s="111" t="n">
        <x:v>2019</x:v>
      </x:c>
      <x:c r="B11" s="114" t="n">
        <x:v>204000</x:v>
      </x:c>
      <x:c r="C11" s="117" t="n">
        <x:f>IFERROR(B11/B10-1,"")</x:f>
        <x:v>0.6721311475409837</x:v>
      </x:c>
      <x:c r="D11" s="111" t="str">
        <x:v>Referência fornecida (histórico 2013–2023)</x:v>
      </x:c>
      <x:c r="E11" s="211"/>
      <x:c r="F11" s="211"/>
      <x:c r="G11" s="211"/>
      <x:c r="H11" s="211"/>
      <x:c r="I11" s="211"/>
      <x:c r="J11" s="211"/>
      <x:c r="K11" s="211"/>
      <x:c r="L11" s="211"/>
      <x:c r="M11" s="211"/>
      <x:c r="N11" s="211"/>
    </x:row>
    <x:row r="12">
      <x:c r="A12" s="111" t="n">
        <x:v>2020</x:v>
      </x:c>
      <x:c r="B12" s="114" t="n">
        <x:v>162000</x:v>
      </x:c>
      <x:c r="C12" s="117" t="n">
        <x:f>IFERROR(B12/B11-1,"")</x:f>
        <x:v>-0.20588235294117652</x:v>
      </x:c>
      <x:c r="D12" s="111" t="str">
        <x:v>Referência fornecida (histórico 2013–2023)</x:v>
      </x:c>
      <x:c r="E12" s="211"/>
      <x:c r="F12" s="211"/>
      <x:c r="G12" s="211"/>
      <x:c r="H12" s="211"/>
      <x:c r="I12" s="211"/>
      <x:c r="J12" s="211"/>
      <x:c r="K12" s="211"/>
      <x:c r="L12" s="211"/>
      <x:c r="M12" s="211"/>
      <x:c r="N12" s="211"/>
    </x:row>
    <x:row r="13">
      <x:c r="A13" s="111" t="n">
        <x:v>2021</x:v>
      </x:c>
      <x:c r="B13" s="114" t="n">
        <x:v>286000</x:v>
      </x:c>
      <x:c r="C13" s="117" t="n">
        <x:f>IFERROR(B13/B12-1,"")</x:f>
        <x:v>0.7654320987654322</x:v>
      </x:c>
      <x:c r="D13" s="111" t="str">
        <x:v>Referência fornecida (histórico 2013–2023)</x:v>
      </x:c>
      <x:c r="E13" s="211"/>
      <x:c r="F13" s="211"/>
      <x:c r="G13" s="211"/>
      <x:c r="H13" s="211"/>
      <x:c r="I13" s="211"/>
      <x:c r="J13" s="211"/>
      <x:c r="K13" s="211"/>
      <x:c r="L13" s="211"/>
      <x:c r="M13" s="211"/>
      <x:c r="N13" s="211"/>
    </x:row>
    <x:row r="14">
      <x:c r="A14" s="111" t="n">
        <x:v>2022</x:v>
      </x:c>
      <x:c r="B14" s="114" t="n">
        <x:v>338000</x:v>
      </x:c>
      <x:c r="C14" s="117" t="n">
        <x:f>IFERROR(B14/B13-1,"")</x:f>
        <x:v>0.18181818181818188</x:v>
      </x:c>
      <x:c r="D14" s="111" t="str">
        <x:v>Referência fornecida (histórico 2013–2023)</x:v>
      </x:c>
      <x:c r="E14" s="211"/>
      <x:c r="F14" s="211"/>
      <x:c r="G14" s="211"/>
      <x:c r="H14" s="211"/>
      <x:c r="I14" s="211"/>
      <x:c r="J14" s="211"/>
      <x:c r="K14" s="211"/>
      <x:c r="L14" s="211"/>
      <x:c r="M14" s="211"/>
      <x:c r="N14" s="211"/>
    </x:row>
    <x:row r="15">
      <x:c r="A15" s="111" t="n">
        <x:v>2023</x:v>
      </x:c>
      <x:c r="B15" s="114" t="n">
        <x:v>426000</x:v>
      </x:c>
      <x:c r="C15" s="117" t="n">
        <x:f>IFERROR(B15/B14-1,"")</x:f>
        <x:v>0.2603550295857988</x:v>
      </x:c>
      <x:c r="D15" s="111" t="str">
        <x:v>Referência fornecida (histórico 2013–2023)</x:v>
      </x:c>
      <x:c r="E15" s="211"/>
      <x:c r="F15" s="211"/>
      <x:c r="G15" s="211"/>
      <x:c r="H15" s="211"/>
      <x:c r="I15" s="211"/>
      <x:c r="J15" s="211"/>
      <x:c r="K15" s="211"/>
      <x:c r="L15" s="211"/>
      <x:c r="M15" s="211"/>
      <x:c r="N15" s="211"/>
    </x:row>
    <x:row r="16">
      <x:c r="A16" s="111" t="n">
        <x:v>2024</x:v>
      </x:c>
      <x:c r="B16" s="114" t="n">
        <x:v>587085.1540682203</x:v>
      </x:c>
      <x:c r="C16" s="117" t="n">
        <x:f>IFERROR(B16/B15-1,"")</x:f>
        <x:v>0.3781341644793903</x:v>
      </x:c>
      <x:c r="D16" s="111" t="str">
        <x:v>ANBIMA Power BI — fechamento de dezembro</x:v>
      </x:c>
      <x:c r="E16" s="211"/>
      <x:c r="F16" s="211"/>
      <x:c r="G16" s="211"/>
      <x:c r="H16" s="211"/>
      <x:c r="I16" s="211"/>
      <x:c r="J16" s="211"/>
      <x:c r="K16" s="211"/>
      <x:c r="L16" s="211"/>
      <x:c r="M16" s="211"/>
      <x:c r="N16" s="211"/>
    </x:row>
    <x:row r="17">
      <x:c r="A17" s="111" t="n">
        <x:v>2025</x:v>
      </x:c>
      <x:c r="B17" s="114" t="n">
        <x:v>745287.3420566174</x:v>
      </x:c>
      <x:c r="C17" s="117" t="n">
        <x:f>IFERROR(B17/B16-1,"")</x:f>
        <x:v>0.2694705987574908</x:v>
      </x:c>
      <x:c r="D17" s="111" t="str">
        <x:v>ANBIMA Power BI — fechamento de dezembro</x:v>
      </x:c>
      <x:c r="E17" s="211"/>
      <x:c r="F17" s="211"/>
      <x:c r="G17" s="211"/>
      <x:c r="H17" s="211"/>
      <x:c r="I17" s="211"/>
      <x:c r="J17" s="211"/>
      <x:c r="K17" s="211"/>
      <x:c r="L17" s="211"/>
      <x:c r="M17" s="211"/>
      <x:c r="N17" s="211"/>
    </x:row>
    <x:row r="18">
      <x:c r="A18" s="112" t="str">
        <x:v>2026 YTD</x:v>
      </x:c>
      <x:c r="B18" s="115" t="n">
        <x:v>751088.4551581736</x:v>
      </x:c>
      <x:c r="C18" s="118" t="n">
        <x:f>IFERROR(B18/B17-1,"")</x:f>
        <x:v>0.007783726858352491</x:v>
      </x:c>
      <x:c r="D18" s="112" t="str">
        <x:v>ANBIMA Power BI — competência maio/2026</x:v>
      </x:c>
      <x:c r="E18" s="211"/>
      <x:c r="F18" s="211"/>
      <x:c r="G18" s="211"/>
      <x:c r="H18" s="211"/>
      <x:c r="I18" s="211"/>
      <x:c r="J18" s="211"/>
      <x:c r="K18" s="211"/>
      <x:c r="L18" s="211"/>
      <x:c r="M18" s="211"/>
      <x:c r="N18" s="211"/>
    </x:row>
    <x:row r="19">
      <x:c r="A19" s="211"/>
      <x:c r="B19" s="211"/>
      <x:c r="C19" s="211"/>
      <x:c r="D19" s="211"/>
      <x:c r="E19" s="211"/>
      <x:c r="F19" s="211"/>
      <x:c r="G19" s="211"/>
      <x:c r="H19" s="211"/>
      <x:c r="I19" s="211"/>
      <x:c r="J19" s="211"/>
      <x:c r="K19" s="211"/>
      <x:c r="L19" s="211"/>
      <x:c r="M19" s="211"/>
      <x:c r="N19" s="211"/>
    </x:row>
    <x:row r="20" ht="23" customHeight="1">
      <x:c r="A20" s="8" t="str">
        <x:v>Série mensal do dashboard ANBIMA</x:v>
      </x:c>
      <x:c r="B20" s="8" t="str">
        <x:v>Série mensal do dashboard ANBIMA</x:v>
      </x:c>
      <x:c r="C20" s="8" t="str">
        <x:v>Série mensal do dashboard ANBIMA</x:v>
      </x:c>
      <x:c r="D20" s="8" t="str">
        <x:v>Série mensal do dashboard ANBIMA</x:v>
      </x:c>
      <x:c r="E20" s="211"/>
      <x:c r="F20" s="211"/>
      <x:c r="G20" s="211"/>
      <x:c r="H20" s="211"/>
      <x:c r="I20" s="211"/>
      <x:c r="J20" s="211"/>
      <x:c r="K20" s="211"/>
      <x:c r="L20" s="211"/>
      <x:c r="M20" s="211"/>
      <x:c r="N20" s="211"/>
    </x:row>
    <x:row r="21" ht="28" customHeight="1">
      <x:c r="A21" s="20" t="str">
        <x:v>Mês</x:v>
      </x:c>
      <x:c r="B21" s="21" t="str">
        <x:v>PL (R$)</x:v>
      </x:c>
      <x:c r="C21" s="22" t="str">
        <x:v>PL (R$ bi)</x:v>
      </x:c>
      <x:c r="D21" s="211"/>
      <x:c r="E21" s="211"/>
      <x:c r="F21" s="211"/>
      <x:c r="G21" s="211"/>
      <x:c r="H21" s="211"/>
      <x:c r="I21" s="211"/>
      <x:c r="J21" s="211"/>
      <x:c r="K21" s="211"/>
      <x:c r="L21" s="211"/>
      <x:c r="M21" s="211"/>
      <x:c r="N21" s="211"/>
    </x:row>
    <x:row r="22">
      <x:c r="A22" s="110" t="str">
        <x:v>2024-10</x:v>
      </x:c>
      <x:c r="B22" s="121" t="n">
        <x:v>538750041110.75183</x:v>
      </x:c>
      <x:c r="C22" s="119" t="n">
        <x:v>538.7500411108</x:v>
      </x:c>
      <x:c r="D22" s="211"/>
      <x:c r="E22" s="211"/>
      <x:c r="F22" s="211"/>
      <x:c r="G22" s="211"/>
      <x:c r="H22" s="211"/>
      <x:c r="I22" s="211"/>
      <x:c r="J22" s="211"/>
      <x:c r="K22" s="211"/>
      <x:c r="L22" s="211"/>
      <x:c r="M22" s="211"/>
      <x:c r="N22" s="211"/>
    </x:row>
    <x:row r="23">
      <x:c r="A23" s="111" t="str">
        <x:v>2024-11</x:v>
      </x:c>
      <x:c r="B23" s="122" t="n">
        <x:v>552587163414.5247</x:v>
      </x:c>
      <x:c r="C23" s="120" t="n">
        <x:v>552.5871634145</x:v>
      </x:c>
      <x:c r="D23" s="211"/>
      <x:c r="E23" s="211"/>
      <x:c r="F23" s="211"/>
      <x:c r="G23" s="211"/>
      <x:c r="H23" s="211"/>
      <x:c r="I23" s="211"/>
      <x:c r="J23" s="211"/>
      <x:c r="K23" s="211"/>
      <x:c r="L23" s="211"/>
      <x:c r="M23" s="211"/>
      <x:c r="N23" s="211"/>
    </x:row>
    <x:row r="24">
      <x:c r="A24" s="111" t="str">
        <x:v>2024-12</x:v>
      </x:c>
      <x:c r="B24" s="122" t="n">
        <x:v>587085154068.2203</x:v>
      </x:c>
      <x:c r="C24" s="120" t="n">
        <x:v>587.0851540682</x:v>
      </x:c>
      <x:c r="D24" s="211"/>
      <x:c r="E24" s="211"/>
      <x:c r="F24" s="211"/>
      <x:c r="G24" s="211"/>
      <x:c r="H24" s="211"/>
      <x:c r="I24" s="211"/>
      <x:c r="J24" s="211"/>
      <x:c r="K24" s="211"/>
      <x:c r="L24" s="211"/>
      <x:c r="M24" s="211"/>
      <x:c r="N24" s="211"/>
    </x:row>
    <x:row r="25">
      <x:c r="A25" s="111" t="str">
        <x:v>2025-01</x:v>
      </x:c>
      <x:c r="B25" s="122" t="n">
        <x:v>595444144615.3127</x:v>
      </x:c>
      <x:c r="C25" s="120" t="n">
        <x:v>595.4441446153</x:v>
      </x:c>
      <x:c r="D25" s="211"/>
      <x:c r="E25" s="211"/>
      <x:c r="F25" s="211"/>
      <x:c r="G25" s="211"/>
      <x:c r="H25" s="211"/>
      <x:c r="I25" s="211"/>
      <x:c r="J25" s="211"/>
      <x:c r="K25" s="211"/>
      <x:c r="L25" s="211"/>
      <x:c r="M25" s="211"/>
      <x:c r="N25" s="211"/>
    </x:row>
    <x:row r="26">
      <x:c r="A26" s="111" t="str">
        <x:v>2025-02</x:v>
      </x:c>
      <x:c r="B26" s="122" t="n">
        <x:v>607748394458.358</x:v>
      </x:c>
      <x:c r="C26" s="120" t="n">
        <x:v>607.7483944584</x:v>
      </x:c>
      <x:c r="D26" s="211"/>
      <x:c r="E26" s="211"/>
      <x:c r="F26" s="211"/>
      <x:c r="G26" s="211"/>
      <x:c r="H26" s="211"/>
      <x:c r="I26" s="211"/>
      <x:c r="J26" s="211"/>
      <x:c r="K26" s="211"/>
      <x:c r="L26" s="211"/>
      <x:c r="M26" s="211"/>
      <x:c r="N26" s="211"/>
    </x:row>
    <x:row r="27">
      <x:c r="A27" s="111" t="str">
        <x:v>2025-03</x:v>
      </x:c>
      <x:c r="B27" s="122" t="n">
        <x:v>613679812294.8997</x:v>
      </x:c>
      <x:c r="C27" s="120" t="n">
        <x:v>613.6798122949</x:v>
      </x:c>
      <x:c r="D27" s="211"/>
      <x:c r="E27" s="211"/>
      <x:c r="F27" s="211"/>
      <x:c r="G27" s="211"/>
      <x:c r="H27" s="211"/>
      <x:c r="I27" s="211"/>
      <x:c r="J27" s="211"/>
      <x:c r="K27" s="211"/>
      <x:c r="L27" s="211"/>
      <x:c r="M27" s="211"/>
      <x:c r="N27" s="211"/>
    </x:row>
    <x:row r="28">
      <x:c r="A28" s="111" t="str">
        <x:v>2025-04</x:v>
      </x:c>
      <x:c r="B28" s="122" t="n">
        <x:v>625495304424.5089</x:v>
      </x:c>
      <x:c r="C28" s="120" t="n">
        <x:v>625.4953044245</x:v>
      </x:c>
      <x:c r="D28" s="211"/>
      <x:c r="E28" s="211"/>
      <x:c r="F28" s="211"/>
      <x:c r="G28" s="211"/>
      <x:c r="H28" s="211"/>
      <x:c r="I28" s="211"/>
      <x:c r="J28" s="211"/>
      <x:c r="K28" s="211"/>
      <x:c r="L28" s="211"/>
      <x:c r="M28" s="211"/>
      <x:c r="N28" s="211"/>
    </x:row>
    <x:row r="29">
      <x:c r="A29" s="111" t="str">
        <x:v>2025-05</x:v>
      </x:c>
      <x:c r="B29" s="122" t="n">
        <x:v>644893562315.4531</x:v>
      </x:c>
      <x:c r="C29" s="120" t="n">
        <x:v>644.8935623155</x:v>
      </x:c>
      <x:c r="D29" s="211"/>
      <x:c r="E29" s="211"/>
      <x:c r="F29" s="211"/>
      <x:c r="G29" s="211"/>
      <x:c r="H29" s="211"/>
      <x:c r="I29" s="211"/>
      <x:c r="J29" s="211"/>
      <x:c r="K29" s="211"/>
      <x:c r="L29" s="211"/>
      <x:c r="M29" s="211"/>
      <x:c r="N29" s="211"/>
    </x:row>
    <x:row r="30">
      <x:c r="A30" s="111" t="str">
        <x:v>2025-06</x:v>
      </x:c>
      <x:c r="B30" s="122" t="n">
        <x:v>690237751042.8779</x:v>
      </x:c>
      <x:c r="C30" s="120" t="n">
        <x:v>690.2377510429</x:v>
      </x:c>
      <x:c r="D30" s="211"/>
      <x:c r="E30" s="211"/>
      <x:c r="F30" s="211"/>
      <x:c r="G30" s="211"/>
      <x:c r="H30" s="211"/>
      <x:c r="I30" s="211"/>
      <x:c r="J30" s="211"/>
      <x:c r="K30" s="211"/>
      <x:c r="L30" s="211"/>
      <x:c r="M30" s="211"/>
      <x:c r="N30" s="211"/>
    </x:row>
    <x:row r="31">
      <x:c r="A31" s="111" t="str">
        <x:v>2025-07</x:v>
      </x:c>
      <x:c r="B31" s="122" t="n">
        <x:v>700744698499.6625</x:v>
      </x:c>
      <x:c r="C31" s="120" t="n">
        <x:v>700.7446984997</x:v>
      </x:c>
      <x:c r="D31" s="211"/>
      <x:c r="E31" s="211"/>
      <x:c r="F31" s="211"/>
      <x:c r="G31" s="211"/>
      <x:c r="H31" s="211"/>
      <x:c r="I31" s="211"/>
      <x:c r="J31" s="211"/>
      <x:c r="K31" s="211"/>
      <x:c r="L31" s="211"/>
      <x:c r="M31" s="211"/>
      <x:c r="N31" s="211"/>
    </x:row>
    <x:row r="32">
      <x:c r="A32" s="111" t="str">
        <x:v>2025-08</x:v>
      </x:c>
      <x:c r="B32" s="122" t="n">
        <x:v>699173687654.9021</x:v>
      </x:c>
      <x:c r="C32" s="120" t="n">
        <x:v>699.1736876549</x:v>
      </x:c>
      <x:c r="D32" s="211"/>
      <x:c r="E32" s="211"/>
      <x:c r="F32" s="211"/>
      <x:c r="G32" s="211"/>
      <x:c r="H32" s="211"/>
      <x:c r="I32" s="211"/>
      <x:c r="J32" s="211"/>
      <x:c r="K32" s="211"/>
      <x:c r="L32" s="211"/>
      <x:c r="M32" s="211"/>
      <x:c r="N32" s="211"/>
    </x:row>
    <x:row r="33">
      <x:c r="A33" s="111" t="str">
        <x:v>2025-09</x:v>
      </x:c>
      <x:c r="B33" s="122" t="n">
        <x:v>710613995959.0562</x:v>
      </x:c>
      <x:c r="C33" s="120" t="n">
        <x:v>710.6139959591</x:v>
      </x:c>
      <x:c r="D33" s="211"/>
      <x:c r="E33" s="211"/>
      <x:c r="F33" s="211"/>
      <x:c r="G33" s="211"/>
      <x:c r="H33" s="211"/>
      <x:c r="I33" s="211"/>
      <x:c r="J33" s="211"/>
      <x:c r="K33" s="211"/>
      <x:c r="L33" s="211"/>
      <x:c r="M33" s="211"/>
      <x:c r="N33" s="211"/>
    </x:row>
    <x:row r="34">
      <x:c r="A34" s="111" t="str">
        <x:v>2025-10</x:v>
      </x:c>
      <x:c r="B34" s="122" t="n">
        <x:v>731705954817.8989</x:v>
      </x:c>
      <x:c r="C34" s="120" t="n">
        <x:v>731.7059548179</x:v>
      </x:c>
      <x:c r="D34" s="211"/>
      <x:c r="E34" s="211"/>
      <x:c r="F34" s="211"/>
      <x:c r="G34" s="211"/>
      <x:c r="H34" s="211"/>
      <x:c r="I34" s="211"/>
      <x:c r="J34" s="211"/>
      <x:c r="K34" s="211"/>
      <x:c r="L34" s="211"/>
      <x:c r="M34" s="211"/>
      <x:c r="N34" s="211"/>
    </x:row>
    <x:row r="35">
      <x:c r="A35" s="111" t="str">
        <x:v>2025-11</x:v>
      </x:c>
      <x:c r="B35" s="122" t="n">
        <x:v>729237233859.0532</x:v>
      </x:c>
      <x:c r="C35" s="120" t="n">
        <x:v>729.2372338591</x:v>
      </x:c>
      <x:c r="D35" s="211"/>
      <x:c r="E35" s="211"/>
      <x:c r="F35" s="211"/>
      <x:c r="G35" s="211"/>
      <x:c r="H35" s="211"/>
      <x:c r="I35" s="211"/>
      <x:c r="J35" s="211"/>
      <x:c r="K35" s="211"/>
      <x:c r="L35" s="211"/>
      <x:c r="M35" s="211"/>
      <x:c r="N35" s="211"/>
    </x:row>
    <x:row r="36">
      <x:c r="A36" s="111" t="str">
        <x:v>2025-12</x:v>
      </x:c>
      <x:c r="B36" s="122" t="n">
        <x:v>745287342056.6174</x:v>
      </x:c>
      <x:c r="C36" s="120" t="n">
        <x:v>745.2873420566</x:v>
      </x:c>
      <x:c r="D36" s="211"/>
      <x:c r="E36" s="211"/>
      <x:c r="F36" s="211"/>
      <x:c r="G36" s="211"/>
      <x:c r="H36" s="211"/>
      <x:c r="I36" s="211"/>
      <x:c r="J36" s="211"/>
      <x:c r="K36" s="211"/>
      <x:c r="L36" s="211"/>
      <x:c r="M36" s="211"/>
      <x:c r="N36" s="211"/>
    </x:row>
    <x:row r="37">
      <x:c r="A37" s="111" t="str">
        <x:v>2026-01</x:v>
      </x:c>
      <x:c r="B37" s="122" t="n">
        <x:v>716560544997.9691</x:v>
      </x:c>
      <x:c r="C37" s="120" t="n">
        <x:v>716.560544998</x:v>
      </x:c>
      <x:c r="D37" s="211"/>
      <x:c r="E37" s="211"/>
      <x:c r="F37" s="211"/>
      <x:c r="G37" s="211"/>
      <x:c r="H37" s="211"/>
      <x:c r="I37" s="211"/>
      <x:c r="J37" s="211"/>
      <x:c r="K37" s="211"/>
      <x:c r="L37" s="211"/>
      <x:c r="M37" s="211"/>
      <x:c r="N37" s="211"/>
    </x:row>
    <x:row r="38">
      <x:c r="A38" s="111" t="str">
        <x:v>2026-02</x:v>
      </x:c>
      <x:c r="B38" s="122" t="n">
        <x:v>716840823512.756</x:v>
      </x:c>
      <x:c r="C38" s="120" t="n">
        <x:v>716.8408235128</x:v>
      </x:c>
      <x:c r="D38" s="211"/>
      <x:c r="E38" s="211"/>
      <x:c r="F38" s="211"/>
      <x:c r="G38" s="211"/>
      <x:c r="H38" s="211"/>
      <x:c r="I38" s="211"/>
      <x:c r="J38" s="211"/>
      <x:c r="K38" s="211"/>
      <x:c r="L38" s="211"/>
      <x:c r="M38" s="211"/>
      <x:c r="N38" s="211"/>
    </x:row>
    <x:row r="39">
      <x:c r="A39" s="111" t="str">
        <x:v>2026-03</x:v>
      </x:c>
      <x:c r="B39" s="122" t="n">
        <x:v>737382867819.4515</x:v>
      </x:c>
      <x:c r="C39" s="120" t="n">
        <x:v>737.3828678195</x:v>
      </x:c>
      <x:c r="D39" s="211"/>
      <x:c r="E39" s="211"/>
      <x:c r="F39" s="211"/>
      <x:c r="G39" s="211"/>
      <x:c r="H39" s="211"/>
      <x:c r="I39" s="211"/>
      <x:c r="J39" s="211"/>
      <x:c r="K39" s="211"/>
      <x:c r="L39" s="211"/>
      <x:c r="M39" s="211"/>
      <x:c r="N39" s="211"/>
    </x:row>
    <x:row r="40">
      <x:c r="A40" s="111" t="str">
        <x:v>2026-04</x:v>
      </x:c>
      <x:c r="B40" s="122" t="n">
        <x:v>742879534412.514</x:v>
      </x:c>
      <x:c r="C40" s="120" t="n">
        <x:v>742.8795344125</x:v>
      </x:c>
      <x:c r="D40" s="211"/>
      <x:c r="E40" s="211"/>
      <x:c r="F40" s="211"/>
      <x:c r="G40" s="211"/>
      <x:c r="H40" s="211"/>
      <x:c r="I40" s="211"/>
      <x:c r="J40" s="211"/>
      <x:c r="K40" s="211"/>
      <x:c r="L40" s="211"/>
      <x:c r="M40" s="211"/>
      <x:c r="N40" s="211"/>
    </x:row>
    <x:row r="41">
      <x:c r="A41" s="112" t="str">
        <x:v>2026-05</x:v>
      </x:c>
      <x:c r="B41" s="123" t="n">
        <x:v>751088455158.1736</x:v>
      </x:c>
      <x:c r="C41" s="124" t="n">
        <x:v>751.0884551582</x:v>
      </x:c>
      <x:c r="D41" s="211"/>
      <x:c r="E41" s="211"/>
      <x:c r="F41" s="211"/>
      <x:c r="G41" s="211"/>
      <x:c r="H41" s="211"/>
      <x:c r="I41" s="211"/>
      <x:c r="J41" s="211"/>
      <x:c r="K41" s="211"/>
      <x:c r="L41" s="211"/>
      <x:c r="M41" s="211"/>
      <x:c r="N41" s="211"/>
    </x:row>
    <x:row r="42">
      <x:c r="A42" s="211"/>
      <x:c r="B42" s="211"/>
      <x:c r="C42" s="211"/>
      <x:c r="D42" s="211"/>
      <x:c r="E42" s="211"/>
      <x:c r="F42" s="211"/>
      <x:c r="G42" s="211"/>
      <x:c r="H42" s="211"/>
      <x:c r="I42" s="211"/>
      <x:c r="J42" s="211"/>
      <x:c r="K42" s="211"/>
      <x:c r="L42" s="211"/>
      <x:c r="M42" s="211"/>
      <x:c r="N42" s="211"/>
    </x:row>
    <x:row r="43">
      <x:c r="A43"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B43"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C43"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D43"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E43" s="211"/>
      <x:c r="F43" s="211"/>
      <x:c r="G43" s="211"/>
      <x:c r="H43" s="211"/>
      <x:c r="I43" s="211"/>
      <x:c r="J43" s="211"/>
      <x:c r="K43" s="211"/>
      <x:c r="L43" s="211"/>
      <x:c r="M43" s="211"/>
      <x:c r="N43" s="211"/>
    </x:row>
    <x:row r="44">
      <x:c r="A44"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B44"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C44"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D44"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E44" s="211"/>
      <x:c r="F44" s="211"/>
      <x:c r="G44" s="211"/>
      <x:c r="H44" s="211"/>
      <x:c r="I44" s="211"/>
      <x:c r="J44" s="211"/>
      <x:c r="K44" s="211"/>
      <x:c r="L44" s="211"/>
      <x:c r="M44" s="211"/>
      <x:c r="N44" s="211"/>
    </x:row>
    <x:row r="45">
      <x:c r="A45"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B45"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C45"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D45"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E45" s="211"/>
      <x:c r="F45" s="211"/>
      <x:c r="G45" s="211"/>
      <x:c r="H45" s="211"/>
      <x:c r="I45" s="211"/>
      <x:c r="J45" s="211"/>
      <x:c r="K45" s="211"/>
      <x:c r="L45" s="211"/>
      <x:c r="M45" s="211"/>
      <x:c r="N45" s="211"/>
    </x:row>
    <x:row r="46">
      <x:c r="A46"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B46"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C46"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D46"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E46" s="211"/>
      <x:c r="F46" s="211"/>
      <x:c r="G46" s="211"/>
      <x:c r="H46" s="211"/>
      <x:c r="I46" s="211"/>
      <x:c r="J46" s="211"/>
      <x:c r="K46" s="211"/>
      <x:c r="L46" s="211"/>
      <x:c r="M46" s="211"/>
      <x:c r="N46" s="211"/>
    </x:row>
    <x:row r="47">
      <x:c r="A47"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B47"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C47"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D47"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E47" s="211"/>
      <x:c r="F47" s="211"/>
      <x:c r="G47" s="211"/>
      <x:c r="H47" s="211"/>
      <x:c r="I47" s="211"/>
      <x:c r="J47" s="211"/>
      <x:c r="K47" s="211"/>
      <x:c r="L47" s="211"/>
      <x:c r="M47" s="211"/>
      <x:c r="N47" s="211"/>
    </x:row>
    <x:row r="48">
      <x:c r="A48"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B48"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C48"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D48" s="52" t="str">
        <x:v>A série anual preserva 2013–2023 conforme IMG_8178.JPG e adiciona 2024/2025 e maio/2026 pelo dashboard ANBIMA. Maio/2026 é YTD, não fechamento anual. CAGR = (valor final / valor inicial)^(1/n) − 1, em que n é o número de anos completos. O avanço de 2026 é crescimento YTD, não CAGR.</x:v>
      </x:c>
      <x:c r="E48" s="211"/>
      <x:c r="F48" s="211"/>
      <x:c r="G48" s="211"/>
      <x:c r="H48" s="211"/>
      <x:c r="I48" s="211"/>
      <x:c r="J48" s="211"/>
      <x:c r="K48" s="211"/>
      <x:c r="L48" s="211"/>
      <x:c r="M48" s="211"/>
      <x:c r="N48" s="211"/>
    </x:row>
  </x:sheetData>
  <x:mergeCells>
    <x:mergeCell ref="A1:N2"/>
    <x:mergeCell ref="A20:D20"/>
    <x:mergeCell ref="A43:D48"/>
  </x:mergeCells>
  <x:pageMargins left="0.7" right="0.7" top="0.75" bottom="0.75" header="0.3" footer="0.3"/>
  <x:drawing xmlns:r="http://schemas.openxmlformats.org/officeDocument/2006/relationships" r:id="Rdeeb039725414a6d"/>
  <x:legacyDrawing xmlns:r="http://schemas.openxmlformats.org/officeDocument/2006/relationships" r:id="R9f11f39688f848c6"/>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0" hidden="0" customWidth="1"/>
    <x:col min="10" max="10" width="18" hidden="0" customWidth="1"/>
  </x:cols>
  <x:sheetData>
    <x:row r="1" ht="30" customHeight="1">
      <x:c r="A1" s="4" t="str">
        <x:v>Outros representa 40% do PL; Financeiro é o segundo maior Tipo ANBIMA</x:v>
      </x:c>
      <x:c r="B1" s="4" t="str">
        <x:v>Outros representa 40% do PL; Financeiro é o segundo maior Tipo ANBIMA</x:v>
      </x:c>
      <x:c r="C1" s="4" t="str">
        <x:v>Outros representa 40% do PL; Financeiro é o segundo maior Tipo ANBIMA</x:v>
      </x:c>
      <x:c r="D1" s="4" t="str">
        <x:v>Outros representa 40% do PL; Financeiro é o segundo maior Tipo ANBIMA</x:v>
      </x:c>
      <x:c r="E1" s="4" t="str">
        <x:v>Outros representa 40% do PL; Financeiro é o segundo maior Tipo ANBIMA</x:v>
      </x:c>
      <x:c r="F1" s="4" t="str">
        <x:v>Outros representa 40% do PL; Financeiro é o segundo maior Tipo ANBIMA</x:v>
      </x:c>
      <x:c r="G1" s="4" t="str">
        <x:v>Outros representa 40% do PL; Financeiro é o segundo maior Tipo ANBIMA</x:v>
      </x:c>
      <x:c r="H1" s="4" t="str">
        <x:v>Outros representa 40% do PL; Financeiro é o segundo maior Tipo ANBIMA</x:v>
      </x:c>
      <x:c r="I1" s="4" t="str">
        <x:v>Outros representa 40% do PL; Financeiro é o segundo maior Tipo ANBIMA</x:v>
      </x:c>
      <x:c r="J1" s="4" t="str">
        <x:v>Outros representa 40% do PL; Financeiro é o segundo maior Tipo ANBIMA</x:v>
      </x:c>
      <x:c r="K1" s="4" t="str">
        <x:v>Outros representa 40% do PL; Financeiro é o segundo maior Tipo ANBIMA</x:v>
      </x:c>
      <x:c r="L1" s="4" t="str">
        <x:v>Outros representa 40% do PL; Financeiro é o segundo maior Tipo ANBIMA</x:v>
      </x:c>
      <x:c r="M1" s="4" t="str">
        <x:v>Outros representa 40% do PL; Financeiro é o segundo maior Tipo ANBIMA</x:v>
      </x:c>
      <x:c r="N1" s="4" t="str">
        <x:v>Outros representa 40% do PL; Financeiro é o segundo maior Tipo ANBIMA</x:v>
      </x:c>
    </x:row>
    <x:row r="2" ht="30" customHeight="1">
      <x:c r="A2" s="4" t="str">
        <x:v>Outros representa 40% do PL; Financeiro é o segundo maior Tipo ANBIMA</x:v>
      </x:c>
      <x:c r="B2" s="4" t="str">
        <x:v>Outros representa 40% do PL; Financeiro é o segundo maior Tipo ANBIMA</x:v>
      </x:c>
      <x:c r="C2" s="4" t="str">
        <x:v>Outros representa 40% do PL; Financeiro é o segundo maior Tipo ANBIMA</x:v>
      </x:c>
      <x:c r="D2" s="4" t="str">
        <x:v>Outros representa 40% do PL; Financeiro é o segundo maior Tipo ANBIMA</x:v>
      </x:c>
      <x:c r="E2" s="4" t="str">
        <x:v>Outros representa 40% do PL; Financeiro é o segundo maior Tipo ANBIMA</x:v>
      </x:c>
      <x:c r="F2" s="4" t="str">
        <x:v>Outros representa 40% do PL; Financeiro é o segundo maior Tipo ANBIMA</x:v>
      </x:c>
      <x:c r="G2" s="4" t="str">
        <x:v>Outros representa 40% do PL; Financeiro é o segundo maior Tipo ANBIMA</x:v>
      </x:c>
      <x:c r="H2" s="4" t="str">
        <x:v>Outros representa 40% do PL; Financeiro é o segundo maior Tipo ANBIMA</x:v>
      </x:c>
      <x:c r="I2" s="4" t="str">
        <x:v>Outros representa 40% do PL; Financeiro é o segundo maior Tipo ANBIMA</x:v>
      </x:c>
      <x:c r="J2" s="4" t="str">
        <x:v>Outros representa 40% do PL; Financeiro é o segundo maior Tipo ANBIMA</x:v>
      </x:c>
      <x:c r="K2" s="4" t="str">
        <x:v>Outros representa 40% do PL; Financeiro é o segundo maior Tipo ANBIMA</x:v>
      </x:c>
      <x:c r="L2" s="4" t="str">
        <x:v>Outros representa 40% do PL; Financeiro é o segundo maior Tipo ANBIMA</x:v>
      </x:c>
      <x:c r="M2" s="4" t="str">
        <x:v>Outros representa 40% do PL; Financeiro é o segundo maior Tipo ANBIMA</x:v>
      </x:c>
      <x:c r="N2" s="4" t="str">
        <x:v>Outros representa 40% do PL; Financeiro é o segundo maior Tipo ANBIMA</x:v>
      </x:c>
    </x:row>
    <x:row r="3">
      <x:c r="A3" s="211"/>
      <x:c r="B3" s="211"/>
      <x:c r="C3" s="211"/>
      <x:c r="D3" s="211"/>
      <x:c r="E3" s="211"/>
      <x:c r="F3" s="211"/>
      <x:c r="G3" s="211"/>
      <x:c r="H3" s="211"/>
      <x:c r="I3" s="211"/>
      <x:c r="J3" s="211"/>
      <x:c r="K3" s="211"/>
      <x:c r="L3" s="211"/>
      <x:c r="M3" s="211"/>
      <x:c r="N3" s="211"/>
    </x:row>
    <x:row r="4" ht="28" customHeight="1">
      <x:c r="A4" s="20" t="str">
        <x:v>Mês</x:v>
      </x:c>
      <x:c r="B4" s="21" t="str">
        <x:v>Agro, Indústria e Comércio (R$ bi)</x:v>
      </x:c>
      <x:c r="C4" s="21" t="str">
        <x:v>Financeiro (R$ bi)</x:v>
      </x:c>
      <x:c r="D4" s="21" t="str">
        <x:v>Fomento Mercantil (R$ bi)</x:v>
      </x:c>
      <x:c r="E4" s="21" t="str">
        <x:v>Outros (R$ bi)</x:v>
      </x:c>
      <x:c r="F4" s="21" t="str">
        <x:v>Total (R$ bi)</x:v>
      </x:c>
      <x:c r="G4" s="21" t="str">
        <x:v>Agro, Indústria e Comércio %</x:v>
      </x:c>
      <x:c r="H4" s="21" t="str">
        <x:v>Financeiro %</x:v>
      </x:c>
      <x:c r="I4" s="21" t="str">
        <x:v>Fomento Mercantil %</x:v>
      </x:c>
      <x:c r="J4" s="22" t="str">
        <x:v>Outros %</x:v>
      </x:c>
      <x:c r="K4" s="211"/>
      <x:c r="L4" s="20" t="str">
        <x:v>Tipo ANBIMA</x:v>
      </x:c>
      <x:c r="M4" s="22" t="str">
        <x:v>PL atual (R$ bi)</x:v>
      </x:c>
      <x:c r="N4" s="211"/>
    </x:row>
    <x:row r="5">
      <x:c r="A5" s="110" t="str">
        <x:v>2024-10</x:v>
      </x:c>
      <x:c r="B5" s="119" t="n">
        <x:v>155.6040984638513</x:v>
      </x:c>
      <x:c r="C5" s="119" t="n">
        <x:v>134.50835833037047</x:v>
      </x:c>
      <x:c r="D5" s="119" t="n">
        <x:v>51.82888023025991</x:v>
      </x:c>
      <x:c r="E5" s="119" t="n">
        <x:v>196.80870408626998</x:v>
      </x:c>
      <x:c r="F5" s="119" t="n">
        <x:v>538.7500411107517</x:v>
      </x:c>
      <x:c r="G5" s="116" t="n">
        <x:v>0.2888242907</x:v>
      </x:c>
      <x:c r="H5" s="116" t="n">
        <x:v>0.2496674674</x:v>
      </x:c>
      <x:c r="I5" s="116" t="n">
        <x:v>0.0962020905</x:v>
      </x:c>
      <x:c r="J5" s="116" t="n">
        <x:v>0.3653061514</x:v>
      </x:c>
      <x:c r="K5" s="211"/>
      <x:c r="L5" s="110" t="str">
        <x:v>Agro, Indústria e Comércio</x:v>
      </x:c>
      <x:c r="M5" s="119" t="n">
        <x:v>154.07011941794488</x:v>
      </x:c>
      <x:c r="N5" s="211"/>
    </x:row>
    <x:row r="6">
      <x:c r="A6" s="111" t="str">
        <x:v>2024-11</x:v>
      </x:c>
      <x:c r="B6" s="120" t="n">
        <x:v>160.10550614959988</x:v>
      </x:c>
      <x:c r="C6" s="120" t="n">
        <x:v>136.04906735558035</x:v>
      </x:c>
      <x:c r="D6" s="120" t="n">
        <x:v>55.79851946319985</x:v>
      </x:c>
      <x:c r="E6" s="120" t="n">
        <x:v>200.63407044614254</x:v>
      </x:c>
      <x:c r="F6" s="120" t="n">
        <x:v>552.5871634145226</x:v>
      </x:c>
      <x:c r="G6" s="117" t="n">
        <x:v>0.2897380119</x:v>
      </x:c>
      <x:c r="H6" s="117" t="n">
        <x:v>0.2462038143</x:v>
      </x:c>
      <x:c r="I6" s="117" t="n">
        <x:v>0.1009768651</x:v>
      </x:c>
      <x:c r="J6" s="117" t="n">
        <x:v>0.3630813087</x:v>
      </x:c>
      <x:c r="K6" s="211"/>
      <x:c r="L6" s="111" t="str">
        <x:v>Financeiro</x:v>
      </x:c>
      <x:c r="M6" s="120" t="n">
        <x:v>213.1804462764401</x:v>
      </x:c>
      <x:c r="N6" s="211"/>
    </x:row>
    <x:row r="7">
      <x:c r="A7" s="111" t="str">
        <x:v>2024-12</x:v>
      </x:c>
      <x:c r="B7" s="120" t="n">
        <x:v>162.16900923815007</x:v>
      </x:c>
      <x:c r="C7" s="120" t="n">
        <x:v>140.23221949494996</x:v>
      </x:c>
      <x:c r="D7" s="120" t="n">
        <x:v>56.80392369954011</x:v>
      </x:c>
      <x:c r="E7" s="120" t="n">
        <x:v>227.88000163558007</x:v>
      </x:c>
      <x:c r="F7" s="120" t="n">
        <x:v>587.0851540682202</x:v>
      </x:c>
      <x:c r="G7" s="117" t="n">
        <x:v>0.276227406</x:v>
      </x:c>
      <x:c r="H7" s="117" t="n">
        <x:v>0.2388618048</x:v>
      </x:c>
      <x:c r="I7" s="117" t="n">
        <x:v>0.096755851</x:v>
      </x:c>
      <x:c r="J7" s="117" t="n">
        <x:v>0.3881549381</x:v>
      </x:c>
      <x:c r="K7" s="211"/>
      <x:c r="L7" s="111" t="str">
        <x:v>Fomento Mercantil</x:v>
      </x:c>
      <x:c r="M7" s="120" t="n">
        <x:v>85.75464670265465</x:v>
      </x:c>
      <x:c r="N7" s="211"/>
    </x:row>
    <x:row r="8">
      <x:c r="A8" s="111" t="str">
        <x:v>2025-01</x:v>
      </x:c>
      <x:c r="B8" s="120" t="n">
        <x:v>157.34180019444085</x:v>
      </x:c>
      <x:c r="C8" s="120" t="n">
        <x:v>142.49817409951996</x:v>
      </x:c>
      <x:c r="D8" s="120" t="n">
        <x:v>59.96591247716001</x:v>
      </x:c>
      <x:c r="E8" s="120" t="n">
        <x:v>235.63825784419018</x:v>
      </x:c>
      <x:c r="F8" s="120" t="n">
        <x:v>595.4441446153111</x:v>
      </x:c>
      <x:c r="G8" s="117" t="n">
        <x:v>0.2642427533</x:v>
      </x:c>
      <x:c r="H8" s="117" t="n">
        <x:v>0.2393140908</x:v>
      </x:c>
      <x:c r="I8" s="117" t="n">
        <x:v>0.1007078716</x:v>
      </x:c>
      <x:c r="J8" s="117" t="n">
        <x:v>0.3957352843</x:v>
      </x:c>
      <x:c r="K8" s="211"/>
      <x:c r="L8" s="112" t="str">
        <x:v>Outros</x:v>
      </x:c>
      <x:c r="M8" s="124" t="n">
        <x:v>298.08324276113404</x:v>
      </x:c>
      <x:c r="N8" s="211"/>
    </x:row>
    <x:row r="9">
      <x:c r="A9" s="111" t="str">
        <x:v>2025-02</x:v>
      </x:c>
      <x:c r="B9" s="120" t="n">
        <x:v>159.46068664033</x:v>
      </x:c>
      <x:c r="C9" s="120" t="n">
        <x:v>146.52016386811005</x:v>
      </x:c>
      <x:c r="D9" s="120" t="n">
        <x:v>61.35039578369005</x:v>
      </x:c>
      <x:c r="E9" s="120" t="n">
        <x:v>240.41714816622684</x:v>
      </x:c>
      <x:c r="F9" s="120" t="n">
        <x:v>607.748394458357</x:v>
      </x:c>
      <x:c r="G9" s="117" t="n">
        <x:v>0.2623794453</x:v>
      </x:c>
      <x:c r="H9" s="117" t="n">
        <x:v>0.2410868794</x:v>
      </x:c>
      <x:c r="I9" s="117" t="n">
        <x:v>0.1009470306</x:v>
      </x:c>
      <x:c r="J9" s="117" t="n">
        <x:v>0.3955866447</x:v>
      </x:c>
      <x:c r="K9" s="211"/>
      <x:c r="L9" s="211"/>
      <x:c r="M9" s="211"/>
      <x:c r="N9" s="211"/>
    </x:row>
    <x:row r="10">
      <x:c r="A10" s="111" t="str">
        <x:v>2025-03</x:v>
      </x:c>
      <x:c r="B10" s="120" t="n">
        <x:v>157.18219879398987</x:v>
      </x:c>
      <x:c r="C10" s="120" t="n">
        <x:v>149.64943589671023</x:v>
      </x:c>
      <x:c r="D10" s="120" t="n">
        <x:v>64.11130285666</x:v>
      </x:c>
      <x:c r="E10" s="120" t="n">
        <x:v>242.7368747475377</x:v>
      </x:c>
      <x:c r="F10" s="120" t="n">
        <x:v>613.6798122948978</x:v>
      </x:c>
      <x:c r="G10" s="117" t="n">
        <x:v>0.256130633</x:v>
      </x:c>
      <x:c r="H10" s="117" t="n">
        <x:v>0.2438558885</x:v>
      </x:c>
      <x:c r="I10" s="117" t="n">
        <x:v>0.1044702817</x:v>
      </x:c>
      <x:c r="J10" s="117" t="n">
        <x:v>0.3955431968</x:v>
      </x:c>
      <x:c r="K10" s="211"/>
      <x:c r="L10" s="211"/>
      <x:c r="M10" s="211"/>
      <x:c r="N10" s="211"/>
    </x:row>
    <x:row r="11">
      <x:c r="A11" s="111" t="str">
        <x:v>2025-04</x:v>
      </x:c>
      <x:c r="B11" s="120" t="n">
        <x:v>155.0852578669602</x:v>
      </x:c>
      <x:c r="C11" s="120" t="n">
        <x:v>152.83044498047036</x:v>
      </x:c>
      <x:c r="D11" s="120" t="n">
        <x:v>65.83362260501985</x:v>
      </x:c>
      <x:c r="E11" s="120" t="n">
        <x:v>251.7459789720576</x:v>
      </x:c>
      <x:c r="F11" s="120" t="n">
        <x:v>625.4953044245079</x:v>
      </x:c>
      <x:c r="G11" s="117" t="n">
        <x:v>0.2479399234</x:v>
      </x:c>
      <x:c r="H11" s="117" t="n">
        <x:v>0.2443350796</x:v>
      </x:c>
      <x:c r="I11" s="117" t="n">
        <x:v>0.1052503866</x:v>
      </x:c>
      <x:c r="J11" s="117" t="n">
        <x:v>0.4024746104</x:v>
      </x:c>
      <x:c r="K11" s="211"/>
      <x:c r="L11" s="211"/>
      <x:c r="M11" s="211"/>
      <x:c r="N11" s="211"/>
    </x:row>
    <x:row r="12">
      <x:c r="A12" s="111" t="str">
        <x:v>2025-05</x:v>
      </x:c>
      <x:c r="B12" s="120" t="n">
        <x:v>158.10476426364997</x:v>
      </x:c>
      <x:c r="C12" s="120" t="n">
        <x:v>155.25607855680002</x:v>
      </x:c>
      <x:c r="D12" s="120" t="n">
        <x:v>67.18291038829011</x:v>
      </x:c>
      <x:c r="E12" s="120" t="n">
        <x:v>264.3498091067133</x:v>
      </x:c>
      <x:c r="F12" s="120" t="n">
        <x:v>644.8935623154533</x:v>
      </x:c>
      <x:c r="G12" s="117" t="n">
        <x:v>0.2451641224</x:v>
      </x:c>
      <x:c r="H12" s="117" t="n">
        <x:v>0.2407468265</x:v>
      </x:c>
      <x:c r="I12" s="117" t="n">
        <x:v>0.1041767422</x:v>
      </x:c>
      <x:c r="J12" s="117" t="n">
        <x:v>0.4099123089</x:v>
      </x:c>
      <x:c r="K12" s="211"/>
      <x:c r="L12" s="211"/>
      <x:c r="M12" s="211"/>
      <x:c r="N12" s="211"/>
    </x:row>
    <x:row r="13">
      <x:c r="A13" s="111" t="str">
        <x:v>2025-06</x:v>
      </x:c>
      <x:c r="B13" s="120" t="n">
        <x:v>162.94570799349998</x:v>
      </x:c>
      <x:c r="C13" s="120" t="n">
        <x:v>163.72973352157265</x:v>
      </x:c>
      <x:c r="D13" s="120" t="n">
        <x:v>70.62200363896001</x:v>
      </x:c>
      <x:c r="E13" s="120" t="n">
        <x:v>292.94030588884203</x:v>
      </x:c>
      <x:c r="F13" s="120" t="n">
        <x:v>690.2377510428747</x:v>
      </x:c>
      <x:c r="G13" s="117" t="n">
        <x:v>0.2360718575</x:v>
      </x:c>
      <x:c r="H13" s="117" t="n">
        <x:v>0.237207735</x:v>
      </x:c>
      <x:c r="I13" s="117" t="n">
        <x:v>0.1023154754</x:v>
      </x:c>
      <x:c r="J13" s="117" t="n">
        <x:v>0.4244049321</x:v>
      </x:c>
      <x:c r="K13" s="211"/>
      <x:c r="L13" s="211"/>
      <x:c r="M13" s="211"/>
      <x:c r="N13" s="211"/>
    </x:row>
    <x:row r="14">
      <x:c r="A14" s="111" t="str">
        <x:v>2025-07</x:v>
      </x:c>
      <x:c r="B14" s="120" t="n">
        <x:v>160.54936640609662</x:v>
      </x:c>
      <x:c r="C14" s="120" t="n">
        <x:v>167.52010247930002</x:v>
      </x:c>
      <x:c r="D14" s="120" t="n">
        <x:v>71.72945542851996</x:v>
      </x:c>
      <x:c r="E14" s="120" t="n">
        <x:v>300.94577418574755</x:v>
      </x:c>
      <x:c r="F14" s="120" t="n">
        <x:v>700.7446984996641</x:v>
      </x:c>
      <x:c r="G14" s="117" t="n">
        <x:v>0.2291124952</x:v>
      </x:c>
      <x:c r="H14" s="117" t="n">
        <x:v>0.2390601068</x:v>
      </x:c>
      <x:c r="I14" s="117" t="n">
        <x:v>0.1023617525</x:v>
      </x:c>
      <x:c r="J14" s="117" t="n">
        <x:v>0.4294656454</x:v>
      </x:c>
      <x:c r="K14" s="211"/>
      <x:c r="L14" s="211"/>
      <x:c r="M14" s="211"/>
      <x:c r="N14" s="211"/>
    </x:row>
    <x:row r="15">
      <x:c r="A15" s="111" t="str">
        <x:v>2025-08</x:v>
      </x:c>
      <x:c r="B15" s="120" t="n">
        <x:v>157.15174401005763</x:v>
      </x:c>
      <x:c r="C15" s="120" t="n">
        <x:v>171.60019414590028</x:v>
      </x:c>
      <x:c r="D15" s="120" t="n">
        <x:v>73.0732541764199</x:v>
      </x:c>
      <x:c r="E15" s="120" t="n">
        <x:v>297.34849532252747</x:v>
      </x:c>
      <x:c r="F15" s="120" t="n">
        <x:v>699.1736876549053</x:v>
      </x:c>
      <x:c r="G15" s="117" t="n">
        <x:v>0.2247678178</x:v>
      </x:c>
      <x:c r="H15" s="117" t="n">
        <x:v>0.2454328548</x:v>
      </x:c>
      <x:c r="I15" s="117" t="n">
        <x:v>0.104513736</x:v>
      </x:c>
      <x:c r="J15" s="117" t="n">
        <x:v>0.4252855915</x:v>
      </x:c>
      <x:c r="K15" s="211"/>
      <x:c r="L15" s="211"/>
      <x:c r="M15" s="211"/>
      <x:c r="N15" s="211"/>
    </x:row>
    <x:row r="16">
      <x:c r="A16" s="111" t="str">
        <x:v>2025-09</x:v>
      </x:c>
      <x:c r="B16" s="120" t="n">
        <x:v>151.23659319636457</x:v>
      </x:c>
      <x:c r="C16" s="120" t="n">
        <x:v>176.95245368139993</x:v>
      </x:c>
      <x:c r="D16" s="120" t="n">
        <x:v>75.77669100386629</x:v>
      </x:c>
      <x:c r="E16" s="120" t="n">
        <x:v>306.6482580774246</x:v>
      </x:c>
      <x:c r="F16" s="120" t="n">
        <x:v>710.6139959590554</x:v>
      </x:c>
      <x:c r="G16" s="117" t="n">
        <x:v>0.2128252385</x:v>
      </x:c>
      <x:c r="H16" s="117" t="n">
        <x:v>0.2490134654</x:v>
      </x:c>
      <x:c r="I16" s="117" t="n">
        <x:v>0.1066355172</x:v>
      </x:c>
      <x:c r="J16" s="117" t="n">
        <x:v>0.4315257789</x:v>
      </x:c>
      <x:c r="K16" s="211"/>
      <x:c r="L16" s="211"/>
      <x:c r="M16" s="211"/>
      <x:c r="N16" s="211"/>
    </x:row>
    <x:row r="17">
      <x:c r="A17" s="111" t="str">
        <x:v>2025-10</x:v>
      </x:c>
      <x:c r="B17" s="120" t="n">
        <x:v>150.6148825404602</x:v>
      </x:c>
      <x:c r="C17" s="120" t="n">
        <x:v>180.191270999493</x:v>
      </x:c>
      <x:c r="D17" s="120" t="n">
        <x:v>77.91361501651491</x:v>
      </x:c>
      <x:c r="E17" s="120" t="n">
        <x:v>322.98618626142934</x:v>
      </x:c>
      <x:c r="F17" s="120" t="n">
        <x:v>731.7059548178975</x:v>
      </x:c>
      <x:c r="G17" s="117" t="n">
        <x:v>0.2058407227</x:v>
      </x:c>
      <x:c r="H17" s="117" t="n">
        <x:v>0.2462618622</x:v>
      </x:c>
      <x:c r="I17" s="117" t="n">
        <x:v>0.1064821388</x:v>
      </x:c>
      <x:c r="J17" s="117" t="n">
        <x:v>0.4414152764</x:v>
      </x:c>
      <x:c r="K17" s="211"/>
      <x:c r="L17" s="211"/>
      <x:c r="M17" s="211"/>
      <x:c r="N17" s="211"/>
    </x:row>
    <x:row r="18">
      <x:c r="A18" s="111" t="str">
        <x:v>2025-11</x:v>
      </x:c>
      <x:c r="B18" s="120" t="n">
        <x:v>148.80311805655273</x:v>
      </x:c>
      <x:c r="C18" s="120" t="n">
        <x:v>183.73454097031635</x:v>
      </x:c>
      <x:c r="D18" s="120" t="n">
        <x:v>79.69317226176477</x:v>
      </x:c>
      <x:c r="E18" s="120" t="n">
        <x:v>317.00640257041493</x:v>
      </x:c>
      <x:c r="F18" s="120" t="n">
        <x:v>729.2372338590488</x:v>
      </x:c>
      <x:c r="G18" s="117" t="n">
        <x:v>0.2040530998</x:v>
      </x:c>
      <x:c r="H18" s="117" t="n">
        <x:v>0.2519544154</x:v>
      </x:c>
      <x:c r="I18" s="117" t="n">
        <x:v>0.1092829172</x:v>
      </x:c>
      <x:c r="J18" s="117" t="n">
        <x:v>0.4347095675</x:v>
      </x:c>
      <x:c r="K18" s="211"/>
      <x:c r="L18" s="211"/>
      <x:c r="M18" s="211"/>
      <x:c r="N18" s="211"/>
    </x:row>
    <x:row r="19">
      <x:c r="A19" s="111" t="str">
        <x:v>2025-12</x:v>
      </x:c>
      <x:c r="B19" s="120" t="n">
        <x:v>150.73962840911219</x:v>
      </x:c>
      <x:c r="C19" s="120" t="n">
        <x:v>190.91711469775493</x:v>
      </x:c>
      <x:c r="D19" s="120" t="n">
        <x:v>80.24733069728981</x:v>
      </x:c>
      <x:c r="E19" s="120" t="n">
        <x:v>323.3832682524593</x:v>
      </x:c>
      <x:c r="F19" s="120" t="n">
        <x:v>745.2873420566162</x:v>
      </x:c>
      <x:c r="G19" s="117" t="n">
        <x:v>0.2022570623</x:v>
      </x:c>
      <x:c r="H19" s="117" t="n">
        <x:v>0.2561657819</x:v>
      </x:c>
      <x:c r="I19" s="117" t="n">
        <x:v>0.107673009</x:v>
      </x:c>
      <x:c r="J19" s="117" t="n">
        <x:v>0.4339041468</x:v>
      </x:c>
      <x:c r="K19" s="211"/>
      <x:c r="L19" s="211"/>
      <x:c r="M19" s="211"/>
      <x:c r="N19" s="211"/>
    </x:row>
    <x:row r="20">
      <x:c r="A20" s="111" t="str">
        <x:v>2026-01</x:v>
      </x:c>
      <x:c r="B20" s="120" t="n">
        <x:v>152.1834188669374</x:v>
      </x:c>
      <x:c r="C20" s="120" t="n">
        <x:v>194.09011463143528</x:v>
      </x:c>
      <x:c r="D20" s="120" t="n">
        <x:v>78.99423318878854</x:v>
      </x:c>
      <x:c r="E20" s="120" t="n">
        <x:v>291.29277831080697</x:v>
      </x:c>
      <x:c r="F20" s="120" t="n">
        <x:v>716.5605449979682</x:v>
      </x:c>
      <x:c r="G20" s="117" t="n">
        <x:v>0.2123804052</x:v>
      </x:c>
      <x:c r="H20" s="117" t="n">
        <x:v>0.2708635244</x:v>
      </x:c>
      <x:c r="I20" s="117" t="n">
        <x:v>0.1102408355</x:v>
      </x:c>
      <x:c r="J20" s="117" t="n">
        <x:v>0.406515235</x:v>
      </x:c>
      <x:c r="K20" s="211"/>
      <x:c r="L20" s="211"/>
      <x:c r="M20" s="211"/>
      <x:c r="N20" s="211"/>
    </x:row>
    <x:row r="21">
      <x:c r="A21" s="111" t="str">
        <x:v>2026-02</x:v>
      </x:c>
      <x:c r="B21" s="120" t="n">
        <x:v>153.86965029486376</x:v>
      </x:c>
      <x:c r="C21" s="120" t="n">
        <x:v>194.81762809041493</x:v>
      </x:c>
      <x:c r="D21" s="120" t="n">
        <x:v>80.3182855966815</x:v>
      </x:c>
      <x:c r="E21" s="120" t="n">
        <x:v>287.83525953079555</x:v>
      </x:c>
      <x:c r="F21" s="120" t="n">
        <x:v>716.8408235127557</x:v>
      </x:c>
      <x:c r="G21" s="117" t="n">
        <x:v>0.2146496757</x:v>
      </x:c>
      <x:c r="H21" s="117" t="n">
        <x:v>0.2717725075</x:v>
      </x:c>
      <x:c r="I21" s="117" t="n">
        <x:v>0.1120447985</x:v>
      </x:c>
      <x:c r="J21" s="117" t="n">
        <x:v>0.4015330183</x:v>
      </x:c>
      <x:c r="K21" s="211"/>
      <x:c r="L21" s="211"/>
      <x:c r="M21" s="211"/>
      <x:c r="N21" s="211"/>
    </x:row>
    <x:row r="22">
      <x:c r="A22" s="111" t="str">
        <x:v>2026-03</x:v>
      </x:c>
      <x:c r="B22" s="120" t="n">
        <x:v>155.08611199535986</x:v>
      </x:c>
      <x:c r="C22" s="120" t="n">
        <x:v>200.35968271177492</x:v>
      </x:c>
      <x:c r="D22" s="120" t="n">
        <x:v>82.8950327705702</x:v>
      </x:c>
      <x:c r="E22" s="120" t="n">
        <x:v>299.0420403417491</x:v>
      </x:c>
      <x:c r="F22" s="120" t="n">
        <x:v>737.3828678194541</x:v>
      </x:c>
      <x:c r="G22" s="117" t="n">
        <x:v>0.2103196572</x:v>
      </x:c>
      <x:c r="H22" s="117" t="n">
        <x:v>0.2717173011</x:v>
      </x:c>
      <x:c r="I22" s="117" t="n">
        <x:v>0.112417899</x:v>
      </x:c>
      <x:c r="J22" s="117" t="n">
        <x:v>0.4055451427</x:v>
      </x:c>
      <x:c r="K22" s="211"/>
      <x:c r="L22" s="211"/>
      <x:c r="M22" s="211"/>
      <x:c r="N22" s="211"/>
    </x:row>
    <x:row r="23">
      <x:c r="A23" s="111" t="str">
        <x:v>2026-04</x:v>
      </x:c>
      <x:c r="B23" s="120" t="n">
        <x:v>155.39569297542323</x:v>
      </x:c>
      <x:c r="C23" s="120" t="n">
        <x:v>207.71495009925601</x:v>
      </x:c>
      <x:c r="D23" s="120" t="n">
        <x:v>84.30229800836622</x:v>
      </x:c>
      <x:c r="E23" s="120" t="n">
        <x:v>295.4665933294663</x:v>
      </x:c>
      <x:c r="F23" s="120" t="n">
        <x:v>742.8795344125117</x:v>
      </x:c>
      <x:c r="G23" s="117" t="n">
        <x:v>0.2091802046</x:v>
      </x:c>
      <x:c r="H23" s="117" t="n">
        <x:v>0.2796078509</x:v>
      </x:c>
      <x:c r="I23" s="117" t="n">
        <x:v>0.1134804421</x:v>
      </x:c>
      <x:c r="J23" s="117" t="n">
        <x:v>0.3977315024</x:v>
      </x:c>
      <x:c r="K23" s="211"/>
      <x:c r="L23" s="211"/>
      <x:c r="M23" s="211"/>
      <x:c r="N23" s="211"/>
    </x:row>
    <x:row r="24">
      <x:c r="A24" s="112" t="str">
        <x:v>2026-05</x:v>
      </x:c>
      <x:c r="B24" s="124" t="n">
        <x:v>154.07011941794488</x:v>
      </x:c>
      <x:c r="C24" s="124" t="n">
        <x:v>213.1804462764401</x:v>
      </x:c>
      <x:c r="D24" s="124" t="n">
        <x:v>85.75464670265465</x:v>
      </x:c>
      <x:c r="E24" s="124" t="n">
        <x:v>298.08324276113404</x:v>
      </x:c>
      <x:c r="F24" s="124" t="n">
        <x:v>751.0884551581737</x:v>
      </x:c>
      <x:c r="G24" s="118" t="n">
        <x:v>0.2051291274</x:v>
      </x:c>
      <x:c r="H24" s="118" t="n">
        <x:v>0.283828682</x:v>
      </x:c>
      <x:c r="I24" s="118" t="n">
        <x:v>0.1141738315</x:v>
      </x:c>
      <x:c r="J24" s="118" t="n">
        <x:v>0.3968683591</x:v>
      </x:c>
      <x:c r="K24" s="211"/>
      <x:c r="L24" s="211"/>
      <x:c r="M24" s="211"/>
      <x:c r="N24" s="211"/>
    </x:row>
    <x:row r="25">
      <x:c r="A25" s="211"/>
      <x:c r="B25" s="211"/>
      <x:c r="C25" s="211"/>
      <x:c r="D25" s="211"/>
      <x:c r="E25" s="211"/>
      <x:c r="F25" s="211"/>
      <x:c r="G25" s="211"/>
      <x:c r="H25" s="211"/>
      <x:c r="I25" s="211"/>
      <x:c r="J25" s="211"/>
      <x:c r="K25" s="211"/>
      <x:c r="L25" s="211"/>
      <x:c r="M25" s="211"/>
      <x:c r="N25" s="211"/>
    </x:row>
    <x:row r="26">
      <x:c r="A26" s="211"/>
      <x:c r="B26" s="211"/>
      <x:c r="C26" s="211"/>
      <x:c r="D26" s="211"/>
      <x:c r="E26" s="211"/>
      <x:c r="F26" s="211"/>
      <x:c r="G26" s="211"/>
      <x:c r="H26" s="211"/>
      <x:c r="I26" s="211"/>
      <x:c r="J26" s="211"/>
      <x:c r="K26" s="211"/>
      <x:c r="L26" s="211"/>
      <x:c r="M26" s="211"/>
      <x:c r="N26" s="211"/>
    </x:row>
    <x:row r="27">
      <x:c r="A27" s="52" t="str">
        <x:v>Série observada no Power BI ANBIMA: out/2024 a mai/2026. Os quatro tipos somam R$ 751.1 bi em mai/2026.</x:v>
      </x:c>
      <x:c r="B27" s="52" t="str">
        <x:v>Série observada no Power BI ANBIMA: out/2024 a mai/2026. Os quatro tipos somam R$ 751.1 bi em mai/2026.</x:v>
      </x:c>
      <x:c r="C27" s="52" t="str">
        <x:v>Série observada no Power BI ANBIMA: out/2024 a mai/2026. Os quatro tipos somam R$ 751.1 bi em mai/2026.</x:v>
      </x:c>
      <x:c r="D27" s="52" t="str">
        <x:v>Série observada no Power BI ANBIMA: out/2024 a mai/2026. Os quatro tipos somam R$ 751.1 bi em mai/2026.</x:v>
      </x:c>
      <x:c r="E27" s="52" t="str">
        <x:v>Série observada no Power BI ANBIMA: out/2024 a mai/2026. Os quatro tipos somam R$ 751.1 bi em mai/2026.</x:v>
      </x:c>
      <x:c r="F27" s="52" t="str">
        <x:v>Série observada no Power BI ANBIMA: out/2024 a mai/2026. Os quatro tipos somam R$ 751.1 bi em mai/2026.</x:v>
      </x:c>
      <x:c r="G27" s="52" t="str">
        <x:v>Série observada no Power BI ANBIMA: out/2024 a mai/2026. Os quatro tipos somam R$ 751.1 bi em mai/2026.</x:v>
      </x:c>
      <x:c r="H27" s="52" t="str">
        <x:v>Série observada no Power BI ANBIMA: out/2024 a mai/2026. Os quatro tipos somam R$ 751.1 bi em mai/2026.</x:v>
      </x:c>
      <x:c r="I27" s="52" t="str">
        <x:v>Série observada no Power BI ANBIMA: out/2024 a mai/2026. Os quatro tipos somam R$ 751.1 bi em mai/2026.</x:v>
      </x:c>
      <x:c r="J27" s="52" t="str">
        <x:v>Série observada no Power BI ANBIMA: out/2024 a mai/2026. Os quatro tipos somam R$ 751.1 bi em mai/2026.</x:v>
      </x:c>
      <x:c r="K27" s="211"/>
      <x:c r="L27" s="211"/>
      <x:c r="M27" s="211"/>
      <x:c r="N27" s="211"/>
    </x:row>
    <x:row r="28">
      <x:c r="A28" s="52" t="str">
        <x:v>Série observada no Power BI ANBIMA: out/2024 a mai/2026. Os quatro tipos somam R$ 751.1 bi em mai/2026.</x:v>
      </x:c>
      <x:c r="B28" s="52" t="str">
        <x:v>Série observada no Power BI ANBIMA: out/2024 a mai/2026. Os quatro tipos somam R$ 751.1 bi em mai/2026.</x:v>
      </x:c>
      <x:c r="C28" s="52" t="str">
        <x:v>Série observada no Power BI ANBIMA: out/2024 a mai/2026. Os quatro tipos somam R$ 751.1 bi em mai/2026.</x:v>
      </x:c>
      <x:c r="D28" s="52" t="str">
        <x:v>Série observada no Power BI ANBIMA: out/2024 a mai/2026. Os quatro tipos somam R$ 751.1 bi em mai/2026.</x:v>
      </x:c>
      <x:c r="E28" s="52" t="str">
        <x:v>Série observada no Power BI ANBIMA: out/2024 a mai/2026. Os quatro tipos somam R$ 751.1 bi em mai/2026.</x:v>
      </x:c>
      <x:c r="F28" s="52" t="str">
        <x:v>Série observada no Power BI ANBIMA: out/2024 a mai/2026. Os quatro tipos somam R$ 751.1 bi em mai/2026.</x:v>
      </x:c>
      <x:c r="G28" s="52" t="str">
        <x:v>Série observada no Power BI ANBIMA: out/2024 a mai/2026. Os quatro tipos somam R$ 751.1 bi em mai/2026.</x:v>
      </x:c>
      <x:c r="H28" s="52" t="str">
        <x:v>Série observada no Power BI ANBIMA: out/2024 a mai/2026. Os quatro tipos somam R$ 751.1 bi em mai/2026.</x:v>
      </x:c>
      <x:c r="I28" s="52" t="str">
        <x:v>Série observada no Power BI ANBIMA: out/2024 a mai/2026. Os quatro tipos somam R$ 751.1 bi em mai/2026.</x:v>
      </x:c>
      <x:c r="J28" s="52" t="str">
        <x:v>Série observada no Power BI ANBIMA: out/2024 a mai/2026. Os quatro tipos somam R$ 751.1 bi em mai/2026.</x:v>
      </x:c>
      <x:c r="K28" s="211"/>
      <x:c r="L28" s="211"/>
      <x:c r="M28" s="211"/>
      <x:c r="N28" s="211"/>
    </x:row>
    <x:row r="29">
      <x:c r="A29" s="52" t="str">
        <x:v>Série observada no Power BI ANBIMA: out/2024 a mai/2026. Os quatro tipos somam R$ 751.1 bi em mai/2026.</x:v>
      </x:c>
      <x:c r="B29" s="52" t="str">
        <x:v>Série observada no Power BI ANBIMA: out/2024 a mai/2026. Os quatro tipos somam R$ 751.1 bi em mai/2026.</x:v>
      </x:c>
      <x:c r="C29" s="52" t="str">
        <x:v>Série observada no Power BI ANBIMA: out/2024 a mai/2026. Os quatro tipos somam R$ 751.1 bi em mai/2026.</x:v>
      </x:c>
      <x:c r="D29" s="52" t="str">
        <x:v>Série observada no Power BI ANBIMA: out/2024 a mai/2026. Os quatro tipos somam R$ 751.1 bi em mai/2026.</x:v>
      </x:c>
      <x:c r="E29" s="52" t="str">
        <x:v>Série observada no Power BI ANBIMA: out/2024 a mai/2026. Os quatro tipos somam R$ 751.1 bi em mai/2026.</x:v>
      </x:c>
      <x:c r="F29" s="52" t="str">
        <x:v>Série observada no Power BI ANBIMA: out/2024 a mai/2026. Os quatro tipos somam R$ 751.1 bi em mai/2026.</x:v>
      </x:c>
      <x:c r="G29" s="52" t="str">
        <x:v>Série observada no Power BI ANBIMA: out/2024 a mai/2026. Os quatro tipos somam R$ 751.1 bi em mai/2026.</x:v>
      </x:c>
      <x:c r="H29" s="52" t="str">
        <x:v>Série observada no Power BI ANBIMA: out/2024 a mai/2026. Os quatro tipos somam R$ 751.1 bi em mai/2026.</x:v>
      </x:c>
      <x:c r="I29" s="52" t="str">
        <x:v>Série observada no Power BI ANBIMA: out/2024 a mai/2026. Os quatro tipos somam R$ 751.1 bi em mai/2026.</x:v>
      </x:c>
      <x:c r="J29" s="52" t="str">
        <x:v>Série observada no Power BI ANBIMA: out/2024 a mai/2026. Os quatro tipos somam R$ 751.1 bi em mai/2026.</x:v>
      </x:c>
      <x:c r="K29" s="211"/>
      <x:c r="L29" s="211"/>
      <x:c r="M29" s="211"/>
      <x:c r="N29" s="211"/>
    </x:row>
    <x:row r="30">
      <x:c r="A30" s="52" t="str">
        <x:v>Série observada no Power BI ANBIMA: out/2024 a mai/2026. Os quatro tipos somam R$ 751.1 bi em mai/2026.</x:v>
      </x:c>
      <x:c r="B30" s="52" t="str">
        <x:v>Série observada no Power BI ANBIMA: out/2024 a mai/2026. Os quatro tipos somam R$ 751.1 bi em mai/2026.</x:v>
      </x:c>
      <x:c r="C30" s="52" t="str">
        <x:v>Série observada no Power BI ANBIMA: out/2024 a mai/2026. Os quatro tipos somam R$ 751.1 bi em mai/2026.</x:v>
      </x:c>
      <x:c r="D30" s="52" t="str">
        <x:v>Série observada no Power BI ANBIMA: out/2024 a mai/2026. Os quatro tipos somam R$ 751.1 bi em mai/2026.</x:v>
      </x:c>
      <x:c r="E30" s="52" t="str">
        <x:v>Série observada no Power BI ANBIMA: out/2024 a mai/2026. Os quatro tipos somam R$ 751.1 bi em mai/2026.</x:v>
      </x:c>
      <x:c r="F30" s="52" t="str">
        <x:v>Série observada no Power BI ANBIMA: out/2024 a mai/2026. Os quatro tipos somam R$ 751.1 bi em mai/2026.</x:v>
      </x:c>
      <x:c r="G30" s="52" t="str">
        <x:v>Série observada no Power BI ANBIMA: out/2024 a mai/2026. Os quatro tipos somam R$ 751.1 bi em mai/2026.</x:v>
      </x:c>
      <x:c r="H30" s="52" t="str">
        <x:v>Série observada no Power BI ANBIMA: out/2024 a mai/2026. Os quatro tipos somam R$ 751.1 bi em mai/2026.</x:v>
      </x:c>
      <x:c r="I30" s="52" t="str">
        <x:v>Série observada no Power BI ANBIMA: out/2024 a mai/2026. Os quatro tipos somam R$ 751.1 bi em mai/2026.</x:v>
      </x:c>
      <x:c r="J30" s="52" t="str">
        <x:v>Série observada no Power BI ANBIMA: out/2024 a mai/2026. Os quatro tipos somam R$ 751.1 bi em mai/2026.</x:v>
      </x:c>
      <x:c r="K30" s="211"/>
      <x:c r="L30" s="211"/>
      <x:c r="M30" s="211"/>
      <x:c r="N30" s="211"/>
    </x:row>
  </x:sheetData>
  <x:mergeCells>
    <x:mergeCell ref="A1:N2"/>
    <x:mergeCell ref="A27:J30"/>
  </x:mergeCells>
  <x:pageMargins left="0.7" right="0.7" top="0.75" bottom="0.75" header="0.3" footer="0.3"/>
  <x:drawing xmlns:r="http://schemas.openxmlformats.org/officeDocument/2006/relationships" r:id="Rb2eec70064b646a1"/>
  <x:legacyDrawing xmlns:r="http://schemas.openxmlformats.org/officeDocument/2006/relationships" r:id="R969f52aace5c4f18"/>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21" hidden="0" customWidth="1"/>
    <x:col min="3" max="3" width="21" hidden="0" customWidth="1"/>
    <x:col min="4" max="4" width="21" hidden="0" customWidth="1"/>
    <x:col min="5" max="5" width="2" hidden="0" customWidth="1"/>
    <x:col min="6" max="6" width="16" hidden="0" customWidth="1"/>
    <x:col min="7" max="7" width="18" hidden="0" customWidth="1"/>
    <x:col min="8" max="8" width="24" hidden="0" customWidth="1"/>
    <x:col min="9" max="9" width="44" hidden="0" customWidth="1"/>
  </x:cols>
  <x:sheetData>
    <x:row r="1" ht="30" customHeight="1">
      <x:c r="A1" s="4" t="str">
        <x:v>Emissões encerradas somaram R$ 91,0 bi em 2025</x:v>
      </x:c>
      <x:c r="B1" s="4" t="str">
        <x:v>Emissões encerradas somaram R$ 91,0 bi em 2025</x:v>
      </x:c>
      <x:c r="C1" s="4" t="str">
        <x:v>Emissões encerradas somaram R$ 91,0 bi em 2025</x:v>
      </x:c>
      <x:c r="D1" s="4" t="str">
        <x:v>Emissões encerradas somaram R$ 91,0 bi em 2025</x:v>
      </x:c>
      <x:c r="E1" s="4" t="str">
        <x:v>Emissões encerradas somaram R$ 91,0 bi em 2025</x:v>
      </x:c>
      <x:c r="F1" s="4" t="str">
        <x:v>Emissões encerradas somaram R$ 91,0 bi em 2025</x:v>
      </x:c>
      <x:c r="G1" s="4" t="str">
        <x:v>Emissões encerradas somaram R$ 91,0 bi em 2025</x:v>
      </x:c>
      <x:c r="H1" s="4" t="str">
        <x:v>Emissões encerradas somaram R$ 91,0 bi em 2025</x:v>
      </x:c>
      <x:c r="I1" s="4" t="str">
        <x:v>Emissões encerradas somaram R$ 91,0 bi em 2025</x:v>
      </x:c>
      <x:c r="J1" s="4" t="str">
        <x:v>Emissões encerradas somaram R$ 91,0 bi em 2025</x:v>
      </x:c>
      <x:c r="K1" s="4" t="str">
        <x:v>Emissões encerradas somaram R$ 91,0 bi em 2025</x:v>
      </x:c>
      <x:c r="L1" s="4" t="str">
        <x:v>Emissões encerradas somaram R$ 91,0 bi em 2025</x:v>
      </x:c>
      <x:c r="M1" s="4" t="str">
        <x:v>Emissões encerradas somaram R$ 91,0 bi em 2025</x:v>
      </x:c>
      <x:c r="N1" s="4" t="str">
        <x:v>Emissões encerradas somaram R$ 91,0 bi em 2025</x:v>
      </x:c>
    </x:row>
    <x:row r="2" ht="30" customHeight="1">
      <x:c r="A2" s="4" t="str">
        <x:v>Emissões encerradas somaram R$ 91,0 bi em 2025</x:v>
      </x:c>
      <x:c r="B2" s="4" t="str">
        <x:v>Emissões encerradas somaram R$ 91,0 bi em 2025</x:v>
      </x:c>
      <x:c r="C2" s="4" t="str">
        <x:v>Emissões encerradas somaram R$ 91,0 bi em 2025</x:v>
      </x:c>
      <x:c r="D2" s="4" t="str">
        <x:v>Emissões encerradas somaram R$ 91,0 bi em 2025</x:v>
      </x:c>
      <x:c r="E2" s="4" t="str">
        <x:v>Emissões encerradas somaram R$ 91,0 bi em 2025</x:v>
      </x:c>
      <x:c r="F2" s="4" t="str">
        <x:v>Emissões encerradas somaram R$ 91,0 bi em 2025</x:v>
      </x:c>
      <x:c r="G2" s="4" t="str">
        <x:v>Emissões encerradas somaram R$ 91,0 bi em 2025</x:v>
      </x:c>
      <x:c r="H2" s="4" t="str">
        <x:v>Emissões encerradas somaram R$ 91,0 bi em 2025</x:v>
      </x:c>
      <x:c r="I2" s="4" t="str">
        <x:v>Emissões encerradas somaram R$ 91,0 bi em 2025</x:v>
      </x:c>
      <x:c r="J2" s="4" t="str">
        <x:v>Emissões encerradas somaram R$ 91,0 bi em 2025</x:v>
      </x:c>
      <x:c r="K2" s="4" t="str">
        <x:v>Emissões encerradas somaram R$ 91,0 bi em 2025</x:v>
      </x:c>
      <x:c r="L2" s="4" t="str">
        <x:v>Emissões encerradas somaram R$ 91,0 bi em 2025</x:v>
      </x:c>
      <x:c r="M2" s="4" t="str">
        <x:v>Emissões encerradas somaram R$ 91,0 bi em 2025</x:v>
      </x:c>
      <x:c r="N2" s="4" t="str">
        <x:v>Emissões encerradas somaram R$ 91,0 bi em 2025</x:v>
      </x:c>
    </x:row>
    <x:row r="3">
      <x:c r="A3" s="211"/>
      <x:c r="B3" s="211"/>
      <x:c r="C3" s="211"/>
      <x:c r="D3" s="211"/>
      <x:c r="E3" s="211"/>
      <x:c r="F3" s="211"/>
      <x:c r="G3" s="211"/>
      <x:c r="H3" s="211"/>
      <x:c r="I3" s="211"/>
      <x:c r="J3" s="211"/>
      <x:c r="K3" s="211"/>
      <x:c r="L3" s="211"/>
      <x:c r="M3" s="211"/>
      <x:c r="N3" s="211"/>
    </x:row>
    <x:row r="4" ht="28" customHeight="1">
      <x:c r="A4" s="20" t="str">
        <x:v>Mês</x:v>
      </x:c>
      <x:c r="B4" s="21" t="str">
        <x:v>Volume no mês (R$)</x:v>
      </x:c>
      <x:c r="C4" s="21" t="str">
        <x:v>Volume no mês (R$ bi)</x:v>
      </x:c>
      <x:c r="D4" s="22" t="str">
        <x:v>Acumulado (R$ bi)</x:v>
      </x:c>
      <x:c r="E4" s="211"/>
      <x:c r="F4" s="20" t="str">
        <x:v>Período</x:v>
      </x:c>
      <x:c r="G4" s="21" t="str">
        <x:v>Volume (R$ bi)</x:v>
      </x:c>
      <x:c r="H4" s="21" t="str">
        <x:v>Status</x:v>
      </x:c>
      <x:c r="I4" s="22" t="str">
        <x:v>Fonte</x:v>
      </x:c>
      <x:c r="J4" s="211"/>
      <x:c r="K4" s="20" t="str">
        <x:v>Indicador</x:v>
      </x:c>
      <x:c r="L4" s="22" t="str">
        <x:v>Valor</x:v>
      </x:c>
      <x:c r="M4" s="211"/>
      <x:c r="N4" s="211"/>
    </x:row>
    <x:row r="5">
      <x:c r="A5" s="125" t="n">
        <x:v>45658</x:v>
      </x:c>
      <x:c r="B5" s="121" t="n">
        <x:v>3521326377.5545616</x:v>
      </x:c>
      <x:c r="C5" s="119" t="n">
        <x:v>3.5213263776</x:v>
      </x:c>
      <x:c r="D5" s="119" t="n">
        <x:v>34.0454895784</x:v>
      </x:c>
      <x:c r="E5" s="212" t="str">
        <x:v>jan/25</x:v>
      </x:c>
      <x:c r="F5" s="110" t="str">
        <x:v>2024</x:v>
      </x:c>
      <x:c r="G5" s="119" t="n">
        <x:v>81.41</x:v>
      </x:c>
      <x:c r="H5" s="110" t="str">
        <x:v>ofertas encerradas</x:v>
      </x:c>
      <x:c r="I5" s="110" t="str">
        <x:v>ANBIMA Coletiva Mercado de Capitais 2024</x:v>
      </x:c>
      <x:c r="J5" s="211"/>
      <x:c r="K5" s="128" t="str">
        <x:v>Emissões 2025 (R$ bi)</x:v>
      </x:c>
      <x:c r="L5" s="129" t="n">
        <x:v>90.8</x:v>
      </x:c>
      <x:c r="M5" s="211"/>
      <x:c r="N5" s="211"/>
    </x:row>
    <x:row r="6">
      <x:c r="A6" s="126" t="n">
        <x:v>45689</x:v>
      </x:c>
      <x:c r="B6" s="122" t="n">
        <x:v>6205690298.177567</x:v>
      </x:c>
      <x:c r="C6" s="120" t="n">
        <x:v>6.2056902982</x:v>
      </x:c>
      <x:c r="D6" s="120" t="n">
        <x:v>40.2511798765</x:v>
      </x:c>
      <x:c r="E6" s="212" t="str">
        <x:v>fev/25</x:v>
      </x:c>
      <x:c r="F6" s="111" t="str">
        <x:v>2025</x:v>
      </x:c>
      <x:c r="G6" s="120" t="n">
        <x:v>90.8</x:v>
      </x:c>
      <x:c r="H6" s="111" t="str">
        <x:v>ofertas encerradas</x:v>
      </x:c>
      <x:c r="I6" s="111" t="str">
        <x:v>ANBIMA fechamento 2025</x:v>
      </x:c>
      <x:c r="J6" s="211"/>
      <x:c r="K6" s="211"/>
      <x:c r="L6" s="211"/>
      <x:c r="M6" s="211"/>
      <x:c r="N6" s="211"/>
    </x:row>
    <x:row r="7">
      <x:c r="A7" s="126" t="n">
        <x:v>45717</x:v>
      </x:c>
      <x:c r="B7" s="122" t="n">
        <x:v>5801250002.123291</x:v>
      </x:c>
      <x:c r="C7" s="120" t="n">
        <x:v>5.8012500021</x:v>
      </x:c>
      <x:c r="D7" s="120" t="n">
        <x:v>46.0524298787</x:v>
      </x:c>
      <x:c r="E7" s="212" t="str">
        <x:v>mar/25</x:v>
      </x:c>
      <x:c r="F7" s="112" t="str">
        <x:v>Jan–Mai/26</x:v>
      </x:c>
      <x:c r="G7" s="124" t="n">
        <x:v>41.7</x:v>
      </x:c>
      <x:c r="H7" s="112" t="str">
        <x:v>ofertas encerradas YTD</x:v>
      </x:c>
      <x:c r="I7" s="112" t="str">
        <x:v>ANBIMA boletim maio/2026</x:v>
      </x:c>
      <x:c r="J7" s="211"/>
      <x:c r="K7" s="211"/>
      <x:c r="L7" s="211"/>
      <x:c r="M7" s="211"/>
      <x:c r="N7" s="211"/>
    </x:row>
    <x:row r="8">
      <x:c r="A8" s="126" t="n">
        <x:v>45748</x:v>
      </x:c>
      <x:c r="B8" s="122" t="n">
        <x:v>9104847344.353691</x:v>
      </x:c>
      <x:c r="C8" s="120" t="n">
        <x:v>9.1048473444</x:v>
      </x:c>
      <x:c r="D8" s="120" t="n">
        <x:v>55.157277223</x:v>
      </x:c>
      <x:c r="E8" s="212" t="str">
        <x:v>abr/25</x:v>
      </x:c>
      <x:c r="F8" s="211"/>
      <x:c r="G8" s="211"/>
      <x:c r="H8" s="211"/>
      <x:c r="I8" s="211"/>
      <x:c r="J8" s="211"/>
      <x:c r="K8" s="211"/>
      <x:c r="L8" s="211"/>
      <x:c r="M8" s="211"/>
      <x:c r="N8" s="211"/>
    </x:row>
    <x:row r="9">
      <x:c r="A9" s="126" t="n">
        <x:v>45778</x:v>
      </x:c>
      <x:c r="B9" s="122" t="n">
        <x:v>5885692946.805611</x:v>
      </x:c>
      <x:c r="C9" s="120" t="n">
        <x:v>5.8856929468</x:v>
      </x:c>
      <x:c r="D9" s="120" t="n">
        <x:v>61.0429701698</x:v>
      </x:c>
      <x:c r="E9" s="212" t="str">
        <x:v>mai/25</x:v>
      </x:c>
      <x:c r="F9" s="211"/>
      <x:c r="G9" s="211"/>
      <x:c r="H9" s="211"/>
      <x:c r="I9" s="211"/>
      <x:c r="J9" s="211"/>
      <x:c r="K9" s="211"/>
      <x:c r="L9" s="211"/>
      <x:c r="M9" s="211"/>
      <x:c r="N9" s="211"/>
    </x:row>
    <x:row r="10">
      <x:c r="A10" s="126" t="n">
        <x:v>45809</x:v>
      </x:c>
      <x:c r="B10" s="122" t="n">
        <x:v>10482865737.81578</x:v>
      </x:c>
      <x:c r="C10" s="120" t="n">
        <x:v>10.4828657378</x:v>
      </x:c>
      <x:c r="D10" s="120" t="n">
        <x:v>71.5258359076</x:v>
      </x:c>
      <x:c r="E10" s="212" t="str">
        <x:v>jun/25</x:v>
      </x:c>
      <x:c r="F10" s="211"/>
      <x:c r="G10" s="211"/>
      <x:c r="H10" s="211"/>
      <x:c r="I10" s="211"/>
      <x:c r="J10" s="211"/>
      <x:c r="K10" s="211"/>
      <x:c r="L10" s="211"/>
      <x:c r="M10" s="211"/>
      <x:c r="N10" s="211"/>
    </x:row>
    <x:row r="11">
      <x:c r="A11" s="126" t="n">
        <x:v>45839</x:v>
      </x:c>
      <x:c r="B11" s="122" t="n">
        <x:v>5773641020.750137</x:v>
      </x:c>
      <x:c r="C11" s="120" t="n">
        <x:v>5.7736410208</x:v>
      </x:c>
      <x:c r="D11" s="120" t="n">
        <x:v>77.2994769284</x:v>
      </x:c>
      <x:c r="E11" s="212" t="str">
        <x:v>jul/25</x:v>
      </x:c>
      <x:c r="F11" s="211"/>
      <x:c r="G11" s="211"/>
      <x:c r="H11" s="211"/>
      <x:c r="I11" s="211"/>
      <x:c r="J11" s="211"/>
      <x:c r="K11" s="211"/>
      <x:c r="L11" s="211"/>
      <x:c r="M11" s="211"/>
      <x:c r="N11" s="211"/>
    </x:row>
    <x:row r="12">
      <x:c r="A12" s="126" t="n">
        <x:v>45870</x:v>
      </x:c>
      <x:c r="B12" s="122" t="n">
        <x:v>5885717642.81749</x:v>
      </x:c>
      <x:c r="C12" s="120" t="n">
        <x:v>5.8857176428</x:v>
      </x:c>
      <x:c r="D12" s="120" t="n">
        <x:v>83.1851945712</x:v>
      </x:c>
      <x:c r="E12" s="212" t="str">
        <x:v>ago/25</x:v>
      </x:c>
      <x:c r="F12" s="211"/>
      <x:c r="G12" s="211"/>
      <x:c r="H12" s="211"/>
      <x:c r="I12" s="211"/>
      <x:c r="J12" s="211"/>
      <x:c r="K12" s="211"/>
      <x:c r="L12" s="211"/>
      <x:c r="M12" s="211"/>
      <x:c r="N12" s="211"/>
    </x:row>
    <x:row r="13">
      <x:c r="A13" s="126" t="n">
        <x:v>45901</x:v>
      </x:c>
      <x:c r="B13" s="122" t="n">
        <x:v>8824156169.320831</x:v>
      </x:c>
      <x:c r="C13" s="120" t="n">
        <x:v>8.8241561693</x:v>
      </x:c>
      <x:c r="D13" s="120" t="n">
        <x:v>92.0093507405</x:v>
      </x:c>
      <x:c r="E13" s="212" t="str">
        <x:v>set/25</x:v>
      </x:c>
      <x:c r="F13" s="211"/>
      <x:c r="G13" s="211"/>
      <x:c r="H13" s="211"/>
      <x:c r="I13" s="211"/>
      <x:c r="J13" s="211"/>
      <x:c r="K13" s="211"/>
      <x:c r="L13" s="211"/>
      <x:c r="M13" s="211"/>
      <x:c r="N13" s="211"/>
    </x:row>
    <x:row r="14">
      <x:c r="A14" s="126" t="n">
        <x:v>45931</x:v>
      </x:c>
      <x:c r="B14" s="122" t="n">
        <x:v>9709370319.31256</x:v>
      </x:c>
      <x:c r="C14" s="120" t="n">
        <x:v>9.7093703193</x:v>
      </x:c>
      <x:c r="D14" s="120" t="n">
        <x:v>101.7187210598</x:v>
      </x:c>
      <x:c r="E14" s="212" t="str">
        <x:v>out/25</x:v>
      </x:c>
      <x:c r="F14" s="211"/>
      <x:c r="G14" s="211"/>
      <x:c r="H14" s="211"/>
      <x:c r="I14" s="211"/>
      <x:c r="J14" s="211"/>
      <x:c r="K14" s="211"/>
      <x:c r="L14" s="211"/>
      <x:c r="M14" s="211"/>
      <x:c r="N14" s="211"/>
    </x:row>
    <x:row r="15">
      <x:c r="A15" s="126" t="n">
        <x:v>45962</x:v>
      </x:c>
      <x:c r="B15" s="122" t="n">
        <x:v>6732233130.991058</x:v>
      </x:c>
      <x:c r="C15" s="120" t="n">
        <x:v>6.732233131</x:v>
      </x:c>
      <x:c r="D15" s="120" t="n">
        <x:v>108.4509541908</x:v>
      </x:c>
      <x:c r="E15" s="212" t="str">
        <x:v>nov/25</x:v>
      </x:c>
      <x:c r="F15" s="211"/>
      <x:c r="G15" s="211"/>
      <x:c r="H15" s="211"/>
      <x:c r="I15" s="211"/>
      <x:c r="J15" s="211"/>
      <x:c r="K15" s="211"/>
      <x:c r="L15" s="211"/>
      <x:c r="M15" s="211"/>
      <x:c r="N15" s="211"/>
    </x:row>
    <x:row r="16">
      <x:c r="A16" s="126" t="n">
        <x:v>45992</x:v>
      </x:c>
      <x:c r="B16" s="122" t="n">
        <x:v>13058315102.680542</x:v>
      </x:c>
      <x:c r="C16" s="120" t="n">
        <x:v>13.0583151027</x:v>
      </x:c>
      <x:c r="D16" s="120" t="n">
        <x:v>121.5092692935</x:v>
      </x:c>
      <x:c r="E16" s="212" t="str">
        <x:v>dez/25</x:v>
      </x:c>
      <x:c r="F16" s="211"/>
      <x:c r="G16" s="211"/>
      <x:c r="H16" s="211"/>
      <x:c r="I16" s="211"/>
      <x:c r="J16" s="211"/>
      <x:c r="K16" s="211"/>
      <x:c r="L16" s="211"/>
      <x:c r="M16" s="211"/>
      <x:c r="N16" s="211"/>
    </x:row>
    <x:row r="17">
      <x:c r="A17" s="126" t="n">
        <x:v>46023</x:v>
      </x:c>
      <x:c r="B17" s="122" t="n">
        <x:v>6988776796.085342</x:v>
      </x:c>
      <x:c r="C17" s="120" t="n">
        <x:v>6.9887767961</x:v>
      </x:c>
      <x:c r="D17" s="120" t="n">
        <x:v>128.4980460896</x:v>
      </x:c>
      <x:c r="E17" s="212" t="str">
        <x:v>jan/26</x:v>
      </x:c>
      <x:c r="F17" s="211"/>
      <x:c r="G17" s="211"/>
      <x:c r="H17" s="211"/>
      <x:c r="I17" s="211"/>
      <x:c r="J17" s="211"/>
      <x:c r="K17" s="211"/>
      <x:c r="L17" s="211"/>
      <x:c r="M17" s="211"/>
      <x:c r="N17" s="211"/>
    </x:row>
    <x:row r="18">
      <x:c r="A18" s="126" t="n">
        <x:v>46054</x:v>
      </x:c>
      <x:c r="B18" s="122" t="n">
        <x:v>6282277892.906265</x:v>
      </x:c>
      <x:c r="C18" s="120" t="n">
        <x:v>6.2822778929</x:v>
      </x:c>
      <x:c r="D18" s="120" t="n">
        <x:v>134.7803239825</x:v>
      </x:c>
      <x:c r="E18" s="212" t="str">
        <x:v>fev/26</x:v>
      </x:c>
      <x:c r="F18" s="211"/>
      <x:c r="G18" s="211"/>
      <x:c r="H18" s="211"/>
      <x:c r="I18" s="211"/>
      <x:c r="J18" s="211"/>
      <x:c r="K18" s="211"/>
      <x:c r="L18" s="211"/>
      <x:c r="M18" s="211"/>
      <x:c r="N18" s="211"/>
    </x:row>
    <x:row r="19">
      <x:c r="A19" s="126" t="n">
        <x:v>46082</x:v>
      </x:c>
      <x:c r="B19" s="122" t="n">
        <x:v>8119285866.292541</x:v>
      </x:c>
      <x:c r="C19" s="120" t="n">
        <x:v>8.1192858663</x:v>
      </x:c>
      <x:c r="D19" s="120" t="n">
        <x:v>142.8996098488</x:v>
      </x:c>
      <x:c r="E19" s="212" t="str">
        <x:v>mar/26</x:v>
      </x:c>
      <x:c r="F19" s="211"/>
      <x:c r="G19" s="211"/>
      <x:c r="H19" s="211"/>
      <x:c r="I19" s="211"/>
      <x:c r="J19" s="211"/>
      <x:c r="K19" s="211"/>
      <x:c r="L19" s="211"/>
      <x:c r="M19" s="211"/>
      <x:c r="N19" s="211"/>
    </x:row>
    <x:row r="20">
      <x:c r="A20" s="126" t="n">
        <x:v>46113</x:v>
      </x:c>
      <x:c r="B20" s="122" t="n">
        <x:v>14968701936.646454</x:v>
      </x:c>
      <x:c r="C20" s="120" t="n">
        <x:v>14.9687019366</x:v>
      </x:c>
      <x:c r="D20" s="120" t="n">
        <x:v>157.8683117854</x:v>
      </x:c>
      <x:c r="E20" s="212" t="str">
        <x:v>abr/26</x:v>
      </x:c>
      <x:c r="F20" s="211"/>
      <x:c r="G20" s="211"/>
      <x:c r="H20" s="211"/>
      <x:c r="I20" s="211"/>
      <x:c r="J20" s="211"/>
      <x:c r="K20" s="211"/>
      <x:c r="L20" s="211"/>
      <x:c r="M20" s="211"/>
      <x:c r="N20" s="211"/>
    </x:row>
    <x:row r="21">
      <x:c r="A21" s="127" t="n">
        <x:v>46143</x:v>
      </x:c>
      <x:c r="B21" s="123" t="n">
        <x:v>5289087410.0112</x:v>
      </x:c>
      <x:c r="C21" s="124" t="n">
        <x:v>5.28908741</x:v>
      </x:c>
      <x:c r="D21" s="124" t="n">
        <x:v>163.1573991954</x:v>
      </x:c>
      <x:c r="E21" s="212" t="str">
        <x:v>mai/26</x:v>
      </x:c>
      <x:c r="F21" s="211"/>
      <x:c r="G21" s="211"/>
      <x:c r="H21" s="211"/>
      <x:c r="I21" s="211"/>
      <x:c r="J21" s="211"/>
      <x:c r="K21" s="211"/>
      <x:c r="L21" s="211"/>
      <x:c r="M21" s="211"/>
      <x:c r="N21" s="211"/>
    </x:row>
    <x:row r="22">
      <x:c r="A22" s="211"/>
      <x:c r="B22" s="211"/>
      <x:c r="C22" s="211"/>
      <x:c r="D22" s="211"/>
      <x:c r="E22" s="211"/>
      <x:c r="F22" s="211"/>
      <x:c r="G22" s="211"/>
      <x:c r="H22" s="211"/>
      <x:c r="I22" s="211"/>
      <x:c r="J22" s="211"/>
      <x:c r="K22" s="211"/>
      <x:c r="L22" s="211"/>
      <x:c r="M22" s="211"/>
      <x:c r="N22" s="211"/>
    </x:row>
    <x:row r="23">
      <x:c r="A23" s="211"/>
      <x:c r="B23" s="211"/>
      <x:c r="C23" s="211"/>
      <x:c r="D23" s="211"/>
      <x:c r="E23" s="211"/>
      <x:c r="F23" s="211"/>
      <x:c r="G23" s="211"/>
      <x:c r="H23" s="211"/>
      <x:c r="I23" s="211"/>
      <x:c r="J23" s="211"/>
      <x:c r="K23" s="211"/>
      <x:c r="L23" s="211"/>
      <x:c r="M23" s="211"/>
      <x:c r="N23" s="211"/>
    </x:row>
    <x:row r="24">
      <x:c r="A24" s="211"/>
      <x:c r="B24" s="211"/>
      <x:c r="C24" s="211"/>
      <x:c r="D24" s="211"/>
      <x:c r="E24" s="211"/>
      <x:c r="F24" s="211"/>
      <x:c r="G24" s="211"/>
      <x:c r="H24" s="211"/>
      <x:c r="I24" s="211"/>
      <x:c r="J24" s="211"/>
      <x:c r="K24" s="211"/>
      <x:c r="L24" s="211"/>
      <x:c r="M24" s="211"/>
      <x:c r="N24" s="211"/>
    </x:row>
    <x:row r="25">
      <x:c r="A25" s="211"/>
      <x:c r="B25" s="211"/>
      <x:c r="C25" s="211"/>
      <x:c r="D25" s="211"/>
      <x:c r="E25" s="211"/>
      <x:c r="F25" s="211"/>
      <x:c r="G25" s="211"/>
      <x:c r="H25" s="211"/>
      <x:c r="I25" s="211"/>
      <x:c r="J25" s="211"/>
      <x:c r="K25" s="211"/>
      <x:c r="L25" s="211"/>
      <x:c r="M25" s="211"/>
      <x:c r="N25" s="211"/>
    </x:row>
    <x:row r="26">
      <x:c r="A26" s="211"/>
      <x:c r="B26" s="211"/>
      <x:c r="C26" s="211"/>
      <x:c r="D26" s="211"/>
      <x:c r="E26" s="211"/>
      <x:c r="F26" s="211"/>
      <x:c r="G26" s="211"/>
      <x:c r="H26" s="211"/>
      <x:c r="I26" s="211"/>
      <x:c r="J26" s="211"/>
      <x:c r="K26" s="211"/>
      <x:c r="L26" s="211"/>
      <x:c r="M26" s="211"/>
      <x:c r="N26" s="211"/>
    </x:row>
    <x:row r="27">
      <x:c r="A27"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27"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27"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27"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27" s="211"/>
      <x:c r="F27" s="211"/>
      <x:c r="G27" s="211"/>
      <x:c r="H27" s="211"/>
      <x:c r="I27" s="211"/>
      <x:c r="J27" s="211"/>
      <x:c r="K27" s="211"/>
      <x:c r="L27" s="211"/>
      <x:c r="M27" s="211"/>
      <x:c r="N27" s="211"/>
    </x:row>
    <x:row r="28">
      <x:c r="A28"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28"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28"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28"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28" s="211"/>
      <x:c r="F28" s="211"/>
      <x:c r="G28" s="211"/>
      <x:c r="H28" s="211"/>
      <x:c r="I28" s="211"/>
      <x:c r="J28" s="211"/>
      <x:c r="K28" s="211"/>
      <x:c r="L28" s="211"/>
      <x:c r="M28" s="211"/>
      <x:c r="N28" s="211"/>
    </x:row>
    <x:row r="29">
      <x:c r="A29"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29"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29"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29"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29" s="211"/>
      <x:c r="F29" s="211"/>
      <x:c r="G29" s="211"/>
      <x:c r="H29" s="211"/>
      <x:c r="I29" s="211"/>
      <x:c r="J29" s="211"/>
      <x:c r="K29" s="211"/>
      <x:c r="L29" s="211"/>
      <x:c r="M29" s="211"/>
      <x:c r="N29" s="211"/>
    </x:row>
    <x:row r="30">
      <x:c r="A30"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30"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30"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30"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30" s="211"/>
      <x:c r="F30" s="211"/>
      <x:c r="G30" s="211"/>
      <x:c r="H30" s="211"/>
      <x:c r="I30" s="211"/>
      <x:c r="J30" s="211"/>
      <x:c r="K30" s="211"/>
      <x:c r="L30" s="211"/>
      <x:c r="M30" s="211"/>
      <x:c r="N30" s="211"/>
    </x:row>
    <x:row r="31">
      <x:c r="A31"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31"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31"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31"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31" s="211"/>
      <x:c r="F31" s="211"/>
      <x:c r="G31" s="211"/>
      <x:c r="H31" s="211"/>
      <x:c r="I31" s="211"/>
      <x:c r="J31" s="211"/>
      <x:c r="K31" s="211"/>
      <x:c r="L31" s="211"/>
      <x:c r="M31" s="211"/>
      <x:c r="N31" s="211"/>
    </x:row>
    <x:row r="32">
      <x:c r="A32"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32"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32"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32"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32" s="211"/>
      <x:c r="F32" s="211"/>
      <x:c r="G32" s="211"/>
      <x:c r="H32" s="211"/>
      <x:c r="I32" s="211"/>
      <x:c r="J32" s="211"/>
      <x:c r="K32" s="211"/>
      <x:c r="L32" s="211"/>
      <x:c r="M32" s="211"/>
      <x:c r="N32" s="211"/>
    </x:row>
    <x:row r="33">
      <x:c r="A33"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33"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33"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33"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33" s="211"/>
      <x:c r="F33" s="211"/>
      <x:c r="G33" s="211"/>
      <x:c r="H33" s="211"/>
      <x:c r="I33" s="211"/>
      <x:c r="J33" s="211"/>
      <x:c r="K33" s="211"/>
      <x:c r="L33" s="211"/>
      <x:c r="M33" s="211"/>
      <x:c r="N33" s="211"/>
    </x:row>
    <x:row r="34">
      <x:c r="A34"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B34"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C34"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D34" s="52" t="str">
        <x:v>O glossário do próprio dashboard define Valor Encerrado como o montante efetivamente captado: preço de emissão × cotas subscritas e integralizadas. O mensal é a diferença do acumulado por subscritor, não variação de PL. Para evitar 2024 parcial, o gráfico mensal começa em jan/2025; o total anual de 2024 (R$ 81,41 bi) vem da Coletiva de Mercado de Capitais da ANBIMA. Reconciliação: dashboard 2025 R$ 91,0 bi vs fechamento ANBIMA R$ 90,8 bi; jan–mai/26 R$ 41,6 bi vs boletim R$ 41,7 bi.</x:v>
      </x:c>
      <x:c r="E34" s="211"/>
      <x:c r="F34" s="211"/>
      <x:c r="G34" s="211"/>
      <x:c r="H34" s="211"/>
      <x:c r="I34" s="211"/>
      <x:c r="J34" s="211"/>
      <x:c r="K34" s="211"/>
      <x:c r="L34" s="211"/>
      <x:c r="M34" s="211"/>
      <x:c r="N34" s="211"/>
    </x:row>
  </x:sheetData>
  <x:mergeCells>
    <x:mergeCell ref="A1:N2"/>
    <x:mergeCell ref="A27:D34"/>
  </x:mergeCells>
  <x:pageMargins left="0.7" right="0.7" top="0.75" bottom="0.75" header="0.3" footer="0.3"/>
  <x:drawing xmlns:r="http://schemas.openxmlformats.org/officeDocument/2006/relationships" r:id="R257366d049594855"/>
  <x:legacyDrawing xmlns:r="http://schemas.openxmlformats.org/officeDocument/2006/relationships" r:id="R59c3cc3338b54435"/>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16" hidden="0" customWidth="1"/>
    <x:col min="4" max="4" width="16" hidden="0" customWidth="1"/>
    <x:col min="5" max="5" width="16" hidden="0" customWidth="1"/>
    <x:col min="6" max="6" width="16" hidden="0" customWidth="1"/>
    <x:col min="7" max="7" width="20" hidden="0" customWidth="1"/>
    <x:col min="8" max="8" width="20" hidden="0" customWidth="1"/>
    <x:col min="9" max="9" width="34" hidden="0" customWidth="1"/>
    <x:col min="10" max="10" width="15" hidden="0" customWidth="1"/>
    <x:col min="11" max="11" width="15" hidden="0" customWidth="1"/>
    <x:col min="12" max="12" width="15" hidden="0" customWidth="1"/>
    <x:col min="13" max="13" width="15" hidden="0" customWidth="1"/>
    <x:col min="14" max="14" width="15" hidden="0" customWidth="1"/>
  </x:cols>
  <x:sheetData>
    <x:row r="1" ht="30" customHeight="1">
      <x:c r="A1" s="4" t="str">
        <x:v>Classificação de gestoras | revise a coluna H</x:v>
      </x:c>
      <x:c r="B1" s="4" t="str">
        <x:v>Classificação de gestoras | revise a coluna H</x:v>
      </x:c>
      <x:c r="C1" s="4" t="str">
        <x:v>Classificação de gestoras | revise a coluna H</x:v>
      </x:c>
      <x:c r="D1" s="4" t="str">
        <x:v>Classificação de gestoras | revise a coluna H</x:v>
      </x:c>
      <x:c r="E1" s="4" t="str">
        <x:v>Classificação de gestoras | revise a coluna H</x:v>
      </x:c>
      <x:c r="F1" s="4" t="str">
        <x:v>Classificação de gestoras | revise a coluna H</x:v>
      </x:c>
      <x:c r="G1" s="4" t="str">
        <x:v>Classificação de gestoras | revise a coluna H</x:v>
      </x:c>
      <x:c r="H1" s="4" t="str">
        <x:v>Classificação de gestoras | revise a coluna H</x:v>
      </x:c>
      <x:c r="I1" s="4" t="str">
        <x:v>Classificação de gestoras | revise a coluna H</x:v>
      </x:c>
      <x:c r="J1" s="4" t="str">
        <x:v>Classificação de gestoras | revise a coluna H</x:v>
      </x:c>
      <x:c r="K1" s="4" t="str">
        <x:v>Classificação de gestoras | revise a coluna H</x:v>
      </x:c>
      <x:c r="L1" s="4" t="str">
        <x:v>Classificação de gestoras | revise a coluna H</x:v>
      </x:c>
      <x:c r="M1" s="4" t="str">
        <x:v>Classificação de gestoras | revise a coluna H</x:v>
      </x:c>
      <x:c r="N1" s="4" t="str">
        <x:v>Classificação de gestoras | revise a coluna H</x:v>
      </x:c>
    </x:row>
    <x:row r="2" ht="30" customHeight="1">
      <x:c r="A2" s="4" t="str">
        <x:v>Classificação de gestoras | revise a coluna H</x:v>
      </x:c>
      <x:c r="B2" s="4" t="str">
        <x:v>Classificação de gestoras | revise a coluna H</x:v>
      </x:c>
      <x:c r="C2" s="4" t="str">
        <x:v>Classificação de gestoras | revise a coluna H</x:v>
      </x:c>
      <x:c r="D2" s="4" t="str">
        <x:v>Classificação de gestoras | revise a coluna H</x:v>
      </x:c>
      <x:c r="E2" s="4" t="str">
        <x:v>Classificação de gestoras | revise a coluna H</x:v>
      </x:c>
      <x:c r="F2" s="4" t="str">
        <x:v>Classificação de gestoras | revise a coluna H</x:v>
      </x:c>
      <x:c r="G2" s="4" t="str">
        <x:v>Classificação de gestoras | revise a coluna H</x:v>
      </x:c>
      <x:c r="H2" s="4" t="str">
        <x:v>Classificação de gestoras | revise a coluna H</x:v>
      </x:c>
      <x:c r="I2" s="4" t="str">
        <x:v>Classificação de gestoras | revise a coluna H</x:v>
      </x:c>
      <x:c r="J2" s="4" t="str">
        <x:v>Classificação de gestoras | revise a coluna H</x:v>
      </x:c>
      <x:c r="K2" s="4" t="str">
        <x:v>Classificação de gestoras | revise a coluna H</x:v>
      </x:c>
      <x:c r="L2" s="4" t="str">
        <x:v>Classificação de gestoras | revise a coluna H</x:v>
      </x:c>
      <x:c r="M2" s="4" t="str">
        <x:v>Classificação de gestoras | revise a coluna H</x:v>
      </x:c>
      <x:c r="N2" s="4" t="str">
        <x:v>Classificação de gestoras | revise a coluna H</x:v>
      </x:c>
    </x:row>
    <x:row r="3">
      <x:c r="A3" s="133" t="str">
        <x:v>AMARELO + FONTE AZUL = input. A regra sugerida é nominal; a classificação final alimenta todos os somatórios banco × independente.</x:v>
      </x:c>
      <x:c r="B3" s="133" t="str">
        <x:v>AMARELO + FONTE AZUL = input. A regra sugerida é nominal; a classificação final alimenta todos os somatórios banco × independente.</x:v>
      </x:c>
      <x:c r="C3" s="133" t="str">
        <x:v>AMARELO + FONTE AZUL = input. A regra sugerida é nominal; a classificação final alimenta todos os somatórios banco × independente.</x:v>
      </x:c>
      <x:c r="D3" s="133" t="str">
        <x:v>AMARELO + FONTE AZUL = input. A regra sugerida é nominal; a classificação final alimenta todos os somatórios banco × independente.</x:v>
      </x:c>
      <x:c r="E3" s="133" t="str">
        <x:v>AMARELO + FONTE AZUL = input. A regra sugerida é nominal; a classificação final alimenta todos os somatórios banco × independente.</x:v>
      </x:c>
      <x:c r="F3" s="133" t="str">
        <x:v>AMARELO + FONTE AZUL = input. A regra sugerida é nominal; a classificação final alimenta todos os somatórios banco × independente.</x:v>
      </x:c>
      <x:c r="G3" s="133" t="str">
        <x:v>AMARELO + FONTE AZUL = input. A regra sugerida é nominal; a classificação final alimenta todos os somatórios banco × independente.</x:v>
      </x:c>
      <x:c r="H3" s="133" t="str">
        <x:v>AMARELO + FONTE AZUL = input. A regra sugerida é nominal; a classificação final alimenta todos os somatórios banco × independente.</x:v>
      </x:c>
      <x:c r="I3" s="133" t="str">
        <x:v>AMARELO + FONTE AZUL = input. A regra sugerida é nominal; a classificação final alimenta todos os somatórios banco × independente.</x:v>
      </x:c>
      <x:c r="J3" s="133" t="str">
        <x:v>AMARELO + FONTE AZUL = input. A regra sugerida é nominal; a classificação final alimenta todos os somatórios banco × independente.</x:v>
      </x:c>
      <x:c r="K3" s="133" t="str">
        <x:v>AMARELO + FONTE AZUL = input. A regra sugerida é nominal; a classificação final alimenta todos os somatórios banco × independente.</x:v>
      </x:c>
      <x:c r="L3" s="133" t="str">
        <x:v>AMARELO + FONTE AZUL = input. A regra sugerida é nominal; a classificação final alimenta todos os somatórios banco × independente.</x:v>
      </x:c>
      <x:c r="M3" s="133" t="str">
        <x:v>AMARELO + FONTE AZUL = input. A regra sugerida é nominal; a classificação final alimenta todos os somatórios banco × independente.</x:v>
      </x:c>
      <x:c r="N3" s="133" t="str">
        <x:v>AMARELO + FONTE AZUL = input. A regra sugerida é nominal; a classificação final alimenta todos os somatórios banco × independente.</x:v>
      </x:c>
    </x:row>
    <x:row r="4">
      <x:c r="A4" s="211"/>
      <x:c r="B4" s="211"/>
      <x:c r="C4" s="211"/>
      <x:c r="D4" s="211"/>
      <x:c r="E4" s="211"/>
      <x:c r="F4" s="211"/>
      <x:c r="G4" s="211"/>
      <x:c r="H4" s="211"/>
      <x:c r="I4" s="211"/>
      <x:c r="J4" s="211"/>
      <x:c r="K4" s="211"/>
      <x:c r="L4" s="211"/>
      <x:c r="M4" s="211"/>
      <x:c r="N4" s="211"/>
    </x:row>
    <x:row r="5" ht="28" customHeight="1">
      <x:c r="A5" s="20" t="str">
        <x:v>Gestora</x:v>
      </x:c>
      <x:c r="B5" s="21" t="str">
        <x:v>PL Agro/Ind./Com.</x:v>
      </x:c>
      <x:c r="C5" s="21" t="str">
        <x:v>PL Financeiro</x:v>
      </x:c>
      <x:c r="D5" s="21" t="str">
        <x:v>PL Fomento</x:v>
      </x:c>
      <x:c r="E5" s="21" t="str">
        <x:v>PL Outros</x:v>
      </x:c>
      <x:c r="F5" s="21" t="str">
        <x:v>PL Total</x:v>
      </x:c>
      <x:c r="G5" s="21" t="str">
        <x:v>Sugestão</x:v>
      </x:c>
      <x:c r="H5" s="21" t="str">
        <x:v>Classificação final</x:v>
      </x:c>
      <x:c r="I5" s="21" t="str">
        <x:v>Critério sugerido</x:v>
      </x:c>
      <x:c r="J5" s="21" t="str">
        <x:v>Revisar</x:v>
      </x:c>
      <x:c r="K5" s="21" t="str">
        <x:v>PL Independente</x:v>
      </x:c>
      <x:c r="L5" s="21" t="str">
        <x:v>PL Ligada</x:v>
      </x:c>
      <x:c r="M5" s="21" t="str">
        <x:v>Rank Indep.</x:v>
      </x:c>
      <x:c r="N5" s="22" t="str">
        <x:v>Rank Ligada</x:v>
      </x:c>
    </x:row>
    <x:row r="6">
      <x:c r="A6" s="110" t="str">
        <x:v>Oliveira Trust Servicer</x:v>
      </x:c>
      <x:c r="B6" s="134" t="n">
        <x:v>3690106095.9</x:v>
      </x:c>
      <x:c r="C6" s="134" t="n">
        <x:v>67009973992.16</x:v>
      </x:c>
      <x:c r="D6" s="134" t="n">
        <x:v>53993586.95</x:v>
      </x:c>
      <x:c r="E6" s="134" t="n">
        <x:v>1671783314.7100005</x:v>
      </x:c>
      <x:c r="F6" s="134" t="n">
        <x:f>SUM(B6:E6)</x:f>
        <x:v>72425856989.72</x:v>
      </x:c>
      <x:c r="G6" s="110" t="str">
        <x:v>Independente</x:v>
      </x:c>
      <x:c r="H6" s="143" t="str">
        <x:v>Independente</x:v>
      </x:c>
      <x:c r="I6" s="110" t="str">
        <x:v>Regra residual — revisar manualmente</x:v>
      </x:c>
      <x:c r="J6" s="152" t="str">
        <x:v>Sim — alta</x:v>
      </x:c>
      <x:c r="K6" s="134" t="n">
        <x:f>IF($H6="Independente",$F6,0)</x:f>
        <x:v>72425856989.72</x:v>
      </x:c>
      <x:c r="L6" s="134" t="n">
        <x:f>IF($H6="Ligada a banco",$F6,0)</x:f>
        <x:v>0</x:v>
      </x:c>
      <x:c r="M6" s="113" t="n">
        <x:f>IF(K6&gt;0,RANK(K6,$K$6:$K$462)+COUNTIF($K$6:K6,K6)-1,9999)</x:f>
        <x:v>1</x:v>
      </x:c>
      <x:c r="N6" s="113" t="n">
        <x:f>IF(L6&gt;0,RANK(L6,$L$6:$L$462)+COUNTIF($L$6:L6,L6)-1,9999)</x:f>
        <x:v>9999</x:v>
      </x:c>
    </x:row>
    <x:row r="7">
      <x:c r="A7" s="111" t="str">
        <x:v>BB Asset Management</x:v>
      </x:c>
      <x:c r="B7" s="135" t="n">
        <x:v>60841973938.88</x:v>
      </x:c>
      <x:c r="C7" s="135" t="n">
        <x:v>0</x:v>
      </x:c>
      <x:c r="D7" s="135" t="n">
        <x:v>0</x:v>
      </x:c>
      <x:c r="E7" s="135" t="n">
        <x:v>50627525.38999999</x:v>
      </x:c>
      <x:c r="F7" s="135" t="n">
        <x:f>SUM(B7:E7)</x:f>
        <x:v>60892601464.27</x:v>
      </x:c>
      <x:c r="G7" s="111" t="str">
        <x:v>Ligada a banco</x:v>
      </x:c>
      <x:c r="H7" s="144" t="str">
        <x:v>Ligada a banco</x:v>
      </x:c>
      <x:c r="I7" s="111" t="str">
        <x:v>Regra nominal: BB ASSET</x:v>
      </x:c>
      <x:c r="J7" s="153" t="str">
        <x:v>Confirmar</x:v>
      </x:c>
      <x:c r="K7" s="135" t="n">
        <x:f>IF($H7="Independente",$F7,0)</x:f>
        <x:v>0</x:v>
      </x:c>
      <x:c r="L7" s="135" t="n">
        <x:f>IF($H7="Ligada a banco",$F7,0)</x:f>
        <x:v>60892601464.27</x:v>
      </x:c>
      <x:c r="M7" s="114" t="n">
        <x:f>IF(K7&gt;0,RANK(K7,$K$6:$K$462)+COUNTIF($K$6:K7,K7)-1,9999)</x:f>
        <x:v>9999</x:v>
      </x:c>
      <x:c r="N7" s="114" t="n">
        <x:f>IF(L7&gt;0,RANK(L7,$L$6:$L$462)+COUNTIF($L$6:L7,L7)-1,9999)</x:f>
        <x:v>1</x:v>
      </x:c>
    </x:row>
    <x:row r="8">
      <x:c r="A8" s="111" t="str">
        <x:v>Banco Bradesco S/A</x:v>
      </x:c>
      <x:c r="B8" s="135" t="n">
        <x:v>8118753455.3</x:v>
      </x:c>
      <x:c r="C8" s="135" t="n">
        <x:v>15978694236.01</x:v>
      </x:c>
      <x:c r="D8" s="135" t="n">
        <x:v>1923008705.15</x:v>
      </x:c>
      <x:c r="E8" s="135" t="n">
        <x:v>14250661960.71</x:v>
      </x:c>
      <x:c r="F8" s="135" t="n">
        <x:f>SUM(B8:E8)</x:f>
        <x:v>40271118357.17</x:v>
      </x:c>
      <x:c r="G8" s="111" t="str">
        <x:v>Ligada a banco</x:v>
      </x:c>
      <x:c r="H8" s="144" t="str">
        <x:v>Ligada a banco</x:v>
      </x:c>
      <x:c r="I8" s="111" t="str">
        <x:v>Regra nominal: BANCO</x:v>
      </x:c>
      <x:c r="J8" s="153" t="str">
        <x:v>Confirmar</x:v>
      </x:c>
      <x:c r="K8" s="135" t="n">
        <x:f>IF($H8="Independente",$F8,0)</x:f>
        <x:v>0</x:v>
      </x:c>
      <x:c r="L8" s="135" t="n">
        <x:f>IF($H8="Ligada a banco",$F8,0)</x:f>
        <x:v>40271118357.17</x:v>
      </x:c>
      <x:c r="M8" s="114" t="n">
        <x:f>IF(K8&gt;0,RANK(K8,$K$6:$K$462)+COUNTIF($K$6:K8,K8)-1,9999)</x:f>
        <x:v>9999</x:v>
      </x:c>
      <x:c r="N8" s="114" t="n">
        <x:f>IF(L8&gt;0,RANK(L8,$L$6:$L$462)+COUNTIF($L$6:L8,L8)-1,9999)</x:f>
        <x:v>2</x:v>
      </x:c>
    </x:row>
    <x:row r="9">
      <x:c r="A9" s="111" t="str">
        <x:v>GENIAL GESTÃO LTDA.</x:v>
      </x:c>
      <x:c r="B9" s="135" t="n">
        <x:v>6242345282.32</x:v>
      </x:c>
      <x:c r="C9" s="135" t="n">
        <x:v>13518139233.468908</x:v>
      </x:c>
      <x:c r="D9" s="135" t="n">
        <x:v>0.01</x:v>
      </x:c>
      <x:c r="E9" s="135" t="n">
        <x:v>7142054989.280002</x:v>
      </x:c>
      <x:c r="F9" s="135" t="n">
        <x:f>SUM(B9:E9)</x:f>
        <x:v>26902539505.07891</x:v>
      </x:c>
      <x:c r="G9" s="111" t="str">
        <x:v>Ligada a banco</x:v>
      </x:c>
      <x:c r="H9" s="144" t="str">
        <x:v>Ligada a banco</x:v>
      </x:c>
      <x:c r="I9" s="111" t="str">
        <x:v>Regra nominal: GENIAL</x:v>
      </x:c>
      <x:c r="J9" s="153" t="str">
        <x:v>Confirmar</x:v>
      </x:c>
      <x:c r="K9" s="135" t="n">
        <x:f>IF($H9="Independente",$F9,0)</x:f>
        <x:v>0</x:v>
      </x:c>
      <x:c r="L9" s="135" t="n">
        <x:f>IF($H9="Ligada a banco",$F9,0)</x:f>
        <x:v>26902539505.07891</x:v>
      </x:c>
      <x:c r="M9" s="114" t="n">
        <x:f>IF(K9&gt;0,RANK(K9,$K$6:$K$462)+COUNTIF($K$6:K9,K9)-1,9999)</x:f>
        <x:v>9999</x:v>
      </x:c>
      <x:c r="N9" s="114" t="n">
        <x:f>IF(L9&gt;0,RANK(L9,$L$6:$L$462)+COUNTIF($L$6:L9,L9)-1,9999)</x:f>
        <x:v>3</x:v>
      </x:c>
    </x:row>
    <x:row r="10">
      <x:c r="A10" s="111" t="str">
        <x:v>BTG Pactual Asset</x:v>
      </x:c>
      <x:c r="B10" s="135" t="n">
        <x:v>556941563.12</x:v>
      </x:c>
      <x:c r="C10" s="135" t="n">
        <x:v>21476655042.890003</x:v>
      </x:c>
      <x:c r="D10" s="135" t="n">
        <x:v>91754372.81</x:v>
      </x:c>
      <x:c r="E10" s="135" t="n">
        <x:v>3295339663.080001</x:v>
      </x:c>
      <x:c r="F10" s="135" t="n">
        <x:f>SUM(B10:E10)</x:f>
        <x:v>25420690641.900005</x:v>
      </x:c>
      <x:c r="G10" s="111" t="str">
        <x:v>Ligada a banco</x:v>
      </x:c>
      <x:c r="H10" s="144" t="str">
        <x:v>Ligada a banco</x:v>
      </x:c>
      <x:c r="I10" s="111" t="str">
        <x:v>Regra nominal: BTG</x:v>
      </x:c>
      <x:c r="J10" s="153" t="str">
        <x:v>Confirmar</x:v>
      </x:c>
      <x:c r="K10" s="135" t="n">
        <x:f>IF($H10="Independente",$F10,0)</x:f>
        <x:v>0</x:v>
      </x:c>
      <x:c r="L10" s="135" t="n">
        <x:f>IF($H10="Ligada a banco",$F10,0)</x:f>
        <x:v>25420690641.900005</x:v>
      </x:c>
      <x:c r="M10" s="114" t="n">
        <x:f>IF(K10&gt;0,RANK(K10,$K$6:$K$462)+COUNTIF($K$6:K10,K10)-1,9999)</x:f>
        <x:v>9999</x:v>
      </x:c>
      <x:c r="N10" s="114" t="n">
        <x:f>IF(L10&gt;0,RANK(L10,$L$6:$L$462)+COUNTIF($L$6:L10,L10)-1,9999)</x:f>
        <x:v>4</x:v>
      </x:c>
    </x:row>
    <x:row r="11">
      <x:c r="A11" s="111" t="str">
        <x:v>Banco BTG Pactual</x:v>
      </x:c>
      <x:c r="B11" s="135" t="n">
        <x:v>0</x:v>
      </x:c>
      <x:c r="C11" s="135" t="n">
        <x:v>13849322051.42</x:v>
      </x:c>
      <x:c r="D11" s="135" t="n">
        <x:v>0</x:v>
      </x:c>
      <x:c r="E11" s="135" t="n">
        <x:v>11113054095.8457</x:v>
      </x:c>
      <x:c r="F11" s="135" t="n">
        <x:f>SUM(B11:E11)</x:f>
        <x:v>24962376147.2657</x:v>
      </x:c>
      <x:c r="G11" s="111" t="str">
        <x:v>Ligada a banco</x:v>
      </x:c>
      <x:c r="H11" s="144" t="str">
        <x:v>Ligada a banco</x:v>
      </x:c>
      <x:c r="I11" s="111" t="str">
        <x:v>Regra nominal: BANCO</x:v>
      </x:c>
      <x:c r="J11" s="153" t="str">
        <x:v>Confirmar</x:v>
      </x:c>
      <x:c r="K11" s="135" t="n">
        <x:f>IF($H11="Independente",$F11,0)</x:f>
        <x:v>0</x:v>
      </x:c>
      <x:c r="L11" s="135" t="n">
        <x:f>IF($H11="Ligada a banco",$F11,0)</x:f>
        <x:v>24962376147.2657</x:v>
      </x:c>
      <x:c r="M11" s="114" t="n">
        <x:f>IF(K11&gt;0,RANK(K11,$K$6:$K$462)+COUNTIF($K$6:K11,K11)-1,9999)</x:f>
        <x:v>9999</x:v>
      </x:c>
      <x:c r="N11" s="114" t="n">
        <x:f>IF(L11&gt;0,RANK(L11,$L$6:$L$462)+COUNTIF($L$6:L11,L11)-1,9999)</x:f>
        <x:v>5</x:v>
      </x:c>
    </x:row>
    <x:row r="12">
      <x:c r="A12" s="111" t="str">
        <x:v>TERCON ASSET MANAGEMENT</x:v>
      </x:c>
      <x:c r="B12" s="135" t="n">
        <x:v>166735340.5</x:v>
      </x:c>
      <x:c r="C12" s="135" t="n">
        <x:v>123032081.47</x:v>
      </x:c>
      <x:c r="D12" s="135" t="n">
        <x:v>20391702176.337204</x:v>
      </x:c>
      <x:c r="E12" s="135" t="n">
        <x:v>663674553.9499999</x:v>
      </x:c>
      <x:c r="F12" s="135" t="n">
        <x:f>SUM(B12:E12)</x:f>
        <x:v>21345144152.257206</x:v>
      </x:c>
      <x:c r="G12" s="111" t="str">
        <x:v>Independente</x:v>
      </x:c>
      <x:c r="H12" s="144" t="str">
        <x:v>Independente</x:v>
      </x:c>
      <x:c r="I12" s="111" t="str">
        <x:v>Regra residual — revisar manualmente</x:v>
      </x:c>
      <x:c r="J12" s="153" t="str">
        <x:v>Sim — alta</x:v>
      </x:c>
      <x:c r="K12" s="135" t="n">
        <x:f>IF($H12="Independente",$F12,0)</x:f>
        <x:v>21345144152.257206</x:v>
      </x:c>
      <x:c r="L12" s="135" t="n">
        <x:f>IF($H12="Ligada a banco",$F12,0)</x:f>
        <x:v>0</x:v>
      </x:c>
      <x:c r="M12" s="114" t="n">
        <x:f>IF(K12&gt;0,RANK(K12,$K$6:$K$462)+COUNTIF($K$6:K12,K12)-1,9999)</x:f>
        <x:v>2</x:v>
      </x:c>
      <x:c r="N12" s="114" t="n">
        <x:f>IF(L12&gt;0,RANK(L12,$L$6:$L$462)+COUNTIF($L$6:L12,L12)-1,9999)</x:f>
        <x:v>9999</x:v>
      </x:c>
    </x:row>
    <x:row r="13">
      <x:c r="A13" s="111" t="str">
        <x:v>ITAU ASSET</x:v>
      </x:c>
      <x:c r="B13" s="135" t="n">
        <x:v>1254974847.25</x:v>
      </x:c>
      <x:c r="C13" s="135" t="n">
        <x:v>0</x:v>
      </x:c>
      <x:c r="D13" s="135" t="n">
        <x:v>339242275.28</x:v>
      </x:c>
      <x:c r="E13" s="135" t="n">
        <x:v>13186928642.75001</x:v>
      </x:c>
      <x:c r="F13" s="135" t="n">
        <x:f>SUM(B13:E13)</x:f>
        <x:v>14781145765.28001</x:v>
      </x:c>
      <x:c r="G13" s="111" t="str">
        <x:v>Ligada a banco</x:v>
      </x:c>
      <x:c r="H13" s="144" t="str">
        <x:v>Ligada a banco</x:v>
      </x:c>
      <x:c r="I13" s="111" t="str">
        <x:v>Regra nominal: ITAU</x:v>
      </x:c>
      <x:c r="J13" s="153" t="str">
        <x:v>Confirmar</x:v>
      </x:c>
      <x:c r="K13" s="135" t="n">
        <x:f>IF($H13="Independente",$F13,0)</x:f>
        <x:v>0</x:v>
      </x:c>
      <x:c r="L13" s="135" t="n">
        <x:f>IF($H13="Ligada a banco",$F13,0)</x:f>
        <x:v>14781145765.28001</x:v>
      </x:c>
      <x:c r="M13" s="114" t="n">
        <x:f>IF(K13&gt;0,RANK(K13,$K$6:$K$462)+COUNTIF($K$6:K13,K13)-1,9999)</x:f>
        <x:v>9999</x:v>
      </x:c>
      <x:c r="N13" s="114" t="n">
        <x:f>IF(L13&gt;0,RANK(L13,$L$6:$L$462)+COUNTIF($L$6:L13,L13)-1,9999)</x:f>
        <x:v>6</x:v>
      </x:c>
    </x:row>
    <x:row r="14">
      <x:c r="A14" s="111" t="str">
        <x:v>Integral Investimentos</x:v>
      </x:c>
      <x:c r="B14" s="135" t="n">
        <x:v>6769969869.110001</x:v>
      </x:c>
      <x:c r="C14" s="135" t="n">
        <x:v>5593742601.710859</x:v>
      </x:c>
      <x:c r="D14" s="135" t="n">
        <x:v>629613376.5600001</x:v>
      </x:c>
      <x:c r="E14" s="135" t="n">
        <x:v>1702427501.9699998</x:v>
      </x:c>
      <x:c r="F14" s="135" t="n">
        <x:f>SUM(B14:E14)</x:f>
        <x:v>14695753349.350859</x:v>
      </x:c>
      <x:c r="G14" s="111" t="str">
        <x:v>Independente</x:v>
      </x:c>
      <x:c r="H14" s="144" t="str">
        <x:v>Independente</x:v>
      </x:c>
      <x:c r="I14" s="111" t="str">
        <x:v>Regra residual — revisar manualmente</x:v>
      </x:c>
      <x:c r="J14" s="153" t="str">
        <x:v>Sim — alta</x:v>
      </x:c>
      <x:c r="K14" s="135" t="n">
        <x:f>IF($H14="Independente",$F14,0)</x:f>
        <x:v>14695753349.350859</x:v>
      </x:c>
      <x:c r="L14" s="135" t="n">
        <x:f>IF($H14="Ligada a banco",$F14,0)</x:f>
        <x:v>0</x:v>
      </x:c>
      <x:c r="M14" s="114" t="n">
        <x:f>IF(K14&gt;0,RANK(K14,$K$6:$K$462)+COUNTIF($K$6:K14,K14)-1,9999)</x:f>
        <x:v>3</x:v>
      </x:c>
      <x:c r="N14" s="114" t="n">
        <x:f>IF(L14&gt;0,RANK(L14,$L$6:$L$462)+COUNTIF($L$6:L14,L14)-1,9999)</x:f>
        <x:v>9999</x:v>
      </x:c>
    </x:row>
    <x:row r="15">
      <x:c r="A15" s="111" t="str">
        <x:v>VERT Gestora de Recursos Financeiros Ltda.</x:v>
      </x:c>
      <x:c r="B15" s="135" t="n">
        <x:v>4219084571.689999</x:v>
      </x:c>
      <x:c r="C15" s="135" t="n">
        <x:v>7632020139.190888</x:v>
      </x:c>
      <x:c r="D15" s="135" t="n">
        <x:v>0</x:v>
      </x:c>
      <x:c r="E15" s="135" t="n">
        <x:v>1728364485.69</x:v>
      </x:c>
      <x:c r="F15" s="135" t="n">
        <x:f>SUM(B15:E15)</x:f>
        <x:v>13579469196.570889</x:v>
      </x:c>
      <x:c r="G15" s="111" t="str">
        <x:v>Independente</x:v>
      </x:c>
      <x:c r="H15" s="144" t="str">
        <x:v>Independente</x:v>
      </x:c>
      <x:c r="I15" s="111" t="str">
        <x:v>Regra residual — revisar manualmente</x:v>
      </x:c>
      <x:c r="J15" s="153" t="str">
        <x:v>Sim — alta</x:v>
      </x:c>
      <x:c r="K15" s="135" t="n">
        <x:f>IF($H15="Independente",$F15,0)</x:f>
        <x:v>13579469196.570889</x:v>
      </x:c>
      <x:c r="L15" s="135" t="n">
        <x:f>IF($H15="Ligada a banco",$F15,0)</x:f>
        <x:v>0</x:v>
      </x:c>
      <x:c r="M15" s="114" t="n">
        <x:f>IF(K15&gt;0,RANK(K15,$K$6:$K$462)+COUNTIF($K$6:K15,K15)-1,9999)</x:f>
        <x:v>4</x:v>
      </x:c>
      <x:c r="N15" s="114" t="n">
        <x:f>IF(L15&gt;0,RANK(L15,$L$6:$L$462)+COUNTIF($L$6:L15,L15)-1,9999)</x:f>
        <x:v>9999</x:v>
      </x:c>
    </x:row>
    <x:row r="16">
      <x:c r="A16" s="111" t="str">
        <x:v>Solis</x:v>
      </x:c>
      <x:c r="B16" s="135" t="n">
        <x:v>1583351953.54</x:v>
      </x:c>
      <x:c r="C16" s="135" t="n">
        <x:v>3935413339.0999994</x:v>
      </x:c>
      <x:c r="D16" s="135" t="n">
        <x:v>2681302362.82</x:v>
      </x:c>
      <x:c r="E16" s="135" t="n">
        <x:v>4769480850.06</x:v>
      </x:c>
      <x:c r="F16" s="135" t="n">
        <x:f>SUM(B16:E16)</x:f>
        <x:v>12969548505.52</x:v>
      </x:c>
      <x:c r="G16" s="111" t="str">
        <x:v>Independente</x:v>
      </x:c>
      <x:c r="H16" s="144" t="str">
        <x:v>Independente</x:v>
      </x:c>
      <x:c r="I16" s="111" t="str">
        <x:v>Regra residual — revisar manualmente</x:v>
      </x:c>
      <x:c r="J16" s="153" t="str">
        <x:v>Sim — alta</x:v>
      </x:c>
      <x:c r="K16" s="135" t="n">
        <x:f>IF($H16="Independente",$F16,0)</x:f>
        <x:v>12969548505.52</x:v>
      </x:c>
      <x:c r="L16" s="135" t="n">
        <x:f>IF($H16="Ligada a banco",$F16,0)</x:f>
        <x:v>0</x:v>
      </x:c>
      <x:c r="M16" s="114" t="n">
        <x:f>IF(K16&gt;0,RANK(K16,$K$6:$K$462)+COUNTIF($K$6:K16,K16)-1,9999)</x:f>
        <x:v>5</x:v>
      </x:c>
      <x:c r="N16" s="114" t="n">
        <x:f>IF(L16&gt;0,RANK(L16,$L$6:$L$462)+COUNTIF($L$6:L16,L16)-1,9999)</x:f>
        <x:v>9999</x:v>
      </x:c>
    </x:row>
    <x:row r="17">
      <x:c r="A17" s="111" t="str">
        <x:v>Petra Capital</x:v>
      </x:c>
      <x:c r="B17" s="135" t="n">
        <x:v>5622727486.940001</x:v>
      </x:c>
      <x:c r="C17" s="135" t="n">
        <x:v>236806481.35</x:v>
      </x:c>
      <x:c r="D17" s="135" t="n">
        <x:v>1503898864.94</x:v>
      </x:c>
      <x:c r="E17" s="135" t="n">
        <x:v>5061975952.029999</x:v>
      </x:c>
      <x:c r="F17" s="135" t="n">
        <x:f>SUM(B17:E17)</x:f>
        <x:v>12425408785.26</x:v>
      </x:c>
      <x:c r="G17" s="111" t="str">
        <x:v>Independente</x:v>
      </x:c>
      <x:c r="H17" s="144" t="str">
        <x:v>Independente</x:v>
      </x:c>
      <x:c r="I17" s="111" t="str">
        <x:v>Regra residual — revisar manualmente</x:v>
      </x:c>
      <x:c r="J17" s="153" t="str">
        <x:v>Sim — alta</x:v>
      </x:c>
      <x:c r="K17" s="135" t="n">
        <x:f>IF($H17="Independente",$F17,0)</x:f>
        <x:v>12425408785.26</x:v>
      </x:c>
      <x:c r="L17" s="135" t="n">
        <x:f>IF($H17="Ligada a banco",$F17,0)</x:f>
        <x:v>0</x:v>
      </x:c>
      <x:c r="M17" s="114" t="n">
        <x:f>IF(K17&gt;0,RANK(K17,$K$6:$K$462)+COUNTIF($K$6:K17,K17)-1,9999)</x:f>
        <x:v>6</x:v>
      </x:c>
      <x:c r="N17" s="114" t="n">
        <x:f>IF(L17&gt;0,RANK(L17,$L$6:$L$462)+COUNTIF($L$6:L17,L17)-1,9999)</x:f>
        <x:v>9999</x:v>
      </x:c>
    </x:row>
    <x:row r="18">
      <x:c r="A18" s="111" t="str">
        <x:v>Kanastra</x:v>
      </x:c>
      <x:c r="B18" s="135" t="n">
        <x:v>1455589457.5600004</x:v>
      </x:c>
      <x:c r="C18" s="135" t="n">
        <x:v>910291794.45</x:v>
      </x:c>
      <x:c r="D18" s="135" t="n">
        <x:v>26043613.45</x:v>
      </x:c>
      <x:c r="E18" s="135" t="n">
        <x:v>9889859244.8</x:v>
      </x:c>
      <x:c r="F18" s="135" t="n">
        <x:f>SUM(B18:E18)</x:f>
        <x:v>12281784110.259998</x:v>
      </x:c>
      <x:c r="G18" s="111" t="str">
        <x:v>Independente</x:v>
      </x:c>
      <x:c r="H18" s="144" t="str">
        <x:v>Independente</x:v>
      </x:c>
      <x:c r="I18" s="111" t="str">
        <x:v>Regra residual — revisar manualmente</x:v>
      </x:c>
      <x:c r="J18" s="153" t="str">
        <x:v>Sim — alta</x:v>
      </x:c>
      <x:c r="K18" s="135" t="n">
        <x:f>IF($H18="Independente",$F18,0)</x:f>
        <x:v>12281784110.259998</x:v>
      </x:c>
      <x:c r="L18" s="135" t="n">
        <x:f>IF($H18="Ligada a banco",$F18,0)</x:f>
        <x:v>0</x:v>
      </x:c>
      <x:c r="M18" s="114" t="n">
        <x:f>IF(K18&gt;0,RANK(K18,$K$6:$K$462)+COUNTIF($K$6:K18,K18)-1,9999)</x:f>
        <x:v>7</x:v>
      </x:c>
      <x:c r="N18" s="114" t="n">
        <x:f>IF(L18&gt;0,RANK(L18,$L$6:$L$462)+COUNTIF($L$6:L18,L18)-1,9999)</x:f>
        <x:v>9999</x:v>
      </x:c>
    </x:row>
    <x:row r="19">
      <x:c r="A19" s="111" t="str">
        <x:v>VALORA RENDA FIXA LTDA.</x:v>
      </x:c>
      <x:c r="B19" s="135" t="n">
        <x:v>174504164.23</x:v>
      </x:c>
      <x:c r="C19" s="135" t="n">
        <x:v>273385873.54</x:v>
      </x:c>
      <x:c r="D19" s="135" t="n">
        <x:v>0</x:v>
      </x:c>
      <x:c r="E19" s="135" t="n">
        <x:v>10604231757.8942</x:v>
      </x:c>
      <x:c r="F19" s="135" t="n">
        <x:f>SUM(B19:E19)</x:f>
        <x:v>11052121795.6642</x:v>
      </x:c>
      <x:c r="G19" s="111" t="str">
        <x:v>Independente</x:v>
      </x:c>
      <x:c r="H19" s="144" t="str">
        <x:v>Independente</x:v>
      </x:c>
      <x:c r="I19" s="111" t="str">
        <x:v>Regra residual — revisar manualmente</x:v>
      </x:c>
      <x:c r="J19" s="153" t="str">
        <x:v>Sim — alta</x:v>
      </x:c>
      <x:c r="K19" s="135" t="n">
        <x:f>IF($H19="Independente",$F19,0)</x:f>
        <x:v>11052121795.6642</x:v>
      </x:c>
      <x:c r="L19" s="135" t="n">
        <x:f>IF($H19="Ligada a banco",$F19,0)</x:f>
        <x:v>0</x:v>
      </x:c>
      <x:c r="M19" s="114" t="n">
        <x:f>IF(K19&gt;0,RANK(K19,$K$6:$K$462)+COUNTIF($K$6:K19,K19)-1,9999)</x:f>
        <x:v>8</x:v>
      </x:c>
      <x:c r="N19" s="114" t="n">
        <x:f>IF(L19&gt;0,RANK(L19,$L$6:$L$462)+COUNTIF($L$6:L19,L19)-1,9999)</x:f>
        <x:v>9999</x:v>
      </x:c>
    </x:row>
    <x:row r="20">
      <x:c r="A20" s="111" t="str">
        <x:v>ANGÁ ASSET MANAGEMENT</x:v>
      </x:c>
      <x:c r="B20" s="135" t="n">
        <x:v>152043445.39</x:v>
      </x:c>
      <x:c r="C20" s="135" t="n">
        <x:v>8557174044.89</x:v>
      </x:c>
      <x:c r="D20" s="135" t="n">
        <x:v>272090505.43</x:v>
      </x:c>
      <x:c r="E20" s="135" t="n">
        <x:v>1171521769.6799998</x:v>
      </x:c>
      <x:c r="F20" s="135" t="n">
        <x:f>SUM(B20:E20)</x:f>
        <x:v>10152829765.390001</x:v>
      </x:c>
      <x:c r="G20" s="111" t="str">
        <x:v>Independente</x:v>
      </x:c>
      <x:c r="H20" s="144" t="str">
        <x:v>Independente</x:v>
      </x:c>
      <x:c r="I20" s="111" t="str">
        <x:v>Regra residual — revisar manualmente</x:v>
      </x:c>
      <x:c r="J20" s="153" t="str">
        <x:v>Sim — alta</x:v>
      </x:c>
      <x:c r="K20" s="135" t="n">
        <x:f>IF($H20="Independente",$F20,0)</x:f>
        <x:v>10152829765.390001</x:v>
      </x:c>
      <x:c r="L20" s="135" t="n">
        <x:f>IF($H20="Ligada a banco",$F20,0)</x:f>
        <x:v>0</x:v>
      </x:c>
      <x:c r="M20" s="114" t="n">
        <x:f>IF(K20&gt;0,RANK(K20,$K$6:$K$462)+COUNTIF($K$6:K20,K20)-1,9999)</x:f>
        <x:v>9</x:v>
      </x:c>
      <x:c r="N20" s="114" t="n">
        <x:f>IF(L20&gt;0,RANK(L20,$L$6:$L$462)+COUNTIF($L$6:L20,L20)-1,9999)</x:f>
        <x:v>9999</x:v>
      </x:c>
    </x:row>
    <x:row r="21">
      <x:c r="A21" s="111" t="str">
        <x:v>OURO PRETO INVESTIMENTOS</x:v>
      </x:c>
      <x:c r="B21" s="135" t="n">
        <x:v>5764264.46</x:v>
      </x:c>
      <x:c r="C21" s="135" t="n">
        <x:v>573928813.89</x:v>
      </x:c>
      <x:c r="D21" s="135" t="n">
        <x:v>6369393399.505</x:v>
      </x:c>
      <x:c r="E21" s="135" t="n">
        <x:v>1835417161.82</x:v>
      </x:c>
      <x:c r="F21" s="135" t="n">
        <x:f>SUM(B21:E21)</x:f>
        <x:v>8784503639.675001</x:v>
      </x:c>
      <x:c r="G21" s="111" t="str">
        <x:v>Independente</x:v>
      </x:c>
      <x:c r="H21" s="144" t="str">
        <x:v>Independente</x:v>
      </x:c>
      <x:c r="I21" s="111" t="str">
        <x:v>Regra residual — revisar manualmente</x:v>
      </x:c>
      <x:c r="J21" s="153" t="str">
        <x:v>Sim — alta</x:v>
      </x:c>
      <x:c r="K21" s="135" t="n">
        <x:f>IF($H21="Independente",$F21,0)</x:f>
        <x:v>8784503639.675001</x:v>
      </x:c>
      <x:c r="L21" s="135" t="n">
        <x:f>IF($H21="Ligada a banco",$F21,0)</x:f>
        <x:v>0</x:v>
      </x:c>
      <x:c r="M21" s="114" t="n">
        <x:f>IF(K21&gt;0,RANK(K21,$K$6:$K$462)+COUNTIF($K$6:K21,K21)-1,9999)</x:f>
        <x:v>10</x:v>
      </x:c>
      <x:c r="N21" s="114" t="n">
        <x:f>IF(L21&gt;0,RANK(L21,$L$6:$L$462)+COUNTIF($L$6:L21,L21)-1,9999)</x:f>
        <x:v>9999</x:v>
      </x:c>
    </x:row>
    <x:row r="22">
      <x:c r="A22" s="111" t="str">
        <x:v>M8 Partners</x:v>
      </x:c>
      <x:c r="B22" s="135" t="n">
        <x:v>471871.12</x:v>
      </x:c>
      <x:c r="C22" s="135" t="n">
        <x:v>525335973.46</x:v>
      </x:c>
      <x:c r="D22" s="135" t="n">
        <x:v>5451708265.78975</x:v>
      </x:c>
      <x:c r="E22" s="135" t="n">
        <x:v>2394630879.5600004</x:v>
      </x:c>
      <x:c r="F22" s="135" t="n">
        <x:f>SUM(B22:E22)</x:f>
        <x:v>8372146989.92975</x:v>
      </x:c>
      <x:c r="G22" s="111" t="str">
        <x:v>Independente</x:v>
      </x:c>
      <x:c r="H22" s="144" t="str">
        <x:v>Independente</x:v>
      </x:c>
      <x:c r="I22" s="111" t="str">
        <x:v>Regra residual — revisar manualmente</x:v>
      </x:c>
      <x:c r="J22" s="153" t="str">
        <x:v>Sim — alta</x:v>
      </x:c>
      <x:c r="K22" s="135" t="n">
        <x:f>IF($H22="Independente",$F22,0)</x:f>
        <x:v>8372146989.92975</x:v>
      </x:c>
      <x:c r="L22" s="135" t="n">
        <x:f>IF($H22="Ligada a banco",$F22,0)</x:f>
        <x:v>0</x:v>
      </x:c>
      <x:c r="M22" s="114" t="n">
        <x:f>IF(K22&gt;0,RANK(K22,$K$6:$K$462)+COUNTIF($K$6:K22,K22)-1,9999)</x:f>
        <x:v>11</x:v>
      </x:c>
      <x:c r="N22" s="114" t="n">
        <x:f>IF(L22&gt;0,RANK(L22,$L$6:$L$462)+COUNTIF($L$6:L22,L22)-1,9999)</x:f>
        <x:v>9999</x:v>
      </x:c>
    </x:row>
    <x:row r="23">
      <x:c r="A23" s="111" t="str">
        <x:v>JIVE INVESTMENTS</x:v>
      </x:c>
      <x:c r="B23" s="135" t="n">
        <x:v>206071581.30999997</x:v>
      </x:c>
      <x:c r="C23" s="135" t="n">
        <x:v>0</x:v>
      </x:c>
      <x:c r="D23" s="135" t="n">
        <x:v>0</x:v>
      </x:c>
      <x:c r="E23" s="135" t="n">
        <x:v>8108220001.8104</x:v>
      </x:c>
      <x:c r="F23" s="135" t="n">
        <x:f>SUM(B23:E23)</x:f>
        <x:v>8314291583.1204</x:v>
      </x:c>
      <x:c r="G23" s="111" t="str">
        <x:v>Independente</x:v>
      </x:c>
      <x:c r="H23" s="144" t="str">
        <x:v>Independente</x:v>
      </x:c>
      <x:c r="I23" s="111" t="str">
        <x:v>Regra residual — revisar manualmente</x:v>
      </x:c>
      <x:c r="J23" s="153" t="str">
        <x:v>Sim — alta</x:v>
      </x:c>
      <x:c r="K23" s="135" t="n">
        <x:f>IF($H23="Independente",$F23,0)</x:f>
        <x:v>8314291583.1204</x:v>
      </x:c>
      <x:c r="L23" s="135" t="n">
        <x:f>IF($H23="Ligada a banco",$F23,0)</x:f>
        <x:v>0</x:v>
      </x:c>
      <x:c r="M23" s="114" t="n">
        <x:f>IF(K23&gt;0,RANK(K23,$K$6:$K$462)+COUNTIF($K$6:K23,K23)-1,9999)</x:f>
        <x:v>12</x:v>
      </x:c>
      <x:c r="N23" s="114" t="n">
        <x:f>IF(L23&gt;0,RANK(L23,$L$6:$L$462)+COUNTIF($L$6:L23,L23)-1,9999)</x:f>
        <x:v>9999</x:v>
      </x:c>
    </x:row>
    <x:row r="24">
      <x:c r="A24" s="111" t="str">
        <x:v>DAYCOVAL ASSET MANAG</x:v>
      </x:c>
      <x:c r="B24" s="135" t="n">
        <x:v>661101509.19</x:v>
      </x:c>
      <x:c r="C24" s="135" t="n">
        <x:v>343892476.98</x:v>
      </x:c>
      <x:c r="D24" s="135" t="n">
        <x:v>29322534.56</x:v>
      </x:c>
      <x:c r="E24" s="135" t="n">
        <x:v>6900129681.370001</x:v>
      </x:c>
      <x:c r="F24" s="135" t="n">
        <x:f>SUM(B24:E24)</x:f>
        <x:v>7934446202.1</x:v>
      </x:c>
      <x:c r="G24" s="111" t="str">
        <x:v>Ligada a banco</x:v>
      </x:c>
      <x:c r="H24" s="144" t="str">
        <x:v>Ligada a banco</x:v>
      </x:c>
      <x:c r="I24" s="111" t="str">
        <x:v>Regra nominal: DAYCOVAL</x:v>
      </x:c>
      <x:c r="J24" s="153" t="str">
        <x:v>Confirmar</x:v>
      </x:c>
      <x:c r="K24" s="135" t="n">
        <x:f>IF($H24="Independente",$F24,0)</x:f>
        <x:v>0</x:v>
      </x:c>
      <x:c r="L24" s="135" t="n">
        <x:f>IF($H24="Ligada a banco",$F24,0)</x:f>
        <x:v>7934446202.1</x:v>
      </x:c>
      <x:c r="M24" s="114" t="n">
        <x:f>IF(K24&gt;0,RANK(K24,$K$6:$K$462)+COUNTIF($K$6:K24,K24)-1,9999)</x:f>
        <x:v>9999</x:v>
      </x:c>
      <x:c r="N24" s="114" t="n">
        <x:f>IF(L24&gt;0,RANK(L24,$L$6:$L$462)+COUNTIF($L$6:L24,L24)-1,9999)</x:f>
        <x:v>7</x:v>
      </x:c>
    </x:row>
    <x:row r="25">
      <x:c r="A25" s="111" t="str">
        <x:v>Multiplica Capital</x:v>
      </x:c>
      <x:c r="B25" s="135" t="n">
        <x:v>1512725.67</x:v>
      </x:c>
      <x:c r="C25" s="135" t="n">
        <x:v>0</x:v>
      </x:c>
      <x:c r="D25" s="135" t="n">
        <x:v>6146327897.228272</x:v>
      </x:c>
      <x:c r="E25" s="135" t="n">
        <x:v>1593416137.1999998</x:v>
      </x:c>
      <x:c r="F25" s="135" t="n">
        <x:f>SUM(B25:E25)</x:f>
        <x:v>7741256760.098272</x:v>
      </x:c>
      <x:c r="G25" s="111" t="str">
        <x:v>Independente</x:v>
      </x:c>
      <x:c r="H25" s="144" t="str">
        <x:v>Independente</x:v>
      </x:c>
      <x:c r="I25" s="111" t="str">
        <x:v>Regra residual — revisar manualmente</x:v>
      </x:c>
      <x:c r="J25" s="153" t="str">
        <x:v>Sim — alta</x:v>
      </x:c>
      <x:c r="K25" s="135" t="n">
        <x:f>IF($H25="Independente",$F25,0)</x:f>
        <x:v>7741256760.098272</x:v>
      </x:c>
      <x:c r="L25" s="135" t="n">
        <x:f>IF($H25="Ligada a banco",$F25,0)</x:f>
        <x:v>0</x:v>
      </x:c>
      <x:c r="M25" s="114" t="n">
        <x:f>IF(K25&gt;0,RANK(K25,$K$6:$K$462)+COUNTIF($K$6:K25,K25)-1,9999)</x:f>
        <x:v>13</x:v>
      </x:c>
      <x:c r="N25" s="114" t="n">
        <x:f>IF(L25&gt;0,RANK(L25,$L$6:$L$462)+COUNTIF($L$6:L25,L25)-1,9999)</x:f>
        <x:v>9999</x:v>
      </x:c>
    </x:row>
    <x:row r="26">
      <x:c r="A26" s="111" t="str">
        <x:v>Catálise Investimentos</x:v>
      </x:c>
      <x:c r="B26" s="135" t="n">
        <x:v>4600139035.92</x:v>
      </x:c>
      <x:c r="C26" s="135" t="n">
        <x:v>3961676.57</x:v>
      </x:c>
      <x:c r="D26" s="135" t="n">
        <x:v>68271501.64999999</x:v>
      </x:c>
      <x:c r="E26" s="135" t="n">
        <x:v>2680414997.2200007</x:v>
      </x:c>
      <x:c r="F26" s="135" t="n">
        <x:f>SUM(B26:E26)</x:f>
        <x:v>7352787211.360001</x:v>
      </x:c>
      <x:c r="G26" s="111" t="str">
        <x:v>Independente</x:v>
      </x:c>
      <x:c r="H26" s="144" t="str">
        <x:v>Independente</x:v>
      </x:c>
      <x:c r="I26" s="111" t="str">
        <x:v>Regra residual — revisar manualmente</x:v>
      </x:c>
      <x:c r="J26" s="153" t="str">
        <x:v>Sim — alta</x:v>
      </x:c>
      <x:c r="K26" s="135" t="n">
        <x:f>IF($H26="Independente",$F26,0)</x:f>
        <x:v>7352787211.360001</x:v>
      </x:c>
      <x:c r="L26" s="135" t="n">
        <x:f>IF($H26="Ligada a banco",$F26,0)</x:f>
        <x:v>0</x:v>
      </x:c>
      <x:c r="M26" s="114" t="n">
        <x:f>IF(K26&gt;0,RANK(K26,$K$6:$K$462)+COUNTIF($K$6:K26,K26)-1,9999)</x:f>
        <x:v>14</x:v>
      </x:c>
      <x:c r="N26" s="114" t="n">
        <x:f>IF(L26&gt;0,RANK(L26,$L$6:$L$462)+COUNTIF($L$6:L26,L26)-1,9999)</x:f>
        <x:v>9999</x:v>
      </x:c>
    </x:row>
    <x:row r="27">
      <x:c r="A27" s="111" t="str">
        <x:v>Jus Capital Gestão de Recursos LTDA</x:v>
      </x:c>
      <x:c r="B27" s="135" t="n">
        <x:v>0</x:v>
      </x:c>
      <x:c r="C27" s="135" t="n">
        <x:v>0</x:v>
      </x:c>
      <x:c r="D27" s="135" t="n">
        <x:v>0</x:v>
      </x:c>
      <x:c r="E27" s="135" t="n">
        <x:v>7284959793.269801</x:v>
      </x:c>
      <x:c r="F27" s="135" t="n">
        <x:f>SUM(B27:E27)</x:f>
        <x:v>7284959793.269801</x:v>
      </x:c>
      <x:c r="G27" s="111" t="str">
        <x:v>Independente</x:v>
      </x:c>
      <x:c r="H27" s="144" t="str">
        <x:v>Independente</x:v>
      </x:c>
      <x:c r="I27" s="111" t="str">
        <x:v>Regra residual — revisar manualmente</x:v>
      </x:c>
      <x:c r="J27" s="153" t="str">
        <x:v>Sim — alta</x:v>
      </x:c>
      <x:c r="K27" s="135" t="n">
        <x:f>IF($H27="Independente",$F27,0)</x:f>
        <x:v>7284959793.269801</x:v>
      </x:c>
      <x:c r="L27" s="135" t="n">
        <x:f>IF($H27="Ligada a banco",$F27,0)</x:f>
        <x:v>0</x:v>
      </x:c>
      <x:c r="M27" s="114" t="n">
        <x:f>IF(K27&gt;0,RANK(K27,$K$6:$K$462)+COUNTIF($K$6:K27,K27)-1,9999)</x:f>
        <x:v>15</x:v>
      </x:c>
      <x:c r="N27" s="114" t="n">
        <x:f>IF(L27&gt;0,RANK(L27,$L$6:$L$462)+COUNTIF($L$6:L27,L27)-1,9999)</x:f>
        <x:v>9999</x:v>
      </x:c>
    </x:row>
    <x:row r="28">
      <x:c r="A28" s="111" t="str">
        <x:v>POLÍGONO CAPITAL LTDA.</x:v>
      </x:c>
      <x:c r="B28" s="135" t="n">
        <x:v>67177752.45</x:v>
      </x:c>
      <x:c r="C28" s="135" t="n">
        <x:v>4520786096.56</x:v>
      </x:c>
      <x:c r="D28" s="135" t="n">
        <x:v>125532966.34</x:v>
      </x:c>
      <x:c r="E28" s="135" t="n">
        <x:v>2269717732.7387</x:v>
      </x:c>
      <x:c r="F28" s="135" t="n">
        <x:f>SUM(B28:E28)</x:f>
        <x:v>6983214548.0887</x:v>
      </x:c>
      <x:c r="G28" s="111" t="str">
        <x:v>Independente</x:v>
      </x:c>
      <x:c r="H28" s="144" t="str">
        <x:v>Independente</x:v>
      </x:c>
      <x:c r="I28" s="111" t="str">
        <x:v>Regra residual — revisar manualmente</x:v>
      </x:c>
      <x:c r="J28" s="153" t="str">
        <x:v>Sim — alta</x:v>
      </x:c>
      <x:c r="K28" s="135" t="n">
        <x:f>IF($H28="Independente",$F28,0)</x:f>
        <x:v>6983214548.0887</x:v>
      </x:c>
      <x:c r="L28" s="135" t="n">
        <x:f>IF($H28="Ligada a banco",$F28,0)</x:f>
        <x:v>0</x:v>
      </x:c>
      <x:c r="M28" s="114" t="n">
        <x:f>IF(K28&gt;0,RANK(K28,$K$6:$K$462)+COUNTIF($K$6:K28,K28)-1,9999)</x:f>
        <x:v>16</x:v>
      </x:c>
      <x:c r="N28" s="114" t="n">
        <x:f>IF(L28&gt;0,RANK(L28,$L$6:$L$462)+COUNTIF($L$6:L28,L28)-1,9999)</x:f>
        <x:v>9999</x:v>
      </x:c>
    </x:row>
    <x:row r="29">
      <x:c r="A29" s="111" t="str">
        <x:v>ORRAM GESTÃO DE RECURSOS LTDA.</x:v>
      </x:c>
      <x:c r="B29" s="135" t="n">
        <x:v>767105777.9</x:v>
      </x:c>
      <x:c r="C29" s="135" t="n">
        <x:v>54230482.45999999</x:v>
      </x:c>
      <x:c r="D29" s="135" t="n">
        <x:v>3464300952.56</x:v>
      </x:c>
      <x:c r="E29" s="135" t="n">
        <x:v>2696137025.6939297</x:v>
      </x:c>
      <x:c r="F29" s="135" t="n">
        <x:f>SUM(B29:E29)</x:f>
        <x:v>6981774238.61393</x:v>
      </x:c>
      <x:c r="G29" s="111" t="str">
        <x:v>Independente</x:v>
      </x:c>
      <x:c r="H29" s="144" t="str">
        <x:v>Independente</x:v>
      </x:c>
      <x:c r="I29" s="111" t="str">
        <x:v>Regra residual — revisar manualmente</x:v>
      </x:c>
      <x:c r="J29" s="153" t="str">
        <x:v>Sim — alta</x:v>
      </x:c>
      <x:c r="K29" s="135" t="n">
        <x:f>IF($H29="Independente",$F29,0)</x:f>
        <x:v>6981774238.61393</x:v>
      </x:c>
      <x:c r="L29" s="135" t="n">
        <x:f>IF($H29="Ligada a banco",$F29,0)</x:f>
        <x:v>0</x:v>
      </x:c>
      <x:c r="M29" s="114" t="n">
        <x:f>IF(K29&gt;0,RANK(K29,$K$6:$K$462)+COUNTIF($K$6:K29,K29)-1,9999)</x:f>
        <x:v>17</x:v>
      </x:c>
      <x:c r="N29" s="114" t="n">
        <x:f>IF(L29&gt;0,RANK(L29,$L$6:$L$462)+COUNTIF($L$6:L29,L29)-1,9999)</x:f>
        <x:v>9999</x:v>
      </x:c>
    </x:row>
    <x:row r="30">
      <x:c r="A30" s="111" t="str">
        <x:v>RedAsset Gestão de Recursos Ltda.</x:v>
      </x:c>
      <x:c r="B30" s="135" t="n">
        <x:v>1649304660.82</x:v>
      </x:c>
      <x:c r="C30" s="135" t="n">
        <x:v>0</x:v>
      </x:c>
      <x:c r="D30" s="135" t="n">
        <x:v>70013520.55999999</x:v>
      </x:c>
      <x:c r="E30" s="135" t="n">
        <x:v>4756389743.299999</x:v>
      </x:c>
      <x:c r="F30" s="135" t="n">
        <x:f>SUM(B30:E30)</x:f>
        <x:v>6475707924.679999</x:v>
      </x:c>
      <x:c r="G30" s="111" t="str">
        <x:v>Independente</x:v>
      </x:c>
      <x:c r="H30" s="144" t="str">
        <x:v>Independente</x:v>
      </x:c>
      <x:c r="I30" s="111" t="str">
        <x:v>Regra residual — revisar manualmente</x:v>
      </x:c>
      <x:c r="J30" s="153" t="str">
        <x:v>Sim — alta</x:v>
      </x:c>
      <x:c r="K30" s="135" t="n">
        <x:f>IF($H30="Independente",$F30,0)</x:f>
        <x:v>6475707924.679999</x:v>
      </x:c>
      <x:c r="L30" s="135" t="n">
        <x:f>IF($H30="Ligada a banco",$F30,0)</x:f>
        <x:v>0</x:v>
      </x:c>
      <x:c r="M30" s="114" t="n">
        <x:f>IF(K30&gt;0,RANK(K30,$K$6:$K$462)+COUNTIF($K$6:K30,K30)-1,9999)</x:f>
        <x:v>18</x:v>
      </x:c>
      <x:c r="N30" s="114" t="n">
        <x:f>IF(L30&gt;0,RANK(L30,$L$6:$L$462)+COUNTIF($L$6:L30,L30)-1,9999)</x:f>
        <x:v>9999</x:v>
      </x:c>
    </x:row>
    <x:row r="31">
      <x:c r="A31" s="111" t="str">
        <x:v>Vista Real Estate</x:v>
      </x:c>
      <x:c r="B31" s="135" t="n">
        <x:v>387247173.0200001</x:v>
      </x:c>
      <x:c r="C31" s="135" t="n">
        <x:v>0</x:v>
      </x:c>
      <x:c r="D31" s="135" t="n">
        <x:v>0</x:v>
      </x:c>
      <x:c r="E31" s="135" t="n">
        <x:v>5570135711.760001</x:v>
      </x:c>
      <x:c r="F31" s="135" t="n">
        <x:f>SUM(B31:E31)</x:f>
        <x:v>5957382884.780002</x:v>
      </x:c>
      <x:c r="G31" s="111" t="str">
        <x:v>Independente</x:v>
      </x:c>
      <x:c r="H31" s="144" t="str">
        <x:v>Independente</x:v>
      </x:c>
      <x:c r="I31" s="111" t="str">
        <x:v>Regra residual — revisar manualmente</x:v>
      </x:c>
      <x:c r="J31" s="153" t="str">
        <x:v>Sim — alta</x:v>
      </x:c>
      <x:c r="K31" s="135" t="n">
        <x:f>IF($H31="Independente",$F31,0)</x:f>
        <x:v>5957382884.780002</x:v>
      </x:c>
      <x:c r="L31" s="135" t="n">
        <x:f>IF($H31="Ligada a banco",$F31,0)</x:f>
        <x:v>0</x:v>
      </x:c>
      <x:c r="M31" s="114" t="n">
        <x:f>IF(K31&gt;0,RANK(K31,$K$6:$K$462)+COUNTIF($K$6:K31,K31)-1,9999)</x:f>
        <x:v>19</x:v>
      </x:c>
      <x:c r="N31" s="114" t="n">
        <x:f>IF(L31&gt;0,RANK(L31,$L$6:$L$462)+COUNTIF($L$6:L31,L31)-1,9999)</x:f>
        <x:v>9999</x:v>
      </x:c>
    </x:row>
    <x:row r="32">
      <x:c r="A32" s="111" t="str">
        <x:v>Emerald Gestão de Investimento</x:v>
      </x:c>
      <x:c r="B32" s="135" t="n">
        <x:v>0</x:v>
      </x:c>
      <x:c r="C32" s="135" t="n">
        <x:v>0</x:v>
      </x:c>
      <x:c r="D32" s="135" t="n">
        <x:v>1656423053.39</x:v>
      </x:c>
      <x:c r="E32" s="135" t="n">
        <x:v>4051277023.9000006</x:v>
      </x:c>
      <x:c r="F32" s="135" t="n">
        <x:f>SUM(B32:E32)</x:f>
        <x:v>5707700077.290001</x:v>
      </x:c>
      <x:c r="G32" s="111" t="str">
        <x:v>Independente</x:v>
      </x:c>
      <x:c r="H32" s="144" t="str">
        <x:v>Independente</x:v>
      </x:c>
      <x:c r="I32" s="111" t="str">
        <x:v>Regra residual — revisar manualmente</x:v>
      </x:c>
      <x:c r="J32" s="153" t="str">
        <x:v>Sim — alta</x:v>
      </x:c>
      <x:c r="K32" s="135" t="n">
        <x:f>IF($H32="Independente",$F32,0)</x:f>
        <x:v>5707700077.290001</x:v>
      </x:c>
      <x:c r="L32" s="135" t="n">
        <x:f>IF($H32="Ligada a banco",$F32,0)</x:f>
        <x:v>0</x:v>
      </x:c>
      <x:c r="M32" s="114" t="n">
        <x:f>IF(K32&gt;0,RANK(K32,$K$6:$K$462)+COUNTIF($K$6:K32,K32)-1,9999)</x:f>
        <x:v>20</x:v>
      </x:c>
      <x:c r="N32" s="114" t="n">
        <x:f>IF(L32&gt;0,RANK(L32,$L$6:$L$462)+COUNTIF($L$6:L32,L32)-1,9999)</x:f>
        <x:v>9999</x:v>
      </x:c>
    </x:row>
    <x:row r="33">
      <x:c r="A33" s="111" t="str">
        <x:v>QI GESTAO DE RECURSOS LTDA</x:v>
      </x:c>
      <x:c r="B33" s="135" t="n">
        <x:v>0</x:v>
      </x:c>
      <x:c r="C33" s="135" t="n">
        <x:v>1800359084.49</x:v>
      </x:c>
      <x:c r="D33" s="135" t="n">
        <x:v>3722445352.63</x:v>
      </x:c>
      <x:c r="E33" s="135" t="n">
        <x:v>86041088.11000001</x:v>
      </x:c>
      <x:c r="F33" s="135" t="n">
        <x:f>SUM(B33:E33)</x:f>
        <x:v>5608845525.23</x:v>
      </x:c>
      <x:c r="G33" s="111" t="str">
        <x:v>Independente</x:v>
      </x:c>
      <x:c r="H33" s="144" t="str">
        <x:v>Independente</x:v>
      </x:c>
      <x:c r="I33" s="111" t="str">
        <x:v>Regra residual — revisar manualmente</x:v>
      </x:c>
      <x:c r="J33" s="153" t="str">
        <x:v>Sim — alta</x:v>
      </x:c>
      <x:c r="K33" s="135" t="n">
        <x:f>IF($H33="Independente",$F33,0)</x:f>
        <x:v>5608845525.23</x:v>
      </x:c>
      <x:c r="L33" s="135" t="n">
        <x:f>IF($H33="Ligada a banco",$F33,0)</x:f>
        <x:v>0</x:v>
      </x:c>
      <x:c r="M33" s="114" t="n">
        <x:f>IF(K33&gt;0,RANK(K33,$K$6:$K$462)+COUNTIF($K$6:K33,K33)-1,9999)</x:f>
        <x:v>21</x:v>
      </x:c>
      <x:c r="N33" s="114" t="n">
        <x:f>IF(L33&gt;0,RANK(L33,$L$6:$L$462)+COUNTIF($L$6:L33,L33)-1,9999)</x:f>
        <x:v>9999</x:v>
      </x:c>
    </x:row>
    <x:row r="34">
      <x:c r="A34" s="111" t="str">
        <x:v>Artesanal Investimentos</x:v>
      </x:c>
      <x:c r="B34" s="135" t="n">
        <x:v>0</x:v>
      </x:c>
      <x:c r="C34" s="135" t="n">
        <x:v>1286945648.03</x:v>
      </x:c>
      <x:c r="D34" s="135" t="n">
        <x:v>103599209.77</x:v>
      </x:c>
      <x:c r="E34" s="135" t="n">
        <x:v>4103298317.12</x:v>
      </x:c>
      <x:c r="F34" s="135" t="n">
        <x:f>SUM(B34:E34)</x:f>
        <x:v>5493843174.92</x:v>
      </x:c>
      <x:c r="G34" s="111" t="str">
        <x:v>Independente</x:v>
      </x:c>
      <x:c r="H34" s="144" t="str">
        <x:v>Independente</x:v>
      </x:c>
      <x:c r="I34" s="111" t="str">
        <x:v>Regra residual — revisar manualmente</x:v>
      </x:c>
      <x:c r="J34" s="153" t="str">
        <x:v>Sim — alta</x:v>
      </x:c>
      <x:c r="K34" s="135" t="n">
        <x:f>IF($H34="Independente",$F34,0)</x:f>
        <x:v>5493843174.92</x:v>
      </x:c>
      <x:c r="L34" s="135" t="n">
        <x:f>IF($H34="Ligada a banco",$F34,0)</x:f>
        <x:v>0</x:v>
      </x:c>
      <x:c r="M34" s="114" t="n">
        <x:f>IF(K34&gt;0,RANK(K34,$K$6:$K$462)+COUNTIF($K$6:K34,K34)-1,9999)</x:f>
        <x:v>22</x:v>
      </x:c>
      <x:c r="N34" s="114" t="n">
        <x:f>IF(L34&gt;0,RANK(L34,$L$6:$L$462)+COUNTIF($L$6:L34,L34)-1,9999)</x:f>
        <x:v>9999</x:v>
      </x:c>
    </x:row>
    <x:row r="35">
      <x:c r="A35" s="111" t="str">
        <x:v>Versal Finance Gestão de Recursos LTDA.</x:v>
      </x:c>
      <x:c r="B35" s="135" t="n">
        <x:v>37150121.55</x:v>
      </x:c>
      <x:c r="C35" s="135" t="n">
        <x:v>0</x:v>
      </x:c>
      <x:c r="D35" s="135" t="n">
        <x:v>0</x:v>
      </x:c>
      <x:c r="E35" s="135" t="n">
        <x:v>5108919609.03</x:v>
      </x:c>
      <x:c r="F35" s="135" t="n">
        <x:f>SUM(B35:E35)</x:f>
        <x:v>5146069730.58</x:v>
      </x:c>
      <x:c r="G35" s="111" t="str">
        <x:v>Independente</x:v>
      </x:c>
      <x:c r="H35" s="144" t="str">
        <x:v>Independente</x:v>
      </x:c>
      <x:c r="I35" s="111" t="str">
        <x:v>Regra residual — revisar manualmente</x:v>
      </x:c>
      <x:c r="J35" s="153" t="str">
        <x:v>Sim — alta</x:v>
      </x:c>
      <x:c r="K35" s="135" t="n">
        <x:f>IF($H35="Independente",$F35,0)</x:f>
        <x:v>5146069730.58</x:v>
      </x:c>
      <x:c r="L35" s="135" t="n">
        <x:f>IF($H35="Ligada a banco",$F35,0)</x:f>
        <x:v>0</x:v>
      </x:c>
      <x:c r="M35" s="114" t="n">
        <x:f>IF(K35&gt;0,RANK(K35,$K$6:$K$462)+COUNTIF($K$6:K35,K35)-1,9999)</x:f>
        <x:v>23</x:v>
      </x:c>
      <x:c r="N35" s="114" t="n">
        <x:f>IF(L35&gt;0,RANK(L35,$L$6:$L$462)+COUNTIF($L$6:L35,L35)-1,9999)</x:f>
        <x:v>9999</x:v>
      </x:c>
    </x:row>
    <x:row r="36">
      <x:c r="A36" s="111" t="str">
        <x:v>BRL TRUST DTVM</x:v>
      </x:c>
      <x:c r="B36" s="135" t="n">
        <x:v>157025972.36</x:v>
      </x:c>
      <x:c r="C36" s="135" t="n">
        <x:v>385159499.07</x:v>
      </x:c>
      <x:c r="D36" s="135" t="n">
        <x:v>0</x:v>
      </x:c>
      <x:c r="E36" s="135" t="n">
        <x:v>4551753588.43</x:v>
      </x:c>
      <x:c r="F36" s="135" t="n">
        <x:f>SUM(B36:E36)</x:f>
        <x:v>5093939059.860001</x:v>
      </x:c>
      <x:c r="G36" s="111" t="str">
        <x:v>Independente</x:v>
      </x:c>
      <x:c r="H36" s="144" t="str">
        <x:v>Independente</x:v>
      </x:c>
      <x:c r="I36" s="111" t="str">
        <x:v>Regra residual — revisar manualmente</x:v>
      </x:c>
      <x:c r="J36" s="153" t="str">
        <x:v>Sim — alta</x:v>
      </x:c>
      <x:c r="K36" s="135" t="n">
        <x:f>IF($H36="Independente",$F36,0)</x:f>
        <x:v>5093939059.860001</x:v>
      </x:c>
      <x:c r="L36" s="135" t="n">
        <x:f>IF($H36="Ligada a banco",$F36,0)</x:f>
        <x:v>0</x:v>
      </x:c>
      <x:c r="M36" s="114" t="n">
        <x:f>IF(K36&gt;0,RANK(K36,$K$6:$K$462)+COUNTIF($K$6:K36,K36)-1,9999)</x:f>
        <x:v>24</x:v>
      </x:c>
      <x:c r="N36" s="114" t="n">
        <x:f>IF(L36&gt;0,RANK(L36,$L$6:$L$462)+COUNTIF($L$6:L36,L36)-1,9999)</x:f>
        <x:v>9999</x:v>
      </x:c>
    </x:row>
    <x:row r="37">
      <x:c r="A37" s="111" t="str">
        <x:v>Redwood Asset Management</x:v>
      </x:c>
      <x:c r="B37" s="135" t="n">
        <x:v>107537148.92</x:v>
      </x:c>
      <x:c r="C37" s="135" t="n">
        <x:v>59916330.57000001</x:v>
      </x:c>
      <x:c r="D37" s="135" t="n">
        <x:v>676858920.71</x:v>
      </x:c>
      <x:c r="E37" s="135" t="n">
        <x:v>4148145651.6</x:v>
      </x:c>
      <x:c r="F37" s="135" t="n">
        <x:f>SUM(B37:E37)</x:f>
        <x:v>4992458051.8</x:v>
      </x:c>
      <x:c r="G37" s="111" t="str">
        <x:v>Independente</x:v>
      </x:c>
      <x:c r="H37" s="144" t="str">
        <x:v>Independente</x:v>
      </x:c>
      <x:c r="I37" s="111" t="str">
        <x:v>Regra residual — revisar manualmente</x:v>
      </x:c>
      <x:c r="J37" s="153" t="str">
        <x:v>Sim — alta</x:v>
      </x:c>
      <x:c r="K37" s="135" t="n">
        <x:f>IF($H37="Independente",$F37,0)</x:f>
        <x:v>4992458051.8</x:v>
      </x:c>
      <x:c r="L37" s="135" t="n">
        <x:f>IF($H37="Ligada a banco",$F37,0)</x:f>
        <x:v>0</x:v>
      </x:c>
      <x:c r="M37" s="114" t="n">
        <x:f>IF(K37&gt;0,RANK(K37,$K$6:$K$462)+COUNTIF($K$6:K37,K37)-1,9999)</x:f>
        <x:v>25</x:v>
      </x:c>
      <x:c r="N37" s="114" t="n">
        <x:f>IF(L37&gt;0,RANK(L37,$L$6:$L$462)+COUNTIF($L$6:L37,L37)-1,9999)</x:f>
        <x:v>9999</x:v>
      </x:c>
    </x:row>
    <x:row r="38">
      <x:c r="A38" s="111" t="str">
        <x:v>TRUSTEE DTVM</x:v>
      </x:c>
      <x:c r="B38" s="135" t="n">
        <x:v>0</x:v>
      </x:c>
      <x:c r="C38" s="135" t="n">
        <x:v>351332791.21</x:v>
      </x:c>
      <x:c r="D38" s="135" t="n">
        <x:v>0</x:v>
      </x:c>
      <x:c r="E38" s="135" t="n">
        <x:v>4493530132.599999</x:v>
      </x:c>
      <x:c r="F38" s="135" t="n">
        <x:f>SUM(B38:E38)</x:f>
        <x:v>4844862923.809999</x:v>
      </x:c>
      <x:c r="G38" s="111" t="str">
        <x:v>Independente</x:v>
      </x:c>
      <x:c r="H38" s="144" t="str">
        <x:v>Independente</x:v>
      </x:c>
      <x:c r="I38" s="111" t="str">
        <x:v>Regra residual — revisar manualmente</x:v>
      </x:c>
      <x:c r="J38" s="153" t="str">
        <x:v>Sim — alta</x:v>
      </x:c>
      <x:c r="K38" s="135" t="n">
        <x:f>IF($H38="Independente",$F38,0)</x:f>
        <x:v>4844862923.809999</x:v>
      </x:c>
      <x:c r="L38" s="135" t="n">
        <x:f>IF($H38="Ligada a banco",$F38,0)</x:f>
        <x:v>0</x:v>
      </x:c>
      <x:c r="M38" s="114" t="n">
        <x:f>IF(K38&gt;0,RANK(K38,$K$6:$K$462)+COUNTIF($K$6:K38,K38)-1,9999)</x:f>
        <x:v>26</x:v>
      </x:c>
      <x:c r="N38" s="114" t="n">
        <x:f>IF(L38&gt;0,RANK(L38,$L$6:$L$462)+COUNTIF($L$6:L38,L38)-1,9999)</x:f>
        <x:v>9999</x:v>
      </x:c>
    </x:row>
    <x:row r="39">
      <x:c r="A39" s="111" t="str">
        <x:v>Veritas Capital Management</x:v>
      </x:c>
      <x:c r="B39" s="135" t="n">
        <x:v>0</x:v>
      </x:c>
      <x:c r="C39" s="135" t="n">
        <x:v>0</x:v>
      </x:c>
      <x:c r="D39" s="135" t="n">
        <x:v>183045265.07</x:v>
      </x:c>
      <x:c r="E39" s="135" t="n">
        <x:v>4519921065.83534</x:v>
      </x:c>
      <x:c r="F39" s="135" t="n">
        <x:f>SUM(B39:E39)</x:f>
        <x:v>4702966330.905339</x:v>
      </x:c>
      <x:c r="G39" s="111" t="str">
        <x:v>Independente</x:v>
      </x:c>
      <x:c r="H39" s="144" t="str">
        <x:v>Independente</x:v>
      </x:c>
      <x:c r="I39" s="111" t="str">
        <x:v>Regra residual — revisar manualmente</x:v>
      </x:c>
      <x:c r="J39" s="153" t="str">
        <x:v>Sim — alta</x:v>
      </x:c>
      <x:c r="K39" s="135" t="n">
        <x:f>IF($H39="Independente",$F39,0)</x:f>
        <x:v>4702966330.905339</x:v>
      </x:c>
      <x:c r="L39" s="135" t="n">
        <x:f>IF($H39="Ligada a banco",$F39,0)</x:f>
        <x:v>0</x:v>
      </x:c>
      <x:c r="M39" s="114" t="n">
        <x:f>IF(K39&gt;0,RANK(K39,$K$6:$K$462)+COUNTIF($K$6:K39,K39)-1,9999)</x:f>
        <x:v>27</x:v>
      </x:c>
      <x:c r="N39" s="114" t="n">
        <x:f>IF(L39&gt;0,RANK(L39,$L$6:$L$462)+COUNTIF($L$6:L39,L39)-1,9999)</x:f>
        <x:v>9999</x:v>
      </x:c>
    </x:row>
    <x:row r="40">
      <x:c r="A40" s="111" t="str">
        <x:v>Acura Gestora de Recursos LTDA.</x:v>
      </x:c>
      <x:c r="B40" s="135" t="n">
        <x:v>71553704.34</x:v>
      </x:c>
      <x:c r="C40" s="135" t="n">
        <x:v>385507229.93</x:v>
      </x:c>
      <x:c r="D40" s="135" t="n">
        <x:v>549614280.9499999</x:v>
      </x:c>
      <x:c r="E40" s="135" t="n">
        <x:v>3623356677.059999</x:v>
      </x:c>
      <x:c r="F40" s="135" t="n">
        <x:f>SUM(B40:E40)</x:f>
        <x:v>4630031892.279999</x:v>
      </x:c>
      <x:c r="G40" s="111" t="str">
        <x:v>Independente</x:v>
      </x:c>
      <x:c r="H40" s="144" t="str">
        <x:v>Independente</x:v>
      </x:c>
      <x:c r="I40" s="111" t="str">
        <x:v>Regra residual — revisar manualmente</x:v>
      </x:c>
      <x:c r="J40" s="153" t="str">
        <x:v>Sim — alta</x:v>
      </x:c>
      <x:c r="K40" s="135" t="n">
        <x:f>IF($H40="Independente",$F40,0)</x:f>
        <x:v>4630031892.279999</x:v>
      </x:c>
      <x:c r="L40" s="135" t="n">
        <x:f>IF($H40="Ligada a banco",$F40,0)</x:f>
        <x:v>0</x:v>
      </x:c>
      <x:c r="M40" s="114" t="n">
        <x:f>IF(K40&gt;0,RANK(K40,$K$6:$K$462)+COUNTIF($K$6:K40,K40)-1,9999)</x:f>
        <x:v>28</x:v>
      </x:c>
      <x:c r="N40" s="114" t="n">
        <x:f>IF(L40&gt;0,RANK(L40,$L$6:$L$462)+COUNTIF($L$6:L40,L40)-1,9999)</x:f>
        <x:v>9999</x:v>
      </x:c>
    </x:row>
    <x:row r="41">
      <x:c r="A41" s="111" t="str">
        <x:v>VALORA RENDA FIXA ESTRUTURADOS LTDA.</x:v>
      </x:c>
      <x:c r="B41" s="135" t="n">
        <x:v>289705585.68</x:v>
      </x:c>
      <x:c r="C41" s="135" t="n">
        <x:v>3940761546.3353305</x:v>
      </x:c>
      <x:c r="D41" s="135" t="n">
        <x:v>0</x:v>
      </x:c>
      <x:c r="E41" s="135" t="n">
        <x:v>307212860.97999996</x:v>
      </x:c>
      <x:c r="F41" s="135" t="n">
        <x:f>SUM(B41:E41)</x:f>
        <x:v>4537679992.99533</x:v>
      </x:c>
      <x:c r="G41" s="111" t="str">
        <x:v>Independente</x:v>
      </x:c>
      <x:c r="H41" s="144" t="str">
        <x:v>Independente</x:v>
      </x:c>
      <x:c r="I41" s="111" t="str">
        <x:v>Regra residual — revisar manualmente</x:v>
      </x:c>
      <x:c r="J41" s="153" t="str">
        <x:v>Sim — alta</x:v>
      </x:c>
      <x:c r="K41" s="135" t="n">
        <x:f>IF($H41="Independente",$F41,0)</x:f>
        <x:v>4537679992.99533</x:v>
      </x:c>
      <x:c r="L41" s="135" t="n">
        <x:f>IF($H41="Ligada a banco",$F41,0)</x:f>
        <x:v>0</x:v>
      </x:c>
      <x:c r="M41" s="114" t="n">
        <x:f>IF(K41&gt;0,RANK(K41,$K$6:$K$462)+COUNTIF($K$6:K41,K41)-1,9999)</x:f>
        <x:v>29</x:v>
      </x:c>
      <x:c r="N41" s="114" t="n">
        <x:f>IF(L41&gt;0,RANK(L41,$L$6:$L$462)+COUNTIF($L$6:L41,L41)-1,9999)</x:f>
        <x:v>9999</x:v>
      </x:c>
    </x:row>
    <x:row r="42">
      <x:c r="A42" s="111" t="str">
        <x:v>GV ATACAMA CAPITAL LTDA.</x:v>
      </x:c>
      <x:c r="B42" s="135" t="n">
        <x:v>0</x:v>
      </x:c>
      <x:c r="C42" s="135" t="n">
        <x:v>607536049.24</x:v>
      </x:c>
      <x:c r="D42" s="135" t="n">
        <x:v>1057896825.3</x:v>
      </x:c>
      <x:c r="E42" s="135" t="n">
        <x:v>2735652487.15001</x:v>
      </x:c>
      <x:c r="F42" s="135" t="n">
        <x:f>SUM(B42:E42)</x:f>
        <x:v>4401085361.69001</x:v>
      </x:c>
      <x:c r="G42" s="111" t="str">
        <x:v>Independente</x:v>
      </x:c>
      <x:c r="H42" s="144" t="str">
        <x:v>Independente</x:v>
      </x:c>
      <x:c r="I42" s="111" t="str">
        <x:v>Regra residual — revisar manualmente</x:v>
      </x:c>
      <x:c r="J42" s="153" t="str">
        <x:v>Sim — alta</x:v>
      </x:c>
      <x:c r="K42" s="135" t="n">
        <x:f>IF($H42="Independente",$F42,0)</x:f>
        <x:v>4401085361.69001</x:v>
      </x:c>
      <x:c r="L42" s="135" t="n">
        <x:f>IF($H42="Ligada a banco",$F42,0)</x:f>
        <x:v>0</x:v>
      </x:c>
      <x:c r="M42" s="114" t="n">
        <x:f>IF(K42&gt;0,RANK(K42,$K$6:$K$462)+COUNTIF($K$6:K42,K42)-1,9999)</x:f>
        <x:v>30</x:v>
      </x:c>
      <x:c r="N42" s="114" t="n">
        <x:f>IF(L42&gt;0,RANK(L42,$L$6:$L$462)+COUNTIF($L$6:L42,L42)-1,9999)</x:f>
        <x:v>9999</x:v>
      </x:c>
    </x:row>
    <x:row r="43">
      <x:c r="A43" s="111" t="str">
        <x:v>Eco Gestão de Ativos LTDA.</x:v>
      </x:c>
      <x:c r="B43" s="135" t="n">
        <x:v>4115581583.91368</x:v>
      </x:c>
      <x:c r="C43" s="135" t="n">
        <x:v>237282710.21999997</x:v>
      </x:c>
      <x:c r="D43" s="135" t="n">
        <x:v>0</x:v>
      </x:c>
      <x:c r="E43" s="135" t="n">
        <x:v>0</x:v>
      </x:c>
      <x:c r="F43" s="135" t="n">
        <x:f>SUM(B43:E43)</x:f>
        <x:v>4352864294.13368</x:v>
      </x:c>
      <x:c r="G43" s="111" t="str">
        <x:v>Independente</x:v>
      </x:c>
      <x:c r="H43" s="144" t="str">
        <x:v>Independente</x:v>
      </x:c>
      <x:c r="I43" s="111" t="str">
        <x:v>Regra residual — revisar manualmente</x:v>
      </x:c>
      <x:c r="J43" s="153" t="str">
        <x:v>Sim — alta</x:v>
      </x:c>
      <x:c r="K43" s="135" t="n">
        <x:f>IF($H43="Independente",$F43,0)</x:f>
        <x:v>4352864294.13368</x:v>
      </x:c>
      <x:c r="L43" s="135" t="n">
        <x:f>IF($H43="Ligada a banco",$F43,0)</x:f>
        <x:v>0</x:v>
      </x:c>
      <x:c r="M43" s="114" t="n">
        <x:f>IF(K43&gt;0,RANK(K43,$K$6:$K$462)+COUNTIF($K$6:K43,K43)-1,9999)</x:f>
        <x:v>31</x:v>
      </x:c>
      <x:c r="N43" s="114" t="n">
        <x:f>IF(L43&gt;0,RANK(L43,$L$6:$L$462)+COUNTIF($L$6:L43,L43)-1,9999)</x:f>
        <x:v>9999</x:v>
      </x:c>
    </x:row>
    <x:row r="44">
      <x:c r="A44" s="111" t="str">
        <x:v>JIVE HIGH YIELD GESTÃO DE RECURSOS LTDA</x:v>
      </x:c>
      <x:c r="B44" s="135" t="n">
        <x:v>0</x:v>
      </x:c>
      <x:c r="C44" s="135" t="n">
        <x:v>323806824.96</x:v>
      </x:c>
      <x:c r="D44" s="135" t="n">
        <x:v>0</x:v>
      </x:c>
      <x:c r="E44" s="135" t="n">
        <x:v>3926197347.730001</x:v>
      </x:c>
      <x:c r="F44" s="135" t="n">
        <x:f>SUM(B44:E44)</x:f>
        <x:v>4250004172.690001</x:v>
      </x:c>
      <x:c r="G44" s="111" t="str">
        <x:v>Independente</x:v>
      </x:c>
      <x:c r="H44" s="144" t="str">
        <x:v>Independente</x:v>
      </x:c>
      <x:c r="I44" s="111" t="str">
        <x:v>Regra residual — revisar manualmente</x:v>
      </x:c>
      <x:c r="J44" s="153" t="str">
        <x:v>Sim — alta</x:v>
      </x:c>
      <x:c r="K44" s="135" t="n">
        <x:f>IF($H44="Independente",$F44,0)</x:f>
        <x:v>4250004172.690001</x:v>
      </x:c>
      <x:c r="L44" s="135" t="n">
        <x:f>IF($H44="Ligada a banco",$F44,0)</x:f>
        <x:v>0</x:v>
      </x:c>
      <x:c r="M44" s="114" t="n">
        <x:f>IF(K44&gt;0,RANK(K44,$K$6:$K$462)+COUNTIF($K$6:K44,K44)-1,9999)</x:f>
        <x:v>32</x:v>
      </x:c>
      <x:c r="N44" s="114" t="n">
        <x:f>IF(L44&gt;0,RANK(L44,$L$6:$L$462)+COUNTIF($L$6:L44,L44)-1,9999)</x:f>
        <x:v>9999</x:v>
      </x:c>
    </x:row>
    <x:row r="45">
      <x:c r="A45" s="111" t="str">
        <x:v>Itau Unibanco</x:v>
      </x:c>
      <x:c r="B45" s="135" t="n">
        <x:v>1979657361.67</x:v>
      </x:c>
      <x:c r="C45" s="135" t="n">
        <x:v>0</x:v>
      </x:c>
      <x:c r="D45" s="135" t="n">
        <x:v>0</x:v>
      </x:c>
      <x:c r="E45" s="135" t="n">
        <x:v>2214689372.05</x:v>
      </x:c>
      <x:c r="F45" s="135" t="n">
        <x:f>SUM(B45:E45)</x:f>
        <x:v>4194346733.7200003</x:v>
      </x:c>
      <x:c r="G45" s="111" t="str">
        <x:v>Ligada a banco</x:v>
      </x:c>
      <x:c r="H45" s="144" t="str">
        <x:v>Ligada a banco</x:v>
      </x:c>
      <x:c r="I45" s="111" t="str">
        <x:v>Regra nominal: ITAU</x:v>
      </x:c>
      <x:c r="J45" s="153" t="str">
        <x:v>Confirmar</x:v>
      </x:c>
      <x:c r="K45" s="135" t="n">
        <x:f>IF($H45="Independente",$F45,0)</x:f>
        <x:v>0</x:v>
      </x:c>
      <x:c r="L45" s="135" t="n">
        <x:f>IF($H45="Ligada a banco",$F45,0)</x:f>
        <x:v>4194346733.7200003</x:v>
      </x:c>
      <x:c r="M45" s="114" t="n">
        <x:f>IF(K45&gt;0,RANK(K45,$K$6:$K$462)+COUNTIF($K$6:K45,K45)-1,9999)</x:f>
        <x:v>9999</x:v>
      </x:c>
      <x:c r="N45" s="114" t="n">
        <x:f>IF(L45&gt;0,RANK(L45,$L$6:$L$462)+COUNTIF($L$6:L45,L45)-1,9999)</x:f>
        <x:v>8</x:v>
      </x:c>
    </x:row>
    <x:row r="46">
      <x:c r="A46" s="111" t="str">
        <x:v>LASS CAPITAL</x:v>
      </x:c>
      <x:c r="B46" s="135" t="n">
        <x:v>0</x:v>
      </x:c>
      <x:c r="C46" s="135" t="n">
        <x:v>0</x:v>
      </x:c>
      <x:c r="D46" s="135" t="n">
        <x:v>0</x:v>
      </x:c>
      <x:c r="E46" s="135" t="n">
        <x:v>4170516972.3333</x:v>
      </x:c>
      <x:c r="F46" s="135" t="n">
        <x:f>SUM(B46:E46)</x:f>
        <x:v>4170516972.3333</x:v>
      </x:c>
      <x:c r="G46" s="111" t="str">
        <x:v>Independente</x:v>
      </x:c>
      <x:c r="H46" s="144" t="str">
        <x:v>Independente</x:v>
      </x:c>
      <x:c r="I46" s="111" t="str">
        <x:v>Regra residual — revisar manualmente</x:v>
      </x:c>
      <x:c r="J46" s="153" t="str">
        <x:v>Sim — alta</x:v>
      </x:c>
      <x:c r="K46" s="135" t="n">
        <x:f>IF($H46="Independente",$F46,0)</x:f>
        <x:v>4170516972.3333</x:v>
      </x:c>
      <x:c r="L46" s="135" t="n">
        <x:f>IF($H46="Ligada a banco",$F46,0)</x:f>
        <x:v>0</x:v>
      </x:c>
      <x:c r="M46" s="114" t="n">
        <x:f>IF(K46&gt;0,RANK(K46,$K$6:$K$462)+COUNTIF($K$6:K46,K46)-1,9999)</x:f>
        <x:v>33</x:v>
      </x:c>
      <x:c r="N46" s="114" t="n">
        <x:f>IF(L46&gt;0,RANK(L46,$L$6:$L$462)+COUNTIF($L$6:L46,L46)-1,9999)</x:f>
        <x:v>9999</x:v>
      </x:c>
    </x:row>
    <x:row r="47">
      <x:c r="A47" s="111" t="str">
        <x:v>Riza Securitização e Carteiras</x:v>
      </x:c>
      <x:c r="B47" s="135" t="n">
        <x:v>782272473.17</x:v>
      </x:c>
      <x:c r="C47" s="135" t="n">
        <x:v>2847333123.3911295</x:v>
      </x:c>
      <x:c r="D47" s="135" t="n">
        <x:v>0</x:v>
      </x:c>
      <x:c r="E47" s="135" t="n">
        <x:v>479204053.0400001</x:v>
      </x:c>
      <x:c r="F47" s="135" t="n">
        <x:f>SUM(B47:E47)</x:f>
        <x:v>4108809649.6011295</x:v>
      </x:c>
      <x:c r="G47" s="111" t="str">
        <x:v>Independente</x:v>
      </x:c>
      <x:c r="H47" s="144" t="str">
        <x:v>Independente</x:v>
      </x:c>
      <x:c r="I47" s="111" t="str">
        <x:v>Regra residual — revisar manualmente</x:v>
      </x:c>
      <x:c r="J47" s="153" t="str">
        <x:v>Sim — alta</x:v>
      </x:c>
      <x:c r="K47" s="135" t="n">
        <x:f>IF($H47="Independente",$F47,0)</x:f>
        <x:v>4108809649.6011295</x:v>
      </x:c>
      <x:c r="L47" s="135" t="n">
        <x:f>IF($H47="Ligada a banco",$F47,0)</x:f>
        <x:v>0</x:v>
      </x:c>
      <x:c r="M47" s="114" t="n">
        <x:f>IF(K47&gt;0,RANK(K47,$K$6:$K$462)+COUNTIF($K$6:K47,K47)-1,9999)</x:f>
        <x:v>34</x:v>
      </x:c>
      <x:c r="N47" s="114" t="n">
        <x:f>IF(L47&gt;0,RANK(L47,$L$6:$L$462)+COUNTIF($L$6:L47,L47)-1,9999)</x:f>
        <x:v>9999</x:v>
      </x:c>
    </x:row>
    <x:row r="48">
      <x:c r="A48" s="111" t="str">
        <x:v>SUESTE CAPITAL GESTÃO DE RECURSOS LTDA.</x:v>
      </x:c>
      <x:c r="B48" s="135" t="n">
        <x:v>953538629.59</x:v>
      </x:c>
      <x:c r="C48" s="135" t="n">
        <x:v>862206839.58</x:v>
      </x:c>
      <x:c r="D48" s="135" t="n">
        <x:v>38114227.7</x:v>
      </x:c>
      <x:c r="E48" s="135" t="n">
        <x:v>1892024350.1699996</x:v>
      </x:c>
      <x:c r="F48" s="135" t="n">
        <x:f>SUM(B48:E48)</x:f>
        <x:v>3745884047.04</x:v>
      </x:c>
      <x:c r="G48" s="111" t="str">
        <x:v>Independente</x:v>
      </x:c>
      <x:c r="H48" s="144" t="str">
        <x:v>Independente</x:v>
      </x:c>
      <x:c r="I48" s="111" t="str">
        <x:v>Regra residual — revisar manualmente</x:v>
      </x:c>
      <x:c r="J48" s="153" t="str">
        <x:v>Sim — alta</x:v>
      </x:c>
      <x:c r="K48" s="135" t="n">
        <x:f>IF($H48="Independente",$F48,0)</x:f>
        <x:v>3745884047.04</x:v>
      </x:c>
      <x:c r="L48" s="135" t="n">
        <x:f>IF($H48="Ligada a banco",$F48,0)</x:f>
        <x:v>0</x:v>
      </x:c>
      <x:c r="M48" s="114" t="n">
        <x:f>IF(K48&gt;0,RANK(K48,$K$6:$K$462)+COUNTIF($K$6:K48,K48)-1,9999)</x:f>
        <x:v>35</x:v>
      </x:c>
      <x:c r="N48" s="114" t="n">
        <x:f>IF(L48&gt;0,RANK(L48,$L$6:$L$462)+COUNTIF($L$6:L48,L48)-1,9999)</x:f>
        <x:v>9999</x:v>
      </x:c>
    </x:row>
    <x:row r="49">
      <x:c r="A49" s="111" t="str">
        <x:v>SECURITY ADMINISTRAD</x:v>
      </x:c>
      <x:c r="B49" s="135" t="n">
        <x:v>0</x:v>
      </x:c>
      <x:c r="C49" s="135" t="n">
        <x:v>0</x:v>
      </x:c>
      <x:c r="D49" s="135" t="n">
        <x:v>0</x:v>
      </x:c>
      <x:c r="E49" s="135" t="n">
        <x:v>3715379541.24</x:v>
      </x:c>
      <x:c r="F49" s="135" t="n">
        <x:f>SUM(B49:E49)</x:f>
        <x:v>3715379541.24</x:v>
      </x:c>
      <x:c r="G49" s="111" t="str">
        <x:v>Independente</x:v>
      </x:c>
      <x:c r="H49" s="144" t="str">
        <x:v>Independente</x:v>
      </x:c>
      <x:c r="I49" s="111" t="str">
        <x:v>Regra residual — revisar manualmente</x:v>
      </x:c>
      <x:c r="J49" s="153" t="str">
        <x:v>Sim — alta</x:v>
      </x:c>
      <x:c r="K49" s="135" t="n">
        <x:f>IF($H49="Independente",$F49,0)</x:f>
        <x:v>3715379541.24</x:v>
      </x:c>
      <x:c r="L49" s="135" t="n">
        <x:f>IF($H49="Ligada a banco",$F49,0)</x:f>
        <x:v>0</x:v>
      </x:c>
      <x:c r="M49" s="114" t="n">
        <x:f>IF(K49&gt;0,RANK(K49,$K$6:$K$462)+COUNTIF($K$6:K49,K49)-1,9999)</x:f>
        <x:v>36</x:v>
      </x:c>
      <x:c r="N49" s="114" t="n">
        <x:f>IF(L49&gt;0,RANK(L49,$L$6:$L$462)+COUNTIF($L$6:L49,L49)-1,9999)</x:f>
        <x:v>9999</x:v>
      </x:c>
    </x:row>
    <x:row r="50">
      <x:c r="A50" s="111" t="str">
        <x:v>NOVA OCCAM BRASIL GESTÃO DE RECURSOS LTDA.</x:v>
      </x:c>
      <x:c r="B50" s="135" t="n">
        <x:v>0</x:v>
      </x:c>
      <x:c r="C50" s="135" t="n">
        <x:v>0</x:v>
      </x:c>
      <x:c r="D50" s="135" t="n">
        <x:v>76315993.38000001</x:v>
      </x:c>
      <x:c r="E50" s="135" t="n">
        <x:v>3468845910.43</x:v>
      </x:c>
      <x:c r="F50" s="135" t="n">
        <x:f>SUM(B50:E50)</x:f>
        <x:v>3545161903.81</x:v>
      </x:c>
      <x:c r="G50" s="111" t="str">
        <x:v>Independente</x:v>
      </x:c>
      <x:c r="H50" s="144" t="str">
        <x:v>Independente</x:v>
      </x:c>
      <x:c r="I50" s="111" t="str">
        <x:v>Regra residual — revisar manualmente</x:v>
      </x:c>
      <x:c r="J50" s="153" t="str">
        <x:v>Sim — alta</x:v>
      </x:c>
      <x:c r="K50" s="135" t="n">
        <x:f>IF($H50="Independente",$F50,0)</x:f>
        <x:v>3545161903.81</x:v>
      </x:c>
      <x:c r="L50" s="135" t="n">
        <x:f>IF($H50="Ligada a banco",$F50,0)</x:f>
        <x:v>0</x:v>
      </x:c>
      <x:c r="M50" s="114" t="n">
        <x:f>IF(K50&gt;0,RANK(K50,$K$6:$K$462)+COUNTIF($K$6:K50,K50)-1,9999)</x:f>
        <x:v>37</x:v>
      </x:c>
      <x:c r="N50" s="114" t="n">
        <x:f>IF(L50&gt;0,RANK(L50,$L$6:$L$462)+COUNTIF($L$6:L50,L50)-1,9999)</x:f>
        <x:v>9999</x:v>
      </x:c>
    </x:row>
    <x:row r="51">
      <x:c r="A51" s="111" t="str">
        <x:v>CARMEL GESTORA DE ATIVOS LTDA</x:v>
      </x:c>
      <x:c r="B51" s="135" t="n">
        <x:v>1839611967.47</x:v>
      </x:c>
      <x:c r="C51" s="135" t="n">
        <x:v>490346952.33</x:v>
      </x:c>
      <x:c r="D51" s="135" t="n">
        <x:v>1020153158.1199998</x:v>
      </x:c>
      <x:c r="E51" s="135" t="n">
        <x:v>161710520.22999993</x:v>
      </x:c>
      <x:c r="F51" s="135" t="n">
        <x:f>SUM(B51:E51)</x:f>
        <x:v>3511822598.15</x:v>
      </x:c>
      <x:c r="G51" s="111" t="str">
        <x:v>Independente</x:v>
      </x:c>
      <x:c r="H51" s="144" t="str">
        <x:v>Independente</x:v>
      </x:c>
      <x:c r="I51" s="111" t="str">
        <x:v>Regra residual — revisar manualmente</x:v>
      </x:c>
      <x:c r="J51" s="153" t="str">
        <x:v>Sim — alta</x:v>
      </x:c>
      <x:c r="K51" s="135" t="n">
        <x:f>IF($H51="Independente",$F51,0)</x:f>
        <x:v>3511822598.15</x:v>
      </x:c>
      <x:c r="L51" s="135" t="n">
        <x:f>IF($H51="Ligada a banco",$F51,0)</x:f>
        <x:v>0</x:v>
      </x:c>
      <x:c r="M51" s="114" t="n">
        <x:f>IF(K51&gt;0,RANK(K51,$K$6:$K$462)+COUNTIF($K$6:K51,K51)-1,9999)</x:f>
        <x:v>38</x:v>
      </x:c>
      <x:c r="N51" s="114" t="n">
        <x:f>IF(L51&gt;0,RANK(L51,$L$6:$L$462)+COUNTIF($L$6:L51,L51)-1,9999)</x:f>
        <x:v>9999</x:v>
      </x:c>
    </x:row>
    <x:row r="52">
      <x:c r="A52" s="111" t="str">
        <x:v>SMART AGRO INVESTIMENTOS LTDA.</x:v>
      </x:c>
      <x:c r="B52" s="135" t="n">
        <x:v>0</x:v>
      </x:c>
      <x:c r="C52" s="135" t="n">
        <x:v>0</x:v>
      </x:c>
      <x:c r="D52" s="135" t="n">
        <x:v>2682107740.74</x:v>
      </x:c>
      <x:c r="E52" s="135" t="n">
        <x:v>818929450.57</x:v>
      </x:c>
      <x:c r="F52" s="135" t="n">
        <x:f>SUM(B52:E52)</x:f>
        <x:v>3501037191.31</x:v>
      </x:c>
      <x:c r="G52" s="111" t="str">
        <x:v>Independente</x:v>
      </x:c>
      <x:c r="H52" s="144" t="str">
        <x:v>Independente</x:v>
      </x:c>
      <x:c r="I52" s="111" t="str">
        <x:v>Regra residual — revisar manualmente</x:v>
      </x:c>
      <x:c r="J52" s="153" t="str">
        <x:v>Sim — alta</x:v>
      </x:c>
      <x:c r="K52" s="135" t="n">
        <x:f>IF($H52="Independente",$F52,0)</x:f>
        <x:v>3501037191.31</x:v>
      </x:c>
      <x:c r="L52" s="135" t="n">
        <x:f>IF($H52="Ligada a banco",$F52,0)</x:f>
        <x:v>0</x:v>
      </x:c>
      <x:c r="M52" s="114" t="n">
        <x:f>IF(K52&gt;0,RANK(K52,$K$6:$K$462)+COUNTIF($K$6:K52,K52)-1,9999)</x:f>
        <x:v>39</x:v>
      </x:c>
      <x:c r="N52" s="114" t="n">
        <x:f>IF(L52&gt;0,RANK(L52,$L$6:$L$462)+COUNTIF($L$6:L52,L52)-1,9999)</x:f>
        <x:v>9999</x:v>
      </x:c>
    </x:row>
    <x:row r="53">
      <x:c r="A53" s="111" t="str">
        <x:v>Intrabank Asset</x:v>
      </x:c>
      <x:c r="B53" s="135" t="n">
        <x:v>1834355869.84</x:v>
      </x:c>
      <x:c r="C53" s="135" t="n">
        <x:v>361514282.98</x:v>
      </x:c>
      <x:c r="D53" s="135" t="n">
        <x:v>0</x:v>
      </x:c>
      <x:c r="E53" s="135" t="n">
        <x:v>1209467986.3900003</x:v>
      </x:c>
      <x:c r="F53" s="135" t="n">
        <x:f>SUM(B53:E53)</x:f>
        <x:v>3405338139.21</x:v>
      </x:c>
      <x:c r="G53" s="111" t="str">
        <x:v>Independente</x:v>
      </x:c>
      <x:c r="H53" s="144" t="str">
        <x:v>Independente</x:v>
      </x:c>
      <x:c r="I53" s="111" t="str">
        <x:v>Regra residual — revisar manualmente</x:v>
      </x:c>
      <x:c r="J53" s="153" t="str">
        <x:v>Sim — alta</x:v>
      </x:c>
      <x:c r="K53" s="135" t="n">
        <x:f>IF($H53="Independente",$F53,0)</x:f>
        <x:v>3405338139.21</x:v>
      </x:c>
      <x:c r="L53" s="135" t="n">
        <x:f>IF($H53="Ligada a banco",$F53,0)</x:f>
        <x:v>0</x:v>
      </x:c>
      <x:c r="M53" s="114" t="n">
        <x:f>IF(K53&gt;0,RANK(K53,$K$6:$K$462)+COUNTIF($K$6:K53,K53)-1,9999)</x:f>
        <x:v>40</x:v>
      </x:c>
      <x:c r="N53" s="114" t="n">
        <x:f>IF(L53&gt;0,RANK(L53,$L$6:$L$462)+COUNTIF($L$6:L53,L53)-1,9999)</x:f>
        <x:v>9999</x:v>
      </x:c>
    </x:row>
    <x:row r="54">
      <x:c r="A54" s="111" t="str">
        <x:v>ARTESANAL FINANCEIRO</x:v>
      </x:c>
      <x:c r="B54" s="135" t="n">
        <x:v>319184931.33</x:v>
      </x:c>
      <x:c r="C54" s="135" t="n">
        <x:v>1690486442.23</x:v>
      </x:c>
      <x:c r="D54" s="135" t="n">
        <x:v>0</x:v>
      </x:c>
      <x:c r="E54" s="135" t="n">
        <x:v>1393963282.2900004</x:v>
      </x:c>
      <x:c r="F54" s="135" t="n">
        <x:f>SUM(B54:E54)</x:f>
        <x:v>3403634655.8500004</x:v>
      </x:c>
      <x:c r="G54" s="111" t="str">
        <x:v>Independente</x:v>
      </x:c>
      <x:c r="H54" s="144" t="str">
        <x:v>Independente</x:v>
      </x:c>
      <x:c r="I54" s="111" t="str">
        <x:v>Regra residual — revisar manualmente</x:v>
      </x:c>
      <x:c r="J54" s="153" t="str">
        <x:v>Sim — alta</x:v>
      </x:c>
      <x:c r="K54" s="135" t="n">
        <x:f>IF($H54="Independente",$F54,0)</x:f>
        <x:v>3403634655.8500004</x:v>
      </x:c>
      <x:c r="L54" s="135" t="n">
        <x:f>IF($H54="Ligada a banco",$F54,0)</x:f>
        <x:v>0</x:v>
      </x:c>
      <x:c r="M54" s="114" t="n">
        <x:f>IF(K54&gt;0,RANK(K54,$K$6:$K$462)+COUNTIF($K$6:K54,K54)-1,9999)</x:f>
        <x:v>41</x:v>
      </x:c>
      <x:c r="N54" s="114" t="n">
        <x:f>IF(L54&gt;0,RANK(L54,$L$6:$L$462)+COUNTIF($L$6:L54,L54)-1,9999)</x:f>
        <x:v>9999</x:v>
      </x:c>
    </x:row>
    <x:row r="55">
      <x:c r="A55" s="111" t="str">
        <x:v>ASA Investments</x:v>
      </x:c>
      <x:c r="B55" s="135" t="n">
        <x:v>0</x:v>
      </x:c>
      <x:c r="C55" s="135" t="n">
        <x:v>0</x:v>
      </x:c>
      <x:c r="D55" s="135" t="n">
        <x:v>0</x:v>
      </x:c>
      <x:c r="E55" s="135" t="n">
        <x:v>3358023639.57413</x:v>
      </x:c>
      <x:c r="F55" s="135" t="n">
        <x:f>SUM(B55:E55)</x:f>
        <x:v>3358023639.57413</x:v>
      </x:c>
      <x:c r="G55" s="111" t="str">
        <x:v>Independente</x:v>
      </x:c>
      <x:c r="H55" s="144" t="str">
        <x:v>Independente</x:v>
      </x:c>
      <x:c r="I55" s="111" t="str">
        <x:v>Regra residual — revisar manualmente</x:v>
      </x:c>
      <x:c r="J55" s="153" t="str">
        <x:v>Sim — alta</x:v>
      </x:c>
      <x:c r="K55" s="135" t="n">
        <x:f>IF($H55="Independente",$F55,0)</x:f>
        <x:v>3358023639.57413</x:v>
      </x:c>
      <x:c r="L55" s="135" t="n">
        <x:f>IF($H55="Ligada a banco",$F55,0)</x:f>
        <x:v>0</x:v>
      </x:c>
      <x:c r="M55" s="114" t="n">
        <x:f>IF(K55&gt;0,RANK(K55,$K$6:$K$462)+COUNTIF($K$6:K55,K55)-1,9999)</x:f>
        <x:v>42</x:v>
      </x:c>
      <x:c r="N55" s="114" t="n">
        <x:f>IF(L55&gt;0,RANK(L55,$L$6:$L$462)+COUNTIF($L$6:L55,L55)-1,9999)</x:f>
        <x:v>9999</x:v>
      </x:c>
    </x:row>
    <x:row r="56">
      <x:c r="A56" s="111" t="str">
        <x:v>G5 Adm. de Recursos</x:v>
      </x:c>
      <x:c r="B56" s="135" t="n">
        <x:v>309750290.9099999</x:v>
      </x:c>
      <x:c r="C56" s="135" t="n">
        <x:v>0</x:v>
      </x:c>
      <x:c r="D56" s="135" t="n">
        <x:v>267568631.77</x:v>
      </x:c>
      <x:c r="E56" s="135" t="n">
        <x:v>2774809244.41</x:v>
      </x:c>
      <x:c r="F56" s="135" t="n">
        <x:f>SUM(B56:E56)</x:f>
        <x:v>3352128167.0899997</x:v>
      </x:c>
      <x:c r="G56" s="111" t="str">
        <x:v>Independente</x:v>
      </x:c>
      <x:c r="H56" s="144" t="str">
        <x:v>Independente</x:v>
      </x:c>
      <x:c r="I56" s="111" t="str">
        <x:v>Regra residual — revisar manualmente</x:v>
      </x:c>
      <x:c r="J56" s="153" t="str">
        <x:v>Sim — alta</x:v>
      </x:c>
      <x:c r="K56" s="135" t="n">
        <x:f>IF($H56="Independente",$F56,0)</x:f>
        <x:v>3352128167.0899997</x:v>
      </x:c>
      <x:c r="L56" s="135" t="n">
        <x:f>IF($H56="Ligada a banco",$F56,0)</x:f>
        <x:v>0</x:v>
      </x:c>
      <x:c r="M56" s="114" t="n">
        <x:f>IF(K56&gt;0,RANK(K56,$K$6:$K$462)+COUNTIF($K$6:K56,K56)-1,9999)</x:f>
        <x:v>43</x:v>
      </x:c>
      <x:c r="N56" s="114" t="n">
        <x:f>IF(L56&gt;0,RANK(L56,$L$6:$L$462)+COUNTIF($L$6:L56,L56)-1,9999)</x:f>
        <x:v>9999</x:v>
      </x:c>
    </x:row>
    <x:row r="57">
      <x:c r="A57" s="111" t="str">
        <x:v>Multiplike Gestão de Recursos Ltda</x:v>
      </x:c>
      <x:c r="B57" s="135" t="n">
        <x:v>0</x:v>
      </x:c>
      <x:c r="C57" s="135" t="n">
        <x:v>0</x:v>
      </x:c>
      <x:c r="D57" s="135" t="n">
        <x:v>3301105102.8700004</x:v>
      </x:c>
      <x:c r="E57" s="135" t="n">
        <x:v>0</x:v>
      </x:c>
      <x:c r="F57" s="135" t="n">
        <x:f>SUM(B57:E57)</x:f>
        <x:v>3301105102.8700004</x:v>
      </x:c>
      <x:c r="G57" s="111" t="str">
        <x:v>Independente</x:v>
      </x:c>
      <x:c r="H57" s="144" t="str">
        <x:v>Independente</x:v>
      </x:c>
      <x:c r="I57" s="111" t="str">
        <x:v>Regra residual — revisar manualmente</x:v>
      </x:c>
      <x:c r="J57" s="153" t="str">
        <x:v>Sim — alta</x:v>
      </x:c>
      <x:c r="K57" s="135" t="n">
        <x:f>IF($H57="Independente",$F57,0)</x:f>
        <x:v>3301105102.8700004</x:v>
      </x:c>
      <x:c r="L57" s="135" t="n">
        <x:f>IF($H57="Ligada a banco",$F57,0)</x:f>
        <x:v>0</x:v>
      </x:c>
      <x:c r="M57" s="114" t="n">
        <x:f>IF(K57&gt;0,RANK(K57,$K$6:$K$462)+COUNTIF($K$6:K57,K57)-1,9999)</x:f>
        <x:v>44</x:v>
      </x:c>
      <x:c r="N57" s="114" t="n">
        <x:f>IF(L57&gt;0,RANK(L57,$L$6:$L$462)+COUNTIF($L$6:L57,L57)-1,9999)</x:f>
        <x:v>9999</x:v>
      </x:c>
    </x:row>
    <x:row r="58">
      <x:c r="A58" s="111" t="str">
        <x:v>GESTORA DE RECURSOS ID - GRID LTDA.</x:v>
      </x:c>
      <x:c r="B58" s="135" t="n">
        <x:v>0</x:v>
      </x:c>
      <x:c r="C58" s="135" t="n">
        <x:v>207298948.8</x:v>
      </x:c>
      <x:c r="D58" s="135" t="n">
        <x:v>8678452.73</x:v>
      </x:c>
      <x:c r="E58" s="135" t="n">
        <x:v>3067814495.1799994</x:v>
      </x:c>
      <x:c r="F58" s="135" t="n">
        <x:f>SUM(B58:E58)</x:f>
        <x:v>3283791896.7099996</x:v>
      </x:c>
      <x:c r="G58" s="111" t="str">
        <x:v>Independente</x:v>
      </x:c>
      <x:c r="H58" s="144" t="str">
        <x:v>Independente</x:v>
      </x:c>
      <x:c r="I58" s="111" t="str">
        <x:v>Regra residual — revisar manualmente</x:v>
      </x:c>
      <x:c r="J58" s="153" t="str">
        <x:v>Sim — alta</x:v>
      </x:c>
      <x:c r="K58" s="135" t="n">
        <x:f>IF($H58="Independente",$F58,0)</x:f>
        <x:v>3283791896.7099996</x:v>
      </x:c>
      <x:c r="L58" s="135" t="n">
        <x:f>IF($H58="Ligada a banco",$F58,0)</x:f>
        <x:v>0</x:v>
      </x:c>
      <x:c r="M58" s="114" t="n">
        <x:f>IF(K58&gt;0,RANK(K58,$K$6:$K$462)+COUNTIF($K$6:K58,K58)-1,9999)</x:f>
        <x:v>45</x:v>
      </x:c>
      <x:c r="N58" s="114" t="n">
        <x:f>IF(L58&gt;0,RANK(L58,$L$6:$L$462)+COUNTIF($L$6:L58,L58)-1,9999)</x:f>
        <x:v>9999</x:v>
      </x:c>
    </x:row>
    <x:row r="59">
      <x:c r="A59" s="111" t="str">
        <x:v>H2 CAPITAL</x:v>
      </x:c>
      <x:c r="B59" s="135" t="n">
        <x:v>2362345959.63</x:v>
      </x:c>
      <x:c r="C59" s="135" t="n">
        <x:v>576064716.2499999</x:v>
      </x:c>
      <x:c r="D59" s="135" t="n">
        <x:v>0</x:v>
      </x:c>
      <x:c r="E59" s="135" t="n">
        <x:v>250499098.37503996</x:v>
      </x:c>
      <x:c r="F59" s="135" t="n">
        <x:f>SUM(B59:E59)</x:f>
        <x:v>3188909774.25504</x:v>
      </x:c>
      <x:c r="G59" s="111" t="str">
        <x:v>Independente</x:v>
      </x:c>
      <x:c r="H59" s="144" t="str">
        <x:v>Independente</x:v>
      </x:c>
      <x:c r="I59" s="111" t="str">
        <x:v>Regra residual — revisar manualmente</x:v>
      </x:c>
      <x:c r="J59" s="153" t="str">
        <x:v>Sim — alta</x:v>
      </x:c>
      <x:c r="K59" s="135" t="n">
        <x:f>IF($H59="Independente",$F59,0)</x:f>
        <x:v>3188909774.25504</x:v>
      </x:c>
      <x:c r="L59" s="135" t="n">
        <x:f>IF($H59="Ligada a banco",$F59,0)</x:f>
        <x:v>0</x:v>
      </x:c>
      <x:c r="M59" s="114" t="n">
        <x:f>IF(K59&gt;0,RANK(K59,$K$6:$K$462)+COUNTIF($K$6:K59,K59)-1,9999)</x:f>
        <x:v>46</x:v>
      </x:c>
      <x:c r="N59" s="114" t="n">
        <x:f>IF(L59&gt;0,RANK(L59,$L$6:$L$462)+COUNTIF($L$6:L59,L59)-1,9999)</x:f>
        <x:v>9999</x:v>
      </x:c>
    </x:row>
    <x:row r="60">
      <x:c r="A60" s="111" t="str">
        <x:v>NEBRASKA CAPITAL</x:v>
      </x:c>
      <x:c r="B60" s="135" t="n">
        <x:v>0</x:v>
      </x:c>
      <x:c r="C60" s="135" t="n">
        <x:v>0</x:v>
      </x:c>
      <x:c r="D60" s="135" t="n">
        <x:v>0</x:v>
      </x:c>
      <x:c r="E60" s="135" t="n">
        <x:v>3165139500.63</x:v>
      </x:c>
      <x:c r="F60" s="135" t="n">
        <x:f>SUM(B60:E60)</x:f>
        <x:v>3165139500.63</x:v>
      </x:c>
      <x:c r="G60" s="111" t="str">
        <x:v>Independente</x:v>
      </x:c>
      <x:c r="H60" s="144" t="str">
        <x:v>Independente</x:v>
      </x:c>
      <x:c r="I60" s="111" t="str">
        <x:v>Regra residual — revisar manualmente</x:v>
      </x:c>
      <x:c r="J60" s="153" t="str">
        <x:v>Sim — alta</x:v>
      </x:c>
      <x:c r="K60" s="135" t="n">
        <x:f>IF($H60="Independente",$F60,0)</x:f>
        <x:v>3165139500.63</x:v>
      </x:c>
      <x:c r="L60" s="135" t="n">
        <x:f>IF($H60="Ligada a banco",$F60,0)</x:f>
        <x:v>0</x:v>
      </x:c>
      <x:c r="M60" s="114" t="n">
        <x:f>IF(K60&gt;0,RANK(K60,$K$6:$K$462)+COUNTIF($K$6:K60,K60)-1,9999)</x:f>
        <x:v>47</x:v>
      </x:c>
      <x:c r="N60" s="114" t="n">
        <x:f>IF(L60&gt;0,RANK(L60,$L$6:$L$462)+COUNTIF($L$6:L60,L60)-1,9999)</x:f>
        <x:v>9999</x:v>
      </x:c>
    </x:row>
    <x:row r="61">
      <x:c r="A61" s="111" t="str">
        <x:v>Cultinvest Asset</x:v>
      </x:c>
      <x:c r="B61" s="135" t="n">
        <x:v>2795128481.2099905</x:v>
      </x:c>
      <x:c r="C61" s="135" t="n">
        <x:v>329038183.36</x:v>
      </x:c>
      <x:c r="D61" s="135" t="n">
        <x:v>0</x:v>
      </x:c>
      <x:c r="E61" s="135" t="n">
        <x:v>0</x:v>
      </x:c>
      <x:c r="F61" s="135" t="n">
        <x:f>SUM(B61:E61)</x:f>
        <x:v>3124166664.5699906</x:v>
      </x:c>
      <x:c r="G61" s="111" t="str">
        <x:v>Independente</x:v>
      </x:c>
      <x:c r="H61" s="144" t="str">
        <x:v>Independente</x:v>
      </x:c>
      <x:c r="I61" s="111" t="str">
        <x:v>Regra residual — revisar manualmente</x:v>
      </x:c>
      <x:c r="J61" s="153" t="str">
        <x:v>Sim — alta</x:v>
      </x:c>
      <x:c r="K61" s="135" t="n">
        <x:f>IF($H61="Independente",$F61,0)</x:f>
        <x:v>3124166664.5699906</x:v>
      </x:c>
      <x:c r="L61" s="135" t="n">
        <x:f>IF($H61="Ligada a banco",$F61,0)</x:f>
        <x:v>0</x:v>
      </x:c>
      <x:c r="M61" s="114" t="n">
        <x:f>IF(K61&gt;0,RANK(K61,$K$6:$K$462)+COUNTIF($K$6:K61,K61)-1,9999)</x:f>
        <x:v>48</x:v>
      </x:c>
      <x:c r="N61" s="114" t="n">
        <x:f>IF(L61&gt;0,RANK(L61,$L$6:$L$462)+COUNTIF($L$6:L61,L61)-1,9999)</x:f>
        <x:v>9999</x:v>
      </x:c>
    </x:row>
    <x:row r="62">
      <x:c r="A62" s="111" t="str">
        <x:v>Bank of America</x:v>
      </x:c>
      <x:c r="B62" s="135" t="n">
        <x:v>0</x:v>
      </x:c>
      <x:c r="C62" s="135" t="n">
        <x:v>0</x:v>
      </x:c>
      <x:c r="D62" s="135" t="n">
        <x:v>0</x:v>
      </x:c>
      <x:c r="E62" s="135" t="n">
        <x:v>3089535414.12</x:v>
      </x:c>
      <x:c r="F62" s="135" t="n">
        <x:f>SUM(B62:E62)</x:f>
        <x:v>3089535414.12</x:v>
      </x:c>
      <x:c r="G62" s="111" t="str">
        <x:v>Ligada a banco</x:v>
      </x:c>
      <x:c r="H62" s="144" t="str">
        <x:v>Ligada a banco</x:v>
      </x:c>
      <x:c r="I62" s="111" t="str">
        <x:v>Regra nominal: BANK OF AMERICA</x:v>
      </x:c>
      <x:c r="J62" s="153" t="str">
        <x:v>Confirmar</x:v>
      </x:c>
      <x:c r="K62" s="135" t="n">
        <x:f>IF($H62="Independente",$F62,0)</x:f>
        <x:v>0</x:v>
      </x:c>
      <x:c r="L62" s="135" t="n">
        <x:f>IF($H62="Ligada a banco",$F62,0)</x:f>
        <x:v>3089535414.12</x:v>
      </x:c>
      <x:c r="M62" s="114" t="n">
        <x:f>IF(K62&gt;0,RANK(K62,$K$6:$K$462)+COUNTIF($K$6:K62,K62)-1,9999)</x:f>
        <x:v>9999</x:v>
      </x:c>
      <x:c r="N62" s="114" t="n">
        <x:f>IF(L62&gt;0,RANK(L62,$L$6:$L$462)+COUNTIF($L$6:L62,L62)-1,9999)</x:f>
        <x:v>9</x:v>
      </x:c>
    </x:row>
    <x:row r="63">
      <x:c r="A63" s="111" t="str">
        <x:v>NORTH SEA CAPITAL</x:v>
      </x:c>
      <x:c r="B63" s="135" t="n">
        <x:v>0</x:v>
      </x:c>
      <x:c r="C63" s="135" t="n">
        <x:v>187714100.88000005</x:v>
      </x:c>
      <x:c r="D63" s="135" t="n">
        <x:v>0</x:v>
      </x:c>
      <x:c r="E63" s="135" t="n">
        <x:v>2780136746.7900004</x:v>
      </x:c>
      <x:c r="F63" s="135" t="n">
        <x:f>SUM(B63:E63)</x:f>
        <x:v>2967850847.6700006</x:v>
      </x:c>
      <x:c r="G63" s="111" t="str">
        <x:v>Independente</x:v>
      </x:c>
      <x:c r="H63" s="144" t="str">
        <x:v>Independente</x:v>
      </x:c>
      <x:c r="I63" s="111" t="str">
        <x:v>Regra residual — revisar manualmente</x:v>
      </x:c>
      <x:c r="J63" s="153" t="str">
        <x:v>Sim — alta</x:v>
      </x:c>
      <x:c r="K63" s="135" t="n">
        <x:f>IF($H63="Independente",$F63,0)</x:f>
        <x:v>2967850847.6700006</x:v>
      </x:c>
      <x:c r="L63" s="135" t="n">
        <x:f>IF($H63="Ligada a banco",$F63,0)</x:f>
        <x:v>0</x:v>
      </x:c>
      <x:c r="M63" s="114" t="n">
        <x:f>IF(K63&gt;0,RANK(K63,$K$6:$K$462)+COUNTIF($K$6:K63,K63)-1,9999)</x:f>
        <x:v>49</x:v>
      </x:c>
      <x:c r="N63" s="114" t="n">
        <x:f>IF(L63&gt;0,RANK(L63,$L$6:$L$462)+COUNTIF($L$6:L63,L63)-1,9999)</x:f>
        <x:v>9999</x:v>
      </x:c>
    </x:row>
    <x:row r="64">
      <x:c r="A64" s="111" t="str">
        <x:v>Guardian Crédito</x:v>
      </x:c>
      <x:c r="B64" s="135" t="n">
        <x:v>0</x:v>
      </x:c>
      <x:c r="C64" s="135" t="n">
        <x:v>2963770595.7300005</x:v>
      </x:c>
      <x:c r="D64" s="135" t="n">
        <x:v>0</x:v>
      </x:c>
      <x:c r="E64" s="135" t="n">
        <x:v>0</x:v>
      </x:c>
      <x:c r="F64" s="135" t="n">
        <x:f>SUM(B64:E64)</x:f>
        <x:v>2963770595.7300005</x:v>
      </x:c>
      <x:c r="G64" s="111" t="str">
        <x:v>Independente</x:v>
      </x:c>
      <x:c r="H64" s="144" t="str">
        <x:v>Independente</x:v>
      </x:c>
      <x:c r="I64" s="111" t="str">
        <x:v>Regra residual — revisar manualmente</x:v>
      </x:c>
      <x:c r="J64" s="153" t="str">
        <x:v>Sim — alta</x:v>
      </x:c>
      <x:c r="K64" s="135" t="n">
        <x:f>IF($H64="Independente",$F64,0)</x:f>
        <x:v>2963770595.7300005</x:v>
      </x:c>
      <x:c r="L64" s="135" t="n">
        <x:f>IF($H64="Ligada a banco",$F64,0)</x:f>
        <x:v>0</x:v>
      </x:c>
      <x:c r="M64" s="114" t="n">
        <x:f>IF(K64&gt;0,RANK(K64,$K$6:$K$462)+COUNTIF($K$6:K64,K64)-1,9999)</x:f>
        <x:v>50</x:v>
      </x:c>
      <x:c r="N64" s="114" t="n">
        <x:f>IF(L64&gt;0,RANK(L64,$L$6:$L$462)+COUNTIF($L$6:L64,L64)-1,9999)</x:f>
        <x:v>9999</x:v>
      </x:c>
    </x:row>
    <x:row r="65">
      <x:c r="A65" s="111" t="str">
        <x:v>JGP Gestão de Crédito LTDA.</x:v>
      </x:c>
      <x:c r="B65" s="135" t="n">
        <x:v>1363039639.5900002</x:v>
      </x:c>
      <x:c r="C65" s="135" t="n">
        <x:v>840972300.62</x:v>
      </x:c>
      <x:c r="D65" s="135" t="n">
        <x:v>0</x:v>
      </x:c>
      <x:c r="E65" s="135" t="n">
        <x:v>662559888.26</x:v>
      </x:c>
      <x:c r="F65" s="135" t="n">
        <x:f>SUM(B65:E65)</x:f>
        <x:v>2866571828.4700003</x:v>
      </x:c>
      <x:c r="G65" s="111" t="str">
        <x:v>Independente</x:v>
      </x:c>
      <x:c r="H65" s="144" t="str">
        <x:v>Independente</x:v>
      </x:c>
      <x:c r="I65" s="111" t="str">
        <x:v>Regra residual — revisar manualmente</x:v>
      </x:c>
      <x:c r="J65" s="153" t="str">
        <x:v>Sim — alta</x:v>
      </x:c>
      <x:c r="K65" s="135" t="n">
        <x:f>IF($H65="Independente",$F65,0)</x:f>
        <x:v>2866571828.4700003</x:v>
      </x:c>
      <x:c r="L65" s="135" t="n">
        <x:f>IF($H65="Ligada a banco",$F65,0)</x:f>
        <x:v>0</x:v>
      </x:c>
      <x:c r="M65" s="114" t="n">
        <x:f>IF(K65&gt;0,RANK(K65,$K$6:$K$462)+COUNTIF($K$6:K65,K65)-1,9999)</x:f>
        <x:v>51</x:v>
      </x:c>
      <x:c r="N65" s="114" t="n">
        <x:f>IF(L65&gt;0,RANK(L65,$L$6:$L$462)+COUNTIF($L$6:L65,L65)-1,9999)</x:f>
        <x:v>9999</x:v>
      </x:c>
    </x:row>
    <x:row r="66">
      <x:c r="A66" s="111" t="str">
        <x:v>Phronesis Invest.</x:v>
      </x:c>
      <x:c r="B66" s="135" t="n">
        <x:v>0</x:v>
      </x:c>
      <x:c r="C66" s="135" t="n">
        <x:v>2450727770.21</x:v>
      </x:c>
      <x:c r="D66" s="135" t="n">
        <x:v>0</x:v>
      </x:c>
      <x:c r="E66" s="135" t="n">
        <x:v>367591564.88</x:v>
      </x:c>
      <x:c r="F66" s="135" t="n">
        <x:f>SUM(B66:E66)</x:f>
        <x:v>2818319335.09</x:v>
      </x:c>
      <x:c r="G66" s="111" t="str">
        <x:v>Independente</x:v>
      </x:c>
      <x:c r="H66" s="144" t="str">
        <x:v>Independente</x:v>
      </x:c>
      <x:c r="I66" s="111" t="str">
        <x:v>Regra residual — revisar manualmente</x:v>
      </x:c>
      <x:c r="J66" s="153" t="str">
        <x:v>Sim — alta</x:v>
      </x:c>
      <x:c r="K66" s="135" t="n">
        <x:f>IF($H66="Independente",$F66,0)</x:f>
        <x:v>2818319335.09</x:v>
      </x:c>
      <x:c r="L66" s="135" t="n">
        <x:f>IF($H66="Ligada a banco",$F66,0)</x:f>
        <x:v>0</x:v>
      </x:c>
      <x:c r="M66" s="114" t="n">
        <x:f>IF(K66&gt;0,RANK(K66,$K$6:$K$462)+COUNTIF($K$6:K66,K66)-1,9999)</x:f>
        <x:v>52</x:v>
      </x:c>
      <x:c r="N66" s="114" t="n">
        <x:f>IF(L66&gt;0,RANK(L66,$L$6:$L$462)+COUNTIF($L$6:L66,L66)-1,9999)</x:f>
        <x:v>9999</x:v>
      </x:c>
    </x:row>
    <x:row r="67">
      <x:c r="A67" s="111" t="str">
        <x:v>Galápagos</x:v>
      </x:c>
      <x:c r="B67" s="135" t="n">
        <x:v>9623181.42</x:v>
      </x:c>
      <x:c r="C67" s="135" t="n">
        <x:v>98525719.58</x:v>
      </x:c>
      <x:c r="D67" s="135" t="n">
        <x:v>139079605.57999998</x:v>
      </x:c>
      <x:c r="E67" s="135" t="n">
        <x:v>2539668008.4174004</x:v>
      </x:c>
      <x:c r="F67" s="135" t="n">
        <x:f>SUM(B67:E67)</x:f>
        <x:v>2786896514.9974003</x:v>
      </x:c>
      <x:c r="G67" s="111" t="str">
        <x:v>Independente</x:v>
      </x:c>
      <x:c r="H67" s="144" t="str">
        <x:v>Independente</x:v>
      </x:c>
      <x:c r="I67" s="111" t="str">
        <x:v>Regra residual — revisar manualmente</x:v>
      </x:c>
      <x:c r="J67" s="153" t="str">
        <x:v>Sim — alta</x:v>
      </x:c>
      <x:c r="K67" s="135" t="n">
        <x:f>IF($H67="Independente",$F67,0)</x:f>
        <x:v>2786896514.9974003</x:v>
      </x:c>
      <x:c r="L67" s="135" t="n">
        <x:f>IF($H67="Ligada a banco",$F67,0)</x:f>
        <x:v>0</x:v>
      </x:c>
      <x:c r="M67" s="114" t="n">
        <x:f>IF(K67&gt;0,RANK(K67,$K$6:$K$462)+COUNTIF($K$6:K67,K67)-1,9999)</x:f>
        <x:v>53</x:v>
      </x:c>
      <x:c r="N67" s="114" t="n">
        <x:f>IF(L67&gt;0,RANK(L67,$L$6:$L$462)+COUNTIF($L$6:L67,L67)-1,9999)</x:f>
        <x:v>9999</x:v>
      </x:c>
    </x:row>
    <x:row r="68">
      <x:c r="A68" s="111" t="str">
        <x:v>Blue Solutions</x:v>
      </x:c>
      <x:c r="B68" s="135" t="n">
        <x:v>0</x:v>
      </x:c>
      <x:c r="C68" s="135" t="n">
        <x:v>78403950.05999999</x:v>
      </x:c>
      <x:c r="D68" s="135" t="n">
        <x:v>0</x:v>
      </x:c>
      <x:c r="E68" s="135" t="n">
        <x:v>2707973470.68</x:v>
      </x:c>
      <x:c r="F68" s="135" t="n">
        <x:f>SUM(B68:E68)</x:f>
        <x:v>2786377420.74</x:v>
      </x:c>
      <x:c r="G68" s="111" t="str">
        <x:v>Independente</x:v>
      </x:c>
      <x:c r="H68" s="144" t="str">
        <x:v>Independente</x:v>
      </x:c>
      <x:c r="I68" s="111" t="str">
        <x:v>Regra residual — revisar manualmente</x:v>
      </x:c>
      <x:c r="J68" s="153" t="str">
        <x:v>Sim — alta</x:v>
      </x:c>
      <x:c r="K68" s="135" t="n">
        <x:f>IF($H68="Independente",$F68,0)</x:f>
        <x:v>2786377420.74</x:v>
      </x:c>
      <x:c r="L68" s="135" t="n">
        <x:f>IF($H68="Ligada a banco",$F68,0)</x:f>
        <x:v>0</x:v>
      </x:c>
      <x:c r="M68" s="114" t="n">
        <x:f>IF(K68&gt;0,RANK(K68,$K$6:$K$462)+COUNTIF($K$6:K68,K68)-1,9999)</x:f>
        <x:v>54</x:v>
      </x:c>
      <x:c r="N68" s="114" t="n">
        <x:f>IF(L68&gt;0,RANK(L68,$L$6:$L$462)+COUNTIF($L$6:L68,L68)-1,9999)</x:f>
        <x:v>9999</x:v>
      </x:c>
    </x:row>
    <x:row r="69">
      <x:c r="A69" s="111" t="str">
        <x:v>BRL Trust Investimentos LTDA.</x:v>
      </x:c>
      <x:c r="B69" s="135" t="n">
        <x:v>0</x:v>
      </x:c>
      <x:c r="C69" s="135" t="n">
        <x:v>2532101392.7200003</x:v>
      </x:c>
      <x:c r="D69" s="135" t="n">
        <x:v>0</x:v>
      </x:c>
      <x:c r="E69" s="135" t="n">
        <x:v>0</x:v>
      </x:c>
      <x:c r="F69" s="135" t="n">
        <x:f>SUM(B69:E69)</x:f>
        <x:v>2532101392.7200003</x:v>
      </x:c>
      <x:c r="G69" s="111" t="str">
        <x:v>Independente</x:v>
      </x:c>
      <x:c r="H69" s="144" t="str">
        <x:v>Independente</x:v>
      </x:c>
      <x:c r="I69" s="111" t="str">
        <x:v>Regra residual — revisar manualmente</x:v>
      </x:c>
      <x:c r="J69" s="153" t="str">
        <x:v>Sim — alta</x:v>
      </x:c>
      <x:c r="K69" s="135" t="n">
        <x:f>IF($H69="Independente",$F69,0)</x:f>
        <x:v>2532101392.7200003</x:v>
      </x:c>
      <x:c r="L69" s="135" t="n">
        <x:f>IF($H69="Ligada a banco",$F69,0)</x:f>
        <x:v>0</x:v>
      </x:c>
      <x:c r="M69" s="114" t="n">
        <x:f>IF(K69&gt;0,RANK(K69,$K$6:$K$462)+COUNTIF($K$6:K69,K69)-1,9999)</x:f>
        <x:v>55</x:v>
      </x:c>
      <x:c r="N69" s="114" t="n">
        <x:f>IF(L69&gt;0,RANK(L69,$L$6:$L$462)+COUNTIF($L$6:L69,L69)-1,9999)</x:f>
        <x:v>9999</x:v>
      </x:c>
    </x:row>
    <x:row r="70">
      <x:c r="A70" s="111" t="str">
        <x:v>Vinci SPS Gestão de Recursos Ltda.</x:v>
      </x:c>
      <x:c r="B70" s="135" t="n">
        <x:v>1591439328.57</x:v>
      </x:c>
      <x:c r="C70" s="135" t="n">
        <x:v>0</x:v>
      </x:c>
      <x:c r="D70" s="135" t="n">
        <x:v>0</x:v>
      </x:c>
      <x:c r="E70" s="135" t="n">
        <x:v>867552190.08</x:v>
      </x:c>
      <x:c r="F70" s="135" t="n">
        <x:f>SUM(B70:E70)</x:f>
        <x:v>2458991518.65</x:v>
      </x:c>
      <x:c r="G70" s="111" t="str">
        <x:v>Independente</x:v>
      </x:c>
      <x:c r="H70" s="144" t="str">
        <x:v>Independente</x:v>
      </x:c>
      <x:c r="I70" s="111" t="str">
        <x:v>Regra residual — revisar manualmente</x:v>
      </x:c>
      <x:c r="J70" s="153" t="str">
        <x:v>Sim — alta</x:v>
      </x:c>
      <x:c r="K70" s="135" t="n">
        <x:f>IF($H70="Independente",$F70,0)</x:f>
        <x:v>2458991518.65</x:v>
      </x:c>
      <x:c r="L70" s="135" t="n">
        <x:f>IF($H70="Ligada a banco",$F70,0)</x:f>
        <x:v>0</x:v>
      </x:c>
      <x:c r="M70" s="114" t="n">
        <x:f>IF(K70&gt;0,RANK(K70,$K$6:$K$462)+COUNTIF($K$6:K70,K70)-1,9999)</x:f>
        <x:v>56</x:v>
      </x:c>
      <x:c r="N70" s="114" t="n">
        <x:f>IF(L70&gt;0,RANK(L70,$L$6:$L$462)+COUNTIF($L$6:L70,L70)-1,9999)</x:f>
        <x:v>9999</x:v>
      </x:c>
    </x:row>
    <x:row r="71">
      <x:c r="A71" s="111" t="str">
        <x:v>Milênio Capital</x:v>
      </x:c>
      <x:c r="B71" s="135" t="n">
        <x:v>654393473.2200001</x:v>
      </x:c>
      <x:c r="C71" s="135" t="n">
        <x:v>914611360.86</x:v>
      </x:c>
      <x:c r="D71" s="135" t="n">
        <x:v>56727029.20999999</x:v>
      </x:c>
      <x:c r="E71" s="135" t="n">
        <x:v>764241630.5571</x:v>
      </x:c>
      <x:c r="F71" s="135" t="n">
        <x:f>SUM(B71:E71)</x:f>
        <x:v>2389973493.8471003</x:v>
      </x:c>
      <x:c r="G71" s="111" t="str">
        <x:v>Independente</x:v>
      </x:c>
      <x:c r="H71" s="144" t="str">
        <x:v>Independente</x:v>
      </x:c>
      <x:c r="I71" s="111" t="str">
        <x:v>Regra residual — revisar manualmente</x:v>
      </x:c>
      <x:c r="J71" s="153" t="str">
        <x:v>Sim — alta</x:v>
      </x:c>
      <x:c r="K71" s="135" t="n">
        <x:f>IF($H71="Independente",$F71,0)</x:f>
        <x:v>2389973493.8471003</x:v>
      </x:c>
      <x:c r="L71" s="135" t="n">
        <x:f>IF($H71="Ligada a banco",$F71,0)</x:f>
        <x:v>0</x:v>
      </x:c>
      <x:c r="M71" s="114" t="n">
        <x:f>IF(K71&gt;0,RANK(K71,$K$6:$K$462)+COUNTIF($K$6:K71,K71)-1,9999)</x:f>
        <x:v>57</x:v>
      </x:c>
      <x:c r="N71" s="114" t="n">
        <x:f>IF(L71&gt;0,RANK(L71,$L$6:$L$462)+COUNTIF($L$6:L71,L71)-1,9999)</x:f>
        <x:v>9999</x:v>
      </x:c>
    </x:row>
    <x:row r="72">
      <x:c r="A72" s="111" t="str">
        <x:v>ARTESANAL MCMS</x:v>
      </x:c>
      <x:c r="B72" s="135" t="n">
        <x:v>578156012.3500001</x:v>
      </x:c>
      <x:c r="C72" s="135" t="n">
        <x:v>0</x:v>
      </x:c>
      <x:c r="D72" s="135" t="n">
        <x:v>1804218039.17545</x:v>
      </x:c>
      <x:c r="E72" s="135" t="n">
        <x:v>0</x:v>
      </x:c>
      <x:c r="F72" s="135" t="n">
        <x:f>SUM(B72:E72)</x:f>
        <x:v>2382374051.52545</x:v>
      </x:c>
      <x:c r="G72" s="111" t="str">
        <x:v>Independente</x:v>
      </x:c>
      <x:c r="H72" s="144" t="str">
        <x:v>Independente</x:v>
      </x:c>
      <x:c r="I72" s="111" t="str">
        <x:v>Regra residual — revisar manualmente</x:v>
      </x:c>
      <x:c r="J72" s="153" t="str">
        <x:v>Sim — alta</x:v>
      </x:c>
      <x:c r="K72" s="135" t="n">
        <x:f>IF($H72="Independente",$F72,0)</x:f>
        <x:v>2382374051.52545</x:v>
      </x:c>
      <x:c r="L72" s="135" t="n">
        <x:f>IF($H72="Ligada a banco",$F72,0)</x:f>
        <x:v>0</x:v>
      </x:c>
      <x:c r="M72" s="114" t="n">
        <x:f>IF(K72&gt;0,RANK(K72,$K$6:$K$462)+COUNTIF($K$6:K72,K72)-1,9999)</x:f>
        <x:v>58</x:v>
      </x:c>
      <x:c r="N72" s="114" t="n">
        <x:f>IF(L72&gt;0,RANK(L72,$L$6:$L$462)+COUNTIF($L$6:L72,L72)-1,9999)</x:f>
        <x:v>9999</x:v>
      </x:c>
    </x:row>
    <x:row r="73">
      <x:c r="A73" s="111" t="str">
        <x:v>EB CAPITAL CRÉDITO AGRO LTDA.</x:v>
      </x:c>
      <x:c r="B73" s="135" t="n">
        <x:v>0</x:v>
      </x:c>
      <x:c r="C73" s="135" t="n">
        <x:v>0</x:v>
      </x:c>
      <x:c r="D73" s="135" t="n">
        <x:v>0</x:v>
      </x:c>
      <x:c r="E73" s="135" t="n">
        <x:v>2350320378.45</x:v>
      </x:c>
      <x:c r="F73" s="135" t="n">
        <x:f>SUM(B73:E73)</x:f>
        <x:v>2350320378.45</x:v>
      </x:c>
      <x:c r="G73" s="111" t="str">
        <x:v>Independente</x:v>
      </x:c>
      <x:c r="H73" s="144" t="str">
        <x:v>Independente</x:v>
      </x:c>
      <x:c r="I73" s="111" t="str">
        <x:v>Regra residual — revisar manualmente</x:v>
      </x:c>
      <x:c r="J73" s="153" t="str">
        <x:v>Sim — alta</x:v>
      </x:c>
      <x:c r="K73" s="135" t="n">
        <x:f>IF($H73="Independente",$F73,0)</x:f>
        <x:v>2350320378.45</x:v>
      </x:c>
      <x:c r="L73" s="135" t="n">
        <x:f>IF($H73="Ligada a banco",$F73,0)</x:f>
        <x:v>0</x:v>
      </x:c>
      <x:c r="M73" s="114" t="n">
        <x:f>IF(K73&gt;0,RANK(K73,$K$6:$K$462)+COUNTIF($K$6:K73,K73)-1,9999)</x:f>
        <x:v>59</x:v>
      </x:c>
      <x:c r="N73" s="114" t="n">
        <x:f>IF(L73&gt;0,RANK(L73,$L$6:$L$462)+COUNTIF($L$6:L73,L73)-1,9999)</x:f>
        <x:v>9999</x:v>
      </x:c>
    </x:row>
    <x:row r="74">
      <x:c r="A74" s="111" t="str">
        <x:v>Quadra Gestão de Recursos S.A.</x:v>
      </x:c>
      <x:c r="B74" s="135" t="n">
        <x:v>0</x:v>
      </x:c>
      <x:c r="C74" s="135" t="n">
        <x:v>0</x:v>
      </x:c>
      <x:c r="D74" s="135" t="n">
        <x:v>0</x:v>
      </x:c>
      <x:c r="E74" s="135" t="n">
        <x:v>2223949587.9069004</x:v>
      </x:c>
      <x:c r="F74" s="135" t="n">
        <x:f>SUM(B74:E74)</x:f>
        <x:v>2223949587.9069004</x:v>
      </x:c>
      <x:c r="G74" s="111" t="str">
        <x:v>Independente</x:v>
      </x:c>
      <x:c r="H74" s="144" t="str">
        <x:v>Independente</x:v>
      </x:c>
      <x:c r="I74" s="111" t="str">
        <x:v>Regra residual — revisar manualmente</x:v>
      </x:c>
      <x:c r="J74" s="153" t="str">
        <x:v>Sim — alta</x:v>
      </x:c>
      <x:c r="K74" s="135" t="n">
        <x:f>IF($H74="Independente",$F74,0)</x:f>
        <x:v>2223949587.9069004</x:v>
      </x:c>
      <x:c r="L74" s="135" t="n">
        <x:f>IF($H74="Ligada a banco",$F74,0)</x:f>
        <x:v>0</x:v>
      </x:c>
      <x:c r="M74" s="114" t="n">
        <x:f>IF(K74&gt;0,RANK(K74,$K$6:$K$462)+COUNTIF($K$6:K74,K74)-1,9999)</x:f>
        <x:v>60</x:v>
      </x:c>
      <x:c r="N74" s="114" t="n">
        <x:f>IF(L74&gt;0,RANK(L74,$L$6:$L$462)+COUNTIF($L$6:L74,L74)-1,9999)</x:f>
        <x:v>9999</x:v>
      </x:c>
    </x:row>
    <x:row r="75">
      <x:c r="A75" s="111" t="str">
        <x:v>Libertas Asset</x:v>
      </x:c>
      <x:c r="B75" s="135" t="n">
        <x:v>0</x:v>
      </x:c>
      <x:c r="C75" s="135" t="n">
        <x:v>207078531.3</x:v>
      </x:c>
      <x:c r="D75" s="135" t="n">
        <x:v>1388447391.35</x:v>
      </x:c>
      <x:c r="E75" s="135" t="n">
        <x:v>580889628.01</x:v>
      </x:c>
      <x:c r="F75" s="135" t="n">
        <x:f>SUM(B75:E75)</x:f>
        <x:v>2176415550.66</x:v>
      </x:c>
      <x:c r="G75" s="111" t="str">
        <x:v>Independente</x:v>
      </x:c>
      <x:c r="H75" s="144" t="str">
        <x:v>Independente</x:v>
      </x:c>
      <x:c r="I75" s="111" t="str">
        <x:v>Regra residual — revisar manualmente</x:v>
      </x:c>
      <x:c r="J75" s="153" t="str">
        <x:v>Sim — alta</x:v>
      </x:c>
      <x:c r="K75" s="135" t="n">
        <x:f>IF($H75="Independente",$F75,0)</x:f>
        <x:v>2176415550.66</x:v>
      </x:c>
      <x:c r="L75" s="135" t="n">
        <x:f>IF($H75="Ligada a banco",$F75,0)</x:f>
        <x:v>0</x:v>
      </x:c>
      <x:c r="M75" s="114" t="n">
        <x:f>IF(K75&gt;0,RANK(K75,$K$6:$K$462)+COUNTIF($K$6:K75,K75)-1,9999)</x:f>
        <x:v>61</x:v>
      </x:c>
      <x:c r="N75" s="114" t="n">
        <x:f>IF(L75&gt;0,RANK(L75,$L$6:$L$462)+COUNTIF($L$6:L75,L75)-1,9999)</x:f>
        <x:v>9999</x:v>
      </x:c>
    </x:row>
    <x:row r="76">
      <x:c r="A76" s="111" t="str">
        <x:v>EUV CAPITAL</x:v>
      </x:c>
      <x:c r="B76" s="135" t="n">
        <x:v>0</x:v>
      </x:c>
      <x:c r="C76" s="135" t="n">
        <x:v>0</x:v>
      </x:c>
      <x:c r="D76" s="135" t="n">
        <x:v>2159139999.2799997</x:v>
      </x:c>
      <x:c r="E76" s="135" t="n">
        <x:v>8121891.19</x:v>
      </x:c>
      <x:c r="F76" s="135" t="n">
        <x:f>SUM(B76:E76)</x:f>
        <x:v>2167261890.47</x:v>
      </x:c>
      <x:c r="G76" s="111" t="str">
        <x:v>Independente</x:v>
      </x:c>
      <x:c r="H76" s="144" t="str">
        <x:v>Independente</x:v>
      </x:c>
      <x:c r="I76" s="111" t="str">
        <x:v>Regra residual — revisar manualmente</x:v>
      </x:c>
      <x:c r="J76" s="153" t="str">
        <x:v>Sim — alta</x:v>
      </x:c>
      <x:c r="K76" s="135" t="n">
        <x:f>IF($H76="Independente",$F76,0)</x:f>
        <x:v>2167261890.47</x:v>
      </x:c>
      <x:c r="L76" s="135" t="n">
        <x:f>IF($H76="Ligada a banco",$F76,0)</x:f>
        <x:v>0</x:v>
      </x:c>
      <x:c r="M76" s="114" t="n">
        <x:f>IF(K76&gt;0,RANK(K76,$K$6:$K$462)+COUNTIF($K$6:K76,K76)-1,9999)</x:f>
        <x:v>62</x:v>
      </x:c>
      <x:c r="N76" s="114" t="n">
        <x:f>IF(L76&gt;0,RANK(L76,$L$6:$L$462)+COUNTIF($L$6:L76,L76)-1,9999)</x:f>
        <x:v>9999</x:v>
      </x:c>
    </x:row>
    <x:row r="77">
      <x:c r="A77" s="111" t="str">
        <x:v>Bless Capital Gestora de Recursos Ltda.</x:v>
      </x:c>
      <x:c r="B77" s="135" t="n">
        <x:v>78165366.93</x:v>
      </x:c>
      <x:c r="C77" s="135" t="n">
        <x:v>94182635.38</x:v>
      </x:c>
      <x:c r="D77" s="135" t="n">
        <x:v>48143693.28000001</x:v>
      </x:c>
      <x:c r="E77" s="135" t="n">
        <x:v>1795176609.9300003</x:v>
      </x:c>
      <x:c r="F77" s="135" t="n">
        <x:f>SUM(B77:E77)</x:f>
        <x:v>2015668305.5200002</x:v>
      </x:c>
      <x:c r="G77" s="111" t="str">
        <x:v>Independente</x:v>
      </x:c>
      <x:c r="H77" s="144" t="str">
        <x:v>Independente</x:v>
      </x:c>
      <x:c r="I77" s="111" t="str">
        <x:v>Regra residual — revisar manualmente</x:v>
      </x:c>
      <x:c r="J77" s="153" t="str">
        <x:v>Sim — alta</x:v>
      </x:c>
      <x:c r="K77" s="135" t="n">
        <x:f>IF($H77="Independente",$F77,0)</x:f>
        <x:v>2015668305.5200002</x:v>
      </x:c>
      <x:c r="L77" s="135" t="n">
        <x:f>IF($H77="Ligada a banco",$F77,0)</x:f>
        <x:v>0</x:v>
      </x:c>
      <x:c r="M77" s="114" t="n">
        <x:f>IF(K77&gt;0,RANK(K77,$K$6:$K$462)+COUNTIF($K$6:K77,K77)-1,9999)</x:f>
        <x:v>63</x:v>
      </x:c>
      <x:c r="N77" s="114" t="n">
        <x:f>IF(L77&gt;0,RANK(L77,$L$6:$L$462)+COUNTIF($L$6:L77,L77)-1,9999)</x:f>
        <x:v>9999</x:v>
      </x:c>
    </x:row>
    <x:row r="78">
      <x:c r="A78" s="111" t="str">
        <x:v>PRAVALER S/A</x:v>
      </x:c>
      <x:c r="B78" s="135" t="n">
        <x:v>0</x:v>
      </x:c>
      <x:c r="C78" s="135" t="n">
        <x:v>1998577996.82</x:v>
      </x:c>
      <x:c r="D78" s="135" t="n">
        <x:v>0</x:v>
      </x:c>
      <x:c r="E78" s="135" t="n">
        <x:v>0</x:v>
      </x:c>
      <x:c r="F78" s="135" t="n">
        <x:f>SUM(B78:E78)</x:f>
        <x:v>1998577996.82</x:v>
      </x:c>
      <x:c r="G78" s="111" t="str">
        <x:v>Independente</x:v>
      </x:c>
      <x:c r="H78" s="144" t="str">
        <x:v>Independente</x:v>
      </x:c>
      <x:c r="I78" s="111" t="str">
        <x:v>Regra residual — revisar manualmente</x:v>
      </x:c>
      <x:c r="J78" s="153" t="str">
        <x:v>Sim — alta</x:v>
      </x:c>
      <x:c r="K78" s="135" t="n">
        <x:f>IF($H78="Independente",$F78,0)</x:f>
        <x:v>1998577996.82</x:v>
      </x:c>
      <x:c r="L78" s="135" t="n">
        <x:f>IF($H78="Ligada a banco",$F78,0)</x:f>
        <x:v>0</x:v>
      </x:c>
      <x:c r="M78" s="114" t="n">
        <x:f>IF(K78&gt;0,RANK(K78,$K$6:$K$462)+COUNTIF($K$6:K78,K78)-1,9999)</x:f>
        <x:v>64</x:v>
      </x:c>
      <x:c r="N78" s="114" t="n">
        <x:f>IF(L78&gt;0,RANK(L78,$L$6:$L$462)+COUNTIF($L$6:L78,L78)-1,9999)</x:f>
        <x:v>9999</x:v>
      </x:c>
    </x:row>
    <x:row r="79">
      <x:c r="A79" s="111" t="str">
        <x:v>KINEA INVESTIMENTOS</x:v>
      </x:c>
      <x:c r="B79" s="135" t="n">
        <x:v>0</x:v>
      </x:c>
      <x:c r="C79" s="135" t="n">
        <x:v>0</x:v>
      </x:c>
      <x:c r="D79" s="135" t="n">
        <x:v>0</x:v>
      </x:c>
      <x:c r="E79" s="135" t="n">
        <x:v>1978199653.56</x:v>
      </x:c>
      <x:c r="F79" s="135" t="n">
        <x:f>SUM(B79:E79)</x:f>
        <x:v>1978199653.56</x:v>
      </x:c>
      <x:c r="G79" s="111" t="str">
        <x:v>Ligada a banco</x:v>
      </x:c>
      <x:c r="H79" s="144" t="str">
        <x:v>Ligada a banco</x:v>
      </x:c>
      <x:c r="I79" s="111" t="str">
        <x:v>Regra nominal: KINEA</x:v>
      </x:c>
      <x:c r="J79" s="153" t="str">
        <x:v>Confirmar</x:v>
      </x:c>
      <x:c r="K79" s="135" t="n">
        <x:f>IF($H79="Independente",$F79,0)</x:f>
        <x:v>0</x:v>
      </x:c>
      <x:c r="L79" s="135" t="n">
        <x:f>IF($H79="Ligada a banco",$F79,0)</x:f>
        <x:v>1978199653.56</x:v>
      </x:c>
      <x:c r="M79" s="114" t="n">
        <x:f>IF(K79&gt;0,RANK(K79,$K$6:$K$462)+COUNTIF($K$6:K79,K79)-1,9999)</x:f>
        <x:v>9999</x:v>
      </x:c>
      <x:c r="N79" s="114" t="n">
        <x:f>IF(L79&gt;0,RANK(L79,$L$6:$L$462)+COUNTIF($L$6:L79,L79)-1,9999)</x:f>
        <x:v>10</x:v>
      </x:c>
    </x:row>
    <x:row r="80">
      <x:c r="A80" s="111" t="str">
        <x:v>Tivio Capital</x:v>
      </x:c>
      <x:c r="B80" s="135" t="n">
        <x:v>1682351535.94</x:v>
      </x:c>
      <x:c r="C80" s="135" t="n">
        <x:v>0</x:v>
      </x:c>
      <x:c r="D80" s="135" t="n">
        <x:v>60962351.51999998</x:v>
      </x:c>
      <x:c r="E80" s="135" t="n">
        <x:v>199204363.83</x:v>
      </x:c>
      <x:c r="F80" s="135" t="n">
        <x:f>SUM(B80:E80)</x:f>
        <x:v>1942518251.29</x:v>
      </x:c>
      <x:c r="G80" s="111" t="str">
        <x:v>Independente</x:v>
      </x:c>
      <x:c r="H80" s="144" t="str">
        <x:v>Independente</x:v>
      </x:c>
      <x:c r="I80" s="111" t="str">
        <x:v>Regra residual — revisar manualmente</x:v>
      </x:c>
      <x:c r="J80" s="153" t="str">
        <x:v>Sim — alta</x:v>
      </x:c>
      <x:c r="K80" s="135" t="n">
        <x:f>IF($H80="Independente",$F80,0)</x:f>
        <x:v>1942518251.29</x:v>
      </x:c>
      <x:c r="L80" s="135" t="n">
        <x:f>IF($H80="Ligada a banco",$F80,0)</x:f>
        <x:v>0</x:v>
      </x:c>
      <x:c r="M80" s="114" t="n">
        <x:f>IF(K80&gt;0,RANK(K80,$K$6:$K$462)+COUNTIF($K$6:K80,K80)-1,9999)</x:f>
        <x:v>65</x:v>
      </x:c>
      <x:c r="N80" s="114" t="n">
        <x:f>IF(L80&gt;0,RANK(L80,$L$6:$L$462)+COUNTIF($L$6:L80,L80)-1,9999)</x:f>
        <x:v>9999</x:v>
      </x:c>
    </x:row>
    <x:row r="81">
      <x:c r="A81" s="111" t="str">
        <x:v>NOVA S R M</x:v>
      </x:c>
      <x:c r="B81" s="135" t="n">
        <x:v>0</x:v>
      </x:c>
      <x:c r="C81" s="135" t="n">
        <x:v>223515340.3099999</x:v>
      </x:c>
      <x:c r="D81" s="135" t="n">
        <x:v>452888369.54</x:v>
      </x:c>
      <x:c r="E81" s="135" t="n">
        <x:v>1238128081.05</x:v>
      </x:c>
      <x:c r="F81" s="135" t="n">
        <x:f>SUM(B81:E81)</x:f>
        <x:v>1914531790.8999999</x:v>
      </x:c>
      <x:c r="G81" s="111" t="str">
        <x:v>Independente</x:v>
      </x:c>
      <x:c r="H81" s="144" t="str">
        <x:v>Independente</x:v>
      </x:c>
      <x:c r="I81" s="111" t="str">
        <x:v>Regra residual — revisar manualmente</x:v>
      </x:c>
      <x:c r="J81" s="153" t="str">
        <x:v>Sim — alta</x:v>
      </x:c>
      <x:c r="K81" s="135" t="n">
        <x:f>IF($H81="Independente",$F81,0)</x:f>
        <x:v>1914531790.8999999</x:v>
      </x:c>
      <x:c r="L81" s="135" t="n">
        <x:f>IF($H81="Ligada a banco",$F81,0)</x:f>
        <x:v>0</x:v>
      </x:c>
      <x:c r="M81" s="114" t="n">
        <x:f>IF(K81&gt;0,RANK(K81,$K$6:$K$462)+COUNTIF($K$6:K81,K81)-1,9999)</x:f>
        <x:v>66</x:v>
      </x:c>
      <x:c r="N81" s="114" t="n">
        <x:f>IF(L81&gt;0,RANK(L81,$L$6:$L$462)+COUNTIF($L$6:L81,L81)-1,9999)</x:f>
        <x:v>9999</x:v>
      </x:c>
    </x:row>
    <x:row r="82">
      <x:c r="A82" s="111" t="str">
        <x:v>XPI CCTVM S/A</x:v>
      </x:c>
      <x:c r="B82" s="135" t="n">
        <x:v>1259703242.6</x:v>
      </x:c>
      <x:c r="C82" s="135" t="n">
        <x:v>0</x:v>
      </x:c>
      <x:c r="D82" s="135" t="n">
        <x:v>0</x:v>
      </x:c>
      <x:c r="E82" s="135" t="n">
        <x:v>632379298.4</x:v>
      </x:c>
      <x:c r="F82" s="135" t="n">
        <x:f>SUM(B82:E82)</x:f>
        <x:v>1892082541</x:v>
      </x:c>
      <x:c r="G82" s="111" t="str">
        <x:v>Ligada a banco</x:v>
      </x:c>
      <x:c r="H82" s="144" t="str">
        <x:v>Ligada a banco</x:v>
      </x:c>
      <x:c r="I82" s="111" t="str">
        <x:v>Regra nominal: XPI</x:v>
      </x:c>
      <x:c r="J82" s="153" t="str">
        <x:v>Confirmar</x:v>
      </x:c>
      <x:c r="K82" s="135" t="n">
        <x:f>IF($H82="Independente",$F82,0)</x:f>
        <x:v>0</x:v>
      </x:c>
      <x:c r="L82" s="135" t="n">
        <x:f>IF($H82="Ligada a banco",$F82,0)</x:f>
        <x:v>1892082541</x:v>
      </x:c>
      <x:c r="M82" s="114" t="n">
        <x:f>IF(K82&gt;0,RANK(K82,$K$6:$K$462)+COUNTIF($K$6:K82,K82)-1,9999)</x:f>
        <x:v>9999</x:v>
      </x:c>
      <x:c r="N82" s="114" t="n">
        <x:f>IF(L82&gt;0,RANK(L82,$L$6:$L$462)+COUNTIF($L$6:L82,L82)-1,9999)</x:f>
        <x:v>11</x:v>
      </x:c>
    </x:row>
    <x:row r="83">
      <x:c r="A83" s="111" t="str">
        <x:v>BURITI INVESTIMENTOS</x:v>
      </x:c>
      <x:c r="B83" s="135" t="n">
        <x:v>299223.23</x:v>
      </x:c>
      <x:c r="C83" s="135" t="n">
        <x:v>233632785.71</x:v>
      </x:c>
      <x:c r="D83" s="135" t="n">
        <x:v>303194676.59</x:v>
      </x:c>
      <x:c r="E83" s="135" t="n">
        <x:v>1326083712.9199998</x:v>
      </x:c>
      <x:c r="F83" s="135" t="n">
        <x:f>SUM(B83:E83)</x:f>
        <x:v>1863210398.4499998</x:v>
      </x:c>
      <x:c r="G83" s="111" t="str">
        <x:v>Independente</x:v>
      </x:c>
      <x:c r="H83" s="144" t="str">
        <x:v>Independente</x:v>
      </x:c>
      <x:c r="I83" s="111" t="str">
        <x:v>Regra residual — revisar manualmente</x:v>
      </x:c>
      <x:c r="J83" s="153" t="str">
        <x:v>Sim — alta</x:v>
      </x:c>
      <x:c r="K83" s="135" t="n">
        <x:f>IF($H83="Independente",$F83,0)</x:f>
        <x:v>1863210398.4499998</x:v>
      </x:c>
      <x:c r="L83" s="135" t="n">
        <x:f>IF($H83="Ligada a banco",$F83,0)</x:f>
        <x:v>0</x:v>
      </x:c>
      <x:c r="M83" s="114" t="n">
        <x:f>IF(K83&gt;0,RANK(K83,$K$6:$K$462)+COUNTIF($K$6:K83,K83)-1,9999)</x:f>
        <x:v>67</x:v>
      </x:c>
      <x:c r="N83" s="114" t="n">
        <x:f>IF(L83&gt;0,RANK(L83,$L$6:$L$462)+COUNTIF($L$6:L83,L83)-1,9999)</x:f>
        <x:v>9999</x:v>
      </x:c>
    </x:row>
    <x:row r="84">
      <x:c r="A84" s="111" t="str">
        <x:v>Invista Asset</x:v>
      </x:c>
      <x:c r="B84" s="135" t="n">
        <x:v>0</x:v>
      </x:c>
      <x:c r="C84" s="135" t="n">
        <x:v>0</x:v>
      </x:c>
      <x:c r="D84" s="135" t="n">
        <x:v>1860499361.49</x:v>
      </x:c>
      <x:c r="E84" s="135" t="n">
        <x:v>0</x:v>
      </x:c>
      <x:c r="F84" s="135" t="n">
        <x:f>SUM(B84:E84)</x:f>
        <x:v>1860499361.49</x:v>
      </x:c>
      <x:c r="G84" s="111" t="str">
        <x:v>Independente</x:v>
      </x:c>
      <x:c r="H84" s="144" t="str">
        <x:v>Independente</x:v>
      </x:c>
      <x:c r="I84" s="111" t="str">
        <x:v>Regra residual — revisar manualmente</x:v>
      </x:c>
      <x:c r="J84" s="153" t="str">
        <x:v>Sim — alta</x:v>
      </x:c>
      <x:c r="K84" s="135" t="n">
        <x:f>IF($H84="Independente",$F84,0)</x:f>
        <x:v>1860499361.49</x:v>
      </x:c>
      <x:c r="L84" s="135" t="n">
        <x:f>IF($H84="Ligada a banco",$F84,0)</x:f>
        <x:v>0</x:v>
      </x:c>
      <x:c r="M84" s="114" t="n">
        <x:f>IF(K84&gt;0,RANK(K84,$K$6:$K$462)+COUNTIF($K$6:K84,K84)-1,9999)</x:f>
        <x:v>68</x:v>
      </x:c>
      <x:c r="N84" s="114" t="n">
        <x:f>IF(L84&gt;0,RANK(L84,$L$6:$L$462)+COUNTIF($L$6:L84,L84)-1,9999)</x:f>
        <x:v>9999</x:v>
      </x:c>
    </x:row>
    <x:row r="85">
      <x:c r="A85" s="111" t="str">
        <x:v>Brave Asset</x:v>
      </x:c>
      <x:c r="B85" s="135" t="n">
        <x:v>364439905.71</x:v>
      </x:c>
      <x:c r="C85" s="135" t="n">
        <x:v>530059019.1622299</x:v>
      </x:c>
      <x:c r="D85" s="135" t="n">
        <x:v>30691.17</x:v>
      </x:c>
      <x:c r="E85" s="135" t="n">
        <x:v>920492142.7522</x:v>
      </x:c>
      <x:c r="F85" s="135" t="n">
        <x:f>SUM(B85:E85)</x:f>
        <x:v>1815021758.7944298</x:v>
      </x:c>
      <x:c r="G85" s="111" t="str">
        <x:v>Independente</x:v>
      </x:c>
      <x:c r="H85" s="144" t="str">
        <x:v>Independente</x:v>
      </x:c>
      <x:c r="I85" s="111" t="str">
        <x:v>Regra residual — revisar manualmente</x:v>
      </x:c>
      <x:c r="J85" s="153" t="str">
        <x:v>Sim — alta</x:v>
      </x:c>
      <x:c r="K85" s="135" t="n">
        <x:f>IF($H85="Independente",$F85,0)</x:f>
        <x:v>1815021758.7944298</x:v>
      </x:c>
      <x:c r="L85" s="135" t="n">
        <x:f>IF($H85="Ligada a banco",$F85,0)</x:f>
        <x:v>0</x:v>
      </x:c>
      <x:c r="M85" s="114" t="n">
        <x:f>IF(K85&gt;0,RANK(K85,$K$6:$K$462)+COUNTIF($K$6:K85,K85)-1,9999)</x:f>
        <x:v>69</x:v>
      </x:c>
      <x:c r="N85" s="114" t="n">
        <x:f>IF(L85&gt;0,RANK(L85,$L$6:$L$462)+COUNTIF($L$6:L85,L85)-1,9999)</x:f>
        <x:v>9999</x:v>
      </x:c>
    </x:row>
    <x:row r="86">
      <x:c r="A86" s="111" t="str">
        <x:v>Vinci Gestora de Recursos LTDA</x:v>
      </x:c>
      <x:c r="B86" s="135" t="n">
        <x:v>789038984.64</x:v>
      </x:c>
      <x:c r="C86" s="135" t="n">
        <x:v>233138422.81999996</x:v>
      </x:c>
      <x:c r="D86" s="135" t="n">
        <x:v>0</x:v>
      </x:c>
      <x:c r="E86" s="135" t="n">
        <x:v>788075991.92</x:v>
      </x:c>
      <x:c r="F86" s="135" t="n">
        <x:f>SUM(B86:E86)</x:f>
        <x:v>1810253399.3799999</x:v>
      </x:c>
      <x:c r="G86" s="111" t="str">
        <x:v>Independente</x:v>
      </x:c>
      <x:c r="H86" s="144" t="str">
        <x:v>Independente</x:v>
      </x:c>
      <x:c r="I86" s="111" t="str">
        <x:v>Regra residual — revisar manualmente</x:v>
      </x:c>
      <x:c r="J86" s="153" t="str">
        <x:v>Sim — alta</x:v>
      </x:c>
      <x:c r="K86" s="135" t="n">
        <x:f>IF($H86="Independente",$F86,0)</x:f>
        <x:v>1810253399.3799999</x:v>
      </x:c>
      <x:c r="L86" s="135" t="n">
        <x:f>IF($H86="Ligada a banco",$F86,0)</x:f>
        <x:v>0</x:v>
      </x:c>
      <x:c r="M86" s="114" t="n">
        <x:f>IF(K86&gt;0,RANK(K86,$K$6:$K$462)+COUNTIF($K$6:K86,K86)-1,9999)</x:f>
        <x:v>70</x:v>
      </x:c>
      <x:c r="N86" s="114" t="n">
        <x:f>IF(L86&gt;0,RANK(L86,$L$6:$L$462)+COUNTIF($L$6:L86,L86)-1,9999)</x:f>
        <x:v>9999</x:v>
      </x:c>
    </x:row>
    <x:row r="87">
      <x:c r="A87" s="111" t="str">
        <x:v>PACTUAL CAPITAL PART</x:v>
      </x:c>
      <x:c r="B87" s="135" t="n">
        <x:v>0</x:v>
      </x:c>
      <x:c r="C87" s="135" t="n">
        <x:v>0</x:v>
      </x:c>
      <x:c r="D87" s="135" t="n">
        <x:v>38711893.33</x:v>
      </x:c>
      <x:c r="E87" s="135" t="n">
        <x:v>1741005092.0055003</x:v>
      </x:c>
      <x:c r="F87" s="135" t="n">
        <x:f>SUM(B87:E87)</x:f>
        <x:v>1779716985.3355002</x:v>
      </x:c>
      <x:c r="G87" s="111" t="str">
        <x:v>Independente</x:v>
      </x:c>
      <x:c r="H87" s="144" t="str">
        <x:v>Independente</x:v>
      </x:c>
      <x:c r="I87" s="111" t="str">
        <x:v>Regra residual — revisar manualmente</x:v>
      </x:c>
      <x:c r="J87" s="153" t="str">
        <x:v>Sim — alta</x:v>
      </x:c>
      <x:c r="K87" s="135" t="n">
        <x:f>IF($H87="Independente",$F87,0)</x:f>
        <x:v>1779716985.3355002</x:v>
      </x:c>
      <x:c r="L87" s="135" t="n">
        <x:f>IF($H87="Ligada a banco",$F87,0)</x:f>
        <x:v>0</x:v>
      </x:c>
      <x:c r="M87" s="114" t="n">
        <x:f>IF(K87&gt;0,RANK(K87,$K$6:$K$462)+COUNTIF($K$6:K87,K87)-1,9999)</x:f>
        <x:v>71</x:v>
      </x:c>
      <x:c r="N87" s="114" t="n">
        <x:f>IF(L87&gt;0,RANK(L87,$L$6:$L$462)+COUNTIF($L$6:L87,L87)-1,9999)</x:f>
        <x:v>9999</x:v>
      </x:c>
    </x:row>
    <x:row r="88">
      <x:c r="A88" s="111" t="str">
        <x:v>OPEA GESTORA DE RECURSOS</x:v>
      </x:c>
      <x:c r="B88" s="135" t="n">
        <x:v>1335242352.39</x:v>
      </x:c>
      <x:c r="C88" s="135" t="n">
        <x:v>429648752.42999995</x:v>
      </x:c>
      <x:c r="D88" s="135" t="n">
        <x:v>0</x:v>
      </x:c>
      <x:c r="E88" s="135" t="n">
        <x:v>0</x:v>
      </x:c>
      <x:c r="F88" s="135" t="n">
        <x:f>SUM(B88:E88)</x:f>
        <x:v>1764891104.8200002</x:v>
      </x:c>
      <x:c r="G88" s="111" t="str">
        <x:v>Independente</x:v>
      </x:c>
      <x:c r="H88" s="144" t="str">
        <x:v>Independente</x:v>
      </x:c>
      <x:c r="I88" s="111" t="str">
        <x:v>Regra residual — revisar manualmente</x:v>
      </x:c>
      <x:c r="J88" s="153" t="str">
        <x:v>Sim — alta</x:v>
      </x:c>
      <x:c r="K88" s="135" t="n">
        <x:f>IF($H88="Independente",$F88,0)</x:f>
        <x:v>1764891104.8200002</x:v>
      </x:c>
      <x:c r="L88" s="135" t="n">
        <x:f>IF($H88="Ligada a banco",$F88,0)</x:f>
        <x:v>0</x:v>
      </x:c>
      <x:c r="M88" s="114" t="n">
        <x:f>IF(K88&gt;0,RANK(K88,$K$6:$K$462)+COUNTIF($K$6:K88,K88)-1,9999)</x:f>
        <x:v>72</x:v>
      </x:c>
      <x:c r="N88" s="114" t="n">
        <x:f>IF(L88&gt;0,RANK(L88,$L$6:$L$462)+COUNTIF($L$6:L88,L88)-1,9999)</x:f>
        <x:v>9999</x:v>
      </x:c>
    </x:row>
    <x:row r="89">
      <x:c r="A89" s="111" t="str">
        <x:v>Trius Capital</x:v>
      </x:c>
      <x:c r="B89" s="135" t="n">
        <x:v>0</x:v>
      </x:c>
      <x:c r="C89" s="135" t="n">
        <x:v>40174193.21</x:v>
      </x:c>
      <x:c r="D89" s="135" t="n">
        <x:v>0</x:v>
      </x:c>
      <x:c r="E89" s="135" t="n">
        <x:v>1723257693.29</x:v>
      </x:c>
      <x:c r="F89" s="135" t="n">
        <x:f>SUM(B89:E89)</x:f>
        <x:v>1763431886.5</x:v>
      </x:c>
      <x:c r="G89" s="111" t="str">
        <x:v>Independente</x:v>
      </x:c>
      <x:c r="H89" s="144" t="str">
        <x:v>Independente</x:v>
      </x:c>
      <x:c r="I89" s="111" t="str">
        <x:v>Regra residual — revisar manualmente</x:v>
      </x:c>
      <x:c r="J89" s="153" t="str">
        <x:v>Sim — alta</x:v>
      </x:c>
      <x:c r="K89" s="135" t="n">
        <x:f>IF($H89="Independente",$F89,0)</x:f>
        <x:v>1763431886.5</x:v>
      </x:c>
      <x:c r="L89" s="135" t="n">
        <x:f>IF($H89="Ligada a banco",$F89,0)</x:f>
        <x:v>0</x:v>
      </x:c>
      <x:c r="M89" s="114" t="n">
        <x:f>IF(K89&gt;0,RANK(K89,$K$6:$K$462)+COUNTIF($K$6:K89,K89)-1,9999)</x:f>
        <x:v>73</x:v>
      </x:c>
      <x:c r="N89" s="114" t="n">
        <x:f>IF(L89&gt;0,RANK(L89,$L$6:$L$462)+COUNTIF($L$6:L89,L89)-1,9999)</x:f>
        <x:v>9999</x:v>
      </x:c>
    </x:row>
    <x:row r="90">
      <x:c r="A90" s="111" t="str">
        <x:v>Prisma Claims Ltda.</x:v>
      </x:c>
      <x:c r="B90" s="135" t="n">
        <x:v>150684791.83</x:v>
      </x:c>
      <x:c r="C90" s="135" t="n">
        <x:v>0</x:v>
      </x:c>
      <x:c r="D90" s="135" t="n">
        <x:v>0</x:v>
      </x:c>
      <x:c r="E90" s="135" t="n">
        <x:v>1569982766.0100002</x:v>
      </x:c>
      <x:c r="F90" s="135" t="n">
        <x:f>SUM(B90:E90)</x:f>
        <x:v>1720667557.8400002</x:v>
      </x:c>
      <x:c r="G90" s="111" t="str">
        <x:v>Independente</x:v>
      </x:c>
      <x:c r="H90" s="144" t="str">
        <x:v>Independente</x:v>
      </x:c>
      <x:c r="I90" s="111" t="str">
        <x:v>Regra residual — revisar manualmente</x:v>
      </x:c>
      <x:c r="J90" s="153" t="str">
        <x:v>Sim — alta</x:v>
      </x:c>
      <x:c r="K90" s="135" t="n">
        <x:f>IF($H90="Independente",$F90,0)</x:f>
        <x:v>1720667557.8400002</x:v>
      </x:c>
      <x:c r="L90" s="135" t="n">
        <x:f>IF($H90="Ligada a banco",$F90,0)</x:f>
        <x:v>0</x:v>
      </x:c>
      <x:c r="M90" s="114" t="n">
        <x:f>IF(K90&gt;0,RANK(K90,$K$6:$K$462)+COUNTIF($K$6:K90,K90)-1,9999)</x:f>
        <x:v>74</x:v>
      </x:c>
      <x:c r="N90" s="114" t="n">
        <x:f>IF(L90&gt;0,RANK(L90,$L$6:$L$462)+COUNTIF($L$6:L90,L90)-1,9999)</x:f>
        <x:v>9999</x:v>
      </x:c>
    </x:row>
    <x:row r="91">
      <x:c r="A91" s="111" t="str">
        <x:v>Artesanal Agro</x:v>
      </x:c>
      <x:c r="B91" s="135" t="n">
        <x:v>1717452403.4599996</x:v>
      </x:c>
      <x:c r="C91" s="135" t="n">
        <x:v>0</x:v>
      </x:c>
      <x:c r="D91" s="135" t="n">
        <x:v>0</x:v>
      </x:c>
      <x:c r="E91" s="135" t="n">
        <x:v>0</x:v>
      </x:c>
      <x:c r="F91" s="135" t="n">
        <x:f>SUM(B91:E91)</x:f>
        <x:v>1717452403.4599996</x:v>
      </x:c>
      <x:c r="G91" s="111" t="str">
        <x:v>Independente</x:v>
      </x:c>
      <x:c r="H91" s="144" t="str">
        <x:v>Independente</x:v>
      </x:c>
      <x:c r="I91" s="111" t="str">
        <x:v>Regra residual — revisar manualmente</x:v>
      </x:c>
      <x:c r="J91" s="153" t="str">
        <x:v>Sim — alta</x:v>
      </x:c>
      <x:c r="K91" s="135" t="n">
        <x:f>IF($H91="Independente",$F91,0)</x:f>
        <x:v>1717452403.4599996</x:v>
      </x:c>
      <x:c r="L91" s="135" t="n">
        <x:f>IF($H91="Ligada a banco",$F91,0)</x:f>
        <x:v>0</x:v>
      </x:c>
      <x:c r="M91" s="114" t="n">
        <x:f>IF(K91&gt;0,RANK(K91,$K$6:$K$462)+COUNTIF($K$6:K91,K91)-1,9999)</x:f>
        <x:v>75</x:v>
      </x:c>
      <x:c r="N91" s="114" t="n">
        <x:f>IF(L91&gt;0,RANK(L91,$L$6:$L$462)+COUNTIF($L$6:L91,L91)-1,9999)</x:f>
        <x:v>9999</x:v>
      </x:c>
    </x:row>
    <x:row r="92">
      <x:c r="A92" s="111" t="str">
        <x:v>REAG BERKANA</x:v>
      </x:c>
      <x:c r="B92" s="135" t="n">
        <x:v>1707130307.6</x:v>
      </x:c>
      <x:c r="C92" s="135" t="n">
        <x:v>0</x:v>
      </x:c>
      <x:c r="D92" s="135" t="n">
        <x:v>0</x:v>
      </x:c>
      <x:c r="E92" s="135" t="n">
        <x:v>0</x:v>
      </x:c>
      <x:c r="F92" s="135" t="n">
        <x:f>SUM(B92:E92)</x:f>
        <x:v>1707130307.6</x:v>
      </x:c>
      <x:c r="G92" s="111" t="str">
        <x:v>Independente</x:v>
      </x:c>
      <x:c r="H92" s="144" t="str">
        <x:v>Independente</x:v>
      </x:c>
      <x:c r="I92" s="111" t="str">
        <x:v>Regra residual — revisar manualmente</x:v>
      </x:c>
      <x:c r="J92" s="153" t="str">
        <x:v>Sim — alta</x:v>
      </x:c>
      <x:c r="K92" s="135" t="n">
        <x:f>IF($H92="Independente",$F92,0)</x:f>
        <x:v>1707130307.6</x:v>
      </x:c>
      <x:c r="L92" s="135" t="n">
        <x:f>IF($H92="Ligada a banco",$F92,0)</x:f>
        <x:v>0</x:v>
      </x:c>
      <x:c r="M92" s="114" t="n">
        <x:f>IF(K92&gt;0,RANK(K92,$K$6:$K$462)+COUNTIF($K$6:K92,K92)-1,9999)</x:f>
        <x:v>76</x:v>
      </x:c>
      <x:c r="N92" s="114" t="n">
        <x:f>IF(L92&gt;0,RANK(L92,$L$6:$L$462)+COUNTIF($L$6:L92,L92)-1,9999)</x:f>
        <x:v>9999</x:v>
      </x:c>
    </x:row>
    <x:row r="93">
      <x:c r="A93" s="111" t="str">
        <x:v>Latache Capital</x:v>
      </x:c>
      <x:c r="B93" s="135" t="n">
        <x:v>0</x:v>
      </x:c>
      <x:c r="C93" s="135" t="n">
        <x:v>0</x:v>
      </x:c>
      <x:c r="D93" s="135" t="n">
        <x:v>0</x:v>
      </x:c>
      <x:c r="E93" s="135" t="n">
        <x:v>1605147299.71</x:v>
      </x:c>
      <x:c r="F93" s="135" t="n">
        <x:f>SUM(B93:E93)</x:f>
        <x:v>1605147299.71</x:v>
      </x:c>
      <x:c r="G93" s="111" t="str">
        <x:v>Independente</x:v>
      </x:c>
      <x:c r="H93" s="144" t="str">
        <x:v>Independente</x:v>
      </x:c>
      <x:c r="I93" s="111" t="str">
        <x:v>Regra residual — revisar manualmente</x:v>
      </x:c>
      <x:c r="J93" s="153" t="str">
        <x:v>Sim — alta</x:v>
      </x:c>
      <x:c r="K93" s="135" t="n">
        <x:f>IF($H93="Independente",$F93,0)</x:f>
        <x:v>1605147299.71</x:v>
      </x:c>
      <x:c r="L93" s="135" t="n">
        <x:f>IF($H93="Ligada a banco",$F93,0)</x:f>
        <x:v>0</x:v>
      </x:c>
      <x:c r="M93" s="114" t="n">
        <x:f>IF(K93&gt;0,RANK(K93,$K$6:$K$462)+COUNTIF($K$6:K93,K93)-1,9999)</x:f>
        <x:v>77</x:v>
      </x:c>
      <x:c r="N93" s="114" t="n">
        <x:f>IF(L93&gt;0,RANK(L93,$L$6:$L$462)+COUNTIF($L$6:L93,L93)-1,9999)</x:f>
        <x:v>9999</x:v>
      </x:c>
    </x:row>
    <x:row r="94">
      <x:c r="A94" s="111" t="str">
        <x:v>Quatá Investimentos</x:v>
      </x:c>
      <x:c r="B94" s="135" t="n">
        <x:v>447606961.8</x:v>
      </x:c>
      <x:c r="C94" s="135" t="n">
        <x:v>337472889.05000997</x:v>
      </x:c>
      <x:c r="D94" s="135" t="n">
        <x:v>232351437.96999997</x:v>
      </x:c>
      <x:c r="E94" s="135" t="n">
        <x:v>560454514.62</x:v>
      </x:c>
      <x:c r="F94" s="135" t="n">
        <x:f>SUM(B94:E94)</x:f>
        <x:v>1577885803.44001</x:v>
      </x:c>
      <x:c r="G94" s="111" t="str">
        <x:v>Independente</x:v>
      </x:c>
      <x:c r="H94" s="144" t="str">
        <x:v>Independente</x:v>
      </x:c>
      <x:c r="I94" s="111" t="str">
        <x:v>Regra residual — revisar manualmente</x:v>
      </x:c>
      <x:c r="J94" s="153" t="str">
        <x:v>Sim — alta</x:v>
      </x:c>
      <x:c r="K94" s="135" t="n">
        <x:f>IF($H94="Independente",$F94,0)</x:f>
        <x:v>1577885803.44001</x:v>
      </x:c>
      <x:c r="L94" s="135" t="n">
        <x:f>IF($H94="Ligada a banco",$F94,0)</x:f>
        <x:v>0</x:v>
      </x:c>
      <x:c r="M94" s="114" t="n">
        <x:f>IF(K94&gt;0,RANK(K94,$K$6:$K$462)+COUNTIF($K$6:K94,K94)-1,9999)</x:f>
        <x:v>78</x:v>
      </x:c>
      <x:c r="N94" s="114" t="n">
        <x:f>IF(L94&gt;0,RANK(L94,$L$6:$L$462)+COUNTIF($L$6:L94,L94)-1,9999)</x:f>
        <x:v>9999</x:v>
      </x:c>
    </x:row>
    <x:row r="95">
      <x:c r="A95" s="111" t="str">
        <x:v>Oliveira Trust DTVM</x:v>
      </x:c>
      <x:c r="B95" s="135" t="n">
        <x:v>231061523.25</x:v>
      </x:c>
      <x:c r="C95" s="135" t="n">
        <x:v>1004215920.33</x:v>
      </x:c>
      <x:c r="D95" s="135" t="n">
        <x:v>0</x:v>
      </x:c>
      <x:c r="E95" s="135" t="n">
        <x:v>304792651.11999995</x:v>
      </x:c>
      <x:c r="F95" s="135" t="n">
        <x:f>SUM(B95:E95)</x:f>
        <x:v>1540070094.6999998</x:v>
      </x:c>
      <x:c r="G95" s="111" t="str">
        <x:v>Independente</x:v>
      </x:c>
      <x:c r="H95" s="144" t="str">
        <x:v>Independente</x:v>
      </x:c>
      <x:c r="I95" s="111" t="str">
        <x:v>Regra residual — revisar manualmente</x:v>
      </x:c>
      <x:c r="J95" s="153" t="str">
        <x:v>Sim — alta</x:v>
      </x:c>
      <x:c r="K95" s="135" t="n">
        <x:f>IF($H95="Independente",$F95,0)</x:f>
        <x:v>1540070094.6999998</x:v>
      </x:c>
      <x:c r="L95" s="135" t="n">
        <x:f>IF($H95="Ligada a banco",$F95,0)</x:f>
        <x:v>0</x:v>
      </x:c>
      <x:c r="M95" s="114" t="n">
        <x:f>IF(K95&gt;0,RANK(K95,$K$6:$K$462)+COUNTIF($K$6:K95,K95)-1,9999)</x:f>
        <x:v>79</x:v>
      </x:c>
      <x:c r="N95" s="114" t="n">
        <x:f>IF(L95&gt;0,RANK(L95,$L$6:$L$462)+COUNTIF($L$6:L95,L95)-1,9999)</x:f>
        <x:v>9999</x:v>
      </x:c>
    </x:row>
    <x:row r="96">
      <x:c r="A96" s="111" t="str">
        <x:v>Portofino Multi Family Office</x:v>
      </x:c>
      <x:c r="B96" s="135" t="n">
        <x:v>0</x:v>
      </x:c>
      <x:c r="C96" s="135" t="n">
        <x:v>0</x:v>
      </x:c>
      <x:c r="D96" s="135" t="n">
        <x:v>0</x:v>
      </x:c>
      <x:c r="E96" s="135" t="n">
        <x:v>1511382224.78</x:v>
      </x:c>
      <x:c r="F96" s="135" t="n">
        <x:f>SUM(B96:E96)</x:f>
        <x:v>1511382224.78</x:v>
      </x:c>
      <x:c r="G96" s="111" t="str">
        <x:v>Independente</x:v>
      </x:c>
      <x:c r="H96" s="144" t="str">
        <x:v>Independente</x:v>
      </x:c>
      <x:c r="I96" s="111" t="str">
        <x:v>Regra residual — revisar manualmente</x:v>
      </x:c>
      <x:c r="J96" s="153" t="str">
        <x:v>Sim — alta</x:v>
      </x:c>
      <x:c r="K96" s="135" t="n">
        <x:f>IF($H96="Independente",$F96,0)</x:f>
        <x:v>1511382224.78</x:v>
      </x:c>
      <x:c r="L96" s="135" t="n">
        <x:f>IF($H96="Ligada a banco",$F96,0)</x:f>
        <x:v>0</x:v>
      </x:c>
      <x:c r="M96" s="114" t="n">
        <x:f>IF(K96&gt;0,RANK(K96,$K$6:$K$462)+COUNTIF($K$6:K96,K96)-1,9999)</x:f>
        <x:v>80</x:v>
      </x:c>
      <x:c r="N96" s="114" t="n">
        <x:f>IF(L96&gt;0,RANK(L96,$L$6:$L$462)+COUNTIF($L$6:L96,L96)-1,9999)</x:f>
        <x:v>9999</x:v>
      </x:c>
    </x:row>
    <x:row r="97">
      <x:c r="A97" s="111" t="str">
        <x:v>Strata Capital</x:v>
      </x:c>
      <x:c r="B97" s="135" t="n">
        <x:v>21225417.15</x:v>
      </x:c>
      <x:c r="C97" s="135" t="n">
        <x:v>647812797.9300001</x:v>
      </x:c>
      <x:c r="D97" s="135" t="n">
        <x:v>0</x:v>
      </x:c>
      <x:c r="E97" s="135" t="n">
        <x:v>822907169.39</x:v>
      </x:c>
      <x:c r="F97" s="135" t="n">
        <x:f>SUM(B97:E97)</x:f>
        <x:v>1491945384.47</x:v>
      </x:c>
      <x:c r="G97" s="111" t="str">
        <x:v>Independente</x:v>
      </x:c>
      <x:c r="H97" s="144" t="str">
        <x:v>Independente</x:v>
      </x:c>
      <x:c r="I97" s="111" t="str">
        <x:v>Regra residual — revisar manualmente</x:v>
      </x:c>
      <x:c r="J97" s="153" t="str">
        <x:v>Sim — alta</x:v>
      </x:c>
      <x:c r="K97" s="135" t="n">
        <x:f>IF($H97="Independente",$F97,0)</x:f>
        <x:v>1491945384.47</x:v>
      </x:c>
      <x:c r="L97" s="135" t="n">
        <x:f>IF($H97="Ligada a banco",$F97,0)</x:f>
        <x:v>0</x:v>
      </x:c>
      <x:c r="M97" s="114" t="n">
        <x:f>IF(K97&gt;0,RANK(K97,$K$6:$K$462)+COUNTIF($K$6:K97,K97)-1,9999)</x:f>
        <x:v>81</x:v>
      </x:c>
      <x:c r="N97" s="114" t="n">
        <x:f>IF(L97&gt;0,RANK(L97,$L$6:$L$462)+COUNTIF($L$6:L97,L97)-1,9999)</x:f>
        <x:v>9999</x:v>
      </x:c>
    </x:row>
    <x:row r="98">
      <x:c r="A98" s="111" t="str">
        <x:v>AUGME CAPITAL GESTÃO DE RECURSOS LTDA.</x:v>
      </x:c>
      <x:c r="B98" s="135" t="n">
        <x:v>102487021.08</x:v>
      </x:c>
      <x:c r="C98" s="135" t="n">
        <x:v>52623648.06</x:v>
      </x:c>
      <x:c r="D98" s="135" t="n">
        <x:v>0</x:v>
      </x:c>
      <x:c r="E98" s="135" t="n">
        <x:v>1318943928.9800005</x:v>
      </x:c>
      <x:c r="F98" s="135" t="n">
        <x:f>SUM(B98:E98)</x:f>
        <x:v>1474054598.1200004</x:v>
      </x:c>
      <x:c r="G98" s="111" t="str">
        <x:v>Independente</x:v>
      </x:c>
      <x:c r="H98" s="144" t="str">
        <x:v>Independente</x:v>
      </x:c>
      <x:c r="I98" s="111" t="str">
        <x:v>Regra residual — revisar manualmente</x:v>
      </x:c>
      <x:c r="J98" s="153" t="str">
        <x:v>Sim — alta</x:v>
      </x:c>
      <x:c r="K98" s="135" t="n">
        <x:f>IF($H98="Independente",$F98,0)</x:f>
        <x:v>1474054598.1200004</x:v>
      </x:c>
      <x:c r="L98" s="135" t="n">
        <x:f>IF($H98="Ligada a banco",$F98,0)</x:f>
        <x:v>0</x:v>
      </x:c>
      <x:c r="M98" s="114" t="n">
        <x:f>IF(K98&gt;0,RANK(K98,$K$6:$K$462)+COUNTIF($K$6:K98,K98)-1,9999)</x:f>
        <x:v>82</x:v>
      </x:c>
      <x:c r="N98" s="114" t="n">
        <x:f>IF(L98&gt;0,RANK(L98,$L$6:$L$462)+COUNTIF($L$6:L98,L98)-1,9999)</x:f>
        <x:v>9999</x:v>
      </x:c>
    </x:row>
    <x:row r="99">
      <x:c r="A99" s="111" t="str">
        <x:v>Farmtech Gestão de Recursos Ltda.</x:v>
      </x:c>
      <x:c r="B99" s="135" t="n">
        <x:v>1445209507.1711998</x:v>
      </x:c>
      <x:c r="C99" s="135" t="n">
        <x:v>0</x:v>
      </x:c>
      <x:c r="D99" s="135" t="n">
        <x:v>0</x:v>
      </x:c>
      <x:c r="E99" s="135" t="n">
        <x:v>0</x:v>
      </x:c>
      <x:c r="F99" s="135" t="n">
        <x:f>SUM(B99:E99)</x:f>
        <x:v>1445209507.1711998</x:v>
      </x:c>
      <x:c r="G99" s="111" t="str">
        <x:v>Independente</x:v>
      </x:c>
      <x:c r="H99" s="144" t="str">
        <x:v>Independente</x:v>
      </x:c>
      <x:c r="I99" s="111" t="str">
        <x:v>Regra residual — revisar manualmente</x:v>
      </x:c>
      <x:c r="J99" s="153" t="str">
        <x:v>Sim — alta</x:v>
      </x:c>
      <x:c r="K99" s="135" t="n">
        <x:f>IF($H99="Independente",$F99,0)</x:f>
        <x:v>1445209507.1711998</x:v>
      </x:c>
      <x:c r="L99" s="135" t="n">
        <x:f>IF($H99="Ligada a banco",$F99,0)</x:f>
        <x:v>0</x:v>
      </x:c>
      <x:c r="M99" s="114" t="n">
        <x:f>IF(K99&gt;0,RANK(K99,$K$6:$K$462)+COUNTIF($K$6:K99,K99)-1,9999)</x:f>
        <x:v>83</x:v>
      </x:c>
      <x:c r="N99" s="114" t="n">
        <x:f>IF(L99&gt;0,RANK(L99,$L$6:$L$462)+COUNTIF($L$6:L99,L99)-1,9999)</x:f>
        <x:v>9999</x:v>
      </x:c>
    </x:row>
    <x:row r="100">
      <x:c r="A100" s="111" t="str">
        <x:v>Artesanal Imobiliário</x:v>
      </x:c>
      <x:c r="B100" s="135" t="n">
        <x:v>0</x:v>
      </x:c>
      <x:c r="C100" s="135" t="n">
        <x:v>1209870846.5100002</x:v>
      </x:c>
      <x:c r="D100" s="135" t="n">
        <x:v>209062462.36000004</x:v>
      </x:c>
      <x:c r="E100" s="135" t="n">
        <x:v>0</x:v>
      </x:c>
      <x:c r="F100" s="135" t="n">
        <x:f>SUM(B100:E100)</x:f>
        <x:v>1418933308.8700004</x:v>
      </x:c>
      <x:c r="G100" s="111" t="str">
        <x:v>Independente</x:v>
      </x:c>
      <x:c r="H100" s="144" t="str">
        <x:v>Independente</x:v>
      </x:c>
      <x:c r="I100" s="111" t="str">
        <x:v>Regra residual — revisar manualmente</x:v>
      </x:c>
      <x:c r="J100" s="153" t="str">
        <x:v>Sim — alta</x:v>
      </x:c>
      <x:c r="K100" s="135" t="n">
        <x:f>IF($H100="Independente",$F100,0)</x:f>
        <x:v>1418933308.8700004</x:v>
      </x:c>
      <x:c r="L100" s="135" t="n">
        <x:f>IF($H100="Ligada a banco",$F100,0)</x:f>
        <x:v>0</x:v>
      </x:c>
      <x:c r="M100" s="114" t="n">
        <x:f>IF(K100&gt;0,RANK(K100,$K$6:$K$462)+COUNTIF($K$6:K100,K100)-1,9999)</x:f>
        <x:v>84</x:v>
      </x:c>
      <x:c r="N100" s="114" t="n">
        <x:f>IF(L100&gt;0,RANK(L100,$L$6:$L$462)+COUNTIF($L$6:L100,L100)-1,9999)</x:f>
        <x:v>9999</x:v>
      </x:c>
    </x:row>
    <x:row r="101">
      <x:c r="A101" s="111" t="str">
        <x:v>MAM ASSET MANAGEMENT</x:v>
      </x:c>
      <x:c r="B101" s="135" t="n">
        <x:v>0</x:v>
      </x:c>
      <x:c r="C101" s="135" t="n">
        <x:v>0</x:v>
      </x:c>
      <x:c r="D101" s="135" t="n">
        <x:v>0</x:v>
      </x:c>
      <x:c r="E101" s="135" t="n">
        <x:v>1375040562.7499998</x:v>
      </x:c>
      <x:c r="F101" s="135" t="n">
        <x:f>SUM(B101:E101)</x:f>
        <x:v>1375040562.7499998</x:v>
      </x:c>
      <x:c r="G101" s="111" t="str">
        <x:v>Independente</x:v>
      </x:c>
      <x:c r="H101" s="144" t="str">
        <x:v>Independente</x:v>
      </x:c>
      <x:c r="I101" s="111" t="str">
        <x:v>Regra residual — revisar manualmente</x:v>
      </x:c>
      <x:c r="J101" s="153" t="str">
        <x:v>Sim — alta</x:v>
      </x:c>
      <x:c r="K101" s="135" t="n">
        <x:f>IF($H101="Independente",$F101,0)</x:f>
        <x:v>1375040562.7499998</x:v>
      </x:c>
      <x:c r="L101" s="135" t="n">
        <x:f>IF($H101="Ligada a banco",$F101,0)</x:f>
        <x:v>0</x:v>
      </x:c>
      <x:c r="M101" s="114" t="n">
        <x:f>IF(K101&gt;0,RANK(K101,$K$6:$K$462)+COUNTIF($K$6:K101,K101)-1,9999)</x:f>
        <x:v>85</x:v>
      </x:c>
      <x:c r="N101" s="114" t="n">
        <x:f>IF(L101&gt;0,RANK(L101,$L$6:$L$462)+COUNTIF($L$6:L101,L101)-1,9999)</x:f>
        <x:v>9999</x:v>
      </x:c>
    </x:row>
    <x:row r="102">
      <x:c r="A102" s="111" t="str">
        <x:v>KP GESTÃO DE RECURSOS LTDA.</x:v>
      </x:c>
      <x:c r="B102" s="135" t="n">
        <x:v>0</x:v>
      </x:c>
      <x:c r="C102" s="135" t="n">
        <x:v>165440310.13000005</x:v>
      </x:c>
      <x:c r="D102" s="135" t="n">
        <x:v>227587680.05999997</x:v>
      </x:c>
      <x:c r="E102" s="135" t="n">
        <x:v>906765453.2000004</x:v>
      </x:c>
      <x:c r="F102" s="135" t="n">
        <x:f>SUM(B102:E102)</x:f>
        <x:v>1299793443.3900003</x:v>
      </x:c>
      <x:c r="G102" s="111" t="str">
        <x:v>Independente</x:v>
      </x:c>
      <x:c r="H102" s="144" t="str">
        <x:v>Independente</x:v>
      </x:c>
      <x:c r="I102" s="111" t="str">
        <x:v>Regra residual — revisar manualmente</x:v>
      </x:c>
      <x:c r="J102" s="153" t="str">
        <x:v>Sim — alta</x:v>
      </x:c>
      <x:c r="K102" s="135" t="n">
        <x:f>IF($H102="Independente",$F102,0)</x:f>
        <x:v>1299793443.3900003</x:v>
      </x:c>
      <x:c r="L102" s="135" t="n">
        <x:f>IF($H102="Ligada a banco",$F102,0)</x:f>
        <x:v>0</x:v>
      </x:c>
      <x:c r="M102" s="114" t="n">
        <x:f>IF(K102&gt;0,RANK(K102,$K$6:$K$462)+COUNTIF($K$6:K102,K102)-1,9999)</x:f>
        <x:v>86</x:v>
      </x:c>
      <x:c r="N102" s="114" t="n">
        <x:f>IF(L102&gt;0,RANK(L102,$L$6:$L$462)+COUNTIF($L$6:L102,L102)-1,9999)</x:f>
        <x:v>9999</x:v>
      </x:c>
    </x:row>
    <x:row r="103">
      <x:c r="A103" s="111" t="str">
        <x:v>Renova Gestora</x:v>
      </x:c>
      <x:c r="B103" s="135" t="n">
        <x:v>0</x:v>
      </x:c>
      <x:c r="C103" s="135" t="n">
        <x:v>75282908.4</x:v>
      </x:c>
      <x:c r="D103" s="135" t="n">
        <x:v>52242011.85</x:v>
      </x:c>
      <x:c r="E103" s="135" t="n">
        <x:v>1165637698.2599998</x:v>
      </x:c>
      <x:c r="F103" s="135" t="n">
        <x:f>SUM(B103:E103)</x:f>
        <x:v>1293162618.5099998</x:v>
      </x:c>
      <x:c r="G103" s="111" t="str">
        <x:v>Independente</x:v>
      </x:c>
      <x:c r="H103" s="144" t="str">
        <x:v>Independente</x:v>
      </x:c>
      <x:c r="I103" s="111" t="str">
        <x:v>Regra residual — revisar manualmente</x:v>
      </x:c>
      <x:c r="J103" s="153" t="str">
        <x:v>Sim — alta</x:v>
      </x:c>
      <x:c r="K103" s="135" t="n">
        <x:f>IF($H103="Independente",$F103,0)</x:f>
        <x:v>1293162618.5099998</x:v>
      </x:c>
      <x:c r="L103" s="135" t="n">
        <x:f>IF($H103="Ligada a banco",$F103,0)</x:f>
        <x:v>0</x:v>
      </x:c>
      <x:c r="M103" s="114" t="n">
        <x:f>IF(K103&gt;0,RANK(K103,$K$6:$K$462)+COUNTIF($K$6:K103,K103)-1,9999)</x:f>
        <x:v>87</x:v>
      </x:c>
      <x:c r="N103" s="114" t="n">
        <x:f>IF(L103&gt;0,RANK(L103,$L$6:$L$462)+COUNTIF($L$6:L103,L103)-1,9999)</x:f>
        <x:v>9999</x:v>
      </x:c>
    </x:row>
    <x:row r="104">
      <x:c r="A104" s="111" t="str">
        <x:v>Harbour Capital</x:v>
      </x:c>
      <x:c r="B104" s="135" t="n">
        <x:v>0</x:v>
      </x:c>
      <x:c r="C104" s="135" t="n">
        <x:v>24731039.43</x:v>
      </x:c>
      <x:c r="D104" s="135" t="n">
        <x:v>1220235482.3000004</x:v>
      </x:c>
      <x:c r="E104" s="135" t="n">
        <x:v>48070194.15</x:v>
      </x:c>
      <x:c r="F104" s="135" t="n">
        <x:f>SUM(B104:E104)</x:f>
        <x:v>1293036715.8800006</x:v>
      </x:c>
      <x:c r="G104" s="111" t="str">
        <x:v>Independente</x:v>
      </x:c>
      <x:c r="H104" s="144" t="str">
        <x:v>Independente</x:v>
      </x:c>
      <x:c r="I104" s="111" t="str">
        <x:v>Regra residual — revisar manualmente</x:v>
      </x:c>
      <x:c r="J104" s="153" t="str">
        <x:v>Sim — alta</x:v>
      </x:c>
      <x:c r="K104" s="135" t="n">
        <x:f>IF($H104="Independente",$F104,0)</x:f>
        <x:v>1293036715.8800006</x:v>
      </x:c>
      <x:c r="L104" s="135" t="n">
        <x:f>IF($H104="Ligada a banco",$F104,0)</x:f>
        <x:v>0</x:v>
      </x:c>
      <x:c r="M104" s="114" t="n">
        <x:f>IF(K104&gt;0,RANK(K104,$K$6:$K$462)+COUNTIF($K$6:K104,K104)-1,9999)</x:f>
        <x:v>88</x:v>
      </x:c>
      <x:c r="N104" s="114" t="n">
        <x:f>IF(L104&gt;0,RANK(L104,$L$6:$L$462)+COUNTIF($L$6:L104,L104)-1,9999)</x:f>
        <x:v>9999</x:v>
      </x:c>
    </x:row>
    <x:row r="105">
      <x:c r="A105" s="111" t="str">
        <x:v>Lumina</x:v>
      </x:c>
      <x:c r="B105" s="135" t="n">
        <x:v>0</x:v>
      </x:c>
      <x:c r="C105" s="135" t="n">
        <x:v>0</x:v>
      </x:c>
      <x:c r="D105" s="135" t="n">
        <x:v>202087792.15</x:v>
      </x:c>
      <x:c r="E105" s="135" t="n">
        <x:v>1058929788.47</x:v>
      </x:c>
      <x:c r="F105" s="135" t="n">
        <x:f>SUM(B105:E105)</x:f>
        <x:v>1261017580.6200001</x:v>
      </x:c>
      <x:c r="G105" s="111" t="str">
        <x:v>Independente</x:v>
      </x:c>
      <x:c r="H105" s="144" t="str">
        <x:v>Independente</x:v>
      </x:c>
      <x:c r="I105" s="111" t="str">
        <x:v>Regra residual — revisar manualmente</x:v>
      </x:c>
      <x:c r="J105" s="153" t="str">
        <x:v>Sim — alta</x:v>
      </x:c>
      <x:c r="K105" s="135" t="n">
        <x:f>IF($H105="Independente",$F105,0)</x:f>
        <x:v>1261017580.6200001</x:v>
      </x:c>
      <x:c r="L105" s="135" t="n">
        <x:f>IF($H105="Ligada a banco",$F105,0)</x:f>
        <x:v>0</x:v>
      </x:c>
      <x:c r="M105" s="114" t="n">
        <x:f>IF(K105&gt;0,RANK(K105,$K$6:$K$462)+COUNTIF($K$6:K105,K105)-1,9999)</x:f>
        <x:v>89</x:v>
      </x:c>
      <x:c r="N105" s="114" t="n">
        <x:f>IF(L105&gt;0,RANK(L105,$L$6:$L$462)+COUNTIF($L$6:L105,L105)-1,9999)</x:f>
        <x:v>9999</x:v>
      </x:c>
    </x:row>
    <x:row r="106">
      <x:c r="A106" s="111" t="str">
        <x:v>ROOT CAPITAL</x:v>
      </x:c>
      <x:c r="B106" s="135" t="n">
        <x:v>0</x:v>
      </x:c>
      <x:c r="C106" s="135" t="n">
        <x:v>0</x:v>
      </x:c>
      <x:c r="D106" s="135" t="n">
        <x:v>0</x:v>
      </x:c>
      <x:c r="E106" s="135" t="n">
        <x:v>1206308260.18345</x:v>
      </x:c>
      <x:c r="F106" s="135" t="n">
        <x:f>SUM(B106:E106)</x:f>
        <x:v>1206308260.18345</x:v>
      </x:c>
      <x:c r="G106" s="111" t="str">
        <x:v>Independente</x:v>
      </x:c>
      <x:c r="H106" s="144" t="str">
        <x:v>Independente</x:v>
      </x:c>
      <x:c r="I106" s="111" t="str">
        <x:v>Regra residual — revisar manualmente</x:v>
      </x:c>
      <x:c r="J106" s="153" t="str">
        <x:v>Sim — alta</x:v>
      </x:c>
      <x:c r="K106" s="135" t="n">
        <x:f>IF($H106="Independente",$F106,0)</x:f>
        <x:v>1206308260.18345</x:v>
      </x:c>
      <x:c r="L106" s="135" t="n">
        <x:f>IF($H106="Ligada a banco",$F106,0)</x:f>
        <x:v>0</x:v>
      </x:c>
      <x:c r="M106" s="114" t="n">
        <x:f>IF(K106&gt;0,RANK(K106,$K$6:$K$462)+COUNTIF($K$6:K106,K106)-1,9999)</x:f>
        <x:v>90</x:v>
      </x:c>
      <x:c r="N106" s="114" t="n">
        <x:f>IF(L106&gt;0,RANK(L106,$L$6:$L$462)+COUNTIF($L$6:L106,L106)-1,9999)</x:f>
        <x:v>9999</x:v>
      </x:c>
    </x:row>
    <x:row r="107">
      <x:c r="A107" s="111" t="str">
        <x:v>OSLO DTVM S. A.</x:v>
      </x:c>
      <x:c r="B107" s="135" t="n">
        <x:v>0</x:v>
      </x:c>
      <x:c r="C107" s="135" t="n">
        <x:v>0</x:v>
      </x:c>
      <x:c r="D107" s="135" t="n">
        <x:v>0</x:v>
      </x:c>
      <x:c r="E107" s="135" t="n">
        <x:v>1203720423.3</x:v>
      </x:c>
      <x:c r="F107" s="135" t="n">
        <x:f>SUM(B107:E107)</x:f>
        <x:v>1203720423.3</x:v>
      </x:c>
      <x:c r="G107" s="111" t="str">
        <x:v>Independente</x:v>
      </x:c>
      <x:c r="H107" s="144" t="str">
        <x:v>Independente</x:v>
      </x:c>
      <x:c r="I107" s="111" t="str">
        <x:v>Regra residual — revisar manualmente</x:v>
      </x:c>
      <x:c r="J107" s="153" t="str">
        <x:v>Sim — alta</x:v>
      </x:c>
      <x:c r="K107" s="135" t="n">
        <x:f>IF($H107="Independente",$F107,0)</x:f>
        <x:v>1203720423.3</x:v>
      </x:c>
      <x:c r="L107" s="135" t="n">
        <x:f>IF($H107="Ligada a banco",$F107,0)</x:f>
        <x:v>0</x:v>
      </x:c>
      <x:c r="M107" s="114" t="n">
        <x:f>IF(K107&gt;0,RANK(K107,$K$6:$K$462)+COUNTIF($K$6:K107,K107)-1,9999)</x:f>
        <x:v>91</x:v>
      </x:c>
      <x:c r="N107" s="114" t="n">
        <x:f>IF(L107&gt;0,RANK(L107,$L$6:$L$462)+COUNTIF($L$6:L107,L107)-1,9999)</x:f>
        <x:v>9999</x:v>
      </x:c>
    </x:row>
    <x:row r="108">
      <x:c r="A108" s="111" t="str">
        <x:v>SOSU CAPITAL GESTÃO DE INVESTIMENTOS LTDA.</x:v>
      </x:c>
      <x:c r="B108" s="135" t="n">
        <x:v>0</x:v>
      </x:c>
      <x:c r="C108" s="135" t="n">
        <x:v>0</x:v>
      </x:c>
      <x:c r="D108" s="135" t="n">
        <x:v>0</x:v>
      </x:c>
      <x:c r="E108" s="135" t="n">
        <x:v>1199813830.09</x:v>
      </x:c>
      <x:c r="F108" s="135" t="n">
        <x:f>SUM(B108:E108)</x:f>
        <x:v>1199813830.09</x:v>
      </x:c>
      <x:c r="G108" s="111" t="str">
        <x:v>Independente</x:v>
      </x:c>
      <x:c r="H108" s="144" t="str">
        <x:v>Independente</x:v>
      </x:c>
      <x:c r="I108" s="111" t="str">
        <x:v>Regra residual — revisar manualmente</x:v>
      </x:c>
      <x:c r="J108" s="153" t="str">
        <x:v>Sim — alta</x:v>
      </x:c>
      <x:c r="K108" s="135" t="n">
        <x:f>IF($H108="Independente",$F108,0)</x:f>
        <x:v>1199813830.09</x:v>
      </x:c>
      <x:c r="L108" s="135" t="n">
        <x:f>IF($H108="Ligada a banco",$F108,0)</x:f>
        <x:v>0</x:v>
      </x:c>
      <x:c r="M108" s="114" t="n">
        <x:f>IF(K108&gt;0,RANK(K108,$K$6:$K$462)+COUNTIF($K$6:K108,K108)-1,9999)</x:f>
        <x:v>92</x:v>
      </x:c>
      <x:c r="N108" s="114" t="n">
        <x:f>IF(L108&gt;0,RANK(L108,$L$6:$L$462)+COUNTIF($L$6:L108,L108)-1,9999)</x:f>
        <x:v>9999</x:v>
      </x:c>
    </x:row>
    <x:row r="109">
      <x:c r="A109" s="111" t="str">
        <x:v>SOMMA Investimentos</x:v>
      </x:c>
      <x:c r="B109" s="135" t="n">
        <x:v>0</x:v>
      </x:c>
      <x:c r="C109" s="135" t="n">
        <x:v>178258793.87</x:v>
      </x:c>
      <x:c r="D109" s="135" t="n">
        <x:v>212718689.2</x:v>
      </x:c>
      <x:c r="E109" s="135" t="n">
        <x:v>754083680.69</x:v>
      </x:c>
      <x:c r="F109" s="135" t="n">
        <x:f>SUM(B109:E109)</x:f>
        <x:v>1145061163.76</x:v>
      </x:c>
      <x:c r="G109" s="111" t="str">
        <x:v>Independente</x:v>
      </x:c>
      <x:c r="H109" s="144" t="str">
        <x:v>Independente</x:v>
      </x:c>
      <x:c r="I109" s="111" t="str">
        <x:v>Regra residual — revisar manualmente</x:v>
      </x:c>
      <x:c r="J109" s="153" t="str">
        <x:v>Sim — alta</x:v>
      </x:c>
      <x:c r="K109" s="135" t="n">
        <x:f>IF($H109="Independente",$F109,0)</x:f>
        <x:v>1145061163.76</x:v>
      </x:c>
      <x:c r="L109" s="135" t="n">
        <x:f>IF($H109="Ligada a banco",$F109,0)</x:f>
        <x:v>0</x:v>
      </x:c>
      <x:c r="M109" s="114" t="n">
        <x:f>IF(K109&gt;0,RANK(K109,$K$6:$K$462)+COUNTIF($K$6:K109,K109)-1,9999)</x:f>
        <x:v>93</x:v>
      </x:c>
      <x:c r="N109" s="114" t="n">
        <x:f>IF(L109&gt;0,RANK(L109,$L$6:$L$462)+COUNTIF($L$6:L109,L109)-1,9999)</x:f>
        <x:v>9999</x:v>
      </x:c>
    </x:row>
    <x:row r="110">
      <x:c r="A110" s="111" t="str">
        <x:v>Caixa Econ. Federal</x:v>
      </x:c>
      <x:c r="B110" s="135" t="n">
        <x:v>1126388398.73</x:v>
      </x:c>
      <x:c r="C110" s="135" t="n">
        <x:v>2685323.86</x:v>
      </x:c>
      <x:c r="D110" s="135" t="n">
        <x:v>0</x:v>
      </x:c>
      <x:c r="E110" s="135" t="n">
        <x:v>0</x:v>
      </x:c>
      <x:c r="F110" s="135" t="n">
        <x:f>SUM(B110:E110)</x:f>
        <x:v>1129073722.59</x:v>
      </x:c>
      <x:c r="G110" s="111" t="str">
        <x:v>Ligada a banco</x:v>
      </x:c>
      <x:c r="H110" s="144" t="str">
        <x:v>Ligada a banco</x:v>
      </x:c>
      <x:c r="I110" s="111" t="str">
        <x:v>Regra nominal: CAIXA</x:v>
      </x:c>
      <x:c r="J110" s="153" t="str">
        <x:v>Confirmar</x:v>
      </x:c>
      <x:c r="K110" s="135" t="n">
        <x:f>IF($H110="Independente",$F110,0)</x:f>
        <x:v>0</x:v>
      </x:c>
      <x:c r="L110" s="135" t="n">
        <x:f>IF($H110="Ligada a banco",$F110,0)</x:f>
        <x:v>1129073722.59</x:v>
      </x:c>
      <x:c r="M110" s="114" t="n">
        <x:f>IF(K110&gt;0,RANK(K110,$K$6:$K$462)+COUNTIF($K$6:K110,K110)-1,9999)</x:f>
        <x:v>9999</x:v>
      </x:c>
      <x:c r="N110" s="114" t="n">
        <x:f>IF(L110&gt;0,RANK(L110,$L$6:$L$462)+COUNTIF($L$6:L110,L110)-1,9999)</x:f>
        <x:v>12</x:v>
      </x:c>
    </x:row>
    <x:row r="111">
      <x:c r="A111" s="111" t="str">
        <x:v>Pátria Investimentos Ltda.</x:v>
      </x:c>
      <x:c r="B111" s="135" t="n">
        <x:v>658868248.54</x:v>
      </x:c>
      <x:c r="C111" s="135" t="n">
        <x:v>0</x:v>
      </x:c>
      <x:c r="D111" s="135" t="n">
        <x:v>0</x:v>
      </x:c>
      <x:c r="E111" s="135" t="n">
        <x:v>468307998.62000006</x:v>
      </x:c>
      <x:c r="F111" s="135" t="n">
        <x:f>SUM(B111:E111)</x:f>
        <x:v>1127176247.16</x:v>
      </x:c>
      <x:c r="G111" s="111" t="str">
        <x:v>Independente</x:v>
      </x:c>
      <x:c r="H111" s="144" t="str">
        <x:v>Independente</x:v>
      </x:c>
      <x:c r="I111" s="111" t="str">
        <x:v>Regra residual — revisar manualmente</x:v>
      </x:c>
      <x:c r="J111" s="153" t="str">
        <x:v>Sim — alta</x:v>
      </x:c>
      <x:c r="K111" s="135" t="n">
        <x:f>IF($H111="Independente",$F111,0)</x:f>
        <x:v>1127176247.16</x:v>
      </x:c>
      <x:c r="L111" s="135" t="n">
        <x:f>IF($H111="Ligada a banco",$F111,0)</x:f>
        <x:v>0</x:v>
      </x:c>
      <x:c r="M111" s="114" t="n">
        <x:f>IF(K111&gt;0,RANK(K111,$K$6:$K$462)+COUNTIF($K$6:K111,K111)-1,9999)</x:f>
        <x:v>94</x:v>
      </x:c>
      <x:c r="N111" s="114" t="n">
        <x:f>IF(L111&gt;0,RANK(L111,$L$6:$L$462)+COUNTIF($L$6:L111,L111)-1,9999)</x:f>
        <x:v>9999</x:v>
      </x:c>
    </x:row>
    <x:row r="112">
      <x:c r="A112" s="111" t="str">
        <x:v>Algarve Capital</x:v>
      </x:c>
      <x:c r="B112" s="135" t="n">
        <x:v>0</x:v>
      </x:c>
      <x:c r="C112" s="135" t="n">
        <x:v>0</x:v>
      </x:c>
      <x:c r="D112" s="135" t="n">
        <x:v>0</x:v>
      </x:c>
      <x:c r="E112" s="135" t="n">
        <x:v>1123448309.9899998</x:v>
      </x:c>
      <x:c r="F112" s="135" t="n">
        <x:f>SUM(B112:E112)</x:f>
        <x:v>1123448309.9899998</x:v>
      </x:c>
      <x:c r="G112" s="111" t="str">
        <x:v>Independente</x:v>
      </x:c>
      <x:c r="H112" s="144" t="str">
        <x:v>Independente</x:v>
      </x:c>
      <x:c r="I112" s="111" t="str">
        <x:v>Regra residual — revisar manualmente</x:v>
      </x:c>
      <x:c r="J112" s="153" t="str">
        <x:v>Sim — alta</x:v>
      </x:c>
      <x:c r="K112" s="135" t="n">
        <x:f>IF($H112="Independente",$F112,0)</x:f>
        <x:v>1123448309.9899998</x:v>
      </x:c>
      <x:c r="L112" s="135" t="n">
        <x:f>IF($H112="Ligada a banco",$F112,0)</x:f>
        <x:v>0</x:v>
      </x:c>
      <x:c r="M112" s="114" t="n">
        <x:f>IF(K112&gt;0,RANK(K112,$K$6:$K$462)+COUNTIF($K$6:K112,K112)-1,9999)</x:f>
        <x:v>95</x:v>
      </x:c>
      <x:c r="N112" s="114" t="n">
        <x:f>IF(L112&gt;0,RANK(L112,$L$6:$L$462)+COUNTIF($L$6:L112,L112)-1,9999)</x:f>
        <x:v>9999</x:v>
      </x:c>
    </x:row>
    <x:row r="113">
      <x:c r="A113" s="111" t="str">
        <x:v>WNT Gestora de Recursos Ltda.</x:v>
      </x:c>
      <x:c r="B113" s="135" t="n">
        <x:v>0</x:v>
      </x:c>
      <x:c r="C113" s="135" t="n">
        <x:v>629107278.5600001</x:v>
      </x:c>
      <x:c r="D113" s="135" t="n">
        <x:v>50588852.809999995</x:v>
      </x:c>
      <x:c r="E113" s="135" t="n">
        <x:v>433520289.85</x:v>
      </x:c>
      <x:c r="F113" s="135" t="n">
        <x:f>SUM(B113:E113)</x:f>
        <x:v>1113216421.22</x:v>
      </x:c>
      <x:c r="G113" s="111" t="str">
        <x:v>Independente</x:v>
      </x:c>
      <x:c r="H113" s="144" t="str">
        <x:v>Independente</x:v>
      </x:c>
      <x:c r="I113" s="111" t="str">
        <x:v>Regra residual — revisar manualmente</x:v>
      </x:c>
      <x:c r="J113" s="153" t="str">
        <x:v>Sim — alta</x:v>
      </x:c>
      <x:c r="K113" s="135" t="n">
        <x:f>IF($H113="Independente",$F113,0)</x:f>
        <x:v>1113216421.22</x:v>
      </x:c>
      <x:c r="L113" s="135" t="n">
        <x:f>IF($H113="Ligada a banco",$F113,0)</x:f>
        <x:v>0</x:v>
      </x:c>
      <x:c r="M113" s="114" t="n">
        <x:f>IF(K113&gt;0,RANK(K113,$K$6:$K$462)+COUNTIF($K$6:K113,K113)-1,9999)</x:f>
        <x:v>96</x:v>
      </x:c>
      <x:c r="N113" s="114" t="n">
        <x:f>IF(L113&gt;0,RANK(L113,$L$6:$L$462)+COUNTIF($L$6:L113,L113)-1,9999)</x:f>
        <x:v>9999</x:v>
      </x:c>
    </x:row>
    <x:row r="114">
      <x:c r="A114" s="111" t="str">
        <x:v>Beyond Capital Ltda</x:v>
      </x:c>
      <x:c r="B114" s="135" t="n">
        <x:v>1110457112.26</x:v>
      </x:c>
      <x:c r="C114" s="135" t="n">
        <x:v>0</x:v>
      </x:c>
      <x:c r="D114" s="135" t="n">
        <x:v>0</x:v>
      </x:c>
      <x:c r="E114" s="135" t="n">
        <x:v>0</x:v>
      </x:c>
      <x:c r="F114" s="135" t="n">
        <x:f>SUM(B114:E114)</x:f>
        <x:v>1110457112.26</x:v>
      </x:c>
      <x:c r="G114" s="111" t="str">
        <x:v>Independente</x:v>
      </x:c>
      <x:c r="H114" s="144" t="str">
        <x:v>Independente</x:v>
      </x:c>
      <x:c r="I114" s="111" t="str">
        <x:v>Regra residual — revisar manualmente</x:v>
      </x:c>
      <x:c r="J114" s="153" t="str">
        <x:v>Sim — alta</x:v>
      </x:c>
      <x:c r="K114" s="135" t="n">
        <x:f>IF($H114="Independente",$F114,0)</x:f>
        <x:v>1110457112.26</x:v>
      </x:c>
      <x:c r="L114" s="135" t="n">
        <x:f>IF($H114="Ligada a banco",$F114,0)</x:f>
        <x:v>0</x:v>
      </x:c>
      <x:c r="M114" s="114" t="n">
        <x:f>IF(K114&gt;0,RANK(K114,$K$6:$K$462)+COUNTIF($K$6:K114,K114)-1,9999)</x:f>
        <x:v>97</x:v>
      </x:c>
      <x:c r="N114" s="114" t="n">
        <x:f>IF(L114&gt;0,RANK(L114,$L$6:$L$462)+COUNTIF($L$6:L114,L114)-1,9999)</x:f>
        <x:v>9999</x:v>
      </x:c>
    </x:row>
    <x:row r="115">
      <x:c r="A115" s="111" t="str">
        <x:v>Golden Asset Gestora de Recursos</x:v>
      </x:c>
      <x:c r="B115" s="135" t="n">
        <x:v>0</x:v>
      </x:c>
      <x:c r="C115" s="135" t="n">
        <x:v>0</x:v>
      </x:c>
      <x:c r="D115" s="135" t="n">
        <x:v>964146522.89</x:v>
      </x:c>
      <x:c r="E115" s="135" t="n">
        <x:v>131281193.22</x:v>
      </x:c>
      <x:c r="F115" s="135" t="n">
        <x:f>SUM(B115:E115)</x:f>
        <x:v>1095427716.11</x:v>
      </x:c>
      <x:c r="G115" s="111" t="str">
        <x:v>Independente</x:v>
      </x:c>
      <x:c r="H115" s="144" t="str">
        <x:v>Independente</x:v>
      </x:c>
      <x:c r="I115" s="111" t="str">
        <x:v>Regra residual — revisar manualmente</x:v>
      </x:c>
      <x:c r="J115" s="153" t="str">
        <x:v>Sim — alta</x:v>
      </x:c>
      <x:c r="K115" s="135" t="n">
        <x:f>IF($H115="Independente",$F115,0)</x:f>
        <x:v>1095427716.11</x:v>
      </x:c>
      <x:c r="L115" s="135" t="n">
        <x:f>IF($H115="Ligada a banco",$F115,0)</x:f>
        <x:v>0</x:v>
      </x:c>
      <x:c r="M115" s="114" t="n">
        <x:f>IF(K115&gt;0,RANK(K115,$K$6:$K$462)+COUNTIF($K$6:K115,K115)-1,9999)</x:f>
        <x:v>98</x:v>
      </x:c>
      <x:c r="N115" s="114" t="n">
        <x:f>IF(L115&gt;0,RANK(L115,$L$6:$L$462)+COUNTIF($L$6:L115,L115)-1,9999)</x:f>
        <x:v>9999</x:v>
      </x:c>
    </x:row>
    <x:row r="116">
      <x:c r="A116" s="111" t="str">
        <x:v>Kobold Gestora de Fundos LTDA.</x:v>
      </x:c>
      <x:c r="B116" s="135" t="n">
        <x:v>0</x:v>
      </x:c>
      <x:c r="C116" s="135" t="n">
        <x:v>0</x:v>
      </x:c>
      <x:c r="D116" s="135" t="n">
        <x:v>0</x:v>
      </x:c>
      <x:c r="E116" s="135" t="n">
        <x:v>1081084998.51</x:v>
      </x:c>
      <x:c r="F116" s="135" t="n">
        <x:f>SUM(B116:E116)</x:f>
        <x:v>1081084998.51</x:v>
      </x:c>
      <x:c r="G116" s="111" t="str">
        <x:v>Independente</x:v>
      </x:c>
      <x:c r="H116" s="144" t="str">
        <x:v>Independente</x:v>
      </x:c>
      <x:c r="I116" s="111" t="str">
        <x:v>Regra residual — revisar manualmente</x:v>
      </x:c>
      <x:c r="J116" s="153" t="str">
        <x:v>Sim — alta</x:v>
      </x:c>
      <x:c r="K116" s="135" t="n">
        <x:f>IF($H116="Independente",$F116,0)</x:f>
        <x:v>1081084998.51</x:v>
      </x:c>
      <x:c r="L116" s="135" t="n">
        <x:f>IF($H116="Ligada a banco",$F116,0)</x:f>
        <x:v>0</x:v>
      </x:c>
      <x:c r="M116" s="114" t="n">
        <x:f>IF(K116&gt;0,RANK(K116,$K$6:$K$462)+COUNTIF($K$6:K116,K116)-1,9999)</x:f>
        <x:v>99</x:v>
      </x:c>
      <x:c r="N116" s="114" t="n">
        <x:f>IF(L116&gt;0,RANK(L116,$L$6:$L$462)+COUNTIF($L$6:L116,L116)-1,9999)</x:f>
        <x:v>9999</x:v>
      </x:c>
    </x:row>
    <x:row r="117">
      <x:c r="A117" s="111" t="str">
        <x:v>Plural Investimentos Gestão de Recursos Ltda.</x:v>
      </x:c>
      <x:c r="B117" s="135" t="n">
        <x:v>132374443.32</x:v>
      </x:c>
      <x:c r="C117" s="135" t="n">
        <x:v>166893363.05</x:v>
      </x:c>
      <x:c r="D117" s="135" t="n">
        <x:v>39570550.629999995</x:v>
      </x:c>
      <x:c r="E117" s="135" t="n">
        <x:v>741436336.95</x:v>
      </x:c>
      <x:c r="F117" s="135" t="n">
        <x:f>SUM(B117:E117)</x:f>
        <x:v>1080274693.95</x:v>
      </x:c>
      <x:c r="G117" s="111" t="str">
        <x:v>Ligada a banco</x:v>
      </x:c>
      <x:c r="H117" s="144" t="str">
        <x:v>Ligada a banco</x:v>
      </x:c>
      <x:c r="I117" s="111" t="str">
        <x:v>Regra nominal: PLURAL</x:v>
      </x:c>
      <x:c r="J117" s="153" t="str">
        <x:v>Confirmar</x:v>
      </x:c>
      <x:c r="K117" s="135" t="n">
        <x:f>IF($H117="Independente",$F117,0)</x:f>
        <x:v>0</x:v>
      </x:c>
      <x:c r="L117" s="135" t="n">
        <x:f>IF($H117="Ligada a banco",$F117,0)</x:f>
        <x:v>1080274693.95</x:v>
      </x:c>
      <x:c r="M117" s="114" t="n">
        <x:f>IF(K117&gt;0,RANK(K117,$K$6:$K$462)+COUNTIF($K$6:K117,K117)-1,9999)</x:f>
        <x:v>9999</x:v>
      </x:c>
      <x:c r="N117" s="114" t="n">
        <x:f>IF(L117&gt;0,RANK(L117,$L$6:$L$462)+COUNTIF($L$6:L117,L117)-1,9999)</x:f>
        <x:v>13</x:v>
      </x:c>
    </x:row>
    <x:row r="118">
      <x:c r="A118" s="111" t="str">
        <x:v>PIER GESTAO DE RECURSOS FINANCEIROS LTDA</x:v>
      </x:c>
      <x:c r="B118" s="135" t="n">
        <x:v>19073860.16</x:v>
      </x:c>
      <x:c r="C118" s="135" t="n">
        <x:v>1049722289.56</x:v>
      </x:c>
      <x:c r="D118" s="135" t="n">
        <x:v>0</x:v>
      </x:c>
      <x:c r="E118" s="135" t="n">
        <x:v>11272945.83</x:v>
      </x:c>
      <x:c r="F118" s="135" t="n">
        <x:f>SUM(B118:E118)</x:f>
        <x:v>1080069095.55</x:v>
      </x:c>
      <x:c r="G118" s="111" t="str">
        <x:v>Independente</x:v>
      </x:c>
      <x:c r="H118" s="144" t="str">
        <x:v>Independente</x:v>
      </x:c>
      <x:c r="I118" s="111" t="str">
        <x:v>Regra residual — revisar manualmente</x:v>
      </x:c>
      <x:c r="J118" s="153" t="str">
        <x:v>Sim — alta</x:v>
      </x:c>
      <x:c r="K118" s="135" t="n">
        <x:f>IF($H118="Independente",$F118,0)</x:f>
        <x:v>1080069095.55</x:v>
      </x:c>
      <x:c r="L118" s="135" t="n">
        <x:f>IF($H118="Ligada a banco",$F118,0)</x:f>
        <x:v>0</x:v>
      </x:c>
      <x:c r="M118" s="114" t="n">
        <x:f>IF(K118&gt;0,RANK(K118,$K$6:$K$462)+COUNTIF($K$6:K118,K118)-1,9999)</x:f>
        <x:v>100</x:v>
      </x:c>
      <x:c r="N118" s="114" t="n">
        <x:f>IF(L118&gt;0,RANK(L118,$L$6:$L$462)+COUNTIF($L$6:L118,L118)-1,9999)</x:f>
        <x:v>9999</x:v>
      </x:c>
    </x:row>
    <x:row r="119">
      <x:c r="A119" s="111" t="str">
        <x:v>CVPAR Investimentos ltda</x:v>
      </x:c>
      <x:c r="B119" s="135" t="n">
        <x:v>0</x:v>
      </x:c>
      <x:c r="C119" s="135" t="n">
        <x:v>0</x:v>
      </x:c>
      <x:c r="D119" s="135" t="n">
        <x:v>0</x:v>
      </x:c>
      <x:c r="E119" s="135" t="n">
        <x:v>1078472977.6699998</x:v>
      </x:c>
      <x:c r="F119" s="135" t="n">
        <x:f>SUM(B119:E119)</x:f>
        <x:v>1078472977.6699998</x:v>
      </x:c>
      <x:c r="G119" s="111" t="str">
        <x:v>Independente</x:v>
      </x:c>
      <x:c r="H119" s="144" t="str">
        <x:v>Independente</x:v>
      </x:c>
      <x:c r="I119" s="111" t="str">
        <x:v>Regra residual — revisar manualmente</x:v>
      </x:c>
      <x:c r="J119" s="153" t="str">
        <x:v>Sim — alta</x:v>
      </x:c>
      <x:c r="K119" s="135" t="n">
        <x:f>IF($H119="Independente",$F119,0)</x:f>
        <x:v>1078472977.6699998</x:v>
      </x:c>
      <x:c r="L119" s="135" t="n">
        <x:f>IF($H119="Ligada a banco",$F119,0)</x:f>
        <x:v>0</x:v>
      </x:c>
      <x:c r="M119" s="114" t="n">
        <x:f>IF(K119&gt;0,RANK(K119,$K$6:$K$462)+COUNTIF($K$6:K119,K119)-1,9999)</x:f>
        <x:v>101</x:v>
      </x:c>
      <x:c r="N119" s="114" t="n">
        <x:f>IF(L119&gt;0,RANK(L119,$L$6:$L$462)+COUNTIF($L$6:L119,L119)-1,9999)</x:f>
        <x:v>9999</x:v>
      </x:c>
    </x:row>
    <x:row r="120">
      <x:c r="A120" s="111" t="str">
        <x:v>BTG PACTUAL GESTAO E CONSULTORIA DE INVESTIMENTOS</x:v>
      </x:c>
      <x:c r="B120" s="135" t="n">
        <x:v>549596002.27</x:v>
      </x:c>
      <x:c r="C120" s="135" t="n">
        <x:v>0</x:v>
      </x:c>
      <x:c r="D120" s="135" t="n">
        <x:v>0</x:v>
      </x:c>
      <x:c r="E120" s="135" t="n">
        <x:v>478144011.7442</x:v>
      </x:c>
      <x:c r="F120" s="135" t="n">
        <x:f>SUM(B120:E120)</x:f>
        <x:v>1027740014.0142</x:v>
      </x:c>
      <x:c r="G120" s="111" t="str">
        <x:v>Ligada a banco</x:v>
      </x:c>
      <x:c r="H120" s="144" t="str">
        <x:v>Ligada a banco</x:v>
      </x:c>
      <x:c r="I120" s="111" t="str">
        <x:v>Regra nominal: BTG</x:v>
      </x:c>
      <x:c r="J120" s="153" t="str">
        <x:v>Confirmar</x:v>
      </x:c>
      <x:c r="K120" s="135" t="n">
        <x:f>IF($H120="Independente",$F120,0)</x:f>
        <x:v>0</x:v>
      </x:c>
      <x:c r="L120" s="135" t="n">
        <x:f>IF($H120="Ligada a banco",$F120,0)</x:f>
        <x:v>1027740014.0142</x:v>
      </x:c>
      <x:c r="M120" s="114" t="n">
        <x:f>IF(K120&gt;0,RANK(K120,$K$6:$K$462)+COUNTIF($K$6:K120,K120)-1,9999)</x:f>
        <x:v>9999</x:v>
      </x:c>
      <x:c r="N120" s="114" t="n">
        <x:f>IF(L120&gt;0,RANK(L120,$L$6:$L$462)+COUNTIF($L$6:L120,L120)-1,9999)</x:f>
        <x:v>14</x:v>
      </x:c>
    </x:row>
    <x:row r="121">
      <x:c r="A121" s="111" t="str">
        <x:v>REAG GESTÃO DE CRÉDITO</x:v>
      </x:c>
      <x:c r="B121" s="135" t="n">
        <x:v>158700545.07000002</x:v>
      </x:c>
      <x:c r="C121" s="135" t="n">
        <x:v>677166583.2900001</x:v>
      </x:c>
      <x:c r="D121" s="135" t="n">
        <x:v>9035718</x:v>
      </x:c>
      <x:c r="E121" s="135" t="n">
        <x:v>129985693.44</x:v>
      </x:c>
      <x:c r="F121" s="135" t="n">
        <x:f>SUM(B121:E121)</x:f>
        <x:v>974888539.8000002</x:v>
      </x:c>
      <x:c r="G121" s="111" t="str">
        <x:v>Independente</x:v>
      </x:c>
      <x:c r="H121" s="144" t="str">
        <x:v>Independente</x:v>
      </x:c>
      <x:c r="I121" s="111" t="str">
        <x:v>Regra residual — revisar manualmente</x:v>
      </x:c>
      <x:c r="J121" s="153" t="str">
        <x:v>Sim — alta</x:v>
      </x:c>
      <x:c r="K121" s="135" t="n">
        <x:f>IF($H121="Independente",$F121,0)</x:f>
        <x:v>974888539.8000002</x:v>
      </x:c>
      <x:c r="L121" s="135" t="n">
        <x:f>IF($H121="Ligada a banco",$F121,0)</x:f>
        <x:v>0</x:v>
      </x:c>
      <x:c r="M121" s="114" t="n">
        <x:f>IF(K121&gt;0,RANK(K121,$K$6:$K$462)+COUNTIF($K$6:K121,K121)-1,9999)</x:f>
        <x:v>102</x:v>
      </x:c>
      <x:c r="N121" s="114" t="n">
        <x:f>IF(L121&gt;0,RANK(L121,$L$6:$L$462)+COUNTIF($L$6:L121,L121)-1,9999)</x:f>
        <x:v>9999</x:v>
      </x:c>
    </x:row>
    <x:row r="122">
      <x:c r="A122" s="111" t="str">
        <x:v>SameSide GP</x:v>
      </x:c>
      <x:c r="B122" s="135" t="n">
        <x:v>0</x:v>
      </x:c>
      <x:c r="C122" s="135" t="n">
        <x:v>0</x:v>
      </x:c>
      <x:c r="D122" s="135" t="n">
        <x:v>0</x:v>
      </x:c>
      <x:c r="E122" s="135" t="n">
        <x:v>960708741.59</x:v>
      </x:c>
      <x:c r="F122" s="135" t="n">
        <x:f>SUM(B122:E122)</x:f>
        <x:v>960708741.59</x:v>
      </x:c>
      <x:c r="G122" s="111" t="str">
        <x:v>Independente</x:v>
      </x:c>
      <x:c r="H122" s="144" t="str">
        <x:v>Independente</x:v>
      </x:c>
      <x:c r="I122" s="111" t="str">
        <x:v>Regra residual — revisar manualmente</x:v>
      </x:c>
      <x:c r="J122" s="153" t="str">
        <x:v>Sim — alta</x:v>
      </x:c>
      <x:c r="K122" s="135" t="n">
        <x:f>IF($H122="Independente",$F122,0)</x:f>
        <x:v>960708741.59</x:v>
      </x:c>
      <x:c r="L122" s="135" t="n">
        <x:f>IF($H122="Ligada a banco",$F122,0)</x:f>
        <x:v>0</x:v>
      </x:c>
      <x:c r="M122" s="114" t="n">
        <x:f>IF(K122&gt;0,RANK(K122,$K$6:$K$462)+COUNTIF($K$6:K122,K122)-1,9999)</x:f>
        <x:v>103</x:v>
      </x:c>
      <x:c r="N122" s="114" t="n">
        <x:f>IF(L122&gt;0,RANK(L122,$L$6:$L$462)+COUNTIF($L$6:L122,L122)-1,9999)</x:f>
        <x:v>9999</x:v>
      </x:c>
    </x:row>
    <x:row r="123">
      <x:c r="A123" s="111" t="str">
        <x:v>CONTEA CAPITAL</x:v>
      </x:c>
      <x:c r="B123" s="135" t="n">
        <x:v>0</x:v>
      </x:c>
      <x:c r="C123" s="135" t="n">
        <x:v>496269898.66999984</x:v>
      </x:c>
      <x:c r="D123" s="135" t="n">
        <x:v>28459540.8</x:v>
      </x:c>
      <x:c r="E123" s="135" t="n">
        <x:v>427546191.14</x:v>
      </x:c>
      <x:c r="F123" s="135" t="n">
        <x:f>SUM(B123:E123)</x:f>
        <x:v>952275630.6099999</x:v>
      </x:c>
      <x:c r="G123" s="111" t="str">
        <x:v>Independente</x:v>
      </x:c>
      <x:c r="H123" s="144" t="str">
        <x:v>Independente</x:v>
      </x:c>
      <x:c r="I123" s="111" t="str">
        <x:v>Regra residual — revisar manualmente</x:v>
      </x:c>
      <x:c r="J123" s="153" t="str">
        <x:v>Sim — alta</x:v>
      </x:c>
      <x:c r="K123" s="135" t="n">
        <x:f>IF($H123="Independente",$F123,0)</x:f>
        <x:v>952275630.6099999</x:v>
      </x:c>
      <x:c r="L123" s="135" t="n">
        <x:f>IF($H123="Ligada a banco",$F123,0)</x:f>
        <x:v>0</x:v>
      </x:c>
      <x:c r="M123" s="114" t="n">
        <x:f>IF(K123&gt;0,RANK(K123,$K$6:$K$462)+COUNTIF($K$6:K123,K123)-1,9999)</x:f>
        <x:v>104</x:v>
      </x:c>
      <x:c r="N123" s="114" t="n">
        <x:f>IF(L123&gt;0,RANK(L123,$L$6:$L$462)+COUNTIF($L$6:L123,L123)-1,9999)</x:f>
        <x:v>9999</x:v>
      </x:c>
    </x:row>
    <x:row r="124">
      <x:c r="A124" s="111" t="str">
        <x:v>V8 Capital</x:v>
      </x:c>
      <x:c r="B124" s="135" t="n">
        <x:v>0</x:v>
      </x:c>
      <x:c r="C124" s="135" t="n">
        <x:v>0</x:v>
      </x:c>
      <x:c r="D124" s="135" t="n">
        <x:v>490739327.08</x:v>
      </x:c>
      <x:c r="E124" s="135" t="n">
        <x:v>455103399.38</x:v>
      </x:c>
      <x:c r="F124" s="135" t="n">
        <x:f>SUM(B124:E124)</x:f>
        <x:v>945842726.46</x:v>
      </x:c>
      <x:c r="G124" s="111" t="str">
        <x:v>Independente</x:v>
      </x:c>
      <x:c r="H124" s="144" t="str">
        <x:v>Independente</x:v>
      </x:c>
      <x:c r="I124" s="111" t="str">
        <x:v>Regra residual — revisar manualmente</x:v>
      </x:c>
      <x:c r="J124" s="153" t="str">
        <x:v>Sim — alta</x:v>
      </x:c>
      <x:c r="K124" s="135" t="n">
        <x:f>IF($H124="Independente",$F124,0)</x:f>
        <x:v>945842726.46</x:v>
      </x:c>
      <x:c r="L124" s="135" t="n">
        <x:f>IF($H124="Ligada a banco",$F124,0)</x:f>
        <x:v>0</x:v>
      </x:c>
      <x:c r="M124" s="114" t="n">
        <x:f>IF(K124&gt;0,RANK(K124,$K$6:$K$462)+COUNTIF($K$6:K124,K124)-1,9999)</x:f>
        <x:v>105</x:v>
      </x:c>
      <x:c r="N124" s="114" t="n">
        <x:f>IF(L124&gt;0,RANK(L124,$L$6:$L$462)+COUNTIF($L$6:L124,L124)-1,9999)</x:f>
        <x:v>9999</x:v>
      </x:c>
    </x:row>
    <x:row r="125">
      <x:c r="A125" s="111" t="str">
        <x:v>ASAROCK ASSET MANAGEMENT</x:v>
      </x:c>
      <x:c r="B125" s="135" t="n">
        <x:v>0</x:v>
      </x:c>
      <x:c r="C125" s="135" t="n">
        <x:v>0</x:v>
      </x:c>
      <x:c r="D125" s="135" t="n">
        <x:v>99150821.3</x:v>
      </x:c>
      <x:c r="E125" s="135" t="n">
        <x:v>846382231.9099998</x:v>
      </x:c>
      <x:c r="F125" s="135" t="n">
        <x:f>SUM(B125:E125)</x:f>
        <x:v>945533053.2099998</x:v>
      </x:c>
      <x:c r="G125" s="111" t="str">
        <x:v>Independente</x:v>
      </x:c>
      <x:c r="H125" s="144" t="str">
        <x:v>Independente</x:v>
      </x:c>
      <x:c r="I125" s="111" t="str">
        <x:v>Regra residual — revisar manualmente</x:v>
      </x:c>
      <x:c r="J125" s="153" t="str">
        <x:v>Sim — alta</x:v>
      </x:c>
      <x:c r="K125" s="135" t="n">
        <x:f>IF($H125="Independente",$F125,0)</x:f>
        <x:v>945533053.2099998</x:v>
      </x:c>
      <x:c r="L125" s="135" t="n">
        <x:f>IF($H125="Ligada a banco",$F125,0)</x:f>
        <x:v>0</x:v>
      </x:c>
      <x:c r="M125" s="114" t="n">
        <x:f>IF(K125&gt;0,RANK(K125,$K$6:$K$462)+COUNTIF($K$6:K125,K125)-1,9999)</x:f>
        <x:v>106</x:v>
      </x:c>
      <x:c r="N125" s="114" t="n">
        <x:f>IF(L125&gt;0,RANK(L125,$L$6:$L$462)+COUNTIF($L$6:L125,L125)-1,9999)</x:f>
        <x:v>9999</x:v>
      </x:c>
    </x:row>
    <x:row r="126">
      <x:c r="A126" s="111" t="str">
        <x:v>XP Gestão de Recurso</x:v>
      </x:c>
      <x:c r="B126" s="135" t="n">
        <x:v>0</x:v>
      </x:c>
      <x:c r="C126" s="135" t="n">
        <x:v>938669951.39</x:v>
      </x:c>
      <x:c r="D126" s="135" t="n">
        <x:v>0</x:v>
      </x:c>
      <x:c r="E126" s="135" t="n">
        <x:v>0</x:v>
      </x:c>
      <x:c r="F126" s="135" t="n">
        <x:f>SUM(B126:E126)</x:f>
        <x:v>938669951.39</x:v>
      </x:c>
      <x:c r="G126" s="111" t="str">
        <x:v>Ligada a banco</x:v>
      </x:c>
      <x:c r="H126" s="144" t="str">
        <x:v>Ligada a banco</x:v>
      </x:c>
      <x:c r="I126" s="111" t="str">
        <x:v>Regra nominal: XP</x:v>
      </x:c>
      <x:c r="J126" s="153" t="str">
        <x:v>Confirmar</x:v>
      </x:c>
      <x:c r="K126" s="135" t="n">
        <x:f>IF($H126="Independente",$F126,0)</x:f>
        <x:v>0</x:v>
      </x:c>
      <x:c r="L126" s="135" t="n">
        <x:f>IF($H126="Ligada a banco",$F126,0)</x:f>
        <x:v>938669951.39</x:v>
      </x:c>
      <x:c r="M126" s="114" t="n">
        <x:f>IF(K126&gt;0,RANK(K126,$K$6:$K$462)+COUNTIF($K$6:K126,K126)-1,9999)</x:f>
        <x:v>9999</x:v>
      </x:c>
      <x:c r="N126" s="114" t="n">
        <x:f>IF(L126&gt;0,RANK(L126,$L$6:$L$462)+COUNTIF($L$6:L126,L126)-1,9999)</x:f>
        <x:v>15</x:v>
      </x:c>
    </x:row>
    <x:row r="127">
      <x:c r="A127" s="111" t="str">
        <x:v>SUNO ASSET MANAGEMENT</x:v>
      </x:c>
      <x:c r="B127" s="135" t="n">
        <x:v>935278332.61</x:v>
      </x:c>
      <x:c r="C127" s="135" t="n">
        <x:v>0</x:v>
      </x:c>
      <x:c r="D127" s="135" t="n">
        <x:v>0</x:v>
      </x:c>
      <x:c r="E127" s="135" t="n">
        <x:v>0</x:v>
      </x:c>
      <x:c r="F127" s="135" t="n">
        <x:f>SUM(B127:E127)</x:f>
        <x:v>935278332.61</x:v>
      </x:c>
      <x:c r="G127" s="111" t="str">
        <x:v>Independente</x:v>
      </x:c>
      <x:c r="H127" s="144" t="str">
        <x:v>Independente</x:v>
      </x:c>
      <x:c r="I127" s="111" t="str">
        <x:v>Regra residual — revisar manualmente</x:v>
      </x:c>
      <x:c r="J127" s="153" t="str">
        <x:v>Sim — alta</x:v>
      </x:c>
      <x:c r="K127" s="135" t="n">
        <x:f>IF($H127="Independente",$F127,0)</x:f>
        <x:v>935278332.61</x:v>
      </x:c>
      <x:c r="L127" s="135" t="n">
        <x:f>IF($H127="Ligada a banco",$F127,0)</x:f>
        <x:v>0</x:v>
      </x:c>
      <x:c r="M127" s="114" t="n">
        <x:f>IF(K127&gt;0,RANK(K127,$K$6:$K$462)+COUNTIF($K$6:K127,K127)-1,9999)</x:f>
        <x:v>107</x:v>
      </x:c>
      <x:c r="N127" s="114" t="n">
        <x:f>IF(L127&gt;0,RANK(L127,$L$6:$L$462)+COUNTIF($L$6:L127,L127)-1,9999)</x:f>
        <x:v>9999</x:v>
      </x:c>
    </x:row>
    <x:row r="128">
      <x:c r="A128" s="111" t="str">
        <x:v>BRZ Gestão de Recursos</x:v>
      </x:c>
      <x:c r="B128" s="135" t="n">
        <x:v>0</x:v>
      </x:c>
      <x:c r="C128" s="135" t="n">
        <x:v>852936209.7099998</x:v>
      </x:c>
      <x:c r="D128" s="135" t="n">
        <x:v>37262961.88999999</x:v>
      </x:c>
      <x:c r="E128" s="135" t="n">
        <x:v>44722473.30000002</x:v>
      </x:c>
      <x:c r="F128" s="135" t="n">
        <x:f>SUM(B128:E128)</x:f>
        <x:v>934921644.8999999</x:v>
      </x:c>
      <x:c r="G128" s="111" t="str">
        <x:v>Independente</x:v>
      </x:c>
      <x:c r="H128" s="144" t="str">
        <x:v>Independente</x:v>
      </x:c>
      <x:c r="I128" s="111" t="str">
        <x:v>Regra residual — revisar manualmente</x:v>
      </x:c>
      <x:c r="J128" s="153" t="str">
        <x:v>Sim — alta</x:v>
      </x:c>
      <x:c r="K128" s="135" t="n">
        <x:f>IF($H128="Independente",$F128,0)</x:f>
        <x:v>934921644.8999999</x:v>
      </x:c>
      <x:c r="L128" s="135" t="n">
        <x:f>IF($H128="Ligada a banco",$F128,0)</x:f>
        <x:v>0</x:v>
      </x:c>
      <x:c r="M128" s="114" t="n">
        <x:f>IF(K128&gt;0,RANK(K128,$K$6:$K$462)+COUNTIF($K$6:K128,K128)-1,9999)</x:f>
        <x:v>108</x:v>
      </x:c>
      <x:c r="N128" s="114" t="n">
        <x:f>IF(L128&gt;0,RANK(L128,$L$6:$L$462)+COUNTIF($L$6:L128,L128)-1,9999)</x:f>
        <x:v>9999</x:v>
      </x:c>
    </x:row>
    <x:row r="129">
      <x:c r="A129" s="111" t="str">
        <x:v>Iggy Investimentos</x:v>
      </x:c>
      <x:c r="B129" s="135" t="n">
        <x:v>1411480.7500000005</x:v>
      </x:c>
      <x:c r="C129" s="135" t="n">
        <x:v>0</x:v>
      </x:c>
      <x:c r="D129" s="135" t="n">
        <x:v>581858562.5224497</x:v>
      </x:c>
      <x:c r="E129" s="135" t="n">
        <x:v>329917372.42</x:v>
      </x:c>
      <x:c r="F129" s="135" t="n">
        <x:f>SUM(B129:E129)</x:f>
        <x:v>913187415.6924498</x:v>
      </x:c>
      <x:c r="G129" s="111" t="str">
        <x:v>Independente</x:v>
      </x:c>
      <x:c r="H129" s="144" t="str">
        <x:v>Independente</x:v>
      </x:c>
      <x:c r="I129" s="111" t="str">
        <x:v>Regra residual — revisar manualmente</x:v>
      </x:c>
      <x:c r="J129" s="153" t="str">
        <x:v>Sim — alta</x:v>
      </x:c>
      <x:c r="K129" s="135" t="n">
        <x:f>IF($H129="Independente",$F129,0)</x:f>
        <x:v>913187415.6924498</x:v>
      </x:c>
      <x:c r="L129" s="135" t="n">
        <x:f>IF($H129="Ligada a banco",$F129,0)</x:f>
        <x:v>0</x:v>
      </x:c>
      <x:c r="M129" s="114" t="n">
        <x:f>IF(K129&gt;0,RANK(K129,$K$6:$K$462)+COUNTIF($K$6:K129,K129)-1,9999)</x:f>
        <x:v>109</x:v>
      </x:c>
      <x:c r="N129" s="114" t="n">
        <x:f>IF(L129&gt;0,RANK(L129,$L$6:$L$462)+COUNTIF($L$6:L129,L129)-1,9999)</x:f>
        <x:v>9999</x:v>
      </x:c>
    </x:row>
    <x:row r="130">
      <x:c r="A130" s="111" t="str">
        <x:v>BRZ Investimentos</x:v>
      </x:c>
      <x:c r="B130" s="135" t="n">
        <x:v>0</x:v>
      </x:c>
      <x:c r="C130" s="135" t="n">
        <x:v>473892191.6699999</x:v>
      </x:c>
      <x:c r="D130" s="135" t="n">
        <x:v>438922796.47</x:v>
      </x:c>
      <x:c r="E130" s="135" t="n">
        <x:v>0</x:v>
      </x:c>
      <x:c r="F130" s="135" t="n">
        <x:f>SUM(B130:E130)</x:f>
        <x:v>912814988.1399999</x:v>
      </x:c>
      <x:c r="G130" s="111" t="str">
        <x:v>Independente</x:v>
      </x:c>
      <x:c r="H130" s="144" t="str">
        <x:v>Independente</x:v>
      </x:c>
      <x:c r="I130" s="111" t="str">
        <x:v>Regra residual — revisar manualmente</x:v>
      </x:c>
      <x:c r="J130" s="153" t="str">
        <x:v>Sim — alta</x:v>
      </x:c>
      <x:c r="K130" s="135" t="n">
        <x:f>IF($H130="Independente",$F130,0)</x:f>
        <x:v>912814988.1399999</x:v>
      </x:c>
      <x:c r="L130" s="135" t="n">
        <x:f>IF($H130="Ligada a banco",$F130,0)</x:f>
        <x:v>0</x:v>
      </x:c>
      <x:c r="M130" s="114" t="n">
        <x:f>IF(K130&gt;0,RANK(K130,$K$6:$K$462)+COUNTIF($K$6:K130,K130)-1,9999)</x:f>
        <x:v>110</x:v>
      </x:c>
      <x:c r="N130" s="114" t="n">
        <x:f>IF(L130&gt;0,RANK(L130,$L$6:$L$462)+COUNTIF($L$6:L130,L130)-1,9999)</x:f>
        <x:v>9999</x:v>
      </x:c>
    </x:row>
    <x:row r="131">
      <x:c r="A131" s="111" t="str">
        <x:v>BS2 ASSET MANAGEMENT – ADMINISTRADORA DE RECURSOS LTDA.</x:v>
      </x:c>
      <x:c r="B131" s="135" t="n">
        <x:v>21032897.119999997</x:v>
      </x:c>
      <x:c r="C131" s="135" t="n">
        <x:v>0</x:v>
      </x:c>
      <x:c r="D131" s="135" t="n">
        <x:v>806634002.9</x:v>
      </x:c>
      <x:c r="E131" s="135" t="n">
        <x:v>73500341.67</x:v>
      </x:c>
      <x:c r="F131" s="135" t="n">
        <x:f>SUM(B131:E131)</x:f>
        <x:v>901167241.6899999</x:v>
      </x:c>
      <x:c r="G131" s="111" t="str">
        <x:v>Independente</x:v>
      </x:c>
      <x:c r="H131" s="144" t="str">
        <x:v>Independente</x:v>
      </x:c>
      <x:c r="I131" s="111" t="str">
        <x:v>Regra residual — revisar manualmente</x:v>
      </x:c>
      <x:c r="J131" s="153" t="str">
        <x:v>Sim — alta</x:v>
      </x:c>
      <x:c r="K131" s="135" t="n">
        <x:f>IF($H131="Independente",$F131,0)</x:f>
        <x:v>901167241.6899999</x:v>
      </x:c>
      <x:c r="L131" s="135" t="n">
        <x:f>IF($H131="Ligada a banco",$F131,0)</x:f>
        <x:v>0</x:v>
      </x:c>
      <x:c r="M131" s="114" t="n">
        <x:f>IF(K131&gt;0,RANK(K131,$K$6:$K$462)+COUNTIF($K$6:K131,K131)-1,9999)</x:f>
        <x:v>111</x:v>
      </x:c>
      <x:c r="N131" s="114" t="n">
        <x:f>IF(L131&gt;0,RANK(L131,$L$6:$L$462)+COUNTIF($L$6:L131,L131)-1,9999)</x:f>
        <x:v>9999</x:v>
      </x:c>
    </x:row>
    <x:row r="132">
      <x:c r="A132" s="111" t="str">
        <x:v>JIVE ASSET GESTAO DE RECURSOS LTDA</x:v>
      </x:c>
      <x:c r="B132" s="135" t="n">
        <x:v>0</x:v>
      </x:c>
      <x:c r="C132" s="135" t="n">
        <x:v>0</x:v>
      </x:c>
      <x:c r="D132" s="135" t="n">
        <x:v>0</x:v>
      </x:c>
      <x:c r="E132" s="135" t="n">
        <x:v>883285827.63</x:v>
      </x:c>
      <x:c r="F132" s="135" t="n">
        <x:f>SUM(B132:E132)</x:f>
        <x:v>883285827.63</x:v>
      </x:c>
      <x:c r="G132" s="111" t="str">
        <x:v>Independente</x:v>
      </x:c>
      <x:c r="H132" s="144" t="str">
        <x:v>Independente</x:v>
      </x:c>
      <x:c r="I132" s="111" t="str">
        <x:v>Regra residual — revisar manualmente</x:v>
      </x:c>
      <x:c r="J132" s="153" t="str">
        <x:v>Sim — alta</x:v>
      </x:c>
      <x:c r="K132" s="135" t="n">
        <x:f>IF($H132="Independente",$F132,0)</x:f>
        <x:v>883285827.63</x:v>
      </x:c>
      <x:c r="L132" s="135" t="n">
        <x:f>IF($H132="Ligada a banco",$F132,0)</x:f>
        <x:v>0</x:v>
      </x:c>
      <x:c r="M132" s="114" t="n">
        <x:f>IF(K132&gt;0,RANK(K132,$K$6:$K$462)+COUNTIF($K$6:K132,K132)-1,9999)</x:f>
        <x:v>112</x:v>
      </x:c>
      <x:c r="N132" s="114" t="n">
        <x:f>IF(L132&gt;0,RANK(L132,$L$6:$L$462)+COUNTIF($L$6:L132,L132)-1,9999)</x:f>
        <x:v>9999</x:v>
      </x:c>
    </x:row>
    <x:row r="133">
      <x:c r="A133" s="111" t="str">
        <x:v>ORIZ ASSET MANAGEMENT LTDA.</x:v>
      </x:c>
      <x:c r="B133" s="135" t="n">
        <x:v>180925468.31</x:v>
      </x:c>
      <x:c r="C133" s="135" t="n">
        <x:v>0</x:v>
      </x:c>
      <x:c r="D133" s="135" t="n">
        <x:v>0</x:v>
      </x:c>
      <x:c r="E133" s="135" t="n">
        <x:v>700518641.79</x:v>
      </x:c>
      <x:c r="F133" s="135" t="n">
        <x:f>SUM(B133:E133)</x:f>
        <x:v>881444110.0999999</x:v>
      </x:c>
      <x:c r="G133" s="111" t="str">
        <x:v>Independente</x:v>
      </x:c>
      <x:c r="H133" s="144" t="str">
        <x:v>Independente</x:v>
      </x:c>
      <x:c r="I133" s="111" t="str">
        <x:v>Regra residual — revisar manualmente</x:v>
      </x:c>
      <x:c r="J133" s="153" t="str">
        <x:v>Sim — alta</x:v>
      </x:c>
      <x:c r="K133" s="135" t="n">
        <x:f>IF($H133="Independente",$F133,0)</x:f>
        <x:v>881444110.0999999</x:v>
      </x:c>
      <x:c r="L133" s="135" t="n">
        <x:f>IF($H133="Ligada a banco",$F133,0)</x:f>
        <x:v>0</x:v>
      </x:c>
      <x:c r="M133" s="114" t="n">
        <x:f>IF(K133&gt;0,RANK(K133,$K$6:$K$462)+COUNTIF($K$6:K133,K133)-1,9999)</x:f>
        <x:v>113</x:v>
      </x:c>
      <x:c r="N133" s="114" t="n">
        <x:f>IF(L133&gt;0,RANK(L133,$L$6:$L$462)+COUNTIF($L$6:L133,L133)-1,9999)</x:f>
        <x:v>9999</x:v>
      </x:c>
    </x:row>
    <x:row r="134">
      <x:c r="A134" s="111" t="str">
        <x:v>ASSET MANAGEMENT</x:v>
      </x:c>
      <x:c r="B134" s="135" t="n">
        <x:v>20783277.5</x:v>
      </x:c>
      <x:c r="C134" s="135" t="n">
        <x:v>49471989.74999999</x:v>
      </x:c>
      <x:c r="D134" s="135" t="n">
        <x:v>186573668.65000004</x:v>
      </x:c>
      <x:c r="E134" s="135" t="n">
        <x:v>610953048.71</x:v>
      </x:c>
      <x:c r="F134" s="135" t="n">
        <x:f>SUM(B134:E134)</x:f>
        <x:v>867781984.6100001</x:v>
      </x:c>
      <x:c r="G134" s="111" t="str">
        <x:v>Independente</x:v>
      </x:c>
      <x:c r="H134" s="144" t="str">
        <x:v>Independente</x:v>
      </x:c>
      <x:c r="I134" s="111" t="str">
        <x:v>Regra residual — revisar manualmente</x:v>
      </x:c>
      <x:c r="J134" s="153" t="str">
        <x:v>Sim — alta</x:v>
      </x:c>
      <x:c r="K134" s="135" t="n">
        <x:f>IF($H134="Independente",$F134,0)</x:f>
        <x:v>867781984.6100001</x:v>
      </x:c>
      <x:c r="L134" s="135" t="n">
        <x:f>IF($H134="Ligada a banco",$F134,0)</x:f>
        <x:v>0</x:v>
      </x:c>
      <x:c r="M134" s="114" t="n">
        <x:f>IF(K134&gt;0,RANK(K134,$K$6:$K$462)+COUNTIF($K$6:K134,K134)-1,9999)</x:f>
        <x:v>114</x:v>
      </x:c>
      <x:c r="N134" s="114" t="n">
        <x:f>IF(L134&gt;0,RANK(L134,$L$6:$L$462)+COUNTIF($L$6:L134,L134)-1,9999)</x:f>
        <x:v>9999</x:v>
      </x:c>
    </x:row>
    <x:row r="135">
      <x:c r="A135" s="111" t="str">
        <x:v>Guardian Gestora</x:v>
      </x:c>
      <x:c r="B135" s="135" t="n">
        <x:v>0</x:v>
      </x:c>
      <x:c r="C135" s="135" t="n">
        <x:v>867717575.7800002</x:v>
      </x:c>
      <x:c r="D135" s="135" t="n">
        <x:v>0</x:v>
      </x:c>
      <x:c r="E135" s="135" t="n">
        <x:v>0</x:v>
      </x:c>
      <x:c r="F135" s="135" t="n">
        <x:f>SUM(B135:E135)</x:f>
        <x:v>867717575.7800002</x:v>
      </x:c>
      <x:c r="G135" s="111" t="str">
        <x:v>Independente</x:v>
      </x:c>
      <x:c r="H135" s="144" t="str">
        <x:v>Independente</x:v>
      </x:c>
      <x:c r="I135" s="111" t="str">
        <x:v>Regra residual — revisar manualmente</x:v>
      </x:c>
      <x:c r="J135" s="153" t="str">
        <x:v>Sim — alta</x:v>
      </x:c>
      <x:c r="K135" s="135" t="n">
        <x:f>IF($H135="Independente",$F135,0)</x:f>
        <x:v>867717575.7800002</x:v>
      </x:c>
      <x:c r="L135" s="135" t="n">
        <x:f>IF($H135="Ligada a banco",$F135,0)</x:f>
        <x:v>0</x:v>
      </x:c>
      <x:c r="M135" s="114" t="n">
        <x:f>IF(K135&gt;0,RANK(K135,$K$6:$K$462)+COUNTIF($K$6:K135,K135)-1,9999)</x:f>
        <x:v>115</x:v>
      </x:c>
      <x:c r="N135" s="114" t="n">
        <x:f>IF(L135&gt;0,RANK(L135,$L$6:$L$462)+COUNTIF($L$6:L135,L135)-1,9999)</x:f>
        <x:v>9999</x:v>
      </x:c>
    </x:row>
    <x:row r="136">
      <x:c r="A136" s="111" t="str">
        <x:v>RCB PORTFOLIOS</x:v>
      </x:c>
      <x:c r="B136" s="135" t="n">
        <x:v>0</x:v>
      </x:c>
      <x:c r="C136" s="135" t="n">
        <x:v>262465512.58</x:v>
      </x:c>
      <x:c r="D136" s="135" t="n">
        <x:v>0</x:v>
      </x:c>
      <x:c r="E136" s="135" t="n">
        <x:v>593442679.27</x:v>
      </x:c>
      <x:c r="F136" s="135" t="n">
        <x:f>SUM(B136:E136)</x:f>
        <x:v>855908191.85</x:v>
      </x:c>
      <x:c r="G136" s="111" t="str">
        <x:v>Independente</x:v>
      </x:c>
      <x:c r="H136" s="144" t="str">
        <x:v>Independente</x:v>
      </x:c>
      <x:c r="I136" s="111" t="str">
        <x:v>Regra residual — revisar manualmente</x:v>
      </x:c>
      <x:c r="J136" s="153" t="str">
        <x:v>Sim — alta</x:v>
      </x:c>
      <x:c r="K136" s="135" t="n">
        <x:f>IF($H136="Independente",$F136,0)</x:f>
        <x:v>855908191.85</x:v>
      </x:c>
      <x:c r="L136" s="135" t="n">
        <x:f>IF($H136="Ligada a banco",$F136,0)</x:f>
        <x:v>0</x:v>
      </x:c>
      <x:c r="M136" s="114" t="n">
        <x:f>IF(K136&gt;0,RANK(K136,$K$6:$K$462)+COUNTIF($K$6:K136,K136)-1,9999)</x:f>
        <x:v>116</x:v>
      </x:c>
      <x:c r="N136" s="114" t="n">
        <x:f>IF(L136&gt;0,RANK(L136,$L$6:$L$462)+COUNTIF($L$6:L136,L136)-1,9999)</x:f>
        <x:v>9999</x:v>
      </x:c>
    </x:row>
    <x:row r="137">
      <x:c r="A137" s="111" t="str">
        <x:v>Seven Pounds Asset</x:v>
      </x:c>
      <x:c r="B137" s="135" t="n">
        <x:v>13075197.09</x:v>
      </x:c>
      <x:c r="C137" s="135" t="n">
        <x:v>0</x:v>
      </x:c>
      <x:c r="D137" s="135" t="n">
        <x:v>802422100.79</x:v>
      </x:c>
      <x:c r="E137" s="135" t="n">
        <x:v>0</x:v>
      </x:c>
      <x:c r="F137" s="135" t="n">
        <x:f>SUM(B137:E137)</x:f>
        <x:v>815497297.88</x:v>
      </x:c>
      <x:c r="G137" s="111" t="str">
        <x:v>Independente</x:v>
      </x:c>
      <x:c r="H137" s="144" t="str">
        <x:v>Independente</x:v>
      </x:c>
      <x:c r="I137" s="111" t="str">
        <x:v>Regra residual — revisar manualmente</x:v>
      </x:c>
      <x:c r="J137" s="153" t="str">
        <x:v>Sim — alta</x:v>
      </x:c>
      <x:c r="K137" s="135" t="n">
        <x:f>IF($H137="Independente",$F137,0)</x:f>
        <x:v>815497297.88</x:v>
      </x:c>
      <x:c r="L137" s="135" t="n">
        <x:f>IF($H137="Ligada a banco",$F137,0)</x:f>
        <x:v>0</x:v>
      </x:c>
      <x:c r="M137" s="114" t="n">
        <x:f>IF(K137&gt;0,RANK(K137,$K$6:$K$462)+COUNTIF($K$6:K137,K137)-1,9999)</x:f>
        <x:v>117</x:v>
      </x:c>
      <x:c r="N137" s="114" t="n">
        <x:f>IF(L137&gt;0,RANK(L137,$L$6:$L$462)+COUNTIF($L$6:L137,L137)-1,9999)</x:f>
        <x:v>9999</x:v>
      </x:c>
    </x:row>
    <x:row r="138">
      <x:c r="A138" s="111" t="str">
        <x:v>ARC Capital</x:v>
      </x:c>
      <x:c r="B138" s="135" t="n">
        <x:v>0</x:v>
      </x:c>
      <x:c r="C138" s="135" t="n">
        <x:v>0</x:v>
      </x:c>
      <x:c r="D138" s="135" t="n">
        <x:v>0</x:v>
      </x:c>
      <x:c r="E138" s="135" t="n">
        <x:v>807053574.36</x:v>
      </x:c>
      <x:c r="F138" s="135" t="n">
        <x:f>SUM(B138:E138)</x:f>
        <x:v>807053574.36</x:v>
      </x:c>
      <x:c r="G138" s="111" t="str">
        <x:v>Independente</x:v>
      </x:c>
      <x:c r="H138" s="144" t="str">
        <x:v>Independente</x:v>
      </x:c>
      <x:c r="I138" s="111" t="str">
        <x:v>Regra residual — revisar manualmente</x:v>
      </x:c>
      <x:c r="J138" s="153" t="str">
        <x:v>Sim — alta</x:v>
      </x:c>
      <x:c r="K138" s="135" t="n">
        <x:f>IF($H138="Independente",$F138,0)</x:f>
        <x:v>807053574.36</x:v>
      </x:c>
      <x:c r="L138" s="135" t="n">
        <x:f>IF($H138="Ligada a banco",$F138,0)</x:f>
        <x:v>0</x:v>
      </x:c>
      <x:c r="M138" s="114" t="n">
        <x:f>IF(K138&gt;0,RANK(K138,$K$6:$K$462)+COUNTIF($K$6:K138,K138)-1,9999)</x:f>
        <x:v>118</x:v>
      </x:c>
      <x:c r="N138" s="114" t="n">
        <x:f>IF(L138&gt;0,RANK(L138,$L$6:$L$462)+COUNTIF($L$6:L138,L138)-1,9999)</x:f>
        <x:v>9999</x:v>
      </x:c>
    </x:row>
    <x:row r="139">
      <x:c r="A139" s="111" t="str">
        <x:v>Apuama Capital</x:v>
      </x:c>
      <x:c r="B139" s="135" t="n">
        <x:v>36488258.23</x:v>
      </x:c>
      <x:c r="C139" s="135" t="n">
        <x:v>212729437.70000005</x:v>
      </x:c>
      <x:c r="D139" s="135" t="n">
        <x:v>446643165.1400001</x:v>
      </x:c>
      <x:c r="E139" s="135" t="n">
        <x:v>83760459.12</x:v>
      </x:c>
      <x:c r="F139" s="135" t="n">
        <x:f>SUM(B139:E139)</x:f>
        <x:v>779621320.1900002</x:v>
      </x:c>
      <x:c r="G139" s="111" t="str">
        <x:v>Independente</x:v>
      </x:c>
      <x:c r="H139" s="144" t="str">
        <x:v>Independente</x:v>
      </x:c>
      <x:c r="I139" s="111" t="str">
        <x:v>Regra residual — revisar manualmente</x:v>
      </x:c>
      <x:c r="J139" s="153" t="str">
        <x:v>Sim — alta</x:v>
      </x:c>
      <x:c r="K139" s="135" t="n">
        <x:f>IF($H139="Independente",$F139,0)</x:f>
        <x:v>779621320.1900002</x:v>
      </x:c>
      <x:c r="L139" s="135" t="n">
        <x:f>IF($H139="Ligada a banco",$F139,0)</x:f>
        <x:v>0</x:v>
      </x:c>
      <x:c r="M139" s="114" t="n">
        <x:f>IF(K139&gt;0,RANK(K139,$K$6:$K$462)+COUNTIF($K$6:K139,K139)-1,9999)</x:f>
        <x:v>119</x:v>
      </x:c>
      <x:c r="N139" s="114" t="n">
        <x:f>IF(L139&gt;0,RANK(L139,$L$6:$L$462)+COUNTIF($L$6:L139,L139)-1,9999)</x:f>
        <x:v>9999</x:v>
      </x:c>
    </x:row>
    <x:row r="140">
      <x:c r="A140" s="111" t="str">
        <x:v>MAKENA GESTORA DE RECURSOS LTDA.</x:v>
      </x:c>
      <x:c r="B140" s="135" t="n">
        <x:v>0</x:v>
      </x:c>
      <x:c r="C140" s="135" t="n">
        <x:v>0</x:v>
      </x:c>
      <x:c r="D140" s="135" t="n">
        <x:v>0</x:v>
      </x:c>
      <x:c r="E140" s="135" t="n">
        <x:v>773874617.4500002</x:v>
      </x:c>
      <x:c r="F140" s="135" t="n">
        <x:f>SUM(B140:E140)</x:f>
        <x:v>773874617.4500002</x:v>
      </x:c>
      <x:c r="G140" s="111" t="str">
        <x:v>Independente</x:v>
      </x:c>
      <x:c r="H140" s="144" t="str">
        <x:v>Independente</x:v>
      </x:c>
      <x:c r="I140" s="111" t="str">
        <x:v>Regra residual — revisar manualmente</x:v>
      </x:c>
      <x:c r="J140" s="153" t="str">
        <x:v>Sim — alta</x:v>
      </x:c>
      <x:c r="K140" s="135" t="n">
        <x:f>IF($H140="Independente",$F140,0)</x:f>
        <x:v>773874617.4500002</x:v>
      </x:c>
      <x:c r="L140" s="135" t="n">
        <x:f>IF($H140="Ligada a banco",$F140,0)</x:f>
        <x:v>0</x:v>
      </x:c>
      <x:c r="M140" s="114" t="n">
        <x:f>IF(K140&gt;0,RANK(K140,$K$6:$K$462)+COUNTIF($K$6:K140,K140)-1,9999)</x:f>
        <x:v>120</x:v>
      </x:c>
      <x:c r="N140" s="114" t="n">
        <x:f>IF(L140&gt;0,RANK(L140,$L$6:$L$462)+COUNTIF($L$6:L140,L140)-1,9999)</x:f>
        <x:v>9999</x:v>
      </x:c>
    </x:row>
    <x:row r="141">
      <x:c r="A141" s="111" t="str">
        <x:v>Global Gestão e Investimentos</x:v>
      </x:c>
      <x:c r="B141" s="135" t="n">
        <x:v>0</x:v>
      </x:c>
      <x:c r="C141" s="135" t="n">
        <x:v>37498227.11</x:v>
      </x:c>
      <x:c r="D141" s="135" t="n">
        <x:v>216455321.04</x:v>
      </x:c>
      <x:c r="E141" s="135" t="n">
        <x:v>507373534.80999994</x:v>
      </x:c>
      <x:c r="F141" s="135" t="n">
        <x:f>SUM(B141:E141)</x:f>
        <x:v>761327082.9599999</x:v>
      </x:c>
      <x:c r="G141" s="111" t="str">
        <x:v>Independente</x:v>
      </x:c>
      <x:c r="H141" s="144" t="str">
        <x:v>Independente</x:v>
      </x:c>
      <x:c r="I141" s="111" t="str">
        <x:v>Regra residual — revisar manualmente</x:v>
      </x:c>
      <x:c r="J141" s="153" t="str">
        <x:v>Sim — alta</x:v>
      </x:c>
      <x:c r="K141" s="135" t="n">
        <x:f>IF($H141="Independente",$F141,0)</x:f>
        <x:v>761327082.9599999</x:v>
      </x:c>
      <x:c r="L141" s="135" t="n">
        <x:f>IF($H141="Ligada a banco",$F141,0)</x:f>
        <x:v>0</x:v>
      </x:c>
      <x:c r="M141" s="114" t="n">
        <x:f>IF(K141&gt;0,RANK(K141,$K$6:$K$462)+COUNTIF($K$6:K141,K141)-1,9999)</x:f>
        <x:v>121</x:v>
      </x:c>
      <x:c r="N141" s="114" t="n">
        <x:f>IF(L141&gt;0,RANK(L141,$L$6:$L$462)+COUNTIF($L$6:L141,L141)-1,9999)</x:f>
        <x:v>9999</x:v>
      </x:c>
    </x:row>
    <x:row r="142">
      <x:c r="A142" s="111" t="str">
        <x:v>Vila Rica Capital</x:v>
      </x:c>
      <x:c r="B142" s="135" t="n">
        <x:v>0</x:v>
      </x:c>
      <x:c r="C142" s="135" t="n">
        <x:v>718064604.3499999</x:v>
      </x:c>
      <x:c r="D142" s="135" t="n">
        <x:v>0</x:v>
      </x:c>
      <x:c r="E142" s="135" t="n">
        <x:v>42828563.67</x:v>
      </x:c>
      <x:c r="F142" s="135" t="n">
        <x:f>SUM(B142:E142)</x:f>
        <x:v>760893168.0199999</x:v>
      </x:c>
      <x:c r="G142" s="111" t="str">
        <x:v>Independente</x:v>
      </x:c>
      <x:c r="H142" s="144" t="str">
        <x:v>Independente</x:v>
      </x:c>
      <x:c r="I142" s="111" t="str">
        <x:v>Regra residual — revisar manualmente</x:v>
      </x:c>
      <x:c r="J142" s="153" t="str">
        <x:v>Sim — alta</x:v>
      </x:c>
      <x:c r="K142" s="135" t="n">
        <x:f>IF($H142="Independente",$F142,0)</x:f>
        <x:v>760893168.0199999</x:v>
      </x:c>
      <x:c r="L142" s="135" t="n">
        <x:f>IF($H142="Ligada a banco",$F142,0)</x:f>
        <x:v>0</x:v>
      </x:c>
      <x:c r="M142" s="114" t="n">
        <x:f>IF(K142&gt;0,RANK(K142,$K$6:$K$462)+COUNTIF($K$6:K142,K142)-1,9999)</x:f>
        <x:v>122</x:v>
      </x:c>
      <x:c r="N142" s="114" t="n">
        <x:f>IF(L142&gt;0,RANK(L142,$L$6:$L$462)+COUNTIF($L$6:L142,L142)-1,9999)</x:f>
        <x:v>9999</x:v>
      </x:c>
    </x:row>
    <x:row r="143">
      <x:c r="A143" s="111" t="str">
        <x:v>VALORA IMOBILIÁRIO E INFRAESTRUTURA LTDA</x:v>
      </x:c>
      <x:c r="B143" s="135" t="n">
        <x:v>76315846.62</x:v>
      </x:c>
      <x:c r="C143" s="135" t="n">
        <x:v>31575916.750000004</x:v>
      </x:c>
      <x:c r="D143" s="135" t="n">
        <x:v>0</x:v>
      </x:c>
      <x:c r="E143" s="135" t="n">
        <x:v>650264913.1730999</x:v>
      </x:c>
      <x:c r="F143" s="135" t="n">
        <x:f>SUM(B143:E143)</x:f>
        <x:v>758156676.5430999</x:v>
      </x:c>
      <x:c r="G143" s="111" t="str">
        <x:v>Independente</x:v>
      </x:c>
      <x:c r="H143" s="144" t="str">
        <x:v>Independente</x:v>
      </x:c>
      <x:c r="I143" s="111" t="str">
        <x:v>Regra residual — revisar manualmente</x:v>
      </x:c>
      <x:c r="J143" s="153" t="str">
        <x:v>Sim — alta</x:v>
      </x:c>
      <x:c r="K143" s="135" t="n">
        <x:f>IF($H143="Independente",$F143,0)</x:f>
        <x:v>758156676.5430999</x:v>
      </x:c>
      <x:c r="L143" s="135" t="n">
        <x:f>IF($H143="Ligada a banco",$F143,0)</x:f>
        <x:v>0</x:v>
      </x:c>
      <x:c r="M143" s="114" t="n">
        <x:f>IF(K143&gt;0,RANK(K143,$K$6:$K$462)+COUNTIF($K$6:K143,K143)-1,9999)</x:f>
        <x:v>123</x:v>
      </x:c>
      <x:c r="N143" s="114" t="n">
        <x:f>IF(L143&gt;0,RANK(L143,$L$6:$L$462)+COUNTIF($L$6:L143,L143)-1,9999)</x:f>
        <x:v>9999</x:v>
      </x:c>
    </x:row>
    <x:row r="144">
      <x:c r="A144" s="111" t="str">
        <x:v>Inter Asset</x:v>
      </x:c>
      <x:c r="B144" s="135" t="n">
        <x:v>752063336.42</x:v>
      </x:c>
      <x:c r="C144" s="135" t="n">
        <x:v>0</x:v>
      </x:c>
      <x:c r="D144" s="135" t="n">
        <x:v>0</x:v>
      </x:c>
      <x:c r="E144" s="135" t="n">
        <x:v>0</x:v>
      </x:c>
      <x:c r="F144" s="135" t="n">
        <x:f>SUM(B144:E144)</x:f>
        <x:v>752063336.42</x:v>
      </x:c>
      <x:c r="G144" s="111" t="str">
        <x:v>Ligada a banco</x:v>
      </x:c>
      <x:c r="H144" s="144" t="str">
        <x:v>Ligada a banco</x:v>
      </x:c>
      <x:c r="I144" s="111" t="str">
        <x:v>Regra nominal: INTER ASSET</x:v>
      </x:c>
      <x:c r="J144" s="153" t="str">
        <x:v>Confirmar</x:v>
      </x:c>
      <x:c r="K144" s="135" t="n">
        <x:f>IF($H144="Independente",$F144,0)</x:f>
        <x:v>0</x:v>
      </x:c>
      <x:c r="L144" s="135" t="n">
        <x:f>IF($H144="Ligada a banco",$F144,0)</x:f>
        <x:v>752063336.42</x:v>
      </x:c>
      <x:c r="M144" s="114" t="n">
        <x:f>IF(K144&gt;0,RANK(K144,$K$6:$K$462)+COUNTIF($K$6:K144,K144)-1,9999)</x:f>
        <x:v>9999</x:v>
      </x:c>
      <x:c r="N144" s="114" t="n">
        <x:f>IF(L144&gt;0,RANK(L144,$L$6:$L$462)+COUNTIF($L$6:L144,L144)-1,9999)</x:f>
        <x:v>16</x:v>
      </x:c>
    </x:row>
    <x:row r="145">
      <x:c r="A145" s="111" t="str">
        <x:v>TERA CAPITAL</x:v>
      </x:c>
      <x:c r="B145" s="135" t="n">
        <x:v>0</x:v>
      </x:c>
      <x:c r="C145" s="135" t="n">
        <x:v>110076204.39</x:v>
      </x:c>
      <x:c r="D145" s="135" t="n">
        <x:v>0</x:v>
      </x:c>
      <x:c r="E145" s="135" t="n">
        <x:v>640245708.5028999</x:v>
      </x:c>
      <x:c r="F145" s="135" t="n">
        <x:f>SUM(B145:E145)</x:f>
        <x:v>750321912.8928999</x:v>
      </x:c>
      <x:c r="G145" s="111" t="str">
        <x:v>Independente</x:v>
      </x:c>
      <x:c r="H145" s="144" t="str">
        <x:v>Independente</x:v>
      </x:c>
      <x:c r="I145" s="111" t="str">
        <x:v>Regra residual — revisar manualmente</x:v>
      </x:c>
      <x:c r="J145" s="153" t="str">
        <x:v>Sim — alta</x:v>
      </x:c>
      <x:c r="K145" s="135" t="n">
        <x:f>IF($H145="Independente",$F145,0)</x:f>
        <x:v>750321912.8928999</x:v>
      </x:c>
      <x:c r="L145" s="135" t="n">
        <x:f>IF($H145="Ligada a banco",$F145,0)</x:f>
        <x:v>0</x:v>
      </x:c>
      <x:c r="M145" s="114" t="n">
        <x:f>IF(K145&gt;0,RANK(K145,$K$6:$K$462)+COUNTIF($K$6:K145,K145)-1,9999)</x:f>
        <x:v>124</x:v>
      </x:c>
      <x:c r="N145" s="114" t="n">
        <x:f>IF(L145&gt;0,RANK(L145,$L$6:$L$462)+COUNTIF($L$6:L145,L145)-1,9999)</x:f>
        <x:v>9999</x:v>
      </x:c>
    </x:row>
    <x:row r="146">
      <x:c r="A146" s="111" t="str">
        <x:v>TAG Investimentos</x:v>
      </x:c>
      <x:c r="B146" s="135" t="n">
        <x:v>0</x:v>
      </x:c>
      <x:c r="C146" s="135" t="n">
        <x:v>265761636.83</x:v>
      </x:c>
      <x:c r="D146" s="135" t="n">
        <x:v>0</x:v>
      </x:c>
      <x:c r="E146" s="135" t="n">
        <x:v>480470480.6635002</x:v>
      </x:c>
      <x:c r="F146" s="135" t="n">
        <x:f>SUM(B146:E146)</x:f>
        <x:v>746232117.4935002</x:v>
      </x:c>
      <x:c r="G146" s="111" t="str">
        <x:v>Independente</x:v>
      </x:c>
      <x:c r="H146" s="144" t="str">
        <x:v>Independente</x:v>
      </x:c>
      <x:c r="I146" s="111" t="str">
        <x:v>Regra residual — revisar manualmente</x:v>
      </x:c>
      <x:c r="J146" s="153" t="str">
        <x:v>Sim — alta</x:v>
      </x:c>
      <x:c r="K146" s="135" t="n">
        <x:f>IF($H146="Independente",$F146,0)</x:f>
        <x:v>746232117.4935002</x:v>
      </x:c>
      <x:c r="L146" s="135" t="n">
        <x:f>IF($H146="Ligada a banco",$F146,0)</x:f>
        <x:v>0</x:v>
      </x:c>
      <x:c r="M146" s="114" t="n">
        <x:f>IF(K146&gt;0,RANK(K146,$K$6:$K$462)+COUNTIF($K$6:K146,K146)-1,9999)</x:f>
        <x:v>125</x:v>
      </x:c>
      <x:c r="N146" s="114" t="n">
        <x:f>IF(L146&gt;0,RANK(L146,$L$6:$L$462)+COUNTIF($L$6:L146,L146)-1,9999)</x:f>
        <x:v>9999</x:v>
      </x:c>
    </x:row>
    <x:row r="147">
      <x:c r="A147" s="111" t="str">
        <x:v>RB Asset</x:v>
      </x:c>
      <x:c r="B147" s="135" t="n">
        <x:v>0</x:v>
      </x:c>
      <x:c r="C147" s="135" t="n">
        <x:v>741921689.82</x:v>
      </x:c>
      <x:c r="D147" s="135" t="n">
        <x:v>0</x:v>
      </x:c>
      <x:c r="E147" s="135" t="n">
        <x:v>0</x:v>
      </x:c>
      <x:c r="F147" s="135" t="n">
        <x:f>SUM(B147:E147)</x:f>
        <x:v>741921689.82</x:v>
      </x:c>
      <x:c r="G147" s="111" t="str">
        <x:v>Independente</x:v>
      </x:c>
      <x:c r="H147" s="144" t="str">
        <x:v>Independente</x:v>
      </x:c>
      <x:c r="I147" s="111" t="str">
        <x:v>Regra residual — revisar manualmente</x:v>
      </x:c>
      <x:c r="J147" s="153" t="str">
        <x:v>Sim — alta</x:v>
      </x:c>
      <x:c r="K147" s="135" t="n">
        <x:f>IF($H147="Independente",$F147,0)</x:f>
        <x:v>741921689.82</x:v>
      </x:c>
      <x:c r="L147" s="135" t="n">
        <x:f>IF($H147="Ligada a banco",$F147,0)</x:f>
        <x:v>0</x:v>
      </x:c>
      <x:c r="M147" s="114" t="n">
        <x:f>IF(K147&gt;0,RANK(K147,$K$6:$K$462)+COUNTIF($K$6:K147,K147)-1,9999)</x:f>
        <x:v>126</x:v>
      </x:c>
      <x:c r="N147" s="114" t="n">
        <x:f>IF(L147&gt;0,RANK(L147,$L$6:$L$462)+COUNTIF($L$6:L147,L147)-1,9999)</x:f>
        <x:v>9999</x:v>
      </x:c>
    </x:row>
    <x:row r="148">
      <x:c r="A148" s="111" t="str">
        <x:v>EuQueroInvestir Gestão de Recursos Ltda.</x:v>
      </x:c>
      <x:c r="B148" s="135" t="n">
        <x:v>194718325.35</x:v>
      </x:c>
      <x:c r="C148" s="135" t="n">
        <x:v>0</x:v>
      </x:c>
      <x:c r="D148" s="135" t="n">
        <x:v>0</x:v>
      </x:c>
      <x:c r="E148" s="135" t="n">
        <x:v>506707064.63</x:v>
      </x:c>
      <x:c r="F148" s="135" t="n">
        <x:f>SUM(B148:E148)</x:f>
        <x:v>701425389.98</x:v>
      </x:c>
      <x:c r="G148" s="111" t="str">
        <x:v>Independente</x:v>
      </x:c>
      <x:c r="H148" s="144" t="str">
        <x:v>Independente</x:v>
      </x:c>
      <x:c r="I148" s="111" t="str">
        <x:v>Regra residual — revisar manualmente</x:v>
      </x:c>
      <x:c r="J148" s="153" t="str">
        <x:v>Sim — alta</x:v>
      </x:c>
      <x:c r="K148" s="135" t="n">
        <x:f>IF($H148="Independente",$F148,0)</x:f>
        <x:v>701425389.98</x:v>
      </x:c>
      <x:c r="L148" s="135" t="n">
        <x:f>IF($H148="Ligada a banco",$F148,0)</x:f>
        <x:v>0</x:v>
      </x:c>
      <x:c r="M148" s="114" t="n">
        <x:f>IF(K148&gt;0,RANK(K148,$K$6:$K$462)+COUNTIF($K$6:K148,K148)-1,9999)</x:f>
        <x:v>127</x:v>
      </x:c>
      <x:c r="N148" s="114" t="n">
        <x:f>IF(L148&gt;0,RANK(L148,$L$6:$L$462)+COUNTIF($L$6:L148,L148)-1,9999)</x:f>
        <x:v>9999</x:v>
      </x:c>
    </x:row>
    <x:row r="149">
      <x:c r="A149" s="111" t="str">
        <x:v>Éxes</x:v>
      </x:c>
      <x:c r="B149" s="135" t="n">
        <x:v>67730791.02999999</x:v>
      </x:c>
      <x:c r="C149" s="135" t="n">
        <x:v>0</x:v>
      </x:c>
      <x:c r="D149" s="135" t="n">
        <x:v>0</x:v>
      </x:c>
      <x:c r="E149" s="135" t="n">
        <x:v>624184315.9273</x:v>
      </x:c>
      <x:c r="F149" s="135" t="n">
        <x:f>SUM(B149:E149)</x:f>
        <x:v>691915106.9573</x:v>
      </x:c>
      <x:c r="G149" s="111" t="str">
        <x:v>Independente</x:v>
      </x:c>
      <x:c r="H149" s="144" t="str">
        <x:v>Independente</x:v>
      </x:c>
      <x:c r="I149" s="111" t="str">
        <x:v>Regra residual — revisar manualmente</x:v>
      </x:c>
      <x:c r="J149" s="153" t="str">
        <x:v>Sim — alta</x:v>
      </x:c>
      <x:c r="K149" s="135" t="n">
        <x:f>IF($H149="Independente",$F149,0)</x:f>
        <x:v>691915106.9573</x:v>
      </x:c>
      <x:c r="L149" s="135" t="n">
        <x:f>IF($H149="Ligada a banco",$F149,0)</x:f>
        <x:v>0</x:v>
      </x:c>
      <x:c r="M149" s="114" t="n">
        <x:f>IF(K149&gt;0,RANK(K149,$K$6:$K$462)+COUNTIF($K$6:K149,K149)-1,9999)</x:f>
        <x:v>128</x:v>
      </x:c>
      <x:c r="N149" s="114" t="n">
        <x:f>IF(L149&gt;0,RANK(L149,$L$6:$L$462)+COUNTIF($L$6:L149,L149)-1,9999)</x:f>
        <x:v>9999</x:v>
      </x:c>
    </x:row>
    <x:row r="150">
      <x:c r="A150" s="111" t="str">
        <x:v>Chimera Capital Asset Management Ltda.</x:v>
      </x:c>
      <x:c r="B150" s="135" t="n">
        <x:v>0</x:v>
      </x:c>
      <x:c r="C150" s="135" t="n">
        <x:v>0</x:v>
      </x:c>
      <x:c r="D150" s="135" t="n">
        <x:v>0</x:v>
      </x:c>
      <x:c r="E150" s="135" t="n">
        <x:v>689664879.6</x:v>
      </x:c>
      <x:c r="F150" s="135" t="n">
        <x:f>SUM(B150:E150)</x:f>
        <x:v>689664879.6</x:v>
      </x:c>
      <x:c r="G150" s="111" t="str">
        <x:v>Independente</x:v>
      </x:c>
      <x:c r="H150" s="144" t="str">
        <x:v>Independente</x:v>
      </x:c>
      <x:c r="I150" s="111" t="str">
        <x:v>Regra residual — revisar manualmente</x:v>
      </x:c>
      <x:c r="J150" s="153" t="str">
        <x:v>Sim — alta</x:v>
      </x:c>
      <x:c r="K150" s="135" t="n">
        <x:f>IF($H150="Independente",$F150,0)</x:f>
        <x:v>689664879.6</x:v>
      </x:c>
      <x:c r="L150" s="135" t="n">
        <x:f>IF($H150="Ligada a banco",$F150,0)</x:f>
        <x:v>0</x:v>
      </x:c>
      <x:c r="M150" s="114" t="n">
        <x:f>IF(K150&gt;0,RANK(K150,$K$6:$K$462)+COUNTIF($K$6:K150,K150)-1,9999)</x:f>
        <x:v>129</x:v>
      </x:c>
      <x:c r="N150" s="114" t="n">
        <x:f>IF(L150&gt;0,RANK(L150,$L$6:$L$462)+COUNTIF($L$6:L150,L150)-1,9999)</x:f>
        <x:v>9999</x:v>
      </x:c>
    </x:row>
    <x:row r="151">
      <x:c r="A151" s="111" t="str">
        <x:v>ANTHARUS GESTORA DE RECURSOS LTDA</x:v>
      </x:c>
      <x:c r="B151" s="135" t="n">
        <x:v>0</x:v>
      </x:c>
      <x:c r="C151" s="135" t="n">
        <x:v>1209531.79</x:v>
      </x:c>
      <x:c r="D151" s="135" t="n">
        <x:v>480853352.64</x:v>
      </x:c>
      <x:c r="E151" s="135" t="n">
        <x:v>173339218.28000003</x:v>
      </x:c>
      <x:c r="F151" s="135" t="n">
        <x:f>SUM(B151:E151)</x:f>
        <x:v>655402102.71</x:v>
      </x:c>
      <x:c r="G151" s="111" t="str">
        <x:v>Independente</x:v>
      </x:c>
      <x:c r="H151" s="144" t="str">
        <x:v>Independente</x:v>
      </x:c>
      <x:c r="I151" s="111" t="str">
        <x:v>Regra residual — revisar manualmente</x:v>
      </x:c>
      <x:c r="J151" s="153" t="str">
        <x:v>Sim — alta</x:v>
      </x:c>
      <x:c r="K151" s="135" t="n">
        <x:f>IF($H151="Independente",$F151,0)</x:f>
        <x:v>655402102.71</x:v>
      </x:c>
      <x:c r="L151" s="135" t="n">
        <x:f>IF($H151="Ligada a banco",$F151,0)</x:f>
        <x:v>0</x:v>
      </x:c>
      <x:c r="M151" s="114" t="n">
        <x:f>IF(K151&gt;0,RANK(K151,$K$6:$K$462)+COUNTIF($K$6:K151,K151)-1,9999)</x:f>
        <x:v>130</x:v>
      </x:c>
      <x:c r="N151" s="114" t="n">
        <x:f>IF(L151&gt;0,RANK(L151,$L$6:$L$462)+COUNTIF($L$6:L151,L151)-1,9999)</x:f>
        <x:v>9999</x:v>
      </x:c>
    </x:row>
    <x:row r="152">
      <x:c r="A152" s="111" t="str">
        <x:v>BR-Capital DTVM</x:v>
      </x:c>
      <x:c r="B152" s="135" t="n">
        <x:v>0</x:v>
      </x:c>
      <x:c r="C152" s="135" t="n">
        <x:v>0</x:v>
      </x:c>
      <x:c r="D152" s="135" t="n">
        <x:v>0</x:v>
      </x:c>
      <x:c r="E152" s="135" t="n">
        <x:v>640384800.38</x:v>
      </x:c>
      <x:c r="F152" s="135" t="n">
        <x:f>SUM(B152:E152)</x:f>
        <x:v>640384800.38</x:v>
      </x:c>
      <x:c r="G152" s="111" t="str">
        <x:v>Independente</x:v>
      </x:c>
      <x:c r="H152" s="144" t="str">
        <x:v>Independente</x:v>
      </x:c>
      <x:c r="I152" s="111" t="str">
        <x:v>Regra residual — revisar manualmente</x:v>
      </x:c>
      <x:c r="J152" s="153" t="str">
        <x:v>Sim — alta</x:v>
      </x:c>
      <x:c r="K152" s="135" t="n">
        <x:f>IF($H152="Independente",$F152,0)</x:f>
        <x:v>640384800.38</x:v>
      </x:c>
      <x:c r="L152" s="135" t="n">
        <x:f>IF($H152="Ligada a banco",$F152,0)</x:f>
        <x:v>0</x:v>
      </x:c>
      <x:c r="M152" s="114" t="n">
        <x:f>IF(K152&gt;0,RANK(K152,$K$6:$K$462)+COUNTIF($K$6:K152,K152)-1,9999)</x:f>
        <x:v>131</x:v>
      </x:c>
      <x:c r="N152" s="114" t="n">
        <x:f>IF(L152&gt;0,RANK(L152,$L$6:$L$462)+COUNTIF($L$6:L152,L152)-1,9999)</x:f>
        <x:v>9999</x:v>
      </x:c>
    </x:row>
    <x:row r="153">
      <x:c r="A153" s="111" t="str">
        <x:v>MAV CAPITAL GESTORA DE RECURSOS SS LTDA</x:v>
      </x:c>
      <x:c r="B153" s="135" t="n">
        <x:v>437495139.13</x:v>
      </x:c>
      <x:c r="C153" s="135" t="n">
        <x:v>0</x:v>
      </x:c>
      <x:c r="D153" s="135" t="n">
        <x:v>0</x:v>
      </x:c>
      <x:c r="E153" s="135" t="n">
        <x:v>199408976.09</x:v>
      </x:c>
      <x:c r="F153" s="135" t="n">
        <x:f>SUM(B153:E153)</x:f>
        <x:v>636904115.22</x:v>
      </x:c>
      <x:c r="G153" s="111" t="str">
        <x:v>Independente</x:v>
      </x:c>
      <x:c r="H153" s="144" t="str">
        <x:v>Independente</x:v>
      </x:c>
      <x:c r="I153" s="111" t="str">
        <x:v>Regra residual — revisar manualmente</x:v>
      </x:c>
      <x:c r="J153" s="153" t="str">
        <x:v>Sim — alta</x:v>
      </x:c>
      <x:c r="K153" s="135" t="n">
        <x:f>IF($H153="Independente",$F153,0)</x:f>
        <x:v>636904115.22</x:v>
      </x:c>
      <x:c r="L153" s="135" t="n">
        <x:f>IF($H153="Ligada a banco",$F153,0)</x:f>
        <x:v>0</x:v>
      </x:c>
      <x:c r="M153" s="114" t="n">
        <x:f>IF(K153&gt;0,RANK(K153,$K$6:$K$462)+COUNTIF($K$6:K153,K153)-1,9999)</x:f>
        <x:v>132</x:v>
      </x:c>
      <x:c r="N153" s="114" t="n">
        <x:f>IF(L153&gt;0,RANK(L153,$L$6:$L$462)+COUNTIF($L$6:L153,L153)-1,9999)</x:f>
        <x:v>9999</x:v>
      </x:c>
    </x:row>
    <x:row r="154">
      <x:c r="A154" s="111" t="str">
        <x:v>Starboard Asset</x:v>
      </x:c>
      <x:c r="B154" s="135" t="n">
        <x:v>0</x:v>
      </x:c>
      <x:c r="C154" s="135" t="n">
        <x:v>0</x:v>
      </x:c>
      <x:c r="D154" s="135" t="n">
        <x:v>0</x:v>
      </x:c>
      <x:c r="E154" s="135" t="n">
        <x:v>636259268.57</x:v>
      </x:c>
      <x:c r="F154" s="135" t="n">
        <x:f>SUM(B154:E154)</x:f>
        <x:v>636259268.57</x:v>
      </x:c>
      <x:c r="G154" s="111" t="str">
        <x:v>Independente</x:v>
      </x:c>
      <x:c r="H154" s="144" t="str">
        <x:v>Independente</x:v>
      </x:c>
      <x:c r="I154" s="111" t="str">
        <x:v>Regra residual — revisar manualmente</x:v>
      </x:c>
      <x:c r="J154" s="153" t="str">
        <x:v>Sim — alta</x:v>
      </x:c>
      <x:c r="K154" s="135" t="n">
        <x:f>IF($H154="Independente",$F154,0)</x:f>
        <x:v>636259268.57</x:v>
      </x:c>
      <x:c r="L154" s="135" t="n">
        <x:f>IF($H154="Ligada a banco",$F154,0)</x:f>
        <x:v>0</x:v>
      </x:c>
      <x:c r="M154" s="114" t="n">
        <x:f>IF(K154&gt;0,RANK(K154,$K$6:$K$462)+COUNTIF($K$6:K154,K154)-1,9999)</x:f>
        <x:v>133</x:v>
      </x:c>
      <x:c r="N154" s="114" t="n">
        <x:f>IF(L154&gt;0,RANK(L154,$L$6:$L$462)+COUNTIF($L$6:L154,L154)-1,9999)</x:f>
        <x:v>9999</x:v>
      </x:c>
    </x:row>
    <x:row r="155">
      <x:c r="A155" s="111" t="str">
        <x:v>PRISMA PRIVATE CREDIT</x:v>
      </x:c>
      <x:c r="B155" s="135" t="n">
        <x:v>0</x:v>
      </x:c>
      <x:c r="C155" s="135" t="n">
        <x:v>0</x:v>
      </x:c>
      <x:c r="D155" s="135" t="n">
        <x:v>0</x:v>
      </x:c>
      <x:c r="E155" s="135" t="n">
        <x:v>632995138.9300001</x:v>
      </x:c>
      <x:c r="F155" s="135" t="n">
        <x:f>SUM(B155:E155)</x:f>
        <x:v>632995138.9300001</x:v>
      </x:c>
      <x:c r="G155" s="111" t="str">
        <x:v>Independente</x:v>
      </x:c>
      <x:c r="H155" s="144" t="str">
        <x:v>Independente</x:v>
      </x:c>
      <x:c r="I155" s="111" t="str">
        <x:v>Regra residual — revisar manualmente</x:v>
      </x:c>
      <x:c r="J155" s="153" t="str">
        <x:v>Sim — alta</x:v>
      </x:c>
      <x:c r="K155" s="135" t="n">
        <x:f>IF($H155="Independente",$F155,0)</x:f>
        <x:v>632995138.9300001</x:v>
      </x:c>
      <x:c r="L155" s="135" t="n">
        <x:f>IF($H155="Ligada a banco",$F155,0)</x:f>
        <x:v>0</x:v>
      </x:c>
      <x:c r="M155" s="114" t="n">
        <x:f>IF(K155&gt;0,RANK(K155,$K$6:$K$462)+COUNTIF($K$6:K155,K155)-1,9999)</x:f>
        <x:v>134</x:v>
      </x:c>
      <x:c r="N155" s="114" t="n">
        <x:f>IF(L155&gt;0,RANK(L155,$L$6:$L$462)+COUNTIF($L$6:L155,L155)-1,9999)</x:f>
        <x:v>9999</x:v>
      </x:c>
    </x:row>
    <x:row r="156">
      <x:c r="A156" s="111" t="str">
        <x:v>Via Invest Gestão de Recursos Ltda.</x:v>
      </x:c>
      <x:c r="B156" s="135" t="n">
        <x:v>0</x:v>
      </x:c>
      <x:c r="C156" s="135" t="n">
        <x:v>180997772.44</x:v>
      </x:c>
      <x:c r="D156" s="135" t="n">
        <x:v>421254337.56</x:v>
      </x:c>
      <x:c r="E156" s="135" t="n">
        <x:v>29773121.63</x:v>
      </x:c>
      <x:c r="F156" s="135" t="n">
        <x:f>SUM(B156:E156)</x:f>
        <x:v>632025231.63</x:v>
      </x:c>
      <x:c r="G156" s="111" t="str">
        <x:v>Independente</x:v>
      </x:c>
      <x:c r="H156" s="144" t="str">
        <x:v>Independente</x:v>
      </x:c>
      <x:c r="I156" s="111" t="str">
        <x:v>Regra residual — revisar manualmente</x:v>
      </x:c>
      <x:c r="J156" s="153" t="str">
        <x:v>Sim — alta</x:v>
      </x:c>
      <x:c r="K156" s="135" t="n">
        <x:f>IF($H156="Independente",$F156,0)</x:f>
        <x:v>632025231.63</x:v>
      </x:c>
      <x:c r="L156" s="135" t="n">
        <x:f>IF($H156="Ligada a banco",$F156,0)</x:f>
        <x:v>0</x:v>
      </x:c>
      <x:c r="M156" s="114" t="n">
        <x:f>IF(K156&gt;0,RANK(K156,$K$6:$K$462)+COUNTIF($K$6:K156,K156)-1,9999)</x:f>
        <x:v>135</x:v>
      </x:c>
      <x:c r="N156" s="114" t="n">
        <x:f>IF(L156&gt;0,RANK(L156,$L$6:$L$462)+COUNTIF($L$6:L156,L156)-1,9999)</x:f>
        <x:v>9999</x:v>
      </x:c>
    </x:row>
    <x:row r="157">
      <x:c r="A157" s="111" t="str">
        <x:v>BDR Asset</x:v>
      </x:c>
      <x:c r="B157" s="135" t="n">
        <x:v>0</x:v>
      </x:c>
      <x:c r="C157" s="135" t="n">
        <x:v>123600445.49</x:v>
      </x:c>
      <x:c r="D157" s="135" t="n">
        <x:v>0</x:v>
      </x:c>
      <x:c r="E157" s="135" t="n">
        <x:v>498645226.93</x:v>
      </x:c>
      <x:c r="F157" s="135" t="n">
        <x:f>SUM(B157:E157)</x:f>
        <x:v>622245672.42</x:v>
      </x:c>
      <x:c r="G157" s="111" t="str">
        <x:v>Independente</x:v>
      </x:c>
      <x:c r="H157" s="144" t="str">
        <x:v>Independente</x:v>
      </x:c>
      <x:c r="I157" s="111" t="str">
        <x:v>Regra residual — revisar manualmente</x:v>
      </x:c>
      <x:c r="J157" s="153" t="str">
        <x:v>Sim — alta</x:v>
      </x:c>
      <x:c r="K157" s="135" t="n">
        <x:f>IF($H157="Independente",$F157,0)</x:f>
        <x:v>622245672.42</x:v>
      </x:c>
      <x:c r="L157" s="135" t="n">
        <x:f>IF($H157="Ligada a banco",$F157,0)</x:f>
        <x:v>0</x:v>
      </x:c>
      <x:c r="M157" s="114" t="n">
        <x:f>IF(K157&gt;0,RANK(K157,$K$6:$K$462)+COUNTIF($K$6:K157,K157)-1,9999)</x:f>
        <x:v>136</x:v>
      </x:c>
      <x:c r="N157" s="114" t="n">
        <x:f>IF(L157&gt;0,RANK(L157,$L$6:$L$462)+COUNTIF($L$6:L157,L157)-1,9999)</x:f>
        <x:v>9999</x:v>
      </x:c>
    </x:row>
    <x:row r="158">
      <x:c r="A158" s="111" t="str">
        <x:v>Multinvest Capital</x:v>
      </x:c>
      <x:c r="B158" s="135" t="n">
        <x:v>0</x:v>
      </x:c>
      <x:c r="C158" s="135" t="n">
        <x:v>0</x:v>
      </x:c>
      <x:c r="D158" s="135" t="n">
        <x:v>0</x:v>
      </x:c>
      <x:c r="E158" s="135" t="n">
        <x:v>618567138.35</x:v>
      </x:c>
      <x:c r="F158" s="135" t="n">
        <x:f>SUM(B158:E158)</x:f>
        <x:v>618567138.35</x:v>
      </x:c>
      <x:c r="G158" s="111" t="str">
        <x:v>Independente</x:v>
      </x:c>
      <x:c r="H158" s="144" t="str">
        <x:v>Independente</x:v>
      </x:c>
      <x:c r="I158" s="111" t="str">
        <x:v>Regra residual — revisar manualmente</x:v>
      </x:c>
      <x:c r="J158" s="153" t="str">
        <x:v>Sim — alta</x:v>
      </x:c>
      <x:c r="K158" s="135" t="n">
        <x:f>IF($H158="Independente",$F158,0)</x:f>
        <x:v>618567138.35</x:v>
      </x:c>
      <x:c r="L158" s="135" t="n">
        <x:f>IF($H158="Ligada a banco",$F158,0)</x:f>
        <x:v>0</x:v>
      </x:c>
      <x:c r="M158" s="114" t="n">
        <x:f>IF(K158&gt;0,RANK(K158,$K$6:$K$462)+COUNTIF($K$6:K158,K158)-1,9999)</x:f>
        <x:v>137</x:v>
      </x:c>
      <x:c r="N158" s="114" t="n">
        <x:f>IF(L158&gt;0,RANK(L158,$L$6:$L$462)+COUNTIF($L$6:L158,L158)-1,9999)</x:f>
        <x:v>9999</x:v>
      </x:c>
    </x:row>
    <x:row r="159">
      <x:c r="A159" s="111" t="str">
        <x:v>Patrimonial Gestão</x:v>
      </x:c>
      <x:c r="B159" s="135" t="n">
        <x:v>0</x:v>
      </x:c>
      <x:c r="C159" s="135" t="n">
        <x:v>41319115.84</x:v>
      </x:c>
      <x:c r="D159" s="135" t="n">
        <x:v>0</x:v>
      </x:c>
      <x:c r="E159" s="135" t="n">
        <x:v>565137548.7702999</x:v>
      </x:c>
      <x:c r="F159" s="135" t="n">
        <x:f>SUM(B159:E159)</x:f>
        <x:v>606456664.6103</x:v>
      </x:c>
      <x:c r="G159" s="111" t="str">
        <x:v>Independente</x:v>
      </x:c>
      <x:c r="H159" s="144" t="str">
        <x:v>Independente</x:v>
      </x:c>
      <x:c r="I159" s="111" t="str">
        <x:v>Regra residual — revisar manualmente</x:v>
      </x:c>
      <x:c r="J159" s="153" t="str">
        <x:v>Sim — alta</x:v>
      </x:c>
      <x:c r="K159" s="135" t="n">
        <x:f>IF($H159="Independente",$F159,0)</x:f>
        <x:v>606456664.6103</x:v>
      </x:c>
      <x:c r="L159" s="135" t="n">
        <x:f>IF($H159="Ligada a banco",$F159,0)</x:f>
        <x:v>0</x:v>
      </x:c>
      <x:c r="M159" s="114" t="n">
        <x:f>IF(K159&gt;0,RANK(K159,$K$6:$K$462)+COUNTIF($K$6:K159,K159)-1,9999)</x:f>
        <x:v>138</x:v>
      </x:c>
      <x:c r="N159" s="114" t="n">
        <x:f>IF(L159&gt;0,RANK(L159,$L$6:$L$462)+COUNTIF($L$6:L159,L159)-1,9999)</x:f>
        <x:v>9999</x:v>
      </x:c>
    </x:row>
    <x:row r="160">
      <x:c r="A160" s="111" t="str">
        <x:v>BMA ASSET</x:v>
      </x:c>
      <x:c r="B160" s="135" t="n">
        <x:v>0</x:v>
      </x:c>
      <x:c r="C160" s="135" t="n">
        <x:v>0</x:v>
      </x:c>
      <x:c r="D160" s="135" t="n">
        <x:v>0</x:v>
      </x:c>
      <x:c r="E160" s="135" t="n">
        <x:v>606376155.84</x:v>
      </x:c>
      <x:c r="F160" s="135" t="n">
        <x:f>SUM(B160:E160)</x:f>
        <x:v>606376155.84</x:v>
      </x:c>
      <x:c r="G160" s="111" t="str">
        <x:v>Independente</x:v>
      </x:c>
      <x:c r="H160" s="144" t="str">
        <x:v>Independente</x:v>
      </x:c>
      <x:c r="I160" s="111" t="str">
        <x:v>Regra residual — revisar manualmente</x:v>
      </x:c>
      <x:c r="J160" s="153" t="str">
        <x:v>Sim — alta</x:v>
      </x:c>
      <x:c r="K160" s="135" t="n">
        <x:f>IF($H160="Independente",$F160,0)</x:f>
        <x:v>606376155.84</x:v>
      </x:c>
      <x:c r="L160" s="135" t="n">
        <x:f>IF($H160="Ligada a banco",$F160,0)</x:f>
        <x:v>0</x:v>
      </x:c>
      <x:c r="M160" s="114" t="n">
        <x:f>IF(K160&gt;0,RANK(K160,$K$6:$K$462)+COUNTIF($K$6:K160,K160)-1,9999)</x:f>
        <x:v>139</x:v>
      </x:c>
      <x:c r="N160" s="114" t="n">
        <x:f>IF(L160&gt;0,RANK(L160,$L$6:$L$462)+COUNTIF($L$6:L160,L160)-1,9999)</x:f>
        <x:v>9999</x:v>
      </x:c>
    </x:row>
    <x:row r="161">
      <x:c r="A161" s="111" t="str">
        <x:v>Score Capital</x:v>
      </x:c>
      <x:c r="B161" s="135" t="n">
        <x:v>0</x:v>
      </x:c>
      <x:c r="C161" s="135" t="n">
        <x:v>0</x:v>
      </x:c>
      <x:c r="D161" s="135" t="n">
        <x:v>0</x:v>
      </x:c>
      <x:c r="E161" s="135" t="n">
        <x:v>563177099.51</x:v>
      </x:c>
      <x:c r="F161" s="135" t="n">
        <x:f>SUM(B161:E161)</x:f>
        <x:v>563177099.51</x:v>
      </x:c>
      <x:c r="G161" s="111" t="str">
        <x:v>Independente</x:v>
      </x:c>
      <x:c r="H161" s="144" t="str">
        <x:v>Independente</x:v>
      </x:c>
      <x:c r="I161" s="111" t="str">
        <x:v>Regra residual — revisar manualmente</x:v>
      </x:c>
      <x:c r="J161" s="153" t="str">
        <x:v>Sim — alta</x:v>
      </x:c>
      <x:c r="K161" s="135" t="n">
        <x:f>IF($H161="Independente",$F161,0)</x:f>
        <x:v>563177099.51</x:v>
      </x:c>
      <x:c r="L161" s="135" t="n">
        <x:f>IF($H161="Ligada a banco",$F161,0)</x:f>
        <x:v>0</x:v>
      </x:c>
      <x:c r="M161" s="114" t="n">
        <x:f>IF(K161&gt;0,RANK(K161,$K$6:$K$462)+COUNTIF($K$6:K161,K161)-1,9999)</x:f>
        <x:v>140</x:v>
      </x:c>
      <x:c r="N161" s="114" t="n">
        <x:f>IF(L161&gt;0,RANK(L161,$L$6:$L$462)+COUNTIF($L$6:L161,L161)-1,9999)</x:f>
        <x:v>9999</x:v>
      </x:c>
    </x:row>
    <x:row r="162">
      <x:c r="A162" s="111" t="str">
        <x:v>Vision Brazil</x:v>
      </x:c>
      <x:c r="B162" s="135" t="n">
        <x:v>0</x:v>
      </x:c>
      <x:c r="C162" s="135" t="n">
        <x:v>0</x:v>
      </x:c>
      <x:c r="D162" s="135" t="n">
        <x:v>0</x:v>
      </x:c>
      <x:c r="E162" s="135" t="n">
        <x:v>558744987.3372</x:v>
      </x:c>
      <x:c r="F162" s="135" t="n">
        <x:f>SUM(B162:E162)</x:f>
        <x:v>558744987.3372</x:v>
      </x:c>
      <x:c r="G162" s="111" t="str">
        <x:v>Independente</x:v>
      </x:c>
      <x:c r="H162" s="144" t="str">
        <x:v>Independente</x:v>
      </x:c>
      <x:c r="I162" s="111" t="str">
        <x:v>Regra residual — revisar manualmente</x:v>
      </x:c>
      <x:c r="J162" s="153" t="str">
        <x:v>Sim — alta</x:v>
      </x:c>
      <x:c r="K162" s="135" t="n">
        <x:f>IF($H162="Independente",$F162,0)</x:f>
        <x:v>558744987.3372</x:v>
      </x:c>
      <x:c r="L162" s="135" t="n">
        <x:f>IF($H162="Ligada a banco",$F162,0)</x:f>
        <x:v>0</x:v>
      </x:c>
      <x:c r="M162" s="114" t="n">
        <x:f>IF(K162&gt;0,RANK(K162,$K$6:$K$462)+COUNTIF($K$6:K162,K162)-1,9999)</x:f>
        <x:v>141</x:v>
      </x:c>
      <x:c r="N162" s="114" t="n">
        <x:f>IF(L162&gt;0,RANK(L162,$L$6:$L$462)+COUNTIF($L$6:L162,L162)-1,9999)</x:f>
        <x:v>9999</x:v>
      </x:c>
    </x:row>
    <x:row r="163">
      <x:c r="A163" s="111" t="str">
        <x:v>BTG PACTUAL WM</x:v>
      </x:c>
      <x:c r="B163" s="135" t="n">
        <x:v>502503153.17999995</x:v>
      </x:c>
      <x:c r="C163" s="135" t="n">
        <x:v>0</x:v>
      </x:c>
      <x:c r="D163" s="135" t="n">
        <x:v>0</x:v>
      </x:c>
      <x:c r="E163" s="135" t="n">
        <x:v>52527837.370000005</x:v>
      </x:c>
      <x:c r="F163" s="135" t="n">
        <x:f>SUM(B163:E163)</x:f>
        <x:v>555030990.55</x:v>
      </x:c>
      <x:c r="G163" s="111" t="str">
        <x:v>Ligada a banco</x:v>
      </x:c>
      <x:c r="H163" s="144" t="str">
        <x:v>Ligada a banco</x:v>
      </x:c>
      <x:c r="I163" s="111" t="str">
        <x:v>Regra nominal: BTG</x:v>
      </x:c>
      <x:c r="J163" s="153" t="str">
        <x:v>Confirmar</x:v>
      </x:c>
      <x:c r="K163" s="135" t="n">
        <x:f>IF($H163="Independente",$F163,0)</x:f>
        <x:v>0</x:v>
      </x:c>
      <x:c r="L163" s="135" t="n">
        <x:f>IF($H163="Ligada a banco",$F163,0)</x:f>
        <x:v>555030990.55</x:v>
      </x:c>
      <x:c r="M163" s="114" t="n">
        <x:f>IF(K163&gt;0,RANK(K163,$K$6:$K$462)+COUNTIF($K$6:K163,K163)-1,9999)</x:f>
        <x:v>9999</x:v>
      </x:c>
      <x:c r="N163" s="114" t="n">
        <x:f>IF(L163&gt;0,RANK(L163,$L$6:$L$462)+COUNTIF($L$6:L163,L163)-1,9999)</x:f>
        <x:v>17</x:v>
      </x:c>
    </x:row>
    <x:row r="164">
      <x:c r="A164" s="111" t="str">
        <x:v>Bocaina Capital</x:v>
      </x:c>
      <x:c r="B164" s="135" t="n">
        <x:v>330044004.76</x:v>
      </x:c>
      <x:c r="C164" s="135" t="n">
        <x:v>0</x:v>
      </x:c>
      <x:c r="D164" s="135" t="n">
        <x:v>0</x:v>
      </x:c>
      <x:c r="E164" s="135" t="n">
        <x:v>224656007.27</x:v>
      </x:c>
      <x:c r="F164" s="135" t="n">
        <x:f>SUM(B164:E164)</x:f>
        <x:v>554700012.03</x:v>
      </x:c>
      <x:c r="G164" s="111" t="str">
        <x:v>Independente</x:v>
      </x:c>
      <x:c r="H164" s="144" t="str">
        <x:v>Independente</x:v>
      </x:c>
      <x:c r="I164" s="111" t="str">
        <x:v>Regra residual — revisar manualmente</x:v>
      </x:c>
      <x:c r="J164" s="153" t="str">
        <x:v>Sim — alta</x:v>
      </x:c>
      <x:c r="K164" s="135" t="n">
        <x:f>IF($H164="Independente",$F164,0)</x:f>
        <x:v>554700012.03</x:v>
      </x:c>
      <x:c r="L164" s="135" t="n">
        <x:f>IF($H164="Ligada a banco",$F164,0)</x:f>
        <x:v>0</x:v>
      </x:c>
      <x:c r="M164" s="114" t="n">
        <x:f>IF(K164&gt;0,RANK(K164,$K$6:$K$462)+COUNTIF($K$6:K164,K164)-1,9999)</x:f>
        <x:v>142</x:v>
      </x:c>
      <x:c r="N164" s="114" t="n">
        <x:f>IF(L164&gt;0,RANK(L164,$L$6:$L$462)+COUNTIF($L$6:L164,L164)-1,9999)</x:f>
        <x:v>9999</x:v>
      </x:c>
    </x:row>
    <x:row r="165">
      <x:c r="A165" s="111" t="str">
        <x:v>Iron Capital</x:v>
      </x:c>
      <x:c r="B165" s="135" t="n">
        <x:v>0</x:v>
      </x:c>
      <x:c r="C165" s="135" t="n">
        <x:v>47170054.49</x:v>
      </x:c>
      <x:c r="D165" s="135" t="n">
        <x:v>95427525.03</x:v>
      </x:c>
      <x:c r="E165" s="135" t="n">
        <x:v>396934326.72</x:v>
      </x:c>
      <x:c r="F165" s="135" t="n">
        <x:f>SUM(B165:E165)</x:f>
        <x:v>539531906.24</x:v>
      </x:c>
      <x:c r="G165" s="111" t="str">
        <x:v>Independente</x:v>
      </x:c>
      <x:c r="H165" s="144" t="str">
        <x:v>Independente</x:v>
      </x:c>
      <x:c r="I165" s="111" t="str">
        <x:v>Regra residual — revisar manualmente</x:v>
      </x:c>
      <x:c r="J165" s="153" t="str">
        <x:v>Sim — alta</x:v>
      </x:c>
      <x:c r="K165" s="135" t="n">
        <x:f>IF($H165="Independente",$F165,0)</x:f>
        <x:v>539531906.24</x:v>
      </x:c>
      <x:c r="L165" s="135" t="n">
        <x:f>IF($H165="Ligada a banco",$F165,0)</x:f>
        <x:v>0</x:v>
      </x:c>
      <x:c r="M165" s="114" t="n">
        <x:f>IF(K165&gt;0,RANK(K165,$K$6:$K$462)+COUNTIF($K$6:K165,K165)-1,9999)</x:f>
        <x:v>143</x:v>
      </x:c>
      <x:c r="N165" s="114" t="n">
        <x:f>IF(L165&gt;0,RANK(L165,$L$6:$L$462)+COUNTIF($L$6:L165,L165)-1,9999)</x:f>
        <x:v>9999</x:v>
      </x:c>
    </x:row>
    <x:row r="166">
      <x:c r="A166" s="111" t="str">
        <x:v>IDGR</x:v>
      </x:c>
      <x:c r="B166" s="135" t="n">
        <x:v>0</x:v>
      </x:c>
      <x:c r="C166" s="135" t="n">
        <x:v>11936935.93</x:v>
      </x:c>
      <x:c r="D166" s="135" t="n">
        <x:v>250959121.64</x:v>
      </x:c>
      <x:c r="E166" s="135" t="n">
        <x:v>267825690.93</x:v>
      </x:c>
      <x:c r="F166" s="135" t="n">
        <x:f>SUM(B166:E166)</x:f>
        <x:v>530721748.5</x:v>
      </x:c>
      <x:c r="G166" s="111" t="str">
        <x:v>Independente</x:v>
      </x:c>
      <x:c r="H166" s="144" t="str">
        <x:v>Independente</x:v>
      </x:c>
      <x:c r="I166" s="111" t="str">
        <x:v>Regra residual — revisar manualmente</x:v>
      </x:c>
      <x:c r="J166" s="153" t="str">
        <x:v>Sim — alta</x:v>
      </x:c>
      <x:c r="K166" s="135" t="n">
        <x:f>IF($H166="Independente",$F166,0)</x:f>
        <x:v>530721748.5</x:v>
      </x:c>
      <x:c r="L166" s="135" t="n">
        <x:f>IF($H166="Ligada a banco",$F166,0)</x:f>
        <x:v>0</x:v>
      </x:c>
      <x:c r="M166" s="114" t="n">
        <x:f>IF(K166&gt;0,RANK(K166,$K$6:$K$462)+COUNTIF($K$6:K166,K166)-1,9999)</x:f>
        <x:v>144</x:v>
      </x:c>
      <x:c r="N166" s="114" t="n">
        <x:f>IF(L166&gt;0,RANK(L166,$L$6:$L$462)+COUNTIF($L$6:L166,L166)-1,9999)</x:f>
        <x:v>9999</x:v>
      </x:c>
    </x:row>
    <x:row r="167">
      <x:c r="A167" s="111" t="str">
        <x:v>CRD Capital Administração de Recursos Ltda</x:v>
      </x:c>
      <x:c r="B167" s="135" t="n">
        <x:v>486999232.3</x:v>
      </x:c>
      <x:c r="C167" s="135" t="n">
        <x:v>0</x:v>
      </x:c>
      <x:c r="D167" s="135" t="n">
        <x:v>0</x:v>
      </x:c>
      <x:c r="E167" s="135" t="n">
        <x:v>37156812.099999994</x:v>
      </x:c>
      <x:c r="F167" s="135" t="n">
        <x:f>SUM(B167:E167)</x:f>
        <x:v>524156044.4</x:v>
      </x:c>
      <x:c r="G167" s="111" t="str">
        <x:v>Independente</x:v>
      </x:c>
      <x:c r="H167" s="144" t="str">
        <x:v>Independente</x:v>
      </x:c>
      <x:c r="I167" s="111" t="str">
        <x:v>Regra residual — revisar manualmente</x:v>
      </x:c>
      <x:c r="J167" s="153" t="str">
        <x:v>Sim — alta</x:v>
      </x:c>
      <x:c r="K167" s="135" t="n">
        <x:f>IF($H167="Independente",$F167,0)</x:f>
        <x:v>524156044.4</x:v>
      </x:c>
      <x:c r="L167" s="135" t="n">
        <x:f>IF($H167="Ligada a banco",$F167,0)</x:f>
        <x:v>0</x:v>
      </x:c>
      <x:c r="M167" s="114" t="n">
        <x:f>IF(K167&gt;0,RANK(K167,$K$6:$K$462)+COUNTIF($K$6:K167,K167)-1,9999)</x:f>
        <x:v>145</x:v>
      </x:c>
      <x:c r="N167" s="114" t="n">
        <x:f>IF(L167&gt;0,RANK(L167,$L$6:$L$462)+COUNTIF($L$6:L167,L167)-1,9999)</x:f>
        <x:v>9999</x:v>
      </x:c>
    </x:row>
    <x:row r="168">
      <x:c r="A168" s="111" t="str">
        <x:v>Banco Santander</x:v>
      </x:c>
      <x:c r="B168" s="135" t="n">
        <x:v>507114261.73</x:v>
      </x:c>
      <x:c r="C168" s="135" t="n">
        <x:v>0</x:v>
      </x:c>
      <x:c r="D168" s="135" t="n">
        <x:v>0</x:v>
      </x:c>
      <x:c r="E168" s="135" t="n">
        <x:v>0</x:v>
      </x:c>
      <x:c r="F168" s="135" t="n">
        <x:f>SUM(B168:E168)</x:f>
        <x:v>507114261.73</x:v>
      </x:c>
      <x:c r="G168" s="111" t="str">
        <x:v>Ligada a banco</x:v>
      </x:c>
      <x:c r="H168" s="144" t="str">
        <x:v>Ligada a banco</x:v>
      </x:c>
      <x:c r="I168" s="111" t="str">
        <x:v>Regra nominal: BANCO</x:v>
      </x:c>
      <x:c r="J168" s="153" t="str">
        <x:v>Confirmar</x:v>
      </x:c>
      <x:c r="K168" s="135" t="n">
        <x:f>IF($H168="Independente",$F168,0)</x:f>
        <x:v>0</x:v>
      </x:c>
      <x:c r="L168" s="135" t="n">
        <x:f>IF($H168="Ligada a banco",$F168,0)</x:f>
        <x:v>507114261.73</x:v>
      </x:c>
      <x:c r="M168" s="114" t="n">
        <x:f>IF(K168&gt;0,RANK(K168,$K$6:$K$462)+COUNTIF($K$6:K168,K168)-1,9999)</x:f>
        <x:v>9999</x:v>
      </x:c>
      <x:c r="N168" s="114" t="n">
        <x:f>IF(L168&gt;0,RANK(L168,$L$6:$L$462)+COUNTIF($L$6:L168,L168)-1,9999)</x:f>
        <x:v>18</x:v>
      </x:c>
    </x:row>
    <x:row r="169">
      <x:c r="A169" s="111" t="str">
        <x:v>Paraguaçu Investimentos</x:v>
      </x:c>
      <x:c r="B169" s="135" t="n">
        <x:v>13507291.76</x:v>
      </x:c>
      <x:c r="C169" s="135" t="n">
        <x:v>33413821.200000003</x:v>
      </x:c>
      <x:c r="D169" s="135" t="n">
        <x:v>57547338.58662</x:v>
      </x:c>
      <x:c r="E169" s="135" t="n">
        <x:v>386273924.32000005</x:v>
      </x:c>
      <x:c r="F169" s="135" t="n">
        <x:f>SUM(B169:E169)</x:f>
        <x:v>490742375.86662006</x:v>
      </x:c>
      <x:c r="G169" s="111" t="str">
        <x:v>Independente</x:v>
      </x:c>
      <x:c r="H169" s="144" t="str">
        <x:v>Independente</x:v>
      </x:c>
      <x:c r="I169" s="111" t="str">
        <x:v>Regra residual — revisar manualmente</x:v>
      </x:c>
      <x:c r="J169" s="153" t="str">
        <x:v>Sim — alta</x:v>
      </x:c>
      <x:c r="K169" s="135" t="n">
        <x:f>IF($H169="Independente",$F169,0)</x:f>
        <x:v>490742375.86662006</x:v>
      </x:c>
      <x:c r="L169" s="135" t="n">
        <x:f>IF($H169="Ligada a banco",$F169,0)</x:f>
        <x:v>0</x:v>
      </x:c>
      <x:c r="M169" s="114" t="n">
        <x:f>IF(K169&gt;0,RANK(K169,$K$6:$K$462)+COUNTIF($K$6:K169,K169)-1,9999)</x:f>
        <x:v>146</x:v>
      </x:c>
      <x:c r="N169" s="114" t="n">
        <x:f>IF(L169&gt;0,RANK(L169,$L$6:$L$462)+COUNTIF($L$6:L169,L169)-1,9999)</x:f>
        <x:v>9999</x:v>
      </x:c>
    </x:row>
    <x:row r="170">
      <x:c r="A170" s="111" t="str">
        <x:v>Aurum</x:v>
      </x:c>
      <x:c r="B170" s="135" t="n">
        <x:v>0</x:v>
      </x:c>
      <x:c r="C170" s="135" t="n">
        <x:v>0</x:v>
      </x:c>
      <x:c r="D170" s="135" t="n">
        <x:v>0</x:v>
      </x:c>
      <x:c r="E170" s="135" t="n">
        <x:v>484726303.52</x:v>
      </x:c>
      <x:c r="F170" s="135" t="n">
        <x:f>SUM(B170:E170)</x:f>
        <x:v>484726303.52</x:v>
      </x:c>
      <x:c r="G170" s="111" t="str">
        <x:v>Independente</x:v>
      </x:c>
      <x:c r="H170" s="144" t="str">
        <x:v>Independente</x:v>
      </x:c>
      <x:c r="I170" s="111" t="str">
        <x:v>Regra residual — revisar manualmente</x:v>
      </x:c>
      <x:c r="J170" s="153" t="str">
        <x:v>Sim — alta</x:v>
      </x:c>
      <x:c r="K170" s="135" t="n">
        <x:f>IF($H170="Independente",$F170,0)</x:f>
        <x:v>484726303.52</x:v>
      </x:c>
      <x:c r="L170" s="135" t="n">
        <x:f>IF($H170="Ligada a banco",$F170,0)</x:f>
        <x:v>0</x:v>
      </x:c>
      <x:c r="M170" s="114" t="n">
        <x:f>IF(K170&gt;0,RANK(K170,$K$6:$K$462)+COUNTIF($K$6:K170,K170)-1,9999)</x:f>
        <x:v>147</x:v>
      </x:c>
      <x:c r="N170" s="114" t="n">
        <x:f>IF(L170&gt;0,RANK(L170,$L$6:$L$462)+COUNTIF($L$6:L170,L170)-1,9999)</x:f>
        <x:v>9999</x:v>
      </x:c>
    </x:row>
    <x:row r="171">
      <x:c r="A171" s="111" t="str">
        <x:v>Prinz Gestora de Recursos Ltda</x:v>
      </x:c>
      <x:c r="B171" s="135" t="n">
        <x:v>0</x:v>
      </x:c>
      <x:c r="C171" s="135" t="n">
        <x:v>0</x:v>
      </x:c>
      <x:c r="D171" s="135" t="n">
        <x:v>0</x:v>
      </x:c>
      <x:c r="E171" s="135" t="n">
        <x:v>481490149.9899999</x:v>
      </x:c>
      <x:c r="F171" s="135" t="n">
        <x:f>SUM(B171:E171)</x:f>
        <x:v>481490149.9899999</x:v>
      </x:c>
      <x:c r="G171" s="111" t="str">
        <x:v>Independente</x:v>
      </x:c>
      <x:c r="H171" s="144" t="str">
        <x:v>Independente</x:v>
      </x:c>
      <x:c r="I171" s="111" t="str">
        <x:v>Regra residual — revisar manualmente</x:v>
      </x:c>
      <x:c r="J171" s="153" t="str">
        <x:v>Sim — alta</x:v>
      </x:c>
      <x:c r="K171" s="135" t="n">
        <x:f>IF($H171="Independente",$F171,0)</x:f>
        <x:v>481490149.9899999</x:v>
      </x:c>
      <x:c r="L171" s="135" t="n">
        <x:f>IF($H171="Ligada a banco",$F171,0)</x:f>
        <x:v>0</x:v>
      </x:c>
      <x:c r="M171" s="114" t="n">
        <x:f>IF(K171&gt;0,RANK(K171,$K$6:$K$462)+COUNTIF($K$6:K171,K171)-1,9999)</x:f>
        <x:v>148</x:v>
      </x:c>
      <x:c r="N171" s="114" t="n">
        <x:f>IF(L171&gt;0,RANK(L171,$L$6:$L$462)+COUNTIF($L$6:L171,L171)-1,9999)</x:f>
        <x:v>9999</x:v>
      </x:c>
    </x:row>
    <x:row r="172">
      <x:c r="A172" s="111" t="str">
        <x:v>Menestys</x:v>
      </x:c>
      <x:c r="B172" s="135" t="n">
        <x:v>77890185.94000001</x:v>
      </x:c>
      <x:c r="C172" s="135" t="n">
        <x:v>9044890.95</x:v>
      </x:c>
      <x:c r="D172" s="135" t="n">
        <x:v>188079587.81</x:v>
      </x:c>
      <x:c r="E172" s="135" t="n">
        <x:v>204175652.6899999</x:v>
      </x:c>
      <x:c r="F172" s="135" t="n">
        <x:f>SUM(B172:E172)</x:f>
        <x:v>479190317.39</x:v>
      </x:c>
      <x:c r="G172" s="111" t="str">
        <x:v>Independente</x:v>
      </x:c>
      <x:c r="H172" s="144" t="str">
        <x:v>Independente</x:v>
      </x:c>
      <x:c r="I172" s="111" t="str">
        <x:v>Regra residual — revisar manualmente</x:v>
      </x:c>
      <x:c r="J172" s="153" t="str">
        <x:v>Sim — alta</x:v>
      </x:c>
      <x:c r="K172" s="135" t="n">
        <x:f>IF($H172="Independente",$F172,0)</x:f>
        <x:v>479190317.39</x:v>
      </x:c>
      <x:c r="L172" s="135" t="n">
        <x:f>IF($H172="Ligada a banco",$F172,0)</x:f>
        <x:v>0</x:v>
      </x:c>
      <x:c r="M172" s="114" t="n">
        <x:f>IF(K172&gt;0,RANK(K172,$K$6:$K$462)+COUNTIF($K$6:K172,K172)-1,9999)</x:f>
        <x:v>149</x:v>
      </x:c>
      <x:c r="N172" s="114" t="n">
        <x:f>IF(L172&gt;0,RANK(L172,$L$6:$L$462)+COUNTIF($L$6:L172,L172)-1,9999)</x:f>
        <x:v>9999</x:v>
      </x:c>
    </x:row>
    <x:row r="173">
      <x:c r="A173" s="111" t="str">
        <x:v>JUGIS CAPITAL GESTÃO DE RECURSOS LTDA.</x:v>
      </x:c>
      <x:c r="B173" s="135" t="n">
        <x:v>0</x:v>
      </x:c>
      <x:c r="C173" s="135" t="n">
        <x:v>0</x:v>
      </x:c>
      <x:c r="D173" s="135" t="n">
        <x:v>0</x:v>
      </x:c>
      <x:c r="E173" s="135" t="n">
        <x:v>478212088.51</x:v>
      </x:c>
      <x:c r="F173" s="135" t="n">
        <x:f>SUM(B173:E173)</x:f>
        <x:v>478212088.51</x:v>
      </x:c>
      <x:c r="G173" s="111" t="str">
        <x:v>Independente</x:v>
      </x:c>
      <x:c r="H173" s="144" t="str">
        <x:v>Independente</x:v>
      </x:c>
      <x:c r="I173" s="111" t="str">
        <x:v>Regra residual — revisar manualmente</x:v>
      </x:c>
      <x:c r="J173" s="153" t="str">
        <x:v>Sim — alta</x:v>
      </x:c>
      <x:c r="K173" s="135" t="n">
        <x:f>IF($H173="Independente",$F173,0)</x:f>
        <x:v>478212088.51</x:v>
      </x:c>
      <x:c r="L173" s="135" t="n">
        <x:f>IF($H173="Ligada a banco",$F173,0)</x:f>
        <x:v>0</x:v>
      </x:c>
      <x:c r="M173" s="114" t="n">
        <x:f>IF(K173&gt;0,RANK(K173,$K$6:$K$462)+COUNTIF($K$6:K173,K173)-1,9999)</x:f>
        <x:v>150</x:v>
      </x:c>
      <x:c r="N173" s="114" t="n">
        <x:f>IF(L173&gt;0,RANK(L173,$L$6:$L$462)+COUNTIF($L$6:L173,L173)-1,9999)</x:f>
        <x:v>9999</x:v>
      </x:c>
    </x:row>
    <x:row r="174">
      <x:c r="A174" s="111" t="str">
        <x:v>Möbius Capital</x:v>
      </x:c>
      <x:c r="B174" s="135" t="n">
        <x:v>0</x:v>
      </x:c>
      <x:c r="C174" s="135" t="n">
        <x:v>0</x:v>
      </x:c>
      <x:c r="D174" s="135" t="n">
        <x:v>71933974.74</x:v>
      </x:c>
      <x:c r="E174" s="135" t="n">
        <x:v>401982560.5100001</x:v>
      </x:c>
      <x:c r="F174" s="135" t="n">
        <x:f>SUM(B174:E174)</x:f>
        <x:v>473916535.2500001</x:v>
      </x:c>
      <x:c r="G174" s="111" t="str">
        <x:v>Independente</x:v>
      </x:c>
      <x:c r="H174" s="144" t="str">
        <x:v>Independente</x:v>
      </x:c>
      <x:c r="I174" s="111" t="str">
        <x:v>Regra residual — revisar manualmente</x:v>
      </x:c>
      <x:c r="J174" s="153" t="str">
        <x:v>Sim — alta</x:v>
      </x:c>
      <x:c r="K174" s="135" t="n">
        <x:f>IF($H174="Independente",$F174,0)</x:f>
        <x:v>473916535.2500001</x:v>
      </x:c>
      <x:c r="L174" s="135" t="n">
        <x:f>IF($H174="Ligada a banco",$F174,0)</x:f>
        <x:v>0</x:v>
      </x:c>
      <x:c r="M174" s="114" t="n">
        <x:f>IF(K174&gt;0,RANK(K174,$K$6:$K$462)+COUNTIF($K$6:K174,K174)-1,9999)</x:f>
        <x:v>151</x:v>
      </x:c>
      <x:c r="N174" s="114" t="n">
        <x:f>IF(L174&gt;0,RANK(L174,$L$6:$L$462)+COUNTIF($L$6:L174,L174)-1,9999)</x:f>
        <x:v>9999</x:v>
      </x:c>
    </x:row>
    <x:row r="175">
      <x:c r="A175" s="111" t="str">
        <x:v>BPS CAPITAL</x:v>
      </x:c>
      <x:c r="B175" s="135" t="n">
        <x:v>0</x:v>
      </x:c>
      <x:c r="C175" s="135" t="n">
        <x:v>0</x:v>
      </x:c>
      <x:c r="D175" s="135" t="n">
        <x:v>0</x:v>
      </x:c>
      <x:c r="E175" s="135" t="n">
        <x:v>472037454.8399999</x:v>
      </x:c>
      <x:c r="F175" s="135" t="n">
        <x:f>SUM(B175:E175)</x:f>
        <x:v>472037454.8399999</x:v>
      </x:c>
      <x:c r="G175" s="111" t="str">
        <x:v>Independente</x:v>
      </x:c>
      <x:c r="H175" s="144" t="str">
        <x:v>Independente</x:v>
      </x:c>
      <x:c r="I175" s="111" t="str">
        <x:v>Regra residual — revisar manualmente</x:v>
      </x:c>
      <x:c r="J175" s="153" t="str">
        <x:v>Sim — alta</x:v>
      </x:c>
      <x:c r="K175" s="135" t="n">
        <x:f>IF($H175="Independente",$F175,0)</x:f>
        <x:v>472037454.8399999</x:v>
      </x:c>
      <x:c r="L175" s="135" t="n">
        <x:f>IF($H175="Ligada a banco",$F175,0)</x:f>
        <x:v>0</x:v>
      </x:c>
      <x:c r="M175" s="114" t="n">
        <x:f>IF(K175&gt;0,RANK(K175,$K$6:$K$462)+COUNTIF($K$6:K175,K175)-1,9999)</x:f>
        <x:v>152</x:v>
      </x:c>
      <x:c r="N175" s="114" t="n">
        <x:f>IF(L175&gt;0,RANK(L175,$L$6:$L$462)+COUNTIF($L$6:L175,L175)-1,9999)</x:f>
        <x:v>9999</x:v>
      </x:c>
    </x:row>
    <x:row r="176">
      <x:c r="A176" s="111" t="str">
        <x:v>UC Gestora de Recursos</x:v>
      </x:c>
      <x:c r="B176" s="135" t="n">
        <x:v>228232954.57</x:v>
      </x:c>
      <x:c r="C176" s="135" t="n">
        <x:v>6750554.87</x:v>
      </x:c>
      <x:c r="D176" s="135" t="n">
        <x:v>146876832.31</x:v>
      </x:c>
      <x:c r="E176" s="135" t="n">
        <x:v>88857029.75</x:v>
      </x:c>
      <x:c r="F176" s="135" t="n">
        <x:f>SUM(B176:E176)</x:f>
        <x:v>470717371.5</x:v>
      </x:c>
      <x:c r="G176" s="111" t="str">
        <x:v>Independente</x:v>
      </x:c>
      <x:c r="H176" s="144" t="str">
        <x:v>Independente</x:v>
      </x:c>
      <x:c r="I176" s="111" t="str">
        <x:v>Regra residual — revisar manualmente</x:v>
      </x:c>
      <x:c r="J176" s="153" t="str">
        <x:v>Sim — alta</x:v>
      </x:c>
      <x:c r="K176" s="135" t="n">
        <x:f>IF($H176="Independente",$F176,0)</x:f>
        <x:v>470717371.5</x:v>
      </x:c>
      <x:c r="L176" s="135" t="n">
        <x:f>IF($H176="Ligada a banco",$F176,0)</x:f>
        <x:v>0</x:v>
      </x:c>
      <x:c r="M176" s="114" t="n">
        <x:f>IF(K176&gt;0,RANK(K176,$K$6:$K$462)+COUNTIF($K$6:K176,K176)-1,9999)</x:f>
        <x:v>153</x:v>
      </x:c>
      <x:c r="N176" s="114" t="n">
        <x:f>IF(L176&gt;0,RANK(L176,$L$6:$L$462)+COUNTIF($L$6:L176,L176)-1,9999)</x:f>
        <x:v>9999</x:v>
      </x:c>
    </x:row>
    <x:row r="177">
      <x:c r="A177" s="111" t="str">
        <x:v>Verde Asset Management S.A.</x:v>
      </x:c>
      <x:c r="B177" s="135" t="n">
        <x:v>0</x:v>
      </x:c>
      <x:c r="C177" s="135" t="n">
        <x:v>0</x:v>
      </x:c>
      <x:c r="D177" s="135" t="n">
        <x:v>0</x:v>
      </x:c>
      <x:c r="E177" s="135" t="n">
        <x:v>449521643.0166</x:v>
      </x:c>
      <x:c r="F177" s="135" t="n">
        <x:f>SUM(B177:E177)</x:f>
        <x:v>449521643.0166</x:v>
      </x:c>
      <x:c r="G177" s="111" t="str">
        <x:v>Independente</x:v>
      </x:c>
      <x:c r="H177" s="144" t="str">
        <x:v>Independente</x:v>
      </x:c>
      <x:c r="I177" s="111" t="str">
        <x:v>Regra residual — revisar manualmente</x:v>
      </x:c>
      <x:c r="J177" s="153" t="str">
        <x:v>Sim — alta</x:v>
      </x:c>
      <x:c r="K177" s="135" t="n">
        <x:f>IF($H177="Independente",$F177,0)</x:f>
        <x:v>449521643.0166</x:v>
      </x:c>
      <x:c r="L177" s="135" t="n">
        <x:f>IF($H177="Ligada a banco",$F177,0)</x:f>
        <x:v>0</x:v>
      </x:c>
      <x:c r="M177" s="114" t="n">
        <x:f>IF(K177&gt;0,RANK(K177,$K$6:$K$462)+COUNTIF($K$6:K177,K177)-1,9999)</x:f>
        <x:v>154</x:v>
      </x:c>
      <x:c r="N177" s="114" t="n">
        <x:f>IF(L177&gt;0,RANK(L177,$L$6:$L$462)+COUNTIF($L$6:L177,L177)-1,9999)</x:f>
        <x:v>9999</x:v>
      </x:c>
    </x:row>
    <x:row r="178">
      <x:c r="A178" s="111" t="str">
        <x:v>Namari Capital Gestão de Recursos Ltda.</x:v>
      </x:c>
      <x:c r="B178" s="135" t="n">
        <x:v>29716418.81</x:v>
      </x:c>
      <x:c r="C178" s="135" t="n">
        <x:v>174147410.57000002</x:v>
      </x:c>
      <x:c r="D178" s="135" t="n">
        <x:v>0</x:v>
      </x:c>
      <x:c r="E178" s="135" t="n">
        <x:v>242468350.3</x:v>
      </x:c>
      <x:c r="F178" s="135" t="n">
        <x:f>SUM(B178:E178)</x:f>
        <x:v>446332179.68000007</x:v>
      </x:c>
      <x:c r="G178" s="111" t="str">
        <x:v>Independente</x:v>
      </x:c>
      <x:c r="H178" s="144" t="str">
        <x:v>Independente</x:v>
      </x:c>
      <x:c r="I178" s="111" t="str">
        <x:v>Regra residual — revisar manualmente</x:v>
      </x:c>
      <x:c r="J178" s="153" t="str">
        <x:v>Sim — alta</x:v>
      </x:c>
      <x:c r="K178" s="135" t="n">
        <x:f>IF($H178="Independente",$F178,0)</x:f>
        <x:v>446332179.68000007</x:v>
      </x:c>
      <x:c r="L178" s="135" t="n">
        <x:f>IF($H178="Ligada a banco",$F178,0)</x:f>
        <x:v>0</x:v>
      </x:c>
      <x:c r="M178" s="114" t="n">
        <x:f>IF(K178&gt;0,RANK(K178,$K$6:$K$462)+COUNTIF($K$6:K178,K178)-1,9999)</x:f>
        <x:v>155</x:v>
      </x:c>
      <x:c r="N178" s="114" t="n">
        <x:f>IF(L178&gt;0,RANK(L178,$L$6:$L$462)+COUNTIF($L$6:L178,L178)-1,9999)</x:f>
        <x:v>9999</x:v>
      </x:c>
    </x:row>
    <x:row r="179">
      <x:c r="A179" s="111" t="str">
        <x:v>F3 ROCK</x:v>
      </x:c>
      <x:c r="B179" s="135" t="n">
        <x:v>0</x:v>
      </x:c>
      <x:c r="C179" s="135" t="n">
        <x:v>367119307.1400001</x:v>
      </x:c>
      <x:c r="D179" s="135" t="n">
        <x:v>0</x:v>
      </x:c>
      <x:c r="E179" s="135" t="n">
        <x:v>78135602.38000001</x:v>
      </x:c>
      <x:c r="F179" s="135" t="n">
        <x:f>SUM(B179:E179)</x:f>
        <x:v>445254909.5200001</x:v>
      </x:c>
      <x:c r="G179" s="111" t="str">
        <x:v>Independente</x:v>
      </x:c>
      <x:c r="H179" s="144" t="str">
        <x:v>Independente</x:v>
      </x:c>
      <x:c r="I179" s="111" t="str">
        <x:v>Regra residual — revisar manualmente</x:v>
      </x:c>
      <x:c r="J179" s="153" t="str">
        <x:v>Sim — alta</x:v>
      </x:c>
      <x:c r="K179" s="135" t="n">
        <x:f>IF($H179="Independente",$F179,0)</x:f>
        <x:v>445254909.5200001</x:v>
      </x:c>
      <x:c r="L179" s="135" t="n">
        <x:f>IF($H179="Ligada a banco",$F179,0)</x:f>
        <x:v>0</x:v>
      </x:c>
      <x:c r="M179" s="114" t="n">
        <x:f>IF(K179&gt;0,RANK(K179,$K$6:$K$462)+COUNTIF($K$6:K179,K179)-1,9999)</x:f>
        <x:v>156</x:v>
      </x:c>
      <x:c r="N179" s="114" t="n">
        <x:f>IF(L179&gt;0,RANK(L179,$L$6:$L$462)+COUNTIF($L$6:L179,L179)-1,9999)</x:f>
        <x:v>9999</x:v>
      </x:c>
    </x:row>
    <x:row r="180">
      <x:c r="A180" s="111" t="str">
        <x:v>FIDD Administração de Recursos Ltda.</x:v>
      </x:c>
      <x:c r="B180" s="135" t="n">
        <x:v>18443845.4</x:v>
      </x:c>
      <x:c r="C180" s="135" t="n">
        <x:v>14259000.170000002</x:v>
      </x:c>
      <x:c r="D180" s="135" t="n">
        <x:v>0</x:v>
      </x:c>
      <x:c r="E180" s="135" t="n">
        <x:v>409266176.12</x:v>
      </x:c>
      <x:c r="F180" s="135" t="n">
        <x:f>SUM(B180:E180)</x:f>
        <x:v>441969021.69</x:v>
      </x:c>
      <x:c r="G180" s="111" t="str">
        <x:v>Independente</x:v>
      </x:c>
      <x:c r="H180" s="144" t="str">
        <x:v>Independente</x:v>
      </x:c>
      <x:c r="I180" s="111" t="str">
        <x:v>Regra residual — revisar manualmente</x:v>
      </x:c>
      <x:c r="J180" s="153" t="str">
        <x:v>Sim — alta</x:v>
      </x:c>
      <x:c r="K180" s="135" t="n">
        <x:f>IF($H180="Independente",$F180,0)</x:f>
        <x:v>441969021.69</x:v>
      </x:c>
      <x:c r="L180" s="135" t="n">
        <x:f>IF($H180="Ligada a banco",$F180,0)</x:f>
        <x:v>0</x:v>
      </x:c>
      <x:c r="M180" s="114" t="n">
        <x:f>IF(K180&gt;0,RANK(K180,$K$6:$K$462)+COUNTIF($K$6:K180,K180)-1,9999)</x:f>
        <x:v>157</x:v>
      </x:c>
      <x:c r="N180" s="114" t="n">
        <x:f>IF(L180&gt;0,RANK(L180,$L$6:$L$462)+COUNTIF($L$6:L180,L180)-1,9999)</x:f>
        <x:v>9999</x:v>
      </x:c>
    </x:row>
    <x:row r="181">
      <x:c r="A181" s="111" t="str">
        <x:v>HOPE ASSET</x:v>
      </x:c>
      <x:c r="B181" s="135" t="n">
        <x:v>0</x:v>
      </x:c>
      <x:c r="C181" s="135" t="n">
        <x:v>66783556.17000001</x:v>
      </x:c>
      <x:c r="D181" s="135" t="n">
        <x:v>372628616.58</x:v>
      </x:c>
      <x:c r="E181" s="135" t="n">
        <x:v>0</x:v>
      </x:c>
      <x:c r="F181" s="135" t="n">
        <x:f>SUM(B181:E181)</x:f>
        <x:v>439412172.75</x:v>
      </x:c>
      <x:c r="G181" s="111" t="str">
        <x:v>Independente</x:v>
      </x:c>
      <x:c r="H181" s="144" t="str">
        <x:v>Independente</x:v>
      </x:c>
      <x:c r="I181" s="111" t="str">
        <x:v>Regra residual — revisar manualmente</x:v>
      </x:c>
      <x:c r="J181" s="153" t="str">
        <x:v>Sim — alta</x:v>
      </x:c>
      <x:c r="K181" s="135" t="n">
        <x:f>IF($H181="Independente",$F181,0)</x:f>
        <x:v>439412172.75</x:v>
      </x:c>
      <x:c r="L181" s="135" t="n">
        <x:f>IF($H181="Ligada a banco",$F181,0)</x:f>
        <x:v>0</x:v>
      </x:c>
      <x:c r="M181" s="114" t="n">
        <x:f>IF(K181&gt;0,RANK(K181,$K$6:$K$462)+COUNTIF($K$6:K181,K181)-1,9999)</x:f>
        <x:v>158</x:v>
      </x:c>
      <x:c r="N181" s="114" t="n">
        <x:f>IF(L181&gt;0,RANK(L181,$L$6:$L$462)+COUNTIF($L$6:L181,L181)-1,9999)</x:f>
        <x:v>9999</x:v>
      </x:c>
    </x:row>
    <x:row r="182">
      <x:c r="A182" s="111" t="str">
        <x:v>Soma Asset</x:v>
      </x:c>
      <x:c r="B182" s="135" t="n">
        <x:v>0</x:v>
      </x:c>
      <x:c r="C182" s="135" t="n">
        <x:v>0</x:v>
      </x:c>
      <x:c r="D182" s="135" t="n">
        <x:v>384259808.98</x:v>
      </x:c>
      <x:c r="E182" s="135" t="n">
        <x:v>45638685.55</x:v>
      </x:c>
      <x:c r="F182" s="135" t="n">
        <x:f>SUM(B182:E182)</x:f>
        <x:v>429898494.53000003</x:v>
      </x:c>
      <x:c r="G182" s="111" t="str">
        <x:v>Independente</x:v>
      </x:c>
      <x:c r="H182" s="144" t="str">
        <x:v>Independente</x:v>
      </x:c>
      <x:c r="I182" s="111" t="str">
        <x:v>Regra residual — revisar manualmente</x:v>
      </x:c>
      <x:c r="J182" s="153" t="str">
        <x:v>Sim — alta</x:v>
      </x:c>
      <x:c r="K182" s="135" t="n">
        <x:f>IF($H182="Independente",$F182,0)</x:f>
        <x:v>429898494.53000003</x:v>
      </x:c>
      <x:c r="L182" s="135" t="n">
        <x:f>IF($H182="Ligada a banco",$F182,0)</x:f>
        <x:v>0</x:v>
      </x:c>
      <x:c r="M182" s="114" t="n">
        <x:f>IF(K182&gt;0,RANK(K182,$K$6:$K$462)+COUNTIF($K$6:K182,K182)-1,9999)</x:f>
        <x:v>159</x:v>
      </x:c>
      <x:c r="N182" s="114" t="n">
        <x:f>IF(L182&gt;0,RANK(L182,$L$6:$L$462)+COUNTIF($L$6:L182,L182)-1,9999)</x:f>
        <x:v>9999</x:v>
      </x:c>
    </x:row>
    <x:row r="183">
      <x:c r="A183" s="111" t="str">
        <x:v>Everest Capital</x:v>
      </x:c>
      <x:c r="B183" s="135" t="n">
        <x:v>0</x:v>
      </x:c>
      <x:c r="C183" s="135" t="n">
        <x:v>295920837.21</x:v>
      </x:c>
      <x:c r="D183" s="135" t="n">
        <x:v>56491907.30000002</x:v>
      </x:c>
      <x:c r="E183" s="135" t="n">
        <x:v>76109432.63999997</x:v>
      </x:c>
      <x:c r="F183" s="135" t="n">
        <x:f>SUM(B183:E183)</x:f>
        <x:v>428522177.15</x:v>
      </x:c>
      <x:c r="G183" s="111" t="str">
        <x:v>Independente</x:v>
      </x:c>
      <x:c r="H183" s="144" t="str">
        <x:v>Independente</x:v>
      </x:c>
      <x:c r="I183" s="111" t="str">
        <x:v>Regra residual — revisar manualmente</x:v>
      </x:c>
      <x:c r="J183" s="153" t="str">
        <x:v>Sim — alta</x:v>
      </x:c>
      <x:c r="K183" s="135" t="n">
        <x:f>IF($H183="Independente",$F183,0)</x:f>
        <x:v>428522177.15</x:v>
      </x:c>
      <x:c r="L183" s="135" t="n">
        <x:f>IF($H183="Ligada a banco",$F183,0)</x:f>
        <x:v>0</x:v>
      </x:c>
      <x:c r="M183" s="114" t="n">
        <x:f>IF(K183&gt;0,RANK(K183,$K$6:$K$462)+COUNTIF($K$6:K183,K183)-1,9999)</x:f>
        <x:v>160</x:v>
      </x:c>
      <x:c r="N183" s="114" t="n">
        <x:f>IF(L183&gt;0,RANK(L183,$L$6:$L$462)+COUNTIF($L$6:L183,L183)-1,9999)</x:f>
        <x:v>9999</x:v>
      </x:c>
    </x:row>
    <x:row r="184">
      <x:c r="A184" s="111" t="str">
        <x:v>ICON CAPITAL</x:v>
      </x:c>
      <x:c r="B184" s="135" t="n">
        <x:v>319730941.11</x:v>
      </x:c>
      <x:c r="C184" s="135" t="n">
        <x:v>0</x:v>
      </x:c>
      <x:c r="D184" s="135" t="n">
        <x:v>0</x:v>
      </x:c>
      <x:c r="E184" s="135" t="n">
        <x:v>100595761.92000002</x:v>
      </x:c>
      <x:c r="F184" s="135" t="n">
        <x:f>SUM(B184:E184)</x:f>
        <x:v>420326703.03000003</x:v>
      </x:c>
      <x:c r="G184" s="111" t="str">
        <x:v>Independente</x:v>
      </x:c>
      <x:c r="H184" s="144" t="str">
        <x:v>Independente</x:v>
      </x:c>
      <x:c r="I184" s="111" t="str">
        <x:v>Regra residual — revisar manualmente</x:v>
      </x:c>
      <x:c r="J184" s="153" t="str">
        <x:v>Sim — alta</x:v>
      </x:c>
      <x:c r="K184" s="135" t="n">
        <x:f>IF($H184="Independente",$F184,0)</x:f>
        <x:v>420326703.03000003</x:v>
      </x:c>
      <x:c r="L184" s="135" t="n">
        <x:f>IF($H184="Ligada a banco",$F184,0)</x:f>
        <x:v>0</x:v>
      </x:c>
      <x:c r="M184" s="114" t="n">
        <x:f>IF(K184&gt;0,RANK(K184,$K$6:$K$462)+COUNTIF($K$6:K184,K184)-1,9999)</x:f>
        <x:v>161</x:v>
      </x:c>
      <x:c r="N184" s="114" t="n">
        <x:f>IF(L184&gt;0,RANK(L184,$L$6:$L$462)+COUNTIF($L$6:L184,L184)-1,9999)</x:f>
        <x:v>9999</x:v>
      </x:c>
    </x:row>
    <x:row r="185">
      <x:c r="A185" s="111" t="str">
        <x:v>SARFATY ASSET</x:v>
      </x:c>
      <x:c r="B185" s="135" t="n">
        <x:v>0</x:v>
      </x:c>
      <x:c r="C185" s="135" t="n">
        <x:v>0</x:v>
      </x:c>
      <x:c r="D185" s="135" t="n">
        <x:v>102366990.54</x:v>
      </x:c>
      <x:c r="E185" s="135" t="n">
        <x:v>317004553.51</x:v>
      </x:c>
      <x:c r="F185" s="135" t="n">
        <x:f>SUM(B185:E185)</x:f>
        <x:v>419371544.05</x:v>
      </x:c>
      <x:c r="G185" s="111" t="str">
        <x:v>Independente</x:v>
      </x:c>
      <x:c r="H185" s="144" t="str">
        <x:v>Independente</x:v>
      </x:c>
      <x:c r="I185" s="111" t="str">
        <x:v>Regra residual — revisar manualmente</x:v>
      </x:c>
      <x:c r="J185" s="153" t="str">
        <x:v>Sim — alta</x:v>
      </x:c>
      <x:c r="K185" s="135" t="n">
        <x:f>IF($H185="Independente",$F185,0)</x:f>
        <x:v>419371544.05</x:v>
      </x:c>
      <x:c r="L185" s="135" t="n">
        <x:f>IF($H185="Ligada a banco",$F185,0)</x:f>
        <x:v>0</x:v>
      </x:c>
      <x:c r="M185" s="114" t="n">
        <x:f>IF(K185&gt;0,RANK(K185,$K$6:$K$462)+COUNTIF($K$6:K185,K185)-1,9999)</x:f>
        <x:v>162</x:v>
      </x:c>
      <x:c r="N185" s="114" t="n">
        <x:f>IF(L185&gt;0,RANK(L185,$L$6:$L$462)+COUNTIF($L$6:L185,L185)-1,9999)</x:f>
        <x:v>9999</x:v>
      </x:c>
    </x:row>
    <x:row r="186">
      <x:c r="A186" s="111" t="str">
        <x:v>Tyr Gestao de Recursos Ltda</x:v>
      </x:c>
      <x:c r="B186" s="135" t="n">
        <x:v>231368973.56000003</x:v>
      </x:c>
      <x:c r="C186" s="135" t="n">
        <x:v>0</x:v>
      </x:c>
      <x:c r="D186" s="135" t="n">
        <x:v>92978458.52</x:v>
      </x:c>
      <x:c r="E186" s="135" t="n">
        <x:v>94067280.56</x:v>
      </x:c>
      <x:c r="F186" s="135" t="n">
        <x:f>SUM(B186:E186)</x:f>
        <x:v>418414712.64000005</x:v>
      </x:c>
      <x:c r="G186" s="111" t="str">
        <x:v>Independente</x:v>
      </x:c>
      <x:c r="H186" s="144" t="str">
        <x:v>Independente</x:v>
      </x:c>
      <x:c r="I186" s="111" t="str">
        <x:v>Regra residual — revisar manualmente</x:v>
      </x:c>
      <x:c r="J186" s="153" t="str">
        <x:v>Sim — alta</x:v>
      </x:c>
      <x:c r="K186" s="135" t="n">
        <x:f>IF($H186="Independente",$F186,0)</x:f>
        <x:v>418414712.64000005</x:v>
      </x:c>
      <x:c r="L186" s="135" t="n">
        <x:f>IF($H186="Ligada a banco",$F186,0)</x:f>
        <x:v>0</x:v>
      </x:c>
      <x:c r="M186" s="114" t="n">
        <x:f>IF(K186&gt;0,RANK(K186,$K$6:$K$462)+COUNTIF($K$6:K186,K186)-1,9999)</x:f>
        <x:v>163</x:v>
      </x:c>
      <x:c r="N186" s="114" t="n">
        <x:f>IF(L186&gt;0,RANK(L186,$L$6:$L$462)+COUNTIF($L$6:L186,L186)-1,9999)</x:f>
        <x:v>9999</x:v>
      </x:c>
    </x:row>
    <x:row r="187">
      <x:c r="A187" s="111" t="str">
        <x:v>SVN Gestora de Recursos Ltda.</x:v>
      </x:c>
      <x:c r="B187" s="135" t="n">
        <x:v>0</x:v>
      </x:c>
      <x:c r="C187" s="135" t="n">
        <x:v>0</x:v>
      </x:c>
      <x:c r="D187" s="135" t="n">
        <x:v>0</x:v>
      </x:c>
      <x:c r="E187" s="135" t="n">
        <x:v>414084585.9700001</x:v>
      </x:c>
      <x:c r="F187" s="135" t="n">
        <x:f>SUM(B187:E187)</x:f>
        <x:v>414084585.9700001</x:v>
      </x:c>
      <x:c r="G187" s="111" t="str">
        <x:v>Independente</x:v>
      </x:c>
      <x:c r="H187" s="144" t="str">
        <x:v>Independente</x:v>
      </x:c>
      <x:c r="I187" s="111" t="str">
        <x:v>Regra residual — revisar manualmente</x:v>
      </x:c>
      <x:c r="J187" s="153" t="str">
        <x:v>Sim — alta</x:v>
      </x:c>
      <x:c r="K187" s="135" t="n">
        <x:f>IF($H187="Independente",$F187,0)</x:f>
        <x:v>414084585.9700001</x:v>
      </x:c>
      <x:c r="L187" s="135" t="n">
        <x:f>IF($H187="Ligada a banco",$F187,0)</x:f>
        <x:v>0</x:v>
      </x:c>
      <x:c r="M187" s="114" t="n">
        <x:f>IF(K187&gt;0,RANK(K187,$K$6:$K$462)+COUNTIF($K$6:K187,K187)-1,9999)</x:f>
        <x:v>164</x:v>
      </x:c>
      <x:c r="N187" s="114" t="n">
        <x:f>IF(L187&gt;0,RANK(L187,$L$6:$L$462)+COUNTIF($L$6:L187,L187)-1,9999)</x:f>
        <x:v>9999</x:v>
      </x:c>
    </x:row>
    <x:row r="188">
      <x:c r="A188" s="111" t="str">
        <x:v>Track Capital Gestão de Recursos Ltda.</x:v>
      </x:c>
      <x:c r="B188" s="135" t="n">
        <x:v>0</x:v>
      </x:c>
      <x:c r="C188" s="135" t="n">
        <x:v>0</x:v>
      </x:c>
      <x:c r="D188" s="135" t="n">
        <x:v>0</x:v>
      </x:c>
      <x:c r="E188" s="135" t="n">
        <x:v>395979686.25</x:v>
      </x:c>
      <x:c r="F188" s="135" t="n">
        <x:f>SUM(B188:E188)</x:f>
        <x:v>395979686.25</x:v>
      </x:c>
      <x:c r="G188" s="111" t="str">
        <x:v>Independente</x:v>
      </x:c>
      <x:c r="H188" s="144" t="str">
        <x:v>Independente</x:v>
      </x:c>
      <x:c r="I188" s="111" t="str">
        <x:v>Regra residual — revisar manualmente</x:v>
      </x:c>
      <x:c r="J188" s="153" t="str">
        <x:v>Sim — alta</x:v>
      </x:c>
      <x:c r="K188" s="135" t="n">
        <x:f>IF($H188="Independente",$F188,0)</x:f>
        <x:v>395979686.25</x:v>
      </x:c>
      <x:c r="L188" s="135" t="n">
        <x:f>IF($H188="Ligada a banco",$F188,0)</x:f>
        <x:v>0</x:v>
      </x:c>
      <x:c r="M188" s="114" t="n">
        <x:f>IF(K188&gt;0,RANK(K188,$K$6:$K$462)+COUNTIF($K$6:K188,K188)-1,9999)</x:f>
        <x:v>165</x:v>
      </x:c>
      <x:c r="N188" s="114" t="n">
        <x:f>IF(L188&gt;0,RANK(L188,$L$6:$L$462)+COUNTIF($L$6:L188,L188)-1,9999)</x:f>
        <x:v>9999</x:v>
      </x:c>
    </x:row>
    <x:row r="189">
      <x:c r="A189" s="111" t="str">
        <x:v>Netz Asset</x:v>
      </x:c>
      <x:c r="B189" s="135" t="n">
        <x:v>73262591.64999999</x:v>
      </x:c>
      <x:c r="C189" s="135" t="n">
        <x:v>79517290.03</x:v>
      </x:c>
      <x:c r="D189" s="135" t="n">
        <x:v>0</x:v>
      </x:c>
      <x:c r="E189" s="135" t="n">
        <x:v>229596586.04</x:v>
      </x:c>
      <x:c r="F189" s="135" t="n">
        <x:f>SUM(B189:E189)</x:f>
        <x:v>382376467.72</x:v>
      </x:c>
      <x:c r="G189" s="111" t="str">
        <x:v>Independente</x:v>
      </x:c>
      <x:c r="H189" s="144" t="str">
        <x:v>Independente</x:v>
      </x:c>
      <x:c r="I189" s="111" t="str">
        <x:v>Regra residual — revisar manualmente</x:v>
      </x:c>
      <x:c r="J189" s="153" t="str">
        <x:v>Sim — alta</x:v>
      </x:c>
      <x:c r="K189" s="135" t="n">
        <x:f>IF($H189="Independente",$F189,0)</x:f>
        <x:v>382376467.72</x:v>
      </x:c>
      <x:c r="L189" s="135" t="n">
        <x:f>IF($H189="Ligada a banco",$F189,0)</x:f>
        <x:v>0</x:v>
      </x:c>
      <x:c r="M189" s="114" t="n">
        <x:f>IF(K189&gt;0,RANK(K189,$K$6:$K$462)+COUNTIF($K$6:K189,K189)-1,9999)</x:f>
        <x:v>166</x:v>
      </x:c>
      <x:c r="N189" s="114" t="n">
        <x:f>IF(L189&gt;0,RANK(L189,$L$6:$L$462)+COUNTIF($L$6:L189,L189)-1,9999)</x:f>
        <x:v>9999</x:v>
      </x:c>
    </x:row>
    <x:row r="190">
      <x:c r="A190" s="111" t="str">
        <x:v>Albion Capital LTDA.</x:v>
      </x:c>
      <x:c r="B190" s="135" t="n">
        <x:v>371386583.29</x:v>
      </x:c>
      <x:c r="C190" s="135" t="n">
        <x:v>0</x:v>
      </x:c>
      <x:c r="D190" s="135" t="n">
        <x:v>0</x:v>
      </x:c>
      <x:c r="E190" s="135" t="n">
        <x:v>0</x:v>
      </x:c>
      <x:c r="F190" s="135" t="n">
        <x:f>SUM(B190:E190)</x:f>
        <x:v>371386583.29</x:v>
      </x:c>
      <x:c r="G190" s="111" t="str">
        <x:v>Independente</x:v>
      </x:c>
      <x:c r="H190" s="144" t="str">
        <x:v>Independente</x:v>
      </x:c>
      <x:c r="I190" s="111" t="str">
        <x:v>Regra residual — revisar manualmente</x:v>
      </x:c>
      <x:c r="J190" s="153" t="str">
        <x:v>Sim — alta</x:v>
      </x:c>
      <x:c r="K190" s="135" t="n">
        <x:f>IF($H190="Independente",$F190,0)</x:f>
        <x:v>371386583.29</x:v>
      </x:c>
      <x:c r="L190" s="135" t="n">
        <x:f>IF($H190="Ligada a banco",$F190,0)</x:f>
        <x:v>0</x:v>
      </x:c>
      <x:c r="M190" s="114" t="n">
        <x:f>IF(K190&gt;0,RANK(K190,$K$6:$K$462)+COUNTIF($K$6:K190,K190)-1,9999)</x:f>
        <x:v>167</x:v>
      </x:c>
      <x:c r="N190" s="114" t="n">
        <x:f>IF(L190&gt;0,RANK(L190,$L$6:$L$462)+COUNTIF($L$6:L190,L190)-1,9999)</x:f>
        <x:v>9999</x:v>
      </x:c>
    </x:row>
    <x:row r="191">
      <x:c r="A191" s="111" t="str">
        <x:v>Rio Bravo</x:v>
      </x:c>
      <x:c r="B191" s="135" t="n">
        <x:v>68350024.37</x:v>
      </x:c>
      <x:c r="C191" s="135" t="n">
        <x:v>299792130.36</x:v>
      </x:c>
      <x:c r="D191" s="135" t="n">
        <x:v>0</x:v>
      </x:c>
      <x:c r="E191" s="135" t="n">
        <x:v>0</x:v>
      </x:c>
      <x:c r="F191" s="135" t="n">
        <x:f>SUM(B191:E191)</x:f>
        <x:v>368142154.73</x:v>
      </x:c>
      <x:c r="G191" s="111" t="str">
        <x:v>Independente</x:v>
      </x:c>
      <x:c r="H191" s="144" t="str">
        <x:v>Independente</x:v>
      </x:c>
      <x:c r="I191" s="111" t="str">
        <x:v>Regra residual — revisar manualmente</x:v>
      </x:c>
      <x:c r="J191" s="153" t="str">
        <x:v>Sim — alta</x:v>
      </x:c>
      <x:c r="K191" s="135" t="n">
        <x:f>IF($H191="Independente",$F191,0)</x:f>
        <x:v>368142154.73</x:v>
      </x:c>
      <x:c r="L191" s="135" t="n">
        <x:f>IF($H191="Ligada a banco",$F191,0)</x:f>
        <x:v>0</x:v>
      </x:c>
      <x:c r="M191" s="114" t="n">
        <x:f>IF(K191&gt;0,RANK(K191,$K$6:$K$462)+COUNTIF($K$6:K191,K191)-1,9999)</x:f>
        <x:v>168</x:v>
      </x:c>
      <x:c r="N191" s="114" t="n">
        <x:f>IF(L191&gt;0,RANK(L191,$L$6:$L$462)+COUNTIF($L$6:L191,L191)-1,9999)</x:f>
        <x:v>9999</x:v>
      </x:c>
    </x:row>
    <x:row r="192">
      <x:c r="A192" s="111" t="str">
        <x:v>AZ Quest MZK Investimentos Macro e Crédito Ltda.</x:v>
      </x:c>
      <x:c r="B192" s="135" t="n">
        <x:v>0</x:v>
      </x:c>
      <x:c r="C192" s="135" t="n">
        <x:v>366310030.1</x:v>
      </x:c>
      <x:c r="D192" s="135" t="n">
        <x:v>0</x:v>
      </x:c>
      <x:c r="E192" s="135" t="n">
        <x:v>0</x:v>
      </x:c>
      <x:c r="F192" s="135" t="n">
        <x:f>SUM(B192:E192)</x:f>
        <x:v>366310030.1</x:v>
      </x:c>
      <x:c r="G192" s="111" t="str">
        <x:v>Independente</x:v>
      </x:c>
      <x:c r="H192" s="144" t="str">
        <x:v>Independente</x:v>
      </x:c>
      <x:c r="I192" s="111" t="str">
        <x:v>Regra residual — revisar manualmente</x:v>
      </x:c>
      <x:c r="J192" s="153" t="str">
        <x:v>Sim — alta</x:v>
      </x:c>
      <x:c r="K192" s="135" t="n">
        <x:f>IF($H192="Independente",$F192,0)</x:f>
        <x:v>366310030.1</x:v>
      </x:c>
      <x:c r="L192" s="135" t="n">
        <x:f>IF($H192="Ligada a banco",$F192,0)</x:f>
        <x:v>0</x:v>
      </x:c>
      <x:c r="M192" s="114" t="n">
        <x:f>IF(K192&gt;0,RANK(K192,$K$6:$K$462)+COUNTIF($K$6:K192,K192)-1,9999)</x:f>
        <x:v>169</x:v>
      </x:c>
      <x:c r="N192" s="114" t="n">
        <x:f>IF(L192&gt;0,RANK(L192,$L$6:$L$462)+COUNTIF($L$6:L192,L192)-1,9999)</x:f>
        <x:v>9999</x:v>
      </x:c>
    </x:row>
    <x:row r="193">
      <x:c r="A193" s="111" t="str">
        <x:v>Ghia Asset Management</x:v>
      </x:c>
      <x:c r="B193" s="135" t="n">
        <x:v>22281431.44</x:v>
      </x:c>
      <x:c r="C193" s="135" t="n">
        <x:v>76084277.41</x:v>
      </x:c>
      <x:c r="D193" s="135" t="n">
        <x:v>0</x:v>
      </x:c>
      <x:c r="E193" s="135" t="n">
        <x:v>223228314.1</x:v>
      </x:c>
      <x:c r="F193" s="135" t="n">
        <x:f>SUM(B193:E193)</x:f>
        <x:v>321594022.95</x:v>
      </x:c>
      <x:c r="G193" s="111" t="str">
        <x:v>Independente</x:v>
      </x:c>
      <x:c r="H193" s="144" t="str">
        <x:v>Independente</x:v>
      </x:c>
      <x:c r="I193" s="111" t="str">
        <x:v>Regra residual — revisar manualmente</x:v>
      </x:c>
      <x:c r="J193" s="153" t="str">
        <x:v>Sim — alta</x:v>
      </x:c>
      <x:c r="K193" s="135" t="n">
        <x:f>IF($H193="Independente",$F193,0)</x:f>
        <x:v>321594022.95</x:v>
      </x:c>
      <x:c r="L193" s="135" t="n">
        <x:f>IF($H193="Ligada a banco",$F193,0)</x:f>
        <x:v>0</x:v>
      </x:c>
      <x:c r="M193" s="114" t="n">
        <x:f>IF(K193&gt;0,RANK(K193,$K$6:$K$462)+COUNTIF($K$6:K193,K193)-1,9999)</x:f>
        <x:v>170</x:v>
      </x:c>
      <x:c r="N193" s="114" t="n">
        <x:f>IF(L193&gt;0,RANK(L193,$L$6:$L$462)+COUNTIF($L$6:L193,L193)-1,9999)</x:f>
        <x:v>9999</x:v>
      </x:c>
    </x:row>
    <x:row r="194">
      <x:c r="A194" s="111" t="str">
        <x:v>Carpa Family Office</x:v>
      </x:c>
      <x:c r="B194" s="135" t="n">
        <x:v>0</x:v>
      </x:c>
      <x:c r="C194" s="135" t="n">
        <x:v>0</x:v>
      </x:c>
      <x:c r="D194" s="135" t="n">
        <x:v>0</x:v>
      </x:c>
      <x:c r="E194" s="135" t="n">
        <x:v>319022874.9</x:v>
      </x:c>
      <x:c r="F194" s="135" t="n">
        <x:f>SUM(B194:E194)</x:f>
        <x:v>319022874.9</x:v>
      </x:c>
      <x:c r="G194" s="111" t="str">
        <x:v>Independente</x:v>
      </x:c>
      <x:c r="H194" s="144" t="str">
        <x:v>Independente</x:v>
      </x:c>
      <x:c r="I194" s="111" t="str">
        <x:v>Regra residual — revisar manualmente</x:v>
      </x:c>
      <x:c r="J194" s="153" t="str">
        <x:v>Sim — alta</x:v>
      </x:c>
      <x:c r="K194" s="135" t="n">
        <x:f>IF($H194="Independente",$F194,0)</x:f>
        <x:v>319022874.9</x:v>
      </x:c>
      <x:c r="L194" s="135" t="n">
        <x:f>IF($H194="Ligada a banco",$F194,0)</x:f>
        <x:v>0</x:v>
      </x:c>
      <x:c r="M194" s="114" t="n">
        <x:f>IF(K194&gt;0,RANK(K194,$K$6:$K$462)+COUNTIF($K$6:K194,K194)-1,9999)</x:f>
        <x:v>171</x:v>
      </x:c>
      <x:c r="N194" s="114" t="n">
        <x:f>IF(L194&gt;0,RANK(L194,$L$6:$L$462)+COUNTIF($L$6:L194,L194)-1,9999)</x:f>
        <x:v>9999</x:v>
      </x:c>
    </x:row>
    <x:row r="195">
      <x:c r="A195" s="111" t="str">
        <x:v>Capri Investimentos Ltda.</x:v>
      </x:c>
      <x:c r="B195" s="135" t="n">
        <x:v>0</x:v>
      </x:c>
      <x:c r="C195" s="135" t="n">
        <x:v>0</x:v>
      </x:c>
      <x:c r="D195" s="135" t="n">
        <x:v>0</x:v>
      </x:c>
      <x:c r="E195" s="135" t="n">
        <x:v>312442689.77</x:v>
      </x:c>
      <x:c r="F195" s="135" t="n">
        <x:f>SUM(B195:E195)</x:f>
        <x:v>312442689.77</x:v>
      </x:c>
      <x:c r="G195" s="111" t="str">
        <x:v>Independente</x:v>
      </x:c>
      <x:c r="H195" s="144" t="str">
        <x:v>Independente</x:v>
      </x:c>
      <x:c r="I195" s="111" t="str">
        <x:v>Regra residual — revisar manualmente</x:v>
      </x:c>
      <x:c r="J195" s="153" t="str">
        <x:v>Sim — alta</x:v>
      </x:c>
      <x:c r="K195" s="135" t="n">
        <x:f>IF($H195="Independente",$F195,0)</x:f>
        <x:v>312442689.77</x:v>
      </x:c>
      <x:c r="L195" s="135" t="n">
        <x:f>IF($H195="Ligada a banco",$F195,0)</x:f>
        <x:v>0</x:v>
      </x:c>
      <x:c r="M195" s="114" t="n">
        <x:f>IF(K195&gt;0,RANK(K195,$K$6:$K$462)+COUNTIF($K$6:K195,K195)-1,9999)</x:f>
        <x:v>172</x:v>
      </x:c>
      <x:c r="N195" s="114" t="n">
        <x:f>IF(L195&gt;0,RANK(L195,$L$6:$L$462)+COUNTIF($L$6:L195,L195)-1,9999)</x:f>
        <x:v>9999</x:v>
      </x:c>
    </x:row>
    <x:row r="196">
      <x:c r="A196" s="111" t="str">
        <x:v>Ext Capital</x:v>
      </x:c>
      <x:c r="B196" s="135" t="n">
        <x:v>0</x:v>
      </x:c>
      <x:c r="C196" s="135" t="n">
        <x:v>268806163.54</x:v>
      </x:c>
      <x:c r="D196" s="135" t="n">
        <x:v>0</x:v>
      </x:c>
      <x:c r="E196" s="135" t="n">
        <x:v>42070135.47</x:v>
      </x:c>
      <x:c r="F196" s="135" t="n">
        <x:f>SUM(B196:E196)</x:f>
        <x:v>310876299.01</x:v>
      </x:c>
      <x:c r="G196" s="111" t="str">
        <x:v>Independente</x:v>
      </x:c>
      <x:c r="H196" s="144" t="str">
        <x:v>Independente</x:v>
      </x:c>
      <x:c r="I196" s="111" t="str">
        <x:v>Regra residual — revisar manualmente</x:v>
      </x:c>
      <x:c r="J196" s="153" t="str">
        <x:v>Sim — alta</x:v>
      </x:c>
      <x:c r="K196" s="135" t="n">
        <x:f>IF($H196="Independente",$F196,0)</x:f>
        <x:v>310876299.01</x:v>
      </x:c>
      <x:c r="L196" s="135" t="n">
        <x:f>IF($H196="Ligada a banco",$F196,0)</x:f>
        <x:v>0</x:v>
      </x:c>
      <x:c r="M196" s="114" t="n">
        <x:f>IF(K196&gt;0,RANK(K196,$K$6:$K$462)+COUNTIF($K$6:K196,K196)-1,9999)</x:f>
        <x:v>173</x:v>
      </x:c>
      <x:c r="N196" s="114" t="n">
        <x:f>IF(L196&gt;0,RANK(L196,$L$6:$L$462)+COUNTIF($L$6:L196,L196)-1,9999)</x:f>
        <x:v>9999</x:v>
      </x:c>
    </x:row>
    <x:row r="197">
      <x:c r="A197" s="111" t="str">
        <x:v>VINLAND CAPITAL MANAGEMENT CREDITO PRIVADO GESTORA DE R</x:v>
      </x:c>
      <x:c r="B197" s="135" t="n">
        <x:v>0</x:v>
      </x:c>
      <x:c r="C197" s="135" t="n">
        <x:v>0</x:v>
      </x:c>
      <x:c r="D197" s="135" t="n">
        <x:v>0</x:v>
      </x:c>
      <x:c r="E197" s="135" t="n">
        <x:v>307510892.63</x:v>
      </x:c>
      <x:c r="F197" s="135" t="n">
        <x:f>SUM(B197:E197)</x:f>
        <x:v>307510892.63</x:v>
      </x:c>
      <x:c r="G197" s="111" t="str">
        <x:v>Independente</x:v>
      </x:c>
      <x:c r="H197" s="144" t="str">
        <x:v>Independente</x:v>
      </x:c>
      <x:c r="I197" s="111" t="str">
        <x:v>Regra residual — revisar manualmente</x:v>
      </x:c>
      <x:c r="J197" s="153" t="str">
        <x:v>Sim — alta</x:v>
      </x:c>
      <x:c r="K197" s="135" t="n">
        <x:f>IF($H197="Independente",$F197,0)</x:f>
        <x:v>307510892.63</x:v>
      </x:c>
      <x:c r="L197" s="135" t="n">
        <x:f>IF($H197="Ligada a banco",$F197,0)</x:f>
        <x:v>0</x:v>
      </x:c>
      <x:c r="M197" s="114" t="n">
        <x:f>IF(K197&gt;0,RANK(K197,$K$6:$K$462)+COUNTIF($K$6:K197,K197)-1,9999)</x:f>
        <x:v>174</x:v>
      </x:c>
      <x:c r="N197" s="114" t="n">
        <x:f>IF(L197&gt;0,RANK(L197,$L$6:$L$462)+COUNTIF($L$6:L197,L197)-1,9999)</x:f>
        <x:v>9999</x:v>
      </x:c>
    </x:row>
    <x:row r="198">
      <x:c r="A198" s="111" t="str">
        <x:v>SOD Capital Ltda.</x:v>
      </x:c>
      <x:c r="B198" s="135" t="n">
        <x:v>0</x:v>
      </x:c>
      <x:c r="C198" s="135" t="n">
        <x:v>0</x:v>
      </x:c>
      <x:c r="D198" s="135" t="n">
        <x:v>0</x:v>
      </x:c>
      <x:c r="E198" s="135" t="n">
        <x:v>307479668.16999996</x:v>
      </x:c>
      <x:c r="F198" s="135" t="n">
        <x:f>SUM(B198:E198)</x:f>
        <x:v>307479668.16999996</x:v>
      </x:c>
      <x:c r="G198" s="111" t="str">
        <x:v>Independente</x:v>
      </x:c>
      <x:c r="H198" s="144" t="str">
        <x:v>Independente</x:v>
      </x:c>
      <x:c r="I198" s="111" t="str">
        <x:v>Regra residual — revisar manualmente</x:v>
      </x:c>
      <x:c r="J198" s="153" t="str">
        <x:v>Sim — alta</x:v>
      </x:c>
      <x:c r="K198" s="135" t="n">
        <x:f>IF($H198="Independente",$F198,0)</x:f>
        <x:v>307479668.16999996</x:v>
      </x:c>
      <x:c r="L198" s="135" t="n">
        <x:f>IF($H198="Ligada a banco",$F198,0)</x:f>
        <x:v>0</x:v>
      </x:c>
      <x:c r="M198" s="114" t="n">
        <x:f>IF(K198&gt;0,RANK(K198,$K$6:$K$462)+COUNTIF($K$6:K198,K198)-1,9999)</x:f>
        <x:v>175</x:v>
      </x:c>
      <x:c r="N198" s="114" t="n">
        <x:f>IF(L198&gt;0,RANK(L198,$L$6:$L$462)+COUNTIF($L$6:L198,L198)-1,9999)</x:f>
        <x:v>9999</x:v>
      </x:c>
    </x:row>
    <x:row r="199">
      <x:c r="A199" s="111" t="str">
        <x:v>Mercury Gestão de Recursos Ltda.</x:v>
      </x:c>
      <x:c r="B199" s="135" t="n">
        <x:v>0</x:v>
      </x:c>
      <x:c r="C199" s="135" t="n">
        <x:v>0</x:v>
      </x:c>
      <x:c r="D199" s="135" t="n">
        <x:v>0</x:v>
      </x:c>
      <x:c r="E199" s="135" t="n">
        <x:v>306852791.4</x:v>
      </x:c>
      <x:c r="F199" s="135" t="n">
        <x:f>SUM(B199:E199)</x:f>
        <x:v>306852791.4</x:v>
      </x:c>
      <x:c r="G199" s="111" t="str">
        <x:v>Independente</x:v>
      </x:c>
      <x:c r="H199" s="144" t="str">
        <x:v>Independente</x:v>
      </x:c>
      <x:c r="I199" s="111" t="str">
        <x:v>Regra residual — revisar manualmente</x:v>
      </x:c>
      <x:c r="J199" s="153" t="str">
        <x:v>Sim — alta</x:v>
      </x:c>
      <x:c r="K199" s="135" t="n">
        <x:f>IF($H199="Independente",$F199,0)</x:f>
        <x:v>306852791.4</x:v>
      </x:c>
      <x:c r="L199" s="135" t="n">
        <x:f>IF($H199="Ligada a banco",$F199,0)</x:f>
        <x:v>0</x:v>
      </x:c>
      <x:c r="M199" s="114" t="n">
        <x:f>IF(K199&gt;0,RANK(K199,$K$6:$K$462)+COUNTIF($K$6:K199,K199)-1,9999)</x:f>
        <x:v>176</x:v>
      </x:c>
      <x:c r="N199" s="114" t="n">
        <x:f>IF(L199&gt;0,RANK(L199,$L$6:$L$462)+COUNTIF($L$6:L199,L199)-1,9999)</x:f>
        <x:v>9999</x:v>
      </x:c>
    </x:row>
    <x:row r="200">
      <x:c r="A200" s="111" t="str">
        <x:v>Fram Capital Gestão de Ativos Ltda</x:v>
      </x:c>
      <x:c r="B200" s="135" t="n">
        <x:v>0</x:v>
      </x:c>
      <x:c r="C200" s="135" t="n">
        <x:v>6744869.86</x:v>
      </x:c>
      <x:c r="D200" s="135" t="n">
        <x:v>83700101.28</x:v>
      </x:c>
      <x:c r="E200" s="135" t="n">
        <x:v>215233620.77</x:v>
      </x:c>
      <x:c r="F200" s="135" t="n">
        <x:f>SUM(B200:E200)</x:f>
        <x:v>305678591.91</x:v>
      </x:c>
      <x:c r="G200" s="111" t="str">
        <x:v>Independente</x:v>
      </x:c>
      <x:c r="H200" s="144" t="str">
        <x:v>Independente</x:v>
      </x:c>
      <x:c r="I200" s="111" t="str">
        <x:v>Regra residual — revisar manualmente</x:v>
      </x:c>
      <x:c r="J200" s="153" t="str">
        <x:v>Sim — alta</x:v>
      </x:c>
      <x:c r="K200" s="135" t="n">
        <x:f>IF($H200="Independente",$F200,0)</x:f>
        <x:v>305678591.91</x:v>
      </x:c>
      <x:c r="L200" s="135" t="n">
        <x:f>IF($H200="Ligada a banco",$F200,0)</x:f>
        <x:v>0</x:v>
      </x:c>
      <x:c r="M200" s="114" t="n">
        <x:f>IF(K200&gt;0,RANK(K200,$K$6:$K$462)+COUNTIF($K$6:K200,K200)-1,9999)</x:f>
        <x:v>177</x:v>
      </x:c>
      <x:c r="N200" s="114" t="n">
        <x:f>IF(L200&gt;0,RANK(L200,$L$6:$L$462)+COUNTIF($L$6:L200,L200)-1,9999)</x:f>
        <x:v>9999</x:v>
      </x:c>
    </x:row>
    <x:row r="201">
      <x:c r="A201" s="111" t="str">
        <x:v>Number Asset Brasil Ltda.</x:v>
      </x:c>
      <x:c r="B201" s="135" t="n">
        <x:v>0</x:v>
      </x:c>
      <x:c r="C201" s="135" t="n">
        <x:v>261349086.72999996</x:v>
      </x:c>
      <x:c r="D201" s="135" t="n">
        <x:v>0</x:v>
      </x:c>
      <x:c r="E201" s="135" t="n">
        <x:v>42475065.510000005</x:v>
      </x:c>
      <x:c r="F201" s="135" t="n">
        <x:f>SUM(B201:E201)</x:f>
        <x:v>303824152.23999995</x:v>
      </x:c>
      <x:c r="G201" s="111" t="str">
        <x:v>Independente</x:v>
      </x:c>
      <x:c r="H201" s="144" t="str">
        <x:v>Independente</x:v>
      </x:c>
      <x:c r="I201" s="111" t="str">
        <x:v>Regra residual — revisar manualmente</x:v>
      </x:c>
      <x:c r="J201" s="153" t="str">
        <x:v>Sim — alta</x:v>
      </x:c>
      <x:c r="K201" s="135" t="n">
        <x:f>IF($H201="Independente",$F201,0)</x:f>
        <x:v>303824152.23999995</x:v>
      </x:c>
      <x:c r="L201" s="135" t="n">
        <x:f>IF($H201="Ligada a banco",$F201,0)</x:f>
        <x:v>0</x:v>
      </x:c>
      <x:c r="M201" s="114" t="n">
        <x:f>IF(K201&gt;0,RANK(K201,$K$6:$K$462)+COUNTIF($K$6:K201,K201)-1,9999)</x:f>
        <x:v>178</x:v>
      </x:c>
      <x:c r="N201" s="114" t="n">
        <x:f>IF(L201&gt;0,RANK(L201,$L$6:$L$462)+COUNTIF($L$6:L201,L201)-1,9999)</x:f>
        <x:v>9999</x:v>
      </x:c>
    </x:row>
    <x:row r="202">
      <x:c r="A202" s="111" t="str">
        <x:v>IFCONSULTANT</x:v>
      </x:c>
      <x:c r="B202" s="135" t="n">
        <x:v>0</x:v>
      </x:c>
      <x:c r="C202" s="135" t="n">
        <x:v>0</x:v>
      </x:c>
      <x:c r="D202" s="135" t="n">
        <x:v>0</x:v>
      </x:c>
      <x:c r="E202" s="135" t="n">
        <x:v>301815713.02000004</x:v>
      </x:c>
      <x:c r="F202" s="135" t="n">
        <x:f>SUM(B202:E202)</x:f>
        <x:v>301815713.02000004</x:v>
      </x:c>
      <x:c r="G202" s="111" t="str">
        <x:v>Independente</x:v>
      </x:c>
      <x:c r="H202" s="144" t="str">
        <x:v>Independente</x:v>
      </x:c>
      <x:c r="I202" s="111" t="str">
        <x:v>Regra residual — revisar manualmente</x:v>
      </x:c>
      <x:c r="J202" s="153" t="str">
        <x:v>Sim — alta</x:v>
      </x:c>
      <x:c r="K202" s="135" t="n">
        <x:f>IF($H202="Independente",$F202,0)</x:f>
        <x:v>301815713.02000004</x:v>
      </x:c>
      <x:c r="L202" s="135" t="n">
        <x:f>IF($H202="Ligada a banco",$F202,0)</x:f>
        <x:v>0</x:v>
      </x:c>
      <x:c r="M202" s="114" t="n">
        <x:f>IF(K202&gt;0,RANK(K202,$K$6:$K$462)+COUNTIF($K$6:K202,K202)-1,9999)</x:f>
        <x:v>179</x:v>
      </x:c>
      <x:c r="N202" s="114" t="n">
        <x:f>IF(L202&gt;0,RANK(L202,$L$6:$L$462)+COUNTIF($L$6:L202,L202)-1,9999)</x:f>
        <x:v>9999</x:v>
      </x:c>
    </x:row>
    <x:row r="203">
      <x:c r="A203" s="111" t="str">
        <x:v>Leste Credit Gestão de Recursos LTDA.</x:v>
      </x:c>
      <x:c r="B203" s="135" t="n">
        <x:v>56911348.080000006</x:v>
      </x:c>
      <x:c r="C203" s="135" t="n">
        <x:v>0</x:v>
      </x:c>
      <x:c r="D203" s="135" t="n">
        <x:v>0</x:v>
      </x:c>
      <x:c r="E203" s="135" t="n">
        <x:v>244684131.20000005</x:v>
      </x:c>
      <x:c r="F203" s="135" t="n">
        <x:f>SUM(B203:E203)</x:f>
        <x:v>301595479.28000003</x:v>
      </x:c>
      <x:c r="G203" s="111" t="str">
        <x:v>Independente</x:v>
      </x:c>
      <x:c r="H203" s="144" t="str">
        <x:v>Independente</x:v>
      </x:c>
      <x:c r="I203" s="111" t="str">
        <x:v>Regra residual — revisar manualmente</x:v>
      </x:c>
      <x:c r="J203" s="153" t="str">
        <x:v>Sim — alta</x:v>
      </x:c>
      <x:c r="K203" s="135" t="n">
        <x:f>IF($H203="Independente",$F203,0)</x:f>
        <x:v>301595479.28000003</x:v>
      </x:c>
      <x:c r="L203" s="135" t="n">
        <x:f>IF($H203="Ligada a banco",$F203,0)</x:f>
        <x:v>0</x:v>
      </x:c>
      <x:c r="M203" s="114" t="n">
        <x:f>IF(K203&gt;0,RANK(K203,$K$6:$K$462)+COUNTIF($K$6:K203,K203)-1,9999)</x:f>
        <x:v>180</x:v>
      </x:c>
      <x:c r="N203" s="114" t="n">
        <x:f>IF(L203&gt;0,RANK(L203,$L$6:$L$462)+COUNTIF($L$6:L203,L203)-1,9999)</x:f>
        <x:v>9999</x:v>
      </x:c>
    </x:row>
    <x:row r="204">
      <x:c r="A204" s="111" t="str">
        <x:v>FigTree Capital</x:v>
      </x:c>
      <x:c r="B204" s="135" t="n">
        <x:v>0</x:v>
      </x:c>
      <x:c r="C204" s="135" t="n">
        <x:v>0</x:v>
      </x:c>
      <x:c r="D204" s="135" t="n">
        <x:v>1444033.4099999997</x:v>
      </x:c>
      <x:c r="E204" s="135" t="n">
        <x:v>286005493.3</x:v>
      </x:c>
      <x:c r="F204" s="135" t="n">
        <x:f>SUM(B204:E204)</x:f>
        <x:v>287449526.71000004</x:v>
      </x:c>
      <x:c r="G204" s="111" t="str">
        <x:v>Independente</x:v>
      </x:c>
      <x:c r="H204" s="144" t="str">
        <x:v>Independente</x:v>
      </x:c>
      <x:c r="I204" s="111" t="str">
        <x:v>Regra residual — revisar manualmente</x:v>
      </x:c>
      <x:c r="J204" s="153" t="str">
        <x:v>Sim — alta</x:v>
      </x:c>
      <x:c r="K204" s="135" t="n">
        <x:f>IF($H204="Independente",$F204,0)</x:f>
        <x:v>287449526.71000004</x:v>
      </x:c>
      <x:c r="L204" s="135" t="n">
        <x:f>IF($H204="Ligada a banco",$F204,0)</x:f>
        <x:v>0</x:v>
      </x:c>
      <x:c r="M204" s="114" t="n">
        <x:f>IF(K204&gt;0,RANK(K204,$K$6:$K$462)+COUNTIF($K$6:K204,K204)-1,9999)</x:f>
        <x:v>181</x:v>
      </x:c>
      <x:c r="N204" s="114" t="n">
        <x:f>IF(L204&gt;0,RANK(L204,$L$6:$L$462)+COUNTIF($L$6:L204,L204)-1,9999)</x:f>
        <x:v>9999</x:v>
      </x:c>
    </x:row>
    <x:row r="205">
      <x:c r="A205" s="111" t="str">
        <x:v>Prisma Capital Ltda.</x:v>
      </x:c>
      <x:c r="B205" s="135" t="n">
        <x:v>0</x:v>
      </x:c>
      <x:c r="C205" s="135" t="n">
        <x:v>0</x:v>
      </x:c>
      <x:c r="D205" s="135" t="n">
        <x:v>0</x:v>
      </x:c>
      <x:c r="E205" s="135" t="n">
        <x:v>286451280.19</x:v>
      </x:c>
      <x:c r="F205" s="135" t="n">
        <x:f>SUM(B205:E205)</x:f>
        <x:v>286451280.19</x:v>
      </x:c>
      <x:c r="G205" s="111" t="str">
        <x:v>Independente</x:v>
      </x:c>
      <x:c r="H205" s="144" t="str">
        <x:v>Independente</x:v>
      </x:c>
      <x:c r="I205" s="111" t="str">
        <x:v>Regra residual — revisar manualmente</x:v>
      </x:c>
      <x:c r="J205" s="153" t="str">
        <x:v>Sim — alta</x:v>
      </x:c>
      <x:c r="K205" s="135" t="n">
        <x:f>IF($H205="Independente",$F205,0)</x:f>
        <x:v>286451280.19</x:v>
      </x:c>
      <x:c r="L205" s="135" t="n">
        <x:f>IF($H205="Ligada a banco",$F205,0)</x:f>
        <x:v>0</x:v>
      </x:c>
      <x:c r="M205" s="114" t="n">
        <x:f>IF(K205&gt;0,RANK(K205,$K$6:$K$462)+COUNTIF($K$6:K205,K205)-1,9999)</x:f>
        <x:v>182</x:v>
      </x:c>
      <x:c r="N205" s="114" t="n">
        <x:f>IF(L205&gt;0,RANK(L205,$L$6:$L$462)+COUNTIF($L$6:L205,L205)-1,9999)</x:f>
        <x:v>9999</x:v>
      </x:c>
    </x:row>
    <x:row r="206">
      <x:c r="A206" s="111" t="str">
        <x:v>CERES ASSET</x:v>
      </x:c>
      <x:c r="B206" s="135" t="n">
        <x:v>271895487.5500001</x:v>
      </x:c>
      <x:c r="C206" s="135" t="n">
        <x:v>0</x:v>
      </x:c>
      <x:c r="D206" s="135" t="n">
        <x:v>0</x:v>
      </x:c>
      <x:c r="E206" s="135" t="n">
        <x:v>14156034</x:v>
      </x:c>
      <x:c r="F206" s="135" t="n">
        <x:f>SUM(B206:E206)</x:f>
        <x:v>286051521.5500001</x:v>
      </x:c>
      <x:c r="G206" s="111" t="str">
        <x:v>Independente</x:v>
      </x:c>
      <x:c r="H206" s="144" t="str">
        <x:v>Independente</x:v>
      </x:c>
      <x:c r="I206" s="111" t="str">
        <x:v>Regra residual — revisar manualmente</x:v>
      </x:c>
      <x:c r="J206" s="153" t="str">
        <x:v>Sim — alta</x:v>
      </x:c>
      <x:c r="K206" s="135" t="n">
        <x:f>IF($H206="Independente",$F206,0)</x:f>
        <x:v>286051521.5500001</x:v>
      </x:c>
      <x:c r="L206" s="135" t="n">
        <x:f>IF($H206="Ligada a banco",$F206,0)</x:f>
        <x:v>0</x:v>
      </x:c>
      <x:c r="M206" s="114" t="n">
        <x:f>IF(K206&gt;0,RANK(K206,$K$6:$K$462)+COUNTIF($K$6:K206,K206)-1,9999)</x:f>
        <x:v>183</x:v>
      </x:c>
      <x:c r="N206" s="114" t="n">
        <x:f>IF(L206&gt;0,RANK(L206,$L$6:$L$462)+COUNTIF($L$6:L206,L206)-1,9999)</x:f>
        <x:v>9999</x:v>
      </x:c>
    </x:row>
    <x:row r="207">
      <x:c r="A207" s="111" t="str">
        <x:v>Régia Capital Ltda</x:v>
      </x:c>
      <x:c r="B207" s="135" t="n">
        <x:v>124132626.31</x:v>
      </x:c>
      <x:c r="C207" s="135" t="n">
        <x:v>155163394.42000002</x:v>
      </x:c>
      <x:c r="D207" s="135" t="n">
        <x:v>0</x:v>
      </x:c>
      <x:c r="E207" s="135" t="n">
        <x:v>0</x:v>
      </x:c>
      <x:c r="F207" s="135" t="n">
        <x:f>SUM(B207:E207)</x:f>
        <x:v>279296020.73</x:v>
      </x:c>
      <x:c r="G207" s="111" t="str">
        <x:v>Independente</x:v>
      </x:c>
      <x:c r="H207" s="144" t="str">
        <x:v>Independente</x:v>
      </x:c>
      <x:c r="I207" s="111" t="str">
        <x:v>Regra residual — revisar manualmente</x:v>
      </x:c>
      <x:c r="J207" s="153" t="str">
        <x:v>Sim — alta</x:v>
      </x:c>
      <x:c r="K207" s="135" t="n">
        <x:f>IF($H207="Independente",$F207,0)</x:f>
        <x:v>279296020.73</x:v>
      </x:c>
      <x:c r="L207" s="135" t="n">
        <x:f>IF($H207="Ligada a banco",$F207,0)</x:f>
        <x:v>0</x:v>
      </x:c>
      <x:c r="M207" s="114" t="n">
        <x:f>IF(K207&gt;0,RANK(K207,$K$6:$K$462)+COUNTIF($K$6:K207,K207)-1,9999)</x:f>
        <x:v>184</x:v>
      </x:c>
      <x:c r="N207" s="114" t="n">
        <x:f>IF(L207&gt;0,RANK(L207,$L$6:$L$462)+COUNTIF($L$6:L207,L207)-1,9999)</x:f>
        <x:v>9999</x:v>
      </x:c>
    </x:row>
    <x:row r="208">
      <x:c r="A208" s="111" t="str">
        <x:v>QLZ WM GESTAO DE PATRIMONIOS LTDA</x:v>
      </x:c>
      <x:c r="B208" s="135" t="n">
        <x:v>0</x:v>
      </x:c>
      <x:c r="C208" s="135" t="n">
        <x:v>0</x:v>
      </x:c>
      <x:c r="D208" s="135" t="n">
        <x:v>0</x:v>
      </x:c>
      <x:c r="E208" s="135" t="n">
        <x:v>276843039.77</x:v>
      </x:c>
      <x:c r="F208" s="135" t="n">
        <x:f>SUM(B208:E208)</x:f>
        <x:v>276843039.77</x:v>
      </x:c>
      <x:c r="G208" s="111" t="str">
        <x:v>Independente</x:v>
      </x:c>
      <x:c r="H208" s="144" t="str">
        <x:v>Independente</x:v>
      </x:c>
      <x:c r="I208" s="111" t="str">
        <x:v>Regra residual — revisar manualmente</x:v>
      </x:c>
      <x:c r="J208" s="153" t="str">
        <x:v>Sim — alta</x:v>
      </x:c>
      <x:c r="K208" s="135" t="n">
        <x:f>IF($H208="Independente",$F208,0)</x:f>
        <x:v>276843039.77</x:v>
      </x:c>
      <x:c r="L208" s="135" t="n">
        <x:f>IF($H208="Ligada a banco",$F208,0)</x:f>
        <x:v>0</x:v>
      </x:c>
      <x:c r="M208" s="114" t="n">
        <x:f>IF(K208&gt;0,RANK(K208,$K$6:$K$462)+COUNTIF($K$6:K208,K208)-1,9999)</x:f>
        <x:v>185</x:v>
      </x:c>
      <x:c r="N208" s="114" t="n">
        <x:f>IF(L208&gt;0,RANK(L208,$L$6:$L$462)+COUNTIF($L$6:L208,L208)-1,9999)</x:f>
        <x:v>9999</x:v>
      </x:c>
    </x:row>
    <x:row r="209">
      <x:c r="A209" s="111" t="str">
        <x:v>MAKALU</x:v>
      </x:c>
      <x:c r="B209" s="135" t="n">
        <x:v>8142391.06</x:v>
      </x:c>
      <x:c r="C209" s="135" t="n">
        <x:v>0</x:v>
      </x:c>
      <x:c r="D209" s="135" t="n">
        <x:v>0</x:v>
      </x:c>
      <x:c r="E209" s="135" t="n">
        <x:v>259453965.2</x:v>
      </x:c>
      <x:c r="F209" s="135" t="n">
        <x:f>SUM(B209:E209)</x:f>
        <x:v>267596356.26</x:v>
      </x:c>
      <x:c r="G209" s="111" t="str">
        <x:v>Independente</x:v>
      </x:c>
      <x:c r="H209" s="144" t="str">
        <x:v>Independente</x:v>
      </x:c>
      <x:c r="I209" s="111" t="str">
        <x:v>Regra residual — revisar manualmente</x:v>
      </x:c>
      <x:c r="J209" s="153" t="str">
        <x:v>Sim — alta</x:v>
      </x:c>
      <x:c r="K209" s="135" t="n">
        <x:f>IF($H209="Independente",$F209,0)</x:f>
        <x:v>267596356.26</x:v>
      </x:c>
      <x:c r="L209" s="135" t="n">
        <x:f>IF($H209="Ligada a banco",$F209,0)</x:f>
        <x:v>0</x:v>
      </x:c>
      <x:c r="M209" s="114" t="n">
        <x:f>IF(K209&gt;0,RANK(K209,$K$6:$K$462)+COUNTIF($K$6:K209,K209)-1,9999)</x:f>
        <x:v>186</x:v>
      </x:c>
      <x:c r="N209" s="114" t="n">
        <x:f>IF(L209&gt;0,RANK(L209,$L$6:$L$462)+COUNTIF($L$6:L209,L209)-1,9999)</x:f>
        <x:v>9999</x:v>
      </x:c>
    </x:row>
    <x:row r="210">
      <x:c r="A210" s="111" t="str">
        <x:v>BLP CAPITAL</x:v>
      </x:c>
      <x:c r="B210" s="135" t="n">
        <x:v>0</x:v>
      </x:c>
      <x:c r="C210" s="135" t="n">
        <x:v>0</x:v>
      </x:c>
      <x:c r="D210" s="135" t="n">
        <x:v>22363443.64</x:v>
      </x:c>
      <x:c r="E210" s="135" t="n">
        <x:v>244683521.1</x:v>
      </x:c>
      <x:c r="F210" s="135" t="n">
        <x:f>SUM(B210:E210)</x:f>
        <x:v>267046964.74</x:v>
      </x:c>
      <x:c r="G210" s="111" t="str">
        <x:v>Independente</x:v>
      </x:c>
      <x:c r="H210" s="144" t="str">
        <x:v>Independente</x:v>
      </x:c>
      <x:c r="I210" s="111" t="str">
        <x:v>Regra residual — revisar manualmente</x:v>
      </x:c>
      <x:c r="J210" s="153" t="str">
        <x:v>Sim — alta</x:v>
      </x:c>
      <x:c r="K210" s="135" t="n">
        <x:f>IF($H210="Independente",$F210,0)</x:f>
        <x:v>267046964.74</x:v>
      </x:c>
      <x:c r="L210" s="135" t="n">
        <x:f>IF($H210="Ligada a banco",$F210,0)</x:f>
        <x:v>0</x:v>
      </x:c>
      <x:c r="M210" s="114" t="n">
        <x:f>IF(K210&gt;0,RANK(K210,$K$6:$K$462)+COUNTIF($K$6:K210,K210)-1,9999)</x:f>
        <x:v>187</x:v>
      </x:c>
      <x:c r="N210" s="114" t="n">
        <x:f>IF(L210&gt;0,RANK(L210,$L$6:$L$462)+COUNTIF($L$6:L210,L210)-1,9999)</x:f>
        <x:v>9999</x:v>
      </x:c>
    </x:row>
    <x:row r="211">
      <x:c r="A211" s="111" t="str">
        <x:v>VM Consultoria Empresarial Ltd</x:v>
      </x:c>
      <x:c r="B211" s="135" t="n">
        <x:v>0</x:v>
      </x:c>
      <x:c r="C211" s="135" t="n">
        <x:v>1870637.23</x:v>
      </x:c>
      <x:c r="D211" s="135" t="n">
        <x:v>89068789.54</x:v>
      </x:c>
      <x:c r="E211" s="135" t="n">
        <x:v>174154962.37999997</x:v>
      </x:c>
      <x:c r="F211" s="135" t="n">
        <x:f>SUM(B211:E211)</x:f>
        <x:v>265094389.14999998</x:v>
      </x:c>
      <x:c r="G211" s="111" t="str">
        <x:v>Independente</x:v>
      </x:c>
      <x:c r="H211" s="144" t="str">
        <x:v>Independente</x:v>
      </x:c>
      <x:c r="I211" s="111" t="str">
        <x:v>Regra residual — revisar manualmente</x:v>
      </x:c>
      <x:c r="J211" s="153" t="str">
        <x:v>Sim — alta</x:v>
      </x:c>
      <x:c r="K211" s="135" t="n">
        <x:f>IF($H211="Independente",$F211,0)</x:f>
        <x:v>265094389.14999998</x:v>
      </x:c>
      <x:c r="L211" s="135" t="n">
        <x:f>IF($H211="Ligada a banco",$F211,0)</x:f>
        <x:v>0</x:v>
      </x:c>
      <x:c r="M211" s="114" t="n">
        <x:f>IF(K211&gt;0,RANK(K211,$K$6:$K$462)+COUNTIF($K$6:K211,K211)-1,9999)</x:f>
        <x:v>188</x:v>
      </x:c>
      <x:c r="N211" s="114" t="n">
        <x:f>IF(L211&gt;0,RANK(L211,$L$6:$L$462)+COUNTIF($L$6:L211,L211)-1,9999)</x:f>
        <x:v>9999</x:v>
      </x:c>
    </x:row>
    <x:row r="212">
      <x:c r="A212" s="111" t="str">
        <x:v>LEGEND LEGAL ASSETS GESTAO DE RECURSOS LTDA</x:v>
      </x:c>
      <x:c r="B212" s="135" t="n">
        <x:v>0</x:v>
      </x:c>
      <x:c r="C212" s="135" t="n">
        <x:v>0</x:v>
      </x:c>
      <x:c r="D212" s="135" t="n">
        <x:v>0</x:v>
      </x:c>
      <x:c r="E212" s="135" t="n">
        <x:v>262832329.29</x:v>
      </x:c>
      <x:c r="F212" s="135" t="n">
        <x:f>SUM(B212:E212)</x:f>
        <x:v>262832329.29</x:v>
      </x:c>
      <x:c r="G212" s="111" t="str">
        <x:v>Independente</x:v>
      </x:c>
      <x:c r="H212" s="144" t="str">
        <x:v>Independente</x:v>
      </x:c>
      <x:c r="I212" s="111" t="str">
        <x:v>Regra residual — revisar manualmente</x:v>
      </x:c>
      <x:c r="J212" s="153" t="str">
        <x:v>Sim — alta</x:v>
      </x:c>
      <x:c r="K212" s="135" t="n">
        <x:f>IF($H212="Independente",$F212,0)</x:f>
        <x:v>262832329.29</x:v>
      </x:c>
      <x:c r="L212" s="135" t="n">
        <x:f>IF($H212="Ligada a banco",$F212,0)</x:f>
        <x:v>0</x:v>
      </x:c>
      <x:c r="M212" s="114" t="n">
        <x:f>IF(K212&gt;0,RANK(K212,$K$6:$K$462)+COUNTIF($K$6:K212,K212)-1,9999)</x:f>
        <x:v>189</x:v>
      </x:c>
      <x:c r="N212" s="114" t="n">
        <x:f>IF(L212&gt;0,RANK(L212,$L$6:$L$462)+COUNTIF($L$6:L212,L212)-1,9999)</x:f>
        <x:v>9999</x:v>
      </x:c>
    </x:row>
    <x:row r="213">
      <x:c r="A213" s="111" t="str">
        <x:v>Leen Capital</x:v>
      </x:c>
      <x:c r="B213" s="135" t="n">
        <x:v>0</x:v>
      </x:c>
      <x:c r="C213" s="135" t="n">
        <x:v>0</x:v>
      </x:c>
      <x:c r="D213" s="135" t="n">
        <x:v>0</x:v>
      </x:c>
      <x:c r="E213" s="135" t="n">
        <x:v>259400941.95</x:v>
      </x:c>
      <x:c r="F213" s="135" t="n">
        <x:f>SUM(B213:E213)</x:f>
        <x:v>259400941.95</x:v>
      </x:c>
      <x:c r="G213" s="111" t="str">
        <x:v>Independente</x:v>
      </x:c>
      <x:c r="H213" s="144" t="str">
        <x:v>Independente</x:v>
      </x:c>
      <x:c r="I213" s="111" t="str">
        <x:v>Regra residual — revisar manualmente</x:v>
      </x:c>
      <x:c r="J213" s="153" t="str">
        <x:v>Sim — alta</x:v>
      </x:c>
      <x:c r="K213" s="135" t="n">
        <x:f>IF($H213="Independente",$F213,0)</x:f>
        <x:v>259400941.95</x:v>
      </x:c>
      <x:c r="L213" s="135" t="n">
        <x:f>IF($H213="Ligada a banco",$F213,0)</x:f>
        <x:v>0</x:v>
      </x:c>
      <x:c r="M213" s="114" t="n">
        <x:f>IF(K213&gt;0,RANK(K213,$K$6:$K$462)+COUNTIF($K$6:K213,K213)-1,9999)</x:f>
        <x:v>190</x:v>
      </x:c>
      <x:c r="N213" s="114" t="n">
        <x:f>IF(L213&gt;0,RANK(L213,$L$6:$L$462)+COUNTIF($L$6:L213,L213)-1,9999)</x:f>
        <x:v>9999</x:v>
      </x:c>
    </x:row>
    <x:row r="214">
      <x:c r="A214" s="111" t="str">
        <x:v>MEL GESTORA DE RECURSOS S.A.</x:v>
      </x:c>
      <x:c r="B214" s="135" t="n">
        <x:v>0</x:v>
      </x:c>
      <x:c r="C214" s="135" t="n">
        <x:v>0</x:v>
      </x:c>
      <x:c r="D214" s="135" t="n">
        <x:v>258985767.09000003</x:v>
      </x:c>
      <x:c r="E214" s="135" t="n">
        <x:v>0</x:v>
      </x:c>
      <x:c r="F214" s="135" t="n">
        <x:f>SUM(B214:E214)</x:f>
        <x:v>258985767.09000003</x:v>
      </x:c>
      <x:c r="G214" s="111" t="str">
        <x:v>Independente</x:v>
      </x:c>
      <x:c r="H214" s="144" t="str">
        <x:v>Independente</x:v>
      </x:c>
      <x:c r="I214" s="111" t="str">
        <x:v>Regra residual — revisar manualmente</x:v>
      </x:c>
      <x:c r="J214" s="153" t="str">
        <x:v>Sim — alta</x:v>
      </x:c>
      <x:c r="K214" s="135" t="n">
        <x:f>IF($H214="Independente",$F214,0)</x:f>
        <x:v>258985767.09000003</x:v>
      </x:c>
      <x:c r="L214" s="135" t="n">
        <x:f>IF($H214="Ligada a banco",$F214,0)</x:f>
        <x:v>0</x:v>
      </x:c>
      <x:c r="M214" s="114" t="n">
        <x:f>IF(K214&gt;0,RANK(K214,$K$6:$K$462)+COUNTIF($K$6:K214,K214)-1,9999)</x:f>
        <x:v>191</x:v>
      </x:c>
      <x:c r="N214" s="114" t="n">
        <x:f>IF(L214&gt;0,RANK(L214,$L$6:$L$462)+COUNTIF($L$6:L214,L214)-1,9999)</x:f>
        <x:v>9999</x:v>
      </x:c>
    </x:row>
    <x:row r="215">
      <x:c r="A215" s="111" t="str">
        <x:v>Fact Investments Gestão de Re</x:v>
      </x:c>
      <x:c r="B215" s="135" t="n">
        <x:v>0</x:v>
      </x:c>
      <x:c r="C215" s="135" t="n">
        <x:v>0</x:v>
      </x:c>
      <x:c r="D215" s="135" t="n">
        <x:v>0</x:v>
      </x:c>
      <x:c r="E215" s="135" t="n">
        <x:v>257662456.91</x:v>
      </x:c>
      <x:c r="F215" s="135" t="n">
        <x:f>SUM(B215:E215)</x:f>
        <x:v>257662456.91</x:v>
      </x:c>
      <x:c r="G215" s="111" t="str">
        <x:v>Independente</x:v>
      </x:c>
      <x:c r="H215" s="144" t="str">
        <x:v>Independente</x:v>
      </x:c>
      <x:c r="I215" s="111" t="str">
        <x:v>Regra residual — revisar manualmente</x:v>
      </x:c>
      <x:c r="J215" s="153" t="str">
        <x:v>Sim — alta</x:v>
      </x:c>
      <x:c r="K215" s="135" t="n">
        <x:f>IF($H215="Independente",$F215,0)</x:f>
        <x:v>257662456.91</x:v>
      </x:c>
      <x:c r="L215" s="135" t="n">
        <x:f>IF($H215="Ligada a banco",$F215,0)</x:f>
        <x:v>0</x:v>
      </x:c>
      <x:c r="M215" s="114" t="n">
        <x:f>IF(K215&gt;0,RANK(K215,$K$6:$K$462)+COUNTIF($K$6:K215,K215)-1,9999)</x:f>
        <x:v>192</x:v>
      </x:c>
      <x:c r="N215" s="114" t="n">
        <x:f>IF(L215&gt;0,RANK(L215,$L$6:$L$462)+COUNTIF($L$6:L215,L215)-1,9999)</x:f>
        <x:v>9999</x:v>
      </x:c>
    </x:row>
    <x:row r="216">
      <x:c r="A216" s="111" t="str">
        <x:v>Siguler Guff Gestora de Investimentos (Asset Management</x:v>
      </x:c>
      <x:c r="B216" s="135" t="n">
        <x:v>0</x:v>
      </x:c>
      <x:c r="C216" s="135" t="n">
        <x:v>0</x:v>
      </x:c>
      <x:c r="D216" s="135" t="n">
        <x:v>0</x:v>
      </x:c>
      <x:c r="E216" s="135" t="n">
        <x:v>257122567.75000003</x:v>
      </x:c>
      <x:c r="F216" s="135" t="n">
        <x:f>SUM(B216:E216)</x:f>
        <x:v>257122567.75000003</x:v>
      </x:c>
      <x:c r="G216" s="111" t="str">
        <x:v>Independente</x:v>
      </x:c>
      <x:c r="H216" s="144" t="str">
        <x:v>Independente</x:v>
      </x:c>
      <x:c r="I216" s="111" t="str">
        <x:v>Regra residual — revisar manualmente</x:v>
      </x:c>
      <x:c r="J216" s="153" t="str">
        <x:v>Sim — alta</x:v>
      </x:c>
      <x:c r="K216" s="135" t="n">
        <x:f>IF($H216="Independente",$F216,0)</x:f>
        <x:v>257122567.75000003</x:v>
      </x:c>
      <x:c r="L216" s="135" t="n">
        <x:f>IF($H216="Ligada a banco",$F216,0)</x:f>
        <x:v>0</x:v>
      </x:c>
      <x:c r="M216" s="114" t="n">
        <x:f>IF(K216&gt;0,RANK(K216,$K$6:$K$462)+COUNTIF($K$6:K216,K216)-1,9999)</x:f>
        <x:v>193</x:v>
      </x:c>
      <x:c r="N216" s="114" t="n">
        <x:f>IF(L216&gt;0,RANK(L216,$L$6:$L$462)+COUNTIF($L$6:L216,L216)-1,9999)</x:f>
        <x:v>9999</x:v>
      </x:c>
    </x:row>
    <x:row r="217">
      <x:c r="A217" s="111" t="str">
        <x:v>BLUEWAVE ASSET LTDA</x:v>
      </x:c>
      <x:c r="B217" s="135" t="n">
        <x:v>105248638.04999998</x:v>
      </x:c>
      <x:c r="C217" s="135" t="n">
        <x:v>103430190.96</x:v>
      </x:c>
      <x:c r="D217" s="135" t="n">
        <x:v>1798039.78</x:v>
      </x:c>
      <x:c r="E217" s="135" t="n">
        <x:v>43812012.98</x:v>
      </x:c>
      <x:c r="F217" s="135" t="n">
        <x:f>SUM(B217:E217)</x:f>
        <x:v>254288881.76999998</x:v>
      </x:c>
      <x:c r="G217" s="111" t="str">
        <x:v>Independente</x:v>
      </x:c>
      <x:c r="H217" s="144" t="str">
        <x:v>Independente</x:v>
      </x:c>
      <x:c r="I217" s="111" t="str">
        <x:v>Regra residual — revisar manualmente</x:v>
      </x:c>
      <x:c r="J217" s="153" t="str">
        <x:v>Sim — alta</x:v>
      </x:c>
      <x:c r="K217" s="135" t="n">
        <x:f>IF($H217="Independente",$F217,0)</x:f>
        <x:v>254288881.76999998</x:v>
      </x:c>
      <x:c r="L217" s="135" t="n">
        <x:f>IF($H217="Ligada a banco",$F217,0)</x:f>
        <x:v>0</x:v>
      </x:c>
      <x:c r="M217" s="114" t="n">
        <x:f>IF(K217&gt;0,RANK(K217,$K$6:$K$462)+COUNTIF($K$6:K217,K217)-1,9999)</x:f>
        <x:v>194</x:v>
      </x:c>
      <x:c r="N217" s="114" t="n">
        <x:f>IF(L217&gt;0,RANK(L217,$L$6:$L$462)+COUNTIF($L$6:L217,L217)-1,9999)</x:f>
        <x:v>9999</x:v>
      </x:c>
    </x:row>
    <x:row r="218">
      <x:c r="A218" s="111" t="str">
        <x:v>Caixa Distribuidora de Títulos e Valores Mobiliários S.A.</x:v>
      </x:c>
      <x:c r="B218" s="135" t="n">
        <x:v>247284902.9</x:v>
      </x:c>
      <x:c r="C218" s="135" t="n">
        <x:v>0</x:v>
      </x:c>
      <x:c r="D218" s="135" t="n">
        <x:v>0</x:v>
      </x:c>
      <x:c r="E218" s="135" t="n">
        <x:v>0</x:v>
      </x:c>
      <x:c r="F218" s="135" t="n">
        <x:f>SUM(B218:E218)</x:f>
        <x:v>247284902.9</x:v>
      </x:c>
      <x:c r="G218" s="111" t="str">
        <x:v>Ligada a banco</x:v>
      </x:c>
      <x:c r="H218" s="144" t="str">
        <x:v>Ligada a banco</x:v>
      </x:c>
      <x:c r="I218" s="111" t="str">
        <x:v>Regra nominal: CAIXA</x:v>
      </x:c>
      <x:c r="J218" s="153" t="str">
        <x:v>Confirmar</x:v>
      </x:c>
      <x:c r="K218" s="135" t="n">
        <x:f>IF($H218="Independente",$F218,0)</x:f>
        <x:v>0</x:v>
      </x:c>
      <x:c r="L218" s="135" t="n">
        <x:f>IF($H218="Ligada a banco",$F218,0)</x:f>
        <x:v>247284902.9</x:v>
      </x:c>
      <x:c r="M218" s="114" t="n">
        <x:f>IF(K218&gt;0,RANK(K218,$K$6:$K$462)+COUNTIF($K$6:K218,K218)-1,9999)</x:f>
        <x:v>9999</x:v>
      </x:c>
      <x:c r="N218" s="114" t="n">
        <x:f>IF(L218&gt;0,RANK(L218,$L$6:$L$462)+COUNTIF($L$6:L218,L218)-1,9999)</x:f>
        <x:v>19</x:v>
      </x:c>
    </x:row>
    <x:row r="219">
      <x:c r="A219" s="111" t="str">
        <x:v>FATOR INNOVATION LTDA</x:v>
      </x:c>
      <x:c r="B219" s="135" t="n">
        <x:v>246554985.76</x:v>
      </x:c>
      <x:c r="C219" s="135" t="n">
        <x:v>0</x:v>
      </x:c>
      <x:c r="D219" s="135" t="n">
        <x:v>0</x:v>
      </x:c>
      <x:c r="E219" s="135" t="n">
        <x:v>0</x:v>
      </x:c>
      <x:c r="F219" s="135" t="n">
        <x:f>SUM(B219:E219)</x:f>
        <x:v>246554985.76</x:v>
      </x:c>
      <x:c r="G219" s="111" t="str">
        <x:v>Independente</x:v>
      </x:c>
      <x:c r="H219" s="144" t="str">
        <x:v>Independente</x:v>
      </x:c>
      <x:c r="I219" s="111" t="str">
        <x:v>Regra residual — revisar manualmente</x:v>
      </x:c>
      <x:c r="J219" s="153" t="str">
        <x:v>Sim — alta</x:v>
      </x:c>
      <x:c r="K219" s="135" t="n">
        <x:f>IF($H219="Independente",$F219,0)</x:f>
        <x:v>246554985.76</x:v>
      </x:c>
      <x:c r="L219" s="135" t="n">
        <x:f>IF($H219="Ligada a banco",$F219,0)</x:f>
        <x:v>0</x:v>
      </x:c>
      <x:c r="M219" s="114" t="n">
        <x:f>IF(K219&gt;0,RANK(K219,$K$6:$K$462)+COUNTIF($K$6:K219,K219)-1,9999)</x:f>
        <x:v>195</x:v>
      </x:c>
      <x:c r="N219" s="114" t="n">
        <x:f>IF(L219&gt;0,RANK(L219,$L$6:$L$462)+COUNTIF($L$6:L219,L219)-1,9999)</x:f>
        <x:v>9999</x:v>
      </x:c>
    </x:row>
    <x:row r="220">
      <x:c r="A220" s="111" t="str">
        <x:v>RCB PLANEJAMENTO FINANCEIRO LTDA</x:v>
      </x:c>
      <x:c r="B220" s="135" t="n">
        <x:v>0</x:v>
      </x:c>
      <x:c r="C220" s="135" t="n">
        <x:v>245514522.9</x:v>
      </x:c>
      <x:c r="D220" s="135" t="n">
        <x:v>0</x:v>
      </x:c>
      <x:c r="E220" s="135" t="n">
        <x:v>0</x:v>
      </x:c>
      <x:c r="F220" s="135" t="n">
        <x:f>SUM(B220:E220)</x:f>
        <x:v>245514522.9</x:v>
      </x:c>
      <x:c r="G220" s="111" t="str">
        <x:v>Independente</x:v>
      </x:c>
      <x:c r="H220" s="144" t="str">
        <x:v>Independente</x:v>
      </x:c>
      <x:c r="I220" s="111" t="str">
        <x:v>Regra residual — revisar manualmente</x:v>
      </x:c>
      <x:c r="J220" s="153" t="str">
        <x:v>Sim — alta</x:v>
      </x:c>
      <x:c r="K220" s="135" t="n">
        <x:f>IF($H220="Independente",$F220,0)</x:f>
        <x:v>245514522.9</x:v>
      </x:c>
      <x:c r="L220" s="135" t="n">
        <x:f>IF($H220="Ligada a banco",$F220,0)</x:f>
        <x:v>0</x:v>
      </x:c>
      <x:c r="M220" s="114" t="n">
        <x:f>IF(K220&gt;0,RANK(K220,$K$6:$K$462)+COUNTIF($K$6:K220,K220)-1,9999)</x:f>
        <x:v>196</x:v>
      </x:c>
      <x:c r="N220" s="114" t="n">
        <x:f>IF(L220&gt;0,RANK(L220,$L$6:$L$462)+COUNTIF($L$6:L220,L220)-1,9999)</x:f>
        <x:v>9999</x:v>
      </x:c>
    </x:row>
    <x:row r="221">
      <x:c r="A221" s="111" t="str">
        <x:v>EAGLE CAPITAL</x:v>
      </x:c>
      <x:c r="B221" s="135" t="n">
        <x:v>0</x:v>
      </x:c>
      <x:c r="C221" s="135" t="n">
        <x:v>0</x:v>
      </x:c>
      <x:c r="D221" s="135" t="n">
        <x:v>0</x:v>
      </x:c>
      <x:c r="E221" s="135" t="n">
        <x:v>238069208.98</x:v>
      </x:c>
      <x:c r="F221" s="135" t="n">
        <x:f>SUM(B221:E221)</x:f>
        <x:v>238069208.98</x:v>
      </x:c>
      <x:c r="G221" s="111" t="str">
        <x:v>Independente</x:v>
      </x:c>
      <x:c r="H221" s="144" t="str">
        <x:v>Independente</x:v>
      </x:c>
      <x:c r="I221" s="111" t="str">
        <x:v>Regra residual — revisar manualmente</x:v>
      </x:c>
      <x:c r="J221" s="153" t="str">
        <x:v>Sim — alta</x:v>
      </x:c>
      <x:c r="K221" s="135" t="n">
        <x:f>IF($H221="Independente",$F221,0)</x:f>
        <x:v>238069208.98</x:v>
      </x:c>
      <x:c r="L221" s="135" t="n">
        <x:f>IF($H221="Ligada a banco",$F221,0)</x:f>
        <x:v>0</x:v>
      </x:c>
      <x:c r="M221" s="114" t="n">
        <x:f>IF(K221&gt;0,RANK(K221,$K$6:$K$462)+COUNTIF($K$6:K221,K221)-1,9999)</x:f>
        <x:v>197</x:v>
      </x:c>
      <x:c r="N221" s="114" t="n">
        <x:f>IF(L221&gt;0,RANK(L221,$L$6:$L$462)+COUNTIF($L$6:L221,L221)-1,9999)</x:f>
        <x:v>9999</x:v>
      </x:c>
    </x:row>
    <x:row r="222">
      <x:c r="A222" s="111" t="str">
        <x:v>SIGA GESTORA DE RECURSOS LTDA</x:v>
      </x:c>
      <x:c r="B222" s="135" t="n">
        <x:v>61454000.57000001</x:v>
      </x:c>
      <x:c r="C222" s="135" t="n">
        <x:v>173459909.13000005</x:v>
      </x:c>
      <x:c r="D222" s="135" t="n">
        <x:v>0</x:v>
      </x:c>
      <x:c r="E222" s="135" t="n">
        <x:v>0</x:v>
      </x:c>
      <x:c r="F222" s="135" t="n">
        <x:f>SUM(B222:E222)</x:f>
        <x:v>234913909.70000005</x:v>
      </x:c>
      <x:c r="G222" s="111" t="str">
        <x:v>Independente</x:v>
      </x:c>
      <x:c r="H222" s="144" t="str">
        <x:v>Independente</x:v>
      </x:c>
      <x:c r="I222" s="111" t="str">
        <x:v>Regra residual — revisar manualmente</x:v>
      </x:c>
      <x:c r="J222" s="153" t="str">
        <x:v>Sim — alta</x:v>
      </x:c>
      <x:c r="K222" s="135" t="n">
        <x:f>IF($H222="Independente",$F222,0)</x:f>
        <x:v>234913909.70000005</x:v>
      </x:c>
      <x:c r="L222" s="135" t="n">
        <x:f>IF($H222="Ligada a banco",$F222,0)</x:f>
        <x:v>0</x:v>
      </x:c>
      <x:c r="M222" s="114" t="n">
        <x:f>IF(K222&gt;0,RANK(K222,$K$6:$K$462)+COUNTIF($K$6:K222,K222)-1,9999)</x:f>
        <x:v>198</x:v>
      </x:c>
      <x:c r="N222" s="114" t="n">
        <x:f>IF(L222&gt;0,RANK(L222,$L$6:$L$462)+COUNTIF($L$6:L222,L222)-1,9999)</x:f>
        <x:v>9999</x:v>
      </x:c>
    </x:row>
    <x:row r="223">
      <x:c r="A223" s="111" t="str">
        <x:v>Sabrina Ribeiro Molina</x:v>
      </x:c>
      <x:c r="B223" s="135" t="n">
        <x:v>0</x:v>
      </x:c>
      <x:c r="C223" s="135" t="n">
        <x:v>0</x:v>
      </x:c>
      <x:c r="D223" s="135" t="n">
        <x:v>0</x:v>
      </x:c>
      <x:c r="E223" s="135" t="n">
        <x:v>217082595.15999997</x:v>
      </x:c>
      <x:c r="F223" s="135" t="n">
        <x:f>SUM(B223:E223)</x:f>
        <x:v>217082595.15999997</x:v>
      </x:c>
      <x:c r="G223" s="111" t="str">
        <x:v>Independente</x:v>
      </x:c>
      <x:c r="H223" s="144" t="str">
        <x:v>Independente</x:v>
      </x:c>
      <x:c r="I223" s="111" t="str">
        <x:v>Regra residual — revisar manualmente</x:v>
      </x:c>
      <x:c r="J223" s="153" t="str">
        <x:v>Sim — alta</x:v>
      </x:c>
      <x:c r="K223" s="135" t="n">
        <x:f>IF($H223="Independente",$F223,0)</x:f>
        <x:v>217082595.15999997</x:v>
      </x:c>
      <x:c r="L223" s="135" t="n">
        <x:f>IF($H223="Ligada a banco",$F223,0)</x:f>
        <x:v>0</x:v>
      </x:c>
      <x:c r="M223" s="114" t="n">
        <x:f>IF(K223&gt;0,RANK(K223,$K$6:$K$462)+COUNTIF($K$6:K223,K223)-1,9999)</x:f>
        <x:v>199</x:v>
      </x:c>
      <x:c r="N223" s="114" t="n">
        <x:f>IF(L223&gt;0,RANK(L223,$L$6:$L$462)+COUNTIF($L$6:L223,L223)-1,9999)</x:f>
        <x:v>9999</x:v>
      </x:c>
    </x:row>
    <x:row r="224">
      <x:c r="A224" s="111" t="str">
        <x:v>VESTRA CAPITAL</x:v>
      </x:c>
      <x:c r="B224" s="135" t="n">
        <x:v>0</x:v>
      </x:c>
      <x:c r="C224" s="135" t="n">
        <x:v>20245903.66</x:v>
      </x:c>
      <x:c r="D224" s="135" t="n">
        <x:v>0</x:v>
      </x:c>
      <x:c r="E224" s="135" t="n">
        <x:v>190182220.48</x:v>
      </x:c>
      <x:c r="F224" s="135" t="n">
        <x:f>SUM(B224:E224)</x:f>
        <x:v>210428124.14</x:v>
      </x:c>
      <x:c r="G224" s="111" t="str">
        <x:v>Independente</x:v>
      </x:c>
      <x:c r="H224" s="144" t="str">
        <x:v>Independente</x:v>
      </x:c>
      <x:c r="I224" s="111" t="str">
        <x:v>Regra residual — revisar manualmente</x:v>
      </x:c>
      <x:c r="J224" s="153" t="str">
        <x:v>Sim — alta</x:v>
      </x:c>
      <x:c r="K224" s="135" t="n">
        <x:f>IF($H224="Independente",$F224,0)</x:f>
        <x:v>210428124.14</x:v>
      </x:c>
      <x:c r="L224" s="135" t="n">
        <x:f>IF($H224="Ligada a banco",$F224,0)</x:f>
        <x:v>0</x:v>
      </x:c>
      <x:c r="M224" s="114" t="n">
        <x:f>IF(K224&gt;0,RANK(K224,$K$6:$K$462)+COUNTIF($K$6:K224,K224)-1,9999)</x:f>
        <x:v>200</x:v>
      </x:c>
      <x:c r="N224" s="114" t="n">
        <x:f>IF(L224&gt;0,RANK(L224,$L$6:$L$462)+COUNTIF($L$6:L224,L224)-1,9999)</x:f>
        <x:v>9999</x:v>
      </x:c>
    </x:row>
    <x:row r="225">
      <x:c r="A225" s="111" t="str">
        <x:v>Terra Asset Management</x:v>
      </x:c>
      <x:c r="B225" s="135" t="n">
        <x:v>0</x:v>
      </x:c>
      <x:c r="C225" s="135" t="n">
        <x:v>61361325.57999999</x:v>
      </x:c>
      <x:c r="D225" s="135" t="n">
        <x:v>0</x:v>
      </x:c>
      <x:c r="E225" s="135" t="n">
        <x:v>146160770.07</x:v>
      </x:c>
      <x:c r="F225" s="135" t="n">
        <x:f>SUM(B225:E225)</x:f>
        <x:v>207522095.64999998</x:v>
      </x:c>
      <x:c r="G225" s="111" t="str">
        <x:v>Independente</x:v>
      </x:c>
      <x:c r="H225" s="144" t="str">
        <x:v>Independente</x:v>
      </x:c>
      <x:c r="I225" s="111" t="str">
        <x:v>Regra residual — revisar manualmente</x:v>
      </x:c>
      <x:c r="J225" s="153" t="str">
        <x:v>Sim — alta</x:v>
      </x:c>
      <x:c r="K225" s="135" t="n">
        <x:f>IF($H225="Independente",$F225,0)</x:f>
        <x:v>207522095.64999998</x:v>
      </x:c>
      <x:c r="L225" s="135" t="n">
        <x:f>IF($H225="Ligada a banco",$F225,0)</x:f>
        <x:v>0</x:v>
      </x:c>
      <x:c r="M225" s="114" t="n">
        <x:f>IF(K225&gt;0,RANK(K225,$K$6:$K$462)+COUNTIF($K$6:K225,K225)-1,9999)</x:f>
        <x:v>201</x:v>
      </x:c>
      <x:c r="N225" s="114" t="n">
        <x:f>IF(L225&gt;0,RANK(L225,$L$6:$L$462)+COUNTIF($L$6:L225,L225)-1,9999)</x:f>
        <x:v>9999</x:v>
      </x:c>
    </x:row>
    <x:row r="226">
      <x:c r="A226" s="111" t="str">
        <x:v>PATAGÔNIA CAPITAL</x:v>
      </x:c>
      <x:c r="B226" s="135" t="n">
        <x:v>13384222.09</x:v>
      </x:c>
      <x:c r="C226" s="135" t="n">
        <x:v>69299238.42</x:v>
      </x:c>
      <x:c r="D226" s="135" t="n">
        <x:v>0</x:v>
      </x:c>
      <x:c r="E226" s="135" t="n">
        <x:v>116578331.52</x:v>
      </x:c>
      <x:c r="F226" s="135" t="n">
        <x:f>SUM(B226:E226)</x:f>
        <x:v>199261792.03</x:v>
      </x:c>
      <x:c r="G226" s="111" t="str">
        <x:v>Independente</x:v>
      </x:c>
      <x:c r="H226" s="144" t="str">
        <x:v>Independente</x:v>
      </x:c>
      <x:c r="I226" s="111" t="str">
        <x:v>Regra residual — revisar manualmente</x:v>
      </x:c>
      <x:c r="J226" s="153" t="str">
        <x:v>Sim — alta</x:v>
      </x:c>
      <x:c r="K226" s="135" t="n">
        <x:f>IF($H226="Independente",$F226,0)</x:f>
        <x:v>199261792.03</x:v>
      </x:c>
      <x:c r="L226" s="135" t="n">
        <x:f>IF($H226="Ligada a banco",$F226,0)</x:f>
        <x:v>0</x:v>
      </x:c>
      <x:c r="M226" s="114" t="n">
        <x:f>IF(K226&gt;0,RANK(K226,$K$6:$K$462)+COUNTIF($K$6:K226,K226)-1,9999)</x:f>
        <x:v>202</x:v>
      </x:c>
      <x:c r="N226" s="114" t="n">
        <x:f>IF(L226&gt;0,RANK(L226,$L$6:$L$462)+COUNTIF($L$6:L226,L226)-1,9999)</x:f>
        <x:v>9999</x:v>
      </x:c>
    </x:row>
    <x:row r="227">
      <x:c r="A227" s="111" t="str">
        <x:v>Renta Gestão de Recursos LTDA.</x:v>
      </x:c>
      <x:c r="B227" s="135" t="n">
        <x:v>0</x:v>
      </x:c>
      <x:c r="C227" s="135" t="n">
        <x:v>0</x:v>
      </x:c>
      <x:c r="D227" s="135" t="n">
        <x:v>0</x:v>
      </x:c>
      <x:c r="E227" s="135" t="n">
        <x:v>198443232.95</x:v>
      </x:c>
      <x:c r="F227" s="135" t="n">
        <x:f>SUM(B227:E227)</x:f>
        <x:v>198443232.95</x:v>
      </x:c>
      <x:c r="G227" s="111" t="str">
        <x:v>Independente</x:v>
      </x:c>
      <x:c r="H227" s="144" t="str">
        <x:v>Independente</x:v>
      </x:c>
      <x:c r="I227" s="111" t="str">
        <x:v>Regra residual — revisar manualmente</x:v>
      </x:c>
      <x:c r="J227" s="153" t="str">
        <x:v>Sim — alta</x:v>
      </x:c>
      <x:c r="K227" s="135" t="n">
        <x:f>IF($H227="Independente",$F227,0)</x:f>
        <x:v>198443232.95</x:v>
      </x:c>
      <x:c r="L227" s="135" t="n">
        <x:f>IF($H227="Ligada a banco",$F227,0)</x:f>
        <x:v>0</x:v>
      </x:c>
      <x:c r="M227" s="114" t="n">
        <x:f>IF(K227&gt;0,RANK(K227,$K$6:$K$462)+COUNTIF($K$6:K227,K227)-1,9999)</x:f>
        <x:v>203</x:v>
      </x:c>
      <x:c r="N227" s="114" t="n">
        <x:f>IF(L227&gt;0,RANK(L227,$L$6:$L$462)+COUNTIF($L$6:L227,L227)-1,9999)</x:f>
        <x:v>9999</x:v>
      </x:c>
    </x:row>
    <x:row r="228">
      <x:c r="A228" s="111" t="str">
        <x:v>B.Side Wealth</x:v>
      </x:c>
      <x:c r="B228" s="135" t="n">
        <x:v>0</x:v>
      </x:c>
      <x:c r="C228" s="135" t="n">
        <x:v>12187428.01</x:v>
      </x:c>
      <x:c r="D228" s="135" t="n">
        <x:v>0</x:v>
      </x:c>
      <x:c r="E228" s="135" t="n">
        <x:v>185756307.87000003</x:v>
      </x:c>
      <x:c r="F228" s="135" t="n">
        <x:f>SUM(B228:E228)</x:f>
        <x:v>197943735.88000003</x:v>
      </x:c>
      <x:c r="G228" s="111" t="str">
        <x:v>Independente</x:v>
      </x:c>
      <x:c r="H228" s="144" t="str">
        <x:v>Independente</x:v>
      </x:c>
      <x:c r="I228" s="111" t="str">
        <x:v>Regra residual — revisar manualmente</x:v>
      </x:c>
      <x:c r="J228" s="153" t="str">
        <x:v>Sim — alta</x:v>
      </x:c>
      <x:c r="K228" s="135" t="n">
        <x:f>IF($H228="Independente",$F228,0)</x:f>
        <x:v>197943735.88000003</x:v>
      </x:c>
      <x:c r="L228" s="135" t="n">
        <x:f>IF($H228="Ligada a banco",$F228,0)</x:f>
        <x:v>0</x:v>
      </x:c>
      <x:c r="M228" s="114" t="n">
        <x:f>IF(K228&gt;0,RANK(K228,$K$6:$K$462)+COUNTIF($K$6:K228,K228)-1,9999)</x:f>
        <x:v>204</x:v>
      </x:c>
      <x:c r="N228" s="114" t="n">
        <x:f>IF(L228&gt;0,RANK(L228,$L$6:$L$462)+COUNTIF($L$6:L228,L228)-1,9999)</x:f>
        <x:v>9999</x:v>
      </x:c>
    </x:row>
    <x:row r="229">
      <x:c r="A229" s="111" t="str">
        <x:v>FICTOR ASSET</x:v>
      </x:c>
      <x:c r="B229" s="135" t="n">
        <x:v>0</x:v>
      </x:c>
      <x:c r="C229" s="135" t="n">
        <x:v>4748561.579999999</x:v>
      </x:c>
      <x:c r="D229" s="135" t="n">
        <x:v>0</x:v>
      </x:c>
      <x:c r="E229" s="135" t="n">
        <x:v>187606431.96</x:v>
      </x:c>
      <x:c r="F229" s="135" t="n">
        <x:f>SUM(B229:E229)</x:f>
        <x:v>192354993.54000002</x:v>
      </x:c>
      <x:c r="G229" s="111" t="str">
        <x:v>Independente</x:v>
      </x:c>
      <x:c r="H229" s="144" t="str">
        <x:v>Independente</x:v>
      </x:c>
      <x:c r="I229" s="111" t="str">
        <x:v>Regra residual — revisar manualmente</x:v>
      </x:c>
      <x:c r="J229" s="153" t="str">
        <x:v>Sim — alta</x:v>
      </x:c>
      <x:c r="K229" s="135" t="n">
        <x:f>IF($H229="Independente",$F229,0)</x:f>
        <x:v>192354993.54000002</x:v>
      </x:c>
      <x:c r="L229" s="135" t="n">
        <x:f>IF($H229="Ligada a banco",$F229,0)</x:f>
        <x:v>0</x:v>
      </x:c>
      <x:c r="M229" s="114" t="n">
        <x:f>IF(K229&gt;0,RANK(K229,$K$6:$K$462)+COUNTIF($K$6:K229,K229)-1,9999)</x:f>
        <x:v>205</x:v>
      </x:c>
      <x:c r="N229" s="114" t="n">
        <x:f>IF(L229&gt;0,RANK(L229,$L$6:$L$462)+COUNTIF($L$6:L229,L229)-1,9999)</x:f>
        <x:v>9999</x:v>
      </x:c>
    </x:row>
    <x:row r="230">
      <x:c r="A230" s="111" t="str">
        <x:v>Fibra Asset</x:v>
      </x:c>
      <x:c r="B230" s="135" t="n">
        <x:v>0</x:v>
      </x:c>
      <x:c r="C230" s="135" t="n">
        <x:v>188505504.52</x:v>
      </x:c>
      <x:c r="D230" s="135" t="n">
        <x:v>0</x:v>
      </x:c>
      <x:c r="E230" s="135" t="n">
        <x:v>0</x:v>
      </x:c>
      <x:c r="F230" s="135" t="n">
        <x:f>SUM(B230:E230)</x:f>
        <x:v>188505504.52</x:v>
      </x:c>
      <x:c r="G230" s="111" t="str">
        <x:v>Independente</x:v>
      </x:c>
      <x:c r="H230" s="144" t="str">
        <x:v>Independente</x:v>
      </x:c>
      <x:c r="I230" s="111" t="str">
        <x:v>Regra residual — revisar manualmente</x:v>
      </x:c>
      <x:c r="J230" s="153" t="str">
        <x:v>Sim — alta</x:v>
      </x:c>
      <x:c r="K230" s="135" t="n">
        <x:f>IF($H230="Independente",$F230,0)</x:f>
        <x:v>188505504.52</x:v>
      </x:c>
      <x:c r="L230" s="135" t="n">
        <x:f>IF($H230="Ligada a banco",$F230,0)</x:f>
        <x:v>0</x:v>
      </x:c>
      <x:c r="M230" s="114" t="n">
        <x:f>IF(K230&gt;0,RANK(K230,$K$6:$K$462)+COUNTIF($K$6:K230,K230)-1,9999)</x:f>
        <x:v>206</x:v>
      </x:c>
      <x:c r="N230" s="114" t="n">
        <x:f>IF(L230&gt;0,RANK(L230,$L$6:$L$462)+COUNTIF($L$6:L230,L230)-1,9999)</x:f>
        <x:v>9999</x:v>
      </x:c>
    </x:row>
    <x:row r="231">
      <x:c r="A231" s="111" t="str">
        <x:v>URCA CAPITAL PARTNERS</x:v>
      </x:c>
      <x:c r="B231" s="135" t="n">
        <x:v>0</x:v>
      </x:c>
      <x:c r="C231" s="135" t="n">
        <x:v>180374297.49</x:v>
      </x:c>
      <x:c r="D231" s="135" t="n">
        <x:v>0</x:v>
      </x:c>
      <x:c r="E231" s="135" t="n">
        <x:v>7499200.82</x:v>
      </x:c>
      <x:c r="F231" s="135" t="n">
        <x:f>SUM(B231:E231)</x:f>
        <x:v>187873498.31</x:v>
      </x:c>
      <x:c r="G231" s="111" t="str">
        <x:v>Independente</x:v>
      </x:c>
      <x:c r="H231" s="144" t="str">
        <x:v>Independente</x:v>
      </x:c>
      <x:c r="I231" s="111" t="str">
        <x:v>Regra residual — revisar manualmente</x:v>
      </x:c>
      <x:c r="J231" s="153" t="str">
        <x:v>Sim — alta</x:v>
      </x:c>
      <x:c r="K231" s="135" t="n">
        <x:f>IF($H231="Independente",$F231,0)</x:f>
        <x:v>187873498.31</x:v>
      </x:c>
      <x:c r="L231" s="135" t="n">
        <x:f>IF($H231="Ligada a banco",$F231,0)</x:f>
        <x:v>0</x:v>
      </x:c>
      <x:c r="M231" s="114" t="n">
        <x:f>IF(K231&gt;0,RANK(K231,$K$6:$K$462)+COUNTIF($K$6:K231,K231)-1,9999)</x:f>
        <x:v>207</x:v>
      </x:c>
      <x:c r="N231" s="114" t="n">
        <x:f>IF(L231&gt;0,RANK(L231,$L$6:$L$462)+COUNTIF($L$6:L231,L231)-1,9999)</x:f>
        <x:v>9999</x:v>
      </x:c>
    </x:row>
    <x:row r="232">
      <x:c r="A232" s="111" t="str">
        <x:v>EXA CAPITAL ASSET</x:v>
      </x:c>
      <x:c r="B232" s="135" t="n">
        <x:v>110240272.76</x:v>
      </x:c>
      <x:c r="C232" s="135" t="n">
        <x:v>76456754.28</x:v>
      </x:c>
      <x:c r="D232" s="135" t="n">
        <x:v>0</x:v>
      </x:c>
      <x:c r="E232" s="135" t="n">
        <x:v>0</x:v>
      </x:c>
      <x:c r="F232" s="135" t="n">
        <x:f>SUM(B232:E232)</x:f>
        <x:v>186697027.04000002</x:v>
      </x:c>
      <x:c r="G232" s="111" t="str">
        <x:v>Independente</x:v>
      </x:c>
      <x:c r="H232" s="144" t="str">
        <x:v>Independente</x:v>
      </x:c>
      <x:c r="I232" s="111" t="str">
        <x:v>Regra residual — revisar manualmente</x:v>
      </x:c>
      <x:c r="J232" s="153" t="str">
        <x:v>Sim — alta</x:v>
      </x:c>
      <x:c r="K232" s="135" t="n">
        <x:f>IF($H232="Independente",$F232,0)</x:f>
        <x:v>186697027.04000002</x:v>
      </x:c>
      <x:c r="L232" s="135" t="n">
        <x:f>IF($H232="Ligada a banco",$F232,0)</x:f>
        <x:v>0</x:v>
      </x:c>
      <x:c r="M232" s="114" t="n">
        <x:f>IF(K232&gt;0,RANK(K232,$K$6:$K$462)+COUNTIF($K$6:K232,K232)-1,9999)</x:f>
        <x:v>208</x:v>
      </x:c>
      <x:c r="N232" s="114" t="n">
        <x:f>IF(L232&gt;0,RANK(L232,$L$6:$L$462)+COUNTIF($L$6:L232,L232)-1,9999)</x:f>
        <x:v>9999</x:v>
      </x:c>
    </x:row>
    <x:row r="233">
      <x:c r="A233" s="111" t="str">
        <x:v>VÓRTX DTVM</x:v>
      </x:c>
      <x:c r="B233" s="135" t="n">
        <x:v>0</x:v>
      </x:c>
      <x:c r="C233" s="135" t="n">
        <x:v>0</x:v>
      </x:c>
      <x:c r="D233" s="135" t="n">
        <x:v>0</x:v>
      </x:c>
      <x:c r="E233" s="135" t="n">
        <x:v>183244954.11</x:v>
      </x:c>
      <x:c r="F233" s="135" t="n">
        <x:f>SUM(B233:E233)</x:f>
        <x:v>183244954.11</x:v>
      </x:c>
      <x:c r="G233" s="111" t="str">
        <x:v>Independente</x:v>
      </x:c>
      <x:c r="H233" s="144" t="str">
        <x:v>Independente</x:v>
      </x:c>
      <x:c r="I233" s="111" t="str">
        <x:v>Regra residual — revisar manualmente</x:v>
      </x:c>
      <x:c r="J233" s="153" t="str">
        <x:v>Sim — alta</x:v>
      </x:c>
      <x:c r="K233" s="135" t="n">
        <x:f>IF($H233="Independente",$F233,0)</x:f>
        <x:v>183244954.11</x:v>
      </x:c>
      <x:c r="L233" s="135" t="n">
        <x:f>IF($H233="Ligada a banco",$F233,0)</x:f>
        <x:v>0</x:v>
      </x:c>
      <x:c r="M233" s="114" t="n">
        <x:f>IF(K233&gt;0,RANK(K233,$K$6:$K$462)+COUNTIF($K$6:K233,K233)-1,9999)</x:f>
        <x:v>209</x:v>
      </x:c>
      <x:c r="N233" s="114" t="n">
        <x:f>IF(L233&gt;0,RANK(L233,$L$6:$L$462)+COUNTIF($L$6:L233,L233)-1,9999)</x:f>
        <x:v>9999</x:v>
      </x:c>
    </x:row>
    <x:row r="234">
      <x:c r="A234" s="111" t="str">
        <x:v>SH Asset</x:v>
      </x:c>
      <x:c r="B234" s="135" t="n">
        <x:v>0</x:v>
      </x:c>
      <x:c r="C234" s="135" t="n">
        <x:v>49522019.5</x:v>
      </x:c>
      <x:c r="D234" s="135" t="n">
        <x:v>0</x:v>
      </x:c>
      <x:c r="E234" s="135" t="n">
        <x:v>131473953.59999998</x:v>
      </x:c>
      <x:c r="F234" s="135" t="n">
        <x:f>SUM(B234:E234)</x:f>
        <x:v>180995973.09999996</x:v>
      </x:c>
      <x:c r="G234" s="111" t="str">
        <x:v>Independente</x:v>
      </x:c>
      <x:c r="H234" s="144" t="str">
        <x:v>Independente</x:v>
      </x:c>
      <x:c r="I234" s="111" t="str">
        <x:v>Regra residual — revisar manualmente</x:v>
      </x:c>
      <x:c r="J234" s="153" t="str">
        <x:v>Sim — alta</x:v>
      </x:c>
      <x:c r="K234" s="135" t="n">
        <x:f>IF($H234="Independente",$F234,0)</x:f>
        <x:v>180995973.09999996</x:v>
      </x:c>
      <x:c r="L234" s="135" t="n">
        <x:f>IF($H234="Ligada a banco",$F234,0)</x:f>
        <x:v>0</x:v>
      </x:c>
      <x:c r="M234" s="114" t="n">
        <x:f>IF(K234&gt;0,RANK(K234,$K$6:$K$462)+COUNTIF($K$6:K234,K234)-1,9999)</x:f>
        <x:v>210</x:v>
      </x:c>
      <x:c r="N234" s="114" t="n">
        <x:f>IF(L234&gt;0,RANK(L234,$L$6:$L$462)+COUNTIF($L$6:L234,L234)-1,9999)</x:f>
        <x:v>9999</x:v>
      </x:c>
    </x:row>
    <x:row r="235">
      <x:c r="A235" s="111" t="str">
        <x:v>DIRETA Capital</x:v>
      </x:c>
      <x:c r="B235" s="135" t="n">
        <x:v>29921469.14</x:v>
      </x:c>
      <x:c r="C235" s="135" t="n">
        <x:v>0</x:v>
      </x:c>
      <x:c r="D235" s="135" t="n">
        <x:v>147235710.51</x:v>
      </x:c>
      <x:c r="E235" s="135" t="n">
        <x:v>0</x:v>
      </x:c>
      <x:c r="F235" s="135" t="n">
        <x:f>SUM(B235:E235)</x:f>
        <x:v>177157179.64999998</x:v>
      </x:c>
      <x:c r="G235" s="111" t="str">
        <x:v>Independente</x:v>
      </x:c>
      <x:c r="H235" s="144" t="str">
        <x:v>Independente</x:v>
      </x:c>
      <x:c r="I235" s="111" t="str">
        <x:v>Regra residual — revisar manualmente</x:v>
      </x:c>
      <x:c r="J235" s="153" t="str">
        <x:v>Sim — alta</x:v>
      </x:c>
      <x:c r="K235" s="135" t="n">
        <x:f>IF($H235="Independente",$F235,0)</x:f>
        <x:v>177157179.64999998</x:v>
      </x:c>
      <x:c r="L235" s="135" t="n">
        <x:f>IF($H235="Ligada a banco",$F235,0)</x:f>
        <x:v>0</x:v>
      </x:c>
      <x:c r="M235" s="114" t="n">
        <x:f>IF(K235&gt;0,RANK(K235,$K$6:$K$462)+COUNTIF($K$6:K235,K235)-1,9999)</x:f>
        <x:v>211</x:v>
      </x:c>
      <x:c r="N235" s="114" t="n">
        <x:f>IF(L235&gt;0,RANK(L235,$L$6:$L$462)+COUNTIF($L$6:L235,L235)-1,9999)</x:f>
        <x:v>9999</x:v>
      </x:c>
    </x:row>
    <x:row r="236">
      <x:c r="A236" s="111" t="str">
        <x:v>GRAPHEN INVESTIMENTOS</x:v>
      </x:c>
      <x:c r="B236" s="135" t="n">
        <x:v>0</x:v>
      </x:c>
      <x:c r="C236" s="135" t="n">
        <x:v>61946583.749999985</x:v>
      </x:c>
      <x:c r="D236" s="135" t="n">
        <x:v>0</x:v>
      </x:c>
      <x:c r="E236" s="135" t="n">
        <x:v>111496995.71</x:v>
      </x:c>
      <x:c r="F236" s="135" t="n">
        <x:f>SUM(B236:E236)</x:f>
        <x:v>173443579.45999998</x:v>
      </x:c>
      <x:c r="G236" s="111" t="str">
        <x:v>Independente</x:v>
      </x:c>
      <x:c r="H236" s="144" t="str">
        <x:v>Independente</x:v>
      </x:c>
      <x:c r="I236" s="111" t="str">
        <x:v>Regra residual — revisar manualmente</x:v>
      </x:c>
      <x:c r="J236" s="153" t="str">
        <x:v>Sim — alta</x:v>
      </x:c>
      <x:c r="K236" s="135" t="n">
        <x:f>IF($H236="Independente",$F236,0)</x:f>
        <x:v>173443579.45999998</x:v>
      </x:c>
      <x:c r="L236" s="135" t="n">
        <x:f>IF($H236="Ligada a banco",$F236,0)</x:f>
        <x:v>0</x:v>
      </x:c>
      <x:c r="M236" s="114" t="n">
        <x:f>IF(K236&gt;0,RANK(K236,$K$6:$K$462)+COUNTIF($K$6:K236,K236)-1,9999)</x:f>
        <x:v>212</x:v>
      </x:c>
      <x:c r="N236" s="114" t="n">
        <x:f>IF(L236&gt;0,RANK(L236,$L$6:$L$462)+COUNTIF($L$6:L236,L236)-1,9999)</x:f>
        <x:v>9999</x:v>
      </x:c>
    </x:row>
    <x:row r="237">
      <x:c r="A237" s="111" t="str">
        <x:v>GFS INVESTIMENTOS</x:v>
      </x:c>
      <x:c r="B237" s="135" t="n">
        <x:v>15269175.12</x:v>
      </x:c>
      <x:c r="C237" s="135" t="n">
        <x:v>0</x:v>
      </x:c>
      <x:c r="D237" s="135" t="n">
        <x:v>146722788.99999997</x:v>
      </x:c>
      <x:c r="E237" s="135" t="n">
        <x:v>9175472.44</x:v>
      </x:c>
      <x:c r="F237" s="135" t="n">
        <x:f>SUM(B237:E237)</x:f>
        <x:v>171167436.55999997</x:v>
      </x:c>
      <x:c r="G237" s="111" t="str">
        <x:v>Independente</x:v>
      </x:c>
      <x:c r="H237" s="144" t="str">
        <x:v>Independente</x:v>
      </x:c>
      <x:c r="I237" s="111" t="str">
        <x:v>Regra residual — revisar manualmente</x:v>
      </x:c>
      <x:c r="J237" s="153" t="str">
        <x:v>Sim — alta</x:v>
      </x:c>
      <x:c r="K237" s="135" t="n">
        <x:f>IF($H237="Independente",$F237,0)</x:f>
        <x:v>171167436.55999997</x:v>
      </x:c>
      <x:c r="L237" s="135" t="n">
        <x:f>IF($H237="Ligada a banco",$F237,0)</x:f>
        <x:v>0</x:v>
      </x:c>
      <x:c r="M237" s="114" t="n">
        <x:f>IF(K237&gt;0,RANK(K237,$K$6:$K$462)+COUNTIF($K$6:K237,K237)-1,9999)</x:f>
        <x:v>213</x:v>
      </x:c>
      <x:c r="N237" s="114" t="n">
        <x:f>IF(L237&gt;0,RANK(L237,$L$6:$L$462)+COUNTIF($L$6:L237,L237)-1,9999)</x:f>
        <x:v>9999</x:v>
      </x:c>
    </x:row>
    <x:row r="238">
      <x:c r="A238" s="111" t="str">
        <x:v>Bocom BBM Corretora de Câmbio e Valores Mobiliários S.A</x:v>
      </x:c>
      <x:c r="B238" s="135" t="n">
        <x:v>0</x:v>
      </x:c>
      <x:c r="C238" s="135" t="n">
        <x:v>0</x:v>
      </x:c>
      <x:c r="D238" s="135" t="n">
        <x:v>0</x:v>
      </x:c>
      <x:c r="E238" s="135" t="n">
        <x:v>169112782.47</x:v>
      </x:c>
      <x:c r="F238" s="135" t="n">
        <x:f>SUM(B238:E238)</x:f>
        <x:v>169112782.47</x:v>
      </x:c>
      <x:c r="G238" s="111" t="str">
        <x:v>Independente</x:v>
      </x:c>
      <x:c r="H238" s="144" t="str">
        <x:v>Independente</x:v>
      </x:c>
      <x:c r="I238" s="111" t="str">
        <x:v>Regra residual — revisar manualmente</x:v>
      </x:c>
      <x:c r="J238" s="153" t="str">
        <x:v>Sim — alta</x:v>
      </x:c>
      <x:c r="K238" s="135" t="n">
        <x:f>IF($H238="Independente",$F238,0)</x:f>
        <x:v>169112782.47</x:v>
      </x:c>
      <x:c r="L238" s="135" t="n">
        <x:f>IF($H238="Ligada a banco",$F238,0)</x:f>
        <x:v>0</x:v>
      </x:c>
      <x:c r="M238" s="114" t="n">
        <x:f>IF(K238&gt;0,RANK(K238,$K$6:$K$462)+COUNTIF($K$6:K238,K238)-1,9999)</x:f>
        <x:v>214</x:v>
      </x:c>
      <x:c r="N238" s="114" t="n">
        <x:f>IF(L238&gt;0,RANK(L238,$L$6:$L$462)+COUNTIF($L$6:L238,L238)-1,9999)</x:f>
        <x:v>9999</x:v>
      </x:c>
    </x:row>
    <x:row r="239">
      <x:c r="A239" s="111" t="str">
        <x:v>REAG LEGAL CLAIMS GESTÃO DE ATIVOS</x:v>
      </x:c>
      <x:c r="B239" s="135" t="n">
        <x:v>0</x:v>
      </x:c>
      <x:c r="C239" s="135" t="n">
        <x:v>10982046.86</x:v>
      </x:c>
      <x:c r="D239" s="135" t="n">
        <x:v>20533939.72</x:v>
      </x:c>
      <x:c r="E239" s="135" t="n">
        <x:v>137544183.54999998</x:v>
      </x:c>
      <x:c r="F239" s="135" t="n">
        <x:f>SUM(B239:E239)</x:f>
        <x:v>169060170.13</x:v>
      </x:c>
      <x:c r="G239" s="111" t="str">
        <x:v>Independente</x:v>
      </x:c>
      <x:c r="H239" s="144" t="str">
        <x:v>Independente</x:v>
      </x:c>
      <x:c r="I239" s="111" t="str">
        <x:v>Regra residual — revisar manualmente</x:v>
      </x:c>
      <x:c r="J239" s="153" t="str">
        <x:v>Sim — alta</x:v>
      </x:c>
      <x:c r="K239" s="135" t="n">
        <x:f>IF($H239="Independente",$F239,0)</x:f>
        <x:v>169060170.13</x:v>
      </x:c>
      <x:c r="L239" s="135" t="n">
        <x:f>IF($H239="Ligada a banco",$F239,0)</x:f>
        <x:v>0</x:v>
      </x:c>
      <x:c r="M239" s="114" t="n">
        <x:f>IF(K239&gt;0,RANK(K239,$K$6:$K$462)+COUNTIF($K$6:K239,K239)-1,9999)</x:f>
        <x:v>215</x:v>
      </x:c>
      <x:c r="N239" s="114" t="n">
        <x:f>IF(L239&gt;0,RANK(L239,$L$6:$L$462)+COUNTIF($L$6:L239,L239)-1,9999)</x:f>
        <x:v>9999</x:v>
      </x:c>
    </x:row>
    <x:row r="240">
      <x:c r="A240" s="111" t="str">
        <x:v>STRATEGI CAPITAL ASSET MANAGEMENT</x:v>
      </x:c>
      <x:c r="B240" s="135" t="n">
        <x:v>0</x:v>
      </x:c>
      <x:c r="C240" s="135" t="n">
        <x:v>13681941.76</x:v>
      </x:c>
      <x:c r="D240" s="135" t="n">
        <x:v>0</x:v>
      </x:c>
      <x:c r="E240" s="135" t="n">
        <x:v>153773058.75</x:v>
      </x:c>
      <x:c r="F240" s="135" t="n">
        <x:f>SUM(B240:E240)</x:f>
        <x:v>167455000.51</x:v>
      </x:c>
      <x:c r="G240" s="111" t="str">
        <x:v>Independente</x:v>
      </x:c>
      <x:c r="H240" s="144" t="str">
        <x:v>Independente</x:v>
      </x:c>
      <x:c r="I240" s="111" t="str">
        <x:v>Regra residual — revisar manualmente</x:v>
      </x:c>
      <x:c r="J240" s="153" t="str">
        <x:v>Sim — alta</x:v>
      </x:c>
      <x:c r="K240" s="135" t="n">
        <x:f>IF($H240="Independente",$F240,0)</x:f>
        <x:v>167455000.51</x:v>
      </x:c>
      <x:c r="L240" s="135" t="n">
        <x:f>IF($H240="Ligada a banco",$F240,0)</x:f>
        <x:v>0</x:v>
      </x:c>
      <x:c r="M240" s="114" t="n">
        <x:f>IF(K240&gt;0,RANK(K240,$K$6:$K$462)+COUNTIF($K$6:K240,K240)-1,9999)</x:f>
        <x:v>216</x:v>
      </x:c>
      <x:c r="N240" s="114" t="n">
        <x:f>IF(L240&gt;0,RANK(L240,$L$6:$L$462)+COUNTIF($L$6:L240,L240)-1,9999)</x:f>
        <x:v>9999</x:v>
      </x:c>
    </x:row>
    <x:row r="241">
      <x:c r="A241" s="111" t="str">
        <x:v>Polo Capital Gestão de Recurso</x:v>
      </x:c>
      <x:c r="B241" s="135" t="n">
        <x:v>0</x:v>
      </x:c>
      <x:c r="C241" s="135" t="n">
        <x:v>0</x:v>
      </x:c>
      <x:c r="D241" s="135" t="n">
        <x:v>0</x:v>
      </x:c>
      <x:c r="E241" s="135" t="n">
        <x:v>166401098.51</x:v>
      </x:c>
      <x:c r="F241" s="135" t="n">
        <x:f>SUM(B241:E241)</x:f>
        <x:v>166401098.51</x:v>
      </x:c>
      <x:c r="G241" s="111" t="str">
        <x:v>Independente</x:v>
      </x:c>
      <x:c r="H241" s="144" t="str">
        <x:v>Independente</x:v>
      </x:c>
      <x:c r="I241" s="111" t="str">
        <x:v>Regra residual — revisar manualmente</x:v>
      </x:c>
      <x:c r="J241" s="153" t="str">
        <x:v>Sim — alta</x:v>
      </x:c>
      <x:c r="K241" s="135" t="n">
        <x:f>IF($H241="Independente",$F241,0)</x:f>
        <x:v>166401098.51</x:v>
      </x:c>
      <x:c r="L241" s="135" t="n">
        <x:f>IF($H241="Ligada a banco",$F241,0)</x:f>
        <x:v>0</x:v>
      </x:c>
      <x:c r="M241" s="114" t="n">
        <x:f>IF(K241&gt;0,RANK(K241,$K$6:$K$462)+COUNTIF($K$6:K241,K241)-1,9999)</x:f>
        <x:v>217</x:v>
      </x:c>
      <x:c r="N241" s="114" t="n">
        <x:f>IF(L241&gt;0,RANK(L241,$L$6:$L$462)+COUNTIF($L$6:L241,L241)-1,9999)</x:f>
        <x:v>9999</x:v>
      </x:c>
    </x:row>
    <x:row r="242">
      <x:c r="A242" s="111" t="str">
        <x:v>FAR - FATOR ADMINIST</x:v>
      </x:c>
      <x:c r="B242" s="135" t="n">
        <x:v>0</x:v>
      </x:c>
      <x:c r="C242" s="135" t="n">
        <x:v>0</x:v>
      </x:c>
      <x:c r="D242" s="135" t="n">
        <x:v>0</x:v>
      </x:c>
      <x:c r="E242" s="135" t="n">
        <x:v>166256870.9</x:v>
      </x:c>
      <x:c r="F242" s="135" t="n">
        <x:f>SUM(B242:E242)</x:f>
        <x:v>166256870.9</x:v>
      </x:c>
      <x:c r="G242" s="111" t="str">
        <x:v>Independente</x:v>
      </x:c>
      <x:c r="H242" s="144" t="str">
        <x:v>Independente</x:v>
      </x:c>
      <x:c r="I242" s="111" t="str">
        <x:v>Regra residual — revisar manualmente</x:v>
      </x:c>
      <x:c r="J242" s="153" t="str">
        <x:v>Sim — alta</x:v>
      </x:c>
      <x:c r="K242" s="135" t="n">
        <x:f>IF($H242="Independente",$F242,0)</x:f>
        <x:v>166256870.9</x:v>
      </x:c>
      <x:c r="L242" s="135" t="n">
        <x:f>IF($H242="Ligada a banco",$F242,0)</x:f>
        <x:v>0</x:v>
      </x:c>
      <x:c r="M242" s="114" t="n">
        <x:f>IF(K242&gt;0,RANK(K242,$K$6:$K$462)+COUNTIF($K$6:K242,K242)-1,9999)</x:f>
        <x:v>218</x:v>
      </x:c>
      <x:c r="N242" s="114" t="n">
        <x:f>IF(L242&gt;0,RANK(L242,$L$6:$L$462)+COUNTIF($L$6:L242,L242)-1,9999)</x:f>
        <x:v>9999</x:v>
      </x:c>
    </x:row>
    <x:row r="243">
      <x:c r="A243" s="111" t="str">
        <x:v>AZUMI ASSET</x:v>
      </x:c>
      <x:c r="B243" s="135" t="n">
        <x:v>0</x:v>
      </x:c>
      <x:c r="C243" s="135" t="n">
        <x:v>0</x:v>
      </x:c>
      <x:c r="D243" s="135" t="n">
        <x:v>9260502.63</x:v>
      </x:c>
      <x:c r="E243" s="135" t="n">
        <x:v>154180626.87</x:v>
      </x:c>
      <x:c r="F243" s="135" t="n">
        <x:f>SUM(B243:E243)</x:f>
        <x:v>163441129.5</x:v>
      </x:c>
      <x:c r="G243" s="111" t="str">
        <x:v>Independente</x:v>
      </x:c>
      <x:c r="H243" s="144" t="str">
        <x:v>Independente</x:v>
      </x:c>
      <x:c r="I243" s="111" t="str">
        <x:v>Regra residual — revisar manualmente</x:v>
      </x:c>
      <x:c r="J243" s="153" t="str">
        <x:v>Sim — alta</x:v>
      </x:c>
      <x:c r="K243" s="135" t="n">
        <x:f>IF($H243="Independente",$F243,0)</x:f>
        <x:v>163441129.5</x:v>
      </x:c>
      <x:c r="L243" s="135" t="n">
        <x:f>IF($H243="Ligada a banco",$F243,0)</x:f>
        <x:v>0</x:v>
      </x:c>
      <x:c r="M243" s="114" t="n">
        <x:f>IF(K243&gt;0,RANK(K243,$K$6:$K$462)+COUNTIF($K$6:K243,K243)-1,9999)</x:f>
        <x:v>219</x:v>
      </x:c>
      <x:c r="N243" s="114" t="n">
        <x:f>IF(L243&gt;0,RANK(L243,$L$6:$L$462)+COUNTIF($L$6:L243,L243)-1,9999)</x:f>
        <x:v>9999</x:v>
      </x:c>
    </x:row>
    <x:row r="244">
      <x:c r="A244" s="111" t="str">
        <x:v>Aventis Asset</x:v>
      </x:c>
      <x:c r="B244" s="135" t="n">
        <x:v>75824841.84000002</x:v>
      </x:c>
      <x:c r="C244" s="135" t="n">
        <x:v>0</x:v>
      </x:c>
      <x:c r="D244" s="135" t="n">
        <x:v>0</x:v>
      </x:c>
      <x:c r="E244" s="135" t="n">
        <x:v>86265970.89999999</x:v>
      </x:c>
      <x:c r="F244" s="135" t="n">
        <x:f>SUM(B244:E244)</x:f>
        <x:v>162090812.74</x:v>
      </x:c>
      <x:c r="G244" s="111" t="str">
        <x:v>Independente</x:v>
      </x:c>
      <x:c r="H244" s="144" t="str">
        <x:v>Independente</x:v>
      </x:c>
      <x:c r="I244" s="111" t="str">
        <x:v>Regra residual — revisar manualmente</x:v>
      </x:c>
      <x:c r="J244" s="153" t="str">
        <x:v>Sim — alta</x:v>
      </x:c>
      <x:c r="K244" s="135" t="n">
        <x:f>IF($H244="Independente",$F244,0)</x:f>
        <x:v>162090812.74</x:v>
      </x:c>
      <x:c r="L244" s="135" t="n">
        <x:f>IF($H244="Ligada a banco",$F244,0)</x:f>
        <x:v>0</x:v>
      </x:c>
      <x:c r="M244" s="114" t="n">
        <x:f>IF(K244&gt;0,RANK(K244,$K$6:$K$462)+COUNTIF($K$6:K244,K244)-1,9999)</x:f>
        <x:v>220</x:v>
      </x:c>
      <x:c r="N244" s="114" t="n">
        <x:f>IF(L244&gt;0,RANK(L244,$L$6:$L$462)+COUNTIF($L$6:L244,L244)-1,9999)</x:f>
        <x:v>9999</x:v>
      </x:c>
    </x:row>
    <x:row r="245">
      <x:c r="A245" s="111" t="str">
        <x:v>VGR - VERONA GESTORA DE RECURSOS LTDA</x:v>
      </x:c>
      <x:c r="B245" s="135" t="n">
        <x:v>0</x:v>
      </x:c>
      <x:c r="C245" s="135" t="n">
        <x:v>115286111.13000004</x:v>
      </x:c>
      <x:c r="D245" s="135" t="n">
        <x:v>0</x:v>
      </x:c>
      <x:c r="E245" s="135" t="n">
        <x:v>46144408.65999999</x:v>
      </x:c>
      <x:c r="F245" s="135" t="n">
        <x:f>SUM(B245:E245)</x:f>
        <x:v>161430519.79000002</x:v>
      </x:c>
      <x:c r="G245" s="111" t="str">
        <x:v>Independente</x:v>
      </x:c>
      <x:c r="H245" s="144" t="str">
        <x:v>Independente</x:v>
      </x:c>
      <x:c r="I245" s="111" t="str">
        <x:v>Regra residual — revisar manualmente</x:v>
      </x:c>
      <x:c r="J245" s="153" t="str">
        <x:v>Sim — alta</x:v>
      </x:c>
      <x:c r="K245" s="135" t="n">
        <x:f>IF($H245="Independente",$F245,0)</x:f>
        <x:v>161430519.79000002</x:v>
      </x:c>
      <x:c r="L245" s="135" t="n">
        <x:f>IF($H245="Ligada a banco",$F245,0)</x:f>
        <x:v>0</x:v>
      </x:c>
      <x:c r="M245" s="114" t="n">
        <x:f>IF(K245&gt;0,RANK(K245,$K$6:$K$462)+COUNTIF($K$6:K245,K245)-1,9999)</x:f>
        <x:v>221</x:v>
      </x:c>
      <x:c r="N245" s="114" t="n">
        <x:f>IF(L245&gt;0,RANK(L245,$L$6:$L$462)+COUNTIF($L$6:L245,L245)-1,9999)</x:f>
        <x:v>9999</x:v>
      </x:c>
    </x:row>
    <x:row r="246">
      <x:c r="A246" s="111" t="str">
        <x:v>Octante Capital</x:v>
      </x:c>
      <x:c r="B246" s="135" t="n">
        <x:v>60194833.36</x:v>
      </x:c>
      <x:c r="C246" s="135" t="n">
        <x:v>0</x:v>
      </x:c>
      <x:c r="D246" s="135" t="n">
        <x:v>0</x:v>
      </x:c>
      <x:c r="E246" s="135" t="n">
        <x:v>100762740.99</x:v>
      </x:c>
      <x:c r="F246" s="135" t="n">
        <x:f>SUM(B246:E246)</x:f>
        <x:v>160957574.35</x:v>
      </x:c>
      <x:c r="G246" s="111" t="str">
        <x:v>Independente</x:v>
      </x:c>
      <x:c r="H246" s="144" t="str">
        <x:v>Independente</x:v>
      </x:c>
      <x:c r="I246" s="111" t="str">
        <x:v>Regra residual — revisar manualmente</x:v>
      </x:c>
      <x:c r="J246" s="153" t="str">
        <x:v>Sim — alta</x:v>
      </x:c>
      <x:c r="K246" s="135" t="n">
        <x:f>IF($H246="Independente",$F246,0)</x:f>
        <x:v>160957574.35</x:v>
      </x:c>
      <x:c r="L246" s="135" t="n">
        <x:f>IF($H246="Ligada a banco",$F246,0)</x:f>
        <x:v>0</x:v>
      </x:c>
      <x:c r="M246" s="114" t="n">
        <x:f>IF(K246&gt;0,RANK(K246,$K$6:$K$462)+COUNTIF($K$6:K246,K246)-1,9999)</x:f>
        <x:v>222</x:v>
      </x:c>
      <x:c r="N246" s="114" t="n">
        <x:f>IF(L246&gt;0,RANK(L246,$L$6:$L$462)+COUNTIF($L$6:L246,L246)-1,9999)</x:f>
        <x:v>9999</x:v>
      </x:c>
    </x:row>
    <x:row r="247">
      <x:c r="A247" s="111" t="str">
        <x:v>QUAESTUS GESTÃO DE INVESTIMENTOS LTDA.</x:v>
      </x:c>
      <x:c r="B247" s="135" t="n">
        <x:v>0</x:v>
      </x:c>
      <x:c r="C247" s="135" t="n">
        <x:v>0</x:v>
      </x:c>
      <x:c r="D247" s="135" t="n">
        <x:v>92949534.79999998</x:v>
      </x:c>
      <x:c r="E247" s="135" t="n">
        <x:v>67232802.62</x:v>
      </x:c>
      <x:c r="F247" s="135" t="n">
        <x:f>SUM(B247:E247)</x:f>
        <x:v>160182337.42</x:v>
      </x:c>
      <x:c r="G247" s="111" t="str">
        <x:v>Independente</x:v>
      </x:c>
      <x:c r="H247" s="144" t="str">
        <x:v>Independente</x:v>
      </x:c>
      <x:c r="I247" s="111" t="str">
        <x:v>Regra residual — revisar manualmente</x:v>
      </x:c>
      <x:c r="J247" s="153" t="str">
        <x:v>Sim — alta</x:v>
      </x:c>
      <x:c r="K247" s="135" t="n">
        <x:f>IF($H247="Independente",$F247,0)</x:f>
        <x:v>160182337.42</x:v>
      </x:c>
      <x:c r="L247" s="135" t="n">
        <x:f>IF($H247="Ligada a banco",$F247,0)</x:f>
        <x:v>0</x:v>
      </x:c>
      <x:c r="M247" s="114" t="n">
        <x:f>IF(K247&gt;0,RANK(K247,$K$6:$K$462)+COUNTIF($K$6:K247,K247)-1,9999)</x:f>
        <x:v>223</x:v>
      </x:c>
      <x:c r="N247" s="114" t="n">
        <x:f>IF(L247&gt;0,RANK(L247,$L$6:$L$462)+COUNTIF($L$6:L247,L247)-1,9999)</x:f>
        <x:v>9999</x:v>
      </x:c>
    </x:row>
    <x:row r="248">
      <x:c r="A248" s="111" t="str">
        <x:v>XP Allocation</x:v>
      </x:c>
      <x:c r="B248" s="135" t="n">
        <x:v>0</x:v>
      </x:c>
      <x:c r="C248" s="135" t="n">
        <x:v>0</x:v>
      </x:c>
      <x:c r="D248" s="135" t="n">
        <x:v>155991373.51</x:v>
      </x:c>
      <x:c r="E248" s="135" t="n">
        <x:v>0</x:v>
      </x:c>
      <x:c r="F248" s="135" t="n">
        <x:f>SUM(B248:E248)</x:f>
        <x:v>155991373.51</x:v>
      </x:c>
      <x:c r="G248" s="111" t="str">
        <x:v>Ligada a banco</x:v>
      </x:c>
      <x:c r="H248" s="144" t="str">
        <x:v>Ligada a banco</x:v>
      </x:c>
      <x:c r="I248" s="111" t="str">
        <x:v>Regra nominal: XP</x:v>
      </x:c>
      <x:c r="J248" s="153" t="str">
        <x:v>Confirmar</x:v>
      </x:c>
      <x:c r="K248" s="135" t="n">
        <x:f>IF($H248="Independente",$F248,0)</x:f>
        <x:v>0</x:v>
      </x:c>
      <x:c r="L248" s="135" t="n">
        <x:f>IF($H248="Ligada a banco",$F248,0)</x:f>
        <x:v>155991373.51</x:v>
      </x:c>
      <x:c r="M248" s="114" t="n">
        <x:f>IF(K248&gt;0,RANK(K248,$K$6:$K$462)+COUNTIF($K$6:K248,K248)-1,9999)</x:f>
        <x:v>9999</x:v>
      </x:c>
      <x:c r="N248" s="114" t="n">
        <x:f>IF(L248&gt;0,RANK(L248,$L$6:$L$462)+COUNTIF($L$6:L248,L248)-1,9999)</x:f>
        <x:v>20</x:v>
      </x:c>
    </x:row>
    <x:row r="249">
      <x:c r="A249" s="111" t="str">
        <x:v>AZ QUEST</x:v>
      </x:c>
      <x:c r="B249" s="135" t="n">
        <x:v>0</x:v>
      </x:c>
      <x:c r="C249" s="135" t="n">
        <x:v>155906021.29999998</x:v>
      </x:c>
      <x:c r="D249" s="135" t="n">
        <x:v>0</x:v>
      </x:c>
      <x:c r="E249" s="135" t="n">
        <x:v>0</x:v>
      </x:c>
      <x:c r="F249" s="135" t="n">
        <x:f>SUM(B249:E249)</x:f>
        <x:v>155906021.29999998</x:v>
      </x:c>
      <x:c r="G249" s="111" t="str">
        <x:v>Independente</x:v>
      </x:c>
      <x:c r="H249" s="144" t="str">
        <x:v>Independente</x:v>
      </x:c>
      <x:c r="I249" s="111" t="str">
        <x:v>Regra residual — revisar manualmente</x:v>
      </x:c>
      <x:c r="J249" s="153" t="str">
        <x:v>Sim — alta</x:v>
      </x:c>
      <x:c r="K249" s="135" t="n">
        <x:f>IF($H249="Independente",$F249,0)</x:f>
        <x:v>155906021.29999998</x:v>
      </x:c>
      <x:c r="L249" s="135" t="n">
        <x:f>IF($H249="Ligada a banco",$F249,0)</x:f>
        <x:v>0</x:v>
      </x:c>
      <x:c r="M249" s="114" t="n">
        <x:f>IF(K249&gt;0,RANK(K249,$K$6:$K$462)+COUNTIF($K$6:K249,K249)-1,9999)</x:f>
        <x:v>224</x:v>
      </x:c>
      <x:c r="N249" s="114" t="n">
        <x:f>IF(L249&gt;0,RANK(L249,$L$6:$L$462)+COUNTIF($L$6:L249,L249)-1,9999)</x:f>
        <x:v>9999</x:v>
      </x:c>
    </x:row>
    <x:row r="250">
      <x:c r="A250" s="111" t="str">
        <x:v>HCAM LTDA.</x:v>
      </x:c>
      <x:c r="B250" s="135" t="n">
        <x:v>0</x:v>
      </x:c>
      <x:c r="C250" s="135" t="n">
        <x:v>0</x:v>
      </x:c>
      <x:c r="D250" s="135" t="n">
        <x:v>2931685.97</x:v>
      </x:c>
      <x:c r="E250" s="135" t="n">
        <x:v>151818525.46787998</x:v>
      </x:c>
      <x:c r="F250" s="135" t="n">
        <x:f>SUM(B250:E250)</x:f>
        <x:v>154750211.43787998</x:v>
      </x:c>
      <x:c r="G250" s="111" t="str">
        <x:v>Independente</x:v>
      </x:c>
      <x:c r="H250" s="144" t="str">
        <x:v>Independente</x:v>
      </x:c>
      <x:c r="I250" s="111" t="str">
        <x:v>Regra residual — revisar manualmente</x:v>
      </x:c>
      <x:c r="J250" s="153" t="str">
        <x:v>Sim — alta</x:v>
      </x:c>
      <x:c r="K250" s="135" t="n">
        <x:f>IF($H250="Independente",$F250,0)</x:f>
        <x:v>154750211.43787998</x:v>
      </x:c>
      <x:c r="L250" s="135" t="n">
        <x:f>IF($H250="Ligada a banco",$F250,0)</x:f>
        <x:v>0</x:v>
      </x:c>
      <x:c r="M250" s="114" t="n">
        <x:f>IF(K250&gt;0,RANK(K250,$K$6:$K$462)+COUNTIF($K$6:K250,K250)-1,9999)</x:f>
        <x:v>225</x:v>
      </x:c>
      <x:c r="N250" s="114" t="n">
        <x:f>IF(L250&gt;0,RANK(L250,$L$6:$L$462)+COUNTIF($L$6:L250,L250)-1,9999)</x:f>
        <x:v>9999</x:v>
      </x:c>
    </x:row>
    <x:row r="251">
      <x:c r="A251" s="111" t="str">
        <x:v>BENAVENT ASSET LTDA</x:v>
      </x:c>
      <x:c r="B251" s="135" t="n">
        <x:v>0</x:v>
      </x:c>
      <x:c r="C251" s="135" t="n">
        <x:v>5426777.85</x:v>
      </x:c>
      <x:c r="D251" s="135" t="n">
        <x:v>0</x:v>
      </x:c>
      <x:c r="E251" s="135" t="n">
        <x:v>148990395.15</x:v>
      </x:c>
      <x:c r="F251" s="135" t="n">
        <x:f>SUM(B251:E251)</x:f>
        <x:v>154417173</x:v>
      </x:c>
      <x:c r="G251" s="111" t="str">
        <x:v>Independente</x:v>
      </x:c>
      <x:c r="H251" s="144" t="str">
        <x:v>Independente</x:v>
      </x:c>
      <x:c r="I251" s="111" t="str">
        <x:v>Regra residual — revisar manualmente</x:v>
      </x:c>
      <x:c r="J251" s="153" t="str">
        <x:v>Sim — alta</x:v>
      </x:c>
      <x:c r="K251" s="135" t="n">
        <x:f>IF($H251="Independente",$F251,0)</x:f>
        <x:v>154417173</x:v>
      </x:c>
      <x:c r="L251" s="135" t="n">
        <x:f>IF($H251="Ligada a banco",$F251,0)</x:f>
        <x:v>0</x:v>
      </x:c>
      <x:c r="M251" s="114" t="n">
        <x:f>IF(K251&gt;0,RANK(K251,$K$6:$K$462)+COUNTIF($K$6:K251,K251)-1,9999)</x:f>
        <x:v>226</x:v>
      </x:c>
      <x:c r="N251" s="114" t="n">
        <x:f>IF(L251&gt;0,RANK(L251,$L$6:$L$462)+COUNTIF($L$6:L251,L251)-1,9999)</x:f>
        <x:v>9999</x:v>
      </x:c>
    </x:row>
    <x:row r="252">
      <x:c r="A252" s="111" t="str">
        <x:v>Laplace Capital</x:v>
      </x:c>
      <x:c r="B252" s="135" t="n">
        <x:v>0</x:v>
      </x:c>
      <x:c r="C252" s="135" t="n">
        <x:v>0</x:v>
      </x:c>
      <x:c r="D252" s="135" t="n">
        <x:v>39868531.66000001</x:v>
      </x:c>
      <x:c r="E252" s="135" t="n">
        <x:v>109353509.32</x:v>
      </x:c>
      <x:c r="F252" s="135" t="n">
        <x:f>SUM(B252:E252)</x:f>
        <x:v>149222040.98000002</x:v>
      </x:c>
      <x:c r="G252" s="111" t="str">
        <x:v>Independente</x:v>
      </x:c>
      <x:c r="H252" s="144" t="str">
        <x:v>Independente</x:v>
      </x:c>
      <x:c r="I252" s="111" t="str">
        <x:v>Regra residual — revisar manualmente</x:v>
      </x:c>
      <x:c r="J252" s="153" t="str">
        <x:v>Sim — alta</x:v>
      </x:c>
      <x:c r="K252" s="135" t="n">
        <x:f>IF($H252="Independente",$F252,0)</x:f>
        <x:v>149222040.98000002</x:v>
      </x:c>
      <x:c r="L252" s="135" t="n">
        <x:f>IF($H252="Ligada a banco",$F252,0)</x:f>
        <x:v>0</x:v>
      </x:c>
      <x:c r="M252" s="114" t="n">
        <x:f>IF(K252&gt;0,RANK(K252,$K$6:$K$462)+COUNTIF($K$6:K252,K252)-1,9999)</x:f>
        <x:v>227</x:v>
      </x:c>
      <x:c r="N252" s="114" t="n">
        <x:f>IF(L252&gt;0,RANK(L252,$L$6:$L$462)+COUNTIF($L$6:L252,L252)-1,9999)</x:f>
        <x:v>9999</x:v>
      </x:c>
    </x:row>
    <x:row r="253">
      <x:c r="A253" s="111" t="str">
        <x:v>Mauá Capital Investimentos Alternativos Ltda.</x:v>
      </x:c>
      <x:c r="B253" s="135" t="n">
        <x:v>143573357.20000002</x:v>
      </x:c>
      <x:c r="C253" s="135" t="n">
        <x:v>0</x:v>
      </x:c>
      <x:c r="D253" s="135" t="n">
        <x:v>0</x:v>
      </x:c>
      <x:c r="E253" s="135" t="n">
        <x:v>0</x:v>
      </x:c>
      <x:c r="F253" s="135" t="n">
        <x:f>SUM(B253:E253)</x:f>
        <x:v>143573357.20000002</x:v>
      </x:c>
      <x:c r="G253" s="111" t="str">
        <x:v>Independente</x:v>
      </x:c>
      <x:c r="H253" s="144" t="str">
        <x:v>Independente</x:v>
      </x:c>
      <x:c r="I253" s="111" t="str">
        <x:v>Regra residual — revisar manualmente</x:v>
      </x:c>
      <x:c r="J253" s="153" t="str">
        <x:v>Sim — alta</x:v>
      </x:c>
      <x:c r="K253" s="135" t="n">
        <x:f>IF($H253="Independente",$F253,0)</x:f>
        <x:v>143573357.20000002</x:v>
      </x:c>
      <x:c r="L253" s="135" t="n">
        <x:f>IF($H253="Ligada a banco",$F253,0)</x:f>
        <x:v>0</x:v>
      </x:c>
      <x:c r="M253" s="114" t="n">
        <x:f>IF(K253&gt;0,RANK(K253,$K$6:$K$462)+COUNTIF($K$6:K253,K253)-1,9999)</x:f>
        <x:v>228</x:v>
      </x:c>
      <x:c r="N253" s="114" t="n">
        <x:f>IF(L253&gt;0,RANK(L253,$L$6:$L$462)+COUNTIF($L$6:L253,L253)-1,9999)</x:f>
        <x:v>9999</x:v>
      </x:c>
    </x:row>
    <x:row r="254">
      <x:c r="A254" s="111" t="str">
        <x:v>PLANNER CV</x:v>
      </x:c>
      <x:c r="B254" s="135" t="n">
        <x:v>0</x:v>
      </x:c>
      <x:c r="C254" s="135" t="n">
        <x:v>0</x:v>
      </x:c>
      <x:c r="D254" s="135" t="n">
        <x:v>0</x:v>
      </x:c>
      <x:c r="E254" s="135" t="n">
        <x:v>140627122.04999998</x:v>
      </x:c>
      <x:c r="F254" s="135" t="n">
        <x:f>SUM(B254:E254)</x:f>
        <x:v>140627122.04999998</x:v>
      </x:c>
      <x:c r="G254" s="111" t="str">
        <x:v>Independente</x:v>
      </x:c>
      <x:c r="H254" s="144" t="str">
        <x:v>Independente</x:v>
      </x:c>
      <x:c r="I254" s="111" t="str">
        <x:v>Regra residual — revisar manualmente</x:v>
      </x:c>
      <x:c r="J254" s="153" t="str">
        <x:v>Sim — alta</x:v>
      </x:c>
      <x:c r="K254" s="135" t="n">
        <x:f>IF($H254="Independente",$F254,0)</x:f>
        <x:v>140627122.04999998</x:v>
      </x:c>
      <x:c r="L254" s="135" t="n">
        <x:f>IF($H254="Ligada a banco",$F254,0)</x:f>
        <x:v>0</x:v>
      </x:c>
      <x:c r="M254" s="114" t="n">
        <x:f>IF(K254&gt;0,RANK(K254,$K$6:$K$462)+COUNTIF($K$6:K254,K254)-1,9999)</x:f>
        <x:v>229</x:v>
      </x:c>
      <x:c r="N254" s="114" t="n">
        <x:f>IF(L254&gt;0,RANK(L254,$L$6:$L$462)+COUNTIF($L$6:L254,L254)-1,9999)</x:f>
        <x:v>9999</x:v>
      </x:c>
    </x:row>
    <x:row r="255">
      <x:c r="A255" s="111" t="str">
        <x:v>Cupertino Capital</x:v>
      </x:c>
      <x:c r="B255" s="135" t="n">
        <x:v>0</x:v>
      </x:c>
      <x:c r="C255" s="135" t="n">
        <x:v>0</x:v>
      </x:c>
      <x:c r="D255" s="135" t="n">
        <x:v>9621999.3</x:v>
      </x:c>
      <x:c r="E255" s="135" t="n">
        <x:v>130768204.02</x:v>
      </x:c>
      <x:c r="F255" s="135" t="n">
        <x:f>SUM(B255:E255)</x:f>
        <x:v>140390203.32</x:v>
      </x:c>
      <x:c r="G255" s="111" t="str">
        <x:v>Independente</x:v>
      </x:c>
      <x:c r="H255" s="144" t="str">
        <x:v>Independente</x:v>
      </x:c>
      <x:c r="I255" s="111" t="str">
        <x:v>Regra residual — revisar manualmente</x:v>
      </x:c>
      <x:c r="J255" s="153" t="str">
        <x:v>Sim — alta</x:v>
      </x:c>
      <x:c r="K255" s="135" t="n">
        <x:f>IF($H255="Independente",$F255,0)</x:f>
        <x:v>140390203.32</x:v>
      </x:c>
      <x:c r="L255" s="135" t="n">
        <x:f>IF($H255="Ligada a banco",$F255,0)</x:f>
        <x:v>0</x:v>
      </x:c>
      <x:c r="M255" s="114" t="n">
        <x:f>IF(K255&gt;0,RANK(K255,$K$6:$K$462)+COUNTIF($K$6:K255,K255)-1,9999)</x:f>
        <x:v>230</x:v>
      </x:c>
      <x:c r="N255" s="114" t="n">
        <x:f>IF(L255&gt;0,RANK(L255,$L$6:$L$462)+COUNTIF($L$6:L255,L255)-1,9999)</x:f>
        <x:v>9999</x:v>
      </x:c>
    </x:row>
    <x:row r="256">
      <x:c r="A256" s="111" t="str">
        <x:v>Kuará Capital</x:v>
      </x:c>
      <x:c r="B256" s="135" t="n">
        <x:v>0</x:v>
      </x:c>
      <x:c r="C256" s="135" t="n">
        <x:v>0</x:v>
      </x:c>
      <x:c r="D256" s="135" t="n">
        <x:v>13374202.14</x:v>
      </x:c>
      <x:c r="E256" s="135" t="n">
        <x:v>121423508.04</x:v>
      </x:c>
      <x:c r="F256" s="135" t="n">
        <x:f>SUM(B256:E256)</x:f>
        <x:v>134797710.18</x:v>
      </x:c>
      <x:c r="G256" s="111" t="str">
        <x:v>Independente</x:v>
      </x:c>
      <x:c r="H256" s="144" t="str">
        <x:v>Independente</x:v>
      </x:c>
      <x:c r="I256" s="111" t="str">
        <x:v>Regra residual — revisar manualmente</x:v>
      </x:c>
      <x:c r="J256" s="153" t="str">
        <x:v>Sim — alta</x:v>
      </x:c>
      <x:c r="K256" s="135" t="n">
        <x:f>IF($H256="Independente",$F256,0)</x:f>
        <x:v>134797710.18</x:v>
      </x:c>
      <x:c r="L256" s="135" t="n">
        <x:f>IF($H256="Ligada a banco",$F256,0)</x:f>
        <x:v>0</x:v>
      </x:c>
      <x:c r="M256" s="114" t="n">
        <x:f>IF(K256&gt;0,RANK(K256,$K$6:$K$462)+COUNTIF($K$6:K256,K256)-1,9999)</x:f>
        <x:v>231</x:v>
      </x:c>
      <x:c r="N256" s="114" t="n">
        <x:f>IF(L256&gt;0,RANK(L256,$L$6:$L$462)+COUNTIF($L$6:L256,L256)-1,9999)</x:f>
        <x:v>9999</x:v>
      </x:c>
    </x:row>
    <x:row r="257">
      <x:c r="A257" s="111" t="str">
        <x:v>BW Gestão de Investimentos Ltd</x:v>
      </x:c>
      <x:c r="B257" s="135" t="n">
        <x:v>0</x:v>
      </x:c>
      <x:c r="C257" s="135" t="n">
        <x:v>0</x:v>
      </x:c>
      <x:c r="D257" s="135" t="n">
        <x:v>0</x:v>
      </x:c>
      <x:c r="E257" s="135" t="n">
        <x:v>133561119.55</x:v>
      </x:c>
      <x:c r="F257" s="135" t="n">
        <x:f>SUM(B257:E257)</x:f>
        <x:v>133561119.55</x:v>
      </x:c>
      <x:c r="G257" s="111" t="str">
        <x:v>Independente</x:v>
      </x:c>
      <x:c r="H257" s="144" t="str">
        <x:v>Independente</x:v>
      </x:c>
      <x:c r="I257" s="111" t="str">
        <x:v>Regra residual — revisar manualmente</x:v>
      </x:c>
      <x:c r="J257" s="153" t="str">
        <x:v>Sim — alta</x:v>
      </x:c>
      <x:c r="K257" s="135" t="n">
        <x:f>IF($H257="Independente",$F257,0)</x:f>
        <x:v>133561119.55</x:v>
      </x:c>
      <x:c r="L257" s="135" t="n">
        <x:f>IF($H257="Ligada a banco",$F257,0)</x:f>
        <x:v>0</x:v>
      </x:c>
      <x:c r="M257" s="114" t="n">
        <x:f>IF(K257&gt;0,RANK(K257,$K$6:$K$462)+COUNTIF($K$6:K257,K257)-1,9999)</x:f>
        <x:v>232</x:v>
      </x:c>
      <x:c r="N257" s="114" t="n">
        <x:f>IF(L257&gt;0,RANK(L257,$L$6:$L$462)+COUNTIF($L$6:L257,L257)-1,9999)</x:f>
        <x:v>9999</x:v>
      </x:c>
    </x:row>
    <x:row r="258">
      <x:c r="A258" s="111" t="str">
        <x:v>MONTE BRAVO FAMILY OFFICE</x:v>
      </x:c>
      <x:c r="B258" s="135" t="n">
        <x:v>0</x:v>
      </x:c>
      <x:c r="C258" s="135" t="n">
        <x:v>0</x:v>
      </x:c>
      <x:c r="D258" s="135" t="n">
        <x:v>0</x:v>
      </x:c>
      <x:c r="E258" s="135" t="n">
        <x:v>130598812.67</x:v>
      </x:c>
      <x:c r="F258" s="135" t="n">
        <x:f>SUM(B258:E258)</x:f>
        <x:v>130598812.67</x:v>
      </x:c>
      <x:c r="G258" s="111" t="str">
        <x:v>Independente</x:v>
      </x:c>
      <x:c r="H258" s="144" t="str">
        <x:v>Independente</x:v>
      </x:c>
      <x:c r="I258" s="111" t="str">
        <x:v>Regra residual — revisar manualmente</x:v>
      </x:c>
      <x:c r="J258" s="153" t="str">
        <x:v>Sim — alta</x:v>
      </x:c>
      <x:c r="K258" s="135" t="n">
        <x:f>IF($H258="Independente",$F258,0)</x:f>
        <x:v>130598812.67</x:v>
      </x:c>
      <x:c r="L258" s="135" t="n">
        <x:f>IF($H258="Ligada a banco",$F258,0)</x:f>
        <x:v>0</x:v>
      </x:c>
      <x:c r="M258" s="114" t="n">
        <x:f>IF(K258&gt;0,RANK(K258,$K$6:$K$462)+COUNTIF($K$6:K258,K258)-1,9999)</x:f>
        <x:v>233</x:v>
      </x:c>
      <x:c r="N258" s="114" t="n">
        <x:f>IF(L258&gt;0,RANK(L258,$L$6:$L$462)+COUNTIF($L$6:L258,L258)-1,9999)</x:f>
        <x:v>9999</x:v>
      </x:c>
    </x:row>
    <x:row r="259">
      <x:c r="A259" s="111" t="str">
        <x:v>ALTINVEST</x:v>
      </x:c>
      <x:c r="B259" s="135" t="n">
        <x:v>0</x:v>
      </x:c>
      <x:c r="C259" s="135" t="n">
        <x:v>0</x:v>
      </x:c>
      <x:c r="D259" s="135" t="n">
        <x:v>0</x:v>
      </x:c>
      <x:c r="E259" s="135" t="n">
        <x:v>127531903.46</x:v>
      </x:c>
      <x:c r="F259" s="135" t="n">
        <x:f>SUM(B259:E259)</x:f>
        <x:v>127531903.46</x:v>
      </x:c>
      <x:c r="G259" s="111" t="str">
        <x:v>Independente</x:v>
      </x:c>
      <x:c r="H259" s="144" t="str">
        <x:v>Independente</x:v>
      </x:c>
      <x:c r="I259" s="111" t="str">
        <x:v>Regra residual — revisar manualmente</x:v>
      </x:c>
      <x:c r="J259" s="153" t="str">
        <x:v>Sim — alta</x:v>
      </x:c>
      <x:c r="K259" s="135" t="n">
        <x:f>IF($H259="Independente",$F259,0)</x:f>
        <x:v>127531903.46</x:v>
      </x:c>
      <x:c r="L259" s="135" t="n">
        <x:f>IF($H259="Ligada a banco",$F259,0)</x:f>
        <x:v>0</x:v>
      </x:c>
      <x:c r="M259" s="114" t="n">
        <x:f>IF(K259&gt;0,RANK(K259,$K$6:$K$462)+COUNTIF($K$6:K259,K259)-1,9999)</x:f>
        <x:v>234</x:v>
      </x:c>
      <x:c r="N259" s="114" t="n">
        <x:f>IF(L259&gt;0,RANK(L259,$L$6:$L$462)+COUNTIF($L$6:L259,L259)-1,9999)</x:f>
        <x:v>9999</x:v>
      </x:c>
    </x:row>
    <x:row r="260">
      <x:c r="A260" s="111" t="str">
        <x:v>Strategic Portfolio Advisors</x:v>
      </x:c>
      <x:c r="B260" s="135" t="n">
        <x:v>0</x:v>
      </x:c>
      <x:c r="C260" s="135" t="n">
        <x:v>0</x:v>
      </x:c>
      <x:c r="D260" s="135" t="n">
        <x:v>0</x:v>
      </x:c>
      <x:c r="E260" s="135" t="n">
        <x:v>126334423.33</x:v>
      </x:c>
      <x:c r="F260" s="135" t="n">
        <x:f>SUM(B260:E260)</x:f>
        <x:v>126334423.33</x:v>
      </x:c>
      <x:c r="G260" s="111" t="str">
        <x:v>Independente</x:v>
      </x:c>
      <x:c r="H260" s="144" t="str">
        <x:v>Independente</x:v>
      </x:c>
      <x:c r="I260" s="111" t="str">
        <x:v>Regra residual — revisar manualmente</x:v>
      </x:c>
      <x:c r="J260" s="153" t="str">
        <x:v>Sim — alta</x:v>
      </x:c>
      <x:c r="K260" s="135" t="n">
        <x:f>IF($H260="Independente",$F260,0)</x:f>
        <x:v>126334423.33</x:v>
      </x:c>
      <x:c r="L260" s="135" t="n">
        <x:f>IF($H260="Ligada a banco",$F260,0)</x:f>
        <x:v>0</x:v>
      </x:c>
      <x:c r="M260" s="114" t="n">
        <x:f>IF(K260&gt;0,RANK(K260,$K$6:$K$462)+COUNTIF($K$6:K260,K260)-1,9999)</x:f>
        <x:v>235</x:v>
      </x:c>
      <x:c r="N260" s="114" t="n">
        <x:f>IF(L260&gt;0,RANK(L260,$L$6:$L$462)+COUNTIF($L$6:L260,L260)-1,9999)</x:f>
        <x:v>9999</x:v>
      </x:c>
    </x:row>
    <x:row r="261">
      <x:c r="A261" s="111" t="str">
        <x:v>SIMPLIX ASSET MANAGEMENT LTDA.</x:v>
      </x:c>
      <x:c r="B261" s="135" t="n">
        <x:v>0</x:v>
      </x:c>
      <x:c r="C261" s="135" t="n">
        <x:v>125898974.3</x:v>
      </x:c>
      <x:c r="D261" s="135" t="n">
        <x:v>0</x:v>
      </x:c>
      <x:c r="E261" s="135" t="n">
        <x:v>0</x:v>
      </x:c>
      <x:c r="F261" s="135" t="n">
        <x:f>SUM(B261:E261)</x:f>
        <x:v>125898974.3</x:v>
      </x:c>
      <x:c r="G261" s="111" t="str">
        <x:v>Independente</x:v>
      </x:c>
      <x:c r="H261" s="144" t="str">
        <x:v>Independente</x:v>
      </x:c>
      <x:c r="I261" s="111" t="str">
        <x:v>Regra residual — revisar manualmente</x:v>
      </x:c>
      <x:c r="J261" s="153" t="str">
        <x:v>Sim — alta</x:v>
      </x:c>
      <x:c r="K261" s="135" t="n">
        <x:f>IF($H261="Independente",$F261,0)</x:f>
        <x:v>125898974.3</x:v>
      </x:c>
      <x:c r="L261" s="135" t="n">
        <x:f>IF($H261="Ligada a banco",$F261,0)</x:f>
        <x:v>0</x:v>
      </x:c>
      <x:c r="M261" s="114" t="n">
        <x:f>IF(K261&gt;0,RANK(K261,$K$6:$K$462)+COUNTIF($K$6:K261,K261)-1,9999)</x:f>
        <x:v>236</x:v>
      </x:c>
      <x:c r="N261" s="114" t="n">
        <x:f>IF(L261&gt;0,RANK(L261,$L$6:$L$462)+COUNTIF($L$6:L261,L261)-1,9999)</x:f>
        <x:v>9999</x:v>
      </x:c>
    </x:row>
    <x:row r="262">
      <x:c r="A262" s="111" t="str">
        <x:v>EVEREST CAPITAL OFFICE LTDA</x:v>
      </x:c>
      <x:c r="B262" s="135" t="n">
        <x:v>0</x:v>
      </x:c>
      <x:c r="C262" s="135" t="n">
        <x:v>0</x:v>
      </x:c>
      <x:c r="D262" s="135" t="n">
        <x:v>6077586.860000001</x:v>
      </x:c>
      <x:c r="E262" s="135" t="n">
        <x:v>117960159.57</x:v>
      </x:c>
      <x:c r="F262" s="135" t="n">
        <x:f>SUM(B262:E262)</x:f>
        <x:v>124037746.42999999</x:v>
      </x:c>
      <x:c r="G262" s="111" t="str">
        <x:v>Independente</x:v>
      </x:c>
      <x:c r="H262" s="144" t="str">
        <x:v>Independente</x:v>
      </x:c>
      <x:c r="I262" s="111" t="str">
        <x:v>Regra residual — revisar manualmente</x:v>
      </x:c>
      <x:c r="J262" s="153" t="str">
        <x:v>Sim — alta</x:v>
      </x:c>
      <x:c r="K262" s="135" t="n">
        <x:f>IF($H262="Independente",$F262,0)</x:f>
        <x:v>124037746.42999999</x:v>
      </x:c>
      <x:c r="L262" s="135" t="n">
        <x:f>IF($H262="Ligada a banco",$F262,0)</x:f>
        <x:v>0</x:v>
      </x:c>
      <x:c r="M262" s="114" t="n">
        <x:f>IF(K262&gt;0,RANK(K262,$K$6:$K$462)+COUNTIF($K$6:K262,K262)-1,9999)</x:f>
        <x:v>237</x:v>
      </x:c>
      <x:c r="N262" s="114" t="n">
        <x:f>IF(L262&gt;0,RANK(L262,$L$6:$L$462)+COUNTIF($L$6:L262,L262)-1,9999)</x:f>
        <x:v>9999</x:v>
      </x:c>
    </x:row>
    <x:row r="263">
      <x:c r="A263" s="111" t="str">
        <x:v>Rio das Pedras Investimentos</x:v>
      </x:c>
      <x:c r="B263" s="135" t="n">
        <x:v>0</x:v>
      </x:c>
      <x:c r="C263" s="135" t="n">
        <x:v>2988081.8099999996</x:v>
      </x:c>
      <x:c r="D263" s="135" t="n">
        <x:v>116909152.76</x:v>
      </x:c>
      <x:c r="E263" s="135" t="n">
        <x:v>0</x:v>
      </x:c>
      <x:c r="F263" s="135" t="n">
        <x:f>SUM(B263:E263)</x:f>
        <x:v>119897234.57000001</x:v>
      </x:c>
      <x:c r="G263" s="111" t="str">
        <x:v>Independente</x:v>
      </x:c>
      <x:c r="H263" s="144" t="str">
        <x:v>Independente</x:v>
      </x:c>
      <x:c r="I263" s="111" t="str">
        <x:v>Regra residual — revisar manualmente</x:v>
      </x:c>
      <x:c r="J263" s="153" t="str">
        <x:v>Sim — alta</x:v>
      </x:c>
      <x:c r="K263" s="135" t="n">
        <x:f>IF($H263="Independente",$F263,0)</x:f>
        <x:v>119897234.57000001</x:v>
      </x:c>
      <x:c r="L263" s="135" t="n">
        <x:f>IF($H263="Ligada a banco",$F263,0)</x:f>
        <x:v>0</x:v>
      </x:c>
      <x:c r="M263" s="114" t="n">
        <x:f>IF(K263&gt;0,RANK(K263,$K$6:$K$462)+COUNTIF($K$6:K263,K263)-1,9999)</x:f>
        <x:v>238</x:v>
      </x:c>
      <x:c r="N263" s="114" t="n">
        <x:f>IF(L263&gt;0,RANK(L263,$L$6:$L$462)+COUNTIF($L$6:L263,L263)-1,9999)</x:f>
        <x:v>9999</x:v>
      </x:c>
    </x:row>
    <x:row r="264">
      <x:c r="A264" s="111" t="str">
        <x:v>KÖLI CAPITAL</x:v>
      </x:c>
      <x:c r="B264" s="135" t="n">
        <x:v>0</x:v>
      </x:c>
      <x:c r="C264" s="135" t="n">
        <x:v>0</x:v>
      </x:c>
      <x:c r="D264" s="135" t="n">
        <x:v>119219739.44000004</x:v>
      </x:c>
      <x:c r="E264" s="135" t="n">
        <x:v>0</x:v>
      </x:c>
      <x:c r="F264" s="135" t="n">
        <x:f>SUM(B264:E264)</x:f>
        <x:v>119219739.44000004</x:v>
      </x:c>
      <x:c r="G264" s="111" t="str">
        <x:v>Independente</x:v>
      </x:c>
      <x:c r="H264" s="144" t="str">
        <x:v>Independente</x:v>
      </x:c>
      <x:c r="I264" s="111" t="str">
        <x:v>Regra residual — revisar manualmente</x:v>
      </x:c>
      <x:c r="J264" s="153" t="str">
        <x:v>Sim — alta</x:v>
      </x:c>
      <x:c r="K264" s="135" t="n">
        <x:f>IF($H264="Independente",$F264,0)</x:f>
        <x:v>119219739.44000004</x:v>
      </x:c>
      <x:c r="L264" s="135" t="n">
        <x:f>IF($H264="Ligada a banco",$F264,0)</x:f>
        <x:v>0</x:v>
      </x:c>
      <x:c r="M264" s="114" t="n">
        <x:f>IF(K264&gt;0,RANK(K264,$K$6:$K$462)+COUNTIF($K$6:K264,K264)-1,9999)</x:f>
        <x:v>239</x:v>
      </x:c>
      <x:c r="N264" s="114" t="n">
        <x:f>IF(L264&gt;0,RANK(L264,$L$6:$L$462)+COUNTIF($L$6:L264,L264)-1,9999)</x:f>
        <x:v>9999</x:v>
      </x:c>
    </x:row>
    <x:row r="265">
      <x:c r="A265" s="111" t="str">
        <x:v>Vinci Capital</x:v>
      </x:c>
      <x:c r="B265" s="135" t="n">
        <x:v>118905866.97</x:v>
      </x:c>
      <x:c r="C265" s="135" t="n">
        <x:v>0</x:v>
      </x:c>
      <x:c r="D265" s="135" t="n">
        <x:v>0</x:v>
      </x:c>
      <x:c r="E265" s="135" t="n">
        <x:v>0</x:v>
      </x:c>
      <x:c r="F265" s="135" t="n">
        <x:f>SUM(B265:E265)</x:f>
        <x:v>118905866.97</x:v>
      </x:c>
      <x:c r="G265" s="111" t="str">
        <x:v>Independente</x:v>
      </x:c>
      <x:c r="H265" s="144" t="str">
        <x:v>Independente</x:v>
      </x:c>
      <x:c r="I265" s="111" t="str">
        <x:v>Regra residual — revisar manualmente</x:v>
      </x:c>
      <x:c r="J265" s="153" t="str">
        <x:v>Sim — alta</x:v>
      </x:c>
      <x:c r="K265" s="135" t="n">
        <x:f>IF($H265="Independente",$F265,0)</x:f>
        <x:v>118905866.97</x:v>
      </x:c>
      <x:c r="L265" s="135" t="n">
        <x:f>IF($H265="Ligada a banco",$F265,0)</x:f>
        <x:v>0</x:v>
      </x:c>
      <x:c r="M265" s="114" t="n">
        <x:f>IF(K265&gt;0,RANK(K265,$K$6:$K$462)+COUNTIF($K$6:K265,K265)-1,9999)</x:f>
        <x:v>240</x:v>
      </x:c>
      <x:c r="N265" s="114" t="n">
        <x:f>IF(L265&gt;0,RANK(L265,$L$6:$L$462)+COUNTIF($L$6:L265,L265)-1,9999)</x:f>
        <x:v>9999</x:v>
      </x:c>
    </x:row>
    <x:row r="266">
      <x:c r="A266" s="111" t="str">
        <x:v>REAG SPECIAL SITUATIONS</x:v>
      </x:c>
      <x:c r="B266" s="135" t="n">
        <x:v>9781519.839999998</x:v>
      </x:c>
      <x:c r="C266" s="135" t="n">
        <x:v>15235445.53</x:v>
      </x:c>
      <x:c r="D266" s="135" t="n">
        <x:v>28328496.83</x:v>
      </x:c>
      <x:c r="E266" s="135" t="n">
        <x:v>64239528.77</x:v>
      </x:c>
      <x:c r="F266" s="135" t="n">
        <x:f>SUM(B266:E266)</x:f>
        <x:v>117584990.97</x:v>
      </x:c>
      <x:c r="G266" s="111" t="str">
        <x:v>Independente</x:v>
      </x:c>
      <x:c r="H266" s="144" t="str">
        <x:v>Independente</x:v>
      </x:c>
      <x:c r="I266" s="111" t="str">
        <x:v>Regra residual — revisar manualmente</x:v>
      </x:c>
      <x:c r="J266" s="153" t="str">
        <x:v>Sim — alta</x:v>
      </x:c>
      <x:c r="K266" s="135" t="n">
        <x:f>IF($H266="Independente",$F266,0)</x:f>
        <x:v>117584990.97</x:v>
      </x:c>
      <x:c r="L266" s="135" t="n">
        <x:f>IF($H266="Ligada a banco",$F266,0)</x:f>
        <x:v>0</x:v>
      </x:c>
      <x:c r="M266" s="114" t="n">
        <x:f>IF(K266&gt;0,RANK(K266,$K$6:$K$462)+COUNTIF($K$6:K266,K266)-1,9999)</x:f>
        <x:v>241</x:v>
      </x:c>
      <x:c r="N266" s="114" t="n">
        <x:f>IF(L266&gt;0,RANK(L266,$L$6:$L$462)+COUNTIF($L$6:L266,L266)-1,9999)</x:f>
        <x:v>9999</x:v>
      </x:c>
    </x:row>
    <x:row r="267">
      <x:c r="A267" s="111" t="str">
        <x:v>INDIE CAPITAL INVESTIMENTOS LT</x:v>
      </x:c>
      <x:c r="B267" s="135" t="n">
        <x:v>117541914.47</x:v>
      </x:c>
      <x:c r="C267" s="135" t="n">
        <x:v>0</x:v>
      </x:c>
      <x:c r="D267" s="135" t="n">
        <x:v>0</x:v>
      </x:c>
      <x:c r="E267" s="135" t="n">
        <x:v>0</x:v>
      </x:c>
      <x:c r="F267" s="135" t="n">
        <x:f>SUM(B267:E267)</x:f>
        <x:v>117541914.47</x:v>
      </x:c>
      <x:c r="G267" s="111" t="str">
        <x:v>Independente</x:v>
      </x:c>
      <x:c r="H267" s="144" t="str">
        <x:v>Independente</x:v>
      </x:c>
      <x:c r="I267" s="111" t="str">
        <x:v>Regra residual — revisar manualmente</x:v>
      </x:c>
      <x:c r="J267" s="153" t="str">
        <x:v>Sim — alta</x:v>
      </x:c>
      <x:c r="K267" s="135" t="n">
        <x:f>IF($H267="Independente",$F267,0)</x:f>
        <x:v>117541914.47</x:v>
      </x:c>
      <x:c r="L267" s="135" t="n">
        <x:f>IF($H267="Ligada a banco",$F267,0)</x:f>
        <x:v>0</x:v>
      </x:c>
      <x:c r="M267" s="114" t="n">
        <x:f>IF(K267&gt;0,RANK(K267,$K$6:$K$462)+COUNTIF($K$6:K267,K267)-1,9999)</x:f>
        <x:v>242</x:v>
      </x:c>
      <x:c r="N267" s="114" t="n">
        <x:f>IF(L267&gt;0,RANK(L267,$L$6:$L$462)+COUNTIF($L$6:L267,L267)-1,9999)</x:f>
        <x:v>9999</x:v>
      </x:c>
    </x:row>
    <x:row r="268">
      <x:c r="A268" s="111" t="str">
        <x:v>4i Capital Ltda</x:v>
      </x:c>
      <x:c r="B268" s="135" t="n">
        <x:v>0</x:v>
      </x:c>
      <x:c r="C268" s="135" t="n">
        <x:v>0</x:v>
      </x:c>
      <x:c r="D268" s="135" t="n">
        <x:v>0</x:v>
      </x:c>
      <x:c r="E268" s="135" t="n">
        <x:v>117026970.65</x:v>
      </x:c>
      <x:c r="F268" s="135" t="n">
        <x:f>SUM(B268:E268)</x:f>
        <x:v>117026970.65</x:v>
      </x:c>
      <x:c r="G268" s="111" t="str">
        <x:v>Independente</x:v>
      </x:c>
      <x:c r="H268" s="144" t="str">
        <x:v>Independente</x:v>
      </x:c>
      <x:c r="I268" s="111" t="str">
        <x:v>Regra residual — revisar manualmente</x:v>
      </x:c>
      <x:c r="J268" s="153" t="str">
        <x:v>Sim — alta</x:v>
      </x:c>
      <x:c r="K268" s="135" t="n">
        <x:f>IF($H268="Independente",$F268,0)</x:f>
        <x:v>117026970.65</x:v>
      </x:c>
      <x:c r="L268" s="135" t="n">
        <x:f>IF($H268="Ligada a banco",$F268,0)</x:f>
        <x:v>0</x:v>
      </x:c>
      <x:c r="M268" s="114" t="n">
        <x:f>IF(K268&gt;0,RANK(K268,$K$6:$K$462)+COUNTIF($K$6:K268,K268)-1,9999)</x:f>
        <x:v>243</x:v>
      </x:c>
      <x:c r="N268" s="114" t="n">
        <x:f>IF(L268&gt;0,RANK(L268,$L$6:$L$462)+COUNTIF($L$6:L268,L268)-1,9999)</x:f>
        <x:v>9999</x:v>
      </x:c>
    </x:row>
    <x:row r="269">
      <x:c r="A269" s="111" t="str">
        <x:v>Hinov Capital</x:v>
      </x:c>
      <x:c r="B269" s="135" t="n">
        <x:v>0</x:v>
      </x:c>
      <x:c r="C269" s="135" t="n">
        <x:v>0</x:v>
      </x:c>
      <x:c r="D269" s="135" t="n">
        <x:v>114120520.89</x:v>
      </x:c>
      <x:c r="E269" s="135" t="n">
        <x:v>2548258.23</x:v>
      </x:c>
      <x:c r="F269" s="135" t="n">
        <x:f>SUM(B269:E269)</x:f>
        <x:v>116668779.12</x:v>
      </x:c>
      <x:c r="G269" s="111" t="str">
        <x:v>Independente</x:v>
      </x:c>
      <x:c r="H269" s="144" t="str">
        <x:v>Independente</x:v>
      </x:c>
      <x:c r="I269" s="111" t="str">
        <x:v>Regra residual — revisar manualmente</x:v>
      </x:c>
      <x:c r="J269" s="153" t="str">
        <x:v>Sim — alta</x:v>
      </x:c>
      <x:c r="K269" s="135" t="n">
        <x:f>IF($H269="Independente",$F269,0)</x:f>
        <x:v>116668779.12</x:v>
      </x:c>
      <x:c r="L269" s="135" t="n">
        <x:f>IF($H269="Ligada a banco",$F269,0)</x:f>
        <x:v>0</x:v>
      </x:c>
      <x:c r="M269" s="114" t="n">
        <x:f>IF(K269&gt;0,RANK(K269,$K$6:$K$462)+COUNTIF($K$6:K269,K269)-1,9999)</x:f>
        <x:v>244</x:v>
      </x:c>
      <x:c r="N269" s="114" t="n">
        <x:f>IF(L269&gt;0,RANK(L269,$L$6:$L$462)+COUNTIF($L$6:L269,L269)-1,9999)</x:f>
        <x:v>9999</x:v>
      </x:c>
    </x:row>
    <x:row r="270">
      <x:c r="A270" s="111" t="str">
        <x:v>Nexa</x:v>
      </x:c>
      <x:c r="B270" s="135" t="n">
        <x:v>0</x:v>
      </x:c>
      <x:c r="C270" s="135" t="n">
        <x:v>0</x:v>
      </x:c>
      <x:c r="D270" s="135" t="n">
        <x:v>0</x:v>
      </x:c>
      <x:c r="E270" s="135" t="n">
        <x:v>116523665.68</x:v>
      </x:c>
      <x:c r="F270" s="135" t="n">
        <x:f>SUM(B270:E270)</x:f>
        <x:v>116523665.68</x:v>
      </x:c>
      <x:c r="G270" s="111" t="str">
        <x:v>Independente</x:v>
      </x:c>
      <x:c r="H270" s="144" t="str">
        <x:v>Independente</x:v>
      </x:c>
      <x:c r="I270" s="111" t="str">
        <x:v>Regra residual — revisar manualmente</x:v>
      </x:c>
      <x:c r="J270" s="153" t="str">
        <x:v>Sim — alta</x:v>
      </x:c>
      <x:c r="K270" s="135" t="n">
        <x:f>IF($H270="Independente",$F270,0)</x:f>
        <x:v>116523665.68</x:v>
      </x:c>
      <x:c r="L270" s="135" t="n">
        <x:f>IF($H270="Ligada a banco",$F270,0)</x:f>
        <x:v>0</x:v>
      </x:c>
      <x:c r="M270" s="114" t="n">
        <x:f>IF(K270&gt;0,RANK(K270,$K$6:$K$462)+COUNTIF($K$6:K270,K270)-1,9999)</x:f>
        <x:v>245</x:v>
      </x:c>
      <x:c r="N270" s="114" t="n">
        <x:f>IF(L270&gt;0,RANK(L270,$L$6:$L$462)+COUNTIF($L$6:L270,L270)-1,9999)</x:f>
        <x:v>9999</x:v>
      </x:c>
    </x:row>
    <x:row r="271">
      <x:c r="A271" s="111" t="str">
        <x:v>Capitânia Alternatives S/A</x:v>
      </x:c>
      <x:c r="B271" s="135" t="n">
        <x:v>37854519.87</x:v>
      </x:c>
      <x:c r="C271" s="135" t="n">
        <x:v>0</x:v>
      </x:c>
      <x:c r="D271" s="135" t="n">
        <x:v>0</x:v>
      </x:c>
      <x:c r="E271" s="135" t="n">
        <x:v>78640943.91999999</x:v>
      </x:c>
      <x:c r="F271" s="135" t="n">
        <x:f>SUM(B271:E271)</x:f>
        <x:v>116495463.78999999</x:v>
      </x:c>
      <x:c r="G271" s="111" t="str">
        <x:v>Independente</x:v>
      </x:c>
      <x:c r="H271" s="144" t="str">
        <x:v>Independente</x:v>
      </x:c>
      <x:c r="I271" s="111" t="str">
        <x:v>Regra residual — revisar manualmente</x:v>
      </x:c>
      <x:c r="J271" s="153" t="str">
        <x:v>Sim — alta</x:v>
      </x:c>
      <x:c r="K271" s="135" t="n">
        <x:f>IF($H271="Independente",$F271,0)</x:f>
        <x:v>116495463.78999999</x:v>
      </x:c>
      <x:c r="L271" s="135" t="n">
        <x:f>IF($H271="Ligada a banco",$F271,0)</x:f>
        <x:v>0</x:v>
      </x:c>
      <x:c r="M271" s="114" t="n">
        <x:f>IF(K271&gt;0,RANK(K271,$K$6:$K$462)+COUNTIF($K$6:K271,K271)-1,9999)</x:f>
        <x:v>246</x:v>
      </x:c>
      <x:c r="N271" s="114" t="n">
        <x:f>IF(L271&gt;0,RANK(L271,$L$6:$L$462)+COUNTIF($L$6:L271,L271)-1,9999)</x:f>
        <x:v>9999</x:v>
      </x:c>
    </x:row>
    <x:row r="272">
      <x:c r="A272" s="111" t="str">
        <x:v>HSI Gestora de Ativos Financeiros Ltda.</x:v>
      </x:c>
      <x:c r="B272" s="135" t="n">
        <x:v>0</x:v>
      </x:c>
      <x:c r="C272" s="135" t="n">
        <x:v>115974957.46</x:v>
      </x:c>
      <x:c r="D272" s="135" t="n">
        <x:v>0</x:v>
      </x:c>
      <x:c r="E272" s="135" t="n">
        <x:v>0</x:v>
      </x:c>
      <x:c r="F272" s="135" t="n">
        <x:f>SUM(B272:E272)</x:f>
        <x:v>115974957.46</x:v>
      </x:c>
      <x:c r="G272" s="111" t="str">
        <x:v>Independente</x:v>
      </x:c>
      <x:c r="H272" s="144" t="str">
        <x:v>Independente</x:v>
      </x:c>
      <x:c r="I272" s="111" t="str">
        <x:v>Regra residual — revisar manualmente</x:v>
      </x:c>
      <x:c r="J272" s="153" t="str">
        <x:v>Sim — alta</x:v>
      </x:c>
      <x:c r="K272" s="135" t="n">
        <x:f>IF($H272="Independente",$F272,0)</x:f>
        <x:v>115974957.46</x:v>
      </x:c>
      <x:c r="L272" s="135" t="n">
        <x:f>IF($H272="Ligada a banco",$F272,0)</x:f>
        <x:v>0</x:v>
      </x:c>
      <x:c r="M272" s="114" t="n">
        <x:f>IF(K272&gt;0,RANK(K272,$K$6:$K$462)+COUNTIF($K$6:K272,K272)-1,9999)</x:f>
        <x:v>247</x:v>
      </x:c>
      <x:c r="N272" s="114" t="n">
        <x:f>IF(L272&gt;0,RANK(L272,$L$6:$L$462)+COUNTIF($L$6:L272,L272)-1,9999)</x:f>
        <x:v>9999</x:v>
      </x:c>
    </x:row>
    <x:row r="273">
      <x:c r="A273" s="111" t="str">
        <x:v>GRIF CAPITAL</x:v>
      </x:c>
      <x:c r="B273" s="135" t="n">
        <x:v>0</x:v>
      </x:c>
      <x:c r="C273" s="135" t="n">
        <x:v>6318647.16</x:v>
      </x:c>
      <x:c r="D273" s="135" t="n">
        <x:v>0</x:v>
      </x:c>
      <x:c r="E273" s="135" t="n">
        <x:v>108513980.3</x:v>
      </x:c>
      <x:c r="F273" s="135" t="n">
        <x:f>SUM(B273:E273)</x:f>
        <x:v>114832627.46</x:v>
      </x:c>
      <x:c r="G273" s="111" t="str">
        <x:v>Independente</x:v>
      </x:c>
      <x:c r="H273" s="144" t="str">
        <x:v>Independente</x:v>
      </x:c>
      <x:c r="I273" s="111" t="str">
        <x:v>Regra residual — revisar manualmente</x:v>
      </x:c>
      <x:c r="J273" s="153" t="str">
        <x:v>Sim — alta</x:v>
      </x:c>
      <x:c r="K273" s="135" t="n">
        <x:f>IF($H273="Independente",$F273,0)</x:f>
        <x:v>114832627.46</x:v>
      </x:c>
      <x:c r="L273" s="135" t="n">
        <x:f>IF($H273="Ligada a banco",$F273,0)</x:f>
        <x:v>0</x:v>
      </x:c>
      <x:c r="M273" s="114" t="n">
        <x:f>IF(K273&gt;0,RANK(K273,$K$6:$K$462)+COUNTIF($K$6:K273,K273)-1,9999)</x:f>
        <x:v>248</x:v>
      </x:c>
      <x:c r="N273" s="114" t="n">
        <x:f>IF(L273&gt;0,RANK(L273,$L$6:$L$462)+COUNTIF($L$6:L273,L273)-1,9999)</x:f>
        <x:v>9999</x:v>
      </x:c>
    </x:row>
    <x:row r="274">
      <x:c r="A274" s="111" t="str">
        <x:v>051 Capital</x:v>
      </x:c>
      <x:c r="B274" s="135" t="n">
        <x:v>0</x:v>
      </x:c>
      <x:c r="C274" s="135" t="n">
        <x:v>0</x:v>
      </x:c>
      <x:c r="D274" s="135" t="n">
        <x:v>0</x:v>
      </x:c>
      <x:c r="E274" s="135" t="n">
        <x:v>111418125.4</x:v>
      </x:c>
      <x:c r="F274" s="135" t="n">
        <x:f>SUM(B274:E274)</x:f>
        <x:v>111418125.4</x:v>
      </x:c>
      <x:c r="G274" s="111" t="str">
        <x:v>Independente</x:v>
      </x:c>
      <x:c r="H274" s="144" t="str">
        <x:v>Independente</x:v>
      </x:c>
      <x:c r="I274" s="111" t="str">
        <x:v>Regra residual — revisar manualmente</x:v>
      </x:c>
      <x:c r="J274" s="153" t="str">
        <x:v>Sim — alta</x:v>
      </x:c>
      <x:c r="K274" s="135" t="n">
        <x:f>IF($H274="Independente",$F274,0)</x:f>
        <x:v>111418125.4</x:v>
      </x:c>
      <x:c r="L274" s="135" t="n">
        <x:f>IF($H274="Ligada a banco",$F274,0)</x:f>
        <x:v>0</x:v>
      </x:c>
      <x:c r="M274" s="114" t="n">
        <x:f>IF(K274&gt;0,RANK(K274,$K$6:$K$462)+COUNTIF($K$6:K274,K274)-1,9999)</x:f>
        <x:v>249</x:v>
      </x:c>
      <x:c r="N274" s="114" t="n">
        <x:f>IF(L274&gt;0,RANK(L274,$L$6:$L$462)+COUNTIF($L$6:L274,L274)-1,9999)</x:f>
        <x:v>9999</x:v>
      </x:c>
    </x:row>
    <x:row r="275">
      <x:c r="A275" s="111" t="str">
        <x:v>LAV ASSET MANAGEMENT GESTÃO DE RECURSOS LTDA.</x:v>
      </x:c>
      <x:c r="B275" s="135" t="n">
        <x:v>0</x:v>
      </x:c>
      <x:c r="C275" s="135" t="n">
        <x:v>0</x:v>
      </x:c>
      <x:c r="D275" s="135" t="n">
        <x:v>105072899.56000002</x:v>
      </x:c>
      <x:c r="E275" s="135" t="n">
        <x:v>6052536.92</x:v>
      </x:c>
      <x:c r="F275" s="135" t="n">
        <x:f>SUM(B275:E275)</x:f>
        <x:v>111125436.48000002</x:v>
      </x:c>
      <x:c r="G275" s="111" t="str">
        <x:v>Independente</x:v>
      </x:c>
      <x:c r="H275" s="144" t="str">
        <x:v>Independente</x:v>
      </x:c>
      <x:c r="I275" s="111" t="str">
        <x:v>Regra residual — revisar manualmente</x:v>
      </x:c>
      <x:c r="J275" s="153" t="str">
        <x:v>Sim — alta</x:v>
      </x:c>
      <x:c r="K275" s="135" t="n">
        <x:f>IF($H275="Independente",$F275,0)</x:f>
        <x:v>111125436.48000002</x:v>
      </x:c>
      <x:c r="L275" s="135" t="n">
        <x:f>IF($H275="Ligada a banco",$F275,0)</x:f>
        <x:v>0</x:v>
      </x:c>
      <x:c r="M275" s="114" t="n">
        <x:f>IF(K275&gt;0,RANK(K275,$K$6:$K$462)+COUNTIF($K$6:K275,K275)-1,9999)</x:f>
        <x:v>250</x:v>
      </x:c>
      <x:c r="N275" s="114" t="n">
        <x:f>IF(L275&gt;0,RANK(L275,$L$6:$L$462)+COUNTIF($L$6:L275,L275)-1,9999)</x:f>
        <x:v>9999</x:v>
      </x:c>
    </x:row>
    <x:row r="276">
      <x:c r="A276" s="111" t="str">
        <x:v>Strivo Gestora de Recursos S/A</x:v>
      </x:c>
      <x:c r="B276" s="135" t="n">
        <x:v>0</x:v>
      </x:c>
      <x:c r="C276" s="135" t="n">
        <x:v>0</x:v>
      </x:c>
      <x:c r="D276" s="135" t="n">
        <x:v>0</x:v>
      </x:c>
      <x:c r="E276" s="135" t="n">
        <x:v>111084578.41</x:v>
      </x:c>
      <x:c r="F276" s="135" t="n">
        <x:f>SUM(B276:E276)</x:f>
        <x:v>111084578.41</x:v>
      </x:c>
      <x:c r="G276" s="111" t="str">
        <x:v>Independente</x:v>
      </x:c>
      <x:c r="H276" s="144" t="str">
        <x:v>Independente</x:v>
      </x:c>
      <x:c r="I276" s="111" t="str">
        <x:v>Regra residual — revisar manualmente</x:v>
      </x:c>
      <x:c r="J276" s="153" t="str">
        <x:v>Sim — alta</x:v>
      </x:c>
      <x:c r="K276" s="135" t="n">
        <x:f>IF($H276="Independente",$F276,0)</x:f>
        <x:v>111084578.41</x:v>
      </x:c>
      <x:c r="L276" s="135" t="n">
        <x:f>IF($H276="Ligada a banco",$F276,0)</x:f>
        <x:v>0</x:v>
      </x:c>
      <x:c r="M276" s="114" t="n">
        <x:f>IF(K276&gt;0,RANK(K276,$K$6:$K$462)+COUNTIF($K$6:K276,K276)-1,9999)</x:f>
        <x:v>251</x:v>
      </x:c>
      <x:c r="N276" s="114" t="n">
        <x:f>IF(L276&gt;0,RANK(L276,$L$6:$L$462)+COUNTIF($L$6:L276,L276)-1,9999)</x:f>
        <x:v>9999</x:v>
      </x:c>
    </x:row>
    <x:row r="277">
      <x:c r="A277" s="111" t="str">
        <x:v>URBANO ADMINISTRAÇÃO DE RECURSOS LTDA</x:v>
      </x:c>
      <x:c r="B277" s="135" t="n">
        <x:v>0</x:v>
      </x:c>
      <x:c r="C277" s="135" t="n">
        <x:v>0</x:v>
      </x:c>
      <x:c r="D277" s="135" t="n">
        <x:v>0</x:v>
      </x:c>
      <x:c r="E277" s="135" t="n">
        <x:v>110906490.53</x:v>
      </x:c>
      <x:c r="F277" s="135" t="n">
        <x:f>SUM(B277:E277)</x:f>
        <x:v>110906490.53</x:v>
      </x:c>
      <x:c r="G277" s="111" t="str">
        <x:v>Independente</x:v>
      </x:c>
      <x:c r="H277" s="144" t="str">
        <x:v>Independente</x:v>
      </x:c>
      <x:c r="I277" s="111" t="str">
        <x:v>Regra residual — revisar manualmente</x:v>
      </x:c>
      <x:c r="J277" s="153" t="str">
        <x:v>Sim — alta</x:v>
      </x:c>
      <x:c r="K277" s="135" t="n">
        <x:f>IF($H277="Independente",$F277,0)</x:f>
        <x:v>110906490.53</x:v>
      </x:c>
      <x:c r="L277" s="135" t="n">
        <x:f>IF($H277="Ligada a banco",$F277,0)</x:f>
        <x:v>0</x:v>
      </x:c>
      <x:c r="M277" s="114" t="n">
        <x:f>IF(K277&gt;0,RANK(K277,$K$6:$K$462)+COUNTIF($K$6:K277,K277)-1,9999)</x:f>
        <x:v>252</x:v>
      </x:c>
      <x:c r="N277" s="114" t="n">
        <x:f>IF(L277&gt;0,RANK(L277,$L$6:$L$462)+COUNTIF($L$6:L277,L277)-1,9999)</x:f>
        <x:v>9999</x:v>
      </x:c>
    </x:row>
    <x:row r="278">
      <x:c r="A278" s="111" t="str">
        <x:v>Real Capital Partners Ltda</x:v>
      </x:c>
      <x:c r="B278" s="135" t="n">
        <x:v>0</x:v>
      </x:c>
      <x:c r="C278" s="135" t="n">
        <x:v>0</x:v>
      </x:c>
      <x:c r="D278" s="135" t="n">
        <x:v>107805998.28</x:v>
      </x:c>
      <x:c r="E278" s="135" t="n">
        <x:v>0</x:v>
      </x:c>
      <x:c r="F278" s="135" t="n">
        <x:f>SUM(B278:E278)</x:f>
        <x:v>107805998.28</x:v>
      </x:c>
      <x:c r="G278" s="111" t="str">
        <x:v>Independente</x:v>
      </x:c>
      <x:c r="H278" s="144" t="str">
        <x:v>Independente</x:v>
      </x:c>
      <x:c r="I278" s="111" t="str">
        <x:v>Regra residual — revisar manualmente</x:v>
      </x:c>
      <x:c r="J278" s="153" t="str">
        <x:v>Sim — alta</x:v>
      </x:c>
      <x:c r="K278" s="135" t="n">
        <x:f>IF($H278="Independente",$F278,0)</x:f>
        <x:v>107805998.28</x:v>
      </x:c>
      <x:c r="L278" s="135" t="n">
        <x:f>IF($H278="Ligada a banco",$F278,0)</x:f>
        <x:v>0</x:v>
      </x:c>
      <x:c r="M278" s="114" t="n">
        <x:f>IF(K278&gt;0,RANK(K278,$K$6:$K$462)+COUNTIF($K$6:K278,K278)-1,9999)</x:f>
        <x:v>253</x:v>
      </x:c>
      <x:c r="N278" s="114" t="n">
        <x:f>IF(L278&gt;0,RANK(L278,$L$6:$L$462)+COUNTIF($L$6:L278,L278)-1,9999)</x:f>
        <x:v>9999</x:v>
      </x:c>
    </x:row>
    <x:row r="279">
      <x:c r="A279" s="111" t="str">
        <x:v>Vinci CG Gestora de Recursos Ltda</x:v>
      </x:c>
      <x:c r="B279" s="135" t="n">
        <x:v>0</x:v>
      </x:c>
      <x:c r="C279" s="135" t="n">
        <x:v>0</x:v>
      </x:c>
      <x:c r="D279" s="135" t="n">
        <x:v>0</x:v>
      </x:c>
      <x:c r="E279" s="135" t="n">
        <x:v>106987897.62</x:v>
      </x:c>
      <x:c r="F279" s="135" t="n">
        <x:f>SUM(B279:E279)</x:f>
        <x:v>106987897.62</x:v>
      </x:c>
      <x:c r="G279" s="111" t="str">
        <x:v>Independente</x:v>
      </x:c>
      <x:c r="H279" s="144" t="str">
        <x:v>Independente</x:v>
      </x:c>
      <x:c r="I279" s="111" t="str">
        <x:v>Regra residual — revisar manualmente</x:v>
      </x:c>
      <x:c r="J279" s="153" t="str">
        <x:v>Sim — alta</x:v>
      </x:c>
      <x:c r="K279" s="135" t="n">
        <x:f>IF($H279="Independente",$F279,0)</x:f>
        <x:v>106987897.62</x:v>
      </x:c>
      <x:c r="L279" s="135" t="n">
        <x:f>IF($H279="Ligada a banco",$F279,0)</x:f>
        <x:v>0</x:v>
      </x:c>
      <x:c r="M279" s="114" t="n">
        <x:f>IF(K279&gt;0,RANK(K279,$K$6:$K$462)+COUNTIF($K$6:K279,K279)-1,9999)</x:f>
        <x:v>254</x:v>
      </x:c>
      <x:c r="N279" s="114" t="n">
        <x:f>IF(L279&gt;0,RANK(L279,$L$6:$L$462)+COUNTIF($L$6:L279,L279)-1,9999)</x:f>
        <x:v>9999</x:v>
      </x:c>
    </x:row>
    <x:row r="280">
      <x:c r="A280" s="111" t="str">
        <x:v>Polo Capital Internacional</x:v>
      </x:c>
      <x:c r="B280" s="135" t="n">
        <x:v>0</x:v>
      </x:c>
      <x:c r="C280" s="135" t="n">
        <x:v>0</x:v>
      </x:c>
      <x:c r="D280" s="135" t="n">
        <x:v>0</x:v>
      </x:c>
      <x:c r="E280" s="135" t="n">
        <x:v>103145568.62</x:v>
      </x:c>
      <x:c r="F280" s="135" t="n">
        <x:f>SUM(B280:E280)</x:f>
        <x:v>103145568.62</x:v>
      </x:c>
      <x:c r="G280" s="111" t="str">
        <x:v>Independente</x:v>
      </x:c>
      <x:c r="H280" s="144" t="str">
        <x:v>Independente</x:v>
      </x:c>
      <x:c r="I280" s="111" t="str">
        <x:v>Regra residual — revisar manualmente</x:v>
      </x:c>
      <x:c r="J280" s="153" t="str">
        <x:v>Sim — alta</x:v>
      </x:c>
      <x:c r="K280" s="135" t="n">
        <x:f>IF($H280="Independente",$F280,0)</x:f>
        <x:v>103145568.62</x:v>
      </x:c>
      <x:c r="L280" s="135" t="n">
        <x:f>IF($H280="Ligada a banco",$F280,0)</x:f>
        <x:v>0</x:v>
      </x:c>
      <x:c r="M280" s="114" t="n">
        <x:f>IF(K280&gt;0,RANK(K280,$K$6:$K$462)+COUNTIF($K$6:K280,K280)-1,9999)</x:f>
        <x:v>255</x:v>
      </x:c>
      <x:c r="N280" s="114" t="n">
        <x:f>IF(L280&gt;0,RANK(L280,$L$6:$L$462)+COUNTIF($L$6:L280,L280)-1,9999)</x:f>
        <x:v>9999</x:v>
      </x:c>
    </x:row>
    <x:row r="281">
      <x:c r="A281" s="111" t="str">
        <x:v>Positiva Investimentos Ltda</x:v>
      </x:c>
      <x:c r="B281" s="135" t="n">
        <x:v>0</x:v>
      </x:c>
      <x:c r="C281" s="135" t="n">
        <x:v>6833739.65</x:v>
      </x:c>
      <x:c r="D281" s="135" t="n">
        <x:v>438632.38</x:v>
      </x:c>
      <x:c r="E281" s="135" t="n">
        <x:v>94117352.45</x:v>
      </x:c>
      <x:c r="F281" s="135" t="n">
        <x:f>SUM(B281:E281)</x:f>
        <x:v>101389724.48</x:v>
      </x:c>
      <x:c r="G281" s="111" t="str">
        <x:v>Independente</x:v>
      </x:c>
      <x:c r="H281" s="144" t="str">
        <x:v>Independente</x:v>
      </x:c>
      <x:c r="I281" s="111" t="str">
        <x:v>Regra residual — revisar manualmente</x:v>
      </x:c>
      <x:c r="J281" s="153" t="str">
        <x:v>Sim — alta</x:v>
      </x:c>
      <x:c r="K281" s="135" t="n">
        <x:f>IF($H281="Independente",$F281,0)</x:f>
        <x:v>101389724.48</x:v>
      </x:c>
      <x:c r="L281" s="135" t="n">
        <x:f>IF($H281="Ligada a banco",$F281,0)</x:f>
        <x:v>0</x:v>
      </x:c>
      <x:c r="M281" s="114" t="n">
        <x:f>IF(K281&gt;0,RANK(K281,$K$6:$K$462)+COUNTIF($K$6:K281,K281)-1,9999)</x:f>
        <x:v>256</x:v>
      </x:c>
      <x:c r="N281" s="114" t="n">
        <x:f>IF(L281&gt;0,RANK(L281,$L$6:$L$462)+COUNTIF($L$6:L281,L281)-1,9999)</x:f>
        <x:v>9999</x:v>
      </x:c>
    </x:row>
    <x:row r="282">
      <x:c r="A282" s="111" t="str">
        <x:v>MODAL ASSET</x:v>
      </x:c>
      <x:c r="B282" s="135" t="n">
        <x:v>73734430.02</x:v>
      </x:c>
      <x:c r="C282" s="135" t="n">
        <x:v>0</x:v>
      </x:c>
      <x:c r="D282" s="135" t="n">
        <x:v>0</x:v>
      </x:c>
      <x:c r="E282" s="135" t="n">
        <x:v>26709070.25</x:v>
      </x:c>
      <x:c r="F282" s="135" t="n">
        <x:f>SUM(B282:E282)</x:f>
        <x:v>100443500.27</x:v>
      </x:c>
      <x:c r="G282" s="111" t="str">
        <x:v>Ligada a banco</x:v>
      </x:c>
      <x:c r="H282" s="144" t="str">
        <x:v>Ligada a banco</x:v>
      </x:c>
      <x:c r="I282" s="111" t="str">
        <x:v>Regra nominal: MODAL</x:v>
      </x:c>
      <x:c r="J282" s="153" t="str">
        <x:v>Confirmar</x:v>
      </x:c>
      <x:c r="K282" s="135" t="n">
        <x:f>IF($H282="Independente",$F282,0)</x:f>
        <x:v>0</x:v>
      </x:c>
      <x:c r="L282" s="135" t="n">
        <x:f>IF($H282="Ligada a banco",$F282,0)</x:f>
        <x:v>100443500.27</x:v>
      </x:c>
      <x:c r="M282" s="114" t="n">
        <x:f>IF(K282&gt;0,RANK(K282,$K$6:$K$462)+COUNTIF($K$6:K282,K282)-1,9999)</x:f>
        <x:v>9999</x:v>
      </x:c>
      <x:c r="N282" s="114" t="n">
        <x:f>IF(L282&gt;0,RANK(L282,$L$6:$L$462)+COUNTIF($L$6:L282,L282)-1,9999)</x:f>
        <x:v>21</x:v>
      </x:c>
    </x:row>
    <x:row r="283">
      <x:c r="A283" s="111" t="str">
        <x:v>BRASFOR CAPITAL</x:v>
      </x:c>
      <x:c r="B283" s="135" t="n">
        <x:v>0</x:v>
      </x:c>
      <x:c r="C283" s="135" t="n">
        <x:v>0</x:v>
      </x:c>
      <x:c r="D283" s="135" t="n">
        <x:v>0</x:v>
      </x:c>
      <x:c r="E283" s="135" t="n">
        <x:v>98324725.69</x:v>
      </x:c>
      <x:c r="F283" s="135" t="n">
        <x:f>SUM(B283:E283)</x:f>
        <x:v>98324725.69</x:v>
      </x:c>
      <x:c r="G283" s="111" t="str">
        <x:v>Independente</x:v>
      </x:c>
      <x:c r="H283" s="144" t="str">
        <x:v>Independente</x:v>
      </x:c>
      <x:c r="I283" s="111" t="str">
        <x:v>Regra residual — revisar manualmente</x:v>
      </x:c>
      <x:c r="J283" s="153" t="str">
        <x:v>Sim — alta</x:v>
      </x:c>
      <x:c r="K283" s="135" t="n">
        <x:f>IF($H283="Independente",$F283,0)</x:f>
        <x:v>98324725.69</x:v>
      </x:c>
      <x:c r="L283" s="135" t="n">
        <x:f>IF($H283="Ligada a banco",$F283,0)</x:f>
        <x:v>0</x:v>
      </x:c>
      <x:c r="M283" s="114" t="n">
        <x:f>IF(K283&gt;0,RANK(K283,$K$6:$K$462)+COUNTIF($K$6:K283,K283)-1,9999)</x:f>
        <x:v>257</x:v>
      </x:c>
      <x:c r="N283" s="114" t="n">
        <x:f>IF(L283&gt;0,RANK(L283,$L$6:$L$462)+COUNTIF($L$6:L283,L283)-1,9999)</x:f>
        <x:v>9999</x:v>
      </x:c>
    </x:row>
    <x:row r="284">
      <x:c r="A284" s="111" t="str">
        <x:v>CPV ASSET</x:v>
      </x:c>
      <x:c r="B284" s="135" t="n">
        <x:v>0</x:v>
      </x:c>
      <x:c r="C284" s="135" t="n">
        <x:v>0</x:v>
      </x:c>
      <x:c r="D284" s="135" t="n">
        <x:v>0</x:v>
      </x:c>
      <x:c r="E284" s="135" t="n">
        <x:v>97904939.77</x:v>
      </x:c>
      <x:c r="F284" s="135" t="n">
        <x:f>SUM(B284:E284)</x:f>
        <x:v>97904939.77</x:v>
      </x:c>
      <x:c r="G284" s="111" t="str">
        <x:v>Independente</x:v>
      </x:c>
      <x:c r="H284" s="144" t="str">
        <x:v>Independente</x:v>
      </x:c>
      <x:c r="I284" s="111" t="str">
        <x:v>Regra residual — revisar manualmente</x:v>
      </x:c>
      <x:c r="J284" s="153" t="str">
        <x:v>Sim — alta</x:v>
      </x:c>
      <x:c r="K284" s="135" t="n">
        <x:f>IF($H284="Independente",$F284,0)</x:f>
        <x:v>97904939.77</x:v>
      </x:c>
      <x:c r="L284" s="135" t="n">
        <x:f>IF($H284="Ligada a banco",$F284,0)</x:f>
        <x:v>0</x:v>
      </x:c>
      <x:c r="M284" s="114" t="n">
        <x:f>IF(K284&gt;0,RANK(K284,$K$6:$K$462)+COUNTIF($K$6:K284,K284)-1,9999)</x:f>
        <x:v>258</x:v>
      </x:c>
      <x:c r="N284" s="114" t="n">
        <x:f>IF(L284&gt;0,RANK(L284,$L$6:$L$462)+COUNTIF($L$6:L284,L284)-1,9999)</x:f>
        <x:v>9999</x:v>
      </x:c>
    </x:row>
    <x:row r="285">
      <x:c r="A285" s="111" t="str">
        <x:v>Riza Asset Management</x:v>
      </x:c>
      <x:c r="B285" s="135" t="n">
        <x:v>96379119.05</x:v>
      </x:c>
      <x:c r="C285" s="135" t="n">
        <x:v>0</x:v>
      </x:c>
      <x:c r="D285" s="135" t="n">
        <x:v>0</x:v>
      </x:c>
      <x:c r="E285" s="135" t="n">
        <x:v>0</x:v>
      </x:c>
      <x:c r="F285" s="135" t="n">
        <x:f>SUM(B285:E285)</x:f>
        <x:v>96379119.05</x:v>
      </x:c>
      <x:c r="G285" s="111" t="str">
        <x:v>Independente</x:v>
      </x:c>
      <x:c r="H285" s="144" t="str">
        <x:v>Independente</x:v>
      </x:c>
      <x:c r="I285" s="111" t="str">
        <x:v>Regra residual — revisar manualmente</x:v>
      </x:c>
      <x:c r="J285" s="153" t="str">
        <x:v>Sim — alta</x:v>
      </x:c>
      <x:c r="K285" s="135" t="n">
        <x:f>IF($H285="Independente",$F285,0)</x:f>
        <x:v>96379119.05</x:v>
      </x:c>
      <x:c r="L285" s="135" t="n">
        <x:f>IF($H285="Ligada a banco",$F285,0)</x:f>
        <x:v>0</x:v>
      </x:c>
      <x:c r="M285" s="114" t="n">
        <x:f>IF(K285&gt;0,RANK(K285,$K$6:$K$462)+COUNTIF($K$6:K285,K285)-1,9999)</x:f>
        <x:v>259</x:v>
      </x:c>
      <x:c r="N285" s="114" t="n">
        <x:f>IF(L285&gt;0,RANK(L285,$L$6:$L$462)+COUNTIF($L$6:L285,L285)-1,9999)</x:f>
        <x:v>9999</x:v>
      </x:c>
    </x:row>
    <x:row r="286">
      <x:c r="A286" s="111" t="str">
        <x:v>ELLO ASSET MANAGEMENT</x:v>
      </x:c>
      <x:c r="B286" s="135" t="n">
        <x:v>0</x:v>
      </x:c>
      <x:c r="C286" s="135" t="n">
        <x:v>0</x:v>
      </x:c>
      <x:c r="D286" s="135" t="n">
        <x:v>94791012.62</x:v>
      </x:c>
      <x:c r="E286" s="135" t="n">
        <x:v>0</x:v>
      </x:c>
      <x:c r="F286" s="135" t="n">
        <x:f>SUM(B286:E286)</x:f>
        <x:v>94791012.62</x:v>
      </x:c>
      <x:c r="G286" s="111" t="str">
        <x:v>Independente</x:v>
      </x:c>
      <x:c r="H286" s="144" t="str">
        <x:v>Independente</x:v>
      </x:c>
      <x:c r="I286" s="111" t="str">
        <x:v>Regra residual — revisar manualmente</x:v>
      </x:c>
      <x:c r="J286" s="153" t="str">
        <x:v>Sim — alta</x:v>
      </x:c>
      <x:c r="K286" s="135" t="n">
        <x:f>IF($H286="Independente",$F286,0)</x:f>
        <x:v>94791012.62</x:v>
      </x:c>
      <x:c r="L286" s="135" t="n">
        <x:f>IF($H286="Ligada a banco",$F286,0)</x:f>
        <x:v>0</x:v>
      </x:c>
      <x:c r="M286" s="114" t="n">
        <x:f>IF(K286&gt;0,RANK(K286,$K$6:$K$462)+COUNTIF($K$6:K286,K286)-1,9999)</x:f>
        <x:v>260</x:v>
      </x:c>
      <x:c r="N286" s="114" t="n">
        <x:f>IF(L286&gt;0,RANK(L286,$L$6:$L$462)+COUNTIF($L$6:L286,L286)-1,9999)</x:f>
        <x:v>9999</x:v>
      </x:c>
    </x:row>
    <x:row r="287">
      <x:c r="A287" s="111" t="str">
        <x:v>Citrino Gestão de Recursos LTD</x:v>
      </x:c>
      <x:c r="B287" s="135" t="n">
        <x:v>0</x:v>
      </x:c>
      <x:c r="C287" s="135" t="n">
        <x:v>0</x:v>
      </x:c>
      <x:c r="D287" s="135" t="n">
        <x:v>0</x:v>
      </x:c>
      <x:c r="E287" s="135" t="n">
        <x:v>93706530.16</x:v>
      </x:c>
      <x:c r="F287" s="135" t="n">
        <x:f>SUM(B287:E287)</x:f>
        <x:v>93706530.16</x:v>
      </x:c>
      <x:c r="G287" s="111" t="str">
        <x:v>Independente</x:v>
      </x:c>
      <x:c r="H287" s="144" t="str">
        <x:v>Independente</x:v>
      </x:c>
      <x:c r="I287" s="111" t="str">
        <x:v>Regra residual — revisar manualmente</x:v>
      </x:c>
      <x:c r="J287" s="153" t="str">
        <x:v>Sim — alta</x:v>
      </x:c>
      <x:c r="K287" s="135" t="n">
        <x:f>IF($H287="Independente",$F287,0)</x:f>
        <x:v>93706530.16</x:v>
      </x:c>
      <x:c r="L287" s="135" t="n">
        <x:f>IF($H287="Ligada a banco",$F287,0)</x:f>
        <x:v>0</x:v>
      </x:c>
      <x:c r="M287" s="114" t="n">
        <x:f>IF(K287&gt;0,RANK(K287,$K$6:$K$462)+COUNTIF($K$6:K287,K287)-1,9999)</x:f>
        <x:v>261</x:v>
      </x:c>
      <x:c r="N287" s="114" t="n">
        <x:f>IF(L287&gt;0,RANK(L287,$L$6:$L$462)+COUNTIF($L$6:L287,L287)-1,9999)</x:f>
        <x:v>9999</x:v>
      </x:c>
    </x:row>
    <x:row r="288">
      <x:c r="A288" s="111" t="str">
        <x:v>BERTHA CAPITAL</x:v>
      </x:c>
      <x:c r="B288" s="135" t="n">
        <x:v>24288828.09</x:v>
      </x:c>
      <x:c r="C288" s="135" t="n">
        <x:v>0</x:v>
      </x:c>
      <x:c r="D288" s="135" t="n">
        <x:v>16172390.87</x:v>
      </x:c>
      <x:c r="E288" s="135" t="n">
        <x:v>50684374.39</x:v>
      </x:c>
      <x:c r="F288" s="135" t="n">
        <x:f>SUM(B288:E288)</x:f>
        <x:v>91145593.35</x:v>
      </x:c>
      <x:c r="G288" s="111" t="str">
        <x:v>Independente</x:v>
      </x:c>
      <x:c r="H288" s="144" t="str">
        <x:v>Independente</x:v>
      </x:c>
      <x:c r="I288" s="111" t="str">
        <x:v>Regra residual — revisar manualmente</x:v>
      </x:c>
      <x:c r="J288" s="153" t="str">
        <x:v>Sim — alta</x:v>
      </x:c>
      <x:c r="K288" s="135" t="n">
        <x:f>IF($H288="Independente",$F288,0)</x:f>
        <x:v>91145593.35</x:v>
      </x:c>
      <x:c r="L288" s="135" t="n">
        <x:f>IF($H288="Ligada a banco",$F288,0)</x:f>
        <x:v>0</x:v>
      </x:c>
      <x:c r="M288" s="114" t="n">
        <x:f>IF(K288&gt;0,RANK(K288,$K$6:$K$462)+COUNTIF($K$6:K288,K288)-1,9999)</x:f>
        <x:v>262</x:v>
      </x:c>
      <x:c r="N288" s="114" t="n">
        <x:f>IF(L288&gt;0,RANK(L288,$L$6:$L$462)+COUNTIF($L$6:L288,L288)-1,9999)</x:f>
        <x:v>9999</x:v>
      </x:c>
    </x:row>
    <x:row r="289">
      <x:c r="A289" s="111" t="str">
        <x:v>SPECIAL SITUATIONS NEO GESTAO DE RECURSOS LTDA</x:v>
      </x:c>
      <x:c r="B289" s="135" t="n">
        <x:v>0</x:v>
      </x:c>
      <x:c r="C289" s="135" t="n">
        <x:v>0</x:v>
      </x:c>
      <x:c r="D289" s="135" t="n">
        <x:v>0</x:v>
      </x:c>
      <x:c r="E289" s="135" t="n">
        <x:v>84201162.84</x:v>
      </x:c>
      <x:c r="F289" s="135" t="n">
        <x:f>SUM(B289:E289)</x:f>
        <x:v>84201162.84</x:v>
      </x:c>
      <x:c r="G289" s="111" t="str">
        <x:v>Independente</x:v>
      </x:c>
      <x:c r="H289" s="144" t="str">
        <x:v>Independente</x:v>
      </x:c>
      <x:c r="I289" s="111" t="str">
        <x:v>Regra residual — revisar manualmente</x:v>
      </x:c>
      <x:c r="J289" s="153" t="str">
        <x:v>Sim — alta</x:v>
      </x:c>
      <x:c r="K289" s="135" t="n">
        <x:f>IF($H289="Independente",$F289,0)</x:f>
        <x:v>84201162.84</x:v>
      </x:c>
      <x:c r="L289" s="135" t="n">
        <x:f>IF($H289="Ligada a banco",$F289,0)</x:f>
        <x:v>0</x:v>
      </x:c>
      <x:c r="M289" s="114" t="n">
        <x:f>IF(K289&gt;0,RANK(K289,$K$6:$K$462)+COUNTIF($K$6:K289,K289)-1,9999)</x:f>
        <x:v>263</x:v>
      </x:c>
      <x:c r="N289" s="114" t="n">
        <x:f>IF(L289&gt;0,RANK(L289,$L$6:$L$462)+COUNTIF($L$6:L289,L289)-1,9999)</x:f>
        <x:v>9999</x:v>
      </x:c>
    </x:row>
    <x:row r="290">
      <x:c r="A290" s="111" t="str">
        <x:v>Journey Capital Administração</x:v>
      </x:c>
      <x:c r="B290" s="135" t="n">
        <x:v>0</x:v>
      </x:c>
      <x:c r="C290" s="135" t="n">
        <x:v>0</x:v>
      </x:c>
      <x:c r="D290" s="135" t="n">
        <x:v>0</x:v>
      </x:c>
      <x:c r="E290" s="135" t="n">
        <x:v>83703554.35000001</x:v>
      </x:c>
      <x:c r="F290" s="135" t="n">
        <x:f>SUM(B290:E290)</x:f>
        <x:v>83703554.35000001</x:v>
      </x:c>
      <x:c r="G290" s="111" t="str">
        <x:v>Independente</x:v>
      </x:c>
      <x:c r="H290" s="144" t="str">
        <x:v>Independente</x:v>
      </x:c>
      <x:c r="I290" s="111" t="str">
        <x:v>Regra residual — revisar manualmente</x:v>
      </x:c>
      <x:c r="J290" s="153" t="str">
        <x:v>Sim — alta</x:v>
      </x:c>
      <x:c r="K290" s="135" t="n">
        <x:f>IF($H290="Independente",$F290,0)</x:f>
        <x:v>83703554.35000001</x:v>
      </x:c>
      <x:c r="L290" s="135" t="n">
        <x:f>IF($H290="Ligada a banco",$F290,0)</x:f>
        <x:v>0</x:v>
      </x:c>
      <x:c r="M290" s="114" t="n">
        <x:f>IF(K290&gt;0,RANK(K290,$K$6:$K$462)+COUNTIF($K$6:K290,K290)-1,9999)</x:f>
        <x:v>264</x:v>
      </x:c>
      <x:c r="N290" s="114" t="n">
        <x:f>IF(L290&gt;0,RANK(L290,$L$6:$L$462)+COUNTIF($L$6:L290,L290)-1,9999)</x:f>
        <x:v>9999</x:v>
      </x:c>
    </x:row>
    <x:row r="291">
      <x:c r="A291" s="111" t="str">
        <x:v>Yards Asset Gestão de Recursos Ltda.</x:v>
      </x:c>
      <x:c r="B291" s="135" t="n">
        <x:v>0</x:v>
      </x:c>
      <x:c r="C291" s="135" t="n">
        <x:v>0</x:v>
      </x:c>
      <x:c r="D291" s="135" t="n">
        <x:v>0</x:v>
      </x:c>
      <x:c r="E291" s="135" t="n">
        <x:v>83281048.45</x:v>
      </x:c>
      <x:c r="F291" s="135" t="n">
        <x:f>SUM(B291:E291)</x:f>
        <x:v>83281048.45</x:v>
      </x:c>
      <x:c r="G291" s="111" t="str">
        <x:v>Independente</x:v>
      </x:c>
      <x:c r="H291" s="144" t="str">
        <x:v>Independente</x:v>
      </x:c>
      <x:c r="I291" s="111" t="str">
        <x:v>Regra residual — revisar manualmente</x:v>
      </x:c>
      <x:c r="J291" s="153" t="str">
        <x:v>Sim — alta</x:v>
      </x:c>
      <x:c r="K291" s="135" t="n">
        <x:f>IF($H291="Independente",$F291,0)</x:f>
        <x:v>83281048.45</x:v>
      </x:c>
      <x:c r="L291" s="135" t="n">
        <x:f>IF($H291="Ligada a banco",$F291,0)</x:f>
        <x:v>0</x:v>
      </x:c>
      <x:c r="M291" s="114" t="n">
        <x:f>IF(K291&gt;0,RANK(K291,$K$6:$K$462)+COUNTIF($K$6:K291,K291)-1,9999)</x:f>
        <x:v>265</x:v>
      </x:c>
      <x:c r="N291" s="114" t="n">
        <x:f>IF(L291&gt;0,RANK(L291,$L$6:$L$462)+COUNTIF($L$6:L291,L291)-1,9999)</x:f>
        <x:v>9999</x:v>
      </x:c>
    </x:row>
    <x:row r="292">
      <x:c r="A292" s="111" t="str">
        <x:v>Oikos Capital</x:v>
      </x:c>
      <x:c r="B292" s="135" t="n">
        <x:v>76200738.78</x:v>
      </x:c>
      <x:c r="C292" s="135" t="n">
        <x:v>0</x:v>
      </x:c>
      <x:c r="D292" s="135" t="n">
        <x:v>0</x:v>
      </x:c>
      <x:c r="E292" s="135" t="n">
        <x:v>5294525.17</x:v>
      </x:c>
      <x:c r="F292" s="135" t="n">
        <x:f>SUM(B292:E292)</x:f>
        <x:v>81495263.95</x:v>
      </x:c>
      <x:c r="G292" s="111" t="str">
        <x:v>Independente</x:v>
      </x:c>
      <x:c r="H292" s="144" t="str">
        <x:v>Independente</x:v>
      </x:c>
      <x:c r="I292" s="111" t="str">
        <x:v>Regra residual — revisar manualmente</x:v>
      </x:c>
      <x:c r="J292" s="153" t="str">
        <x:v>Sim — alta</x:v>
      </x:c>
      <x:c r="K292" s="135" t="n">
        <x:f>IF($H292="Independente",$F292,0)</x:f>
        <x:v>81495263.95</x:v>
      </x:c>
      <x:c r="L292" s="135" t="n">
        <x:f>IF($H292="Ligada a banco",$F292,0)</x:f>
        <x:v>0</x:v>
      </x:c>
      <x:c r="M292" s="114" t="n">
        <x:f>IF(K292&gt;0,RANK(K292,$K$6:$K$462)+COUNTIF($K$6:K292,K292)-1,9999)</x:f>
        <x:v>266</x:v>
      </x:c>
      <x:c r="N292" s="114" t="n">
        <x:f>IF(L292&gt;0,RANK(L292,$L$6:$L$462)+COUNTIF($L$6:L292,L292)-1,9999)</x:f>
        <x:v>9999</x:v>
      </x:c>
    </x:row>
    <x:row r="293">
      <x:c r="A293" s="111" t="str">
        <x:v>ITAÚNA CAPITAL LTDA.</x:v>
      </x:c>
      <x:c r="B293" s="135" t="n">
        <x:v>0</x:v>
      </x:c>
      <x:c r="C293" s="135" t="n">
        <x:v>0</x:v>
      </x:c>
      <x:c r="D293" s="135" t="n">
        <x:v>0</x:v>
      </x:c>
      <x:c r="E293" s="135" t="n">
        <x:v>79654997.84</x:v>
      </x:c>
      <x:c r="F293" s="135" t="n">
        <x:f>SUM(B293:E293)</x:f>
        <x:v>79654997.84</x:v>
      </x:c>
      <x:c r="G293" s="111" t="str">
        <x:v>Ligada a banco</x:v>
      </x:c>
      <x:c r="H293" s="144" t="str">
        <x:v>Ligada a banco</x:v>
      </x:c>
      <x:c r="I293" s="111" t="str">
        <x:v>Regra nominal: ITAU</x:v>
      </x:c>
      <x:c r="J293" s="153" t="str">
        <x:v>Confirmar</x:v>
      </x:c>
      <x:c r="K293" s="135" t="n">
        <x:f>IF($H293="Independente",$F293,0)</x:f>
        <x:v>0</x:v>
      </x:c>
      <x:c r="L293" s="135" t="n">
        <x:f>IF($H293="Ligada a banco",$F293,0)</x:f>
        <x:v>79654997.84</x:v>
      </x:c>
      <x:c r="M293" s="114" t="n">
        <x:f>IF(K293&gt;0,RANK(K293,$K$6:$K$462)+COUNTIF($K$6:K293,K293)-1,9999)</x:f>
        <x:v>9999</x:v>
      </x:c>
      <x:c r="N293" s="114" t="n">
        <x:f>IF(L293&gt;0,RANK(L293,$L$6:$L$462)+COUNTIF($L$6:L293,L293)-1,9999)</x:f>
        <x:v>22</x:v>
      </x:c>
    </x:row>
    <x:row r="294">
      <x:c r="A294" s="111" t="str">
        <x:v>Mezzus Capital</x:v>
      </x:c>
      <x:c r="B294" s="135" t="n">
        <x:v>0</x:v>
      </x:c>
      <x:c r="C294" s="135" t="n">
        <x:v>0</x:v>
      </x:c>
      <x:c r="D294" s="135" t="n">
        <x:v>0</x:v>
      </x:c>
      <x:c r="E294" s="135" t="n">
        <x:v>77882390.71</x:v>
      </x:c>
      <x:c r="F294" s="135" t="n">
        <x:f>SUM(B294:E294)</x:f>
        <x:v>77882390.71</x:v>
      </x:c>
      <x:c r="G294" s="111" t="str">
        <x:v>Independente</x:v>
      </x:c>
      <x:c r="H294" s="144" t="str">
        <x:v>Independente</x:v>
      </x:c>
      <x:c r="I294" s="111" t="str">
        <x:v>Regra residual — revisar manualmente</x:v>
      </x:c>
      <x:c r="J294" s="153" t="str">
        <x:v>Sim — alta</x:v>
      </x:c>
      <x:c r="K294" s="135" t="n">
        <x:f>IF($H294="Independente",$F294,0)</x:f>
        <x:v>77882390.71</x:v>
      </x:c>
      <x:c r="L294" s="135" t="n">
        <x:f>IF($H294="Ligada a banco",$F294,0)</x:f>
        <x:v>0</x:v>
      </x:c>
      <x:c r="M294" s="114" t="n">
        <x:f>IF(K294&gt;0,RANK(K294,$K$6:$K$462)+COUNTIF($K$6:K294,K294)-1,9999)</x:f>
        <x:v>267</x:v>
      </x:c>
      <x:c r="N294" s="114" t="n">
        <x:f>IF(L294&gt;0,RANK(L294,$L$6:$L$462)+COUNTIF($L$6:L294,L294)-1,9999)</x:f>
        <x:v>9999</x:v>
      </x:c>
    </x:row>
    <x:row r="295">
      <x:c r="A295" s="111" t="str">
        <x:v>Evolve Capital Gestão de Recursos LTDA</x:v>
      </x:c>
      <x:c r="B295" s="135" t="n">
        <x:v>0</x:v>
      </x:c>
      <x:c r="C295" s="135" t="n">
        <x:v>76144373.1</x:v>
      </x:c>
      <x:c r="D295" s="135" t="n">
        <x:v>0</x:v>
      </x:c>
      <x:c r="E295" s="135" t="n">
        <x:v>0</x:v>
      </x:c>
      <x:c r="F295" s="135" t="n">
        <x:f>SUM(B295:E295)</x:f>
        <x:v>76144373.1</x:v>
      </x:c>
      <x:c r="G295" s="111" t="str">
        <x:v>Independente</x:v>
      </x:c>
      <x:c r="H295" s="144" t="str">
        <x:v>Independente</x:v>
      </x:c>
      <x:c r="I295" s="111" t="str">
        <x:v>Regra residual — revisar manualmente</x:v>
      </x:c>
      <x:c r="J295" s="153" t="str">
        <x:v>Sim — alta</x:v>
      </x:c>
      <x:c r="K295" s="135" t="n">
        <x:f>IF($H295="Independente",$F295,0)</x:f>
        <x:v>76144373.1</x:v>
      </x:c>
      <x:c r="L295" s="135" t="n">
        <x:f>IF($H295="Ligada a banco",$F295,0)</x:f>
        <x:v>0</x:v>
      </x:c>
      <x:c r="M295" s="114" t="n">
        <x:f>IF(K295&gt;0,RANK(K295,$K$6:$K$462)+COUNTIF($K$6:K295,K295)-1,9999)</x:f>
        <x:v>268</x:v>
      </x:c>
      <x:c r="N295" s="114" t="n">
        <x:f>IF(L295&gt;0,RANK(L295,$L$6:$L$462)+COUNTIF($L$6:L295,L295)-1,9999)</x:f>
        <x:v>9999</x:v>
      </x:c>
    </x:row>
    <x:row r="296">
      <x:c r="A296" s="111" t="str">
        <x:v>D3 Capital</x:v>
      </x:c>
      <x:c r="B296" s="135" t="n">
        <x:v>0</x:v>
      </x:c>
      <x:c r="C296" s="135" t="n">
        <x:v>0</x:v>
      </x:c>
      <x:c r="D296" s="135" t="n">
        <x:v>0</x:v>
      </x:c>
      <x:c r="E296" s="135" t="n">
        <x:v>76055275.19</x:v>
      </x:c>
      <x:c r="F296" s="135" t="n">
        <x:f>SUM(B296:E296)</x:f>
        <x:v>76055275.19</x:v>
      </x:c>
      <x:c r="G296" s="111" t="str">
        <x:v>Independente</x:v>
      </x:c>
      <x:c r="H296" s="144" t="str">
        <x:v>Independente</x:v>
      </x:c>
      <x:c r="I296" s="111" t="str">
        <x:v>Regra residual — revisar manualmente</x:v>
      </x:c>
      <x:c r="J296" s="153" t="str">
        <x:v>Sim — alta</x:v>
      </x:c>
      <x:c r="K296" s="135" t="n">
        <x:f>IF($H296="Independente",$F296,0)</x:f>
        <x:v>76055275.19</x:v>
      </x:c>
      <x:c r="L296" s="135" t="n">
        <x:f>IF($H296="Ligada a banco",$F296,0)</x:f>
        <x:v>0</x:v>
      </x:c>
      <x:c r="M296" s="114" t="n">
        <x:f>IF(K296&gt;0,RANK(K296,$K$6:$K$462)+COUNTIF($K$6:K296,K296)-1,9999)</x:f>
        <x:v>269</x:v>
      </x:c>
      <x:c r="N296" s="114" t="n">
        <x:f>IF(L296&gt;0,RANK(L296,$L$6:$L$462)+COUNTIF($L$6:L296,L296)-1,9999)</x:f>
        <x:v>9999</x:v>
      </x:c>
    </x:row>
    <x:row r="297">
      <x:c r="A297" s="111" t="str">
        <x:v>Lexis Capital</x:v>
      </x:c>
      <x:c r="B297" s="135" t="n">
        <x:v>0</x:v>
      </x:c>
      <x:c r="C297" s="135" t="n">
        <x:v>0</x:v>
      </x:c>
      <x:c r="D297" s="135" t="n">
        <x:v>0</x:v>
      </x:c>
      <x:c r="E297" s="135" t="n">
        <x:v>71623074.75</x:v>
      </x:c>
      <x:c r="F297" s="135" t="n">
        <x:f>SUM(B297:E297)</x:f>
        <x:v>71623074.75</x:v>
      </x:c>
      <x:c r="G297" s="111" t="str">
        <x:v>Independente</x:v>
      </x:c>
      <x:c r="H297" s="144" t="str">
        <x:v>Independente</x:v>
      </x:c>
      <x:c r="I297" s="111" t="str">
        <x:v>Regra residual — revisar manualmente</x:v>
      </x:c>
      <x:c r="J297" s="153" t="str">
        <x:v>Sim — alta</x:v>
      </x:c>
      <x:c r="K297" s="135" t="n">
        <x:f>IF($H297="Independente",$F297,0)</x:f>
        <x:v>71623074.75</x:v>
      </x:c>
      <x:c r="L297" s="135" t="n">
        <x:f>IF($H297="Ligada a banco",$F297,0)</x:f>
        <x:v>0</x:v>
      </x:c>
      <x:c r="M297" s="114" t="n">
        <x:f>IF(K297&gt;0,RANK(K297,$K$6:$K$462)+COUNTIF($K$6:K297,K297)-1,9999)</x:f>
        <x:v>270</x:v>
      </x:c>
      <x:c r="N297" s="114" t="n">
        <x:f>IF(L297&gt;0,RANK(L297,$L$6:$L$462)+COUNTIF($L$6:L297,L297)-1,9999)</x:f>
        <x:v>9999</x:v>
      </x:c>
    </x:row>
    <x:row r="298">
      <x:c r="A298" s="111" t="str">
        <x:v>Vega</x:v>
      </x:c>
      <x:c r="B298" s="135" t="n">
        <x:v>0</x:v>
      </x:c>
      <x:c r="C298" s="135" t="n">
        <x:v>0</x:v>
      </x:c>
      <x:c r="D298" s="135" t="n">
        <x:v>0</x:v>
      </x:c>
      <x:c r="E298" s="135" t="n">
        <x:v>71174153.27</x:v>
      </x:c>
      <x:c r="F298" s="135" t="n">
        <x:f>SUM(B298:E298)</x:f>
        <x:v>71174153.27</x:v>
      </x:c>
      <x:c r="G298" s="111" t="str">
        <x:v>Independente</x:v>
      </x:c>
      <x:c r="H298" s="144" t="str">
        <x:v>Independente</x:v>
      </x:c>
      <x:c r="I298" s="111" t="str">
        <x:v>Regra residual — revisar manualmente</x:v>
      </x:c>
      <x:c r="J298" s="153" t="str">
        <x:v>Sim — alta</x:v>
      </x:c>
      <x:c r="K298" s="135" t="n">
        <x:f>IF($H298="Independente",$F298,0)</x:f>
        <x:v>71174153.27</x:v>
      </x:c>
      <x:c r="L298" s="135" t="n">
        <x:f>IF($H298="Ligada a banco",$F298,0)</x:f>
        <x:v>0</x:v>
      </x:c>
      <x:c r="M298" s="114" t="n">
        <x:f>IF(K298&gt;0,RANK(K298,$K$6:$K$462)+COUNTIF($K$6:K298,K298)-1,9999)</x:f>
        <x:v>271</x:v>
      </x:c>
      <x:c r="N298" s="114" t="n">
        <x:f>IF(L298&gt;0,RANK(L298,$L$6:$L$462)+COUNTIF($L$6:L298,L298)-1,9999)</x:f>
        <x:v>9999</x:v>
      </x:c>
    </x:row>
    <x:row r="299">
      <x:c r="A299" s="111" t="str">
        <x:v>StoneX Investimentos</x:v>
      </x:c>
      <x:c r="B299" s="135" t="n">
        <x:v>0</x:v>
      </x:c>
      <x:c r="C299" s="135" t="n">
        <x:v>0</x:v>
      </x:c>
      <x:c r="D299" s="135" t="n">
        <x:v>0</x:v>
      </x:c>
      <x:c r="E299" s="135" t="n">
        <x:v>70252340.58</x:v>
      </x:c>
      <x:c r="F299" s="135" t="n">
        <x:f>SUM(B299:E299)</x:f>
        <x:v>70252340.58</x:v>
      </x:c>
      <x:c r="G299" s="111" t="str">
        <x:v>Independente</x:v>
      </x:c>
      <x:c r="H299" s="144" t="str">
        <x:v>Independente</x:v>
      </x:c>
      <x:c r="I299" s="111" t="str">
        <x:v>Regra residual — revisar manualmente</x:v>
      </x:c>
      <x:c r="J299" s="153" t="str">
        <x:v>Sim — alta</x:v>
      </x:c>
      <x:c r="K299" s="135" t="n">
        <x:f>IF($H299="Independente",$F299,0)</x:f>
        <x:v>70252340.58</x:v>
      </x:c>
      <x:c r="L299" s="135" t="n">
        <x:f>IF($H299="Ligada a banco",$F299,0)</x:f>
        <x:v>0</x:v>
      </x:c>
      <x:c r="M299" s="114" t="n">
        <x:f>IF(K299&gt;0,RANK(K299,$K$6:$K$462)+COUNTIF($K$6:K299,K299)-1,9999)</x:f>
        <x:v>272</x:v>
      </x:c>
      <x:c r="N299" s="114" t="n">
        <x:f>IF(L299&gt;0,RANK(L299,$L$6:$L$462)+COUNTIF($L$6:L299,L299)-1,9999)</x:f>
        <x:v>9999</x:v>
      </x:c>
    </x:row>
    <x:row r="300">
      <x:c r="A300" s="111" t="str">
        <x:v>Mainú Investimentos</x:v>
      </x:c>
      <x:c r="B300" s="135" t="n">
        <x:v>0</x:v>
      </x:c>
      <x:c r="C300" s="135" t="n">
        <x:v>0</x:v>
      </x:c>
      <x:c r="D300" s="135" t="n">
        <x:v>0</x:v>
      </x:c>
      <x:c r="E300" s="135" t="n">
        <x:v>67213961.9239</x:v>
      </x:c>
      <x:c r="F300" s="135" t="n">
        <x:f>SUM(B300:E300)</x:f>
        <x:v>67213961.9239</x:v>
      </x:c>
      <x:c r="G300" s="111" t="str">
        <x:v>Independente</x:v>
      </x:c>
      <x:c r="H300" s="144" t="str">
        <x:v>Independente</x:v>
      </x:c>
      <x:c r="I300" s="111" t="str">
        <x:v>Regra residual — revisar manualmente</x:v>
      </x:c>
      <x:c r="J300" s="153" t="str">
        <x:v>Sim — alta</x:v>
      </x:c>
      <x:c r="K300" s="135" t="n">
        <x:f>IF($H300="Independente",$F300,0)</x:f>
        <x:v>67213961.9239</x:v>
      </x:c>
      <x:c r="L300" s="135" t="n">
        <x:f>IF($H300="Ligada a banco",$F300,0)</x:f>
        <x:v>0</x:v>
      </x:c>
      <x:c r="M300" s="114" t="n">
        <x:f>IF(K300&gt;0,RANK(K300,$K$6:$K$462)+COUNTIF($K$6:K300,K300)-1,9999)</x:f>
        <x:v>273</x:v>
      </x:c>
      <x:c r="N300" s="114" t="n">
        <x:f>IF(L300&gt;0,RANK(L300,$L$6:$L$462)+COUNTIF($L$6:L300,L300)-1,9999)</x:f>
        <x:v>9999</x:v>
      </x:c>
    </x:row>
    <x:row r="301">
      <x:c r="A301" s="111" t="str">
        <x:v>CAPITANIA CAPITAL</x:v>
      </x:c>
      <x:c r="B301" s="135" t="n">
        <x:v>0</x:v>
      </x:c>
      <x:c r="C301" s="135" t="n">
        <x:v>0</x:v>
      </x:c>
      <x:c r="D301" s="135" t="n">
        <x:v>0</x:v>
      </x:c>
      <x:c r="E301" s="135" t="n">
        <x:v>66737159.88</x:v>
      </x:c>
      <x:c r="F301" s="135" t="n">
        <x:f>SUM(B301:E301)</x:f>
        <x:v>66737159.88</x:v>
      </x:c>
      <x:c r="G301" s="111" t="str">
        <x:v>Independente</x:v>
      </x:c>
      <x:c r="H301" s="144" t="str">
        <x:v>Independente</x:v>
      </x:c>
      <x:c r="I301" s="111" t="str">
        <x:v>Regra residual — revisar manualmente</x:v>
      </x:c>
      <x:c r="J301" s="153" t="str">
        <x:v>Sim — alta</x:v>
      </x:c>
      <x:c r="K301" s="135" t="n">
        <x:f>IF($H301="Independente",$F301,0)</x:f>
        <x:v>66737159.88</x:v>
      </x:c>
      <x:c r="L301" s="135" t="n">
        <x:f>IF($H301="Ligada a banco",$F301,0)</x:f>
        <x:v>0</x:v>
      </x:c>
      <x:c r="M301" s="114" t="n">
        <x:f>IF(K301&gt;0,RANK(K301,$K$6:$K$462)+COUNTIF($K$6:K301,K301)-1,9999)</x:f>
        <x:v>274</x:v>
      </x:c>
      <x:c r="N301" s="114" t="n">
        <x:f>IF(L301&gt;0,RANK(L301,$L$6:$L$462)+COUNTIF($L$6:L301,L301)-1,9999)</x:f>
        <x:v>9999</x:v>
      </x:c>
    </x:row>
    <x:row r="302">
      <x:c r="A302" s="111" t="str">
        <x:v>Perenne Investimentos</x:v>
      </x:c>
      <x:c r="B302" s="135" t="n">
        <x:v>0</x:v>
      </x:c>
      <x:c r="C302" s="135" t="n">
        <x:v>0</x:v>
      </x:c>
      <x:c r="D302" s="135" t="n">
        <x:v>0</x:v>
      </x:c>
      <x:c r="E302" s="135" t="n">
        <x:v>65828730.49</x:v>
      </x:c>
      <x:c r="F302" s="135" t="n">
        <x:f>SUM(B302:E302)</x:f>
        <x:v>65828730.49</x:v>
      </x:c>
      <x:c r="G302" s="111" t="str">
        <x:v>Independente</x:v>
      </x:c>
      <x:c r="H302" s="144" t="str">
        <x:v>Independente</x:v>
      </x:c>
      <x:c r="I302" s="111" t="str">
        <x:v>Regra residual — revisar manualmente</x:v>
      </x:c>
      <x:c r="J302" s="153" t="str">
        <x:v>Sim — alta</x:v>
      </x:c>
      <x:c r="K302" s="135" t="n">
        <x:f>IF($H302="Independente",$F302,0)</x:f>
        <x:v>65828730.49</x:v>
      </x:c>
      <x:c r="L302" s="135" t="n">
        <x:f>IF($H302="Ligada a banco",$F302,0)</x:f>
        <x:v>0</x:v>
      </x:c>
      <x:c r="M302" s="114" t="n">
        <x:f>IF(K302&gt;0,RANK(K302,$K$6:$K$462)+COUNTIF($K$6:K302,K302)-1,9999)</x:f>
        <x:v>275</x:v>
      </x:c>
      <x:c r="N302" s="114" t="n">
        <x:f>IF(L302&gt;0,RANK(L302,$L$6:$L$462)+COUNTIF($L$6:L302,L302)-1,9999)</x:f>
        <x:v>9999</x:v>
      </x:c>
    </x:row>
    <x:row r="303">
      <x:c r="A303" s="111" t="str">
        <x:v>HCS</x:v>
      </x:c>
      <x:c r="B303" s="135" t="n">
        <x:v>0</x:v>
      </x:c>
      <x:c r="C303" s="135" t="n">
        <x:v>0</x:v>
      </x:c>
      <x:c r="D303" s="135" t="n">
        <x:v>0</x:v>
      </x:c>
      <x:c r="E303" s="135" t="n">
        <x:v>64318510.16</x:v>
      </x:c>
      <x:c r="F303" s="135" t="n">
        <x:f>SUM(B303:E303)</x:f>
        <x:v>64318510.16</x:v>
      </x:c>
      <x:c r="G303" s="111" t="str">
        <x:v>Independente</x:v>
      </x:c>
      <x:c r="H303" s="144" t="str">
        <x:v>Independente</x:v>
      </x:c>
      <x:c r="I303" s="111" t="str">
        <x:v>Regra residual — revisar manualmente</x:v>
      </x:c>
      <x:c r="J303" s="153" t="str">
        <x:v>Sim — alta</x:v>
      </x:c>
      <x:c r="K303" s="135" t="n">
        <x:f>IF($H303="Independente",$F303,0)</x:f>
        <x:v>64318510.16</x:v>
      </x:c>
      <x:c r="L303" s="135" t="n">
        <x:f>IF($H303="Ligada a banco",$F303,0)</x:f>
        <x:v>0</x:v>
      </x:c>
      <x:c r="M303" s="114" t="n">
        <x:f>IF(K303&gt;0,RANK(K303,$K$6:$K$462)+COUNTIF($K$6:K303,K303)-1,9999)</x:f>
        <x:v>276</x:v>
      </x:c>
      <x:c r="N303" s="114" t="n">
        <x:f>IF(L303&gt;0,RANK(L303,$L$6:$L$462)+COUNTIF($L$6:L303,L303)-1,9999)</x:f>
        <x:v>9999</x:v>
      </x:c>
    </x:row>
    <x:row r="304">
      <x:c r="A304" s="111" t="str">
        <x:v>Alameda Gestora de Investimentos Ltda</x:v>
      </x:c>
      <x:c r="B304" s="135" t="n">
        <x:v>0</x:v>
      </x:c>
      <x:c r="C304" s="135" t="n">
        <x:v>0</x:v>
      </x:c>
      <x:c r="D304" s="135" t="n">
        <x:v>0</x:v>
      </x:c>
      <x:c r="E304" s="135" t="n">
        <x:v>63030922.35000001</x:v>
      </x:c>
      <x:c r="F304" s="135" t="n">
        <x:f>SUM(B304:E304)</x:f>
        <x:v>63030922.35000001</x:v>
      </x:c>
      <x:c r="G304" s="111" t="str">
        <x:v>Independente</x:v>
      </x:c>
      <x:c r="H304" s="144" t="str">
        <x:v>Independente</x:v>
      </x:c>
      <x:c r="I304" s="111" t="str">
        <x:v>Regra residual — revisar manualmente</x:v>
      </x:c>
      <x:c r="J304" s="153" t="str">
        <x:v>Sim — alta</x:v>
      </x:c>
      <x:c r="K304" s="135" t="n">
        <x:f>IF($H304="Independente",$F304,0)</x:f>
        <x:v>63030922.35000001</x:v>
      </x:c>
      <x:c r="L304" s="135" t="n">
        <x:f>IF($H304="Ligada a banco",$F304,0)</x:f>
        <x:v>0</x:v>
      </x:c>
      <x:c r="M304" s="114" t="n">
        <x:f>IF(K304&gt;0,RANK(K304,$K$6:$K$462)+COUNTIF($K$6:K304,K304)-1,9999)</x:f>
        <x:v>277</x:v>
      </x:c>
      <x:c r="N304" s="114" t="n">
        <x:f>IF(L304&gt;0,RANK(L304,$L$6:$L$462)+COUNTIF($L$6:L304,L304)-1,9999)</x:f>
        <x:v>9999</x:v>
      </x:c>
    </x:row>
    <x:row r="305">
      <x:c r="A305" s="111" t="str">
        <x:v>Blue Asset</x:v>
      </x:c>
      <x:c r="B305" s="135" t="n">
        <x:v>0</x:v>
      </x:c>
      <x:c r="C305" s="135" t="n">
        <x:v>62535085.349999994</x:v>
      </x:c>
      <x:c r="D305" s="135" t="n">
        <x:v>0</x:v>
      </x:c>
      <x:c r="E305" s="135" t="n">
        <x:v>0</x:v>
      </x:c>
      <x:c r="F305" s="135" t="n">
        <x:f>SUM(B305:E305)</x:f>
        <x:v>62535085.349999994</x:v>
      </x:c>
      <x:c r="G305" s="111" t="str">
        <x:v>Independente</x:v>
      </x:c>
      <x:c r="H305" s="144" t="str">
        <x:v>Independente</x:v>
      </x:c>
      <x:c r="I305" s="111" t="str">
        <x:v>Regra residual — revisar manualmente</x:v>
      </x:c>
      <x:c r="J305" s="153" t="str">
        <x:v>Sim — alta</x:v>
      </x:c>
      <x:c r="K305" s="135" t="n">
        <x:f>IF($H305="Independente",$F305,0)</x:f>
        <x:v>62535085.349999994</x:v>
      </x:c>
      <x:c r="L305" s="135" t="n">
        <x:f>IF($H305="Ligada a banco",$F305,0)</x:f>
        <x:v>0</x:v>
      </x:c>
      <x:c r="M305" s="114" t="n">
        <x:f>IF(K305&gt;0,RANK(K305,$K$6:$K$462)+COUNTIF($K$6:K305,K305)-1,9999)</x:f>
        <x:v>278</x:v>
      </x:c>
      <x:c r="N305" s="114" t="n">
        <x:f>IF(L305&gt;0,RANK(L305,$L$6:$L$462)+COUNTIF($L$6:L305,L305)-1,9999)</x:f>
        <x:v>9999</x:v>
      </x:c>
    </x:row>
    <x:row r="306">
      <x:c r="A306" s="111" t="str">
        <x:v>Monetiza Investimentos</x:v>
      </x:c>
      <x:c r="B306" s="135" t="n">
        <x:v>0</x:v>
      </x:c>
      <x:c r="C306" s="135" t="n">
        <x:v>0</x:v>
      </x:c>
      <x:c r="D306" s="135" t="n">
        <x:v>42335460.59</x:v>
      </x:c>
      <x:c r="E306" s="135" t="n">
        <x:v>17823040.86</x:v>
      </x:c>
      <x:c r="F306" s="135" t="n">
        <x:f>SUM(B306:E306)</x:f>
        <x:v>60158501.45</x:v>
      </x:c>
      <x:c r="G306" s="111" t="str">
        <x:v>Independente</x:v>
      </x:c>
      <x:c r="H306" s="144" t="str">
        <x:v>Independente</x:v>
      </x:c>
      <x:c r="I306" s="111" t="str">
        <x:v>Regra residual — revisar manualmente</x:v>
      </x:c>
      <x:c r="J306" s="153" t="str">
        <x:v>Sim — alta</x:v>
      </x:c>
      <x:c r="K306" s="135" t="n">
        <x:f>IF($H306="Independente",$F306,0)</x:f>
        <x:v>60158501.45</x:v>
      </x:c>
      <x:c r="L306" s="135" t="n">
        <x:f>IF($H306="Ligada a banco",$F306,0)</x:f>
        <x:v>0</x:v>
      </x:c>
      <x:c r="M306" s="114" t="n">
        <x:f>IF(K306&gt;0,RANK(K306,$K$6:$K$462)+COUNTIF($K$6:K306,K306)-1,9999)</x:f>
        <x:v>279</x:v>
      </x:c>
      <x:c r="N306" s="114" t="n">
        <x:f>IF(L306&gt;0,RANK(L306,$L$6:$L$462)+COUNTIF($L$6:L306,L306)-1,9999)</x:f>
        <x:v>9999</x:v>
      </x:c>
    </x:row>
    <x:row r="307">
      <x:c r="A307" s="111" t="str">
        <x:v>Real Investor Asset Management</x:v>
      </x:c>
      <x:c r="B307" s="135" t="n">
        <x:v>0</x:v>
      </x:c>
      <x:c r="C307" s="135" t="n">
        <x:v>0</x:v>
      </x:c>
      <x:c r="D307" s="135" t="n">
        <x:v>0</x:v>
      </x:c>
      <x:c r="E307" s="135" t="n">
        <x:v>58568051.99</x:v>
      </x:c>
      <x:c r="F307" s="135" t="n">
        <x:f>SUM(B307:E307)</x:f>
        <x:v>58568051.99</x:v>
      </x:c>
      <x:c r="G307" s="111" t="str">
        <x:v>Independente</x:v>
      </x:c>
      <x:c r="H307" s="144" t="str">
        <x:v>Independente</x:v>
      </x:c>
      <x:c r="I307" s="111" t="str">
        <x:v>Regra residual — revisar manualmente</x:v>
      </x:c>
      <x:c r="J307" s="153" t="str">
        <x:v>Sim — alta</x:v>
      </x:c>
      <x:c r="K307" s="135" t="n">
        <x:f>IF($H307="Independente",$F307,0)</x:f>
        <x:v>58568051.99</x:v>
      </x:c>
      <x:c r="L307" s="135" t="n">
        <x:f>IF($H307="Ligada a banco",$F307,0)</x:f>
        <x:v>0</x:v>
      </x:c>
      <x:c r="M307" s="114" t="n">
        <x:f>IF(K307&gt;0,RANK(K307,$K$6:$K$462)+COUNTIF($K$6:K307,K307)-1,9999)</x:f>
        <x:v>280</x:v>
      </x:c>
      <x:c r="N307" s="114" t="n">
        <x:f>IF(L307&gt;0,RANK(L307,$L$6:$L$462)+COUNTIF($L$6:L307,L307)-1,9999)</x:f>
        <x:v>9999</x:v>
      </x:c>
    </x:row>
    <x:row r="308">
      <x:c r="A308" s="111" t="str">
        <x:v>Hyperion</x:v>
      </x:c>
      <x:c r="B308" s="135" t="n">
        <x:v>0</x:v>
      </x:c>
      <x:c r="C308" s="135" t="n">
        <x:v>0</x:v>
      </x:c>
      <x:c r="D308" s="135" t="n">
        <x:v>0</x:v>
      </x:c>
      <x:c r="E308" s="135" t="n">
        <x:v>58179701.62</x:v>
      </x:c>
      <x:c r="F308" s="135" t="n">
        <x:f>SUM(B308:E308)</x:f>
        <x:v>58179701.62</x:v>
      </x:c>
      <x:c r="G308" s="111" t="str">
        <x:v>Independente</x:v>
      </x:c>
      <x:c r="H308" s="144" t="str">
        <x:v>Independente</x:v>
      </x:c>
      <x:c r="I308" s="111" t="str">
        <x:v>Regra residual — revisar manualmente</x:v>
      </x:c>
      <x:c r="J308" s="153" t="str">
        <x:v>Sim — alta</x:v>
      </x:c>
      <x:c r="K308" s="135" t="n">
        <x:f>IF($H308="Independente",$F308,0)</x:f>
        <x:v>58179701.62</x:v>
      </x:c>
      <x:c r="L308" s="135" t="n">
        <x:f>IF($H308="Ligada a banco",$F308,0)</x:f>
        <x:v>0</x:v>
      </x:c>
      <x:c r="M308" s="114" t="n">
        <x:f>IF(K308&gt;0,RANK(K308,$K$6:$K$462)+COUNTIF($K$6:K308,K308)-1,9999)</x:f>
        <x:v>281</x:v>
      </x:c>
      <x:c r="N308" s="114" t="n">
        <x:f>IF(L308&gt;0,RANK(L308,$L$6:$L$462)+COUNTIF($L$6:L308,L308)-1,9999)</x:f>
        <x:v>9999</x:v>
      </x:c>
    </x:row>
    <x:row r="309">
      <x:c r="A309" s="111" t="str">
        <x:v>KIJANI GESTORA DE RECURSOS LTDA.</x:v>
      </x:c>
      <x:c r="B309" s="135" t="n">
        <x:v>57300890.46</x:v>
      </x:c>
      <x:c r="C309" s="135" t="n">
        <x:v>0</x:v>
      </x:c>
      <x:c r="D309" s="135" t="n">
        <x:v>0</x:v>
      </x:c>
      <x:c r="E309" s="135" t="n">
        <x:v>0</x:v>
      </x:c>
      <x:c r="F309" s="135" t="n">
        <x:f>SUM(B309:E309)</x:f>
        <x:v>57300890.46</x:v>
      </x:c>
      <x:c r="G309" s="111" t="str">
        <x:v>Independente</x:v>
      </x:c>
      <x:c r="H309" s="144" t="str">
        <x:v>Independente</x:v>
      </x:c>
      <x:c r="I309" s="111" t="str">
        <x:v>Regra residual — revisar manualmente</x:v>
      </x:c>
      <x:c r="J309" s="153" t="str">
        <x:v>Sim — alta</x:v>
      </x:c>
      <x:c r="K309" s="135" t="n">
        <x:f>IF($H309="Independente",$F309,0)</x:f>
        <x:v>57300890.46</x:v>
      </x:c>
      <x:c r="L309" s="135" t="n">
        <x:f>IF($H309="Ligada a banco",$F309,0)</x:f>
        <x:v>0</x:v>
      </x:c>
      <x:c r="M309" s="114" t="n">
        <x:f>IF(K309&gt;0,RANK(K309,$K$6:$K$462)+COUNTIF($K$6:K309,K309)-1,9999)</x:f>
        <x:v>282</x:v>
      </x:c>
      <x:c r="N309" s="114" t="n">
        <x:f>IF(L309&gt;0,RANK(L309,$L$6:$L$462)+COUNTIF($L$6:L309,L309)-1,9999)</x:f>
        <x:v>9999</x:v>
      </x:c>
    </x:row>
    <x:row r="310">
      <x:c r="A310" s="111" t="str">
        <x:v>GCB Capital</x:v>
      </x:c>
      <x:c r="B310" s="135" t="n">
        <x:v>0</x:v>
      </x:c>
      <x:c r="C310" s="135" t="n">
        <x:v>0</x:v>
      </x:c>
      <x:c r="D310" s="135" t="n">
        <x:v>0</x:v>
      </x:c>
      <x:c r="E310" s="135" t="n">
        <x:v>57284828.34</x:v>
      </x:c>
      <x:c r="F310" s="135" t="n">
        <x:f>SUM(B310:E310)</x:f>
        <x:v>57284828.34</x:v>
      </x:c>
      <x:c r="G310" s="111" t="str">
        <x:v>Independente</x:v>
      </x:c>
      <x:c r="H310" s="144" t="str">
        <x:v>Independente</x:v>
      </x:c>
      <x:c r="I310" s="111" t="str">
        <x:v>Regra residual — revisar manualmente</x:v>
      </x:c>
      <x:c r="J310" s="153" t="str">
        <x:v>Sim — alta</x:v>
      </x:c>
      <x:c r="K310" s="135" t="n">
        <x:f>IF($H310="Independente",$F310,0)</x:f>
        <x:v>57284828.34</x:v>
      </x:c>
      <x:c r="L310" s="135" t="n">
        <x:f>IF($H310="Ligada a banco",$F310,0)</x:f>
        <x:v>0</x:v>
      </x:c>
      <x:c r="M310" s="114" t="n">
        <x:f>IF(K310&gt;0,RANK(K310,$K$6:$K$462)+COUNTIF($K$6:K310,K310)-1,9999)</x:f>
        <x:v>283</x:v>
      </x:c>
      <x:c r="N310" s="114" t="n">
        <x:f>IF(L310&gt;0,RANK(L310,$L$6:$L$462)+COUNTIF($L$6:L310,L310)-1,9999)</x:f>
        <x:v>9999</x:v>
      </x:c>
    </x:row>
    <x:row r="311">
      <x:c r="A311" s="111" t="str">
        <x:v>RJ Gestão de Recursos Ltda.</x:v>
      </x:c>
      <x:c r="B311" s="135" t="n">
        <x:v>0</x:v>
      </x:c>
      <x:c r="C311" s="135" t="n">
        <x:v>0</x:v>
      </x:c>
      <x:c r="D311" s="135" t="n">
        <x:v>22813654.839999996</x:v>
      </x:c>
      <x:c r="E311" s="135" t="n">
        <x:v>33760616.419999994</x:v>
      </x:c>
      <x:c r="F311" s="135" t="n">
        <x:f>SUM(B311:E311)</x:f>
        <x:v>56574271.25999999</x:v>
      </x:c>
      <x:c r="G311" s="111" t="str">
        <x:v>Independente</x:v>
      </x:c>
      <x:c r="H311" s="144" t="str">
        <x:v>Independente</x:v>
      </x:c>
      <x:c r="I311" s="111" t="str">
        <x:v>Regra residual — revisar manualmente</x:v>
      </x:c>
      <x:c r="J311" s="153" t="str">
        <x:v>Sim — alta</x:v>
      </x:c>
      <x:c r="K311" s="135" t="n">
        <x:f>IF($H311="Independente",$F311,0)</x:f>
        <x:v>56574271.25999999</x:v>
      </x:c>
      <x:c r="L311" s="135" t="n">
        <x:f>IF($H311="Ligada a banco",$F311,0)</x:f>
        <x:v>0</x:v>
      </x:c>
      <x:c r="M311" s="114" t="n">
        <x:f>IF(K311&gt;0,RANK(K311,$K$6:$K$462)+COUNTIF($K$6:K311,K311)-1,9999)</x:f>
        <x:v>284</x:v>
      </x:c>
      <x:c r="N311" s="114" t="n">
        <x:f>IF(L311&gt;0,RANK(L311,$L$6:$L$462)+COUNTIF($L$6:L311,L311)-1,9999)</x:f>
        <x:v>9999</x:v>
      </x:c>
    </x:row>
    <x:row r="312">
      <x:c r="A312" s="111" t="str">
        <x:v>Moka Gestora de Recursos de Terceiros LTDA.</x:v>
      </x:c>
      <x:c r="B312" s="135" t="n">
        <x:v>11880071.67</x:v>
      </x:c>
      <x:c r="C312" s="135" t="n">
        <x:v>0</x:v>
      </x:c>
      <x:c r="D312" s="135" t="n">
        <x:v>40213460.52</x:v>
      </x:c>
      <x:c r="E312" s="135" t="n">
        <x:v>2887637.99</x:v>
      </x:c>
      <x:c r="F312" s="135" t="n">
        <x:f>SUM(B312:E312)</x:f>
        <x:v>54981170.18000001</x:v>
      </x:c>
      <x:c r="G312" s="111" t="str">
        <x:v>Independente</x:v>
      </x:c>
      <x:c r="H312" s="144" t="str">
        <x:v>Independente</x:v>
      </x:c>
      <x:c r="I312" s="111" t="str">
        <x:v>Regra residual — revisar manualmente</x:v>
      </x:c>
      <x:c r="J312" s="153" t="str">
        <x:v>Sim — alta</x:v>
      </x:c>
      <x:c r="K312" s="135" t="n">
        <x:f>IF($H312="Independente",$F312,0)</x:f>
        <x:v>54981170.18000001</x:v>
      </x:c>
      <x:c r="L312" s="135" t="n">
        <x:f>IF($H312="Ligada a banco",$F312,0)</x:f>
        <x:v>0</x:v>
      </x:c>
      <x:c r="M312" s="114" t="n">
        <x:f>IF(K312&gt;0,RANK(K312,$K$6:$K$462)+COUNTIF($K$6:K312,K312)-1,9999)</x:f>
        <x:v>285</x:v>
      </x:c>
      <x:c r="N312" s="114" t="n">
        <x:f>IF(L312&gt;0,RANK(L312,$L$6:$L$462)+COUNTIF($L$6:L312,L312)-1,9999)</x:f>
        <x:v>9999</x:v>
      </x:c>
    </x:row>
    <x:row r="313">
      <x:c r="A313" s="111" t="str">
        <x:v>Mosaico Gestora de Recursos Ltda.</x:v>
      </x:c>
      <x:c r="B313" s="135" t="n">
        <x:v>0</x:v>
      </x:c>
      <x:c r="C313" s="135" t="n">
        <x:v>9795758.71</x:v>
      </x:c>
      <x:c r="D313" s="135" t="n">
        <x:v>25014795.379999995</x:v>
      </x:c>
      <x:c r="E313" s="135" t="n">
        <x:v>19895722.43</x:v>
      </x:c>
      <x:c r="F313" s="135" t="n">
        <x:f>SUM(B313:E313)</x:f>
        <x:v>54706276.519999996</x:v>
      </x:c>
      <x:c r="G313" s="111" t="str">
        <x:v>Independente</x:v>
      </x:c>
      <x:c r="H313" s="144" t="str">
        <x:v>Independente</x:v>
      </x:c>
      <x:c r="I313" s="111" t="str">
        <x:v>Regra residual — revisar manualmente</x:v>
      </x:c>
      <x:c r="J313" s="153" t="str">
        <x:v>Sim — alta</x:v>
      </x:c>
      <x:c r="K313" s="135" t="n">
        <x:f>IF($H313="Independente",$F313,0)</x:f>
        <x:v>54706276.519999996</x:v>
      </x:c>
      <x:c r="L313" s="135" t="n">
        <x:f>IF($H313="Ligada a banco",$F313,0)</x:f>
        <x:v>0</x:v>
      </x:c>
      <x:c r="M313" s="114" t="n">
        <x:f>IF(K313&gt;0,RANK(K313,$K$6:$K$462)+COUNTIF($K$6:K313,K313)-1,9999)</x:f>
        <x:v>286</x:v>
      </x:c>
      <x:c r="N313" s="114" t="n">
        <x:f>IF(L313&gt;0,RANK(L313,$L$6:$L$462)+COUNTIF($L$6:L313,L313)-1,9999)</x:f>
        <x:v>9999</x:v>
      </x:c>
    </x:row>
    <x:row r="314">
      <x:c r="A314" s="111" t="str">
        <x:v>GBM BRASIL DTVM S.A.</x:v>
      </x:c>
      <x:c r="B314" s="135" t="n">
        <x:v>0</x:v>
      </x:c>
      <x:c r="C314" s="135" t="n">
        <x:v>0</x:v>
      </x:c>
      <x:c r="D314" s="135" t="n">
        <x:v>0</x:v>
      </x:c>
      <x:c r="E314" s="135" t="n">
        <x:v>54410149.58</x:v>
      </x:c>
      <x:c r="F314" s="135" t="n">
        <x:f>SUM(B314:E314)</x:f>
        <x:v>54410149.58</x:v>
      </x:c>
      <x:c r="G314" s="111" t="str">
        <x:v>Independente</x:v>
      </x:c>
      <x:c r="H314" s="144" t="str">
        <x:v>Independente</x:v>
      </x:c>
      <x:c r="I314" s="111" t="str">
        <x:v>Regra residual — revisar manualmente</x:v>
      </x:c>
      <x:c r="J314" s="153" t="str">
        <x:v>Sim — alta</x:v>
      </x:c>
      <x:c r="K314" s="135" t="n">
        <x:f>IF($H314="Independente",$F314,0)</x:f>
        <x:v>54410149.58</x:v>
      </x:c>
      <x:c r="L314" s="135" t="n">
        <x:f>IF($H314="Ligada a banco",$F314,0)</x:f>
        <x:v>0</x:v>
      </x:c>
      <x:c r="M314" s="114" t="n">
        <x:f>IF(K314&gt;0,RANK(K314,$K$6:$K$462)+COUNTIF($K$6:K314,K314)-1,9999)</x:f>
        <x:v>287</x:v>
      </x:c>
      <x:c r="N314" s="114" t="n">
        <x:f>IF(L314&gt;0,RANK(L314,$L$6:$L$462)+COUNTIF($L$6:L314,L314)-1,9999)</x:f>
        <x:v>9999</x:v>
      </x:c>
    </x:row>
    <x:row r="315">
      <x:c r="A315" s="111" t="str">
        <x:v>Hectare Capital Gestora de Recursos Ltda</x:v>
      </x:c>
      <x:c r="B315" s="135" t="n">
        <x:v>0</x:v>
      </x:c>
      <x:c r="C315" s="135" t="n">
        <x:v>53118459.34</x:v>
      </x:c>
      <x:c r="D315" s="135" t="n">
        <x:v>0</x:v>
      </x:c>
      <x:c r="E315" s="135" t="n">
        <x:v>0</x:v>
      </x:c>
      <x:c r="F315" s="135" t="n">
        <x:f>SUM(B315:E315)</x:f>
        <x:v>53118459.34</x:v>
      </x:c>
      <x:c r="G315" s="111" t="str">
        <x:v>Independente</x:v>
      </x:c>
      <x:c r="H315" s="144" t="str">
        <x:v>Independente</x:v>
      </x:c>
      <x:c r="I315" s="111" t="str">
        <x:v>Regra residual — revisar manualmente</x:v>
      </x:c>
      <x:c r="J315" s="153" t="str">
        <x:v>Sim — alta</x:v>
      </x:c>
      <x:c r="K315" s="135" t="n">
        <x:f>IF($H315="Independente",$F315,0)</x:f>
        <x:v>53118459.34</x:v>
      </x:c>
      <x:c r="L315" s="135" t="n">
        <x:f>IF($H315="Ligada a banco",$F315,0)</x:f>
        <x:v>0</x:v>
      </x:c>
      <x:c r="M315" s="114" t="n">
        <x:f>IF(K315&gt;0,RANK(K315,$K$6:$K$462)+COUNTIF($K$6:K315,K315)-1,9999)</x:f>
        <x:v>288</x:v>
      </x:c>
      <x:c r="N315" s="114" t="n">
        <x:f>IF(L315&gt;0,RANK(L315,$L$6:$L$462)+COUNTIF($L$6:L315,L315)-1,9999)</x:f>
        <x:v>9999</x:v>
      </x:c>
    </x:row>
    <x:row r="316">
      <x:c r="A316" s="111" t="str">
        <x:v>Capitânia Invest</x:v>
      </x:c>
      <x:c r="B316" s="135" t="n">
        <x:v>0</x:v>
      </x:c>
      <x:c r="C316" s="135" t="n">
        <x:v>0</x:v>
      </x:c>
      <x:c r="D316" s="135" t="n">
        <x:v>0</x:v>
      </x:c>
      <x:c r="E316" s="135" t="n">
        <x:v>52793121.79</x:v>
      </x:c>
      <x:c r="F316" s="135" t="n">
        <x:f>SUM(B316:E316)</x:f>
        <x:v>52793121.79</x:v>
      </x:c>
      <x:c r="G316" s="111" t="str">
        <x:v>Independente</x:v>
      </x:c>
      <x:c r="H316" s="144" t="str">
        <x:v>Independente</x:v>
      </x:c>
      <x:c r="I316" s="111" t="str">
        <x:v>Regra residual — revisar manualmente</x:v>
      </x:c>
      <x:c r="J316" s="153" t="str">
        <x:v>Sim — alta</x:v>
      </x:c>
      <x:c r="K316" s="135" t="n">
        <x:f>IF($H316="Independente",$F316,0)</x:f>
        <x:v>52793121.79</x:v>
      </x:c>
      <x:c r="L316" s="135" t="n">
        <x:f>IF($H316="Ligada a banco",$F316,0)</x:f>
        <x:v>0</x:v>
      </x:c>
      <x:c r="M316" s="114" t="n">
        <x:f>IF(K316&gt;0,RANK(K316,$K$6:$K$462)+COUNTIF($K$6:K316,K316)-1,9999)</x:f>
        <x:v>289</x:v>
      </x:c>
      <x:c r="N316" s="114" t="n">
        <x:f>IF(L316&gt;0,RANK(L316,$L$6:$L$462)+COUNTIF($L$6:L316,L316)-1,9999)</x:f>
        <x:v>9999</x:v>
      </x:c>
    </x:row>
    <x:row r="317">
      <x:c r="A317" s="111" t="str">
        <x:v>PRX CAPITAL</x:v>
      </x:c>
      <x:c r="B317" s="135" t="n">
        <x:v>0</x:v>
      </x:c>
      <x:c r="C317" s="135" t="n">
        <x:v>42662204.86</x:v>
      </x:c>
      <x:c r="D317" s="135" t="n">
        <x:v>0</x:v>
      </x:c>
      <x:c r="E317" s="135" t="n">
        <x:v>9028402.58</x:v>
      </x:c>
      <x:c r="F317" s="135" t="n">
        <x:f>SUM(B317:E317)</x:f>
        <x:v>51690607.44</x:v>
      </x:c>
      <x:c r="G317" s="111" t="str">
        <x:v>Independente</x:v>
      </x:c>
      <x:c r="H317" s="144" t="str">
        <x:v>Independente</x:v>
      </x:c>
      <x:c r="I317" s="111" t="str">
        <x:v>Regra residual — revisar manualmente</x:v>
      </x:c>
      <x:c r="J317" s="153" t="str">
        <x:v>Sim — alta</x:v>
      </x:c>
      <x:c r="K317" s="135" t="n">
        <x:f>IF($H317="Independente",$F317,0)</x:f>
        <x:v>51690607.44</x:v>
      </x:c>
      <x:c r="L317" s="135" t="n">
        <x:f>IF($H317="Ligada a banco",$F317,0)</x:f>
        <x:v>0</x:v>
      </x:c>
      <x:c r="M317" s="114" t="n">
        <x:f>IF(K317&gt;0,RANK(K317,$K$6:$K$462)+COUNTIF($K$6:K317,K317)-1,9999)</x:f>
        <x:v>290</x:v>
      </x:c>
      <x:c r="N317" s="114" t="n">
        <x:f>IF(L317&gt;0,RANK(L317,$L$6:$L$462)+COUNTIF($L$6:L317,L317)-1,9999)</x:f>
        <x:v>9999</x:v>
      </x:c>
    </x:row>
    <x:row r="318">
      <x:c r="A318" s="111" t="str">
        <x:v>Limine Trust Distribuidora de Titulos e Valores Mobiliá</x:v>
      </x:c>
      <x:c r="B318" s="135" t="n">
        <x:v>0</x:v>
      </x:c>
      <x:c r="C318" s="135" t="n">
        <x:v>51005841.55</x:v>
      </x:c>
      <x:c r="D318" s="135" t="n">
        <x:v>0</x:v>
      </x:c>
      <x:c r="E318" s="135" t="n">
        <x:v>0</x:v>
      </x:c>
      <x:c r="F318" s="135" t="n">
        <x:f>SUM(B318:E318)</x:f>
        <x:v>51005841.55</x:v>
      </x:c>
      <x:c r="G318" s="111" t="str">
        <x:v>Independente</x:v>
      </x:c>
      <x:c r="H318" s="144" t="str">
        <x:v>Independente</x:v>
      </x:c>
      <x:c r="I318" s="111" t="str">
        <x:v>Regra residual — revisar manualmente</x:v>
      </x:c>
      <x:c r="J318" s="153" t="str">
        <x:v>Sim — alta</x:v>
      </x:c>
      <x:c r="K318" s="135" t="n">
        <x:f>IF($H318="Independente",$F318,0)</x:f>
        <x:v>51005841.55</x:v>
      </x:c>
      <x:c r="L318" s="135" t="n">
        <x:f>IF($H318="Ligada a banco",$F318,0)</x:f>
        <x:v>0</x:v>
      </x:c>
      <x:c r="M318" s="114" t="n">
        <x:f>IF(K318&gt;0,RANK(K318,$K$6:$K$462)+COUNTIF($K$6:K318,K318)-1,9999)</x:f>
        <x:v>291</x:v>
      </x:c>
      <x:c r="N318" s="114" t="n">
        <x:f>IF(L318&gt;0,RANK(L318,$L$6:$L$462)+COUNTIF($L$6:L318,L318)-1,9999)</x:f>
        <x:v>9999</x:v>
      </x:c>
    </x:row>
    <x:row r="319">
      <x:c r="A319" s="111" t="str">
        <x:v>Corcovado Investimentos</x:v>
      </x:c>
      <x:c r="B319" s="135" t="n">
        <x:v>0</x:v>
      </x:c>
      <x:c r="C319" s="135" t="n">
        <x:v>0</x:v>
      </x:c>
      <x:c r="D319" s="135" t="n">
        <x:v>0</x:v>
      </x:c>
      <x:c r="E319" s="135" t="n">
        <x:v>50672044.64</x:v>
      </x:c>
      <x:c r="F319" s="135" t="n">
        <x:f>SUM(B319:E319)</x:f>
        <x:v>50672044.64</x:v>
      </x:c>
      <x:c r="G319" s="111" t="str">
        <x:v>Independente</x:v>
      </x:c>
      <x:c r="H319" s="144" t="str">
        <x:v>Independente</x:v>
      </x:c>
      <x:c r="I319" s="111" t="str">
        <x:v>Regra residual — revisar manualmente</x:v>
      </x:c>
      <x:c r="J319" s="153" t="str">
        <x:v>Sim — alta</x:v>
      </x:c>
      <x:c r="K319" s="135" t="n">
        <x:f>IF($H319="Independente",$F319,0)</x:f>
        <x:v>50672044.64</x:v>
      </x:c>
      <x:c r="L319" s="135" t="n">
        <x:f>IF($H319="Ligada a banco",$F319,0)</x:f>
        <x:v>0</x:v>
      </x:c>
      <x:c r="M319" s="114" t="n">
        <x:f>IF(K319&gt;0,RANK(K319,$K$6:$K$462)+COUNTIF($K$6:K319,K319)-1,9999)</x:f>
        <x:v>292</x:v>
      </x:c>
      <x:c r="N319" s="114" t="n">
        <x:f>IF(L319&gt;0,RANK(L319,$L$6:$L$462)+COUNTIF($L$6:L319,L319)-1,9999)</x:f>
        <x:v>9999</x:v>
      </x:c>
    </x:row>
    <x:row r="320">
      <x:c r="A320" s="111" t="str">
        <x:v>SETE ASSET MANAGEMENT LTDA</x:v>
      </x:c>
      <x:c r="B320" s="135" t="n">
        <x:v>0</x:v>
      </x:c>
      <x:c r="C320" s="135" t="n">
        <x:v>0</x:v>
      </x:c>
      <x:c r="D320" s="135" t="n">
        <x:v>50317772.02</x:v>
      </x:c>
      <x:c r="E320" s="135" t="n">
        <x:v>0</x:v>
      </x:c>
      <x:c r="F320" s="135" t="n">
        <x:f>SUM(B320:E320)</x:f>
        <x:v>50317772.02</x:v>
      </x:c>
      <x:c r="G320" s="111" t="str">
        <x:v>Independente</x:v>
      </x:c>
      <x:c r="H320" s="144" t="str">
        <x:v>Independente</x:v>
      </x:c>
      <x:c r="I320" s="111" t="str">
        <x:v>Regra residual — revisar manualmente</x:v>
      </x:c>
      <x:c r="J320" s="153" t="str">
        <x:v>Sim — alta</x:v>
      </x:c>
      <x:c r="K320" s="135" t="n">
        <x:f>IF($H320="Independente",$F320,0)</x:f>
        <x:v>50317772.02</x:v>
      </x:c>
      <x:c r="L320" s="135" t="n">
        <x:f>IF($H320="Ligada a banco",$F320,0)</x:f>
        <x:v>0</x:v>
      </x:c>
      <x:c r="M320" s="114" t="n">
        <x:f>IF(K320&gt;0,RANK(K320,$K$6:$K$462)+COUNTIF($K$6:K320,K320)-1,9999)</x:f>
        <x:v>293</x:v>
      </x:c>
      <x:c r="N320" s="114" t="n">
        <x:f>IF(L320&gt;0,RANK(L320,$L$6:$L$462)+COUNTIF($L$6:L320,L320)-1,9999)</x:f>
        <x:v>9999</x:v>
      </x:c>
    </x:row>
    <x:row r="321">
      <x:c r="A321" s="111" t="str">
        <x:v>ATIVA ASSET LTDA</x:v>
      </x:c>
      <x:c r="B321" s="135" t="n">
        <x:v>0</x:v>
      </x:c>
      <x:c r="C321" s="135" t="n">
        <x:v>45842.8</x:v>
      </x:c>
      <x:c r="D321" s="135" t="n">
        <x:v>0</x:v>
      </x:c>
      <x:c r="E321" s="135" t="n">
        <x:v>49665320.20999999</x:v>
      </x:c>
      <x:c r="F321" s="135" t="n">
        <x:f>SUM(B321:E321)</x:f>
        <x:v>49711163.00999999</x:v>
      </x:c>
      <x:c r="G321" s="111" t="str">
        <x:v>Independente</x:v>
      </x:c>
      <x:c r="H321" s="144" t="str">
        <x:v>Independente</x:v>
      </x:c>
      <x:c r="I321" s="111" t="str">
        <x:v>Regra residual — revisar manualmente</x:v>
      </x:c>
      <x:c r="J321" s="153" t="str">
        <x:v>Sim — alta</x:v>
      </x:c>
      <x:c r="K321" s="135" t="n">
        <x:f>IF($H321="Independente",$F321,0)</x:f>
        <x:v>49711163.00999999</x:v>
      </x:c>
      <x:c r="L321" s="135" t="n">
        <x:f>IF($H321="Ligada a banco",$F321,0)</x:f>
        <x:v>0</x:v>
      </x:c>
      <x:c r="M321" s="114" t="n">
        <x:f>IF(K321&gt;0,RANK(K321,$K$6:$K$462)+COUNTIF($K$6:K321,K321)-1,9999)</x:f>
        <x:v>294</x:v>
      </x:c>
      <x:c r="N321" s="114" t="n">
        <x:f>IF(L321&gt;0,RANK(L321,$L$6:$L$462)+COUNTIF($L$6:L321,L321)-1,9999)</x:f>
        <x:v>9999</x:v>
      </x:c>
    </x:row>
    <x:row r="322">
      <x:c r="A322" s="111" t="str">
        <x:v>LORINVEST GESTÃO DE RECURSOS LTDA</x:v>
      </x:c>
      <x:c r="B322" s="135" t="n">
        <x:v>0</x:v>
      </x:c>
      <x:c r="C322" s="135" t="n">
        <x:v>0</x:v>
      </x:c>
      <x:c r="D322" s="135" t="n">
        <x:v>0</x:v>
      </x:c>
      <x:c r="E322" s="135" t="n">
        <x:v>48807381.21</x:v>
      </x:c>
      <x:c r="F322" s="135" t="n">
        <x:f>SUM(B322:E322)</x:f>
        <x:v>48807381.21</x:v>
      </x:c>
      <x:c r="G322" s="111" t="str">
        <x:v>Independente</x:v>
      </x:c>
      <x:c r="H322" s="144" t="str">
        <x:v>Independente</x:v>
      </x:c>
      <x:c r="I322" s="111" t="str">
        <x:v>Regra residual — revisar manualmente</x:v>
      </x:c>
      <x:c r="J322" s="153" t="str">
        <x:v>Sim — alta</x:v>
      </x:c>
      <x:c r="K322" s="135" t="n">
        <x:f>IF($H322="Independente",$F322,0)</x:f>
        <x:v>48807381.21</x:v>
      </x:c>
      <x:c r="L322" s="135" t="n">
        <x:f>IF($H322="Ligada a banco",$F322,0)</x:f>
        <x:v>0</x:v>
      </x:c>
      <x:c r="M322" s="114" t="n">
        <x:f>IF(K322&gt;0,RANK(K322,$K$6:$K$462)+COUNTIF($K$6:K322,K322)-1,9999)</x:f>
        <x:v>295</x:v>
      </x:c>
      <x:c r="N322" s="114" t="n">
        <x:f>IF(L322&gt;0,RANK(L322,$L$6:$L$462)+COUNTIF($L$6:L322,L322)-1,9999)</x:f>
        <x:v>9999</x:v>
      </x:c>
    </x:row>
    <x:row r="323">
      <x:c r="A323" s="111" t="str">
        <x:v>Onze Investimentos</x:v>
      </x:c>
      <x:c r="B323" s="135" t="n">
        <x:v>0</x:v>
      </x:c>
      <x:c r="C323" s="135" t="n">
        <x:v>48093819.25062</x:v>
      </x:c>
      <x:c r="D323" s="135" t="n">
        <x:v>0</x:v>
      </x:c>
      <x:c r="E323" s="135" t="n">
        <x:v>0</x:v>
      </x:c>
      <x:c r="F323" s="135" t="n">
        <x:f>SUM(B323:E323)</x:f>
        <x:v>48093819.25062</x:v>
      </x:c>
      <x:c r="G323" s="111" t="str">
        <x:v>Independente</x:v>
      </x:c>
      <x:c r="H323" s="144" t="str">
        <x:v>Independente</x:v>
      </x:c>
      <x:c r="I323" s="111" t="str">
        <x:v>Regra residual — revisar manualmente</x:v>
      </x:c>
      <x:c r="J323" s="153" t="str">
        <x:v>Sim — alta</x:v>
      </x:c>
      <x:c r="K323" s="135" t="n">
        <x:f>IF($H323="Independente",$F323,0)</x:f>
        <x:v>48093819.25062</x:v>
      </x:c>
      <x:c r="L323" s="135" t="n">
        <x:f>IF($H323="Ligada a banco",$F323,0)</x:f>
        <x:v>0</x:v>
      </x:c>
      <x:c r="M323" s="114" t="n">
        <x:f>IF(K323&gt;0,RANK(K323,$K$6:$K$462)+COUNTIF($K$6:K323,K323)-1,9999)</x:f>
        <x:v>296</x:v>
      </x:c>
      <x:c r="N323" s="114" t="n">
        <x:f>IF(L323&gt;0,RANK(L323,$L$6:$L$462)+COUNTIF($L$6:L323,L323)-1,9999)</x:f>
        <x:v>9999</x:v>
      </x:c>
    </x:row>
    <x:row r="324">
      <x:c r="A324" s="111" t="str">
        <x:v>PROPRIO CAPITAL</x:v>
      </x:c>
      <x:c r="B324" s="135" t="n">
        <x:v>0</x:v>
      </x:c>
      <x:c r="C324" s="135" t="n">
        <x:v>0</x:v>
      </x:c>
      <x:c r="D324" s="135" t="n">
        <x:v>46647257.95</x:v>
      </x:c>
      <x:c r="E324" s="135" t="n">
        <x:v>0</x:v>
      </x:c>
      <x:c r="F324" s="135" t="n">
        <x:f>SUM(B324:E324)</x:f>
        <x:v>46647257.95</x:v>
      </x:c>
      <x:c r="G324" s="111" t="str">
        <x:v>Independente</x:v>
      </x:c>
      <x:c r="H324" s="144" t="str">
        <x:v>Independente</x:v>
      </x:c>
      <x:c r="I324" s="111" t="str">
        <x:v>Regra residual — revisar manualmente</x:v>
      </x:c>
      <x:c r="J324" s="153" t="str">
        <x:v>Sim — alta</x:v>
      </x:c>
      <x:c r="K324" s="135" t="n">
        <x:f>IF($H324="Independente",$F324,0)</x:f>
        <x:v>46647257.95</x:v>
      </x:c>
      <x:c r="L324" s="135" t="n">
        <x:f>IF($H324="Ligada a banco",$F324,0)</x:f>
        <x:v>0</x:v>
      </x:c>
      <x:c r="M324" s="114" t="n">
        <x:f>IF(K324&gt;0,RANK(K324,$K$6:$K$462)+COUNTIF($K$6:K324,K324)-1,9999)</x:f>
        <x:v>297</x:v>
      </x:c>
      <x:c r="N324" s="114" t="n">
        <x:f>IF(L324&gt;0,RANK(L324,$L$6:$L$462)+COUNTIF($L$6:L324,L324)-1,9999)</x:f>
        <x:v>9999</x:v>
      </x:c>
    </x:row>
    <x:row r="325">
      <x:c r="A325" s="111" t="str">
        <x:v>MACAM ASSET</x:v>
      </x:c>
      <x:c r="B325" s="135" t="n">
        <x:v>0</x:v>
      </x:c>
      <x:c r="C325" s="135" t="n">
        <x:v>0</x:v>
      </x:c>
      <x:c r="D325" s="135" t="n">
        <x:v>0</x:v>
      </x:c>
      <x:c r="E325" s="135" t="n">
        <x:v>46527520.41</x:v>
      </x:c>
      <x:c r="F325" s="135" t="n">
        <x:f>SUM(B325:E325)</x:f>
        <x:v>46527520.41</x:v>
      </x:c>
      <x:c r="G325" s="111" t="str">
        <x:v>Independente</x:v>
      </x:c>
      <x:c r="H325" s="144" t="str">
        <x:v>Independente</x:v>
      </x:c>
      <x:c r="I325" s="111" t="str">
        <x:v>Regra residual — revisar manualmente</x:v>
      </x:c>
      <x:c r="J325" s="153" t="str">
        <x:v>Sim — alta</x:v>
      </x:c>
      <x:c r="K325" s="135" t="n">
        <x:f>IF($H325="Independente",$F325,0)</x:f>
        <x:v>46527520.41</x:v>
      </x:c>
      <x:c r="L325" s="135" t="n">
        <x:f>IF($H325="Ligada a banco",$F325,0)</x:f>
        <x:v>0</x:v>
      </x:c>
      <x:c r="M325" s="114" t="n">
        <x:f>IF(K325&gt;0,RANK(K325,$K$6:$K$462)+COUNTIF($K$6:K325,K325)-1,9999)</x:f>
        <x:v>298</x:v>
      </x:c>
      <x:c r="N325" s="114" t="n">
        <x:f>IF(L325&gt;0,RANK(L325,$L$6:$L$462)+COUNTIF($L$6:L325,L325)-1,9999)</x:f>
        <x:v>9999</x:v>
      </x:c>
    </x:row>
    <x:row r="326">
      <x:c r="A326" s="111" t="str">
        <x:v>AGG Investimentos Ltda.</x:v>
      </x:c>
      <x:c r="B326" s="135" t="n">
        <x:v>7383443.170000002</x:v>
      </x:c>
      <x:c r="C326" s="135" t="n">
        <x:v>0</x:v>
      </x:c>
      <x:c r="D326" s="135" t="n">
        <x:v>0</x:v>
      </x:c>
      <x:c r="E326" s="135" t="n">
        <x:v>38750783.27</x:v>
      </x:c>
      <x:c r="F326" s="135" t="n">
        <x:f>SUM(B326:E326)</x:f>
        <x:v>46134226.440000005</x:v>
      </x:c>
      <x:c r="G326" s="111" t="str">
        <x:v>Independente</x:v>
      </x:c>
      <x:c r="H326" s="144" t="str">
        <x:v>Independente</x:v>
      </x:c>
      <x:c r="I326" s="111" t="str">
        <x:v>Regra residual — revisar manualmente</x:v>
      </x:c>
      <x:c r="J326" s="153" t="str">
        <x:v>Sim — alta</x:v>
      </x:c>
      <x:c r="K326" s="135" t="n">
        <x:f>IF($H326="Independente",$F326,0)</x:f>
        <x:v>46134226.440000005</x:v>
      </x:c>
      <x:c r="L326" s="135" t="n">
        <x:f>IF($H326="Ligada a banco",$F326,0)</x:f>
        <x:v>0</x:v>
      </x:c>
      <x:c r="M326" s="114" t="n">
        <x:f>IF(K326&gt;0,RANK(K326,$K$6:$K$462)+COUNTIF($K$6:K326,K326)-1,9999)</x:f>
        <x:v>299</x:v>
      </x:c>
      <x:c r="N326" s="114" t="n">
        <x:f>IF(L326&gt;0,RANK(L326,$L$6:$L$462)+COUNTIF($L$6:L326,L326)-1,9999)</x:f>
        <x:v>9999</x:v>
      </x:c>
    </x:row>
    <x:row r="327">
      <x:c r="A327" s="111" t="str">
        <x:v>KMT ASSET MANAGEMENT</x:v>
      </x:c>
      <x:c r="B327" s="135" t="n">
        <x:v>0</x:v>
      </x:c>
      <x:c r="C327" s="135" t="n">
        <x:v>0</x:v>
      </x:c>
      <x:c r="D327" s="135" t="n">
        <x:v>45969692.45</x:v>
      </x:c>
      <x:c r="E327" s="135" t="n">
        <x:v>0</x:v>
      </x:c>
      <x:c r="F327" s="135" t="n">
        <x:f>SUM(B327:E327)</x:f>
        <x:v>45969692.45</x:v>
      </x:c>
      <x:c r="G327" s="111" t="str">
        <x:v>Independente</x:v>
      </x:c>
      <x:c r="H327" s="144" t="str">
        <x:v>Independente</x:v>
      </x:c>
      <x:c r="I327" s="111" t="str">
        <x:v>Regra residual — revisar manualmente</x:v>
      </x:c>
      <x:c r="J327" s="153" t="str">
        <x:v>Sim — alta</x:v>
      </x:c>
      <x:c r="K327" s="135" t="n">
        <x:f>IF($H327="Independente",$F327,0)</x:f>
        <x:v>45969692.45</x:v>
      </x:c>
      <x:c r="L327" s="135" t="n">
        <x:f>IF($H327="Ligada a banco",$F327,0)</x:f>
        <x:v>0</x:v>
      </x:c>
      <x:c r="M327" s="114" t="n">
        <x:f>IF(K327&gt;0,RANK(K327,$K$6:$K$462)+COUNTIF($K$6:K327,K327)-1,9999)</x:f>
        <x:v>300</x:v>
      </x:c>
      <x:c r="N327" s="114" t="n">
        <x:f>IF(L327&gt;0,RANK(L327,$L$6:$L$462)+COUNTIF($L$6:L327,L327)-1,9999)</x:f>
        <x:v>9999</x:v>
      </x:c>
    </x:row>
    <x:row r="328">
      <x:c r="A328" s="111" t="str">
        <x:v>IBBRA GESTÃO</x:v>
      </x:c>
      <x:c r="B328" s="135" t="n">
        <x:v>0</x:v>
      </x:c>
      <x:c r="C328" s="135" t="n">
        <x:v>0</x:v>
      </x:c>
      <x:c r="D328" s="135" t="n">
        <x:v>0</x:v>
      </x:c>
      <x:c r="E328" s="135" t="n">
        <x:v>43351775.04</x:v>
      </x:c>
      <x:c r="F328" s="135" t="n">
        <x:f>SUM(B328:E328)</x:f>
        <x:v>43351775.04</x:v>
      </x:c>
      <x:c r="G328" s="111" t="str">
        <x:v>Independente</x:v>
      </x:c>
      <x:c r="H328" s="144" t="str">
        <x:v>Independente</x:v>
      </x:c>
      <x:c r="I328" s="111" t="str">
        <x:v>Regra residual — revisar manualmente</x:v>
      </x:c>
      <x:c r="J328" s="153" t="str">
        <x:v>Sim — alta</x:v>
      </x:c>
      <x:c r="K328" s="135" t="n">
        <x:f>IF($H328="Independente",$F328,0)</x:f>
        <x:v>43351775.04</x:v>
      </x:c>
      <x:c r="L328" s="135" t="n">
        <x:f>IF($H328="Ligada a banco",$F328,0)</x:f>
        <x:v>0</x:v>
      </x:c>
      <x:c r="M328" s="114" t="n">
        <x:f>IF(K328&gt;0,RANK(K328,$K$6:$K$462)+COUNTIF($K$6:K328,K328)-1,9999)</x:f>
        <x:v>301</x:v>
      </x:c>
      <x:c r="N328" s="114" t="n">
        <x:f>IF(L328&gt;0,RANK(L328,$L$6:$L$462)+COUNTIF($L$6:L328,L328)-1,9999)</x:f>
        <x:v>9999</x:v>
      </x:c>
    </x:row>
    <x:row r="329">
      <x:c r="A329" s="111" t="str">
        <x:v>AF Invest</x:v>
      </x:c>
      <x:c r="B329" s="135" t="n">
        <x:v>0</x:v>
      </x:c>
      <x:c r="C329" s="135" t="n">
        <x:v>0</x:v>
      </x:c>
      <x:c r="D329" s="135" t="n">
        <x:v>12502184.680000002</x:v>
      </x:c>
      <x:c r="E329" s="135" t="n">
        <x:v>30640830</x:v>
      </x:c>
      <x:c r="F329" s="135" t="n">
        <x:f>SUM(B329:E329)</x:f>
        <x:v>43143014.68</x:v>
      </x:c>
      <x:c r="G329" s="111" t="str">
        <x:v>Independente</x:v>
      </x:c>
      <x:c r="H329" s="144" t="str">
        <x:v>Independente</x:v>
      </x:c>
      <x:c r="I329" s="111" t="str">
        <x:v>Regra residual — revisar manualmente</x:v>
      </x:c>
      <x:c r="J329" s="153" t="str">
        <x:v>Sim — alta</x:v>
      </x:c>
      <x:c r="K329" s="135" t="n">
        <x:f>IF($H329="Independente",$F329,0)</x:f>
        <x:v>43143014.68</x:v>
      </x:c>
      <x:c r="L329" s="135" t="n">
        <x:f>IF($H329="Ligada a banco",$F329,0)</x:f>
        <x:v>0</x:v>
      </x:c>
      <x:c r="M329" s="114" t="n">
        <x:f>IF(K329&gt;0,RANK(K329,$K$6:$K$462)+COUNTIF($K$6:K329,K329)-1,9999)</x:f>
        <x:v>302</x:v>
      </x:c>
      <x:c r="N329" s="114" t="n">
        <x:f>IF(L329&gt;0,RANK(L329,$L$6:$L$462)+COUNTIF($L$6:L329,L329)-1,9999)</x:f>
        <x:v>9999</x:v>
      </x:c>
    </x:row>
    <x:row r="330">
      <x:c r="A330" s="111" t="str">
        <x:v>Quadrante Investimentos Ltda</x:v>
      </x:c>
      <x:c r="B330" s="135" t="n">
        <x:v>0</x:v>
      </x:c>
      <x:c r="C330" s="135" t="n">
        <x:v>0</x:v>
      </x:c>
      <x:c r="D330" s="135" t="n">
        <x:v>17791522.580000002</x:v>
      </x:c>
      <x:c r="E330" s="135" t="n">
        <x:v>23527146.14</x:v>
      </x:c>
      <x:c r="F330" s="135" t="n">
        <x:f>SUM(B330:E330)</x:f>
        <x:v>41318668.72</x:v>
      </x:c>
      <x:c r="G330" s="111" t="str">
        <x:v>Independente</x:v>
      </x:c>
      <x:c r="H330" s="144" t="str">
        <x:v>Independente</x:v>
      </x:c>
      <x:c r="I330" s="111" t="str">
        <x:v>Regra residual — revisar manualmente</x:v>
      </x:c>
      <x:c r="J330" s="153" t="str">
        <x:v>Sim — alta</x:v>
      </x:c>
      <x:c r="K330" s="135" t="n">
        <x:f>IF($H330="Independente",$F330,0)</x:f>
        <x:v>41318668.72</x:v>
      </x:c>
      <x:c r="L330" s="135" t="n">
        <x:f>IF($H330="Ligada a banco",$F330,0)</x:f>
        <x:v>0</x:v>
      </x:c>
      <x:c r="M330" s="114" t="n">
        <x:f>IF(K330&gt;0,RANK(K330,$K$6:$K$462)+COUNTIF($K$6:K330,K330)-1,9999)</x:f>
        <x:v>303</x:v>
      </x:c>
      <x:c r="N330" s="114" t="n">
        <x:f>IF(L330&gt;0,RANK(L330,$L$6:$L$462)+COUNTIF($L$6:L330,L330)-1,9999)</x:f>
        <x:v>9999</x:v>
      </x:c>
    </x:row>
    <x:row r="331">
      <x:c r="A331" s="111" t="str">
        <x:v>A5 Capital Partners</x:v>
      </x:c>
      <x:c r="B331" s="135" t="n">
        <x:v>0</x:v>
      </x:c>
      <x:c r="C331" s="135" t="n">
        <x:v>40844097.92</x:v>
      </x:c>
      <x:c r="D331" s="135" t="n">
        <x:v>0</x:v>
      </x:c>
      <x:c r="E331" s="135" t="n">
        <x:v>0</x:v>
      </x:c>
      <x:c r="F331" s="135" t="n">
        <x:f>SUM(B331:E331)</x:f>
        <x:v>40844097.92</x:v>
      </x:c>
      <x:c r="G331" s="111" t="str">
        <x:v>Independente</x:v>
      </x:c>
      <x:c r="H331" s="144" t="str">
        <x:v>Independente</x:v>
      </x:c>
      <x:c r="I331" s="111" t="str">
        <x:v>Regra residual — revisar manualmente</x:v>
      </x:c>
      <x:c r="J331" s="153" t="str">
        <x:v>Sim — alta</x:v>
      </x:c>
      <x:c r="K331" s="135" t="n">
        <x:f>IF($H331="Independente",$F331,0)</x:f>
        <x:v>40844097.92</x:v>
      </x:c>
      <x:c r="L331" s="135" t="n">
        <x:f>IF($H331="Ligada a banco",$F331,0)</x:f>
        <x:v>0</x:v>
      </x:c>
      <x:c r="M331" s="114" t="n">
        <x:f>IF(K331&gt;0,RANK(K331,$K$6:$K$462)+COUNTIF($K$6:K331,K331)-1,9999)</x:f>
        <x:v>304</x:v>
      </x:c>
      <x:c r="N331" s="114" t="n">
        <x:f>IF(L331&gt;0,RANK(L331,$L$6:$L$462)+COUNTIF($L$6:L331,L331)-1,9999)</x:f>
        <x:v>9999</x:v>
      </x:c>
    </x:row>
    <x:row r="332">
      <x:c r="A332" s="111" t="str">
        <x:v>Plural</x:v>
      </x:c>
      <x:c r="B332" s="135" t="n">
        <x:v>1325934.94</x:v>
      </x:c>
      <x:c r="C332" s="135" t="n">
        <x:v>0</x:v>
      </x:c>
      <x:c r="D332" s="135" t="n">
        <x:v>0</x:v>
      </x:c>
      <x:c r="E332" s="135" t="n">
        <x:v>38989008.79</x:v>
      </x:c>
      <x:c r="F332" s="135" t="n">
        <x:f>SUM(B332:E332)</x:f>
        <x:v>40314943.73</x:v>
      </x:c>
      <x:c r="G332" s="111" t="str">
        <x:v>Ligada a banco</x:v>
      </x:c>
      <x:c r="H332" s="144" t="str">
        <x:v>Ligada a banco</x:v>
      </x:c>
      <x:c r="I332" s="111" t="str">
        <x:v>Regra nominal: PLURAL</x:v>
      </x:c>
      <x:c r="J332" s="153" t="str">
        <x:v>Confirmar</x:v>
      </x:c>
      <x:c r="K332" s="135" t="n">
        <x:f>IF($H332="Independente",$F332,0)</x:f>
        <x:v>0</x:v>
      </x:c>
      <x:c r="L332" s="135" t="n">
        <x:f>IF($H332="Ligada a banco",$F332,0)</x:f>
        <x:v>40314943.73</x:v>
      </x:c>
      <x:c r="M332" s="114" t="n">
        <x:f>IF(K332&gt;0,RANK(K332,$K$6:$K$462)+COUNTIF($K$6:K332,K332)-1,9999)</x:f>
        <x:v>9999</x:v>
      </x:c>
      <x:c r="N332" s="114" t="n">
        <x:f>IF(L332&gt;0,RANK(L332,$L$6:$L$462)+COUNTIF($L$6:L332,L332)-1,9999)</x:f>
        <x:v>23</x:v>
      </x:c>
    </x:row>
    <x:row r="333">
      <x:c r="A333" s="111" t="str">
        <x:v>AWARE GESTÃO DE RECURSOS LTDA</x:v>
      </x:c>
      <x:c r="B333" s="135" t="n">
        <x:v>0</x:v>
      </x:c>
      <x:c r="C333" s="135" t="n">
        <x:v>0</x:v>
      </x:c>
      <x:c r="D333" s="135" t="n">
        <x:v>0</x:v>
      </x:c>
      <x:c r="E333" s="135" t="n">
        <x:v>39891540.349999994</x:v>
      </x:c>
      <x:c r="F333" s="135" t="n">
        <x:f>SUM(B333:E333)</x:f>
        <x:v>39891540.349999994</x:v>
      </x:c>
      <x:c r="G333" s="111" t="str">
        <x:v>Independente</x:v>
      </x:c>
      <x:c r="H333" s="144" t="str">
        <x:v>Independente</x:v>
      </x:c>
      <x:c r="I333" s="111" t="str">
        <x:v>Regra residual — revisar manualmente</x:v>
      </x:c>
      <x:c r="J333" s="153" t="str">
        <x:v>Sim — alta</x:v>
      </x:c>
      <x:c r="K333" s="135" t="n">
        <x:f>IF($H333="Independente",$F333,0)</x:f>
        <x:v>39891540.349999994</x:v>
      </x:c>
      <x:c r="L333" s="135" t="n">
        <x:f>IF($H333="Ligada a banco",$F333,0)</x:f>
        <x:v>0</x:v>
      </x:c>
      <x:c r="M333" s="114" t="n">
        <x:f>IF(K333&gt;0,RANK(K333,$K$6:$K$462)+COUNTIF($K$6:K333,K333)-1,9999)</x:f>
        <x:v>305</x:v>
      </x:c>
      <x:c r="N333" s="114" t="n">
        <x:f>IF(L333&gt;0,RANK(L333,$L$6:$L$462)+COUNTIF($L$6:L333,L333)-1,9999)</x:f>
        <x:v>9999</x:v>
      </x:c>
    </x:row>
    <x:row r="334">
      <x:c r="A334" s="111" t="str">
        <x:v>Vórtx Capital Gestão de Recursos Ltda.</x:v>
      </x:c>
      <x:c r="B334" s="135" t="n">
        <x:v>0</x:v>
      </x:c>
      <x:c r="C334" s="135" t="n">
        <x:v>39648397.41</x:v>
      </x:c>
      <x:c r="D334" s="135" t="n">
        <x:v>0</x:v>
      </x:c>
      <x:c r="E334" s="135" t="n">
        <x:v>0</x:v>
      </x:c>
      <x:c r="F334" s="135" t="n">
        <x:f>SUM(B334:E334)</x:f>
        <x:v>39648397.41</x:v>
      </x:c>
      <x:c r="G334" s="111" t="str">
        <x:v>Independente</x:v>
      </x:c>
      <x:c r="H334" s="144" t="str">
        <x:v>Independente</x:v>
      </x:c>
      <x:c r="I334" s="111" t="str">
        <x:v>Regra residual — revisar manualmente</x:v>
      </x:c>
      <x:c r="J334" s="153" t="str">
        <x:v>Sim — alta</x:v>
      </x:c>
      <x:c r="K334" s="135" t="n">
        <x:f>IF($H334="Independente",$F334,0)</x:f>
        <x:v>39648397.41</x:v>
      </x:c>
      <x:c r="L334" s="135" t="n">
        <x:f>IF($H334="Ligada a banco",$F334,0)</x:f>
        <x:v>0</x:v>
      </x:c>
      <x:c r="M334" s="114" t="n">
        <x:f>IF(K334&gt;0,RANK(K334,$K$6:$K$462)+COUNTIF($K$6:K334,K334)-1,9999)</x:f>
        <x:v>306</x:v>
      </x:c>
      <x:c r="N334" s="114" t="n">
        <x:f>IF(L334&gt;0,RANK(L334,$L$6:$L$462)+COUNTIF($L$6:L334,L334)-1,9999)</x:f>
        <x:v>9999</x:v>
      </x:c>
    </x:row>
    <x:row r="335">
      <x:c r="A335" s="111" t="str">
        <x:v>OKEAN INVEST</x:v>
      </x:c>
      <x:c r="B335" s="135" t="n">
        <x:v>0</x:v>
      </x:c>
      <x:c r="C335" s="135" t="n">
        <x:v>0</x:v>
      </x:c>
      <x:c r="D335" s="135" t="n">
        <x:v>10849379.47</x:v>
      </x:c>
      <x:c r="E335" s="135" t="n">
        <x:v>28579497.59999999</x:v>
      </x:c>
      <x:c r="F335" s="135" t="n">
        <x:f>SUM(B335:E335)</x:f>
        <x:v>39428877.06999999</x:v>
      </x:c>
      <x:c r="G335" s="111" t="str">
        <x:v>Independente</x:v>
      </x:c>
      <x:c r="H335" s="144" t="str">
        <x:v>Independente</x:v>
      </x:c>
      <x:c r="I335" s="111" t="str">
        <x:v>Regra residual — revisar manualmente</x:v>
      </x:c>
      <x:c r="J335" s="153" t="str">
        <x:v>Sim — alta</x:v>
      </x:c>
      <x:c r="K335" s="135" t="n">
        <x:f>IF($H335="Independente",$F335,0)</x:f>
        <x:v>39428877.06999999</x:v>
      </x:c>
      <x:c r="L335" s="135" t="n">
        <x:f>IF($H335="Ligada a banco",$F335,0)</x:f>
        <x:v>0</x:v>
      </x:c>
      <x:c r="M335" s="114" t="n">
        <x:f>IF(K335&gt;0,RANK(K335,$K$6:$K$462)+COUNTIF($K$6:K335,K335)-1,9999)</x:f>
        <x:v>307</x:v>
      </x:c>
      <x:c r="N335" s="114" t="n">
        <x:f>IF(L335&gt;0,RANK(L335,$L$6:$L$462)+COUNTIF($L$6:L335,L335)-1,9999)</x:f>
        <x:v>9999</x:v>
      </x:c>
    </x:row>
    <x:row r="336">
      <x:c r="A336" s="111" t="str">
        <x:v>KILIMA ASSET MANAGEMENT</x:v>
      </x:c>
      <x:c r="B336" s="135" t="n">
        <x:v>0</x:v>
      </x:c>
      <x:c r="C336" s="135" t="n">
        <x:v>0</x:v>
      </x:c>
      <x:c r="D336" s="135" t="n">
        <x:v>37545904.18</x:v>
      </x:c>
      <x:c r="E336" s="135" t="n">
        <x:v>0</x:v>
      </x:c>
      <x:c r="F336" s="135" t="n">
        <x:f>SUM(B336:E336)</x:f>
        <x:v>37545904.18</x:v>
      </x:c>
      <x:c r="G336" s="111" t="str">
        <x:v>Independente</x:v>
      </x:c>
      <x:c r="H336" s="144" t="str">
        <x:v>Independente</x:v>
      </x:c>
      <x:c r="I336" s="111" t="str">
        <x:v>Regra residual — revisar manualmente</x:v>
      </x:c>
      <x:c r="J336" s="153" t="str">
        <x:v>Sim — alta</x:v>
      </x:c>
      <x:c r="K336" s="135" t="n">
        <x:f>IF($H336="Independente",$F336,0)</x:f>
        <x:v>37545904.18</x:v>
      </x:c>
      <x:c r="L336" s="135" t="n">
        <x:f>IF($H336="Ligada a banco",$F336,0)</x:f>
        <x:v>0</x:v>
      </x:c>
      <x:c r="M336" s="114" t="n">
        <x:f>IF(K336&gt;0,RANK(K336,$K$6:$K$462)+COUNTIF($K$6:K336,K336)-1,9999)</x:f>
        <x:v>308</x:v>
      </x:c>
      <x:c r="N336" s="114" t="n">
        <x:f>IF(L336&gt;0,RANK(L336,$L$6:$L$462)+COUNTIF($L$6:L336,L336)-1,9999)</x:f>
        <x:v>9999</x:v>
      </x:c>
    </x:row>
    <x:row r="337">
      <x:c r="A337" s="111" t="str">
        <x:v>GAMA INVESTIMENTOS LTDA.</x:v>
      </x:c>
      <x:c r="B337" s="135" t="n">
        <x:v>0</x:v>
      </x:c>
      <x:c r="C337" s="135" t="n">
        <x:v>0</x:v>
      </x:c>
      <x:c r="D337" s="135" t="n">
        <x:v>0</x:v>
      </x:c>
      <x:c r="E337" s="135" t="n">
        <x:v>35655669.42999999</x:v>
      </x:c>
      <x:c r="F337" s="135" t="n">
        <x:f>SUM(B337:E337)</x:f>
        <x:v>35655669.42999999</x:v>
      </x:c>
      <x:c r="G337" s="111" t="str">
        <x:v>Independente</x:v>
      </x:c>
      <x:c r="H337" s="144" t="str">
        <x:v>Independente</x:v>
      </x:c>
      <x:c r="I337" s="111" t="str">
        <x:v>Regra residual — revisar manualmente</x:v>
      </x:c>
      <x:c r="J337" s="153" t="str">
        <x:v>Sim — alta</x:v>
      </x:c>
      <x:c r="K337" s="135" t="n">
        <x:f>IF($H337="Independente",$F337,0)</x:f>
        <x:v>35655669.42999999</x:v>
      </x:c>
      <x:c r="L337" s="135" t="n">
        <x:f>IF($H337="Ligada a banco",$F337,0)</x:f>
        <x:v>0</x:v>
      </x:c>
      <x:c r="M337" s="114" t="n">
        <x:f>IF(K337&gt;0,RANK(K337,$K$6:$K$462)+COUNTIF($K$6:K337,K337)-1,9999)</x:f>
        <x:v>309</x:v>
      </x:c>
      <x:c r="N337" s="114" t="n">
        <x:f>IF(L337&gt;0,RANK(L337,$L$6:$L$462)+COUNTIF($L$6:L337,L337)-1,9999)</x:f>
        <x:v>9999</x:v>
      </x:c>
    </x:row>
    <x:row r="338">
      <x:c r="A338" s="111" t="str">
        <x:v>Geribá Investimentos Ltda.</x:v>
      </x:c>
      <x:c r="B338" s="135" t="n">
        <x:v>0</x:v>
      </x:c>
      <x:c r="C338" s="135" t="n">
        <x:v>0</x:v>
      </x:c>
      <x:c r="D338" s="135" t="n">
        <x:v>0</x:v>
      </x:c>
      <x:c r="E338" s="135" t="n">
        <x:v>35173655.370000005</x:v>
      </x:c>
      <x:c r="F338" s="135" t="n">
        <x:f>SUM(B338:E338)</x:f>
        <x:v>35173655.370000005</x:v>
      </x:c>
      <x:c r="G338" s="111" t="str">
        <x:v>Independente</x:v>
      </x:c>
      <x:c r="H338" s="144" t="str">
        <x:v>Independente</x:v>
      </x:c>
      <x:c r="I338" s="111" t="str">
        <x:v>Regra residual — revisar manualmente</x:v>
      </x:c>
      <x:c r="J338" s="153" t="str">
        <x:v>Sim — alta</x:v>
      </x:c>
      <x:c r="K338" s="135" t="n">
        <x:f>IF($H338="Independente",$F338,0)</x:f>
        <x:v>35173655.370000005</x:v>
      </x:c>
      <x:c r="L338" s="135" t="n">
        <x:f>IF($H338="Ligada a banco",$F338,0)</x:f>
        <x:v>0</x:v>
      </x:c>
      <x:c r="M338" s="114" t="n">
        <x:f>IF(K338&gt;0,RANK(K338,$K$6:$K$462)+COUNTIF($K$6:K338,K338)-1,9999)</x:f>
        <x:v>310</x:v>
      </x:c>
      <x:c r="N338" s="114" t="n">
        <x:f>IF(L338&gt;0,RANK(L338,$L$6:$L$462)+COUNTIF($L$6:L338,L338)-1,9999)</x:f>
        <x:v>9999</x:v>
      </x:c>
    </x:row>
    <x:row r="339">
      <x:c r="A339" s="111" t="str">
        <x:v>HSO Capital</x:v>
      </x:c>
      <x:c r="B339" s="135" t="n">
        <x:v>0</x:v>
      </x:c>
      <x:c r="C339" s="135" t="n">
        <x:v>0</x:v>
      </x:c>
      <x:c r="D339" s="135" t="n">
        <x:v>0</x:v>
      </x:c>
      <x:c r="E339" s="135" t="n">
        <x:v>33903828.910000004</x:v>
      </x:c>
      <x:c r="F339" s="135" t="n">
        <x:f>SUM(B339:E339)</x:f>
        <x:v>33903828.910000004</x:v>
      </x:c>
      <x:c r="G339" s="111" t="str">
        <x:v>Independente</x:v>
      </x:c>
      <x:c r="H339" s="144" t="str">
        <x:v>Independente</x:v>
      </x:c>
      <x:c r="I339" s="111" t="str">
        <x:v>Regra residual — revisar manualmente</x:v>
      </x:c>
      <x:c r="J339" s="153" t="str">
        <x:v>Sim — alta</x:v>
      </x:c>
      <x:c r="K339" s="135" t="n">
        <x:f>IF($H339="Independente",$F339,0)</x:f>
        <x:v>33903828.910000004</x:v>
      </x:c>
      <x:c r="L339" s="135" t="n">
        <x:f>IF($H339="Ligada a banco",$F339,0)</x:f>
        <x:v>0</x:v>
      </x:c>
      <x:c r="M339" s="114" t="n">
        <x:f>IF(K339&gt;0,RANK(K339,$K$6:$K$462)+COUNTIF($K$6:K339,K339)-1,9999)</x:f>
        <x:v>311</x:v>
      </x:c>
      <x:c r="N339" s="114" t="n">
        <x:f>IF(L339&gt;0,RANK(L339,$L$6:$L$462)+COUNTIF($L$6:L339,L339)-1,9999)</x:f>
        <x:v>9999</x:v>
      </x:c>
    </x:row>
    <x:row r="340">
      <x:c r="A340" s="111" t="str">
        <x:v>Vectis Gestão</x:v>
      </x:c>
      <x:c r="B340" s="135" t="n">
        <x:v>0</x:v>
      </x:c>
      <x:c r="C340" s="135" t="n">
        <x:v>0</x:v>
      </x:c>
      <x:c r="D340" s="135" t="n">
        <x:v>0</x:v>
      </x:c>
      <x:c r="E340" s="135" t="n">
        <x:v>33402143.74</x:v>
      </x:c>
      <x:c r="F340" s="135" t="n">
        <x:f>SUM(B340:E340)</x:f>
        <x:v>33402143.74</x:v>
      </x:c>
      <x:c r="G340" s="111" t="str">
        <x:v>Independente</x:v>
      </x:c>
      <x:c r="H340" s="144" t="str">
        <x:v>Independente</x:v>
      </x:c>
      <x:c r="I340" s="111" t="str">
        <x:v>Regra residual — revisar manualmente</x:v>
      </x:c>
      <x:c r="J340" s="153" t="str">
        <x:v>Sim — alta</x:v>
      </x:c>
      <x:c r="K340" s="135" t="n">
        <x:f>IF($H340="Independente",$F340,0)</x:f>
        <x:v>33402143.74</x:v>
      </x:c>
      <x:c r="L340" s="135" t="n">
        <x:f>IF($H340="Ligada a banco",$F340,0)</x:f>
        <x:v>0</x:v>
      </x:c>
      <x:c r="M340" s="114" t="n">
        <x:f>IF(K340&gt;0,RANK(K340,$K$6:$K$462)+COUNTIF($K$6:K340,K340)-1,9999)</x:f>
        <x:v>312</x:v>
      </x:c>
      <x:c r="N340" s="114" t="n">
        <x:f>IF(L340&gt;0,RANK(L340,$L$6:$L$462)+COUNTIF($L$6:L340,L340)-1,9999)</x:f>
        <x:v>9999</x:v>
      </x:c>
    </x:row>
    <x:row r="341">
      <x:c r="A341" s="111" t="str">
        <x:v>Dhama Capital Ltda</x:v>
      </x:c>
      <x:c r="B341" s="135" t="n">
        <x:v>0</x:v>
      </x:c>
      <x:c r="C341" s="135" t="n">
        <x:v>0</x:v>
      </x:c>
      <x:c r="D341" s="135" t="n">
        <x:v>0</x:v>
      </x:c>
      <x:c r="E341" s="135" t="n">
        <x:v>33015553.6</x:v>
      </x:c>
      <x:c r="F341" s="135" t="n">
        <x:f>SUM(B341:E341)</x:f>
        <x:v>33015553.6</x:v>
      </x:c>
      <x:c r="G341" s="111" t="str">
        <x:v>Independente</x:v>
      </x:c>
      <x:c r="H341" s="144" t="str">
        <x:v>Independente</x:v>
      </x:c>
      <x:c r="I341" s="111" t="str">
        <x:v>Regra residual — revisar manualmente</x:v>
      </x:c>
      <x:c r="J341" s="153" t="str">
        <x:v>Sim — alta</x:v>
      </x:c>
      <x:c r="K341" s="135" t="n">
        <x:f>IF($H341="Independente",$F341,0)</x:f>
        <x:v>33015553.6</x:v>
      </x:c>
      <x:c r="L341" s="135" t="n">
        <x:f>IF($H341="Ligada a banco",$F341,0)</x:f>
        <x:v>0</x:v>
      </x:c>
      <x:c r="M341" s="114" t="n">
        <x:f>IF(K341&gt;0,RANK(K341,$K$6:$K$462)+COUNTIF($K$6:K341,K341)-1,9999)</x:f>
        <x:v>313</x:v>
      </x:c>
      <x:c r="N341" s="114" t="n">
        <x:f>IF(L341&gt;0,RANK(L341,$L$6:$L$462)+COUNTIF($L$6:L341,L341)-1,9999)</x:f>
        <x:v>9999</x:v>
      </x:c>
    </x:row>
    <x:row r="342">
      <x:c r="A342" s="111" t="str">
        <x:v>CATALUNYA GESTÃO DE RECURSOS LTDA .</x:v>
      </x:c>
      <x:c r="B342" s="135" t="n">
        <x:v>0</x:v>
      </x:c>
      <x:c r="C342" s="135" t="n">
        <x:v>0</x:v>
      </x:c>
      <x:c r="D342" s="135" t="n">
        <x:v>0</x:v>
      </x:c>
      <x:c r="E342" s="135" t="n">
        <x:v>31607068.36</x:v>
      </x:c>
      <x:c r="F342" s="135" t="n">
        <x:f>SUM(B342:E342)</x:f>
        <x:v>31607068.36</x:v>
      </x:c>
      <x:c r="G342" s="111" t="str">
        <x:v>Independente</x:v>
      </x:c>
      <x:c r="H342" s="144" t="str">
        <x:v>Independente</x:v>
      </x:c>
      <x:c r="I342" s="111" t="str">
        <x:v>Regra residual — revisar manualmente</x:v>
      </x:c>
      <x:c r="J342" s="153" t="str">
        <x:v>Sim — alta</x:v>
      </x:c>
      <x:c r="K342" s="135" t="n">
        <x:f>IF($H342="Independente",$F342,0)</x:f>
        <x:v>31607068.36</x:v>
      </x:c>
      <x:c r="L342" s="135" t="n">
        <x:f>IF($H342="Ligada a banco",$F342,0)</x:f>
        <x:v>0</x:v>
      </x:c>
      <x:c r="M342" s="114" t="n">
        <x:f>IF(K342&gt;0,RANK(K342,$K$6:$K$462)+COUNTIF($K$6:K342,K342)-1,9999)</x:f>
        <x:v>314</x:v>
      </x:c>
      <x:c r="N342" s="114" t="n">
        <x:f>IF(L342&gt;0,RANK(L342,$L$6:$L$462)+COUNTIF($L$6:L342,L342)-1,9999)</x:f>
        <x:v>9999</x:v>
      </x:c>
    </x:row>
    <x:row r="343">
      <x:c r="A343" s="111" t="str">
        <x:v>Exante Asset Management</x:v>
      </x:c>
      <x:c r="B343" s="135" t="n">
        <x:v>0</x:v>
      </x:c>
      <x:c r="C343" s="135" t="n">
        <x:v>0</x:v>
      </x:c>
      <x:c r="D343" s="135" t="n">
        <x:v>0</x:v>
      </x:c>
      <x:c r="E343" s="135" t="n">
        <x:v>31357233.13</x:v>
      </x:c>
      <x:c r="F343" s="135" t="n">
        <x:f>SUM(B343:E343)</x:f>
        <x:v>31357233.13</x:v>
      </x:c>
      <x:c r="G343" s="111" t="str">
        <x:v>Independente</x:v>
      </x:c>
      <x:c r="H343" s="144" t="str">
        <x:v>Independente</x:v>
      </x:c>
      <x:c r="I343" s="111" t="str">
        <x:v>Regra residual — revisar manualmente</x:v>
      </x:c>
      <x:c r="J343" s="153" t="str">
        <x:v>Sim — alta</x:v>
      </x:c>
      <x:c r="K343" s="135" t="n">
        <x:f>IF($H343="Independente",$F343,0)</x:f>
        <x:v>31357233.13</x:v>
      </x:c>
      <x:c r="L343" s="135" t="n">
        <x:f>IF($H343="Ligada a banco",$F343,0)</x:f>
        <x:v>0</x:v>
      </x:c>
      <x:c r="M343" s="114" t="n">
        <x:f>IF(K343&gt;0,RANK(K343,$K$6:$K$462)+COUNTIF($K$6:K343,K343)-1,9999)</x:f>
        <x:v>315</x:v>
      </x:c>
      <x:c r="N343" s="114" t="n">
        <x:f>IF(L343&gt;0,RANK(L343,$L$6:$L$462)+COUNTIF($L$6:L343,L343)-1,9999)</x:f>
        <x:v>9999</x:v>
      </x:c>
    </x:row>
    <x:row r="344">
      <x:c r="A344" s="111" t="str">
        <x:v>INVESTCOOP ASSET MANAGEMENT LTDA</x:v>
      </x:c>
      <x:c r="B344" s="135" t="n">
        <x:v>31204912.36</x:v>
      </x:c>
      <x:c r="C344" s="135" t="n">
        <x:v>0</x:v>
      </x:c>
      <x:c r="D344" s="135" t="n">
        <x:v>0</x:v>
      </x:c>
      <x:c r="E344" s="135" t="n">
        <x:v>0</x:v>
      </x:c>
      <x:c r="F344" s="135" t="n">
        <x:f>SUM(B344:E344)</x:f>
        <x:v>31204912.36</x:v>
      </x:c>
      <x:c r="G344" s="111" t="str">
        <x:v>Independente</x:v>
      </x:c>
      <x:c r="H344" s="144" t="str">
        <x:v>Independente</x:v>
      </x:c>
      <x:c r="I344" s="111" t="str">
        <x:v>Regra residual — revisar manualmente</x:v>
      </x:c>
      <x:c r="J344" s="153" t="str">
        <x:v>Sim — alta</x:v>
      </x:c>
      <x:c r="K344" s="135" t="n">
        <x:f>IF($H344="Independente",$F344,0)</x:f>
        <x:v>31204912.36</x:v>
      </x:c>
      <x:c r="L344" s="135" t="n">
        <x:f>IF($H344="Ligada a banco",$F344,0)</x:f>
        <x:v>0</x:v>
      </x:c>
      <x:c r="M344" s="114" t="n">
        <x:f>IF(K344&gt;0,RANK(K344,$K$6:$K$462)+COUNTIF($K$6:K344,K344)-1,9999)</x:f>
        <x:v>316</x:v>
      </x:c>
      <x:c r="N344" s="114" t="n">
        <x:f>IF(L344&gt;0,RANK(L344,$L$6:$L$462)+COUNTIF($L$6:L344,L344)-1,9999)</x:f>
        <x:v>9999</x:v>
      </x:c>
    </x:row>
    <x:row r="345">
      <x:c r="A345" s="111" t="str">
        <x:v>Maud Capital</x:v>
      </x:c>
      <x:c r="B345" s="135" t="n">
        <x:v>30667232.43</x:v>
      </x:c>
      <x:c r="C345" s="135" t="n">
        <x:v>0</x:v>
      </x:c>
      <x:c r="D345" s="135" t="n">
        <x:v>0</x:v>
      </x:c>
      <x:c r="E345" s="135" t="n">
        <x:v>0</x:v>
      </x:c>
      <x:c r="F345" s="135" t="n">
        <x:f>SUM(B345:E345)</x:f>
        <x:v>30667232.43</x:v>
      </x:c>
      <x:c r="G345" s="111" t="str">
        <x:v>Independente</x:v>
      </x:c>
      <x:c r="H345" s="144" t="str">
        <x:v>Independente</x:v>
      </x:c>
      <x:c r="I345" s="111" t="str">
        <x:v>Regra residual — revisar manualmente</x:v>
      </x:c>
      <x:c r="J345" s="153" t="str">
        <x:v>Sim — alta</x:v>
      </x:c>
      <x:c r="K345" s="135" t="n">
        <x:f>IF($H345="Independente",$F345,0)</x:f>
        <x:v>30667232.43</x:v>
      </x:c>
      <x:c r="L345" s="135" t="n">
        <x:f>IF($H345="Ligada a banco",$F345,0)</x:f>
        <x:v>0</x:v>
      </x:c>
      <x:c r="M345" s="114" t="n">
        <x:f>IF(K345&gt;0,RANK(K345,$K$6:$K$462)+COUNTIF($K$6:K345,K345)-1,9999)</x:f>
        <x:v>317</x:v>
      </x:c>
      <x:c r="N345" s="114" t="n">
        <x:f>IF(L345&gt;0,RANK(L345,$L$6:$L$462)+COUNTIF($L$6:L345,L345)-1,9999)</x:f>
        <x:v>9999</x:v>
      </x:c>
    </x:row>
    <x:row r="346">
      <x:c r="A346" s="111" t="str">
        <x:v>HEADINVEST ASSET</x:v>
      </x:c>
      <x:c r="B346" s="135" t="n">
        <x:v>0</x:v>
      </x:c>
      <x:c r="C346" s="135" t="n">
        <x:v>2279409.94</x:v>
      </x:c>
      <x:c r="D346" s="135" t="n">
        <x:v>0</x:v>
      </x:c>
      <x:c r="E346" s="135" t="n">
        <x:v>27208019.84</x:v>
      </x:c>
      <x:c r="F346" s="135" t="n">
        <x:f>SUM(B346:E346)</x:f>
        <x:v>29487429.78</x:v>
      </x:c>
      <x:c r="G346" s="111" t="str">
        <x:v>Independente</x:v>
      </x:c>
      <x:c r="H346" s="144" t="str">
        <x:v>Independente</x:v>
      </x:c>
      <x:c r="I346" s="111" t="str">
        <x:v>Regra residual — revisar manualmente</x:v>
      </x:c>
      <x:c r="J346" s="153" t="str">
        <x:v>Sim — alta</x:v>
      </x:c>
      <x:c r="K346" s="135" t="n">
        <x:f>IF($H346="Independente",$F346,0)</x:f>
        <x:v>29487429.78</x:v>
      </x:c>
      <x:c r="L346" s="135" t="n">
        <x:f>IF($H346="Ligada a banco",$F346,0)</x:f>
        <x:v>0</x:v>
      </x:c>
      <x:c r="M346" s="114" t="n">
        <x:f>IF(K346&gt;0,RANK(K346,$K$6:$K$462)+COUNTIF($K$6:K346,K346)-1,9999)</x:f>
        <x:v>318</x:v>
      </x:c>
      <x:c r="N346" s="114" t="n">
        <x:f>IF(L346&gt;0,RANK(L346,$L$6:$L$462)+COUNTIF($L$6:L346,L346)-1,9999)</x:f>
        <x:v>9999</x:v>
      </x:c>
    </x:row>
    <x:row r="347">
      <x:c r="A347" s="111" t="str">
        <x:v>LEGEND WM</x:v>
      </x:c>
      <x:c r="B347" s="135" t="n">
        <x:v>0</x:v>
      </x:c>
      <x:c r="C347" s="135" t="n">
        <x:v>0</x:v>
      </x:c>
      <x:c r="D347" s="135" t="n">
        <x:v>0</x:v>
      </x:c>
      <x:c r="E347" s="135" t="n">
        <x:v>29320441.55</x:v>
      </x:c>
      <x:c r="F347" s="135" t="n">
        <x:f>SUM(B347:E347)</x:f>
        <x:v>29320441.55</x:v>
      </x:c>
      <x:c r="G347" s="111" t="str">
        <x:v>Independente</x:v>
      </x:c>
      <x:c r="H347" s="144" t="str">
        <x:v>Independente</x:v>
      </x:c>
      <x:c r="I347" s="111" t="str">
        <x:v>Regra residual — revisar manualmente</x:v>
      </x:c>
      <x:c r="J347" s="153" t="str">
        <x:v>Sim — alta</x:v>
      </x:c>
      <x:c r="K347" s="135" t="n">
        <x:f>IF($H347="Independente",$F347,0)</x:f>
        <x:v>29320441.55</x:v>
      </x:c>
      <x:c r="L347" s="135" t="n">
        <x:f>IF($H347="Ligada a banco",$F347,0)</x:f>
        <x:v>0</x:v>
      </x:c>
      <x:c r="M347" s="114" t="n">
        <x:f>IF(K347&gt;0,RANK(K347,$K$6:$K$462)+COUNTIF($K$6:K347,K347)-1,9999)</x:f>
        <x:v>319</x:v>
      </x:c>
      <x:c r="N347" s="114" t="n">
        <x:f>IF(L347&gt;0,RANK(L347,$L$6:$L$462)+COUNTIF($L$6:L347,L347)-1,9999)</x:f>
        <x:v>9999</x:v>
      </x:c>
    </x:row>
    <x:row r="348">
      <x:c r="A348" s="111" t="str">
        <x:v>Horizonte Capital Gestão de Investimentos LTDA</x:v>
      </x:c>
      <x:c r="B348" s="135" t="n">
        <x:v>27530820.569999997</x:v>
      </x:c>
      <x:c r="C348" s="135" t="n">
        <x:v>0</x:v>
      </x:c>
      <x:c r="D348" s="135" t="n">
        <x:v>0</x:v>
      </x:c>
      <x:c r="E348" s="135" t="n">
        <x:v>0</x:v>
      </x:c>
      <x:c r="F348" s="135" t="n">
        <x:f>SUM(B348:E348)</x:f>
        <x:v>27530820.569999997</x:v>
      </x:c>
      <x:c r="G348" s="111" t="str">
        <x:v>Independente</x:v>
      </x:c>
      <x:c r="H348" s="144" t="str">
        <x:v>Independente</x:v>
      </x:c>
      <x:c r="I348" s="111" t="str">
        <x:v>Regra residual — revisar manualmente</x:v>
      </x:c>
      <x:c r="J348" s="153" t="str">
        <x:v>Sim — alta</x:v>
      </x:c>
      <x:c r="K348" s="135" t="n">
        <x:f>IF($H348="Independente",$F348,0)</x:f>
        <x:v>27530820.569999997</x:v>
      </x:c>
      <x:c r="L348" s="135" t="n">
        <x:f>IF($H348="Ligada a banco",$F348,0)</x:f>
        <x:v>0</x:v>
      </x:c>
      <x:c r="M348" s="114" t="n">
        <x:f>IF(K348&gt;0,RANK(K348,$K$6:$K$462)+COUNTIF($K$6:K348,K348)-1,9999)</x:f>
        <x:v>320</x:v>
      </x:c>
      <x:c r="N348" s="114" t="n">
        <x:f>IF(L348&gt;0,RANK(L348,$L$6:$L$462)+COUNTIF($L$6:L348,L348)-1,9999)</x:f>
        <x:v>9999</x:v>
      </x:c>
    </x:row>
    <x:row r="349">
      <x:c r="A349" s="111" t="str">
        <x:v>Quartzo Invest</x:v>
      </x:c>
      <x:c r="B349" s="135" t="n">
        <x:v>0</x:v>
      </x:c>
      <x:c r="C349" s="135" t="n">
        <x:v>0</x:v>
      </x:c>
      <x:c r="D349" s="135" t="n">
        <x:v>24451613.69</x:v>
      </x:c>
      <x:c r="E349" s="135" t="n">
        <x:v>2879261.2699999996</x:v>
      </x:c>
      <x:c r="F349" s="135" t="n">
        <x:f>SUM(B349:E349)</x:f>
        <x:v>27330874.96</x:v>
      </x:c>
      <x:c r="G349" s="111" t="str">
        <x:v>Independente</x:v>
      </x:c>
      <x:c r="H349" s="144" t="str">
        <x:v>Independente</x:v>
      </x:c>
      <x:c r="I349" s="111" t="str">
        <x:v>Regra residual — revisar manualmente</x:v>
      </x:c>
      <x:c r="J349" s="153" t="str">
        <x:v>Sim — alta</x:v>
      </x:c>
      <x:c r="K349" s="135" t="n">
        <x:f>IF($H349="Independente",$F349,0)</x:f>
        <x:v>27330874.96</x:v>
      </x:c>
      <x:c r="L349" s="135" t="n">
        <x:f>IF($H349="Ligada a banco",$F349,0)</x:f>
        <x:v>0</x:v>
      </x:c>
      <x:c r="M349" s="114" t="n">
        <x:f>IF(K349&gt;0,RANK(K349,$K$6:$K$462)+COUNTIF($K$6:K349,K349)-1,9999)</x:f>
        <x:v>321</x:v>
      </x:c>
      <x:c r="N349" s="114" t="n">
        <x:f>IF(L349&gt;0,RANK(L349,$L$6:$L$462)+COUNTIF($L$6:L349,L349)-1,9999)</x:f>
        <x:v>9999</x:v>
      </x:c>
    </x:row>
    <x:row r="350">
      <x:c r="A350" s="111" t="str">
        <x:v>FUNDO GARANTIDOR DE CREDITOS - FGC</x:v>
      </x:c>
      <x:c r="B350" s="135" t="n">
        <x:v>0</x:v>
      </x:c>
      <x:c r="C350" s="135" t="n">
        <x:v>26743602.3</x:v>
      </x:c>
      <x:c r="D350" s="135" t="n">
        <x:v>0</x:v>
      </x:c>
      <x:c r="E350" s="135" t="n">
        <x:v>0</x:v>
      </x:c>
      <x:c r="F350" s="135" t="n">
        <x:f>SUM(B350:E350)</x:f>
        <x:v>26743602.3</x:v>
      </x:c>
      <x:c r="G350" s="111" t="str">
        <x:v>Independente</x:v>
      </x:c>
      <x:c r="H350" s="144" t="str">
        <x:v>Independente</x:v>
      </x:c>
      <x:c r="I350" s="111" t="str">
        <x:v>Regra residual — revisar manualmente</x:v>
      </x:c>
      <x:c r="J350" s="153" t="str">
        <x:v>Sim — alta</x:v>
      </x:c>
      <x:c r="K350" s="135" t="n">
        <x:f>IF($H350="Independente",$F350,0)</x:f>
        <x:v>26743602.3</x:v>
      </x:c>
      <x:c r="L350" s="135" t="n">
        <x:f>IF($H350="Ligada a banco",$F350,0)</x:f>
        <x:v>0</x:v>
      </x:c>
      <x:c r="M350" s="114" t="n">
        <x:f>IF(K350&gt;0,RANK(K350,$K$6:$K$462)+COUNTIF($K$6:K350,K350)-1,9999)</x:f>
        <x:v>322</x:v>
      </x:c>
      <x:c r="N350" s="114" t="n">
        <x:f>IF(L350&gt;0,RANK(L350,$L$6:$L$462)+COUNTIF($L$6:L350,L350)-1,9999)</x:f>
        <x:v>9999</x:v>
      </x:c>
    </x:row>
    <x:row r="351">
      <x:c r="A351" s="111" t="str">
        <x:v>W Capital</x:v>
      </x:c>
      <x:c r="B351" s="135" t="n">
        <x:v>26320613.880000006</x:v>
      </x:c>
      <x:c r="C351" s="135" t="n">
        <x:v>0</x:v>
      </x:c>
      <x:c r="D351" s="135" t="n">
        <x:v>0</x:v>
      </x:c>
      <x:c r="E351" s="135" t="n">
        <x:v>0</x:v>
      </x:c>
      <x:c r="F351" s="135" t="n">
        <x:f>SUM(B351:E351)</x:f>
        <x:v>26320613.880000006</x:v>
      </x:c>
      <x:c r="G351" s="111" t="str">
        <x:v>Independente</x:v>
      </x:c>
      <x:c r="H351" s="144" t="str">
        <x:v>Independente</x:v>
      </x:c>
      <x:c r="I351" s="111" t="str">
        <x:v>Regra residual — revisar manualmente</x:v>
      </x:c>
      <x:c r="J351" s="153" t="str">
        <x:v>Sim — alta</x:v>
      </x:c>
      <x:c r="K351" s="135" t="n">
        <x:f>IF($H351="Independente",$F351,0)</x:f>
        <x:v>26320613.880000006</x:v>
      </x:c>
      <x:c r="L351" s="135" t="n">
        <x:f>IF($H351="Ligada a banco",$F351,0)</x:f>
        <x:v>0</x:v>
      </x:c>
      <x:c r="M351" s="114" t="n">
        <x:f>IF(K351&gt;0,RANK(K351,$K$6:$K$462)+COUNTIF($K$6:K351,K351)-1,9999)</x:f>
        <x:v>323</x:v>
      </x:c>
      <x:c r="N351" s="114" t="n">
        <x:f>IF(L351&gt;0,RANK(L351,$L$6:$L$462)+COUNTIF($L$6:L351,L351)-1,9999)</x:f>
        <x:v>9999</x:v>
      </x:c>
    </x:row>
    <x:row r="352">
      <x:c r="A352" s="111" t="str">
        <x:v>TG CORE ASSET</x:v>
      </x:c>
      <x:c r="B352" s="135" t="n">
        <x:v>0</x:v>
      </x:c>
      <x:c r="C352" s="135" t="n">
        <x:v>0</x:v>
      </x:c>
      <x:c r="D352" s="135" t="n">
        <x:v>0</x:v>
      </x:c>
      <x:c r="E352" s="135" t="n">
        <x:v>26056408.99</x:v>
      </x:c>
      <x:c r="F352" s="135" t="n">
        <x:f>SUM(B352:E352)</x:f>
        <x:v>26056408.99</x:v>
      </x:c>
      <x:c r="G352" s="111" t="str">
        <x:v>Independente</x:v>
      </x:c>
      <x:c r="H352" s="144" t="str">
        <x:v>Independente</x:v>
      </x:c>
      <x:c r="I352" s="111" t="str">
        <x:v>Regra residual — revisar manualmente</x:v>
      </x:c>
      <x:c r="J352" s="153" t="str">
        <x:v>Sim — alta</x:v>
      </x:c>
      <x:c r="K352" s="135" t="n">
        <x:f>IF($H352="Independente",$F352,0)</x:f>
        <x:v>26056408.99</x:v>
      </x:c>
      <x:c r="L352" s="135" t="n">
        <x:f>IF($H352="Ligada a banco",$F352,0)</x:f>
        <x:v>0</x:v>
      </x:c>
      <x:c r="M352" s="114" t="n">
        <x:f>IF(K352&gt;0,RANK(K352,$K$6:$K$462)+COUNTIF($K$6:K352,K352)-1,9999)</x:f>
        <x:v>324</x:v>
      </x:c>
      <x:c r="N352" s="114" t="n">
        <x:f>IF(L352&gt;0,RANK(L352,$L$6:$L$462)+COUNTIF($L$6:L352,L352)-1,9999)</x:f>
        <x:v>9999</x:v>
      </x:c>
    </x:row>
    <x:row r="353">
      <x:c r="A353" s="111" t="str">
        <x:v>WIT ASSET MANAGEMENT</x:v>
      </x:c>
      <x:c r="B353" s="135" t="n">
        <x:v>0</x:v>
      </x:c>
      <x:c r="C353" s="135" t="n">
        <x:v>0</x:v>
      </x:c>
      <x:c r="D353" s="135" t="n">
        <x:v>0</x:v>
      </x:c>
      <x:c r="E353" s="135" t="n">
        <x:v>25979018.44</x:v>
      </x:c>
      <x:c r="F353" s="135" t="n">
        <x:f>SUM(B353:E353)</x:f>
        <x:v>25979018.44</x:v>
      </x:c>
      <x:c r="G353" s="111" t="str">
        <x:v>Independente</x:v>
      </x:c>
      <x:c r="H353" s="144" t="str">
        <x:v>Independente</x:v>
      </x:c>
      <x:c r="I353" s="111" t="str">
        <x:v>Regra residual — revisar manualmente</x:v>
      </x:c>
      <x:c r="J353" s="153" t="str">
        <x:v>Sim — alta</x:v>
      </x:c>
      <x:c r="K353" s="135" t="n">
        <x:f>IF($H353="Independente",$F353,0)</x:f>
        <x:v>25979018.44</x:v>
      </x:c>
      <x:c r="L353" s="135" t="n">
        <x:f>IF($H353="Ligada a banco",$F353,0)</x:f>
        <x:v>0</x:v>
      </x:c>
      <x:c r="M353" s="114" t="n">
        <x:f>IF(K353&gt;0,RANK(K353,$K$6:$K$462)+COUNTIF($K$6:K353,K353)-1,9999)</x:f>
        <x:v>325</x:v>
      </x:c>
      <x:c r="N353" s="114" t="n">
        <x:f>IF(L353&gt;0,RANK(L353,$L$6:$L$462)+COUNTIF($L$6:L353,L353)-1,9999)</x:f>
        <x:v>9999</x:v>
      </x:c>
    </x:row>
    <x:row r="354">
      <x:c r="A354" s="111" t="str">
        <x:v>QUELUZ ASSET</x:v>
      </x:c>
      <x:c r="B354" s="135" t="n">
        <x:v>0</x:v>
      </x:c>
      <x:c r="C354" s="135" t="n">
        <x:v>0</x:v>
      </x:c>
      <x:c r="D354" s="135" t="n">
        <x:v>0</x:v>
      </x:c>
      <x:c r="E354" s="135" t="n">
        <x:v>25755110.120000005</x:v>
      </x:c>
      <x:c r="F354" s="135" t="n">
        <x:f>SUM(B354:E354)</x:f>
        <x:v>25755110.120000005</x:v>
      </x:c>
      <x:c r="G354" s="111" t="str">
        <x:v>Independente</x:v>
      </x:c>
      <x:c r="H354" s="144" t="str">
        <x:v>Independente</x:v>
      </x:c>
      <x:c r="I354" s="111" t="str">
        <x:v>Regra residual — revisar manualmente</x:v>
      </x:c>
      <x:c r="J354" s="153" t="str">
        <x:v>Sim — alta</x:v>
      </x:c>
      <x:c r="K354" s="135" t="n">
        <x:f>IF($H354="Independente",$F354,0)</x:f>
        <x:v>25755110.120000005</x:v>
      </x:c>
      <x:c r="L354" s="135" t="n">
        <x:f>IF($H354="Ligada a banco",$F354,0)</x:f>
        <x:v>0</x:v>
      </x:c>
      <x:c r="M354" s="114" t="n">
        <x:f>IF(K354&gt;0,RANK(K354,$K$6:$K$462)+COUNTIF($K$6:K354,K354)-1,9999)</x:f>
        <x:v>326</x:v>
      </x:c>
      <x:c r="N354" s="114" t="n">
        <x:f>IF(L354&gt;0,RANK(L354,$L$6:$L$462)+COUNTIF($L$6:L354,L354)-1,9999)</x:f>
        <x:v>9999</x:v>
      </x:c>
    </x:row>
    <x:row r="355">
      <x:c r="A355" s="111" t="str">
        <x:v>Latinoamericana de Investimentos e Capital Ltda</x:v>
      </x:c>
      <x:c r="B355" s="135" t="n">
        <x:v>0</x:v>
      </x:c>
      <x:c r="C355" s="135" t="n">
        <x:v>0</x:v>
      </x:c>
      <x:c r="D355" s="135" t="n">
        <x:v>0</x:v>
      </x:c>
      <x:c r="E355" s="135" t="n">
        <x:v>25657161.72</x:v>
      </x:c>
      <x:c r="F355" s="135" t="n">
        <x:f>SUM(B355:E355)</x:f>
        <x:v>25657161.72</x:v>
      </x:c>
      <x:c r="G355" s="111" t="str">
        <x:v>Independente</x:v>
      </x:c>
      <x:c r="H355" s="144" t="str">
        <x:v>Independente</x:v>
      </x:c>
      <x:c r="I355" s="111" t="str">
        <x:v>Regra residual — revisar manualmente</x:v>
      </x:c>
      <x:c r="J355" s="153" t="str">
        <x:v>Sim — alta</x:v>
      </x:c>
      <x:c r="K355" s="135" t="n">
        <x:f>IF($H355="Independente",$F355,0)</x:f>
        <x:v>25657161.72</x:v>
      </x:c>
      <x:c r="L355" s="135" t="n">
        <x:f>IF($H355="Ligada a banco",$F355,0)</x:f>
        <x:v>0</x:v>
      </x:c>
      <x:c r="M355" s="114" t="n">
        <x:f>IF(K355&gt;0,RANK(K355,$K$6:$K$462)+COUNTIF($K$6:K355,K355)-1,9999)</x:f>
        <x:v>327</x:v>
      </x:c>
      <x:c r="N355" s="114" t="n">
        <x:f>IF(L355&gt;0,RANK(L355,$L$6:$L$462)+COUNTIF($L$6:L355,L355)-1,9999)</x:f>
        <x:v>9999</x:v>
      </x:c>
    </x:row>
    <x:row r="356">
      <x:c r="A356" s="111" t="str">
        <x:v>Lakewood Investment Management</x:v>
      </x:c>
      <x:c r="B356" s="135" t="n">
        <x:v>0</x:v>
      </x:c>
      <x:c r="C356" s="135" t="n">
        <x:v>0</x:v>
      </x:c>
      <x:c r="D356" s="135" t="n">
        <x:v>0</x:v>
      </x:c>
      <x:c r="E356" s="135" t="n">
        <x:v>23080434.58</x:v>
      </x:c>
      <x:c r="F356" s="135" t="n">
        <x:f>SUM(B356:E356)</x:f>
        <x:v>23080434.58</x:v>
      </x:c>
      <x:c r="G356" s="111" t="str">
        <x:v>Independente</x:v>
      </x:c>
      <x:c r="H356" s="144" t="str">
        <x:v>Independente</x:v>
      </x:c>
      <x:c r="I356" s="111" t="str">
        <x:v>Regra residual — revisar manualmente</x:v>
      </x:c>
      <x:c r="J356" s="153" t="str">
        <x:v>Sim — alta</x:v>
      </x:c>
      <x:c r="K356" s="135" t="n">
        <x:f>IF($H356="Independente",$F356,0)</x:f>
        <x:v>23080434.58</x:v>
      </x:c>
      <x:c r="L356" s="135" t="n">
        <x:f>IF($H356="Ligada a banco",$F356,0)</x:f>
        <x:v>0</x:v>
      </x:c>
      <x:c r="M356" s="114" t="n">
        <x:f>IF(K356&gt;0,RANK(K356,$K$6:$K$462)+COUNTIF($K$6:K356,K356)-1,9999)</x:f>
        <x:v>328</x:v>
      </x:c>
      <x:c r="N356" s="114" t="n">
        <x:f>IF(L356&gt;0,RANK(L356,$L$6:$L$462)+COUNTIF($L$6:L356,L356)-1,9999)</x:f>
        <x:v>9999</x:v>
      </x:c>
    </x:row>
    <x:row r="357">
      <x:c r="A357" s="111" t="str">
        <x:v>RB Investimentos Gestão de Recursos</x:v>
      </x:c>
      <x:c r="B357" s="135" t="n">
        <x:v>22431466.65</x:v>
      </x:c>
      <x:c r="C357" s="135" t="n">
        <x:v>0</x:v>
      </x:c>
      <x:c r="D357" s="135" t="n">
        <x:v>0</x:v>
      </x:c>
      <x:c r="E357" s="135" t="n">
        <x:v>0</x:v>
      </x:c>
      <x:c r="F357" s="135" t="n">
        <x:f>SUM(B357:E357)</x:f>
        <x:v>22431466.65</x:v>
      </x:c>
      <x:c r="G357" s="111" t="str">
        <x:v>Independente</x:v>
      </x:c>
      <x:c r="H357" s="144" t="str">
        <x:v>Independente</x:v>
      </x:c>
      <x:c r="I357" s="111" t="str">
        <x:v>Regra residual — revisar manualmente</x:v>
      </x:c>
      <x:c r="J357" s="153" t="str">
        <x:v>Sim — alta</x:v>
      </x:c>
      <x:c r="K357" s="135" t="n">
        <x:f>IF($H357="Independente",$F357,0)</x:f>
        <x:v>22431466.65</x:v>
      </x:c>
      <x:c r="L357" s="135" t="n">
        <x:f>IF($H357="Ligada a banco",$F357,0)</x:f>
        <x:v>0</x:v>
      </x:c>
      <x:c r="M357" s="114" t="n">
        <x:f>IF(K357&gt;0,RANK(K357,$K$6:$K$462)+COUNTIF($K$6:K357,K357)-1,9999)</x:f>
        <x:v>329</x:v>
      </x:c>
      <x:c r="N357" s="114" t="n">
        <x:f>IF(L357&gt;0,RANK(L357,$L$6:$L$462)+COUNTIF($L$6:L357,L357)-1,9999)</x:f>
        <x:v>9999</x:v>
      </x:c>
    </x:row>
    <x:row r="358">
      <x:c r="A358" s="111" t="str">
        <x:v>Nero Capital</x:v>
      </x:c>
      <x:c r="B358" s="135" t="n">
        <x:v>0</x:v>
      </x:c>
      <x:c r="C358" s="135" t="n">
        <x:v>0</x:v>
      </x:c>
      <x:c r="D358" s="135" t="n">
        <x:v>22307624.00001</x:v>
      </x:c>
      <x:c r="E358" s="135" t="n">
        <x:v>0</x:v>
      </x:c>
      <x:c r="F358" s="135" t="n">
        <x:f>SUM(B358:E358)</x:f>
        <x:v>22307624.00001</x:v>
      </x:c>
      <x:c r="G358" s="111" t="str">
        <x:v>Independente</x:v>
      </x:c>
      <x:c r="H358" s="144" t="str">
        <x:v>Independente</x:v>
      </x:c>
      <x:c r="I358" s="111" t="str">
        <x:v>Regra residual — revisar manualmente</x:v>
      </x:c>
      <x:c r="J358" s="153" t="str">
        <x:v>Sim — alta</x:v>
      </x:c>
      <x:c r="K358" s="135" t="n">
        <x:f>IF($H358="Independente",$F358,0)</x:f>
        <x:v>22307624.00001</x:v>
      </x:c>
      <x:c r="L358" s="135" t="n">
        <x:f>IF($H358="Ligada a banco",$F358,0)</x:f>
        <x:v>0</x:v>
      </x:c>
      <x:c r="M358" s="114" t="n">
        <x:f>IF(K358&gt;0,RANK(K358,$K$6:$K$462)+COUNTIF($K$6:K358,K358)-1,9999)</x:f>
        <x:v>330</x:v>
      </x:c>
      <x:c r="N358" s="114" t="n">
        <x:f>IF(L358&gt;0,RANK(L358,$L$6:$L$462)+COUNTIF($L$6:L358,L358)-1,9999)</x:f>
        <x:v>9999</x:v>
      </x:c>
    </x:row>
    <x:row r="359">
      <x:c r="A359" s="111" t="str">
        <x:v>XVI Capital</x:v>
      </x:c>
      <x:c r="B359" s="135" t="n">
        <x:v>0</x:v>
      </x:c>
      <x:c r="C359" s="135" t="n">
        <x:v>0</x:v>
      </x:c>
      <x:c r="D359" s="135" t="n">
        <x:v>0</x:v>
      </x:c>
      <x:c r="E359" s="135" t="n">
        <x:v>21336602.35</x:v>
      </x:c>
      <x:c r="F359" s="135" t="n">
        <x:f>SUM(B359:E359)</x:f>
        <x:v>21336602.35</x:v>
      </x:c>
      <x:c r="G359" s="111" t="str">
        <x:v>Independente</x:v>
      </x:c>
      <x:c r="H359" s="144" t="str">
        <x:v>Independente</x:v>
      </x:c>
      <x:c r="I359" s="111" t="str">
        <x:v>Regra residual — revisar manualmente</x:v>
      </x:c>
      <x:c r="J359" s="153" t="str">
        <x:v>Sim — alta</x:v>
      </x:c>
      <x:c r="K359" s="135" t="n">
        <x:f>IF($H359="Independente",$F359,0)</x:f>
        <x:v>21336602.35</x:v>
      </x:c>
      <x:c r="L359" s="135" t="n">
        <x:f>IF($H359="Ligada a banco",$F359,0)</x:f>
        <x:v>0</x:v>
      </x:c>
      <x:c r="M359" s="114" t="n">
        <x:f>IF(K359&gt;0,RANK(K359,$K$6:$K$462)+COUNTIF($K$6:K359,K359)-1,9999)</x:f>
        <x:v>331</x:v>
      </x:c>
      <x:c r="N359" s="114" t="n">
        <x:f>IF(L359&gt;0,RANK(L359,$L$6:$L$462)+COUNTIF($L$6:L359,L359)-1,9999)</x:f>
        <x:v>9999</x:v>
      </x:c>
    </x:row>
    <x:row r="360">
      <x:c r="A360" s="111" t="str">
        <x:v>REAG HIERON</x:v>
      </x:c>
      <x:c r="B360" s="135" t="n">
        <x:v>0</x:v>
      </x:c>
      <x:c r="C360" s="135" t="n">
        <x:v>0</x:v>
      </x:c>
      <x:c r="D360" s="135" t="n">
        <x:v>0</x:v>
      </x:c>
      <x:c r="E360" s="135" t="n">
        <x:v>20779010.700000003</x:v>
      </x:c>
      <x:c r="F360" s="135" t="n">
        <x:f>SUM(B360:E360)</x:f>
        <x:v>20779010.700000003</x:v>
      </x:c>
      <x:c r="G360" s="111" t="str">
        <x:v>Independente</x:v>
      </x:c>
      <x:c r="H360" s="144" t="str">
        <x:v>Independente</x:v>
      </x:c>
      <x:c r="I360" s="111" t="str">
        <x:v>Regra residual — revisar manualmente</x:v>
      </x:c>
      <x:c r="J360" s="153" t="str">
        <x:v>Sim — alta</x:v>
      </x:c>
      <x:c r="K360" s="135" t="n">
        <x:f>IF($H360="Independente",$F360,0)</x:f>
        <x:v>20779010.700000003</x:v>
      </x:c>
      <x:c r="L360" s="135" t="n">
        <x:f>IF($H360="Ligada a banco",$F360,0)</x:f>
        <x:v>0</x:v>
      </x:c>
      <x:c r="M360" s="114" t="n">
        <x:f>IF(K360&gt;0,RANK(K360,$K$6:$K$462)+COUNTIF($K$6:K360,K360)-1,9999)</x:f>
        <x:v>332</x:v>
      </x:c>
      <x:c r="N360" s="114" t="n">
        <x:f>IF(L360&gt;0,RANK(L360,$L$6:$L$462)+COUNTIF($L$6:L360,L360)-1,9999)</x:f>
        <x:v>9999</x:v>
      </x:c>
    </x:row>
    <x:row r="361">
      <x:c r="A361" s="111" t="str">
        <x:v>Signal Capital</x:v>
      </x:c>
      <x:c r="B361" s="135" t="n">
        <x:v>0</x:v>
      </x:c>
      <x:c r="C361" s="135" t="n">
        <x:v>0</x:v>
      </x:c>
      <x:c r="D361" s="135" t="n">
        <x:v>0</x:v>
      </x:c>
      <x:c r="E361" s="135" t="n">
        <x:v>20657214.19</x:v>
      </x:c>
      <x:c r="F361" s="135" t="n">
        <x:f>SUM(B361:E361)</x:f>
        <x:v>20657214.19</x:v>
      </x:c>
      <x:c r="G361" s="111" t="str">
        <x:v>Independente</x:v>
      </x:c>
      <x:c r="H361" s="144" t="str">
        <x:v>Independente</x:v>
      </x:c>
      <x:c r="I361" s="111" t="str">
        <x:v>Regra residual — revisar manualmente</x:v>
      </x:c>
      <x:c r="J361" s="153" t="str">
        <x:v>Sim — alta</x:v>
      </x:c>
      <x:c r="K361" s="135" t="n">
        <x:f>IF($H361="Independente",$F361,0)</x:f>
        <x:v>20657214.19</x:v>
      </x:c>
      <x:c r="L361" s="135" t="n">
        <x:f>IF($H361="Ligada a banco",$F361,0)</x:f>
        <x:v>0</x:v>
      </x:c>
      <x:c r="M361" s="114" t="n">
        <x:f>IF(K361&gt;0,RANK(K361,$K$6:$K$462)+COUNTIF($K$6:K361,K361)-1,9999)</x:f>
        <x:v>333</x:v>
      </x:c>
      <x:c r="N361" s="114" t="n">
        <x:f>IF(L361&gt;0,RANK(L361,$L$6:$L$462)+COUNTIF($L$6:L361,L361)-1,9999)</x:f>
        <x:v>9999</x:v>
      </x:c>
    </x:row>
    <x:row r="362">
      <x:c r="A362" s="111" t="str">
        <x:v>4UM GESTÃO DE RECURSOS LTDA.</x:v>
      </x:c>
      <x:c r="B362" s="135" t="n">
        <x:v>0</x:v>
      </x:c>
      <x:c r="C362" s="135" t="n">
        <x:v>0</x:v>
      </x:c>
      <x:c r="D362" s="135" t="n">
        <x:v>0</x:v>
      </x:c>
      <x:c r="E362" s="135" t="n">
        <x:v>20291127.41</x:v>
      </x:c>
      <x:c r="F362" s="135" t="n">
        <x:f>SUM(B362:E362)</x:f>
        <x:v>20291127.41</x:v>
      </x:c>
      <x:c r="G362" s="111" t="str">
        <x:v>Independente</x:v>
      </x:c>
      <x:c r="H362" s="144" t="str">
        <x:v>Independente</x:v>
      </x:c>
      <x:c r="I362" s="111" t="str">
        <x:v>Regra residual — revisar manualmente</x:v>
      </x:c>
      <x:c r="J362" s="153" t="str">
        <x:v>Sim — alta</x:v>
      </x:c>
      <x:c r="K362" s="135" t="n">
        <x:f>IF($H362="Independente",$F362,0)</x:f>
        <x:v>20291127.41</x:v>
      </x:c>
      <x:c r="L362" s="135" t="n">
        <x:f>IF($H362="Ligada a banco",$F362,0)</x:f>
        <x:v>0</x:v>
      </x:c>
      <x:c r="M362" s="114" t="n">
        <x:f>IF(K362&gt;0,RANK(K362,$K$6:$K$462)+COUNTIF($K$6:K362,K362)-1,9999)</x:f>
        <x:v>334</x:v>
      </x:c>
      <x:c r="N362" s="114" t="n">
        <x:f>IF(L362&gt;0,RANK(L362,$L$6:$L$462)+COUNTIF($L$6:L362,L362)-1,9999)</x:f>
        <x:v>9999</x:v>
      </x:c>
    </x:row>
    <x:row r="363">
      <x:c r="A363" s="111" t="str">
        <x:v>ARM Capital</x:v>
      </x:c>
      <x:c r="B363" s="135" t="n">
        <x:v>0</x:v>
      </x:c>
      <x:c r="C363" s="135" t="n">
        <x:v>0</x:v>
      </x:c>
      <x:c r="D363" s="135" t="n">
        <x:v>0</x:v>
      </x:c>
      <x:c r="E363" s="135" t="n">
        <x:v>19962409.54</x:v>
      </x:c>
      <x:c r="F363" s="135" t="n">
        <x:f>SUM(B363:E363)</x:f>
        <x:v>19962409.54</x:v>
      </x:c>
      <x:c r="G363" s="111" t="str">
        <x:v>Independente</x:v>
      </x:c>
      <x:c r="H363" s="144" t="str">
        <x:v>Independente</x:v>
      </x:c>
      <x:c r="I363" s="111" t="str">
        <x:v>Regra residual — revisar manualmente</x:v>
      </x:c>
      <x:c r="J363" s="153" t="str">
        <x:v>Sim — alta</x:v>
      </x:c>
      <x:c r="K363" s="135" t="n">
        <x:f>IF($H363="Independente",$F363,0)</x:f>
        <x:v>19962409.54</x:v>
      </x:c>
      <x:c r="L363" s="135" t="n">
        <x:f>IF($H363="Ligada a banco",$F363,0)</x:f>
        <x:v>0</x:v>
      </x:c>
      <x:c r="M363" s="114" t="n">
        <x:f>IF(K363&gt;0,RANK(K363,$K$6:$K$462)+COUNTIF($K$6:K363,K363)-1,9999)</x:f>
        <x:v>335</x:v>
      </x:c>
      <x:c r="N363" s="114" t="n">
        <x:f>IF(L363&gt;0,RANK(L363,$L$6:$L$462)+COUNTIF($L$6:L363,L363)-1,9999)</x:f>
        <x:v>9999</x:v>
      </x:c>
    </x:row>
    <x:row r="364">
      <x:c r="A364" s="111" t="str">
        <x:v>B6 GESTORA DE RECURSOS LTDA</x:v>
      </x:c>
      <x:c r="B364" s="135" t="n">
        <x:v>0</x:v>
      </x:c>
      <x:c r="C364" s="135" t="n">
        <x:v>0</x:v>
      </x:c>
      <x:c r="D364" s="135" t="n">
        <x:v>0</x:v>
      </x:c>
      <x:c r="E364" s="135" t="n">
        <x:v>19677883.99</x:v>
      </x:c>
      <x:c r="F364" s="135" t="n">
        <x:f>SUM(B364:E364)</x:f>
        <x:v>19677883.99</x:v>
      </x:c>
      <x:c r="G364" s="111" t="str">
        <x:v>Independente</x:v>
      </x:c>
      <x:c r="H364" s="144" t="str">
        <x:v>Independente</x:v>
      </x:c>
      <x:c r="I364" s="111" t="str">
        <x:v>Regra residual — revisar manualmente</x:v>
      </x:c>
      <x:c r="J364" s="153" t="str">
        <x:v>Sim — alta</x:v>
      </x:c>
      <x:c r="K364" s="135" t="n">
        <x:f>IF($H364="Independente",$F364,0)</x:f>
        <x:v>19677883.99</x:v>
      </x:c>
      <x:c r="L364" s="135" t="n">
        <x:f>IF($H364="Ligada a banco",$F364,0)</x:f>
        <x:v>0</x:v>
      </x:c>
      <x:c r="M364" s="114" t="n">
        <x:f>IF(K364&gt;0,RANK(K364,$K$6:$K$462)+COUNTIF($K$6:K364,K364)-1,9999)</x:f>
        <x:v>336</x:v>
      </x:c>
      <x:c r="N364" s="114" t="n">
        <x:f>IF(L364&gt;0,RANK(L364,$L$6:$L$462)+COUNTIF($L$6:L364,L364)-1,9999)</x:f>
        <x:v>9999</x:v>
      </x:c>
    </x:row>
    <x:row r="365">
      <x:c r="A365" s="111" t="str">
        <x:v>Legatus Asset Management</x:v>
      </x:c>
      <x:c r="B365" s="135" t="n">
        <x:v>2586543.4800000004</x:v>
      </x:c>
      <x:c r="C365" s="135" t="n">
        <x:v>0</x:v>
      </x:c>
      <x:c r="D365" s="135" t="n">
        <x:v>0</x:v>
      </x:c>
      <x:c r="E365" s="135" t="n">
        <x:v>16515852.45</x:v>
      </x:c>
      <x:c r="F365" s="135" t="n">
        <x:f>SUM(B365:E365)</x:f>
        <x:v>19102395.93</x:v>
      </x:c>
      <x:c r="G365" s="111" t="str">
        <x:v>Independente</x:v>
      </x:c>
      <x:c r="H365" s="144" t="str">
        <x:v>Independente</x:v>
      </x:c>
      <x:c r="I365" s="111" t="str">
        <x:v>Regra residual — revisar manualmente</x:v>
      </x:c>
      <x:c r="J365" s="153" t="str">
        <x:v>Sim — alta</x:v>
      </x:c>
      <x:c r="K365" s="135" t="n">
        <x:f>IF($H365="Independente",$F365,0)</x:f>
        <x:v>19102395.93</x:v>
      </x:c>
      <x:c r="L365" s="135" t="n">
        <x:f>IF($H365="Ligada a banco",$F365,0)</x:f>
        <x:v>0</x:v>
      </x:c>
      <x:c r="M365" s="114" t="n">
        <x:f>IF(K365&gt;0,RANK(K365,$K$6:$K$462)+COUNTIF($K$6:K365,K365)-1,9999)</x:f>
        <x:v>337</x:v>
      </x:c>
      <x:c r="N365" s="114" t="n">
        <x:f>IF(L365&gt;0,RANK(L365,$L$6:$L$462)+COUNTIF($L$6:L365,L365)-1,9999)</x:f>
        <x:v>9999</x:v>
      </x:c>
    </x:row>
    <x:row r="366">
      <x:c r="A366" s="111" t="str">
        <x:v>1618 INVESTIMENTOS</x:v>
      </x:c>
      <x:c r="B366" s="135" t="n">
        <x:v>0</x:v>
      </x:c>
      <x:c r="C366" s="135" t="n">
        <x:v>0</x:v>
      </x:c>
      <x:c r="D366" s="135" t="n">
        <x:v>0</x:v>
      </x:c>
      <x:c r="E366" s="135" t="n">
        <x:v>18925146.9</x:v>
      </x:c>
      <x:c r="F366" s="135" t="n">
        <x:f>SUM(B366:E366)</x:f>
        <x:v>18925146.9</x:v>
      </x:c>
      <x:c r="G366" s="111" t="str">
        <x:v>Independente</x:v>
      </x:c>
      <x:c r="H366" s="144" t="str">
        <x:v>Independente</x:v>
      </x:c>
      <x:c r="I366" s="111" t="str">
        <x:v>Regra residual — revisar manualmente</x:v>
      </x:c>
      <x:c r="J366" s="153" t="str">
        <x:v>Sim — alta</x:v>
      </x:c>
      <x:c r="K366" s="135" t="n">
        <x:f>IF($H366="Independente",$F366,0)</x:f>
        <x:v>18925146.9</x:v>
      </x:c>
      <x:c r="L366" s="135" t="n">
        <x:f>IF($H366="Ligada a banco",$F366,0)</x:f>
        <x:v>0</x:v>
      </x:c>
      <x:c r="M366" s="114" t="n">
        <x:f>IF(K366&gt;0,RANK(K366,$K$6:$K$462)+COUNTIF($K$6:K366,K366)-1,9999)</x:f>
        <x:v>338</x:v>
      </x:c>
      <x:c r="N366" s="114" t="n">
        <x:f>IF(L366&gt;0,RANK(L366,$L$6:$L$462)+COUNTIF($L$6:L366,L366)-1,9999)</x:f>
        <x:v>9999</x:v>
      </x:c>
    </x:row>
    <x:row r="367">
      <x:c r="A367" s="111" t="str">
        <x:v>H2 ASSET MANAGEMENT LTDA</x:v>
      </x:c>
      <x:c r="B367" s="135" t="n">
        <x:v>0</x:v>
      </x:c>
      <x:c r="C367" s="135" t="n">
        <x:v>0</x:v>
      </x:c>
      <x:c r="D367" s="135" t="n">
        <x:v>0</x:v>
      </x:c>
      <x:c r="E367" s="135" t="n">
        <x:v>18749749.06</x:v>
      </x:c>
      <x:c r="F367" s="135" t="n">
        <x:f>SUM(B367:E367)</x:f>
        <x:v>18749749.06</x:v>
      </x:c>
      <x:c r="G367" s="111" t="str">
        <x:v>Independente</x:v>
      </x:c>
      <x:c r="H367" s="144" t="str">
        <x:v>Independente</x:v>
      </x:c>
      <x:c r="I367" s="111" t="str">
        <x:v>Regra residual — revisar manualmente</x:v>
      </x:c>
      <x:c r="J367" s="153" t="str">
        <x:v>Sim — alta</x:v>
      </x:c>
      <x:c r="K367" s="135" t="n">
        <x:f>IF($H367="Independente",$F367,0)</x:f>
        <x:v>18749749.06</x:v>
      </x:c>
      <x:c r="L367" s="135" t="n">
        <x:f>IF($H367="Ligada a banco",$F367,0)</x:f>
        <x:v>0</x:v>
      </x:c>
      <x:c r="M367" s="114" t="n">
        <x:f>IF(K367&gt;0,RANK(K367,$K$6:$K$462)+COUNTIF($K$6:K367,K367)-1,9999)</x:f>
        <x:v>339</x:v>
      </x:c>
      <x:c r="N367" s="114" t="n">
        <x:f>IF(L367&gt;0,RANK(L367,$L$6:$L$462)+COUNTIF($L$6:L367,L367)-1,9999)</x:f>
        <x:v>9999</x:v>
      </x:c>
    </x:row>
    <x:row r="368">
      <x:c r="A368" s="111" t="str">
        <x:v>JGP GESTAO DE RECURS</x:v>
      </x:c>
      <x:c r="B368" s="135" t="n">
        <x:v>0</x:v>
      </x:c>
      <x:c r="C368" s="135" t="n">
        <x:v>18469873.66</x:v>
      </x:c>
      <x:c r="D368" s="135" t="n">
        <x:v>0</x:v>
      </x:c>
      <x:c r="E368" s="135" t="n">
        <x:v>0</x:v>
      </x:c>
      <x:c r="F368" s="135" t="n">
        <x:f>SUM(B368:E368)</x:f>
        <x:v>18469873.66</x:v>
      </x:c>
      <x:c r="G368" s="111" t="str">
        <x:v>Independente</x:v>
      </x:c>
      <x:c r="H368" s="144" t="str">
        <x:v>Independente</x:v>
      </x:c>
      <x:c r="I368" s="111" t="str">
        <x:v>Regra residual — revisar manualmente</x:v>
      </x:c>
      <x:c r="J368" s="153" t="str">
        <x:v>Sim — alta</x:v>
      </x:c>
      <x:c r="K368" s="135" t="n">
        <x:f>IF($H368="Independente",$F368,0)</x:f>
        <x:v>18469873.66</x:v>
      </x:c>
      <x:c r="L368" s="135" t="n">
        <x:f>IF($H368="Ligada a banco",$F368,0)</x:f>
        <x:v>0</x:v>
      </x:c>
      <x:c r="M368" s="114" t="n">
        <x:f>IF(K368&gt;0,RANK(K368,$K$6:$K$462)+COUNTIF($K$6:K368,K368)-1,9999)</x:f>
        <x:v>340</x:v>
      </x:c>
      <x:c r="N368" s="114" t="n">
        <x:f>IF(L368&gt;0,RANK(L368,$L$6:$L$462)+COUNTIF($L$6:L368,L368)-1,9999)</x:f>
        <x:v>9999</x:v>
      </x:c>
    </x:row>
    <x:row r="369">
      <x:c r="A369" s="111" t="str">
        <x:v>Ponta Sul Investimentos Ltda.</x:v>
      </x:c>
      <x:c r="B369" s="135" t="n">
        <x:v>0</x:v>
      </x:c>
      <x:c r="C369" s="135" t="n">
        <x:v>0</x:v>
      </x:c>
      <x:c r="D369" s="135" t="n">
        <x:v>0</x:v>
      </x:c>
      <x:c r="E369" s="135" t="n">
        <x:v>18312916.0321</x:v>
      </x:c>
      <x:c r="F369" s="135" t="n">
        <x:f>SUM(B369:E369)</x:f>
        <x:v>18312916.0321</x:v>
      </x:c>
      <x:c r="G369" s="111" t="str">
        <x:v>Independente</x:v>
      </x:c>
      <x:c r="H369" s="144" t="str">
        <x:v>Independente</x:v>
      </x:c>
      <x:c r="I369" s="111" t="str">
        <x:v>Regra residual — revisar manualmente</x:v>
      </x:c>
      <x:c r="J369" s="153" t="str">
        <x:v>Sim — alta</x:v>
      </x:c>
      <x:c r="K369" s="135" t="n">
        <x:f>IF($H369="Independente",$F369,0)</x:f>
        <x:v>18312916.0321</x:v>
      </x:c>
      <x:c r="L369" s="135" t="n">
        <x:f>IF($H369="Ligada a banco",$F369,0)</x:f>
        <x:v>0</x:v>
      </x:c>
      <x:c r="M369" s="114" t="n">
        <x:f>IF(K369&gt;0,RANK(K369,$K$6:$K$462)+COUNTIF($K$6:K369,K369)-1,9999)</x:f>
        <x:v>341</x:v>
      </x:c>
      <x:c r="N369" s="114" t="n">
        <x:f>IF(L369&gt;0,RANK(L369,$L$6:$L$462)+COUNTIF($L$6:L369,L369)-1,9999)</x:f>
        <x:v>9999</x:v>
      </x:c>
    </x:row>
    <x:row r="370">
      <x:c r="A370" s="111" t="str">
        <x:v>Neves Asset Management</x:v>
      </x:c>
      <x:c r="B370" s="135" t="n">
        <x:v>0</x:v>
      </x:c>
      <x:c r="C370" s="135" t="n">
        <x:v>0</x:v>
      </x:c>
      <x:c r="D370" s="135" t="n">
        <x:v>0</x:v>
      </x:c>
      <x:c r="E370" s="135" t="n">
        <x:v>18005790.84</x:v>
      </x:c>
      <x:c r="F370" s="135" t="n">
        <x:f>SUM(B370:E370)</x:f>
        <x:v>18005790.84</x:v>
      </x:c>
      <x:c r="G370" s="111" t="str">
        <x:v>Independente</x:v>
      </x:c>
      <x:c r="H370" s="144" t="str">
        <x:v>Independente</x:v>
      </x:c>
      <x:c r="I370" s="111" t="str">
        <x:v>Regra residual — revisar manualmente</x:v>
      </x:c>
      <x:c r="J370" s="153" t="str">
        <x:v>Sim — alta</x:v>
      </x:c>
      <x:c r="K370" s="135" t="n">
        <x:f>IF($H370="Independente",$F370,0)</x:f>
        <x:v>18005790.84</x:v>
      </x:c>
      <x:c r="L370" s="135" t="n">
        <x:f>IF($H370="Ligada a banco",$F370,0)</x:f>
        <x:v>0</x:v>
      </x:c>
      <x:c r="M370" s="114" t="n">
        <x:f>IF(K370&gt;0,RANK(K370,$K$6:$K$462)+COUNTIF($K$6:K370,K370)-1,9999)</x:f>
        <x:v>342</x:v>
      </x:c>
      <x:c r="N370" s="114" t="n">
        <x:f>IF(L370&gt;0,RANK(L370,$L$6:$L$462)+COUNTIF($L$6:L370,L370)-1,9999)</x:f>
        <x:v>9999</x:v>
      </x:c>
    </x:row>
    <x:row r="371">
      <x:c r="A371" s="111" t="str">
        <x:v>SQUALO CAPITAL GESTORA DE RECURSOS LTDA.</x:v>
      </x:c>
      <x:c r="B371" s="135" t="n">
        <x:v>0</x:v>
      </x:c>
      <x:c r="C371" s="135" t="n">
        <x:v>0</x:v>
      </x:c>
      <x:c r="D371" s="135" t="n">
        <x:v>0</x:v>
      </x:c>
      <x:c r="E371" s="135" t="n">
        <x:v>17983423.69</x:v>
      </x:c>
      <x:c r="F371" s="135" t="n">
        <x:f>SUM(B371:E371)</x:f>
        <x:v>17983423.69</x:v>
      </x:c>
      <x:c r="G371" s="111" t="str">
        <x:v>Independente</x:v>
      </x:c>
      <x:c r="H371" s="144" t="str">
        <x:v>Independente</x:v>
      </x:c>
      <x:c r="I371" s="111" t="str">
        <x:v>Regra residual — revisar manualmente</x:v>
      </x:c>
      <x:c r="J371" s="153" t="str">
        <x:v>Sim — alta</x:v>
      </x:c>
      <x:c r="K371" s="135" t="n">
        <x:f>IF($H371="Independente",$F371,0)</x:f>
        <x:v>17983423.69</x:v>
      </x:c>
      <x:c r="L371" s="135" t="n">
        <x:f>IF($H371="Ligada a banco",$F371,0)</x:f>
        <x:v>0</x:v>
      </x:c>
      <x:c r="M371" s="114" t="n">
        <x:f>IF(K371&gt;0,RANK(K371,$K$6:$K$462)+COUNTIF($K$6:K371,K371)-1,9999)</x:f>
        <x:v>343</x:v>
      </x:c>
      <x:c r="N371" s="114" t="n">
        <x:f>IF(L371&gt;0,RANK(L371,$L$6:$L$462)+COUNTIF($L$6:L371,L371)-1,9999)</x:f>
        <x:v>9999</x:v>
      </x:c>
    </x:row>
    <x:row r="372">
      <x:c r="A372" s="111" t="str">
        <x:v>ALTAVISTA CAPITAL</x:v>
      </x:c>
      <x:c r="B372" s="135" t="n">
        <x:v>0</x:v>
      </x:c>
      <x:c r="C372" s="135" t="n">
        <x:v>0</x:v>
      </x:c>
      <x:c r="D372" s="135" t="n">
        <x:v>0</x:v>
      </x:c>
      <x:c r="E372" s="135" t="n">
        <x:v>16839913.57</x:v>
      </x:c>
      <x:c r="F372" s="135" t="n">
        <x:f>SUM(B372:E372)</x:f>
        <x:v>16839913.57</x:v>
      </x:c>
      <x:c r="G372" s="111" t="str">
        <x:v>Independente</x:v>
      </x:c>
      <x:c r="H372" s="144" t="str">
        <x:v>Independente</x:v>
      </x:c>
      <x:c r="I372" s="111" t="str">
        <x:v>Regra residual — revisar manualmente</x:v>
      </x:c>
      <x:c r="J372" s="153" t="str">
        <x:v>Sim — alta</x:v>
      </x:c>
      <x:c r="K372" s="135" t="n">
        <x:f>IF($H372="Independente",$F372,0)</x:f>
        <x:v>16839913.57</x:v>
      </x:c>
      <x:c r="L372" s="135" t="n">
        <x:f>IF($H372="Ligada a banco",$F372,0)</x:f>
        <x:v>0</x:v>
      </x:c>
      <x:c r="M372" s="114" t="n">
        <x:f>IF(K372&gt;0,RANK(K372,$K$6:$K$462)+COUNTIF($K$6:K372,K372)-1,9999)</x:f>
        <x:v>344</x:v>
      </x:c>
      <x:c r="N372" s="114" t="n">
        <x:f>IF(L372&gt;0,RANK(L372,$L$6:$L$462)+COUNTIF($L$6:L372,L372)-1,9999)</x:f>
        <x:v>9999</x:v>
      </x:c>
    </x:row>
    <x:row r="373">
      <x:c r="A373" s="111" t="str">
        <x:v>VBR Capital Ltda.</x:v>
      </x:c>
      <x:c r="B373" s="135" t="n">
        <x:v>0</x:v>
      </x:c>
      <x:c r="C373" s="135" t="n">
        <x:v>0</x:v>
      </x:c>
      <x:c r="D373" s="135" t="n">
        <x:v>0</x:v>
      </x:c>
      <x:c r="E373" s="135" t="n">
        <x:v>16707884.880000005</x:v>
      </x:c>
      <x:c r="F373" s="135" t="n">
        <x:f>SUM(B373:E373)</x:f>
        <x:v>16707884.880000005</x:v>
      </x:c>
      <x:c r="G373" s="111" t="str">
        <x:v>Independente</x:v>
      </x:c>
      <x:c r="H373" s="144" t="str">
        <x:v>Independente</x:v>
      </x:c>
      <x:c r="I373" s="111" t="str">
        <x:v>Regra residual — revisar manualmente</x:v>
      </x:c>
      <x:c r="J373" s="153" t="str">
        <x:v>Sim — alta</x:v>
      </x:c>
      <x:c r="K373" s="135" t="n">
        <x:f>IF($H373="Independente",$F373,0)</x:f>
        <x:v>16707884.880000005</x:v>
      </x:c>
      <x:c r="L373" s="135" t="n">
        <x:f>IF($H373="Ligada a banco",$F373,0)</x:f>
        <x:v>0</x:v>
      </x:c>
      <x:c r="M373" s="114" t="n">
        <x:f>IF(K373&gt;0,RANK(K373,$K$6:$K$462)+COUNTIF($K$6:K373,K373)-1,9999)</x:f>
        <x:v>345</x:v>
      </x:c>
      <x:c r="N373" s="114" t="n">
        <x:f>IF(L373&gt;0,RANK(L373,$L$6:$L$462)+COUNTIF($L$6:L373,L373)-1,9999)</x:f>
        <x:v>9999</x:v>
      </x:c>
    </x:row>
    <x:row r="374">
      <x:c r="A374" s="111" t="str">
        <x:v>MORRO CAPITAL GESTORA DE RECURSOS LTDA</x:v>
      </x:c>
      <x:c r="B374" s="135" t="n">
        <x:v>0</x:v>
      </x:c>
      <x:c r="C374" s="135" t="n">
        <x:v>0</x:v>
      </x:c>
      <x:c r="D374" s="135" t="n">
        <x:v>0</x:v>
      </x:c>
      <x:c r="E374" s="135" t="n">
        <x:v>15511359.239999998</x:v>
      </x:c>
      <x:c r="F374" s="135" t="n">
        <x:f>SUM(B374:E374)</x:f>
        <x:v>15511359.239999998</x:v>
      </x:c>
      <x:c r="G374" s="111" t="str">
        <x:v>Independente</x:v>
      </x:c>
      <x:c r="H374" s="144" t="str">
        <x:v>Independente</x:v>
      </x:c>
      <x:c r="I374" s="111" t="str">
        <x:v>Regra residual — revisar manualmente</x:v>
      </x:c>
      <x:c r="J374" s="153" t="str">
        <x:v>Sim — alta</x:v>
      </x:c>
      <x:c r="K374" s="135" t="n">
        <x:f>IF($H374="Independente",$F374,0)</x:f>
        <x:v>15511359.239999998</x:v>
      </x:c>
      <x:c r="L374" s="135" t="n">
        <x:f>IF($H374="Ligada a banco",$F374,0)</x:f>
        <x:v>0</x:v>
      </x:c>
      <x:c r="M374" s="114" t="n">
        <x:f>IF(K374&gt;0,RANK(K374,$K$6:$K$462)+COUNTIF($K$6:K374,K374)-1,9999)</x:f>
        <x:v>346</x:v>
      </x:c>
      <x:c r="N374" s="114" t="n">
        <x:f>IF(L374&gt;0,RANK(L374,$L$6:$L$462)+COUNTIF($L$6:L374,L374)-1,9999)</x:f>
        <x:v>9999</x:v>
      </x:c>
    </x:row>
    <x:row r="375">
      <x:c r="A375" s="111" t="str">
        <x:v>Springs Capital Ltda.</x:v>
      </x:c>
      <x:c r="B375" s="135" t="n">
        <x:v>0</x:v>
      </x:c>
      <x:c r="C375" s="135" t="n">
        <x:v>0</x:v>
      </x:c>
      <x:c r="D375" s="135" t="n">
        <x:v>0</x:v>
      </x:c>
      <x:c r="E375" s="135" t="n">
        <x:v>15328311.720000004</x:v>
      </x:c>
      <x:c r="F375" s="135" t="n">
        <x:f>SUM(B375:E375)</x:f>
        <x:v>15328311.720000004</x:v>
      </x:c>
      <x:c r="G375" s="111" t="str">
        <x:v>Independente</x:v>
      </x:c>
      <x:c r="H375" s="144" t="str">
        <x:v>Independente</x:v>
      </x:c>
      <x:c r="I375" s="111" t="str">
        <x:v>Regra residual — revisar manualmente</x:v>
      </x:c>
      <x:c r="J375" s="153" t="str">
        <x:v>Sim — alta</x:v>
      </x:c>
      <x:c r="K375" s="135" t="n">
        <x:f>IF($H375="Independente",$F375,0)</x:f>
        <x:v>15328311.720000004</x:v>
      </x:c>
      <x:c r="L375" s="135" t="n">
        <x:f>IF($H375="Ligada a banco",$F375,0)</x:f>
        <x:v>0</x:v>
      </x:c>
      <x:c r="M375" s="114" t="n">
        <x:f>IF(K375&gt;0,RANK(K375,$K$6:$K$462)+COUNTIF($K$6:K375,K375)-1,9999)</x:f>
        <x:v>347</x:v>
      </x:c>
      <x:c r="N375" s="114" t="n">
        <x:f>IF(L375&gt;0,RANK(L375,$L$6:$L$462)+COUNTIF($L$6:L375,L375)-1,9999)</x:f>
        <x:v>9999</x:v>
      </x:c>
    </x:row>
    <x:row r="376">
      <x:c r="A376" s="111" t="str">
        <x:v>SINAI ASSET</x:v>
      </x:c>
      <x:c r="B376" s="135" t="n">
        <x:v>0</x:v>
      </x:c>
      <x:c r="C376" s="135" t="n">
        <x:v>0</x:v>
      </x:c>
      <x:c r="D376" s="135" t="n">
        <x:v>0</x:v>
      </x:c>
      <x:c r="E376" s="135" t="n">
        <x:v>15271605.44</x:v>
      </x:c>
      <x:c r="F376" s="135" t="n">
        <x:f>SUM(B376:E376)</x:f>
        <x:v>15271605.44</x:v>
      </x:c>
      <x:c r="G376" s="111" t="str">
        <x:v>Independente</x:v>
      </x:c>
      <x:c r="H376" s="144" t="str">
        <x:v>Independente</x:v>
      </x:c>
      <x:c r="I376" s="111" t="str">
        <x:v>Regra residual — revisar manualmente</x:v>
      </x:c>
      <x:c r="J376" s="153" t="str">
        <x:v>Sim — alta</x:v>
      </x:c>
      <x:c r="K376" s="135" t="n">
        <x:f>IF($H376="Independente",$F376,0)</x:f>
        <x:v>15271605.44</x:v>
      </x:c>
      <x:c r="L376" s="135" t="n">
        <x:f>IF($H376="Ligada a banco",$F376,0)</x:f>
        <x:v>0</x:v>
      </x:c>
      <x:c r="M376" s="114" t="n">
        <x:f>IF(K376&gt;0,RANK(K376,$K$6:$K$462)+COUNTIF($K$6:K376,K376)-1,9999)</x:f>
        <x:v>348</x:v>
      </x:c>
      <x:c r="N376" s="114" t="n">
        <x:f>IF(L376&gt;0,RANK(L376,$L$6:$L$462)+COUNTIF($L$6:L376,L376)-1,9999)</x:f>
        <x:v>9999</x:v>
      </x:c>
    </x:row>
    <x:row r="377">
      <x:c r="A377" s="111" t="str">
        <x:v>ATF</x:v>
      </x:c>
      <x:c r="B377" s="135" t="n">
        <x:v>0</x:v>
      </x:c>
      <x:c r="C377" s="135" t="n">
        <x:v>0</x:v>
      </x:c>
      <x:c r="D377" s="135" t="n">
        <x:v>0</x:v>
      </x:c>
      <x:c r="E377" s="135" t="n">
        <x:v>14159488.8</x:v>
      </x:c>
      <x:c r="F377" s="135" t="n">
        <x:f>SUM(B377:E377)</x:f>
        <x:v>14159488.8</x:v>
      </x:c>
      <x:c r="G377" s="111" t="str">
        <x:v>Independente</x:v>
      </x:c>
      <x:c r="H377" s="144" t="str">
        <x:v>Independente</x:v>
      </x:c>
      <x:c r="I377" s="111" t="str">
        <x:v>Regra residual — revisar manualmente</x:v>
      </x:c>
      <x:c r="J377" s="153" t="str">
        <x:v>Sim — alta</x:v>
      </x:c>
      <x:c r="K377" s="135" t="n">
        <x:f>IF($H377="Independente",$F377,0)</x:f>
        <x:v>14159488.8</x:v>
      </x:c>
      <x:c r="L377" s="135" t="n">
        <x:f>IF($H377="Ligada a banco",$F377,0)</x:f>
        <x:v>0</x:v>
      </x:c>
      <x:c r="M377" s="114" t="n">
        <x:f>IF(K377&gt;0,RANK(K377,$K$6:$K$462)+COUNTIF($K$6:K377,K377)-1,9999)</x:f>
        <x:v>349</x:v>
      </x:c>
      <x:c r="N377" s="114" t="n">
        <x:f>IF(L377&gt;0,RANK(L377,$L$6:$L$462)+COUNTIF($L$6:L377,L377)-1,9999)</x:f>
        <x:v>9999</x:v>
      </x:c>
    </x:row>
    <x:row r="378">
      <x:c r="A378" s="111" t="str">
        <x:v>Ujay Capital Investimentos Ltda</x:v>
      </x:c>
      <x:c r="B378" s="135" t="n">
        <x:v>0</x:v>
      </x:c>
      <x:c r="C378" s="135" t="n">
        <x:v>0</x:v>
      </x:c>
      <x:c r="D378" s="135" t="n">
        <x:v>0</x:v>
      </x:c>
      <x:c r="E378" s="135" t="n">
        <x:v>13780664.12</x:v>
      </x:c>
      <x:c r="F378" s="135" t="n">
        <x:f>SUM(B378:E378)</x:f>
        <x:v>13780664.12</x:v>
      </x:c>
      <x:c r="G378" s="111" t="str">
        <x:v>Independente</x:v>
      </x:c>
      <x:c r="H378" s="144" t="str">
        <x:v>Independente</x:v>
      </x:c>
      <x:c r="I378" s="111" t="str">
        <x:v>Regra residual — revisar manualmente</x:v>
      </x:c>
      <x:c r="J378" s="153" t="str">
        <x:v>Sim — alta</x:v>
      </x:c>
      <x:c r="K378" s="135" t="n">
        <x:f>IF($H378="Independente",$F378,0)</x:f>
        <x:v>13780664.12</x:v>
      </x:c>
      <x:c r="L378" s="135" t="n">
        <x:f>IF($H378="Ligada a banco",$F378,0)</x:f>
        <x:v>0</x:v>
      </x:c>
      <x:c r="M378" s="114" t="n">
        <x:f>IF(K378&gt;0,RANK(K378,$K$6:$K$462)+COUNTIF($K$6:K378,K378)-1,9999)</x:f>
        <x:v>350</x:v>
      </x:c>
      <x:c r="N378" s="114" t="n">
        <x:f>IF(L378&gt;0,RANK(L378,$L$6:$L$462)+COUNTIF($L$6:L378,L378)-1,9999)</x:f>
        <x:v>9999</x:v>
      </x:c>
    </x:row>
    <x:row r="379">
      <x:c r="A379" s="111" t="str">
        <x:v>Litus Gestão de Recursos LTDA</x:v>
      </x:c>
      <x:c r="B379" s="135" t="n">
        <x:v>0</x:v>
      </x:c>
      <x:c r="C379" s="135" t="n">
        <x:v>0</x:v>
      </x:c>
      <x:c r="D379" s="135" t="n">
        <x:v>0</x:v>
      </x:c>
      <x:c r="E379" s="135" t="n">
        <x:v>13428930.909999998</x:v>
      </x:c>
      <x:c r="F379" s="135" t="n">
        <x:f>SUM(B379:E379)</x:f>
        <x:v>13428930.909999998</x:v>
      </x:c>
      <x:c r="G379" s="111" t="str">
        <x:v>Independente</x:v>
      </x:c>
      <x:c r="H379" s="144" t="str">
        <x:v>Independente</x:v>
      </x:c>
      <x:c r="I379" s="111" t="str">
        <x:v>Regra residual — revisar manualmente</x:v>
      </x:c>
      <x:c r="J379" s="153" t="str">
        <x:v>Sim — alta</x:v>
      </x:c>
      <x:c r="K379" s="135" t="n">
        <x:f>IF($H379="Independente",$F379,0)</x:f>
        <x:v>13428930.909999998</x:v>
      </x:c>
      <x:c r="L379" s="135" t="n">
        <x:f>IF($H379="Ligada a banco",$F379,0)</x:f>
        <x:v>0</x:v>
      </x:c>
      <x:c r="M379" s="114" t="n">
        <x:f>IF(K379&gt;0,RANK(K379,$K$6:$K$462)+COUNTIF($K$6:K379,K379)-1,9999)</x:f>
        <x:v>351</x:v>
      </x:c>
      <x:c r="N379" s="114" t="n">
        <x:f>IF(L379&gt;0,RANK(L379,$L$6:$L$462)+COUNTIF($L$6:L379,L379)-1,9999)</x:f>
        <x:v>9999</x:v>
      </x:c>
    </x:row>
    <x:row r="380">
      <x:c r="A380" s="111" t="str">
        <x:v>HÍBRIDO PARTNERS GESTORA DE RECURSOS LTDA.</x:v>
      </x:c>
      <x:c r="B380" s="135" t="n">
        <x:v>0</x:v>
      </x:c>
      <x:c r="C380" s="135" t="n">
        <x:v>0</x:v>
      </x:c>
      <x:c r="D380" s="135" t="n">
        <x:v>0</x:v>
      </x:c>
      <x:c r="E380" s="135" t="n">
        <x:v>13063202.489999998</x:v>
      </x:c>
      <x:c r="F380" s="135" t="n">
        <x:f>SUM(B380:E380)</x:f>
        <x:v>13063202.489999998</x:v>
      </x:c>
      <x:c r="G380" s="111" t="str">
        <x:v>Independente</x:v>
      </x:c>
      <x:c r="H380" s="144" t="str">
        <x:v>Independente</x:v>
      </x:c>
      <x:c r="I380" s="111" t="str">
        <x:v>Regra residual — revisar manualmente</x:v>
      </x:c>
      <x:c r="J380" s="153" t="str">
        <x:v>Sim — alta</x:v>
      </x:c>
      <x:c r="K380" s="135" t="n">
        <x:f>IF($H380="Independente",$F380,0)</x:f>
        <x:v>13063202.489999998</x:v>
      </x:c>
      <x:c r="L380" s="135" t="n">
        <x:f>IF($H380="Ligada a banco",$F380,0)</x:f>
        <x:v>0</x:v>
      </x:c>
      <x:c r="M380" s="114" t="n">
        <x:f>IF(K380&gt;0,RANK(K380,$K$6:$K$462)+COUNTIF($K$6:K380,K380)-1,9999)</x:f>
        <x:v>352</x:v>
      </x:c>
      <x:c r="N380" s="114" t="n">
        <x:f>IF(L380&gt;0,RANK(L380,$L$6:$L$462)+COUNTIF($L$6:L380,L380)-1,9999)</x:f>
        <x:v>9999</x:v>
      </x:c>
    </x:row>
    <x:row r="381">
      <x:c r="A381" s="111" t="str">
        <x:v>Fyto Capital</x:v>
      </x:c>
      <x:c r="B381" s="135" t="n">
        <x:v>0</x:v>
      </x:c>
      <x:c r="C381" s="135" t="n">
        <x:v>0</x:v>
      </x:c>
      <x:c r="D381" s="135" t="n">
        <x:v>0</x:v>
      </x:c>
      <x:c r="E381" s="135" t="n">
        <x:v>12899086.23</x:v>
      </x:c>
      <x:c r="F381" s="135" t="n">
        <x:f>SUM(B381:E381)</x:f>
        <x:v>12899086.23</x:v>
      </x:c>
      <x:c r="G381" s="111" t="str">
        <x:v>Independente</x:v>
      </x:c>
      <x:c r="H381" s="144" t="str">
        <x:v>Independente</x:v>
      </x:c>
      <x:c r="I381" s="111" t="str">
        <x:v>Regra residual — revisar manualmente</x:v>
      </x:c>
      <x:c r="J381" s="153" t="str">
        <x:v>Sim — alta</x:v>
      </x:c>
      <x:c r="K381" s="135" t="n">
        <x:f>IF($H381="Independente",$F381,0)</x:f>
        <x:v>12899086.23</x:v>
      </x:c>
      <x:c r="L381" s="135" t="n">
        <x:f>IF($H381="Ligada a banco",$F381,0)</x:f>
        <x:v>0</x:v>
      </x:c>
      <x:c r="M381" s="114" t="n">
        <x:f>IF(K381&gt;0,RANK(K381,$K$6:$K$462)+COUNTIF($K$6:K381,K381)-1,9999)</x:f>
        <x:v>353</x:v>
      </x:c>
      <x:c r="N381" s="114" t="n">
        <x:f>IF(L381&gt;0,RANK(L381,$L$6:$L$462)+COUNTIF($L$6:L381,L381)-1,9999)</x:f>
        <x:v>9999</x:v>
      </x:c>
    </x:row>
    <x:row r="382">
      <x:c r="A382" s="111" t="str">
        <x:v>PESSOAS FISICAS</x:v>
      </x:c>
      <x:c r="B382" s="135" t="n">
        <x:v>0</x:v>
      </x:c>
      <x:c r="C382" s="135" t="n">
        <x:v>0</x:v>
      </x:c>
      <x:c r="D382" s="135" t="n">
        <x:v>0</x:v>
      </x:c>
      <x:c r="E382" s="135" t="n">
        <x:v>12407100.4521</x:v>
      </x:c>
      <x:c r="F382" s="135" t="n">
        <x:f>SUM(B382:E382)</x:f>
        <x:v>12407100.4521</x:v>
      </x:c>
      <x:c r="G382" s="111" t="str">
        <x:v>Independente</x:v>
      </x:c>
      <x:c r="H382" s="144" t="str">
        <x:v>Independente</x:v>
      </x:c>
      <x:c r="I382" s="111" t="str">
        <x:v>Regra residual — revisar manualmente</x:v>
      </x:c>
      <x:c r="J382" s="153" t="str">
        <x:v>Sim — alta</x:v>
      </x:c>
      <x:c r="K382" s="135" t="n">
        <x:f>IF($H382="Independente",$F382,0)</x:f>
        <x:v>12407100.4521</x:v>
      </x:c>
      <x:c r="L382" s="135" t="n">
        <x:f>IF($H382="Ligada a banco",$F382,0)</x:f>
        <x:v>0</x:v>
      </x:c>
      <x:c r="M382" s="114" t="n">
        <x:f>IF(K382&gt;0,RANK(K382,$K$6:$K$462)+COUNTIF($K$6:K382,K382)-1,9999)</x:f>
        <x:v>354</x:v>
      </x:c>
      <x:c r="N382" s="114" t="n">
        <x:f>IF(L382&gt;0,RANK(L382,$L$6:$L$462)+COUNTIF($L$6:L382,L382)-1,9999)</x:f>
        <x:v>9999</x:v>
      </x:c>
    </x:row>
    <x:row r="383">
      <x:c r="A383" s="111" t="str">
        <x:v>Gustavo Henrique Fonseca de Oliveira</x:v>
      </x:c>
      <x:c r="B383" s="135" t="n">
        <x:v>1029422.74</x:v>
      </x:c>
      <x:c r="C383" s="135" t="n">
        <x:v>0</x:v>
      </x:c>
      <x:c r="D383" s="135" t="n">
        <x:v>0</x:v>
      </x:c>
      <x:c r="E383" s="135" t="n">
        <x:v>10616542.39</x:v>
      </x:c>
      <x:c r="F383" s="135" t="n">
        <x:f>SUM(B383:E383)</x:f>
        <x:v>11645965.13</x:v>
      </x:c>
      <x:c r="G383" s="111" t="str">
        <x:v>Independente</x:v>
      </x:c>
      <x:c r="H383" s="144" t="str">
        <x:v>Independente</x:v>
      </x:c>
      <x:c r="I383" s="111" t="str">
        <x:v>Regra residual — revisar manualmente</x:v>
      </x:c>
      <x:c r="J383" s="153" t="str">
        <x:v>Sim — alta</x:v>
      </x:c>
      <x:c r="K383" s="135" t="n">
        <x:f>IF($H383="Independente",$F383,0)</x:f>
        <x:v>11645965.13</x:v>
      </x:c>
      <x:c r="L383" s="135" t="n">
        <x:f>IF($H383="Ligada a banco",$F383,0)</x:f>
        <x:v>0</x:v>
      </x:c>
      <x:c r="M383" s="114" t="n">
        <x:f>IF(K383&gt;0,RANK(K383,$K$6:$K$462)+COUNTIF($K$6:K383,K383)-1,9999)</x:f>
        <x:v>355</x:v>
      </x:c>
      <x:c r="N383" s="114" t="n">
        <x:f>IF(L383&gt;0,RANK(L383,$L$6:$L$462)+COUNTIF($L$6:L383,L383)-1,9999)</x:f>
        <x:v>9999</x:v>
      </x:c>
    </x:row>
    <x:row r="384">
      <x:c r="A384" s="111" t="str">
        <x:v>HGI Capital</x:v>
      </x:c>
      <x:c r="B384" s="135" t="n">
        <x:v>0</x:v>
      </x:c>
      <x:c r="C384" s="135" t="n">
        <x:v>11190799.21</x:v>
      </x:c>
      <x:c r="D384" s="135" t="n">
        <x:v>0</x:v>
      </x:c>
      <x:c r="E384" s="135" t="n">
        <x:v>0</x:v>
      </x:c>
      <x:c r="F384" s="135" t="n">
        <x:f>SUM(B384:E384)</x:f>
        <x:v>11190799.21</x:v>
      </x:c>
      <x:c r="G384" s="111" t="str">
        <x:v>Independente</x:v>
      </x:c>
      <x:c r="H384" s="144" t="str">
        <x:v>Independente</x:v>
      </x:c>
      <x:c r="I384" s="111" t="str">
        <x:v>Regra residual — revisar manualmente</x:v>
      </x:c>
      <x:c r="J384" s="153" t="str">
        <x:v>Sim — alta</x:v>
      </x:c>
      <x:c r="K384" s="135" t="n">
        <x:f>IF($H384="Independente",$F384,0)</x:f>
        <x:v>11190799.21</x:v>
      </x:c>
      <x:c r="L384" s="135" t="n">
        <x:f>IF($H384="Ligada a banco",$F384,0)</x:f>
        <x:v>0</x:v>
      </x:c>
      <x:c r="M384" s="114" t="n">
        <x:f>IF(K384&gt;0,RANK(K384,$K$6:$K$462)+COUNTIF($K$6:K384,K384)-1,9999)</x:f>
        <x:v>356</x:v>
      </x:c>
      <x:c r="N384" s="114" t="n">
        <x:f>IF(L384&gt;0,RANK(L384,$L$6:$L$462)+COUNTIF($L$6:L384,L384)-1,9999)</x:f>
        <x:v>9999</x:v>
      </x:c>
    </x:row>
    <x:row r="385">
      <x:c r="A385" s="111" t="str">
        <x:v>Reag WM Gestora de Patrimônio Ltda</x:v>
      </x:c>
      <x:c r="B385" s="135" t="n">
        <x:v>0</x:v>
      </x:c>
      <x:c r="C385" s="135" t="n">
        <x:v>0</x:v>
      </x:c>
      <x:c r="D385" s="135" t="n">
        <x:v>0</x:v>
      </x:c>
      <x:c r="E385" s="135" t="n">
        <x:v>10872796.64</x:v>
      </x:c>
      <x:c r="F385" s="135" t="n">
        <x:f>SUM(B385:E385)</x:f>
        <x:v>10872796.64</x:v>
      </x:c>
      <x:c r="G385" s="111" t="str">
        <x:v>Independente</x:v>
      </x:c>
      <x:c r="H385" s="144" t="str">
        <x:v>Independente</x:v>
      </x:c>
      <x:c r="I385" s="111" t="str">
        <x:v>Regra residual — revisar manualmente</x:v>
      </x:c>
      <x:c r="J385" s="153" t="str">
        <x:v>Sim — alta</x:v>
      </x:c>
      <x:c r="K385" s="135" t="n">
        <x:f>IF($H385="Independente",$F385,0)</x:f>
        <x:v>10872796.64</x:v>
      </x:c>
      <x:c r="L385" s="135" t="n">
        <x:f>IF($H385="Ligada a banco",$F385,0)</x:f>
        <x:v>0</x:v>
      </x:c>
      <x:c r="M385" s="114" t="n">
        <x:f>IF(K385&gt;0,RANK(K385,$K$6:$K$462)+COUNTIF($K$6:K385,K385)-1,9999)</x:f>
        <x:v>357</x:v>
      </x:c>
      <x:c r="N385" s="114" t="n">
        <x:f>IF(L385&gt;0,RANK(L385,$L$6:$L$462)+COUNTIF($L$6:L385,L385)-1,9999)</x:f>
        <x:v>9999</x:v>
      </x:c>
    </x:row>
    <x:row r="386">
      <x:c r="A386" s="111" t="str">
        <x:v>Genial Investimentos Corretora de Valores Mobiliários S.A.</x:v>
      </x:c>
      <x:c r="B386" s="135" t="n">
        <x:v>0</x:v>
      </x:c>
      <x:c r="C386" s="135" t="n">
        <x:v>0</x:v>
      </x:c>
      <x:c r="D386" s="135" t="n">
        <x:v>0</x:v>
      </x:c>
      <x:c r="E386" s="135" t="n">
        <x:v>10589161.66</x:v>
      </x:c>
      <x:c r="F386" s="135" t="n">
        <x:f>SUM(B386:E386)</x:f>
        <x:v>10589161.66</x:v>
      </x:c>
      <x:c r="G386" s="111" t="str">
        <x:v>Ligada a banco</x:v>
      </x:c>
      <x:c r="H386" s="144" t="str">
        <x:v>Ligada a banco</x:v>
      </x:c>
      <x:c r="I386" s="111" t="str">
        <x:v>Regra nominal: GENIAL</x:v>
      </x:c>
      <x:c r="J386" s="153" t="str">
        <x:v>Confirmar</x:v>
      </x:c>
      <x:c r="K386" s="135" t="n">
        <x:f>IF($H386="Independente",$F386,0)</x:f>
        <x:v>0</x:v>
      </x:c>
      <x:c r="L386" s="135" t="n">
        <x:f>IF($H386="Ligada a banco",$F386,0)</x:f>
        <x:v>10589161.66</x:v>
      </x:c>
      <x:c r="M386" s="114" t="n">
        <x:f>IF(K386&gt;0,RANK(K386,$K$6:$K$462)+COUNTIF($K$6:K386,K386)-1,9999)</x:f>
        <x:v>9999</x:v>
      </x:c>
      <x:c r="N386" s="114" t="n">
        <x:f>IF(L386&gt;0,RANK(L386,$L$6:$L$462)+COUNTIF($L$6:L386,L386)-1,9999)</x:f>
        <x:v>24</x:v>
      </x:c>
    </x:row>
    <x:row r="387">
      <x:c r="A387" s="111" t="str">
        <x:v>CAPSICUM ASSETS GESTÃO DE RECURSOS LTDA</x:v>
      </x:c>
      <x:c r="B387" s="135" t="n">
        <x:v>10437059.34</x:v>
      </x:c>
      <x:c r="C387" s="135" t="n">
        <x:v>0</x:v>
      </x:c>
      <x:c r="D387" s="135" t="n">
        <x:v>0</x:v>
      </x:c>
      <x:c r="E387" s="135" t="n">
        <x:v>0</x:v>
      </x:c>
      <x:c r="F387" s="135" t="n">
        <x:f>SUM(B387:E387)</x:f>
        <x:v>10437059.34</x:v>
      </x:c>
      <x:c r="G387" s="111" t="str">
        <x:v>Independente</x:v>
      </x:c>
      <x:c r="H387" s="144" t="str">
        <x:v>Independente</x:v>
      </x:c>
      <x:c r="I387" s="111" t="str">
        <x:v>Regra residual — revisar manualmente</x:v>
      </x:c>
      <x:c r="J387" s="153" t="str">
        <x:v>Sim — alta</x:v>
      </x:c>
      <x:c r="K387" s="135" t="n">
        <x:f>IF($H387="Independente",$F387,0)</x:f>
        <x:v>10437059.34</x:v>
      </x:c>
      <x:c r="L387" s="135" t="n">
        <x:f>IF($H387="Ligada a banco",$F387,0)</x:f>
        <x:v>0</x:v>
      </x:c>
      <x:c r="M387" s="114" t="n">
        <x:f>IF(K387&gt;0,RANK(K387,$K$6:$K$462)+COUNTIF($K$6:K387,K387)-1,9999)</x:f>
        <x:v>358</x:v>
      </x:c>
      <x:c r="N387" s="114" t="n">
        <x:f>IF(L387&gt;0,RANK(L387,$L$6:$L$462)+COUNTIF($L$6:L387,L387)-1,9999)</x:f>
        <x:v>9999</x:v>
      </x:c>
    </x:row>
    <x:row r="388">
      <x:c r="A388" s="111" t="str">
        <x:v>Mauá Capital Real Estate LTDA.</x:v>
      </x:c>
      <x:c r="B388" s="135" t="n">
        <x:v>0</x:v>
      </x:c>
      <x:c r="C388" s="135" t="n">
        <x:v>9574734.01</x:v>
      </x:c>
      <x:c r="D388" s="135" t="n">
        <x:v>0</x:v>
      </x:c>
      <x:c r="E388" s="135" t="n">
        <x:v>0</x:v>
      </x:c>
      <x:c r="F388" s="135" t="n">
        <x:f>SUM(B388:E388)</x:f>
        <x:v>9574734.01</x:v>
      </x:c>
      <x:c r="G388" s="111" t="str">
        <x:v>Independente</x:v>
      </x:c>
      <x:c r="H388" s="144" t="str">
        <x:v>Independente</x:v>
      </x:c>
      <x:c r="I388" s="111" t="str">
        <x:v>Regra residual — revisar manualmente</x:v>
      </x:c>
      <x:c r="J388" s="153" t="str">
        <x:v>Sim — alta</x:v>
      </x:c>
      <x:c r="K388" s="135" t="n">
        <x:f>IF($H388="Independente",$F388,0)</x:f>
        <x:v>9574734.01</x:v>
      </x:c>
      <x:c r="L388" s="135" t="n">
        <x:f>IF($H388="Ligada a banco",$F388,0)</x:f>
        <x:v>0</x:v>
      </x:c>
      <x:c r="M388" s="114" t="n">
        <x:f>IF(K388&gt;0,RANK(K388,$K$6:$K$462)+COUNTIF($K$6:K388,K388)-1,9999)</x:f>
        <x:v>359</x:v>
      </x:c>
      <x:c r="N388" s="114" t="n">
        <x:f>IF(L388&gt;0,RANK(L388,$L$6:$L$462)+COUNTIF($L$6:L388,L388)-1,9999)</x:f>
        <x:v>9999</x:v>
      </x:c>
    </x:row>
    <x:row r="389">
      <x:c r="A389" s="111" t="str">
        <x:v>Vinci Soluções de Investimentos</x:v>
      </x:c>
      <x:c r="B389" s="135" t="n">
        <x:v>0</x:v>
      </x:c>
      <x:c r="C389" s="135" t="n">
        <x:v>0</x:v>
      </x:c>
      <x:c r="D389" s="135" t="n">
        <x:v>0</x:v>
      </x:c>
      <x:c r="E389" s="135" t="n">
        <x:v>9509697.81</x:v>
      </x:c>
      <x:c r="F389" s="135" t="n">
        <x:f>SUM(B389:E389)</x:f>
        <x:v>9509697.81</x:v>
      </x:c>
      <x:c r="G389" s="111" t="str">
        <x:v>Independente</x:v>
      </x:c>
      <x:c r="H389" s="144" t="str">
        <x:v>Independente</x:v>
      </x:c>
      <x:c r="I389" s="111" t="str">
        <x:v>Regra residual — revisar manualmente</x:v>
      </x:c>
      <x:c r="J389" s="153" t="str">
        <x:v>Sim — alta</x:v>
      </x:c>
      <x:c r="K389" s="135" t="n">
        <x:f>IF($H389="Independente",$F389,0)</x:f>
        <x:v>9509697.81</x:v>
      </x:c>
      <x:c r="L389" s="135" t="n">
        <x:f>IF($H389="Ligada a banco",$F389,0)</x:f>
        <x:v>0</x:v>
      </x:c>
      <x:c r="M389" s="114" t="n">
        <x:f>IF(K389&gt;0,RANK(K389,$K$6:$K$462)+COUNTIF($K$6:K389,K389)-1,9999)</x:f>
        <x:v>360</x:v>
      </x:c>
      <x:c r="N389" s="114" t="n">
        <x:f>IF(L389&gt;0,RANK(L389,$L$6:$L$462)+COUNTIF($L$6:L389,L389)-1,9999)</x:f>
        <x:v>9999</x:v>
      </x:c>
    </x:row>
    <x:row r="390">
      <x:c r="A390" s="111" t="str">
        <x:v>RJI Investimentos</x:v>
      </x:c>
      <x:c r="B390" s="135" t="n">
        <x:v>3629773.65</x:v>
      </x:c>
      <x:c r="C390" s="135" t="n">
        <x:v>5810594.12</x:v>
      </x:c>
      <x:c r="D390" s="135" t="n">
        <x:v>0</x:v>
      </x:c>
      <x:c r="E390" s="135" t="n">
        <x:v>0</x:v>
      </x:c>
      <x:c r="F390" s="135" t="n">
        <x:f>SUM(B390:E390)</x:f>
        <x:v>9440367.77</x:v>
      </x:c>
      <x:c r="G390" s="111" t="str">
        <x:v>Independente</x:v>
      </x:c>
      <x:c r="H390" s="144" t="str">
        <x:v>Independente</x:v>
      </x:c>
      <x:c r="I390" s="111" t="str">
        <x:v>Regra residual — revisar manualmente</x:v>
      </x:c>
      <x:c r="J390" s="153" t="str">
        <x:v>Sim — alta</x:v>
      </x:c>
      <x:c r="K390" s="135" t="n">
        <x:f>IF($H390="Independente",$F390,0)</x:f>
        <x:v>9440367.77</x:v>
      </x:c>
      <x:c r="L390" s="135" t="n">
        <x:f>IF($H390="Ligada a banco",$F390,0)</x:f>
        <x:v>0</x:v>
      </x:c>
      <x:c r="M390" s="114" t="n">
        <x:f>IF(K390&gt;0,RANK(K390,$K$6:$K$462)+COUNTIF($K$6:K390,K390)-1,9999)</x:f>
        <x:v>361</x:v>
      </x:c>
      <x:c r="N390" s="114" t="n">
        <x:f>IF(L390&gt;0,RANK(L390,$L$6:$L$462)+COUNTIF($L$6:L390,L390)-1,9999)</x:f>
        <x:v>9999</x:v>
      </x:c>
    </x:row>
    <x:row r="391">
      <x:c r="A391" s="111" t="str">
        <x:v>fama re.capital</x:v>
      </x:c>
      <x:c r="B391" s="135" t="n">
        <x:v>0</x:v>
      </x:c>
      <x:c r="C391" s="135" t="n">
        <x:v>0</x:v>
      </x:c>
      <x:c r="D391" s="135" t="n">
        <x:v>0</x:v>
      </x:c>
      <x:c r="E391" s="135" t="n">
        <x:v>8613875.54</x:v>
      </x:c>
      <x:c r="F391" s="135" t="n">
        <x:f>SUM(B391:E391)</x:f>
        <x:v>8613875.54</x:v>
      </x:c>
      <x:c r="G391" s="111" t="str">
        <x:v>Independente</x:v>
      </x:c>
      <x:c r="H391" s="144" t="str">
        <x:v>Independente</x:v>
      </x:c>
      <x:c r="I391" s="111" t="str">
        <x:v>Regra residual — revisar manualmente</x:v>
      </x:c>
      <x:c r="J391" s="153" t="str">
        <x:v>Sim — alta</x:v>
      </x:c>
      <x:c r="K391" s="135" t="n">
        <x:f>IF($H391="Independente",$F391,0)</x:f>
        <x:v>8613875.54</x:v>
      </x:c>
      <x:c r="L391" s="135" t="n">
        <x:f>IF($H391="Ligada a banco",$F391,0)</x:f>
        <x:v>0</x:v>
      </x:c>
      <x:c r="M391" s="114" t="n">
        <x:f>IF(K391&gt;0,RANK(K391,$K$6:$K$462)+COUNTIF($K$6:K391,K391)-1,9999)</x:f>
        <x:v>362</x:v>
      </x:c>
      <x:c r="N391" s="114" t="n">
        <x:f>IF(L391&gt;0,RANK(L391,$L$6:$L$462)+COUNTIF($L$6:L391,L391)-1,9999)</x:f>
        <x:v>9999</x:v>
      </x:c>
    </x:row>
    <x:row r="392">
      <x:c r="A392" s="111" t="str">
        <x:v>ERFOLG</x:v>
      </x:c>
      <x:c r="B392" s="135" t="n">
        <x:v>0</x:v>
      </x:c>
      <x:c r="C392" s="135" t="n">
        <x:v>0</x:v>
      </x:c>
      <x:c r="D392" s="135" t="n">
        <x:v>0</x:v>
      </x:c>
      <x:c r="E392" s="135" t="n">
        <x:v>8437907.540000001</x:v>
      </x:c>
      <x:c r="F392" s="135" t="n">
        <x:f>SUM(B392:E392)</x:f>
        <x:v>8437907.540000001</x:v>
      </x:c>
      <x:c r="G392" s="111" t="str">
        <x:v>Independente</x:v>
      </x:c>
      <x:c r="H392" s="144" t="str">
        <x:v>Independente</x:v>
      </x:c>
      <x:c r="I392" s="111" t="str">
        <x:v>Regra residual — revisar manualmente</x:v>
      </x:c>
      <x:c r="J392" s="153" t="str">
        <x:v>Sim — alta</x:v>
      </x:c>
      <x:c r="K392" s="135" t="n">
        <x:f>IF($H392="Independente",$F392,0)</x:f>
        <x:v>8437907.540000001</x:v>
      </x:c>
      <x:c r="L392" s="135" t="n">
        <x:f>IF($H392="Ligada a banco",$F392,0)</x:f>
        <x:v>0</x:v>
      </x:c>
      <x:c r="M392" s="114" t="n">
        <x:f>IF(K392&gt;0,RANK(K392,$K$6:$K$462)+COUNTIF($K$6:K392,K392)-1,9999)</x:f>
        <x:v>363</x:v>
      </x:c>
      <x:c r="N392" s="114" t="n">
        <x:f>IF(L392&gt;0,RANK(L392,$L$6:$L$462)+COUNTIF($L$6:L392,L392)-1,9999)</x:f>
        <x:v>9999</x:v>
      </x:c>
    </x:row>
    <x:row r="393">
      <x:c r="A393" s="111" t="str">
        <x:v>Novus Capital</x:v>
      </x:c>
      <x:c r="B393" s="135" t="n">
        <x:v>0</x:v>
      </x:c>
      <x:c r="C393" s="135" t="n">
        <x:v>0</x:v>
      </x:c>
      <x:c r="D393" s="135" t="n">
        <x:v>8293387.14</x:v>
      </x:c>
      <x:c r="E393" s="135" t="n">
        <x:v>0</x:v>
      </x:c>
      <x:c r="F393" s="135" t="n">
        <x:f>SUM(B393:E393)</x:f>
        <x:v>8293387.14</x:v>
      </x:c>
      <x:c r="G393" s="111" t="str">
        <x:v>Independente</x:v>
      </x:c>
      <x:c r="H393" s="144" t="str">
        <x:v>Independente</x:v>
      </x:c>
      <x:c r="I393" s="111" t="str">
        <x:v>Regra residual — revisar manualmente</x:v>
      </x:c>
      <x:c r="J393" s="153" t="str">
        <x:v>Sim — alta</x:v>
      </x:c>
      <x:c r="K393" s="135" t="n">
        <x:f>IF($H393="Independente",$F393,0)</x:f>
        <x:v>8293387.14</x:v>
      </x:c>
      <x:c r="L393" s="135" t="n">
        <x:f>IF($H393="Ligada a banco",$F393,0)</x:f>
        <x:v>0</x:v>
      </x:c>
      <x:c r="M393" s="114" t="n">
        <x:f>IF(K393&gt;0,RANK(K393,$K$6:$K$462)+COUNTIF($K$6:K393,K393)-1,9999)</x:f>
        <x:v>364</x:v>
      </x:c>
      <x:c r="N393" s="114" t="n">
        <x:f>IF(L393&gt;0,RANK(L393,$L$6:$L$462)+COUNTIF($L$6:L393,L393)-1,9999)</x:f>
        <x:v>9999</x:v>
      </x:c>
    </x:row>
    <x:row r="394">
      <x:c r="A394" s="111" t="str">
        <x:v>SKADE Capital</x:v>
      </x:c>
      <x:c r="B394" s="135" t="n">
        <x:v>0</x:v>
      </x:c>
      <x:c r="C394" s="135" t="n">
        <x:v>0</x:v>
      </x:c>
      <x:c r="D394" s="135" t="n">
        <x:v>6961865.65</x:v>
      </x:c>
      <x:c r="E394" s="135" t="n">
        <x:v>0</x:v>
      </x:c>
      <x:c r="F394" s="135" t="n">
        <x:f>SUM(B394:E394)</x:f>
        <x:v>6961865.65</x:v>
      </x:c>
      <x:c r="G394" s="111" t="str">
        <x:v>Independente</x:v>
      </x:c>
      <x:c r="H394" s="144" t="str">
        <x:v>Independente</x:v>
      </x:c>
      <x:c r="I394" s="111" t="str">
        <x:v>Regra residual — revisar manualmente</x:v>
      </x:c>
      <x:c r="J394" s="153" t="str">
        <x:v>Sim — alta</x:v>
      </x:c>
      <x:c r="K394" s="135" t="n">
        <x:f>IF($H394="Independente",$F394,0)</x:f>
        <x:v>6961865.65</x:v>
      </x:c>
      <x:c r="L394" s="135" t="n">
        <x:f>IF($H394="Ligada a banco",$F394,0)</x:f>
        <x:v>0</x:v>
      </x:c>
      <x:c r="M394" s="114" t="n">
        <x:f>IF(K394&gt;0,RANK(K394,$K$6:$K$462)+COUNTIF($K$6:K394,K394)-1,9999)</x:f>
        <x:v>365</x:v>
      </x:c>
      <x:c r="N394" s="114" t="n">
        <x:f>IF(L394&gt;0,RANK(L394,$L$6:$L$462)+COUNTIF($L$6:L394,L394)-1,9999)</x:f>
        <x:v>9999</x:v>
      </x:c>
    </x:row>
    <x:row r="395">
      <x:c r="A395" s="111" t="str">
        <x:v>PARAMIS INVESTIMENTOS</x:v>
      </x:c>
      <x:c r="B395" s="135" t="n">
        <x:v>0</x:v>
      </x:c>
      <x:c r="C395" s="135" t="n">
        <x:v>6518418.75</x:v>
      </x:c>
      <x:c r="D395" s="135" t="n">
        <x:v>0</x:v>
      </x:c>
      <x:c r="E395" s="135" t="n">
        <x:v>0</x:v>
      </x:c>
      <x:c r="F395" s="135" t="n">
        <x:f>SUM(B395:E395)</x:f>
        <x:v>6518418.75</x:v>
      </x:c>
      <x:c r="G395" s="111" t="str">
        <x:v>Independente</x:v>
      </x:c>
      <x:c r="H395" s="144" t="str">
        <x:v>Independente</x:v>
      </x:c>
      <x:c r="I395" s="111" t="str">
        <x:v>Regra residual — revisar manualmente</x:v>
      </x:c>
      <x:c r="J395" s="153" t="str">
        <x:v>Sim — alta</x:v>
      </x:c>
      <x:c r="K395" s="135" t="n">
        <x:f>IF($H395="Independente",$F395,0)</x:f>
        <x:v>6518418.75</x:v>
      </x:c>
      <x:c r="L395" s="135" t="n">
        <x:f>IF($H395="Ligada a banco",$F395,0)</x:f>
        <x:v>0</x:v>
      </x:c>
      <x:c r="M395" s="114" t="n">
        <x:f>IF(K395&gt;0,RANK(K395,$K$6:$K$462)+COUNTIF($K$6:K395,K395)-1,9999)</x:f>
        <x:v>366</x:v>
      </x:c>
      <x:c r="N395" s="114" t="n">
        <x:f>IF(L395&gt;0,RANK(L395,$L$6:$L$462)+COUNTIF($L$6:L395,L395)-1,9999)</x:f>
        <x:v>9999</x:v>
      </x:c>
    </x:row>
    <x:row r="396">
      <x:c r="A396" s="111" t="str">
        <x:v>V-CAPITAL GESTAO DE RECURSOS E INVESTIMENTOS LTDA</x:v>
      </x:c>
      <x:c r="B396" s="135" t="n">
        <x:v>0</x:v>
      </x:c>
      <x:c r="C396" s="135" t="n">
        <x:v>0</x:v>
      </x:c>
      <x:c r="D396" s="135" t="n">
        <x:v>6300390.1</x:v>
      </x:c>
      <x:c r="E396" s="135" t="n">
        <x:v>0</x:v>
      </x:c>
      <x:c r="F396" s="135" t="n">
        <x:f>SUM(B396:E396)</x:f>
        <x:v>6300390.1</x:v>
      </x:c>
      <x:c r="G396" s="111" t="str">
        <x:v>Independente</x:v>
      </x:c>
      <x:c r="H396" s="144" t="str">
        <x:v>Independente</x:v>
      </x:c>
      <x:c r="I396" s="111" t="str">
        <x:v>Regra residual — revisar manualmente</x:v>
      </x:c>
      <x:c r="J396" s="153" t="str">
        <x:v>Sim — alta</x:v>
      </x:c>
      <x:c r="K396" s="135" t="n">
        <x:f>IF($H396="Independente",$F396,0)</x:f>
        <x:v>6300390.1</x:v>
      </x:c>
      <x:c r="L396" s="135" t="n">
        <x:f>IF($H396="Ligada a banco",$F396,0)</x:f>
        <x:v>0</x:v>
      </x:c>
      <x:c r="M396" s="114" t="n">
        <x:f>IF(K396&gt;0,RANK(K396,$K$6:$K$462)+COUNTIF($K$6:K396,K396)-1,9999)</x:f>
        <x:v>367</x:v>
      </x:c>
      <x:c r="N396" s="114" t="n">
        <x:f>IF(L396&gt;0,RANK(L396,$L$6:$L$462)+COUNTIF($L$6:L396,L396)-1,9999)</x:f>
        <x:v>9999</x:v>
      </x:c>
    </x:row>
    <x:row r="397">
      <x:c r="A397" s="111" t="str">
        <x:v>LCP GESTORA DE RECURSOS LTDA</x:v>
      </x:c>
      <x:c r="B397" s="135" t="n">
        <x:v>0</x:v>
      </x:c>
      <x:c r="C397" s="135" t="n">
        <x:v>6135746.41</x:v>
      </x:c>
      <x:c r="D397" s="135" t="n">
        <x:v>0</x:v>
      </x:c>
      <x:c r="E397" s="135" t="n">
        <x:v>0</x:v>
      </x:c>
      <x:c r="F397" s="135" t="n">
        <x:f>SUM(B397:E397)</x:f>
        <x:v>6135746.41</x:v>
      </x:c>
      <x:c r="G397" s="111" t="str">
        <x:v>Independente</x:v>
      </x:c>
      <x:c r="H397" s="144" t="str">
        <x:v>Independente</x:v>
      </x:c>
      <x:c r="I397" s="111" t="str">
        <x:v>Regra residual — revisar manualmente</x:v>
      </x:c>
      <x:c r="J397" s="153" t="str">
        <x:v>Sim — alta</x:v>
      </x:c>
      <x:c r="K397" s="135" t="n">
        <x:f>IF($H397="Independente",$F397,0)</x:f>
        <x:v>6135746.41</x:v>
      </x:c>
      <x:c r="L397" s="135" t="n">
        <x:f>IF($H397="Ligada a banco",$F397,0)</x:f>
        <x:v>0</x:v>
      </x:c>
      <x:c r="M397" s="114" t="n">
        <x:f>IF(K397&gt;0,RANK(K397,$K$6:$K$462)+COUNTIF($K$6:K397,K397)-1,9999)</x:f>
        <x:v>368</x:v>
      </x:c>
      <x:c r="N397" s="114" t="n">
        <x:f>IF(L397&gt;0,RANK(L397,$L$6:$L$462)+COUNTIF($L$6:L397,L397)-1,9999)</x:f>
        <x:v>9999</x:v>
      </x:c>
    </x:row>
    <x:row r="398">
      <x:c r="A398" s="111" t="str">
        <x:v>Featbank Asset Management</x:v>
      </x:c>
      <x:c r="B398" s="135" t="n">
        <x:v>0</x:v>
      </x:c>
      <x:c r="C398" s="135" t="n">
        <x:v>0</x:v>
      </x:c>
      <x:c r="D398" s="135" t="n">
        <x:v>0</x:v>
      </x:c>
      <x:c r="E398" s="135" t="n">
        <x:v>5676141.4799999995</x:v>
      </x:c>
      <x:c r="F398" s="135" t="n">
        <x:f>SUM(B398:E398)</x:f>
        <x:v>5676141.4799999995</x:v>
      </x:c>
      <x:c r="G398" s="111" t="str">
        <x:v>Independente</x:v>
      </x:c>
      <x:c r="H398" s="144" t="str">
        <x:v>Independente</x:v>
      </x:c>
      <x:c r="I398" s="111" t="str">
        <x:v>Regra residual — revisar manualmente</x:v>
      </x:c>
      <x:c r="J398" s="153" t="str">
        <x:v>Sim — alta</x:v>
      </x:c>
      <x:c r="K398" s="135" t="n">
        <x:f>IF($H398="Independente",$F398,0)</x:f>
        <x:v>5676141.4799999995</x:v>
      </x:c>
      <x:c r="L398" s="135" t="n">
        <x:f>IF($H398="Ligada a banco",$F398,0)</x:f>
        <x:v>0</x:v>
      </x:c>
      <x:c r="M398" s="114" t="n">
        <x:f>IF(K398&gt;0,RANK(K398,$K$6:$K$462)+COUNTIF($K$6:K398,K398)-1,9999)</x:f>
        <x:v>369</x:v>
      </x:c>
      <x:c r="N398" s="114" t="n">
        <x:f>IF(L398&gt;0,RANK(L398,$L$6:$L$462)+COUNTIF($L$6:L398,L398)-1,9999)</x:f>
        <x:v>9999</x:v>
      </x:c>
    </x:row>
    <x:row r="399">
      <x:c r="A399" s="111" t="str">
        <x:v>ROCHA OPÇÕES DE INVESTIMENTOS</x:v>
      </x:c>
      <x:c r="B399" s="135" t="n">
        <x:v>0</x:v>
      </x:c>
      <x:c r="C399" s="135" t="n">
        <x:v>0</x:v>
      </x:c>
      <x:c r="D399" s="135" t="n">
        <x:v>0</x:v>
      </x:c>
      <x:c r="E399" s="135" t="n">
        <x:v>5477055.15</x:v>
      </x:c>
      <x:c r="F399" s="135" t="n">
        <x:f>SUM(B399:E399)</x:f>
        <x:v>5477055.15</x:v>
      </x:c>
      <x:c r="G399" s="111" t="str">
        <x:v>Independente</x:v>
      </x:c>
      <x:c r="H399" s="144" t="str">
        <x:v>Independente</x:v>
      </x:c>
      <x:c r="I399" s="111" t="str">
        <x:v>Regra residual — revisar manualmente</x:v>
      </x:c>
      <x:c r="J399" s="153" t="str">
        <x:v>Sim — alta</x:v>
      </x:c>
      <x:c r="K399" s="135" t="n">
        <x:f>IF($H399="Independente",$F399,0)</x:f>
        <x:v>5477055.15</x:v>
      </x:c>
      <x:c r="L399" s="135" t="n">
        <x:f>IF($H399="Ligada a banco",$F399,0)</x:f>
        <x:v>0</x:v>
      </x:c>
      <x:c r="M399" s="114" t="n">
        <x:f>IF(K399&gt;0,RANK(K399,$K$6:$K$462)+COUNTIF($K$6:K399,K399)-1,9999)</x:f>
        <x:v>370</x:v>
      </x:c>
      <x:c r="N399" s="114" t="n">
        <x:f>IF(L399&gt;0,RANK(L399,$L$6:$L$462)+COUNTIF($L$6:L399,L399)-1,9999)</x:f>
        <x:v>9999</x:v>
      </x:c>
    </x:row>
    <x:row r="400">
      <x:c r="A400" s="111" t="str">
        <x:v>XMS Investimentos</x:v>
      </x:c>
      <x:c r="B400" s="135" t="n">
        <x:v>0</x:v>
      </x:c>
      <x:c r="C400" s="135" t="n">
        <x:v>0</x:v>
      </x:c>
      <x:c r="D400" s="135" t="n">
        <x:v>5311876.87</x:v>
      </x:c>
      <x:c r="E400" s="135" t="n">
        <x:v>0</x:v>
      </x:c>
      <x:c r="F400" s="135" t="n">
        <x:f>SUM(B400:E400)</x:f>
        <x:v>5311876.87</x:v>
      </x:c>
      <x:c r="G400" s="111" t="str">
        <x:v>Independente</x:v>
      </x:c>
      <x:c r="H400" s="144" t="str">
        <x:v>Independente</x:v>
      </x:c>
      <x:c r="I400" s="111" t="str">
        <x:v>Regra residual — revisar manualmente</x:v>
      </x:c>
      <x:c r="J400" s="153" t="str">
        <x:v>Sim — alta</x:v>
      </x:c>
      <x:c r="K400" s="135" t="n">
        <x:f>IF($H400="Independente",$F400,0)</x:f>
        <x:v>5311876.87</x:v>
      </x:c>
      <x:c r="L400" s="135" t="n">
        <x:f>IF($H400="Ligada a banco",$F400,0)</x:f>
        <x:v>0</x:v>
      </x:c>
      <x:c r="M400" s="114" t="n">
        <x:f>IF(K400&gt;0,RANK(K400,$K$6:$K$462)+COUNTIF($K$6:K400,K400)-1,9999)</x:f>
        <x:v>371</x:v>
      </x:c>
      <x:c r="N400" s="114" t="n">
        <x:f>IF(L400&gt;0,RANK(L400,$L$6:$L$462)+COUNTIF($L$6:L400,L400)-1,9999)</x:f>
        <x:v>9999</x:v>
      </x:c>
    </x:row>
    <x:row r="401">
      <x:c r="A401" s="111" t="str">
        <x:v>Porto Real Investimentos</x:v>
      </x:c>
      <x:c r="B401" s="135" t="n">
        <x:v>5164615.74</x:v>
      </x:c>
      <x:c r="C401" s="135" t="n">
        <x:v>0</x:v>
      </x:c>
      <x:c r="D401" s="135" t="n">
        <x:v>0</x:v>
      </x:c>
      <x:c r="E401" s="135" t="n">
        <x:v>0</x:v>
      </x:c>
      <x:c r="F401" s="135" t="n">
        <x:f>SUM(B401:E401)</x:f>
        <x:v>5164615.74</x:v>
      </x:c>
      <x:c r="G401" s="111" t="str">
        <x:v>Independente</x:v>
      </x:c>
      <x:c r="H401" s="144" t="str">
        <x:v>Independente</x:v>
      </x:c>
      <x:c r="I401" s="111" t="str">
        <x:v>Regra residual — revisar manualmente</x:v>
      </x:c>
      <x:c r="J401" s="153" t="str">
        <x:v>Sim — alta</x:v>
      </x:c>
      <x:c r="K401" s="135" t="n">
        <x:f>IF($H401="Independente",$F401,0)</x:f>
        <x:v>5164615.74</x:v>
      </x:c>
      <x:c r="L401" s="135" t="n">
        <x:f>IF($H401="Ligada a banco",$F401,0)</x:f>
        <x:v>0</x:v>
      </x:c>
      <x:c r="M401" s="114" t="n">
        <x:f>IF(K401&gt;0,RANK(K401,$K$6:$K$462)+COUNTIF($K$6:K401,K401)-1,9999)</x:f>
        <x:v>372</x:v>
      </x:c>
      <x:c r="N401" s="114" t="n">
        <x:f>IF(L401&gt;0,RANK(L401,$L$6:$L$462)+COUNTIF($L$6:L401,L401)-1,9999)</x:f>
        <x:v>9999</x:v>
      </x:c>
    </x:row>
    <x:row r="402">
      <x:c r="A402" s="111" t="str">
        <x:v>BNY MELLON SERVICOS</x:v>
      </x:c>
      <x:c r="B402" s="135" t="n">
        <x:v>0</x:v>
      </x:c>
      <x:c r="C402" s="135" t="n">
        <x:v>0</x:v>
      </x:c>
      <x:c r="D402" s="135" t="n">
        <x:v>4905112.620000001</x:v>
      </x:c>
      <x:c r="E402" s="135" t="n">
        <x:v>0</x:v>
      </x:c>
      <x:c r="F402" s="135" t="n">
        <x:f>SUM(B402:E402)</x:f>
        <x:v>4905112.620000001</x:v>
      </x:c>
      <x:c r="G402" s="111" t="str">
        <x:v>Independente</x:v>
      </x:c>
      <x:c r="H402" s="144" t="str">
        <x:v>Independente</x:v>
      </x:c>
      <x:c r="I402" s="111" t="str">
        <x:v>Regra residual — revisar manualmente</x:v>
      </x:c>
      <x:c r="J402" s="153" t="str">
        <x:v>Sim — alta</x:v>
      </x:c>
      <x:c r="K402" s="135" t="n">
        <x:f>IF($H402="Independente",$F402,0)</x:f>
        <x:v>4905112.620000001</x:v>
      </x:c>
      <x:c r="L402" s="135" t="n">
        <x:f>IF($H402="Ligada a banco",$F402,0)</x:f>
        <x:v>0</x:v>
      </x:c>
      <x:c r="M402" s="114" t="n">
        <x:f>IF(K402&gt;0,RANK(K402,$K$6:$K$462)+COUNTIF($K$6:K402,K402)-1,9999)</x:f>
        <x:v>373</x:v>
      </x:c>
      <x:c r="N402" s="114" t="n">
        <x:f>IF(L402&gt;0,RANK(L402,$L$6:$L$462)+COUNTIF($L$6:L402,L402)-1,9999)</x:f>
        <x:v>9999</x:v>
      </x:c>
    </x:row>
    <x:row r="403">
      <x:c r="A403" s="111" t="str">
        <x:v>Etti Partners</x:v>
      </x:c>
      <x:c r="B403" s="135" t="n">
        <x:v>0</x:v>
      </x:c>
      <x:c r="C403" s="135" t="n">
        <x:v>0</x:v>
      </x:c>
      <x:c r="D403" s="135" t="n">
        <x:v>0</x:v>
      </x:c>
      <x:c r="E403" s="135" t="n">
        <x:v>4685859.29</x:v>
      </x:c>
      <x:c r="F403" s="135" t="n">
        <x:f>SUM(B403:E403)</x:f>
        <x:v>4685859.29</x:v>
      </x:c>
      <x:c r="G403" s="111" t="str">
        <x:v>Independente</x:v>
      </x:c>
      <x:c r="H403" s="144" t="str">
        <x:v>Independente</x:v>
      </x:c>
      <x:c r="I403" s="111" t="str">
        <x:v>Regra residual — revisar manualmente</x:v>
      </x:c>
      <x:c r="J403" s="153" t="str">
        <x:v>Sim — alta</x:v>
      </x:c>
      <x:c r="K403" s="135" t="n">
        <x:f>IF($H403="Independente",$F403,0)</x:f>
        <x:v>4685859.29</x:v>
      </x:c>
      <x:c r="L403" s="135" t="n">
        <x:f>IF($H403="Ligada a banco",$F403,0)</x:f>
        <x:v>0</x:v>
      </x:c>
      <x:c r="M403" s="114" t="n">
        <x:f>IF(K403&gt;0,RANK(K403,$K$6:$K$462)+COUNTIF($K$6:K403,K403)-1,9999)</x:f>
        <x:v>374</x:v>
      </x:c>
      <x:c r="N403" s="114" t="n">
        <x:f>IF(L403&gt;0,RANK(L403,$L$6:$L$462)+COUNTIF($L$6:L403,L403)-1,9999)</x:f>
        <x:v>9999</x:v>
      </x:c>
    </x:row>
    <x:row r="404">
      <x:c r="A404" s="111" t="str">
        <x:v>AWR Gestão de Recursos</x:v>
      </x:c>
      <x:c r="B404" s="135" t="n">
        <x:v>3808327.44</x:v>
      </x:c>
      <x:c r="C404" s="135" t="n">
        <x:v>0</x:v>
      </x:c>
      <x:c r="D404" s="135" t="n">
        <x:v>0</x:v>
      </x:c>
      <x:c r="E404" s="135" t="n">
        <x:v>0</x:v>
      </x:c>
      <x:c r="F404" s="135" t="n">
        <x:f>SUM(B404:E404)</x:f>
        <x:v>3808327.44</x:v>
      </x:c>
      <x:c r="G404" s="111" t="str">
        <x:v>Independente</x:v>
      </x:c>
      <x:c r="H404" s="144" t="str">
        <x:v>Independente</x:v>
      </x:c>
      <x:c r="I404" s="111" t="str">
        <x:v>Regra residual — revisar manualmente</x:v>
      </x:c>
      <x:c r="J404" s="153" t="str">
        <x:v>Sim — alta</x:v>
      </x:c>
      <x:c r="K404" s="135" t="n">
        <x:f>IF($H404="Independente",$F404,0)</x:f>
        <x:v>3808327.44</x:v>
      </x:c>
      <x:c r="L404" s="135" t="n">
        <x:f>IF($H404="Ligada a banco",$F404,0)</x:f>
        <x:v>0</x:v>
      </x:c>
      <x:c r="M404" s="114" t="n">
        <x:f>IF(K404&gt;0,RANK(K404,$K$6:$K$462)+COUNTIF($K$6:K404,K404)-1,9999)</x:f>
        <x:v>375</x:v>
      </x:c>
      <x:c r="N404" s="114" t="n">
        <x:f>IF(L404&gt;0,RANK(L404,$L$6:$L$462)+COUNTIF($L$6:L404,L404)-1,9999)</x:f>
        <x:v>9999</x:v>
      </x:c>
    </x:row>
    <x:row r="405">
      <x:c r="A405" s="111" t="str">
        <x:v>MARIN INVESTIMENTOS</x:v>
      </x:c>
      <x:c r="B405" s="135" t="n">
        <x:v>0</x:v>
      </x:c>
      <x:c r="C405" s="135" t="n">
        <x:v>0</x:v>
      </x:c>
      <x:c r="D405" s="135" t="n">
        <x:v>3784822.37</x:v>
      </x:c>
      <x:c r="E405" s="135" t="n">
        <x:v>0</x:v>
      </x:c>
      <x:c r="F405" s="135" t="n">
        <x:f>SUM(B405:E405)</x:f>
        <x:v>3784822.37</x:v>
      </x:c>
      <x:c r="G405" s="111" t="str">
        <x:v>Independente</x:v>
      </x:c>
      <x:c r="H405" s="144" t="str">
        <x:v>Independente</x:v>
      </x:c>
      <x:c r="I405" s="111" t="str">
        <x:v>Regra residual — revisar manualmente</x:v>
      </x:c>
      <x:c r="J405" s="153" t="str">
        <x:v>Sim — alta</x:v>
      </x:c>
      <x:c r="K405" s="135" t="n">
        <x:f>IF($H405="Independente",$F405,0)</x:f>
        <x:v>3784822.37</x:v>
      </x:c>
      <x:c r="L405" s="135" t="n">
        <x:f>IF($H405="Ligada a banco",$F405,0)</x:f>
        <x:v>0</x:v>
      </x:c>
      <x:c r="M405" s="114" t="n">
        <x:f>IF(K405&gt;0,RANK(K405,$K$6:$K$462)+COUNTIF($K$6:K405,K405)-1,9999)</x:f>
        <x:v>376</x:v>
      </x:c>
      <x:c r="N405" s="114" t="n">
        <x:f>IF(L405&gt;0,RANK(L405,$L$6:$L$462)+COUNTIF($L$6:L405,L405)-1,9999)</x:f>
        <x:v>9999</x:v>
      </x:c>
    </x:row>
    <x:row r="406">
      <x:c r="A406" s="111" t="str">
        <x:v>3J Gestora de Recursos Ltda.</x:v>
      </x:c>
      <x:c r="B406" s="135" t="n">
        <x:v>0</x:v>
      </x:c>
      <x:c r="C406" s="135" t="n">
        <x:v>0</x:v>
      </x:c>
      <x:c r="D406" s="135" t="n">
        <x:v>0</x:v>
      </x:c>
      <x:c r="E406" s="135" t="n">
        <x:v>3229682.060000001</x:v>
      </x:c>
      <x:c r="F406" s="135" t="n">
        <x:f>SUM(B406:E406)</x:f>
        <x:v>3229682.060000001</x:v>
      </x:c>
      <x:c r="G406" s="111" t="str">
        <x:v>Independente</x:v>
      </x:c>
      <x:c r="H406" s="144" t="str">
        <x:v>Independente</x:v>
      </x:c>
      <x:c r="I406" s="111" t="str">
        <x:v>Regra residual — revisar manualmente</x:v>
      </x:c>
      <x:c r="J406" s="153" t="str">
        <x:v>Sim — alta</x:v>
      </x:c>
      <x:c r="K406" s="135" t="n">
        <x:f>IF($H406="Independente",$F406,0)</x:f>
        <x:v>3229682.060000001</x:v>
      </x:c>
      <x:c r="L406" s="135" t="n">
        <x:f>IF($H406="Ligada a banco",$F406,0)</x:f>
        <x:v>0</x:v>
      </x:c>
      <x:c r="M406" s="114" t="n">
        <x:f>IF(K406&gt;0,RANK(K406,$K$6:$K$462)+COUNTIF($K$6:K406,K406)-1,9999)</x:f>
        <x:v>377</x:v>
      </x:c>
      <x:c r="N406" s="114" t="n">
        <x:f>IF(L406&gt;0,RANK(L406,$L$6:$L$462)+COUNTIF($L$6:L406,L406)-1,9999)</x:f>
        <x:v>9999</x:v>
      </x:c>
    </x:row>
    <x:row r="407">
      <x:c r="A407" s="111" t="str">
        <x:v>Merito DTVM</x:v>
      </x:c>
      <x:c r="B407" s="135" t="n">
        <x:v>0</x:v>
      </x:c>
      <x:c r="C407" s="135" t="n">
        <x:v>0</x:v>
      </x:c>
      <x:c r="D407" s="135" t="n">
        <x:v>0</x:v>
      </x:c>
      <x:c r="E407" s="135" t="n">
        <x:v>3199595.12</x:v>
      </x:c>
      <x:c r="F407" s="135" t="n">
        <x:f>SUM(B407:E407)</x:f>
        <x:v>3199595.12</x:v>
      </x:c>
      <x:c r="G407" s="111" t="str">
        <x:v>Independente</x:v>
      </x:c>
      <x:c r="H407" s="144" t="str">
        <x:v>Independente</x:v>
      </x:c>
      <x:c r="I407" s="111" t="str">
        <x:v>Regra residual — revisar manualmente</x:v>
      </x:c>
      <x:c r="J407" s="153" t="str">
        <x:v>Sim — alta</x:v>
      </x:c>
      <x:c r="K407" s="135" t="n">
        <x:f>IF($H407="Independente",$F407,0)</x:f>
        <x:v>3199595.12</x:v>
      </x:c>
      <x:c r="L407" s="135" t="n">
        <x:f>IF($H407="Ligada a banco",$F407,0)</x:f>
        <x:v>0</x:v>
      </x:c>
      <x:c r="M407" s="114" t="n">
        <x:f>IF(K407&gt;0,RANK(K407,$K$6:$K$462)+COUNTIF($K$6:K407,K407)-1,9999)</x:f>
        <x:v>378</x:v>
      </x:c>
      <x:c r="N407" s="114" t="n">
        <x:f>IF(L407&gt;0,RANK(L407,$L$6:$L$462)+COUNTIF($L$6:L407,L407)-1,9999)</x:f>
        <x:v>9999</x:v>
      </x:c>
    </x:row>
    <x:row r="408">
      <x:c r="A408" s="111" t="str">
        <x:v>Fronteira Invest</x:v>
      </x:c>
      <x:c r="B408" s="135" t="n">
        <x:v>0</x:v>
      </x:c>
      <x:c r="C408" s="135" t="n">
        <x:v>2083377.6</x:v>
      </x:c>
      <x:c r="D408" s="135" t="n">
        <x:v>0</x:v>
      </x:c>
      <x:c r="E408" s="135" t="n">
        <x:v>1000663.07</x:v>
      </x:c>
      <x:c r="F408" s="135" t="n">
        <x:f>SUM(B408:E408)</x:f>
        <x:v>3084040.67</x:v>
      </x:c>
      <x:c r="G408" s="111" t="str">
        <x:v>Independente</x:v>
      </x:c>
      <x:c r="H408" s="144" t="str">
        <x:v>Independente</x:v>
      </x:c>
      <x:c r="I408" s="111" t="str">
        <x:v>Regra residual — revisar manualmente</x:v>
      </x:c>
      <x:c r="J408" s="153" t="str">
        <x:v>Sim — alta</x:v>
      </x:c>
      <x:c r="K408" s="135" t="n">
        <x:f>IF($H408="Independente",$F408,0)</x:f>
        <x:v>3084040.67</x:v>
      </x:c>
      <x:c r="L408" s="135" t="n">
        <x:f>IF($H408="Ligada a banco",$F408,0)</x:f>
        <x:v>0</x:v>
      </x:c>
      <x:c r="M408" s="114" t="n">
        <x:f>IF(K408&gt;0,RANK(K408,$K$6:$K$462)+COUNTIF($K$6:K408,K408)-1,9999)</x:f>
        <x:v>379</x:v>
      </x:c>
      <x:c r="N408" s="114" t="n">
        <x:f>IF(L408&gt;0,RANK(L408,$L$6:$L$462)+COUNTIF($L$6:L408,L408)-1,9999)</x:f>
        <x:v>9999</x:v>
      </x:c>
    </x:row>
    <x:row r="409">
      <x:c r="A409" s="111" t="str">
        <x:v>Iter</x:v>
      </x:c>
      <x:c r="B409" s="135" t="n">
        <x:v>0</x:v>
      </x:c>
      <x:c r="C409" s="135" t="n">
        <x:v>3018031.71</x:v>
      </x:c>
      <x:c r="D409" s="135" t="n">
        <x:v>0</x:v>
      </x:c>
      <x:c r="E409" s="135" t="n">
        <x:v>0</x:v>
      </x:c>
      <x:c r="F409" s="135" t="n">
        <x:f>SUM(B409:E409)</x:f>
        <x:v>3018031.71</x:v>
      </x:c>
      <x:c r="G409" s="111" t="str">
        <x:v>Independente</x:v>
      </x:c>
      <x:c r="H409" s="144" t="str">
        <x:v>Independente</x:v>
      </x:c>
      <x:c r="I409" s="111" t="str">
        <x:v>Regra residual — revisar manualmente</x:v>
      </x:c>
      <x:c r="J409" s="153" t="str">
        <x:v>Sim — alta</x:v>
      </x:c>
      <x:c r="K409" s="135" t="n">
        <x:f>IF($H409="Independente",$F409,0)</x:f>
        <x:v>3018031.71</x:v>
      </x:c>
      <x:c r="L409" s="135" t="n">
        <x:f>IF($H409="Ligada a banco",$F409,0)</x:f>
        <x:v>0</x:v>
      </x:c>
      <x:c r="M409" s="114" t="n">
        <x:f>IF(K409&gt;0,RANK(K409,$K$6:$K$462)+COUNTIF($K$6:K409,K409)-1,9999)</x:f>
        <x:v>380</x:v>
      </x:c>
      <x:c r="N409" s="114" t="n">
        <x:f>IF(L409&gt;0,RANK(L409,$L$6:$L$462)+COUNTIF($L$6:L409,L409)-1,9999)</x:f>
        <x:v>9999</x:v>
      </x:c>
    </x:row>
    <x:row r="410">
      <x:c r="A410" s="111" t="str">
        <x:v>Planalto Capital</x:v>
      </x:c>
      <x:c r="B410" s="135" t="n">
        <x:v>0</x:v>
      </x:c>
      <x:c r="C410" s="135" t="n">
        <x:v>0</x:v>
      </x:c>
      <x:c r="D410" s="135" t="n">
        <x:v>0</x:v>
      </x:c>
      <x:c r="E410" s="135" t="n">
        <x:v>2738167.5300000003</x:v>
      </x:c>
      <x:c r="F410" s="135" t="n">
        <x:f>SUM(B410:E410)</x:f>
        <x:v>2738167.5300000003</x:v>
      </x:c>
      <x:c r="G410" s="111" t="str">
        <x:v>Independente</x:v>
      </x:c>
      <x:c r="H410" s="144" t="str">
        <x:v>Independente</x:v>
      </x:c>
      <x:c r="I410" s="111" t="str">
        <x:v>Regra residual — revisar manualmente</x:v>
      </x:c>
      <x:c r="J410" s="153" t="str">
        <x:v>Sim — alta</x:v>
      </x:c>
      <x:c r="K410" s="135" t="n">
        <x:f>IF($H410="Independente",$F410,0)</x:f>
        <x:v>2738167.5300000003</x:v>
      </x:c>
      <x:c r="L410" s="135" t="n">
        <x:f>IF($H410="Ligada a banco",$F410,0)</x:f>
        <x:v>0</x:v>
      </x:c>
      <x:c r="M410" s="114" t="n">
        <x:f>IF(K410&gt;0,RANK(K410,$K$6:$K$462)+COUNTIF($K$6:K410,K410)-1,9999)</x:f>
        <x:v>381</x:v>
      </x:c>
      <x:c r="N410" s="114" t="n">
        <x:f>IF(L410&gt;0,RANK(L410,$L$6:$L$462)+COUNTIF($L$6:L410,L410)-1,9999)</x:f>
        <x:v>9999</x:v>
      </x:c>
    </x:row>
    <x:row r="411">
      <x:c r="A411" s="111" t="str">
        <x:v>Bradesco Asset</x:v>
      </x:c>
      <x:c r="B411" s="135" t="n">
        <x:v>0</x:v>
      </x:c>
      <x:c r="C411" s="135" t="n">
        <x:v>2492691.93</x:v>
      </x:c>
      <x:c r="D411" s="135" t="n">
        <x:v>0</x:v>
      </x:c>
      <x:c r="E411" s="135" t="n">
        <x:v>0</x:v>
      </x:c>
      <x:c r="F411" s="135" t="n">
        <x:f>SUM(B411:E411)</x:f>
        <x:v>2492691.93</x:v>
      </x:c>
      <x:c r="G411" s="111" t="str">
        <x:v>Ligada a banco</x:v>
      </x:c>
      <x:c r="H411" s="144" t="str">
        <x:v>Ligada a banco</x:v>
      </x:c>
      <x:c r="I411" s="111" t="str">
        <x:v>Regra nominal: BRADESCO</x:v>
      </x:c>
      <x:c r="J411" s="153" t="str">
        <x:v>Confirmar</x:v>
      </x:c>
      <x:c r="K411" s="135" t="n">
        <x:f>IF($H411="Independente",$F411,0)</x:f>
        <x:v>0</x:v>
      </x:c>
      <x:c r="L411" s="135" t="n">
        <x:f>IF($H411="Ligada a banco",$F411,0)</x:f>
        <x:v>2492691.93</x:v>
      </x:c>
      <x:c r="M411" s="114" t="n">
        <x:f>IF(K411&gt;0,RANK(K411,$K$6:$K$462)+COUNTIF($K$6:K411,K411)-1,9999)</x:f>
        <x:v>9999</x:v>
      </x:c>
      <x:c r="N411" s="114" t="n">
        <x:f>IF(L411&gt;0,RANK(L411,$L$6:$L$462)+COUNTIF($L$6:L411,L411)-1,9999)</x:f>
        <x:v>25</x:v>
      </x:c>
    </x:row>
    <x:row r="412">
      <x:c r="A412" s="111" t="str">
        <x:v>Pátria VBI Real Estate Gestão de Carteiras S.A.</x:v>
      </x:c>
      <x:c r="B412" s="135" t="n">
        <x:v>0</x:v>
      </x:c>
      <x:c r="C412" s="135" t="n">
        <x:v>0</x:v>
      </x:c>
      <x:c r="D412" s="135" t="n">
        <x:v>0</x:v>
      </x:c>
      <x:c r="E412" s="135" t="n">
        <x:v>1841163.96</x:v>
      </x:c>
      <x:c r="F412" s="135" t="n">
        <x:f>SUM(B412:E412)</x:f>
        <x:v>1841163.96</x:v>
      </x:c>
      <x:c r="G412" s="111" t="str">
        <x:v>Independente</x:v>
      </x:c>
      <x:c r="H412" s="144" t="str">
        <x:v>Independente</x:v>
      </x:c>
      <x:c r="I412" s="111" t="str">
        <x:v>Regra residual — revisar manualmente</x:v>
      </x:c>
      <x:c r="J412" s="153" t="str">
        <x:v>Sim — alta</x:v>
      </x:c>
      <x:c r="K412" s="135" t="n">
        <x:f>IF($H412="Independente",$F412,0)</x:f>
        <x:v>1841163.96</x:v>
      </x:c>
      <x:c r="L412" s="135" t="n">
        <x:f>IF($H412="Ligada a banco",$F412,0)</x:f>
        <x:v>0</x:v>
      </x:c>
      <x:c r="M412" s="114" t="n">
        <x:f>IF(K412&gt;0,RANK(K412,$K$6:$K$462)+COUNTIF($K$6:K412,K412)-1,9999)</x:f>
        <x:v>382</x:v>
      </x:c>
      <x:c r="N412" s="114" t="n">
        <x:f>IF(L412&gt;0,RANK(L412,$L$6:$L$462)+COUNTIF($L$6:L412,L412)-1,9999)</x:f>
        <x:v>9999</x:v>
      </x:c>
    </x:row>
    <x:row r="413">
      <x:c r="A413" s="111" t="str">
        <x:v>Fortis Gestora de Recursos LTDA</x:v>
      </x:c>
      <x:c r="B413" s="135" t="n">
        <x:v>0</x:v>
      </x:c>
      <x:c r="C413" s="135" t="n">
        <x:v>0</x:v>
      </x:c>
      <x:c r="D413" s="135" t="n">
        <x:v>0</x:v>
      </x:c>
      <x:c r="E413" s="135" t="n">
        <x:v>1696183.37</x:v>
      </x:c>
      <x:c r="F413" s="135" t="n">
        <x:f>SUM(B413:E413)</x:f>
        <x:v>1696183.37</x:v>
      </x:c>
      <x:c r="G413" s="111" t="str">
        <x:v>Independente</x:v>
      </x:c>
      <x:c r="H413" s="144" t="str">
        <x:v>Independente</x:v>
      </x:c>
      <x:c r="I413" s="111" t="str">
        <x:v>Regra residual — revisar manualmente</x:v>
      </x:c>
      <x:c r="J413" s="153" t="str">
        <x:v>Sim — alta</x:v>
      </x:c>
      <x:c r="K413" s="135" t="n">
        <x:f>IF($H413="Independente",$F413,0)</x:f>
        <x:v>1696183.37</x:v>
      </x:c>
      <x:c r="L413" s="135" t="n">
        <x:f>IF($H413="Ligada a banco",$F413,0)</x:f>
        <x:v>0</x:v>
      </x:c>
      <x:c r="M413" s="114" t="n">
        <x:f>IF(K413&gt;0,RANK(K413,$K$6:$K$462)+COUNTIF($K$6:K413,K413)-1,9999)</x:f>
        <x:v>383</x:v>
      </x:c>
      <x:c r="N413" s="114" t="n">
        <x:f>IF(L413&gt;0,RANK(L413,$L$6:$L$462)+COUNTIF($L$6:L413,L413)-1,9999)</x:f>
        <x:v>9999</x:v>
      </x:c>
    </x:row>
    <x:row r="414">
      <x:c r="A414" s="111" t="str">
        <x:v>QR Asset</x:v>
      </x:c>
      <x:c r="B414" s="135" t="n">
        <x:v>0</x:v>
      </x:c>
      <x:c r="C414" s="135" t="n">
        <x:v>0</x:v>
      </x:c>
      <x:c r="D414" s="135" t="n">
        <x:v>1626200.8299999998</x:v>
      </x:c>
      <x:c r="E414" s="135" t="n">
        <x:v>0</x:v>
      </x:c>
      <x:c r="F414" s="135" t="n">
        <x:f>SUM(B414:E414)</x:f>
        <x:v>1626200.8299999998</x:v>
      </x:c>
      <x:c r="G414" s="111" t="str">
        <x:v>Independente</x:v>
      </x:c>
      <x:c r="H414" s="144" t="str">
        <x:v>Independente</x:v>
      </x:c>
      <x:c r="I414" s="111" t="str">
        <x:v>Regra residual — revisar manualmente</x:v>
      </x:c>
      <x:c r="J414" s="153" t="str">
        <x:v>Sim — alta</x:v>
      </x:c>
      <x:c r="K414" s="135" t="n">
        <x:f>IF($H414="Independente",$F414,0)</x:f>
        <x:v>1626200.8299999998</x:v>
      </x:c>
      <x:c r="L414" s="135" t="n">
        <x:f>IF($H414="Ligada a banco",$F414,0)</x:f>
        <x:v>0</x:v>
      </x:c>
      <x:c r="M414" s="114" t="n">
        <x:f>IF(K414&gt;0,RANK(K414,$K$6:$K$462)+COUNTIF($K$6:K414,K414)-1,9999)</x:f>
        <x:v>384</x:v>
      </x:c>
      <x:c r="N414" s="114" t="n">
        <x:f>IF(L414&gt;0,RANK(L414,$L$6:$L$462)+COUNTIF($L$6:L414,L414)-1,9999)</x:f>
        <x:v>9999</x:v>
      </x:c>
    </x:row>
    <x:row r="415">
      <x:c r="A415" s="111" t="str">
        <x:v>R CAPITAL ASSET MANAGEMENT INVESTIMENTOS S.A.</x:v>
      </x:c>
      <x:c r="B415" s="135" t="n">
        <x:v>0</x:v>
      </x:c>
      <x:c r="C415" s="135" t="n">
        <x:v>0</x:v>
      </x:c>
      <x:c r="D415" s="135" t="n">
        <x:v>0</x:v>
      </x:c>
      <x:c r="E415" s="135" t="n">
        <x:v>1136622.69</x:v>
      </x:c>
      <x:c r="F415" s="135" t="n">
        <x:f>SUM(B415:E415)</x:f>
        <x:v>1136622.69</x:v>
      </x:c>
      <x:c r="G415" s="111" t="str">
        <x:v>Independente</x:v>
      </x:c>
      <x:c r="H415" s="144" t="str">
        <x:v>Independente</x:v>
      </x:c>
      <x:c r="I415" s="111" t="str">
        <x:v>Regra residual — revisar manualmente</x:v>
      </x:c>
      <x:c r="J415" s="153" t="str">
        <x:v>Sim — alta</x:v>
      </x:c>
      <x:c r="K415" s="135" t="n">
        <x:f>IF($H415="Independente",$F415,0)</x:f>
        <x:v>1136622.69</x:v>
      </x:c>
      <x:c r="L415" s="135" t="n">
        <x:f>IF($H415="Ligada a banco",$F415,0)</x:f>
        <x:v>0</x:v>
      </x:c>
      <x:c r="M415" s="114" t="n">
        <x:f>IF(K415&gt;0,RANK(K415,$K$6:$K$462)+COUNTIF($K$6:K415,K415)-1,9999)</x:f>
        <x:v>385</x:v>
      </x:c>
      <x:c r="N415" s="114" t="n">
        <x:f>IF(L415&gt;0,RANK(L415,$L$6:$L$462)+COUNTIF($L$6:L415,L415)-1,9999)</x:f>
        <x:v>9999</x:v>
      </x:c>
    </x:row>
    <x:row r="416">
      <x:c r="A416" s="111" t="str">
        <x:v>FOURCE GESTAO DE RECURSOS LTDA</x:v>
      </x:c>
      <x:c r="B416" s="135" t="n">
        <x:v>0</x:v>
      </x:c>
      <x:c r="C416" s="135" t="n">
        <x:v>0</x:v>
      </x:c>
      <x:c r="D416" s="135" t="n">
        <x:v>0</x:v>
      </x:c>
      <x:c r="E416" s="135" t="n">
        <x:v>1066676.88</x:v>
      </x:c>
      <x:c r="F416" s="135" t="n">
        <x:f>SUM(B416:E416)</x:f>
        <x:v>1066676.88</x:v>
      </x:c>
      <x:c r="G416" s="111" t="str">
        <x:v>Independente</x:v>
      </x:c>
      <x:c r="H416" s="144" t="str">
        <x:v>Independente</x:v>
      </x:c>
      <x:c r="I416" s="111" t="str">
        <x:v>Regra residual — revisar manualmente</x:v>
      </x:c>
      <x:c r="J416" s="153" t="str">
        <x:v>Sim — alta</x:v>
      </x:c>
      <x:c r="K416" s="135" t="n">
        <x:f>IF($H416="Independente",$F416,0)</x:f>
        <x:v>1066676.88</x:v>
      </x:c>
      <x:c r="L416" s="135" t="n">
        <x:f>IF($H416="Ligada a banco",$F416,0)</x:f>
        <x:v>0</x:v>
      </x:c>
      <x:c r="M416" s="114" t="n">
        <x:f>IF(K416&gt;0,RANK(K416,$K$6:$K$462)+COUNTIF($K$6:K416,K416)-1,9999)</x:f>
        <x:v>386</x:v>
      </x:c>
      <x:c r="N416" s="114" t="n">
        <x:f>IF(L416&gt;0,RANK(L416,$L$6:$L$462)+COUNTIF($L$6:L416,L416)-1,9999)</x:f>
        <x:v>9999</x:v>
      </x:c>
    </x:row>
    <x:row r="417">
      <x:c r="A417" s="111" t="str">
        <x:v>Bloxs Asset</x:v>
      </x:c>
      <x:c r="B417" s="135" t="n">
        <x:v>0</x:v>
      </x:c>
      <x:c r="C417" s="135" t="n">
        <x:v>0</x:v>
      </x:c>
      <x:c r="D417" s="135" t="n">
        <x:v>0</x:v>
      </x:c>
      <x:c r="E417" s="135" t="n">
        <x:v>835072.15</x:v>
      </x:c>
      <x:c r="F417" s="135" t="n">
        <x:f>SUM(B417:E417)</x:f>
        <x:v>835072.15</x:v>
      </x:c>
      <x:c r="G417" s="111" t="str">
        <x:v>Independente</x:v>
      </x:c>
      <x:c r="H417" s="144" t="str">
        <x:v>Independente</x:v>
      </x:c>
      <x:c r="I417" s="111" t="str">
        <x:v>Regra residual — revisar manualmente</x:v>
      </x:c>
      <x:c r="J417" s="153" t="str">
        <x:v>Sim — alta</x:v>
      </x:c>
      <x:c r="K417" s="135" t="n">
        <x:f>IF($H417="Independente",$F417,0)</x:f>
        <x:v>835072.15</x:v>
      </x:c>
      <x:c r="L417" s="135" t="n">
        <x:f>IF($H417="Ligada a banco",$F417,0)</x:f>
        <x:v>0</x:v>
      </x:c>
      <x:c r="M417" s="114" t="n">
        <x:f>IF(K417&gt;0,RANK(K417,$K$6:$K$462)+COUNTIF($K$6:K417,K417)-1,9999)</x:f>
        <x:v>387</x:v>
      </x:c>
      <x:c r="N417" s="114" t="n">
        <x:f>IF(L417&gt;0,RANK(L417,$L$6:$L$462)+COUNTIF($L$6:L417,L417)-1,9999)</x:f>
        <x:v>9999</x:v>
      </x:c>
    </x:row>
    <x:row r="418">
      <x:c r="A418" s="111" t="str">
        <x:v>Mont Capital Gestão e Administração</x:v>
      </x:c>
      <x:c r="B418" s="135" t="n">
        <x:v>0</x:v>
      </x:c>
      <x:c r="C418" s="135" t="n">
        <x:v>0</x:v>
      </x:c>
      <x:c r="D418" s="135" t="n">
        <x:v>745363.78</x:v>
      </x:c>
      <x:c r="E418" s="135" t="n">
        <x:v>0</x:v>
      </x:c>
      <x:c r="F418" s="135" t="n">
        <x:f>SUM(B418:E418)</x:f>
        <x:v>745363.78</x:v>
      </x:c>
      <x:c r="G418" s="111" t="str">
        <x:v>Independente</x:v>
      </x:c>
      <x:c r="H418" s="144" t="str">
        <x:v>Independente</x:v>
      </x:c>
      <x:c r="I418" s="111" t="str">
        <x:v>Regra residual — revisar manualmente</x:v>
      </x:c>
      <x:c r="J418" s="153" t="str">
        <x:v>Sim — alta</x:v>
      </x:c>
      <x:c r="K418" s="135" t="n">
        <x:f>IF($H418="Independente",$F418,0)</x:f>
        <x:v>745363.78</x:v>
      </x:c>
      <x:c r="L418" s="135" t="n">
        <x:f>IF($H418="Ligada a banco",$F418,0)</x:f>
        <x:v>0</x:v>
      </x:c>
      <x:c r="M418" s="114" t="n">
        <x:f>IF(K418&gt;0,RANK(K418,$K$6:$K$462)+COUNTIF($K$6:K418,K418)-1,9999)</x:f>
        <x:v>388</x:v>
      </x:c>
      <x:c r="N418" s="114" t="n">
        <x:f>IF(L418&gt;0,RANK(L418,$L$6:$L$462)+COUNTIF($L$6:L418,L418)-1,9999)</x:f>
        <x:v>9999</x:v>
      </x:c>
    </x:row>
    <x:row r="419">
      <x:c r="A419" s="111" t="str">
        <x:v>SZ CAPITAL LTDA</x:v>
      </x:c>
      <x:c r="B419" s="135" t="n">
        <x:v>0</x:v>
      </x:c>
      <x:c r="C419" s="135" t="n">
        <x:v>0</x:v>
      </x:c>
      <x:c r="D419" s="135" t="n">
        <x:v>0</x:v>
      </x:c>
      <x:c r="E419" s="135" t="n">
        <x:v>275574.19</x:v>
      </x:c>
      <x:c r="F419" s="135" t="n">
        <x:f>SUM(B419:E419)</x:f>
        <x:v>275574.19</x:v>
      </x:c>
      <x:c r="G419" s="111" t="str">
        <x:v>Independente</x:v>
      </x:c>
      <x:c r="H419" s="144" t="str">
        <x:v>Independente</x:v>
      </x:c>
      <x:c r="I419" s="111" t="str">
        <x:v>Regra residual — revisar manualmente</x:v>
      </x:c>
      <x:c r="J419" s="153" t="str">
        <x:v>Sim — alta</x:v>
      </x:c>
      <x:c r="K419" s="135" t="n">
        <x:f>IF($H419="Independente",$F419,0)</x:f>
        <x:v>275574.19</x:v>
      </x:c>
      <x:c r="L419" s="135" t="n">
        <x:f>IF($H419="Ligada a banco",$F419,0)</x:f>
        <x:v>0</x:v>
      </x:c>
      <x:c r="M419" s="114" t="n">
        <x:f>IF(K419&gt;0,RANK(K419,$K$6:$K$462)+COUNTIF($K$6:K419,K419)-1,9999)</x:f>
        <x:v>389</x:v>
      </x:c>
      <x:c r="N419" s="114" t="n">
        <x:f>IF(L419&gt;0,RANK(L419,$L$6:$L$462)+COUNTIF($L$6:L419,L419)-1,9999)</x:f>
        <x:v>9999</x:v>
      </x:c>
    </x:row>
    <x:row r="420">
      <x:c r="A420" s="111" t="str">
        <x:v>Privatto Administração de Patrimonio Ltda</x:v>
      </x:c>
      <x:c r="B420" s="135" t="n">
        <x:v>0</x:v>
      </x:c>
      <x:c r="C420" s="135" t="n">
        <x:v>0</x:v>
      </x:c>
      <x:c r="D420" s="135" t="n">
        <x:v>0.05</x:v>
      </x:c>
      <x:c r="E420" s="135" t="n">
        <x:v>0</x:v>
      </x:c>
      <x:c r="F420" s="135" t="n">
        <x:f>SUM(B420:E420)</x:f>
        <x:v>0.05</x:v>
      </x:c>
      <x:c r="G420" s="111" t="str">
        <x:v>Independente</x:v>
      </x:c>
      <x:c r="H420" s="144" t="str">
        <x:v>Independente</x:v>
      </x:c>
      <x:c r="I420" s="111" t="str">
        <x:v>Regra residual — revisar manualmente</x:v>
      </x:c>
      <x:c r="J420" s="153" t="str">
        <x:v>Sim — alta</x:v>
      </x:c>
      <x:c r="K420" s="135" t="n">
        <x:f>IF($H420="Independente",$F420,0)</x:f>
        <x:v>0.05</x:v>
      </x:c>
      <x:c r="L420" s="135" t="n">
        <x:f>IF($H420="Ligada a banco",$F420,0)</x:f>
        <x:v>0</x:v>
      </x:c>
      <x:c r="M420" s="114" t="n">
        <x:f>IF(K420&gt;0,RANK(K420,$K$6:$K$462)+COUNTIF($K$6:K420,K420)-1,9999)</x:f>
        <x:v>390</x:v>
      </x:c>
      <x:c r="N420" s="114" t="n">
        <x:f>IF(L420&gt;0,RANK(L420,$L$6:$L$462)+COUNTIF($L$6:L420,L420)-1,9999)</x:f>
        <x:v>9999</x:v>
      </x:c>
    </x:row>
    <x:row r="421">
      <x:c r="A421" s="111" t="str">
        <x:v>BRAX INVESTIMENTOS</x:v>
      </x:c>
      <x:c r="B421" s="135" t="n">
        <x:v>0</x:v>
      </x:c>
      <x:c r="C421" s="135" t="n">
        <x:v>0</x:v>
      </x:c>
      <x:c r="D421" s="135" t="n">
        <x:v>0.02</x:v>
      </x:c>
      <x:c r="E421" s="135" t="n">
        <x:v>0</x:v>
      </x:c>
      <x:c r="F421" s="135" t="n">
        <x:f>SUM(B421:E421)</x:f>
        <x:v>0.02</x:v>
      </x:c>
      <x:c r="G421" s="111" t="str">
        <x:v>Independente</x:v>
      </x:c>
      <x:c r="H421" s="144" t="str">
        <x:v>Independente</x:v>
      </x:c>
      <x:c r="I421" s="111" t="str">
        <x:v>Regra residual — revisar manualmente</x:v>
      </x:c>
      <x:c r="J421" s="153" t="str">
        <x:v>Sim — alta</x:v>
      </x:c>
      <x:c r="K421" s="135" t="n">
        <x:f>IF($H421="Independente",$F421,0)</x:f>
        <x:v>0.02</x:v>
      </x:c>
      <x:c r="L421" s="135" t="n">
        <x:f>IF($H421="Ligada a banco",$F421,0)</x:f>
        <x:v>0</x:v>
      </x:c>
      <x:c r="M421" s="114" t="n">
        <x:f>IF(K421&gt;0,RANK(K421,$K$6:$K$462)+COUNTIF($K$6:K421,K421)-1,9999)</x:f>
        <x:v>391</x:v>
      </x:c>
      <x:c r="N421" s="114" t="n">
        <x:f>IF(L421&gt;0,RANK(L421,$L$6:$L$462)+COUNTIF($L$6:L421,L421)-1,9999)</x:f>
        <x:v>9999</x:v>
      </x:c>
    </x:row>
    <x:row r="422">
      <x:c r="A422" s="111" t="str">
        <x:v>ARAM CAPITAL GESTÃO DE RECURSOS LTDA.</x:v>
      </x:c>
      <x:c r="B422" s="135" t="n">
        <x:v>0</x:v>
      </x:c>
      <x:c r="C422" s="135" t="n">
        <x:v>0</x:v>
      </x:c>
      <x:c r="D422" s="135" t="n">
        <x:v>0</x:v>
      </x:c>
      <x:c r="E422" s="135" t="n">
        <x:v>0</x:v>
      </x:c>
      <x:c r="F422" s="135" t="n">
        <x:f>SUM(B422:E422)</x:f>
        <x:v>0</x:v>
      </x:c>
      <x:c r="G422" s="111" t="str">
        <x:v>Independente</x:v>
      </x:c>
      <x:c r="H422" s="144" t="str">
        <x:v>Independente</x:v>
      </x:c>
      <x:c r="I422" s="111" t="str">
        <x:v>Regra residual — revisar manualmente</x:v>
      </x:c>
      <x:c r="J422" s="153" t="str">
        <x:v>Sim — alta</x:v>
      </x:c>
      <x:c r="K422" s="135" t="n">
        <x:f>IF($H422="Independente",$F422,0)</x:f>
        <x:v>0</x:v>
      </x:c>
      <x:c r="L422" s="135" t="n">
        <x:f>IF($H422="Ligada a banco",$F422,0)</x:f>
        <x:v>0</x:v>
      </x:c>
      <x:c r="M422" s="114" t="n">
        <x:f>IF(K422&gt;0,RANK(K422,$K$6:$K$462)+COUNTIF($K$6:K422,K422)-1,9999)</x:f>
        <x:v>9999</x:v>
      </x:c>
      <x:c r="N422" s="114" t="n">
        <x:f>IF(L422&gt;0,RANK(L422,$L$6:$L$462)+COUNTIF($L$6:L422,L422)-1,9999)</x:f>
        <x:v>9999</x:v>
      </x:c>
    </x:row>
    <x:row r="423">
      <x:c r="A423" s="111" t="str">
        <x:v>Guide Gestão</x:v>
      </x:c>
      <x:c r="B423" s="135" t="n">
        <x:v>0</x:v>
      </x:c>
      <x:c r="C423" s="135" t="n">
        <x:v>0</x:v>
      </x:c>
      <x:c r="D423" s="135" t="n">
        <x:v>0</x:v>
      </x:c>
      <x:c r="E423" s="135" t="n">
        <x:v>0</x:v>
      </x:c>
      <x:c r="F423" s="135" t="n">
        <x:f>SUM(B423:E423)</x:f>
        <x:v>0</x:v>
      </x:c>
      <x:c r="G423" s="111" t="str">
        <x:v>Independente</x:v>
      </x:c>
      <x:c r="H423" s="144" t="str">
        <x:v>Independente</x:v>
      </x:c>
      <x:c r="I423" s="111" t="str">
        <x:v>Regra residual — revisar manualmente</x:v>
      </x:c>
      <x:c r="J423" s="153" t="str">
        <x:v>Sim — alta</x:v>
      </x:c>
      <x:c r="K423" s="135" t="n">
        <x:f>IF($H423="Independente",$F423,0)</x:f>
        <x:v>0</x:v>
      </x:c>
      <x:c r="L423" s="135" t="n">
        <x:f>IF($H423="Ligada a banco",$F423,0)</x:f>
        <x:v>0</x:v>
      </x:c>
      <x:c r="M423" s="114" t="n">
        <x:f>IF(K423&gt;0,RANK(K423,$K$6:$K$462)+COUNTIF($K$6:K423,K423)-1,9999)</x:f>
        <x:v>9999</x:v>
      </x:c>
      <x:c r="N423" s="114" t="n">
        <x:f>IF(L423&gt;0,RANK(L423,$L$6:$L$462)+COUNTIF($L$6:L423,L423)-1,9999)</x:f>
        <x:v>9999</x:v>
      </x:c>
    </x:row>
    <x:row r="424">
      <x:c r="A424" s="111" t="str">
        <x:v>Lucas Esperança Napolitano</x:v>
      </x:c>
      <x:c r="B424" s="135" t="n">
        <x:v>0</x:v>
      </x:c>
      <x:c r="C424" s="135" t="n">
        <x:v>0</x:v>
      </x:c>
      <x:c r="D424" s="135" t="n">
        <x:v>0</x:v>
      </x:c>
      <x:c r="E424" s="135" t="n">
        <x:v>0</x:v>
      </x:c>
      <x:c r="F424" s="135" t="n">
        <x:f>SUM(B424:E424)</x:f>
        <x:v>0</x:v>
      </x:c>
      <x:c r="G424" s="111" t="str">
        <x:v>Independente</x:v>
      </x:c>
      <x:c r="H424" s="144" t="str">
        <x:v>Independente</x:v>
      </x:c>
      <x:c r="I424" s="111" t="str">
        <x:v>Regra residual — revisar manualmente</x:v>
      </x:c>
      <x:c r="J424" s="153" t="str">
        <x:v>Sim — alta</x:v>
      </x:c>
      <x:c r="K424" s="135" t="n">
        <x:f>IF($H424="Independente",$F424,0)</x:f>
        <x:v>0</x:v>
      </x:c>
      <x:c r="L424" s="135" t="n">
        <x:f>IF($H424="Ligada a banco",$F424,0)</x:f>
        <x:v>0</x:v>
      </x:c>
      <x:c r="M424" s="114" t="n">
        <x:f>IF(K424&gt;0,RANK(K424,$K$6:$K$462)+COUNTIF($K$6:K424,K424)-1,9999)</x:f>
        <x:v>9999</x:v>
      </x:c>
      <x:c r="N424" s="114" t="n">
        <x:f>IF(L424&gt;0,RANK(L424,$L$6:$L$462)+COUNTIF($L$6:L424,L424)-1,9999)</x:f>
        <x:v>9999</x:v>
      </x:c>
    </x:row>
    <x:row r="425">
      <x:c r="A425" s="111" t="str">
        <x:v>Jazz Capital</x:v>
      </x:c>
      <x:c r="B425" s="135" t="n">
        <x:v>0</x:v>
      </x:c>
      <x:c r="C425" s="135" t="n">
        <x:v>0</x:v>
      </x:c>
      <x:c r="D425" s="135" t="n">
        <x:v>0</x:v>
      </x:c>
      <x:c r="E425" s="135" t="n">
        <x:v>0</x:v>
      </x:c>
      <x:c r="F425" s="135" t="n">
        <x:f>SUM(B425:E425)</x:f>
        <x:v>0</x:v>
      </x:c>
      <x:c r="G425" s="111" t="str">
        <x:v>Independente</x:v>
      </x:c>
      <x:c r="H425" s="144" t="str">
        <x:v>Independente</x:v>
      </x:c>
      <x:c r="I425" s="111" t="str">
        <x:v>Regra residual — revisar manualmente</x:v>
      </x:c>
      <x:c r="J425" s="153" t="str">
        <x:v>Sim — alta</x:v>
      </x:c>
      <x:c r="K425" s="135" t="n">
        <x:f>IF($H425="Independente",$F425,0)</x:f>
        <x:v>0</x:v>
      </x:c>
      <x:c r="L425" s="135" t="n">
        <x:f>IF($H425="Ligada a banco",$F425,0)</x:f>
        <x:v>0</x:v>
      </x:c>
      <x:c r="M425" s="114" t="n">
        <x:f>IF(K425&gt;0,RANK(K425,$K$6:$K$462)+COUNTIF($K$6:K425,K425)-1,9999)</x:f>
        <x:v>9999</x:v>
      </x:c>
      <x:c r="N425" s="114" t="n">
        <x:f>IF(L425&gt;0,RANK(L425,$L$6:$L$462)+COUNTIF($L$6:L425,L425)-1,9999)</x:f>
        <x:v>9999</x:v>
      </x:c>
    </x:row>
    <x:row r="426">
      <x:c r="A426" s="111" t="str">
        <x:v>Hedge Alternative Investments</x:v>
      </x:c>
      <x:c r="B426" s="135" t="n">
        <x:v>0</x:v>
      </x:c>
      <x:c r="C426" s="135" t="n">
        <x:v>0</x:v>
      </x:c>
      <x:c r="D426" s="135" t="n">
        <x:v>0</x:v>
      </x:c>
      <x:c r="E426" s="135" t="n">
        <x:v>0</x:v>
      </x:c>
      <x:c r="F426" s="135" t="n">
        <x:f>SUM(B426:E426)</x:f>
        <x:v>0</x:v>
      </x:c>
      <x:c r="G426" s="111" t="str">
        <x:v>Independente</x:v>
      </x:c>
      <x:c r="H426" s="144" t="str">
        <x:v>Independente</x:v>
      </x:c>
      <x:c r="I426" s="111" t="str">
        <x:v>Regra residual — revisar manualmente</x:v>
      </x:c>
      <x:c r="J426" s="153" t="str">
        <x:v>Sim — alta</x:v>
      </x:c>
      <x:c r="K426" s="135" t="n">
        <x:f>IF($H426="Independente",$F426,0)</x:f>
        <x:v>0</x:v>
      </x:c>
      <x:c r="L426" s="135" t="n">
        <x:f>IF($H426="Ligada a banco",$F426,0)</x:f>
        <x:v>0</x:v>
      </x:c>
      <x:c r="M426" s="114" t="n">
        <x:f>IF(K426&gt;0,RANK(K426,$K$6:$K$462)+COUNTIF($K$6:K426,K426)-1,9999)</x:f>
        <x:v>9999</x:v>
      </x:c>
      <x:c r="N426" s="114" t="n">
        <x:f>IF(L426&gt;0,RANK(L426,$L$6:$L$462)+COUNTIF($L$6:L426,L426)-1,9999)</x:f>
        <x:v>9999</x:v>
      </x:c>
    </x:row>
    <x:row r="427">
      <x:c r="A427" s="111" t="str">
        <x:v>ASK GESTORA DE RECURSOS LTDA</x:v>
      </x:c>
      <x:c r="B427" s="135" t="n">
        <x:v>0</x:v>
      </x:c>
      <x:c r="C427" s="135" t="n">
        <x:v>0</x:v>
      </x:c>
      <x:c r="D427" s="135" t="n">
        <x:v>0</x:v>
      </x:c>
      <x:c r="E427" s="135" t="n">
        <x:v>0</x:v>
      </x:c>
      <x:c r="F427" s="135" t="n">
        <x:f>SUM(B427:E427)</x:f>
        <x:v>0</x:v>
      </x:c>
      <x:c r="G427" s="111" t="str">
        <x:v>Independente</x:v>
      </x:c>
      <x:c r="H427" s="144" t="str">
        <x:v>Independente</x:v>
      </x:c>
      <x:c r="I427" s="111" t="str">
        <x:v>Regra residual — revisar manualmente</x:v>
      </x:c>
      <x:c r="J427" s="153" t="str">
        <x:v>Sim — alta</x:v>
      </x:c>
      <x:c r="K427" s="135" t="n">
        <x:f>IF($H427="Independente",$F427,0)</x:f>
        <x:v>0</x:v>
      </x:c>
      <x:c r="L427" s="135" t="n">
        <x:f>IF($H427="Ligada a banco",$F427,0)</x:f>
        <x:v>0</x:v>
      </x:c>
      <x:c r="M427" s="114" t="n">
        <x:f>IF(K427&gt;0,RANK(K427,$K$6:$K$462)+COUNTIF($K$6:K427,K427)-1,9999)</x:f>
        <x:v>9999</x:v>
      </x:c>
      <x:c r="N427" s="114" t="n">
        <x:f>IF(L427&gt;0,RANK(L427,$L$6:$L$462)+COUNTIF($L$6:L427,L427)-1,9999)</x:f>
        <x:v>9999</x:v>
      </x:c>
    </x:row>
    <x:row r="428">
      <x:c r="A428" s="111" t="str">
        <x:v>Naia Capital Gestão e Consultoria Financeira Ltda.</x:v>
      </x:c>
      <x:c r="B428" s="135" t="n">
        <x:v>0</x:v>
      </x:c>
      <x:c r="C428" s="135" t="n">
        <x:v>0</x:v>
      </x:c>
      <x:c r="D428" s="135" t="n">
        <x:v>0</x:v>
      </x:c>
      <x:c r="E428" s="135" t="n">
        <x:v>0</x:v>
      </x:c>
      <x:c r="F428" s="135" t="n">
        <x:f>SUM(B428:E428)</x:f>
        <x:v>0</x:v>
      </x:c>
      <x:c r="G428" s="111" t="str">
        <x:v>Independente</x:v>
      </x:c>
      <x:c r="H428" s="144" t="str">
        <x:v>Independente</x:v>
      </x:c>
      <x:c r="I428" s="111" t="str">
        <x:v>Regra residual — revisar manualmente</x:v>
      </x:c>
      <x:c r="J428" s="153" t="str">
        <x:v>Sim — alta</x:v>
      </x:c>
      <x:c r="K428" s="135" t="n">
        <x:f>IF($H428="Independente",$F428,0)</x:f>
        <x:v>0</x:v>
      </x:c>
      <x:c r="L428" s="135" t="n">
        <x:f>IF($H428="Ligada a banco",$F428,0)</x:f>
        <x:v>0</x:v>
      </x:c>
      <x:c r="M428" s="114" t="n">
        <x:f>IF(K428&gt;0,RANK(K428,$K$6:$K$462)+COUNTIF($K$6:K428,K428)-1,9999)</x:f>
        <x:v>9999</x:v>
      </x:c>
      <x:c r="N428" s="114" t="n">
        <x:f>IF(L428&gt;0,RANK(L428,$L$6:$L$462)+COUNTIF($L$6:L428,L428)-1,9999)</x:f>
        <x:v>9999</x:v>
      </x:c>
    </x:row>
    <x:row r="429">
      <x:c r="A429" s="111" t="str">
        <x:v>GGP GESTÃO DE PATRIMÔNIO LTDA.</x:v>
      </x:c>
      <x:c r="B429" s="135" t="n">
        <x:v>0</x:v>
      </x:c>
      <x:c r="C429" s="135" t="n">
        <x:v>0</x:v>
      </x:c>
      <x:c r="D429" s="135" t="n">
        <x:v>0</x:v>
      </x:c>
      <x:c r="E429" s="135" t="n">
        <x:v>0</x:v>
      </x:c>
      <x:c r="F429" s="135" t="n">
        <x:f>SUM(B429:E429)</x:f>
        <x:v>0</x:v>
      </x:c>
      <x:c r="G429" s="111" t="str">
        <x:v>Independente</x:v>
      </x:c>
      <x:c r="H429" s="144" t="str">
        <x:v>Independente</x:v>
      </x:c>
      <x:c r="I429" s="111" t="str">
        <x:v>Regra residual — revisar manualmente</x:v>
      </x:c>
      <x:c r="J429" s="153" t="str">
        <x:v>Sim — alta</x:v>
      </x:c>
      <x:c r="K429" s="135" t="n">
        <x:f>IF($H429="Independente",$F429,0)</x:f>
        <x:v>0</x:v>
      </x:c>
      <x:c r="L429" s="135" t="n">
        <x:f>IF($H429="Ligada a banco",$F429,0)</x:f>
        <x:v>0</x:v>
      </x:c>
      <x:c r="M429" s="114" t="n">
        <x:f>IF(K429&gt;0,RANK(K429,$K$6:$K$462)+COUNTIF($K$6:K429,K429)-1,9999)</x:f>
        <x:v>9999</x:v>
      </x:c>
      <x:c r="N429" s="114" t="n">
        <x:f>IF(L429&gt;0,RANK(L429,$L$6:$L$462)+COUNTIF($L$6:L429,L429)-1,9999)</x:f>
        <x:v>9999</x:v>
      </x:c>
    </x:row>
    <x:row r="430">
      <x:c r="A430" s="111" t="str">
        <x:v>Violet</x:v>
      </x:c>
      <x:c r="B430" s="135" t="n">
        <x:v>0</x:v>
      </x:c>
      <x:c r="C430" s="135" t="n">
        <x:v>0</x:v>
      </x:c>
      <x:c r="D430" s="135" t="n">
        <x:v>0</x:v>
      </x:c>
      <x:c r="E430" s="135" t="n">
        <x:v>0</x:v>
      </x:c>
      <x:c r="F430" s="135" t="n">
        <x:f>SUM(B430:E430)</x:f>
        <x:v>0</x:v>
      </x:c>
      <x:c r="G430" s="111" t="str">
        <x:v>Independente</x:v>
      </x:c>
      <x:c r="H430" s="144" t="str">
        <x:v>Independente</x:v>
      </x:c>
      <x:c r="I430" s="111" t="str">
        <x:v>Regra residual — revisar manualmente</x:v>
      </x:c>
      <x:c r="J430" s="153" t="str">
        <x:v>Sim — alta</x:v>
      </x:c>
      <x:c r="K430" s="135" t="n">
        <x:f>IF($H430="Independente",$F430,0)</x:f>
        <x:v>0</x:v>
      </x:c>
      <x:c r="L430" s="135" t="n">
        <x:f>IF($H430="Ligada a banco",$F430,0)</x:f>
        <x:v>0</x:v>
      </x:c>
      <x:c r="M430" s="114" t="n">
        <x:f>IF(K430&gt;0,RANK(K430,$K$6:$K$462)+COUNTIF($K$6:K430,K430)-1,9999)</x:f>
        <x:v>9999</x:v>
      </x:c>
      <x:c r="N430" s="114" t="n">
        <x:f>IF(L430&gt;0,RANK(L430,$L$6:$L$462)+COUNTIF($L$6:L430,L430)-1,9999)</x:f>
        <x:v>9999</x:v>
      </x:c>
    </x:row>
    <x:row r="431">
      <x:c r="A431" s="111" t="str">
        <x:v>ABC CAPITAL MFO</x:v>
      </x:c>
      <x:c r="B431" s="135" t="n">
        <x:v>0</x:v>
      </x:c>
      <x:c r="C431" s="135" t="n">
        <x:v>0</x:v>
      </x:c>
      <x:c r="D431" s="135" t="n">
        <x:v>0</x:v>
      </x:c>
      <x:c r="E431" s="135" t="n">
        <x:v>0</x:v>
      </x:c>
      <x:c r="F431" s="135" t="n">
        <x:f>SUM(B431:E431)</x:f>
        <x:v>0</x:v>
      </x:c>
      <x:c r="G431" s="111" t="str">
        <x:v>Independente</x:v>
      </x:c>
      <x:c r="H431" s="144" t="str">
        <x:v>Independente</x:v>
      </x:c>
      <x:c r="I431" s="111" t="str">
        <x:v>Regra residual — revisar manualmente</x:v>
      </x:c>
      <x:c r="J431" s="153" t="str">
        <x:v>Sim — alta</x:v>
      </x:c>
      <x:c r="K431" s="135" t="n">
        <x:f>IF($H431="Independente",$F431,0)</x:f>
        <x:v>0</x:v>
      </x:c>
      <x:c r="L431" s="135" t="n">
        <x:f>IF($H431="Ligada a banco",$F431,0)</x:f>
        <x:v>0</x:v>
      </x:c>
      <x:c r="M431" s="114" t="n">
        <x:f>IF(K431&gt;0,RANK(K431,$K$6:$K$462)+COUNTIF($K$6:K431,K431)-1,9999)</x:f>
        <x:v>9999</x:v>
      </x:c>
      <x:c r="N431" s="114" t="n">
        <x:f>IF(L431&gt;0,RANK(L431,$L$6:$L$462)+COUNTIF($L$6:L431,L431)-1,9999)</x:f>
        <x:v>9999</x:v>
      </x:c>
    </x:row>
    <x:row r="432">
      <x:c r="A432" s="111" t="str">
        <x:v>ZEUS CAPITAL</x:v>
      </x:c>
      <x:c r="B432" s="135" t="n">
        <x:v>0</x:v>
      </x:c>
      <x:c r="C432" s="135" t="n">
        <x:v>0</x:v>
      </x:c>
      <x:c r="D432" s="135" t="n">
        <x:v>0</x:v>
      </x:c>
      <x:c r="E432" s="135" t="n">
        <x:v>0</x:v>
      </x:c>
      <x:c r="F432" s="135" t="n">
        <x:f>SUM(B432:E432)</x:f>
        <x:v>0</x:v>
      </x:c>
      <x:c r="G432" s="111" t="str">
        <x:v>Independente</x:v>
      </x:c>
      <x:c r="H432" s="144" t="str">
        <x:v>Independente</x:v>
      </x:c>
      <x:c r="I432" s="111" t="str">
        <x:v>Regra residual — revisar manualmente</x:v>
      </x:c>
      <x:c r="J432" s="153" t="str">
        <x:v>Sim — alta</x:v>
      </x:c>
      <x:c r="K432" s="135" t="n">
        <x:f>IF($H432="Independente",$F432,0)</x:f>
        <x:v>0</x:v>
      </x:c>
      <x:c r="L432" s="135" t="n">
        <x:f>IF($H432="Ligada a banco",$F432,0)</x:f>
        <x:v>0</x:v>
      </x:c>
      <x:c r="M432" s="114" t="n">
        <x:f>IF(K432&gt;0,RANK(K432,$K$6:$K$462)+COUNTIF($K$6:K432,K432)-1,9999)</x:f>
        <x:v>9999</x:v>
      </x:c>
      <x:c r="N432" s="114" t="n">
        <x:f>IF(L432&gt;0,RANK(L432,$L$6:$L$462)+COUNTIF($L$6:L432,L432)-1,9999)</x:f>
        <x:v>9999</x:v>
      </x:c>
    </x:row>
    <x:row r="433">
      <x:c r="A433" s="111" t="str">
        <x:v>Reditus Investimentos LTDA</x:v>
      </x:c>
      <x:c r="B433" s="135" t="n">
        <x:v>0</x:v>
      </x:c>
      <x:c r="C433" s="135" t="n">
        <x:v>0</x:v>
      </x:c>
      <x:c r="D433" s="135" t="n">
        <x:v>0</x:v>
      </x:c>
      <x:c r="E433" s="135" t="n">
        <x:v>0</x:v>
      </x:c>
      <x:c r="F433" s="135" t="n">
        <x:f>SUM(B433:E433)</x:f>
        <x:v>0</x:v>
      </x:c>
      <x:c r="G433" s="111" t="str">
        <x:v>Independente</x:v>
      </x:c>
      <x:c r="H433" s="144" t="str">
        <x:v>Independente</x:v>
      </x:c>
      <x:c r="I433" s="111" t="str">
        <x:v>Regra residual — revisar manualmente</x:v>
      </x:c>
      <x:c r="J433" s="153" t="str">
        <x:v>Sim — alta</x:v>
      </x:c>
      <x:c r="K433" s="135" t="n">
        <x:f>IF($H433="Independente",$F433,0)</x:f>
        <x:v>0</x:v>
      </x:c>
      <x:c r="L433" s="135" t="n">
        <x:f>IF($H433="Ligada a banco",$F433,0)</x:f>
        <x:v>0</x:v>
      </x:c>
      <x:c r="M433" s="114" t="n">
        <x:f>IF(K433&gt;0,RANK(K433,$K$6:$K$462)+COUNTIF($K$6:K433,K433)-1,9999)</x:f>
        <x:v>9999</x:v>
      </x:c>
      <x:c r="N433" s="114" t="n">
        <x:f>IF(L433&gt;0,RANK(L433,$L$6:$L$462)+COUNTIF($L$6:L433,L433)-1,9999)</x:f>
        <x:v>9999</x:v>
      </x:c>
    </x:row>
    <x:row r="434">
      <x:c r="A434" s="111" t="str">
        <x:v>Trafalgar Investimentos</x:v>
      </x:c>
      <x:c r="B434" s="135" t="n">
        <x:v>0</x:v>
      </x:c>
      <x:c r="C434" s="135" t="n">
        <x:v>0</x:v>
      </x:c>
      <x:c r="D434" s="135" t="n">
        <x:v>0</x:v>
      </x:c>
      <x:c r="E434" s="135" t="n">
        <x:v>0</x:v>
      </x:c>
      <x:c r="F434" s="135" t="n">
        <x:f>SUM(B434:E434)</x:f>
        <x:v>0</x:v>
      </x:c>
      <x:c r="G434" s="111" t="str">
        <x:v>Independente</x:v>
      </x:c>
      <x:c r="H434" s="144" t="str">
        <x:v>Independente</x:v>
      </x:c>
      <x:c r="I434" s="111" t="str">
        <x:v>Regra residual — revisar manualmente</x:v>
      </x:c>
      <x:c r="J434" s="153" t="str">
        <x:v>Sim — alta</x:v>
      </x:c>
      <x:c r="K434" s="135" t="n">
        <x:f>IF($H434="Independente",$F434,0)</x:f>
        <x:v>0</x:v>
      </x:c>
      <x:c r="L434" s="135" t="n">
        <x:f>IF($H434="Ligada a banco",$F434,0)</x:f>
        <x:v>0</x:v>
      </x:c>
      <x:c r="M434" s="114" t="n">
        <x:f>IF(K434&gt;0,RANK(K434,$K$6:$K$462)+COUNTIF($K$6:K434,K434)-1,9999)</x:f>
        <x:v>9999</x:v>
      </x:c>
      <x:c r="N434" s="114" t="n">
        <x:f>IF(L434&gt;0,RANK(L434,$L$6:$L$462)+COUNTIF($L$6:L434,L434)-1,9999)</x:f>
        <x:v>9999</x:v>
      </x:c>
    </x:row>
    <x:row r="435">
      <x:c r="A435" s="111" t="str">
        <x:v>ATRIO GESTAO DE RECURSOS</x:v>
      </x:c>
      <x:c r="B435" s="135" t="n">
        <x:v>0</x:v>
      </x:c>
      <x:c r="C435" s="135" t="n">
        <x:v>0</x:v>
      </x:c>
      <x:c r="D435" s="135" t="n">
        <x:v>0</x:v>
      </x:c>
      <x:c r="E435" s="135" t="n">
        <x:v>0</x:v>
      </x:c>
      <x:c r="F435" s="135" t="n">
        <x:f>SUM(B435:E435)</x:f>
        <x:v>0</x:v>
      </x:c>
      <x:c r="G435" s="111" t="str">
        <x:v>Independente</x:v>
      </x:c>
      <x:c r="H435" s="144" t="str">
        <x:v>Independente</x:v>
      </x:c>
      <x:c r="I435" s="111" t="str">
        <x:v>Regra residual — revisar manualmente</x:v>
      </x:c>
      <x:c r="J435" s="153" t="str">
        <x:v>Sim — alta</x:v>
      </x:c>
      <x:c r="K435" s="135" t="n">
        <x:f>IF($H435="Independente",$F435,0)</x:f>
        <x:v>0</x:v>
      </x:c>
      <x:c r="L435" s="135" t="n">
        <x:f>IF($H435="Ligada a banco",$F435,0)</x:f>
        <x:v>0</x:v>
      </x:c>
      <x:c r="M435" s="114" t="n">
        <x:f>IF(K435&gt;0,RANK(K435,$K$6:$K$462)+COUNTIF($K$6:K435,K435)-1,9999)</x:f>
        <x:v>9999</x:v>
      </x:c>
      <x:c r="N435" s="114" t="n">
        <x:f>IF(L435&gt;0,RANK(L435,$L$6:$L$462)+COUNTIF($L$6:L435,L435)-1,9999)</x:f>
        <x:v>9999</x:v>
      </x:c>
    </x:row>
    <x:row r="436">
      <x:c r="A436" s="111" t="str">
        <x:v>Fors Capital</x:v>
      </x:c>
      <x:c r="B436" s="135" t="n">
        <x:v>0</x:v>
      </x:c>
      <x:c r="C436" s="135" t="n">
        <x:v>0</x:v>
      </x:c>
      <x:c r="D436" s="135" t="n">
        <x:v>0</x:v>
      </x:c>
      <x:c r="E436" s="135" t="n">
        <x:v>0</x:v>
      </x:c>
      <x:c r="F436" s="135" t="n">
        <x:f>SUM(B436:E436)</x:f>
        <x:v>0</x:v>
      </x:c>
      <x:c r="G436" s="111" t="str">
        <x:v>Independente</x:v>
      </x:c>
      <x:c r="H436" s="144" t="str">
        <x:v>Independente</x:v>
      </x:c>
      <x:c r="I436" s="111" t="str">
        <x:v>Regra residual — revisar manualmente</x:v>
      </x:c>
      <x:c r="J436" s="153" t="str">
        <x:v>Sim — alta</x:v>
      </x:c>
      <x:c r="K436" s="135" t="n">
        <x:f>IF($H436="Independente",$F436,0)</x:f>
        <x:v>0</x:v>
      </x:c>
      <x:c r="L436" s="135" t="n">
        <x:f>IF($H436="Ligada a banco",$F436,0)</x:f>
        <x:v>0</x:v>
      </x:c>
      <x:c r="M436" s="114" t="n">
        <x:f>IF(K436&gt;0,RANK(K436,$K$6:$K$462)+COUNTIF($K$6:K436,K436)-1,9999)</x:f>
        <x:v>9999</x:v>
      </x:c>
      <x:c r="N436" s="114" t="n">
        <x:f>IF(L436&gt;0,RANK(L436,$L$6:$L$462)+COUNTIF($L$6:L436,L436)-1,9999)</x:f>
        <x:v>9999</x:v>
      </x:c>
    </x:row>
    <x:row r="437">
      <x:c r="A437" s="111" t="str">
        <x:v>Reag Venture Capital &amp; Growth Equities</x:v>
      </x:c>
      <x:c r="B437" s="135" t="n">
        <x:v>0</x:v>
      </x:c>
      <x:c r="C437" s="135" t="n">
        <x:v>0</x:v>
      </x:c>
      <x:c r="D437" s="135" t="n">
        <x:v>0</x:v>
      </x:c>
      <x:c r="E437" s="135" t="n">
        <x:v>0</x:v>
      </x:c>
      <x:c r="F437" s="135" t="n">
        <x:f>SUM(B437:E437)</x:f>
        <x:v>0</x:v>
      </x:c>
      <x:c r="G437" s="111" t="str">
        <x:v>Independente</x:v>
      </x:c>
      <x:c r="H437" s="144" t="str">
        <x:v>Independente</x:v>
      </x:c>
      <x:c r="I437" s="111" t="str">
        <x:v>Regra residual — revisar manualmente</x:v>
      </x:c>
      <x:c r="J437" s="153" t="str">
        <x:v>Sim — alta</x:v>
      </x:c>
      <x:c r="K437" s="135" t="n">
        <x:f>IF($H437="Independente",$F437,0)</x:f>
        <x:v>0</x:v>
      </x:c>
      <x:c r="L437" s="135" t="n">
        <x:f>IF($H437="Ligada a banco",$F437,0)</x:f>
        <x:v>0</x:v>
      </x:c>
      <x:c r="M437" s="114" t="n">
        <x:f>IF(K437&gt;0,RANK(K437,$K$6:$K$462)+COUNTIF($K$6:K437,K437)-1,9999)</x:f>
        <x:v>9999</x:v>
      </x:c>
      <x:c r="N437" s="114" t="n">
        <x:f>IF(L437&gt;0,RANK(L437,$L$6:$L$462)+COUNTIF($L$6:L437,L437)-1,9999)</x:f>
        <x:v>9999</x:v>
      </x:c>
    </x:row>
    <x:row r="438">
      <x:c r="A438" s="111" t="str">
        <x:v>CCF INVESTIMENTOS</x:v>
      </x:c>
      <x:c r="B438" s="135" t="n">
        <x:v>0</x:v>
      </x:c>
      <x:c r="C438" s="135" t="n">
        <x:v>0</x:v>
      </x:c>
      <x:c r="D438" s="135" t="n">
        <x:v>0</x:v>
      </x:c>
      <x:c r="E438" s="135" t="n">
        <x:v>0</x:v>
      </x:c>
      <x:c r="F438" s="135" t="n">
        <x:f>SUM(B438:E438)</x:f>
        <x:v>0</x:v>
      </x:c>
      <x:c r="G438" s="111" t="str">
        <x:v>Independente</x:v>
      </x:c>
      <x:c r="H438" s="144" t="str">
        <x:v>Independente</x:v>
      </x:c>
      <x:c r="I438" s="111" t="str">
        <x:v>Regra residual — revisar manualmente</x:v>
      </x:c>
      <x:c r="J438" s="153" t="str">
        <x:v>Sim — alta</x:v>
      </x:c>
      <x:c r="K438" s="135" t="n">
        <x:f>IF($H438="Independente",$F438,0)</x:f>
        <x:v>0</x:v>
      </x:c>
      <x:c r="L438" s="135" t="n">
        <x:f>IF($H438="Ligada a banco",$F438,0)</x:f>
        <x:v>0</x:v>
      </x:c>
      <x:c r="M438" s="114" t="n">
        <x:f>IF(K438&gt;0,RANK(K438,$K$6:$K$462)+COUNTIF($K$6:K438,K438)-1,9999)</x:f>
        <x:v>9999</x:v>
      </x:c>
      <x:c r="N438" s="114" t="n">
        <x:f>IF(L438&gt;0,RANK(L438,$L$6:$L$462)+COUNTIF($L$6:L438,L438)-1,9999)</x:f>
        <x:v>9999</x:v>
      </x:c>
    </x:row>
    <x:row r="439">
      <x:c r="A439" s="111" t="str">
        <x:v>Reag Jus</x:v>
      </x:c>
      <x:c r="B439" s="135" t="n">
        <x:v>0</x:v>
      </x:c>
      <x:c r="C439" s="135" t="n">
        <x:v>0</x:v>
      </x:c>
      <x:c r="D439" s="135" t="n">
        <x:v>0</x:v>
      </x:c>
      <x:c r="E439" s="135" t="n">
        <x:v>0</x:v>
      </x:c>
      <x:c r="F439" s="135" t="n">
        <x:f>SUM(B439:E439)</x:f>
        <x:v>0</x:v>
      </x:c>
      <x:c r="G439" s="111" t="str">
        <x:v>Independente</x:v>
      </x:c>
      <x:c r="H439" s="144" t="str">
        <x:v>Independente</x:v>
      </x:c>
      <x:c r="I439" s="111" t="str">
        <x:v>Regra residual — revisar manualmente</x:v>
      </x:c>
      <x:c r="J439" s="153" t="str">
        <x:v>Sim — alta</x:v>
      </x:c>
      <x:c r="K439" s="135" t="n">
        <x:f>IF($H439="Independente",$F439,0)</x:f>
        <x:v>0</x:v>
      </x:c>
      <x:c r="L439" s="135" t="n">
        <x:f>IF($H439="Ligada a banco",$F439,0)</x:f>
        <x:v>0</x:v>
      </x:c>
      <x:c r="M439" s="114" t="n">
        <x:f>IF(K439&gt;0,RANK(K439,$K$6:$K$462)+COUNTIF($K$6:K439,K439)-1,9999)</x:f>
        <x:v>9999</x:v>
      </x:c>
      <x:c r="N439" s="114" t="n">
        <x:f>IF(L439&gt;0,RANK(L439,$L$6:$L$462)+COUNTIF($L$6:L439,L439)-1,9999)</x:f>
        <x:v>9999</x:v>
      </x:c>
    </x:row>
    <x:row r="440">
      <x:c r="A440" s="111" t="str">
        <x:v>Reag Administradora de Recursos Ltda</x:v>
      </x:c>
      <x:c r="B440" s="135" t="n">
        <x:v>0</x:v>
      </x:c>
      <x:c r="C440" s="135" t="n">
        <x:v>0</x:v>
      </x:c>
      <x:c r="D440" s="135" t="n">
        <x:v>0</x:v>
      </x:c>
      <x:c r="E440" s="135" t="n">
        <x:v>0</x:v>
      </x:c>
      <x:c r="F440" s="135" t="n">
        <x:f>SUM(B440:E440)</x:f>
        <x:v>0</x:v>
      </x:c>
      <x:c r="G440" s="111" t="str">
        <x:v>Independente</x:v>
      </x:c>
      <x:c r="H440" s="144" t="str">
        <x:v>Independente</x:v>
      </x:c>
      <x:c r="I440" s="111" t="str">
        <x:v>Regra residual — revisar manualmente</x:v>
      </x:c>
      <x:c r="J440" s="153" t="str">
        <x:v>Sim — alta</x:v>
      </x:c>
      <x:c r="K440" s="135" t="n">
        <x:f>IF($H440="Independente",$F440,0)</x:f>
        <x:v>0</x:v>
      </x:c>
      <x:c r="L440" s="135" t="n">
        <x:f>IF($H440="Ligada a banco",$F440,0)</x:f>
        <x:v>0</x:v>
      </x:c>
      <x:c r="M440" s="114" t="n">
        <x:f>IF(K440&gt;0,RANK(K440,$K$6:$K$462)+COUNTIF($K$6:K440,K440)-1,9999)</x:f>
        <x:v>9999</x:v>
      </x:c>
      <x:c r="N440" s="114" t="n">
        <x:f>IF(L440&gt;0,RANK(L440,$L$6:$L$462)+COUNTIF($L$6:L440,L440)-1,9999)</x:f>
        <x:v>9999</x:v>
      </x:c>
    </x:row>
    <x:row r="441">
      <x:c r="A441" s="111" t="str">
        <x:v>Cedro Asset Management LTDA.</x:v>
      </x:c>
      <x:c r="B441" s="135" t="n">
        <x:v>0</x:v>
      </x:c>
      <x:c r="C441" s="135" t="n">
        <x:v>0</x:v>
      </x:c>
      <x:c r="D441" s="135" t="n">
        <x:v>0</x:v>
      </x:c>
      <x:c r="E441" s="135" t="n">
        <x:v>0</x:v>
      </x:c>
      <x:c r="F441" s="135" t="n">
        <x:f>SUM(B441:E441)</x:f>
        <x:v>0</x:v>
      </x:c>
      <x:c r="G441" s="111" t="str">
        <x:v>Independente</x:v>
      </x:c>
      <x:c r="H441" s="144" t="str">
        <x:v>Independente</x:v>
      </x:c>
      <x:c r="I441" s="111" t="str">
        <x:v>Regra residual — revisar manualmente</x:v>
      </x:c>
      <x:c r="J441" s="153" t="str">
        <x:v>Sim — alta</x:v>
      </x:c>
      <x:c r="K441" s="135" t="n">
        <x:f>IF($H441="Independente",$F441,0)</x:f>
        <x:v>0</x:v>
      </x:c>
      <x:c r="L441" s="135" t="n">
        <x:f>IF($H441="Ligada a banco",$F441,0)</x:f>
        <x:v>0</x:v>
      </x:c>
      <x:c r="M441" s="114" t="n">
        <x:f>IF(K441&gt;0,RANK(K441,$K$6:$K$462)+COUNTIF($K$6:K441,K441)-1,9999)</x:f>
        <x:v>9999</x:v>
      </x:c>
      <x:c r="N441" s="114" t="n">
        <x:f>IF(L441&gt;0,RANK(L441,$L$6:$L$462)+COUNTIF($L$6:L441,L441)-1,9999)</x:f>
        <x:v>9999</x:v>
      </x:c>
    </x:row>
    <x:row r="442">
      <x:c r="A442" s="111" t="str">
        <x:v>SHORE CAPITAL GESTÃO DE RECURSOS LTDA</x:v>
      </x:c>
      <x:c r="B442" s="135" t="n">
        <x:v>0</x:v>
      </x:c>
      <x:c r="C442" s="135" t="n">
        <x:v>0</x:v>
      </x:c>
      <x:c r="D442" s="135" t="n">
        <x:v>0</x:v>
      </x:c>
      <x:c r="E442" s="135" t="n">
        <x:v>0</x:v>
      </x:c>
      <x:c r="F442" s="135" t="n">
        <x:f>SUM(B442:E442)</x:f>
        <x:v>0</x:v>
      </x:c>
      <x:c r="G442" s="111" t="str">
        <x:v>Independente</x:v>
      </x:c>
      <x:c r="H442" s="144" t="str">
        <x:v>Independente</x:v>
      </x:c>
      <x:c r="I442" s="111" t="str">
        <x:v>Regra residual — revisar manualmente</x:v>
      </x:c>
      <x:c r="J442" s="153" t="str">
        <x:v>Sim — alta</x:v>
      </x:c>
      <x:c r="K442" s="135" t="n">
        <x:f>IF($H442="Independente",$F442,0)</x:f>
        <x:v>0</x:v>
      </x:c>
      <x:c r="L442" s="135" t="n">
        <x:f>IF($H442="Ligada a banco",$F442,0)</x:f>
        <x:v>0</x:v>
      </x:c>
      <x:c r="M442" s="114" t="n">
        <x:f>IF(K442&gt;0,RANK(K442,$K$6:$K$462)+COUNTIF($K$6:K442,K442)-1,9999)</x:f>
        <x:v>9999</x:v>
      </x:c>
      <x:c r="N442" s="114" t="n">
        <x:f>IF(L442&gt;0,RANK(L442,$L$6:$L$462)+COUNTIF($L$6:L442,L442)-1,9999)</x:f>
        <x:v>9999</x:v>
      </x:c>
    </x:row>
    <x:row r="443">
      <x:c r="A443" s="111" t="str">
        <x:v>RIOS ASSET</x:v>
      </x:c>
      <x:c r="B443" s="135" t="n">
        <x:v>0</x:v>
      </x:c>
      <x:c r="C443" s="135" t="n">
        <x:v>0</x:v>
      </x:c>
      <x:c r="D443" s="135" t="n">
        <x:v>0</x:v>
      </x:c>
      <x:c r="E443" s="135" t="n">
        <x:v>0</x:v>
      </x:c>
      <x:c r="F443" s="135" t="n">
        <x:f>SUM(B443:E443)</x:f>
        <x:v>0</x:v>
      </x:c>
      <x:c r="G443" s="111" t="str">
        <x:v>Independente</x:v>
      </x:c>
      <x:c r="H443" s="144" t="str">
        <x:v>Independente</x:v>
      </x:c>
      <x:c r="I443" s="111" t="str">
        <x:v>Regra residual — revisar manualmente</x:v>
      </x:c>
      <x:c r="J443" s="153" t="str">
        <x:v>Sim — alta</x:v>
      </x:c>
      <x:c r="K443" s="135" t="n">
        <x:f>IF($H443="Independente",$F443,0)</x:f>
        <x:v>0</x:v>
      </x:c>
      <x:c r="L443" s="135" t="n">
        <x:f>IF($H443="Ligada a banco",$F443,0)</x:f>
        <x:v>0</x:v>
      </x:c>
      <x:c r="M443" s="114" t="n">
        <x:f>IF(K443&gt;0,RANK(K443,$K$6:$K$462)+COUNTIF($K$6:K443,K443)-1,9999)</x:f>
        <x:v>9999</x:v>
      </x:c>
      <x:c r="N443" s="114" t="n">
        <x:f>IF(L443&gt;0,RANK(L443,$L$6:$L$462)+COUNTIF($L$6:L443,L443)-1,9999)</x:f>
        <x:v>9999</x:v>
      </x:c>
    </x:row>
    <x:row r="444">
      <x:c r="A444" s="111" t="str">
        <x:v>REAG SPECIALTY FINANCE</x:v>
      </x:c>
      <x:c r="B444" s="135" t="n">
        <x:v>0</x:v>
      </x:c>
      <x:c r="C444" s="135" t="n">
        <x:v>0</x:v>
      </x:c>
      <x:c r="D444" s="135" t="n">
        <x:v>0</x:v>
      </x:c>
      <x:c r="E444" s="135" t="n">
        <x:v>0</x:v>
      </x:c>
      <x:c r="F444" s="135" t="n">
        <x:f>SUM(B444:E444)</x:f>
        <x:v>0</x:v>
      </x:c>
      <x:c r="G444" s="111" t="str">
        <x:v>Independente</x:v>
      </x:c>
      <x:c r="H444" s="144" t="str">
        <x:v>Independente</x:v>
      </x:c>
      <x:c r="I444" s="111" t="str">
        <x:v>Regra residual — revisar manualmente</x:v>
      </x:c>
      <x:c r="J444" s="153" t="str">
        <x:v>Sim — alta</x:v>
      </x:c>
      <x:c r="K444" s="135" t="n">
        <x:f>IF($H444="Independente",$F444,0)</x:f>
        <x:v>0</x:v>
      </x:c>
      <x:c r="L444" s="135" t="n">
        <x:f>IF($H444="Ligada a banco",$F444,0)</x:f>
        <x:v>0</x:v>
      </x:c>
      <x:c r="M444" s="114" t="n">
        <x:f>IF(K444&gt;0,RANK(K444,$K$6:$K$462)+COUNTIF($K$6:K444,K444)-1,9999)</x:f>
        <x:v>9999</x:v>
      </x:c>
      <x:c r="N444" s="114" t="n">
        <x:f>IF(L444&gt;0,RANK(L444,$L$6:$L$462)+COUNTIF($L$6:L444,L444)-1,9999)</x:f>
        <x:v>9999</x:v>
      </x:c>
    </x:row>
    <x:row r="445">
      <x:c r="A445" s="111" t="str">
        <x:v>REAG PORTFOLIO SOLUTIONS</x:v>
      </x:c>
      <x:c r="B445" s="135" t="n">
        <x:v>0</x:v>
      </x:c>
      <x:c r="C445" s="135" t="n">
        <x:v>0</x:v>
      </x:c>
      <x:c r="D445" s="135" t="n">
        <x:v>0</x:v>
      </x:c>
      <x:c r="E445" s="135" t="n">
        <x:v>0</x:v>
      </x:c>
      <x:c r="F445" s="135" t="n">
        <x:f>SUM(B445:E445)</x:f>
        <x:v>0</x:v>
      </x:c>
      <x:c r="G445" s="111" t="str">
        <x:v>Independente</x:v>
      </x:c>
      <x:c r="H445" s="144" t="str">
        <x:v>Independente</x:v>
      </x:c>
      <x:c r="I445" s="111" t="str">
        <x:v>Regra residual — revisar manualmente</x:v>
      </x:c>
      <x:c r="J445" s="153" t="str">
        <x:v>Sim — alta</x:v>
      </x:c>
      <x:c r="K445" s="135" t="n">
        <x:f>IF($H445="Independente",$F445,0)</x:f>
        <x:v>0</x:v>
      </x:c>
      <x:c r="L445" s="135" t="n">
        <x:f>IF($H445="Ligada a banco",$F445,0)</x:f>
        <x:v>0</x:v>
      </x:c>
      <x:c r="M445" s="114" t="n">
        <x:f>IF(K445&gt;0,RANK(K445,$K$6:$K$462)+COUNTIF($K$6:K445,K445)-1,9999)</x:f>
        <x:v>9999</x:v>
      </x:c>
      <x:c r="N445" s="114" t="n">
        <x:f>IF(L445&gt;0,RANK(L445,$L$6:$L$462)+COUNTIF($L$6:L445,L445)-1,9999)</x:f>
        <x:v>9999</x:v>
      </x:c>
    </x:row>
    <x:row r="446">
      <x:c r="A446" s="111" t="str">
        <x:v>REAG GESTÃO DE FUNDOS IMOBILIÁRIOS</x:v>
      </x:c>
      <x:c r="B446" s="135" t="n">
        <x:v>0</x:v>
      </x:c>
      <x:c r="C446" s="135" t="n">
        <x:v>0</x:v>
      </x:c>
      <x:c r="D446" s="135" t="n">
        <x:v>0</x:v>
      </x:c>
      <x:c r="E446" s="135" t="n">
        <x:v>0</x:v>
      </x:c>
      <x:c r="F446" s="135" t="n">
        <x:f>SUM(B446:E446)</x:f>
        <x:v>0</x:v>
      </x:c>
      <x:c r="G446" s="111" t="str">
        <x:v>Independente</x:v>
      </x:c>
      <x:c r="H446" s="144" t="str">
        <x:v>Independente</x:v>
      </x:c>
      <x:c r="I446" s="111" t="str">
        <x:v>Regra residual — revisar manualmente</x:v>
      </x:c>
      <x:c r="J446" s="153" t="str">
        <x:v>Sim — alta</x:v>
      </x:c>
      <x:c r="K446" s="135" t="n">
        <x:f>IF($H446="Independente",$F446,0)</x:f>
        <x:v>0</x:v>
      </x:c>
      <x:c r="L446" s="135" t="n">
        <x:f>IF($H446="Ligada a banco",$F446,0)</x:f>
        <x:v>0</x:v>
      </x:c>
      <x:c r="M446" s="114" t="n">
        <x:f>IF(K446&gt;0,RANK(K446,$K$6:$K$462)+COUNTIF($K$6:K446,K446)-1,9999)</x:f>
        <x:v>9999</x:v>
      </x:c>
      <x:c r="N446" s="114" t="n">
        <x:f>IF(L446&gt;0,RANK(L446,$L$6:$L$462)+COUNTIF($L$6:L446,L446)-1,9999)</x:f>
        <x:v>9999</x:v>
      </x:c>
    </x:row>
    <x:row r="447">
      <x:c r="A447" s="111" t="str">
        <x:v>Clave Alternativos</x:v>
      </x:c>
      <x:c r="B447" s="135" t="n">
        <x:v>0</x:v>
      </x:c>
      <x:c r="C447" s="135" t="n">
        <x:v>0</x:v>
      </x:c>
      <x:c r="D447" s="135" t="n">
        <x:v>0</x:v>
      </x:c>
      <x:c r="E447" s="135" t="n">
        <x:v>0</x:v>
      </x:c>
      <x:c r="F447" s="135" t="n">
        <x:f>SUM(B447:E447)</x:f>
        <x:v>0</x:v>
      </x:c>
      <x:c r="G447" s="111" t="str">
        <x:v>Independente</x:v>
      </x:c>
      <x:c r="H447" s="144" t="str">
        <x:v>Independente</x:v>
      </x:c>
      <x:c r="I447" s="111" t="str">
        <x:v>Regra residual — revisar manualmente</x:v>
      </x:c>
      <x:c r="J447" s="153" t="str">
        <x:v>Sim — alta</x:v>
      </x:c>
      <x:c r="K447" s="135" t="n">
        <x:f>IF($H447="Independente",$F447,0)</x:f>
        <x:v>0</x:v>
      </x:c>
      <x:c r="L447" s="135" t="n">
        <x:f>IF($H447="Ligada a banco",$F447,0)</x:f>
        <x:v>0</x:v>
      </x:c>
      <x:c r="M447" s="114" t="n">
        <x:f>IF(K447&gt;0,RANK(K447,$K$6:$K$462)+COUNTIF($K$6:K447,K447)-1,9999)</x:f>
        <x:v>9999</x:v>
      </x:c>
      <x:c r="N447" s="114" t="n">
        <x:f>IF(L447&gt;0,RANK(L447,$L$6:$L$462)+COUNTIF($L$6:L447,L447)-1,9999)</x:f>
        <x:v>9999</x:v>
      </x:c>
    </x:row>
    <x:row r="448">
      <x:c r="A448" s="111" t="str">
        <x:v>REAG ASSET MANAGEMENT</x:v>
      </x:c>
      <x:c r="B448" s="135" t="n">
        <x:v>0</x:v>
      </x:c>
      <x:c r="C448" s="135" t="n">
        <x:v>0</x:v>
      </x:c>
      <x:c r="D448" s="135" t="n">
        <x:v>0</x:v>
      </x:c>
      <x:c r="E448" s="135" t="n">
        <x:v>0</x:v>
      </x:c>
      <x:c r="F448" s="135" t="n">
        <x:f>SUM(B448:E448)</x:f>
        <x:v>0</x:v>
      </x:c>
      <x:c r="G448" s="111" t="str">
        <x:v>Independente</x:v>
      </x:c>
      <x:c r="H448" s="144" t="str">
        <x:v>Independente</x:v>
      </x:c>
      <x:c r="I448" s="111" t="str">
        <x:v>Regra residual — revisar manualmente</x:v>
      </x:c>
      <x:c r="J448" s="153" t="str">
        <x:v>Sim — alta</x:v>
      </x:c>
      <x:c r="K448" s="135" t="n">
        <x:f>IF($H448="Independente",$F448,0)</x:f>
        <x:v>0</x:v>
      </x:c>
      <x:c r="L448" s="135" t="n">
        <x:f>IF($H448="Ligada a banco",$F448,0)</x:f>
        <x:v>0</x:v>
      </x:c>
      <x:c r="M448" s="114" t="n">
        <x:f>IF(K448&gt;0,RANK(K448,$K$6:$K$462)+COUNTIF($K$6:K448,K448)-1,9999)</x:f>
        <x:v>9999</x:v>
      </x:c>
      <x:c r="N448" s="114" t="n">
        <x:f>IF(L448&gt;0,RANK(L448,$L$6:$L$462)+COUNTIF($L$6:L448,L448)-1,9999)</x:f>
        <x:v>9999</x:v>
      </x:c>
    </x:row>
    <x:row r="449">
      <x:c r="A449" s="111" t="str">
        <x:v>REAG AMBIENTAL GESTÃO DE RECURSOS LTDA.</x:v>
      </x:c>
      <x:c r="B449" s="135" t="n">
        <x:v>0</x:v>
      </x:c>
      <x:c r="C449" s="135" t="n">
        <x:v>0</x:v>
      </x:c>
      <x:c r="D449" s="135" t="n">
        <x:v>0</x:v>
      </x:c>
      <x:c r="E449" s="135" t="n">
        <x:v>0</x:v>
      </x:c>
      <x:c r="F449" s="135" t="n">
        <x:f>SUM(B449:E449)</x:f>
        <x:v>0</x:v>
      </x:c>
      <x:c r="G449" s="111" t="str">
        <x:v>Independente</x:v>
      </x:c>
      <x:c r="H449" s="144" t="str">
        <x:v>Independente</x:v>
      </x:c>
      <x:c r="I449" s="111" t="str">
        <x:v>Regra residual — revisar manualmente</x:v>
      </x:c>
      <x:c r="J449" s="153" t="str">
        <x:v>Sim — alta</x:v>
      </x:c>
      <x:c r="K449" s="135" t="n">
        <x:f>IF($H449="Independente",$F449,0)</x:f>
        <x:v>0</x:v>
      </x:c>
      <x:c r="L449" s="135" t="n">
        <x:f>IF($H449="Ligada a banco",$F449,0)</x:f>
        <x:v>0</x:v>
      </x:c>
      <x:c r="M449" s="114" t="n">
        <x:f>IF(K449&gt;0,RANK(K449,$K$6:$K$462)+COUNTIF($K$6:K449,K449)-1,9999)</x:f>
        <x:v>9999</x:v>
      </x:c>
      <x:c r="N449" s="114" t="n">
        <x:f>IF(L449&gt;0,RANK(L449,$L$6:$L$462)+COUNTIF($L$6:L449,L449)-1,9999)</x:f>
        <x:v>9999</x:v>
      </x:c>
    </x:row>
    <x:row r="450">
      <x:c r="A450" s="111" t="str">
        <x:v>BTG Gestora</x:v>
      </x:c>
      <x:c r="B450" s="135" t="n">
        <x:v>0</x:v>
      </x:c>
      <x:c r="C450" s="135" t="n">
        <x:v>0</x:v>
      </x:c>
      <x:c r="D450" s="135" t="n">
        <x:v>0</x:v>
      </x:c>
      <x:c r="E450" s="135" t="n">
        <x:v>0</x:v>
      </x:c>
      <x:c r="F450" s="135" t="n">
        <x:f>SUM(B450:E450)</x:f>
        <x:v>0</x:v>
      </x:c>
      <x:c r="G450" s="111" t="str">
        <x:v>Ligada a banco</x:v>
      </x:c>
      <x:c r="H450" s="144" t="str">
        <x:v>Ligada a banco</x:v>
      </x:c>
      <x:c r="I450" s="111" t="str">
        <x:v>Regra nominal: BTG</x:v>
      </x:c>
      <x:c r="J450" s="153" t="str">
        <x:v>Confirmar</x:v>
      </x:c>
      <x:c r="K450" s="135" t="n">
        <x:f>IF($H450="Independente",$F450,0)</x:f>
        <x:v>0</x:v>
      </x:c>
      <x:c r="L450" s="135" t="n">
        <x:f>IF($H450="Ligada a banco",$F450,0)</x:f>
        <x:v>0</x:v>
      </x:c>
      <x:c r="M450" s="114" t="n">
        <x:f>IF(K450&gt;0,RANK(K450,$K$6:$K$462)+COUNTIF($K$6:K450,K450)-1,9999)</x:f>
        <x:v>9999</x:v>
      </x:c>
      <x:c r="N450" s="114" t="n">
        <x:f>IF(L450&gt;0,RANK(L450,$L$6:$L$462)+COUNTIF($L$6:L450,L450)-1,9999)</x:f>
        <x:v>9999</x:v>
      </x:c>
    </x:row>
    <x:row r="451">
      <x:c r="A451" s="111" t="str">
        <x:v>BROADEN CAPITAL GESTÃO DE INVESTIMENTOS LTDA.</x:v>
      </x:c>
      <x:c r="B451" s="135" t="n">
        <x:v>0</x:v>
      </x:c>
      <x:c r="C451" s="135" t="n">
        <x:v>0</x:v>
      </x:c>
      <x:c r="D451" s="135" t="n">
        <x:v>0</x:v>
      </x:c>
      <x:c r="E451" s="135" t="n">
        <x:v>0</x:v>
      </x:c>
      <x:c r="F451" s="135" t="n">
        <x:f>SUM(B451:E451)</x:f>
        <x:v>0</x:v>
      </x:c>
      <x:c r="G451" s="111" t="str">
        <x:v>Independente</x:v>
      </x:c>
      <x:c r="H451" s="144" t="str">
        <x:v>Independente</x:v>
      </x:c>
      <x:c r="I451" s="111" t="str">
        <x:v>Regra residual — revisar manualmente</x:v>
      </x:c>
      <x:c r="J451" s="153" t="str">
        <x:v>Sim — alta</x:v>
      </x:c>
      <x:c r="K451" s="135" t="n">
        <x:f>IF($H451="Independente",$F451,0)</x:f>
        <x:v>0</x:v>
      </x:c>
      <x:c r="L451" s="135" t="n">
        <x:f>IF($H451="Ligada a banco",$F451,0)</x:f>
        <x:v>0</x:v>
      </x:c>
      <x:c r="M451" s="114" t="n">
        <x:f>IF(K451&gt;0,RANK(K451,$K$6:$K$462)+COUNTIF($K$6:K451,K451)-1,9999)</x:f>
        <x:v>9999</x:v>
      </x:c>
      <x:c r="N451" s="114" t="n">
        <x:f>IF(L451&gt;0,RANK(L451,$L$6:$L$462)+COUNTIF($L$6:L451,L451)-1,9999)</x:f>
        <x:v>9999</x:v>
      </x:c>
    </x:row>
    <x:row r="452">
      <x:c r="A452" s="111" t="str">
        <x:v>Shift Capital Gestão de Recursos LTDA.</x:v>
      </x:c>
      <x:c r="B452" s="135" t="n">
        <x:v>0</x:v>
      </x:c>
      <x:c r="C452" s="135" t="n">
        <x:v>0</x:v>
      </x:c>
      <x:c r="D452" s="135" t="n">
        <x:v>0</x:v>
      </x:c>
      <x:c r="E452" s="135" t="n">
        <x:v>0</x:v>
      </x:c>
      <x:c r="F452" s="135" t="n">
        <x:f>SUM(B452:E452)</x:f>
        <x:v>0</x:v>
      </x:c>
      <x:c r="G452" s="111" t="str">
        <x:v>Independente</x:v>
      </x:c>
      <x:c r="H452" s="144" t="str">
        <x:v>Independente</x:v>
      </x:c>
      <x:c r="I452" s="111" t="str">
        <x:v>Regra residual — revisar manualmente</x:v>
      </x:c>
      <x:c r="J452" s="153" t="str">
        <x:v>Sim — alta</x:v>
      </x:c>
      <x:c r="K452" s="135" t="n">
        <x:f>IF($H452="Independente",$F452,0)</x:f>
        <x:v>0</x:v>
      </x:c>
      <x:c r="L452" s="135" t="n">
        <x:f>IF($H452="Ligada a banco",$F452,0)</x:f>
        <x:v>0</x:v>
      </x:c>
      <x:c r="M452" s="114" t="n">
        <x:f>IF(K452&gt;0,RANK(K452,$K$6:$K$462)+COUNTIF($K$6:K452,K452)-1,9999)</x:f>
        <x:v>9999</x:v>
      </x:c>
      <x:c r="N452" s="114" t="n">
        <x:f>IF(L452&gt;0,RANK(L452,$L$6:$L$462)+COUNTIF($L$6:L452,L452)-1,9999)</x:f>
        <x:v>9999</x:v>
      </x:c>
    </x:row>
    <x:row r="453">
      <x:c r="A453" s="111" t="str">
        <x:v>JERA CAPITAL</x:v>
      </x:c>
      <x:c r="B453" s="135" t="n">
        <x:v>0</x:v>
      </x:c>
      <x:c r="C453" s="135" t="n">
        <x:v>0</x:v>
      </x:c>
      <x:c r="D453" s="135" t="n">
        <x:v>0</x:v>
      </x:c>
      <x:c r="E453" s="135" t="n">
        <x:v>0</x:v>
      </x:c>
      <x:c r="F453" s="135" t="n">
        <x:f>SUM(B453:E453)</x:f>
        <x:v>0</x:v>
      </x:c>
      <x:c r="G453" s="111" t="str">
        <x:v>Independente</x:v>
      </x:c>
      <x:c r="H453" s="144" t="str">
        <x:v>Independente</x:v>
      </x:c>
      <x:c r="I453" s="111" t="str">
        <x:v>Regra residual — revisar manualmente</x:v>
      </x:c>
      <x:c r="J453" s="153" t="str">
        <x:v>Sim — alta</x:v>
      </x:c>
      <x:c r="K453" s="135" t="n">
        <x:f>IF($H453="Independente",$F453,0)</x:f>
        <x:v>0</x:v>
      </x:c>
      <x:c r="L453" s="135" t="n">
        <x:f>IF($H453="Ligada a banco",$F453,0)</x:f>
        <x:v>0</x:v>
      </x:c>
      <x:c r="M453" s="114" t="n">
        <x:f>IF(K453&gt;0,RANK(K453,$K$6:$K$462)+COUNTIF($K$6:K453,K453)-1,9999)</x:f>
        <x:v>9999</x:v>
      </x:c>
      <x:c r="N453" s="114" t="n">
        <x:f>IF(L453&gt;0,RANK(L453,$L$6:$L$462)+COUNTIF($L$6:L453,L453)-1,9999)</x:f>
        <x:v>9999</x:v>
      </x:c>
    </x:row>
    <x:row r="454">
      <x:c r="A454" s="111" t="str">
        <x:v>Sonar Investimentos</x:v>
      </x:c>
      <x:c r="B454" s="135" t="n">
        <x:v>0</x:v>
      </x:c>
      <x:c r="C454" s="135" t="n">
        <x:v>0</x:v>
      </x:c>
      <x:c r="D454" s="135" t="n">
        <x:v>0</x:v>
      </x:c>
      <x:c r="E454" s="135" t="n">
        <x:v>0</x:v>
      </x:c>
      <x:c r="F454" s="135" t="n">
        <x:f>SUM(B454:E454)</x:f>
        <x:v>0</x:v>
      </x:c>
      <x:c r="G454" s="111" t="str">
        <x:v>Independente</x:v>
      </x:c>
      <x:c r="H454" s="144" t="str">
        <x:v>Independente</x:v>
      </x:c>
      <x:c r="I454" s="111" t="str">
        <x:v>Regra residual — revisar manualmente</x:v>
      </x:c>
      <x:c r="J454" s="153" t="str">
        <x:v>Sim — alta</x:v>
      </x:c>
      <x:c r="K454" s="135" t="n">
        <x:f>IF($H454="Independente",$F454,0)</x:f>
        <x:v>0</x:v>
      </x:c>
      <x:c r="L454" s="135" t="n">
        <x:f>IF($H454="Ligada a banco",$F454,0)</x:f>
        <x:v>0</x:v>
      </x:c>
      <x:c r="M454" s="114" t="n">
        <x:f>IF(K454&gt;0,RANK(K454,$K$6:$K$462)+COUNTIF($K$6:K454,K454)-1,9999)</x:f>
        <x:v>9999</x:v>
      </x:c>
      <x:c r="N454" s="114" t="n">
        <x:f>IF(L454&gt;0,RANK(L454,$L$6:$L$462)+COUNTIF($L$6:L454,L454)-1,9999)</x:f>
        <x:v>9999</x:v>
      </x:c>
    </x:row>
    <x:row r="455">
      <x:c r="A455" s="111" t="str">
        <x:v>Eternia Gestora de Recursos Ltda.</x:v>
      </x:c>
      <x:c r="B455" s="135" t="n">
        <x:v>0</x:v>
      </x:c>
      <x:c r="C455" s="135" t="n">
        <x:v>0</x:v>
      </x:c>
      <x:c r="D455" s="135" t="n">
        <x:v>0</x:v>
      </x:c>
      <x:c r="E455" s="135" t="n">
        <x:v>0</x:v>
      </x:c>
      <x:c r="F455" s="135" t="n">
        <x:f>SUM(B455:E455)</x:f>
        <x:v>0</x:v>
      </x:c>
      <x:c r="G455" s="111" t="str">
        <x:v>Independente</x:v>
      </x:c>
      <x:c r="H455" s="144" t="str">
        <x:v>Independente</x:v>
      </x:c>
      <x:c r="I455" s="111" t="str">
        <x:v>Regra residual — revisar manualmente</x:v>
      </x:c>
      <x:c r="J455" s="153" t="str">
        <x:v>Sim — alta</x:v>
      </x:c>
      <x:c r="K455" s="135" t="n">
        <x:f>IF($H455="Independente",$F455,0)</x:f>
        <x:v>0</x:v>
      </x:c>
      <x:c r="L455" s="135" t="n">
        <x:f>IF($H455="Ligada a banco",$F455,0)</x:f>
        <x:v>0</x:v>
      </x:c>
      <x:c r="M455" s="114" t="n">
        <x:f>IF(K455&gt;0,RANK(K455,$K$6:$K$462)+COUNTIF($K$6:K455,K455)-1,9999)</x:f>
        <x:v>9999</x:v>
      </x:c>
      <x:c r="N455" s="114" t="n">
        <x:f>IF(L455&gt;0,RANK(L455,$L$6:$L$462)+COUNTIF($L$6:L455,L455)-1,9999)</x:f>
        <x:v>9999</x:v>
      </x:c>
    </x:row>
    <x:row r="456">
      <x:c r="A456" s="111" t="str">
        <x:v>BAYCAP</x:v>
      </x:c>
      <x:c r="B456" s="135" t="n">
        <x:v>0</x:v>
      </x:c>
      <x:c r="C456" s="135" t="n">
        <x:v>0</x:v>
      </x:c>
      <x:c r="D456" s="135" t="n">
        <x:v>0</x:v>
      </x:c>
      <x:c r="E456" s="135" t="n">
        <x:v>0</x:v>
      </x:c>
      <x:c r="F456" s="135" t="n">
        <x:f>SUM(B456:E456)</x:f>
        <x:v>0</x:v>
      </x:c>
      <x:c r="G456" s="111" t="str">
        <x:v>Independente</x:v>
      </x:c>
      <x:c r="H456" s="144" t="str">
        <x:v>Independente</x:v>
      </x:c>
      <x:c r="I456" s="111" t="str">
        <x:v>Regra residual — revisar manualmente</x:v>
      </x:c>
      <x:c r="J456" s="153" t="str">
        <x:v>Sim — alta</x:v>
      </x:c>
      <x:c r="K456" s="135" t="n">
        <x:f>IF($H456="Independente",$F456,0)</x:f>
        <x:v>0</x:v>
      </x:c>
      <x:c r="L456" s="135" t="n">
        <x:f>IF($H456="Ligada a banco",$F456,0)</x:f>
        <x:v>0</x:v>
      </x:c>
      <x:c r="M456" s="114" t="n">
        <x:f>IF(K456&gt;0,RANK(K456,$K$6:$K$462)+COUNTIF($K$6:K456,K456)-1,9999)</x:f>
        <x:v>9999</x:v>
      </x:c>
      <x:c r="N456" s="114" t="n">
        <x:f>IF(L456&gt;0,RANK(L456,$L$6:$L$462)+COUNTIF($L$6:L456,L456)-1,9999)</x:f>
        <x:v>9999</x:v>
      </x:c>
    </x:row>
    <x:row r="457">
      <x:c r="A457" s="111" t="str">
        <x:v>PRISMA OIL&amp;GAS LTDA</x:v>
      </x:c>
      <x:c r="B457" s="135" t="n">
        <x:v>0</x:v>
      </x:c>
      <x:c r="C457" s="135" t="n">
        <x:v>0</x:v>
      </x:c>
      <x:c r="D457" s="135" t="n">
        <x:v>0</x:v>
      </x:c>
      <x:c r="E457" s="135" t="n">
        <x:v>0</x:v>
      </x:c>
      <x:c r="F457" s="135" t="n">
        <x:f>SUM(B457:E457)</x:f>
        <x:v>0</x:v>
      </x:c>
      <x:c r="G457" s="111" t="str">
        <x:v>Independente</x:v>
      </x:c>
      <x:c r="H457" s="144" t="str">
        <x:v>Independente</x:v>
      </x:c>
      <x:c r="I457" s="111" t="str">
        <x:v>Regra residual — revisar manualmente</x:v>
      </x:c>
      <x:c r="J457" s="153" t="str">
        <x:v>Sim — alta</x:v>
      </x:c>
      <x:c r="K457" s="135" t="n">
        <x:f>IF($H457="Independente",$F457,0)</x:f>
        <x:v>0</x:v>
      </x:c>
      <x:c r="L457" s="135" t="n">
        <x:f>IF($H457="Ligada a banco",$F457,0)</x:f>
        <x:v>0</x:v>
      </x:c>
      <x:c r="M457" s="114" t="n">
        <x:f>IF(K457&gt;0,RANK(K457,$K$6:$K$462)+COUNTIF($K$6:K457,K457)-1,9999)</x:f>
        <x:v>9999</x:v>
      </x:c>
      <x:c r="N457" s="114" t="n">
        <x:f>IF(L457&gt;0,RANK(L457,$L$6:$L$462)+COUNTIF($L$6:L457,L457)-1,9999)</x:f>
        <x:v>9999</x:v>
      </x:c>
    </x:row>
    <x:row r="458">
      <x:c r="A458" s="111" t="str">
        <x:v>PRADA FINANCEIRA</x:v>
      </x:c>
      <x:c r="B458" s="135" t="n">
        <x:v>0</x:v>
      </x:c>
      <x:c r="C458" s="135" t="n">
        <x:v>0</x:v>
      </x:c>
      <x:c r="D458" s="135" t="n">
        <x:v>0</x:v>
      </x:c>
      <x:c r="E458" s="135" t="n">
        <x:v>0</x:v>
      </x:c>
      <x:c r="F458" s="135" t="n">
        <x:f>SUM(B458:E458)</x:f>
        <x:v>0</x:v>
      </x:c>
      <x:c r="G458" s="111" t="str">
        <x:v>Independente</x:v>
      </x:c>
      <x:c r="H458" s="144" t="str">
        <x:v>Independente</x:v>
      </x:c>
      <x:c r="I458" s="111" t="str">
        <x:v>Regra residual — revisar manualmente</x:v>
      </x:c>
      <x:c r="J458" s="153" t="str">
        <x:v>Sim — alta</x:v>
      </x:c>
      <x:c r="K458" s="135" t="n">
        <x:f>IF($H458="Independente",$F458,0)</x:f>
        <x:v>0</x:v>
      </x:c>
      <x:c r="L458" s="135" t="n">
        <x:f>IF($H458="Ligada a banco",$F458,0)</x:f>
        <x:v>0</x:v>
      </x:c>
      <x:c r="M458" s="114" t="n">
        <x:f>IF(K458&gt;0,RANK(K458,$K$6:$K$462)+COUNTIF($K$6:K458,K458)-1,9999)</x:f>
        <x:v>9999</x:v>
      </x:c>
      <x:c r="N458" s="114" t="n">
        <x:f>IF(L458&gt;0,RANK(L458,$L$6:$L$462)+COUNTIF($L$6:L458,L458)-1,9999)</x:f>
        <x:v>9999</x:v>
      </x:c>
    </x:row>
    <x:row r="459">
      <x:c r="A459" s="111" t="str">
        <x:v>PMFO ESPORTES, ARTES E ENTRETENIMENTO</x:v>
      </x:c>
      <x:c r="B459" s="135" t="n">
        <x:v>0</x:v>
      </x:c>
      <x:c r="C459" s="135" t="n">
        <x:v>0</x:v>
      </x:c>
      <x:c r="D459" s="135" t="n">
        <x:v>0</x:v>
      </x:c>
      <x:c r="E459" s="135" t="n">
        <x:v>0</x:v>
      </x:c>
      <x:c r="F459" s="135" t="n">
        <x:f>SUM(B459:E459)</x:f>
        <x:v>0</x:v>
      </x:c>
      <x:c r="G459" s="111" t="str">
        <x:v>Independente</x:v>
      </x:c>
      <x:c r="H459" s="144" t="str">
        <x:v>Independente</x:v>
      </x:c>
      <x:c r="I459" s="111" t="str">
        <x:v>Regra residual — revisar manualmente</x:v>
      </x:c>
      <x:c r="J459" s="153" t="str">
        <x:v>Sim — alta</x:v>
      </x:c>
      <x:c r="K459" s="135" t="n">
        <x:f>IF($H459="Independente",$F459,0)</x:f>
        <x:v>0</x:v>
      </x:c>
      <x:c r="L459" s="135" t="n">
        <x:f>IF($H459="Ligada a banco",$F459,0)</x:f>
        <x:v>0</x:v>
      </x:c>
      <x:c r="M459" s="114" t="n">
        <x:f>IF(K459&gt;0,RANK(K459,$K$6:$K$462)+COUNTIF($K$6:K459,K459)-1,9999)</x:f>
        <x:v>9999</x:v>
      </x:c>
      <x:c r="N459" s="114" t="n">
        <x:f>IF(L459&gt;0,RANK(L459,$L$6:$L$462)+COUNTIF($L$6:L459,L459)-1,9999)</x:f>
        <x:v>9999</x:v>
      </x:c>
    </x:row>
    <x:row r="460">
      <x:c r="A460" s="111" t="str">
        <x:v>Arazul Capital</x:v>
      </x:c>
      <x:c r="B460" s="135" t="n">
        <x:v>0</x:v>
      </x:c>
      <x:c r="C460" s="135" t="n">
        <x:v>0</x:v>
      </x:c>
      <x:c r="D460" s="135" t="n">
        <x:v>0</x:v>
      </x:c>
      <x:c r="E460" s="135" t="n">
        <x:v>0</x:v>
      </x:c>
      <x:c r="F460" s="135" t="n">
        <x:f>SUM(B460:E460)</x:f>
        <x:v>0</x:v>
      </x:c>
      <x:c r="G460" s="111" t="str">
        <x:v>Independente</x:v>
      </x:c>
      <x:c r="H460" s="144" t="str">
        <x:v>Independente</x:v>
      </x:c>
      <x:c r="I460" s="111" t="str">
        <x:v>Regra residual — revisar manualmente</x:v>
      </x:c>
      <x:c r="J460" s="153" t="str">
        <x:v>Sim — alta</x:v>
      </x:c>
      <x:c r="K460" s="135" t="n">
        <x:f>IF($H460="Independente",$F460,0)</x:f>
        <x:v>0</x:v>
      </x:c>
      <x:c r="L460" s="135" t="n">
        <x:f>IF($H460="Ligada a banco",$F460,0)</x:f>
        <x:v>0</x:v>
      </x:c>
      <x:c r="M460" s="114" t="n">
        <x:f>IF(K460&gt;0,RANK(K460,$K$6:$K$462)+COUNTIF($K$6:K460,K460)-1,9999)</x:f>
        <x:v>9999</x:v>
      </x:c>
      <x:c r="N460" s="114" t="n">
        <x:f>IF(L460&gt;0,RANK(L460,$L$6:$L$462)+COUNTIF($L$6:L460,L460)-1,9999)</x:f>
        <x:v>9999</x:v>
      </x:c>
    </x:row>
    <x:row r="461">
      <x:c r="A461" s="111" t="str">
        <x:v>Florida Investimentos</x:v>
      </x:c>
      <x:c r="B461" s="135" t="n">
        <x:v>0</x:v>
      </x:c>
      <x:c r="C461" s="135" t="n">
        <x:v>0</x:v>
      </x:c>
      <x:c r="D461" s="135" t="n">
        <x:v>0</x:v>
      </x:c>
      <x:c r="E461" s="135" t="n">
        <x:v>0</x:v>
      </x:c>
      <x:c r="F461" s="135" t="n">
        <x:f>SUM(B461:E461)</x:f>
        <x:v>0</x:v>
      </x:c>
      <x:c r="G461" s="111" t="str">
        <x:v>Independente</x:v>
      </x:c>
      <x:c r="H461" s="144" t="str">
        <x:v>Independente</x:v>
      </x:c>
      <x:c r="I461" s="111" t="str">
        <x:v>Regra residual — revisar manualmente</x:v>
      </x:c>
      <x:c r="J461" s="153" t="str">
        <x:v>Sim — alta</x:v>
      </x:c>
      <x:c r="K461" s="135" t="n">
        <x:f>IF($H461="Independente",$F461,0)</x:f>
        <x:v>0</x:v>
      </x:c>
      <x:c r="L461" s="135" t="n">
        <x:f>IF($H461="Ligada a banco",$F461,0)</x:f>
        <x:v>0</x:v>
      </x:c>
      <x:c r="M461" s="114" t="n">
        <x:f>IF(K461&gt;0,RANK(K461,$K$6:$K$462)+COUNTIF($K$6:K461,K461)-1,9999)</x:f>
        <x:v>9999</x:v>
      </x:c>
      <x:c r="N461" s="114" t="n">
        <x:f>IF(L461&gt;0,RANK(L461,$L$6:$L$462)+COUNTIF($L$6:L461,L461)-1,9999)</x:f>
        <x:v>9999</x:v>
      </x:c>
    </x:row>
    <x:row r="462">
      <x:c r="A462" s="112" t="str">
        <x:v>Quartzo Asset</x:v>
      </x:c>
      <x:c r="B462" s="136" t="n">
        <x:v>0</x:v>
      </x:c>
      <x:c r="C462" s="136" t="n">
        <x:v>0</x:v>
      </x:c>
      <x:c r="D462" s="136" t="n">
        <x:v>0</x:v>
      </x:c>
      <x:c r="E462" s="136" t="n">
        <x:v>0</x:v>
      </x:c>
      <x:c r="F462" s="136" t="n">
        <x:f>SUM(B462:E462)</x:f>
        <x:v>0</x:v>
      </x:c>
      <x:c r="G462" s="112" t="str">
        <x:v>Independente</x:v>
      </x:c>
      <x:c r="H462" s="145" t="str">
        <x:v>Independente</x:v>
      </x:c>
      <x:c r="I462" s="112" t="str">
        <x:v>Regra residual — revisar manualmente</x:v>
      </x:c>
      <x:c r="J462" s="154" t="str">
        <x:v>Sim — alta</x:v>
      </x:c>
      <x:c r="K462" s="136" t="n">
        <x:f>IF($H462="Independente",$F462,0)</x:f>
        <x:v>0</x:v>
      </x:c>
      <x:c r="L462" s="136" t="n">
        <x:f>IF($H462="Ligada a banco",$F462,0)</x:f>
        <x:v>0</x:v>
      </x:c>
      <x:c r="M462" s="115" t="n">
        <x:f>IF(K462&gt;0,RANK(K462,$K$6:$K$462)+COUNTIF($K$6:K462,K462)-1,9999)</x:f>
        <x:v>9999</x:v>
      </x:c>
      <x:c r="N462" s="115" t="n">
        <x:f>IF(L462&gt;0,RANK(L462,$L$6:$L$462)+COUNTIF($L$6:L462,L462)-1,9999)</x:f>
        <x:v>9999</x:v>
      </x:c>
    </x:row>
  </x:sheetData>
  <x:mergeCells>
    <x:mergeCell ref="A1:N2"/>
    <x:mergeCell ref="A3:N3"/>
  </x:mergeCells>
  <x:dataValidations count="1">
    <x:dataValidation type="list" sqref="H6:H462">
      <x:formula1>"Ligada a banco,Independente,Não classificada"</x:formula1>
    </x:dataValidation>
  </x:dataValidations>
  <x:pageMargins left="0.7" right="0.7" top="0.75" bottom="0.75" header="0.3" footer="0.3"/>
  <x:legacyDrawing xmlns:r="http://schemas.openxmlformats.org/officeDocument/2006/relationships" r:id="Rf93dd0ef863942a3"/>
</x:worksheet>
</file>

<file path=xl/worksheets/sheet7.xml><?xml version="1.0" encoding="utf-8"?>
<x:worksheet xmlns:x="http://schemas.openxmlformats.org/spreadsheetml/2006/main">
  <x:sheetViews>
    <x:sheetView showGridLines="0" workbookViewId="0"/>
  </x:sheetViews>
  <x:sheetFormatPr defaultRowHeight="15"/>
  <x:cols>
    <x:col min="1" max="1" width="5" hidden="0" customWidth="1"/>
    <x:col min="2" max="2" width="37" hidden="0" customWidth="1"/>
    <x:col min="3" max="3" width="15" hidden="0" customWidth="1"/>
    <x:col min="5" max="5" width="5" hidden="0" customWidth="1"/>
    <x:col min="6" max="6" width="37" hidden="0" customWidth="1"/>
    <x:col min="7" max="7" width="15" hidden="0" customWidth="1"/>
    <x:col min="9" max="9" width="5" hidden="0" customWidth="1"/>
    <x:col min="10" max="10" width="37" hidden="0" customWidth="1"/>
    <x:col min="11" max="11" width="15" hidden="0" customWidth="1"/>
  </x:cols>
  <x:sheetData>
    <x:row r="1" ht="30" customHeight="1">
      <x:c r="A1" s="4" t="str">
        <x:v>A classificação inicial sugere maior parcela do PL em gestoras independentes</x:v>
      </x:c>
      <x:c r="B1" s="4" t="str">
        <x:v>A classificação inicial sugere maior parcela do PL em gestoras independentes</x:v>
      </x:c>
      <x:c r="C1" s="4" t="str">
        <x:v>A classificação inicial sugere maior parcela do PL em gestoras independentes</x:v>
      </x:c>
      <x:c r="D1" s="4" t="str">
        <x:v>A classificação inicial sugere maior parcela do PL em gestoras independentes</x:v>
      </x:c>
      <x:c r="E1" s="4" t="str">
        <x:v>A classificação inicial sugere maior parcela do PL em gestoras independentes</x:v>
      </x:c>
      <x:c r="F1" s="4" t="str">
        <x:v>A classificação inicial sugere maior parcela do PL em gestoras independentes</x:v>
      </x:c>
      <x:c r="G1" s="4" t="str">
        <x:v>A classificação inicial sugere maior parcela do PL em gestoras independentes</x:v>
      </x:c>
      <x:c r="H1" s="4" t="str">
        <x:v>A classificação inicial sugere maior parcela do PL em gestoras independentes</x:v>
      </x:c>
      <x:c r="I1" s="4" t="str">
        <x:v>A classificação inicial sugere maior parcela do PL em gestoras independentes</x:v>
      </x:c>
      <x:c r="J1" s="4" t="str">
        <x:v>A classificação inicial sugere maior parcela do PL em gestoras independentes</x:v>
      </x:c>
      <x:c r="K1" s="4" t="str">
        <x:v>A classificação inicial sugere maior parcela do PL em gestoras independentes</x:v>
      </x:c>
      <x:c r="L1" s="4" t="str">
        <x:v>A classificação inicial sugere maior parcela do PL em gestoras independentes</x:v>
      </x:c>
      <x:c r="M1" s="4" t="str">
        <x:v>A classificação inicial sugere maior parcela do PL em gestoras independentes</x:v>
      </x:c>
      <x:c r="N1" s="4" t="str">
        <x:v>A classificação inicial sugere maior parcela do PL em gestoras independentes</x:v>
      </x:c>
    </x:row>
    <x:row r="2" ht="30" customHeight="1">
      <x:c r="A2" s="4" t="str">
        <x:v>A classificação inicial sugere maior parcela do PL em gestoras independentes</x:v>
      </x:c>
      <x:c r="B2" s="4" t="str">
        <x:v>A classificação inicial sugere maior parcela do PL em gestoras independentes</x:v>
      </x:c>
      <x:c r="C2" s="4" t="str">
        <x:v>A classificação inicial sugere maior parcela do PL em gestoras independentes</x:v>
      </x:c>
      <x:c r="D2" s="4" t="str">
        <x:v>A classificação inicial sugere maior parcela do PL em gestoras independentes</x:v>
      </x:c>
      <x:c r="E2" s="4" t="str">
        <x:v>A classificação inicial sugere maior parcela do PL em gestoras independentes</x:v>
      </x:c>
      <x:c r="F2" s="4" t="str">
        <x:v>A classificação inicial sugere maior parcela do PL em gestoras independentes</x:v>
      </x:c>
      <x:c r="G2" s="4" t="str">
        <x:v>A classificação inicial sugere maior parcela do PL em gestoras independentes</x:v>
      </x:c>
      <x:c r="H2" s="4" t="str">
        <x:v>A classificação inicial sugere maior parcela do PL em gestoras independentes</x:v>
      </x:c>
      <x:c r="I2" s="4" t="str">
        <x:v>A classificação inicial sugere maior parcela do PL em gestoras independentes</x:v>
      </x:c>
      <x:c r="J2" s="4" t="str">
        <x:v>A classificação inicial sugere maior parcela do PL em gestoras independentes</x:v>
      </x:c>
      <x:c r="K2" s="4" t="str">
        <x:v>A classificação inicial sugere maior parcela do PL em gestoras independentes</x:v>
      </x:c>
      <x:c r="L2" s="4" t="str">
        <x:v>A classificação inicial sugere maior parcela do PL em gestoras independentes</x:v>
      </x:c>
      <x:c r="M2" s="4" t="str">
        <x:v>A classificação inicial sugere maior parcela do PL em gestoras independentes</x:v>
      </x:c>
      <x:c r="N2" s="4" t="str">
        <x:v>A classificação inicial sugere maior parcela do PL em gestoras independentes</x:v>
      </x:c>
    </x:row>
    <x:row r="3">
      <x:c r="A3" s="211"/>
      <x:c r="B3" s="211"/>
      <x:c r="C3" s="211"/>
      <x:c r="D3" s="211"/>
      <x:c r="E3" s="211"/>
      <x:c r="F3" s="211"/>
      <x:c r="G3" s="211"/>
      <x:c r="H3" s="211"/>
      <x:c r="I3" s="211"/>
      <x:c r="J3" s="211"/>
      <x:c r="K3" s="211"/>
      <x:c r="L3" s="211"/>
      <x:c r="M3" s="211"/>
      <x:c r="N3" s="211"/>
    </x:row>
    <x:row r="4" ht="28" customHeight="1">
      <x:c r="A4" s="20" t="str">
        <x:v>Tipo ANBIMA</x:v>
      </x:c>
      <x:c r="B4" s="21" t="str">
        <x:v>Independente</x:v>
      </x:c>
      <x:c r="C4" s="21" t="str">
        <x:v>Ligada a banco</x:v>
      </x:c>
      <x:c r="D4" s="22" t="str">
        <x:v>Total</x:v>
      </x:c>
      <x:c r="E4" s="211"/>
      <x:c r="F4" s="211"/>
      <x:c r="G4" s="211"/>
      <x:c r="H4" s="211"/>
      <x:c r="I4" s="211"/>
      <x:c r="J4" s="211"/>
      <x:c r="K4" s="211"/>
      <x:c r="L4" s="211"/>
      <x:c r="M4" s="211"/>
      <x:c r="N4" s="211"/>
    </x:row>
    <x:row r="5">
      <x:c r="A5" s="110" t="str">
        <x:v>Agro, Indústria e Comércio</x:v>
      </x:c>
      <x:c r="B5" s="119" t="n">
        <x:f>SUMIFS('Classif Gestoras'!$B$6:$B$462,'Classif Gestoras'!$H$6:$H$462,"Independente")/1000000000</x:f>
        <x:v>70.01134149304488</x:v>
      </x:c>
      <x:c r="C5" s="119" t="n">
        <x:f>SUMIFS('Classif Gestoras'!$B$6:$B$462,'Classif Gestoras'!$H$6:$H$462,"Ligada a banco")/1000000000</x:f>
        <x:v>84.80783606384</x:v>
      </x:c>
      <x:c r="D5" s="119" t="n">
        <x:f>SUM(B5:C5)</x:f>
        <x:v>154.81917755688488</x:v>
      </x:c>
      <x:c r="E5" s="211"/>
      <x:c r="F5" s="211"/>
      <x:c r="G5" s="211"/>
      <x:c r="H5" s="211"/>
      <x:c r="I5" s="211"/>
      <x:c r="J5" s="211"/>
      <x:c r="K5" s="211"/>
      <x:c r="L5" s="211"/>
      <x:c r="M5" s="211"/>
      <x:c r="N5" s="211"/>
    </x:row>
    <x:row r="6">
      <x:c r="A6" s="111" t="str">
        <x:v>Financeiro</x:v>
      </x:c>
      <x:c r="B6" s="120" t="n">
        <x:f>SUMIFS('Classif Gestoras'!$C$6:$C$462,'Classif Gestoras'!$H$6:$H$462,"Independente")/1000000000</x:f>
        <x:v>147.14851642834105</x:v>
      </x:c>
      <x:c r="C6" s="120" t="n">
        <x:f>SUMIFS('Classif Gestoras'!$C$6:$C$462,'Classif Gestoras'!$H$6:$H$462,"Ligada a banco")/1000000000</x:f>
        <x:v>66.27744437099892</x:v>
      </x:c>
      <x:c r="D6" s="120" t="n">
        <x:f>SUM(B6:C6)</x:f>
        <x:v>213.42596079933998</x:v>
      </x:c>
      <x:c r="E6" s="211"/>
      <x:c r="F6" s="211"/>
      <x:c r="G6" s="211"/>
      <x:c r="H6" s="211"/>
      <x:c r="I6" s="211"/>
      <x:c r="J6" s="211"/>
      <x:c r="K6" s="211"/>
      <x:c r="L6" s="211"/>
      <x:c r="M6" s="211"/>
      <x:c r="N6" s="211"/>
    </x:row>
    <x:row r="7">
      <x:c r="A7" s="111" t="str">
        <x:v>Fomento Mercantil</x:v>
      </x:c>
      <x:c r="B7" s="120" t="n">
        <x:f>SUMIFS('Classif Gestoras'!$D$6:$D$462,'Classif Gestoras'!$H$6:$H$462,"Independente")/1000000000</x:f>
        <x:v>83.2324839199147</x:v>
      </x:c>
      <x:c r="C7" s="120" t="n">
        <x:f>SUMIFS('Classif Gestoras'!$D$6:$D$462,'Classif Gestoras'!$H$6:$H$462,"Ligada a banco")/1000000000</x:f>
        <x:v>2.57888981195</x:v>
      </x:c>
      <x:c r="D7" s="120" t="n">
        <x:f>SUM(B7:C7)</x:f>
        <x:v>85.8113737318647</x:v>
      </x:c>
      <x:c r="E7" s="211"/>
      <x:c r="F7" s="211"/>
      <x:c r="G7" s="211"/>
      <x:c r="H7" s="211"/>
      <x:c r="I7" s="211"/>
      <x:c r="J7" s="211"/>
      <x:c r="K7" s="211"/>
      <x:c r="L7" s="211"/>
      <x:c r="M7" s="211"/>
      <x:c r="N7" s="211"/>
    </x:row>
    <x:row r="8">
      <x:c r="A8" s="112" t="str">
        <x:v>Outros</x:v>
      </x:c>
      <x:c r="B8" s="124" t="n">
        <x:f>SUMIFS('Classif Gestoras'!$E$6:$E$462,'Classif Gestoras'!$H$6:$H$462,"Independente")/1000000000</x:f>
        <x:v>232.85411987734426</x:v>
      </x:c>
      <x:c r="C8" s="124" t="n">
        <x:f>SUMIFS('Classif Gestoras'!$E$6:$E$462,'Classif Gestoras'!$H$6:$H$462,"Ligada a banco")/1000000000</x:f>
        <x:v>65.28165072115992</x:v>
      </x:c>
      <x:c r="D8" s="124" t="n">
        <x:f>SUM(B8:C8)</x:f>
        <x:v>298.13577059850417</x:v>
      </x:c>
      <x:c r="E8" s="211"/>
      <x:c r="F8" s="211"/>
      <x:c r="G8" s="211"/>
      <x:c r="H8" s="211"/>
      <x:c r="I8" s="211"/>
      <x:c r="J8" s="211"/>
      <x:c r="K8" s="211"/>
      <x:c r="L8" s="211"/>
      <x:c r="M8" s="211"/>
      <x:c r="N8" s="211"/>
    </x:row>
    <x:row r="9">
      <x:c r="A9" s="211"/>
      <x:c r="B9" s="211"/>
      <x:c r="C9" s="211"/>
      <x:c r="D9" s="211"/>
      <x:c r="E9" s="211"/>
      <x:c r="F9" s="211"/>
      <x:c r="G9" s="211"/>
      <x:c r="H9" s="211"/>
      <x:c r="I9" s="211"/>
      <x:c r="J9" s="211"/>
      <x:c r="K9" s="211"/>
      <x:c r="L9" s="211"/>
      <x:c r="M9" s="211"/>
      <x:c r="N9" s="211"/>
    </x:row>
    <x:row r="10">
      <x:c r="A10" s="211"/>
      <x:c r="B10" s="211"/>
      <x:c r="C10" s="211"/>
      <x:c r="D10" s="211"/>
      <x:c r="E10" s="211"/>
      <x:c r="F10" s="211"/>
      <x:c r="G10" s="211"/>
      <x:c r="H10" s="211"/>
      <x:c r="I10" s="211"/>
      <x:c r="J10" s="211"/>
      <x:c r="K10" s="211"/>
      <x:c r="L10" s="211"/>
      <x:c r="M10" s="211"/>
      <x:c r="N10" s="211"/>
    </x:row>
    <x:row r="11" ht="23" customHeight="1">
      <x:c r="A11" s="8" t="str">
        <x:v>Top 25 independentes — dinâmico</x:v>
      </x:c>
      <x:c r="B11" s="8" t="str">
        <x:v>Top 25 independentes — dinâmico</x:v>
      </x:c>
      <x:c r="C11" s="8" t="str">
        <x:v>Top 25 independentes — dinâmico</x:v>
      </x:c>
      <x:c r="D11" s="211"/>
      <x:c r="E11" s="8" t="str">
        <x:v>Top 25 total</x:v>
      </x:c>
      <x:c r="F11" s="8" t="str">
        <x:v>Top 25 total</x:v>
      </x:c>
      <x:c r="G11" s="8" t="str">
        <x:v>Top 25 total</x:v>
      </x:c>
      <x:c r="H11" s="211"/>
      <x:c r="I11" s="8" t="str">
        <x:v>Top 25 ligadas a banco — dinâmico</x:v>
      </x:c>
      <x:c r="J11" s="8" t="str">
        <x:v>Top 25 ligadas a banco — dinâmico</x:v>
      </x:c>
      <x:c r="K11" s="8" t="str">
        <x:v>Top 25 ligadas a banco — dinâmico</x:v>
      </x:c>
      <x:c r="L11" s="211"/>
      <x:c r="M11" s="211"/>
      <x:c r="N11" s="211"/>
    </x:row>
    <x:row r="12" ht="28" customHeight="1">
      <x:c r="A12" s="20" t="str">
        <x:v>#</x:v>
      </x:c>
      <x:c r="B12" s="21" t="str">
        <x:v>Gestora</x:v>
      </x:c>
      <x:c r="C12" s="22" t="str">
        <x:v>PL (R$ bi)</x:v>
      </x:c>
      <x:c r="D12" s="211"/>
      <x:c r="E12" s="20" t="str">
        <x:v>#</x:v>
      </x:c>
      <x:c r="F12" s="21" t="str">
        <x:v>Gestora</x:v>
      </x:c>
      <x:c r="G12" s="22" t="str">
        <x:v>PL (R$ bi)</x:v>
      </x:c>
      <x:c r="H12" s="211"/>
      <x:c r="I12" s="20" t="str">
        <x:v>#</x:v>
      </x:c>
      <x:c r="J12" s="21" t="str">
        <x:v>Gestora</x:v>
      </x:c>
      <x:c r="K12" s="22" t="str">
        <x:v>PL (R$ bi)</x:v>
      </x:c>
      <x:c r="L12" s="211"/>
      <x:c r="M12" s="211"/>
      <x:c r="N12" s="211"/>
    </x:row>
    <x:row r="13">
      <x:c r="A13" s="110" t="n">
        <x:v>1</x:v>
      </x:c>
      <x:c r="B13" s="110" t="str">
        <x:f>IFERROR(INDEX('Classif Gestoras'!$A$6:$A$462,MATCH(A13,'Classif Gestoras'!$M$6:$M$462,0)),"")</x:f>
        <x:v>Oliveira Trust Servicer</x:v>
      </x:c>
      <x:c r="C13" s="119" t="n">
        <x:f>IFERROR(INDEX('Classif Gestoras'!$K$6:$K$462,MATCH(A13,'Classif Gestoras'!$M$6:$M$462,0))/1000000000,0)</x:f>
        <x:v>72.42585698972</x:v>
      </x:c>
      <x:c r="D13" s="211"/>
      <x:c r="E13" s="110" t="n">
        <x:v>1</x:v>
      </x:c>
      <x:c r="F13" s="110" t="str">
        <x:v>Oliveira Trust Servicer</x:v>
      </x:c>
      <x:c r="G13" s="119" t="n">
        <x:v>72.42585698972</x:v>
      </x:c>
      <x:c r="H13" s="211"/>
      <x:c r="I13" s="110" t="n">
        <x:v>1</x:v>
      </x:c>
      <x:c r="J13" s="110" t="str">
        <x:f>IFERROR(INDEX('Classif Gestoras'!$A$6:$A$462,MATCH(I13,'Classif Gestoras'!$N$6:$N$462,0)),"")</x:f>
        <x:v>BB Asset Management</x:v>
      </x:c>
      <x:c r="K13" s="119" t="n">
        <x:f>IFERROR(INDEX('Classif Gestoras'!$L$6:$L$462,MATCH(I13,'Classif Gestoras'!$N$6:$N$462,0))/1000000000,0)</x:f>
        <x:v>60.892601464269994</x:v>
      </x:c>
      <x:c r="L13" s="211"/>
      <x:c r="M13" s="211"/>
      <x:c r="N13" s="211"/>
    </x:row>
    <x:row r="14">
      <x:c r="A14" s="111" t="n">
        <x:v>2</x:v>
      </x:c>
      <x:c r="B14" s="111" t="str">
        <x:f>IFERROR(INDEX('Classif Gestoras'!$A$6:$A$462,MATCH(A14,'Classif Gestoras'!$M$6:$M$462,0)),"")</x:f>
        <x:v>TERCON ASSET MANAGEMENT</x:v>
      </x:c>
      <x:c r="C14" s="120" t="n">
        <x:f>IFERROR(INDEX('Classif Gestoras'!$K$6:$K$462,MATCH(A14,'Classif Gestoras'!$M$6:$M$462,0))/1000000000,0)</x:f>
        <x:v>21.345144152257205</x:v>
      </x:c>
      <x:c r="D14" s="211"/>
      <x:c r="E14" s="111" t="n">
        <x:v>2</x:v>
      </x:c>
      <x:c r="F14" s="111" t="str">
        <x:v>BB Asset Management</x:v>
      </x:c>
      <x:c r="G14" s="120" t="n">
        <x:v>60.892601464269994</x:v>
      </x:c>
      <x:c r="H14" s="211"/>
      <x:c r="I14" s="111" t="n">
        <x:v>2</x:v>
      </x:c>
      <x:c r="J14" s="111" t="str">
        <x:f>IFERROR(INDEX('Classif Gestoras'!$A$6:$A$462,MATCH(I14,'Classif Gestoras'!$N$6:$N$462,0)),"")</x:f>
        <x:v>Banco Bradesco S/A</x:v>
      </x:c>
      <x:c r="K14" s="120" t="n">
        <x:f>IFERROR(INDEX('Classif Gestoras'!$L$6:$L$462,MATCH(I14,'Classif Gestoras'!$N$6:$N$462,0))/1000000000,0)</x:f>
        <x:v>40.271118357169996</x:v>
      </x:c>
      <x:c r="L14" s="211"/>
      <x:c r="M14" s="211"/>
      <x:c r="N14" s="211"/>
    </x:row>
    <x:row r="15">
      <x:c r="A15" s="111" t="n">
        <x:v>3</x:v>
      </x:c>
      <x:c r="B15" s="111" t="str">
        <x:f>IFERROR(INDEX('Classif Gestoras'!$A$6:$A$462,MATCH(A15,'Classif Gestoras'!$M$6:$M$462,0)),"")</x:f>
        <x:v>Integral Investimentos</x:v>
      </x:c>
      <x:c r="C15" s="120" t="n">
        <x:f>IFERROR(INDEX('Classif Gestoras'!$K$6:$K$462,MATCH(A15,'Classif Gestoras'!$M$6:$M$462,0))/1000000000,0)</x:f>
        <x:v>14.69575334935086</x:v>
      </x:c>
      <x:c r="D15" s="211"/>
      <x:c r="E15" s="111" t="n">
        <x:v>3</x:v>
      </x:c>
      <x:c r="F15" s="111" t="str">
        <x:v>Banco Bradesco S/A</x:v>
      </x:c>
      <x:c r="G15" s="120" t="n">
        <x:v>40.271118357169996</x:v>
      </x:c>
      <x:c r="H15" s="211"/>
      <x:c r="I15" s="111" t="n">
        <x:v>3</x:v>
      </x:c>
      <x:c r="J15" s="111" t="str">
        <x:f>IFERROR(INDEX('Classif Gestoras'!$A$6:$A$462,MATCH(I15,'Classif Gestoras'!$N$6:$N$462,0)),"")</x:f>
        <x:v>GENIAL GESTÃO LTDA.</x:v>
      </x:c>
      <x:c r="K15" s="120" t="n">
        <x:f>IFERROR(INDEX('Classif Gestoras'!$L$6:$L$462,MATCH(I15,'Classif Gestoras'!$N$6:$N$462,0))/1000000000,0)</x:f>
        <x:v>26.90253950507891</x:v>
      </x:c>
      <x:c r="L15" s="211"/>
      <x:c r="M15" s="211"/>
      <x:c r="N15" s="211"/>
    </x:row>
    <x:row r="16">
      <x:c r="A16" s="111" t="n">
        <x:v>4</x:v>
      </x:c>
      <x:c r="B16" s="111" t="str">
        <x:f>IFERROR(INDEX('Classif Gestoras'!$A$6:$A$462,MATCH(A16,'Classif Gestoras'!$M$6:$M$462,0)),"")</x:f>
        <x:v>VERT Gestora de Recursos Financeiros Ltda.</x:v>
      </x:c>
      <x:c r="C16" s="120" t="n">
        <x:f>IFERROR(INDEX('Classif Gestoras'!$K$6:$K$462,MATCH(A16,'Classif Gestoras'!$M$6:$M$462,0))/1000000000,0)</x:f>
        <x:v>13.579469196570889</x:v>
      </x:c>
      <x:c r="D16" s="211"/>
      <x:c r="E16" s="111" t="n">
        <x:v>4</x:v>
      </x:c>
      <x:c r="F16" s="111" t="str">
        <x:v>GENIAL GESTÃO LTDA.</x:v>
      </x:c>
      <x:c r="G16" s="120" t="n">
        <x:v>26.90253950507891</x:v>
      </x:c>
      <x:c r="H16" s="211"/>
      <x:c r="I16" s="111" t="n">
        <x:v>4</x:v>
      </x:c>
      <x:c r="J16" s="111" t="str">
        <x:f>IFERROR(INDEX('Classif Gestoras'!$A$6:$A$462,MATCH(I16,'Classif Gestoras'!$N$6:$N$462,0)),"")</x:f>
        <x:v>BTG Pactual Asset</x:v>
      </x:c>
      <x:c r="K16" s="120" t="n">
        <x:f>IFERROR(INDEX('Classif Gestoras'!$L$6:$L$462,MATCH(I16,'Classif Gestoras'!$N$6:$N$462,0))/1000000000,0)</x:f>
        <x:v>25.420690641900006</x:v>
      </x:c>
      <x:c r="L16" s="211"/>
      <x:c r="M16" s="211"/>
      <x:c r="N16" s="211"/>
    </x:row>
    <x:row r="17">
      <x:c r="A17" s="111" t="n">
        <x:v>5</x:v>
      </x:c>
      <x:c r="B17" s="111" t="str">
        <x:f>IFERROR(INDEX('Classif Gestoras'!$A$6:$A$462,MATCH(A17,'Classif Gestoras'!$M$6:$M$462,0)),"")</x:f>
        <x:v>Solis</x:v>
      </x:c>
      <x:c r="C17" s="120" t="n">
        <x:f>IFERROR(INDEX('Classif Gestoras'!$K$6:$K$462,MATCH(A17,'Classif Gestoras'!$M$6:$M$462,0))/1000000000,0)</x:f>
        <x:v>12.96954850552</x:v>
      </x:c>
      <x:c r="D17" s="211"/>
      <x:c r="E17" s="111" t="n">
        <x:v>5</x:v>
      </x:c>
      <x:c r="F17" s="111" t="str">
        <x:v>BTG Pactual Asset</x:v>
      </x:c>
      <x:c r="G17" s="120" t="n">
        <x:v>25.420690641900006</x:v>
      </x:c>
      <x:c r="H17" s="211"/>
      <x:c r="I17" s="111" t="n">
        <x:v>5</x:v>
      </x:c>
      <x:c r="J17" s="111" t="str">
        <x:f>IFERROR(INDEX('Classif Gestoras'!$A$6:$A$462,MATCH(I17,'Classif Gestoras'!$N$6:$N$462,0)),"")</x:f>
        <x:v>Banco BTG Pactual</x:v>
      </x:c>
      <x:c r="K17" s="120" t="n">
        <x:f>IFERROR(INDEX('Classif Gestoras'!$L$6:$L$462,MATCH(I17,'Classif Gestoras'!$N$6:$N$462,0))/1000000000,0)</x:f>
        <x:v>24.9623761472657</x:v>
      </x:c>
      <x:c r="L17" s="211"/>
      <x:c r="M17" s="211"/>
      <x:c r="N17" s="211"/>
    </x:row>
    <x:row r="18">
      <x:c r="A18" s="111" t="n">
        <x:v>6</x:v>
      </x:c>
      <x:c r="B18" s="111" t="str">
        <x:f>IFERROR(INDEX('Classif Gestoras'!$A$6:$A$462,MATCH(A18,'Classif Gestoras'!$M$6:$M$462,0)),"")</x:f>
        <x:v>Petra Capital</x:v>
      </x:c>
      <x:c r="C18" s="120" t="n">
        <x:f>IFERROR(INDEX('Classif Gestoras'!$K$6:$K$462,MATCH(A18,'Classif Gestoras'!$M$6:$M$462,0))/1000000000,0)</x:f>
        <x:v>12.42540878526</x:v>
      </x:c>
      <x:c r="D18" s="211"/>
      <x:c r="E18" s="111" t="n">
        <x:v>6</x:v>
      </x:c>
      <x:c r="F18" s="111" t="str">
        <x:v>Banco BTG Pactual</x:v>
      </x:c>
      <x:c r="G18" s="120" t="n">
        <x:v>24.9623761472657</x:v>
      </x:c>
      <x:c r="H18" s="211"/>
      <x:c r="I18" s="111" t="n">
        <x:v>6</x:v>
      </x:c>
      <x:c r="J18" s="111" t="str">
        <x:f>IFERROR(INDEX('Classif Gestoras'!$A$6:$A$462,MATCH(I18,'Classif Gestoras'!$N$6:$N$462,0)),"")</x:f>
        <x:v>ITAU ASSET</x:v>
      </x:c>
      <x:c r="K18" s="120" t="n">
        <x:f>IFERROR(INDEX('Classif Gestoras'!$L$6:$L$462,MATCH(I18,'Classif Gestoras'!$N$6:$N$462,0))/1000000000,0)</x:f>
        <x:v>14.78114576528001</x:v>
      </x:c>
      <x:c r="L18" s="211"/>
      <x:c r="M18" s="211"/>
      <x:c r="N18" s="211"/>
    </x:row>
    <x:row r="19">
      <x:c r="A19" s="111" t="n">
        <x:v>7</x:v>
      </x:c>
      <x:c r="B19" s="111" t="str">
        <x:f>IFERROR(INDEX('Classif Gestoras'!$A$6:$A$462,MATCH(A19,'Classif Gestoras'!$M$6:$M$462,0)),"")</x:f>
        <x:v>Kanastra</x:v>
      </x:c>
      <x:c r="C19" s="120" t="n">
        <x:f>IFERROR(INDEX('Classif Gestoras'!$K$6:$K$462,MATCH(A19,'Classif Gestoras'!$M$6:$M$462,0))/1000000000,0)</x:f>
        <x:v>12.281784110259998</x:v>
      </x:c>
      <x:c r="D19" s="211"/>
      <x:c r="E19" s="111" t="n">
        <x:v>7</x:v>
      </x:c>
      <x:c r="F19" s="111" t="str">
        <x:v>TERCON ASSET MANAGEMENT</x:v>
      </x:c>
      <x:c r="G19" s="120" t="n">
        <x:v>21.34514415225721</x:v>
      </x:c>
      <x:c r="H19" s="211"/>
      <x:c r="I19" s="111" t="n">
        <x:v>7</x:v>
      </x:c>
      <x:c r="J19" s="111" t="str">
        <x:f>IFERROR(INDEX('Classif Gestoras'!$A$6:$A$462,MATCH(I19,'Classif Gestoras'!$N$6:$N$462,0)),"")</x:f>
        <x:v>DAYCOVAL ASSET MANAG</x:v>
      </x:c>
      <x:c r="K19" s="120" t="n">
        <x:f>IFERROR(INDEX('Classif Gestoras'!$L$6:$L$462,MATCH(I19,'Classif Gestoras'!$N$6:$N$462,0))/1000000000,0)</x:f>
        <x:v>7.9344462021</x:v>
      </x:c>
      <x:c r="L19" s="211"/>
      <x:c r="M19" s="211"/>
      <x:c r="N19" s="211"/>
    </x:row>
    <x:row r="20">
      <x:c r="A20" s="111" t="n">
        <x:v>8</x:v>
      </x:c>
      <x:c r="B20" s="111" t="str">
        <x:f>IFERROR(INDEX('Classif Gestoras'!$A$6:$A$462,MATCH(A20,'Classif Gestoras'!$M$6:$M$462,0)),"")</x:f>
        <x:v>VALORA RENDA FIXA LTDA.</x:v>
      </x:c>
      <x:c r="C20" s="120" t="n">
        <x:f>IFERROR(INDEX('Classif Gestoras'!$K$6:$K$462,MATCH(A20,'Classif Gestoras'!$M$6:$M$462,0))/1000000000,0)</x:f>
        <x:v>11.052121795664199</x:v>
      </x:c>
      <x:c r="D20" s="211"/>
      <x:c r="E20" s="111" t="n">
        <x:v>8</x:v>
      </x:c>
      <x:c r="F20" s="111" t="str">
        <x:v>ITAU ASSET</x:v>
      </x:c>
      <x:c r="G20" s="120" t="n">
        <x:v>14.78114576528001</x:v>
      </x:c>
      <x:c r="H20" s="211"/>
      <x:c r="I20" s="111" t="n">
        <x:v>8</x:v>
      </x:c>
      <x:c r="J20" s="111" t="str">
        <x:f>IFERROR(INDEX('Classif Gestoras'!$A$6:$A$462,MATCH(I20,'Classif Gestoras'!$N$6:$N$462,0)),"")</x:f>
        <x:v>Itau Unibanco</x:v>
      </x:c>
      <x:c r="K20" s="120" t="n">
        <x:f>IFERROR(INDEX('Classif Gestoras'!$L$6:$L$462,MATCH(I20,'Classif Gestoras'!$N$6:$N$462,0))/1000000000,0)</x:f>
        <x:v>4.194346733720001</x:v>
      </x:c>
      <x:c r="L20" s="211"/>
      <x:c r="M20" s="211"/>
      <x:c r="N20" s="211"/>
    </x:row>
    <x:row r="21">
      <x:c r="A21" s="111" t="n">
        <x:v>9</x:v>
      </x:c>
      <x:c r="B21" s="111" t="str">
        <x:f>IFERROR(INDEX('Classif Gestoras'!$A$6:$A$462,MATCH(A21,'Classif Gestoras'!$M$6:$M$462,0)),"")</x:f>
        <x:v>ANGÁ ASSET MANAGEMENT</x:v>
      </x:c>
      <x:c r="C21" s="120" t="n">
        <x:f>IFERROR(INDEX('Classif Gestoras'!$K$6:$K$462,MATCH(A21,'Classif Gestoras'!$M$6:$M$462,0))/1000000000,0)</x:f>
        <x:v>10.15282976539</x:v>
      </x:c>
      <x:c r="D21" s="211"/>
      <x:c r="E21" s="111" t="n">
        <x:v>9</x:v>
      </x:c>
      <x:c r="F21" s="111" t="str">
        <x:v>Integral Investimentos</x:v>
      </x:c>
      <x:c r="G21" s="120" t="n">
        <x:v>14.695753349350861</x:v>
      </x:c>
      <x:c r="H21" s="211"/>
      <x:c r="I21" s="111" t="n">
        <x:v>9</x:v>
      </x:c>
      <x:c r="J21" s="111" t="str">
        <x:f>IFERROR(INDEX('Classif Gestoras'!$A$6:$A$462,MATCH(I21,'Classif Gestoras'!$N$6:$N$462,0)),"")</x:f>
        <x:v>Bank of America</x:v>
      </x:c>
      <x:c r="K21" s="120" t="n">
        <x:f>IFERROR(INDEX('Classif Gestoras'!$L$6:$L$462,MATCH(I21,'Classif Gestoras'!$N$6:$N$462,0))/1000000000,0)</x:f>
        <x:v>3.0895354141199998</x:v>
      </x:c>
      <x:c r="L21" s="211"/>
      <x:c r="M21" s="211"/>
      <x:c r="N21" s="211"/>
    </x:row>
    <x:row r="22">
      <x:c r="A22" s="111" t="n">
        <x:v>10</x:v>
      </x:c>
      <x:c r="B22" s="111" t="str">
        <x:f>IFERROR(INDEX('Classif Gestoras'!$A$6:$A$462,MATCH(A22,'Classif Gestoras'!$M$6:$M$462,0)),"")</x:f>
        <x:v>OURO PRETO INVESTIMENTOS</x:v>
      </x:c>
      <x:c r="C22" s="120" t="n">
        <x:f>IFERROR(INDEX('Classif Gestoras'!$K$6:$K$462,MATCH(A22,'Classif Gestoras'!$M$6:$M$462,0))/1000000000,0)</x:f>
        <x:v>8.784503639675002</x:v>
      </x:c>
      <x:c r="D22" s="211"/>
      <x:c r="E22" s="111" t="n">
        <x:v>10</x:v>
      </x:c>
      <x:c r="F22" s="111" t="str">
        <x:v>VERT Gestora de Recursos Financeiros Ltda.</x:v>
      </x:c>
      <x:c r="G22" s="120" t="n">
        <x:v>13.579469196570889</x:v>
      </x:c>
      <x:c r="H22" s="211"/>
      <x:c r="I22" s="111" t="n">
        <x:v>10</x:v>
      </x:c>
      <x:c r="J22" s="111" t="str">
        <x:f>IFERROR(INDEX('Classif Gestoras'!$A$6:$A$462,MATCH(I22,'Classif Gestoras'!$N$6:$N$462,0)),"")</x:f>
        <x:v>KINEA INVESTIMENTOS</x:v>
      </x:c>
      <x:c r="K22" s="120" t="n">
        <x:f>IFERROR(INDEX('Classif Gestoras'!$L$6:$L$462,MATCH(I22,'Classif Gestoras'!$N$6:$N$462,0))/1000000000,0)</x:f>
        <x:v>1.97819965356</x:v>
      </x:c>
      <x:c r="L22" s="211"/>
      <x:c r="M22" s="211"/>
      <x:c r="N22" s="211"/>
    </x:row>
    <x:row r="23">
      <x:c r="A23" s="111" t="n">
        <x:v>11</x:v>
      </x:c>
      <x:c r="B23" s="111" t="str">
        <x:f>IFERROR(INDEX('Classif Gestoras'!$A$6:$A$462,MATCH(A23,'Classif Gestoras'!$M$6:$M$462,0)),"")</x:f>
        <x:v>M8 Partners</x:v>
      </x:c>
      <x:c r="C23" s="120" t="n">
        <x:f>IFERROR(INDEX('Classif Gestoras'!$K$6:$K$462,MATCH(A23,'Classif Gestoras'!$M$6:$M$462,0))/1000000000,0)</x:f>
        <x:v>8.37214698992975</x:v>
      </x:c>
      <x:c r="D23" s="211"/>
      <x:c r="E23" s="111" t="n">
        <x:v>11</x:v>
      </x:c>
      <x:c r="F23" s="111" t="str">
        <x:v>Solis</x:v>
      </x:c>
      <x:c r="G23" s="120" t="n">
        <x:v>12.96954850552</x:v>
      </x:c>
      <x:c r="H23" s="211"/>
      <x:c r="I23" s="111" t="n">
        <x:v>11</x:v>
      </x:c>
      <x:c r="J23" s="111" t="str">
        <x:f>IFERROR(INDEX('Classif Gestoras'!$A$6:$A$462,MATCH(I23,'Classif Gestoras'!$N$6:$N$462,0)),"")</x:f>
        <x:v>XPI CCTVM S/A</x:v>
      </x:c>
      <x:c r="K23" s="120" t="n">
        <x:f>IFERROR(INDEX('Classif Gestoras'!$L$6:$L$462,MATCH(I23,'Classif Gestoras'!$N$6:$N$462,0))/1000000000,0)</x:f>
        <x:v>1.892082541</x:v>
      </x:c>
      <x:c r="L23" s="211"/>
      <x:c r="M23" s="211"/>
      <x:c r="N23" s="211"/>
    </x:row>
    <x:row r="24">
      <x:c r="A24" s="111" t="n">
        <x:v>12</x:v>
      </x:c>
      <x:c r="B24" s="111" t="str">
        <x:f>IFERROR(INDEX('Classif Gestoras'!$A$6:$A$462,MATCH(A24,'Classif Gestoras'!$M$6:$M$462,0)),"")</x:f>
        <x:v>JIVE INVESTMENTS</x:v>
      </x:c>
      <x:c r="C24" s="120" t="n">
        <x:f>IFERROR(INDEX('Classif Gestoras'!$K$6:$K$462,MATCH(A24,'Classif Gestoras'!$M$6:$M$462,0))/1000000000,0)</x:f>
        <x:v>8.3142915831204</x:v>
      </x:c>
      <x:c r="D24" s="211"/>
      <x:c r="E24" s="111" t="n">
        <x:v>12</x:v>
      </x:c>
      <x:c r="F24" s="111" t="str">
        <x:v>Petra Capital</x:v>
      </x:c>
      <x:c r="G24" s="120" t="n">
        <x:v>12.42540878526</x:v>
      </x:c>
      <x:c r="H24" s="211"/>
      <x:c r="I24" s="111" t="n">
        <x:v>12</x:v>
      </x:c>
      <x:c r="J24" s="111" t="str">
        <x:f>IFERROR(INDEX('Classif Gestoras'!$A$6:$A$462,MATCH(I24,'Classif Gestoras'!$N$6:$N$462,0)),"")</x:f>
        <x:v>Caixa Econ. Federal</x:v>
      </x:c>
      <x:c r="K24" s="120" t="n">
        <x:f>IFERROR(INDEX('Classif Gestoras'!$L$6:$L$462,MATCH(I24,'Classif Gestoras'!$N$6:$N$462,0))/1000000000,0)</x:f>
        <x:v>1.1290737225899998</x:v>
      </x:c>
      <x:c r="L24" s="211"/>
      <x:c r="M24" s="211"/>
      <x:c r="N24" s="211"/>
    </x:row>
    <x:row r="25">
      <x:c r="A25" s="111" t="n">
        <x:v>13</x:v>
      </x:c>
      <x:c r="B25" s="111" t="str">
        <x:f>IFERROR(INDEX('Classif Gestoras'!$A$6:$A$462,MATCH(A25,'Classif Gestoras'!$M$6:$M$462,0)),"")</x:f>
        <x:v>Multiplica Capital</x:v>
      </x:c>
      <x:c r="C25" s="120" t="n">
        <x:f>IFERROR(INDEX('Classif Gestoras'!$K$6:$K$462,MATCH(A25,'Classif Gestoras'!$M$6:$M$462,0))/1000000000,0)</x:f>
        <x:v>7.741256760098272</x:v>
      </x:c>
      <x:c r="D25" s="211"/>
      <x:c r="E25" s="111" t="n">
        <x:v>13</x:v>
      </x:c>
      <x:c r="F25" s="111" t="str">
        <x:v>Kanastra</x:v>
      </x:c>
      <x:c r="G25" s="120" t="n">
        <x:v>12.281784110259998</x:v>
      </x:c>
      <x:c r="H25" s="211"/>
      <x:c r="I25" s="111" t="n">
        <x:v>13</x:v>
      </x:c>
      <x:c r="J25" s="111" t="str">
        <x:f>IFERROR(INDEX('Classif Gestoras'!$A$6:$A$462,MATCH(I25,'Classif Gestoras'!$N$6:$N$462,0)),"")</x:f>
        <x:v>Plural Investimentos Gestão de Recursos Ltda.</x:v>
      </x:c>
      <x:c r="K25" s="120" t="n">
        <x:f>IFERROR(INDEX('Classif Gestoras'!$L$6:$L$462,MATCH(I25,'Classif Gestoras'!$N$6:$N$462,0))/1000000000,0)</x:f>
        <x:v>1.08027469395</x:v>
      </x:c>
      <x:c r="L25" s="211"/>
      <x:c r="M25" s="211"/>
      <x:c r="N25" s="211"/>
    </x:row>
    <x:row r="26">
      <x:c r="A26" s="111" t="n">
        <x:v>14</x:v>
      </x:c>
      <x:c r="B26" s="111" t="str">
        <x:f>IFERROR(INDEX('Classif Gestoras'!$A$6:$A$462,MATCH(A26,'Classif Gestoras'!$M$6:$M$462,0)),"")</x:f>
        <x:v>Catálise Investimentos</x:v>
      </x:c>
      <x:c r="C26" s="120" t="n">
        <x:f>IFERROR(INDEX('Classif Gestoras'!$K$6:$K$462,MATCH(A26,'Classif Gestoras'!$M$6:$M$462,0))/1000000000,0)</x:f>
        <x:v>7.352787211360001</x:v>
      </x:c>
      <x:c r="D26" s="211"/>
      <x:c r="E26" s="111" t="n">
        <x:v>14</x:v>
      </x:c>
      <x:c r="F26" s="111" t="str">
        <x:v>VALORA RENDA FIXA LTDA.</x:v>
      </x:c>
      <x:c r="G26" s="120" t="n">
        <x:v>11.052121795664199</x:v>
      </x:c>
      <x:c r="H26" s="211"/>
      <x:c r="I26" s="111" t="n">
        <x:v>14</x:v>
      </x:c>
      <x:c r="J26" s="111" t="str">
        <x:f>IFERROR(INDEX('Classif Gestoras'!$A$6:$A$462,MATCH(I26,'Classif Gestoras'!$N$6:$N$462,0)),"")</x:f>
        <x:v>BTG PACTUAL GESTAO E CONSULTORIA DE INVESTIMENTOS</x:v>
      </x:c>
      <x:c r="K26" s="120" t="n">
        <x:f>IFERROR(INDEX('Classif Gestoras'!$L$6:$L$462,MATCH(I26,'Classif Gestoras'!$N$6:$N$462,0))/1000000000,0)</x:f>
        <x:v>1.0277400140142</x:v>
      </x:c>
      <x:c r="L26" s="211"/>
      <x:c r="M26" s="211"/>
      <x:c r="N26" s="211"/>
    </x:row>
    <x:row r="27">
      <x:c r="A27" s="111" t="n">
        <x:v>15</x:v>
      </x:c>
      <x:c r="B27" s="111" t="str">
        <x:f>IFERROR(INDEX('Classif Gestoras'!$A$6:$A$462,MATCH(A27,'Classif Gestoras'!$M$6:$M$462,0)),"")</x:f>
        <x:v>Jus Capital Gestão de Recursos LTDA</x:v>
      </x:c>
      <x:c r="C27" s="120" t="n">
        <x:f>IFERROR(INDEX('Classif Gestoras'!$K$6:$K$462,MATCH(A27,'Classif Gestoras'!$M$6:$M$462,0))/1000000000,0)</x:f>
        <x:v>7.284959793269801</x:v>
      </x:c>
      <x:c r="D27" s="211"/>
      <x:c r="E27" s="111" t="n">
        <x:v>15</x:v>
      </x:c>
      <x:c r="F27" s="111" t="str">
        <x:v>ANGÁ ASSET MANAGEMENT</x:v>
      </x:c>
      <x:c r="G27" s="120" t="n">
        <x:v>10.152829765389999</x:v>
      </x:c>
      <x:c r="H27" s="211"/>
      <x:c r="I27" s="111" t="n">
        <x:v>15</x:v>
      </x:c>
      <x:c r="J27" s="111" t="str">
        <x:f>IFERROR(INDEX('Classif Gestoras'!$A$6:$A$462,MATCH(I27,'Classif Gestoras'!$N$6:$N$462,0)),"")</x:f>
        <x:v>XP Gestão de Recurso</x:v>
      </x:c>
      <x:c r="K27" s="120" t="n">
        <x:f>IFERROR(INDEX('Classif Gestoras'!$L$6:$L$462,MATCH(I27,'Classif Gestoras'!$N$6:$N$462,0))/1000000000,0)</x:f>
        <x:v>0.93866995139</x:v>
      </x:c>
      <x:c r="L27" s="211"/>
      <x:c r="M27" s="211"/>
      <x:c r="N27" s="211"/>
    </x:row>
    <x:row r="28">
      <x:c r="A28" s="111" t="n">
        <x:v>16</x:v>
      </x:c>
      <x:c r="B28" s="111" t="str">
        <x:f>IFERROR(INDEX('Classif Gestoras'!$A$6:$A$462,MATCH(A28,'Classif Gestoras'!$M$6:$M$462,0)),"")</x:f>
        <x:v>POLÍGONO CAPITAL LTDA.</x:v>
      </x:c>
      <x:c r="C28" s="120" t="n">
        <x:f>IFERROR(INDEX('Classif Gestoras'!$K$6:$K$462,MATCH(A28,'Classif Gestoras'!$M$6:$M$462,0))/1000000000,0)</x:f>
        <x:v>6.9832145480887</x:v>
      </x:c>
      <x:c r="D28" s="211"/>
      <x:c r="E28" s="111" t="n">
        <x:v>16</x:v>
      </x:c>
      <x:c r="F28" s="111" t="str">
        <x:v>OURO PRETO INVESTIMENTOS</x:v>
      </x:c>
      <x:c r="G28" s="120" t="n">
        <x:v>8.784503639675002</x:v>
      </x:c>
      <x:c r="H28" s="211"/>
      <x:c r="I28" s="111" t="n">
        <x:v>16</x:v>
      </x:c>
      <x:c r="J28" s="111" t="str">
        <x:f>IFERROR(INDEX('Classif Gestoras'!$A$6:$A$462,MATCH(I28,'Classif Gestoras'!$N$6:$N$462,0)),"")</x:f>
        <x:v>Inter Asset</x:v>
      </x:c>
      <x:c r="K28" s="120" t="n">
        <x:f>IFERROR(INDEX('Classif Gestoras'!$L$6:$L$462,MATCH(I28,'Classif Gestoras'!$N$6:$N$462,0))/1000000000,0)</x:f>
        <x:v>0.75206333642</x:v>
      </x:c>
      <x:c r="L28" s="211"/>
      <x:c r="M28" s="211"/>
      <x:c r="N28" s="211"/>
    </x:row>
    <x:row r="29">
      <x:c r="A29" s="111" t="n">
        <x:v>17</x:v>
      </x:c>
      <x:c r="B29" s="111" t="str">
        <x:f>IFERROR(INDEX('Classif Gestoras'!$A$6:$A$462,MATCH(A29,'Classif Gestoras'!$M$6:$M$462,0)),"")</x:f>
        <x:v>ORRAM GESTÃO DE RECURSOS LTDA.</x:v>
      </x:c>
      <x:c r="C29" s="120" t="n">
        <x:f>IFERROR(INDEX('Classif Gestoras'!$K$6:$K$462,MATCH(A29,'Classif Gestoras'!$M$6:$M$462,0))/1000000000,0)</x:f>
        <x:v>6.98177423861393</x:v>
      </x:c>
      <x:c r="D29" s="211"/>
      <x:c r="E29" s="111" t="n">
        <x:v>17</x:v>
      </x:c>
      <x:c r="F29" s="111" t="str">
        <x:v>M8 Partners</x:v>
      </x:c>
      <x:c r="G29" s="120" t="n">
        <x:v>8.37214698992975</x:v>
      </x:c>
      <x:c r="H29" s="211"/>
      <x:c r="I29" s="111" t="n">
        <x:v>17</x:v>
      </x:c>
      <x:c r="J29" s="111" t="str">
        <x:f>IFERROR(INDEX('Classif Gestoras'!$A$6:$A$462,MATCH(I29,'Classif Gestoras'!$N$6:$N$462,0)),"")</x:f>
        <x:v>BTG PACTUAL WM</x:v>
      </x:c>
      <x:c r="K29" s="120" t="n">
        <x:f>IFERROR(INDEX('Classif Gestoras'!$L$6:$L$462,MATCH(I29,'Classif Gestoras'!$N$6:$N$462,0))/1000000000,0)</x:f>
        <x:v>0.5550309905499999</x:v>
      </x:c>
      <x:c r="L29" s="211"/>
      <x:c r="M29" s="211"/>
      <x:c r="N29" s="211"/>
    </x:row>
    <x:row r="30">
      <x:c r="A30" s="111" t="n">
        <x:v>18</x:v>
      </x:c>
      <x:c r="B30" s="111" t="str">
        <x:f>IFERROR(INDEX('Classif Gestoras'!$A$6:$A$462,MATCH(A30,'Classif Gestoras'!$M$6:$M$462,0)),"")</x:f>
        <x:v>RedAsset Gestão de Recursos Ltda.</x:v>
      </x:c>
      <x:c r="C30" s="120" t="n">
        <x:f>IFERROR(INDEX('Classif Gestoras'!$K$6:$K$462,MATCH(A30,'Classif Gestoras'!$M$6:$M$462,0))/1000000000,0)</x:f>
        <x:v>6.475707924679999</x:v>
      </x:c>
      <x:c r="D30" s="211"/>
      <x:c r="E30" s="111" t="n">
        <x:v>18</x:v>
      </x:c>
      <x:c r="F30" s="111" t="str">
        <x:v>JIVE INVESTMENTS</x:v>
      </x:c>
      <x:c r="G30" s="120" t="n">
        <x:v>8.3142915831204</x:v>
      </x:c>
      <x:c r="H30" s="211"/>
      <x:c r="I30" s="111" t="n">
        <x:v>18</x:v>
      </x:c>
      <x:c r="J30" s="111" t="str">
        <x:f>IFERROR(INDEX('Classif Gestoras'!$A$6:$A$462,MATCH(I30,'Classif Gestoras'!$N$6:$N$462,0)),"")</x:f>
        <x:v>Banco Santander</x:v>
      </x:c>
      <x:c r="K30" s="120" t="n">
        <x:f>IFERROR(INDEX('Classif Gestoras'!$L$6:$L$462,MATCH(I30,'Classif Gestoras'!$N$6:$N$462,0))/1000000000,0)</x:f>
        <x:v>0.5071142617300001</x:v>
      </x:c>
      <x:c r="L30" s="211"/>
      <x:c r="M30" s="211"/>
      <x:c r="N30" s="211"/>
    </x:row>
    <x:row r="31">
      <x:c r="A31" s="111" t="n">
        <x:v>19</x:v>
      </x:c>
      <x:c r="B31" s="111" t="str">
        <x:f>IFERROR(INDEX('Classif Gestoras'!$A$6:$A$462,MATCH(A31,'Classif Gestoras'!$M$6:$M$462,0)),"")</x:f>
        <x:v>Vista Real Estate</x:v>
      </x:c>
      <x:c r="C31" s="120" t="n">
        <x:f>IFERROR(INDEX('Classif Gestoras'!$K$6:$K$462,MATCH(A31,'Classif Gestoras'!$M$6:$M$462,0))/1000000000,0)</x:f>
        <x:v>5.957382884780001</x:v>
      </x:c>
      <x:c r="D31" s="211"/>
      <x:c r="E31" s="111" t="n">
        <x:v>19</x:v>
      </x:c>
      <x:c r="F31" s="111" t="str">
        <x:v>DAYCOVAL ASSET MANAG</x:v>
      </x:c>
      <x:c r="G31" s="120" t="n">
        <x:v>7.9344462021</x:v>
      </x:c>
      <x:c r="H31" s="211"/>
      <x:c r="I31" s="111" t="n">
        <x:v>19</x:v>
      </x:c>
      <x:c r="J31" s="111" t="str">
        <x:f>IFERROR(INDEX('Classif Gestoras'!$A$6:$A$462,MATCH(I31,'Classif Gestoras'!$N$6:$N$462,0)),"")</x:f>
        <x:v>Caixa Distribuidora de Títulos e Valores Mobiliários S.A.</x:v>
      </x:c>
      <x:c r="K31" s="120" t="n">
        <x:f>IFERROR(INDEX('Classif Gestoras'!$L$6:$L$462,MATCH(I31,'Classif Gestoras'!$N$6:$N$462,0))/1000000000,0)</x:f>
        <x:v>0.24728490290000002</x:v>
      </x:c>
      <x:c r="L31" s="211"/>
      <x:c r="M31" s="211"/>
      <x:c r="N31" s="211"/>
    </x:row>
    <x:row r="32">
      <x:c r="A32" s="111" t="n">
        <x:v>20</x:v>
      </x:c>
      <x:c r="B32" s="111" t="str">
        <x:f>IFERROR(INDEX('Classif Gestoras'!$A$6:$A$462,MATCH(A32,'Classif Gestoras'!$M$6:$M$462,0)),"")</x:f>
        <x:v>Emerald Gestão de Investimento</x:v>
      </x:c>
      <x:c r="C32" s="120" t="n">
        <x:f>IFERROR(INDEX('Classif Gestoras'!$K$6:$K$462,MATCH(A32,'Classif Gestoras'!$M$6:$M$462,0))/1000000000,0)</x:f>
        <x:v>5.707700077290001</x:v>
      </x:c>
      <x:c r="D32" s="211"/>
      <x:c r="E32" s="111" t="n">
        <x:v>20</x:v>
      </x:c>
      <x:c r="F32" s="111" t="str">
        <x:v>Multiplica Capital</x:v>
      </x:c>
      <x:c r="G32" s="120" t="n">
        <x:v>7.741256760098272</x:v>
      </x:c>
      <x:c r="H32" s="211"/>
      <x:c r="I32" s="111" t="n">
        <x:v>20</x:v>
      </x:c>
      <x:c r="J32" s="111" t="str">
        <x:f>IFERROR(INDEX('Classif Gestoras'!$A$6:$A$462,MATCH(I32,'Classif Gestoras'!$N$6:$N$462,0)),"")</x:f>
        <x:v>XP Allocation</x:v>
      </x:c>
      <x:c r="K32" s="120" t="n">
        <x:f>IFERROR(INDEX('Classif Gestoras'!$L$6:$L$462,MATCH(I32,'Classif Gestoras'!$N$6:$N$462,0))/1000000000,0)</x:f>
        <x:v>0.15599137351</x:v>
      </x:c>
      <x:c r="L32" s="211"/>
      <x:c r="M32" s="211"/>
      <x:c r="N32" s="211"/>
    </x:row>
    <x:row r="33">
      <x:c r="A33" s="111" t="n">
        <x:v>21</x:v>
      </x:c>
      <x:c r="B33" s="111" t="str">
        <x:f>IFERROR(INDEX('Classif Gestoras'!$A$6:$A$462,MATCH(A33,'Classif Gestoras'!$M$6:$M$462,0)),"")</x:f>
        <x:v>QI GESTAO DE RECURSOS LTDA</x:v>
      </x:c>
      <x:c r="C33" s="120" t="n">
        <x:f>IFERROR(INDEX('Classif Gestoras'!$K$6:$K$462,MATCH(A33,'Classif Gestoras'!$M$6:$M$462,0))/1000000000,0)</x:f>
        <x:v>5.60884552523</x:v>
      </x:c>
      <x:c r="D33" s="211"/>
      <x:c r="E33" s="111" t="n">
        <x:v>21</x:v>
      </x:c>
      <x:c r="F33" s="111" t="str">
        <x:v>Catálise Investimentos</x:v>
      </x:c>
      <x:c r="G33" s="120" t="n">
        <x:v>7.352787211360001</x:v>
      </x:c>
      <x:c r="H33" s="211"/>
      <x:c r="I33" s="111" t="n">
        <x:v>21</x:v>
      </x:c>
      <x:c r="J33" s="111" t="str">
        <x:f>IFERROR(INDEX('Classif Gestoras'!$A$6:$A$462,MATCH(I33,'Classif Gestoras'!$N$6:$N$462,0)),"")</x:f>
        <x:v>MODAL ASSET</x:v>
      </x:c>
      <x:c r="K33" s="120" t="n">
        <x:f>IFERROR(INDEX('Classif Gestoras'!$L$6:$L$462,MATCH(I33,'Classif Gestoras'!$N$6:$N$462,0))/1000000000,0)</x:f>
        <x:v>0.10044350027</x:v>
      </x:c>
      <x:c r="L33" s="211"/>
      <x:c r="M33" s="211"/>
      <x:c r="N33" s="211"/>
    </x:row>
    <x:row r="34">
      <x:c r="A34" s="111" t="n">
        <x:v>22</x:v>
      </x:c>
      <x:c r="B34" s="111" t="str">
        <x:f>IFERROR(INDEX('Classif Gestoras'!$A$6:$A$462,MATCH(A34,'Classif Gestoras'!$M$6:$M$462,0)),"")</x:f>
        <x:v>Artesanal Investimentos</x:v>
      </x:c>
      <x:c r="C34" s="120" t="n">
        <x:f>IFERROR(INDEX('Classif Gestoras'!$K$6:$K$462,MATCH(A34,'Classif Gestoras'!$M$6:$M$462,0))/1000000000,0)</x:f>
        <x:v>5.49384317492</x:v>
      </x:c>
      <x:c r="D34" s="211"/>
      <x:c r="E34" s="111" t="n">
        <x:v>22</x:v>
      </x:c>
      <x:c r="F34" s="111" t="str">
        <x:v>Jus Capital Gestão de Recursos LTDA</x:v>
      </x:c>
      <x:c r="G34" s="120" t="n">
        <x:v>7.284959793269801</x:v>
      </x:c>
      <x:c r="H34" s="211"/>
      <x:c r="I34" s="111" t="n">
        <x:v>22</x:v>
      </x:c>
      <x:c r="J34" s="111" t="str">
        <x:f>IFERROR(INDEX('Classif Gestoras'!$A$6:$A$462,MATCH(I34,'Classif Gestoras'!$N$6:$N$462,0)),"")</x:f>
        <x:v>ITAÚNA CAPITAL LTDA.</x:v>
      </x:c>
      <x:c r="K34" s="120" t="n">
        <x:f>IFERROR(INDEX('Classif Gestoras'!$L$6:$L$462,MATCH(I34,'Classif Gestoras'!$N$6:$N$462,0))/1000000000,0)</x:f>
        <x:v>0.07965499784</x:v>
      </x:c>
      <x:c r="L34" s="211"/>
      <x:c r="M34" s="211"/>
      <x:c r="N34" s="211"/>
    </x:row>
    <x:row r="35">
      <x:c r="A35" s="111" t="n">
        <x:v>23</x:v>
      </x:c>
      <x:c r="B35" s="111" t="str">
        <x:f>IFERROR(INDEX('Classif Gestoras'!$A$6:$A$462,MATCH(A35,'Classif Gestoras'!$M$6:$M$462,0)),"")</x:f>
        <x:v>Versal Finance Gestão de Recursos LTDA.</x:v>
      </x:c>
      <x:c r="C35" s="120" t="n">
        <x:f>IFERROR(INDEX('Classif Gestoras'!$K$6:$K$462,MATCH(A35,'Classif Gestoras'!$M$6:$M$462,0))/1000000000,0)</x:f>
        <x:v>5.14606973058</x:v>
      </x:c>
      <x:c r="D35" s="211"/>
      <x:c r="E35" s="111" t="n">
        <x:v>23</x:v>
      </x:c>
      <x:c r="F35" s="111" t="str">
        <x:v>POLÍGONO CAPITAL LTDA.</x:v>
      </x:c>
      <x:c r="G35" s="120" t="n">
        <x:v>6.9832145480887</x:v>
      </x:c>
      <x:c r="H35" s="211"/>
      <x:c r="I35" s="111" t="n">
        <x:v>23</x:v>
      </x:c>
      <x:c r="J35" s="111" t="str">
        <x:f>IFERROR(INDEX('Classif Gestoras'!$A$6:$A$462,MATCH(I35,'Classif Gestoras'!$N$6:$N$462,0)),"")</x:f>
        <x:v>Plural</x:v>
      </x:c>
      <x:c r="K35" s="120" t="n">
        <x:f>IFERROR(INDEX('Classif Gestoras'!$L$6:$L$462,MATCH(I35,'Classif Gestoras'!$N$6:$N$462,0))/1000000000,0)</x:f>
        <x:v>0.04031494373</x:v>
      </x:c>
      <x:c r="L35" s="211"/>
      <x:c r="M35" s="211"/>
      <x:c r="N35" s="211"/>
    </x:row>
    <x:row r="36">
      <x:c r="A36" s="111" t="n">
        <x:v>24</x:v>
      </x:c>
      <x:c r="B36" s="111" t="str">
        <x:f>IFERROR(INDEX('Classif Gestoras'!$A$6:$A$462,MATCH(A36,'Classif Gestoras'!$M$6:$M$462,0)),"")</x:f>
        <x:v>BRL TRUST DTVM</x:v>
      </x:c>
      <x:c r="C36" s="120" t="n">
        <x:f>IFERROR(INDEX('Classif Gestoras'!$K$6:$K$462,MATCH(A36,'Classif Gestoras'!$M$6:$M$462,0))/1000000000,0)</x:f>
        <x:v>5.09393905986</x:v>
      </x:c>
      <x:c r="D36" s="211"/>
      <x:c r="E36" s="111" t="n">
        <x:v>24</x:v>
      </x:c>
      <x:c r="F36" s="111" t="str">
        <x:v>ORRAM GESTÃO DE RECURSOS LTDA.</x:v>
      </x:c>
      <x:c r="G36" s="120" t="n">
        <x:v>6.98177423861393</x:v>
      </x:c>
      <x:c r="H36" s="211"/>
      <x:c r="I36" s="111" t="n">
        <x:v>24</x:v>
      </x:c>
      <x:c r="J36" s="111" t="str">
        <x:f>IFERROR(INDEX('Classif Gestoras'!$A$6:$A$462,MATCH(I36,'Classif Gestoras'!$N$6:$N$462,0)),"")</x:f>
        <x:v>Genial Investimentos Corretora de Valores Mobiliários S.A.</x:v>
      </x:c>
      <x:c r="K36" s="120" t="n">
        <x:f>IFERROR(INDEX('Classif Gestoras'!$L$6:$L$462,MATCH(I36,'Classif Gestoras'!$N$6:$N$462,0))/1000000000,0)</x:f>
        <x:v>0.01058916166</x:v>
      </x:c>
      <x:c r="L36" s="211"/>
      <x:c r="M36" s="211"/>
      <x:c r="N36" s="211"/>
    </x:row>
    <x:row r="37">
      <x:c r="A37" s="112" t="n">
        <x:v>25</x:v>
      </x:c>
      <x:c r="B37" s="112" t="str">
        <x:f>IFERROR(INDEX('Classif Gestoras'!$A$6:$A$462,MATCH(A37,'Classif Gestoras'!$M$6:$M$462,0)),"")</x:f>
        <x:v>Redwood Asset Management</x:v>
      </x:c>
      <x:c r="C37" s="124" t="n">
        <x:f>IFERROR(INDEX('Classif Gestoras'!$K$6:$K$462,MATCH(A37,'Classif Gestoras'!$M$6:$M$462,0))/1000000000,0)</x:f>
        <x:v>4.9924580518</x:v>
      </x:c>
      <x:c r="D37" s="211"/>
      <x:c r="E37" s="112" t="n">
        <x:v>25</x:v>
      </x:c>
      <x:c r="F37" s="112" t="str">
        <x:v>RedAsset Gestão de Recursos Ltda.</x:v>
      </x:c>
      <x:c r="G37" s="124" t="n">
        <x:v>6.475707924679999</x:v>
      </x:c>
      <x:c r="H37" s="211"/>
      <x:c r="I37" s="112" t="n">
        <x:v>25</x:v>
      </x:c>
      <x:c r="J37" s="112" t="str">
        <x:f>IFERROR(INDEX('Classif Gestoras'!$A$6:$A$462,MATCH(I37,'Classif Gestoras'!$N$6:$N$462,0)),"")</x:f>
        <x:v>Bradesco Asset</x:v>
      </x:c>
      <x:c r="K37" s="124" t="n">
        <x:f>IFERROR(INDEX('Classif Gestoras'!$L$6:$L$462,MATCH(I37,'Classif Gestoras'!$N$6:$N$462,0))/1000000000,0)</x:f>
        <x:v>0.00249269193</x:v>
      </x:c>
      <x:c r="L37" s="211"/>
      <x:c r="M37" s="211"/>
      <x:c r="N37" s="211"/>
    </x:row>
    <x:row r="38">
      <x:c r="A38" s="211"/>
      <x:c r="B38" s="211"/>
      <x:c r="C38" s="211"/>
      <x:c r="D38" s="211"/>
      <x:c r="E38" s="211"/>
      <x:c r="F38" s="211"/>
      <x:c r="G38" s="211"/>
      <x:c r="H38" s="211"/>
      <x:c r="I38" s="211"/>
      <x:c r="J38" s="211"/>
      <x:c r="K38" s="211"/>
      <x:c r="L38" s="211"/>
      <x:c r="M38" s="211"/>
      <x:c r="N38" s="211"/>
    </x:row>
    <x:row r="39">
      <x:c r="A39" s="211"/>
      <x:c r="B39" s="211"/>
      <x:c r="C39" s="211"/>
      <x:c r="D39" s="211"/>
      <x:c r="E39" s="211"/>
      <x:c r="F39" s="211"/>
      <x:c r="G39" s="211"/>
      <x:c r="H39" s="211"/>
      <x:c r="I39" s="211"/>
      <x:c r="J39" s="211"/>
      <x:c r="K39" s="211"/>
      <x:c r="L39" s="211"/>
      <x:c r="M39" s="211"/>
      <x:c r="N39" s="211"/>
    </x:row>
    <x:row r="40">
      <x:c r="A40" s="211"/>
      <x:c r="B40" s="211"/>
      <x:c r="C40" s="211"/>
      <x:c r="D40" s="211"/>
      <x:c r="E40" s="211"/>
      <x:c r="F40" s="211"/>
      <x:c r="G40" s="211"/>
      <x:c r="H40" s="211"/>
      <x:c r="I40" s="211"/>
      <x:c r="J40" s="211"/>
      <x:c r="K40" s="211"/>
      <x:c r="L40" s="211"/>
      <x:c r="M40" s="211"/>
      <x:c r="N40" s="211"/>
    </x:row>
    <x:row r="41">
      <x:c r="A41" s="211"/>
      <x:c r="B41" s="211"/>
      <x:c r="C41" s="211"/>
      <x:c r="D41" s="211"/>
      <x:c r="E41" s="211"/>
      <x:c r="F41" s="211"/>
      <x:c r="G41" s="211"/>
      <x:c r="H41" s="211"/>
      <x:c r="I41" s="211"/>
      <x:c r="J41" s="211"/>
      <x:c r="K41" s="211"/>
      <x:c r="L41" s="211"/>
      <x:c r="M41" s="211"/>
      <x:c r="N41" s="211"/>
    </x:row>
    <x:row r="42">
      <x:c r="A42" s="211"/>
      <x:c r="B42" s="211"/>
      <x:c r="C42" s="211"/>
      <x:c r="D42" s="211"/>
      <x:c r="E42" s="211"/>
      <x:c r="F42" s="211"/>
      <x:c r="G42" s="211"/>
      <x:c r="H42" s="211"/>
      <x:c r="I42" s="211"/>
      <x:c r="J42" s="211"/>
      <x:c r="K42" s="211"/>
      <x:c r="L42" s="211"/>
      <x:c r="M42" s="211"/>
      <x:c r="N42" s="211"/>
    </x:row>
    <x:row r="43">
      <x:c r="A43" s="211"/>
      <x:c r="B43" s="211"/>
      <x:c r="C43" s="211"/>
      <x:c r="D43" s="211"/>
      <x:c r="E43" s="211"/>
      <x:c r="F43" s="211"/>
      <x:c r="G43" s="211"/>
      <x:c r="H43" s="211"/>
      <x:c r="I43" s="211"/>
      <x:c r="J43" s="211"/>
      <x:c r="K43" s="211"/>
      <x:c r="L43" s="211"/>
      <x:c r="M43" s="211"/>
      <x:c r="N43" s="211"/>
    </x:row>
    <x:row r="44">
      <x:c r="A44" s="211"/>
      <x:c r="B44" s="211"/>
      <x:c r="C44" s="211"/>
      <x:c r="D44" s="211"/>
      <x:c r="E44" s="211"/>
      <x:c r="F44" s="211"/>
      <x:c r="G44" s="211"/>
      <x:c r="H44" s="211"/>
      <x:c r="I44" s="211"/>
      <x:c r="J44" s="211"/>
      <x:c r="K44" s="211"/>
      <x:c r="L44" s="211"/>
      <x:c r="M44" s="211"/>
      <x:c r="N44" s="211"/>
    </x:row>
    <x:row r="45">
      <x:c r="A45" s="211"/>
      <x:c r="B45" s="211"/>
      <x:c r="C45" s="211"/>
      <x:c r="D45" s="211"/>
      <x:c r="E45" s="211"/>
      <x:c r="F45" s="211"/>
      <x:c r="G45" s="211"/>
      <x:c r="H45" s="211"/>
      <x:c r="I45" s="211"/>
      <x:c r="J45" s="211"/>
      <x:c r="K45" s="211"/>
      <x:c r="L45" s="211"/>
      <x:c r="M45" s="211"/>
      <x:c r="N45" s="211"/>
    </x:row>
    <x:row r="46">
      <x:c r="A46" s="211"/>
      <x:c r="B46" s="211"/>
      <x:c r="C46" s="211"/>
      <x:c r="D46" s="211"/>
      <x:c r="E46" s="211"/>
      <x:c r="F46" s="211"/>
      <x:c r="G46" s="211"/>
      <x:c r="H46" s="211"/>
      <x:c r="I46" s="211"/>
      <x:c r="J46" s="211"/>
      <x:c r="K46" s="211"/>
      <x:c r="L46" s="211"/>
      <x:c r="M46" s="211"/>
      <x:c r="N46" s="211"/>
    </x:row>
    <x:row r="47">
      <x:c r="A47" s="211"/>
      <x:c r="B47" s="211"/>
      <x:c r="C47" s="211"/>
      <x:c r="D47" s="211"/>
      <x:c r="E47" s="211"/>
      <x:c r="F47" s="211"/>
      <x:c r="G47" s="211"/>
      <x:c r="H47" s="211"/>
      <x:c r="I47" s="211"/>
      <x:c r="J47" s="211"/>
      <x:c r="K47" s="211"/>
      <x:c r="L47" s="211"/>
      <x:c r="M47" s="211"/>
      <x:c r="N47" s="211"/>
    </x:row>
    <x:row r="48">
      <x:c r="A48" s="211"/>
      <x:c r="B48" s="211"/>
      <x:c r="C48" s="211"/>
      <x:c r="D48" s="211"/>
      <x:c r="E48" s="211"/>
      <x:c r="F48" s="211"/>
      <x:c r="G48" s="211"/>
      <x:c r="H48" s="211"/>
      <x:c r="I48" s="211"/>
      <x:c r="J48" s="211"/>
      <x:c r="K48" s="211"/>
      <x:c r="L48" s="211"/>
      <x:c r="M48" s="211"/>
      <x:c r="N48" s="211"/>
    </x:row>
    <x:row r="49">
      <x:c r="A49" s="211"/>
      <x:c r="B49" s="211"/>
      <x:c r="C49" s="211"/>
      <x:c r="D49" s="211"/>
      <x:c r="E49" s="211"/>
      <x:c r="F49" s="211"/>
      <x:c r="G49" s="211"/>
      <x:c r="H49" s="211"/>
      <x:c r="I49" s="211"/>
      <x:c r="J49" s="211"/>
      <x:c r="K49" s="211"/>
      <x:c r="L49" s="211"/>
      <x:c r="M49" s="211"/>
      <x:c r="N49" s="211"/>
    </x:row>
    <x:row r="50">
      <x:c r="A50" s="211"/>
      <x:c r="B50" s="211"/>
      <x:c r="C50" s="211"/>
      <x:c r="D50" s="211"/>
      <x:c r="E50" s="211"/>
      <x:c r="F50" s="211"/>
      <x:c r="G50" s="211"/>
      <x:c r="H50" s="211"/>
      <x:c r="I50" s="211"/>
      <x:c r="J50" s="211"/>
      <x:c r="K50" s="211"/>
      <x:c r="L50" s="211"/>
      <x:c r="M50" s="211"/>
      <x:c r="N50" s="211"/>
    </x:row>
    <x:row r="51">
      <x:c r="A51" s="211"/>
      <x:c r="B51" s="211"/>
      <x:c r="C51" s="211"/>
      <x:c r="D51" s="211"/>
      <x:c r="E51" s="211"/>
      <x:c r="F51" s="211"/>
      <x:c r="G51" s="211"/>
      <x:c r="H51" s="211"/>
      <x:c r="I51" s="211"/>
      <x:c r="J51" s="211"/>
      <x:c r="K51" s="211"/>
      <x:c r="L51" s="211"/>
      <x:c r="M51" s="211"/>
      <x:c r="N51" s="211"/>
    </x:row>
    <x:row r="52">
      <x:c r="A52" s="211"/>
      <x:c r="B52" s="211"/>
      <x:c r="C52" s="211"/>
      <x:c r="D52" s="211"/>
      <x:c r="E52" s="211"/>
      <x:c r="F52" s="211"/>
      <x:c r="G52" s="211"/>
      <x:c r="H52" s="211"/>
      <x:c r="I52" s="211"/>
      <x:c r="J52" s="211"/>
      <x:c r="K52" s="211"/>
      <x:c r="L52" s="211"/>
      <x:c r="M52" s="211"/>
      <x:c r="N52" s="211"/>
    </x:row>
    <x:row r="53">
      <x:c r="A53" s="211"/>
      <x:c r="B53" s="211"/>
      <x:c r="C53" s="211"/>
      <x:c r="D53" s="211"/>
      <x:c r="E53" s="211"/>
      <x:c r="F53" s="211"/>
      <x:c r="G53" s="211"/>
      <x:c r="H53" s="211"/>
      <x:c r="I53" s="211"/>
      <x:c r="J53" s="211"/>
      <x:c r="K53" s="211"/>
      <x:c r="L53" s="211"/>
      <x:c r="M53" s="211"/>
      <x:c r="N53" s="211"/>
    </x:row>
    <x:row r="54">
      <x:c r="A54" s="211"/>
      <x:c r="B54" s="211"/>
      <x:c r="C54" s="211"/>
      <x:c r="D54" s="211"/>
      <x:c r="E54" s="211"/>
      <x:c r="F54" s="211"/>
      <x:c r="G54" s="211"/>
      <x:c r="H54" s="211"/>
      <x:c r="I54" s="211"/>
      <x:c r="J54" s="211"/>
      <x:c r="K54" s="211"/>
      <x:c r="L54" s="211"/>
      <x:c r="M54" s="211"/>
      <x:c r="N54" s="211"/>
    </x:row>
    <x:row r="55">
      <x:c r="A55" s="211"/>
      <x:c r="B55" s="211"/>
      <x:c r="C55" s="211"/>
      <x:c r="D55" s="211"/>
      <x:c r="E55" s="211"/>
      <x:c r="F55" s="211"/>
      <x:c r="G55" s="211"/>
      <x:c r="H55" s="211"/>
      <x:c r="I55" s="211"/>
      <x:c r="J55" s="211"/>
      <x:c r="K55" s="211"/>
      <x:c r="L55" s="211"/>
      <x:c r="M55" s="211"/>
      <x:c r="N55" s="211"/>
    </x:row>
    <x:row r="56">
      <x:c r="A56" s="211"/>
      <x:c r="B56" s="211"/>
      <x:c r="C56" s="211"/>
      <x:c r="D56" s="211"/>
      <x:c r="E56" s="211"/>
      <x:c r="F56" s="211"/>
      <x:c r="G56" s="211"/>
      <x:c r="H56" s="211"/>
      <x:c r="I56" s="211"/>
      <x:c r="J56" s="211"/>
      <x:c r="K56" s="211"/>
      <x:c r="L56" s="211"/>
      <x:c r="M56" s="211"/>
      <x:c r="N56" s="211"/>
    </x:row>
    <x:row r="57">
      <x:c r="A57" s="211"/>
      <x:c r="B57" s="211"/>
      <x:c r="C57" s="211"/>
      <x:c r="D57" s="211"/>
      <x:c r="E57" s="211"/>
      <x:c r="F57" s="211"/>
      <x:c r="G57" s="211"/>
      <x:c r="H57" s="211"/>
      <x:c r="I57" s="211"/>
      <x:c r="J57" s="211"/>
      <x:c r="K57" s="211"/>
      <x:c r="L57" s="211"/>
      <x:c r="M57" s="211"/>
      <x:c r="N57" s="211"/>
    </x:row>
    <x:row r="58">
      <x:c r="A58" s="211"/>
      <x:c r="B58" s="211"/>
      <x:c r="C58" s="211"/>
      <x:c r="D58" s="211"/>
      <x:c r="E58" s="211"/>
      <x:c r="F58" s="211"/>
      <x:c r="G58" s="211"/>
      <x:c r="H58" s="211"/>
      <x:c r="I58" s="211"/>
      <x:c r="J58" s="211"/>
      <x:c r="K58" s="211"/>
      <x:c r="L58" s="211"/>
      <x:c r="M58" s="211"/>
      <x:c r="N58" s="211"/>
    </x:row>
    <x:row r="59">
      <x:c r="A59" s="211"/>
      <x:c r="B59" s="211"/>
      <x:c r="C59" s="211"/>
      <x:c r="D59" s="211"/>
      <x:c r="E59" s="211"/>
      <x:c r="F59" s="211"/>
      <x:c r="G59" s="211"/>
      <x:c r="H59" s="211"/>
      <x:c r="I59" s="211"/>
      <x:c r="J59" s="211"/>
      <x:c r="K59" s="211"/>
      <x:c r="L59" s="211"/>
      <x:c r="M59" s="211"/>
      <x:c r="N59" s="211"/>
    </x:row>
    <x:row r="60">
      <x:c r="A60" s="211"/>
      <x:c r="B60" s="211"/>
      <x:c r="C60" s="211"/>
      <x:c r="D60" s="211"/>
      <x:c r="E60" s="211"/>
      <x:c r="F60" s="211"/>
      <x:c r="G60" s="211"/>
      <x:c r="H60" s="211"/>
      <x:c r="I60" s="211"/>
      <x:c r="J60" s="211"/>
      <x:c r="K60" s="211"/>
      <x:c r="L60" s="211"/>
      <x:c r="M60" s="211"/>
      <x:c r="N60" s="211"/>
    </x:row>
    <x:row r="61">
      <x:c r="A61" s="211"/>
      <x:c r="B61" s="211"/>
      <x:c r="C61" s="211"/>
      <x:c r="D61" s="211"/>
      <x:c r="E61" s="211"/>
      <x:c r="F61" s="211"/>
      <x:c r="G61" s="211"/>
      <x:c r="H61" s="211"/>
      <x:c r="I61" s="211"/>
      <x:c r="J61" s="211"/>
      <x:c r="K61" s="211"/>
      <x:c r="L61" s="211"/>
      <x:c r="M61" s="211"/>
      <x:c r="N61" s="211"/>
    </x:row>
    <x:row r="62">
      <x:c r="A62" s="211"/>
      <x:c r="B62" s="211"/>
      <x:c r="C62" s="211"/>
      <x:c r="D62" s="211"/>
      <x:c r="E62" s="211"/>
      <x:c r="F62" s="211"/>
      <x:c r="G62" s="211"/>
      <x:c r="H62" s="211"/>
      <x:c r="I62" s="211"/>
      <x:c r="J62" s="211"/>
      <x:c r="K62" s="211"/>
      <x:c r="L62" s="211"/>
      <x:c r="M62" s="211"/>
      <x:c r="N62" s="211"/>
    </x:row>
    <x:row r="63">
      <x:c r="A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B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C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D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E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F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G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H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I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J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K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L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M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N63"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row>
    <x:row r="64">
      <x:c r="A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B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C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D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E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F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G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H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I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J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K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L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M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N64"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row>
    <x:row r="65">
      <x:c r="A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B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C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D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E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F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G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H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I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J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K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L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M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c r="N65" s="52" t="str">
        <x:v>O ranking e os somatórios recalculam quando Classif Gestoras!H:H é alterada. Não existe campo oficial CVM/ANBIMA para banco × independente. A regra inicial reconhece marcas bancárias explícitas e trata o residual como independente; por isso, revise prioritariamente as linhas 'Sim — alta'.</x:v>
      </x:c>
    </x:row>
  </x:sheetData>
  <x:mergeCells>
    <x:mergeCell ref="A1:N2"/>
    <x:mergeCell ref="A11:C11"/>
    <x:mergeCell ref="E11:G11"/>
    <x:mergeCell ref="I11:K11"/>
    <x:mergeCell ref="A63:N65"/>
  </x:mergeCells>
  <x:pageMargins left="0.7" right="0.7" top="0.75" bottom="0.75" header="0.3" footer="0.3"/>
  <x:drawing xmlns:r="http://schemas.openxmlformats.org/officeDocument/2006/relationships" r:id="R4b1485c93d884ffd"/>
</x:worksheet>
</file>

<file path=xl/worksheets/sheet8.xml><?xml version="1.0" encoding="utf-8"?>
<x:worksheet xmlns:x="http://schemas.openxmlformats.org/spreadsheetml/2006/main">
  <x:sheetViews>
    <x:sheetView showGridLines="0" workbookViewId="0"/>
  </x:sheetViews>
  <x:sheetFormatPr defaultRowHeight="15"/>
  <x:cols>
    <x:col min="1" max="1" width="5" hidden="0" customWidth="1"/>
    <x:col min="2" max="2" width="42" hidden="0" customWidth="1"/>
    <x:col min="3" max="3" width="15" hidden="0" customWidth="1"/>
  </x:cols>
  <x:sheetData>
    <x:row r="1" ht="30" customHeight="1">
      <x:c r="A1" s="4" t="str">
        <x:v>Principais gestoras por tipo ANBIMA</x:v>
      </x:c>
      <x:c r="B1" s="4" t="str">
        <x:v>Principais gestoras por tipo ANBIMA</x:v>
      </x:c>
      <x:c r="C1" s="4" t="str">
        <x:v>Principais gestoras por tipo ANBIMA</x:v>
      </x:c>
      <x:c r="D1" s="4" t="str">
        <x:v>Principais gestoras por tipo ANBIMA</x:v>
      </x:c>
      <x:c r="E1" s="4" t="str">
        <x:v>Principais gestoras por tipo ANBIMA</x:v>
      </x:c>
      <x:c r="F1" s="4" t="str">
        <x:v>Principais gestoras por tipo ANBIMA</x:v>
      </x:c>
      <x:c r="G1" s="4" t="str">
        <x:v>Principais gestoras por tipo ANBIMA</x:v>
      </x:c>
      <x:c r="H1" s="4" t="str">
        <x:v>Principais gestoras por tipo ANBIMA</x:v>
      </x:c>
      <x:c r="I1" s="4" t="str">
        <x:v>Principais gestoras por tipo ANBIMA</x:v>
      </x:c>
      <x:c r="J1" s="4" t="str">
        <x:v>Principais gestoras por tipo ANBIMA</x:v>
      </x:c>
      <x:c r="K1" s="4" t="str">
        <x:v>Principais gestoras por tipo ANBIMA</x:v>
      </x:c>
      <x:c r="L1" s="4" t="str">
        <x:v>Principais gestoras por tipo ANBIMA</x:v>
      </x:c>
      <x:c r="M1" s="4" t="str">
        <x:v>Principais gestoras por tipo ANBIMA</x:v>
      </x:c>
      <x:c r="N1" s="4" t="str">
        <x:v>Principais gestoras por tipo ANBIMA</x:v>
      </x:c>
    </x:row>
    <x:row r="2" ht="30" customHeight="1">
      <x:c r="A2" s="4" t="str">
        <x:v>Principais gestoras por tipo ANBIMA</x:v>
      </x:c>
      <x:c r="B2" s="4" t="str">
        <x:v>Principais gestoras por tipo ANBIMA</x:v>
      </x:c>
      <x:c r="C2" s="4" t="str">
        <x:v>Principais gestoras por tipo ANBIMA</x:v>
      </x:c>
      <x:c r="D2" s="4" t="str">
        <x:v>Principais gestoras por tipo ANBIMA</x:v>
      </x:c>
      <x:c r="E2" s="4" t="str">
        <x:v>Principais gestoras por tipo ANBIMA</x:v>
      </x:c>
      <x:c r="F2" s="4" t="str">
        <x:v>Principais gestoras por tipo ANBIMA</x:v>
      </x:c>
      <x:c r="G2" s="4" t="str">
        <x:v>Principais gestoras por tipo ANBIMA</x:v>
      </x:c>
      <x:c r="H2" s="4" t="str">
        <x:v>Principais gestoras por tipo ANBIMA</x:v>
      </x:c>
      <x:c r="I2" s="4" t="str">
        <x:v>Principais gestoras por tipo ANBIMA</x:v>
      </x:c>
      <x:c r="J2" s="4" t="str">
        <x:v>Principais gestoras por tipo ANBIMA</x:v>
      </x:c>
      <x:c r="K2" s="4" t="str">
        <x:v>Principais gestoras por tipo ANBIMA</x:v>
      </x:c>
      <x:c r="L2" s="4" t="str">
        <x:v>Principais gestoras por tipo ANBIMA</x:v>
      </x:c>
      <x:c r="M2" s="4" t="str">
        <x:v>Principais gestoras por tipo ANBIMA</x:v>
      </x:c>
      <x:c r="N2" s="4" t="str">
        <x:v>Principais gestoras por tipo ANBIMA</x:v>
      </x:c>
    </x:row>
    <x:row r="3">
      <x:c r="A3" s="211"/>
      <x:c r="B3" s="211"/>
      <x:c r="C3" s="211"/>
      <x:c r="D3" s="211"/>
      <x:c r="E3" s="211"/>
      <x:c r="F3" s="211"/>
      <x:c r="G3" s="211"/>
      <x:c r="H3" s="211"/>
      <x:c r="I3" s="211"/>
      <x:c r="J3" s="211"/>
      <x:c r="K3" s="211"/>
      <x:c r="L3" s="211"/>
      <x:c r="M3" s="211"/>
      <x:c r="N3" s="211"/>
    </x:row>
    <x:row r="4" ht="23" customHeight="1">
      <x:c r="A4" s="8" t="str">
        <x:v>Agro, Indústria e Comércio</x:v>
      </x:c>
      <x:c r="B4" s="8" t="str">
        <x:v>Agro, Indústria e Comércio</x:v>
      </x:c>
      <x:c r="C4" s="8" t="str">
        <x:v>Agro, Indústria e Comércio</x:v>
      </x:c>
      <x:c r="D4" s="8" t="str">
        <x:v>Agro, Indústria e Comércio</x:v>
      </x:c>
      <x:c r="E4" s="8" t="str">
        <x:v>Agro, Indústria e Comércio</x:v>
      </x:c>
      <x:c r="F4" s="8" t="str">
        <x:v>Agro, Indústria e Comércio</x:v>
      </x:c>
      <x:c r="G4" s="211"/>
      <x:c r="H4" s="211"/>
      <x:c r="I4" s="211"/>
      <x:c r="J4" s="211"/>
      <x:c r="K4" s="211"/>
      <x:c r="L4" s="211"/>
      <x:c r="M4" s="211"/>
      <x:c r="N4" s="211"/>
    </x:row>
    <x:row r="5" ht="28" customHeight="1">
      <x:c r="A5" s="20" t="str">
        <x:v>#</x:v>
      </x:c>
      <x:c r="B5" s="21" t="str">
        <x:v>Gestora</x:v>
      </x:c>
      <x:c r="C5" s="22" t="str">
        <x:v>PL (R$ bi)</x:v>
      </x:c>
      <x:c r="D5" s="211"/>
      <x:c r="E5" s="211"/>
      <x:c r="F5" s="211"/>
      <x:c r="G5" s="211"/>
      <x:c r="H5" s="211"/>
      <x:c r="I5" s="211"/>
      <x:c r="J5" s="211"/>
      <x:c r="K5" s="211"/>
      <x:c r="L5" s="211"/>
      <x:c r="M5" s="211"/>
      <x:c r="N5" s="211"/>
    </x:row>
    <x:row r="6">
      <x:c r="A6" s="110" t="n">
        <x:v>1</x:v>
      </x:c>
      <x:c r="B6" s="110" t="str">
        <x:v>BB Asset Management</x:v>
      </x:c>
      <x:c r="C6" s="119" t="n">
        <x:v>60.841973938879995</x:v>
      </x:c>
      <x:c r="D6" s="211"/>
      <x:c r="E6" s="211"/>
      <x:c r="F6" s="211"/>
      <x:c r="G6" s="211"/>
      <x:c r="H6" s="211"/>
      <x:c r="I6" s="211"/>
      <x:c r="J6" s="211"/>
      <x:c r="K6" s="211"/>
      <x:c r="L6" s="211"/>
      <x:c r="M6" s="211"/>
      <x:c r="N6" s="211"/>
    </x:row>
    <x:row r="7">
      <x:c r="A7" s="111" t="n">
        <x:v>2</x:v>
      </x:c>
      <x:c r="B7" s="111" t="str">
        <x:v>Banco Bradesco S/A</x:v>
      </x:c>
      <x:c r="C7" s="120" t="n">
        <x:v>8.1187534553</x:v>
      </x:c>
      <x:c r="D7" s="211"/>
      <x:c r="E7" s="211"/>
      <x:c r="F7" s="211"/>
      <x:c r="G7" s="211"/>
      <x:c r="H7" s="211"/>
      <x:c r="I7" s="211"/>
      <x:c r="J7" s="211"/>
      <x:c r="K7" s="211"/>
      <x:c r="L7" s="211"/>
      <x:c r="M7" s="211"/>
      <x:c r="N7" s="211"/>
    </x:row>
    <x:row r="8">
      <x:c r="A8" s="111" t="n">
        <x:v>3</x:v>
      </x:c>
      <x:c r="B8" s="111" t="str">
        <x:v>Integral Investimentos</x:v>
      </x:c>
      <x:c r="C8" s="120" t="n">
        <x:v>6.7699698691100005</x:v>
      </x:c>
      <x:c r="D8" s="211"/>
      <x:c r="E8" s="211"/>
      <x:c r="F8" s="211"/>
      <x:c r="G8" s="211"/>
      <x:c r="H8" s="211"/>
      <x:c r="I8" s="211"/>
      <x:c r="J8" s="211"/>
      <x:c r="K8" s="211"/>
      <x:c r="L8" s="211"/>
      <x:c r="M8" s="211"/>
      <x:c r="N8" s="211"/>
    </x:row>
    <x:row r="9">
      <x:c r="A9" s="111" t="n">
        <x:v>4</x:v>
      </x:c>
      <x:c r="B9" s="111" t="str">
        <x:v>GENIAL GESTÃO LTDA.</x:v>
      </x:c>
      <x:c r="C9" s="120" t="n">
        <x:v>6.24234528232</x:v>
      </x:c>
      <x:c r="D9" s="211"/>
      <x:c r="E9" s="211"/>
      <x:c r="F9" s="211"/>
      <x:c r="G9" s="211"/>
      <x:c r="H9" s="211"/>
      <x:c r="I9" s="211"/>
      <x:c r="J9" s="211"/>
      <x:c r="K9" s="211"/>
      <x:c r="L9" s="211"/>
      <x:c r="M9" s="211"/>
      <x:c r="N9" s="211"/>
    </x:row>
    <x:row r="10">
      <x:c r="A10" s="111" t="n">
        <x:v>5</x:v>
      </x:c>
      <x:c r="B10" s="111" t="str">
        <x:v>Petra Capital</x:v>
      </x:c>
      <x:c r="C10" s="120" t="n">
        <x:v>5.622727486940001</x:v>
      </x:c>
      <x:c r="D10" s="211"/>
      <x:c r="E10" s="211"/>
      <x:c r="F10" s="211"/>
      <x:c r="G10" s="211"/>
      <x:c r="H10" s="211"/>
      <x:c r="I10" s="211"/>
      <x:c r="J10" s="211"/>
      <x:c r="K10" s="211"/>
      <x:c r="L10" s="211"/>
      <x:c r="M10" s="211"/>
      <x:c r="N10" s="211"/>
    </x:row>
    <x:row r="11">
      <x:c r="A11" s="111" t="n">
        <x:v>6</x:v>
      </x:c>
      <x:c r="B11" s="111" t="str">
        <x:v>Catálise Investimentos</x:v>
      </x:c>
      <x:c r="C11" s="120" t="n">
        <x:v>4.60013903592</x:v>
      </x:c>
      <x:c r="D11" s="211"/>
      <x:c r="E11" s="211"/>
      <x:c r="F11" s="211"/>
      <x:c r="G11" s="211"/>
      <x:c r="H11" s="211"/>
      <x:c r="I11" s="211"/>
      <x:c r="J11" s="211"/>
      <x:c r="K11" s="211"/>
      <x:c r="L11" s="211"/>
      <x:c r="M11" s="211"/>
      <x:c r="N11" s="211"/>
    </x:row>
    <x:row r="12">
      <x:c r="A12" s="111" t="n">
        <x:v>7</x:v>
      </x:c>
      <x:c r="B12" s="111" t="str">
        <x:v>VERT Gestora de Recursos Financeiros Ltda.</x:v>
      </x:c>
      <x:c r="C12" s="120" t="n">
        <x:v>4.219084571689999</x:v>
      </x:c>
      <x:c r="D12" s="211"/>
      <x:c r="E12" s="211"/>
      <x:c r="F12" s="211"/>
      <x:c r="G12" s="211"/>
      <x:c r="H12" s="211"/>
      <x:c r="I12" s="211"/>
      <x:c r="J12" s="211"/>
      <x:c r="K12" s="211"/>
      <x:c r="L12" s="211"/>
      <x:c r="M12" s="211"/>
      <x:c r="N12" s="211"/>
    </x:row>
    <x:row r="13">
      <x:c r="A13" s="111" t="n">
        <x:v>8</x:v>
      </x:c>
      <x:c r="B13" s="111" t="str">
        <x:v>Eco Gestão de Ativos LTDA.</x:v>
      </x:c>
      <x:c r="C13" s="120" t="n">
        <x:v>4.11558158391368</x:v>
      </x:c>
      <x:c r="D13" s="211"/>
      <x:c r="E13" s="211"/>
      <x:c r="F13" s="211"/>
      <x:c r="G13" s="211"/>
      <x:c r="H13" s="211"/>
      <x:c r="I13" s="211"/>
      <x:c r="J13" s="211"/>
      <x:c r="K13" s="211"/>
      <x:c r="L13" s="211"/>
      <x:c r="M13" s="211"/>
      <x:c r="N13" s="211"/>
    </x:row>
    <x:row r="14">
      <x:c r="A14" s="111" t="n">
        <x:v>9</x:v>
      </x:c>
      <x:c r="B14" s="111" t="str">
        <x:v>Oliveira Trust Servicer</x:v>
      </x:c>
      <x:c r="C14" s="120" t="n">
        <x:v>3.6901060959</x:v>
      </x:c>
      <x:c r="D14" s="211"/>
      <x:c r="E14" s="211"/>
      <x:c r="F14" s="211"/>
      <x:c r="G14" s="211"/>
      <x:c r="H14" s="211"/>
      <x:c r="I14" s="211"/>
      <x:c r="J14" s="211"/>
      <x:c r="K14" s="211"/>
      <x:c r="L14" s="211"/>
      <x:c r="M14" s="211"/>
      <x:c r="N14" s="211"/>
    </x:row>
    <x:row r="15">
      <x:c r="A15" s="111" t="n">
        <x:v>10</x:v>
      </x:c>
      <x:c r="B15" s="111" t="str">
        <x:v>Cultinvest Asset</x:v>
      </x:c>
      <x:c r="C15" s="120" t="n">
        <x:v>2.7951284812099906</x:v>
      </x:c>
      <x:c r="D15" s="211"/>
      <x:c r="E15" s="211"/>
      <x:c r="F15" s="211"/>
      <x:c r="G15" s="211"/>
      <x:c r="H15" s="211"/>
      <x:c r="I15" s="211"/>
      <x:c r="J15" s="211"/>
      <x:c r="K15" s="211"/>
      <x:c r="L15" s="211"/>
      <x:c r="M15" s="211"/>
      <x:c r="N15" s="211"/>
    </x:row>
    <x:row r="16">
      <x:c r="A16" s="111" t="n">
        <x:v>11</x:v>
      </x:c>
      <x:c r="B16" s="111" t="str">
        <x:v>H2 CAPITAL</x:v>
      </x:c>
      <x:c r="C16" s="120" t="n">
        <x:v>2.3623459596300003</x:v>
      </x:c>
      <x:c r="D16" s="211"/>
      <x:c r="E16" s="211"/>
      <x:c r="F16" s="211"/>
      <x:c r="G16" s="211"/>
      <x:c r="H16" s="211"/>
      <x:c r="I16" s="211"/>
      <x:c r="J16" s="211"/>
      <x:c r="K16" s="211"/>
      <x:c r="L16" s="211"/>
      <x:c r="M16" s="211"/>
      <x:c r="N16" s="211"/>
    </x:row>
    <x:row r="17">
      <x:c r="A17" s="111" t="n">
        <x:v>12</x:v>
      </x:c>
      <x:c r="B17" s="111" t="str">
        <x:v>Itau Unibanco</x:v>
      </x:c>
      <x:c r="C17" s="120" t="n">
        <x:v>1.9796573616700002</x:v>
      </x:c>
      <x:c r="D17" s="211"/>
      <x:c r="E17" s="211"/>
      <x:c r="F17" s="211"/>
      <x:c r="G17" s="211"/>
      <x:c r="H17" s="211"/>
      <x:c r="I17" s="211"/>
      <x:c r="J17" s="211"/>
      <x:c r="K17" s="211"/>
      <x:c r="L17" s="211"/>
      <x:c r="M17" s="211"/>
      <x:c r="N17" s="211"/>
    </x:row>
    <x:row r="18">
      <x:c r="A18" s="111" t="n">
        <x:v>13</x:v>
      </x:c>
      <x:c r="B18" s="111" t="str">
        <x:v>CARMEL GESTORA DE ATIVOS LTDA</x:v>
      </x:c>
      <x:c r="C18" s="120" t="n">
        <x:v>1.83961196747</x:v>
      </x:c>
      <x:c r="D18" s="211"/>
      <x:c r="E18" s="211"/>
      <x:c r="F18" s="211"/>
      <x:c r="G18" s="211"/>
      <x:c r="H18" s="211"/>
      <x:c r="I18" s="211"/>
      <x:c r="J18" s="211"/>
      <x:c r="K18" s="211"/>
      <x:c r="L18" s="211"/>
      <x:c r="M18" s="211"/>
      <x:c r="N18" s="211"/>
    </x:row>
    <x:row r="19">
      <x:c r="A19" s="111" t="n">
        <x:v>14</x:v>
      </x:c>
      <x:c r="B19" s="111" t="str">
        <x:v>Intrabank Asset</x:v>
      </x:c>
      <x:c r="C19" s="120" t="n">
        <x:v>1.83435586984</x:v>
      </x:c>
      <x:c r="D19" s="211"/>
      <x:c r="E19" s="211"/>
      <x:c r="F19" s="211"/>
      <x:c r="G19" s="211"/>
      <x:c r="H19" s="211"/>
      <x:c r="I19" s="211"/>
      <x:c r="J19" s="211"/>
      <x:c r="K19" s="211"/>
      <x:c r="L19" s="211"/>
      <x:c r="M19" s="211"/>
      <x:c r="N19" s="211"/>
    </x:row>
    <x:row r="20">
      <x:c r="A20" s="112" t="n">
        <x:v>15</x:v>
      </x:c>
      <x:c r="B20" s="112" t="str">
        <x:v>Artesanal Agro</x:v>
      </x:c>
      <x:c r="C20" s="124" t="n">
        <x:v>1.7174524034599996</x:v>
      </x:c>
      <x:c r="D20" s="211"/>
      <x:c r="E20" s="211"/>
      <x:c r="F20" s="211"/>
      <x:c r="G20" s="211"/>
      <x:c r="H20" s="211"/>
      <x:c r="I20" s="211"/>
      <x:c r="J20" s="211"/>
      <x:c r="K20" s="211"/>
      <x:c r="L20" s="211"/>
      <x:c r="M20" s="211"/>
      <x:c r="N20" s="211"/>
    </x:row>
    <x:row r="21">
      <x:c r="A21" s="211"/>
      <x:c r="B21" s="211"/>
      <x:c r="C21" s="211"/>
      <x:c r="D21" s="211"/>
      <x:c r="E21" s="211"/>
      <x:c r="F21" s="211"/>
      <x:c r="G21" s="211"/>
      <x:c r="H21" s="211"/>
      <x:c r="I21" s="211"/>
      <x:c r="J21" s="211"/>
      <x:c r="K21" s="211"/>
      <x:c r="L21" s="211"/>
      <x:c r="M21" s="211"/>
      <x:c r="N21" s="211"/>
    </x:row>
    <x:row r="22">
      <x:c r="A22" s="211"/>
      <x:c r="B22" s="211"/>
      <x:c r="C22" s="211"/>
      <x:c r="D22" s="211"/>
      <x:c r="E22" s="211"/>
      <x:c r="F22" s="211"/>
      <x:c r="G22" s="211"/>
      <x:c r="H22" s="211"/>
      <x:c r="I22" s="211"/>
      <x:c r="J22" s="211"/>
      <x:c r="K22" s="211"/>
      <x:c r="L22" s="211"/>
      <x:c r="M22" s="211"/>
      <x:c r="N22" s="211"/>
    </x:row>
    <x:row r="23">
      <x:c r="A23" s="211"/>
      <x:c r="B23" s="211"/>
      <x:c r="C23" s="211"/>
      <x:c r="D23" s="211"/>
      <x:c r="E23" s="211"/>
      <x:c r="F23" s="211"/>
      <x:c r="G23" s="211"/>
      <x:c r="H23" s="211"/>
      <x:c r="I23" s="211"/>
      <x:c r="J23" s="211"/>
      <x:c r="K23" s="211"/>
      <x:c r="L23" s="211"/>
      <x:c r="M23" s="211"/>
      <x:c r="N23" s="211"/>
    </x:row>
    <x:row r="24">
      <x:c r="A24" s="211"/>
      <x:c r="B24" s="211"/>
      <x:c r="C24" s="211"/>
      <x:c r="D24" s="211"/>
      <x:c r="E24" s="211"/>
      <x:c r="F24" s="211"/>
      <x:c r="G24" s="211"/>
      <x:c r="H24" s="211"/>
      <x:c r="I24" s="211"/>
      <x:c r="J24" s="211"/>
      <x:c r="K24" s="211"/>
      <x:c r="L24" s="211"/>
      <x:c r="M24" s="211"/>
      <x:c r="N24" s="211"/>
    </x:row>
    <x:row r="25" ht="23" customHeight="1">
      <x:c r="A25" s="49" t="str">
        <x:v>Financeiro</x:v>
      </x:c>
      <x:c r="B25" s="49" t="str">
        <x:v>Financeiro</x:v>
      </x:c>
      <x:c r="C25" s="49" t="str">
        <x:v>Financeiro</x:v>
      </x:c>
      <x:c r="D25" s="49" t="str">
        <x:v>Financeiro</x:v>
      </x:c>
      <x:c r="E25" s="49" t="str">
        <x:v>Financeiro</x:v>
      </x:c>
      <x:c r="F25" s="49" t="str">
        <x:v>Financeiro</x:v>
      </x:c>
      <x:c r="G25" s="211"/>
      <x:c r="H25" s="211"/>
      <x:c r="I25" s="211"/>
      <x:c r="J25" s="211"/>
      <x:c r="K25" s="211"/>
      <x:c r="L25" s="211"/>
      <x:c r="M25" s="211"/>
      <x:c r="N25" s="211"/>
    </x:row>
    <x:row r="26" ht="28" customHeight="1">
      <x:c r="A26" s="20" t="str">
        <x:v>#</x:v>
      </x:c>
      <x:c r="B26" s="21" t="str">
        <x:v>Gestora</x:v>
      </x:c>
      <x:c r="C26" s="22" t="str">
        <x:v>PL (R$ bi)</x:v>
      </x:c>
      <x:c r="D26" s="211"/>
      <x:c r="E26" s="211"/>
      <x:c r="F26" s="211"/>
      <x:c r="G26" s="211"/>
      <x:c r="H26" s="211"/>
      <x:c r="I26" s="211"/>
      <x:c r="J26" s="211"/>
      <x:c r="K26" s="211"/>
      <x:c r="L26" s="211"/>
      <x:c r="M26" s="211"/>
      <x:c r="N26" s="211"/>
    </x:row>
    <x:row r="27">
      <x:c r="A27" s="110" t="n">
        <x:v>1</x:v>
      </x:c>
      <x:c r="B27" s="110" t="str">
        <x:v>Oliveira Trust Servicer</x:v>
      </x:c>
      <x:c r="C27" s="119" t="n">
        <x:v>67.00997399216</x:v>
      </x:c>
      <x:c r="D27" s="211"/>
      <x:c r="E27" s="211"/>
      <x:c r="F27" s="211"/>
      <x:c r="G27" s="211"/>
      <x:c r="H27" s="211"/>
      <x:c r="I27" s="211"/>
      <x:c r="J27" s="211"/>
      <x:c r="K27" s="211"/>
      <x:c r="L27" s="211"/>
      <x:c r="M27" s="211"/>
      <x:c r="N27" s="211"/>
    </x:row>
    <x:row r="28">
      <x:c r="A28" s="111" t="n">
        <x:v>2</x:v>
      </x:c>
      <x:c r="B28" s="111" t="str">
        <x:v>BTG Pactual Asset</x:v>
      </x:c>
      <x:c r="C28" s="120" t="n">
        <x:v>21.476655042890002</x:v>
      </x:c>
      <x:c r="D28" s="211"/>
      <x:c r="E28" s="211"/>
      <x:c r="F28" s="211"/>
      <x:c r="G28" s="211"/>
      <x:c r="H28" s="211"/>
      <x:c r="I28" s="211"/>
      <x:c r="J28" s="211"/>
      <x:c r="K28" s="211"/>
      <x:c r="L28" s="211"/>
      <x:c r="M28" s="211"/>
      <x:c r="N28" s="211"/>
    </x:row>
    <x:row r="29">
      <x:c r="A29" s="111" t="n">
        <x:v>3</x:v>
      </x:c>
      <x:c r="B29" s="111" t="str">
        <x:v>Banco Bradesco S/A</x:v>
      </x:c>
      <x:c r="C29" s="120" t="n">
        <x:v>15.97869423601</x:v>
      </x:c>
      <x:c r="D29" s="211"/>
      <x:c r="E29" s="211"/>
      <x:c r="F29" s="211"/>
      <x:c r="G29" s="211"/>
      <x:c r="H29" s="211"/>
      <x:c r="I29" s="211"/>
      <x:c r="J29" s="211"/>
      <x:c r="K29" s="211"/>
      <x:c r="L29" s="211"/>
      <x:c r="M29" s="211"/>
      <x:c r="N29" s="211"/>
    </x:row>
    <x:row r="30">
      <x:c r="A30" s="111" t="n">
        <x:v>4</x:v>
      </x:c>
      <x:c r="B30" s="111" t="str">
        <x:v>Banco BTG Pactual</x:v>
      </x:c>
      <x:c r="C30" s="120" t="n">
        <x:v>13.84932205142</x:v>
      </x:c>
      <x:c r="D30" s="211"/>
      <x:c r="E30" s="211"/>
      <x:c r="F30" s="211"/>
      <x:c r="G30" s="211"/>
      <x:c r="H30" s="211"/>
      <x:c r="I30" s="211"/>
      <x:c r="J30" s="211"/>
      <x:c r="K30" s="211"/>
      <x:c r="L30" s="211"/>
      <x:c r="M30" s="211"/>
      <x:c r="N30" s="211"/>
    </x:row>
    <x:row r="31">
      <x:c r="A31" s="111" t="n">
        <x:v>5</x:v>
      </x:c>
      <x:c r="B31" s="111" t="str">
        <x:v>GENIAL GESTÃO LTDA.</x:v>
      </x:c>
      <x:c r="C31" s="120" t="n">
        <x:v>13.518139233468908</x:v>
      </x:c>
      <x:c r="D31" s="211"/>
      <x:c r="E31" s="211"/>
      <x:c r="F31" s="211"/>
      <x:c r="G31" s="211"/>
      <x:c r="H31" s="211"/>
      <x:c r="I31" s="211"/>
      <x:c r="J31" s="211"/>
      <x:c r="K31" s="211"/>
      <x:c r="L31" s="211"/>
      <x:c r="M31" s="211"/>
      <x:c r="N31" s="211"/>
    </x:row>
    <x:row r="32">
      <x:c r="A32" s="111" t="n">
        <x:v>6</x:v>
      </x:c>
      <x:c r="B32" s="111" t="str">
        <x:v>ANGÁ ASSET MANAGEMENT</x:v>
      </x:c>
      <x:c r="C32" s="120" t="n">
        <x:v>8.55717404489</x:v>
      </x:c>
      <x:c r="D32" s="211"/>
      <x:c r="E32" s="211"/>
      <x:c r="F32" s="211"/>
      <x:c r="G32" s="211"/>
      <x:c r="H32" s="211"/>
      <x:c r="I32" s="211"/>
      <x:c r="J32" s="211"/>
      <x:c r="K32" s="211"/>
      <x:c r="L32" s="211"/>
      <x:c r="M32" s="211"/>
      <x:c r="N32" s="211"/>
    </x:row>
    <x:row r="33">
      <x:c r="A33" s="111" t="n">
        <x:v>7</x:v>
      </x:c>
      <x:c r="B33" s="111" t="str">
        <x:v>VERT Gestora de Recursos Financeiros Ltda.</x:v>
      </x:c>
      <x:c r="C33" s="120" t="n">
        <x:v>7.632020139190889</x:v>
      </x:c>
      <x:c r="D33" s="211"/>
      <x:c r="E33" s="211"/>
      <x:c r="F33" s="211"/>
      <x:c r="G33" s="211"/>
      <x:c r="H33" s="211"/>
      <x:c r="I33" s="211"/>
      <x:c r="J33" s="211"/>
      <x:c r="K33" s="211"/>
      <x:c r="L33" s="211"/>
      <x:c r="M33" s="211"/>
      <x:c r="N33" s="211"/>
    </x:row>
    <x:row r="34">
      <x:c r="A34" s="111" t="n">
        <x:v>8</x:v>
      </x:c>
      <x:c r="B34" s="111" t="str">
        <x:v>Integral Investimentos</x:v>
      </x:c>
      <x:c r="C34" s="120" t="n">
        <x:v>5.59374260171086</x:v>
      </x:c>
      <x:c r="D34" s="211"/>
      <x:c r="E34" s="211"/>
      <x:c r="F34" s="211"/>
      <x:c r="G34" s="211"/>
      <x:c r="H34" s="211"/>
      <x:c r="I34" s="211"/>
      <x:c r="J34" s="211"/>
      <x:c r="K34" s="211"/>
      <x:c r="L34" s="211"/>
      <x:c r="M34" s="211"/>
      <x:c r="N34" s="211"/>
    </x:row>
    <x:row r="35">
      <x:c r="A35" s="111" t="n">
        <x:v>9</x:v>
      </x:c>
      <x:c r="B35" s="111" t="str">
        <x:v>POLÍGONO CAPITAL LTDA.</x:v>
      </x:c>
      <x:c r="C35" s="120" t="n">
        <x:v>4.52078609656</x:v>
      </x:c>
      <x:c r="D35" s="211"/>
      <x:c r="E35" s="211"/>
      <x:c r="F35" s="211"/>
      <x:c r="G35" s="211"/>
      <x:c r="H35" s="211"/>
      <x:c r="I35" s="211"/>
      <x:c r="J35" s="211"/>
      <x:c r="K35" s="211"/>
      <x:c r="L35" s="211"/>
      <x:c r="M35" s="211"/>
      <x:c r="N35" s="211"/>
    </x:row>
    <x:row r="36">
      <x:c r="A36" s="111" t="n">
        <x:v>10</x:v>
      </x:c>
      <x:c r="B36" s="111" t="str">
        <x:v>VALORA RENDA FIXA ESTRUTURADOS LTDA.</x:v>
      </x:c>
      <x:c r="C36" s="120" t="n">
        <x:v>3.9407615463353305</x:v>
      </x:c>
      <x:c r="D36" s="211"/>
      <x:c r="E36" s="211"/>
      <x:c r="F36" s="211"/>
      <x:c r="G36" s="211"/>
      <x:c r="H36" s="211"/>
      <x:c r="I36" s="211"/>
      <x:c r="J36" s="211"/>
      <x:c r="K36" s="211"/>
      <x:c r="L36" s="211"/>
      <x:c r="M36" s="211"/>
      <x:c r="N36" s="211"/>
    </x:row>
    <x:row r="37">
      <x:c r="A37" s="111" t="n">
        <x:v>11</x:v>
      </x:c>
      <x:c r="B37" s="111" t="str">
        <x:v>Solis</x:v>
      </x:c>
      <x:c r="C37" s="120" t="n">
        <x:v>3.9354133390999992</x:v>
      </x:c>
      <x:c r="D37" s="211"/>
      <x:c r="E37" s="211"/>
      <x:c r="F37" s="211"/>
      <x:c r="G37" s="211"/>
      <x:c r="H37" s="211"/>
      <x:c r="I37" s="211"/>
      <x:c r="J37" s="211"/>
      <x:c r="K37" s="211"/>
      <x:c r="L37" s="211"/>
      <x:c r="M37" s="211"/>
      <x:c r="N37" s="211"/>
    </x:row>
    <x:row r="38">
      <x:c r="A38" s="111" t="n">
        <x:v>12</x:v>
      </x:c>
      <x:c r="B38" s="111" t="str">
        <x:v>Guardian Crédito</x:v>
      </x:c>
      <x:c r="C38" s="120" t="n">
        <x:v>2.9637705957300007</x:v>
      </x:c>
      <x:c r="D38" s="211"/>
      <x:c r="E38" s="211"/>
      <x:c r="F38" s="211"/>
      <x:c r="G38" s="211"/>
      <x:c r="H38" s="211"/>
      <x:c r="I38" s="211"/>
      <x:c r="J38" s="211"/>
      <x:c r="K38" s="211"/>
      <x:c r="L38" s="211"/>
      <x:c r="M38" s="211"/>
      <x:c r="N38" s="211"/>
    </x:row>
    <x:row r="39">
      <x:c r="A39" s="111" t="n">
        <x:v>13</x:v>
      </x:c>
      <x:c r="B39" s="111" t="str">
        <x:v>Riza Securitização e Carteiras</x:v>
      </x:c>
      <x:c r="C39" s="120" t="n">
        <x:v>2.8473331233911297</x:v>
      </x:c>
      <x:c r="D39" s="211"/>
      <x:c r="E39" s="211"/>
      <x:c r="F39" s="211"/>
      <x:c r="G39" s="211"/>
      <x:c r="H39" s="211"/>
      <x:c r="I39" s="211"/>
      <x:c r="J39" s="211"/>
      <x:c r="K39" s="211"/>
      <x:c r="L39" s="211"/>
      <x:c r="M39" s="211"/>
      <x:c r="N39" s="211"/>
    </x:row>
    <x:row r="40">
      <x:c r="A40" s="111" t="n">
        <x:v>14</x:v>
      </x:c>
      <x:c r="B40" s="111" t="str">
        <x:v>BRL Trust Investimentos LTDA.</x:v>
      </x:c>
      <x:c r="C40" s="120" t="n">
        <x:v>2.5321013927200005</x:v>
      </x:c>
      <x:c r="D40" s="211"/>
      <x:c r="E40" s="211"/>
      <x:c r="F40" s="211"/>
      <x:c r="G40" s="211"/>
      <x:c r="H40" s="211"/>
      <x:c r="I40" s="211"/>
      <x:c r="J40" s="211"/>
      <x:c r="K40" s="211"/>
      <x:c r="L40" s="211"/>
      <x:c r="M40" s="211"/>
      <x:c r="N40" s="211"/>
    </x:row>
    <x:row r="41">
      <x:c r="A41" s="112" t="n">
        <x:v>15</x:v>
      </x:c>
      <x:c r="B41" s="112" t="str">
        <x:v>Phronesis Invest.</x:v>
      </x:c>
      <x:c r="C41" s="124" t="n">
        <x:v>2.45072777021</x:v>
      </x:c>
      <x:c r="D41" s="211"/>
      <x:c r="E41" s="211"/>
      <x:c r="F41" s="211"/>
      <x:c r="G41" s="211"/>
      <x:c r="H41" s="211"/>
      <x:c r="I41" s="211"/>
      <x:c r="J41" s="211"/>
      <x:c r="K41" s="211"/>
      <x:c r="L41" s="211"/>
      <x:c r="M41" s="211"/>
      <x:c r="N41" s="211"/>
    </x:row>
    <x:row r="42">
      <x:c r="A42" s="211"/>
      <x:c r="B42" s="211"/>
      <x:c r="C42" s="211"/>
      <x:c r="D42" s="211"/>
      <x:c r="E42" s="211"/>
      <x:c r="F42" s="211"/>
      <x:c r="G42" s="211"/>
      <x:c r="H42" s="211"/>
      <x:c r="I42" s="211"/>
      <x:c r="J42" s="211"/>
      <x:c r="K42" s="211"/>
      <x:c r="L42" s="211"/>
      <x:c r="M42" s="211"/>
      <x:c r="N42" s="211"/>
    </x:row>
    <x:row r="43">
      <x:c r="A43" s="211"/>
      <x:c r="B43" s="211"/>
      <x:c r="C43" s="211"/>
      <x:c r="D43" s="211"/>
      <x:c r="E43" s="211"/>
      <x:c r="F43" s="211"/>
      <x:c r="G43" s="211"/>
      <x:c r="H43" s="211"/>
      <x:c r="I43" s="211"/>
      <x:c r="J43" s="211"/>
      <x:c r="K43" s="211"/>
      <x:c r="L43" s="211"/>
      <x:c r="M43" s="211"/>
      <x:c r="N43" s="211"/>
    </x:row>
    <x:row r="44">
      <x:c r="A44" s="211"/>
      <x:c r="B44" s="211"/>
      <x:c r="C44" s="211"/>
      <x:c r="D44" s="211"/>
      <x:c r="E44" s="211"/>
      <x:c r="F44" s="211"/>
      <x:c r="G44" s="211"/>
      <x:c r="H44" s="211"/>
      <x:c r="I44" s="211"/>
      <x:c r="J44" s="211"/>
      <x:c r="K44" s="211"/>
      <x:c r="L44" s="211"/>
      <x:c r="M44" s="211"/>
      <x:c r="N44" s="211"/>
    </x:row>
    <x:row r="45">
      <x:c r="A45" s="211"/>
      <x:c r="B45" s="211"/>
      <x:c r="C45" s="211"/>
      <x:c r="D45" s="211"/>
      <x:c r="E45" s="211"/>
      <x:c r="F45" s="211"/>
      <x:c r="G45" s="211"/>
      <x:c r="H45" s="211"/>
      <x:c r="I45" s="211"/>
      <x:c r="J45" s="211"/>
      <x:c r="K45" s="211"/>
      <x:c r="L45" s="211"/>
      <x:c r="M45" s="211"/>
      <x:c r="N45" s="211"/>
    </x:row>
    <x:row r="46" ht="23" customHeight="1">
      <x:c r="A46" s="157" t="str">
        <x:v>Fomento Mercantil</x:v>
      </x:c>
      <x:c r="B46" s="157" t="str">
        <x:v>Fomento Mercantil</x:v>
      </x:c>
      <x:c r="C46" s="157" t="str">
        <x:v>Fomento Mercantil</x:v>
      </x:c>
      <x:c r="D46" s="157" t="str">
        <x:v>Fomento Mercantil</x:v>
      </x:c>
      <x:c r="E46" s="157" t="str">
        <x:v>Fomento Mercantil</x:v>
      </x:c>
      <x:c r="F46" s="157" t="str">
        <x:v>Fomento Mercantil</x:v>
      </x:c>
      <x:c r="G46" s="211"/>
      <x:c r="H46" s="211"/>
      <x:c r="I46" s="211"/>
      <x:c r="J46" s="211"/>
      <x:c r="K46" s="211"/>
      <x:c r="L46" s="211"/>
      <x:c r="M46" s="211"/>
      <x:c r="N46" s="211"/>
    </x:row>
    <x:row r="47" ht="28" customHeight="1">
      <x:c r="A47" s="20" t="str">
        <x:v>#</x:v>
      </x:c>
      <x:c r="B47" s="21" t="str">
        <x:v>Gestora</x:v>
      </x:c>
      <x:c r="C47" s="22" t="str">
        <x:v>PL (R$ bi)</x:v>
      </x:c>
      <x:c r="D47" s="211"/>
      <x:c r="E47" s="211"/>
      <x:c r="F47" s="211"/>
      <x:c r="G47" s="211"/>
      <x:c r="H47" s="211"/>
      <x:c r="I47" s="211"/>
      <x:c r="J47" s="211"/>
      <x:c r="K47" s="211"/>
      <x:c r="L47" s="211"/>
      <x:c r="M47" s="211"/>
      <x:c r="N47" s="211"/>
    </x:row>
    <x:row r="48">
      <x:c r="A48" s="110" t="n">
        <x:v>1</x:v>
      </x:c>
      <x:c r="B48" s="110" t="str">
        <x:v>TERCON ASSET MANAGEMENT</x:v>
      </x:c>
      <x:c r="C48" s="119" t="n">
        <x:v>20.391702176337205</x:v>
      </x:c>
      <x:c r="D48" s="211"/>
      <x:c r="E48" s="211"/>
      <x:c r="F48" s="211"/>
      <x:c r="G48" s="211"/>
      <x:c r="H48" s="211"/>
      <x:c r="I48" s="211"/>
      <x:c r="J48" s="211"/>
      <x:c r="K48" s="211"/>
      <x:c r="L48" s="211"/>
      <x:c r="M48" s="211"/>
      <x:c r="N48" s="211"/>
    </x:row>
    <x:row r="49">
      <x:c r="A49" s="111" t="n">
        <x:v>2</x:v>
      </x:c>
      <x:c r="B49" s="111" t="str">
        <x:v>OURO PRETO INVESTIMENTOS</x:v>
      </x:c>
      <x:c r="C49" s="120" t="n">
        <x:v>6.369393399505</x:v>
      </x:c>
      <x:c r="D49" s="211"/>
      <x:c r="E49" s="211"/>
      <x:c r="F49" s="211"/>
      <x:c r="G49" s="211"/>
      <x:c r="H49" s="211"/>
      <x:c r="I49" s="211"/>
      <x:c r="J49" s="211"/>
      <x:c r="K49" s="211"/>
      <x:c r="L49" s="211"/>
      <x:c r="M49" s="211"/>
      <x:c r="N49" s="211"/>
    </x:row>
    <x:row r="50">
      <x:c r="A50" s="111" t="n">
        <x:v>3</x:v>
      </x:c>
      <x:c r="B50" s="111" t="str">
        <x:v>Multiplica Capital</x:v>
      </x:c>
      <x:c r="C50" s="120" t="n">
        <x:v>6.146327897228272</x:v>
      </x:c>
      <x:c r="D50" s="211"/>
      <x:c r="E50" s="211"/>
      <x:c r="F50" s="211"/>
      <x:c r="G50" s="211"/>
      <x:c r="H50" s="211"/>
      <x:c r="I50" s="211"/>
      <x:c r="J50" s="211"/>
      <x:c r="K50" s="211"/>
      <x:c r="L50" s="211"/>
      <x:c r="M50" s="211"/>
      <x:c r="N50" s="211"/>
    </x:row>
    <x:row r="51">
      <x:c r="A51" s="111" t="n">
        <x:v>4</x:v>
      </x:c>
      <x:c r="B51" s="111" t="str">
        <x:v>M8 Partners</x:v>
      </x:c>
      <x:c r="C51" s="120" t="n">
        <x:v>5.45170826578975</x:v>
      </x:c>
      <x:c r="D51" s="211"/>
      <x:c r="E51" s="211"/>
      <x:c r="F51" s="211"/>
      <x:c r="G51" s="211"/>
      <x:c r="H51" s="211"/>
      <x:c r="I51" s="211"/>
      <x:c r="J51" s="211"/>
      <x:c r="K51" s="211"/>
      <x:c r="L51" s="211"/>
      <x:c r="M51" s="211"/>
      <x:c r="N51" s="211"/>
    </x:row>
    <x:row r="52">
      <x:c r="A52" s="111" t="n">
        <x:v>5</x:v>
      </x:c>
      <x:c r="B52" s="111" t="str">
        <x:v>QI GESTAO DE RECURSOS LTDA</x:v>
      </x:c>
      <x:c r="C52" s="120" t="n">
        <x:v>3.7224453526300003</x:v>
      </x:c>
      <x:c r="D52" s="211"/>
      <x:c r="E52" s="211"/>
      <x:c r="F52" s="211"/>
      <x:c r="G52" s="211"/>
      <x:c r="H52" s="211"/>
      <x:c r="I52" s="211"/>
      <x:c r="J52" s="211"/>
      <x:c r="K52" s="211"/>
      <x:c r="L52" s="211"/>
      <x:c r="M52" s="211"/>
      <x:c r="N52" s="211"/>
    </x:row>
    <x:row r="53">
      <x:c r="A53" s="111" t="n">
        <x:v>6</x:v>
      </x:c>
      <x:c r="B53" s="111" t="str">
        <x:v>ORRAM GESTÃO DE RECURSOS LTDA.</x:v>
      </x:c>
      <x:c r="C53" s="120" t="n">
        <x:v>3.46430095256</x:v>
      </x:c>
      <x:c r="D53" s="211"/>
      <x:c r="E53" s="211"/>
      <x:c r="F53" s="211"/>
      <x:c r="G53" s="211"/>
      <x:c r="H53" s="211"/>
      <x:c r="I53" s="211"/>
      <x:c r="J53" s="211"/>
      <x:c r="K53" s="211"/>
      <x:c r="L53" s="211"/>
      <x:c r="M53" s="211"/>
      <x:c r="N53" s="211"/>
    </x:row>
    <x:row r="54">
      <x:c r="A54" s="111" t="n">
        <x:v>7</x:v>
      </x:c>
      <x:c r="B54" s="111" t="str">
        <x:v>Multiplike Gestão de Recursos Ltda</x:v>
      </x:c>
      <x:c r="C54" s="120" t="n">
        <x:v>3.3011051028700003</x:v>
      </x:c>
      <x:c r="D54" s="211"/>
      <x:c r="E54" s="211"/>
      <x:c r="F54" s="211"/>
      <x:c r="G54" s="211"/>
      <x:c r="H54" s="211"/>
      <x:c r="I54" s="211"/>
      <x:c r="J54" s="211"/>
      <x:c r="K54" s="211"/>
      <x:c r="L54" s="211"/>
      <x:c r="M54" s="211"/>
      <x:c r="N54" s="211"/>
    </x:row>
    <x:row r="55">
      <x:c r="A55" s="111" t="n">
        <x:v>8</x:v>
      </x:c>
      <x:c r="B55" s="111" t="str">
        <x:v>SMART AGRO INVESTIMENTOS LTDA.</x:v>
      </x:c>
      <x:c r="C55" s="120" t="n">
        <x:v>2.68210774074</x:v>
      </x:c>
      <x:c r="D55" s="211"/>
      <x:c r="E55" s="211"/>
      <x:c r="F55" s="211"/>
      <x:c r="G55" s="211"/>
      <x:c r="H55" s="211"/>
      <x:c r="I55" s="211"/>
      <x:c r="J55" s="211"/>
      <x:c r="K55" s="211"/>
      <x:c r="L55" s="211"/>
      <x:c r="M55" s="211"/>
      <x:c r="N55" s="211"/>
    </x:row>
    <x:row r="56">
      <x:c r="A56" s="111" t="n">
        <x:v>9</x:v>
      </x:c>
      <x:c r="B56" s="111" t="str">
        <x:v>Solis</x:v>
      </x:c>
      <x:c r="C56" s="120" t="n">
        <x:v>2.6813023628200003</x:v>
      </x:c>
      <x:c r="D56" s="211"/>
      <x:c r="E56" s="211"/>
      <x:c r="F56" s="211"/>
      <x:c r="G56" s="211"/>
      <x:c r="H56" s="211"/>
      <x:c r="I56" s="211"/>
      <x:c r="J56" s="211"/>
      <x:c r="K56" s="211"/>
      <x:c r="L56" s="211"/>
      <x:c r="M56" s="211"/>
      <x:c r="N56" s="211"/>
    </x:row>
    <x:row r="57">
      <x:c r="A57" s="111" t="n">
        <x:v>10</x:v>
      </x:c>
      <x:c r="B57" s="111" t="str">
        <x:v>EUV CAPITAL</x:v>
      </x:c>
      <x:c r="C57" s="120" t="n">
        <x:v>2.1591399992799998</x:v>
      </x:c>
      <x:c r="D57" s="211"/>
      <x:c r="E57" s="211"/>
      <x:c r="F57" s="211"/>
      <x:c r="G57" s="211"/>
      <x:c r="H57" s="211"/>
      <x:c r="I57" s="211"/>
      <x:c r="J57" s="211"/>
      <x:c r="K57" s="211"/>
      <x:c r="L57" s="211"/>
      <x:c r="M57" s="211"/>
      <x:c r="N57" s="211"/>
    </x:row>
    <x:row r="58">
      <x:c r="A58" s="111" t="n">
        <x:v>11</x:v>
      </x:c>
      <x:c r="B58" s="111" t="str">
        <x:v>Banco Bradesco S/A</x:v>
      </x:c>
      <x:c r="C58" s="120" t="n">
        <x:v>1.92300870515</x:v>
      </x:c>
      <x:c r="D58" s="211"/>
      <x:c r="E58" s="211"/>
      <x:c r="F58" s="211"/>
      <x:c r="G58" s="211"/>
      <x:c r="H58" s="211"/>
      <x:c r="I58" s="211"/>
      <x:c r="J58" s="211"/>
      <x:c r="K58" s="211"/>
      <x:c r="L58" s="211"/>
      <x:c r="M58" s="211"/>
      <x:c r="N58" s="211"/>
    </x:row>
    <x:row r="59">
      <x:c r="A59" s="111" t="n">
        <x:v>12</x:v>
      </x:c>
      <x:c r="B59" s="111" t="str">
        <x:v>Invista Asset</x:v>
      </x:c>
      <x:c r="C59" s="120" t="n">
        <x:v>1.86049936149</x:v>
      </x:c>
      <x:c r="D59" s="211"/>
      <x:c r="E59" s="211"/>
      <x:c r="F59" s="211"/>
      <x:c r="G59" s="211"/>
      <x:c r="H59" s="211"/>
      <x:c r="I59" s="211"/>
      <x:c r="J59" s="211"/>
      <x:c r="K59" s="211"/>
      <x:c r="L59" s="211"/>
      <x:c r="M59" s="211"/>
      <x:c r="N59" s="211"/>
    </x:row>
    <x:row r="60">
      <x:c r="A60" s="111" t="n">
        <x:v>13</x:v>
      </x:c>
      <x:c r="B60" s="111" t="str">
        <x:v>ARTESANAL MCMS</x:v>
      </x:c>
      <x:c r="C60" s="120" t="n">
        <x:v>1.80421803917545</x:v>
      </x:c>
      <x:c r="D60" s="211"/>
      <x:c r="E60" s="211"/>
      <x:c r="F60" s="211"/>
      <x:c r="G60" s="211"/>
      <x:c r="H60" s="211"/>
      <x:c r="I60" s="211"/>
      <x:c r="J60" s="211"/>
      <x:c r="K60" s="211"/>
      <x:c r="L60" s="211"/>
      <x:c r="M60" s="211"/>
      <x:c r="N60" s="211"/>
    </x:row>
    <x:row r="61">
      <x:c r="A61" s="111" t="n">
        <x:v>14</x:v>
      </x:c>
      <x:c r="B61" s="111" t="str">
        <x:v>Emerald Gestão de Investimento</x:v>
      </x:c>
      <x:c r="C61" s="120" t="n">
        <x:v>1.6564230533900002</x:v>
      </x:c>
      <x:c r="D61" s="211"/>
      <x:c r="E61" s="211"/>
      <x:c r="F61" s="211"/>
      <x:c r="G61" s="211"/>
      <x:c r="H61" s="211"/>
      <x:c r="I61" s="211"/>
      <x:c r="J61" s="211"/>
      <x:c r="K61" s="211"/>
      <x:c r="L61" s="211"/>
      <x:c r="M61" s="211"/>
      <x:c r="N61" s="211"/>
    </x:row>
    <x:row r="62">
      <x:c r="A62" s="112" t="n">
        <x:v>15</x:v>
      </x:c>
      <x:c r="B62" s="112" t="str">
        <x:v>Petra Capital</x:v>
      </x:c>
      <x:c r="C62" s="124" t="n">
        <x:v>1.50389886494</x:v>
      </x:c>
      <x:c r="D62" s="211"/>
      <x:c r="E62" s="211"/>
      <x:c r="F62" s="211"/>
      <x:c r="G62" s="211"/>
      <x:c r="H62" s="211"/>
      <x:c r="I62" s="211"/>
      <x:c r="J62" s="211"/>
      <x:c r="K62" s="211"/>
      <x:c r="L62" s="211"/>
      <x:c r="M62" s="211"/>
      <x:c r="N62" s="211"/>
    </x:row>
    <x:row r="63">
      <x:c r="A63" s="211"/>
      <x:c r="B63" s="211"/>
      <x:c r="C63" s="211"/>
      <x:c r="D63" s="211"/>
      <x:c r="E63" s="211"/>
      <x:c r="F63" s="211"/>
      <x:c r="G63" s="211"/>
      <x:c r="H63" s="211"/>
      <x:c r="I63" s="211"/>
      <x:c r="J63" s="211"/>
      <x:c r="K63" s="211"/>
      <x:c r="L63" s="211"/>
      <x:c r="M63" s="211"/>
      <x:c r="N63" s="211"/>
    </x:row>
    <x:row r="64">
      <x:c r="A64" s="211"/>
      <x:c r="B64" s="211"/>
      <x:c r="C64" s="211"/>
      <x:c r="D64" s="211"/>
      <x:c r="E64" s="211"/>
      <x:c r="F64" s="211"/>
      <x:c r="G64" s="211"/>
      <x:c r="H64" s="211"/>
      <x:c r="I64" s="211"/>
      <x:c r="J64" s="211"/>
      <x:c r="K64" s="211"/>
      <x:c r="L64" s="211"/>
      <x:c r="M64" s="211"/>
      <x:c r="N64" s="211"/>
    </x:row>
    <x:row r="65">
      <x:c r="A65" s="211"/>
      <x:c r="B65" s="211"/>
      <x:c r="C65" s="211"/>
      <x:c r="D65" s="211"/>
      <x:c r="E65" s="211"/>
      <x:c r="F65" s="211"/>
      <x:c r="G65" s="211"/>
      <x:c r="H65" s="211"/>
      <x:c r="I65" s="211"/>
      <x:c r="J65" s="211"/>
      <x:c r="K65" s="211"/>
      <x:c r="L65" s="211"/>
      <x:c r="M65" s="211"/>
      <x:c r="N65" s="211"/>
    </x:row>
    <x:row r="66">
      <x:c r="A66" s="211"/>
      <x:c r="B66" s="211"/>
      <x:c r="C66" s="211"/>
      <x:c r="D66" s="211"/>
      <x:c r="E66" s="211"/>
      <x:c r="F66" s="211"/>
      <x:c r="G66" s="211"/>
      <x:c r="H66" s="211"/>
      <x:c r="I66" s="211"/>
      <x:c r="J66" s="211"/>
      <x:c r="K66" s="211"/>
      <x:c r="L66" s="211"/>
      <x:c r="M66" s="211"/>
      <x:c r="N66" s="211"/>
    </x:row>
    <x:row r="67" ht="23" customHeight="1">
      <x:c r="A67" s="160" t="str">
        <x:v>Outros</x:v>
      </x:c>
      <x:c r="B67" s="160" t="str">
        <x:v>Outros</x:v>
      </x:c>
      <x:c r="C67" s="160" t="str">
        <x:v>Outros</x:v>
      </x:c>
      <x:c r="D67" s="160" t="str">
        <x:v>Outros</x:v>
      </x:c>
      <x:c r="E67" s="160" t="str">
        <x:v>Outros</x:v>
      </x:c>
      <x:c r="F67" s="160" t="str">
        <x:v>Outros</x:v>
      </x:c>
      <x:c r="G67" s="211"/>
      <x:c r="H67" s="211"/>
      <x:c r="I67" s="211"/>
      <x:c r="J67" s="211"/>
      <x:c r="K67" s="211"/>
      <x:c r="L67" s="211"/>
      <x:c r="M67" s="211"/>
      <x:c r="N67" s="211"/>
    </x:row>
    <x:row r="68" ht="28" customHeight="1">
      <x:c r="A68" s="20" t="str">
        <x:v>#</x:v>
      </x:c>
      <x:c r="B68" s="21" t="str">
        <x:v>Gestora</x:v>
      </x:c>
      <x:c r="C68" s="22" t="str">
        <x:v>PL (R$ bi)</x:v>
      </x:c>
      <x:c r="D68" s="211"/>
      <x:c r="E68" s="211"/>
      <x:c r="F68" s="211"/>
      <x:c r="G68" s="211"/>
      <x:c r="H68" s="211"/>
      <x:c r="I68" s="211"/>
      <x:c r="J68" s="211"/>
      <x:c r="K68" s="211"/>
      <x:c r="L68" s="211"/>
      <x:c r="M68" s="211"/>
      <x:c r="N68" s="211"/>
    </x:row>
    <x:row r="69">
      <x:c r="A69" s="110" t="n">
        <x:v>1</x:v>
      </x:c>
      <x:c r="B69" s="110" t="str">
        <x:v>Banco Bradesco S/A</x:v>
      </x:c>
      <x:c r="C69" s="119" t="n">
        <x:v>14.25066196071</x:v>
      </x:c>
      <x:c r="D69" s="211"/>
      <x:c r="E69" s="211"/>
      <x:c r="F69" s="211"/>
      <x:c r="G69" s="211"/>
      <x:c r="H69" s="211"/>
      <x:c r="I69" s="211"/>
      <x:c r="J69" s="211"/>
      <x:c r="K69" s="211"/>
      <x:c r="L69" s="211"/>
      <x:c r="M69" s="211"/>
      <x:c r="N69" s="211"/>
    </x:row>
    <x:row r="70">
      <x:c r="A70" s="111" t="n">
        <x:v>2</x:v>
      </x:c>
      <x:c r="B70" s="111" t="str">
        <x:v>ITAU ASSET</x:v>
      </x:c>
      <x:c r="C70" s="120" t="n">
        <x:v>13.18692864275001</x:v>
      </x:c>
      <x:c r="D70" s="211"/>
      <x:c r="E70" s="211"/>
      <x:c r="F70" s="211"/>
      <x:c r="G70" s="211"/>
      <x:c r="H70" s="211"/>
      <x:c r="I70" s="211"/>
      <x:c r="J70" s="211"/>
      <x:c r="K70" s="211"/>
      <x:c r="L70" s="211"/>
      <x:c r="M70" s="211"/>
      <x:c r="N70" s="211"/>
    </x:row>
    <x:row r="71">
      <x:c r="A71" s="111" t="n">
        <x:v>3</x:v>
      </x:c>
      <x:c r="B71" s="111" t="str">
        <x:v>Banco BTG Pactual</x:v>
      </x:c>
      <x:c r="C71" s="120" t="n">
        <x:v>11.1130540958457</x:v>
      </x:c>
      <x:c r="D71" s="211"/>
      <x:c r="E71" s="211"/>
      <x:c r="F71" s="211"/>
      <x:c r="G71" s="211"/>
      <x:c r="H71" s="211"/>
      <x:c r="I71" s="211"/>
      <x:c r="J71" s="211"/>
      <x:c r="K71" s="211"/>
      <x:c r="L71" s="211"/>
      <x:c r="M71" s="211"/>
      <x:c r="N71" s="211"/>
    </x:row>
    <x:row r="72">
      <x:c r="A72" s="111" t="n">
        <x:v>4</x:v>
      </x:c>
      <x:c r="B72" s="111" t="str">
        <x:v>VALORA RENDA FIXA LTDA.</x:v>
      </x:c>
      <x:c r="C72" s="120" t="n">
        <x:v>10.6042317578942</x:v>
      </x:c>
      <x:c r="D72" s="211"/>
      <x:c r="E72" s="211"/>
      <x:c r="F72" s="211"/>
      <x:c r="G72" s="211"/>
      <x:c r="H72" s="211"/>
      <x:c r="I72" s="211"/>
      <x:c r="J72" s="211"/>
      <x:c r="K72" s="211"/>
      <x:c r="L72" s="211"/>
      <x:c r="M72" s="211"/>
      <x:c r="N72" s="211"/>
    </x:row>
    <x:row r="73">
      <x:c r="A73" s="111" t="n">
        <x:v>5</x:v>
      </x:c>
      <x:c r="B73" s="111" t="str">
        <x:v>Kanastra</x:v>
      </x:c>
      <x:c r="C73" s="120" t="n">
        <x:v>9.889859244799998</x:v>
      </x:c>
      <x:c r="D73" s="211"/>
      <x:c r="E73" s="211"/>
      <x:c r="F73" s="211"/>
      <x:c r="G73" s="211"/>
      <x:c r="H73" s="211"/>
      <x:c r="I73" s="211"/>
      <x:c r="J73" s="211"/>
      <x:c r="K73" s="211"/>
      <x:c r="L73" s="211"/>
      <x:c r="M73" s="211"/>
      <x:c r="N73" s="211"/>
    </x:row>
    <x:row r="74">
      <x:c r="A74" s="111" t="n">
        <x:v>6</x:v>
      </x:c>
      <x:c r="B74" s="111" t="str">
        <x:v>JIVE INVESTMENTS</x:v>
      </x:c>
      <x:c r="C74" s="120" t="n">
        <x:v>8.1082200018104</x:v>
      </x:c>
      <x:c r="D74" s="211"/>
      <x:c r="E74" s="211"/>
      <x:c r="F74" s="211"/>
      <x:c r="G74" s="211"/>
      <x:c r="H74" s="211"/>
      <x:c r="I74" s="211"/>
      <x:c r="J74" s="211"/>
      <x:c r="K74" s="211"/>
      <x:c r="L74" s="211"/>
      <x:c r="M74" s="211"/>
      <x:c r="N74" s="211"/>
    </x:row>
    <x:row r="75">
      <x:c r="A75" s="111" t="n">
        <x:v>7</x:v>
      </x:c>
      <x:c r="B75" s="111" t="str">
        <x:v>Jus Capital Gestão de Recursos LTDA</x:v>
      </x:c>
      <x:c r="C75" s="120" t="n">
        <x:v>7.284959793269801</x:v>
      </x:c>
      <x:c r="D75" s="211"/>
      <x:c r="E75" s="211"/>
      <x:c r="F75" s="211"/>
      <x:c r="G75" s="211"/>
      <x:c r="H75" s="211"/>
      <x:c r="I75" s="211"/>
      <x:c r="J75" s="211"/>
      <x:c r="K75" s="211"/>
      <x:c r="L75" s="211"/>
      <x:c r="M75" s="211"/>
      <x:c r="N75" s="211"/>
    </x:row>
    <x:row r="76">
      <x:c r="A76" s="111" t="n">
        <x:v>8</x:v>
      </x:c>
      <x:c r="B76" s="111" t="str">
        <x:v>GENIAL GESTÃO LTDA.</x:v>
      </x:c>
      <x:c r="C76" s="120" t="n">
        <x:v>7.142054989280002</x:v>
      </x:c>
      <x:c r="D76" s="211"/>
      <x:c r="E76" s="211"/>
      <x:c r="F76" s="211"/>
      <x:c r="G76" s="211"/>
      <x:c r="H76" s="211"/>
      <x:c r="I76" s="211"/>
      <x:c r="J76" s="211"/>
      <x:c r="K76" s="211"/>
      <x:c r="L76" s="211"/>
      <x:c r="M76" s="211"/>
      <x:c r="N76" s="211"/>
    </x:row>
    <x:row r="77">
      <x:c r="A77" s="111" t="n">
        <x:v>9</x:v>
      </x:c>
      <x:c r="B77" s="111" t="str">
        <x:v>DAYCOVAL ASSET MANAG</x:v>
      </x:c>
      <x:c r="C77" s="120" t="n">
        <x:v>6.900129681370001</x:v>
      </x:c>
      <x:c r="D77" s="211"/>
      <x:c r="E77" s="211"/>
      <x:c r="F77" s="211"/>
      <x:c r="G77" s="211"/>
      <x:c r="H77" s="211"/>
      <x:c r="I77" s="211"/>
      <x:c r="J77" s="211"/>
      <x:c r="K77" s="211"/>
      <x:c r="L77" s="211"/>
      <x:c r="M77" s="211"/>
      <x:c r="N77" s="211"/>
    </x:row>
    <x:row r="78">
      <x:c r="A78" s="111" t="n">
        <x:v>10</x:v>
      </x:c>
      <x:c r="B78" s="111" t="str">
        <x:v>Vista Real Estate</x:v>
      </x:c>
      <x:c r="C78" s="120" t="n">
        <x:v>5.570135711760001</x:v>
      </x:c>
      <x:c r="D78" s="211"/>
      <x:c r="E78" s="211"/>
      <x:c r="F78" s="211"/>
      <x:c r="G78" s="211"/>
      <x:c r="H78" s="211"/>
      <x:c r="I78" s="211"/>
      <x:c r="J78" s="211"/>
      <x:c r="K78" s="211"/>
      <x:c r="L78" s="211"/>
      <x:c r="M78" s="211"/>
      <x:c r="N78" s="211"/>
    </x:row>
    <x:row r="79">
      <x:c r="A79" s="111" t="n">
        <x:v>11</x:v>
      </x:c>
      <x:c r="B79" s="111" t="str">
        <x:v>Versal Finance Gestão de Recursos LTDA.</x:v>
      </x:c>
      <x:c r="C79" s="120" t="n">
        <x:v>5.10891960903</x:v>
      </x:c>
      <x:c r="D79" s="211"/>
      <x:c r="E79" s="211"/>
      <x:c r="F79" s="211"/>
      <x:c r="G79" s="211"/>
      <x:c r="H79" s="211"/>
      <x:c r="I79" s="211"/>
      <x:c r="J79" s="211"/>
      <x:c r="K79" s="211"/>
      <x:c r="L79" s="211"/>
      <x:c r="M79" s="211"/>
      <x:c r="N79" s="211"/>
    </x:row>
    <x:row r="80">
      <x:c r="A80" s="111" t="n">
        <x:v>12</x:v>
      </x:c>
      <x:c r="B80" s="111" t="str">
        <x:v>Petra Capital</x:v>
      </x:c>
      <x:c r="C80" s="120" t="n">
        <x:v>5.061975952029999</x:v>
      </x:c>
      <x:c r="D80" s="211"/>
      <x:c r="E80" s="211"/>
      <x:c r="F80" s="211"/>
      <x:c r="G80" s="211"/>
      <x:c r="H80" s="211"/>
      <x:c r="I80" s="211"/>
      <x:c r="J80" s="211"/>
      <x:c r="K80" s="211"/>
      <x:c r="L80" s="211"/>
      <x:c r="M80" s="211"/>
      <x:c r="N80" s="211"/>
    </x:row>
    <x:row r="81">
      <x:c r="A81" s="111" t="n">
        <x:v>13</x:v>
      </x:c>
      <x:c r="B81" s="111" t="str">
        <x:v>Solis</x:v>
      </x:c>
      <x:c r="C81" s="120" t="n">
        <x:v>4.769480850060001</x:v>
      </x:c>
      <x:c r="D81" s="211"/>
      <x:c r="E81" s="211"/>
      <x:c r="F81" s="211"/>
      <x:c r="G81" s="211"/>
      <x:c r="H81" s="211"/>
      <x:c r="I81" s="211"/>
      <x:c r="J81" s="211"/>
      <x:c r="K81" s="211"/>
      <x:c r="L81" s="211"/>
      <x:c r="M81" s="211"/>
      <x:c r="N81" s="211"/>
    </x:row>
    <x:row r="82">
      <x:c r="A82" s="111" t="n">
        <x:v>14</x:v>
      </x:c>
      <x:c r="B82" s="111" t="str">
        <x:v>RedAsset Gestão de Recursos Ltda.</x:v>
      </x:c>
      <x:c r="C82" s="120" t="n">
        <x:v>4.756389743299999</x:v>
      </x:c>
      <x:c r="D82" s="211"/>
      <x:c r="E82" s="211"/>
      <x:c r="F82" s="211"/>
      <x:c r="G82" s="211"/>
      <x:c r="H82" s="211"/>
      <x:c r="I82" s="211"/>
      <x:c r="J82" s="211"/>
      <x:c r="K82" s="211"/>
      <x:c r="L82" s="211"/>
      <x:c r="M82" s="211"/>
      <x:c r="N82" s="211"/>
    </x:row>
    <x:row r="83">
      <x:c r="A83" s="112" t="n">
        <x:v>15</x:v>
      </x:c>
      <x:c r="B83" s="112" t="str">
        <x:v>BRL TRUST DTVM</x:v>
      </x:c>
      <x:c r="C83" s="124" t="n">
        <x:v>4.55175358843</x:v>
      </x:c>
      <x:c r="D83" s="211"/>
      <x:c r="E83" s="211"/>
      <x:c r="F83" s="211"/>
      <x:c r="G83" s="211"/>
      <x:c r="H83" s="211"/>
      <x:c r="I83" s="211"/>
      <x:c r="J83" s="211"/>
      <x:c r="K83" s="211"/>
      <x:c r="L83" s="211"/>
      <x:c r="M83" s="211"/>
      <x:c r="N83" s="211"/>
    </x:row>
    <x:row r="84">
      <x:c r="A84" s="211"/>
      <x:c r="B84" s="211"/>
      <x:c r="C84" s="211"/>
      <x:c r="D84" s="211"/>
      <x:c r="E84" s="211"/>
      <x:c r="F84" s="211"/>
      <x:c r="G84" s="211"/>
      <x:c r="H84" s="211"/>
      <x:c r="I84" s="211"/>
      <x:c r="J84" s="211"/>
      <x:c r="K84" s="211"/>
      <x:c r="L84" s="211"/>
      <x:c r="M84" s="211"/>
      <x:c r="N84" s="211"/>
    </x:row>
    <x:row r="85">
      <x:c r="A85" s="211"/>
      <x:c r="B85" s="211"/>
      <x:c r="C85" s="211"/>
      <x:c r="D85" s="211"/>
      <x:c r="E85" s="211"/>
      <x:c r="F85" s="211"/>
      <x:c r="G85" s="211"/>
      <x:c r="H85" s="211"/>
      <x:c r="I85" s="211"/>
      <x:c r="J85" s="211"/>
      <x:c r="K85" s="211"/>
      <x:c r="L85" s="211"/>
      <x:c r="M85" s="211"/>
      <x:c r="N85" s="211"/>
    </x:row>
    <x:row r="86">
      <x:c r="A86" s="211"/>
      <x:c r="B86" s="211"/>
      <x:c r="C86" s="211"/>
      <x:c r="D86" s="211"/>
      <x:c r="E86" s="211"/>
      <x:c r="F86" s="211"/>
      <x:c r="G86" s="211"/>
      <x:c r="H86" s="211"/>
      <x:c r="I86" s="211"/>
      <x:c r="J86" s="211"/>
      <x:c r="K86" s="211"/>
      <x:c r="L86" s="211"/>
      <x:c r="M86" s="211"/>
      <x:c r="N86" s="211"/>
    </x:row>
    <x:row r="87">
      <x:c r="A87" s="211"/>
      <x:c r="B87" s="211"/>
      <x:c r="C87" s="211"/>
      <x:c r="D87" s="211"/>
      <x:c r="E87" s="211"/>
      <x:c r="F87" s="211"/>
      <x:c r="G87" s="211"/>
      <x:c r="H87" s="211"/>
      <x:c r="I87" s="211"/>
      <x:c r="J87" s="211"/>
      <x:c r="K87" s="211"/>
      <x:c r="L87" s="211"/>
      <x:c r="M87" s="211"/>
      <x:c r="N87" s="211"/>
    </x:row>
    <x:row r="88">
      <x:c r="A88" s="52" t="str">
        <x:v>Fonte: dashboard ANBIMA, maio/2026. Ranking por PL agregado em cada tipo ANBIMA.</x:v>
      </x:c>
      <x:c r="B88" s="52" t="str">
        <x:v>Fonte: dashboard ANBIMA, maio/2026. Ranking por PL agregado em cada tipo ANBIMA.</x:v>
      </x:c>
      <x:c r="C88" s="52" t="str">
        <x:v>Fonte: dashboard ANBIMA, maio/2026. Ranking por PL agregado em cada tipo ANBIMA.</x:v>
      </x:c>
      <x:c r="D88" s="52" t="str">
        <x:v>Fonte: dashboard ANBIMA, maio/2026. Ranking por PL agregado em cada tipo ANBIMA.</x:v>
      </x:c>
      <x:c r="E88" s="52" t="str">
        <x:v>Fonte: dashboard ANBIMA, maio/2026. Ranking por PL agregado em cada tipo ANBIMA.</x:v>
      </x:c>
      <x:c r="F88" s="52" t="str">
        <x:v>Fonte: dashboard ANBIMA, maio/2026. Ranking por PL agregado em cada tipo ANBIMA.</x:v>
      </x:c>
      <x:c r="G88" s="52" t="str">
        <x:v>Fonte: dashboard ANBIMA, maio/2026. Ranking por PL agregado em cada tipo ANBIMA.</x:v>
      </x:c>
      <x:c r="H88" s="52" t="str">
        <x:v>Fonte: dashboard ANBIMA, maio/2026. Ranking por PL agregado em cada tipo ANBIMA.</x:v>
      </x:c>
      <x:c r="I88" s="52" t="str">
        <x:v>Fonte: dashboard ANBIMA, maio/2026. Ranking por PL agregado em cada tipo ANBIMA.</x:v>
      </x:c>
      <x:c r="J88" s="52" t="str">
        <x:v>Fonte: dashboard ANBIMA, maio/2026. Ranking por PL agregado em cada tipo ANBIMA.</x:v>
      </x:c>
      <x:c r="K88" s="52" t="str">
        <x:v>Fonte: dashboard ANBIMA, maio/2026. Ranking por PL agregado em cada tipo ANBIMA.</x:v>
      </x:c>
      <x:c r="L88" s="52" t="str">
        <x:v>Fonte: dashboard ANBIMA, maio/2026. Ranking por PL agregado em cada tipo ANBIMA.</x:v>
      </x:c>
      <x:c r="M88" s="52" t="str">
        <x:v>Fonte: dashboard ANBIMA, maio/2026. Ranking por PL agregado em cada tipo ANBIMA.</x:v>
      </x:c>
      <x:c r="N88" s="52" t="str">
        <x:v>Fonte: dashboard ANBIMA, maio/2026. Ranking por PL agregado em cada tipo ANBIMA.</x:v>
      </x:c>
    </x:row>
    <x:row r="89">
      <x:c r="A89" s="52" t="str">
        <x:v>Fonte: dashboard ANBIMA, maio/2026. Ranking por PL agregado em cada tipo ANBIMA.</x:v>
      </x:c>
      <x:c r="B89" s="52" t="str">
        <x:v>Fonte: dashboard ANBIMA, maio/2026. Ranking por PL agregado em cada tipo ANBIMA.</x:v>
      </x:c>
      <x:c r="C89" s="52" t="str">
        <x:v>Fonte: dashboard ANBIMA, maio/2026. Ranking por PL agregado em cada tipo ANBIMA.</x:v>
      </x:c>
      <x:c r="D89" s="52" t="str">
        <x:v>Fonte: dashboard ANBIMA, maio/2026. Ranking por PL agregado em cada tipo ANBIMA.</x:v>
      </x:c>
      <x:c r="E89" s="52" t="str">
        <x:v>Fonte: dashboard ANBIMA, maio/2026. Ranking por PL agregado em cada tipo ANBIMA.</x:v>
      </x:c>
      <x:c r="F89" s="52" t="str">
        <x:v>Fonte: dashboard ANBIMA, maio/2026. Ranking por PL agregado em cada tipo ANBIMA.</x:v>
      </x:c>
      <x:c r="G89" s="52" t="str">
        <x:v>Fonte: dashboard ANBIMA, maio/2026. Ranking por PL agregado em cada tipo ANBIMA.</x:v>
      </x:c>
      <x:c r="H89" s="52" t="str">
        <x:v>Fonte: dashboard ANBIMA, maio/2026. Ranking por PL agregado em cada tipo ANBIMA.</x:v>
      </x:c>
      <x:c r="I89" s="52" t="str">
        <x:v>Fonte: dashboard ANBIMA, maio/2026. Ranking por PL agregado em cada tipo ANBIMA.</x:v>
      </x:c>
      <x:c r="J89" s="52" t="str">
        <x:v>Fonte: dashboard ANBIMA, maio/2026. Ranking por PL agregado em cada tipo ANBIMA.</x:v>
      </x:c>
      <x:c r="K89" s="52" t="str">
        <x:v>Fonte: dashboard ANBIMA, maio/2026. Ranking por PL agregado em cada tipo ANBIMA.</x:v>
      </x:c>
      <x:c r="L89" s="52" t="str">
        <x:v>Fonte: dashboard ANBIMA, maio/2026. Ranking por PL agregado em cada tipo ANBIMA.</x:v>
      </x:c>
      <x:c r="M89" s="52" t="str">
        <x:v>Fonte: dashboard ANBIMA, maio/2026. Ranking por PL agregado em cada tipo ANBIMA.</x:v>
      </x:c>
      <x:c r="N89" s="52" t="str">
        <x:v>Fonte: dashboard ANBIMA, maio/2026. Ranking por PL agregado em cada tipo ANBIMA.</x:v>
      </x:c>
    </x:row>
    <x:row r="90">
      <x:c r="A90" s="52" t="str">
        <x:v>Fonte: dashboard ANBIMA, maio/2026. Ranking por PL agregado em cada tipo ANBIMA.</x:v>
      </x:c>
      <x:c r="B90" s="52" t="str">
        <x:v>Fonte: dashboard ANBIMA, maio/2026. Ranking por PL agregado em cada tipo ANBIMA.</x:v>
      </x:c>
      <x:c r="C90" s="52" t="str">
        <x:v>Fonte: dashboard ANBIMA, maio/2026. Ranking por PL agregado em cada tipo ANBIMA.</x:v>
      </x:c>
      <x:c r="D90" s="52" t="str">
        <x:v>Fonte: dashboard ANBIMA, maio/2026. Ranking por PL agregado em cada tipo ANBIMA.</x:v>
      </x:c>
      <x:c r="E90" s="52" t="str">
        <x:v>Fonte: dashboard ANBIMA, maio/2026. Ranking por PL agregado em cada tipo ANBIMA.</x:v>
      </x:c>
      <x:c r="F90" s="52" t="str">
        <x:v>Fonte: dashboard ANBIMA, maio/2026. Ranking por PL agregado em cada tipo ANBIMA.</x:v>
      </x:c>
      <x:c r="G90" s="52" t="str">
        <x:v>Fonte: dashboard ANBIMA, maio/2026. Ranking por PL agregado em cada tipo ANBIMA.</x:v>
      </x:c>
      <x:c r="H90" s="52" t="str">
        <x:v>Fonte: dashboard ANBIMA, maio/2026. Ranking por PL agregado em cada tipo ANBIMA.</x:v>
      </x:c>
      <x:c r="I90" s="52" t="str">
        <x:v>Fonte: dashboard ANBIMA, maio/2026. Ranking por PL agregado em cada tipo ANBIMA.</x:v>
      </x:c>
      <x:c r="J90" s="52" t="str">
        <x:v>Fonte: dashboard ANBIMA, maio/2026. Ranking por PL agregado em cada tipo ANBIMA.</x:v>
      </x:c>
      <x:c r="K90" s="52" t="str">
        <x:v>Fonte: dashboard ANBIMA, maio/2026. Ranking por PL agregado em cada tipo ANBIMA.</x:v>
      </x:c>
      <x:c r="L90" s="52" t="str">
        <x:v>Fonte: dashboard ANBIMA, maio/2026. Ranking por PL agregado em cada tipo ANBIMA.</x:v>
      </x:c>
      <x:c r="M90" s="52" t="str">
        <x:v>Fonte: dashboard ANBIMA, maio/2026. Ranking por PL agregado em cada tipo ANBIMA.</x:v>
      </x:c>
      <x:c r="N90" s="52" t="str">
        <x:v>Fonte: dashboard ANBIMA, maio/2026. Ranking por PL agregado em cada tipo ANBIMA.</x:v>
      </x:c>
    </x:row>
  </x:sheetData>
  <x:mergeCells>
    <x:mergeCell ref="A1:N2"/>
    <x:mergeCell ref="A4:F4"/>
    <x:mergeCell ref="A25:F25"/>
    <x:mergeCell ref="A46:F46"/>
    <x:mergeCell ref="A67:F67"/>
    <x:mergeCell ref="A88:N90"/>
  </x:mergeCells>
  <x:pageMargins left="0.7" right="0.7" top="0.75" bottom="0.75" header="0.3" footer="0.3"/>
  <x:drawing xmlns:r="http://schemas.openxmlformats.org/officeDocument/2006/relationships" r:id="R28b2e6b6119c4488"/>
</x:worksheet>
</file>

<file path=xl/worksheets/sheet9.xml><?xml version="1.0" encoding="utf-8"?>
<x:worksheet xmlns:x="http://schemas.openxmlformats.org/spreadsheetml/2006/main">
  <x:sheetViews>
    <x:sheetView showGridLines="0" workbookViewId="0"/>
  </x:sheetViews>
  <x:sheetFormatPr defaultRowHeight="15"/>
  <x:cols>
    <x:col min="1" max="1" width="5" hidden="0" customWidth="1"/>
    <x:col min="2" max="2" width="52" hidden="0" customWidth="1"/>
    <x:col min="3" max="3" width="16" hidden="0" customWidth="1"/>
    <x:col min="4" max="4" width="16" hidden="0" customWidth="1"/>
    <x:col min="5" max="5" width="16" hidden="0" customWidth="1"/>
  </x:cols>
  <x:sheetData>
    <x:row r="1" ht="30" customHeight="1">
      <x:c r="A1" s="4" t="str">
        <x:v>Top 25 administradores da indústria</x:v>
      </x:c>
      <x:c r="B1" s="4" t="str">
        <x:v>Top 25 administradores da indústria</x:v>
      </x:c>
      <x:c r="C1" s="4" t="str">
        <x:v>Top 25 administradores da indústria</x:v>
      </x:c>
      <x:c r="D1" s="4" t="str">
        <x:v>Top 25 administradores da indústria</x:v>
      </x:c>
      <x:c r="E1" s="4" t="str">
        <x:v>Top 25 administradores da indústria</x:v>
      </x:c>
      <x:c r="F1" s="4" t="str">
        <x:v>Top 25 administradores da indústria</x:v>
      </x:c>
      <x:c r="G1" s="4" t="str">
        <x:v>Top 25 administradores da indústria</x:v>
      </x:c>
      <x:c r="H1" s="4" t="str">
        <x:v>Top 25 administradores da indústria</x:v>
      </x:c>
      <x:c r="I1" s="4" t="str">
        <x:v>Top 25 administradores da indústria</x:v>
      </x:c>
      <x:c r="J1" s="4" t="str">
        <x:v>Top 25 administradores da indústria</x:v>
      </x:c>
      <x:c r="K1" s="4" t="str">
        <x:v>Top 25 administradores da indústria</x:v>
      </x:c>
      <x:c r="L1" s="4" t="str">
        <x:v>Top 25 administradores da indústria</x:v>
      </x:c>
      <x:c r="M1" s="4" t="str">
        <x:v>Top 25 administradores da indústria</x:v>
      </x:c>
      <x:c r="N1" s="4" t="str">
        <x:v>Top 25 administradores da indústria</x:v>
      </x:c>
    </x:row>
    <x:row r="2" ht="30" customHeight="1">
      <x:c r="A2" s="4" t="str">
        <x:v>Top 25 administradores da indústria</x:v>
      </x:c>
      <x:c r="B2" s="4" t="str">
        <x:v>Top 25 administradores da indústria</x:v>
      </x:c>
      <x:c r="C2" s="4" t="str">
        <x:v>Top 25 administradores da indústria</x:v>
      </x:c>
      <x:c r="D2" s="4" t="str">
        <x:v>Top 25 administradores da indústria</x:v>
      </x:c>
      <x:c r="E2" s="4" t="str">
        <x:v>Top 25 administradores da indústria</x:v>
      </x:c>
      <x:c r="F2" s="4" t="str">
        <x:v>Top 25 administradores da indústria</x:v>
      </x:c>
      <x:c r="G2" s="4" t="str">
        <x:v>Top 25 administradores da indústria</x:v>
      </x:c>
      <x:c r="H2" s="4" t="str">
        <x:v>Top 25 administradores da indústria</x:v>
      </x:c>
      <x:c r="I2" s="4" t="str">
        <x:v>Top 25 administradores da indústria</x:v>
      </x:c>
      <x:c r="J2" s="4" t="str">
        <x:v>Top 25 administradores da indústria</x:v>
      </x:c>
      <x:c r="K2" s="4" t="str">
        <x:v>Top 25 administradores da indústria</x:v>
      </x:c>
      <x:c r="L2" s="4" t="str">
        <x:v>Top 25 administradores da indústria</x:v>
      </x:c>
      <x:c r="M2" s="4" t="str">
        <x:v>Top 25 administradores da indústria</x:v>
      </x:c>
      <x:c r="N2" s="4" t="str">
        <x:v>Top 25 administradores da indústria</x:v>
      </x:c>
    </x:row>
    <x:row r="3">
      <x:c r="A3" s="211"/>
      <x:c r="B3" s="211"/>
      <x:c r="C3" s="211"/>
      <x:c r="D3" s="211"/>
      <x:c r="E3" s="211"/>
      <x:c r="F3" s="211"/>
      <x:c r="G3" s="211"/>
      <x:c r="H3" s="211"/>
      <x:c r="I3" s="211"/>
      <x:c r="J3" s="211"/>
      <x:c r="K3" s="211"/>
      <x:c r="L3" s="211"/>
      <x:c r="M3" s="211"/>
      <x:c r="N3" s="211"/>
    </x:row>
    <x:row r="4" ht="28" customHeight="1">
      <x:c r="A4" s="20" t="str">
        <x:v>#</x:v>
      </x:c>
      <x:c r="B4" s="21" t="str">
        <x:v>Administrador</x:v>
      </x:c>
      <x:c r="C4" s="21" t="str">
        <x:v>PL (R$ bi)</x:v>
      </x:c>
      <x:c r="D4" s="21" t="str">
        <x:v>Fundos / classes</x:v>
      </x:c>
      <x:c r="E4" s="22" t="str">
        <x:v>Share</x:v>
      </x:c>
      <x:c r="F4" s="211"/>
      <x:c r="G4" s="211"/>
      <x:c r="H4" s="211"/>
      <x:c r="I4" s="211"/>
      <x:c r="J4" s="211"/>
      <x:c r="K4" s="211"/>
      <x:c r="L4" s="211"/>
      <x:c r="M4" s="211"/>
      <x:c r="N4" s="211"/>
    </x:row>
    <x:row r="5">
      <x:c r="A5" s="110" t="n">
        <x:v>1</x:v>
      </x:c>
      <x:c r="B5" s="110" t="str">
        <x:v>Singulare</x:v>
      </x:c>
      <x:c r="C5" s="119" t="n">
        <x:v>117.12550315522657</x:v>
      </x:c>
      <x:c r="D5" s="110"/>
      <x:c r="E5" s="116" t="n">
        <x:f>C5/(SUM('Base Admins'!$F$6:$F$63)/1000000000)</x:f>
        <x:v>0.15502135017543484</x:v>
      </x:c>
      <x:c r="F5" s="211"/>
      <x:c r="G5" s="211"/>
      <x:c r="H5" s="211"/>
      <x:c r="I5" s="211"/>
      <x:c r="J5" s="211"/>
      <x:c r="K5" s="211"/>
      <x:c r="L5" s="211"/>
      <x:c r="M5" s="211"/>
      <x:c r="N5" s="211"/>
    </x:row>
    <x:row r="6">
      <x:c r="A6" s="111" t="n">
        <x:v>2</x:v>
      </x:c>
      <x:c r="B6" s="111" t="str">
        <x:v>Oliveira Trust DTVM</x:v>
      </x:c>
      <x:c r="C6" s="120" t="n">
        <x:v>95.43419344046004</x:v>
      </x:c>
      <x:c r="D6" s="111"/>
      <x:c r="E6" s="117" t="n">
        <x:f>C6/(SUM('Base Admins'!$F$6:$F$63)/1000000000)</x:f>
        <x:v>0.12631183748629696</x:v>
      </x:c>
      <x:c r="F6" s="211"/>
      <x:c r="G6" s="211"/>
      <x:c r="H6" s="211"/>
      <x:c r="I6" s="211"/>
      <x:c r="J6" s="211"/>
      <x:c r="K6" s="211"/>
      <x:c r="L6" s="211"/>
      <x:c r="M6" s="211"/>
      <x:c r="N6" s="211"/>
    </x:row>
    <x:row r="7">
      <x:c r="A7" s="111" t="n">
        <x:v>3</x:v>
      </x:c>
      <x:c r="B7" s="111" t="str">
        <x:v>BTG Pactual Servicos Financeiros S/A DTVM</x:v>
      </x:c>
      <x:c r="C7" s="120" t="n">
        <x:v>82.98820505143762</x:v>
      </x:c>
      <x:c r="D7" s="111"/>
      <x:c r="E7" s="117" t="n">
        <x:f>C7/(SUM('Base Admins'!$F$6:$F$63)/1000000000)</x:f>
        <x:v>0.10983896119242088</x:v>
      </x:c>
      <x:c r="F7" s="211"/>
      <x:c r="G7" s="211"/>
      <x:c r="H7" s="211"/>
      <x:c r="I7" s="211"/>
      <x:c r="J7" s="211"/>
      <x:c r="K7" s="211"/>
      <x:c r="L7" s="211"/>
      <x:c r="M7" s="211"/>
      <x:c r="N7" s="211"/>
    </x:row>
    <x:row r="8">
      <x:c r="A8" s="111" t="n">
        <x:v>4</x:v>
      </x:c>
      <x:c r="B8" s="111" t="str">
        <x:v>BB Asset Management</x:v>
      </x:c>
      <x:c r="C8" s="120" t="n">
        <x:v>60.90074644365</x:v>
      </x:c>
      <x:c r="D8" s="111"/>
      <x:c r="E8" s="117" t="n">
        <x:f>C8/(SUM('Base Admins'!$F$6:$F$63)/1000000000)</x:f>
        <x:v>0.08060512600636922</x:v>
      </x:c>
      <x:c r="F8" s="211"/>
      <x:c r="G8" s="211"/>
      <x:c r="H8" s="211"/>
      <x:c r="I8" s="211"/>
      <x:c r="J8" s="211"/>
      <x:c r="K8" s="211"/>
      <x:c r="L8" s="211"/>
      <x:c r="M8" s="211"/>
      <x:c r="N8" s="211"/>
    </x:row>
    <x:row r="9">
      <x:c r="A9" s="111" t="n">
        <x:v>5</x:v>
      </x:c>
      <x:c r="B9" s="111" t="str">
        <x:v>BEM - DIST. DE TÍTUL</x:v>
      </x:c>
      <x:c r="C9" s="120" t="n">
        <x:v>48.8620543896</x:v>
      </x:c>
      <x:c r="D9" s="111"/>
      <x:c r="E9" s="117" t="n">
        <x:f>C9/(SUM('Base Admins'!$F$6:$F$63)/1000000000)</x:f>
        <x:v>0.0646713263957775</x:v>
      </x:c>
      <x:c r="F9" s="211"/>
      <x:c r="G9" s="211"/>
      <x:c r="H9" s="211"/>
      <x:c r="I9" s="211"/>
      <x:c r="J9" s="211"/>
      <x:c r="K9" s="211"/>
      <x:c r="L9" s="211"/>
      <x:c r="M9" s="211"/>
      <x:c r="N9" s="211"/>
    </x:row>
    <x:row r="10">
      <x:c r="A10" s="111" t="n">
        <x:v>6</x:v>
      </x:c>
      <x:c r="B10" s="111" t="str">
        <x:v>BANCO DAYCOVAL S/A</x:v>
      </x:c>
      <x:c r="C10" s="120" t="n">
        <x:v>44.243761048533685</x:v>
      </x:c>
      <x:c r="D10" s="111"/>
      <x:c r="E10" s="117" t="n">
        <x:f>C10/(SUM('Base Admins'!$F$6:$F$63)/1000000000)</x:f>
        <x:v>0.05855878856283865</x:v>
      </x:c>
      <x:c r="F10" s="211"/>
      <x:c r="G10" s="211"/>
      <x:c r="H10" s="211"/>
      <x:c r="I10" s="211"/>
      <x:c r="J10" s="211"/>
      <x:c r="K10" s="211"/>
      <x:c r="L10" s="211"/>
      <x:c r="M10" s="211"/>
      <x:c r="N10" s="211"/>
    </x:row>
    <x:row r="11">
      <x:c r="A11" s="111" t="n">
        <x:v>7</x:v>
      </x:c>
      <x:c r="B11" s="111" t="str">
        <x:v>INTRAG DIST. DE TÍTU</x:v>
      </x:c>
      <x:c r="C11" s="120" t="n">
        <x:v>29.93565323385001</x:v>
      </x:c>
      <x:c r="D11" s="111"/>
      <x:c r="E11" s="117" t="n">
        <x:f>C11/(SUM('Base Admins'!$F$6:$F$63)/1000000000)</x:f>
        <x:v>0.03962130584442204</x:v>
      </x:c>
      <x:c r="F11" s="211"/>
      <x:c r="G11" s="211"/>
      <x:c r="H11" s="211"/>
      <x:c r="I11" s="211"/>
      <x:c r="J11" s="211"/>
      <x:c r="K11" s="211"/>
      <x:c r="L11" s="211"/>
      <x:c r="M11" s="211"/>
      <x:c r="N11" s="211"/>
    </x:row>
    <x:row r="12">
      <x:c r="A12" s="111" t="n">
        <x:v>8</x:v>
      </x:c>
      <x:c r="B12" s="111" t="str">
        <x:v>Banco Genial S.A.</x:v>
      </x:c>
      <x:c r="C12" s="120" t="n">
        <x:v>23.701739418248902</x:v>
      </x:c>
      <x:c r="D12" s="111"/>
      <x:c r="E12" s="117" t="n">
        <x:f>C12/(SUM('Base Admins'!$F$6:$F$63)/1000000000)</x:f>
        <x:v>0.031370415043201545</x:v>
      </x:c>
      <x:c r="F12" s="211"/>
      <x:c r="G12" s="211"/>
      <x:c r="H12" s="211"/>
      <x:c r="I12" s="211"/>
      <x:c r="J12" s="211"/>
      <x:c r="K12" s="211"/>
      <x:c r="L12" s="211"/>
      <x:c r="M12" s="211"/>
      <x:c r="N12" s="211"/>
    </x:row>
    <x:row r="13">
      <x:c r="A13" s="111" t="n">
        <x:v>9</x:v>
      </x:c>
      <x:c r="B13" s="111" t="str">
        <x:v>BRL TRUST DTVM</x:v>
      </x:c>
      <x:c r="C13" s="120" t="n">
        <x:v>20.414136402469993</x:v>
      </x:c>
      <x:c r="D13" s="111"/>
      <x:c r="E13" s="117" t="n">
        <x:f>C13/(SUM('Base Admins'!$F$6:$F$63)/1000000000)</x:f>
        <x:v>0.02701911114595007</x:v>
      </x:c>
      <x:c r="F13" s="211"/>
      <x:c r="G13" s="211"/>
      <x:c r="H13" s="211"/>
      <x:c r="I13" s="211"/>
      <x:c r="J13" s="211"/>
      <x:c r="K13" s="211"/>
      <x:c r="L13" s="211"/>
      <x:c r="M13" s="211"/>
      <x:c r="N13" s="211"/>
    </x:row>
    <x:row r="14">
      <x:c r="A14" s="111" t="n">
        <x:v>10</x:v>
      </x:c>
      <x:c r="B14" s="111" t="str">
        <x:v>HEMERA DTVM</x:v>
      </x:c>
      <x:c r="C14" s="120" t="n">
        <x:v>20.077561520219998</x:v>
      </x:c>
      <x:c r="D14" s="111"/>
      <x:c r="E14" s="117" t="n">
        <x:f>C14/(SUM('Base Admins'!$F$6:$F$63)/1000000000)</x:f>
        <x:v>0.02657363777528388</x:v>
      </x:c>
      <x:c r="F14" s="211"/>
      <x:c r="G14" s="211"/>
      <x:c r="H14" s="211"/>
      <x:c r="I14" s="211"/>
      <x:c r="J14" s="211"/>
      <x:c r="K14" s="211"/>
      <x:c r="L14" s="211"/>
      <x:c r="M14" s="211"/>
      <x:c r="N14" s="211"/>
    </x:row>
    <x:row r="15">
      <x:c r="A15" s="111" t="n">
        <x:v>11</x:v>
      </x:c>
      <x:c r="B15" s="111" t="str">
        <x:v>Genial Investimentos Corretora de Valores Mobiliários S.A.</x:v>
      </x:c>
      <x:c r="C15" s="120" t="n">
        <x:v>17.619748719879997</x:v>
      </x:c>
      <x:c r="D15" s="111"/>
      <x:c r="E15" s="117" t="n">
        <x:f>C15/(SUM('Base Admins'!$F$6:$F$63)/1000000000)</x:f>
        <x:v>0.023320601941728348</x:v>
      </x:c>
      <x:c r="F15" s="211"/>
      <x:c r="G15" s="211"/>
      <x:c r="H15" s="211"/>
      <x:c r="I15" s="211"/>
      <x:c r="J15" s="211"/>
      <x:c r="K15" s="211"/>
      <x:c r="L15" s="211"/>
      <x:c r="M15" s="211"/>
      <x:c r="N15" s="211"/>
    </x:row>
    <x:row r="16">
      <x:c r="A16" s="111" t="n">
        <x:v>12</x:v>
      </x:c>
      <x:c r="B16" s="111" t="str">
        <x:v>Finaxis Corretora de Títulos e Valores Mobiliários S.A.</x:v>
      </x:c>
      <x:c r="C16" s="120" t="n">
        <x:v>16.649825185179996</x:v>
      </x:c>
      <x:c r="D16" s="111"/>
      <x:c r="E16" s="117" t="n">
        <x:f>C16/(SUM('Base Admins'!$F$6:$F$63)/1000000000)</x:f>
        <x:v>0.02203686055436497</x:v>
      </x:c>
      <x:c r="F16" s="211"/>
      <x:c r="G16" s="211"/>
      <x:c r="H16" s="211"/>
      <x:c r="I16" s="211"/>
      <x:c r="J16" s="211"/>
      <x:c r="K16" s="211"/>
      <x:c r="L16" s="211"/>
      <x:c r="M16" s="211"/>
      <x:c r="N16" s="211"/>
    </x:row>
    <x:row r="17">
      <x:c r="A17" s="111" t="n">
        <x:v>13</x:v>
      </x:c>
      <x:c r="B17" s="111" t="str">
        <x:v>VERT Distribuidora de Títulos e Valores Mobiliários Ltd</x:v>
      </x:c>
      <x:c r="C17" s="120" t="n">
        <x:v>14.783619117370002</x:v>
      </x:c>
      <x:c r="D17" s="111"/>
      <x:c r="E17" s="117" t="n">
        <x:f>C17/(SUM('Base Admins'!$F$6:$F$63)/1000000000)</x:f>
        <x:v>0.019566845258429954</x:v>
      </x:c>
      <x:c r="F17" s="211"/>
      <x:c r="G17" s="211"/>
      <x:c r="H17" s="211"/>
      <x:c r="I17" s="211"/>
      <x:c r="J17" s="211"/>
      <x:c r="K17" s="211"/>
      <x:c r="L17" s="211"/>
      <x:c r="M17" s="211"/>
      <x:c r="N17" s="211"/>
    </x:row>
    <x:row r="18">
      <x:c r="A18" s="111" t="n">
        <x:v>14</x:v>
      </x:c>
      <x:c r="B18" s="111" t="str">
        <x:v>PLANNER CV</x:v>
      </x:c>
      <x:c r="C18" s="120" t="n">
        <x:v>12.468792373460005</x:v>
      </x:c>
      <x:c r="D18" s="111"/>
      <x:c r="E18" s="117" t="n">
        <x:f>C18/(SUM('Base Admins'!$F$6:$F$63)/1000000000)</x:f>
        <x:v>0.016503058486154132</x:v>
      </x:c>
      <x:c r="F18" s="211"/>
      <x:c r="G18" s="211"/>
      <x:c r="H18" s="211"/>
      <x:c r="I18" s="211"/>
      <x:c r="J18" s="211"/>
      <x:c r="K18" s="211"/>
      <x:c r="L18" s="211"/>
      <x:c r="M18" s="211"/>
      <x:c r="N18" s="211"/>
    </x:row>
    <x:row r="19">
      <x:c r="A19" s="111" t="n">
        <x:v>15</x:v>
      </x:c>
      <x:c r="B19" s="111" t="str">
        <x:v>BNY MELLON SERVICOS</x:v>
      </x:c>
      <x:c r="C19" s="120" t="n">
        <x:v>11.65193501240115</x:v>
      </x:c>
      <x:c r="D19" s="111"/>
      <x:c r="E19" s="117" t="n">
        <x:f>C19/(SUM('Base Admins'!$F$6:$F$63)/1000000000)</x:f>
        <x:v>0.015421907689779215</x:v>
      </x:c>
      <x:c r="F19" s="211"/>
      <x:c r="G19" s="211"/>
      <x:c r="H19" s="211"/>
      <x:c r="I19" s="211"/>
      <x:c r="J19" s="211"/>
      <x:c r="K19" s="211"/>
      <x:c r="L19" s="211"/>
      <x:c r="M19" s="211"/>
      <x:c r="N19" s="211"/>
    </x:row>
    <x:row r="20">
      <x:c r="A20" s="111" t="n">
        <x:v>16</x:v>
      </x:c>
      <x:c r="B20" s="111" t="str">
        <x:v>VÓRTX DTVM</x:v>
      </x:c>
      <x:c r="C20" s="120" t="n">
        <x:v>11.295294154569996</x:v>
      </x:c>
      <x:c r="D20" s="111"/>
      <x:c r="E20" s="117" t="n">
        <x:f>C20/(SUM('Base Admins'!$F$6:$F$63)/1000000000)</x:f>
        <x:v>0.01494987601589655</x:v>
      </x:c>
      <x:c r="F20" s="211"/>
      <x:c r="G20" s="211"/>
      <x:c r="H20" s="211"/>
      <x:c r="I20" s="211"/>
      <x:c r="J20" s="211"/>
      <x:c r="K20" s="211"/>
      <x:c r="L20" s="211"/>
      <x:c r="M20" s="211"/>
      <x:c r="N20" s="211"/>
    </x:row>
    <x:row r="21">
      <x:c r="A21" s="111" t="n">
        <x:v>17</x:v>
      </x:c>
      <x:c r="B21" s="111" t="str">
        <x:v>TRUSTEE DTVM</x:v>
      </x:c>
      <x:c r="C21" s="120" t="n">
        <x:v>10.733597093449998</x:v>
      </x:c>
      <x:c r="D21" s="111"/>
      <x:c r="E21" s="117" t="n">
        <x:f>C21/(SUM('Base Admins'!$F$6:$F$63)/1000000000)</x:f>
        <x:v>0.014206442395901806</x:v>
      </x:c>
      <x:c r="F21" s="211"/>
      <x:c r="G21" s="211"/>
      <x:c r="H21" s="211"/>
      <x:c r="I21" s="211"/>
      <x:c r="J21" s="211"/>
      <x:c r="K21" s="211"/>
      <x:c r="L21" s="211"/>
      <x:c r="M21" s="211"/>
      <x:c r="N21" s="211"/>
    </x:row>
    <x:row r="22">
      <x:c r="A22" s="111" t="n">
        <x:v>18</x:v>
      </x:c>
      <x:c r="B22" s="111" t="str">
        <x:v>MAF Distribuidora de Títulos e Valores Mobiliários S.A.</x:v>
      </x:c>
      <x:c r="C22" s="120" t="n">
        <x:v>10.601394569339995</x:v>
      </x:c>
      <x:c r="D22" s="111"/>
      <x:c r="E22" s="117" t="n">
        <x:f>C22/(SUM('Base Admins'!$F$6:$F$63)/1000000000)</x:f>
        <x:v>0.014031465868740406</x:v>
      </x:c>
      <x:c r="F22" s="211"/>
      <x:c r="G22" s="211"/>
      <x:c r="H22" s="211"/>
      <x:c r="I22" s="211"/>
      <x:c r="J22" s="211"/>
      <x:c r="K22" s="211"/>
      <x:c r="L22" s="211"/>
      <x:c r="M22" s="211"/>
      <x:c r="N22" s="211"/>
    </x:row>
    <x:row r="23">
      <x:c r="A23" s="111" t="n">
        <x:v>19</x:v>
      </x:c>
      <x:c r="B23" s="111" t="str">
        <x:v>ID Corretora de Títulos e Valores Mobiliários S.A.</x:v>
      </x:c>
      <x:c r="C23" s="120" t="n">
        <x:v>9.955182324590002</x:v>
      </x:c>
      <x:c r="D23" s="111"/>
      <x:c r="E23" s="117" t="n">
        <x:f>C23/(SUM('Base Admins'!$F$6:$F$63)/1000000000)</x:f>
        <x:v>0.013176172256483492</x:v>
      </x:c>
      <x:c r="F23" s="211"/>
      <x:c r="G23" s="211"/>
      <x:c r="H23" s="211"/>
      <x:c r="I23" s="211"/>
      <x:c r="J23" s="211"/>
      <x:c r="K23" s="211"/>
      <x:c r="L23" s="211"/>
      <x:c r="M23" s="211"/>
      <x:c r="N23" s="211"/>
    </x:row>
    <x:row r="24">
      <x:c r="A24" s="111" t="n">
        <x:v>20</x:v>
      </x:c>
      <x:c r="B24" s="111" t="str">
        <x:v>FIDD DISTRIBUIDORA DE TITULOS E VALORES MOBILIARIOS LTD</x:v>
      </x:c>
      <x:c r="C24" s="120" t="n">
        <x:v>9.753308535739999</x:v>
      </x:c>
      <x:c r="D24" s="111"/>
      <x:c r="E24" s="117" t="n">
        <x:f>C24/(SUM('Base Admins'!$F$6:$F$63)/1000000000)</x:f>
        <x:v>0.01290898239202602</x:v>
      </x:c>
      <x:c r="F24" s="211"/>
      <x:c r="G24" s="211"/>
      <x:c r="H24" s="211"/>
      <x:c r="I24" s="211"/>
      <x:c r="J24" s="211"/>
      <x:c r="K24" s="211"/>
      <x:c r="L24" s="211"/>
      <x:c r="M24" s="211"/>
      <x:c r="N24" s="211"/>
    </x:row>
    <x:row r="25">
      <x:c r="A25" s="111" t="n">
        <x:v>21</x:v>
      </x:c>
      <x:c r="B25" s="111" t="str">
        <x:v>S3 Caceis Brasil Distribuidora de Títulos e Valores Mob</x:v>
      </x:c>
      <x:c r="C25" s="120" t="n">
        <x:v>9.20264530721085</x:v>
      </x:c>
      <x:c r="D25" s="111"/>
      <x:c r="E25" s="117" t="n">
        <x:f>C25/(SUM('Base Admins'!$F$6:$F$63)/1000000000)</x:f>
        <x:v>0.012180152590839006</x:v>
      </x:c>
      <x:c r="F25" s="211"/>
      <x:c r="G25" s="211"/>
      <x:c r="H25" s="211"/>
      <x:c r="I25" s="211"/>
      <x:c r="J25" s="211"/>
      <x:c r="K25" s="211"/>
      <x:c r="L25" s="211"/>
      <x:c r="M25" s="211"/>
      <x:c r="N25" s="211"/>
    </x:row>
    <x:row r="26">
      <x:c r="A26" s="111" t="n">
        <x:v>22</x:v>
      </x:c>
      <x:c r="B26" s="111" t="str">
        <x:v>Limine Trust Distribuidora de Titulos e Valores Mobiliá</x:v>
      </x:c>
      <x:c r="C26" s="120" t="n">
        <x:v>8.517352452465001</x:v>
      </x:c>
      <x:c r="D26" s="111"/>
      <x:c r="E26" s="117" t="n">
        <x:f>C26/(SUM('Base Admins'!$F$6:$F$63)/1000000000)</x:f>
        <x:v>0.011273133873766892</x:v>
      </x:c>
      <x:c r="F26" s="211"/>
      <x:c r="G26" s="211"/>
      <x:c r="H26" s="211"/>
      <x:c r="I26" s="211"/>
      <x:c r="J26" s="211"/>
      <x:c r="K26" s="211"/>
      <x:c r="L26" s="211"/>
      <x:c r="M26" s="211"/>
      <x:c r="N26" s="211"/>
    </x:row>
    <x:row r="27">
      <x:c r="A27" s="111" t="n">
        <x:v>23</x:v>
      </x:c>
      <x:c r="B27" s="111" t="str">
        <x:v>XPI CCTVM S/A</x:v>
      </x:c>
      <x:c r="C27" s="120" t="n">
        <x:v>8.21451322119</x:v>
      </x:c>
      <x:c r="D27" s="111"/>
      <x:c r="E27" s="117" t="n">
        <x:f>C27/(SUM('Base Admins'!$F$6:$F$63)/1000000000)</x:f>
        <x:v>0.010872311292401984</x:v>
      </x:c>
      <x:c r="F27" s="211"/>
      <x:c r="G27" s="211"/>
      <x:c r="H27" s="211"/>
      <x:c r="I27" s="211"/>
      <x:c r="J27" s="211"/>
      <x:c r="K27" s="211"/>
      <x:c r="L27" s="211"/>
      <x:c r="M27" s="211"/>
      <x:c r="N27" s="211"/>
    </x:row>
    <x:row r="28">
      <x:c r="A28" s="111" t="n">
        <x:v>24</x:v>
      </x:c>
      <x:c r="B28" s="111" t="str">
        <x:v>SEFER DTVM</x:v>
      </x:c>
      <x:c r="C28" s="120" t="n">
        <x:v>7.977639073850001</x:v>
      </x:c>
      <x:c r="D28" s="111"/>
      <x:c r="E28" s="117" t="n">
        <x:f>C28/(SUM('Base Admins'!$F$6:$F$63)/1000000000)</x:f>
        <x:v>0.010558796736194394</x:v>
      </x:c>
      <x:c r="F28" s="211"/>
      <x:c r="G28" s="211"/>
      <x:c r="H28" s="211"/>
      <x:c r="I28" s="211"/>
      <x:c r="J28" s="211"/>
      <x:c r="K28" s="211"/>
      <x:c r="L28" s="211"/>
      <x:c r="M28" s="211"/>
      <x:c r="N28" s="211"/>
    </x:row>
    <x:row r="29">
      <x:c r="A29" s="112" t="n">
        <x:v>25</x:v>
      </x:c>
      <x:c r="B29" s="112" t="str">
        <x:v>Banvox DTVM</x:v>
      </x:c>
      <x:c r="C29" s="124" t="n">
        <x:v>6.2226128128500005</x:v>
      </x:c>
      <x:c r="D29" s="112"/>
      <x:c r="E29" s="118" t="n">
        <x:f>C29/(SUM('Base Admins'!$F$6:$F$63)/1000000000)</x:f>
        <x:v>0.008235933369596984</x:v>
      </x:c>
      <x:c r="F29" s="211"/>
      <x:c r="G29" s="211"/>
      <x:c r="H29" s="211"/>
      <x:c r="I29" s="211"/>
      <x:c r="J29" s="211"/>
      <x:c r="K29" s="211"/>
      <x:c r="L29" s="211"/>
      <x:c r="M29" s="211"/>
      <x:c r="N29" s="211"/>
    </x:row>
    <x:row r="30">
      <x:c r="A30" s="211"/>
      <x:c r="B30" s="211"/>
      <x:c r="C30" s="211"/>
      <x:c r="D30" s="211"/>
      <x:c r="E30" s="211"/>
      <x:c r="F30" s="211"/>
      <x:c r="G30" s="211"/>
      <x:c r="H30" s="211"/>
      <x:c r="I30" s="211"/>
      <x:c r="J30" s="211"/>
      <x:c r="K30" s="211"/>
      <x:c r="L30" s="211"/>
      <x:c r="M30" s="211"/>
      <x:c r="N30" s="211"/>
    </x:row>
    <x:row r="31">
      <x:c r="A31" s="211"/>
      <x:c r="B31" s="211"/>
      <x:c r="C31" s="211"/>
      <x:c r="D31" s="211"/>
      <x:c r="E31" s="211"/>
      <x:c r="F31" s="211"/>
      <x:c r="G31" s="211"/>
      <x:c r="H31" s="211"/>
      <x:c r="I31" s="211"/>
      <x:c r="J31" s="211"/>
      <x:c r="K31" s="211"/>
      <x:c r="L31" s="211"/>
      <x:c r="M31" s="211"/>
      <x:c r="N31" s="211"/>
    </x:row>
    <x:row r="32">
      <x:c r="A32" s="52" t="str">
        <x:v>Fonte: dashboard ANBIMA, maio/2026. PL agregado por administrador; pequenas diferenças contra o card decorrem de categorias sem identificação/duplicidades de contexto do modelo semântico.</x:v>
      </x:c>
      <x:c r="B32" s="52" t="str">
        <x:v>Fonte: dashboard ANBIMA, maio/2026. PL agregado por administrador; pequenas diferenças contra o card decorrem de categorias sem identificação/duplicidades de contexto do modelo semântico.</x:v>
      </x:c>
      <x:c r="C32" s="52" t="str">
        <x:v>Fonte: dashboard ANBIMA, maio/2026. PL agregado por administrador; pequenas diferenças contra o card decorrem de categorias sem identificação/duplicidades de contexto do modelo semântico.</x:v>
      </x:c>
      <x:c r="D32" s="52" t="str">
        <x:v>Fonte: dashboard ANBIMA, maio/2026. PL agregado por administrador; pequenas diferenças contra o card decorrem de categorias sem identificação/duplicidades de contexto do modelo semântico.</x:v>
      </x:c>
      <x:c r="E32" s="52" t="str">
        <x:v>Fonte: dashboard ANBIMA, maio/2026. PL agregado por administrador; pequenas diferenças contra o card decorrem de categorias sem identificação/duplicidades de contexto do modelo semântico.</x:v>
      </x:c>
      <x:c r="F32" s="52" t="str">
        <x:v>Fonte: dashboard ANBIMA, maio/2026. PL agregado por administrador; pequenas diferenças contra o card decorrem de categorias sem identificação/duplicidades de contexto do modelo semântico.</x:v>
      </x:c>
      <x:c r="G32" s="52" t="str">
        <x:v>Fonte: dashboard ANBIMA, maio/2026. PL agregado por administrador; pequenas diferenças contra o card decorrem de categorias sem identificação/duplicidades de contexto do modelo semântico.</x:v>
      </x:c>
      <x:c r="H32" s="52" t="str">
        <x:v>Fonte: dashboard ANBIMA, maio/2026. PL agregado por administrador; pequenas diferenças contra o card decorrem de categorias sem identificação/duplicidades de contexto do modelo semântico.</x:v>
      </x:c>
      <x:c r="I32" s="52" t="str">
        <x:v>Fonte: dashboard ANBIMA, maio/2026. PL agregado por administrador; pequenas diferenças contra o card decorrem de categorias sem identificação/duplicidades de contexto do modelo semântico.</x:v>
      </x:c>
      <x:c r="J32" s="52" t="str">
        <x:v>Fonte: dashboard ANBIMA, maio/2026. PL agregado por administrador; pequenas diferenças contra o card decorrem de categorias sem identificação/duplicidades de contexto do modelo semântico.</x:v>
      </x:c>
      <x:c r="K32" s="52" t="str">
        <x:v>Fonte: dashboard ANBIMA, maio/2026. PL agregado por administrador; pequenas diferenças contra o card decorrem de categorias sem identificação/duplicidades de contexto do modelo semântico.</x:v>
      </x:c>
      <x:c r="L32" s="52" t="str">
        <x:v>Fonte: dashboard ANBIMA, maio/2026. PL agregado por administrador; pequenas diferenças contra o card decorrem de categorias sem identificação/duplicidades de contexto do modelo semântico.</x:v>
      </x:c>
      <x:c r="M32" s="52" t="str">
        <x:v>Fonte: dashboard ANBIMA, maio/2026. PL agregado por administrador; pequenas diferenças contra o card decorrem de categorias sem identificação/duplicidades de contexto do modelo semântico.</x:v>
      </x:c>
      <x:c r="N32" s="52" t="str">
        <x:v>Fonte: dashboard ANBIMA, maio/2026. PL agregado por administrador; pequenas diferenças contra o card decorrem de categorias sem identificação/duplicidades de contexto do modelo semântico.</x:v>
      </x:c>
    </x:row>
    <x:row r="33">
      <x:c r="A33" s="52" t="str">
        <x:v>Fonte: dashboard ANBIMA, maio/2026. PL agregado por administrador; pequenas diferenças contra o card decorrem de categorias sem identificação/duplicidades de contexto do modelo semântico.</x:v>
      </x:c>
      <x:c r="B33" s="52" t="str">
        <x:v>Fonte: dashboard ANBIMA, maio/2026. PL agregado por administrador; pequenas diferenças contra o card decorrem de categorias sem identificação/duplicidades de contexto do modelo semântico.</x:v>
      </x:c>
      <x:c r="C33" s="52" t="str">
        <x:v>Fonte: dashboard ANBIMA, maio/2026. PL agregado por administrador; pequenas diferenças contra o card decorrem de categorias sem identificação/duplicidades de contexto do modelo semântico.</x:v>
      </x:c>
      <x:c r="D33" s="52" t="str">
        <x:v>Fonte: dashboard ANBIMA, maio/2026. PL agregado por administrador; pequenas diferenças contra o card decorrem de categorias sem identificação/duplicidades de contexto do modelo semântico.</x:v>
      </x:c>
      <x:c r="E33" s="52" t="str">
        <x:v>Fonte: dashboard ANBIMA, maio/2026. PL agregado por administrador; pequenas diferenças contra o card decorrem de categorias sem identificação/duplicidades de contexto do modelo semântico.</x:v>
      </x:c>
      <x:c r="F33" s="52" t="str">
        <x:v>Fonte: dashboard ANBIMA, maio/2026. PL agregado por administrador; pequenas diferenças contra o card decorrem de categorias sem identificação/duplicidades de contexto do modelo semântico.</x:v>
      </x:c>
      <x:c r="G33" s="52" t="str">
        <x:v>Fonte: dashboard ANBIMA, maio/2026. PL agregado por administrador; pequenas diferenças contra o card decorrem de categorias sem identificação/duplicidades de contexto do modelo semântico.</x:v>
      </x:c>
      <x:c r="H33" s="52" t="str">
        <x:v>Fonte: dashboard ANBIMA, maio/2026. PL agregado por administrador; pequenas diferenças contra o card decorrem de categorias sem identificação/duplicidades de contexto do modelo semântico.</x:v>
      </x:c>
      <x:c r="I33" s="52" t="str">
        <x:v>Fonte: dashboard ANBIMA, maio/2026. PL agregado por administrador; pequenas diferenças contra o card decorrem de categorias sem identificação/duplicidades de contexto do modelo semântico.</x:v>
      </x:c>
      <x:c r="J33" s="52" t="str">
        <x:v>Fonte: dashboard ANBIMA, maio/2026. PL agregado por administrador; pequenas diferenças contra o card decorrem de categorias sem identificação/duplicidades de contexto do modelo semântico.</x:v>
      </x:c>
      <x:c r="K33" s="52" t="str">
        <x:v>Fonte: dashboard ANBIMA, maio/2026. PL agregado por administrador; pequenas diferenças contra o card decorrem de categorias sem identificação/duplicidades de contexto do modelo semântico.</x:v>
      </x:c>
      <x:c r="L33" s="52" t="str">
        <x:v>Fonte: dashboard ANBIMA, maio/2026. PL agregado por administrador; pequenas diferenças contra o card decorrem de categorias sem identificação/duplicidades de contexto do modelo semântico.</x:v>
      </x:c>
      <x:c r="M33" s="52" t="str">
        <x:v>Fonte: dashboard ANBIMA, maio/2026. PL agregado por administrador; pequenas diferenças contra o card decorrem de categorias sem identificação/duplicidades de contexto do modelo semântico.</x:v>
      </x:c>
      <x:c r="N33" s="52" t="str">
        <x:v>Fonte: dashboard ANBIMA, maio/2026. PL agregado por administrador; pequenas diferenças contra o card decorrem de categorias sem identificação/duplicidades de contexto do modelo semântico.</x:v>
      </x:c>
    </x:row>
    <x:row r="34">
      <x:c r="A34" s="52" t="str">
        <x:v>Fonte: dashboard ANBIMA, maio/2026. PL agregado por administrador; pequenas diferenças contra o card decorrem de categorias sem identificação/duplicidades de contexto do modelo semântico.</x:v>
      </x:c>
      <x:c r="B34" s="52" t="str">
        <x:v>Fonte: dashboard ANBIMA, maio/2026. PL agregado por administrador; pequenas diferenças contra o card decorrem de categorias sem identificação/duplicidades de contexto do modelo semântico.</x:v>
      </x:c>
      <x:c r="C34" s="52" t="str">
        <x:v>Fonte: dashboard ANBIMA, maio/2026. PL agregado por administrador; pequenas diferenças contra o card decorrem de categorias sem identificação/duplicidades de contexto do modelo semântico.</x:v>
      </x:c>
      <x:c r="D34" s="52" t="str">
        <x:v>Fonte: dashboard ANBIMA, maio/2026. PL agregado por administrador; pequenas diferenças contra o card decorrem de categorias sem identificação/duplicidades de contexto do modelo semântico.</x:v>
      </x:c>
      <x:c r="E34" s="52" t="str">
        <x:v>Fonte: dashboard ANBIMA, maio/2026. PL agregado por administrador; pequenas diferenças contra o card decorrem de categorias sem identificação/duplicidades de contexto do modelo semântico.</x:v>
      </x:c>
      <x:c r="F34" s="52" t="str">
        <x:v>Fonte: dashboard ANBIMA, maio/2026. PL agregado por administrador; pequenas diferenças contra o card decorrem de categorias sem identificação/duplicidades de contexto do modelo semântico.</x:v>
      </x:c>
      <x:c r="G34" s="52" t="str">
        <x:v>Fonte: dashboard ANBIMA, maio/2026. PL agregado por administrador; pequenas diferenças contra o card decorrem de categorias sem identificação/duplicidades de contexto do modelo semântico.</x:v>
      </x:c>
      <x:c r="H34" s="52" t="str">
        <x:v>Fonte: dashboard ANBIMA, maio/2026. PL agregado por administrador; pequenas diferenças contra o card decorrem de categorias sem identificação/duplicidades de contexto do modelo semântico.</x:v>
      </x:c>
      <x:c r="I34" s="52" t="str">
        <x:v>Fonte: dashboard ANBIMA, maio/2026. PL agregado por administrador; pequenas diferenças contra o card decorrem de categorias sem identificação/duplicidades de contexto do modelo semântico.</x:v>
      </x:c>
      <x:c r="J34" s="52" t="str">
        <x:v>Fonte: dashboard ANBIMA, maio/2026. PL agregado por administrador; pequenas diferenças contra o card decorrem de categorias sem identificação/duplicidades de contexto do modelo semântico.</x:v>
      </x:c>
      <x:c r="K34" s="52" t="str">
        <x:v>Fonte: dashboard ANBIMA, maio/2026. PL agregado por administrador; pequenas diferenças contra o card decorrem de categorias sem identificação/duplicidades de contexto do modelo semântico.</x:v>
      </x:c>
      <x:c r="L34" s="52" t="str">
        <x:v>Fonte: dashboard ANBIMA, maio/2026. PL agregado por administrador; pequenas diferenças contra o card decorrem de categorias sem identificação/duplicidades de contexto do modelo semântico.</x:v>
      </x:c>
      <x:c r="M34" s="52" t="str">
        <x:v>Fonte: dashboard ANBIMA, maio/2026. PL agregado por administrador; pequenas diferenças contra o card decorrem de categorias sem identificação/duplicidades de contexto do modelo semântico.</x:v>
      </x:c>
      <x:c r="N34" s="52" t="str">
        <x:v>Fonte: dashboard ANBIMA, maio/2026. PL agregado por administrador; pequenas diferenças contra o card decorrem de categorias sem identificação/duplicidades de contexto do modelo semântico.</x:v>
      </x:c>
    </x:row>
  </x:sheetData>
  <x:mergeCells>
    <x:mergeCell ref="A1:N2"/>
    <x:mergeCell ref="A32:N34"/>
  </x:mergeCells>
  <x:pageMargins left="0.7" right="0.7" top="0.75" bottom="0.75" header="0.3" footer="0.3"/>
  <x:drawing xmlns:r="http://schemas.openxmlformats.org/officeDocument/2006/relationships" r:id="Rc7f223462c2f4e4c"/>
</x:worksheet>
</file>

<file path=xl/worksheets/sheet10.xml><?xml version="1.0" encoding="utf-8"?>
<x:worksheet xmlns:x="http://schemas.openxmlformats.org/spreadsheetml/2006/main">
  <x:sheetViews>
    <x:sheetView showGridLines="0" workbookViewId="0"/>
  </x:sheetViews>
  <x:sheetFormatPr defaultRowHeight="15"/>
  <x:cols>
    <x:col min="1" max="1" width="5" hidden="0" customWidth="1"/>
    <x:col min="2" max="2" width="42" hidden="0" customWidth="1"/>
    <x:col min="3" max="3" width="15" hidden="0" customWidth="1"/>
  </x:cols>
  <x:sheetData>
    <x:row r="1" ht="30" customHeight="1">
      <x:c r="A1" s="4" t="str">
        <x:v>Principais administradores por tipo ANBIMA</x:v>
      </x:c>
      <x:c r="B1" s="4" t="str">
        <x:v>Principais administradores por tipo ANBIMA</x:v>
      </x:c>
      <x:c r="C1" s="4" t="str">
        <x:v>Principais administradores por tipo ANBIMA</x:v>
      </x:c>
      <x:c r="D1" s="4" t="str">
        <x:v>Principais administradores por tipo ANBIMA</x:v>
      </x:c>
      <x:c r="E1" s="4" t="str">
        <x:v>Principais administradores por tipo ANBIMA</x:v>
      </x:c>
      <x:c r="F1" s="4" t="str">
        <x:v>Principais administradores por tipo ANBIMA</x:v>
      </x:c>
      <x:c r="G1" s="4" t="str">
        <x:v>Principais administradores por tipo ANBIMA</x:v>
      </x:c>
      <x:c r="H1" s="4" t="str">
        <x:v>Principais administradores por tipo ANBIMA</x:v>
      </x:c>
      <x:c r="I1" s="4" t="str">
        <x:v>Principais administradores por tipo ANBIMA</x:v>
      </x:c>
      <x:c r="J1" s="4" t="str">
        <x:v>Principais administradores por tipo ANBIMA</x:v>
      </x:c>
      <x:c r="K1" s="4" t="str">
        <x:v>Principais administradores por tipo ANBIMA</x:v>
      </x:c>
      <x:c r="L1" s="4" t="str">
        <x:v>Principais administradores por tipo ANBIMA</x:v>
      </x:c>
      <x:c r="M1" s="4" t="str">
        <x:v>Principais administradores por tipo ANBIMA</x:v>
      </x:c>
      <x:c r="N1" s="4" t="str">
        <x:v>Principais administradores por tipo ANBIMA</x:v>
      </x:c>
    </x:row>
    <x:row r="2" ht="30" customHeight="1">
      <x:c r="A2" s="4" t="str">
        <x:v>Principais administradores por tipo ANBIMA</x:v>
      </x:c>
      <x:c r="B2" s="4" t="str">
        <x:v>Principais administradores por tipo ANBIMA</x:v>
      </x:c>
      <x:c r="C2" s="4" t="str">
        <x:v>Principais administradores por tipo ANBIMA</x:v>
      </x:c>
      <x:c r="D2" s="4" t="str">
        <x:v>Principais administradores por tipo ANBIMA</x:v>
      </x:c>
      <x:c r="E2" s="4" t="str">
        <x:v>Principais administradores por tipo ANBIMA</x:v>
      </x:c>
      <x:c r="F2" s="4" t="str">
        <x:v>Principais administradores por tipo ANBIMA</x:v>
      </x:c>
      <x:c r="G2" s="4" t="str">
        <x:v>Principais administradores por tipo ANBIMA</x:v>
      </x:c>
      <x:c r="H2" s="4" t="str">
        <x:v>Principais administradores por tipo ANBIMA</x:v>
      </x:c>
      <x:c r="I2" s="4" t="str">
        <x:v>Principais administradores por tipo ANBIMA</x:v>
      </x:c>
      <x:c r="J2" s="4" t="str">
        <x:v>Principais administradores por tipo ANBIMA</x:v>
      </x:c>
      <x:c r="K2" s="4" t="str">
        <x:v>Principais administradores por tipo ANBIMA</x:v>
      </x:c>
      <x:c r="L2" s="4" t="str">
        <x:v>Principais administradores por tipo ANBIMA</x:v>
      </x:c>
      <x:c r="M2" s="4" t="str">
        <x:v>Principais administradores por tipo ANBIMA</x:v>
      </x:c>
      <x:c r="N2" s="4" t="str">
        <x:v>Principais administradores por tipo ANBIMA</x:v>
      </x:c>
    </x:row>
    <x:row r="3">
      <x:c r="A3" s="211"/>
      <x:c r="B3" s="211"/>
      <x:c r="C3" s="211"/>
      <x:c r="D3" s="211"/>
      <x:c r="E3" s="211"/>
      <x:c r="F3" s="211"/>
      <x:c r="G3" s="211"/>
      <x:c r="H3" s="211"/>
      <x:c r="I3" s="211"/>
      <x:c r="J3" s="211"/>
      <x:c r="K3" s="211"/>
      <x:c r="L3" s="211"/>
      <x:c r="M3" s="211"/>
      <x:c r="N3" s="211"/>
    </x:row>
    <x:row r="4" ht="23" customHeight="1">
      <x:c r="A4" s="8" t="str">
        <x:v>Agro, Indústria e Comércio</x:v>
      </x:c>
      <x:c r="B4" s="8" t="str">
        <x:v>Agro, Indústria e Comércio</x:v>
      </x:c>
      <x:c r="C4" s="8" t="str">
        <x:v>Agro, Indústria e Comércio</x:v>
      </x:c>
      <x:c r="D4" s="8" t="str">
        <x:v>Agro, Indústria e Comércio</x:v>
      </x:c>
      <x:c r="E4" s="8" t="str">
        <x:v>Agro, Indústria e Comércio</x:v>
      </x:c>
      <x:c r="F4" s="8" t="str">
        <x:v>Agro, Indústria e Comércio</x:v>
      </x:c>
      <x:c r="G4" s="211"/>
      <x:c r="H4" s="211"/>
      <x:c r="I4" s="211"/>
      <x:c r="J4" s="211"/>
      <x:c r="K4" s="211"/>
      <x:c r="L4" s="211"/>
      <x:c r="M4" s="211"/>
      <x:c r="N4" s="211"/>
    </x:row>
    <x:row r="5" ht="28" customHeight="1">
      <x:c r="A5" s="20" t="str">
        <x:v>#</x:v>
      </x:c>
      <x:c r="B5" s="21" t="str">
        <x:v>Administrador</x:v>
      </x:c>
      <x:c r="C5" s="22" t="str">
        <x:v>PL (R$ bi)</x:v>
      </x:c>
      <x:c r="D5" s="211"/>
      <x:c r="E5" s="211"/>
      <x:c r="F5" s="211"/>
      <x:c r="G5" s="211"/>
      <x:c r="H5" s="211"/>
      <x:c r="I5" s="211"/>
      <x:c r="J5" s="211"/>
      <x:c r="K5" s="211"/>
      <x:c r="L5" s="211"/>
      <x:c r="M5" s="211"/>
      <x:c r="N5" s="211"/>
    </x:row>
    <x:row r="6">
      <x:c r="A6" s="110" t="n">
        <x:v>1</x:v>
      </x:c>
      <x:c r="B6" s="110" t="str">
        <x:v>BB Asset Management</x:v>
      </x:c>
      <x:c r="C6" s="119" t="n">
        <x:v>60.85011891826</x:v>
      </x:c>
      <x:c r="D6" s="211"/>
      <x:c r="E6" s="211"/>
      <x:c r="F6" s="211"/>
      <x:c r="G6" s="211"/>
      <x:c r="H6" s="211"/>
      <x:c r="I6" s="211"/>
      <x:c r="J6" s="211"/>
      <x:c r="K6" s="211"/>
      <x:c r="L6" s="211"/>
      <x:c r="M6" s="211"/>
      <x:c r="N6" s="211"/>
    </x:row>
    <x:row r="7">
      <x:c r="A7" s="111" t="n">
        <x:v>2</x:v>
      </x:c>
      <x:c r="B7" s="111" t="str">
        <x:v>BEM - DIST. DE TÍTUL</x:v>
      </x:c>
      <x:c r="C7" s="120" t="n">
        <x:v>12.44095204522</x:v>
      </x:c>
      <x:c r="D7" s="211"/>
      <x:c r="E7" s="211"/>
      <x:c r="F7" s="211"/>
      <x:c r="G7" s="211"/>
      <x:c r="H7" s="211"/>
      <x:c r="I7" s="211"/>
      <x:c r="J7" s="211"/>
      <x:c r="K7" s="211"/>
      <x:c r="L7" s="211"/>
      <x:c r="M7" s="211"/>
      <x:c r="N7" s="211"/>
    </x:row>
    <x:row r="8">
      <x:c r="A8" s="111" t="n">
        <x:v>3</x:v>
      </x:c>
      <x:c r="B8" s="111" t="str">
        <x:v>Oliveira Trust DTVM</x:v>
      </x:c>
      <x:c r="C8" s="120" t="n">
        <x:v>9.77201719683</x:v>
      </x:c>
      <x:c r="D8" s="211"/>
      <x:c r="E8" s="211"/>
      <x:c r="F8" s="211"/>
      <x:c r="G8" s="211"/>
      <x:c r="H8" s="211"/>
      <x:c r="I8" s="211"/>
      <x:c r="J8" s="211"/>
      <x:c r="K8" s="211"/>
      <x:c r="L8" s="211"/>
      <x:c r="M8" s="211"/>
      <x:c r="N8" s="211"/>
    </x:row>
    <x:row r="9">
      <x:c r="A9" s="111" t="n">
        <x:v>4</x:v>
      </x:c>
      <x:c r="B9" s="111" t="str">
        <x:v>Singulare</x:v>
      </x:c>
      <x:c r="C9" s="120" t="n">
        <x:v>9.178183291309999</x:v>
      </x:c>
      <x:c r="D9" s="211"/>
      <x:c r="E9" s="211"/>
      <x:c r="F9" s="211"/>
      <x:c r="G9" s="211"/>
      <x:c r="H9" s="211"/>
      <x:c r="I9" s="211"/>
      <x:c r="J9" s="211"/>
      <x:c r="K9" s="211"/>
      <x:c r="L9" s="211"/>
      <x:c r="M9" s="211"/>
      <x:c r="N9" s="211"/>
    </x:row>
    <x:row r="10">
      <x:c r="A10" s="111" t="n">
        <x:v>5</x:v>
      </x:c>
      <x:c r="B10" s="111" t="str">
        <x:v>Finaxis Corretora de Títulos e Valores Mobiliários S.A.</x:v>
      </x:c>
      <x:c r="C10" s="120" t="n">
        <x:v>7.2737215401199995</x:v>
      </x:c>
      <x:c r="D10" s="211"/>
      <x:c r="E10" s="211"/>
      <x:c r="F10" s="211"/>
      <x:c r="G10" s="211"/>
      <x:c r="H10" s="211"/>
      <x:c r="I10" s="211"/>
      <x:c r="J10" s="211"/>
      <x:c r="K10" s="211"/>
      <x:c r="L10" s="211"/>
      <x:c r="M10" s="211"/>
      <x:c r="N10" s="211"/>
    </x:row>
    <x:row r="11">
      <x:c r="A11" s="111" t="n">
        <x:v>6</x:v>
      </x:c>
      <x:c r="B11" s="111" t="str">
        <x:v>BANCO DAYCOVAL S/A</x:v>
      </x:c>
      <x:c r="C11" s="120" t="n">
        <x:v>6.992054677983673</x:v>
      </x:c>
      <x:c r="D11" s="211"/>
      <x:c r="E11" s="211"/>
      <x:c r="F11" s="211"/>
      <x:c r="G11" s="211"/>
      <x:c r="H11" s="211"/>
      <x:c r="I11" s="211"/>
      <x:c r="J11" s="211"/>
      <x:c r="K11" s="211"/>
      <x:c r="L11" s="211"/>
      <x:c r="M11" s="211"/>
      <x:c r="N11" s="211"/>
    </x:row>
    <x:row r="12">
      <x:c r="A12" s="111" t="n">
        <x:v>7</x:v>
      </x:c>
      <x:c r="B12" s="111" t="str">
        <x:v>Banco Genial S.A.</x:v>
      </x:c>
      <x:c r="C12" s="120" t="n">
        <x:v>6.757010343209999</x:v>
      </x:c>
      <x:c r="D12" s="211"/>
      <x:c r="E12" s="211"/>
      <x:c r="F12" s="211"/>
      <x:c r="G12" s="211"/>
      <x:c r="H12" s="211"/>
      <x:c r="I12" s="211"/>
      <x:c r="J12" s="211"/>
      <x:c r="K12" s="211"/>
      <x:c r="L12" s="211"/>
      <x:c r="M12" s="211"/>
      <x:c r="N12" s="211"/>
    </x:row>
    <x:row r="13">
      <x:c r="A13" s="111" t="n">
        <x:v>8</x:v>
      </x:c>
      <x:c r="B13" s="111" t="str">
        <x:v>S3 Caceis Brasil Distribuidora de Títulos e Valores Mob</x:v>
      </x:c>
      <x:c r="C13" s="120" t="n">
        <x:v>4.86338894347999</x:v>
      </x:c>
      <x:c r="D13" s="211"/>
      <x:c r="E13" s="211"/>
      <x:c r="F13" s="211"/>
      <x:c r="G13" s="211"/>
      <x:c r="H13" s="211"/>
      <x:c r="I13" s="211"/>
      <x:c r="J13" s="211"/>
      <x:c r="K13" s="211"/>
      <x:c r="L13" s="211"/>
      <x:c r="M13" s="211"/>
      <x:c r="N13" s="211"/>
    </x:row>
    <x:row r="14">
      <x:c r="A14" s="111" t="n">
        <x:v>9</x:v>
      </x:c>
      <x:c r="B14" s="111" t="str">
        <x:v>VERT Distribuidora de Títulos e Valores Mobiliários Ltd</x:v>
      </x:c>
      <x:c r="C14" s="120" t="n">
        <x:v>4.652291203920002</x:v>
      </x:c>
      <x:c r="D14" s="211"/>
      <x:c r="E14" s="211"/>
      <x:c r="F14" s="211"/>
      <x:c r="G14" s="211"/>
      <x:c r="H14" s="211"/>
      <x:c r="I14" s="211"/>
      <x:c r="J14" s="211"/>
      <x:c r="K14" s="211"/>
      <x:c r="L14" s="211"/>
      <x:c r="M14" s="211"/>
      <x:c r="N14" s="211"/>
    </x:row>
    <x:row r="15">
      <x:c r="A15" s="111" t="n">
        <x:v>10</x:v>
      </x:c>
      <x:c r="B15" s="111" t="str">
        <x:v>HEMERA DTVM</x:v>
      </x:c>
      <x:c r="C15" s="120" t="n">
        <x:v>4.51954593852</x:v>
      </x:c>
      <x:c r="D15" s="211"/>
      <x:c r="E15" s="211"/>
      <x:c r="F15" s="211"/>
      <x:c r="G15" s="211"/>
      <x:c r="H15" s="211"/>
      <x:c r="I15" s="211"/>
      <x:c r="J15" s="211"/>
      <x:c r="K15" s="211"/>
      <x:c r="L15" s="211"/>
      <x:c r="M15" s="211"/>
      <x:c r="N15" s="211"/>
    </x:row>
    <x:row r="16">
      <x:c r="A16" s="111" t="n">
        <x:v>11</x:v>
      </x:c>
      <x:c r="B16" s="111" t="str">
        <x:v>CATÁLISE DTVM</x:v>
      </x:c>
      <x:c r="C16" s="120" t="n">
        <x:v>3.74883906181</x:v>
      </x:c>
      <x:c r="D16" s="211"/>
      <x:c r="E16" s="211"/>
      <x:c r="F16" s="211"/>
      <x:c r="G16" s="211"/>
      <x:c r="H16" s="211"/>
      <x:c r="I16" s="211"/>
      <x:c r="J16" s="211"/>
      <x:c r="K16" s="211"/>
      <x:c r="L16" s="211"/>
      <x:c r="M16" s="211"/>
      <x:c r="N16" s="211"/>
    </x:row>
    <x:row r="17">
      <x:c r="A17" s="111" t="n">
        <x:v>12</x:v>
      </x:c>
      <x:c r="B17" s="111" t="str">
        <x:v>VÓRTX DTVM</x:v>
      </x:c>
      <x:c r="C17" s="120" t="n">
        <x:v>3.64065457344</x:v>
      </x:c>
      <x:c r="D17" s="211"/>
      <x:c r="E17" s="211"/>
      <x:c r="F17" s="211"/>
      <x:c r="G17" s="211"/>
      <x:c r="H17" s="211"/>
      <x:c r="I17" s="211"/>
      <x:c r="J17" s="211"/>
      <x:c r="K17" s="211"/>
      <x:c r="L17" s="211"/>
      <x:c r="M17" s="211"/>
      <x:c r="N17" s="211"/>
    </x:row>
    <x:row r="18">
      <x:c r="A18" s="111" t="n">
        <x:v>13</x:v>
      </x:c>
      <x:c r="B18" s="111" t="str">
        <x:v>Genial Investimentos Corretora de Valores Mobiliários S.A.</x:v>
      </x:c>
      <x:c r="C18" s="120" t="n">
        <x:v>3.40014126005</x:v>
      </x:c>
      <x:c r="D18" s="211"/>
      <x:c r="E18" s="211"/>
      <x:c r="F18" s="211"/>
      <x:c r="G18" s="211"/>
      <x:c r="H18" s="211"/>
      <x:c r="I18" s="211"/>
      <x:c r="J18" s="211"/>
      <x:c r="K18" s="211"/>
      <x:c r="L18" s="211"/>
      <x:c r="M18" s="211"/>
      <x:c r="N18" s="211"/>
    </x:row>
    <x:row r="19">
      <x:c r="A19" s="111" t="n">
        <x:v>14</x:v>
      </x:c>
      <x:c r="B19" s="111" t="str">
        <x:v>INTRAG DIST. DE TÍTU</x:v>
      </x:c>
      <x:c r="C19" s="120" t="n">
        <x:v>3.381119858570001</x:v>
      </x:c>
      <x:c r="D19" s="211"/>
      <x:c r="E19" s="211"/>
      <x:c r="F19" s="211"/>
      <x:c r="G19" s="211"/>
      <x:c r="H19" s="211"/>
      <x:c r="I19" s="211"/>
      <x:c r="J19" s="211"/>
      <x:c r="K19" s="211"/>
      <x:c r="L19" s="211"/>
      <x:c r="M19" s="211"/>
      <x:c r="N19" s="211"/>
    </x:row>
    <x:row r="20">
      <x:c r="A20" s="112" t="n">
        <x:v>15</x:v>
      </x:c>
      <x:c r="B20" s="112" t="str">
        <x:v>BTG Pactual Servicos Financeiros S/A DTVM</x:v>
      </x:c>
      <x:c r="C20" s="124" t="n">
        <x:v>2.1928271662112</x:v>
      </x:c>
      <x:c r="D20" s="211"/>
      <x:c r="E20" s="211"/>
      <x:c r="F20" s="211"/>
      <x:c r="G20" s="211"/>
      <x:c r="H20" s="211"/>
      <x:c r="I20" s="211"/>
      <x:c r="J20" s="211"/>
      <x:c r="K20" s="211"/>
      <x:c r="L20" s="211"/>
      <x:c r="M20" s="211"/>
      <x:c r="N20" s="211"/>
    </x:row>
    <x:row r="21">
      <x:c r="A21" s="211"/>
      <x:c r="B21" s="211"/>
      <x:c r="C21" s="211"/>
      <x:c r="D21" s="211"/>
      <x:c r="E21" s="211"/>
      <x:c r="F21" s="211"/>
      <x:c r="G21" s="211"/>
      <x:c r="H21" s="211"/>
      <x:c r="I21" s="211"/>
      <x:c r="J21" s="211"/>
      <x:c r="K21" s="211"/>
      <x:c r="L21" s="211"/>
      <x:c r="M21" s="211"/>
      <x:c r="N21" s="211"/>
    </x:row>
    <x:row r="22">
      <x:c r="A22" s="211"/>
      <x:c r="B22" s="211"/>
      <x:c r="C22" s="211"/>
      <x:c r="D22" s="211"/>
      <x:c r="E22" s="211"/>
      <x:c r="F22" s="211"/>
      <x:c r="G22" s="211"/>
      <x:c r="H22" s="211"/>
      <x:c r="I22" s="211"/>
      <x:c r="J22" s="211"/>
      <x:c r="K22" s="211"/>
      <x:c r="L22" s="211"/>
      <x:c r="M22" s="211"/>
      <x:c r="N22" s="211"/>
    </x:row>
    <x:row r="23">
      <x:c r="A23" s="211"/>
      <x:c r="B23" s="211"/>
      <x:c r="C23" s="211"/>
      <x:c r="D23" s="211"/>
      <x:c r="E23" s="211"/>
      <x:c r="F23" s="211"/>
      <x:c r="G23" s="211"/>
      <x:c r="H23" s="211"/>
      <x:c r="I23" s="211"/>
      <x:c r="J23" s="211"/>
      <x:c r="K23" s="211"/>
      <x:c r="L23" s="211"/>
      <x:c r="M23" s="211"/>
      <x:c r="N23" s="211"/>
    </x:row>
    <x:row r="24">
      <x:c r="A24" s="211"/>
      <x:c r="B24" s="211"/>
      <x:c r="C24" s="211"/>
      <x:c r="D24" s="211"/>
      <x:c r="E24" s="211"/>
      <x:c r="F24" s="211"/>
      <x:c r="G24" s="211"/>
      <x:c r="H24" s="211"/>
      <x:c r="I24" s="211"/>
      <x:c r="J24" s="211"/>
      <x:c r="K24" s="211"/>
      <x:c r="L24" s="211"/>
      <x:c r="M24" s="211"/>
      <x:c r="N24" s="211"/>
    </x:row>
    <x:row r="25" ht="23" customHeight="1">
      <x:c r="A25" s="49" t="str">
        <x:v>Financeiro</x:v>
      </x:c>
      <x:c r="B25" s="49" t="str">
        <x:v>Financeiro</x:v>
      </x:c>
      <x:c r="C25" s="49" t="str">
        <x:v>Financeiro</x:v>
      </x:c>
      <x:c r="D25" s="49" t="str">
        <x:v>Financeiro</x:v>
      </x:c>
      <x:c r="E25" s="49" t="str">
        <x:v>Financeiro</x:v>
      </x:c>
      <x:c r="F25" s="49" t="str">
        <x:v>Financeiro</x:v>
      </x:c>
      <x:c r="G25" s="211"/>
      <x:c r="H25" s="211"/>
      <x:c r="I25" s="211"/>
      <x:c r="J25" s="211"/>
      <x:c r="K25" s="211"/>
      <x:c r="L25" s="211"/>
      <x:c r="M25" s="211"/>
      <x:c r="N25" s="211"/>
    </x:row>
    <x:row r="26" ht="28" customHeight="1">
      <x:c r="A26" s="20" t="str">
        <x:v>#</x:v>
      </x:c>
      <x:c r="B26" s="21" t="str">
        <x:v>Administrador</x:v>
      </x:c>
      <x:c r="C26" s="22" t="str">
        <x:v>PL (R$ bi)</x:v>
      </x:c>
      <x:c r="D26" s="211"/>
      <x:c r="E26" s="211"/>
      <x:c r="F26" s="211"/>
      <x:c r="G26" s="211"/>
      <x:c r="H26" s="211"/>
      <x:c r="I26" s="211"/>
      <x:c r="J26" s="211"/>
      <x:c r="K26" s="211"/>
      <x:c r="L26" s="211"/>
      <x:c r="M26" s="211"/>
      <x:c r="N26" s="211"/>
    </x:row>
    <x:row r="27">
      <x:c r="A27" s="110" t="n">
        <x:v>1</x:v>
      </x:c>
      <x:c r="B27" s="110" t="str">
        <x:v>Oliveira Trust DTVM</x:v>
      </x:c>
      <x:c r="C27" s="119" t="n">
        <x:v>78.28493622135004</x:v>
      </x:c>
      <x:c r="D27" s="211"/>
      <x:c r="E27" s="211"/>
      <x:c r="F27" s="211"/>
      <x:c r="G27" s="211"/>
      <x:c r="H27" s="211"/>
      <x:c r="I27" s="211"/>
      <x:c r="J27" s="211"/>
      <x:c r="K27" s="211"/>
      <x:c r="L27" s="211"/>
      <x:c r="M27" s="211"/>
      <x:c r="N27" s="211"/>
    </x:row>
    <x:row r="28">
      <x:c r="A28" s="111" t="n">
        <x:v>2</x:v>
      </x:c>
      <x:c r="B28" s="111" t="str">
        <x:v>BTG Pactual Servicos Financeiros S/A DTVM</x:v>
      </x:c>
      <x:c r="C28" s="120" t="n">
        <x:v>38.82462536629</x:v>
      </x:c>
      <x:c r="D28" s="211"/>
      <x:c r="E28" s="211"/>
      <x:c r="F28" s="211"/>
      <x:c r="G28" s="211"/>
      <x:c r="H28" s="211"/>
      <x:c r="I28" s="211"/>
      <x:c r="J28" s="211"/>
      <x:c r="K28" s="211"/>
      <x:c r="L28" s="211"/>
      <x:c r="M28" s="211"/>
      <x:c r="N28" s="211"/>
    </x:row>
    <x:row r="29">
      <x:c r="A29" s="111" t="n">
        <x:v>3</x:v>
      </x:c>
      <x:c r="B29" s="111" t="str">
        <x:v>BEM - DIST. DE TÍTUL</x:v>
      </x:c>
      <x:c r="C29" s="120" t="n">
        <x:v>17.14923161734</x:v>
      </x:c>
      <x:c r="D29" s="211"/>
      <x:c r="E29" s="211"/>
      <x:c r="F29" s="211"/>
      <x:c r="G29" s="211"/>
      <x:c r="H29" s="211"/>
      <x:c r="I29" s="211"/>
      <x:c r="J29" s="211"/>
      <x:c r="K29" s="211"/>
      <x:c r="L29" s="211"/>
      <x:c r="M29" s="211"/>
      <x:c r="N29" s="211"/>
    </x:row>
    <x:row r="30">
      <x:c r="A30" s="111" t="n">
        <x:v>4</x:v>
      </x:c>
      <x:c r="B30" s="111" t="str">
        <x:v>BANCO DAYCOVAL S/A</x:v>
      </x:c>
      <x:c r="C30" s="120" t="n">
        <x:v>14.507296989780013</x:v>
      </x:c>
      <x:c r="D30" s="211"/>
      <x:c r="E30" s="211"/>
      <x:c r="F30" s="211"/>
      <x:c r="G30" s="211"/>
      <x:c r="H30" s="211"/>
      <x:c r="I30" s="211"/>
      <x:c r="J30" s="211"/>
      <x:c r="K30" s="211"/>
      <x:c r="L30" s="211"/>
      <x:c r="M30" s="211"/>
      <x:c r="N30" s="211"/>
    </x:row>
    <x:row r="31">
      <x:c r="A31" s="111" t="n">
        <x:v>5</x:v>
      </x:c>
      <x:c r="B31" s="111" t="str">
        <x:v>Banco Genial S.A.</x:v>
      </x:c>
      <x:c r="C31" s="120" t="n">
        <x:v>14.291681166548907</x:v>
      </x:c>
      <x:c r="D31" s="211"/>
      <x:c r="E31" s="211"/>
      <x:c r="F31" s="211"/>
      <x:c r="G31" s="211"/>
      <x:c r="H31" s="211"/>
      <x:c r="I31" s="211"/>
      <x:c r="J31" s="211"/>
      <x:c r="K31" s="211"/>
      <x:c r="L31" s="211"/>
      <x:c r="M31" s="211"/>
      <x:c r="N31" s="211"/>
    </x:row>
    <x:row r="32">
      <x:c r="A32" s="111" t="n">
        <x:v>6</x:v>
      </x:c>
      <x:c r="B32" s="111" t="str">
        <x:v>Singulare</x:v>
      </x:c>
      <x:c r="C32" s="120" t="n">
        <x:v>13.490967943730206</x:v>
      </x:c>
      <x:c r="D32" s="211"/>
      <x:c r="E32" s="211"/>
      <x:c r="F32" s="211"/>
      <x:c r="G32" s="211"/>
      <x:c r="H32" s="211"/>
      <x:c r="I32" s="211"/>
      <x:c r="J32" s="211"/>
      <x:c r="K32" s="211"/>
      <x:c r="L32" s="211"/>
      <x:c r="M32" s="211"/>
      <x:c r="N32" s="211"/>
    </x:row>
    <x:row r="33">
      <x:c r="A33" s="111" t="n">
        <x:v>7</x:v>
      </x:c>
      <x:c r="B33" s="111" t="str">
        <x:v>VERT Distribuidora de Títulos e Valores Mobiliários Ltd</x:v>
      </x:c>
      <x:c r="C33" s="120" t="n">
        <x:v>8.275033611199998</x:v>
      </x:c>
      <x:c r="D33" s="211"/>
      <x:c r="E33" s="211"/>
      <x:c r="F33" s="211"/>
      <x:c r="G33" s="211"/>
      <x:c r="H33" s="211"/>
      <x:c r="I33" s="211"/>
      <x:c r="J33" s="211"/>
      <x:c r="K33" s="211"/>
      <x:c r="L33" s="211"/>
      <x:c r="M33" s="211"/>
      <x:c r="N33" s="211"/>
    </x:row>
    <x:row r="34">
      <x:c r="A34" s="111" t="n">
        <x:v>8</x:v>
      </x:c>
      <x:c r="B34" s="111" t="str">
        <x:v>BRL TRUST DTVM</x:v>
      </x:c>
      <x:c r="C34" s="120" t="n">
        <x:v>6.405778025210001</x:v>
      </x:c>
      <x:c r="D34" s="211"/>
      <x:c r="E34" s="211"/>
      <x:c r="F34" s="211"/>
      <x:c r="G34" s="211"/>
      <x:c r="H34" s="211"/>
      <x:c r="I34" s="211"/>
      <x:c r="J34" s="211"/>
      <x:c r="K34" s="211"/>
      <x:c r="L34" s="211"/>
      <x:c r="M34" s="211"/>
      <x:c r="N34" s="211"/>
    </x:row>
    <x:row r="35">
      <x:c r="A35" s="111" t="n">
        <x:v>9</x:v>
      </x:c>
      <x:c r="B35" s="111" t="str">
        <x:v>HEMERA DTVM</x:v>
      </x:c>
      <x:c r="C35" s="120" t="n">
        <x:v>4.163366470769999</x:v>
      </x:c>
      <x:c r="D35" s="211"/>
      <x:c r="E35" s="211"/>
      <x:c r="F35" s="211"/>
      <x:c r="G35" s="211"/>
      <x:c r="H35" s="211"/>
      <x:c r="I35" s="211"/>
      <x:c r="J35" s="211"/>
      <x:c r="K35" s="211"/>
      <x:c r="L35" s="211"/>
      <x:c r="M35" s="211"/>
      <x:c r="N35" s="211"/>
    </x:row>
    <x:row r="36">
      <x:c r="A36" s="111" t="n">
        <x:v>10</x:v>
      </x:c>
      <x:c r="B36" s="111" t="str">
        <x:v>S3 Caceis Brasil Distribuidora de Títulos e Valores Mob</x:v>
      </x:c>
      <x:c r="C36" s="120" t="n">
        <x:v>3.49213016123086</x:v>
      </x:c>
      <x:c r="D36" s="211"/>
      <x:c r="E36" s="211"/>
      <x:c r="F36" s="211"/>
      <x:c r="G36" s="211"/>
      <x:c r="H36" s="211"/>
      <x:c r="I36" s="211"/>
      <x:c r="J36" s="211"/>
      <x:c r="K36" s="211"/>
      <x:c r="L36" s="211"/>
      <x:c r="M36" s="211"/>
      <x:c r="N36" s="211"/>
    </x:row>
    <x:row r="37">
      <x:c r="A37" s="111" t="n">
        <x:v>11</x:v>
      </x:c>
      <x:c r="B37" s="111" t="str">
        <x:v>Genial Investimentos Corretora de Valores Mobiliários S.A.</x:v>
      </x:c>
      <x:c r="C37" s="120" t="n">
        <x:v>2.9697421128799992</x:v>
      </x:c>
      <x:c r="D37" s="211"/>
      <x:c r="E37" s="211"/>
      <x:c r="F37" s="211"/>
      <x:c r="G37" s="211"/>
      <x:c r="H37" s="211"/>
      <x:c r="I37" s="211"/>
      <x:c r="J37" s="211"/>
      <x:c r="K37" s="211"/>
      <x:c r="L37" s="211"/>
      <x:c r="M37" s="211"/>
      <x:c r="N37" s="211"/>
    </x:row>
    <x:row r="38">
      <x:c r="A38" s="111" t="n">
        <x:v>12</x:v>
      </x:c>
      <x:c r="B38" s="111" t="str">
        <x:v>VÓRTX DTVM</x:v>
      </x:c>
      <x:c r="C38" s="120" t="n">
        <x:v>2.9623457103499993</x:v>
      </x:c>
      <x:c r="D38" s="211"/>
      <x:c r="E38" s="211"/>
      <x:c r="F38" s="211"/>
      <x:c r="G38" s="211"/>
      <x:c r="H38" s="211"/>
      <x:c r="I38" s="211"/>
      <x:c r="J38" s="211"/>
      <x:c r="K38" s="211"/>
      <x:c r="L38" s="211"/>
      <x:c r="M38" s="211"/>
      <x:c r="N38" s="211"/>
    </x:row>
    <x:row r="39">
      <x:c r="A39" s="111" t="n">
        <x:v>13</x:v>
      </x:c>
      <x:c r="B39" s="111" t="str">
        <x:v>Limine Trust Distribuidora de Titulos e Valores Mobiliá</x:v>
      </x:c>
      <x:c r="C39" s="120" t="n">
        <x:v>2.751368030930001</x:v>
      </x:c>
      <x:c r="D39" s="211"/>
      <x:c r="E39" s="211"/>
      <x:c r="F39" s="211"/>
      <x:c r="G39" s="211"/>
      <x:c r="H39" s="211"/>
      <x:c r="I39" s="211"/>
      <x:c r="J39" s="211"/>
      <x:c r="K39" s="211"/>
      <x:c r="L39" s="211"/>
      <x:c r="M39" s="211"/>
      <x:c r="N39" s="211"/>
    </x:row>
    <x:row r="40">
      <x:c r="A40" s="111" t="n">
        <x:v>14</x:v>
      </x:c>
      <x:c r="B40" s="111" t="str">
        <x:v>Banvox DTVM</x:v>
      </x:c>
      <x:c r="C40" s="120" t="n">
        <x:v>1.890698051610001</x:v>
      </x:c>
      <x:c r="D40" s="211"/>
      <x:c r="E40" s="211"/>
      <x:c r="F40" s="211"/>
      <x:c r="G40" s="211"/>
      <x:c r="H40" s="211"/>
      <x:c r="I40" s="211"/>
      <x:c r="J40" s="211"/>
      <x:c r="K40" s="211"/>
      <x:c r="L40" s="211"/>
      <x:c r="M40" s="211"/>
      <x:c r="N40" s="211"/>
    </x:row>
    <x:row r="41">
      <x:c r="A41" s="112" t="n">
        <x:v>15</x:v>
      </x:c>
      <x:c r="B41" s="112" t="str">
        <x:v>ID Corretora de Títulos e Valores Mobiliários S.A.</x:v>
      </x:c>
      <x:c r="C41" s="124" t="n">
        <x:v>0.81847463777</x:v>
      </x:c>
      <x:c r="D41" s="211"/>
      <x:c r="E41" s="211"/>
      <x:c r="F41" s="211"/>
      <x:c r="G41" s="211"/>
      <x:c r="H41" s="211"/>
      <x:c r="I41" s="211"/>
      <x:c r="J41" s="211"/>
      <x:c r="K41" s="211"/>
      <x:c r="L41" s="211"/>
      <x:c r="M41" s="211"/>
      <x:c r="N41" s="211"/>
    </x:row>
    <x:row r="42">
      <x:c r="A42" s="211"/>
      <x:c r="B42" s="211"/>
      <x:c r="C42" s="211"/>
      <x:c r="D42" s="211"/>
      <x:c r="E42" s="211"/>
      <x:c r="F42" s="211"/>
      <x:c r="G42" s="211"/>
      <x:c r="H42" s="211"/>
      <x:c r="I42" s="211"/>
      <x:c r="J42" s="211"/>
      <x:c r="K42" s="211"/>
      <x:c r="L42" s="211"/>
      <x:c r="M42" s="211"/>
      <x:c r="N42" s="211"/>
    </x:row>
    <x:row r="43">
      <x:c r="A43" s="211"/>
      <x:c r="B43" s="211"/>
      <x:c r="C43" s="211"/>
      <x:c r="D43" s="211"/>
      <x:c r="E43" s="211"/>
      <x:c r="F43" s="211"/>
      <x:c r="G43" s="211"/>
      <x:c r="H43" s="211"/>
      <x:c r="I43" s="211"/>
      <x:c r="J43" s="211"/>
      <x:c r="K43" s="211"/>
      <x:c r="L43" s="211"/>
      <x:c r="M43" s="211"/>
      <x:c r="N43" s="211"/>
    </x:row>
    <x:row r="44">
      <x:c r="A44" s="211"/>
      <x:c r="B44" s="211"/>
      <x:c r="C44" s="211"/>
      <x:c r="D44" s="211"/>
      <x:c r="E44" s="211"/>
      <x:c r="F44" s="211"/>
      <x:c r="G44" s="211"/>
      <x:c r="H44" s="211"/>
      <x:c r="I44" s="211"/>
      <x:c r="J44" s="211"/>
      <x:c r="K44" s="211"/>
      <x:c r="L44" s="211"/>
      <x:c r="M44" s="211"/>
      <x:c r="N44" s="211"/>
    </x:row>
    <x:row r="45">
      <x:c r="A45" s="211"/>
      <x:c r="B45" s="211"/>
      <x:c r="C45" s="211"/>
      <x:c r="D45" s="211"/>
      <x:c r="E45" s="211"/>
      <x:c r="F45" s="211"/>
      <x:c r="G45" s="211"/>
      <x:c r="H45" s="211"/>
      <x:c r="I45" s="211"/>
      <x:c r="J45" s="211"/>
      <x:c r="K45" s="211"/>
      <x:c r="L45" s="211"/>
      <x:c r="M45" s="211"/>
      <x:c r="N45" s="211"/>
    </x:row>
    <x:row r="46" ht="23" customHeight="1">
      <x:c r="A46" s="157" t="str">
        <x:v>Fomento Mercantil</x:v>
      </x:c>
      <x:c r="B46" s="157" t="str">
        <x:v>Fomento Mercantil</x:v>
      </x:c>
      <x:c r="C46" s="157" t="str">
        <x:v>Fomento Mercantil</x:v>
      </x:c>
      <x:c r="D46" s="157" t="str">
        <x:v>Fomento Mercantil</x:v>
      </x:c>
      <x:c r="E46" s="157" t="str">
        <x:v>Fomento Mercantil</x:v>
      </x:c>
      <x:c r="F46" s="157" t="str">
        <x:v>Fomento Mercantil</x:v>
      </x:c>
      <x:c r="G46" s="211"/>
      <x:c r="H46" s="211"/>
      <x:c r="I46" s="211"/>
      <x:c r="J46" s="211"/>
      <x:c r="K46" s="211"/>
      <x:c r="L46" s="211"/>
      <x:c r="M46" s="211"/>
      <x:c r="N46" s="211"/>
    </x:row>
    <x:row r="47" ht="28" customHeight="1">
      <x:c r="A47" s="20" t="str">
        <x:v>#</x:v>
      </x:c>
      <x:c r="B47" s="21" t="str">
        <x:v>Administrador</x:v>
      </x:c>
      <x:c r="C47" s="22" t="str">
        <x:v>PL (R$ bi)</x:v>
      </x:c>
      <x:c r="D47" s="211"/>
      <x:c r="E47" s="211"/>
      <x:c r="F47" s="211"/>
      <x:c r="G47" s="211"/>
      <x:c r="H47" s="211"/>
      <x:c r="I47" s="211"/>
      <x:c r="J47" s="211"/>
      <x:c r="K47" s="211"/>
      <x:c r="L47" s="211"/>
      <x:c r="M47" s="211"/>
      <x:c r="N47" s="211"/>
    </x:row>
    <x:row r="48">
      <x:c r="A48" s="110" t="n">
        <x:v>1</x:v>
      </x:c>
      <x:c r="B48" s="110" t="str">
        <x:v>Singulare</x:v>
      </x:c>
      <x:c r="C48" s="119" t="n">
        <x:v>59.001395980769736</x:v>
      </x:c>
      <x:c r="D48" s="211"/>
      <x:c r="E48" s="211"/>
      <x:c r="F48" s="211"/>
      <x:c r="G48" s="211"/>
      <x:c r="H48" s="211"/>
      <x:c r="I48" s="211"/>
      <x:c r="J48" s="211"/>
      <x:c r="K48" s="211"/>
      <x:c r="L48" s="211"/>
      <x:c r="M48" s="211"/>
      <x:c r="N48" s="211"/>
    </x:row>
    <x:row r="49">
      <x:c r="A49" s="111" t="n">
        <x:v>2</x:v>
      </x:c>
      <x:c r="B49" s="111" t="str">
        <x:v>HEMERA DTVM</x:v>
      </x:c>
      <x:c r="C49" s="120" t="n">
        <x:v>3.761172744249999</x:v>
      </x:c>
      <x:c r="D49" s="211"/>
      <x:c r="E49" s="211"/>
      <x:c r="F49" s="211"/>
      <x:c r="G49" s="211"/>
      <x:c r="H49" s="211"/>
      <x:c r="I49" s="211"/>
      <x:c r="J49" s="211"/>
      <x:c r="K49" s="211"/>
      <x:c r="L49" s="211"/>
      <x:c r="M49" s="211"/>
      <x:c r="N49" s="211"/>
    </x:row>
    <x:row r="50">
      <x:c r="A50" s="111" t="n">
        <x:v>3</x:v>
      </x:c>
      <x:c r="B50" s="111" t="str">
        <x:v>FIDD DISTRIBUIDORA DE TITULOS E VALORES MOBILIARIOS LTD</x:v>
      </x:c>
      <x:c r="C50" s="120" t="n">
        <x:v>3.4216774577099995</x:v>
      </x:c>
      <x:c r="D50" s="211"/>
      <x:c r="E50" s="211"/>
      <x:c r="F50" s="211"/>
      <x:c r="G50" s="211"/>
      <x:c r="H50" s="211"/>
      <x:c r="I50" s="211"/>
      <x:c r="J50" s="211"/>
      <x:c r="K50" s="211"/>
      <x:c r="L50" s="211"/>
      <x:c r="M50" s="211"/>
      <x:c r="N50" s="211"/>
    </x:row>
    <x:row r="51">
      <x:c r="A51" s="111" t="n">
        <x:v>4</x:v>
      </x:c>
      <x:c r="B51" s="111" t="str">
        <x:v>SEFER DTVM</x:v>
      </x:c>
      <x:c r="C51" s="120" t="n">
        <x:v>3.2308875506200003</x:v>
      </x:c>
      <x:c r="D51" s="211"/>
      <x:c r="E51" s="211"/>
      <x:c r="F51" s="211"/>
      <x:c r="G51" s="211"/>
      <x:c r="H51" s="211"/>
      <x:c r="I51" s="211"/>
      <x:c r="J51" s="211"/>
      <x:c r="K51" s="211"/>
      <x:c r="L51" s="211"/>
      <x:c r="M51" s="211"/>
      <x:c r="N51" s="211"/>
    </x:row>
    <x:row r="52">
      <x:c r="A52" s="111" t="n">
        <x:v>5</x:v>
      </x:c>
      <x:c r="B52" s="111" t="str">
        <x:v>BEM - DIST. DE TÍTUL</x:v>
      </x:c>
      <x:c r="C52" s="120" t="n">
        <x:v>1.92300870515</x:v>
      </x:c>
      <x:c r="D52" s="211"/>
      <x:c r="E52" s="211"/>
      <x:c r="F52" s="211"/>
      <x:c r="G52" s="211"/>
      <x:c r="H52" s="211"/>
      <x:c r="I52" s="211"/>
      <x:c r="J52" s="211"/>
      <x:c r="K52" s="211"/>
      <x:c r="L52" s="211"/>
      <x:c r="M52" s="211"/>
      <x:c r="N52" s="211"/>
    </x:row>
    <x:row r="53">
      <x:c r="A53" s="111" t="n">
        <x:v>6</x:v>
      </x:c>
      <x:c r="B53" s="111" t="str">
        <x:v>Finaxis Corretora de Títulos e Valores Mobiliários S.A.</x:v>
      </x:c>
      <x:c r="C53" s="120" t="n">
        <x:v>1.8521767493399992</x:v>
      </x:c>
      <x:c r="D53" s="211"/>
      <x:c r="E53" s="211"/>
      <x:c r="F53" s="211"/>
      <x:c r="G53" s="211"/>
      <x:c r="H53" s="211"/>
      <x:c r="I53" s="211"/>
      <x:c r="J53" s="211"/>
      <x:c r="K53" s="211"/>
      <x:c r="L53" s="211"/>
      <x:c r="M53" s="211"/>
      <x:c r="N53" s="211"/>
    </x:row>
    <x:row r="54">
      <x:c r="A54" s="111" t="n">
        <x:v>7</x:v>
      </x:c>
      <x:c r="B54" s="111" t="str">
        <x:v>BANCO J. SAFRA S/A</x:v>
      </x:c>
      <x:c r="C54" s="120" t="n">
        <x:v>1.6564230533900002</x:v>
      </x:c>
      <x:c r="D54" s="211"/>
      <x:c r="E54" s="211"/>
      <x:c r="F54" s="211"/>
      <x:c r="G54" s="211"/>
      <x:c r="H54" s="211"/>
      <x:c r="I54" s="211"/>
      <x:c r="J54" s="211"/>
      <x:c r="K54" s="211"/>
      <x:c r="L54" s="211"/>
      <x:c r="M54" s="211"/>
      <x:c r="N54" s="211"/>
    </x:row>
    <x:row r="55">
      <x:c r="A55" s="111" t="n">
        <x:v>8</x:v>
      </x:c>
      <x:c r="B55" s="111" t="str">
        <x:v>ACTUAL DTVM</x:v>
      </x:c>
      <x:c r="C55" s="120" t="n">
        <x:v>1.6554659848999995</x:v>
      </x:c>
      <x:c r="D55" s="211"/>
      <x:c r="E55" s="211"/>
      <x:c r="F55" s="211"/>
      <x:c r="G55" s="211"/>
      <x:c r="H55" s="211"/>
      <x:c r="I55" s="211"/>
      <x:c r="J55" s="211"/>
      <x:c r="K55" s="211"/>
      <x:c r="L55" s="211"/>
      <x:c r="M55" s="211"/>
      <x:c r="N55" s="211"/>
    </x:row>
    <x:row r="56">
      <x:c r="A56" s="111" t="n">
        <x:v>9</x:v>
      </x:c>
      <x:c r="B56" s="111" t="str">
        <x:v>PLANNER CV</x:v>
      </x:c>
      <x:c r="C56" s="120" t="n">
        <x:v>1.19654296464</x:v>
      </x:c>
      <x:c r="D56" s="211"/>
      <x:c r="E56" s="211"/>
      <x:c r="F56" s="211"/>
      <x:c r="G56" s="211"/>
      <x:c r="H56" s="211"/>
      <x:c r="I56" s="211"/>
      <x:c r="J56" s="211"/>
      <x:c r="K56" s="211"/>
      <x:c r="L56" s="211"/>
      <x:c r="M56" s="211"/>
      <x:c r="N56" s="211"/>
    </x:row>
    <x:row r="57">
      <x:c r="A57" s="111" t="n">
        <x:v>10</x:v>
      </x:c>
      <x:c r="B57" s="111" t="str">
        <x:v>INTRAG DIST. DE TÍTU</x:v>
      </x:c>
      <x:c r="C57" s="120" t="n">
        <x:v>1.1677079895199995</x:v>
      </x:c>
      <x:c r="D57" s="211"/>
      <x:c r="E57" s="211"/>
      <x:c r="F57" s="211"/>
      <x:c r="G57" s="211"/>
      <x:c r="H57" s="211"/>
      <x:c r="I57" s="211"/>
      <x:c r="J57" s="211"/>
      <x:c r="K57" s="211"/>
      <x:c r="L57" s="211"/>
      <x:c r="M57" s="211"/>
      <x:c r="N57" s="211"/>
    </x:row>
    <x:row r="58">
      <x:c r="A58" s="111" t="n">
        <x:v>11</x:v>
      </x:c>
      <x:c r="B58" s="111" t="str">
        <x:v>Limine Trust Distribuidora de Titulos e Valores Mobiliá</x:v>
      </x:c>
      <x:c r="C58" s="120" t="n">
        <x:v>1.035457408755</x:v>
      </x:c>
      <x:c r="D58" s="211"/>
      <x:c r="E58" s="211"/>
      <x:c r="F58" s="211"/>
      <x:c r="G58" s="211"/>
      <x:c r="H58" s="211"/>
      <x:c r="I58" s="211"/>
      <x:c r="J58" s="211"/>
      <x:c r="K58" s="211"/>
      <x:c r="L58" s="211"/>
      <x:c r="M58" s="211"/>
      <x:c r="N58" s="211"/>
    </x:row>
    <x:row r="59">
      <x:c r="A59" s="111" t="n">
        <x:v>12</x:v>
      </x:c>
      <x:c r="B59" s="111" t="str">
        <x:v>ID Corretora de Títulos e Valores Mobiliários S.A.</x:v>
      </x:c>
      <x:c r="C59" s="120" t="n">
        <x:v>0.8900443113899998</x:v>
      </x:c>
      <x:c r="D59" s="211"/>
      <x:c r="E59" s="211"/>
      <x:c r="F59" s="211"/>
      <x:c r="G59" s="211"/>
      <x:c r="H59" s="211"/>
      <x:c r="I59" s="211"/>
      <x:c r="J59" s="211"/>
      <x:c r="K59" s="211"/>
      <x:c r="L59" s="211"/>
      <x:c r="M59" s="211"/>
      <x:c r="N59" s="211"/>
    </x:row>
    <x:row r="60">
      <x:c r="A60" s="111" t="n">
        <x:v>13</x:v>
      </x:c>
      <x:c r="B60" s="111" t="str">
        <x:v>BTG Pactual Servicos Financeiros S/A DTVM</x:v>
      </x:c>
      <x:c r="C60" s="120" t="n">
        <x:v>0.8847318374100002</x:v>
      </x:c>
      <x:c r="D60" s="211"/>
      <x:c r="E60" s="211"/>
      <x:c r="F60" s="211"/>
      <x:c r="G60" s="211"/>
      <x:c r="H60" s="211"/>
      <x:c r="I60" s="211"/>
      <x:c r="J60" s="211"/>
      <x:c r="K60" s="211"/>
      <x:c r="L60" s="211"/>
      <x:c r="M60" s="211"/>
      <x:c r="N60" s="211"/>
    </x:row>
    <x:row r="61">
      <x:c r="A61" s="111" t="n">
        <x:v>14</x:v>
      </x:c>
      <x:c r="B61" s="111" t="str">
        <x:v>Banco Finaxis S.A.</x:v>
      </x:c>
      <x:c r="C61" s="120" t="n">
        <x:v>0.77974336917</x:v>
      </x:c>
      <x:c r="D61" s="211"/>
      <x:c r="E61" s="211"/>
      <x:c r="F61" s="211"/>
      <x:c r="G61" s="211"/>
      <x:c r="H61" s="211"/>
      <x:c r="I61" s="211"/>
      <x:c r="J61" s="211"/>
      <x:c r="K61" s="211"/>
      <x:c r="L61" s="211"/>
      <x:c r="M61" s="211"/>
      <x:c r="N61" s="211"/>
    </x:row>
    <x:row r="62">
      <x:c r="A62" s="112" t="n">
        <x:v>15</x:v>
      </x:c>
      <x:c r="B62" s="112" t="str">
        <x:v>AZUMI DISTRIBUIDORA DE TÍTULOS E VALORES MOBILIÁRIOS LT</x:v>
      </x:c>
      <x:c r="C62" s="124" t="n">
        <x:v>0.6446780537199999</x:v>
      </x:c>
      <x:c r="D62" s="211"/>
      <x:c r="E62" s="211"/>
      <x:c r="F62" s="211"/>
      <x:c r="G62" s="211"/>
      <x:c r="H62" s="211"/>
      <x:c r="I62" s="211"/>
      <x:c r="J62" s="211"/>
      <x:c r="K62" s="211"/>
      <x:c r="L62" s="211"/>
      <x:c r="M62" s="211"/>
      <x:c r="N62" s="211"/>
    </x:row>
    <x:row r="63">
      <x:c r="A63" s="211"/>
      <x:c r="B63" s="211"/>
      <x:c r="C63" s="211"/>
      <x:c r="D63" s="211"/>
      <x:c r="E63" s="211"/>
      <x:c r="F63" s="211"/>
      <x:c r="G63" s="211"/>
      <x:c r="H63" s="211"/>
      <x:c r="I63" s="211"/>
      <x:c r="J63" s="211"/>
      <x:c r="K63" s="211"/>
      <x:c r="L63" s="211"/>
      <x:c r="M63" s="211"/>
      <x:c r="N63" s="211"/>
    </x:row>
    <x:row r="64">
      <x:c r="A64" s="211"/>
      <x:c r="B64" s="211"/>
      <x:c r="C64" s="211"/>
      <x:c r="D64" s="211"/>
      <x:c r="E64" s="211"/>
      <x:c r="F64" s="211"/>
      <x:c r="G64" s="211"/>
      <x:c r="H64" s="211"/>
      <x:c r="I64" s="211"/>
      <x:c r="J64" s="211"/>
      <x:c r="K64" s="211"/>
      <x:c r="L64" s="211"/>
      <x:c r="M64" s="211"/>
      <x:c r="N64" s="211"/>
    </x:row>
    <x:row r="65">
      <x:c r="A65" s="211"/>
      <x:c r="B65" s="211"/>
      <x:c r="C65" s="211"/>
      <x:c r="D65" s="211"/>
      <x:c r="E65" s="211"/>
      <x:c r="F65" s="211"/>
      <x:c r="G65" s="211"/>
      <x:c r="H65" s="211"/>
      <x:c r="I65" s="211"/>
      <x:c r="J65" s="211"/>
      <x:c r="K65" s="211"/>
      <x:c r="L65" s="211"/>
      <x:c r="M65" s="211"/>
      <x:c r="N65" s="211"/>
    </x:row>
    <x:row r="66">
      <x:c r="A66" s="211"/>
      <x:c r="B66" s="211"/>
      <x:c r="C66" s="211"/>
      <x:c r="D66" s="211"/>
      <x:c r="E66" s="211"/>
      <x:c r="F66" s="211"/>
      <x:c r="G66" s="211"/>
      <x:c r="H66" s="211"/>
      <x:c r="I66" s="211"/>
      <x:c r="J66" s="211"/>
      <x:c r="K66" s="211"/>
      <x:c r="L66" s="211"/>
      <x:c r="M66" s="211"/>
      <x:c r="N66" s="211"/>
    </x:row>
    <x:row r="67" ht="23" customHeight="1">
      <x:c r="A67" s="160" t="str">
        <x:v>Outros</x:v>
      </x:c>
      <x:c r="B67" s="160" t="str">
        <x:v>Outros</x:v>
      </x:c>
      <x:c r="C67" s="160" t="str">
        <x:v>Outros</x:v>
      </x:c>
      <x:c r="D67" s="160" t="str">
        <x:v>Outros</x:v>
      </x:c>
      <x:c r="E67" s="160" t="str">
        <x:v>Outros</x:v>
      </x:c>
      <x:c r="F67" s="160" t="str">
        <x:v>Outros</x:v>
      </x:c>
      <x:c r="G67" s="211"/>
      <x:c r="H67" s="211"/>
      <x:c r="I67" s="211"/>
      <x:c r="J67" s="211"/>
      <x:c r="K67" s="211"/>
      <x:c r="L67" s="211"/>
      <x:c r="M67" s="211"/>
      <x:c r="N67" s="211"/>
    </x:row>
    <x:row r="68" ht="28" customHeight="1">
      <x:c r="A68" s="20" t="str">
        <x:v>#</x:v>
      </x:c>
      <x:c r="B68" s="21" t="str">
        <x:v>Administrador</x:v>
      </x:c>
      <x:c r="C68" s="22" t="str">
        <x:v>PL (R$ bi)</x:v>
      </x:c>
      <x:c r="D68" s="211"/>
      <x:c r="E68" s="211"/>
      <x:c r="F68" s="211"/>
      <x:c r="G68" s="211"/>
      <x:c r="H68" s="211"/>
      <x:c r="I68" s="211"/>
      <x:c r="J68" s="211"/>
      <x:c r="K68" s="211"/>
      <x:c r="L68" s="211"/>
      <x:c r="M68" s="211"/>
      <x:c r="N68" s="211"/>
    </x:row>
    <x:row r="69">
      <x:c r="A69" s="110" t="n">
        <x:v>1</x:v>
      </x:c>
      <x:c r="B69" s="110" t="str">
        <x:v>BTG Pactual Servicos Financeiros S/A DTVM</x:v>
      </x:c>
      <x:c r="C69" s="119" t="n">
        <x:v>41.08602068152643</x:v>
      </x:c>
      <x:c r="D69" s="211"/>
      <x:c r="E69" s="211"/>
      <x:c r="F69" s="211"/>
      <x:c r="G69" s="211"/>
      <x:c r="H69" s="211"/>
      <x:c r="I69" s="211"/>
      <x:c r="J69" s="211"/>
      <x:c r="K69" s="211"/>
      <x:c r="L69" s="211"/>
      <x:c r="M69" s="211"/>
      <x:c r="N69" s="211"/>
    </x:row>
    <x:row r="70">
      <x:c r="A70" s="111" t="n">
        <x:v>2</x:v>
      </x:c>
      <x:c r="B70" s="111" t="str">
        <x:v>Singulare</x:v>
      </x:c>
      <x:c r="C70" s="120" t="n">
        <x:v>35.45495593941663</x:v>
      </x:c>
      <x:c r="D70" s="211"/>
      <x:c r="E70" s="211"/>
      <x:c r="F70" s="211"/>
      <x:c r="G70" s="211"/>
      <x:c r="H70" s="211"/>
      <x:c r="I70" s="211"/>
      <x:c r="J70" s="211"/>
      <x:c r="K70" s="211"/>
      <x:c r="L70" s="211"/>
      <x:c r="M70" s="211"/>
      <x:c r="N70" s="211"/>
    </x:row>
    <x:row r="71">
      <x:c r="A71" s="111" t="n">
        <x:v>3</x:v>
      </x:c>
      <x:c r="B71" s="111" t="str">
        <x:v>INTRAG DIST. DE TÍTU</x:v>
      </x:c>
      <x:c r="C71" s="120" t="n">
        <x:v>25.38682538576001</x:v>
      </x:c>
      <x:c r="D71" s="211"/>
      <x:c r="E71" s="211"/>
      <x:c r="F71" s="211"/>
      <x:c r="G71" s="211"/>
      <x:c r="H71" s="211"/>
      <x:c r="I71" s="211"/>
      <x:c r="J71" s="211"/>
      <x:c r="K71" s="211"/>
      <x:c r="L71" s="211"/>
      <x:c r="M71" s="211"/>
      <x:c r="N71" s="211"/>
    </x:row>
    <x:row r="72">
      <x:c r="A72" s="111" t="n">
        <x:v>4</x:v>
      </x:c>
      <x:c r="B72" s="111" t="str">
        <x:v>BANCO DAYCOVAL S/A</x:v>
      </x:c>
      <x:c r="C72" s="120" t="n">
        <x:v>22.550133485629996</x:v>
      </x:c>
      <x:c r="D72" s="211"/>
      <x:c r="E72" s="211"/>
      <x:c r="F72" s="211"/>
      <x:c r="G72" s="211"/>
      <x:c r="H72" s="211"/>
      <x:c r="I72" s="211"/>
      <x:c r="J72" s="211"/>
      <x:c r="K72" s="211"/>
      <x:c r="L72" s="211"/>
      <x:c r="M72" s="211"/>
      <x:c r="N72" s="211"/>
    </x:row>
    <x:row r="73">
      <x:c r="A73" s="111" t="n">
        <x:v>5</x:v>
      </x:c>
      <x:c r="B73" s="111" t="str">
        <x:v>BEM - DIST. DE TÍTUL</x:v>
      </x:c>
      <x:c r="C73" s="120" t="n">
        <x:v>17.34886202189</x:v>
      </x:c>
      <x:c r="D73" s="211"/>
      <x:c r="E73" s="211"/>
      <x:c r="F73" s="211"/>
      <x:c r="G73" s="211"/>
      <x:c r="H73" s="211"/>
      <x:c r="I73" s="211"/>
      <x:c r="J73" s="211"/>
      <x:c r="K73" s="211"/>
      <x:c r="L73" s="211"/>
      <x:c r="M73" s="211"/>
      <x:c r="N73" s="211"/>
    </x:row>
    <x:row r="74">
      <x:c r="A74" s="111" t="n">
        <x:v>6</x:v>
      </x:c>
      <x:c r="B74" s="111" t="str">
        <x:v>BRL TRUST DTVM</x:v>
      </x:c>
      <x:c r="C74" s="120" t="n">
        <x:v>11.887771588089995</x:v>
      </x:c>
      <x:c r="D74" s="211"/>
      <x:c r="E74" s="211"/>
      <x:c r="F74" s="211"/>
      <x:c r="G74" s="211"/>
      <x:c r="H74" s="211"/>
      <x:c r="I74" s="211"/>
      <x:c r="J74" s="211"/>
      <x:c r="K74" s="211"/>
      <x:c r="L74" s="211"/>
      <x:c r="M74" s="211"/>
      <x:c r="N74" s="211"/>
    </x:row>
    <x:row r="75">
      <x:c r="A75" s="111" t="n">
        <x:v>7</x:v>
      </x:c>
      <x:c r="B75" s="111" t="str">
        <x:v>BNY MELLON SERVICOS</x:v>
      </x:c>
      <x:c r="C75" s="120" t="n">
        <x:v>11.647029899781149</x:v>
      </x:c>
      <x:c r="D75" s="211"/>
      <x:c r="E75" s="211"/>
      <x:c r="F75" s="211"/>
      <x:c r="G75" s="211"/>
      <x:c r="H75" s="211"/>
      <x:c r="I75" s="211"/>
      <x:c r="J75" s="211"/>
      <x:c r="K75" s="211"/>
      <x:c r="L75" s="211"/>
      <x:c r="M75" s="211"/>
      <x:c r="N75" s="211"/>
    </x:row>
    <x:row r="76">
      <x:c r="A76" s="111" t="n">
        <x:v>8</x:v>
      </x:c>
      <x:c r="B76" s="111" t="str">
        <x:v>Genial Investimentos Corretora de Valores Mobiliários S.A.</x:v>
      </x:c>
      <x:c r="C76" s="120" t="n">
        <x:v>11.210294796319998</x:v>
      </x:c>
      <x:c r="D76" s="211"/>
      <x:c r="E76" s="211"/>
      <x:c r="F76" s="211"/>
      <x:c r="G76" s="211"/>
      <x:c r="H76" s="211"/>
      <x:c r="I76" s="211"/>
      <x:c r="J76" s="211"/>
      <x:c r="K76" s="211"/>
      <x:c r="L76" s="211"/>
      <x:c r="M76" s="211"/>
      <x:c r="N76" s="211"/>
    </x:row>
    <x:row r="77">
      <x:c r="A77" s="111" t="n">
        <x:v>9</x:v>
      </x:c>
      <x:c r="B77" s="111" t="str">
        <x:v>PLANNER CV</x:v>
      </x:c>
      <x:c r="C77" s="120" t="n">
        <x:v>11.050885873010005</x:v>
      </x:c>
      <x:c r="D77" s="211"/>
      <x:c r="E77" s="211"/>
      <x:c r="F77" s="211"/>
      <x:c r="G77" s="211"/>
      <x:c r="H77" s="211"/>
      <x:c r="I77" s="211"/>
      <x:c r="J77" s="211"/>
      <x:c r="K77" s="211"/>
      <x:c r="L77" s="211"/>
      <x:c r="M77" s="211"/>
      <x:c r="N77" s="211"/>
    </x:row>
    <x:row r="78">
      <x:c r="A78" s="111" t="n">
        <x:v>10</x:v>
      </x:c>
      <x:c r="B78" s="111" t="str">
        <x:v>MAF Distribuidora de Títulos e Valores Mobiliários S.A.</x:v>
      </x:c>
      <x:c r="C78" s="120" t="n">
        <x:v>10.384086782119995</x:v>
      </x:c>
      <x:c r="D78" s="211"/>
      <x:c r="E78" s="211"/>
      <x:c r="F78" s="211"/>
      <x:c r="G78" s="211"/>
      <x:c r="H78" s="211"/>
      <x:c r="I78" s="211"/>
      <x:c r="J78" s="211"/>
      <x:c r="K78" s="211"/>
      <x:c r="L78" s="211"/>
      <x:c r="M78" s="211"/>
      <x:c r="N78" s="211"/>
    </x:row>
    <x:row r="79">
      <x:c r="A79" s="111" t="n">
        <x:v>11</x:v>
      </x:c>
      <x:c r="B79" s="111" t="str">
        <x:v>TRUSTEE DTVM</x:v>
      </x:c>
      <x:c r="C79" s="120" t="n">
        <x:v>10.358627755149998</x:v>
      </x:c>
      <x:c r="D79" s="211"/>
      <x:c r="E79" s="211"/>
      <x:c r="F79" s="211"/>
      <x:c r="G79" s="211"/>
      <x:c r="H79" s="211"/>
      <x:c r="I79" s="211"/>
      <x:c r="J79" s="211"/>
      <x:c r="K79" s="211"/>
      <x:c r="L79" s="211"/>
      <x:c r="M79" s="211"/>
      <x:c r="N79" s="211"/>
    </x:row>
    <x:row r="80">
      <x:c r="A80" s="111" t="n">
        <x:v>12</x:v>
      </x:c>
      <x:c r="B80" s="111" t="str">
        <x:v>ID Corretora de Títulos e Valores Mobiliários S.A.</x:v>
      </x:c>
      <x:c r="C80" s="120" t="n">
        <x:v>8.003837279730002</x:v>
      </x:c>
      <x:c r="D80" s="211"/>
      <x:c r="E80" s="211"/>
      <x:c r="F80" s="211"/>
      <x:c r="G80" s="211"/>
      <x:c r="H80" s="211"/>
      <x:c r="I80" s="211"/>
      <x:c r="J80" s="211"/>
      <x:c r="K80" s="211"/>
      <x:c r="L80" s="211"/>
      <x:c r="M80" s="211"/>
      <x:c r="N80" s="211"/>
    </x:row>
    <x:row r="81">
      <x:c r="A81" s="111" t="n">
        <x:v>13</x:v>
      </x:c>
      <x:c r="B81" s="111" t="str">
        <x:v>HEMERA DTVM</x:v>
      </x:c>
      <x:c r="C81" s="120" t="n">
        <x:v>7.63347636668</x:v>
      </x:c>
      <x:c r="D81" s="211"/>
      <x:c r="E81" s="211"/>
      <x:c r="F81" s="211"/>
      <x:c r="G81" s="211"/>
      <x:c r="H81" s="211"/>
      <x:c r="I81" s="211"/>
      <x:c r="J81" s="211"/>
      <x:c r="K81" s="211"/>
      <x:c r="L81" s="211"/>
      <x:c r="M81" s="211"/>
      <x:c r="N81" s="211"/>
    </x:row>
    <x:row r="82">
      <x:c r="A82" s="111" t="n">
        <x:v>14</x:v>
      </x:c>
      <x:c r="B82" s="111" t="str">
        <x:v>Finaxis Corretora de Títulos e Valores Mobiliários S.A.</x:v>
      </x:c>
      <x:c r="C82" s="120" t="n">
        <x:v>7.280601995619998</x:v>
      </x:c>
      <x:c r="D82" s="211"/>
      <x:c r="E82" s="211"/>
      <x:c r="F82" s="211"/>
      <x:c r="G82" s="211"/>
      <x:c r="H82" s="211"/>
      <x:c r="I82" s="211"/>
      <x:c r="J82" s="211"/>
      <x:c r="K82" s="211"/>
      <x:c r="L82" s="211"/>
      <x:c r="M82" s="211"/>
      <x:c r="N82" s="211"/>
    </x:row>
    <x:row r="83">
      <x:c r="A83" s="112" t="n">
        <x:v>15</x:v>
      </x:c>
      <x:c r="B83" s="112" t="str">
        <x:v>Oliveira Trust DTVM</x:v>
      </x:c>
      <x:c r="C83" s="124" t="n">
        <x:v>6.96667653748</x:v>
      </x:c>
      <x:c r="D83" s="211"/>
      <x:c r="E83" s="211"/>
      <x:c r="F83" s="211"/>
      <x:c r="G83" s="211"/>
      <x:c r="H83" s="211"/>
      <x:c r="I83" s="211"/>
      <x:c r="J83" s="211"/>
      <x:c r="K83" s="211"/>
      <x:c r="L83" s="211"/>
      <x:c r="M83" s="211"/>
      <x:c r="N83" s="211"/>
    </x:row>
    <x:row r="84">
      <x:c r="A84" s="211"/>
      <x:c r="B84" s="211"/>
      <x:c r="C84" s="211"/>
      <x:c r="D84" s="211"/>
      <x:c r="E84" s="211"/>
      <x:c r="F84" s="211"/>
      <x:c r="G84" s="211"/>
      <x:c r="H84" s="211"/>
      <x:c r="I84" s="211"/>
      <x:c r="J84" s="211"/>
      <x:c r="K84" s="211"/>
      <x:c r="L84" s="211"/>
      <x:c r="M84" s="211"/>
      <x:c r="N84" s="211"/>
    </x:row>
    <x:row r="85">
      <x:c r="A85" s="211"/>
      <x:c r="B85" s="211"/>
      <x:c r="C85" s="211"/>
      <x:c r="D85" s="211"/>
      <x:c r="E85" s="211"/>
      <x:c r="F85" s="211"/>
      <x:c r="G85" s="211"/>
      <x:c r="H85" s="211"/>
      <x:c r="I85" s="211"/>
      <x:c r="J85" s="211"/>
      <x:c r="K85" s="211"/>
      <x:c r="L85" s="211"/>
      <x:c r="M85" s="211"/>
      <x:c r="N85" s="211"/>
    </x:row>
    <x:row r="86">
      <x:c r="A86" s="211"/>
      <x:c r="B86" s="211"/>
      <x:c r="C86" s="211"/>
      <x:c r="D86" s="211"/>
      <x:c r="E86" s="211"/>
      <x:c r="F86" s="211"/>
      <x:c r="G86" s="211"/>
      <x:c r="H86" s="211"/>
      <x:c r="I86" s="211"/>
      <x:c r="J86" s="211"/>
      <x:c r="K86" s="211"/>
      <x:c r="L86" s="211"/>
      <x:c r="M86" s="211"/>
      <x:c r="N86" s="211"/>
    </x:row>
    <x:row r="87">
      <x:c r="A87" s="211"/>
      <x:c r="B87" s="211"/>
      <x:c r="C87" s="211"/>
      <x:c r="D87" s="211"/>
      <x:c r="E87" s="211"/>
      <x:c r="F87" s="211"/>
      <x:c r="G87" s="211"/>
      <x:c r="H87" s="211"/>
      <x:c r="I87" s="211"/>
      <x:c r="J87" s="211"/>
      <x:c r="K87" s="211"/>
      <x:c r="L87" s="211"/>
      <x:c r="M87" s="211"/>
      <x:c r="N87" s="211"/>
    </x:row>
    <x:row r="88">
      <x:c r="A88" s="52" t="str">
        <x:v>Fonte: dashboard ANBIMA, maio/2026. Ranking por PL agregado em cada tipo ANBIMA.</x:v>
      </x:c>
      <x:c r="B88" s="52" t="str">
        <x:v>Fonte: dashboard ANBIMA, maio/2026. Ranking por PL agregado em cada tipo ANBIMA.</x:v>
      </x:c>
      <x:c r="C88" s="52" t="str">
        <x:v>Fonte: dashboard ANBIMA, maio/2026. Ranking por PL agregado em cada tipo ANBIMA.</x:v>
      </x:c>
      <x:c r="D88" s="52" t="str">
        <x:v>Fonte: dashboard ANBIMA, maio/2026. Ranking por PL agregado em cada tipo ANBIMA.</x:v>
      </x:c>
      <x:c r="E88" s="52" t="str">
        <x:v>Fonte: dashboard ANBIMA, maio/2026. Ranking por PL agregado em cada tipo ANBIMA.</x:v>
      </x:c>
      <x:c r="F88" s="52" t="str">
        <x:v>Fonte: dashboard ANBIMA, maio/2026. Ranking por PL agregado em cada tipo ANBIMA.</x:v>
      </x:c>
      <x:c r="G88" s="52" t="str">
        <x:v>Fonte: dashboard ANBIMA, maio/2026. Ranking por PL agregado em cada tipo ANBIMA.</x:v>
      </x:c>
      <x:c r="H88" s="52" t="str">
        <x:v>Fonte: dashboard ANBIMA, maio/2026. Ranking por PL agregado em cada tipo ANBIMA.</x:v>
      </x:c>
      <x:c r="I88" s="52" t="str">
        <x:v>Fonte: dashboard ANBIMA, maio/2026. Ranking por PL agregado em cada tipo ANBIMA.</x:v>
      </x:c>
      <x:c r="J88" s="52" t="str">
        <x:v>Fonte: dashboard ANBIMA, maio/2026. Ranking por PL agregado em cada tipo ANBIMA.</x:v>
      </x:c>
      <x:c r="K88" s="52" t="str">
        <x:v>Fonte: dashboard ANBIMA, maio/2026. Ranking por PL agregado em cada tipo ANBIMA.</x:v>
      </x:c>
      <x:c r="L88" s="52" t="str">
        <x:v>Fonte: dashboard ANBIMA, maio/2026. Ranking por PL agregado em cada tipo ANBIMA.</x:v>
      </x:c>
      <x:c r="M88" s="52" t="str">
        <x:v>Fonte: dashboard ANBIMA, maio/2026. Ranking por PL agregado em cada tipo ANBIMA.</x:v>
      </x:c>
      <x:c r="N88" s="52" t="str">
        <x:v>Fonte: dashboard ANBIMA, maio/2026. Ranking por PL agregado em cada tipo ANBIMA.</x:v>
      </x:c>
    </x:row>
    <x:row r="89">
      <x:c r="A89" s="52" t="str">
        <x:v>Fonte: dashboard ANBIMA, maio/2026. Ranking por PL agregado em cada tipo ANBIMA.</x:v>
      </x:c>
      <x:c r="B89" s="52" t="str">
        <x:v>Fonte: dashboard ANBIMA, maio/2026. Ranking por PL agregado em cada tipo ANBIMA.</x:v>
      </x:c>
      <x:c r="C89" s="52" t="str">
        <x:v>Fonte: dashboard ANBIMA, maio/2026. Ranking por PL agregado em cada tipo ANBIMA.</x:v>
      </x:c>
      <x:c r="D89" s="52" t="str">
        <x:v>Fonte: dashboard ANBIMA, maio/2026. Ranking por PL agregado em cada tipo ANBIMA.</x:v>
      </x:c>
      <x:c r="E89" s="52" t="str">
        <x:v>Fonte: dashboard ANBIMA, maio/2026. Ranking por PL agregado em cada tipo ANBIMA.</x:v>
      </x:c>
      <x:c r="F89" s="52" t="str">
        <x:v>Fonte: dashboard ANBIMA, maio/2026. Ranking por PL agregado em cada tipo ANBIMA.</x:v>
      </x:c>
      <x:c r="G89" s="52" t="str">
        <x:v>Fonte: dashboard ANBIMA, maio/2026. Ranking por PL agregado em cada tipo ANBIMA.</x:v>
      </x:c>
      <x:c r="H89" s="52" t="str">
        <x:v>Fonte: dashboard ANBIMA, maio/2026. Ranking por PL agregado em cada tipo ANBIMA.</x:v>
      </x:c>
      <x:c r="I89" s="52" t="str">
        <x:v>Fonte: dashboard ANBIMA, maio/2026. Ranking por PL agregado em cada tipo ANBIMA.</x:v>
      </x:c>
      <x:c r="J89" s="52" t="str">
        <x:v>Fonte: dashboard ANBIMA, maio/2026. Ranking por PL agregado em cada tipo ANBIMA.</x:v>
      </x:c>
      <x:c r="K89" s="52" t="str">
        <x:v>Fonte: dashboard ANBIMA, maio/2026. Ranking por PL agregado em cada tipo ANBIMA.</x:v>
      </x:c>
      <x:c r="L89" s="52" t="str">
        <x:v>Fonte: dashboard ANBIMA, maio/2026. Ranking por PL agregado em cada tipo ANBIMA.</x:v>
      </x:c>
      <x:c r="M89" s="52" t="str">
        <x:v>Fonte: dashboard ANBIMA, maio/2026. Ranking por PL agregado em cada tipo ANBIMA.</x:v>
      </x:c>
      <x:c r="N89" s="52" t="str">
        <x:v>Fonte: dashboard ANBIMA, maio/2026. Ranking por PL agregado em cada tipo ANBIMA.</x:v>
      </x:c>
    </x:row>
    <x:row r="90">
      <x:c r="A90" s="52" t="str">
        <x:v>Fonte: dashboard ANBIMA, maio/2026. Ranking por PL agregado em cada tipo ANBIMA.</x:v>
      </x:c>
      <x:c r="B90" s="52" t="str">
        <x:v>Fonte: dashboard ANBIMA, maio/2026. Ranking por PL agregado em cada tipo ANBIMA.</x:v>
      </x:c>
      <x:c r="C90" s="52" t="str">
        <x:v>Fonte: dashboard ANBIMA, maio/2026. Ranking por PL agregado em cada tipo ANBIMA.</x:v>
      </x:c>
      <x:c r="D90" s="52" t="str">
        <x:v>Fonte: dashboard ANBIMA, maio/2026. Ranking por PL agregado em cada tipo ANBIMA.</x:v>
      </x:c>
      <x:c r="E90" s="52" t="str">
        <x:v>Fonte: dashboard ANBIMA, maio/2026. Ranking por PL agregado em cada tipo ANBIMA.</x:v>
      </x:c>
      <x:c r="F90" s="52" t="str">
        <x:v>Fonte: dashboard ANBIMA, maio/2026. Ranking por PL agregado em cada tipo ANBIMA.</x:v>
      </x:c>
      <x:c r="G90" s="52" t="str">
        <x:v>Fonte: dashboard ANBIMA, maio/2026. Ranking por PL agregado em cada tipo ANBIMA.</x:v>
      </x:c>
      <x:c r="H90" s="52" t="str">
        <x:v>Fonte: dashboard ANBIMA, maio/2026. Ranking por PL agregado em cada tipo ANBIMA.</x:v>
      </x:c>
      <x:c r="I90" s="52" t="str">
        <x:v>Fonte: dashboard ANBIMA, maio/2026. Ranking por PL agregado em cada tipo ANBIMA.</x:v>
      </x:c>
      <x:c r="J90" s="52" t="str">
        <x:v>Fonte: dashboard ANBIMA, maio/2026. Ranking por PL agregado em cada tipo ANBIMA.</x:v>
      </x:c>
      <x:c r="K90" s="52" t="str">
        <x:v>Fonte: dashboard ANBIMA, maio/2026. Ranking por PL agregado em cada tipo ANBIMA.</x:v>
      </x:c>
      <x:c r="L90" s="52" t="str">
        <x:v>Fonte: dashboard ANBIMA, maio/2026. Ranking por PL agregado em cada tipo ANBIMA.</x:v>
      </x:c>
      <x:c r="M90" s="52" t="str">
        <x:v>Fonte: dashboard ANBIMA, maio/2026. Ranking por PL agregado em cada tipo ANBIMA.</x:v>
      </x:c>
      <x:c r="N90" s="52" t="str">
        <x:v>Fonte: dashboard ANBIMA, maio/2026. Ranking por PL agregado em cada tipo ANBIMA.</x:v>
      </x:c>
    </x:row>
  </x:sheetData>
  <x:mergeCells>
    <x:mergeCell ref="A1:N2"/>
    <x:mergeCell ref="A4:F4"/>
    <x:mergeCell ref="A25:F25"/>
    <x:mergeCell ref="A46:F46"/>
    <x:mergeCell ref="A67:F67"/>
    <x:mergeCell ref="A88:N90"/>
  </x:mergeCells>
  <x:pageMargins left="0.7" right="0.7" top="0.75" bottom="0.75" header="0.3" footer="0.3"/>
  <x:drawing xmlns:r="http://schemas.openxmlformats.org/officeDocument/2006/relationships" r:id="R769394d707c4422c"/>
</x:worksheet>
</file>

<file path=xl/worksheets/sheet11.xml><?xml version="1.0" encoding="utf-8"?>
<x:worksheet xmlns:x="http://schemas.openxmlformats.org/spreadsheetml/2006/main">
  <x:sheetViews>
    <x:sheetView showGridLines="0" workbookViewId="0"/>
  </x:sheetViews>
  <x:sheetFormatPr defaultRowHeight="15"/>
  <x:cols>
    <x:col min="1" max="1" width="5" hidden="0" customWidth="1"/>
    <x:col min="2" max="2" width="55" hidden="0" customWidth="1"/>
    <x:col min="3" max="3" width="16" hidden="0" customWidth="1"/>
    <x:col min="4" max="4" width="16" hidden="0" customWidth="1"/>
  </x:cols>
  <x:sheetData>
    <x:row r="1" ht="30" customHeight="1">
      <x:c r="A1" s="4" t="str">
        <x:v>Custódia permanece concentrada em grandes plataformas</x:v>
      </x:c>
      <x:c r="B1" s="4" t="str">
        <x:v>Custódia permanece concentrada em grandes plataformas</x:v>
      </x:c>
      <x:c r="C1" s="4" t="str">
        <x:v>Custódia permanece concentrada em grandes plataformas</x:v>
      </x:c>
      <x:c r="D1" s="4" t="str">
        <x:v>Custódia permanece concentrada em grandes plataformas</x:v>
      </x:c>
      <x:c r="E1" s="4" t="str">
        <x:v>Custódia permanece concentrada em grandes plataformas</x:v>
      </x:c>
      <x:c r="F1" s="4" t="str">
        <x:v>Custódia permanece concentrada em grandes plataformas</x:v>
      </x:c>
      <x:c r="G1" s="4" t="str">
        <x:v>Custódia permanece concentrada em grandes plataformas</x:v>
      </x:c>
      <x:c r="H1" s="4" t="str">
        <x:v>Custódia permanece concentrada em grandes plataformas</x:v>
      </x:c>
      <x:c r="I1" s="4" t="str">
        <x:v>Custódia permanece concentrada em grandes plataformas</x:v>
      </x:c>
      <x:c r="J1" s="4" t="str">
        <x:v>Custódia permanece concentrada em grandes plataformas</x:v>
      </x:c>
      <x:c r="K1" s="4" t="str">
        <x:v>Custódia permanece concentrada em grandes plataformas</x:v>
      </x:c>
      <x:c r="L1" s="4" t="str">
        <x:v>Custódia permanece concentrada em grandes plataformas</x:v>
      </x:c>
      <x:c r="M1" s="4" t="str">
        <x:v>Custódia permanece concentrada em grandes plataformas</x:v>
      </x:c>
      <x:c r="N1" s="4" t="str">
        <x:v>Custódia permanece concentrada em grandes plataformas</x:v>
      </x:c>
    </x:row>
    <x:row r="2" ht="30" customHeight="1">
      <x:c r="A2" s="4" t="str">
        <x:v>Custódia permanece concentrada em grandes plataformas</x:v>
      </x:c>
      <x:c r="B2" s="4" t="str">
        <x:v>Custódia permanece concentrada em grandes plataformas</x:v>
      </x:c>
      <x:c r="C2" s="4" t="str">
        <x:v>Custódia permanece concentrada em grandes plataformas</x:v>
      </x:c>
      <x:c r="D2" s="4" t="str">
        <x:v>Custódia permanece concentrada em grandes plataformas</x:v>
      </x:c>
      <x:c r="E2" s="4" t="str">
        <x:v>Custódia permanece concentrada em grandes plataformas</x:v>
      </x:c>
      <x:c r="F2" s="4" t="str">
        <x:v>Custódia permanece concentrada em grandes plataformas</x:v>
      </x:c>
      <x:c r="G2" s="4" t="str">
        <x:v>Custódia permanece concentrada em grandes plataformas</x:v>
      </x:c>
      <x:c r="H2" s="4" t="str">
        <x:v>Custódia permanece concentrada em grandes plataformas</x:v>
      </x:c>
      <x:c r="I2" s="4" t="str">
        <x:v>Custódia permanece concentrada em grandes plataformas</x:v>
      </x:c>
      <x:c r="J2" s="4" t="str">
        <x:v>Custódia permanece concentrada em grandes plataformas</x:v>
      </x:c>
      <x:c r="K2" s="4" t="str">
        <x:v>Custódia permanece concentrada em grandes plataformas</x:v>
      </x:c>
      <x:c r="L2" s="4" t="str">
        <x:v>Custódia permanece concentrada em grandes plataformas</x:v>
      </x:c>
      <x:c r="M2" s="4" t="str">
        <x:v>Custódia permanece concentrada em grandes plataformas</x:v>
      </x:c>
      <x:c r="N2" s="4" t="str">
        <x:v>Custódia permanece concentrada em grandes plataformas</x:v>
      </x:c>
    </x:row>
    <x:row r="3">
      <x:c r="A3" s="211"/>
      <x:c r="B3" s="211"/>
      <x:c r="C3" s="211"/>
      <x:c r="D3" s="211"/>
      <x:c r="E3" s="211"/>
      <x:c r="F3" s="211"/>
      <x:c r="G3" s="211"/>
      <x:c r="H3" s="211"/>
      <x:c r="I3" s="211"/>
      <x:c r="J3" s="211"/>
      <x:c r="K3" s="211"/>
      <x:c r="L3" s="211"/>
      <x:c r="M3" s="211"/>
      <x:c r="N3" s="211"/>
    </x:row>
    <x:row r="4" ht="28" customHeight="1">
      <x:c r="A4" s="20" t="str">
        <x:v>#</x:v>
      </x:c>
      <x:c r="B4" s="21" t="str">
        <x:v>Custodiante</x:v>
      </x:c>
      <x:c r="C4" s="21" t="str">
        <x:v>PL (R$ bi)</x:v>
      </x:c>
      <x:c r="D4" s="22" t="str">
        <x:v>Fundos</x:v>
      </x:c>
      <x:c r="E4" s="211"/>
      <x:c r="F4" s="211"/>
      <x:c r="G4" s="211"/>
      <x:c r="H4" s="211"/>
      <x:c r="I4" s="211"/>
      <x:c r="J4" s="211"/>
      <x:c r="K4" s="211"/>
      <x:c r="L4" s="211"/>
      <x:c r="M4" s="211"/>
      <x:c r="N4" s="211"/>
    </x:row>
    <x:row r="5">
      <x:c r="A5" s="110" t="n">
        <x:v>1</x:v>
      </x:c>
      <x:c r="B5" s="110" t="str">
        <x:v>QI CORRETORA DE TÍTULOS E VALORES MOBILIÁRIOS S.A.</x:v>
      </x:c>
      <x:c r="C5" s="119" t="n">
        <x:v>116.43178628288658</x:v>
      </x:c>
      <x:c r="D5" s="113" t="n">
        <x:v>620</x:v>
      </x:c>
      <x:c r="E5" s="211"/>
      <x:c r="F5" s="211"/>
      <x:c r="G5" s="211"/>
      <x:c r="H5" s="211"/>
      <x:c r="I5" s="211"/>
      <x:c r="J5" s="211"/>
      <x:c r="K5" s="211"/>
      <x:c r="L5" s="211"/>
      <x:c r="M5" s="211"/>
      <x:c r="N5" s="211"/>
    </x:row>
    <x:row r="6">
      <x:c r="A6" s="111" t="n">
        <x:v>2</x:v>
      </x:c>
      <x:c r="B6" s="111" t="str">
        <x:v>OLIVEIRA TRUST DTVM S.A.</x:v>
      </x:c>
      <x:c r="C6" s="120" t="n">
        <x:v>105.41701208289</x:v>
      </x:c>
      <x:c r="D6" s="114" t="n">
        <x:v>181</x:v>
      </x:c>
      <x:c r="E6" s="211"/>
      <x:c r="F6" s="211"/>
      <x:c r="G6" s="211"/>
      <x:c r="H6" s="211"/>
      <x:c r="I6" s="211"/>
      <x:c r="J6" s="211"/>
      <x:c r="K6" s="211"/>
      <x:c r="L6" s="211"/>
      <x:c r="M6" s="211"/>
      <x:c r="N6" s="211"/>
    </x:row>
    <x:row r="7">
      <x:c r="A7" s="111" t="n">
        <x:v>3</x:v>
      </x:c>
      <x:c r="B7" s="111" t="str">
        <x:v>BANCO BTG PACTUAL S/A</x:v>
      </x:c>
      <x:c r="C7" s="120" t="n">
        <x:v>81.6119382617276</x:v>
      </x:c>
      <x:c r="D7" s="114" t="n">
        <x:v>231</x:v>
      </x:c>
      <x:c r="E7" s="211"/>
      <x:c r="F7" s="211"/>
      <x:c r="G7" s="211"/>
      <x:c r="H7" s="211"/>
      <x:c r="I7" s="211"/>
      <x:c r="J7" s="211"/>
      <x:c r="K7" s="211"/>
      <x:c r="L7" s="211"/>
      <x:c r="M7" s="211"/>
      <x:c r="N7" s="211"/>
    </x:row>
    <x:row r="8">
      <x:c r="A8" s="111" t="n">
        <x:v>4</x:v>
      </x:c>
      <x:c r="B8" s="111" t="str">
        <x:v>BANCO DO BRASIL S.A.</x:v>
      </x:c>
      <x:c r="C8" s="120" t="n">
        <x:v>60.841973938879995</x:v>
      </x:c>
      <x:c r="D8" s="114" t="n">
        <x:v>1</x:v>
      </x:c>
      <x:c r="E8" s="211"/>
      <x:c r="F8" s="211"/>
      <x:c r="G8" s="211"/>
      <x:c r="H8" s="211"/>
      <x:c r="I8" s="211"/>
      <x:c r="J8" s="211"/>
      <x:c r="K8" s="211"/>
      <x:c r="L8" s="211"/>
      <x:c r="M8" s="211"/>
      <x:c r="N8" s="211"/>
    </x:row>
    <x:row r="9">
      <x:c r="A9" s="111" t="n">
        <x:v>5</x:v>
      </x:c>
      <x:c r="B9" s="111" t="str">
        <x:v>BANCO DAYCOVAL S.A.</x:v>
      </x:c>
      <x:c r="C9" s="120" t="n">
        <x:v>49.54807670694</x:v>
      </x:c>
      <x:c r="D9" s="114" t="n">
        <x:v>372</x:v>
      </x:c>
      <x:c r="E9" s="211"/>
      <x:c r="F9" s="211"/>
      <x:c r="G9" s="211"/>
      <x:c r="H9" s="211"/>
      <x:c r="I9" s="211"/>
      <x:c r="J9" s="211"/>
      <x:c r="K9" s="211"/>
      <x:c r="L9" s="211"/>
      <x:c r="M9" s="211"/>
      <x:c r="N9" s="211"/>
    </x:row>
    <x:row r="10">
      <x:c r="A10" s="111" t="n">
        <x:v>6</x:v>
      </x:c>
      <x:c r="B10" s="111" t="str">
        <x:v>BANCO BRADESCO S.A.</x:v>
      </x:c>
      <x:c r="C10" s="120" t="n">
        <x:v>47.618545718540005</x:v>
      </x:c>
      <x:c r="D10" s="114" t="n">
        <x:v>36</x:v>
      </x:c>
      <x:c r="E10" s="211"/>
      <x:c r="F10" s="211"/>
      <x:c r="G10" s="211"/>
      <x:c r="H10" s="211"/>
      <x:c r="I10" s="211"/>
      <x:c r="J10" s="211"/>
      <x:c r="K10" s="211"/>
      <x:c r="L10" s="211"/>
      <x:c r="M10" s="211"/>
      <x:c r="N10" s="211"/>
    </x:row>
    <x:row r="11">
      <x:c r="A11" s="111" t="n">
        <x:v>7</x:v>
      </x:c>
      <x:c r="B11" s="111" t="str">
        <x:v>BANCO GENIAL S.A.</x:v>
      </x:c>
      <x:c r="C11" s="120" t="n">
        <x:v>36.16873953557891</x:v>
      </x:c>
      <x:c r="D11" s="114" t="n">
        <x:v>101</x:v>
      </x:c>
      <x:c r="E11" s="211"/>
      <x:c r="F11" s="211"/>
      <x:c r="G11" s="211"/>
      <x:c r="H11" s="211"/>
      <x:c r="I11" s="211"/>
      <x:c r="J11" s="211"/>
      <x:c r="K11" s="211"/>
      <x:c r="L11" s="211"/>
      <x:c r="M11" s="211"/>
      <x:c r="N11" s="211"/>
    </x:row>
    <x:row r="12">
      <x:c r="A12" s="111" t="n">
        <x:v>8</x:v>
      </x:c>
      <x:c r="B12" s="111" t="str">
        <x:v>BANCO FINAXIS S.A.</x:v>
      </x:c>
      <x:c r="C12" s="120" t="n">
        <x:v>21.69954653893</x:v>
      </x:c>
      <x:c r="D12" s="114" t="n">
        <x:v>78</x:v>
      </x:c>
      <x:c r="E12" s="211"/>
      <x:c r="F12" s="211"/>
      <x:c r="G12" s="211"/>
      <x:c r="H12" s="211"/>
      <x:c r="I12" s="211"/>
      <x:c r="J12" s="211"/>
      <x:c r="K12" s="211"/>
      <x:c r="L12" s="211"/>
      <x:c r="M12" s="211"/>
      <x:c r="N12" s="211"/>
    </x:row>
    <x:row r="13">
      <x:c r="A13" s="111" t="n">
        <x:v>9</x:v>
      </x:c>
      <x:c r="B13" s="111" t="str">
        <x:v>BRL TRUST DISTRIBUIDORA DE TITULOS E VALORES MOBILIARIOS S.A.</x:v>
      </x:c>
      <x:c r="C13" s="120" t="n">
        <x:v>20.23426801473</x:v>
      </x:c>
      <x:c r="D13" s="114" t="n">
        <x:v>124</x:v>
      </x:c>
      <x:c r="E13" s="211"/>
      <x:c r="F13" s="211"/>
      <x:c r="G13" s="211"/>
      <x:c r="H13" s="211"/>
      <x:c r="I13" s="211"/>
      <x:c r="J13" s="211"/>
      <x:c r="K13" s="211"/>
      <x:c r="L13" s="211"/>
      <x:c r="M13" s="211"/>
      <x:c r="N13" s="211"/>
    </x:row>
    <x:row r="14">
      <x:c r="A14" s="111" t="n">
        <x:v>10</x:v>
      </x:c>
      <x:c r="B14" s="111" t="str">
        <x:v>HEMERA DISTRIBUIDORA DE TITULOS E VALORES MOBILIARIOS LTDA</x:v>
      </x:c>
      <x:c r="C14" s="120" t="n">
        <x:v>20.159947944490003</x:v>
      </x:c>
      <x:c r="D14" s="114" t="n">
        <x:v>111</x:v>
      </x:c>
      <x:c r="E14" s="211"/>
      <x:c r="F14" s="211"/>
      <x:c r="G14" s="211"/>
      <x:c r="H14" s="211"/>
      <x:c r="I14" s="211"/>
      <x:c r="J14" s="211"/>
      <x:c r="K14" s="211"/>
      <x:c r="L14" s="211"/>
      <x:c r="M14" s="211"/>
      <x:c r="N14" s="211"/>
    </x:row>
    <x:row r="15">
      <x:c r="A15" s="111" t="n">
        <x:v>11</x:v>
      </x:c>
      <x:c r="B15" s="111" t="str">
        <x:v>ITAU UNIBANCO S.A.</x:v>
      </x:c>
      <x:c r="C15" s="120" t="n">
        <x:v>19.69450493756</x:v>
      </x:c>
      <x:c r="D15" s="114" t="n">
        <x:v>27</x:v>
      </x:c>
      <x:c r="E15" s="211"/>
      <x:c r="F15" s="211"/>
      <x:c r="G15" s="211"/>
      <x:c r="H15" s="211"/>
      <x:c r="I15" s="211"/>
      <x:c r="J15" s="211"/>
      <x:c r="K15" s="211"/>
      <x:c r="L15" s="211"/>
      <x:c r="M15" s="211"/>
      <x:c r="N15" s="211"/>
    </x:row>
    <x:row r="16">
      <x:c r="A16" s="111" t="n">
        <x:v>12</x:v>
      </x:c>
      <x:c r="B16" s="111" t="str">
        <x:v>Não identificado</x:v>
      </x:c>
      <x:c r="C16" s="120" t="n">
        <x:v>18.593320831664837</x:v>
      </x:c>
      <x:c r="D16" s="114" t="n">
        <x:v>309</x:v>
      </x:c>
      <x:c r="E16" s="211"/>
      <x:c r="F16" s="211"/>
      <x:c r="G16" s="211"/>
      <x:c r="H16" s="211"/>
      <x:c r="I16" s="211"/>
      <x:c r="J16" s="211"/>
      <x:c r="K16" s="211"/>
      <x:c r="L16" s="211"/>
      <x:c r="M16" s="211"/>
      <x:c r="N16" s="211"/>
    </x:row>
    <x:row r="17">
      <x:c r="A17" s="111" t="n">
        <x:v>13</x:v>
      </x:c>
      <x:c r="B17" s="111" t="str">
        <x:v>LIMINE TRUST DISTRIBUIDORA DE TITULOS E VALORES MOBILIARIOS LTDA.</x:v>
      </x:c>
      <x:c r="C17" s="120" t="n">
        <x:v>17.710424629685</x:v>
      </x:c>
      <x:c r="D17" s="114" t="n">
        <x:v>138</x:v>
      </x:c>
      <x:c r="E17" s="211"/>
      <x:c r="F17" s="211"/>
      <x:c r="G17" s="211"/>
      <x:c r="H17" s="211"/>
      <x:c r="I17" s="211"/>
      <x:c r="J17" s="211"/>
      <x:c r="K17" s="211"/>
      <x:c r="L17" s="211"/>
      <x:c r="M17" s="211"/>
      <x:c r="N17" s="211"/>
    </x:row>
    <x:row r="18">
      <x:c r="A18" s="111" t="n">
        <x:v>14</x:v>
      </x:c>
      <x:c r="B18" s="111" t="str">
        <x:v>VERT DISTRIBUIDORA DE TÍTULOS E VALORES MOBILIÁRIOS LTDA.</x:v>
      </x:c>
      <x:c r="C18" s="120" t="n">
        <x:v>14.9621506435</x:v>
      </x:c>
      <x:c r="D18" s="114" t="n">
        <x:v>40</x:v>
      </x:c>
      <x:c r="E18" s="211"/>
      <x:c r="F18" s="211"/>
      <x:c r="G18" s="211"/>
      <x:c r="H18" s="211"/>
      <x:c r="I18" s="211"/>
      <x:c r="J18" s="211"/>
      <x:c r="K18" s="211"/>
      <x:c r="L18" s="211"/>
      <x:c r="M18" s="211"/>
      <x:c r="N18" s="211"/>
    </x:row>
    <x:row r="19">
      <x:c r="A19" s="111" t="n">
        <x:v>15</x:v>
      </x:c>
      <x:c r="B19" s="111" t="str">
        <x:v>PLANNER CORRETORA DE VALORES S.A.</x:v>
      </x:c>
      <x:c r="C19" s="120" t="n">
        <x:v>12.47057665034</x:v>
      </x:c>
      <x:c r="D19" s="114" t="n">
        <x:v>178</x:v>
      </x:c>
      <x:c r="E19" s="211"/>
      <x:c r="F19" s="211"/>
      <x:c r="G19" s="211"/>
      <x:c r="H19" s="211"/>
      <x:c r="I19" s="211"/>
      <x:c r="J19" s="211"/>
      <x:c r="K19" s="211"/>
      <x:c r="L19" s="211"/>
      <x:c r="M19" s="211"/>
      <x:c r="N19" s="211"/>
    </x:row>
    <x:row r="20">
      <x:c r="A20" s="111" t="n">
        <x:v>16</x:v>
      </x:c>
      <x:c r="B20" s="111" t="str">
        <x:v>TRUSTEE DISTRIBUIDORA DE TITULOS E VALORES MOBILIARIOS LTDA.</x:v>
      </x:c>
      <x:c r="C20" s="120" t="n">
        <x:v>11.63652338297</x:v>
      </x:c>
      <x:c r="D20" s="114" t="n">
        <x:v>74</x:v>
      </x:c>
      <x:c r="E20" s="211"/>
      <x:c r="F20" s="211"/>
      <x:c r="G20" s="211"/>
      <x:c r="H20" s="211"/>
      <x:c r="I20" s="211"/>
      <x:c r="J20" s="211"/>
      <x:c r="K20" s="211"/>
      <x:c r="L20" s="211"/>
      <x:c r="M20" s="211"/>
      <x:c r="N20" s="211"/>
    </x:row>
    <x:row r="21">
      <x:c r="A21" s="111" t="n">
        <x:v>17</x:v>
      </x:c>
      <x:c r="B21" s="111" t="str">
        <x:v>MAF DISTRIBUIDORA DE TITULOS E VALORES MOBILIARIOS S.A.</x:v>
      </x:c>
      <x:c r="C21" s="120" t="n">
        <x:v>11.3591820761</x:v>
      </x:c>
      <x:c r="D21" s="114" t="n">
        <x:v>39</x:v>
      </x:c>
      <x:c r="E21" s="211"/>
      <x:c r="F21" s="211"/>
      <x:c r="G21" s="211"/>
      <x:c r="H21" s="211"/>
      <x:c r="I21" s="211"/>
      <x:c r="J21" s="211"/>
      <x:c r="K21" s="211"/>
      <x:c r="L21" s="211"/>
      <x:c r="M21" s="211"/>
      <x:c r="N21" s="211"/>
    </x:row>
    <x:row r="22">
      <x:c r="A22" s="111" t="n">
        <x:v>18</x:v>
      </x:c>
      <x:c r="B22" s="111" t="str">
        <x:v>VORTX DISTRIBUIDORA DE TITULOS E VALORES MOBILIARIOS LTDA.</x:v>
      </x:c>
      <x:c r="C22" s="120" t="n">
        <x:v>10.89777874878</x:v>
      </x:c>
      <x:c r="D22" s="114" t="n">
        <x:v>127</x:v>
      </x:c>
      <x:c r="E22" s="211"/>
      <x:c r="F22" s="211"/>
      <x:c r="G22" s="211"/>
      <x:c r="H22" s="211"/>
      <x:c r="I22" s="211"/>
      <x:c r="J22" s="211"/>
      <x:c r="K22" s="211"/>
      <x:c r="L22" s="211"/>
      <x:c r="M22" s="211"/>
      <x:c r="N22" s="211"/>
    </x:row>
    <x:row r="23">
      <x:c r="A23" s="111" t="n">
        <x:v>19</x:v>
      </x:c>
      <x:c r="B23" s="111" t="str">
        <x:v>FIDD DISTRIBUIDORA DE TITULOS E VALORES MOBILIARIOS LTDA.</x:v>
      </x:c>
      <x:c r="C23" s="120" t="n">
        <x:v>9.82083575622</x:v>
      </x:c>
      <x:c r="D23" s="114" t="n">
        <x:v>79</x:v>
      </x:c>
      <x:c r="E23" s="211"/>
      <x:c r="F23" s="211"/>
      <x:c r="G23" s="211"/>
      <x:c r="H23" s="211"/>
      <x:c r="I23" s="211"/>
      <x:c r="J23" s="211"/>
      <x:c r="K23" s="211"/>
      <x:c r="L23" s="211"/>
      <x:c r="M23" s="211"/>
      <x:c r="N23" s="211"/>
    </x:row>
    <x:row r="24">
      <x:c r="A24" s="111" t="n">
        <x:v>20</x:v>
      </x:c>
      <x:c r="B24" s="111" t="str">
        <x:v>ID CORRETORA DE TITULOS E VALORES MOBILIARIOS S.A.</x:v>
      </x:c>
      <x:c r="C24" s="120" t="n">
        <x:v>9.38350744411</x:v>
      </x:c>
      <x:c r="D24" s="114" t="n">
        <x:v>166</x:v>
      </x:c>
      <x:c r="E24" s="211"/>
      <x:c r="F24" s="211"/>
      <x:c r="G24" s="211"/>
      <x:c r="H24" s="211"/>
      <x:c r="I24" s="211"/>
      <x:c r="J24" s="211"/>
      <x:c r="K24" s="211"/>
      <x:c r="L24" s="211"/>
      <x:c r="M24" s="211"/>
      <x:c r="N24" s="211"/>
    </x:row>
    <x:row r="25">
      <x:c r="A25" s="111" t="n">
        <x:v>21</x:v>
      </x:c>
      <x:c r="B25" s="111" t="str">
        <x:v>BNY MELLON BANCO S.A.</x:v>
      </x:c>
      <x:c r="C25" s="120" t="n">
        <x:v>9.092580971919979</x:v>
      </x:c>
      <x:c r="D25" s="114" t="n">
        <x:v>32</x:v>
      </x:c>
      <x:c r="E25" s="211"/>
      <x:c r="F25" s="211"/>
      <x:c r="G25" s="211"/>
      <x:c r="H25" s="211"/>
      <x:c r="I25" s="211"/>
      <x:c r="J25" s="211"/>
      <x:c r="K25" s="211"/>
      <x:c r="L25" s="211"/>
      <x:c r="M25" s="211"/>
      <x:c r="N25" s="211"/>
    </x:row>
    <x:row r="26">
      <x:c r="A26" s="111" t="n">
        <x:v>22</x:v>
      </x:c>
      <x:c r="B26" s="111" t="str">
        <x:v>SEFER INVESTIMENTOS DISTRIBUIDORA DE TÍTULOS E VALORES MOBILIÁRIOS LTDA.</x:v>
      </x:c>
      <x:c r="C26" s="120" t="n">
        <x:v>7.84014533246</x:v>
      </x:c>
      <x:c r="D26" s="114" t="n">
        <x:v>22</x:v>
      </x:c>
      <x:c r="E26" s="211"/>
      <x:c r="F26" s="211"/>
      <x:c r="G26" s="211"/>
      <x:c r="H26" s="211"/>
      <x:c r="I26" s="211"/>
      <x:c r="J26" s="211"/>
      <x:c r="K26" s="211"/>
      <x:c r="L26" s="211"/>
      <x:c r="M26" s="211"/>
      <x:c r="N26" s="211"/>
    </x:row>
    <x:row r="27">
      <x:c r="A27" s="111" t="n">
        <x:v>23</x:v>
      </x:c>
      <x:c r="B27" s="111" t="str">
        <x:v>S3 CACEIS BRASIL DISTRIBUIDORA DE TITULOS E VALORES MOBILIARIOS S.A</x:v>
      </x:c>
      <x:c r="C27" s="120" t="n">
        <x:v>6.0220710471408605</x:v>
      </x:c>
      <x:c r="D27" s="114" t="n">
        <x:v>10</x:v>
      </x:c>
      <x:c r="E27" s="211"/>
      <x:c r="F27" s="211"/>
      <x:c r="G27" s="211"/>
      <x:c r="H27" s="211"/>
      <x:c r="I27" s="211"/>
      <x:c r="J27" s="211"/>
      <x:c r="K27" s="211"/>
      <x:c r="L27" s="211"/>
      <x:c r="M27" s="211"/>
      <x:c r="N27" s="211"/>
    </x:row>
    <x:row r="28">
      <x:c r="A28" s="111" t="n">
        <x:v>24</x:v>
      </x:c>
      <x:c r="B28" s="111" t="str">
        <x:v>BANVOX DISTRIBUIDORA DE TITULOS E VALORES MOBILIARIOS LTDA</x:v>
      </x:c>
      <x:c r="C28" s="120" t="n">
        <x:v>5.58381670732</x:v>
      </x:c>
      <x:c r="D28" s="114" t="n">
        <x:v>39</x:v>
      </x:c>
      <x:c r="E28" s="211"/>
      <x:c r="F28" s="211"/>
      <x:c r="G28" s="211"/>
      <x:c r="H28" s="211"/>
      <x:c r="I28" s="211"/>
      <x:c r="J28" s="211"/>
      <x:c r="K28" s="211"/>
      <x:c r="L28" s="211"/>
      <x:c r="M28" s="211"/>
      <x:c r="N28" s="211"/>
    </x:row>
    <x:row r="29">
      <x:c r="A29" s="112" t="n">
        <x:v>25</x:v>
      </x:c>
      <x:c r="B29" s="112" t="str">
        <x:v>RJI CORRETORA DE TÍTULOS E VALORES MOBILIÁRIOS LTDA.</x:v>
      </x:c>
      <x:c r="C29" s="124" t="n">
        <x:v>5.041522118980001</x:v>
      </x:c>
      <x:c r="D29" s="115" t="n">
        <x:v>10</x:v>
      </x:c>
      <x:c r="E29" s="211"/>
      <x:c r="F29" s="211"/>
      <x:c r="G29" s="211"/>
      <x:c r="H29" s="211"/>
      <x:c r="I29" s="211"/>
      <x:c r="J29" s="211"/>
      <x:c r="K29" s="211"/>
      <x:c r="L29" s="211"/>
      <x:c r="M29" s="211"/>
      <x:c r="N29" s="211"/>
    </x:row>
    <x:row r="30">
      <x:c r="A30" s="211"/>
      <x:c r="B30" s="211"/>
      <x:c r="C30" s="211"/>
      <x:c r="D30" s="211"/>
      <x:c r="E30" s="211"/>
      <x:c r="F30" s="211"/>
      <x:c r="G30" s="211"/>
      <x:c r="H30" s="211"/>
      <x:c r="I30" s="211"/>
      <x:c r="J30" s="211"/>
      <x:c r="K30" s="211"/>
      <x:c r="L30" s="211"/>
      <x:c r="M30" s="211"/>
      <x:c r="N30" s="211"/>
    </x:row>
    <x:row r="31">
      <x:c r="A31" s="211"/>
      <x:c r="B31" s="211"/>
      <x:c r="C31" s="211"/>
      <x:c r="D31" s="211"/>
      <x:c r="E31" s="211"/>
      <x:c r="F31" s="211"/>
      <x:c r="G31" s="211"/>
      <x:c r="H31" s="211"/>
      <x:c r="I31" s="211"/>
      <x:c r="J31" s="211"/>
      <x:c r="K31" s="211"/>
      <x:c r="L31" s="211"/>
      <x:c r="M31" s="211"/>
      <x:c r="N31" s="211"/>
    </x:row>
    <x:row r="32">
      <x:c r="A32" s="52" t="str">
        <x:v>Custodiante não está no modelo Power BI observado. O nome foi conciliado por CNPJ com o informe mensal/cadastro CVM e o PL do fundo permanece o PL ANBIMA. Cobertura: 97.5% do PL.</x:v>
      </x:c>
      <x:c r="B32" s="52" t="str">
        <x:v>Custodiante não está no modelo Power BI observado. O nome foi conciliado por CNPJ com o informe mensal/cadastro CVM e o PL do fundo permanece o PL ANBIMA. Cobertura: 97.5% do PL.</x:v>
      </x:c>
      <x:c r="C32" s="52" t="str">
        <x:v>Custodiante não está no modelo Power BI observado. O nome foi conciliado por CNPJ com o informe mensal/cadastro CVM e o PL do fundo permanece o PL ANBIMA. Cobertura: 97.5% do PL.</x:v>
      </x:c>
      <x:c r="D32" s="52" t="str">
        <x:v>Custodiante não está no modelo Power BI observado. O nome foi conciliado por CNPJ com o informe mensal/cadastro CVM e o PL do fundo permanece o PL ANBIMA. Cobertura: 97.5% do PL.</x:v>
      </x:c>
      <x:c r="E32" s="52" t="str">
        <x:v>Custodiante não está no modelo Power BI observado. O nome foi conciliado por CNPJ com o informe mensal/cadastro CVM e o PL do fundo permanece o PL ANBIMA. Cobertura: 97.5% do PL.</x:v>
      </x:c>
      <x:c r="F32" s="52" t="str">
        <x:v>Custodiante não está no modelo Power BI observado. O nome foi conciliado por CNPJ com o informe mensal/cadastro CVM e o PL do fundo permanece o PL ANBIMA. Cobertura: 97.5% do PL.</x:v>
      </x:c>
      <x:c r="G32" s="52" t="str">
        <x:v>Custodiante não está no modelo Power BI observado. O nome foi conciliado por CNPJ com o informe mensal/cadastro CVM e o PL do fundo permanece o PL ANBIMA. Cobertura: 97.5% do PL.</x:v>
      </x:c>
      <x:c r="H32" s="52" t="str">
        <x:v>Custodiante não está no modelo Power BI observado. O nome foi conciliado por CNPJ com o informe mensal/cadastro CVM e o PL do fundo permanece o PL ANBIMA. Cobertura: 97.5% do PL.</x:v>
      </x:c>
      <x:c r="I32" s="52" t="str">
        <x:v>Custodiante não está no modelo Power BI observado. O nome foi conciliado por CNPJ com o informe mensal/cadastro CVM e o PL do fundo permanece o PL ANBIMA. Cobertura: 97.5% do PL.</x:v>
      </x:c>
      <x:c r="J32" s="52" t="str">
        <x:v>Custodiante não está no modelo Power BI observado. O nome foi conciliado por CNPJ com o informe mensal/cadastro CVM e o PL do fundo permanece o PL ANBIMA. Cobertura: 97.5% do PL.</x:v>
      </x:c>
      <x:c r="K32" s="52" t="str">
        <x:v>Custodiante não está no modelo Power BI observado. O nome foi conciliado por CNPJ com o informe mensal/cadastro CVM e o PL do fundo permanece o PL ANBIMA. Cobertura: 97.5% do PL.</x:v>
      </x:c>
      <x:c r="L32" s="52" t="str">
        <x:v>Custodiante não está no modelo Power BI observado. O nome foi conciliado por CNPJ com o informe mensal/cadastro CVM e o PL do fundo permanece o PL ANBIMA. Cobertura: 97.5% do PL.</x:v>
      </x:c>
      <x:c r="M32" s="52" t="str">
        <x:v>Custodiante não está no modelo Power BI observado. O nome foi conciliado por CNPJ com o informe mensal/cadastro CVM e o PL do fundo permanece o PL ANBIMA. Cobertura: 97.5% do PL.</x:v>
      </x:c>
      <x:c r="N32" s="52" t="str">
        <x:v>Custodiante não está no modelo Power BI observado. O nome foi conciliado por CNPJ com o informe mensal/cadastro CVM e o PL do fundo permanece o PL ANBIMA. Cobertura: 97.5% do PL.</x:v>
      </x:c>
    </x:row>
    <x:row r="33">
      <x:c r="A33" s="52" t="str">
        <x:v>Custodiante não está no modelo Power BI observado. O nome foi conciliado por CNPJ com o informe mensal/cadastro CVM e o PL do fundo permanece o PL ANBIMA. Cobertura: 97.5% do PL.</x:v>
      </x:c>
      <x:c r="B33" s="52" t="str">
        <x:v>Custodiante não está no modelo Power BI observado. O nome foi conciliado por CNPJ com o informe mensal/cadastro CVM e o PL do fundo permanece o PL ANBIMA. Cobertura: 97.5% do PL.</x:v>
      </x:c>
      <x:c r="C33" s="52" t="str">
        <x:v>Custodiante não está no modelo Power BI observado. O nome foi conciliado por CNPJ com o informe mensal/cadastro CVM e o PL do fundo permanece o PL ANBIMA. Cobertura: 97.5% do PL.</x:v>
      </x:c>
      <x:c r="D33" s="52" t="str">
        <x:v>Custodiante não está no modelo Power BI observado. O nome foi conciliado por CNPJ com o informe mensal/cadastro CVM e o PL do fundo permanece o PL ANBIMA. Cobertura: 97.5% do PL.</x:v>
      </x:c>
      <x:c r="E33" s="52" t="str">
        <x:v>Custodiante não está no modelo Power BI observado. O nome foi conciliado por CNPJ com o informe mensal/cadastro CVM e o PL do fundo permanece o PL ANBIMA. Cobertura: 97.5% do PL.</x:v>
      </x:c>
      <x:c r="F33" s="52" t="str">
        <x:v>Custodiante não está no modelo Power BI observado. O nome foi conciliado por CNPJ com o informe mensal/cadastro CVM e o PL do fundo permanece o PL ANBIMA. Cobertura: 97.5% do PL.</x:v>
      </x:c>
      <x:c r="G33" s="52" t="str">
        <x:v>Custodiante não está no modelo Power BI observado. O nome foi conciliado por CNPJ com o informe mensal/cadastro CVM e o PL do fundo permanece o PL ANBIMA. Cobertura: 97.5% do PL.</x:v>
      </x:c>
      <x:c r="H33" s="52" t="str">
        <x:v>Custodiante não está no modelo Power BI observado. O nome foi conciliado por CNPJ com o informe mensal/cadastro CVM e o PL do fundo permanece o PL ANBIMA. Cobertura: 97.5% do PL.</x:v>
      </x:c>
      <x:c r="I33" s="52" t="str">
        <x:v>Custodiante não está no modelo Power BI observado. O nome foi conciliado por CNPJ com o informe mensal/cadastro CVM e o PL do fundo permanece o PL ANBIMA. Cobertura: 97.5% do PL.</x:v>
      </x:c>
      <x:c r="J33" s="52" t="str">
        <x:v>Custodiante não está no modelo Power BI observado. O nome foi conciliado por CNPJ com o informe mensal/cadastro CVM e o PL do fundo permanece o PL ANBIMA. Cobertura: 97.5% do PL.</x:v>
      </x:c>
      <x:c r="K33" s="52" t="str">
        <x:v>Custodiante não está no modelo Power BI observado. O nome foi conciliado por CNPJ com o informe mensal/cadastro CVM e o PL do fundo permanece o PL ANBIMA. Cobertura: 97.5% do PL.</x:v>
      </x:c>
      <x:c r="L33" s="52" t="str">
        <x:v>Custodiante não está no modelo Power BI observado. O nome foi conciliado por CNPJ com o informe mensal/cadastro CVM e o PL do fundo permanece o PL ANBIMA. Cobertura: 97.5% do PL.</x:v>
      </x:c>
      <x:c r="M33" s="52" t="str">
        <x:v>Custodiante não está no modelo Power BI observado. O nome foi conciliado por CNPJ com o informe mensal/cadastro CVM e o PL do fundo permanece o PL ANBIMA. Cobertura: 97.5% do PL.</x:v>
      </x:c>
      <x:c r="N33" s="52" t="str">
        <x:v>Custodiante não está no modelo Power BI observado. O nome foi conciliado por CNPJ com o informe mensal/cadastro CVM e o PL do fundo permanece o PL ANBIMA. Cobertura: 97.5% do PL.</x:v>
      </x:c>
    </x:row>
    <x:row r="34">
      <x:c r="A34" s="52" t="str">
        <x:v>Custodiante não está no modelo Power BI observado. O nome foi conciliado por CNPJ com o informe mensal/cadastro CVM e o PL do fundo permanece o PL ANBIMA. Cobertura: 97.5% do PL.</x:v>
      </x:c>
      <x:c r="B34" s="52" t="str">
        <x:v>Custodiante não está no modelo Power BI observado. O nome foi conciliado por CNPJ com o informe mensal/cadastro CVM e o PL do fundo permanece o PL ANBIMA. Cobertura: 97.5% do PL.</x:v>
      </x:c>
      <x:c r="C34" s="52" t="str">
        <x:v>Custodiante não está no modelo Power BI observado. O nome foi conciliado por CNPJ com o informe mensal/cadastro CVM e o PL do fundo permanece o PL ANBIMA. Cobertura: 97.5% do PL.</x:v>
      </x:c>
      <x:c r="D34" s="52" t="str">
        <x:v>Custodiante não está no modelo Power BI observado. O nome foi conciliado por CNPJ com o informe mensal/cadastro CVM e o PL do fundo permanece o PL ANBIMA. Cobertura: 97.5% do PL.</x:v>
      </x:c>
      <x:c r="E34" s="52" t="str">
        <x:v>Custodiante não está no modelo Power BI observado. O nome foi conciliado por CNPJ com o informe mensal/cadastro CVM e o PL do fundo permanece o PL ANBIMA. Cobertura: 97.5% do PL.</x:v>
      </x:c>
      <x:c r="F34" s="52" t="str">
        <x:v>Custodiante não está no modelo Power BI observado. O nome foi conciliado por CNPJ com o informe mensal/cadastro CVM e o PL do fundo permanece o PL ANBIMA. Cobertura: 97.5% do PL.</x:v>
      </x:c>
      <x:c r="G34" s="52" t="str">
        <x:v>Custodiante não está no modelo Power BI observado. O nome foi conciliado por CNPJ com o informe mensal/cadastro CVM e o PL do fundo permanece o PL ANBIMA. Cobertura: 97.5% do PL.</x:v>
      </x:c>
      <x:c r="H34" s="52" t="str">
        <x:v>Custodiante não está no modelo Power BI observado. O nome foi conciliado por CNPJ com o informe mensal/cadastro CVM e o PL do fundo permanece o PL ANBIMA. Cobertura: 97.5% do PL.</x:v>
      </x:c>
      <x:c r="I34" s="52" t="str">
        <x:v>Custodiante não está no modelo Power BI observado. O nome foi conciliado por CNPJ com o informe mensal/cadastro CVM e o PL do fundo permanece o PL ANBIMA. Cobertura: 97.5% do PL.</x:v>
      </x:c>
      <x:c r="J34" s="52" t="str">
        <x:v>Custodiante não está no modelo Power BI observado. O nome foi conciliado por CNPJ com o informe mensal/cadastro CVM e o PL do fundo permanece o PL ANBIMA. Cobertura: 97.5% do PL.</x:v>
      </x:c>
      <x:c r="K34" s="52" t="str">
        <x:v>Custodiante não está no modelo Power BI observado. O nome foi conciliado por CNPJ com o informe mensal/cadastro CVM e o PL do fundo permanece o PL ANBIMA. Cobertura: 97.5% do PL.</x:v>
      </x:c>
      <x:c r="L34" s="52" t="str">
        <x:v>Custodiante não está no modelo Power BI observado. O nome foi conciliado por CNPJ com o informe mensal/cadastro CVM e o PL do fundo permanece o PL ANBIMA. Cobertura: 97.5% do PL.</x:v>
      </x:c>
      <x:c r="M34" s="52" t="str">
        <x:v>Custodiante não está no modelo Power BI observado. O nome foi conciliado por CNPJ com o informe mensal/cadastro CVM e o PL do fundo permanece o PL ANBIMA. Cobertura: 97.5% do PL.</x:v>
      </x:c>
      <x:c r="N34" s="52" t="str">
        <x:v>Custodiante não está no modelo Power BI observado. O nome foi conciliado por CNPJ com o informe mensal/cadastro CVM e o PL do fundo permanece o PL ANBIMA. Cobertura: 97.5% do PL.</x:v>
      </x:c>
    </x:row>
    <x:row r="35">
      <x:c r="A35" s="52" t="str">
        <x:v>Custodiante não está no modelo Power BI observado. O nome foi conciliado por CNPJ com o informe mensal/cadastro CVM e o PL do fundo permanece o PL ANBIMA. Cobertura: 97.5% do PL.</x:v>
      </x:c>
      <x:c r="B35" s="52" t="str">
        <x:v>Custodiante não está no modelo Power BI observado. O nome foi conciliado por CNPJ com o informe mensal/cadastro CVM e o PL do fundo permanece o PL ANBIMA. Cobertura: 97.5% do PL.</x:v>
      </x:c>
      <x:c r="C35" s="52" t="str">
        <x:v>Custodiante não está no modelo Power BI observado. O nome foi conciliado por CNPJ com o informe mensal/cadastro CVM e o PL do fundo permanece o PL ANBIMA. Cobertura: 97.5% do PL.</x:v>
      </x:c>
      <x:c r="D35" s="52" t="str">
        <x:v>Custodiante não está no modelo Power BI observado. O nome foi conciliado por CNPJ com o informe mensal/cadastro CVM e o PL do fundo permanece o PL ANBIMA. Cobertura: 97.5% do PL.</x:v>
      </x:c>
      <x:c r="E35" s="52" t="str">
        <x:v>Custodiante não está no modelo Power BI observado. O nome foi conciliado por CNPJ com o informe mensal/cadastro CVM e o PL do fundo permanece o PL ANBIMA. Cobertura: 97.5% do PL.</x:v>
      </x:c>
      <x:c r="F35" s="52" t="str">
        <x:v>Custodiante não está no modelo Power BI observado. O nome foi conciliado por CNPJ com o informe mensal/cadastro CVM e o PL do fundo permanece o PL ANBIMA. Cobertura: 97.5% do PL.</x:v>
      </x:c>
      <x:c r="G35" s="52" t="str">
        <x:v>Custodiante não está no modelo Power BI observado. O nome foi conciliado por CNPJ com o informe mensal/cadastro CVM e o PL do fundo permanece o PL ANBIMA. Cobertura: 97.5% do PL.</x:v>
      </x:c>
      <x:c r="H35" s="52" t="str">
        <x:v>Custodiante não está no modelo Power BI observado. O nome foi conciliado por CNPJ com o informe mensal/cadastro CVM e o PL do fundo permanece o PL ANBIMA. Cobertura: 97.5% do PL.</x:v>
      </x:c>
      <x:c r="I35" s="52" t="str">
        <x:v>Custodiante não está no modelo Power BI observado. O nome foi conciliado por CNPJ com o informe mensal/cadastro CVM e o PL do fundo permanece o PL ANBIMA. Cobertura: 97.5% do PL.</x:v>
      </x:c>
      <x:c r="J35" s="52" t="str">
        <x:v>Custodiante não está no modelo Power BI observado. O nome foi conciliado por CNPJ com o informe mensal/cadastro CVM e o PL do fundo permanece o PL ANBIMA. Cobertura: 97.5% do PL.</x:v>
      </x:c>
      <x:c r="K35" s="52" t="str">
        <x:v>Custodiante não está no modelo Power BI observado. O nome foi conciliado por CNPJ com o informe mensal/cadastro CVM e o PL do fundo permanece o PL ANBIMA. Cobertura: 97.5% do PL.</x:v>
      </x:c>
      <x:c r="L35" s="52" t="str">
        <x:v>Custodiante não está no modelo Power BI observado. O nome foi conciliado por CNPJ com o informe mensal/cadastro CVM e o PL do fundo permanece o PL ANBIMA. Cobertura: 97.5% do PL.</x:v>
      </x:c>
      <x:c r="M35" s="52" t="str">
        <x:v>Custodiante não está no modelo Power BI observado. O nome foi conciliado por CNPJ com o informe mensal/cadastro CVM e o PL do fundo permanece o PL ANBIMA. Cobertura: 97.5% do PL.</x:v>
      </x:c>
      <x:c r="N35" s="52" t="str">
        <x:v>Custodiante não está no modelo Power BI observado. O nome foi conciliado por CNPJ com o informe mensal/cadastro CVM e o PL do fundo permanece o PL ANBIMA. Cobertura: 97.5% do PL.</x:v>
      </x:c>
    </x:row>
  </x:sheetData>
  <x:mergeCells>
    <x:mergeCell ref="A1:N2"/>
    <x:mergeCell ref="A32:N35"/>
  </x:mergeCells>
  <x:pageMargins left="0.7" right="0.7" top="0.75" bottom="0.75" header="0.3" footer="0.3"/>
  <x:drawing xmlns:r="http://schemas.openxmlformats.org/officeDocument/2006/relationships" r:id="R1fb3a222ee0d47c0"/>
</x:worksheet>
</file>

<file path=xl/worksheets/sheet12.xml><?xml version="1.0" encoding="utf-8"?>
<x:worksheet xmlns:x="http://schemas.openxmlformats.org/spreadsheetml/2006/main">
  <x:sheetViews>
    <x:sheetView showGridLines="0" workbookViewId="0"/>
  </x:sheetViews>
  <x:sheetFormatPr defaultRowHeight="15"/>
  <x:cols>
    <x:col min="1" max="1" width="5" hidden="0" customWidth="1"/>
    <x:col min="2" max="2" width="48" hidden="0" customWidth="1"/>
    <x:col min="3" max="3" width="13" hidden="0" customWidth="1"/>
    <x:col min="4" max="4" width="28" hidden="0" customWidth="1"/>
    <x:col min="5" max="5" width="28" hidden="0" customWidth="1"/>
    <x:col min="6" max="6" width="27" hidden="0" customWidth="1"/>
    <x:col min="7" max="7" width="38" hidden="0" customWidth="1"/>
    <x:col min="8" max="8" width="38" hidden="0" customWidth="1"/>
    <x:col min="9" max="9" width="12" hidden="0" customWidth="1"/>
    <x:col min="10" max="10" width="17" hidden="0" customWidth="1"/>
  </x:cols>
  <x:sheetData>
    <x:row r="1" ht="30" customHeight="1">
      <x:c r="A1" s="4" t="str">
        <x:v>Top 25 FIDCs concentram R$ 217 bi de patrimônio</x:v>
      </x:c>
      <x:c r="B1" s="4" t="str">
        <x:v>Top 25 FIDCs concentram R$ 217 bi de patrimônio</x:v>
      </x:c>
      <x:c r="C1" s="4" t="str">
        <x:v>Top 25 FIDCs concentram R$ 217 bi de patrimônio</x:v>
      </x:c>
      <x:c r="D1" s="4" t="str">
        <x:v>Top 25 FIDCs concentram R$ 217 bi de patrimônio</x:v>
      </x:c>
      <x:c r="E1" s="4" t="str">
        <x:v>Top 25 FIDCs concentram R$ 217 bi de patrimônio</x:v>
      </x:c>
      <x:c r="F1" s="4" t="str">
        <x:v>Top 25 FIDCs concentram R$ 217 bi de patrimônio</x:v>
      </x:c>
      <x:c r="G1" s="4" t="str">
        <x:v>Top 25 FIDCs concentram R$ 217 bi de patrimônio</x:v>
      </x:c>
      <x:c r="H1" s="4" t="str">
        <x:v>Top 25 FIDCs concentram R$ 217 bi de patrimônio</x:v>
      </x:c>
      <x:c r="I1" s="4" t="str">
        <x:v>Top 25 FIDCs concentram R$ 217 bi de patrimônio</x:v>
      </x:c>
      <x:c r="J1" s="4" t="str">
        <x:v>Top 25 FIDCs concentram R$ 217 bi de patrimônio</x:v>
      </x:c>
      <x:c r="K1" s="4" t="str">
        <x:v>Top 25 FIDCs concentram R$ 217 bi de patrimônio</x:v>
      </x:c>
      <x:c r="L1" s="4" t="str">
        <x:v>Top 25 FIDCs concentram R$ 217 bi de patrimônio</x:v>
      </x:c>
      <x:c r="M1" s="4" t="str">
        <x:v>Top 25 FIDCs concentram R$ 217 bi de patrimônio</x:v>
      </x:c>
      <x:c r="N1" s="4" t="str">
        <x:v>Top 25 FIDCs concentram R$ 217 bi de patrimônio</x:v>
      </x:c>
    </x:row>
    <x:row r="2" ht="30" customHeight="1">
      <x:c r="A2" s="4" t="str">
        <x:v>Top 25 FIDCs concentram R$ 217 bi de patrimônio</x:v>
      </x:c>
      <x:c r="B2" s="4" t="str">
        <x:v>Top 25 FIDCs concentram R$ 217 bi de patrimônio</x:v>
      </x:c>
      <x:c r="C2" s="4" t="str">
        <x:v>Top 25 FIDCs concentram R$ 217 bi de patrimônio</x:v>
      </x:c>
      <x:c r="D2" s="4" t="str">
        <x:v>Top 25 FIDCs concentram R$ 217 bi de patrimônio</x:v>
      </x:c>
      <x:c r="E2" s="4" t="str">
        <x:v>Top 25 FIDCs concentram R$ 217 bi de patrimônio</x:v>
      </x:c>
      <x:c r="F2" s="4" t="str">
        <x:v>Top 25 FIDCs concentram R$ 217 bi de patrimônio</x:v>
      </x:c>
      <x:c r="G2" s="4" t="str">
        <x:v>Top 25 FIDCs concentram R$ 217 bi de patrimônio</x:v>
      </x:c>
      <x:c r="H2" s="4" t="str">
        <x:v>Top 25 FIDCs concentram R$ 217 bi de patrimônio</x:v>
      </x:c>
      <x:c r="I2" s="4" t="str">
        <x:v>Top 25 FIDCs concentram R$ 217 bi de patrimônio</x:v>
      </x:c>
      <x:c r="J2" s="4" t="str">
        <x:v>Top 25 FIDCs concentram R$ 217 bi de patrimônio</x:v>
      </x:c>
      <x:c r="K2" s="4" t="str">
        <x:v>Top 25 FIDCs concentram R$ 217 bi de patrimônio</x:v>
      </x:c>
      <x:c r="L2" s="4" t="str">
        <x:v>Top 25 FIDCs concentram R$ 217 bi de patrimônio</x:v>
      </x:c>
      <x:c r="M2" s="4" t="str">
        <x:v>Top 25 FIDCs concentram R$ 217 bi de patrimônio</x:v>
      </x:c>
      <x:c r="N2" s="4" t="str">
        <x:v>Top 25 FIDCs concentram R$ 217 bi de patrimônio</x:v>
      </x:c>
    </x:row>
    <x:row r="3">
      <x:c r="A3" s="211"/>
      <x:c r="B3" s="211"/>
      <x:c r="C3" s="211"/>
      <x:c r="D3" s="211"/>
      <x:c r="E3" s="211"/>
      <x:c r="F3" s="211"/>
      <x:c r="G3" s="211"/>
      <x:c r="H3" s="211"/>
      <x:c r="I3" s="211"/>
      <x:c r="J3" s="211"/>
      <x:c r="K3" s="211"/>
      <x:c r="L3" s="211"/>
      <x:c r="M3" s="211"/>
      <x:c r="N3" s="211"/>
    </x:row>
    <x:row r="4" ht="28" customHeight="1">
      <x:c r="A4" s="20" t="str">
        <x:v>#</x:v>
      </x:c>
      <x:c r="B4" s="21" t="str">
        <x:v>FIDC</x:v>
      </x:c>
      <x:c r="C4" s="21" t="str">
        <x:v>PL (R$ bi)</x:v>
      </x:c>
      <x:c r="D4" s="21" t="str">
        <x:v>Gestora</x:v>
      </x:c>
      <x:c r="E4" s="21" t="str">
        <x:v>Grupo gestora</x:v>
      </x:c>
      <x:c r="F4" s="21" t="str">
        <x:v>Tipo ANBIMA</x:v>
      </x:c>
      <x:c r="G4" s="21" t="str">
        <x:v>Administrador</x:v>
      </x:c>
      <x:c r="H4" s="21" t="str">
        <x:v>Custodiante</x:v>
      </x:c>
      <x:c r="I4" s="21" t="str">
        <x:v>Cotistas</x:v>
      </x:c>
      <x:c r="J4" s="22" t="str">
        <x:v>CNPJ</x:v>
      </x:c>
      <x:c r="K4" s="211"/>
      <x:c r="L4" s="211"/>
      <x:c r="M4" s="211"/>
      <x:c r="N4" s="211"/>
    </x:row>
    <x:row r="5">
      <x:c r="A5" s="165" t="n">
        <x:v>1</x:v>
      </x:c>
      <x:c r="B5" s="165" t="str">
        <x:v>FIDC DO SISTEMA PETROBRAS</x:v>
      </x:c>
      <x:c r="C5" s="168" t="n">
        <x:v>60.841973938879995</x:v>
      </x:c>
      <x:c r="D5" s="165" t="str">
        <x:v>BB Asset Management</x:v>
      </x:c>
      <x:c r="E5" s="165" t="str">
        <x:f>IFERROR(INDEX('Classif Gestoras'!$H$6:$H$462,MATCH(D5,'Classif Gestoras'!$A$6:$A$462,0)),"Não classificada")</x:f>
        <x:v>Ligada a banco</x:v>
      </x:c>
      <x:c r="F5" s="165" t="str">
        <x:v>Agro, Indústria e Comércio</x:v>
      </x:c>
      <x:c r="G5" s="165" t="str">
        <x:v>BB Asset Management</x:v>
      </x:c>
      <x:c r="H5" s="165" t="str">
        <x:v>BANCO DO BRASIL S.A.</x:v>
      </x:c>
      <x:c r="I5" s="171" t="n">
        <x:v>107</x:v>
      </x:c>
      <x:c r="J5" s="174" t="str">
        <x:v>09.195.235/0001-50</x:v>
      </x:c>
      <x:c r="K5" s="211"/>
      <x:c r="L5" s="211"/>
      <x:c r="M5" s="211"/>
      <x:c r="N5" s="211"/>
    </x:row>
    <x:row r="6">
      <x:c r="A6" s="166" t="n">
        <x:v>2</x:v>
      </x:c>
      <x:c r="B6" s="166" t="str">
        <x:v>TAPSO FUNDO DE INVESTIMENTO EM DIREITOS CREDITÓRIOS RESPONSABILIDADE LIMITADA</x:v>
      </x:c>
      <x:c r="C6" s="169" t="n">
        <x:v>40.658253334570006</x:v>
      </x:c>
      <x:c r="D6" s="166" t="str">
        <x:v>Oliveira Trust Servicer</x:v>
      </x:c>
      <x:c r="E6" s="166" t="str">
        <x:f>IFERROR(INDEX('Classif Gestoras'!$H$6:$H$462,MATCH(D6,'Classif Gestoras'!$A$6:$A$462,0)),"Não classificada")</x:f>
        <x:v>Independente</x:v>
      </x:c>
      <x:c r="F6" s="166" t="str">
        <x:v>Financeiro</x:v>
      </x:c>
      <x:c r="G6" s="166" t="str">
        <x:v>Oliveira Trust DTVM</x:v>
      </x:c>
      <x:c r="H6" s="166" t="str">
        <x:v>OLIVEIRA TRUST DTVM S.A.</x:v>
      </x:c>
      <x:c r="I6" s="172" t="n">
        <x:v>10</x:v>
      </x:c>
      <x:c r="J6" s="175" t="str">
        <x:v>26.287.464/0001-14</x:v>
      </x:c>
      <x:c r="K6" s="211"/>
      <x:c r="L6" s="211"/>
      <x:c r="M6" s="211"/>
      <x:c r="N6" s="211"/>
    </x:row>
    <x:row r="7">
      <x:c r="A7" s="166" t="n">
        <x:v>3</x:v>
      </x:c>
      <x:c r="B7" s="166" t="str">
        <x:v>CLOUDWALK BELA FUNDO DE INVESTIMENTO EM DIREITOS CREDITÓRIOS SEGMENTO MEIOS DE PAGAMENTO</x:v>
      </x:c>
      <x:c r="C7" s="169" t="n">
        <x:v>9.984886329650003</x:v>
      </x:c>
      <x:c r="D7" s="166" t="str">
        <x:v>Banco Bradesco S/A</x:v>
      </x:c>
      <x:c r="E7" s="166" t="str">
        <x:f>IFERROR(INDEX('Classif Gestoras'!$H$6:$H$462,MATCH(D7,'Classif Gestoras'!$A$6:$A$462,0)),"Não classificada")</x:f>
        <x:v>Ligada a banco</x:v>
      </x:c>
      <x:c r="F7" s="166" t="str">
        <x:v>Outros</x:v>
      </x:c>
      <x:c r="G7" s="166" t="str">
        <x:v>BEM - DIST. DE TÍTUL</x:v>
      </x:c>
      <x:c r="H7" s="166" t="str">
        <x:v>BANCO BRADESCO S.A.</x:v>
      </x:c>
      <x:c r="I7" s="172" t="n">
        <x:v>291</x:v>
      </x:c>
      <x:c r="J7" s="175" t="str">
        <x:v>62.393.679/0001-83</x:v>
      </x:c>
      <x:c r="K7" s="211"/>
      <x:c r="L7" s="211"/>
      <x:c r="M7" s="211"/>
      <x:c r="N7" s="211"/>
    </x:row>
    <x:row r="8">
      <x:c r="A8" s="166" t="n">
        <x:v>4</x:v>
      </x:c>
      <x:c r="B8" s="166" t="str">
        <x:v>ITAÚ CRÉDITO PRIVADO FUNDO DE INVESTIMENTO EM DIREITOS CREDITÓRIOS - RESPONSABILIDADE LIMITADA</x:v>
      </x:c>
      <x:c r="C8" s="169" t="n">
        <x:v>8.61589291829</x:v>
      </x:c>
      <x:c r="D8" s="166" t="str">
        <x:v>ITAU ASSET</x:v>
      </x:c>
      <x:c r="E8" s="166" t="str">
        <x:f>IFERROR(INDEX('Classif Gestoras'!$H$6:$H$462,MATCH(D8,'Classif Gestoras'!$A$6:$A$462,0)),"Não classificada")</x:f>
        <x:v>Ligada a banco</x:v>
      </x:c>
      <x:c r="F8" s="166" t="str">
        <x:v>Outros</x:v>
      </x:c>
      <x:c r="G8" s="166" t="str">
        <x:v>INTRAG DIST. DE TÍTU</x:v>
      </x:c>
      <x:c r="H8" s="166" t="str">
        <x:v>ITAU UNIBANCO S.A.</x:v>
      </x:c>
      <x:c r="I8" s="172" t="n">
        <x:v>4</x:v>
      </x:c>
      <x:c r="J8" s="175" t="str">
        <x:v>53.286.499/0001-01</x:v>
      </x:c>
      <x:c r="K8" s="211"/>
      <x:c r="L8" s="211"/>
      <x:c r="M8" s="211"/>
      <x:c r="N8" s="211"/>
    </x:row>
    <x:row r="9">
      <x:c r="A9" s="166" t="n">
        <x:v>5</x:v>
      </x:c>
      <x:c r="B9" s="166" t="str">
        <x:v>BTG PACTUAL CONSIGNADOS II FUNDO DE INVESTIMENTO EM DIREITOS CREDITÓRIOS</x:v>
      </x:c>
      <x:c r="C9" s="169" t="n">
        <x:v>7.91921619097</x:v>
      </x:c>
      <x:c r="D9" s="166" t="str">
        <x:v>Banco BTG Pactual</x:v>
      </x:c>
      <x:c r="E9" s="166" t="str">
        <x:f>IFERROR(INDEX('Classif Gestoras'!$H$6:$H$462,MATCH(D9,'Classif Gestoras'!$A$6:$A$462,0)),"Não classificada")</x:f>
        <x:v>Ligada a banco</x:v>
      </x:c>
      <x:c r="F9" s="166" t="str">
        <x:v>Financeiro</x:v>
      </x:c>
      <x:c r="G9" s="166" t="str">
        <x:v>BTG Pactual Servicos Financeiros S/A DTVM</x:v>
      </x:c>
      <x:c r="H9" s="166" t="str">
        <x:v>BANCO BTG PACTUAL S/A</x:v>
      </x:c>
      <x:c r="I9" s="172" t="n">
        <x:v>1</x:v>
      </x:c>
      <x:c r="J9" s="175" t="str">
        <x:v>52.242.420/0001-88</x:v>
      </x:c>
      <x:c r="K9" s="211"/>
      <x:c r="L9" s="211"/>
      <x:c r="M9" s="211"/>
      <x:c r="N9" s="211"/>
    </x:row>
    <x:row r="10">
      <x:c r="A10" s="166" t="n">
        <x:v>6</x:v>
      </x:c>
      <x:c r="B10" s="166" t="str">
        <x:v>CLASSE CONSIGNADO PRIVADO DO MT GLOBAL FUNDO DE INVESTIMENTO EM DIREITOS CREDITÓRIOS RESP LIMITADA</x:v>
      </x:c>
      <x:c r="C10" s="169" t="n">
        <x:v>7.77805082113</x:v>
      </x:c>
      <x:c r="D10" s="166" t="str">
        <x:v>BTG Pactual Asset</x:v>
      </x:c>
      <x:c r="E10" s="166" t="str">
        <x:f>IFERROR(INDEX('Classif Gestoras'!$H$6:$H$462,MATCH(D10,'Classif Gestoras'!$A$6:$A$462,0)),"Não classificada")</x:f>
        <x:v>Ligada a banco</x:v>
      </x:c>
      <x:c r="F10" s="166" t="str">
        <x:v>Financeiro</x:v>
      </x:c>
      <x:c r="G10" s="166" t="str">
        <x:v>BTG Pactual Servicos Financeiros S/A DTVM</x:v>
      </x:c>
      <x:c r="H10" s="166" t="str">
        <x:v>BANCO BTG PACTUAL S/A</x:v>
      </x:c>
      <x:c r="I10" s="172" t="n">
        <x:v>5</x:v>
      </x:c>
      <x:c r="J10" s="175" t="str">
        <x:v>63.953.619/0001-30</x:v>
      </x:c>
      <x:c r="K10" s="211"/>
      <x:c r="L10" s="211"/>
      <x:c r="M10" s="211"/>
      <x:c r="N10" s="211"/>
    </x:row>
    <x:row r="11">
      <x:c r="A11" s="166" t="n">
        <x:v>7</x:v>
      </x:c>
      <x:c r="B11" s="166" t="str">
        <x:v>FUNDO DE INVESTIMENTO EM DIREITOS CREDITÓRIOS PAGSEGURO I</x:v>
      </x:c>
      <x:c r="C11" s="169" t="n">
        <x:v>6.70277891708</x:v>
      </x:c>
      <x:c r="D11" s="166" t="str">
        <x:v>GENIAL GESTÃO LTDA.</x:v>
      </x:c>
      <x:c r="E11" s="166" t="str">
        <x:f>IFERROR(INDEX('Classif Gestoras'!$H$6:$H$462,MATCH(D11,'Classif Gestoras'!$A$6:$A$462,0)),"Não classificada")</x:f>
        <x:v>Ligada a banco</x:v>
      </x:c>
      <x:c r="F11" s="166" t="str">
        <x:v>Outros</x:v>
      </x:c>
      <x:c r="G11" s="166" t="str">
        <x:v>Genial Investimentos Corretora de Valores Mobiliários S.A.</x:v>
      </x:c>
      <x:c r="H11" s="166" t="str">
        <x:v>BANCO GENIAL S.A.</x:v>
      </x:c>
      <x:c r="I11" s="172" t="n">
        <x:v>4</x:v>
      </x:c>
      <x:c r="J11" s="175" t="str">
        <x:v>28.169.275/0001-72</x:v>
      </x:c>
      <x:c r="K11" s="211"/>
      <x:c r="L11" s="211"/>
      <x:c r="M11" s="211"/>
      <x:c r="N11" s="211"/>
    </x:row>
    <x:row r="12">
      <x:c r="A12" s="166" t="n">
        <x:v>8</x:v>
      </x:c>
      <x:c r="B12" s="166" t="str">
        <x:v>CIELO FUNDO DE INVESTIMENTO EM DIREITOS CREDITÓRIOS</x:v>
      </x:c>
      <x:c r="C12" s="169" t="n">
        <x:v>6.46571239818</x:v>
      </x:c>
      <x:c r="D12" s="166" t="str">
        <x:v>Banco Bradesco S/A</x:v>
      </x:c>
      <x:c r="E12" s="166" t="str">
        <x:f>IFERROR(INDEX('Classif Gestoras'!$H$6:$H$462,MATCH(D12,'Classif Gestoras'!$A$6:$A$462,0)),"Não classificada")</x:f>
        <x:v>Ligada a banco</x:v>
      </x:c>
      <x:c r="F12" s="166" t="str">
        <x:v>Financeiro</x:v>
      </x:c>
      <x:c r="G12" s="166" t="str">
        <x:v>BEM - DIST. DE TÍTUL</x:v>
      </x:c>
      <x:c r="H12" s="166" t="str">
        <x:v>BANCO BRADESCO S.A.</x:v>
      </x:c>
      <x:c r="I12" s="172" t="n">
        <x:v>61</x:v>
      </x:c>
      <x:c r="J12" s="175" t="str">
        <x:v>26.286.939/0001-58</x:v>
      </x:c>
      <x:c r="K12" s="211"/>
      <x:c r="L12" s="211"/>
      <x:c r="M12" s="211"/>
      <x:c r="N12" s="211"/>
    </x:row>
    <x:row r="13">
      <x:c r="A13" s="166" t="n">
        <x:v>9</x:v>
      </x:c>
      <x:c r="B13" s="166" t="str">
        <x:v>BTG PACTUAL CONSIGNADOS FUNDO DE INVESTIMENTO EM DIREITOS CREDITÓRIOS</x:v>
      </x:c>
      <x:c r="C13" s="169" t="n">
        <x:v>5.93010586045</x:v>
      </x:c>
      <x:c r="D13" s="166" t="str">
        <x:v>Banco BTG Pactual</x:v>
      </x:c>
      <x:c r="E13" s="166" t="str">
        <x:f>IFERROR(INDEX('Classif Gestoras'!$H$6:$H$462,MATCH(D13,'Classif Gestoras'!$A$6:$A$462,0)),"Não classificada")</x:f>
        <x:v>Ligada a banco</x:v>
      </x:c>
      <x:c r="F13" s="166" t="str">
        <x:v>Financeiro</x:v>
      </x:c>
      <x:c r="G13" s="166" t="str">
        <x:v>BTG Pactual Servicos Financeiros S/A DTVM</x:v>
      </x:c>
      <x:c r="H13" s="166" t="str">
        <x:v>BANCO BTG PACTUAL S/A</x:v>
      </x:c>
      <x:c r="I13" s="172" t="n">
        <x:v>1</x:v>
      </x:c>
      <x:c r="J13" s="175" t="str">
        <x:v>50.906.397/0001-53</x:v>
      </x:c>
      <x:c r="K13" s="211"/>
      <x:c r="L13" s="211"/>
      <x:c r="M13" s="211"/>
      <x:c r="N13" s="211"/>
    </x:row>
    <x:row r="14">
      <x:c r="A14" s="166" t="n">
        <x:v>10</x:v>
      </x:c>
      <x:c r="B14" s="166" t="str">
        <x:v>FUNDO DE INVESTIMENTO EM DIREITOS CREDITÓRIOS ALTERNATIVE ASSETS III RESPONSABILIDADE LIMITADA</x:v>
      </x:c>
      <x:c r="C14" s="169" t="n">
        <x:v>5.765091894779999</x:v>
      </x:c>
      <x:c r="D14" s="166" t="str">
        <x:v>Banco BTG Pactual</x:v>
      </x:c>
      <x:c r="E14" s="166" t="str">
        <x:f>IFERROR(INDEX('Classif Gestoras'!$H$6:$H$462,MATCH(D14,'Classif Gestoras'!$A$6:$A$462,0)),"Não classificada")</x:f>
        <x:v>Ligada a banco</x:v>
      </x:c>
      <x:c r="F14" s="166" t="str">
        <x:v>Outros</x:v>
      </x:c>
      <x:c r="G14" s="166" t="str">
        <x:v>BTG Pactual Servicos Financeiros S/A DTVM</x:v>
      </x:c>
      <x:c r="H14" s="166" t="str">
        <x:v>BANCO BTG PACTUAL S/A</x:v>
      </x:c>
      <x:c r="I14" s="172" t="n">
        <x:v>1</x:v>
      </x:c>
      <x:c r="J14" s="175" t="str">
        <x:v>29.225.241/0001-10</x:v>
      </x:c>
      <x:c r="K14" s="211"/>
      <x:c r="L14" s="211"/>
      <x:c r="M14" s="211"/>
      <x:c r="N14" s="211"/>
    </x:row>
    <x:row r="15">
      <x:c r="A15" s="166" t="n">
        <x:v>11</x:v>
      </x:c>
      <x:c r="B15" s="166" t="str">
        <x:v>NC 2025 I FUNDO DE INVESTIMENTO EM DIREITOS CREDITÓRIOS RESPONSABILIDADE LIMITADA</x:v>
      </x:c>
      <x:c r="C15" s="169" t="n">
        <x:v>5.65508869655</x:v>
      </x:c>
      <x:c r="D15" s="166" t="str">
        <x:v>Kanastra</x:v>
      </x:c>
      <x:c r="E15" s="166" t="str">
        <x:f>IFERROR(INDEX('Classif Gestoras'!$H$6:$H$462,MATCH(D15,'Classif Gestoras'!$A$6:$A$462,0)),"Não classificada")</x:f>
        <x:v>Independente</x:v>
      </x:c>
      <x:c r="F15" s="166" t="str">
        <x:v>Outros</x:v>
      </x:c>
      <x:c r="G15" s="166" t="str">
        <x:v>INTRAG DIST. DE TÍTU</x:v>
      </x:c>
      <x:c r="H15" s="166" t="str">
        <x:v>LIMINE TRUST DISTRIBUIDORA DE TITULOS E VALORES MOBILIARIOS LTDA.</x:v>
      </x:c>
      <x:c r="I15" s="172" t="n">
        <x:v>1</x:v>
      </x:c>
      <x:c r="J15" s="175" t="str">
        <x:v>63.700.113/0001-10</x:v>
      </x:c>
      <x:c r="K15" s="211"/>
      <x:c r="L15" s="211"/>
      <x:c r="M15" s="211"/>
      <x:c r="N15" s="211"/>
    </x:row>
    <x:row r="16">
      <x:c r="A16" s="166" t="n">
        <x:v>12</x:v>
      </x:c>
      <x:c r="B16" s="166" t="str">
        <x:v>FUNDO DE INVESTIMENTO EM DIREITOS CREDITÓRIOS MONEE I DE RESPONSABILIDADE LIMITADA</x:v>
      </x:c>
      <x:c r="C16" s="169" t="n">
        <x:v>5.00160736166</x:v>
      </x:c>
      <x:c r="D16" s="166" t="str">
        <x:v>VALORA RENDA FIXA LTDA.</x:v>
      </x:c>
      <x:c r="E16" s="166" t="str">
        <x:f>IFERROR(INDEX('Classif Gestoras'!$H$6:$H$462,MATCH(D16,'Classif Gestoras'!$A$6:$A$462,0)),"Não classificada")</x:f>
        <x:v>Independente</x:v>
      </x:c>
      <x:c r="F16" s="166" t="str">
        <x:v>Outros</x:v>
      </x:c>
      <x:c r="G16" s="166" t="str">
        <x:v>Singulare</x:v>
      </x:c>
      <x:c r="H16" s="166" t="str">
        <x:v>QI CORRETORA DE TÍTULOS E VALORES MOBILIÁRIOS S.A.</x:v>
      </x:c>
      <x:c r="I16" s="172" t="n">
        <x:v>2</x:v>
      </x:c>
      <x:c r="J16" s="175" t="str">
        <x:v>42.922.136/0001-07</x:v>
      </x:c>
      <x:c r="K16" s="211"/>
      <x:c r="L16" s="211"/>
      <x:c r="M16" s="211"/>
      <x:c r="N16" s="211"/>
    </x:row>
    <x:row r="17">
      <x:c r="A17" s="166" t="n">
        <x:v>13</x:v>
      </x:c>
      <x:c r="B17" s="166" t="str">
        <x:v>FUNDO DE INVESTIMENTO EM DIREITOS CREDITÓRIOS PICPAY I</x:v>
      </x:c>
      <x:c r="C17" s="169" t="n">
        <x:v>4.56416045469</x:v>
      </x:c>
      <x:c r="D17" s="166" t="str">
        <x:v>GENIAL GESTÃO LTDA.</x:v>
      </x:c>
      <x:c r="E17" s="166" t="str">
        <x:f>IFERROR(INDEX('Classif Gestoras'!$H$6:$H$462,MATCH(D17,'Classif Gestoras'!$A$6:$A$462,0)),"Não classificada")</x:f>
        <x:v>Ligada a banco</x:v>
      </x:c>
      <x:c r="F17" s="166" t="str">
        <x:v>Financeiro</x:v>
      </x:c>
      <x:c r="G17" s="166" t="str">
        <x:v>Banco Genial S.A.</x:v>
      </x:c>
      <x:c r="H17" s="166" t="str">
        <x:v>BANCO GENIAL S.A.</x:v>
      </x:c>
      <x:c r="I17" s="172" t="n">
        <x:v>2</x:v>
      </x:c>
      <x:c r="J17" s="175" t="str">
        <x:v>32.527.650/0001-86</x:v>
      </x:c>
      <x:c r="K17" s="211"/>
      <x:c r="L17" s="211"/>
      <x:c r="M17" s="211"/>
      <x:c r="N17" s="211"/>
    </x:row>
    <x:row r="18">
      <x:c r="A18" s="166" t="n">
        <x:v>14</x:v>
      </x:c>
      <x:c r="B18" s="166" t="str">
        <x:v>SELLER FIDC SEGMENTO MEIOS DE PAGAMENTO DE RESPONSABILIDADE LIMITADA</x:v>
      </x:c>
      <x:c r="C18" s="169" t="n">
        <x:v>3.63384961655</x:v>
      </x:c>
      <x:c r="D18" s="166" t="str">
        <x:v>Oliveira Trust Servicer</x:v>
      </x:c>
      <x:c r="E18" s="166" t="str">
        <x:f>IFERROR(INDEX('Classif Gestoras'!$H$6:$H$462,MATCH(D18,'Classif Gestoras'!$A$6:$A$462,0)),"Não classificada")</x:f>
        <x:v>Independente</x:v>
      </x:c>
      <x:c r="F18" s="166" t="str">
        <x:v>Financeiro</x:v>
      </x:c>
      <x:c r="G18" s="166" t="str">
        <x:v>Oliveira Trust DTVM</x:v>
      </x:c>
      <x:c r="H18" s="166" t="str">
        <x:v>OLIVEIRA TRUST DTVM S.A.</x:v>
      </x:c>
      <x:c r="I18" s="172" t="n">
        <x:v>8</x:v>
      </x:c>
      <x:c r="J18" s="175" t="str">
        <x:v>50.473.039/0001-02</x:v>
      </x:c>
      <x:c r="K18" s="211"/>
      <x:c r="L18" s="211"/>
      <x:c r="M18" s="211"/>
      <x:c r="N18" s="211"/>
    </x:row>
    <x:row r="19">
      <x:c r="A19" s="166" t="n">
        <x:v>15</x:v>
      </x:c>
      <x:c r="B19" s="166" t="str">
        <x:v>FIDC ACR BEM BANCOS EMISSORES DE CARTÃO DE CRÉDITO - RESPONSABILIDADE LIMITADA</x:v>
      </x:c>
      <x:c r="C19" s="169" t="n">
        <x:v>3.6323227350500003</x:v>
      </x:c>
      <x:c r="D19" s="166" t="str">
        <x:v>Banco Bradesco S/A</x:v>
      </x:c>
      <x:c r="E19" s="166" t="str">
        <x:f>IFERROR(INDEX('Classif Gestoras'!$H$6:$H$462,MATCH(D19,'Classif Gestoras'!$A$6:$A$462,0)),"Não classificada")</x:f>
        <x:v>Ligada a banco</x:v>
      </x:c>
      <x:c r="F19" s="166" t="str">
        <x:v>Financeiro</x:v>
      </x:c>
      <x:c r="G19" s="166" t="str">
        <x:v>BEM - DIST. DE TÍTUL</x:v>
      </x:c>
      <x:c r="H19" s="166" t="str">
        <x:v>BANCO BRADESCO S.A.</x:v>
      </x:c>
      <x:c r="I19" s="172" t="n">
        <x:v>66</x:v>
      </x:c>
      <x:c r="J19" s="175" t="str">
        <x:v>54.979.779/0001-68</x:v>
      </x:c>
      <x:c r="K19" s="211"/>
      <x:c r="L19" s="211"/>
      <x:c r="M19" s="211"/>
      <x:c r="N19" s="211"/>
    </x:row>
    <x:row r="20">
      <x:c r="A20" s="166" t="n">
        <x:v>16</x:v>
      </x:c>
      <x:c r="B20" s="166" t="str">
        <x:v>RSCRED MULTIESTRÉGIA - FUNDO DE INVESTIMENTO EM DIREITOS CREDITÓRIOS NÃO-PADRONIZADOS</x:v>
      </x:c>
      <x:c r="C20" s="169" t="n">
        <x:v>3.5999959734300004</x:v>
      </x:c>
      <x:c r="D20" s="166" t="str">
        <x:v>SECURITY ADMINISTRAD</x:v>
      </x:c>
      <x:c r="E20" s="166" t="str">
        <x:f>IFERROR(INDEX('Classif Gestoras'!$H$6:$H$462,MATCH(D20,'Classif Gestoras'!$A$6:$A$462,0)),"Não classificada")</x:f>
        <x:v>Independente</x:v>
      </x:c>
      <x:c r="F20" s="166" t="str">
        <x:v>Outros</x:v>
      </x:c>
      <x:c r="G20" s="166" t="str">
        <x:v>RJI Investimentos</x:v>
      </x:c>
      <x:c r="H20" s="166" t="str">
        <x:v>RJI CORRETORA DE TÍTULOS E VALORES MOBILIÁRIOS LTDA.</x:v>
      </x:c>
      <x:c r="I20" s="172" t="n">
        <x:v>1</x:v>
      </x:c>
      <x:c r="J20" s="175" t="str">
        <x:v>29.301.202/0001-55</x:v>
      </x:c>
      <x:c r="K20" s="211"/>
      <x:c r="L20" s="211"/>
      <x:c r="M20" s="211"/>
      <x:c r="N20" s="211"/>
    </x:row>
    <x:row r="21">
      <x:c r="A21" s="166" t="n">
        <x:v>17</x:v>
      </x:c>
      <x:c r="B21" s="166" t="str">
        <x:v>HAVAN FUNDO DE INVESTIMENTO EM DIREITOS CREDITÓRIOS SEGMENTO ECONÔMICO, FINANCEIRO E COMERCIAL</x:v>
      </x:c>
      <x:c r="C21" s="169" t="n">
        <x:v>3.57663805352</x:v>
      </x:c>
      <x:c r="D21" s="166" t="str">
        <x:v>Petra Capital</x:v>
      </x:c>
      <x:c r="E21" s="166" t="str">
        <x:f>IFERROR(INDEX('Classif Gestoras'!$H$6:$H$462,MATCH(D21,'Classif Gestoras'!$A$6:$A$462,0)),"Não classificada")</x:f>
        <x:v>Independente</x:v>
      </x:c>
      <x:c r="F21" s="166" t="str">
        <x:v>Outros</x:v>
      </x:c>
      <x:c r="G21" s="166" t="str">
        <x:v>Banco Finaxis S.A.</x:v>
      </x:c>
      <x:c r="H21" s="166" t="str">
        <x:v>BANCO FINAXIS S.A.</x:v>
      </x:c>
      <x:c r="I21" s="172" t="n">
        <x:v>1</x:v>
      </x:c>
      <x:c r="J21" s="175" t="str">
        <x:v>12.817.329/0001-29</x:v>
      </x:c>
      <x:c r="K21" s="211"/>
      <x:c r="L21" s="211"/>
      <x:c r="M21" s="211"/>
      <x:c r="N21" s="211"/>
    </x:row>
    <x:row r="22">
      <x:c r="A22" s="166" t="n">
        <x:v>18</x:v>
      </x:c>
      <x:c r="B22" s="166" t="str">
        <x:v>EXPERT III FUNDO DE INVESTIMENTO EM DIREITOS CREDITÓRIOS DE RESPONSABILIDADE ILIMITADA</x:v>
      </x:c>
      <x:c r="C22" s="169" t="n">
        <x:v>3.54807125128</x:v>
      </x:c>
      <x:c r="D22" s="166" t="str">
        <x:v>DAYCOVAL ASSET MANAG</x:v>
      </x:c>
      <x:c r="E22" s="166" t="str">
        <x:f>IFERROR(INDEX('Classif Gestoras'!$H$6:$H$462,MATCH(D22,'Classif Gestoras'!$A$6:$A$462,0)),"Não classificada")</x:f>
        <x:v>Ligada a banco</x:v>
      </x:c>
      <x:c r="F22" s="166" t="str">
        <x:v>Outros</x:v>
      </x:c>
      <x:c r="G22" s="166" t="str">
        <x:v>BANCO DAYCOVAL S/A</x:v>
      </x:c>
      <x:c r="H22" s="166" t="str">
        <x:v>BANCO DAYCOVAL S.A.</x:v>
      </x:c>
      <x:c r="I22" s="172" t="n">
        <x:v>6</x:v>
      </x:c>
      <x:c r="J22" s="175" t="str">
        <x:v>53.073.485/0001-00</x:v>
      </x:c>
      <x:c r="K22" s="211"/>
      <x:c r="L22" s="211"/>
      <x:c r="M22" s="211"/>
      <x:c r="N22" s="211"/>
    </x:row>
    <x:row r="23">
      <x:c r="A23" s="166" t="n">
        <x:v>19</x:v>
      </x:c>
      <x:c r="B23" s="166" t="str">
        <x:v>VENDA DE VEÍCULOS FUNDO DE INVESTIMENTO EM DIREITOS CREDITÓRIOS</x:v>
      </x:c>
      <x:c r="C23" s="169" t="n">
        <x:v>3.49213016123086</x:v>
      </x:c>
      <x:c r="D23" s="166" t="str">
        <x:v>Integral Investimentos</x:v>
      </x:c>
      <x:c r="E23" s="166" t="str">
        <x:f>IFERROR(INDEX('Classif Gestoras'!$H$6:$H$462,MATCH(D23,'Classif Gestoras'!$A$6:$A$462,0)),"Não classificada")</x:f>
        <x:v>Independente</x:v>
      </x:c>
      <x:c r="F23" s="166" t="str">
        <x:v>Financeiro</x:v>
      </x:c>
      <x:c r="G23" s="166" t="str">
        <x:v>S3 Caceis Brasil Distribuidora de Títulos e Valores Mob</x:v>
      </x:c>
      <x:c r="H23" s="166" t="str">
        <x:v>S3 CACEIS BRASIL DISTRIBUIDORA DE TITULOS E VALORES MOBILIARIOS S.A</x:v>
      </x:c>
      <x:c r="I23" s="172" t="n">
        <x:v>1</x:v>
      </x:c>
      <x:c r="J23" s="175" t="str">
        <x:v>21.126.275/0001-46</x:v>
      </x:c>
      <x:c r="K23" s="211"/>
      <x:c r="L23" s="211"/>
      <x:c r="M23" s="211"/>
      <x:c r="N23" s="211"/>
    </x:row>
    <x:row r="24">
      <x:c r="A24" s="166" t="n">
        <x:v>20</x:v>
      </x:c>
      <x:c r="B24" s="166" t="str">
        <x:v>RED FUNDO DE INVESTIMENTO EM DIREITOS CREDITÓRIOS REAL LP DE RESPONSABILIDADE LIMITADA</x:v>
      </x:c>
      <x:c r="C24" s="169" t="n">
        <x:v>3.4864891396099997</x:v>
      </x:c>
      <x:c r="D24" s="166" t="str">
        <x:v>RedAsset Gestão de Recursos Ltda.</x:v>
      </x:c>
      <x:c r="E24" s="166" t="str">
        <x:f>IFERROR(INDEX('Classif Gestoras'!$H$6:$H$462,MATCH(D24,'Classif Gestoras'!$A$6:$A$462,0)),"Não classificada")</x:f>
        <x:v>Independente</x:v>
      </x:c>
      <x:c r="F24" s="166" t="str">
        <x:v>Outros</x:v>
      </x:c>
      <x:c r="G24" s="166" t="str">
        <x:v>Finaxis Corretora de Títulos e Valores Mobiliários S.A.</x:v>
      </x:c>
      <x:c r="H24" s="166" t="str">
        <x:v>BANCO FINAXIS S.A.</x:v>
      </x:c>
      <x:c r="I24" s="172" t="n">
        <x:v>377</x:v>
      </x:c>
      <x:c r="J24" s="175" t="str">
        <x:v>17.250.006/0001-10</x:v>
      </x:c>
      <x:c r="K24" s="211"/>
      <x:c r="L24" s="211"/>
      <x:c r="M24" s="211"/>
      <x:c r="N24" s="211"/>
    </x:row>
    <x:row r="25">
      <x:c r="A25" s="166" t="n">
        <x:v>21</x:v>
      </x:c>
      <x:c r="B25" s="166" t="str">
        <x:v>MT CONSIGNADO PRIVADO I FUNDO DE INVESTIMENTO EM DIREITOS CREDITÓRIOS</x:v>
      </x:c>
      <x:c r="C25" s="169" t="n">
        <x:v>3.3355525912699995</x:v>
      </x:c>
      <x:c r="D25" s="166" t="str">
        <x:v>BTG Pactual Asset</x:v>
      </x:c>
      <x:c r="E25" s="166" t="str">
        <x:f>IFERROR(INDEX('Classif Gestoras'!$H$6:$H$462,MATCH(D25,'Classif Gestoras'!$A$6:$A$462,0)),"Não classificada")</x:f>
        <x:v>Ligada a banco</x:v>
      </x:c>
      <x:c r="F25" s="166" t="str">
        <x:v>Financeiro</x:v>
      </x:c>
      <x:c r="G25" s="166" t="str">
        <x:v>BTG Pactual Servicos Financeiros S/A DTVM</x:v>
      </x:c>
      <x:c r="H25" s="166" t="str">
        <x:v>BANCO BTG PACTUAL S/A</x:v>
      </x:c>
      <x:c r="I25" s="172" t="n">
        <x:v>3</x:v>
      </x:c>
      <x:c r="J25" s="175" t="str">
        <x:v>60.010.416/0001-12</x:v>
      </x:c>
      <x:c r="K25" s="211"/>
      <x:c r="L25" s="211"/>
      <x:c r="M25" s="211"/>
      <x:c r="N25" s="211"/>
    </x:row>
    <x:row r="26">
      <x:c r="A26" s="166" t="n">
        <x:v>22</x:v>
      </x:c>
      <x:c r="B26" s="166" t="str">
        <x:v>OCCAM CRÉDITO CORPORATIVO 30 FUNDO DE INVESTIMENTO EM DIREITOS CREDITÓRIOS RESPONSABILIDADE LIMITADA</x:v>
      </x:c>
      <x:c r="C26" s="169" t="n">
        <x:v>3.32919824042</x:v>
      </x:c>
      <x:c r="D26" s="166" t="str">
        <x:v>NOVA OCCAM BRASIL GESTÃO DE RECURSOS LTDA.</x:v>
      </x:c>
      <x:c r="E26" s="166" t="str">
        <x:f>IFERROR(INDEX('Classif Gestoras'!$H$6:$H$462,MATCH(D26,'Classif Gestoras'!$A$6:$A$462,0)),"Não classificada")</x:f>
        <x:v>Independente</x:v>
      </x:c>
      <x:c r="F26" s="166" t="str">
        <x:v>Outros</x:v>
      </x:c>
      <x:c r="G26" s="166" t="str">
        <x:v>BNY MELLON SERVICOS</x:v>
      </x:c>
      <x:c r="H26" s="166" t="str">
        <x:v>BNY MELLON BANCO S.A.</x:v>
      </x:c>
      <x:c r="I26" s="172" t="n">
        <x:v>5</x:v>
      </x:c>
      <x:c r="J26" s="175" t="str">
        <x:v>48.349.509/0001-70</x:v>
      </x:c>
      <x:c r="K26" s="211"/>
      <x:c r="L26" s="211"/>
      <x:c r="M26" s="211"/>
      <x:c r="N26" s="211"/>
    </x:row>
    <x:row r="27">
      <x:c r="A27" s="166" t="n">
        <x:v>23</x:v>
      </x:c>
      <x:c r="B27" s="166" t="str">
        <x:v>CLOUDWALK PI FUNDO DE INVESTIMENTO EM DIREITOS CREDITÓRIOS SEGMENTO MEIOS DE PAGAMENTO</x:v>
      </x:c>
      <x:c r="C27" s="169" t="n">
        <x:v>3.2523546327700004</x:v>
      </x:c>
      <x:c r="D27" s="166" t="str">
        <x:v>BTG Pactual Asset</x:v>
      </x:c>
      <x:c r="E27" s="166" t="str">
        <x:f>IFERROR(INDEX('Classif Gestoras'!$H$6:$H$462,MATCH(D27,'Classif Gestoras'!$A$6:$A$462,0)),"Não classificada")</x:f>
        <x:v>Ligada a banco</x:v>
      </x:c>
      <x:c r="F27" s="166" t="str">
        <x:v>Financeiro</x:v>
      </x:c>
      <x:c r="G27" s="166" t="str">
        <x:v>BTG Pactual Servicos Financeiros S/A DTVM</x:v>
      </x:c>
      <x:c r="H27" s="166" t="str">
        <x:v>BANCO BTG PACTUAL S/A</x:v>
      </x:c>
      <x:c r="I27" s="172" t="n">
        <x:v>14</x:v>
      </x:c>
      <x:c r="J27" s="175" t="str">
        <x:v>60.356.171/0001-80</x:v>
      </x:c>
      <x:c r="K27" s="211"/>
      <x:c r="L27" s="211"/>
      <x:c r="M27" s="211"/>
      <x:c r="N27" s="211"/>
    </x:row>
    <x:row r="28">
      <x:c r="A28" s="166" t="n">
        <x:v>24</x:v>
      </x:c>
      <x:c r="B28" s="166" t="str">
        <x:v>ATLANTA FUNDO DE INVESTIMENTO EM DIREITOS CREDITÓRIOS DE RESPONSABILIDADE LIMITADA</x:v>
      </x:c>
      <x:c r="C28" s="169" t="n">
        <x:v>3.23263508126</x:v>
      </x:c>
      <x:c r="D28" s="166" t="str">
        <x:v>TERCON ASSET MANAGEMENT</x:v>
      </x:c>
      <x:c r="E28" s="166" t="str">
        <x:f>IFERROR(INDEX('Classif Gestoras'!$H$6:$H$462,MATCH(D28,'Classif Gestoras'!$A$6:$A$462,0)),"Não classificada")</x:f>
        <x:v>Independente</x:v>
      </x:c>
      <x:c r="F28" s="166" t="str">
        <x:v>Fomento Mercantil</x:v>
      </x:c>
      <x:c r="G28" s="166" t="str">
        <x:v>Singulare</x:v>
      </x:c>
      <x:c r="H28" s="166" t="str">
        <x:v>QI CORRETORA DE TÍTULOS E VALORES MOBILIÁRIOS S.A.</x:v>
      </x:c>
      <x:c r="I28" s="172" t="n">
        <x:v>14</x:v>
      </x:c>
      <x:c r="J28" s="175" t="str">
        <x:v>11.468.186/0001-24</x:v>
      </x:c>
      <x:c r="K28" s="211"/>
      <x:c r="L28" s="211"/>
      <x:c r="M28" s="211"/>
      <x:c r="N28" s="211"/>
    </x:row>
    <x:row r="29">
      <x:c r="A29" s="167" t="n">
        <x:v>25</x:v>
      </x:c>
      <x:c r="B29" s="167" t="str">
        <x:v>ASA FUNDO DE INVESTIMENTO EM DIREITOS CREDITÓRIOS RESPONSABILIDADE LIMITADA</x:v>
      </x:c>
      <x:c r="C29" s="170" t="n">
        <x:v>3.15310354427</x:v>
      </x:c>
      <x:c r="D29" s="167" t="str">
        <x:v>ASA Investments</x:v>
      </x:c>
      <x:c r="E29" s="167" t="str">
        <x:f>IFERROR(INDEX('Classif Gestoras'!$H$6:$H$462,MATCH(D29,'Classif Gestoras'!$A$6:$A$462,0)),"Não classificada")</x:f>
        <x:v>Independente</x:v>
      </x:c>
      <x:c r="F29" s="167" t="str">
        <x:v>Outros</x:v>
      </x:c>
      <x:c r="G29" s="167" t="str">
        <x:v>Singulare</x:v>
      </x:c>
      <x:c r="H29" s="167" t="str">
        <x:v>QI CORRETORA DE TÍTULOS E VALORES MOBILIÁRIOS S.A.</x:v>
      </x:c>
      <x:c r="I29" s="173" t="n">
        <x:v>6</x:v>
      </x:c>
      <x:c r="J29" s="176" t="str">
        <x:v>49.826.785/0001-45</x:v>
      </x:c>
      <x:c r="K29" s="211"/>
      <x:c r="L29" s="211"/>
      <x:c r="M29" s="211"/>
      <x:c r="N29" s="211"/>
    </x:row>
    <x:row r="30">
      <x:c r="A30" s="211"/>
      <x:c r="B30" s="211"/>
      <x:c r="C30" s="211"/>
      <x:c r="D30" s="211"/>
      <x:c r="E30" s="211"/>
      <x:c r="F30" s="211"/>
      <x:c r="G30" s="211"/>
      <x:c r="H30" s="211"/>
      <x:c r="I30" s="211"/>
      <x:c r="J30" s="211"/>
      <x:c r="K30" s="211"/>
      <x:c r="L30" s="211"/>
      <x:c r="M30" s="211"/>
      <x:c r="N30" s="211"/>
    </x:row>
    <x:row r="31">
      <x:c r="A31" s="211"/>
      <x:c r="B31" s="211"/>
      <x:c r="C31" s="211"/>
      <x:c r="D31" s="211"/>
      <x:c r="E31" s="211"/>
      <x:c r="F31" s="211"/>
      <x:c r="G31" s="211"/>
      <x:c r="H31" s="211"/>
      <x:c r="I31" s="211"/>
      <x:c r="J31" s="211"/>
      <x:c r="K31" s="211"/>
      <x:c r="L31" s="211"/>
      <x:c r="M31" s="211"/>
      <x:c r="N31" s="211"/>
    </x:row>
    <x:row r="32">
      <x:c r="A32" s="52" t="str">
        <x:v>PL, tipo, foco, gestor e administrador: ANBIMA maio/2026. Nome, custódia e cotistas: CVM conciliado por CNPJ. O grupo da gestora é uma fórmula que busca a classificação final editável.</x:v>
      </x:c>
      <x:c r="B32" s="52" t="str">
        <x:v>PL, tipo, foco, gestor e administrador: ANBIMA maio/2026. Nome, custódia e cotistas: CVM conciliado por CNPJ. O grupo da gestora é uma fórmula que busca a classificação final editável.</x:v>
      </x:c>
      <x:c r="C32" s="52" t="str">
        <x:v>PL, tipo, foco, gestor e administrador: ANBIMA maio/2026. Nome, custódia e cotistas: CVM conciliado por CNPJ. O grupo da gestora é uma fórmula que busca a classificação final editável.</x:v>
      </x:c>
      <x:c r="D32" s="52" t="str">
        <x:v>PL, tipo, foco, gestor e administrador: ANBIMA maio/2026. Nome, custódia e cotistas: CVM conciliado por CNPJ. O grupo da gestora é uma fórmula que busca a classificação final editável.</x:v>
      </x:c>
      <x:c r="E32" s="52" t="str">
        <x:v>PL, tipo, foco, gestor e administrador: ANBIMA maio/2026. Nome, custódia e cotistas: CVM conciliado por CNPJ. O grupo da gestora é uma fórmula que busca a classificação final editável.</x:v>
      </x:c>
      <x:c r="F32" s="52" t="str">
        <x:v>PL, tipo, foco, gestor e administrador: ANBIMA maio/2026. Nome, custódia e cotistas: CVM conciliado por CNPJ. O grupo da gestora é uma fórmula que busca a classificação final editável.</x:v>
      </x:c>
      <x:c r="G32" s="52" t="str">
        <x:v>PL, tipo, foco, gestor e administrador: ANBIMA maio/2026. Nome, custódia e cotistas: CVM conciliado por CNPJ. O grupo da gestora é uma fórmula que busca a classificação final editável.</x:v>
      </x:c>
      <x:c r="H32" s="52" t="str">
        <x:v>PL, tipo, foco, gestor e administrador: ANBIMA maio/2026. Nome, custódia e cotistas: CVM conciliado por CNPJ. O grupo da gestora é uma fórmula que busca a classificação final editável.</x:v>
      </x:c>
      <x:c r="I32" s="52" t="str">
        <x:v>PL, tipo, foco, gestor e administrador: ANBIMA maio/2026. Nome, custódia e cotistas: CVM conciliado por CNPJ. O grupo da gestora é uma fórmula que busca a classificação final editável.</x:v>
      </x:c>
      <x:c r="J32" s="52" t="str">
        <x:v>PL, tipo, foco, gestor e administrador: ANBIMA maio/2026. Nome, custódia e cotistas: CVM conciliado por CNPJ. O grupo da gestora é uma fórmula que busca a classificação final editável.</x:v>
      </x:c>
      <x:c r="K32" s="211"/>
      <x:c r="L32" s="211"/>
      <x:c r="M32" s="211"/>
      <x:c r="N32" s="211"/>
    </x:row>
    <x:row r="33">
      <x:c r="A33" s="52" t="str">
        <x:v>PL, tipo, foco, gestor e administrador: ANBIMA maio/2026. Nome, custódia e cotistas: CVM conciliado por CNPJ. O grupo da gestora é uma fórmula que busca a classificação final editável.</x:v>
      </x:c>
      <x:c r="B33" s="52" t="str">
        <x:v>PL, tipo, foco, gestor e administrador: ANBIMA maio/2026. Nome, custódia e cotistas: CVM conciliado por CNPJ. O grupo da gestora é uma fórmula que busca a classificação final editável.</x:v>
      </x:c>
      <x:c r="C33" s="52" t="str">
        <x:v>PL, tipo, foco, gestor e administrador: ANBIMA maio/2026. Nome, custódia e cotistas: CVM conciliado por CNPJ. O grupo da gestora é uma fórmula que busca a classificação final editável.</x:v>
      </x:c>
      <x:c r="D33" s="52" t="str">
        <x:v>PL, tipo, foco, gestor e administrador: ANBIMA maio/2026. Nome, custódia e cotistas: CVM conciliado por CNPJ. O grupo da gestora é uma fórmula que busca a classificação final editável.</x:v>
      </x:c>
      <x:c r="E33" s="52" t="str">
        <x:v>PL, tipo, foco, gestor e administrador: ANBIMA maio/2026. Nome, custódia e cotistas: CVM conciliado por CNPJ. O grupo da gestora é uma fórmula que busca a classificação final editável.</x:v>
      </x:c>
      <x:c r="F33" s="52" t="str">
        <x:v>PL, tipo, foco, gestor e administrador: ANBIMA maio/2026. Nome, custódia e cotistas: CVM conciliado por CNPJ. O grupo da gestora é uma fórmula que busca a classificação final editável.</x:v>
      </x:c>
      <x:c r="G33" s="52" t="str">
        <x:v>PL, tipo, foco, gestor e administrador: ANBIMA maio/2026. Nome, custódia e cotistas: CVM conciliado por CNPJ. O grupo da gestora é uma fórmula que busca a classificação final editável.</x:v>
      </x:c>
      <x:c r="H33" s="52" t="str">
        <x:v>PL, tipo, foco, gestor e administrador: ANBIMA maio/2026. Nome, custódia e cotistas: CVM conciliado por CNPJ. O grupo da gestora é uma fórmula que busca a classificação final editável.</x:v>
      </x:c>
      <x:c r="I33" s="52" t="str">
        <x:v>PL, tipo, foco, gestor e administrador: ANBIMA maio/2026. Nome, custódia e cotistas: CVM conciliado por CNPJ. O grupo da gestora é uma fórmula que busca a classificação final editável.</x:v>
      </x:c>
      <x:c r="J33" s="52" t="str">
        <x:v>PL, tipo, foco, gestor e administrador: ANBIMA maio/2026. Nome, custódia e cotistas: CVM conciliado por CNPJ. O grupo da gestora é uma fórmula que busca a classificação final editável.</x:v>
      </x:c>
      <x:c r="K33" s="211"/>
      <x:c r="L33" s="211"/>
      <x:c r="M33" s="211"/>
      <x:c r="N33" s="211"/>
    </x:row>
    <x:row r="34">
      <x:c r="A34" s="52" t="str">
        <x:v>PL, tipo, foco, gestor e administrador: ANBIMA maio/2026. Nome, custódia e cotistas: CVM conciliado por CNPJ. O grupo da gestora é uma fórmula que busca a classificação final editável.</x:v>
      </x:c>
      <x:c r="B34" s="52" t="str">
        <x:v>PL, tipo, foco, gestor e administrador: ANBIMA maio/2026. Nome, custódia e cotistas: CVM conciliado por CNPJ. O grupo da gestora é uma fórmula que busca a classificação final editável.</x:v>
      </x:c>
      <x:c r="C34" s="52" t="str">
        <x:v>PL, tipo, foco, gestor e administrador: ANBIMA maio/2026. Nome, custódia e cotistas: CVM conciliado por CNPJ. O grupo da gestora é uma fórmula que busca a classificação final editável.</x:v>
      </x:c>
      <x:c r="D34" s="52" t="str">
        <x:v>PL, tipo, foco, gestor e administrador: ANBIMA maio/2026. Nome, custódia e cotistas: CVM conciliado por CNPJ. O grupo da gestora é uma fórmula que busca a classificação final editável.</x:v>
      </x:c>
      <x:c r="E34" s="52" t="str">
        <x:v>PL, tipo, foco, gestor e administrador: ANBIMA maio/2026. Nome, custódia e cotistas: CVM conciliado por CNPJ. O grupo da gestora é uma fórmula que busca a classificação final editável.</x:v>
      </x:c>
      <x:c r="F34" s="52" t="str">
        <x:v>PL, tipo, foco, gestor e administrador: ANBIMA maio/2026. Nome, custódia e cotistas: CVM conciliado por CNPJ. O grupo da gestora é uma fórmula que busca a classificação final editável.</x:v>
      </x:c>
      <x:c r="G34" s="52" t="str">
        <x:v>PL, tipo, foco, gestor e administrador: ANBIMA maio/2026. Nome, custódia e cotistas: CVM conciliado por CNPJ. O grupo da gestora é uma fórmula que busca a classificação final editável.</x:v>
      </x:c>
      <x:c r="H34" s="52" t="str">
        <x:v>PL, tipo, foco, gestor e administrador: ANBIMA maio/2026. Nome, custódia e cotistas: CVM conciliado por CNPJ. O grupo da gestora é uma fórmula que busca a classificação final editável.</x:v>
      </x:c>
      <x:c r="I34" s="52" t="str">
        <x:v>PL, tipo, foco, gestor e administrador: ANBIMA maio/2026. Nome, custódia e cotistas: CVM conciliado por CNPJ. O grupo da gestora é uma fórmula que busca a classificação final editável.</x:v>
      </x:c>
      <x:c r="J34" s="52" t="str">
        <x:v>PL, tipo, foco, gestor e administrador: ANBIMA maio/2026. Nome, custódia e cotistas: CVM conciliado por CNPJ. O grupo da gestora é uma fórmula que busca a classificação final editável.</x:v>
      </x:c>
      <x:c r="K34" s="211"/>
      <x:c r="L34" s="211"/>
      <x:c r="M34" s="211"/>
      <x:c r="N34" s="211"/>
    </x:row>
    <x:row r="35">
      <x:c r="A35" s="52" t="str">
        <x:v>PL, tipo, foco, gestor e administrador: ANBIMA maio/2026. Nome, custódia e cotistas: CVM conciliado por CNPJ. O grupo da gestora é uma fórmula que busca a classificação final editável.</x:v>
      </x:c>
      <x:c r="B35" s="52" t="str">
        <x:v>PL, tipo, foco, gestor e administrador: ANBIMA maio/2026. Nome, custódia e cotistas: CVM conciliado por CNPJ. O grupo da gestora é uma fórmula que busca a classificação final editável.</x:v>
      </x:c>
      <x:c r="C35" s="52" t="str">
        <x:v>PL, tipo, foco, gestor e administrador: ANBIMA maio/2026. Nome, custódia e cotistas: CVM conciliado por CNPJ. O grupo da gestora é uma fórmula que busca a classificação final editável.</x:v>
      </x:c>
      <x:c r="D35" s="52" t="str">
        <x:v>PL, tipo, foco, gestor e administrador: ANBIMA maio/2026. Nome, custódia e cotistas: CVM conciliado por CNPJ. O grupo da gestora é uma fórmula que busca a classificação final editável.</x:v>
      </x:c>
      <x:c r="E35" s="52" t="str">
        <x:v>PL, tipo, foco, gestor e administrador: ANBIMA maio/2026. Nome, custódia e cotistas: CVM conciliado por CNPJ. O grupo da gestora é uma fórmula que busca a classificação final editável.</x:v>
      </x:c>
      <x:c r="F35" s="52" t="str">
        <x:v>PL, tipo, foco, gestor e administrador: ANBIMA maio/2026. Nome, custódia e cotistas: CVM conciliado por CNPJ. O grupo da gestora é uma fórmula que busca a classificação final editável.</x:v>
      </x:c>
      <x:c r="G35" s="52" t="str">
        <x:v>PL, tipo, foco, gestor e administrador: ANBIMA maio/2026. Nome, custódia e cotistas: CVM conciliado por CNPJ. O grupo da gestora é uma fórmula que busca a classificação final editável.</x:v>
      </x:c>
      <x:c r="H35" s="52" t="str">
        <x:v>PL, tipo, foco, gestor e administrador: ANBIMA maio/2026. Nome, custódia e cotistas: CVM conciliado por CNPJ. O grupo da gestora é uma fórmula que busca a classificação final editável.</x:v>
      </x:c>
      <x:c r="I35" s="52" t="str">
        <x:v>PL, tipo, foco, gestor e administrador: ANBIMA maio/2026. Nome, custódia e cotistas: CVM conciliado por CNPJ. O grupo da gestora é uma fórmula que busca a classificação final editável.</x:v>
      </x:c>
      <x:c r="J35" s="52" t="str">
        <x:v>PL, tipo, foco, gestor e administrador: ANBIMA maio/2026. Nome, custódia e cotistas: CVM conciliado por CNPJ. O grupo da gestora é uma fórmula que busca a classificação final editável.</x:v>
      </x:c>
      <x:c r="K35" s="211"/>
      <x:c r="L35" s="211"/>
      <x:c r="M35" s="211"/>
      <x:c r="N35" s="211"/>
    </x:row>
  </x:sheetData>
  <x:mergeCells>
    <x:mergeCell ref="A1:N2"/>
    <x:mergeCell ref="A32:J35"/>
  </x:mergeCells>
  <x:pageMargins left="0.7" right="0.7" top="0.75" bottom="0.75" header="0.3" footer="0.3"/>
  <x:drawing xmlns:r="http://schemas.openxmlformats.org/officeDocument/2006/relationships" r:id="Re574195a33e44b99"/>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s>
  <x:sheetData>
    <x:row r="1" ht="30" customHeight="1">
      <x:c r="A1" s="4" t="str">
        <x:v>206 fundos acima de R$ 200 mm têm até dois cotistas</x:v>
      </x:c>
      <x:c r="B1" s="4" t="str">
        <x:v>206 fundos acima de R$ 200 mm têm até dois cotistas</x:v>
      </x:c>
      <x:c r="C1" s="4" t="str">
        <x:v>206 fundos acima de R$ 200 mm têm até dois cotistas</x:v>
      </x:c>
      <x:c r="D1" s="4" t="str">
        <x:v>206 fundos acima de R$ 200 mm têm até dois cotistas</x:v>
      </x:c>
      <x:c r="E1" s="4" t="str">
        <x:v>206 fundos acima de R$ 200 mm têm até dois cotistas</x:v>
      </x:c>
      <x:c r="F1" s="4" t="str">
        <x:v>206 fundos acima de R$ 200 mm têm até dois cotistas</x:v>
      </x:c>
      <x:c r="G1" s="4" t="str">
        <x:v>206 fundos acima de R$ 200 mm têm até dois cotistas</x:v>
      </x:c>
      <x:c r="H1" s="4" t="str">
        <x:v>206 fundos acima de R$ 200 mm têm até dois cotistas</x:v>
      </x:c>
      <x:c r="I1" s="4" t="str">
        <x:v>206 fundos acima de R$ 200 mm têm até dois cotistas</x:v>
      </x:c>
      <x:c r="J1" s="4" t="str">
        <x:v>206 fundos acima de R$ 200 mm têm até dois cotistas</x:v>
      </x:c>
      <x:c r="K1" s="4" t="str">
        <x:v>206 fundos acima de R$ 200 mm têm até dois cotistas</x:v>
      </x:c>
      <x:c r="L1" s="4" t="str">
        <x:v>206 fundos acima de R$ 200 mm têm até dois cotistas</x:v>
      </x:c>
      <x:c r="M1" s="4" t="str">
        <x:v>206 fundos acima de R$ 200 mm têm até dois cotistas</x:v>
      </x:c>
      <x:c r="N1" s="4" t="str">
        <x:v>206 fundos acima de R$ 200 mm têm até dois cotistas</x:v>
      </x:c>
    </x:row>
    <x:row r="2" ht="30" customHeight="1">
      <x:c r="A2" s="4" t="str">
        <x:v>206 fundos acima de R$ 200 mm têm até dois cotistas</x:v>
      </x:c>
      <x:c r="B2" s="4" t="str">
        <x:v>206 fundos acima de R$ 200 mm têm até dois cotistas</x:v>
      </x:c>
      <x:c r="C2" s="4" t="str">
        <x:v>206 fundos acima de R$ 200 mm têm até dois cotistas</x:v>
      </x:c>
      <x:c r="D2" s="4" t="str">
        <x:v>206 fundos acima de R$ 200 mm têm até dois cotistas</x:v>
      </x:c>
      <x:c r="E2" s="4" t="str">
        <x:v>206 fundos acima de R$ 200 mm têm até dois cotistas</x:v>
      </x:c>
      <x:c r="F2" s="4" t="str">
        <x:v>206 fundos acima de R$ 200 mm têm até dois cotistas</x:v>
      </x:c>
      <x:c r="G2" s="4" t="str">
        <x:v>206 fundos acima de R$ 200 mm têm até dois cotistas</x:v>
      </x:c>
      <x:c r="H2" s="4" t="str">
        <x:v>206 fundos acima de R$ 200 mm têm até dois cotistas</x:v>
      </x:c>
      <x:c r="I2" s="4" t="str">
        <x:v>206 fundos acima de R$ 200 mm têm até dois cotistas</x:v>
      </x:c>
      <x:c r="J2" s="4" t="str">
        <x:v>206 fundos acima de R$ 200 mm têm até dois cotistas</x:v>
      </x:c>
      <x:c r="K2" s="4" t="str">
        <x:v>206 fundos acima de R$ 200 mm têm até dois cotistas</x:v>
      </x:c>
      <x:c r="L2" s="4" t="str">
        <x:v>206 fundos acima de R$ 200 mm têm até dois cotistas</x:v>
      </x:c>
      <x:c r="M2" s="4" t="str">
        <x:v>206 fundos acima de R$ 200 mm têm até dois cotistas</x:v>
      </x:c>
      <x:c r="N2" s="4" t="str">
        <x:v>206 fundos acima de R$ 200 mm têm até dois cotistas</x:v>
      </x:c>
    </x:row>
    <x:row r="3">
      <x:c r="A3" s="177" t="str">
        <x:v>PL mínimo (R$ mm)</x:v>
      </x:c>
      <x:c r="B3" s="179" t="n">
        <x:v>200</x:v>
      </x:c>
      <x:c r="C3" s="211"/>
      <x:c r="D3" s="211"/>
      <x:c r="E3" s="211"/>
      <x:c r="F3" s="211"/>
      <x:c r="G3" s="211"/>
      <x:c r="H3" s="211"/>
      <x:c r="I3" s="211"/>
      <x:c r="J3" s="211"/>
      <x:c r="K3" s="211"/>
      <x:c r="L3" s="211"/>
      <x:c r="M3" s="211"/>
      <x:c r="N3" s="211"/>
    </x:row>
    <x:row r="4" ht="28" customHeight="1">
      <x:c r="A4" s="211"/>
      <x:c r="B4" s="211"/>
      <x:c r="C4" s="211"/>
      <x:c r="D4" s="211"/>
      <x:c r="E4" s="211"/>
      <x:c r="F4" s="211"/>
      <x:c r="G4" s="211"/>
      <x:c r="H4" s="211"/>
      <x:c r="I4" s="20" t="str">
        <x:v>Métrica</x:v>
      </x:c>
      <x:c r="J4" s="22" t="str">
        <x:v>Valor</x:v>
      </x:c>
      <x:c r="K4" s="211"/>
      <x:c r="L4" s="211"/>
      <x:c r="M4" s="211"/>
      <x:c r="N4" s="211"/>
    </x:row>
    <x:row r="5">
      <x:c r="A5" s="211"/>
      <x:c r="B5" s="211"/>
      <x:c r="C5" s="211"/>
      <x:c r="D5" s="211"/>
      <x:c r="E5" s="211"/>
      <x:c r="F5" s="211"/>
      <x:c r="G5" s="211"/>
      <x:c r="H5" s="211"/>
      <x:c r="I5" s="110" t="str">
        <x:v>Fundos &gt; R$ 200 mm</x:v>
      </x:c>
      <x:c r="J5" s="113" t="n">
        <x:v>667</x:v>
      </x:c>
      <x:c r="K5" s="211"/>
      <x:c r="L5" s="211"/>
      <x:c r="M5" s="211"/>
      <x:c r="N5" s="211"/>
    </x:row>
    <x:row r="6" ht="28" customHeight="1">
      <x:c r="A6" s="20" t="str">
        <x:v>Faixa</x:v>
      </x:c>
      <x:c r="B6" s="21" t="str">
        <x:v>Fundos</x:v>
      </x:c>
      <x:c r="C6" s="22" t="str">
        <x:v>PL (R$ bi)</x:v>
      </x:c>
      <x:c r="D6" s="211"/>
      <x:c r="E6" s="211"/>
      <x:c r="F6" s="211"/>
      <x:c r="G6" s="211"/>
      <x:c r="H6" s="211"/>
      <x:c r="I6" s="112" t="str">
        <x:v>Com cotistas mapeados</x:v>
      </x:c>
      <x:c r="J6" s="115" t="n">
        <x:v>657</x:v>
      </x:c>
      <x:c r="K6" s="211"/>
      <x:c r="L6" s="211"/>
      <x:c r="M6" s="211"/>
      <x:c r="N6" s="211"/>
    </x:row>
    <x:row r="7">
      <x:c r="A7" s="110" t="str">
        <x:v>Até 2 cotistas</x:v>
      </x:c>
      <x:c r="B7" s="113" t="n">
        <x:f>COUNTIFS('Base Fundos'!$C$6:$C$3575,"&gt;="&amp;$B$3*1000000,'Base Fundos'!$K$6:$K$3575,"&lt;=2")</x:f>
        <x:v>216</x:v>
      </x:c>
      <x:c r="C7" s="119" t="n">
        <x:f>SUMIFS('Base Fundos'!$C$6:$C$3575,'Base Fundos'!$C$6:$C$3575,"&gt;="&amp;$B$3*1000000,'Base Fundos'!$K$6:$K$3575,"&lt;=2")/1000000000</x:f>
        <x:v>189.03927432099593</x:v>
      </x:c>
      <x:c r="D7" s="211"/>
      <x:c r="E7" s="211"/>
      <x:c r="F7" s="211"/>
      <x:c r="G7" s="211"/>
      <x:c r="H7" s="211"/>
      <x:c r="I7" s="211"/>
      <x:c r="J7" s="211"/>
      <x:c r="K7" s="211"/>
      <x:c r="L7" s="211"/>
      <x:c r="M7" s="211"/>
      <x:c r="N7" s="211"/>
    </x:row>
    <x:row r="8">
      <x:c r="A8" s="111" t="str">
        <x:v>3 cotistas</x:v>
      </x:c>
      <x:c r="B8" s="114" t="n">
        <x:f>COUNTIFS('Base Fundos'!$C$6:$C$3575,"&gt;="&amp;$B$3*1000000,'Base Fundos'!$K$6:$K$3575,"=3")</x:f>
        <x:v>44</x:v>
      </x:c>
      <x:c r="C8" s="120" t="n">
        <x:f>SUMIFS('Base Fundos'!$C$6:$C$3575,'Base Fundos'!$C$6:$C$3575,"&gt;="&amp;$B$3*1000000,'Base Fundos'!$K$6:$K$3575,"=3")/1000000000</x:f>
        <x:v>26.863738254308906</x:v>
      </x:c>
      <x:c r="D8" s="211"/>
      <x:c r="E8" s="211"/>
      <x:c r="F8" s="211"/>
      <x:c r="G8" s="211"/>
      <x:c r="H8" s="211"/>
      <x:c r="I8" s="211"/>
      <x:c r="J8" s="211"/>
      <x:c r="K8" s="211"/>
      <x:c r="L8" s="211"/>
      <x:c r="M8" s="211"/>
      <x:c r="N8" s="211"/>
    </x:row>
    <x:row r="9">
      <x:c r="A9" s="111" t="str">
        <x:v>4 cotistas</x:v>
      </x:c>
      <x:c r="B9" s="114" t="n">
        <x:f>COUNTIFS('Base Fundos'!$C$6:$C$3575,"&gt;="&amp;$B$3*1000000,'Base Fundos'!$K$6:$K$3575,"=4")</x:f>
        <x:v>43</x:v>
      </x:c>
      <x:c r="C9" s="120" t="n">
        <x:f>SUMIFS('Base Fundos'!$C$6:$C$3575,'Base Fundos'!$C$6:$C$3575,"&gt;="&amp;$B$3*1000000,'Base Fundos'!$K$6:$K$3575,"=4")/1000000000</x:f>
        <x:v>45.53899007794999</x:v>
      </x:c>
      <x:c r="D9" s="211"/>
      <x:c r="E9" s="211"/>
      <x:c r="F9" s="211"/>
      <x:c r="G9" s="211"/>
      <x:c r="H9" s="211"/>
      <x:c r="I9" s="211"/>
      <x:c r="J9" s="211"/>
      <x:c r="K9" s="211"/>
      <x:c r="L9" s="211"/>
      <x:c r="M9" s="211"/>
      <x:c r="N9" s="211"/>
    </x:row>
    <x:row r="10">
      <x:c r="A10" s="112" t="str">
        <x:v>5 ou mais</x:v>
      </x:c>
      <x:c r="B10" s="115" t="n">
        <x:f>COUNTIFS('Base Fundos'!$C$6:$C$3575,"&gt;="&amp;$B$3*1000000,'Base Fundos'!$K$6:$K$3575,"&gt;=5")</x:f>
        <x:v>364</x:v>
      </x:c>
      <x:c r="C10" s="124" t="n">
        <x:f>SUMIFS('Base Fundos'!$C$6:$C$3575,'Base Fundos'!$C$6:$C$3575,"&gt;="&amp;$B$3*1000000,'Base Fundos'!$K$6:$K$3575,"&gt;=5")/1000000000</x:f>
        <x:v>364.5499848369475</x:v>
      </x:c>
      <x:c r="D10" s="211"/>
      <x:c r="E10" s="211"/>
      <x:c r="F10" s="211"/>
      <x:c r="G10" s="211"/>
      <x:c r="H10" s="211"/>
      <x:c r="I10" s="211"/>
      <x:c r="J10" s="211"/>
      <x:c r="K10" s="211"/>
      <x:c r="L10" s="211"/>
      <x:c r="M10" s="211"/>
      <x:c r="N10" s="211"/>
    </x:row>
    <x:row r="11">
      <x:c r="A11" s="211"/>
      <x:c r="B11" s="211"/>
      <x:c r="C11" s="211"/>
      <x:c r="D11" s="211"/>
      <x:c r="E11" s="211"/>
      <x:c r="F11" s="211"/>
      <x:c r="G11" s="211"/>
      <x:c r="H11" s="211"/>
      <x:c r="I11" s="211"/>
      <x:c r="J11" s="211"/>
      <x:c r="K11" s="211"/>
      <x:c r="L11" s="211"/>
      <x:c r="M11" s="211"/>
      <x:c r="N11" s="211"/>
    </x:row>
    <x:row r="12">
      <x:c r="A12" s="211"/>
      <x:c r="B12" s="211"/>
      <x:c r="C12" s="211"/>
      <x:c r="D12" s="211"/>
      <x:c r="E12" s="211"/>
      <x:c r="F12" s="211"/>
      <x:c r="G12" s="211"/>
      <x:c r="H12" s="211"/>
      <x:c r="I12" s="211"/>
      <x:c r="J12" s="211"/>
      <x:c r="K12" s="211"/>
      <x:c r="L12" s="211"/>
      <x:c r="M12" s="211"/>
      <x:c r="N12" s="211"/>
    </x:row>
    <x:row r="13">
      <x:c r="A13" s="52" t="str">
        <x:v>O parâmetro de PL mínimo é editável. Fundos sem cotistas mapeados não entram nas faixas; em R$ 200 mm, 10 fundos ficaram fora por ausência de cotistas no casamento CVM.</x:v>
      </x:c>
      <x:c r="B13" s="52" t="str">
        <x:v>O parâmetro de PL mínimo é editável. Fundos sem cotistas mapeados não entram nas faixas; em R$ 200 mm, 10 fundos ficaram fora por ausência de cotistas no casamento CVM.</x:v>
      </x:c>
      <x:c r="C13" s="52" t="str">
        <x:v>O parâmetro de PL mínimo é editável. Fundos sem cotistas mapeados não entram nas faixas; em R$ 200 mm, 10 fundos ficaram fora por ausência de cotistas no casamento CVM.</x:v>
      </x:c>
      <x:c r="D13" s="211"/>
      <x:c r="E13" s="211"/>
      <x:c r="F13" s="211"/>
      <x:c r="G13" s="211"/>
      <x:c r="H13" s="211"/>
      <x:c r="I13" s="211"/>
      <x:c r="J13" s="211"/>
      <x:c r="K13" s="211"/>
      <x:c r="L13" s="211"/>
      <x:c r="M13" s="211"/>
      <x:c r="N13" s="211"/>
    </x:row>
    <x:row r="14">
      <x:c r="A14" s="52" t="str">
        <x:v>O parâmetro de PL mínimo é editável. Fundos sem cotistas mapeados não entram nas faixas; em R$ 200 mm, 10 fundos ficaram fora por ausência de cotistas no casamento CVM.</x:v>
      </x:c>
      <x:c r="B14" s="52" t="str">
        <x:v>O parâmetro de PL mínimo é editável. Fundos sem cotistas mapeados não entram nas faixas; em R$ 200 mm, 10 fundos ficaram fora por ausência de cotistas no casamento CVM.</x:v>
      </x:c>
      <x:c r="C14" s="52" t="str">
        <x:v>O parâmetro de PL mínimo é editável. Fundos sem cotistas mapeados não entram nas faixas; em R$ 200 mm, 10 fundos ficaram fora por ausência de cotistas no casamento CVM.</x:v>
      </x:c>
      <x:c r="D14" s="211"/>
      <x:c r="E14" s="211"/>
      <x:c r="F14" s="211"/>
      <x:c r="G14" s="211"/>
      <x:c r="H14" s="211"/>
      <x:c r="I14" s="211"/>
      <x:c r="J14" s="211"/>
      <x:c r="K14" s="211"/>
      <x:c r="L14" s="211"/>
      <x:c r="M14" s="211"/>
      <x:c r="N14" s="211"/>
    </x:row>
    <x:row r="15">
      <x:c r="A15" s="52" t="str">
        <x:v>O parâmetro de PL mínimo é editável. Fundos sem cotistas mapeados não entram nas faixas; em R$ 200 mm, 10 fundos ficaram fora por ausência de cotistas no casamento CVM.</x:v>
      </x:c>
      <x:c r="B15" s="52" t="str">
        <x:v>O parâmetro de PL mínimo é editável. Fundos sem cotistas mapeados não entram nas faixas; em R$ 200 mm, 10 fundos ficaram fora por ausência de cotistas no casamento CVM.</x:v>
      </x:c>
      <x:c r="C15" s="52" t="str">
        <x:v>O parâmetro de PL mínimo é editável. Fundos sem cotistas mapeados não entram nas faixas; em R$ 200 mm, 10 fundos ficaram fora por ausência de cotistas no casamento CVM.</x:v>
      </x:c>
      <x:c r="D15" s="211"/>
      <x:c r="E15" s="211"/>
      <x:c r="F15" s="211"/>
      <x:c r="G15" s="211"/>
      <x:c r="H15" s="211"/>
      <x:c r="I15" s="211"/>
      <x:c r="J15" s="211"/>
      <x:c r="K15" s="211"/>
      <x:c r="L15" s="211"/>
      <x:c r="M15" s="211"/>
      <x:c r="N15" s="211"/>
    </x:row>
    <x:row r="16">
      <x:c r="A16" s="52" t="str">
        <x:v>O parâmetro de PL mínimo é editável. Fundos sem cotistas mapeados não entram nas faixas; em R$ 200 mm, 10 fundos ficaram fora por ausência de cotistas no casamento CVM.</x:v>
      </x:c>
      <x:c r="B16" s="52" t="str">
        <x:v>O parâmetro de PL mínimo é editável. Fundos sem cotistas mapeados não entram nas faixas; em R$ 200 mm, 10 fundos ficaram fora por ausência de cotistas no casamento CVM.</x:v>
      </x:c>
      <x:c r="C16" s="52" t="str">
        <x:v>O parâmetro de PL mínimo é editável. Fundos sem cotistas mapeados não entram nas faixas; em R$ 200 mm, 10 fundos ficaram fora por ausência de cotistas no casamento CVM.</x:v>
      </x:c>
      <x:c r="D16" s="211"/>
      <x:c r="E16" s="211"/>
      <x:c r="F16" s="211"/>
      <x:c r="G16" s="211"/>
      <x:c r="H16" s="211"/>
      <x:c r="I16" s="211"/>
      <x:c r="J16" s="211"/>
      <x:c r="K16" s="211"/>
      <x:c r="L16" s="211"/>
      <x:c r="M16" s="211"/>
      <x:c r="N16" s="211"/>
    </x:row>
    <x:row r="17">
      <x:c r="A17" s="52" t="str">
        <x:v>O parâmetro de PL mínimo é editável. Fundos sem cotistas mapeados não entram nas faixas; em R$ 200 mm, 10 fundos ficaram fora por ausência de cotistas no casamento CVM.</x:v>
      </x:c>
      <x:c r="B17" s="52" t="str">
        <x:v>O parâmetro de PL mínimo é editável. Fundos sem cotistas mapeados não entram nas faixas; em R$ 200 mm, 10 fundos ficaram fora por ausência de cotistas no casamento CVM.</x:v>
      </x:c>
      <x:c r="C17" s="52" t="str">
        <x:v>O parâmetro de PL mínimo é editável. Fundos sem cotistas mapeados não entram nas faixas; em R$ 200 mm, 10 fundos ficaram fora por ausência de cotistas no casamento CVM.</x:v>
      </x:c>
      <x:c r="D17" s="211"/>
      <x:c r="E17" s="211"/>
      <x:c r="F17" s="211"/>
      <x:c r="G17" s="211"/>
      <x:c r="H17" s="211"/>
      <x:c r="I17" s="211"/>
      <x:c r="J17" s="211"/>
      <x:c r="K17" s="211"/>
      <x:c r="L17" s="211"/>
      <x:c r="M17" s="211"/>
      <x:c r="N17" s="211"/>
    </x:row>
  </x:sheetData>
  <x:mergeCells>
    <x:mergeCell ref="A1:N2"/>
    <x:mergeCell ref="A13:C17"/>
  </x:mergeCells>
  <x:pageMargins left="0.7" right="0.7" top="0.75" bottom="0.75" header="0.3" footer="0.3"/>
  <x:drawing xmlns:r="http://schemas.openxmlformats.org/officeDocument/2006/relationships" r:id="R4bce45c17eda4f23"/>
</x:worksheet>
</file>

<file path=xl/worksheets/sheet14.xml><?xml version="1.0" encoding="utf-8"?>
<x:worksheet xmlns:x="http://schemas.openxmlformats.org/spreadsheetml/2006/main">
  <x:sheetViews>
    <x:sheetView showGridLines="0" workbookViewId="0"/>
  </x:sheetViews>
  <x:sheetFormatPr defaultRowHeight="15"/>
  <x:cols>
    <x:col min="1" max="1" width="5" hidden="0" customWidth="1"/>
    <x:col min="2" max="2" width="40" hidden="0" customWidth="1"/>
    <x:col min="3" max="3" width="15" hidden="0" customWidth="1"/>
    <x:col min="5" max="5" width="5" hidden="0" customWidth="1"/>
    <x:col min="6" max="6" width="46" hidden="0" customWidth="1"/>
    <x:col min="7" max="7" width="14" hidden="0" customWidth="1"/>
    <x:col min="8" max="8" width="30" hidden="0" customWidth="1"/>
    <x:col min="9" max="9" width="30" hidden="0" customWidth="1"/>
  </x:cols>
  <x:sheetData>
    <x:row r="1" ht="30" customHeight="1">
      <x:c r="A1" s="4" t="str">
        <x:v>Multicarteira é diversificação setorial — não prova multicedência</x:v>
      </x:c>
      <x:c r="B1" s="4" t="str">
        <x:v>Multicarteira é diversificação setorial — não prova multicedência</x:v>
      </x:c>
      <x:c r="C1" s="4" t="str">
        <x:v>Multicarteira é diversificação setorial — não prova multicedência</x:v>
      </x:c>
      <x:c r="D1" s="4" t="str">
        <x:v>Multicarteira é diversificação setorial — não prova multicedência</x:v>
      </x:c>
      <x:c r="E1" s="4" t="str">
        <x:v>Multicarteira é diversificação setorial — não prova multicedência</x:v>
      </x:c>
      <x:c r="F1" s="4" t="str">
        <x:v>Multicarteira é diversificação setorial — não prova multicedência</x:v>
      </x:c>
      <x:c r="G1" s="4" t="str">
        <x:v>Multicarteira é diversificação setorial — não prova multicedência</x:v>
      </x:c>
      <x:c r="H1" s="4" t="str">
        <x:v>Multicarteira é diversificação setorial — não prova multicedência</x:v>
      </x:c>
      <x:c r="I1" s="4" t="str">
        <x:v>Multicarteira é diversificação setorial — não prova multicedência</x:v>
      </x:c>
      <x:c r="J1" s="4" t="str">
        <x:v>Multicarteira é diversificação setorial — não prova multicedência</x:v>
      </x:c>
      <x:c r="K1" s="4" t="str">
        <x:v>Multicarteira é diversificação setorial — não prova multicedência</x:v>
      </x:c>
      <x:c r="L1" s="4" t="str">
        <x:v>Multicarteira é diversificação setorial — não prova multicedência</x:v>
      </x:c>
      <x:c r="M1" s="4" t="str">
        <x:v>Multicarteira é diversificação setorial — não prova multicedência</x:v>
      </x:c>
      <x:c r="N1" s="4" t="str">
        <x:v>Multicarteira é diversificação setorial — não prova multicedência</x:v>
      </x:c>
    </x:row>
    <x:row r="2" ht="30" customHeight="1">
      <x:c r="A2" s="4" t="str">
        <x:v>Multicarteira é diversificação setorial — não prova multicedência</x:v>
      </x:c>
      <x:c r="B2" s="4" t="str">
        <x:v>Multicarteira é diversificação setorial — não prova multicedência</x:v>
      </x:c>
      <x:c r="C2" s="4" t="str">
        <x:v>Multicarteira é diversificação setorial — não prova multicedência</x:v>
      </x:c>
      <x:c r="D2" s="4" t="str">
        <x:v>Multicarteira é diversificação setorial — não prova multicedência</x:v>
      </x:c>
      <x:c r="E2" s="4" t="str">
        <x:v>Multicarteira é diversificação setorial — não prova multicedência</x:v>
      </x:c>
      <x:c r="F2" s="4" t="str">
        <x:v>Multicarteira é diversificação setorial — não prova multicedência</x:v>
      </x:c>
      <x:c r="G2" s="4" t="str">
        <x:v>Multicarteira é diversificação setorial — não prova multicedência</x:v>
      </x:c>
      <x:c r="H2" s="4" t="str">
        <x:v>Multicarteira é diversificação setorial — não prova multicedência</x:v>
      </x:c>
      <x:c r="I2" s="4" t="str">
        <x:v>Multicarteira é diversificação setorial — não prova multicedência</x:v>
      </x:c>
      <x:c r="J2" s="4" t="str">
        <x:v>Multicarteira é diversificação setorial — não prova multicedência</x:v>
      </x:c>
      <x:c r="K2" s="4" t="str">
        <x:v>Multicarteira é diversificação setorial — não prova multicedência</x:v>
      </x:c>
      <x:c r="L2" s="4" t="str">
        <x:v>Multicarteira é diversificação setorial — não prova multicedência</x:v>
      </x:c>
      <x:c r="M2" s="4" t="str">
        <x:v>Multicarteira é diversificação setorial — não prova multicedência</x:v>
      </x:c>
      <x:c r="N2" s="4" t="str">
        <x:v>Multicarteira é diversificação setorial — não prova multicedência</x:v>
      </x:c>
    </x:row>
    <x:row r="3">
      <x:c r="A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B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C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D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E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F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G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H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I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J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K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L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M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N3"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row>
    <x:row r="4">
      <x:c r="A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B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C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D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E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F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G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H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I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J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K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L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M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N4"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row>
    <x:row r="5">
      <x:c r="A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B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C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D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E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F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G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H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I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J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K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L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M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c r="N5" s="52" t="str">
        <x:v>Pela Deliberação ANBIMA nº 72, Multicarteira significa recebíveis de dois ou mais setores dentro de um Tipo ANBIMA, sem compromisso de concentração. Isso não informa o número de cedentes nem de sacados. A visão abaixo é útil para diversificação de foco, mas não deve ser usada como proxy de multicedente/multissacado.</x:v>
      </x:c>
    </x:row>
    <x:row r="6">
      <x:c r="A6" s="211"/>
      <x:c r="B6" s="211"/>
      <x:c r="C6" s="211"/>
      <x:c r="D6" s="211"/>
      <x:c r="E6" s="211"/>
      <x:c r="F6" s="211"/>
      <x:c r="G6" s="211"/>
      <x:c r="H6" s="211"/>
      <x:c r="I6" s="211"/>
      <x:c r="J6" s="211"/>
      <x:c r="K6" s="211"/>
      <x:c r="L6" s="211"/>
      <x:c r="M6" s="211"/>
      <x:c r="N6" s="211"/>
    </x:row>
    <x:row r="7" ht="28" customHeight="1">
      <x:c r="A7" s="20" t="str">
        <x:v>#</x:v>
      </x:c>
      <x:c r="B7" s="21" t="str">
        <x:v>Gestora</x:v>
      </x:c>
      <x:c r="C7" s="22" t="str">
        <x:v>PL (R$ bi)</x:v>
      </x:c>
      <x:c r="D7" s="211"/>
      <x:c r="E7" s="20" t="str">
        <x:v>#</x:v>
      </x:c>
      <x:c r="F7" s="21" t="str">
        <x:v>FIDC</x:v>
      </x:c>
      <x:c r="G7" s="21" t="str">
        <x:v>PL (R$ bi)</x:v>
      </x:c>
      <x:c r="H7" s="21" t="str">
        <x:v>Gestora</x:v>
      </x:c>
      <x:c r="I7" s="22" t="str">
        <x:v>Foco</x:v>
      </x:c>
      <x:c r="J7" s="211"/>
      <x:c r="K7" s="211"/>
      <x:c r="L7" s="211"/>
      <x:c r="M7" s="211"/>
      <x:c r="N7" s="211"/>
    </x:row>
    <x:row r="8">
      <x:c r="A8" s="110" t="n">
        <x:v>1</x:v>
      </x:c>
      <x:c r="B8" s="110" t="str">
        <x:v>Banco Bradesco S/A</x:v>
      </x:c>
      <x:c r="C8" s="119" t="n">
        <x:v>24.503729396200004</x:v>
      </x:c>
      <x:c r="D8" s="211"/>
      <x:c r="E8" s="165" t="n">
        <x:v>1</x:v>
      </x:c>
      <x:c r="F8" s="165" t="str">
        <x:v>CLOUDWALK BELA FUNDO DE INVESTIMENTO EM DIREITOS CREDITÓRIOS SEGMENTO MEIOS DE PAGAMENTO</x:v>
      </x:c>
      <x:c r="G8" s="168" t="n">
        <x:v>9.984886329650003</x:v>
      </x:c>
      <x:c r="H8" s="165" t="str">
        <x:v>Banco Bradesco S/A</x:v>
      </x:c>
      <x:c r="I8" s="165" t="str">
        <x:v>Multicarteira Outros</x:v>
      </x:c>
      <x:c r="J8" s="211"/>
      <x:c r="K8" s="211"/>
      <x:c r="L8" s="211"/>
      <x:c r="M8" s="211"/>
      <x:c r="N8" s="211"/>
    </x:row>
    <x:row r="9">
      <x:c r="A9" s="111" t="n">
        <x:v>2</x:v>
      </x:c>
      <x:c r="B9" s="111" t="str">
        <x:v>GENIAL GESTÃO LTDA.</x:v>
      </x:c>
      <x:c r="C9" s="120" t="n">
        <x:v>14.17610449295891</x:v>
      </x:c>
      <x:c r="D9" s="211"/>
      <x:c r="E9" s="166" t="n">
        <x:v>2</x:v>
      </x:c>
      <x:c r="F9" s="166" t="str">
        <x:v>ITAÚ CRÉDITO PRIVADO FUNDO DE INVESTIMENTO EM DIREITOS CREDITÓRIOS - RESPONSABILIDADE LIMITADA</x:v>
      </x:c>
      <x:c r="G9" s="169" t="n">
        <x:v>8.61589291829</x:v>
      </x:c>
      <x:c r="H9" s="166" t="str">
        <x:v>ITAU ASSET</x:v>
      </x:c>
      <x:c r="I9" s="166" t="str">
        <x:v>Multicarteira Outros</x:v>
      </x:c>
      <x:c r="J9" s="211"/>
      <x:c r="K9" s="211"/>
      <x:c r="L9" s="211"/>
      <x:c r="M9" s="211"/>
      <x:c r="N9" s="211"/>
    </x:row>
    <x:row r="10">
      <x:c r="A10" s="111" t="n">
        <x:v>3</x:v>
      </x:c>
      <x:c r="B10" s="111" t="str">
        <x:v>ITAU ASSET</x:v>
      </x:c>
      <x:c r="C10" s="120" t="n">
        <x:v>12.936195470179998</x:v>
      </x:c>
      <x:c r="D10" s="211"/>
      <x:c r="E10" s="166" t="n">
        <x:v>3</x:v>
      </x:c>
      <x:c r="F10" s="166" t="str">
        <x:v>FUNDO DE INVESTIMENTO EM DIREITOS CREDITÓRIOS PAGSEGURO I</x:v>
      </x:c>
      <x:c r="G10" s="169" t="n">
        <x:v>6.70277891708</x:v>
      </x:c>
      <x:c r="H10" s="166" t="str">
        <x:v>GENIAL GESTÃO LTDA.</x:v>
      </x:c>
      <x:c r="I10" s="166" t="str">
        <x:v>Multicarteira Outros</x:v>
      </x:c>
      <x:c r="J10" s="211"/>
      <x:c r="K10" s="211"/>
      <x:c r="L10" s="211"/>
      <x:c r="M10" s="211"/>
      <x:c r="N10" s="211"/>
    </x:row>
    <x:row r="11">
      <x:c r="A11" s="111" t="n">
        <x:v>4</x:v>
      </x:c>
      <x:c r="B11" s="111" t="str">
        <x:v>Banco BTG Pactual</x:v>
      </x:c>
      <x:c r="C11" s="120" t="n">
        <x:v>10.8669295433057</x:v>
      </x:c>
      <x:c r="D11" s="211"/>
      <x:c r="E11" s="166" t="n">
        <x:v>4</x:v>
      </x:c>
      <x:c r="F11" s="166" t="str">
        <x:v>CIELO FUNDO DE INVESTIMENTO EM DIREITOS CREDITÓRIOS</x:v>
      </x:c>
      <x:c r="G11" s="169" t="n">
        <x:v>6.46571239818</x:v>
      </x:c>
      <x:c r="H11" s="166" t="str">
        <x:v>Banco Bradesco S/A</x:v>
      </x:c>
      <x:c r="I11" s="166" t="str">
        <x:v>Multicarteira Financeiro</x:v>
      </x:c>
      <x:c r="J11" s="211"/>
      <x:c r="K11" s="211"/>
      <x:c r="L11" s="211"/>
      <x:c r="M11" s="211"/>
      <x:c r="N11" s="211"/>
    </x:row>
    <x:row r="12">
      <x:c r="A12" s="111" t="n">
        <x:v>5</x:v>
      </x:c>
      <x:c r="B12" s="111" t="str">
        <x:v>VALORA RENDA FIXA LTDA.</x:v>
      </x:c>
      <x:c r="C12" s="120" t="n">
        <x:v>10.611395242574199</x:v>
      </x:c>
      <x:c r="D12" s="211"/>
      <x:c r="E12" s="166" t="n">
        <x:v>5</x:v>
      </x:c>
      <x:c r="F12" s="166" t="str">
        <x:v>FUNDO DE INVESTIMENTO EM DIREITOS CREDITÓRIOS ALTERNATIVE ASSETS III RESPONSABILIDADE LIMITADA</x:v>
      </x:c>
      <x:c r="G12" s="169" t="n">
        <x:v>5.765091894779999</x:v>
      </x:c>
      <x:c r="H12" s="166" t="str">
        <x:v>Banco BTG Pactual</x:v>
      </x:c>
      <x:c r="I12" s="166" t="str">
        <x:v>Multicarteira Outros</x:v>
      </x:c>
      <x:c r="J12" s="211"/>
      <x:c r="K12" s="211"/>
      <x:c r="L12" s="211"/>
      <x:c r="M12" s="211"/>
      <x:c r="N12" s="211"/>
    </x:row>
    <x:row r="13">
      <x:c r="A13" s="111" t="n">
        <x:v>6</x:v>
      </x:c>
      <x:c r="B13" s="111" t="str">
        <x:v>Kanastra</x:v>
      </x:c>
      <x:c r="C13" s="120" t="n">
        <x:v>9.9095301015</x:v>
      </x:c>
      <x:c r="D13" s="211"/>
      <x:c r="E13" s="166" t="n">
        <x:v>6</x:v>
      </x:c>
      <x:c r="F13" s="166" t="str">
        <x:v>NC 2025 I FUNDO DE INVESTIMENTO EM DIREITOS CREDITÓRIOS RESPONSABILIDADE LIMITADA</x:v>
      </x:c>
      <x:c r="G13" s="169" t="n">
        <x:v>5.65508869655</x:v>
      </x:c>
      <x:c r="H13" s="166" t="str">
        <x:v>Kanastra</x:v>
      </x:c>
      <x:c r="I13" s="166" t="str">
        <x:v>Multicarteira Outros</x:v>
      </x:c>
      <x:c r="J13" s="211"/>
      <x:c r="K13" s="211"/>
      <x:c r="L13" s="211"/>
      <x:c r="M13" s="211"/>
      <x:c r="N13" s="211"/>
    </x:row>
    <x:row r="14">
      <x:c r="A14" s="111" t="n">
        <x:v>7</x:v>
      </x:c>
      <x:c r="B14" s="111" t="str">
        <x:v>Petra Capital</x:v>
      </x:c>
      <x:c r="C14" s="120" t="n">
        <x:v>8.084486906979999</x:v>
      </x:c>
      <x:c r="D14" s="211"/>
      <x:c r="E14" s="166" t="n">
        <x:v>7</x:v>
      </x:c>
      <x:c r="F14" s="166" t="str">
        <x:v>FUNDO DE INVESTIMENTO EM DIREITOS CREDITÓRIOS MONEE I DE RESPONSABILIDADE LIMITADA</x:v>
      </x:c>
      <x:c r="G14" s="169" t="n">
        <x:v>5.00160736166</x:v>
      </x:c>
      <x:c r="H14" s="166" t="str">
        <x:v>VALORA RENDA FIXA LTDA.</x:v>
      </x:c>
      <x:c r="I14" s="166" t="str">
        <x:v>Multicarteira Outros</x:v>
      </x:c>
      <x:c r="J14" s="211"/>
      <x:c r="K14" s="211"/>
      <x:c r="L14" s="211"/>
      <x:c r="M14" s="211"/>
      <x:c r="N14" s="211"/>
    </x:row>
    <x:row r="15">
      <x:c r="A15" s="111" t="n">
        <x:v>8</x:v>
      </x:c>
      <x:c r="B15" s="111" t="str">
        <x:v>DAYCOVAL ASSET MANAG</x:v>
      </x:c>
      <x:c r="C15" s="120" t="n">
        <x:v>7.250457396160001</x:v>
      </x:c>
      <x:c r="D15" s="211"/>
      <x:c r="E15" s="166" t="n">
        <x:v>8</x:v>
      </x:c>
      <x:c r="F15" s="166" t="str">
        <x:v>FUNDO DE INVESTIMENTO EM DIREITOS CREDITÓRIOS PICPAY I</x:v>
      </x:c>
      <x:c r="G15" s="169" t="n">
        <x:v>4.56416045469</x:v>
      </x:c>
      <x:c r="H15" s="166" t="str">
        <x:v>GENIAL GESTÃO LTDA.</x:v>
      </x:c>
      <x:c r="I15" s="166" t="str">
        <x:v>Multicarteira Financeiro</x:v>
      </x:c>
      <x:c r="J15" s="211"/>
      <x:c r="K15" s="211"/>
      <x:c r="L15" s="211"/>
      <x:c r="M15" s="211"/>
      <x:c r="N15" s="211"/>
    </x:row>
    <x:row r="16">
      <x:c r="A16" s="111" t="n">
        <x:v>9</x:v>
      </x:c>
      <x:c r="B16" s="111" t="str">
        <x:v>BTG Pactual Asset</x:v>
      </x:c>
      <x:c r="C16" s="120" t="n">
        <x:v>6.729068878310001</x:v>
      </x:c>
      <x:c r="D16" s="211"/>
      <x:c r="E16" s="166" t="n">
        <x:v>9</x:v>
      </x:c>
      <x:c r="F16" s="166" t="str">
        <x:v>FIDC ACR BEM BANCOS EMISSORES DE CARTÃO DE CRÉDITO - RESPONSABILIDADE LIMITADA</x:v>
      </x:c>
      <x:c r="G16" s="169" t="n">
        <x:v>3.6323227350500003</x:v>
      </x:c>
      <x:c r="H16" s="166" t="str">
        <x:v>Banco Bradesco S/A</x:v>
      </x:c>
      <x:c r="I16" s="166" t="str">
        <x:v>Multicarteira Financeiro</x:v>
      </x:c>
      <x:c r="J16" s="211"/>
      <x:c r="K16" s="211"/>
      <x:c r="L16" s="211"/>
      <x:c r="M16" s="211"/>
      <x:c r="N16" s="211"/>
    </x:row>
    <x:row r="17">
      <x:c r="A17" s="111" t="n">
        <x:v>10</x:v>
      </x:c>
      <x:c r="B17" s="111" t="str">
        <x:v>RedAsset Gestão de Recursos Ltda.</x:v>
      </x:c>
      <x:c r="C17" s="120" t="n">
        <x:v>6.30634899114</x:v>
      </x:c>
      <x:c r="D17" s="211"/>
      <x:c r="E17" s="166" t="n">
        <x:v>10</x:v>
      </x:c>
      <x:c r="F17" s="166" t="str">
        <x:v>RSCRED MULTIESTRÉGIA - FUNDO DE INVESTIMENTO EM DIREITOS CREDITÓRIOS NÃO-PADRONIZADOS</x:v>
      </x:c>
      <x:c r="G17" s="169" t="n">
        <x:v>3.5999959734300004</x:v>
      </x:c>
      <x:c r="H17" s="166" t="str">
        <x:v>SECURITY ADMINISTRAD</x:v>
      </x:c>
      <x:c r="I17" s="166" t="str">
        <x:v>Multicarteira Outros</x:v>
      </x:c>
      <x:c r="J17" s="211"/>
      <x:c r="K17" s="211"/>
      <x:c r="L17" s="211"/>
      <x:c r="M17" s="211"/>
      <x:c r="N17" s="211"/>
    </x:row>
    <x:row r="18">
      <x:c r="A18" s="111" t="n">
        <x:v>11</x:v>
      </x:c>
      <x:c r="B18" s="111" t="str">
        <x:v>JIVE INVESTMENTS</x:v>
      </x:c>
      <x:c r="C18" s="120" t="n">
        <x:v>5.2493845938041</x:v>
      </x:c>
      <x:c r="D18" s="211"/>
      <x:c r="E18" s="166" t="n">
        <x:v>11</x:v>
      </x:c>
      <x:c r="F18" s="166" t="str">
        <x:v>HAVAN FUNDO DE INVESTIMENTO EM DIREITOS CREDITÓRIOS SEGMENTO ECONÔMICO, FINANCEIRO E COMERCIAL</x:v>
      </x:c>
      <x:c r="G18" s="169" t="n">
        <x:v>3.57663805352</x:v>
      </x:c>
      <x:c r="H18" s="166" t="str">
        <x:v>Petra Capital</x:v>
      </x:c>
      <x:c r="I18" s="166" t="str">
        <x:v>Multicarteira Outros</x:v>
      </x:c>
      <x:c r="J18" s="211"/>
      <x:c r="K18" s="211"/>
      <x:c r="L18" s="211"/>
      <x:c r="M18" s="211"/>
      <x:c r="N18" s="211"/>
    </x:row>
    <x:row r="19">
      <x:c r="A19" s="111" t="n">
        <x:v>12</x:v>
      </x:c>
      <x:c r="B19" s="111" t="str">
        <x:v>Catálise Investimentos</x:v>
      </x:c>
      <x:c r="C19" s="120" t="n">
        <x:v>5.03135154967</x:v>
      </x:c>
      <x:c r="D19" s="211"/>
      <x:c r="E19" s="166" t="n">
        <x:v>12</x:v>
      </x:c>
      <x:c r="F19" s="166" t="str">
        <x:v>EXPERT III FUNDO DE INVESTIMENTO EM DIREITOS CREDITÓRIOS DE RESPONSABILIDADE ILIMITADA</x:v>
      </x:c>
      <x:c r="G19" s="169" t="n">
        <x:v>3.54807125128</x:v>
      </x:c>
      <x:c r="H19" s="166" t="str">
        <x:v>DAYCOVAL ASSET MANAG</x:v>
      </x:c>
      <x:c r="I19" s="166" t="str">
        <x:v>Multicarteira Outros</x:v>
      </x:c>
      <x:c r="J19" s="211"/>
      <x:c r="K19" s="211"/>
      <x:c r="L19" s="211"/>
      <x:c r="M19" s="211"/>
      <x:c r="N19" s="211"/>
    </x:row>
    <x:row r="20">
      <x:c r="A20" s="111" t="n">
        <x:v>13</x:v>
      </x:c>
      <x:c r="B20" s="111" t="str">
        <x:v>Solis</x:v>
      </x:c>
      <x:c r="C20" s="120" t="n">
        <x:v>4.84205081197</x:v>
      </x:c>
      <x:c r="D20" s="211"/>
      <x:c r="E20" s="166" t="n">
        <x:v>13</x:v>
      </x:c>
      <x:c r="F20" s="166" t="str">
        <x:v>RED FUNDO DE INVESTIMENTO EM DIREITOS CREDITÓRIOS REAL LP DE RESPONSABILIDADE LIMITADA</x:v>
      </x:c>
      <x:c r="G20" s="169" t="n">
        <x:v>3.4864891396099997</x:v>
      </x:c>
      <x:c r="H20" s="166" t="str">
        <x:v>RedAsset Gestão de Recursos Ltda.</x:v>
      </x:c>
      <x:c r="I20" s="166" t="str">
        <x:v>Multicarteira Outros</x:v>
      </x:c>
      <x:c r="J20" s="211"/>
      <x:c r="K20" s="211"/>
      <x:c r="L20" s="211"/>
      <x:c r="M20" s="211"/>
      <x:c r="N20" s="211"/>
    </x:row>
    <x:row r="21">
      <x:c r="A21" s="111" t="n">
        <x:v>14</x:v>
      </x:c>
      <x:c r="B21" s="111" t="str">
        <x:v>TRUSTEE DTVM</x:v>
      </x:c>
      <x:c r="C21" s="120" t="n">
        <x:v>4.83078686829</x:v>
      </x:c>
      <x:c r="D21" s="211"/>
      <x:c r="E21" s="166" t="n">
        <x:v>14</x:v>
      </x:c>
      <x:c r="F21" s="166" t="str">
        <x:v>OCCAM CRÉDITO CORPORATIVO 30 FUNDO DE INVESTIMENTO EM DIREITOS CREDITÓRIOS RESPONSABILIDADE LIMITADA</x:v>
      </x:c>
      <x:c r="G21" s="169" t="n">
        <x:v>3.32919824042</x:v>
      </x:c>
      <x:c r="H21" s="166" t="str">
        <x:v>NOVA OCCAM BRASIL GESTÃO DE RECURSOS LTDA.</x:v>
      </x:c>
      <x:c r="I21" s="166" t="str">
        <x:v>Multicarteira Outros</x:v>
      </x:c>
      <x:c r="J21" s="211"/>
      <x:c r="K21" s="211"/>
      <x:c r="L21" s="211"/>
      <x:c r="M21" s="211"/>
      <x:c r="N21" s="211"/>
    </x:row>
    <x:row r="22">
      <x:c r="A22" s="111" t="n">
        <x:v>15</x:v>
      </x:c>
      <x:c r="B22" s="111" t="str">
        <x:v>BRL TRUST DTVM</x:v>
      </x:c>
      <x:c r="C22" s="120" t="n">
        <x:v>4.80365831559</x:v>
      </x:c>
      <x:c r="D22" s="211"/>
      <x:c r="E22" s="166" t="n">
        <x:v>15</x:v>
      </x:c>
      <x:c r="F22" s="166" t="str">
        <x:v>CLOUDWALK PI FUNDO DE INVESTIMENTO EM DIREITOS CREDITÓRIOS SEGMENTO MEIOS DE PAGAMENTO</x:v>
      </x:c>
      <x:c r="G22" s="169" t="n">
        <x:v>3.2523546327700004</x:v>
      </x:c>
      <x:c r="H22" s="166" t="str">
        <x:v>BTG Pactual Asset</x:v>
      </x:c>
      <x:c r="I22" s="166" t="str">
        <x:v>Multicarteira Financeiro</x:v>
      </x:c>
      <x:c r="J22" s="211"/>
      <x:c r="K22" s="211"/>
      <x:c r="L22" s="211"/>
      <x:c r="M22" s="211"/>
      <x:c r="N22" s="211"/>
    </x:row>
    <x:row r="23">
      <x:c r="A23" s="111" t="n">
        <x:v>16</x:v>
      </x:c>
      <x:c r="B23" s="111" t="str">
        <x:v>POLÍGONO CAPITAL LTDA.</x:v>
      </x:c>
      <x:c r="C23" s="120" t="n">
        <x:v>4.4894798371587</x:v>
      </x:c>
      <x:c r="D23" s="211"/>
      <x:c r="E23" s="166" t="n">
        <x:v>16</x:v>
      </x:c>
      <x:c r="F23" s="166" t="str">
        <x:v>ASA FUNDO DE INVESTIMENTO EM DIREITOS CREDITÓRIOS RESPONSABILIDADE LIMITADA</x:v>
      </x:c>
      <x:c r="G23" s="169" t="n">
        <x:v>3.15310354427</x:v>
      </x:c>
      <x:c r="H23" s="166" t="str">
        <x:v>ASA Investments</x:v>
      </x:c>
      <x:c r="I23" s="166" t="str">
        <x:v>Multicarteira Outros</x:v>
      </x:c>
      <x:c r="J23" s="211"/>
      <x:c r="K23" s="211"/>
      <x:c r="L23" s="211"/>
      <x:c r="M23" s="211"/>
      <x:c r="N23" s="211"/>
    </x:row>
    <x:row r="24">
      <x:c r="A24" s="111" t="n">
        <x:v>17</x:v>
      </x:c>
      <x:c r="B24" s="111" t="str">
        <x:v>Oliveira Trust Servicer</x:v>
      </x:c>
      <x:c r="C24" s="120" t="n">
        <x:v>4.27692676042</x:v>
      </x:c>
      <x:c r="D24" s="211"/>
      <x:c r="E24" s="166" t="n">
        <x:v>17</x:v>
      </x:c>
      <x:c r="F24" s="166" t="str">
        <x:v>FIDC PCG - BRASIL MULTICARTEIRA</x:v>
      </x:c>
      <x:c r="G24" s="169" t="n">
        <x:v>3.0895354141199998</x:v>
      </x:c>
      <x:c r="H24" s="166" t="str">
        <x:v>Bank of America</x:v>
      </x:c>
      <x:c r="I24" s="166" t="str">
        <x:v>Multicarteira Outros</x:v>
      </x:c>
      <x:c r="J24" s="211"/>
      <x:c r="K24" s="211"/>
      <x:c r="L24" s="211"/>
      <x:c r="M24" s="211"/>
      <x:c r="N24" s="211"/>
    </x:row>
    <x:row r="25">
      <x:c r="A25" s="111" t="n">
        <x:v>18</x:v>
      </x:c>
      <x:c r="B25" s="111" t="str">
        <x:v>JIVE HIGH YIELD GESTÃO DE RECURSOS LTDA</x:v>
      </x:c>
      <x:c r="C25" s="120" t="n">
        <x:v>4.25000417269</x:v>
      </x:c>
      <x:c r="D25" s="211"/>
      <x:c r="E25" s="166" t="n">
        <x:v>18</x:v>
      </x:c>
      <x:c r="F25" s="166" t="str">
        <x:v>GSR FUNDO DE INVESTIMENTO EM DIREITOS CREDITÓRIOS NÃO PADRONIZADOS</x:v>
      </x:c>
      <x:c r="G25" s="169" t="n">
        <x:v>3.03325454377</x:v>
      </x:c>
      <x:c r="H25" s="166" t="str">
        <x:v>TRUSTEE DTVM</x:v>
      </x:c>
      <x:c r="I25" s="166" t="str">
        <x:v>Multicarteira Outros</x:v>
      </x:c>
      <x:c r="J25" s="211"/>
      <x:c r="K25" s="211"/>
      <x:c r="L25" s="211"/>
      <x:c r="M25" s="211"/>
      <x:c r="N25" s="211"/>
    </x:row>
    <x:row r="26">
      <x:c r="A26" s="111" t="n">
        <x:v>19</x:v>
      </x:c>
      <x:c r="B26" s="111" t="str">
        <x:v>Redwood Asset Management</x:v>
      </x:c>
      <x:c r="C26" s="120" t="n">
        <x:v>4.19581017854</x:v>
      </x:c>
      <x:c r="D26" s="211"/>
      <x:c r="E26" s="166" t="n">
        <x:v>19</x:v>
      </x:c>
      <x:c r="F26" s="166" t="str">
        <x:v>FUNDO DE INVESTIMENTO EM DIREITOS CREDITÓRIOS ALTERNATIVE ASSETS I RESPONSABILIDADE LIMITADA</x:v>
      </x:c>
      <x:c r="G26" s="169" t="n">
        <x:v>3.0025441037657</x:v>
      </x:c>
      <x:c r="H26" s="166" t="str">
        <x:v>Banco BTG Pactual</x:v>
      </x:c>
      <x:c r="I26" s="166" t="str">
        <x:v>Multicarteira Outros</x:v>
      </x:c>
      <x:c r="J26" s="211"/>
      <x:c r="K26" s="211"/>
      <x:c r="L26" s="211"/>
      <x:c r="M26" s="211"/>
      <x:c r="N26" s="211"/>
    </x:row>
    <x:row r="27">
      <x:c r="A27" s="112" t="n">
        <x:v>20</x:v>
      </x:c>
      <x:c r="B27" s="112" t="str">
        <x:v>Versal Finance Gestão de Recursos LTDA.</x:v>
      </x:c>
      <x:c r="C27" s="124" t="n">
        <x:v>4.1663515327</x:v>
      </x:c>
      <x:c r="D27" s="211"/>
      <x:c r="E27" s="167" t="n">
        <x:v>20</x:v>
      </x:c>
      <x:c r="F27" s="167" t="str">
        <x:v>DAY MAXX 2 FUNDO DE INVESTIMENTO EM DIREITOS CREDITÓRIOS DE RESPONSABILIDADE LIMITADA</x:v>
      </x:c>
      <x:c r="G27" s="170" t="n">
        <x:v>2.9922221428800007</x:v>
      </x:c>
      <x:c r="H27" s="167" t="str">
        <x:v>DAYCOVAL ASSET MANAG</x:v>
      </x:c>
      <x:c r="I27" s="167" t="str">
        <x:v>Multicarteira Outros</x:v>
      </x:c>
      <x:c r="J27" s="211"/>
      <x:c r="K27" s="211"/>
      <x:c r="L27" s="211"/>
      <x:c r="M27" s="211"/>
      <x:c r="N27" s="211"/>
    </x:row>
  </x:sheetData>
  <x:mergeCells>
    <x:mergeCell ref="A1:N2"/>
    <x:mergeCell ref="A3:N5"/>
  </x:mergeCells>
  <x:pageMargins left="0.7" right="0.7" top="0.75" bottom="0.75" header="0.3" footer="0.3"/>
  <x:drawing xmlns:r="http://schemas.openxmlformats.org/officeDocument/2006/relationships" r:id="R48054738f0db4390"/>
</x:worksheet>
</file>

<file path=xl/worksheets/sheet15.xml><?xml version="1.0" encoding="utf-8"?>
<x:worksheet xmlns:x="http://schemas.openxmlformats.org/spreadsheetml/2006/main">
  <x:sheetViews>
    <x:sheetView showGridLines="0" workbookViewId="0"/>
  </x:sheetViews>
  <x:sheetFormatPr defaultRowHeight="15"/>
  <x:cols>
    <x:col min="1" max="1" width="55" hidden="0" customWidth="1"/>
    <x:col min="2" max="2" width="18" hidden="0" customWidth="1"/>
    <x:col min="3" max="3" width="18" hidden="0" customWidth="1"/>
    <x:col min="4" max="4" width="18" hidden="0" customWidth="1"/>
    <x:col min="5" max="5" width="18" hidden="0" customWidth="1"/>
    <x:col min="6" max="6" width="18" hidden="0" customWidth="1"/>
  </x:cols>
  <x:sheetData>
    <x:row r="1" ht="30" customHeight="1">
      <x:c r="A1" s="4" t="str">
        <x:v>Base de administradores por tipo ANBIMA</x:v>
      </x:c>
      <x:c r="B1" s="4" t="str">
        <x:v>Base de administradores por tipo ANBIMA</x:v>
      </x:c>
      <x:c r="C1" s="4" t="str">
        <x:v>Base de administradores por tipo ANBIMA</x:v>
      </x:c>
      <x:c r="D1" s="4" t="str">
        <x:v>Base de administradores por tipo ANBIMA</x:v>
      </x:c>
      <x:c r="E1" s="4" t="str">
        <x:v>Base de administradores por tipo ANBIMA</x:v>
      </x:c>
      <x:c r="F1" s="4" t="str">
        <x:v>Base de administradores por tipo ANBIMA</x:v>
      </x:c>
    </x:row>
    <x:row r="2" ht="30" customHeight="1">
      <x:c r="A2" s="4" t="str">
        <x:v>Base de administradores por tipo ANBIMA</x:v>
      </x:c>
      <x:c r="B2" s="4" t="str">
        <x:v>Base de administradores por tipo ANBIMA</x:v>
      </x:c>
      <x:c r="C2" s="4" t="str">
        <x:v>Base de administradores por tipo ANBIMA</x:v>
      </x:c>
      <x:c r="D2" s="4" t="str">
        <x:v>Base de administradores por tipo ANBIMA</x:v>
      </x:c>
      <x:c r="E2" s="4" t="str">
        <x:v>Base de administradores por tipo ANBIMA</x:v>
      </x:c>
      <x:c r="F2" s="4" t="str">
        <x:v>Base de administradores por tipo ANBIMA</x:v>
      </x:c>
    </x:row>
    <x:row r="3">
      <x:c r="A3" s="211"/>
      <x:c r="B3" s="211"/>
      <x:c r="C3" s="211"/>
      <x:c r="D3" s="211"/>
      <x:c r="E3" s="211"/>
      <x:c r="F3" s="211"/>
    </x:row>
    <x:row r="4">
      <x:c r="A4" s="211"/>
      <x:c r="B4" s="211"/>
      <x:c r="C4" s="211"/>
      <x:c r="D4" s="211"/>
      <x:c r="E4" s="211"/>
      <x:c r="F4" s="211"/>
    </x:row>
    <x:row r="5" ht="28" customHeight="1">
      <x:c r="A5" s="20" t="str">
        <x:v>Administrador</x:v>
      </x:c>
      <x:c r="B5" s="21" t="str">
        <x:v>Agro, Indústria e Comércio</x:v>
      </x:c>
      <x:c r="C5" s="21" t="str">
        <x:v>Financeiro</x:v>
      </x:c>
      <x:c r="D5" s="21" t="str">
        <x:v>Fomento Mercantil</x:v>
      </x:c>
      <x:c r="E5" s="21" t="str">
        <x:v>Outros</x:v>
      </x:c>
      <x:c r="F5" s="22" t="str">
        <x:v>PL Total</x:v>
      </x:c>
    </x:row>
    <x:row r="6">
      <x:c r="A6" s="110" t="str">
        <x:v>Singulare</x:v>
      </x:c>
      <x:c r="B6" s="134" t="n">
        <x:v>9178183291.31</x:v>
      </x:c>
      <x:c r="C6" s="134" t="n">
        <x:v>13490967943.730206</x:v>
      </x:c>
      <x:c r="D6" s="134" t="n">
        <x:v>59001395980.76974</x:v>
      </x:c>
      <x:c r="E6" s="134" t="n">
        <x:v>35454955939.416626</x:v>
      </x:c>
      <x:c r="F6" s="134" t="n">
        <x:v>117125503155.22656</x:v>
      </x:c>
    </x:row>
    <x:row r="7">
      <x:c r="A7" s="111" t="str">
        <x:v>Oliveira Trust DTVM</x:v>
      </x:c>
      <x:c r="B7" s="135" t="n">
        <x:v>9772017196.83</x:v>
      </x:c>
      <x:c r="C7" s="135" t="n">
        <x:v>78284936221.35004</x:v>
      </x:c>
      <x:c r="D7" s="135" t="n">
        <x:v>410563484.8</x:v>
      </x:c>
      <x:c r="E7" s="135" t="n">
        <x:v>6966676537.48</x:v>
      </x:c>
      <x:c r="F7" s="135" t="n">
        <x:v>95434193440.46004</x:v>
      </x:c>
    </x:row>
    <x:row r="8">
      <x:c r="A8" s="111" t="str">
        <x:v>BTG Pactual Servicos Financeiros S/A DTVM</x:v>
      </x:c>
      <x:c r="B8" s="135" t="n">
        <x:v>2192827166.2112</x:v>
      </x:c>
      <x:c r="C8" s="135" t="n">
        <x:v>38824625366.29</x:v>
      </x:c>
      <x:c r="D8" s="135" t="n">
        <x:v>884731837.4100002</x:v>
      </x:c>
      <x:c r="E8" s="135" t="n">
        <x:v>41086020681.52643</x:v>
      </x:c>
      <x:c r="F8" s="135" t="n">
        <x:v>82988205051.43762</x:v>
      </x:c>
    </x:row>
    <x:row r="9">
      <x:c r="A9" s="111" t="str">
        <x:v>BB Asset Management</x:v>
      </x:c>
      <x:c r="B9" s="135" t="n">
        <x:v>60850118918.26</x:v>
      </x:c>
      <x:c r="C9" s="135" t="n">
        <x:v>0</x:v>
      </x:c>
      <x:c r="D9" s="135" t="n">
        <x:v>0</x:v>
      </x:c>
      <x:c r="E9" s="135" t="n">
        <x:v>50627525.38999999</x:v>
      </x:c>
      <x:c r="F9" s="135" t="n">
        <x:v>60900746443.65</x:v>
      </x:c>
    </x:row>
    <x:row r="10">
      <x:c r="A10" s="111" t="str">
        <x:v>BEM - DIST. DE TÍTUL</x:v>
      </x:c>
      <x:c r="B10" s="135" t="n">
        <x:v>12440952045.22</x:v>
      </x:c>
      <x:c r="C10" s="135" t="n">
        <x:v>17149231617.34</x:v>
      </x:c>
      <x:c r="D10" s="135" t="n">
        <x:v>1923008705.15</x:v>
      </x:c>
      <x:c r="E10" s="135" t="n">
        <x:v>17348862021.89</x:v>
      </x:c>
      <x:c r="F10" s="135" t="n">
        <x:v>48862054389.6</x:v>
      </x:c>
    </x:row>
    <x:row r="11">
      <x:c r="A11" s="111" t="str">
        <x:v>BANCO DAYCOVAL S/A</x:v>
      </x:c>
      <x:c r="B11" s="135" t="n">
        <x:v>6992054677.983673</x:v>
      </x:c>
      <x:c r="C11" s="135" t="n">
        <x:v>14507296989.780012</x:v>
      </x:c>
      <x:c r="D11" s="135" t="n">
        <x:v>194275895.14000005</x:v>
      </x:c>
      <x:c r="E11" s="135" t="n">
        <x:v>22550133485.629997</x:v>
      </x:c>
      <x:c r="F11" s="135" t="n">
        <x:v>44243761048.53368</x:v>
      </x:c>
    </x:row>
    <x:row r="12">
      <x:c r="A12" s="111" t="str">
        <x:v>INTRAG DIST. DE TÍTU</x:v>
      </x:c>
      <x:c r="B12" s="135" t="n">
        <x:v>3381119858.5700006</x:v>
      </x:c>
      <x:c r="C12" s="135" t="n">
        <x:v>0</x:v>
      </x:c>
      <x:c r="D12" s="135" t="n">
        <x:v>1167707989.5199995</x:v>
      </x:c>
      <x:c r="E12" s="135" t="n">
        <x:v>25386825385.76001</x:v>
      </x:c>
      <x:c r="F12" s="135" t="n">
        <x:v>29935653233.85001</x:v>
      </x:c>
    </x:row>
    <x:row r="13">
      <x:c r="A13" s="111" t="str">
        <x:v>Banco Genial S.A.</x:v>
      </x:c>
      <x:c r="B13" s="135" t="n">
        <x:v>6757010343.209999</x:v>
      </x:c>
      <x:c r="C13" s="135" t="n">
        <x:v>14291681166.548906</x:v>
      </x:c>
      <x:c r="D13" s="135" t="n">
        <x:v>89068789.55</x:v>
      </x:c>
      <x:c r="E13" s="135" t="n">
        <x:v>2563979118.9399996</x:v>
      </x:c>
      <x:c r="F13" s="135" t="n">
        <x:v>23701739418.2489</x:v>
      </x:c>
    </x:row>
    <x:row r="14">
      <x:c r="A14" s="111" t="str">
        <x:v>BRL TRUST DTVM</x:v>
      </x:c>
      <x:c r="B14" s="135" t="n">
        <x:v>1996467283.4800005</x:v>
      </x:c>
      <x:c r="C14" s="135" t="n">
        <x:v>6405778025.210001</x:v>
      </x:c>
      <x:c r="D14" s="135" t="n">
        <x:v>124119505.69</x:v>
      </x:c>
      <x:c r="E14" s="135" t="n">
        <x:v>11887771588.089994</x:v>
      </x:c>
      <x:c r="F14" s="135" t="n">
        <x:v>20414136402.469994</x:v>
      </x:c>
    </x:row>
    <x:row r="15">
      <x:c r="A15" s="111" t="str">
        <x:v>HEMERA DTVM</x:v>
      </x:c>
      <x:c r="B15" s="135" t="n">
        <x:v>4519545938.52</x:v>
      </x:c>
      <x:c r="C15" s="135" t="n">
        <x:v>4163366470.769999</x:v>
      </x:c>
      <x:c r="D15" s="135" t="n">
        <x:v>3761172744.249999</x:v>
      </x:c>
      <x:c r="E15" s="135" t="n">
        <x:v>7633476366.68</x:v>
      </x:c>
      <x:c r="F15" s="135" t="n">
        <x:v>20077561520.219997</x:v>
      </x:c>
    </x:row>
    <x:row r="16">
      <x:c r="A16" s="111" t="str">
        <x:v>Genial Investimentos Corretora de Valores Mobiliários S.A.</x:v>
      </x:c>
      <x:c r="B16" s="135" t="n">
        <x:v>3400141260.0499997</x:v>
      </x:c>
      <x:c r="C16" s="135" t="n">
        <x:v>2969742112.879999</x:v>
      </x:c>
      <x:c r="D16" s="135" t="n">
        <x:v>39570550.629999995</x:v>
      </x:c>
      <x:c r="E16" s="135" t="n">
        <x:v>11210294796.319998</x:v>
      </x:c>
      <x:c r="F16" s="135" t="n">
        <x:v>17619748719.879997</x:v>
      </x:c>
    </x:row>
    <x:row r="17">
      <x:c r="A17" s="111" t="str">
        <x:v>Finaxis Corretora de Títulos e Valores Mobiliários S.A.</x:v>
      </x:c>
      <x:c r="B17" s="135" t="n">
        <x:v>7273721540.12</x:v>
      </x:c>
      <x:c r="C17" s="135" t="n">
        <x:v>243324900.1</x:v>
      </x:c>
      <x:c r="D17" s="135" t="n">
        <x:v>1852176749.3399992</x:v>
      </x:c>
      <x:c r="E17" s="135" t="n">
        <x:v>7280601995.619998</x:v>
      </x:c>
      <x:c r="F17" s="135" t="n">
        <x:v>16649825185.179996</x:v>
      </x:c>
    </x:row>
    <x:row r="18">
      <x:c r="A18" s="111" t="str">
        <x:v>VERT Distribuidora de Títulos e Valores Mobiliários Ltd</x:v>
      </x:c>
      <x:c r="B18" s="135" t="n">
        <x:v>4652291203.920002</x:v>
      </x:c>
      <x:c r="C18" s="135" t="n">
        <x:v>8275033611.199997</x:v>
      </x:c>
      <x:c r="D18" s="135" t="n">
        <x:v>0</x:v>
      </x:c>
      <x:c r="E18" s="135" t="n">
        <x:v>1856294302.25</x:v>
      </x:c>
      <x:c r="F18" s="135" t="n">
        <x:v>14783619117.37</x:v>
      </x:c>
    </x:row>
    <x:row r="19">
      <x:c r="A19" s="111" t="str">
        <x:v>PLANNER CV</x:v>
      </x:c>
      <x:c r="B19" s="135" t="n">
        <x:v>124319049.71</x:v>
      </x:c>
      <x:c r="C19" s="135" t="n">
        <x:v>97044486.1</x:v>
      </x:c>
      <x:c r="D19" s="135" t="n">
        <x:v>1196542964.64</x:v>
      </x:c>
      <x:c r="E19" s="135" t="n">
        <x:v>11050885873.010004</x:v>
      </x:c>
      <x:c r="F19" s="135" t="n">
        <x:v>12468792373.460005</x:v>
      </x:c>
    </x:row>
    <x:row r="20">
      <x:c r="A20" s="111" t="str">
        <x:v>BNY MELLON SERVICOS</x:v>
      </x:c>
      <x:c r="B20" s="135" t="n">
        <x:v>0</x:v>
      </x:c>
      <x:c r="C20" s="135" t="n">
        <x:v>0</x:v>
      </x:c>
      <x:c r="D20" s="135" t="n">
        <x:v>4905112.620000001</x:v>
      </x:c>
      <x:c r="E20" s="135" t="n">
        <x:v>11647029899.781149</x:v>
      </x:c>
      <x:c r="F20" s="135" t="n">
        <x:v>11651935012.40115</x:v>
      </x:c>
    </x:row>
    <x:row r="21">
      <x:c r="A21" s="111" t="str">
        <x:v>VÓRTX DTVM</x:v>
      </x:c>
      <x:c r="B21" s="135" t="n">
        <x:v>3640654573.44</x:v>
      </x:c>
      <x:c r="C21" s="135" t="n">
        <x:v>2962345710.3499994</x:v>
      </x:c>
      <x:c r="D21" s="135" t="n">
        <x:v>122869369.8</x:v>
      </x:c>
      <x:c r="E21" s="135" t="n">
        <x:v>4569424500.979998</x:v>
      </x:c>
      <x:c r="F21" s="135" t="n">
        <x:v>11295294154.569996</x:v>
      </x:c>
    </x:row>
    <x:row r="22">
      <x:c r="A22" s="111" t="str">
        <x:v>TRUSTEE DTVM</x:v>
      </x:c>
      <x:c r="B22" s="135" t="n">
        <x:v>0</x:v>
      </x:c>
      <x:c r="C22" s="135" t="n">
        <x:v>351332791.21</x:v>
      </x:c>
      <x:c r="D22" s="135" t="n">
        <x:v>23636547.09</x:v>
      </x:c>
      <x:c r="E22" s="135" t="n">
        <x:v>10358627755.149998</x:v>
      </x:c>
      <x:c r="F22" s="135" t="n">
        <x:v>10733597093.449997</x:v>
      </x:c>
    </x:row>
    <x:row r="23">
      <x:c r="A23" s="111" t="str">
        <x:v>MAF Distribuidora de Títulos e Valores Mobiliários S.A.</x:v>
      </x:c>
      <x:c r="B23" s="135" t="n">
        <x:v>217307787.22000003</x:v>
      </x:c>
      <x:c r="C23" s="135" t="n">
        <x:v>0</x:v>
      </x:c>
      <x:c r="D23" s="135" t="n">
        <x:v>0</x:v>
      </x:c>
      <x:c r="E23" s="135" t="n">
        <x:v>10384086782.119995</x:v>
      </x:c>
      <x:c r="F23" s="135" t="n">
        <x:v>10601394569.339994</x:v>
      </x:c>
    </x:row>
    <x:row r="24">
      <x:c r="A24" s="111" t="str">
        <x:v>ID Corretora de Títulos e Valores Mobiliários S.A.</x:v>
      </x:c>
      <x:c r="B24" s="135" t="n">
        <x:v>242826095.70000005</x:v>
      </x:c>
      <x:c r="C24" s="135" t="n">
        <x:v>818474637.77</x:v>
      </x:c>
      <x:c r="D24" s="135" t="n">
        <x:v>890044311.3899999</x:v>
      </x:c>
      <x:c r="E24" s="135" t="n">
        <x:v>8003837279.730001</x:v>
      </x:c>
      <x:c r="F24" s="135" t="n">
        <x:v>9955182324.590002</x:v>
      </x:c>
    </x:row>
    <x:row r="25">
      <x:c r="A25" s="111" t="str">
        <x:v>FIDD DISTRIBUIDORA DE TITULOS E VALORES MOBILIARIOS LTD</x:v>
      </x:c>
      <x:c r="B25" s="135" t="n">
        <x:v>1019272881.3500004</x:v>
      </x:c>
      <x:c r="C25" s="135" t="n">
        <x:v>544479426</x:v>
      </x:c>
      <x:c r="D25" s="135" t="n">
        <x:v>3421677457.7099996</x:v>
      </x:c>
      <x:c r="E25" s="135" t="n">
        <x:v>4767878770.679997</x:v>
      </x:c>
      <x:c r="F25" s="135" t="n">
        <x:v>9753308535.739998</x:v>
      </x:c>
    </x:row>
    <x:row r="26">
      <x:c r="A26" s="111" t="str">
        <x:v>S3 Caceis Brasil Distribuidora de Títulos e Valores Mob</x:v>
      </x:c>
      <x:c r="B26" s="135" t="n">
        <x:v>4863388943.47999</x:v>
      </x:c>
      <x:c r="C26" s="135" t="n">
        <x:v>3492130161.23086</x:v>
      </x:c>
      <x:c r="D26" s="135" t="n">
        <x:v>407823856.64</x:v>
      </x:c>
      <x:c r="E26" s="135" t="n">
        <x:v>439302345.86</x:v>
      </x:c>
      <x:c r="F26" s="135" t="n">
        <x:v>9202645307.21085</x:v>
      </x:c>
    </x:row>
    <x:row r="27">
      <x:c r="A27" s="111" t="str">
        <x:v>Limine Trust Distribuidora de Titulos e Valores Mobiliá</x:v>
      </x:c>
      <x:c r="B27" s="135" t="n">
        <x:v>1411761085.95</x:v>
      </x:c>
      <x:c r="C27" s="135" t="n">
        <x:v>2751368030.9300013</x:v>
      </x:c>
      <x:c r="D27" s="135" t="n">
        <x:v>1035457408.755</x:v>
      </x:c>
      <x:c r="E27" s="135" t="n">
        <x:v>3318765926.8300004</x:v>
      </x:c>
      <x:c r="F27" s="135" t="n">
        <x:v>8517352452.465002</x:v>
      </x:c>
    </x:row>
    <x:row r="28">
      <x:c r="A28" s="111" t="str">
        <x:v>XPI CCTVM S/A</x:v>
      </x:c>
      <x:c r="B28" s="135" t="n">
        <x:v>1259703242.6</x:v>
      </x:c>
      <x:c r="C28" s="135" t="n">
        <x:v>55550221.620000005</x:v>
      </x:c>
      <x:c r="D28" s="135" t="n">
        <x:v>202398988.35</x:v>
      </x:c>
      <x:c r="E28" s="135" t="n">
        <x:v>6696860768.62</x:v>
      </x:c>
      <x:c r="F28" s="135" t="n">
        <x:v>8214513221.19</x:v>
      </x:c>
    </x:row>
    <x:row r="29">
      <x:c r="A29" s="111" t="str">
        <x:v>SEFER DTVM</x:v>
      </x:c>
      <x:c r="B29" s="135" t="n">
        <x:v>71553704.34</x:v>
      </x:c>
      <x:c r="C29" s="135" t="n">
        <x:v>392340969.58</x:v>
      </x:c>
      <x:c r="D29" s="135" t="n">
        <x:v>3230887550.6200004</x:v>
      </x:c>
      <x:c r="E29" s="135" t="n">
        <x:v>4282856849.31</x:v>
      </x:c>
      <x:c r="F29" s="135" t="n">
        <x:v>7977639073.85</x:v>
      </x:c>
    </x:row>
    <x:row r="30">
      <x:c r="A30" s="111" t="str">
        <x:v>Banvox DTVM</x:v>
      </x:c>
      <x:c r="B30" s="135" t="n">
        <x:v>194955841.65</x:v>
      </x:c>
      <x:c r="C30" s="135" t="n">
        <x:v>1890698051.6100008</x:v>
      </x:c>
      <x:c r="D30" s="135" t="n">
        <x:v>11607112.78</x:v>
      </x:c>
      <x:c r="E30" s="135" t="n">
        <x:v>4125351806.81</x:v>
      </x:c>
      <x:c r="F30" s="135" t="n">
        <x:v>6222612812.85</x:v>
      </x:c>
    </x:row>
    <x:row r="31">
      <x:c r="A31" s="111" t="str">
        <x:v>BANCO J. SAFRA S/A</x:v>
      </x:c>
      <x:c r="B31" s="135" t="n">
        <x:v>0</x:v>
      </x:c>
      <x:c r="C31" s="135" t="n">
        <x:v>0</x:v>
      </x:c>
      <x:c r="D31" s="135" t="n">
        <x:v>1656423053.39</x:v>
      </x:c>
      <x:c r="E31" s="135" t="n">
        <x:v>4328120063.67</x:v>
      </x:c>
      <x:c r="F31" s="135" t="n">
        <x:v>5984543117.06</x:v>
      </x:c>
    </x:row>
    <x:row r="32">
      <x:c r="A32" s="111" t="str">
        <x:v>CATÁLISE DTVM</x:v>
      </x:c>
      <x:c r="B32" s="135" t="n">
        <x:v>3748839061.81</x:v>
      </x:c>
      <x:c r="C32" s="135" t="n">
        <x:v>929899.02</x:v>
      </x:c>
      <x:c r="D32" s="135" t="n">
        <x:v>68271501.64999999</x:v>
      </x:c>
      <x:c r="E32" s="135" t="n">
        <x:v>2066686594.49</x:v>
      </x:c>
      <x:c r="F32" s="135" t="n">
        <x:v>5884727056.97</x:v>
      </x:c>
    </x:row>
    <x:row r="33">
      <x:c r="A33" s="111" t="str">
        <x:v>Banco Finaxis S.A.</x:v>
      </x:c>
      <x:c r="B33" s="135" t="n">
        <x:v>0</x:v>
      </x:c>
      <x:c r="C33" s="135" t="n">
        <x:v>0</x:v>
      </x:c>
      <x:c r="D33" s="135" t="n">
        <x:v>779743369.17</x:v>
      </x:c>
      <x:c r="E33" s="135" t="n">
        <x:v>4501238328.87</x:v>
      </x:c>
      <x:c r="F33" s="135" t="n">
        <x:v>5280981698.04</x:v>
      </x:c>
    </x:row>
    <x:row r="34">
      <x:c r="A34" s="111" t="str">
        <x:v>RJI Investimentos</x:v>
      </x:c>
      <x:c r="B34" s="135" t="n">
        <x:v>17137065.41</x:v>
      </x:c>
      <x:c r="C34" s="135" t="n">
        <x:v>67691545.19999999</x:v>
      </x:c>
      <x:c r="D34" s="135" t="n">
        <x:v>0</x:v>
      </x:c>
      <x:c r="E34" s="135" t="n">
        <x:v>4956693508.370001</x:v>
      </x:c>
      <x:c r="F34" s="135" t="n">
        <x:v>5041522118.9800005</x:v>
      </x:c>
    </x:row>
    <x:row r="35">
      <x:c r="A35" s="111" t="str">
        <x:v>QI DISTRIBUIDORA DE TITULOS E VALORES MOBILIARIOS LTDA</x:v>
      </x:c>
      <x:c r="B35" s="135" t="n">
        <x:v>0</x:v>
      </x:c>
      <x:c r="C35" s="135" t="n">
        <x:v>0</x:v>
      </x:c>
      <x:c r="D35" s="135" t="n">
        <x:v>542762002.32</x:v>
      </x:c>
      <x:c r="E35" s="135" t="n">
        <x:v>3913119298.1800017</x:v>
      </x:c>
      <x:c r="F35" s="135" t="n">
        <x:v>4455881300.500002</x:v>
      </x:c>
    </x:row>
    <x:row r="36">
      <x:c r="A36" s="111" t="str">
        <x:v>Qore DTVM</x:v>
      </x:c>
      <x:c r="B36" s="135" t="n">
        <x:v>320053389.63</x:v>
      </x:c>
      <x:c r="C36" s="135" t="n">
        <x:v>192462662.46000004</x:v>
      </x:c>
      <x:c r="D36" s="135" t="n">
        <x:v>363265159.79</x:v>
      </x:c>
      <x:c r="E36" s="135" t="n">
        <x:v>3376901668.83</x:v>
      </x:c>
      <x:c r="F36" s="135" t="n">
        <x:v>4252682880.71</x:v>
      </x:c>
    </x:row>
    <x:row r="37">
      <x:c r="A37" s="111" t="str">
        <x:v>MONETAR DISTRIBUIDORA DE TITUL</x:v>
      </x:c>
      <x:c r="B37" s="135" t="n">
        <x:v>31672271.26</x:v>
      </x:c>
      <x:c r="C37" s="135" t="n">
        <x:v>104460218.57</x:v>
      </x:c>
      <x:c r="D37" s="135" t="n">
        <x:v>315769088.08</x:v>
      </x:c>
      <x:c r="E37" s="135" t="n">
        <x:v>2172950715.51</x:v>
      </x:c>
      <x:c r="F37" s="135" t="n">
        <x:v>2624852293.42</x:v>
      </x:c>
    </x:row>
    <x:row r="38">
      <x:c r="A38" s="111" t="str">
        <x:v>ACTUAL DTVM</x:v>
      </x:c>
      <x:c r="B38" s="135" t="n">
        <x:v>0</x:v>
      </x:c>
      <x:c r="C38" s="135" t="n">
        <x:v>0</x:v>
      </x:c>
      <x:c r="D38" s="135" t="n">
        <x:v>1655465984.8999996</x:v>
      </x:c>
      <x:c r="E38" s="135" t="n">
        <x:v>737121538.9</x:v>
      </x:c>
      <x:c r="F38" s="135" t="n">
        <x:v>2392587523.7999997</x:v>
      </x:c>
    </x:row>
    <x:row r="39">
      <x:c r="A39" s="111" t="str">
        <x:v>OSLO DTVM S. A.</x:v>
      </x:c>
      <x:c r="B39" s="135" t="n">
        <x:v>30667232.43</x:v>
      </x:c>
      <x:c r="C39" s="135" t="n">
        <x:v>271328543.06</x:v>
      </x:c>
      <x:c r="D39" s="135" t="n">
        <x:v>47077488.03000001</x:v>
      </x:c>
      <x:c r="E39" s="135" t="n">
        <x:v>2034917040.09</x:v>
      </x:c>
      <x:c r="F39" s="135" t="n">
        <x:v>2383990303.61</x:v>
      </x:c>
    </x:row>
    <x:row r="40">
      <x:c r="A40" s="111" t="str">
        <x:v>AZUMI DISTRIBUIDORA DE TÍTULOS E VALORES MOBILIÁRIOS LT</x:v>
      </x:c>
      <x:c r="B40" s="135" t="n">
        <x:v>28297998.38</x:v>
      </x:c>
      <x:c r="C40" s="135" t="n">
        <x:v>81271659.31</x:v>
      </x:c>
      <x:c r="D40" s="135" t="n">
        <x:v>644678053.7199999</x:v>
      </x:c>
      <x:c r="E40" s="135" t="n">
        <x:v>918848904.6599996</x:v>
      </x:c>
      <x:c r="F40" s="135" t="n">
        <x:v>1673096616.0699997</x:v>
      </x:c>
    </x:row>
    <x:row r="41">
      <x:c r="A41" s="111" t="str">
        <x:v>Caixa Econ. Federal</x:v>
      </x:c>
      <x:c r="B41" s="135" t="n">
        <x:v>1373673301.63</x:v>
      </x:c>
      <x:c r="C41" s="135" t="n">
        <x:v>2685323.86</x:v>
      </x:c>
      <x:c r="D41" s="135" t="n">
        <x:v>0</x:v>
      </x:c>
      <x:c r="E41" s="135" t="n">
        <x:v>0</x:v>
      </x:c>
      <x:c r="F41" s="135" t="n">
        <x:v>1376358625.49</x:v>
      </x:c>
    </x:row>
    <x:row r="42">
      <x:c r="A42" s="111" t="str">
        <x:v>INTEGRAL ACCESS DTVM</x:v>
      </x:c>
      <x:c r="B42" s="135" t="n">
        <x:v>655197867.94</x:v>
      </x:c>
      <x:c r="C42" s="135" t="n">
        <x:v>184740197.11</x:v>
      </x:c>
      <x:c r="D42" s="135" t="n">
        <x:v>0</x:v>
      </x:c>
      <x:c r="E42" s="135" t="n">
        <x:v>52058377.58</x:v>
      </x:c>
      <x:c r="F42" s="135" t="n">
        <x:v>891996442.6300001</x:v>
      </x:c>
    </x:row>
    <x:row r="43">
      <x:c r="A43" s="111" t="str">
        <x:v>Inter Distribuidora de Títulos e Valores Mobiliários Lt</x:v>
      </x:c>
      <x:c r="B43" s="135" t="n">
        <x:v>752063336.42</x:v>
      </x:c>
      <x:c r="C43" s="135" t="n">
        <x:v>0</x:v>
      </x:c>
      <x:c r="D43" s="135" t="n">
        <x:v>60962351.51999998</x:v>
      </x:c>
      <x:c r="E43" s="135" t="n">
        <x:v>36306961.06999999</x:v>
      </x:c>
      <x:c r="F43" s="135" t="n">
        <x:v>849332649.01</x:v>
      </x:c>
    </x:row>
    <x:row r="44">
      <x:c r="A44" s="111" t="str">
        <x:v>BR-Capital DTVM</x:v>
      </x:c>
      <x:c r="B44" s="135" t="n">
        <x:v>0</x:v>
      </x:c>
      <x:c r="C44" s="135" t="n">
        <x:v>0</x:v>
      </x:c>
      <x:c r="D44" s="135" t="n">
        <x:v>0</x:v>
      </x:c>
      <x:c r="E44" s="135" t="n">
        <x:v>640384800.38</x:v>
      </x:c>
      <x:c r="F44" s="135" t="n">
        <x:v>640384800.38</x:v>
      </x:c>
    </x:row>
    <x:row r="45">
      <x:c r="A45" s="111" t="str">
        <x:v>LASTRO RDV DIST. DE</x:v>
      </x:c>
      <x:c r="B45" s="135" t="n">
        <x:v>0</x:v>
      </x:c>
      <x:c r="C45" s="135" t="n">
        <x:v>207078531.3</x:v>
      </x:c>
      <x:c r="D45" s="135" t="n">
        <x:v>6961865.65</x:v>
      </x:c>
      <x:c r="E45" s="135" t="n">
        <x:v>425675794.51</x:v>
      </x:c>
      <x:c r="F45" s="135" t="n">
        <x:v>639716191.46</x:v>
      </x:c>
    </x:row>
    <x:row r="46">
      <x:c r="A46" s="111" t="str">
        <x:v>SANTANDER DISTRIBUIDORA DE TÍTULOS E VALORES MOBILIÁRIOS S.A</x:v>
      </x:c>
      <x:c r="B46" s="135" t="n">
        <x:v>507114261.73</x:v>
      </x:c>
      <x:c r="C46" s="135" t="n">
        <x:v>0</x:v>
      </x:c>
      <x:c r="D46" s="135" t="n">
        <x:v>0</x:v>
      </x:c>
      <x:c r="E46" s="135" t="n">
        <x:v>0</x:v>
      </x:c>
      <x:c r="F46" s="135" t="n">
        <x:v>507114261.73</x:v>
      </x:c>
    </x:row>
    <x:row r="47">
      <x:c r="A47" s="111" t="str">
        <x:v>Finvest Digital</x:v>
      </x:c>
      <x:c r="B47" s="135" t="n">
        <x:v>115030157.89</x:v>
      </x:c>
      <x:c r="C47" s="135" t="n">
        <x:v>71832554.22999999</x:v>
      </x:c>
      <x:c r="D47" s="135" t="n">
        <x:v>56969398.88000001</x:v>
      </x:c>
      <x:c r="E47" s="135" t="n">
        <x:v>242891336.38000005</x:v>
      </x:c>
      <x:c r="F47" s="135" t="n">
        <x:v>486723447.38000005</x:v>
      </x:c>
    </x:row>
    <x:row r="48">
      <x:c r="A48" s="111" t="str">
        <x:v>WNT DTVM</x:v>
      </x:c>
      <x:c r="B48" s="135" t="n">
        <x:v>0</x:v>
      </x:c>
      <x:c r="C48" s="135" t="n">
        <x:v>5459251.17</x:v>
      </x:c>
      <x:c r="D48" s="135" t="n">
        <x:v>61160933.02</x:v>
      </x:c>
      <x:c r="E48" s="135" t="n">
        <x:v>220758198.83999997</x:v>
      </x:c>
      <x:c r="F48" s="135" t="n">
        <x:v>287378383.03</x:v>
      </x:c>
    </x:row>
    <x:row r="49">
      <x:c r="A49" s="111" t="str">
        <x:v>Baru DTVM</x:v>
      </x:c>
      <x:c r="B49" s="135" t="n">
        <x:v>0</x:v>
      </x:c>
      <x:c r="C49" s="135" t="n">
        <x:v>16165994.579999998</x:v>
      </x:c>
      <x:c r="D49" s="135" t="n">
        <x:v>0</x:v>
      </x:c>
      <x:c r="E49" s="135" t="n">
        <x:v>206824385.05</x:v>
      </x:c>
      <x:c r="F49" s="135" t="n">
        <x:v>222990379.63</x:v>
      </x:c>
    </x:row>
    <x:row r="50">
      <x:c r="A50" s="111" t="str">
        <x:v>LIONS DTVM</x:v>
      </x:c>
      <x:c r="B50" s="135" t="n">
        <x:v>38179544.29000001</x:v>
      </x:c>
      <x:c r="C50" s="135" t="n">
        <x:v>0</x:v>
      </x:c>
      <x:c r="D50" s="135" t="n">
        <x:v>0</x:v>
      </x:c>
      <x:c r="E50" s="135" t="n">
        <x:v>144177661.94</x:v>
      </x:c>
      <x:c r="F50" s="135" t="n">
        <x:v>182357206.23</x:v>
      </x:c>
    </x:row>
    <x:row r="51">
      <x:c r="A51" s="111" t="str">
        <x:v>Ativa S/A CTCV</x:v>
      </x:c>
      <x:c r="B51" s="135" t="n">
        <x:v>0</x:v>
      </x:c>
      <x:c r="C51" s="135" t="n">
        <x:v>45842.8</x:v>
      </x:c>
      <x:c r="D51" s="135" t="n">
        <x:v>0</x:v>
      </x:c>
      <x:c r="E51" s="135" t="n">
        <x:v>49665320.20999999</x:v>
      </x:c>
      <x:c r="F51" s="135" t="n">
        <x:v>49711163.00999999</x:v>
      </x:c>
    </x:row>
    <x:row r="52">
      <x:c r="A52" s="111" t="str">
        <x:v>Intra Investimentos Distribuidora de Títulos e Valores Mobiliários LTDA.</x:v>
      </x:c>
      <x:c r="B52" s="135" t="n">
        <x:v>0</x:v>
      </x:c>
      <x:c r="C52" s="135" t="n">
        <x:v>0</x:v>
      </x:c>
      <x:c r="D52" s="135" t="n">
        <x:v>0</x:v>
      </x:c>
      <x:c r="E52" s="135" t="n">
        <x:v>46144408.65999999</x:v>
      </x:c>
      <x:c r="F52" s="135" t="n">
        <x:v>46144408.65999999</x:v>
      </x:c>
    </x:row>
    <x:row r="53">
      <x:c r="A53" s="111" t="str">
        <x:v>Não Informado</x:v>
      </x:c>
      <x:c r="B53" s="135" t="n">
        <x:v>0</x:v>
      </x:c>
      <x:c r="C53" s="135" t="n">
        <x:v>0</x:v>
      </x:c>
      <x:c r="D53" s="135" t="n">
        <x:v>42255542.21</x:v>
      </x:c>
      <x:c r="E53" s="135" t="n">
        <x:v>0</x:v>
      </x:c>
      <x:c r="F53" s="135" t="n">
        <x:v>42255542.21</x:v>
      </x:c>
    </x:row>
    <x:row r="54">
      <x:c r="A54" s="111" t="str">
        <x:v>Merito DTVM</x:v>
      </x:c>
      <x:c r="B54" s="135" t="n">
        <x:v>0</x:v>
      </x:c>
      <x:c r="C54" s="135" t="n">
        <x:v>12545142.17</x:v>
      </x:c>
      <x:c r="D54" s="135" t="n">
        <x:v>0</x:v>
      </x:c>
      <x:c r="E54" s="135" t="n">
        <x:v>3448849.25</x:v>
      </x:c>
      <x:c r="F54" s="135" t="n">
        <x:v>15993991.42</x:v>
      </x:c>
    </x:row>
    <x:row r="55">
      <x:c r="A55" s="111" t="str">
        <x:v>GRADUAL CCTVM S/A</x:v>
      </x:c>
      <x:c r="B55" s="135" t="n">
        <x:v>0</x:v>
      </x:c>
      <x:c r="C55" s="135" t="n">
        <x:v>0</x:v>
      </x:c>
      <x:c r="D55" s="135" t="n">
        <x:v>0</x:v>
      </x:c>
      <x:c r="E55" s="135" t="n">
        <x:v>0</x:v>
      </x:c>
      <x:c r="F55" s="135" t="n">
        <x:v>0</x:v>
      </x:c>
    </x:row>
    <x:row r="56">
      <x:c r="A56" s="111" t="str">
        <x:v>HEDGE DTVM</x:v>
      </x:c>
      <x:c r="B56" s="135" t="n">
        <x:v>0</x:v>
      </x:c>
      <x:c r="C56" s="135" t="n">
        <x:v>0</x:v>
      </x:c>
      <x:c r="D56" s="135" t="n">
        <x:v>0</x:v>
      </x:c>
      <x:c r="E56" s="135" t="n">
        <x:v>0</x:v>
      </x:c>
      <x:c r="F56" s="135" t="n">
        <x:v>0</x:v>
      </x:c>
    </x:row>
    <x:row r="57">
      <x:c r="A57" s="111" t="str">
        <x:v>DILLON S.A DTVM</x:v>
      </x:c>
      <x:c r="B57" s="135" t="n">
        <x:v>0</x:v>
      </x:c>
      <x:c r="C57" s="135" t="n">
        <x:v>0</x:v>
      </x:c>
      <x:c r="D57" s="135" t="n">
        <x:v>0</x:v>
      </x:c>
      <x:c r="E57" s="135" t="n">
        <x:v>0</x:v>
      </x:c>
      <x:c r="F57" s="135" t="n">
        <x:v>0</x:v>
      </x:c>
    </x:row>
    <x:row r="58">
      <x:c r="A58" s="111" t="str">
        <x:v>NECTON INVESTIMENTOS</x:v>
      </x:c>
      <x:c r="B58" s="135" t="n">
        <x:v>0</x:v>
      </x:c>
      <x:c r="C58" s="135" t="n">
        <x:v>0</x:v>
      </x:c>
      <x:c r="D58" s="135" t="n">
        <x:v>0</x:v>
      </x:c>
      <x:c r="E58" s="135" t="n">
        <x:v>0</x:v>
      </x:c>
      <x:c r="F58" s="135" t="n">
        <x:v>0</x:v>
      </x:c>
    </x:row>
    <x:row r="59">
      <x:c r="A59" s="111" t="str">
        <x:v>SLW CVC LTDA</x:v>
      </x:c>
      <x:c r="B59" s="135" t="n">
        <x:v>0</x:v>
      </x:c>
      <x:c r="C59" s="135" t="n">
        <x:v>0</x:v>
      </x:c>
      <x:c r="D59" s="135" t="n">
        <x:v>0</x:v>
      </x:c>
      <x:c r="E59" s="135" t="n">
        <x:v>0</x:v>
      </x:c>
      <x:c r="F59" s="135" t="n">
        <x:v>0</x:v>
      </x:c>
    </x:row>
    <x:row r="60">
      <x:c r="A60" s="111" t="str">
        <x:v>Tivio Capital</x:v>
      </x:c>
      <x:c r="B60" s="135" t="n">
        <x:v>0</x:v>
      </x:c>
      <x:c r="C60" s="135" t="n">
        <x:v>0</x:v>
      </x:c>
      <x:c r="D60" s="135" t="n">
        <x:v>0</x:v>
      </x:c>
      <x:c r="E60" s="135" t="n">
        <x:v>0</x:v>
      </x:c>
      <x:c r="F60" s="135" t="n">
        <x:v>0</x:v>
      </x:c>
    </x:row>
    <x:row r="61">
      <x:c r="A61" s="111" t="str">
        <x:v>BFL Administração de Recursos</x:v>
      </x:c>
      <x:c r="B61" s="135" t="n">
        <x:v>0</x:v>
      </x:c>
      <x:c r="C61" s="135" t="n">
        <x:v>0</x:v>
      </x:c>
      <x:c r="D61" s="135" t="n">
        <x:v>0</x:v>
      </x:c>
      <x:c r="E61" s="135" t="n">
        <x:v>0</x:v>
      </x:c>
      <x:c r="F61" s="135" t="n">
        <x:v>0</x:v>
      </x:c>
    </x:row>
    <x:row r="62">
      <x:c r="A62" s="111" t="str">
        <x:v>MASTER S/A CORRETORA</x:v>
      </x:c>
      <x:c r="B62" s="135" t="n">
        <x:v>0</x:v>
      </x:c>
      <x:c r="C62" s="135" t="n">
        <x:v>0</x:v>
      </x:c>
      <x:c r="D62" s="135" t="n">
        <x:v>0</x:v>
      </x:c>
      <x:c r="E62" s="135" t="n">
        <x:v>0</x:v>
      </x:c>
      <x:c r="F62" s="135" t="n">
        <x:v>0</x:v>
      </x:c>
    </x:row>
    <x:row r="63">
      <x:c r="A63" s="112" t="str">
        <x:v>REAG DTVM</x:v>
      </x:c>
      <x:c r="B63" s="136" t="n">
        <x:v>0</x:v>
      </x:c>
      <x:c r="C63" s="136" t="n">
        <x:v>0</x:v>
      </x:c>
      <x:c r="D63" s="136" t="n">
        <x:v>0</x:v>
      </x:c>
      <x:c r="E63" s="136" t="n">
        <x:v>0</x:v>
      </x:c>
      <x:c r="F63" s="136" t="n">
        <x:v>0</x:v>
      </x:c>
    </x:row>
  </x:sheetData>
  <x:mergeCells>
    <x:mergeCell ref="A1:F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 min="3" max="3" width="18" hidden="0" customWidth="1"/>
    <x:col min="4" max="4" width="30" hidden="0" customWidth="1"/>
    <x:col min="5" max="5" width="30" hidden="0" customWidth="1"/>
    <x:col min="6" max="6" width="45" hidden="0" customWidth="1"/>
    <x:col min="7" max="7" width="45" hidden="0" customWidth="1"/>
    <x:col min="8" max="8" width="28" hidden="0" customWidth="1"/>
    <x:col min="9" max="9" width="34" hidden="0" customWidth="1"/>
    <x:col min="10" max="10" width="14" hidden="0" customWidth="1"/>
    <x:col min="11" max="11" width="12" hidden="0" customWidth="1"/>
    <x:col min="12" max="12" width="38" hidden="0" customWidth="1"/>
  </x:cols>
  <x:sheetData>
    <x:row r="1" ht="30" customHeight="1">
      <x:c r="A1" s="4" t="str">
        <x:v>Base de fundos | classificação operacional editável</x:v>
      </x:c>
      <x:c r="B1" s="4" t="str">
        <x:v>Base de fundos | classificação operacional editável</x:v>
      </x:c>
      <x:c r="C1" s="4" t="str">
        <x:v>Base de fundos | classificação operacional editável</x:v>
      </x:c>
      <x:c r="D1" s="4" t="str">
        <x:v>Base de fundos | classificação operacional editável</x:v>
      </x:c>
      <x:c r="E1" s="4" t="str">
        <x:v>Base de fundos | classificação operacional editável</x:v>
      </x:c>
      <x:c r="F1" s="4" t="str">
        <x:v>Base de fundos | classificação operacional editável</x:v>
      </x:c>
      <x:c r="G1" s="4" t="str">
        <x:v>Base de fundos | classificação operacional editável</x:v>
      </x:c>
      <x:c r="H1" s="4" t="str">
        <x:v>Base de fundos | classificação operacional editável</x:v>
      </x:c>
      <x:c r="I1" s="4" t="str">
        <x:v>Base de fundos | classificação operacional editável</x:v>
      </x:c>
      <x:c r="J1" s="4" t="str">
        <x:v>Base de fundos | classificação operacional editável</x:v>
      </x:c>
      <x:c r="K1" s="4" t="str">
        <x:v>Base de fundos | classificação operacional editável</x:v>
      </x:c>
      <x:c r="L1" s="4" t="str">
        <x:v>Base de fundos | classificação operacional editável</x:v>
      </x:c>
    </x:row>
    <x:row r="2" ht="30" customHeight="1">
      <x:c r="A2" s="4" t="str">
        <x:v>Base de fundos | classificação operacional editável</x:v>
      </x:c>
      <x:c r="B2" s="4" t="str">
        <x:v>Base de fundos | classificação operacional editável</x:v>
      </x:c>
      <x:c r="C2" s="4" t="str">
        <x:v>Base de fundos | classificação operacional editável</x:v>
      </x:c>
      <x:c r="D2" s="4" t="str">
        <x:v>Base de fundos | classificação operacional editável</x:v>
      </x:c>
      <x:c r="E2" s="4" t="str">
        <x:v>Base de fundos | classificação operacional editável</x:v>
      </x:c>
      <x:c r="F2" s="4" t="str">
        <x:v>Base de fundos | classificação operacional editável</x:v>
      </x:c>
      <x:c r="G2" s="4" t="str">
        <x:v>Base de fundos | classificação operacional editável</x:v>
      </x:c>
      <x:c r="H2" s="4" t="str">
        <x:v>Base de fundos | classificação operacional editável</x:v>
      </x:c>
      <x:c r="I2" s="4" t="str">
        <x:v>Base de fundos | classificação operacional editável</x:v>
      </x:c>
      <x:c r="J2" s="4" t="str">
        <x:v>Base de fundos | classificação operacional editável</x:v>
      </x:c>
      <x:c r="K2" s="4" t="str">
        <x:v>Base de fundos | classificação operacional editável</x:v>
      </x:c>
      <x:c r="L2" s="4" t="str">
        <x:v>Base de fundos | classificação operacional editável</x:v>
      </x:c>
    </x:row>
    <x:row r="3">
      <x:c r="A3" s="180" t="str">
        <x:v>Coluna E busca a classificação final da gestora. Coluna L é input manual; Multicarteira não é evidência de multicedente/multissacado.</x:v>
      </x:c>
      <x:c r="B3" s="180" t="str">
        <x:v>Coluna E busca a classificação final da gestora. Coluna L é input manual; Multicarteira não é evidência de multicedente/multissacado.</x:v>
      </x:c>
      <x:c r="C3" s="180" t="str">
        <x:v>Coluna E busca a classificação final da gestora. Coluna L é input manual; Multicarteira não é evidência de multicedente/multissacado.</x:v>
      </x:c>
      <x:c r="D3" s="180" t="str">
        <x:v>Coluna E busca a classificação final da gestora. Coluna L é input manual; Multicarteira não é evidência de multicedente/multissacado.</x:v>
      </x:c>
      <x:c r="E3" s="180" t="str">
        <x:v>Coluna E busca a classificação final da gestora. Coluna L é input manual; Multicarteira não é evidência de multicedente/multissacado.</x:v>
      </x:c>
      <x:c r="F3" s="180" t="str">
        <x:v>Coluna E busca a classificação final da gestora. Coluna L é input manual; Multicarteira não é evidência de multicedente/multissacado.</x:v>
      </x:c>
      <x:c r="G3" s="180" t="str">
        <x:v>Coluna E busca a classificação final da gestora. Coluna L é input manual; Multicarteira não é evidência de multicedente/multissacado.</x:v>
      </x:c>
      <x:c r="H3" s="180" t="str">
        <x:v>Coluna E busca a classificação final da gestora. Coluna L é input manual; Multicarteira não é evidência de multicedente/multissacado.</x:v>
      </x:c>
      <x:c r="I3" s="180" t="str">
        <x:v>Coluna E busca a classificação final da gestora. Coluna L é input manual; Multicarteira não é evidência de multicedente/multissacado.</x:v>
      </x:c>
      <x:c r="J3" s="180" t="str">
        <x:v>Coluna E busca a classificação final da gestora. Coluna L é input manual; Multicarteira não é evidência de multicedente/multissacado.</x:v>
      </x:c>
      <x:c r="K3" s="180" t="str">
        <x:v>Coluna E busca a classificação final da gestora. Coluna L é input manual; Multicarteira não é evidência de multicedente/multissacado.</x:v>
      </x:c>
      <x:c r="L3" s="180" t="str">
        <x:v>Coluna E busca a classificação final da gestora. Coluna L é input manual; Multicarteira não é evidência de multicedente/multissacado.</x:v>
      </x:c>
    </x:row>
    <x:row r="4">
      <x:c r="A4" s="211"/>
      <x:c r="B4" s="211"/>
      <x:c r="C4" s="211"/>
      <x:c r="D4" s="211"/>
      <x:c r="E4" s="211"/>
      <x:c r="F4" s="211"/>
      <x:c r="G4" s="211"/>
      <x:c r="H4" s="211"/>
      <x:c r="I4" s="211"/>
      <x:c r="J4" s="211"/>
      <x:c r="K4" s="211"/>
      <x:c r="L4" s="211"/>
    </x:row>
    <x:row r="5" ht="28" customHeight="1">
      <x:c r="A5" s="20" t="str">
        <x:v>CNPJ</x:v>
      </x:c>
      <x:c r="B5" s="21" t="str">
        <x:v>FIDC</x:v>
      </x:c>
      <x:c r="C5" s="21" t="str">
        <x:v>PL (R$)</x:v>
      </x:c>
      <x:c r="D5" s="21" t="str">
        <x:v>Gestora</x:v>
      </x:c>
      <x:c r="E5" s="21" t="str">
        <x:v>Grupo gestora</x:v>
      </x:c>
      <x:c r="F5" s="21" t="str">
        <x:v>Administrador</x:v>
      </x:c>
      <x:c r="G5" s="21" t="str">
        <x:v>Custodiante</x:v>
      </x:c>
      <x:c r="H5" s="21" t="str">
        <x:v>Tipo ANBIMA</x:v>
      </x:c>
      <x:c r="I5" s="21" t="str">
        <x:v>Foco de atuação</x:v>
      </x:c>
      <x:c r="J5" s="21" t="str">
        <x:v>Composição</x:v>
      </x:c>
      <x:c r="K5" s="21" t="str">
        <x:v>Cotistas</x:v>
      </x:c>
      <x:c r="L5" s="22" t="str">
        <x:v>Tipo operacional (editável)</x:v>
      </x:c>
    </x:row>
    <x:row r="6">
      <x:c r="A6" s="174" t="str">
        <x:v>09.195.235/0001-50</x:v>
      </x:c>
      <x:c r="B6" s="165" t="str">
        <x:v>FIDC DO SISTEMA PETROBRAS</x:v>
      </x:c>
      <x:c r="C6" s="187" t="n">
        <x:v>60841973938.88</x:v>
      </x:c>
      <x:c r="D6" s="165" t="str">
        <x:v>BB Asset Management</x:v>
      </x:c>
      <x:c r="E6" s="165" t="str">
        <x:f>IFERROR(INDEX('Classif Gestoras'!$H$6:$H$462,MATCH(D6,'Classif Gestoras'!$A$6:$A$462,0)),"Não classificada")</x:f>
        <x:v>Ligada a banco</x:v>
      </x:c>
      <x:c r="F6" s="165" t="str">
        <x:v>BB Asset Management</x:v>
      </x:c>
      <x:c r="G6" s="165" t="str">
        <x:v>BANCO DO BRASIL S.A.</x:v>
      </x:c>
      <x:c r="H6" s="165" t="str">
        <x:v>Agro, Indústria e Comércio</x:v>
      </x:c>
      <x:c r="I6" s="165" t="str">
        <x:v>Recebíveis Comerciais</x:v>
      </x:c>
      <x:c r="J6" s="165" t="str">
        <x:v>CI</x:v>
      </x:c>
      <x:c r="K6" s="171" t="n">
        <x:v>107</x:v>
      </x:c>
      <x:c r="L6" s="184" t="str">
        <x:v>Não classificado</x:v>
      </x:c>
    </x:row>
    <x:row r="7">
      <x:c r="A7" s="175" t="str">
        <x:v>26.287.464/0001-14</x:v>
      </x:c>
      <x:c r="B7" s="166" t="str">
        <x:v>TAPSO FUNDO DE INVESTIMENTO EM DIREITOS CREDITÓRIOS RESPONSABILIDADE LIMITADA</x:v>
      </x:c>
      <x:c r="C7" s="188" t="n">
        <x:v>40658253334.57001</x:v>
      </x:c>
      <x:c r="D7" s="166" t="str">
        <x:v>Oliveira Trust Servicer</x:v>
      </x:c>
      <x:c r="E7" s="166" t="str">
        <x:f>IFERROR(INDEX('Classif Gestoras'!$H$6:$H$462,MATCH(D7,'Classif Gestoras'!$A$6:$A$462,0)),"Não classificada")</x:f>
        <x:v>Independente</x:v>
      </x:c>
      <x:c r="F7" s="166" t="str">
        <x:v>Oliveira Trust DTVM</x:v>
      </x:c>
      <x:c r="G7" s="166" t="str">
        <x:v>OLIVEIRA TRUST DTVM S.A.</x:v>
      </x:c>
      <x:c r="H7" s="166" t="str">
        <x:v>Financeiro</x:v>
      </x:c>
      <x:c r="I7" s="166" t="str">
        <x:v>Crédito Pessoal</x:v>
      </x:c>
      <x:c r="J7" s="166" t="str">
        <x:v>CI</x:v>
      </x:c>
      <x:c r="K7" s="172" t="n">
        <x:v>10</x:v>
      </x:c>
      <x:c r="L7" s="185" t="str">
        <x:v>Não classificado</x:v>
      </x:c>
    </x:row>
    <x:row r="8">
      <x:c r="A8" s="175" t="str">
        <x:v>62.393.679/0001-83</x:v>
      </x:c>
      <x:c r="B8" s="166" t="str">
        <x:v>CLOUDWALK BELA FUNDO DE INVESTIMENTO EM DIREITOS CREDITÓRIOS SEGMENTO MEIOS DE PAGAMENTO</x:v>
      </x:c>
      <x:c r="C8" s="188" t="n">
        <x:v>9984886329.650003</x:v>
      </x:c>
      <x:c r="D8" s="166" t="str">
        <x:v>Banco Bradesco S/A</x:v>
      </x:c>
      <x:c r="E8" s="166" t="str">
        <x:f>IFERROR(INDEX('Classif Gestoras'!$H$6:$H$462,MATCH(D8,'Classif Gestoras'!$A$6:$A$462,0)),"Não classificada")</x:f>
        <x:v>Ligada a banco</x:v>
      </x:c>
      <x:c r="F8" s="166" t="str">
        <x:v>BEM - DIST. DE TÍTUL</x:v>
      </x:c>
      <x:c r="G8" s="166" t="str">
        <x:v>BANCO BRADESCO S.A.</x:v>
      </x:c>
      <x:c r="H8" s="166" t="str">
        <x:v>Outros</x:v>
      </x:c>
      <x:c r="I8" s="166" t="str">
        <x:v>Multicarteira Outros</x:v>
      </x:c>
      <x:c r="J8" s="166" t="str">
        <x:v>CI</x:v>
      </x:c>
      <x:c r="K8" s="172" t="n">
        <x:v>291</x:v>
      </x:c>
      <x:c r="L8" s="185" t="str">
        <x:v>Não classificado</x:v>
      </x:c>
    </x:row>
    <x:row r="9">
      <x:c r="A9" s="175" t="str">
        <x:v>53.286.499/0001-01</x:v>
      </x:c>
      <x:c r="B9" s="166" t="str">
        <x:v>ITAÚ CRÉDITO PRIVADO FUNDO DE INVESTIMENTO EM DIREITOS CREDITÓRIOS - RESPONSABILIDADE LIMITADA</x:v>
      </x:c>
      <x:c r="C9" s="188" t="n">
        <x:v>8615892918.289999</x:v>
      </x:c>
      <x:c r="D9" s="166" t="str">
        <x:v>ITAU ASSET</x:v>
      </x:c>
      <x:c r="E9" s="166" t="str">
        <x:f>IFERROR(INDEX('Classif Gestoras'!$H$6:$H$462,MATCH(D9,'Classif Gestoras'!$A$6:$A$462,0)),"Não classificada")</x:f>
        <x:v>Ligada a banco</x:v>
      </x:c>
      <x:c r="F9" s="166" t="str">
        <x:v>INTRAG DIST. DE TÍTU</x:v>
      </x:c>
      <x:c r="G9" s="166" t="str">
        <x:v>ITAU UNIBANCO S.A.</x:v>
      </x:c>
      <x:c r="H9" s="166" t="str">
        <x:v>Outros</x:v>
      </x:c>
      <x:c r="I9" s="166" t="str">
        <x:v>Multicarteira Outros</x:v>
      </x:c>
      <x:c r="J9" s="166" t="str">
        <x:v>CI</x:v>
      </x:c>
      <x:c r="K9" s="172" t="n">
        <x:v>4</x:v>
      </x:c>
      <x:c r="L9" s="185" t="str">
        <x:v>Não classificado</x:v>
      </x:c>
    </x:row>
    <x:row r="10">
      <x:c r="A10" s="175" t="str">
        <x:v>52.242.420/0001-88</x:v>
      </x:c>
      <x:c r="B10" s="166" t="str">
        <x:v>BTG PACTUAL CONSIGNADOS II FUNDO DE INVESTIMENTO EM DIREITOS CREDITÓRIOS</x:v>
      </x:c>
      <x:c r="C10" s="188" t="n">
        <x:v>7919216190.97</x:v>
      </x:c>
      <x:c r="D10" s="166" t="str">
        <x:v>Banco BTG Pactual</x:v>
      </x:c>
      <x:c r="E10" s="166" t="str">
        <x:f>IFERROR(INDEX('Classif Gestoras'!$H$6:$H$462,MATCH(D10,'Classif Gestoras'!$A$6:$A$462,0)),"Não classificada")</x:f>
        <x:v>Ligada a banco</x:v>
      </x:c>
      <x:c r="F10" s="166" t="str">
        <x:v>BTG Pactual Servicos Financeiros S/A DTVM</x:v>
      </x:c>
      <x:c r="G10" s="166" t="str">
        <x:v>BANCO BTG PACTUAL S/A</x:v>
      </x:c>
      <x:c r="H10" s="166" t="str">
        <x:v>Financeiro</x:v>
      </x:c>
      <x:c r="I10" s="166" t="str">
        <x:v>Crédito Pessoal</x:v>
      </x:c>
      <x:c r="J10" s="166" t="str">
        <x:v>CI</x:v>
      </x:c>
      <x:c r="K10" s="172" t="n">
        <x:v>1</x:v>
      </x:c>
      <x:c r="L10" s="185" t="str">
        <x:v>Não classificado</x:v>
      </x:c>
    </x:row>
    <x:row r="11">
      <x:c r="A11" s="175" t="str">
        <x:v>63.953.619/0001-30</x:v>
      </x:c>
      <x:c r="B11" s="166" t="str">
        <x:v>CLASSE CONSIGNADO PRIVADO DO MT GLOBAL FUNDO DE INVESTIMENTO EM DIREITOS CREDITÓRIOS RESP LIMITADA</x:v>
      </x:c>
      <x:c r="C11" s="188" t="n">
        <x:v>7778050821.13</x:v>
      </x:c>
      <x:c r="D11" s="166" t="str">
        <x:v>BTG Pactual Asset</x:v>
      </x:c>
      <x:c r="E11" s="166" t="str">
        <x:f>IFERROR(INDEX('Classif Gestoras'!$H$6:$H$462,MATCH(D11,'Classif Gestoras'!$A$6:$A$462,0)),"Não classificada")</x:f>
        <x:v>Ligada a banco</x:v>
      </x:c>
      <x:c r="F11" s="166" t="str">
        <x:v>BTG Pactual Servicos Financeiros S/A DTVM</x:v>
      </x:c>
      <x:c r="G11" s="166" t="str">
        <x:v>BANCO BTG PACTUAL S/A</x:v>
      </x:c>
      <x:c r="H11" s="166" t="str">
        <x:v>Financeiro</x:v>
      </x:c>
      <x:c r="I11" s="166" t="str">
        <x:v>Crédito Consignado</x:v>
      </x:c>
      <x:c r="J11" s="166" t="str">
        <x:v>CI</x:v>
      </x:c>
      <x:c r="K11" s="172" t="n">
        <x:v>5</x:v>
      </x:c>
      <x:c r="L11" s="185" t="str">
        <x:v>Não classificado</x:v>
      </x:c>
    </x:row>
    <x:row r="12">
      <x:c r="A12" s="175" t="str">
        <x:v>28.169.275/0001-72</x:v>
      </x:c>
      <x:c r="B12" s="166" t="str">
        <x:v>FUNDO DE INVESTIMENTO EM DIREITOS CREDITÓRIOS PAGSEGURO I</x:v>
      </x:c>
      <x:c r="C12" s="188" t="n">
        <x:v>6702778917.08</x:v>
      </x:c>
      <x:c r="D12" s="166" t="str">
        <x:v>GENIAL GESTÃO LTDA.</x:v>
      </x:c>
      <x:c r="E12" s="166" t="str">
        <x:f>IFERROR(INDEX('Classif Gestoras'!$H$6:$H$462,MATCH(D12,'Classif Gestoras'!$A$6:$A$462,0)),"Não classificada")</x:f>
        <x:v>Ligada a banco</x:v>
      </x:c>
      <x:c r="F12" s="166" t="str">
        <x:v>Genial Investimentos Corretora de Valores Mobiliários S.A.</x:v>
      </x:c>
      <x:c r="G12" s="166" t="str">
        <x:v>BANCO GENIAL S.A.</x:v>
      </x:c>
      <x:c r="H12" s="166" t="str">
        <x:v>Outros</x:v>
      </x:c>
      <x:c r="I12" s="166" t="str">
        <x:v>Multicarteira Outros</x:v>
      </x:c>
      <x:c r="J12" s="166" t="str">
        <x:v>CI</x:v>
      </x:c>
      <x:c r="K12" s="172" t="n">
        <x:v>4</x:v>
      </x:c>
      <x:c r="L12" s="185" t="str">
        <x:v>Não classificado</x:v>
      </x:c>
    </x:row>
    <x:row r="13">
      <x:c r="A13" s="175" t="str">
        <x:v>26.286.939/0001-58</x:v>
      </x:c>
      <x:c r="B13" s="166" t="str">
        <x:v>CIELO FUNDO DE INVESTIMENTO EM DIREITOS CREDITÓRIOS</x:v>
      </x:c>
      <x:c r="C13" s="188" t="n">
        <x:v>6465712398.18</x:v>
      </x:c>
      <x:c r="D13" s="166" t="str">
        <x:v>Banco Bradesco S/A</x:v>
      </x:c>
      <x:c r="E13" s="166" t="str">
        <x:f>IFERROR(INDEX('Classif Gestoras'!$H$6:$H$462,MATCH(D13,'Classif Gestoras'!$A$6:$A$462,0)),"Não classificada")</x:f>
        <x:v>Ligada a banco</x:v>
      </x:c>
      <x:c r="F13" s="166" t="str">
        <x:v>BEM - DIST. DE TÍTUL</x:v>
      </x:c>
      <x:c r="G13" s="166" t="str">
        <x:v>BANCO BRADESCO S.A.</x:v>
      </x:c>
      <x:c r="H13" s="166" t="str">
        <x:v>Financeiro</x:v>
      </x:c>
      <x:c r="I13" s="166" t="str">
        <x:v>Multicarteira Financeiro</x:v>
      </x:c>
      <x:c r="J13" s="166" t="str">
        <x:v>CI</x:v>
      </x:c>
      <x:c r="K13" s="172" t="n">
        <x:v>61</x:v>
      </x:c>
      <x:c r="L13" s="185" t="str">
        <x:v>Não classificado</x:v>
      </x:c>
    </x:row>
    <x:row r="14">
      <x:c r="A14" s="175" t="str">
        <x:v>50.906.397/0001-53</x:v>
      </x:c>
      <x:c r="B14" s="166" t="str">
        <x:v>BTG PACTUAL CONSIGNADOS FUNDO DE INVESTIMENTO EM DIREITOS CREDITÓRIOS</x:v>
      </x:c>
      <x:c r="C14" s="188" t="n">
        <x:v>5930105860.450001</x:v>
      </x:c>
      <x:c r="D14" s="166" t="str">
        <x:v>Banco BTG Pactual</x:v>
      </x:c>
      <x:c r="E14" s="166" t="str">
        <x:f>IFERROR(INDEX('Classif Gestoras'!$H$6:$H$462,MATCH(D14,'Classif Gestoras'!$A$6:$A$462,0)),"Não classificada")</x:f>
        <x:v>Ligada a banco</x:v>
      </x:c>
      <x:c r="F14" s="166" t="str">
        <x:v>BTG Pactual Servicos Financeiros S/A DTVM</x:v>
      </x:c>
      <x:c r="G14" s="166" t="str">
        <x:v>BANCO BTG PACTUAL S/A</x:v>
      </x:c>
      <x:c r="H14" s="166" t="str">
        <x:v>Financeiro</x:v>
      </x:c>
      <x:c r="I14" s="166" t="str">
        <x:v>Crédito Pessoal</x:v>
      </x:c>
      <x:c r="J14" s="166" t="str">
        <x:v>CI</x:v>
      </x:c>
      <x:c r="K14" s="172" t="n">
        <x:v>1</x:v>
      </x:c>
      <x:c r="L14" s="185" t="str">
        <x:v>Não classificado</x:v>
      </x:c>
    </x:row>
    <x:row r="15">
      <x:c r="A15" s="175" t="str">
        <x:v>29.225.241/0001-10</x:v>
      </x:c>
      <x:c r="B15" s="166" t="str">
        <x:v>FUNDO DE INVESTIMENTO EM DIREITOS CREDITÓRIOS ALTERNATIVE ASSETS III RESPONSABILIDADE LIMITADA</x:v>
      </x:c>
      <x:c r="C15" s="188" t="n">
        <x:v>5765091894.78</x:v>
      </x:c>
      <x:c r="D15" s="166" t="str">
        <x:v>Banco BTG Pactual</x:v>
      </x:c>
      <x:c r="E15" s="166" t="str">
        <x:f>IFERROR(INDEX('Classif Gestoras'!$H$6:$H$462,MATCH(D15,'Classif Gestoras'!$A$6:$A$462,0)),"Não classificada")</x:f>
        <x:v>Ligada a banco</x:v>
      </x:c>
      <x:c r="F15" s="166" t="str">
        <x:v>BTG Pactual Servicos Financeiros S/A DTVM</x:v>
      </x:c>
      <x:c r="G15" s="166" t="str">
        <x:v>BANCO BTG PACTUAL S/A</x:v>
      </x:c>
      <x:c r="H15" s="166" t="str">
        <x:v>Outros</x:v>
      </x:c>
      <x:c r="I15" s="166" t="str">
        <x:v>Multicarteira Outros</x:v>
      </x:c>
      <x:c r="J15" s="166" t="str">
        <x:v>CI</x:v>
      </x:c>
      <x:c r="K15" s="172" t="n">
        <x:v>1</x:v>
      </x:c>
      <x:c r="L15" s="185" t="str">
        <x:v>Não classificado</x:v>
      </x:c>
    </x:row>
    <x:row r="16">
      <x:c r="A16" s="175" t="str">
        <x:v>63.700.113/0001-10</x:v>
      </x:c>
      <x:c r="B16" s="166" t="str">
        <x:v>NC 2025 I FUNDO DE INVESTIMENTO EM DIREITOS CREDITÓRIOS RESPONSABILIDADE LIMITADA</x:v>
      </x:c>
      <x:c r="C16" s="188" t="n">
        <x:v>5655088696.55</x:v>
      </x:c>
      <x:c r="D16" s="166" t="str">
        <x:v>Kanastra</x:v>
      </x:c>
      <x:c r="E16" s="166" t="str">
        <x:f>IFERROR(INDEX('Classif Gestoras'!$H$6:$H$462,MATCH(D16,'Classif Gestoras'!$A$6:$A$462,0)),"Não classificada")</x:f>
        <x:v>Independente</x:v>
      </x:c>
      <x:c r="F16" s="166" t="str">
        <x:v>INTRAG DIST. DE TÍTU</x:v>
      </x:c>
      <x:c r="G16" s="166" t="str">
        <x:v>LIMINE TRUST DISTRIBUIDORA DE TITULOS E VALORES MOBILIARIOS LTDA.</x:v>
      </x:c>
      <x:c r="H16" s="166" t="str">
        <x:v>Outros</x:v>
      </x:c>
      <x:c r="I16" s="166" t="str">
        <x:v>Multicarteira Outros</x:v>
      </x:c>
      <x:c r="J16" s="166" t="str">
        <x:v>CI</x:v>
      </x:c>
      <x:c r="K16" s="172" t="n">
        <x:v>1</x:v>
      </x:c>
      <x:c r="L16" s="185" t="str">
        <x:v>Não classificado</x:v>
      </x:c>
    </x:row>
    <x:row r="17">
      <x:c r="A17" s="175" t="str">
        <x:v>42.922.136/0001-07</x:v>
      </x:c>
      <x:c r="B17" s="166" t="str">
        <x:v>FUNDO DE INVESTIMENTO EM DIREITOS CREDITÓRIOS MONEE I DE RESPONSABILIDADE LIMITADA</x:v>
      </x:c>
      <x:c r="C17" s="188" t="n">
        <x:v>5001607361.66</x:v>
      </x:c>
      <x:c r="D17" s="166" t="str">
        <x:v>VALORA RENDA FIXA LTDA.</x:v>
      </x:c>
      <x:c r="E17" s="166" t="str">
        <x:f>IFERROR(INDEX('Classif Gestoras'!$H$6:$H$462,MATCH(D17,'Classif Gestoras'!$A$6:$A$462,0)),"Não classificada")</x:f>
        <x:v>Independente</x:v>
      </x:c>
      <x:c r="F17" s="166" t="str">
        <x:v>Singulare</x:v>
      </x:c>
      <x:c r="G17" s="166" t="str">
        <x:v>QI CORRETORA DE TÍTULOS E VALORES MOBILIÁRIOS S.A.</x:v>
      </x:c>
      <x:c r="H17" s="166" t="str">
        <x:v>Outros</x:v>
      </x:c>
      <x:c r="I17" s="166" t="str">
        <x:v>Multicarteira Outros</x:v>
      </x:c>
      <x:c r="J17" s="166" t="str">
        <x:v>CI</x:v>
      </x:c>
      <x:c r="K17" s="172" t="n">
        <x:v>2</x:v>
      </x:c>
      <x:c r="L17" s="185" t="str">
        <x:v>Não classificado</x:v>
      </x:c>
    </x:row>
    <x:row r="18">
      <x:c r="A18" s="175" t="str">
        <x:v>32.527.650/0001-86</x:v>
      </x:c>
      <x:c r="B18" s="166" t="str">
        <x:v>FUNDO DE INVESTIMENTO EM DIREITOS CREDITÓRIOS PICPAY I</x:v>
      </x:c>
      <x:c r="C18" s="188" t="n">
        <x:v>4564160454.69</x:v>
      </x:c>
      <x:c r="D18" s="166" t="str">
        <x:v>GENIAL GESTÃO LTDA.</x:v>
      </x:c>
      <x:c r="E18" s="166" t="str">
        <x:f>IFERROR(INDEX('Classif Gestoras'!$H$6:$H$462,MATCH(D18,'Classif Gestoras'!$A$6:$A$462,0)),"Não classificada")</x:f>
        <x:v>Ligada a banco</x:v>
      </x:c>
      <x:c r="F18" s="166" t="str">
        <x:v>Banco Genial S.A.</x:v>
      </x:c>
      <x:c r="G18" s="166" t="str">
        <x:v>BANCO GENIAL S.A.</x:v>
      </x:c>
      <x:c r="H18" s="166" t="str">
        <x:v>Financeiro</x:v>
      </x:c>
      <x:c r="I18" s="166" t="str">
        <x:v>Multicarteira Financeiro</x:v>
      </x:c>
      <x:c r="J18" s="166" t="str">
        <x:v>CI</x:v>
      </x:c>
      <x:c r="K18" s="172" t="n">
        <x:v>2</x:v>
      </x:c>
      <x:c r="L18" s="185" t="str">
        <x:v>Não classificado</x:v>
      </x:c>
    </x:row>
    <x:row r="19">
      <x:c r="A19" s="175" t="str">
        <x:v>50.473.039/0001-02</x:v>
      </x:c>
      <x:c r="B19" s="166" t="str">
        <x:v>SELLER FIDC SEGMENTO MEIOS DE PAGAMENTO DE RESPONSABILIDADE LIMITADA</x:v>
      </x:c>
      <x:c r="C19" s="188" t="n">
        <x:v>3633849616.55</x:v>
      </x:c>
      <x:c r="D19" s="166" t="str">
        <x:v>Oliveira Trust Servicer</x:v>
      </x:c>
      <x:c r="E19" s="166" t="str">
        <x:f>IFERROR(INDEX('Classif Gestoras'!$H$6:$H$462,MATCH(D19,'Classif Gestoras'!$A$6:$A$462,0)),"Não classificada")</x:f>
        <x:v>Independente</x:v>
      </x:c>
      <x:c r="F19" s="166" t="str">
        <x:v>Oliveira Trust DTVM</x:v>
      </x:c>
      <x:c r="G19" s="166" t="str">
        <x:v>OLIVEIRA TRUST DTVM S.A.</x:v>
      </x:c>
      <x:c r="H19" s="166" t="str">
        <x:v>Financeiro</x:v>
      </x:c>
      <x:c r="I19" s="166" t="str">
        <x:v>Crédito Pessoal</x:v>
      </x:c>
      <x:c r="J19" s="166" t="str">
        <x:v>CI</x:v>
      </x:c>
      <x:c r="K19" s="172" t="n">
        <x:v>8</x:v>
      </x:c>
      <x:c r="L19" s="185" t="str">
        <x:v>Não classificado</x:v>
      </x:c>
    </x:row>
    <x:row r="20">
      <x:c r="A20" s="175" t="str">
        <x:v>54.979.779/0001-68</x:v>
      </x:c>
      <x:c r="B20" s="166" t="str">
        <x:v>FIDC ACR BEM BANCOS EMISSORES DE CARTÃO DE CRÉDITO - RESPONSABILIDADE LIMITADA</x:v>
      </x:c>
      <x:c r="C20" s="188" t="n">
        <x:v>3632322735.05</x:v>
      </x:c>
      <x:c r="D20" s="166" t="str">
        <x:v>Banco Bradesco S/A</x:v>
      </x:c>
      <x:c r="E20" s="166" t="str">
        <x:f>IFERROR(INDEX('Classif Gestoras'!$H$6:$H$462,MATCH(D20,'Classif Gestoras'!$A$6:$A$462,0)),"Não classificada")</x:f>
        <x:v>Ligada a banco</x:v>
      </x:c>
      <x:c r="F20" s="166" t="str">
        <x:v>BEM - DIST. DE TÍTUL</x:v>
      </x:c>
      <x:c r="G20" s="166" t="str">
        <x:v>BANCO BRADESCO S.A.</x:v>
      </x:c>
      <x:c r="H20" s="166" t="str">
        <x:v>Financeiro</x:v>
      </x:c>
      <x:c r="I20" s="166" t="str">
        <x:v>Multicarteira Financeiro</x:v>
      </x:c>
      <x:c r="J20" s="166" t="str">
        <x:v>CI</x:v>
      </x:c>
      <x:c r="K20" s="172" t="n">
        <x:v>66</x:v>
      </x:c>
      <x:c r="L20" s="185" t="str">
        <x:v>Não classificado</x:v>
      </x:c>
    </x:row>
    <x:row r="21">
      <x:c r="A21" s="175" t="str">
        <x:v>29.301.202/0001-55</x:v>
      </x:c>
      <x:c r="B21" s="166" t="str">
        <x:v>RSCRED MULTIESTRÉGIA - FUNDO DE INVESTIMENTO EM DIREITOS CREDITÓRIOS NÃO-PADRONIZADOS</x:v>
      </x:c>
      <x:c r="C21" s="188" t="n">
        <x:v>3599995973.4300003</x:v>
      </x:c>
      <x:c r="D21" s="166" t="str">
        <x:v>SECURITY ADMINISTRAD</x:v>
      </x:c>
      <x:c r="E21" s="166" t="str">
        <x:f>IFERROR(INDEX('Classif Gestoras'!$H$6:$H$462,MATCH(D21,'Classif Gestoras'!$A$6:$A$462,0)),"Não classificada")</x:f>
        <x:v>Independente</x:v>
      </x:c>
      <x:c r="F21" s="166" t="str">
        <x:v>RJI Investimentos</x:v>
      </x:c>
      <x:c r="G21" s="166" t="str">
        <x:v>RJI CORRETORA DE TÍTULOS E VALORES MOBILIÁRIOS LTDA.</x:v>
      </x:c>
      <x:c r="H21" s="166" t="str">
        <x:v>Outros</x:v>
      </x:c>
      <x:c r="I21" s="166" t="str">
        <x:v>Multicarteira Outros</x:v>
      </x:c>
      <x:c r="J21" s="166" t="str">
        <x:v>CI</x:v>
      </x:c>
      <x:c r="K21" s="172" t="n">
        <x:v>1</x:v>
      </x:c>
      <x:c r="L21" s="185" t="str">
        <x:v>Não classificado</x:v>
      </x:c>
    </x:row>
    <x:row r="22">
      <x:c r="A22" s="175" t="str">
        <x:v>12.817.329/0001-29</x:v>
      </x:c>
      <x:c r="B22" s="166" t="str">
        <x:v>HAVAN FUNDO DE INVESTIMENTO EM DIREITOS CREDITÓRIOS SEGMENTO ECONÔMICO, FINANCEIRO E COMERCIAL</x:v>
      </x:c>
      <x:c r="C22" s="188" t="n">
        <x:v>3576638053.52</x:v>
      </x:c>
      <x:c r="D22" s="166" t="str">
        <x:v>Petra Capital</x:v>
      </x:c>
      <x:c r="E22" s="166" t="str">
        <x:f>IFERROR(INDEX('Classif Gestoras'!$H$6:$H$462,MATCH(D22,'Classif Gestoras'!$A$6:$A$462,0)),"Não classificada")</x:f>
        <x:v>Independente</x:v>
      </x:c>
      <x:c r="F22" s="166" t="str">
        <x:v>Banco Finaxis S.A.</x:v>
      </x:c>
      <x:c r="G22" s="166" t="str">
        <x:v>BANCO FINAXIS S.A.</x:v>
      </x:c>
      <x:c r="H22" s="166" t="str">
        <x:v>Outros</x:v>
      </x:c>
      <x:c r="I22" s="166" t="str">
        <x:v>Multicarteira Outros</x:v>
      </x:c>
      <x:c r="J22" s="166" t="str">
        <x:v>CI</x:v>
      </x:c>
      <x:c r="K22" s="172" t="n">
        <x:v>1</x:v>
      </x:c>
      <x:c r="L22" s="185" t="str">
        <x:v>Não classificado</x:v>
      </x:c>
    </x:row>
    <x:row r="23">
      <x:c r="A23" s="175" t="str">
        <x:v>53.073.485/0001-00</x:v>
      </x:c>
      <x:c r="B23" s="166" t="str">
        <x:v>EXPERT III FUNDO DE INVESTIMENTO EM DIREITOS CREDITÓRIOS DE RESPONSABILIDADE ILIMITADA</x:v>
      </x:c>
      <x:c r="C23" s="188" t="n">
        <x:v>3548071251.28</x:v>
      </x:c>
      <x:c r="D23" s="166" t="str">
        <x:v>DAYCOVAL ASSET MANAG</x:v>
      </x:c>
      <x:c r="E23" s="166" t="str">
        <x:f>IFERROR(INDEX('Classif Gestoras'!$H$6:$H$462,MATCH(D23,'Classif Gestoras'!$A$6:$A$462,0)),"Não classificada")</x:f>
        <x:v>Ligada a banco</x:v>
      </x:c>
      <x:c r="F23" s="166" t="str">
        <x:v>BANCO DAYCOVAL S/A</x:v>
      </x:c>
      <x:c r="G23" s="166" t="str">
        <x:v>BANCO DAYCOVAL S.A.</x:v>
      </x:c>
      <x:c r="H23" s="166" t="str">
        <x:v>Outros</x:v>
      </x:c>
      <x:c r="I23" s="166" t="str">
        <x:v>Multicarteira Outros</x:v>
      </x:c>
      <x:c r="J23" s="166" t="str">
        <x:v>CI</x:v>
      </x:c>
      <x:c r="K23" s="172" t="n">
        <x:v>6</x:v>
      </x:c>
      <x:c r="L23" s="185" t="str">
        <x:v>Não classificado</x:v>
      </x:c>
    </x:row>
    <x:row r="24">
      <x:c r="A24" s="175" t="str">
        <x:v>21.126.275/0001-46</x:v>
      </x:c>
      <x:c r="B24" s="166" t="str">
        <x:v>VENDA DE VEÍCULOS FUNDO DE INVESTIMENTO EM DIREITOS CREDITÓRIOS</x:v>
      </x:c>
      <x:c r="C24" s="188" t="n">
        <x:v>3492130161.23086</x:v>
      </x:c>
      <x:c r="D24" s="166" t="str">
        <x:v>Integral Investimentos</x:v>
      </x:c>
      <x:c r="E24" s="166" t="str">
        <x:f>IFERROR(INDEX('Classif Gestoras'!$H$6:$H$462,MATCH(D24,'Classif Gestoras'!$A$6:$A$462,0)),"Não classificada")</x:f>
        <x:v>Independente</x:v>
      </x:c>
      <x:c r="F24" s="166" t="str">
        <x:v>S3 Caceis Brasil Distribuidora de Títulos e Valores Mob</x:v>
      </x:c>
      <x:c r="G24" s="166" t="str">
        <x:v>S3 CACEIS BRASIL DISTRIBUIDORA DE TITULOS E VALORES MOBILIARIOS S.A</x:v>
      </x:c>
      <x:c r="H24" s="166" t="str">
        <x:v>Financeiro</x:v>
      </x:c>
      <x:c r="I24" s="166" t="str">
        <x:v>Financiamento de Veículos</x:v>
      </x:c>
      <x:c r="J24" s="166" t="str">
        <x:v>CI</x:v>
      </x:c>
      <x:c r="K24" s="172" t="n">
        <x:v>1</x:v>
      </x:c>
      <x:c r="L24" s="185" t="str">
        <x:v>Não classificado</x:v>
      </x:c>
    </x:row>
    <x:row r="25">
      <x:c r="A25" s="175" t="str">
        <x:v>17.250.006/0001-10</x:v>
      </x:c>
      <x:c r="B25" s="166" t="str">
        <x:v>RED FUNDO DE INVESTIMENTO EM DIREITOS CREDITÓRIOS REAL LP DE RESPONSABILIDADE LIMITADA</x:v>
      </x:c>
      <x:c r="C25" s="188" t="n">
        <x:v>3486489139.6099997</x:v>
      </x:c>
      <x:c r="D25" s="166" t="str">
        <x:v>RedAsset Gestão de Recursos Ltda.</x:v>
      </x:c>
      <x:c r="E25" s="166" t="str">
        <x:f>IFERROR(INDEX('Classif Gestoras'!$H$6:$H$462,MATCH(D25,'Classif Gestoras'!$A$6:$A$462,0)),"Não classificada")</x:f>
        <x:v>Independente</x:v>
      </x:c>
      <x:c r="F25" s="166" t="str">
        <x:v>Finaxis Corretora de Títulos e Valores Mobiliários S.A.</x:v>
      </x:c>
      <x:c r="G25" s="166" t="str">
        <x:v>BANCO FINAXIS S.A.</x:v>
      </x:c>
      <x:c r="H25" s="166" t="str">
        <x:v>Outros</x:v>
      </x:c>
      <x:c r="I25" s="166" t="str">
        <x:v>Multicarteira Outros</x:v>
      </x:c>
      <x:c r="J25" s="166" t="str">
        <x:v>CI</x:v>
      </x:c>
      <x:c r="K25" s="172" t="n">
        <x:v>377</x:v>
      </x:c>
      <x:c r="L25" s="185" t="str">
        <x:v>Não classificado</x:v>
      </x:c>
    </x:row>
    <x:row r="26">
      <x:c r="A26" s="175" t="str">
        <x:v>60.010.416/0001-12</x:v>
      </x:c>
      <x:c r="B26" s="166" t="str">
        <x:v>MT CONSIGNADO PRIVADO I FUNDO DE INVESTIMENTO EM DIREITOS CREDITÓRIOS</x:v>
      </x:c>
      <x:c r="C26" s="188" t="n">
        <x:v>3335552591.2699995</x:v>
      </x:c>
      <x:c r="D26" s="166" t="str">
        <x:v>BTG Pactual Asset</x:v>
      </x:c>
      <x:c r="E26" s="166" t="str">
        <x:f>IFERROR(INDEX('Classif Gestoras'!$H$6:$H$462,MATCH(D26,'Classif Gestoras'!$A$6:$A$462,0)),"Não classificada")</x:f>
        <x:v>Ligada a banco</x:v>
      </x:c>
      <x:c r="F26" s="166" t="str">
        <x:v>BTG Pactual Servicos Financeiros S/A DTVM</x:v>
      </x:c>
      <x:c r="G26" s="166" t="str">
        <x:v>BANCO BTG PACTUAL S/A</x:v>
      </x:c>
      <x:c r="H26" s="166" t="str">
        <x:v>Financeiro</x:v>
      </x:c>
      <x:c r="I26" s="166" t="str">
        <x:v>Crédito Consignado</x:v>
      </x:c>
      <x:c r="J26" s="166" t="str">
        <x:v>CI</x:v>
      </x:c>
      <x:c r="K26" s="172" t="n">
        <x:v>3</x:v>
      </x:c>
      <x:c r="L26" s="185" t="str">
        <x:v>Não classificado</x:v>
      </x:c>
    </x:row>
    <x:row r="27">
      <x:c r="A27" s="175" t="str">
        <x:v>48.349.509/0001-70</x:v>
      </x:c>
      <x:c r="B27" s="166" t="str">
        <x:v>OCCAM CRÉDITO CORPORATIVO 30 FUNDO DE INVESTIMENTO EM DIREITOS CREDITÓRIOS RESPONSABILIDADE LIMITADA</x:v>
      </x:c>
      <x:c r="C27" s="188" t="n">
        <x:v>3329198240.4199996</x:v>
      </x:c>
      <x:c r="D27" s="166" t="str">
        <x:v>NOVA OCCAM BRASIL GESTÃO DE RECURSOS LTDA.</x:v>
      </x:c>
      <x:c r="E27" s="166" t="str">
        <x:f>IFERROR(INDEX('Classif Gestoras'!$H$6:$H$462,MATCH(D27,'Classif Gestoras'!$A$6:$A$462,0)),"Não classificada")</x:f>
        <x:v>Independente</x:v>
      </x:c>
      <x:c r="F27" s="166" t="str">
        <x:v>BNY MELLON SERVICOS</x:v>
      </x:c>
      <x:c r="G27" s="166" t="str">
        <x:v>BNY MELLON BANCO S.A.</x:v>
      </x:c>
      <x:c r="H27" s="166" t="str">
        <x:v>Outros</x:v>
      </x:c>
      <x:c r="I27" s="166" t="str">
        <x:v>Multicarteira Outros</x:v>
      </x:c>
      <x:c r="J27" s="166" t="str">
        <x:v>CI</x:v>
      </x:c>
      <x:c r="K27" s="172" t="n">
        <x:v>5</x:v>
      </x:c>
      <x:c r="L27" s="185" t="str">
        <x:v>Não classificado</x:v>
      </x:c>
    </x:row>
    <x:row r="28">
      <x:c r="A28" s="175" t="str">
        <x:v>60.356.171/0001-80</x:v>
      </x:c>
      <x:c r="B28" s="166" t="str">
        <x:v>CLOUDWALK PI FUNDO DE INVESTIMENTO EM DIREITOS CREDITÓRIOS SEGMENTO MEIOS DE PAGAMENTO</x:v>
      </x:c>
      <x:c r="C28" s="188" t="n">
        <x:v>3252354632.7700005</x:v>
      </x:c>
      <x:c r="D28" s="166" t="str">
        <x:v>BTG Pactual Asset</x:v>
      </x:c>
      <x:c r="E28" s="166" t="str">
        <x:f>IFERROR(INDEX('Classif Gestoras'!$H$6:$H$462,MATCH(D28,'Classif Gestoras'!$A$6:$A$462,0)),"Não classificada")</x:f>
        <x:v>Ligada a banco</x:v>
      </x:c>
      <x:c r="F28" s="166" t="str">
        <x:v>BTG Pactual Servicos Financeiros S/A DTVM</x:v>
      </x:c>
      <x:c r="G28" s="166" t="str">
        <x:v>BANCO BTG PACTUAL S/A</x:v>
      </x:c>
      <x:c r="H28" s="166" t="str">
        <x:v>Financeiro</x:v>
      </x:c>
      <x:c r="I28" s="166" t="str">
        <x:v>Multicarteira Financeiro</x:v>
      </x:c>
      <x:c r="J28" s="166" t="str">
        <x:v>CI</x:v>
      </x:c>
      <x:c r="K28" s="172" t="n">
        <x:v>14</x:v>
      </x:c>
      <x:c r="L28" s="185" t="str">
        <x:v>Não classificado</x:v>
      </x:c>
    </x:row>
    <x:row r="29">
      <x:c r="A29" s="175" t="str">
        <x:v>11.468.186/0001-24</x:v>
      </x:c>
      <x:c r="B29" s="166" t="str">
        <x:v>ATLANTA FUNDO DE INVESTIMENTO EM DIREITOS CREDITÓRIOS DE RESPONSABILIDADE LIMITADA</x:v>
      </x:c>
      <x:c r="C29" s="188" t="n">
        <x:v>3232635081.26</x:v>
      </x:c>
      <x:c r="D29" s="166" t="str">
        <x:v>TERCON ASSET MANAGEMENT</x:v>
      </x:c>
      <x:c r="E29" s="166" t="str">
        <x:f>IFERROR(INDEX('Classif Gestoras'!$H$6:$H$462,MATCH(D29,'Classif Gestoras'!$A$6:$A$462,0)),"Não classificada")</x:f>
        <x:v>Independente</x:v>
      </x:c>
      <x:c r="F29" s="166" t="str">
        <x:v>Singulare</x:v>
      </x:c>
      <x:c r="G29" s="166" t="str">
        <x:v>QI CORRETORA DE TÍTULOS E VALORES MOBILIÁRIOS S.A.</x:v>
      </x:c>
      <x:c r="H29" s="166" t="str">
        <x:v>Fomento Mercantil</x:v>
      </x:c>
      <x:c r="I29" s="166" t="str">
        <x:v>Fomento Mercantil</x:v>
      </x:c>
      <x:c r="J29" s="166" t="str">
        <x:v>CI</x:v>
      </x:c>
      <x:c r="K29" s="172" t="n">
        <x:v>14</x:v>
      </x:c>
      <x:c r="L29" s="185" t="str">
        <x:v>Não classificado</x:v>
      </x:c>
    </x:row>
    <x:row r="30">
      <x:c r="A30" s="175" t="str">
        <x:v>49.826.785/0001-45</x:v>
      </x:c>
      <x:c r="B30" s="166" t="str">
        <x:v>ASA FUNDO DE INVESTIMENTO EM DIREITOS CREDITÓRIOS RESPONSABILIDADE LIMITADA</x:v>
      </x:c>
      <x:c r="C30" s="188" t="n">
        <x:v>3153103544.27</x:v>
      </x:c>
      <x:c r="D30" s="166" t="str">
        <x:v>ASA Investments</x:v>
      </x:c>
      <x:c r="E30" s="166" t="str">
        <x:f>IFERROR(INDEX('Classif Gestoras'!$H$6:$H$462,MATCH(D30,'Classif Gestoras'!$A$6:$A$462,0)),"Não classificada")</x:f>
        <x:v>Independente</x:v>
      </x:c>
      <x:c r="F30" s="166" t="str">
        <x:v>Singulare</x:v>
      </x:c>
      <x:c r="G30" s="166" t="str">
        <x:v>QI CORRETORA DE TÍTULOS E VALORES MOBILIÁRIOS S.A.</x:v>
      </x:c>
      <x:c r="H30" s="166" t="str">
        <x:v>Outros</x:v>
      </x:c>
      <x:c r="I30" s="166" t="str">
        <x:v>Multicarteira Outros</x:v>
      </x:c>
      <x:c r="J30" s="166" t="str">
        <x:v>CI</x:v>
      </x:c>
      <x:c r="K30" s="172" t="n">
        <x:v>6</x:v>
      </x:c>
      <x:c r="L30" s="185" t="str">
        <x:v>Não classificado</x:v>
      </x:c>
    </x:row>
    <x:row r="31">
      <x:c r="A31" s="175" t="str">
        <x:v>07.727.002/0001-26</x:v>
      </x:c>
      <x:c r="B31" s="166" t="str">
        <x:v>FIDC PCG - BRASIL MULTICARTEIRA</x:v>
      </x:c>
      <x:c r="C31" s="188" t="n">
        <x:v>3089535414.12</x:v>
      </x:c>
      <x:c r="D31" s="166" t="str">
        <x:v>Bank of America</x:v>
      </x:c>
      <x:c r="E31" s="166" t="str">
        <x:f>IFERROR(INDEX('Classif Gestoras'!$H$6:$H$462,MATCH(D31,'Classif Gestoras'!$A$6:$A$462,0)),"Não classificada")</x:f>
        <x:v>Ligada a banco</x:v>
      </x:c>
      <x:c r="F31" s="166" t="str">
        <x:v>BEM - DIST. DE TÍTUL</x:v>
      </x:c>
      <x:c r="G31" s="166" t="str">
        <x:v>BANCO BRADESCO S.A.</x:v>
      </x:c>
      <x:c r="H31" s="166" t="str">
        <x:v>Outros</x:v>
      </x:c>
      <x:c r="I31" s="166" t="str">
        <x:v>Multicarteira Outros</x:v>
      </x:c>
      <x:c r="J31" s="166" t="str">
        <x:v>CI</x:v>
      </x:c>
      <x:c r="K31" s="172" t="n">
        <x:v>1</x:v>
      </x:c>
      <x:c r="L31" s="185" t="str">
        <x:v>Não classificado</x:v>
      </x:c>
    </x:row>
    <x:row r="32">
      <x:c r="A32" s="175" t="str">
        <x:v>62.393.829/0001-59</x:v>
      </x:c>
      <x:c r="B32" s="166" t="str">
        <x:v>FUNDO DE INVESTIMENTO EM DIREITOS CREDITÓRIOS COMERCIAIS MEDICI I - RESPONSABILIDADE LIMITADA</x:v>
      </x:c>
      <x:c r="C32" s="188" t="n">
        <x:v>3086961052.2299995</x:v>
      </x:c>
      <x:c r="D32" s="166" t="str">
        <x:v>QI GESTAO DE RECURSOS LTDA</x:v>
      </x:c>
      <x:c r="E32" s="166" t="str">
        <x:f>IFERROR(INDEX('Classif Gestoras'!$H$6:$H$462,MATCH(D32,'Classif Gestoras'!$A$6:$A$462,0)),"Não classificada")</x:f>
        <x:v>Independente</x:v>
      </x:c>
      <x:c r="F32" s="166" t="str">
        <x:v>Singulare</x:v>
      </x:c>
      <x:c r="G32" s="166" t="str">
        <x:v>QI CORRETORA DE TÍTULOS E VALORES MOBILIÁRIOS S.A.</x:v>
      </x:c>
      <x:c r="H32" s="166" t="str">
        <x:v>Fomento Mercantil</x:v>
      </x:c>
      <x:c r="I32" s="166" t="str">
        <x:v>Fomento Mercantil</x:v>
      </x:c>
      <x:c r="J32" s="166" t="str">
        <x:v>CI</x:v>
      </x:c>
      <x:c r="K32" s="172" t="n">
        <x:v>80</x:v>
      </x:c>
      <x:c r="L32" s="185" t="str">
        <x:v>Não classificado</x:v>
      </x:c>
    </x:row>
    <x:row r="33">
      <x:c r="A33" s="175" t="str">
        <x:v>53.029.409/0001-05</x:v>
      </x:c>
      <x:c r="B33" s="166" t="str">
        <x:v>GSR FUNDO DE INVESTIMENTO EM DIREITOS CREDITÓRIOS NÃO PADRONIZADOS</x:v>
      </x:c>
      <x:c r="C33" s="188" t="n">
        <x:v>3033254543.77</x:v>
      </x:c>
      <x:c r="D33" s="166" t="str">
        <x:v>TRUSTEE DTVM</x:v>
      </x:c>
      <x:c r="E33" s="166" t="str">
        <x:f>IFERROR(INDEX('Classif Gestoras'!$H$6:$H$462,MATCH(D33,'Classif Gestoras'!$A$6:$A$462,0)),"Não classificada")</x:f>
        <x:v>Independente</x:v>
      </x:c>
      <x:c r="F33" s="166" t="str">
        <x:v>TRUSTEE DTVM</x:v>
      </x:c>
      <x:c r="G33" s="166" t="str">
        <x:v>TRUSTEE DISTRIBUIDORA DE TITULOS E VALORES MOBILIARIOS LTDA.</x:v>
      </x:c>
      <x:c r="H33" s="166" t="str">
        <x:v>Outros</x:v>
      </x:c>
      <x:c r="I33" s="166" t="str">
        <x:v>Multicarteira Outros</x:v>
      </x:c>
      <x:c r="J33" s="166" t="str">
        <x:v>CI</x:v>
      </x:c>
      <x:c r="K33" s="172" t="n">
        <x:v>1</x:v>
      </x:c>
      <x:c r="L33" s="185" t="str">
        <x:v>Não classificado</x:v>
      </x:c>
    </x:row>
    <x:row r="34">
      <x:c r="A34" s="175" t="str">
        <x:v>11.230.727/0001-81</x:v>
      </x:c>
      <x:c r="B34" s="166" t="str">
        <x:v>FIDC GM - VENDA DE VEÍCULOS</x:v>
      </x:c>
      <x:c r="C34" s="188" t="n">
        <x:v>3014794906.64</x:v>
      </x:c>
      <x:c r="D34" s="166" t="str">
        <x:v>Integral Investimentos</x:v>
      </x:c>
      <x:c r="E34" s="166" t="str">
        <x:f>IFERROR(INDEX('Classif Gestoras'!$H$6:$H$462,MATCH(D34,'Classif Gestoras'!$A$6:$A$462,0)),"Não classificada")</x:f>
        <x:v>Independente</x:v>
      </x:c>
      <x:c r="F34" s="166" t="str">
        <x:v>BEM - DIST. DE TÍTUL</x:v>
      </x:c>
      <x:c r="G34" s="166" t="str">
        <x:v>Não identificado</x:v>
      </x:c>
      <x:c r="H34" s="166" t="str">
        <x:v>Agro, Indústria e Comércio</x:v>
      </x:c>
      <x:c r="I34" s="166" t="str">
        <x:v>Recebíveis Comerciais</x:v>
      </x:c>
      <x:c r="J34" s="166" t="str">
        <x:v>CI</x:v>
      </x:c>
      <x:c r="K34" s="172" t="n">
        <x:v>1</x:v>
      </x:c>
      <x:c r="L34" s="185" t="str">
        <x:v>Não classificado</x:v>
      </x:c>
    </x:row>
    <x:row r="35">
      <x:c r="A35" s="175" t="str">
        <x:v>24.194.675/0001-87</x:v>
      </x:c>
      <x:c r="B35" s="166" t="str">
        <x:v>FUNDO DE INVESTIMENTO EM DIREITOS CREDITÓRIOS ALTERNATIVE ASSETS I RESPONSABILIDADE LIMITADA</x:v>
      </x:c>
      <x:c r="C35" s="188" t="n">
        <x:v>3002544103.7657</x:v>
      </x:c>
      <x:c r="D35" s="166" t="str">
        <x:v>Banco BTG Pactual</x:v>
      </x:c>
      <x:c r="E35" s="166" t="str">
        <x:f>IFERROR(INDEX('Classif Gestoras'!$H$6:$H$462,MATCH(D35,'Classif Gestoras'!$A$6:$A$462,0)),"Não classificada")</x:f>
        <x:v>Ligada a banco</x:v>
      </x:c>
      <x:c r="F35" s="166" t="str">
        <x:v>BTG Pactual Servicos Financeiros S/A DTVM</x:v>
      </x:c>
      <x:c r="G35" s="166" t="str">
        <x:v>BANCO BTG PACTUAL S/A</x:v>
      </x:c>
      <x:c r="H35" s="166" t="str">
        <x:v>Outros</x:v>
      </x:c>
      <x:c r="I35" s="166" t="str">
        <x:v>Multicarteira Outros</x:v>
      </x:c>
      <x:c r="J35" s="166" t="str">
        <x:v>CI</x:v>
      </x:c>
      <x:c r="K35" s="172" t="n">
        <x:v>1</x:v>
      </x:c>
      <x:c r="L35" s="185" t="str">
        <x:v>Não classificado</x:v>
      </x:c>
    </x:row>
    <x:row r="36">
      <x:c r="A36" s="175" t="str">
        <x:v>34.197.588/0001-37</x:v>
      </x:c>
      <x:c r="B36" s="166" t="str">
        <x:v>DAY MAXX 2 FUNDO DE INVESTIMENTO EM DIREITOS CREDITÓRIOS DE RESPONSABILIDADE LIMITADA</x:v>
      </x:c>
      <x:c r="C36" s="188" t="n">
        <x:v>2992222142.8800006</x:v>
      </x:c>
      <x:c r="D36" s="166" t="str">
        <x:v>DAYCOVAL ASSET MANAG</x:v>
      </x:c>
      <x:c r="E36" s="166" t="str">
        <x:f>IFERROR(INDEX('Classif Gestoras'!$H$6:$H$462,MATCH(D36,'Classif Gestoras'!$A$6:$A$462,0)),"Não classificada")</x:f>
        <x:v>Ligada a banco</x:v>
      </x:c>
      <x:c r="F36" s="166" t="str">
        <x:v>BANCO DAYCOVAL S/A</x:v>
      </x:c>
      <x:c r="G36" s="166" t="str">
        <x:v>BANCO DAYCOVAL S.A.</x:v>
      </x:c>
      <x:c r="H36" s="166" t="str">
        <x:v>Outros</x:v>
      </x:c>
      <x:c r="I36" s="166" t="str">
        <x:v>Multicarteira Outros</x:v>
      </x:c>
      <x:c r="J36" s="166" t="str">
        <x:v>CI</x:v>
      </x:c>
      <x:c r="K36" s="172" t="n">
        <x:v>7</x:v>
      </x:c>
      <x:c r="L36" s="185" t="str">
        <x:v>Não classificado</x:v>
      </x:c>
    </x:row>
    <x:row r="37">
      <x:c r="A37" s="175" t="str">
        <x:v>65.976.848/0001-04</x:v>
      </x:c>
      <x:c r="B37" s="166" t="str">
        <x:v>FUNDO DE INVESTIMENTO EM DIREITOS CREDITÓRIOS AGIBANK II RESPONSABILIDADE LIMITADA</x:v>
      </x:c>
      <x:c r="C37" s="188" t="n">
        <x:v>2965169958.4</x:v>
      </x:c>
      <x:c r="D37" s="166" t="str">
        <x:v>Oliveira Trust Servicer</x:v>
      </x:c>
      <x:c r="E37" s="166" t="str">
        <x:f>IFERROR(INDEX('Classif Gestoras'!$H$6:$H$462,MATCH(D37,'Classif Gestoras'!$A$6:$A$462,0)),"Não classificada")</x:f>
        <x:v>Independente</x:v>
      </x:c>
      <x:c r="F37" s="166" t="str">
        <x:v>Oliveira Trust DTVM</x:v>
      </x:c>
      <x:c r="G37" s="166" t="str">
        <x:v>OLIVEIRA TRUST DTVM S.A.</x:v>
      </x:c>
      <x:c r="H37" s="166" t="str">
        <x:v>Financeiro</x:v>
      </x:c>
      <x:c r="I37" s="166" t="str">
        <x:v>Crédito Consignado</x:v>
      </x:c>
      <x:c r="J37" s="166" t="str">
        <x:v>CI</x:v>
      </x:c>
      <x:c r="K37" s="172" t="n">
        <x:v>84</x:v>
      </x:c>
      <x:c r="L37" s="185" t="str">
        <x:v>Não classificado</x:v>
      </x:c>
    </x:row>
    <x:row r="38">
      <x:c r="A38" s="175" t="str">
        <x:v>55.471.753/0001-77</x:v>
      </x:c>
      <x:c r="B38" s="166" t="str">
        <x:v>SELLER II FUNDO DE INVESTIMENTO EM DIREITOS CREDITÓRIOS SEGMENTO MEIOS DE PAGAMENTO RESP LTDA</x:v>
      </x:c>
      <x:c r="C38" s="188" t="n">
        <x:v>2794434432.66</x:v>
      </x:c>
      <x:c r="D38" s="166" t="str">
        <x:v>Oliveira Trust Servicer</x:v>
      </x:c>
      <x:c r="E38" s="166" t="str">
        <x:f>IFERROR(INDEX('Classif Gestoras'!$H$6:$H$462,MATCH(D38,'Classif Gestoras'!$A$6:$A$462,0)),"Não classificada")</x:f>
        <x:v>Independente</x:v>
      </x:c>
      <x:c r="F38" s="166" t="str">
        <x:v>Oliveira Trust DTVM</x:v>
      </x:c>
      <x:c r="G38" s="166" t="str">
        <x:v>OLIVEIRA TRUST DTVM S.A.</x:v>
      </x:c>
      <x:c r="H38" s="166" t="str">
        <x:v>Financeiro</x:v>
      </x:c>
      <x:c r="I38" s="166" t="str">
        <x:v>Crédito Pessoal</x:v>
      </x:c>
      <x:c r="J38" s="166" t="str">
        <x:v>CI</x:v>
      </x:c>
      <x:c r="K38" s="172" t="n">
        <x:v>80</x:v>
      </x:c>
      <x:c r="L38" s="185" t="str">
        <x:v>Não classificado</x:v>
      </x:c>
    </x:row>
    <x:row r="39">
      <x:c r="A39" s="175" t="str">
        <x:v>54.871.427/0001-94</x:v>
      </x:c>
      <x:c r="B39" s="166" t="str">
        <x:v>CONSIGNADO DELTA RECEIVABLES I FUNDO DE INVESTIMENTO EM DIREITOS CREDITÓRIOS</x:v>
      </x:c>
      <x:c r="C39" s="188" t="n">
        <x:v>2688071439.96</x:v>
      </x:c>
      <x:c r="D39" s="166" t="str">
        <x:v>BTG Pactual Asset</x:v>
      </x:c>
      <x:c r="E39" s="166" t="str">
        <x:f>IFERROR(INDEX('Classif Gestoras'!$H$6:$H$462,MATCH(D39,'Classif Gestoras'!$A$6:$A$462,0)),"Não classificada")</x:f>
        <x:v>Ligada a banco</x:v>
      </x:c>
      <x:c r="F39" s="166" t="str">
        <x:v>BTG Pactual Servicos Financeiros S/A DTVM</x:v>
      </x:c>
      <x:c r="G39" s="166" t="str">
        <x:v>BANCO BTG PACTUAL S/A</x:v>
      </x:c>
      <x:c r="H39" s="166" t="str">
        <x:v>Financeiro</x:v>
      </x:c>
      <x:c r="I39" s="166" t="str">
        <x:v>Crédito Pessoal</x:v>
      </x:c>
      <x:c r="J39" s="166" t="str">
        <x:v>CI</x:v>
      </x:c>
      <x:c r="K39" s="172" t="n">
        <x:v>1</x:v>
      </x:c>
      <x:c r="L39" s="185" t="str">
        <x:v>Não classificado</x:v>
      </x:c>
    </x:row>
    <x:row r="40">
      <x:c r="A40" s="175" t="str">
        <x:v>32.321.307/0001-80</x:v>
      </x:c>
      <x:c r="B40" s="166" t="str">
        <x:v>CITY - 02 FUNDO DE INVESTIMENTO EM DIREITOS CREDITÓRIOS NÃO-PADRONIZADOS RESPONSABILIDADE ILIMITADA</x:v>
      </x:c>
      <x:c r="C40" s="188" t="n">
        <x:v>2680834637.2900004</x:v>
      </x:c>
      <x:c r="D40" s="166" t="str">
        <x:v>WNT Gestora de Recursos Ltda.</x:v>
      </x:c>
      <x:c r="E40" s="166" t="str">
        <x:f>IFERROR(INDEX('Classif Gestoras'!$H$6:$H$462,MATCH(D40,'Classif Gestoras'!$A$6:$A$462,0)),"Não classificada")</x:f>
        <x:v>Independente</x:v>
      </x:c>
      <x:c r="F40" s="166" t="str">
        <x:v>SEFER DTVM</x:v>
      </x:c>
      <x:c r="G40" s="166" t="str">
        <x:v>SEFER INVESTIMENTOS DISTRIBUIDORA DE TÍTULOS E VALORES MOBILIÁRIOS LTDA.</x:v>
      </x:c>
      <x:c r="H40" s="166" t="str">
        <x:v>Fomento Mercantil</x:v>
      </x:c>
      <x:c r="I40" s="166" t="str">
        <x:v>Fomento Mercantil</x:v>
      </x:c>
      <x:c r="J40" s="166" t="str">
        <x:v>CI</x:v>
      </x:c>
      <x:c r="K40" s="172" t="n">
        <x:v>1</x:v>
      </x:c>
      <x:c r="L40" s="185" t="str">
        <x:v>Não classificado</x:v>
      </x:c>
    </x:row>
    <x:row r="41">
      <x:c r="A41" s="175" t="str">
        <x:v>52.256.912/0001-22</x:v>
      </x:c>
      <x:c r="B41" s="166" t="str">
        <x:v>FUNDO DE INVESTIMENTO EM DIREITOS CREDITÓRIOS ACR I BANCOS EMISSORES DE CARTÃO DE CRÉDITO RESP LIMI</x:v>
      </x:c>
      <x:c r="C41" s="188" t="n">
        <x:v>2634962130.9999995</x:v>
      </x:c>
      <x:c r="D41" s="166" t="str">
        <x:v>Oliveira Trust Servicer</x:v>
      </x:c>
      <x:c r="E41" s="166" t="str">
        <x:f>IFERROR(INDEX('Classif Gestoras'!$H$6:$H$462,MATCH(D41,'Classif Gestoras'!$A$6:$A$462,0)),"Não classificada")</x:f>
        <x:v>Independente</x:v>
      </x:c>
      <x:c r="F41" s="166" t="str">
        <x:v>Oliveira Trust DTVM</x:v>
      </x:c>
      <x:c r="G41" s="166" t="str">
        <x:v>OLIVEIRA TRUST DTVM S.A.</x:v>
      </x:c>
      <x:c r="H41" s="166" t="str">
        <x:v>Financeiro</x:v>
      </x:c>
      <x:c r="I41" s="166" t="str">
        <x:v>Multicarteira Financeiro</x:v>
      </x:c>
      <x:c r="J41" s="166" t="str">
        <x:v>CI</x:v>
      </x:c>
      <x:c r="K41" s="172" t="n">
        <x:v>4</x:v>
      </x:c>
      <x:c r="L41" s="185" t="str">
        <x:v>Não classificado</x:v>
      </x:c>
    </x:row>
    <x:row r="42">
      <x:c r="A42" s="175" t="str">
        <x:v>26.405.883/0001-03</x:v>
      </x:c>
      <x:c r="B42" s="166" t="str">
        <x:v>FIDC MULTISEGMENTOS NPL IPANEMA VI RESPONSABILIDADE LIMITADA</x:v>
      </x:c>
      <x:c r="C42" s="188" t="n">
        <x:v>2621845896.29</x:v>
      </x:c>
      <x:c r="D42" s="166" t="str">
        <x:v>BRL TRUST DTVM</x:v>
      </x:c>
      <x:c r="E42" s="166" t="str">
        <x:f>IFERROR(INDEX('Classif Gestoras'!$H$6:$H$462,MATCH(D42,'Classif Gestoras'!$A$6:$A$462,0)),"Não classificada")</x:f>
        <x:v>Independente</x:v>
      </x:c>
      <x:c r="F42" s="166" t="str">
        <x:v>BRL TRUST DTVM</x:v>
      </x:c>
      <x:c r="G42" s="166" t="str">
        <x:v>BRL TRUST DISTRIBUIDORA DE TITULOS E VALORES MOBILIARIOS S.A.</x:v>
      </x:c>
      <x:c r="H42" s="166" t="str">
        <x:v>Outros</x:v>
      </x:c>
      <x:c r="I42" s="166" t="str">
        <x:v>Multicarteira Outros</x:v>
      </x:c>
      <x:c r="J42" s="166" t="str">
        <x:v>CI</x:v>
      </x:c>
      <x:c r="K42" s="172" t="n">
        <x:v>1</x:v>
      </x:c>
      <x:c r="L42" s="185" t="str">
        <x:v>Não classificado</x:v>
      </x:c>
    </x:row>
    <x:row r="43">
      <x:c r="A43" s="175" t="str">
        <x:v>63.662.224/0001-89</x:v>
      </x:c>
      <x:c r="B43" s="166" t="str">
        <x:v>FIDC SANTANDER AUTO LOANS I SEGMENTO FINANCEIRO - RESPONSABILIDADE LIMITADA</x:v>
      </x:c>
      <x:c r="C43" s="188" t="n">
        <x:v>2532101392.7200003</x:v>
      </x:c>
      <x:c r="D43" s="166" t="str">
        <x:v>BRL Trust Investimentos LTDA.</x:v>
      </x:c>
      <x:c r="E43" s="166" t="str">
        <x:f>IFERROR(INDEX('Classif Gestoras'!$H$6:$H$462,MATCH(D43,'Classif Gestoras'!$A$6:$A$462,0)),"Não classificada")</x:f>
        <x:v>Independente</x:v>
      </x:c>
      <x:c r="F43" s="166" t="str">
        <x:v>BRL TRUST DTVM</x:v>
      </x:c>
      <x:c r="G43" s="166" t="str">
        <x:v>BRL TRUST DISTRIBUIDORA DE TITULOS E VALORES MOBILIARIOS S.A.</x:v>
      </x:c>
      <x:c r="H43" s="166" t="str">
        <x:v>Financeiro</x:v>
      </x:c>
      <x:c r="I43" s="166" t="str">
        <x:v>Crédito Pessoal</x:v>
      </x:c>
      <x:c r="J43" s="166" t="str">
        <x:v>CI</x:v>
      </x:c>
      <x:c r="K43" s="172" t="n">
        <x:v>129</x:v>
      </x:c>
      <x:c r="L43" s="185" t="str">
        <x:v>Não classificado</x:v>
      </x:c>
    </x:row>
    <x:row r="44">
      <x:c r="A44" s="175" t="str">
        <x:v>20.441.301/0001-68</x:v>
      </x:c>
      <x:c r="B44" s="166" t="str">
        <x:v>ARTESANAL CRÉDITO PRIVADO FUNDO DE INVESTIMENTO EM DIREITOS CREDITÓRIOS - RESPONSABILIDADE LIMITADA</x:v>
      </x:c>
      <x:c r="C44" s="188" t="n">
        <x:v>2526670855.4799995</x:v>
      </x:c>
      <x:c r="D44" s="166" t="str">
        <x:v>Artesanal Investimentos</x:v>
      </x:c>
      <x:c r="E44" s="166" t="str">
        <x:f>IFERROR(INDEX('Classif Gestoras'!$H$6:$H$462,MATCH(D44,'Classif Gestoras'!$A$6:$A$462,0)),"Não classificada")</x:f>
        <x:v>Independente</x:v>
      </x:c>
      <x:c r="F44" s="166" t="str">
        <x:v>Genial Investimentos Corretora de Valores Mobiliários S.A.</x:v>
      </x:c>
      <x:c r="G44" s="166" t="str">
        <x:v>BANCO B3 S.A.</x:v>
      </x:c>
      <x:c r="H44" s="166" t="str">
        <x:v>Outros</x:v>
      </x:c>
      <x:c r="I44" s="166" t="str">
        <x:v>Multicarteira Outros</x:v>
      </x:c>
      <x:c r="J44" s="166" t="str">
        <x:v>CI</x:v>
      </x:c>
      <x:c r="K44" s="172" t="n">
        <x:v>15894</x:v>
      </x:c>
      <x:c r="L44" s="185" t="str">
        <x:v>Não classificado</x:v>
      </x:c>
    </x:row>
    <x:row r="45">
      <x:c r="A45" s="175" t="str">
        <x:v>62.588.266/0001-54</x:v>
      </x:c>
      <x:c r="B45" s="166" t="str">
        <x:v>VTK FUNDO DE INVESTIMENTO EM DIREITOS CREDITÓRIOS RESPONSABILIDADE LIMITADA</x:v>
      </x:c>
      <x:c r="C45" s="188" t="n">
        <x:v>2489808378.68</x:v>
      </x:c>
      <x:c r="D45" s="166" t="str">
        <x:v>Oliveira Trust Servicer</x:v>
      </x:c>
      <x:c r="E45" s="166" t="str">
        <x:f>IFERROR(INDEX('Classif Gestoras'!$H$6:$H$462,MATCH(D45,'Classif Gestoras'!$A$6:$A$462,0)),"Não classificada")</x:f>
        <x:v>Independente</x:v>
      </x:c>
      <x:c r="F45" s="166" t="str">
        <x:v>Oliveira Trust DTVM</x:v>
      </x:c>
      <x:c r="G45" s="166" t="str">
        <x:v>OLIVEIRA TRUST DTVM S.A.</x:v>
      </x:c>
      <x:c r="H45" s="166" t="str">
        <x:v>Financeiro</x:v>
      </x:c>
      <x:c r="I45" s="166" t="str">
        <x:v>Crédito Consignado</x:v>
      </x:c>
      <x:c r="J45" s="166" t="str">
        <x:v>CI</x:v>
      </x:c>
      <x:c r="K45" s="172" t="n">
        <x:v>112</x:v>
      </x:c>
      <x:c r="L45" s="185" t="str">
        <x:v>Não classificado</x:v>
      </x:c>
    </x:row>
    <x:row r="46">
      <x:c r="A46" s="175" t="str">
        <x:v>59.356.753/0001-87</x:v>
      </x:c>
      <x:c r="B46" s="166" t="str">
        <x:v>ER - FUNDO DE INVESTIMENTO EM DIREITOS CREDITÓRIOS RESPONSABILIDADE LIMITADA</x:v>
      </x:c>
      <x:c r="C46" s="188" t="n">
        <x:v>2473695175.65</x:v>
      </x:c>
      <x:c r="D46" s="166" t="str">
        <x:v>VERT Gestora de Recursos Financeiros Ltda.</x:v>
      </x:c>
      <x:c r="E46" s="166" t="str">
        <x:f>IFERROR(INDEX('Classif Gestoras'!$H$6:$H$462,MATCH(D46,'Classif Gestoras'!$A$6:$A$462,0)),"Não classificada")</x:f>
        <x:v>Independente</x:v>
      </x:c>
      <x:c r="F46" s="166" t="str">
        <x:v>VERT Distribuidora de Títulos e Valores Mobiliários Ltd</x:v>
      </x:c>
      <x:c r="G46" s="166" t="str">
        <x:v>VERT DISTRIBUIDORA DE TÍTULOS E VALORES MOBILIÁRIOS LTDA.</x:v>
      </x:c>
      <x:c r="H46" s="166" t="str">
        <x:v>Agro, Indústria e Comércio</x:v>
      </x:c>
      <x:c r="I46" s="166" t="str">
        <x:v>Infraestrutura</x:v>
      </x:c>
      <x:c r="J46" s="166" t="str">
        <x:v>CI</x:v>
      </x:c>
      <x:c r="K46" s="172" t="n">
        <x:v>1</x:v>
      </x:c>
      <x:c r="L46" s="185" t="str">
        <x:v>Não classificado</x:v>
      </x:c>
    </x:row>
    <x:row r="47">
      <x:c r="A47" s="175" t="str">
        <x:v>26.142.862/0001-42</x:v>
      </x:c>
      <x:c r="B47" s="166" t="str">
        <x:v>FUNDO DE INVESTIMENTO EM DIREITOS CREDITÓRIOS CLUBCARD VAREJO - RESPONSABILIDADE LIMITADA</x:v>
      </x:c>
      <x:c r="C47" s="188" t="n">
        <x:v>2450727770.21</x:v>
      </x:c>
      <x:c r="D47" s="166" t="str">
        <x:v>Phronesis Invest.</x:v>
      </x:c>
      <x:c r="E47" s="166" t="str">
        <x:f>IFERROR(INDEX('Classif Gestoras'!$H$6:$H$462,MATCH(D47,'Classif Gestoras'!$A$6:$A$462,0)),"Não classificada")</x:f>
        <x:v>Independente</x:v>
      </x:c>
      <x:c r="F47" s="166" t="str">
        <x:v>BRL TRUST DTVM</x:v>
      </x:c>
      <x:c r="G47" s="166" t="str">
        <x:v>BRL TRUST DISTRIBUIDORA DE TITULOS E VALORES MOBILIARIOS S.A.</x:v>
      </x:c>
      <x:c r="H47" s="166" t="str">
        <x:v>Financeiro</x:v>
      </x:c>
      <x:c r="I47" s="166" t="str">
        <x:v>Multicarteira Financeiro</x:v>
      </x:c>
      <x:c r="J47" s="166" t="str">
        <x:v>CI</x:v>
      </x:c>
      <x:c r="K47" s="172" t="n">
        <x:v>8</x:v>
      </x:c>
      <x:c r="L47" s="185" t="str">
        <x:v>Não classificado</x:v>
      </x:c>
    </x:row>
    <x:row r="48">
      <x:c r="A48" s="175" t="str">
        <x:v>50.095.909/0001-49</x:v>
      </x:c>
      <x:c r="B48" s="166" t="str">
        <x:v>VITA AUTO FUNDO DE INVESTIMENTO EM DIREITOS CREDITÓRIOS</x:v>
      </x:c>
      <x:c r="C48" s="188" t="n">
        <x:v>2442924753.8399997</x:v>
      </x:c>
      <x:c r="D48" s="166" t="str">
        <x:v>Banco Bradesco S/A</x:v>
      </x:c>
      <x:c r="E48" s="166" t="str">
        <x:f>IFERROR(INDEX('Classif Gestoras'!$H$6:$H$462,MATCH(D48,'Classif Gestoras'!$A$6:$A$462,0)),"Não classificada")</x:f>
        <x:v>Ligada a banco</x:v>
      </x:c>
      <x:c r="F48" s="166" t="str">
        <x:v>BEM - DIST. DE TÍTUL</x:v>
      </x:c>
      <x:c r="G48" s="166" t="str">
        <x:v>BANCO BRADESCO S.A.</x:v>
      </x:c>
      <x:c r="H48" s="166" t="str">
        <x:v>Agro, Indústria e Comércio</x:v>
      </x:c>
      <x:c r="I48" s="166" t="str">
        <x:v>Recebíveis Comerciais</x:v>
      </x:c>
      <x:c r="J48" s="166" t="str">
        <x:v>CI</x:v>
      </x:c>
      <x:c r="K48" s="172" t="n">
        <x:v>209</x:v>
      </x:c>
      <x:c r="L48" s="185" t="str">
        <x:v>Não classificado</x:v>
      </x:c>
    </x:row>
    <x:row r="49">
      <x:c r="A49" s="175" t="str">
        <x:v>38.314.763/0001-80</x:v>
      </x:c>
      <x:c r="B49" s="166" t="str">
        <x:v>SOMA III FUNDO DE INVESTIMENTO EM DIREITOS CREDITÓRIOS RESPONSABILIDADE LIMITADA</x:v>
      </x:c>
      <x:c r="C49" s="188" t="n">
        <x:v>2436020062.13</x:v>
      </x:c>
      <x:c r="D49" s="166" t="str">
        <x:v>GENIAL GESTÃO LTDA.</x:v>
      </x:c>
      <x:c r="E49" s="166" t="str">
        <x:f>IFERROR(INDEX('Classif Gestoras'!$H$6:$H$462,MATCH(D49,'Classif Gestoras'!$A$6:$A$462,0)),"Não classificada")</x:f>
        <x:v>Ligada a banco</x:v>
      </x:c>
      <x:c r="F49" s="166" t="str">
        <x:v>Banco Genial S.A.</x:v>
      </x:c>
      <x:c r="G49" s="166" t="str">
        <x:v>BANCO GENIAL S.A.</x:v>
      </x:c>
      <x:c r="H49" s="166" t="str">
        <x:v>Financeiro</x:v>
      </x:c>
      <x:c r="I49" s="166" t="str">
        <x:v>Crédito Pessoal</x:v>
      </x:c>
      <x:c r="J49" s="166" t="str">
        <x:v>CI</x:v>
      </x:c>
      <x:c r="K49" s="172" t="n">
        <x:v>3</x:v>
      </x:c>
      <x:c r="L49" s="185" t="str">
        <x:v>Não classificado</x:v>
      </x:c>
    </x:row>
    <x:row r="50">
      <x:c r="A50" s="175" t="str">
        <x:v>29.492.605/0001-29</x:v>
      </x:c>
      <x:c r="B50" s="166" t="str">
        <x:v>GAZIN FUNDO DE INVESTIMENTO EM DIREITOS CREDITÓRIOS MULTISSEGMENTOS - RESPONSABILIDADE LIMITADA</x:v>
      </x:c>
      <x:c r="C50" s="188" t="n">
        <x:v>2403162273.62</x:v>
      </x:c>
      <x:c r="D50" s="166" t="str">
        <x:v>Petra Capital</x:v>
      </x:c>
      <x:c r="E50" s="166" t="str">
        <x:f>IFERROR(INDEX('Classif Gestoras'!$H$6:$H$462,MATCH(D50,'Classif Gestoras'!$A$6:$A$462,0)),"Não classificada")</x:f>
        <x:v>Independente</x:v>
      </x:c>
      <x:c r="F50" s="166" t="str">
        <x:v>Finaxis Corretora de Títulos e Valores Mobiliários S.A.</x:v>
      </x:c>
      <x:c r="G50" s="166" t="str">
        <x:v>BANCO FINAXIS S.A.</x:v>
      </x:c>
      <x:c r="H50" s="166" t="str">
        <x:v>Agro, Indústria e Comércio</x:v>
      </x:c>
      <x:c r="I50" s="166" t="str">
        <x:v>Multicarteira Agro, Indústria e Comércio</x:v>
      </x:c>
      <x:c r="J50" s="166" t="str">
        <x:v>CI</x:v>
      </x:c>
      <x:c r="K50" s="172" t="n">
        <x:v>5</x:v>
      </x:c>
      <x:c r="L50" s="185" t="str">
        <x:v>Não classificado</x:v>
      </x:c>
    </x:row>
    <x:row r="51">
      <x:c r="A51" s="175" t="str">
        <x:v>60.528.786/0001-46</x:v>
      </x:c>
      <x:c r="B51" s="166" t="str">
        <x:v>FUNDO DE INVESTIMENTO EM DIREITOS CREDITÓRIOS AGIBANK I RESPONSABILIDADE LIMITADA</x:v>
      </x:c>
      <x:c r="C51" s="188" t="n">
        <x:v>2371330642.84</x:v>
      </x:c>
      <x:c r="D51" s="166" t="str">
        <x:v>Oliveira Trust Servicer</x:v>
      </x:c>
      <x:c r="E51" s="166" t="str">
        <x:f>IFERROR(INDEX('Classif Gestoras'!$H$6:$H$462,MATCH(D51,'Classif Gestoras'!$A$6:$A$462,0)),"Não classificada")</x:f>
        <x:v>Independente</x:v>
      </x:c>
      <x:c r="F51" s="166" t="str">
        <x:v>Oliveira Trust DTVM</x:v>
      </x:c>
      <x:c r="G51" s="166" t="str">
        <x:v>OLIVEIRA TRUST DTVM S.A.</x:v>
      </x:c>
      <x:c r="H51" s="166" t="str">
        <x:v>Financeiro</x:v>
      </x:c>
      <x:c r="I51" s="166" t="str">
        <x:v>Crédito Consignado</x:v>
      </x:c>
      <x:c r="J51" s="166" t="str">
        <x:v>CI</x:v>
      </x:c>
      <x:c r="K51" s="172" t="n">
        <x:v>153</x:v>
      </x:c>
      <x:c r="L51" s="185" t="str">
        <x:v>Não classificado</x:v>
      </x:c>
    </x:row>
    <x:row r="52">
      <x:c r="A52" s="175" t="str">
        <x:v>22.128.298/0001-52</x:v>
      </x:c>
      <x:c r="B52" s="166" t="str">
        <x:v>VALORA GUARDIAN MASTER FUNDO DE INVESTIMENTO EM DIREITOS CREDITÓRIOS - RESPONSABILIDADE LIMITADA</x:v>
      </x:c>
      <x:c r="C52" s="188" t="n">
        <x:v>2334995599.1100006</x:v>
      </x:c>
      <x:c r="D52" s="166" t="str">
        <x:v>VALORA RENDA FIXA LTDA.</x:v>
      </x:c>
      <x:c r="E52" s="166" t="str">
        <x:f>IFERROR(INDEX('Classif Gestoras'!$H$6:$H$462,MATCH(D52,'Classif Gestoras'!$A$6:$A$462,0)),"Não classificada")</x:f>
        <x:v>Independente</x:v>
      </x:c>
      <x:c r="F52" s="166" t="str">
        <x:v>BNY MELLON SERVICOS</x:v>
      </x:c>
      <x:c r="G52" s="166" t="str">
        <x:v>Não identificado</x:v>
      </x:c>
      <x:c r="H52" s="166" t="str">
        <x:v>Outros</x:v>
      </x:c>
      <x:c r="I52" s="166" t="str">
        <x:v>Multicarteira Outros</x:v>
      </x:c>
      <x:c r="J52" s="166" t="str">
        <x:v>CIPC</x:v>
      </x:c>
      <x:c r="K52" s="172" t="n">
        <x:v>4</x:v>
      </x:c>
      <x:c r="L52" s="185" t="str">
        <x:v>Não classificado</x:v>
      </x:c>
    </x:row>
    <x:row r="53">
      <x:c r="A53" s="175" t="str">
        <x:v>47.228.232/0001-65</x:v>
      </x:c>
      <x:c r="B53" s="166" t="str">
        <x:v>AGRO FLEX FUNDO DE INVESTIMENTO EM DIREITOS CREDITÓRIOS</x:v>
      </x:c>
      <x:c r="C53" s="188" t="n">
        <x:v>2332130838.94</x:v>
      </x:c>
      <x:c r="D53" s="166" t="str">
        <x:v>Eco Gestão de Ativos LTDA.</x:v>
      </x:c>
      <x:c r="E53" s="166" t="str">
        <x:f>IFERROR(INDEX('Classif Gestoras'!$H$6:$H$462,MATCH(D53,'Classif Gestoras'!$A$6:$A$462,0)),"Não classificada")</x:f>
        <x:v>Independente</x:v>
      </x:c>
      <x:c r="F53" s="166" t="str">
        <x:v>BANCO DAYCOVAL S/A</x:v>
      </x:c>
      <x:c r="G53" s="166" t="str">
        <x:v>BANCO DAYCOVAL S.A.</x:v>
      </x:c>
      <x:c r="H53" s="166" t="str">
        <x:v>Agro, Indústria e Comércio</x:v>
      </x:c>
      <x:c r="I53" s="166" t="str">
        <x:v>Agronegócio</x:v>
      </x:c>
      <x:c r="J53" s="166" t="str">
        <x:v>CI</x:v>
      </x:c>
      <x:c r="K53" s="172" t="n">
        <x:v>7</x:v>
      </x:c>
      <x:c r="L53" s="185" t="str">
        <x:v>Não classificado</x:v>
      </x:c>
    </x:row>
    <x:row r="54">
      <x:c r="A54" s="175" t="str">
        <x:v>42.358.004/0001-96</x:v>
      </x:c>
      <x:c r="B54" s="166" t="str">
        <x:v>ACONCÁGUA FUNDO DE INVESTIMENTO EM DIREITOS CREDITÓRIOS NÃO PADRONIZADOS RESPONSABILIDADE LIMITADA</x:v>
      </x:c>
      <x:c r="C54" s="188" t="n">
        <x:v>2315681365.43</x:v>
      </x:c>
      <x:c r="D54" s="166" t="str">
        <x:v>Acura Gestora de Recursos LTDA.</x:v>
      </x:c>
      <x:c r="E54" s="166" t="str">
        <x:f>IFERROR(INDEX('Classif Gestoras'!$H$6:$H$462,MATCH(D54,'Classif Gestoras'!$A$6:$A$462,0)),"Não classificada")</x:f>
        <x:v>Independente</x:v>
      </x:c>
      <x:c r="F54" s="166" t="str">
        <x:v>SEFER DTVM</x:v>
      </x:c>
      <x:c r="G54" s="166" t="str">
        <x:v>SEFER INVESTIMENTOS DISTRIBUIDORA DE TÍTULOS E VALORES MOBILIÁRIOS LTDA.</x:v>
      </x:c>
      <x:c r="H54" s="166" t="str">
        <x:v>Outros</x:v>
      </x:c>
      <x:c r="I54" s="166" t="str">
        <x:v>Poder Público</x:v>
      </x:c>
      <x:c r="J54" s="166" t="str">
        <x:v>CI</x:v>
      </x:c>
      <x:c r="K54" s="172" t="n">
        <x:v>4</x:v>
      </x:c>
      <x:c r="L54" s="185" t="str">
        <x:v>Não classificado</x:v>
      </x:c>
    </x:row>
    <x:row r="55">
      <x:c r="A55" s="175" t="str">
        <x:v>61.432.674/0001-50</x:v>
      </x:c>
      <x:c r="B55" s="166" t="str">
        <x:v>MARNE FUNDO DE INVESTIMENTO EM DIREITOS CREDITÓRIOS NÃO - PADRONIZADOS</x:v>
      </x:c>
      <x:c r="C55" s="188" t="n">
        <x:v>2229959712.55</x:v>
      </x:c>
      <x:c r="D55" s="166" t="str">
        <x:v>NORTH SEA CAPITAL</x:v>
      </x:c>
      <x:c r="E55" s="166" t="str">
        <x:f>IFERROR(INDEX('Classif Gestoras'!$H$6:$H$462,MATCH(D55,'Classif Gestoras'!$A$6:$A$462,0)),"Não classificada")</x:f>
        <x:v>Independente</x:v>
      </x:c>
      <x:c r="F55" s="166" t="str">
        <x:v>Qore DTVM</x:v>
      </x:c>
      <x:c r="G55" s="166" t="str">
        <x:v>QORE DISTRIBUIDORA DE TÍTULOS E VALORES MOBILIÁRIOS LTDA.</x:v>
      </x:c>
      <x:c r="H55" s="166" t="str">
        <x:v>Outros</x:v>
      </x:c>
      <x:c r="I55" s="166" t="str">
        <x:v>Multicarteira Outros</x:v>
      </x:c>
      <x:c r="J55" s="166" t="str">
        <x:v>CI</x:v>
      </x:c>
      <x:c r="K55" s="172" t="n">
        <x:v>1</x:v>
      </x:c>
      <x:c r="L55" s="185" t="str">
        <x:v>Não classificado</x:v>
      </x:c>
    </x:row>
    <x:row r="56">
      <x:c r="A56" s="175" t="str">
        <x:v>52.651.831/0001-27</x:v>
      </x:c>
      <x:c r="B56" s="166" t="str">
        <x:v>HYUNDAI FUNDO DE INVESTIMENTO EM DIREITOS CREDITÓRIOS</x:v>
      </x:c>
      <x:c r="C56" s="188" t="n">
        <x:v>2159768279.28</x:v>
      </x:c>
      <x:c r="D56" s="166" t="str">
        <x:v>Integral Investimentos</x:v>
      </x:c>
      <x:c r="E56" s="166" t="str">
        <x:f>IFERROR(INDEX('Classif Gestoras'!$H$6:$H$462,MATCH(D56,'Classif Gestoras'!$A$6:$A$462,0)),"Não classificada")</x:f>
        <x:v>Independente</x:v>
      </x:c>
      <x:c r="F56" s="166" t="str">
        <x:v>S3 Caceis Brasil Distribuidora de Títulos e Valores Mob</x:v>
      </x:c>
      <x:c r="G56" s="166" t="str">
        <x:v>Não identificado</x:v>
      </x:c>
      <x:c r="H56" s="166" t="str">
        <x:v>Agro, Indústria e Comércio</x:v>
      </x:c>
      <x:c r="I56" s="166" t="str">
        <x:v>Recebíveis Comerciais</x:v>
      </x:c>
      <x:c r="J56" s="166" t="str">
        <x:v>CI</x:v>
      </x:c>
      <x:c r="K56" s="172" t="n">
        <x:v>1</x:v>
      </x:c>
      <x:c r="L56" s="185" t="str">
        <x:v>Não classificado</x:v>
      </x:c>
    </x:row>
    <x:row r="57">
      <x:c r="A57" s="175" t="str">
        <x:v>44.229.197/0001-00</x:v>
      </x:c>
      <x:c r="B57" s="166" t="str">
        <x:v>EUV SP1 FUNDO DE INVESTIMENTO EM DIREITOS CREDITORIOS</x:v>
      </x:c>
      <x:c r="C57" s="188" t="n">
        <x:v>2159139999.2799997</x:v>
      </x:c>
      <x:c r="D57" s="166" t="str">
        <x:v>EUV CAPITAL</x:v>
      </x:c>
      <x:c r="E57" s="166" t="str">
        <x:f>IFERROR(INDEX('Classif Gestoras'!$H$6:$H$462,MATCH(D57,'Classif Gestoras'!$A$6:$A$462,0)),"Não classificada")</x:f>
        <x:v>Independente</x:v>
      </x:c>
      <x:c r="F57" s="166" t="str">
        <x:v>FIDD DISTRIBUIDORA DE TITULOS E VALORES MOBILIARIOS LTD</x:v>
      </x:c>
      <x:c r="G57" s="166" t="str">
        <x:v>FIDD DISTRIBUIDORA DE TITULOS E VALORES MOBILIARIOS LTDA.</x:v>
      </x:c>
      <x:c r="H57" s="166" t="str">
        <x:v>Fomento Mercantil</x:v>
      </x:c>
      <x:c r="I57" s="166" t="str">
        <x:v>Fomento Mercantil</x:v>
      </x:c>
      <x:c r="J57" s="166" t="str">
        <x:v>CI</x:v>
      </x:c>
      <x:c r="K57" s="172" t="n">
        <x:v>1</x:v>
      </x:c>
      <x:c r="L57" s="185" t="str">
        <x:v>Não classificado</x:v>
      </x:c>
    </x:row>
    <x:row r="58">
      <x:c r="A58" s="175" t="str">
        <x:v>13.321.819/0001-00</x:v>
      </x:c>
      <x:c r="B58" s="166" t="str">
        <x:v>FUNDO DE INVESTIMENTO EM DIREITOS CREDITÓRIOS VALE</x:v>
      </x:c>
      <x:c r="C58" s="188" t="n">
        <x:v>2142684951.8</x:v>
      </x:c>
      <x:c r="D58" s="166" t="str">
        <x:v>Banco Bradesco S/A</x:v>
      </x:c>
      <x:c r="E58" s="166" t="str">
        <x:f>IFERROR(INDEX('Classif Gestoras'!$H$6:$H$462,MATCH(D58,'Classif Gestoras'!$A$6:$A$462,0)),"Não classificada")</x:f>
        <x:v>Ligada a banco</x:v>
      </x:c>
      <x:c r="F58" s="166" t="str">
        <x:v>BEM - DIST. DE TÍTUL</x:v>
      </x:c>
      <x:c r="G58" s="166" t="str">
        <x:v>BANCO BRADESCO S.A.</x:v>
      </x:c>
      <x:c r="H58" s="166" t="str">
        <x:v>Outros</x:v>
      </x:c>
      <x:c r="I58" s="166" t="str">
        <x:v>Multicarteira Outros</x:v>
      </x:c>
      <x:c r="J58" s="166" t="str">
        <x:v>CI</x:v>
      </x:c>
      <x:c r="K58" s="172" t="n">
        <x:v>6</x:v>
      </x:c>
      <x:c r="L58" s="185" t="str">
        <x:v>Não classificado</x:v>
      </x:c>
    </x:row>
    <x:row r="59">
      <x:c r="A59" s="175" t="str">
        <x:v>57.719.370/0001-09</x:v>
      </x:c>
      <x:c r="B59" s="166" t="str">
        <x:v>RSG FUNDO DE INVESTIMENTO EM DIREITOS CREDITÓRIOS</x:v>
      </x:c>
      <x:c r="C59" s="188" t="n">
        <x:v>2140828486</x:v>
      </x:c>
      <x:c r="D59" s="166" t="str">
        <x:v>Versal Finance Gestão de Recursos LTDA.</x:v>
      </x:c>
      <x:c r="E59" s="166" t="str">
        <x:f>IFERROR(INDEX('Classif Gestoras'!$H$6:$H$462,MATCH(D59,'Classif Gestoras'!$A$6:$A$462,0)),"Não classificada")</x:f>
        <x:v>Independente</x:v>
      </x:c>
      <x:c r="F59" s="166" t="str">
        <x:v>Banvox DTVM</x:v>
      </x:c>
      <x:c r="G59" s="166" t="str">
        <x:v>BANVOX DISTRIBUIDORA DE TITULOS E VALORES MOBILIARIOS LTDA</x:v>
      </x:c>
      <x:c r="H59" s="166" t="str">
        <x:v>Outros</x:v>
      </x:c>
      <x:c r="I59" s="166" t="str">
        <x:v>Multicarteira Outros</x:v>
      </x:c>
      <x:c r="J59" s="166" t="str">
        <x:v>CI</x:v>
      </x:c>
      <x:c r="K59" s="172" t="n">
        <x:v>2</x:v>
      </x:c>
      <x:c r="L59" s="185" t="str">
        <x:v>Não classificado</x:v>
      </x:c>
    </x:row>
    <x:row r="60">
      <x:c r="A60" s="175" t="str">
        <x:v>42.154.687/0001-60</x:v>
      </x:c>
      <x:c r="B60" s="166" t="str">
        <x:v>MULTIPLIKE PLUS FUNDO DE INVESTIMENTO EM DIREITOS CREDITÓRIOS</x:v>
      </x:c>
      <x:c r="C60" s="188" t="n">
        <x:v>2133238063.5699997</x:v>
      </x:c>
      <x:c r="D60" s="166" t="str">
        <x:v>Multiplike Gestão de Recursos Ltda</x:v>
      </x:c>
      <x:c r="E60" s="166" t="str">
        <x:f>IFERROR(INDEX('Classif Gestoras'!$H$6:$H$462,MATCH(D60,'Classif Gestoras'!$A$6:$A$462,0)),"Não classificada")</x:f>
        <x:v>Independente</x:v>
      </x:c>
      <x:c r="F60" s="166" t="str">
        <x:v>Singulare</x:v>
      </x:c>
      <x:c r="G60" s="166" t="str">
        <x:v>QI CORRETORA DE TÍTULOS E VALORES MOBILIÁRIOS S.A.</x:v>
      </x:c>
      <x:c r="H60" s="166" t="str">
        <x:v>Fomento Mercantil</x:v>
      </x:c>
      <x:c r="I60" s="166" t="str">
        <x:v>Fomento Mercantil</x:v>
      </x:c>
      <x:c r="J60" s="166" t="str">
        <x:v>CI</x:v>
      </x:c>
      <x:c r="K60" s="172" t="n">
        <x:v>268</x:v>
      </x:c>
      <x:c r="L60" s="185" t="str">
        <x:v>Não classificado</x:v>
      </x:c>
    </x:row>
    <x:row r="61">
      <x:c r="A61" s="175" t="str">
        <x:v>49.306.883/0001-51</x:v>
      </x:c>
      <x:c r="B61" s="166" t="str">
        <x:v>TM FUNDO DE INVESTIMENTO EM DIREITOS CREDITÓRIOS</x:v>
      </x:c>
      <x:c r="C61" s="188" t="n">
        <x:v>2095421687.34</x:v>
      </x:c>
      <x:c r="D61" s="166" t="str">
        <x:v>NEBRASKA CAPITAL</x:v>
      </x:c>
      <x:c r="E61" s="166" t="str">
        <x:f>IFERROR(INDEX('Classif Gestoras'!$H$6:$H$462,MATCH(D61,'Classif Gestoras'!$A$6:$A$462,0)),"Não classificada")</x:f>
        <x:v>Independente</x:v>
      </x:c>
      <x:c r="F61" s="166" t="str">
        <x:v>BTG Pactual Servicos Financeiros S/A DTVM</x:v>
      </x:c>
      <x:c r="G61" s="166" t="str">
        <x:v>BANCO BTG PACTUAL S/A</x:v>
      </x:c>
      <x:c r="H61" s="166" t="str">
        <x:v>Outros</x:v>
      </x:c>
      <x:c r="I61" s="166" t="str">
        <x:v>Multicarteira Outros</x:v>
      </x:c>
      <x:c r="J61" s="166" t="str">
        <x:v>CI</x:v>
      </x:c>
      <x:c r="K61" s="172" t="n">
        <x:v>1</x:v>
      </x:c>
      <x:c r="L61" s="185" t="str">
        <x:v>Não classificado</x:v>
      </x:c>
    </x:row>
    <x:row r="62">
      <x:c r="A62" s="175" t="str">
        <x:v>40.801.446/0001-30</x:v>
      </x:c>
      <x:c r="B62" s="166" t="str">
        <x:v>EB VESTA FUNDO DE INVESTIMENTO EM DIREITOS CREDITÓRIOS RESPONSABILIDADE LIMITADA</x:v>
      </x:c>
      <x:c r="C62" s="188" t="n">
        <x:v>2084491053.13</x:v>
      </x:c>
      <x:c r="D62" s="166" t="str">
        <x:v>EB CAPITAL CRÉDITO AGRO LTDA.</x:v>
      </x:c>
      <x:c r="E62" s="166" t="str">
        <x:f>IFERROR(INDEX('Classif Gestoras'!$H$6:$H$462,MATCH(D62,'Classif Gestoras'!$A$6:$A$462,0)),"Não classificada")</x:f>
        <x:v>Independente</x:v>
      </x:c>
      <x:c r="F62" s="166" t="str">
        <x:v>Banco Genial S.A.</x:v>
      </x:c>
      <x:c r="G62" s="166" t="str">
        <x:v>BANCO GENIAL S.A.</x:v>
      </x:c>
      <x:c r="H62" s="166" t="str">
        <x:v>Outros</x:v>
      </x:c>
      <x:c r="I62" s="166" t="str">
        <x:v>Multicarteira Outros</x:v>
      </x:c>
      <x:c r="J62" s="166" t="str">
        <x:v>CI</x:v>
      </x:c>
      <x:c r="K62" s="172" t="n">
        <x:v>11</x:v>
      </x:c>
      <x:c r="L62" s="185" t="str">
        <x:v>Não classificado</x:v>
      </x:c>
    </x:row>
    <x:row r="63">
      <x:c r="A63" s="175" t="str">
        <x:v>50.114.948/0001-46</x:v>
      </x:c>
      <x:c r="B63" s="166" t="str">
        <x:v>DRIVER BRASIL SIX BANCO VOLKSWAGEN FIDC FINANCIAMENTO DE VEÍCULOS - RESPONSABILIDADE LIMITADA</x:v>
      </x:c>
      <x:c r="C63" s="188" t="n">
        <x:v>2068830396.33</x:v>
      </x:c>
      <x:c r="D63" s="166" t="str">
        <x:v>Banco Bradesco S/A</x:v>
      </x:c>
      <x:c r="E63" s="166" t="str">
        <x:f>IFERROR(INDEX('Classif Gestoras'!$H$6:$H$462,MATCH(D63,'Classif Gestoras'!$A$6:$A$462,0)),"Não classificada")</x:f>
        <x:v>Ligada a banco</x:v>
      </x:c>
      <x:c r="F63" s="166" t="str">
        <x:v>BEM - DIST. DE TÍTUL</x:v>
      </x:c>
      <x:c r="G63" s="166" t="str">
        <x:v>BANCO BRADESCO S.A.</x:v>
      </x:c>
      <x:c r="H63" s="166" t="str">
        <x:v>Financeiro</x:v>
      </x:c>
      <x:c r="I63" s="166" t="str">
        <x:v>Financiamento de Veículos</x:v>
      </x:c>
      <x:c r="J63" s="166" t="str">
        <x:v>CI</x:v>
      </x:c>
      <x:c r="K63" s="172" t="n">
        <x:v>74</x:v>
      </x:c>
      <x:c r="L63" s="185" t="str">
        <x:v>Não classificado</x:v>
      </x:c>
    </x:row>
    <x:row r="64">
      <x:c r="A64" s="175" t="str">
        <x:v>62.838.025/0001-16</x:v>
      </x:c>
      <x:c r="B64" s="166" t="str">
        <x:v>ENDURANCE FUNDO DE INVESTIMENTO EM DIREITOS CREDITÓRIOS RESPONSABILIDADE LIMITADA</x:v>
      </x:c>
      <x:c r="C64" s="188" t="n">
        <x:v>2006132547.32</x:v>
      </x:c>
      <x:c r="D64" s="166" t="str">
        <x:v>Kanastra</x:v>
      </x:c>
      <x:c r="E64" s="166" t="str">
        <x:f>IFERROR(INDEX('Classif Gestoras'!$H$6:$H$462,MATCH(D64,'Classif Gestoras'!$A$6:$A$462,0)),"Não classificada")</x:f>
        <x:v>Independente</x:v>
      </x:c>
      <x:c r="F64" s="166" t="str">
        <x:v>INTRAG DIST. DE TÍTU</x:v>
      </x:c>
      <x:c r="G64" s="166" t="str">
        <x:v>LIMINE TRUST DISTRIBUIDORA DE TITULOS E VALORES MOBILIARIOS LTDA.</x:v>
      </x:c>
      <x:c r="H64" s="166" t="str">
        <x:v>Outros</x:v>
      </x:c>
      <x:c r="I64" s="166" t="str">
        <x:v>Multicarteira Outros</x:v>
      </x:c>
      <x:c r="J64" s="166" t="str">
        <x:v>CI</x:v>
      </x:c>
      <x:c r="K64" s="172" t="n">
        <x:v>2</x:v>
      </x:c>
      <x:c r="L64" s="185" t="str">
        <x:v>Não classificado</x:v>
      </x:c>
    </x:row>
    <x:row r="65">
      <x:c r="A65" s="175" t="str">
        <x:v>42.449.510/0001-90</x:v>
      </x:c>
      <x:c r="B65" s="166" t="str">
        <x:v>MONTENEGRO FUNDO DE INVESTIMENTO EM DIREITOS CREDITÓRIOS</x:v>
      </x:c>
      <x:c r="C65" s="188" t="n">
        <x:v>1971146549.17</x:v>
      </x:c>
      <x:c r="D65" s="166" t="str">
        <x:v>Versal Finance Gestão de Recursos LTDA.</x:v>
      </x:c>
      <x:c r="E65" s="166" t="str">
        <x:f>IFERROR(INDEX('Classif Gestoras'!$H$6:$H$462,MATCH(D65,'Classif Gestoras'!$A$6:$A$462,0)),"Não classificada")</x:f>
        <x:v>Independente</x:v>
      </x:c>
      <x:c r="F65" s="166" t="str">
        <x:v>TRUSTEE DTVM</x:v>
      </x:c>
      <x:c r="G65" s="166" t="str">
        <x:v>TRUSTEE DISTRIBUIDORA DE TITULOS E VALORES MOBILIARIOS LTDA.</x:v>
      </x:c>
      <x:c r="H65" s="166" t="str">
        <x:v>Outros</x:v>
      </x:c>
      <x:c r="I65" s="166" t="str">
        <x:v>Multicarteira Outros</x:v>
      </x:c>
      <x:c r="J65" s="166" t="str">
        <x:v>CI</x:v>
      </x:c>
      <x:c r="K65" s="172" t="n">
        <x:v>1</x:v>
      </x:c>
      <x:c r="L65" s="185" t="str">
        <x:v>Não classificado</x:v>
      </x:c>
    </x:row>
    <x:row r="66">
      <x:c r="A66" s="175" t="str">
        <x:v>61.652.768/0001-34</x:v>
      </x:c>
      <x:c r="B66" s="166" t="str">
        <x:v>FUNDO DE INVESTIMENTO EM DIREITOS CREDITÓRIOS DRIVER MASTER BRASIL I - RESP LIMITADA</x:v>
      </x:c>
      <x:c r="C66" s="188" t="n">
        <x:v>1949628264.9</x:v>
      </x:c>
      <x:c r="D66" s="166" t="str">
        <x:v>Banco Bradesco S/A</x:v>
      </x:c>
      <x:c r="E66" s="166" t="str">
        <x:f>IFERROR(INDEX('Classif Gestoras'!$H$6:$H$462,MATCH(D66,'Classif Gestoras'!$A$6:$A$462,0)),"Não classificada")</x:f>
        <x:v>Ligada a banco</x:v>
      </x:c>
      <x:c r="F66" s="166" t="str">
        <x:v>BEM - DIST. DE TÍTUL</x:v>
      </x:c>
      <x:c r="G66" s="166" t="str">
        <x:v>BANCO BRADESCO S.A.</x:v>
      </x:c>
      <x:c r="H66" s="166" t="str">
        <x:v>Financeiro</x:v>
      </x:c>
      <x:c r="I66" s="166" t="str">
        <x:v>Financiamento de Veículos</x:v>
      </x:c>
      <x:c r="J66" s="166" t="str">
        <x:v>CI</x:v>
      </x:c>
      <x:c r="K66" s="172" t="n">
        <x:v>2</x:v>
      </x:c>
      <x:c r="L66" s="185" t="str">
        <x:v>Não classificado</x:v>
      </x:c>
    </x:row>
    <x:row r="67">
      <x:c r="A67" s="175" t="str">
        <x:v>23.216.398/0001-01</x:v>
      </x:c>
      <x:c r="B67" s="166" t="str">
        <x:v>MULTIPLICA FUNDO DE INVESTIMENTO EM DIREITOS CREDITÓRIOS</x:v>
      </x:c>
      <x:c r="C67" s="188" t="n">
        <x:v>1917489050.13</x:v>
      </x:c>
      <x:c r="D67" s="166" t="str">
        <x:v>Multiplica Capital</x:v>
      </x:c>
      <x:c r="E67" s="166" t="str">
        <x:f>IFERROR(INDEX('Classif Gestoras'!$H$6:$H$462,MATCH(D67,'Classif Gestoras'!$A$6:$A$462,0)),"Não classificada")</x:f>
        <x:v>Independente</x:v>
      </x:c>
      <x:c r="F67" s="166" t="str">
        <x:v>Singulare</x:v>
      </x:c>
      <x:c r="G67" s="166" t="str">
        <x:v>QI CORRETORA DE TÍTULOS E VALORES MOBILIÁRIOS S.A.</x:v>
      </x:c>
      <x:c r="H67" s="166" t="str">
        <x:v>Fomento Mercantil</x:v>
      </x:c>
      <x:c r="I67" s="166" t="str">
        <x:v>Fomento Mercantil</x:v>
      </x:c>
      <x:c r="J67" s="166" t="str">
        <x:v>CI</x:v>
      </x:c>
      <x:c r="K67" s="172" t="n">
        <x:v>855</x:v>
      </x:c>
      <x:c r="L67" s="185" t="str">
        <x:v>Não classificado</x:v>
      </x:c>
    </x:row>
    <x:row r="68">
      <x:c r="A68" s="175" t="str">
        <x:v>53.841.740/0001-17</x:v>
      </x:c>
      <x:c r="B68" s="166" t="str">
        <x:v>FUNDO DE INVESTIMENTO EM DIREITOS CREDITÓRIOS CRÉDITO CONSIGNADO PRIVADO PAKETÁ DE RESPONSABILID</x:v>
      </x:c>
      <x:c r="C68" s="188" t="n">
        <x:v>1914975394.96113</x:v>
      </x:c>
      <x:c r="D68" s="166" t="str">
        <x:v>Riza Securitização e Carteiras</x:v>
      </x:c>
      <x:c r="E68" s="166" t="str">
        <x:f>IFERROR(INDEX('Classif Gestoras'!$H$6:$H$462,MATCH(D68,'Classif Gestoras'!$A$6:$A$462,0)),"Não classificada")</x:f>
        <x:v>Independente</x:v>
      </x:c>
      <x:c r="F68" s="166" t="str">
        <x:v>Singulare</x:v>
      </x:c>
      <x:c r="G68" s="166" t="str">
        <x:v>QI CORRETORA DE TÍTULOS E VALORES MOBILIÁRIOS S.A.</x:v>
      </x:c>
      <x:c r="H68" s="166" t="str">
        <x:v>Financeiro</x:v>
      </x:c>
      <x:c r="I68" s="166" t="str">
        <x:v>Crédito Consignado</x:v>
      </x:c>
      <x:c r="J68" s="166" t="str">
        <x:v>CI</x:v>
      </x:c>
      <x:c r="K68" s="172" t="n">
        <x:v>194</x:v>
      </x:c>
      <x:c r="L68" s="185" t="str">
        <x:v>Não classificado</x:v>
      </x:c>
    </x:row>
    <x:row r="69">
      <x:c r="A69" s="175" t="str">
        <x:v>43.489.824/0001-80</x:v>
      </x:c>
      <x:c r="B69" s="166" t="str">
        <x:v>FUNDO DE INVESTIMENTO EM DIREITOS CREDITÓRIOS COMPLEMENTAR AUTO-FORD</x:v>
      </x:c>
      <x:c r="C69" s="188" t="n">
        <x:v>1862200441.55</x:v>
      </x:c>
      <x:c r="D69" s="166" t="str">
        <x:v>Banco Bradesco S/A</x:v>
      </x:c>
      <x:c r="E69" s="166" t="str">
        <x:f>IFERROR(INDEX('Classif Gestoras'!$H$6:$H$462,MATCH(D69,'Classif Gestoras'!$A$6:$A$462,0)),"Não classificada")</x:f>
        <x:v>Ligada a banco</x:v>
      </x:c>
      <x:c r="F69" s="166" t="str">
        <x:v>BEM - DIST. DE TÍTUL</x:v>
      </x:c>
      <x:c r="G69" s="166" t="str">
        <x:v>BANCO BRADESCO S.A.</x:v>
      </x:c>
      <x:c r="H69" s="166" t="str">
        <x:v>Financeiro</x:v>
      </x:c>
      <x:c r="I69" s="166" t="str">
        <x:v>Financiamento de Veículos</x:v>
      </x:c>
      <x:c r="J69" s="166" t="str">
        <x:v>CI</x:v>
      </x:c>
      <x:c r="K69" s="172" t="n">
        <x:v>1</x:v>
      </x:c>
      <x:c r="L69" s="185" t="str">
        <x:v>Não classificado</x:v>
      </x:c>
    </x:row>
    <x:row r="70">
      <x:c r="A70" s="175" t="str">
        <x:v>24.504.464/0001-01</x:v>
      </x:c>
      <x:c r="B70" s="166" t="str">
        <x:v>IOX II FUNDO DE INVESTIMENTO EM DIREITOS CREDITÓRIOS DE RESPONSABILIDADE LIMITADA</x:v>
      </x:c>
      <x:c r="C70" s="188" t="n">
        <x:v>1860240578.91</x:v>
      </x:c>
      <x:c r="D70" s="166" t="str">
        <x:v>TERCON ASSET MANAGEMENT</x:v>
      </x:c>
      <x:c r="E70" s="166" t="str">
        <x:f>IFERROR(INDEX('Classif Gestoras'!$H$6:$H$462,MATCH(D70,'Classif Gestoras'!$A$6:$A$462,0)),"Não classificada")</x:f>
        <x:v>Independente</x:v>
      </x:c>
      <x:c r="F70" s="166" t="str">
        <x:v>Singulare</x:v>
      </x:c>
      <x:c r="G70" s="166" t="str">
        <x:v>QI CORRETORA DE TÍTULOS E VALORES MOBILIÁRIOS S.A.</x:v>
      </x:c>
      <x:c r="H70" s="166" t="str">
        <x:v>Fomento Mercantil</x:v>
      </x:c>
      <x:c r="I70" s="166" t="str">
        <x:v>Fomento Mercantil</x:v>
      </x:c>
      <x:c r="J70" s="166" t="str">
        <x:v>CI</x:v>
      </x:c>
      <x:c r="K70" s="172" t="n">
        <x:v>241</x:v>
      </x:c>
      <x:c r="L70" s="185" t="str">
        <x:v>Não classificado</x:v>
      </x:c>
    </x:row>
    <x:row r="71">
      <x:c r="A71" s="175" t="str">
        <x:v>28.279.473/0001-99</x:v>
      </x:c>
      <x:c r="B71" s="166" t="str">
        <x:v>FUNDO DE INVESTIMENTO EM DIREITOS CREDITÓRIOS AUTO-HONDA</x:v>
      </x:c>
      <x:c r="C71" s="188" t="n">
        <x:v>1855063946.1</x:v>
      </x:c>
      <x:c r="D71" s="166" t="str">
        <x:v>Banco Bradesco S/A</x:v>
      </x:c>
      <x:c r="E71" s="166" t="str">
        <x:f>IFERROR(INDEX('Classif Gestoras'!$H$6:$H$462,MATCH(D71,'Classif Gestoras'!$A$6:$A$462,0)),"Não classificada")</x:f>
        <x:v>Ligada a banco</x:v>
      </x:c>
      <x:c r="F71" s="166" t="str">
        <x:v>BEM - DIST. DE TÍTUL</x:v>
      </x:c>
      <x:c r="G71" s="166" t="str">
        <x:v>BANCO BRADESCO S.A.</x:v>
      </x:c>
      <x:c r="H71" s="166" t="str">
        <x:v>Agro, Indústria e Comércio</x:v>
      </x:c>
      <x:c r="I71" s="166" t="str">
        <x:v>Recebíveis Comerciais</x:v>
      </x:c>
      <x:c r="J71" s="166" t="str">
        <x:v>CI</x:v>
      </x:c>
      <x:c r="K71" s="172" t="n">
        <x:v>94</x:v>
      </x:c>
      <x:c r="L71" s="185" t="str">
        <x:v>Não classificado</x:v>
      </x:c>
    </x:row>
    <x:row r="72">
      <x:c r="A72" s="175" t="str">
        <x:v>63.572.282/0001-11</x:v>
      </x:c>
      <x:c r="B72" s="166" t="str">
        <x:v>SELLER 3 FUNDO DE INVESTIMENTO EM DIREITOS CREDITÓRIOS SEGMENTO MEIOS DE PAGAMENTO DE RESP LIMITADA</x:v>
      </x:c>
      <x:c r="C72" s="188" t="n">
        <x:v>1836029965.8</x:v>
      </x:c>
      <x:c r="D72" s="166" t="str">
        <x:v>Oliveira Trust Servicer</x:v>
      </x:c>
      <x:c r="E72" s="166" t="str">
        <x:f>IFERROR(INDEX('Classif Gestoras'!$H$6:$H$462,MATCH(D72,'Classif Gestoras'!$A$6:$A$462,0)),"Não classificada")</x:f>
        <x:v>Independente</x:v>
      </x:c>
      <x:c r="F72" s="166" t="str">
        <x:v>Oliveira Trust DTVM</x:v>
      </x:c>
      <x:c r="G72" s="166" t="str">
        <x:v>OLIVEIRA TRUST DTVM S.A.</x:v>
      </x:c>
      <x:c r="H72" s="166" t="str">
        <x:v>Financeiro</x:v>
      </x:c>
      <x:c r="I72" s="166" t="str">
        <x:v>Crédito Corporativo</x:v>
      </x:c>
      <x:c r="J72" s="166" t="str">
        <x:v>CI</x:v>
      </x:c>
      <x:c r="K72" s="172" t="n">
        <x:v>38</x:v>
      </x:c>
      <x:c r="L72" s="185" t="str">
        <x:v>Não classificado</x:v>
      </x:c>
    </x:row>
    <x:row r="73">
      <x:c r="A73" s="175" t="str">
        <x:v>53.300.525/0001-09</x:v>
      </x:c>
      <x:c r="B73" s="166" t="str">
        <x:v>IBCB-AF01 FUNDO DE INVESTIMENTO EM DIREITOS CREDITÓRIOS</x:v>
      </x:c>
      <x:c r="C73" s="188" t="n">
        <x:v>1834355869.84</x:v>
      </x:c>
      <x:c r="D73" s="166" t="str">
        <x:v>Intrabank Asset</x:v>
      </x:c>
      <x:c r="E73" s="166" t="str">
        <x:f>IFERROR(INDEX('Classif Gestoras'!$H$6:$H$462,MATCH(D73,'Classif Gestoras'!$A$6:$A$462,0)),"Não classificada")</x:f>
        <x:v>Independente</x:v>
      </x:c>
      <x:c r="F73" s="166" t="str">
        <x:v>HEMERA DTVM</x:v>
      </x:c>
      <x:c r="G73" s="166" t="str">
        <x:v>HEMERA DISTRIBUIDORA DE TITULOS E VALORES MOBILIARIOS LTDA</x:v>
      </x:c>
      <x:c r="H73" s="166" t="str">
        <x:v>Agro, Indústria e Comércio</x:v>
      </x:c>
      <x:c r="I73" s="166" t="str">
        <x:v>Recebíveis Comerciais</x:v>
      </x:c>
      <x:c r="J73" s="166" t="str">
        <x:v>CI</x:v>
      </x:c>
      <x:c r="K73" s="172" t="n">
        <x:v>4</x:v>
      </x:c>
      <x:c r="L73" s="185" t="str">
        <x:v>Não classificado</x:v>
      </x:c>
    </x:row>
    <x:row r="74">
      <x:c r="A74" s="175" t="str">
        <x:v>32.526.025/0001-10</x:v>
      </x:c>
      <x:c r="B74" s="166" t="str">
        <x:v>COBUCCIO FUNDO DE INVESTIMENTO EM DIREITOS CREDITÓRIOS DE CLASSE ÚNICA FECHADA DE RESPONS LIMITADA</x:v>
      </x:c>
      <x:c r="C74" s="188" t="n">
        <x:v>1771889839.03</x:v>
      </x:c>
      <x:c r="D74" s="166" t="str">
        <x:v>CARMEL GESTORA DE ATIVOS LTDA</x:v>
      </x:c>
      <x:c r="E74" s="166" t="str">
        <x:f>IFERROR(INDEX('Classif Gestoras'!$H$6:$H$462,MATCH(D74,'Classif Gestoras'!$A$6:$A$462,0)),"Não classificada")</x:f>
        <x:v>Independente</x:v>
      </x:c>
      <x:c r="F74" s="166" t="str">
        <x:v>Singulare</x:v>
      </x:c>
      <x:c r="G74" s="166" t="str">
        <x:v>QI CORRETORA DE TÍTULOS E VALORES MOBILIÁRIOS S.A.</x:v>
      </x:c>
      <x:c r="H74" s="166" t="str">
        <x:v>Agro, Indústria e Comércio</x:v>
      </x:c>
      <x:c r="I74" s="166" t="str">
        <x:v>Recebíveis Comerciais</x:v>
      </x:c>
      <x:c r="J74" s="166" t="str">
        <x:v>CI</x:v>
      </x:c>
      <x:c r="K74" s="172" t="n">
        <x:v>42</x:v>
      </x:c>
      <x:c r="L74" s="185" t="str">
        <x:v>Não classificado</x:v>
      </x:c>
    </x:row>
    <x:row r="75">
      <x:c r="A75" s="175" t="str">
        <x:v>41.970.012/0001-26</x:v>
      </x:c>
      <x:c r="B75" s="166" t="str">
        <x:v>MERCADO CRÉDITO II BRASIL FUNDO DE INVESTIMENTO EM DIREITOS CREDITÓRIOS DE RESPONSABILIDADE LIMITADA</x:v>
      </x:c>
      <x:c r="C75" s="188" t="n">
        <x:v>1760661987.2900002</x:v>
      </x:c>
      <x:c r="D75" s="166" t="str">
        <x:v>POLÍGONO CAPITAL LTDA.</x:v>
      </x:c>
      <x:c r="E75" s="166" t="str">
        <x:f>IFERROR(INDEX('Classif Gestoras'!$H$6:$H$462,MATCH(D75,'Classif Gestoras'!$A$6:$A$462,0)),"Não classificada")</x:f>
        <x:v>Independente</x:v>
      </x:c>
      <x:c r="F75" s="166" t="str">
        <x:v>BTG Pactual Servicos Financeiros S/A DTVM</x:v>
      </x:c>
      <x:c r="G75" s="166" t="str">
        <x:v>BANCO BTG PACTUAL S/A</x:v>
      </x:c>
      <x:c r="H75" s="166" t="str">
        <x:v>Financeiro</x:v>
      </x:c>
      <x:c r="I75" s="166" t="str">
        <x:v>Multicarteira Financeiro</x:v>
      </x:c>
      <x:c r="J75" s="166" t="str">
        <x:v>CI</x:v>
      </x:c>
      <x:c r="K75" s="172" t="n">
        <x:v>3</x:v>
      </x:c>
      <x:c r="L75" s="185" t="str">
        <x:v>Não classificado</x:v>
      </x:c>
    </x:row>
    <x:row r="76">
      <x:c r="A76" s="175" t="str">
        <x:v>40.750.266/0001-76</x:v>
      </x:c>
      <x:c r="B76" s="166" t="str">
        <x:v>FUNDO DE INVESTIMENTO EM DIREITOS CREDITÓRIOS MT I RECEIVABLES RESPONSABILIDADE LIMITADA</x:v>
      </x:c>
      <x:c r="C76" s="188" t="n">
        <x:v>1754069673.52</x:v>
      </x:c>
      <x:c r="D76" s="166" t="str">
        <x:v>BTG Pactual Asset</x:v>
      </x:c>
      <x:c r="E76" s="166" t="str">
        <x:f>IFERROR(INDEX('Classif Gestoras'!$H$6:$H$462,MATCH(D76,'Classif Gestoras'!$A$6:$A$462,0)),"Não classificada")</x:f>
        <x:v>Ligada a banco</x:v>
      </x:c>
      <x:c r="F76" s="166" t="str">
        <x:v>BTG Pactual Servicos Financeiros S/A DTVM</x:v>
      </x:c>
      <x:c r="G76" s="166" t="str">
        <x:v>BANCO BTG PACTUAL S/A</x:v>
      </x:c>
      <x:c r="H76" s="166" t="str">
        <x:v>Financeiro</x:v>
      </x:c>
      <x:c r="I76" s="166" t="str">
        <x:v>Crédito Pessoal</x:v>
      </x:c>
      <x:c r="J76" s="166" t="str">
        <x:v>CI</x:v>
      </x:c>
      <x:c r="K76" s="172" t="n">
        <x:v>1</x:v>
      </x:c>
      <x:c r="L76" s="185" t="str">
        <x:v>Não classificado</x:v>
      </x:c>
    </x:row>
    <x:row r="77">
      <x:c r="A77" s="175" t="str">
        <x:v>38.376.526/0001-43</x:v>
      </x:c>
      <x:c r="B77" s="166" t="str">
        <x:v>HOTFUND FUNDO DE INVESTIMENTO EM DIREITOS CREDITÓRIOS SEGMENTO MEIOS DE PAGAMENTO DE RESPONSABILIDAD</x:v>
      </x:c>
      <x:c r="C77" s="188" t="n">
        <x:v>1751659181.3</x:v>
      </x:c>
      <x:c r="D77" s="166" t="str">
        <x:v>GENIAL GESTÃO LTDA.</x:v>
      </x:c>
      <x:c r="E77" s="166" t="str">
        <x:f>IFERROR(INDEX('Classif Gestoras'!$H$6:$H$462,MATCH(D77,'Classif Gestoras'!$A$6:$A$462,0)),"Não classificada")</x:f>
        <x:v>Ligada a banco</x:v>
      </x:c>
      <x:c r="F77" s="166" t="str">
        <x:v>Banco Genial S.A.</x:v>
      </x:c>
      <x:c r="G77" s="166" t="str">
        <x:v>BANCO GENIAL S.A.</x:v>
      </x:c>
      <x:c r="H77" s="166" t="str">
        <x:v>Financeiro</x:v>
      </x:c>
      <x:c r="I77" s="166" t="str">
        <x:v>Multicarteira Financeiro</x:v>
      </x:c>
      <x:c r="J77" s="166" t="str">
        <x:v>CI</x:v>
      </x:c>
      <x:c r="K77" s="172" t="n">
        <x:v>4</x:v>
      </x:c>
      <x:c r="L77" s="185" t="str">
        <x:v>Não classificado</x:v>
      </x:c>
    </x:row>
    <x:row r="78">
      <x:c r="A78" s="175" t="str">
        <x:v>34.218.864/0001-04</x:v>
      </x:c>
      <x:c r="B78" s="166" t="str">
        <x:v>CNPJ 34218864000104</x:v>
      </x:c>
      <x:c r="C78" s="188" t="n">
        <x:v>1701982709.00999</x:v>
      </x:c>
      <x:c r="D78" s="166" t="str">
        <x:v>Cultinvest Asset</x:v>
      </x:c>
      <x:c r="E78" s="166" t="str">
        <x:f>IFERROR(INDEX('Classif Gestoras'!$H$6:$H$462,MATCH(D78,'Classif Gestoras'!$A$6:$A$462,0)),"Não classificada")</x:f>
        <x:v>Independente</x:v>
      </x:c>
      <x:c r="F78" s="166" t="str">
        <x:v>S3 Caceis Brasil Distribuidora de Títulos e Valores Mob</x:v>
      </x:c>
      <x:c r="G78" s="166" t="str">
        <x:v>Não identificado</x:v>
      </x:c>
      <x:c r="H78" s="166" t="str">
        <x:v>Agro, Indústria e Comércio</x:v>
      </x:c>
      <x:c r="I78" s="166" t="str">
        <x:v>Recebíveis Comerciais</x:v>
      </x:c>
      <x:c r="J78" s="166" t="str">
        <x:v>CI</x:v>
      </x:c>
      <x:c r="K78" s="172"/>
      <x:c r="L78" s="185" t="str">
        <x:v>Não classificado</x:v>
      </x:c>
    </x:row>
    <x:row r="79">
      <x:c r="A79" s="175" t="str">
        <x:v>53.036.495/0001-75</x:v>
      </x:c>
      <x:c r="B79" s="166" t="str">
        <x:v>XP RETURN I CONSIGNADO FUNDO DE INVESTIMENTO EM DIREITOS CREDITÓRIOS RESP LIMITADA</x:v>
      </x:c>
      <x:c r="C79" s="188" t="n">
        <x:v>1655183478.4099998</x:v>
      </x:c>
      <x:c r="D79" s="166" t="str">
        <x:v>Oliveira Trust Servicer</x:v>
      </x:c>
      <x:c r="E79" s="166" t="str">
        <x:f>IFERROR(INDEX('Classif Gestoras'!$H$6:$H$462,MATCH(D79,'Classif Gestoras'!$A$6:$A$462,0)),"Não classificada")</x:f>
        <x:v>Independente</x:v>
      </x:c>
      <x:c r="F79" s="166" t="str">
        <x:v>Oliveira Trust DTVM</x:v>
      </x:c>
      <x:c r="G79" s="166" t="str">
        <x:v>OLIVEIRA TRUST DTVM S.A.</x:v>
      </x:c>
      <x:c r="H79" s="166" t="str">
        <x:v>Financeiro</x:v>
      </x:c>
      <x:c r="I79" s="166" t="str">
        <x:v>Crédito Consignado</x:v>
      </x:c>
      <x:c r="J79" s="166" t="str">
        <x:v>CI</x:v>
      </x:c>
      <x:c r="K79" s="172" t="n">
        <x:v>2</x:v>
      </x:c>
      <x:c r="L79" s="185" t="str">
        <x:v>Não classificado</x:v>
      </x:c>
    </x:row>
    <x:row r="80">
      <x:c r="A80" s="175" t="str">
        <x:v>26.722.650/0001-34</x:v>
      </x:c>
      <x:c r="B80" s="166" t="str">
        <x:v>VERDECARD FUNDO DE INVESTIMENTO EM DIREITOS CREDITÓRIOS RESPONSABILIDADE LIMITADA</x:v>
      </x:c>
      <x:c r="C80" s="188" t="n">
        <x:v>1650369124.39</x:v>
      </x:c>
      <x:c r="D80" s="166" t="str">
        <x:v>Integral Investimentos</x:v>
      </x:c>
      <x:c r="E80" s="166" t="str">
        <x:f>IFERROR(INDEX('Classif Gestoras'!$H$6:$H$462,MATCH(D80,'Classif Gestoras'!$A$6:$A$462,0)),"Não classificada")</x:f>
        <x:v>Independente</x:v>
      </x:c>
      <x:c r="F80" s="166" t="str">
        <x:v>Oliveira Trust DTVM</x:v>
      </x:c>
      <x:c r="G80" s="166" t="str">
        <x:v>OLIVEIRA TRUST DTVM S.A.</x:v>
      </x:c>
      <x:c r="H80" s="166" t="str">
        <x:v>Outros</x:v>
      </x:c>
      <x:c r="I80" s="166" t="str">
        <x:v>Multicarteira Outros</x:v>
      </x:c>
      <x:c r="J80" s="166" t="str">
        <x:v>CI</x:v>
      </x:c>
      <x:c r="K80" s="172" t="n">
        <x:v>378</x:v>
      </x:c>
      <x:c r="L80" s="185" t="str">
        <x:v>Não classificado</x:v>
      </x:c>
    </x:row>
    <x:row r="81">
      <x:c r="A81" s="175" t="str">
        <x:v>05.754.060/0001-13</x:v>
      </x:c>
      <x:c r="B81" s="166" t="str">
        <x:v>CATERPILLAR FUNDO DE INVESTIMENTO EM DIREITOS CREDITÓRIOS DO SEGMENTO INDUSTRIAL II - RESP LIMITADA</x:v>
      </x:c>
      <x:c r="C81" s="188" t="n">
        <x:v>1642653085.82</x:v>
      </x:c>
      <x:c r="D81" s="166" t="str">
        <x:v>Tivio Capital</x:v>
      </x:c>
      <x:c r="E81" s="166" t="str">
        <x:f>IFERROR(INDEX('Classif Gestoras'!$H$6:$H$462,MATCH(D81,'Classif Gestoras'!$A$6:$A$462,0)),"Não classificada")</x:f>
        <x:v>Independente</x:v>
      </x:c>
      <x:c r="F81" s="166" t="str">
        <x:v>BEM - DIST. DE TÍTUL</x:v>
      </x:c>
      <x:c r="G81" s="166" t="str">
        <x:v>BANCO BRADESCO S.A.</x:v>
      </x:c>
      <x:c r="H81" s="166" t="str">
        <x:v>Agro, Indústria e Comércio</x:v>
      </x:c>
      <x:c r="I81" s="166" t="str">
        <x:v>Recebíveis Comerciais</x:v>
      </x:c>
      <x:c r="J81" s="166" t="str">
        <x:v>CI</x:v>
      </x:c>
      <x:c r="K81" s="172" t="n">
        <x:v>1</x:v>
      </x:c>
      <x:c r="L81" s="185" t="str">
        <x:v>Não classificado</x:v>
      </x:c>
    </x:row>
    <x:row r="82">
      <x:c r="A82" s="175" t="str">
        <x:v>22.358.482/0001-99</x:v>
      </x:c>
      <x:c r="B82" s="166" t="str">
        <x:v>AFINITTY MF FUNDO DE INVESTIMENTO EM DIREITOS CREDITÓRIOS FINANCEIROS - RESPONSABILIDADE LIMITADA</x:v>
      </x:c>
      <x:c r="C82" s="188" t="n">
        <x:v>1613515273.62</x:v>
      </x:c>
      <x:c r="D82" s="166" t="str">
        <x:v>ARTESANAL FINANCEIRO</x:v>
      </x:c>
      <x:c r="E82" s="166" t="str">
        <x:f>IFERROR(INDEX('Classif Gestoras'!$H$6:$H$462,MATCH(D82,'Classif Gestoras'!$A$6:$A$462,0)),"Não classificada")</x:f>
        <x:v>Independente</x:v>
      </x:c>
      <x:c r="F82" s="166" t="str">
        <x:v>Singulare</x:v>
      </x:c>
      <x:c r="G82" s="166" t="str">
        <x:v>QI CORRETORA DE TÍTULOS E VALORES MOBILIÁRIOS S.A.</x:v>
      </x:c>
      <x:c r="H82" s="166" t="str">
        <x:v>Financeiro</x:v>
      </x:c>
      <x:c r="I82" s="166" t="str">
        <x:v>Multicarteira Financeiro</x:v>
      </x:c>
      <x:c r="J82" s="166" t="str">
        <x:v>CI</x:v>
      </x:c>
      <x:c r="K82" s="172" t="n">
        <x:v>1</x:v>
      </x:c>
      <x:c r="L82" s="185" t="str">
        <x:v>Não classificado</x:v>
      </x:c>
    </x:row>
    <x:row r="83">
      <x:c r="A83" s="175" t="str">
        <x:v>54.836.930/0001-09</x:v>
      </x:c>
      <x:c r="B83" s="166" t="str">
        <x:v>FUNDO DE INVESTIMENTO EM DIREITOS CREDITÓRIOS METEORO - RESP LTDA</x:v>
      </x:c>
      <x:c r="C83" s="188" t="n">
        <x:v>1581155876.63</x:v>
      </x:c>
      <x:c r="D83" s="166" t="str">
        <x:v>Oliveira Trust Servicer</x:v>
      </x:c>
      <x:c r="E83" s="166" t="str">
        <x:f>IFERROR(INDEX('Classif Gestoras'!$H$6:$H$462,MATCH(D83,'Classif Gestoras'!$A$6:$A$462,0)),"Não classificada")</x:f>
        <x:v>Independente</x:v>
      </x:c>
      <x:c r="F83" s="166" t="str">
        <x:v>Oliveira Trust DTVM</x:v>
      </x:c>
      <x:c r="G83" s="166" t="str">
        <x:v>OLIVEIRA TRUST DTVM S.A.</x:v>
      </x:c>
      <x:c r="H83" s="166" t="str">
        <x:v>Financeiro</x:v>
      </x:c>
      <x:c r="I83" s="166" t="str">
        <x:v>Crédito Pessoal</x:v>
      </x:c>
      <x:c r="J83" s="166" t="str">
        <x:v>CI</x:v>
      </x:c>
      <x:c r="K83" s="172" t="n">
        <x:v>2</x:v>
      </x:c>
      <x:c r="L83" s="185" t="str">
        <x:v>Não classificado</x:v>
      </x:c>
    </x:row>
    <x:row r="84">
      <x:c r="A84" s="175" t="str">
        <x:v>23.200.289/0001-98</x:v>
      </x:c>
      <x:c r="B84" s="166" t="str">
        <x:v>CF FUNDO DE INVESTIMENTO EM DIREITOS CREDITÓRIOS - RESPONSABILIDADE LIMITADA</x:v>
      </x:c>
      <x:c r="C84" s="188" t="n">
        <x:v>1574623758.76</x:v>
      </x:c>
      <x:c r="D84" s="166" t="str">
        <x:v>TERCON ASSET MANAGEMENT</x:v>
      </x:c>
      <x:c r="E84" s="166" t="str">
        <x:f>IFERROR(INDEX('Classif Gestoras'!$H$6:$H$462,MATCH(D84,'Classif Gestoras'!$A$6:$A$462,0)),"Não classificada")</x:f>
        <x:v>Independente</x:v>
      </x:c>
      <x:c r="F84" s="166" t="str">
        <x:v>Singulare</x:v>
      </x:c>
      <x:c r="G84" s="166" t="str">
        <x:v>QI CORRETORA DE TÍTULOS E VALORES MOBILIÁRIOS S.A.</x:v>
      </x:c>
      <x:c r="H84" s="166" t="str">
        <x:v>Fomento Mercantil</x:v>
      </x:c>
      <x:c r="I84" s="166" t="str">
        <x:v>Fomento Mercantil</x:v>
      </x:c>
      <x:c r="J84" s="166" t="str">
        <x:v>CI</x:v>
      </x:c>
      <x:c r="K84" s="172" t="n">
        <x:v>1</x:v>
      </x:c>
      <x:c r="L84" s="185" t="str">
        <x:v>Não classificado</x:v>
      </x:c>
    </x:row>
    <x:row r="85">
      <x:c r="A85" s="175" t="str">
        <x:v>08.632.394/0001-02</x:v>
      </x:c>
      <x:c r="B85" s="166" t="str">
        <x:v>RED - FUNDO DE INVESTIMENTO EM DIREITOS CREDITÓRIOS MULTISETORIAL LP - RESPONSABILIDADE LIMITADA</x:v>
      </x:c>
      <x:c r="C85" s="188" t="n">
        <x:v>1549959247.84</x:v>
      </x:c>
      <x:c r="D85" s="166" t="str">
        <x:v>RedAsset Gestão de Recursos Ltda.</x:v>
      </x:c>
      <x:c r="E85" s="166" t="str">
        <x:f>IFERROR(INDEX('Classif Gestoras'!$H$6:$H$462,MATCH(D85,'Classif Gestoras'!$A$6:$A$462,0)),"Não classificada")</x:f>
        <x:v>Independente</x:v>
      </x:c>
      <x:c r="F85" s="166" t="str">
        <x:v>HEMERA DTVM</x:v>
      </x:c>
      <x:c r="G85" s="166" t="str">
        <x:v>HEMERA DISTRIBUIDORA DE TITULOS E VALORES MOBILIARIOS LTDA</x:v>
      </x:c>
      <x:c r="H85" s="166" t="str">
        <x:v>Agro, Indústria e Comércio</x:v>
      </x:c>
      <x:c r="I85" s="166" t="str">
        <x:v>Multicarteira Agro, Indústria e Comércio</x:v>
      </x:c>
      <x:c r="J85" s="166" t="str">
        <x:v>CI</x:v>
      </x:c>
      <x:c r="K85" s="172" t="n">
        <x:v>184</x:v>
      </x:c>
      <x:c r="L85" s="185" t="str">
        <x:v>Não classificado</x:v>
      </x:c>
    </x:row>
    <x:row r="86">
      <x:c r="A86" s="175" t="str">
        <x:v>12.428.086/0001-37</x:v>
      </x:c>
      <x:c r="B86" s="166" t="str">
        <x:v>FUNDO DE INVESTIMENTO EM DIREITOS CREDITÓRIOS NÃO-PADRONIZADOS MULTISSETORIAL BS NP</x:v>
      </x:c>
      <x:c r="C86" s="188" t="n">
        <x:v>1542410199.63</x:v>
      </x:c>
      <x:c r="D86" s="166" t="str">
        <x:v>TERCON ASSET MANAGEMENT</x:v>
      </x:c>
      <x:c r="E86" s="166" t="str">
        <x:f>IFERROR(INDEX('Classif Gestoras'!$H$6:$H$462,MATCH(D86,'Classif Gestoras'!$A$6:$A$462,0)),"Não classificada")</x:f>
        <x:v>Independente</x:v>
      </x:c>
      <x:c r="F86" s="166" t="str">
        <x:v>Singulare</x:v>
      </x:c>
      <x:c r="G86" s="166" t="str">
        <x:v>QI CORRETORA DE TÍTULOS E VALORES MOBILIÁRIOS S.A.</x:v>
      </x:c>
      <x:c r="H86" s="166" t="str">
        <x:v>Fomento Mercantil</x:v>
      </x:c>
      <x:c r="I86" s="166" t="str">
        <x:v>Fomento Mercantil</x:v>
      </x:c>
      <x:c r="J86" s="166" t="str">
        <x:v>CI</x:v>
      </x:c>
      <x:c r="K86" s="172" t="n">
        <x:v>13</x:v>
      </x:c>
      <x:c r="L86" s="185" t="str">
        <x:v>Não classificado</x:v>
      </x:c>
    </x:row>
    <x:row r="87">
      <x:c r="A87" s="175" t="str">
        <x:v>57.833.038/0001-62</x:v>
      </x:c>
      <x:c r="B87" s="166" t="str">
        <x:v>ALDEBARAN II FUNDO DE INVESTIMENTO EM DIREITOS CREDITÓRIOS - RESPONSABILIDADE LIMITADA</x:v>
      </x:c>
      <x:c r="C87" s="188" t="n">
        <x:v>1509875490.34</x:v>
      </x:c>
      <x:c r="D87" s="166" t="str">
        <x:v>Emerald Gestão de Investimento</x:v>
      </x:c>
      <x:c r="E87" s="166" t="str">
        <x:f>IFERROR(INDEX('Classif Gestoras'!$H$6:$H$462,MATCH(D87,'Classif Gestoras'!$A$6:$A$462,0)),"Não classificada")</x:f>
        <x:v>Independente</x:v>
      </x:c>
      <x:c r="F87" s="166" t="str">
        <x:v>BANCO J. SAFRA S/A</x:v>
      </x:c>
      <x:c r="G87" s="166" t="str">
        <x:v>OLIVEIRA TRUST DTVM S.A.</x:v>
      </x:c>
      <x:c r="H87" s="166" t="str">
        <x:v>Fomento Mercantil</x:v>
      </x:c>
      <x:c r="I87" s="166" t="str">
        <x:v>Fomento Mercantil</x:v>
      </x:c>
      <x:c r="J87" s="166" t="str">
        <x:v>CI</x:v>
      </x:c>
      <x:c r="K87" s="172" t="n">
        <x:v>7</x:v>
      </x:c>
      <x:c r="L87" s="185" t="str">
        <x:v>Não classificado</x:v>
      </x:c>
    </x:row>
    <x:row r="88">
      <x:c r="A88" s="175" t="str">
        <x:v>13.764.696/0001-74</x:v>
      </x:c>
      <x:c r="B88" s="166" t="str">
        <x:v>JC 4870 FUNDO DE INVESTIMENTO EM DIREITOS CREDITÓRIOS NÃO-PADRONIZADOS</x:v>
      </x:c>
      <x:c r="C88" s="188" t="n">
        <x:v>1418222760.4299998</x:v>
      </x:c>
      <x:c r="D88" s="166" t="str">
        <x:v>Jus Capital Gestão de Recursos LTDA</x:v>
      </x:c>
      <x:c r="E88" s="166" t="str">
        <x:f>IFERROR(INDEX('Classif Gestoras'!$H$6:$H$462,MATCH(D88,'Classif Gestoras'!$A$6:$A$462,0)),"Não classificada")</x:f>
        <x:v>Independente</x:v>
      </x:c>
      <x:c r="F88" s="166" t="str">
        <x:v>MAF Distribuidora de Títulos e Valores Mobiliários S.A.</x:v>
      </x:c>
      <x:c r="G88" s="166" t="str">
        <x:v>MAF DISTRIBUIDORA DE TITULOS E VALORES MOBILIARIOS S.A.</x:v>
      </x:c>
      <x:c r="H88" s="166" t="str">
        <x:v>Outros</x:v>
      </x:c>
      <x:c r="I88" s="166" t="str">
        <x:v>Multicarteira Outros</x:v>
      </x:c>
      <x:c r="J88" s="166" t="str">
        <x:v>CI</x:v>
      </x:c>
      <x:c r="K88" s="172" t="n">
        <x:v>1</x:v>
      </x:c>
      <x:c r="L88" s="185" t="str">
        <x:v>Não classificado</x:v>
      </x:c>
    </x:row>
    <x:row r="89">
      <x:c r="A89" s="175" t="str">
        <x:v>47.227.790/0001-06</x:v>
      </x:c>
      <x:c r="B89" s="166" t="str">
        <x:v>SAPPHIRE FUNDO DE INVESTIMENTO EM DIREITOS CREDITÓRIOS DE RESPONSABILIDADE LIMITADA</x:v>
      </x:c>
      <x:c r="C89" s="188" t="n">
        <x:v>1405472107.1999998</x:v>
      </x:c>
      <x:c r="D89" s="166" t="str">
        <x:v>Portofino Multi Family Office</x:v>
      </x:c>
      <x:c r="E89" s="166" t="str">
        <x:f>IFERROR(INDEX('Classif Gestoras'!$H$6:$H$462,MATCH(D89,'Classif Gestoras'!$A$6:$A$462,0)),"Não classificada")</x:f>
        <x:v>Independente</x:v>
      </x:c>
      <x:c r="F89" s="166" t="str">
        <x:v>BANCO DAYCOVAL S/A</x:v>
      </x:c>
      <x:c r="G89" s="166" t="str">
        <x:v>BANCO DAYCOVAL S.A.</x:v>
      </x:c>
      <x:c r="H89" s="166" t="str">
        <x:v>Outros</x:v>
      </x:c>
      <x:c r="I89" s="166" t="str">
        <x:v>Poder Público</x:v>
      </x:c>
      <x:c r="J89" s="166" t="str">
        <x:v>CI</x:v>
      </x:c>
      <x:c r="K89" s="172" t="n">
        <x:v>3</x:v>
      </x:c>
      <x:c r="L89" s="185" t="str">
        <x:v>Não classificado</x:v>
      </x:c>
    </x:row>
    <x:row r="90">
      <x:c r="A90" s="175" t="str">
        <x:v>57.325.251/0001-63</x:v>
      </x:c>
      <x:c r="B90" s="166" t="str">
        <x:v>ANGICO FIDC SEGMENTO INFRAESTRUTURA E AGRONEGÓCIO DE RESPONSABILIDADE LIMITADA</x:v>
      </x:c>
      <x:c r="C90" s="188" t="n">
        <x:v>1392033377.5600002</x:v>
      </x:c>
      <x:c r="D90" s="166" t="str">
        <x:v>Itau Unibanco</x:v>
      </x:c>
      <x:c r="E90" s="166" t="str">
        <x:f>IFERROR(INDEX('Classif Gestoras'!$H$6:$H$462,MATCH(D90,'Classif Gestoras'!$A$6:$A$462,0)),"Não classificada")</x:f>
        <x:v>Ligada a banco</x:v>
      </x:c>
      <x:c r="F90" s="166" t="str">
        <x:v>INTRAG DIST. DE TÍTU</x:v>
      </x:c>
      <x:c r="G90" s="166" t="str">
        <x:v>ITAU UNIBANCO S.A.</x:v>
      </x:c>
      <x:c r="H90" s="166" t="str">
        <x:v>Agro, Indústria e Comércio</x:v>
      </x:c>
      <x:c r="I90" s="166" t="str">
        <x:v>Agronegócio</x:v>
      </x:c>
      <x:c r="J90" s="166" t="str">
        <x:v>CI</x:v>
      </x:c>
      <x:c r="K90" s="172" t="n">
        <x:v>1</x:v>
      </x:c>
      <x:c r="L90" s="185" t="str">
        <x:v>Não classificado</x:v>
      </x:c>
    </x:row>
    <x:row r="91">
      <x:c r="A91" s="175" t="str">
        <x:v>31.739.396/0001-17</x:v>
      </x:c>
      <x:c r="B91" s="166" t="str">
        <x:v>LF III FUNDO DE INVESTIMENTO EM DIREITOS CREDITÓRIOS DE RESPONSABILIDADE LIMITADA</x:v>
      </x:c>
      <x:c r="C91" s="188" t="n">
        <x:v>1385095020.4899998</x:v>
      </x:c>
      <x:c r="D91" s="166" t="str">
        <x:v>Petra Capital</x:v>
      </x:c>
      <x:c r="E91" s="166" t="str">
        <x:f>IFERROR(INDEX('Classif Gestoras'!$H$6:$H$462,MATCH(D91,'Classif Gestoras'!$A$6:$A$462,0)),"Não classificada")</x:f>
        <x:v>Independente</x:v>
      </x:c>
      <x:c r="F91" s="166" t="str">
        <x:v>Finaxis Corretora de Títulos e Valores Mobiliários S.A.</x:v>
      </x:c>
      <x:c r="G91" s="166" t="str">
        <x:v>BANCO FINAXIS S.A.</x:v>
      </x:c>
      <x:c r="H91" s="166" t="str">
        <x:v>Agro, Indústria e Comércio</x:v>
      </x:c>
      <x:c r="I91" s="166" t="str">
        <x:v>Recebíveis Comerciais</x:v>
      </x:c>
      <x:c r="J91" s="166" t="str">
        <x:v>CI</x:v>
      </x:c>
      <x:c r="K91" s="172" t="n">
        <x:v>45</x:v>
      </x:c>
      <x:c r="L91" s="185" t="str">
        <x:v>Não classificado</x:v>
      </x:c>
    </x:row>
    <x:row r="92">
      <x:c r="A92" s="175" t="str">
        <x:v>45.207.707/0001-01</x:v>
      </x:c>
      <x:c r="B92" s="166" t="str">
        <x:v>LASSIE EDUCATION CRÉDITOS JUDICIAIS FUNDO DE INVESTIMENTO EM DIREITOS CREDITÓRIOS</x:v>
      </x:c>
      <x:c r="C92" s="188" t="n">
        <x:v>1373849899.13</x:v>
      </x:c>
      <x:c r="D92" s="166" t="str">
        <x:v>LASS CAPITAL</x:v>
      </x:c>
      <x:c r="E92" s="166" t="str">
        <x:f>IFERROR(INDEX('Classif Gestoras'!$H$6:$H$462,MATCH(D92,'Classif Gestoras'!$A$6:$A$462,0)),"Não classificada")</x:f>
        <x:v>Independente</x:v>
      </x:c>
      <x:c r="F92" s="166" t="str">
        <x:v>BTG Pactual Servicos Financeiros S/A DTVM</x:v>
      </x:c>
      <x:c r="G92" s="166" t="str">
        <x:v>BANCO BTG PACTUAL S/A</x:v>
      </x:c>
      <x:c r="H92" s="166" t="str">
        <x:v>Outros</x:v>
      </x:c>
      <x:c r="I92" s="166" t="str">
        <x:v>Poder Público</x:v>
      </x:c>
      <x:c r="J92" s="166" t="str">
        <x:v>CI</x:v>
      </x:c>
      <x:c r="K92" s="172" t="n">
        <x:v>4</x:v>
      </x:c>
      <x:c r="L92" s="185" t="str">
        <x:v>Não classificado</x:v>
      </x:c>
    </x:row>
    <x:row r="93">
      <x:c r="A93" s="175" t="str">
        <x:v>39.669.950/0001-49</x:v>
      </x:c>
      <x:c r="B93" s="166" t="str">
        <x:v>FUNDO DE INVESTIMENTO EM DIREITOS CREDITÓRIOS SOMACRED BACH - RESPONSABILIDADE LIMITADA</x:v>
      </x:c>
      <x:c r="C93" s="188" t="n">
        <x:v>1369294417.4099998</x:v>
      </x:c>
      <x:c r="D93" s="166" t="str">
        <x:v>VERT Gestora de Recursos Financeiros Ltda.</x:v>
      </x:c>
      <x:c r="E93" s="166" t="str">
        <x:f>IFERROR(INDEX('Classif Gestoras'!$H$6:$H$462,MATCH(D93,'Classif Gestoras'!$A$6:$A$462,0)),"Não classificada")</x:f>
        <x:v>Independente</x:v>
      </x:c>
      <x:c r="F93" s="166" t="str">
        <x:v>VERT Distribuidora de Títulos e Valores Mobiliários Ltd</x:v>
      </x:c>
      <x:c r="G93" s="166" t="str">
        <x:v>VERT DISTRIBUIDORA DE TÍTULOS E VALORES MOBILIÁRIOS LTDA.</x:v>
      </x:c>
      <x:c r="H93" s="166" t="str">
        <x:v>Outros</x:v>
      </x:c>
      <x:c r="I93" s="166" t="str">
        <x:v>Multicarteira Outros</x:v>
      </x:c>
      <x:c r="J93" s="166" t="str">
        <x:v>CI</x:v>
      </x:c>
      <x:c r="K93" s="172" t="n">
        <x:v>18</x:v>
      </x:c>
      <x:c r="L93" s="185" t="str">
        <x:v>Não classificado</x:v>
      </x:c>
    </x:row>
    <x:row r="94">
      <x:c r="A94" s="175" t="str">
        <x:v>52.327.260/0001-70</x:v>
      </x:c>
      <x:c r="B94" s="166" t="str">
        <x:v>IFOOD I FIDC SEGMENTO MEIOS DE PAGAMENTO DE RESPONSABILIDADA</x:v>
      </x:c>
      <x:c r="C94" s="188" t="n">
        <x:v>1357551434.14</x:v>
      </x:c>
      <x:c r="D94" s="166" t="str">
        <x:v>GENIAL GESTÃO LTDA.</x:v>
      </x:c>
      <x:c r="E94" s="166" t="str">
        <x:f>IFERROR(INDEX('Classif Gestoras'!$H$6:$H$462,MATCH(D94,'Classif Gestoras'!$A$6:$A$462,0)),"Não classificada")</x:f>
        <x:v>Ligada a banco</x:v>
      </x:c>
      <x:c r="F94" s="166" t="str">
        <x:v>Banco Genial S.A.</x:v>
      </x:c>
      <x:c r="G94" s="166" t="str">
        <x:v>BANCO GENIAL S.A.</x:v>
      </x:c>
      <x:c r="H94" s="166" t="str">
        <x:v>Agro, Indústria e Comércio</x:v>
      </x:c>
      <x:c r="I94" s="166" t="str">
        <x:v>Recebíveis Comerciais</x:v>
      </x:c>
      <x:c r="J94" s="166" t="str">
        <x:v>CI</x:v>
      </x:c>
      <x:c r="K94" s="172" t="n">
        <x:v>2</x:v>
      </x:c>
      <x:c r="L94" s="185" t="str">
        <x:v>Não classificado</x:v>
      </x:c>
    </x:row>
    <x:row r="95">
      <x:c r="A95" s="175" t="str">
        <x:v>61.285.603/0001-71</x:v>
      </x:c>
      <x:c r="B95" s="166" t="str">
        <x:v>MAROBÁ FUNDO DE INVESTMENTO EM DIREITOS CREDITÓRIOS RESPONSABILIDADE LIMITADA</x:v>
      </x:c>
      <x:c r="C95" s="188" t="n">
        <x:v>1354307152.86</x:v>
      </x:c>
      <x:c r="D95" s="166" t="str">
        <x:v>Kanastra</x:v>
      </x:c>
      <x:c r="E95" s="166" t="str">
        <x:f>IFERROR(INDEX('Classif Gestoras'!$H$6:$H$462,MATCH(D95,'Classif Gestoras'!$A$6:$A$462,0)),"Não classificada")</x:f>
        <x:v>Independente</x:v>
      </x:c>
      <x:c r="F95" s="166" t="str">
        <x:v>INTRAG DIST. DE TÍTU</x:v>
      </x:c>
      <x:c r="G95" s="166" t="str">
        <x:v>LIMINE TRUST DISTRIBUIDORA DE TITULOS E VALORES MOBILIARIOS LTDA.</x:v>
      </x:c>
      <x:c r="H95" s="166" t="str">
        <x:v>Outros</x:v>
      </x:c>
      <x:c r="I95" s="166" t="str">
        <x:v>Multicarteira Outros</x:v>
      </x:c>
      <x:c r="J95" s="166" t="str">
        <x:v>CI</x:v>
      </x:c>
      <x:c r="K95" s="172" t="n">
        <x:v>1</x:v>
      </x:c>
      <x:c r="L95" s="185" t="str">
        <x:v>Não classificado</x:v>
      </x:c>
    </x:row>
    <x:row r="96">
      <x:c r="A96" s="175" t="str">
        <x:v>58.893.662/0001-18</x:v>
      </x:c>
      <x:c r="B96" s="166" t="str">
        <x:v>JIVE BOSSANOVA90 - FUNDO DE INVESTIMENTO EM DIREITOS CREDITÓRIOS</x:v>
      </x:c>
      <x:c r="C96" s="188" t="n">
        <x:v>1353750980.18</x:v>
      </x:c>
      <x:c r="D96" s="166" t="str">
        <x:v>JIVE HIGH YIELD GESTÃO DE RECURSOS LTDA</x:v>
      </x:c>
      <x:c r="E96" s="166" t="str">
        <x:f>IFERROR(INDEX('Classif Gestoras'!$H$6:$H$462,MATCH(D96,'Classif Gestoras'!$A$6:$A$462,0)),"Não classificada")</x:f>
        <x:v>Independente</x:v>
      </x:c>
      <x:c r="F96" s="166" t="str">
        <x:v>BANCO DAYCOVAL S/A</x:v>
      </x:c>
      <x:c r="G96" s="166" t="str">
        <x:v>BANCO DAYCOVAL S.A.</x:v>
      </x:c>
      <x:c r="H96" s="166" t="str">
        <x:v>Outros</x:v>
      </x:c>
      <x:c r="I96" s="166" t="str">
        <x:v>Multicarteira Outros</x:v>
      </x:c>
      <x:c r="J96" s="166" t="str">
        <x:v>CI</x:v>
      </x:c>
      <x:c r="K96" s="172" t="n">
        <x:v>23847</x:v>
      </x:c>
      <x:c r="L96" s="185" t="str">
        <x:v>Não classificado</x:v>
      </x:c>
    </x:row>
    <x:row r="97">
      <x:c r="A97" s="175" t="str">
        <x:v>11.375.619/0001-05</x:v>
      </x:c>
      <x:c r="B97" s="166" t="str">
        <x:v>CJP FIDC-NP CRÉDITOS JUDICIAIS E PRECATÓRIOS</x:v>
      </x:c>
      <x:c r="C97" s="188" t="n">
        <x:v>1347830014.9</x:v>
      </x:c>
      <x:c r="D97" s="166" t="str">
        <x:v>Veritas Capital Management</x:v>
      </x:c>
      <x:c r="E97" s="166" t="str">
        <x:f>IFERROR(INDEX('Classif Gestoras'!$H$6:$H$462,MATCH(D97,'Classif Gestoras'!$A$6:$A$462,0)),"Não classificada")</x:f>
        <x:v>Independente</x:v>
      </x:c>
      <x:c r="F97" s="166" t="str">
        <x:v>RJI Investimentos</x:v>
      </x:c>
      <x:c r="G97" s="166" t="str">
        <x:v>RJI CORRETORA DE TÍTULOS E VALORES MOBILIÁRIOS LTDA.</x:v>
      </x:c>
      <x:c r="H97" s="166" t="str">
        <x:v>Outros</x:v>
      </x:c>
      <x:c r="I97" s="166" t="str">
        <x:v>Poder Público</x:v>
      </x:c>
      <x:c r="J97" s="166" t="str">
        <x:v>CI</x:v>
      </x:c>
      <x:c r="K97" s="172" t="n">
        <x:v>2</x:v>
      </x:c>
      <x:c r="L97" s="185" t="str">
        <x:v>Não classificado</x:v>
      </x:c>
    </x:row>
    <x:row r="98">
      <x:c r="A98" s="175" t="str">
        <x:v>57.532.556/0001-46</x:v>
      </x:c>
      <x:c r="B98" s="166" t="str">
        <x:v>FIDC BV AUTO I SEGMENTO FINANCEIRO - RESPONSABILIDADE LIMITADA</x:v>
      </x:c>
      <x:c r="C98" s="188" t="n">
        <x:v>1343918182.67</x:v>
      </x:c>
      <x:c r="D98" s="166" t="str">
        <x:v>ANGÁ ASSET MANAGEMENT</x:v>
      </x:c>
      <x:c r="E98" s="166" t="str">
        <x:f>IFERROR(INDEX('Classif Gestoras'!$H$6:$H$462,MATCH(D98,'Classif Gestoras'!$A$6:$A$462,0)),"Não classificada")</x:f>
        <x:v>Independente</x:v>
      </x:c>
      <x:c r="F98" s="166" t="str">
        <x:v>BANCO DAYCOVAL S/A</x:v>
      </x:c>
      <x:c r="G98" s="166" t="str">
        <x:v>BANCO DAYCOVAL S.A.</x:v>
      </x:c>
      <x:c r="H98" s="166" t="str">
        <x:v>Financeiro</x:v>
      </x:c>
      <x:c r="I98" s="166" t="str">
        <x:v>Crédito Pessoal</x:v>
      </x:c>
      <x:c r="J98" s="166" t="str">
        <x:v>CI</x:v>
      </x:c>
      <x:c r="K98" s="172" t="n">
        <x:v>215</x:v>
      </x:c>
      <x:c r="L98" s="185" t="str">
        <x:v>Não classificado</x:v>
      </x:c>
    </x:row>
    <x:row r="99">
      <x:c r="A99" s="175" t="str">
        <x:v>47.669.805/0001-96</x:v>
      </x:c>
      <x:c r="B99" s="166" t="str">
        <x:v>GONN FUNDO DE INVESTIMENTO EM DIREITOS CREDITORIOS</x:v>
      </x:c>
      <x:c r="C99" s="188" t="n">
        <x:v>1334359816.44</x:v>
      </x:c>
      <x:c r="D99" s="166" t="str">
        <x:v>GENIAL GESTÃO LTDA.</x:v>
      </x:c>
      <x:c r="E99" s="166" t="str">
        <x:f>IFERROR(INDEX('Classif Gestoras'!$H$6:$H$462,MATCH(D99,'Classif Gestoras'!$A$6:$A$462,0)),"Não classificada")</x:f>
        <x:v>Ligada a banco</x:v>
      </x:c>
      <x:c r="F99" s="166" t="str">
        <x:v>Banco Genial S.A.</x:v>
      </x:c>
      <x:c r="G99" s="166" t="str">
        <x:v>BANCO GENIAL S.A.</x:v>
      </x:c>
      <x:c r="H99" s="166" t="str">
        <x:v>Financeiro</x:v>
      </x:c>
      <x:c r="I99" s="166" t="str">
        <x:v>Crédito Pessoal</x:v>
      </x:c>
      <x:c r="J99" s="166" t="str">
        <x:v>CI</x:v>
      </x:c>
      <x:c r="K99" s="172" t="n">
        <x:v>2</x:v>
      </x:c>
      <x:c r="L99" s="185" t="str">
        <x:v>Não classificado</x:v>
      </x:c>
    </x:row>
    <x:row r="100">
      <x:c r="A100" s="175" t="str">
        <x:v>41.240.321/0001-40</x:v>
      </x:c>
      <x:c r="B100" s="166" t="str">
        <x:v>LAGUZ I FUNDO DE INVESTIMENTO EM DIREITOS CREDITÓRIOS NÃO-PADRONIZADOS</x:v>
      </x:c>
      <x:c r="C100" s="188" t="n">
        <x:v>1322502628.4499998</x:v>
      </x:c>
      <x:c r="D100" s="166" t="str">
        <x:v>Veritas Capital Management</x:v>
      </x:c>
      <x:c r="E100" s="166" t="str">
        <x:f>IFERROR(INDEX('Classif Gestoras'!$H$6:$H$462,MATCH(D100,'Classif Gestoras'!$A$6:$A$462,0)),"Não classificada")</x:f>
        <x:v>Independente</x:v>
      </x:c>
      <x:c r="F100" s="166" t="str">
        <x:v>PLANNER CV</x:v>
      </x:c>
      <x:c r="G100" s="166" t="str">
        <x:v>PLANNER CORRETORA DE VALORES S.A.</x:v>
      </x:c>
      <x:c r="H100" s="166" t="str">
        <x:v>Outros</x:v>
      </x:c>
      <x:c r="I100" s="166" t="str">
        <x:v>Poder Público</x:v>
      </x:c>
      <x:c r="J100" s="166" t="str">
        <x:v>CI</x:v>
      </x:c>
      <x:c r="K100" s="172" t="n">
        <x:v>1</x:v>
      </x:c>
      <x:c r="L100" s="185" t="str">
        <x:v>Não classificado</x:v>
      </x:c>
    </x:row>
    <x:row r="101">
      <x:c r="A101" s="175" t="str">
        <x:v>62.681.110/0001-13</x:v>
      </x:c>
      <x:c r="B101" s="166" t="str">
        <x:v>ÁSIA FUNDO DE INVESTIMENTO EM DIREITOS CREDITÓRIOS</x:v>
      </x:c>
      <x:c r="C101" s="188" t="n">
        <x:v>1322367301.51</x:v>
      </x:c>
      <x:c r="D101" s="166" t="str">
        <x:v>TRUSTEE DTVM</x:v>
      </x:c>
      <x:c r="E101" s="166" t="str">
        <x:f>IFERROR(INDEX('Classif Gestoras'!$H$6:$H$462,MATCH(D101,'Classif Gestoras'!$A$6:$A$462,0)),"Não classificada")</x:f>
        <x:v>Independente</x:v>
      </x:c>
      <x:c r="F101" s="166" t="str">
        <x:v>TRUSTEE DTVM</x:v>
      </x:c>
      <x:c r="G101" s="166" t="str">
        <x:v>TRUSTEE DISTRIBUIDORA DE TITULOS E VALORES MOBILIARIOS LTDA.</x:v>
      </x:c>
      <x:c r="H101" s="166" t="str">
        <x:v>Outros</x:v>
      </x:c>
      <x:c r="I101" s="166" t="str">
        <x:v>Multicarteira Outros</x:v>
      </x:c>
      <x:c r="J101" s="166" t="str">
        <x:v>CI</x:v>
      </x:c>
      <x:c r="K101" s="172" t="n">
        <x:v>1</x:v>
      </x:c>
      <x:c r="L101" s="185" t="str">
        <x:v>Não classificado</x:v>
      </x:c>
    </x:row>
    <x:row r="102">
      <x:c r="A102" s="175" t="str">
        <x:v>55.595.137/0001-28</x:v>
      </x:c>
      <x:c r="B102" s="166" t="str">
        <x:v>JIF II CRÉDITOS - FUNDO DE INVESTIMENTO EM DIREITOS CREDITÓRIOS CRÉDITO PRIVADO</x:v>
      </x:c>
      <x:c r="C102" s="188" t="n">
        <x:v>1284886990.01</x:v>
      </x:c>
      <x:c r="D102" s="166" t="str">
        <x:v>JIVE INVESTMENTS</x:v>
      </x:c>
      <x:c r="E102" s="166" t="str">
        <x:f>IFERROR(INDEX('Classif Gestoras'!$H$6:$H$462,MATCH(D102,'Classif Gestoras'!$A$6:$A$462,0)),"Não classificada")</x:f>
        <x:v>Independente</x:v>
      </x:c>
      <x:c r="F102" s="166" t="str">
        <x:v>BANCO DAYCOVAL S/A</x:v>
      </x:c>
      <x:c r="G102" s="166" t="str">
        <x:v>BANCO DAYCOVAL S.A.</x:v>
      </x:c>
      <x:c r="H102" s="166" t="str">
        <x:v>Outros</x:v>
      </x:c>
      <x:c r="I102" s="166" t="str">
        <x:v>Multicarteira Outros</x:v>
      </x:c>
      <x:c r="J102" s="166" t="str">
        <x:v>CI</x:v>
      </x:c>
      <x:c r="K102" s="172" t="n">
        <x:v>3</x:v>
      </x:c>
      <x:c r="L102" s="185" t="str">
        <x:v>Não classificado</x:v>
      </x:c>
    </x:row>
    <x:row r="103">
      <x:c r="A103" s="175" t="str">
        <x:v>08.417.544/0001-65</x:v>
      </x:c>
      <x:c r="B103" s="166" t="str">
        <x:v>PRAVALER CRÉDITO UNIVERSITÁRIO FUNDO DE INVESTIMENTO EM DIREITOS CREDITÓRIOS - RESP LIMITADA</x:v>
      </x:c>
      <x:c r="C103" s="188" t="n">
        <x:v>1269371168.5700002</x:v>
      </x:c>
      <x:c r="D103" s="166" t="str">
        <x:v>PRAVALER S/A</x:v>
      </x:c>
      <x:c r="E103" s="166" t="str">
        <x:f>IFERROR(INDEX('Classif Gestoras'!$H$6:$H$462,MATCH(D103,'Classif Gestoras'!$A$6:$A$462,0)),"Não classificada")</x:f>
        <x:v>Independente</x:v>
      </x:c>
      <x:c r="F103" s="166" t="str">
        <x:v>Oliveira Trust DTVM</x:v>
      </x:c>
      <x:c r="G103" s="166" t="str">
        <x:v>OLIVEIRA TRUST DTVM S.A.</x:v>
      </x:c>
      <x:c r="H103" s="166" t="str">
        <x:v>Financeiro</x:v>
      </x:c>
      <x:c r="I103" s="166" t="str">
        <x:v>Crédito Pessoal</x:v>
      </x:c>
      <x:c r="J103" s="166" t="str">
        <x:v>CI</x:v>
      </x:c>
      <x:c r="K103" s="172" t="n">
        <x:v>752</x:v>
      </x:c>
      <x:c r="L103" s="185" t="str">
        <x:v>Não classificado</x:v>
      </x:c>
    </x:row>
    <x:row r="104">
      <x:c r="A104" s="175" t="str">
        <x:v>11.489.344/0001-22</x:v>
      </x:c>
      <x:c r="B104" s="166" t="str">
        <x:v>RED PERFORMANCE FUNDO DE INVESTIMENTO EM DIREITOS CREDITÓRIOS NP DE RESPONSABILIDADE LIMITADA</x:v>
      </x:c>
      <x:c r="C104" s="188" t="n">
        <x:v>1268857768.8100004</x:v>
      </x:c>
      <x:c r="D104" s="166" t="str">
        <x:v>RedAsset Gestão de Recursos Ltda.</x:v>
      </x:c>
      <x:c r="E104" s="166" t="str">
        <x:f>IFERROR(INDEX('Classif Gestoras'!$H$6:$H$462,MATCH(D104,'Classif Gestoras'!$A$6:$A$462,0)),"Não classificada")</x:f>
        <x:v>Independente</x:v>
      </x:c>
      <x:c r="F104" s="166" t="str">
        <x:v>Finaxis Corretora de Títulos e Valores Mobiliários S.A.</x:v>
      </x:c>
      <x:c r="G104" s="166" t="str">
        <x:v>BANCO FINAXIS S.A.</x:v>
      </x:c>
      <x:c r="H104" s="166" t="str">
        <x:v>Outros</x:v>
      </x:c>
      <x:c r="I104" s="166" t="str">
        <x:v>Multicarteira Outros</x:v>
      </x:c>
      <x:c r="J104" s="166" t="str">
        <x:v>CI</x:v>
      </x:c>
      <x:c r="K104" s="172" t="n">
        <x:v>108</x:v>
      </x:c>
      <x:c r="L104" s="185" t="str">
        <x:v>Não classificado</x:v>
      </x:c>
    </x:row>
    <x:row r="105">
      <x:c r="A105" s="175" t="str">
        <x:v>14.166.140/0001-49</x:v>
      </x:c>
      <x:c r="B105" s="166" t="str">
        <x:v>FUNDO DE INVESTIMENTO EM DIREITOS CREDITÓRIOS SIFRA STAR</x:v>
      </x:c>
      <x:c r="C105" s="188" t="n">
        <x:v>1262537458.4299998</x:v>
      </x:c>
      <x:c r="D105" s="166" t="str">
        <x:v>ORRAM GESTÃO DE RECURSOS LTDA.</x:v>
      </x:c>
      <x:c r="E105" s="166" t="str">
        <x:f>IFERROR(INDEX('Classif Gestoras'!$H$6:$H$462,MATCH(D105,'Classif Gestoras'!$A$6:$A$462,0)),"Não classificada")</x:f>
        <x:v>Independente</x:v>
      </x:c>
      <x:c r="F105" s="166" t="str">
        <x:v>FIDD DISTRIBUIDORA DE TITULOS E VALORES MOBILIARIOS LTD</x:v>
      </x:c>
      <x:c r="G105" s="166" t="str">
        <x:v>FIDD DISTRIBUIDORA DE TITULOS E VALORES MOBILIARIOS LTDA.</x:v>
      </x:c>
      <x:c r="H105" s="166" t="str">
        <x:v>Fomento Mercantil</x:v>
      </x:c>
      <x:c r="I105" s="166" t="str">
        <x:v>Fomento Mercantil</x:v>
      </x:c>
      <x:c r="J105" s="166" t="str">
        <x:v>CI</x:v>
      </x:c>
      <x:c r="K105" s="172" t="n">
        <x:v>129</x:v>
      </x:c>
      <x:c r="L105" s="185" t="str">
        <x:v>Não classificado</x:v>
      </x:c>
    </x:row>
    <x:row r="106">
      <x:c r="A106" s="175" t="str">
        <x:v>19.221.032/0001-45</x:v>
      </x:c>
      <x:c r="B106" s="166" t="str">
        <x:v>FUNDO DE LIQUIDAÇÃO FINANCEIRA FIDC - RESPONSABILIDADE LIMITADA</x:v>
      </x:c>
      <x:c r="C106" s="188" t="n">
        <x:v>1260642054.97</x:v>
      </x:c>
      <x:c r="D106" s="166" t="str">
        <x:v>JIVE INVESTMENTS</x:v>
      </x:c>
      <x:c r="E106" s="166" t="str">
        <x:f>IFERROR(INDEX('Classif Gestoras'!$H$6:$H$462,MATCH(D106,'Classif Gestoras'!$A$6:$A$462,0)),"Não classificada")</x:f>
        <x:v>Independente</x:v>
      </x:c>
      <x:c r="F106" s="166" t="str">
        <x:v>MAF Distribuidora de Títulos e Valores Mobiliários S.A.</x:v>
      </x:c>
      <x:c r="G106" s="166" t="str">
        <x:v>MAF DISTRIBUIDORA DE TITULOS E VALORES MOBILIARIOS S.A.</x:v>
      </x:c>
      <x:c r="H106" s="166" t="str">
        <x:v>Outros</x:v>
      </x:c>
      <x:c r="I106" s="166" t="str">
        <x:v>Multicarteira Outros</x:v>
      </x:c>
      <x:c r="J106" s="166" t="str">
        <x:v>CI</x:v>
      </x:c>
      <x:c r="K106" s="172" t="n">
        <x:v>1</x:v>
      </x:c>
      <x:c r="L106" s="185" t="str">
        <x:v>Não classificado</x:v>
      </x:c>
    </x:row>
    <x:row r="107">
      <x:c r="A107" s="175" t="str">
        <x:v>52.610.624/0001-24</x:v>
      </x:c>
      <x:c r="B107" s="166" t="str">
        <x:v>AETOS ENERGIA FUNDO DE INVESTIMENTO EM DIREITOS CREDITÓRIOS</x:v>
      </x:c>
      <x:c r="C107" s="188" t="n">
        <x:v>1259703242.6</x:v>
      </x:c>
      <x:c r="D107" s="166" t="str">
        <x:v>XPI CCTVM S/A</x:v>
      </x:c>
      <x:c r="E107" s="166" t="str">
        <x:f>IFERROR(INDEX('Classif Gestoras'!$H$6:$H$462,MATCH(D107,'Classif Gestoras'!$A$6:$A$462,0)),"Não classificada")</x:f>
        <x:v>Ligada a banco</x:v>
      </x:c>
      <x:c r="F107" s="166" t="str">
        <x:v>XPI CCTVM S/A</x:v>
      </x:c>
      <x:c r="G107" s="166" t="str">
        <x:v>OLIVEIRA TRUST DTVM S.A.</x:v>
      </x:c>
      <x:c r="H107" s="166" t="str">
        <x:v>Agro, Indústria e Comércio</x:v>
      </x:c>
      <x:c r="I107" s="166" t="str">
        <x:v>Recebíveis Comerciais</x:v>
      </x:c>
      <x:c r="J107" s="166" t="str">
        <x:v>CI</x:v>
      </x:c>
      <x:c r="K107" s="172" t="n">
        <x:v>8</x:v>
      </x:c>
      <x:c r="L107" s="185" t="str">
        <x:v>Não classificado</x:v>
      </x:c>
    </x:row>
    <x:row r="108">
      <x:c r="A108" s="175" t="str">
        <x:v>32.388.135/0001-62</x:v>
      </x:c>
      <x:c r="B108" s="166" t="str">
        <x:v>MULTIAGRO FUNDO DE INVESTIMENTO EM DIREITOS CREDITÓRIOS</x:v>
      </x:c>
      <x:c r="C108" s="188" t="n">
        <x:v>1257394532.3200002</x:v>
      </x:c>
      <x:c r="D108" s="166" t="str">
        <x:v>Multiplica Capital</x:v>
      </x:c>
      <x:c r="E108" s="166" t="str">
        <x:f>IFERROR(INDEX('Classif Gestoras'!$H$6:$H$462,MATCH(D108,'Classif Gestoras'!$A$6:$A$462,0)),"Não classificada")</x:f>
        <x:v>Independente</x:v>
      </x:c>
      <x:c r="F108" s="166" t="str">
        <x:v>Singulare</x:v>
      </x:c>
      <x:c r="G108" s="166" t="str">
        <x:v>QI CORRETORA DE TÍTULOS E VALORES MOBILIÁRIOS S.A.</x:v>
      </x:c>
      <x:c r="H108" s="166" t="str">
        <x:v>Fomento Mercantil</x:v>
      </x:c>
      <x:c r="I108" s="166" t="str">
        <x:v>Fomento Mercantil</x:v>
      </x:c>
      <x:c r="J108" s="166" t="str">
        <x:v>CI</x:v>
      </x:c>
      <x:c r="K108" s="172" t="n">
        <x:v>1274</x:v>
      </x:c>
      <x:c r="L108" s="185" t="str">
        <x:v>Não classificado</x:v>
      </x:c>
    </x:row>
    <x:row r="109">
      <x:c r="A109" s="175" t="str">
        <x:v>63.465.818/0001-08</x:v>
      </x:c>
      <x:c r="B109" s="166" t="str">
        <x:v>FUNDO DE INVESTIMENTO EM DIREITOS CREDITÓRIOS NAGOYA - RESPONSABILIDADE LIMITADA</x:v>
      </x:c>
      <x:c r="C109" s="188" t="n">
        <x:v>1227455799.9999998</x:v>
      </x:c>
      <x:c r="D109" s="166" t="str">
        <x:v>Blue Solutions</x:v>
      </x:c>
      <x:c r="E109" s="166" t="str">
        <x:f>IFERROR(INDEX('Classif Gestoras'!$H$6:$H$462,MATCH(D109,'Classif Gestoras'!$A$6:$A$462,0)),"Não classificada")</x:f>
        <x:v>Independente</x:v>
      </x:c>
      <x:c r="F109" s="166" t="str">
        <x:v>Banvox DTVM</x:v>
      </x:c>
      <x:c r="G109" s="166" t="str">
        <x:v>BANVOX DISTRIBUIDORA DE TITULOS E VALORES MOBILIARIOS LTDA</x:v>
      </x:c>
      <x:c r="H109" s="166" t="str">
        <x:v>Outros</x:v>
      </x:c>
      <x:c r="I109" s="166" t="str">
        <x:v>Multicarteira Outros</x:v>
      </x:c>
      <x:c r="J109" s="166" t="str">
        <x:v>CI</x:v>
      </x:c>
      <x:c r="K109" s="172" t="n">
        <x:v>1</x:v>
      </x:c>
      <x:c r="L109" s="185" t="str">
        <x:v>Não classificado</x:v>
      </x:c>
    </x:row>
    <x:row r="110">
      <x:c r="A110" s="175" t="str">
        <x:v>08.678.936/0001-88</x:v>
      </x:c>
      <x:c r="B110" s="166" t="str">
        <x:v>SIFRA PLUS FUNDO DE INVESTIMENTO EM DIREITOS CREDITÓRIOS MULTISSEGMENTOS</x:v>
      </x:c>
      <x:c r="C110" s="188" t="n">
        <x:v>1224134952.39</x:v>
      </x:c>
      <x:c r="D110" s="166" t="str">
        <x:v>ORRAM GESTÃO DE RECURSOS LTDA.</x:v>
      </x:c>
      <x:c r="E110" s="166" t="str">
        <x:f>IFERROR(INDEX('Classif Gestoras'!$H$6:$H$462,MATCH(D110,'Classif Gestoras'!$A$6:$A$462,0)),"Não classificada")</x:f>
        <x:v>Independente</x:v>
      </x:c>
      <x:c r="F110" s="166" t="str">
        <x:v>Singulare</x:v>
      </x:c>
      <x:c r="G110" s="166" t="str">
        <x:v>QI CORRETORA DE TÍTULOS E VALORES MOBILIÁRIOS S.A.</x:v>
      </x:c>
      <x:c r="H110" s="166" t="str">
        <x:v>Fomento Mercantil</x:v>
      </x:c>
      <x:c r="I110" s="166" t="str">
        <x:v>Fomento Mercantil</x:v>
      </x:c>
      <x:c r="J110" s="166" t="str">
        <x:v>CI</x:v>
      </x:c>
      <x:c r="K110" s="172" t="n">
        <x:v>196</x:v>
      </x:c>
      <x:c r="L110" s="185" t="str">
        <x:v>Não classificado</x:v>
      </x:c>
    </x:row>
    <x:row r="111">
      <x:c r="A111" s="175" t="str">
        <x:v>29.226.654/0001-10</x:v>
      </x:c>
      <x:c r="B111" s="166" t="str">
        <x:v>INVESTCRED FUNDO DE INVESTIMENTO EM DIREITOS CREDITÓRIOS</x:v>
      </x:c>
      <x:c r="C111" s="188" t="n">
        <x:v>1219894572.31</x:v>
      </x:c>
      <x:c r="D111" s="166" t="str">
        <x:v>H2 CAPITAL</x:v>
      </x:c>
      <x:c r="E111" s="166" t="str">
        <x:f>IFERROR(INDEX('Classif Gestoras'!$H$6:$H$462,MATCH(D111,'Classif Gestoras'!$A$6:$A$462,0)),"Não classificada")</x:f>
        <x:v>Independente</x:v>
      </x:c>
      <x:c r="F111" s="166" t="str">
        <x:v>Singulare</x:v>
      </x:c>
      <x:c r="G111" s="166" t="str">
        <x:v>QI CORRETORA DE TÍTULOS E VALORES MOBILIÁRIOS S.A.</x:v>
      </x:c>
      <x:c r="H111" s="166" t="str">
        <x:v>Agro, Indústria e Comércio</x:v>
      </x:c>
      <x:c r="I111" s="166" t="str">
        <x:v>Recebíveis Comerciais</x:v>
      </x:c>
      <x:c r="J111" s="166" t="str">
        <x:v>CI</x:v>
      </x:c>
      <x:c r="K111" s="172" t="n">
        <x:v>4</x:v>
      </x:c>
      <x:c r="L111" s="185" t="str">
        <x:v>Não classificado</x:v>
      </x:c>
    </x:row>
    <x:row r="112">
      <x:c r="A112" s="175" t="str">
        <x:v>37.284.201/0001-78</x:v>
      </x:c>
      <x:c r="B112" s="166" t="str">
        <x:v>ARTESANAL RECEBÍVEIS IMOBILIÁRIOS FUNDO DE INVESTIMENTO EM DIREITOS CREDITÓRIOS - RESPONSABILIDADE L</x:v>
      </x:c>
      <x:c r="C112" s="188" t="n">
        <x:v>1209870846.5100002</x:v>
      </x:c>
      <x:c r="D112" s="166" t="str">
        <x:v>Artesanal Imobiliário</x:v>
      </x:c>
      <x:c r="E112" s="166" t="str">
        <x:f>IFERROR(INDEX('Classif Gestoras'!$H$6:$H$462,MATCH(D112,'Classif Gestoras'!$A$6:$A$462,0)),"Não classificada")</x:f>
        <x:v>Independente</x:v>
      </x:c>
      <x:c r="F112" s="166" t="str">
        <x:v>Singulare</x:v>
      </x:c>
      <x:c r="G112" s="166" t="str">
        <x:v>QI CORRETORA DE TÍTULOS E VALORES MOBILIÁRIOS S.A.</x:v>
      </x:c>
      <x:c r="H112" s="166" t="str">
        <x:v>Financeiro</x:v>
      </x:c>
      <x:c r="I112" s="166" t="str">
        <x:v>Crédito Imobiliário</x:v>
      </x:c>
      <x:c r="J112" s="166" t="str">
        <x:v>CI</x:v>
      </x:c>
      <x:c r="K112" s="172" t="n">
        <x:v>51</x:v>
      </x:c>
      <x:c r="L112" s="185" t="str">
        <x:v>Não classificado</x:v>
      </x:c>
    </x:row>
    <x:row r="113">
      <x:c r="A113" s="175" t="str">
        <x:v>63.546.406/0001-94</x:v>
      </x:c>
      <x:c r="B113" s="166" t="str">
        <x:v>PINE INSS III FUNDO DE INVESTIMENTO EM DIREITOS CREDITÓRIOS RESPONSABILIDADE LIMITADA</x:v>
      </x:c>
      <x:c r="C113" s="188" t="n">
        <x:v>1205566142.54</x:v>
      </x:c>
      <x:c r="D113" s="166" t="str">
        <x:v>VERT Gestora de Recursos Financeiros Ltda.</x:v>
      </x:c>
      <x:c r="E113" s="166" t="str">
        <x:f>IFERROR(INDEX('Classif Gestoras'!$H$6:$H$462,MATCH(D113,'Classif Gestoras'!$A$6:$A$462,0)),"Não classificada")</x:f>
        <x:v>Independente</x:v>
      </x:c>
      <x:c r="F113" s="166" t="str">
        <x:v>VERT Distribuidora de Títulos e Valores Mobiliários Ltd</x:v>
      </x:c>
      <x:c r="G113" s="166" t="str">
        <x:v>VERT DISTRIBUIDORA DE TÍTULOS E VALORES MOBILIÁRIOS LTDA.</x:v>
      </x:c>
      <x:c r="H113" s="166" t="str">
        <x:v>Financeiro</x:v>
      </x:c>
      <x:c r="I113" s="166" t="str">
        <x:v>Crédito Consignado</x:v>
      </x:c>
      <x:c r="J113" s="166" t="str">
        <x:v>CI</x:v>
      </x:c>
      <x:c r="K113" s="172" t="n">
        <x:v>5</x:v>
      </x:c>
      <x:c r="L113" s="185" t="str">
        <x:v>Não classificado</x:v>
      </x:c>
    </x:row>
    <x:row r="114">
      <x:c r="A114" s="175" t="str">
        <x:v>25.213.355/0001-90</x:v>
      </x:c>
      <x:c r="B114" s="166" t="str">
        <x:v>VALORA GUARDIAN ADVISORY FUNDO DE INVESTIMENTO EM DIREITOS CREDITÓRIOS - RESPONSABILIDADE LIMITADA</x:v>
      </x:c>
      <x:c r="C114" s="188" t="n">
        <x:v>1189598129.68</x:v>
      </x:c>
      <x:c r="D114" s="166" t="str">
        <x:v>VALORA RENDA FIXA LTDA.</x:v>
      </x:c>
      <x:c r="E114" s="166" t="str">
        <x:f>IFERROR(INDEX('Classif Gestoras'!$H$6:$H$462,MATCH(D114,'Classif Gestoras'!$A$6:$A$462,0)),"Não classificada")</x:f>
        <x:v>Independente</x:v>
      </x:c>
      <x:c r="F114" s="166" t="str">
        <x:v>BNY MELLON SERVICOS</x:v>
      </x:c>
      <x:c r="G114" s="166" t="str">
        <x:v>BNY MELLON BANCO S.A.</x:v>
      </x:c>
      <x:c r="H114" s="166" t="str">
        <x:v>Outros</x:v>
      </x:c>
      <x:c r="I114" s="166" t="str">
        <x:v>Multicarteira Outros</x:v>
      </x:c>
      <x:c r="J114" s="166" t="str">
        <x:v>CI</x:v>
      </x:c>
      <x:c r="K114" s="172" t="n">
        <x:v>9323</x:v>
      </x:c>
      <x:c r="L114" s="185" t="str">
        <x:v>Não classificado</x:v>
      </x:c>
    </x:row>
    <x:row r="115">
      <x:c r="A115" s="175" t="str">
        <x:v>61.267.293/0001-62</x:v>
      </x:c>
      <x:c r="B115" s="166" t="str">
        <x:v>ER 2030 FUNDO DE INVESTIMENTO EM DIREITOS CREDITÓRIOS RESPONSABILIDADE LIMITADA</x:v>
      </x:c>
      <x:c r="C115" s="188" t="n">
        <x:v>1184187714.2900002</x:v>
      </x:c>
      <x:c r="D115" s="166" t="str">
        <x:v>JGP Gestão de Crédito LTDA.</x:v>
      </x:c>
      <x:c r="E115" s="166" t="str">
        <x:f>IFERROR(INDEX('Classif Gestoras'!$H$6:$H$462,MATCH(D115,'Classif Gestoras'!$A$6:$A$462,0)),"Não classificada")</x:f>
        <x:v>Independente</x:v>
      </x:c>
      <x:c r="F115" s="166" t="str">
        <x:v>VERT Distribuidora de Títulos e Valores Mobiliários Ltd</x:v>
      </x:c>
      <x:c r="G115" s="166" t="str">
        <x:v>VERT DISTRIBUIDORA DE TÍTULOS E VALORES MOBILIÁRIOS LTDA.</x:v>
      </x:c>
      <x:c r="H115" s="166" t="str">
        <x:v>Agro, Indústria e Comércio</x:v>
      </x:c>
      <x:c r="I115" s="166" t="str">
        <x:v>Infraestrutura</x:v>
      </x:c>
      <x:c r="J115" s="166" t="str">
        <x:v>CI</x:v>
      </x:c>
      <x:c r="K115" s="172" t="n">
        <x:v>4</x:v>
      </x:c>
      <x:c r="L115" s="185" t="str">
        <x:v>Não classificado</x:v>
      </x:c>
    </x:row>
    <x:row r="116">
      <x:c r="A116" s="175" t="str">
        <x:v>47.094.392/0001-69</x:v>
      </x:c>
      <x:c r="B116" s="166" t="str">
        <x:v>LIETO11 FUNDO DE INVESTIMENTO EM DIREITOS CREDITÓRIOS NÃO-PADRONIZADO RESPONSABILIDADE ILIMITADA</x:v>
      </x:c>
      <x:c r="C116" s="188" t="n">
        <x:v>1182945731.6999998</x:v>
      </x:c>
      <x:c r="D116" s="166" t="str">
        <x:v>GESTORA DE RECURSOS ID - GRID LTDA.</x:v>
      </x:c>
      <x:c r="E116" s="166" t="str">
        <x:f>IFERROR(INDEX('Classif Gestoras'!$H$6:$H$462,MATCH(D116,'Classif Gestoras'!$A$6:$A$462,0)),"Não classificada")</x:f>
        <x:v>Independente</x:v>
      </x:c>
      <x:c r="F116" s="166" t="str">
        <x:v>ID Corretora de Títulos e Valores Mobiliários S.A.</x:v>
      </x:c>
      <x:c r="G116" s="166" t="str">
        <x:v>ID CORRETORA DE TITULOS E VALORES MOBILIARIOS S.A.</x:v>
      </x:c>
      <x:c r="H116" s="166" t="str">
        <x:v>Outros</x:v>
      </x:c>
      <x:c r="I116" s="166" t="str">
        <x:v>Multicarteira Outros</x:v>
      </x:c>
      <x:c r="J116" s="166" t="str">
        <x:v>CI</x:v>
      </x:c>
      <x:c r="K116" s="172" t="n">
        <x:v>2</x:v>
      </x:c>
      <x:c r="L116" s="185" t="str">
        <x:v>Não classificado</x:v>
      </x:c>
    </x:row>
    <x:row r="117">
      <x:c r="A117" s="175" t="str">
        <x:v>29.469.420/0001-01</x:v>
      </x:c>
      <x:c r="B117" s="166" t="str">
        <x:v>MULTIPLIKE FUNDO DE INVESTIMENTO EM DIREITOS CREDITÓRIOS - RESPONSABILIDADE LIMITADA</x:v>
      </x:c>
      <x:c r="C117" s="188" t="n">
        <x:v>1167867039.2999997</x:v>
      </x:c>
      <x:c r="D117" s="166" t="str">
        <x:v>Multiplike Gestão de Recursos Ltda</x:v>
      </x:c>
      <x:c r="E117" s="166" t="str">
        <x:f>IFERROR(INDEX('Classif Gestoras'!$H$6:$H$462,MATCH(D117,'Classif Gestoras'!$A$6:$A$462,0)),"Não classificada")</x:f>
        <x:v>Independente</x:v>
      </x:c>
      <x:c r="F117" s="166" t="str">
        <x:v>Singulare</x:v>
      </x:c>
      <x:c r="G117" s="166" t="str">
        <x:v>QI CORRETORA DE TÍTULOS E VALORES MOBILIÁRIOS S.A.</x:v>
      </x:c>
      <x:c r="H117" s="166" t="str">
        <x:v>Fomento Mercantil</x:v>
      </x:c>
      <x:c r="I117" s="166" t="str">
        <x:v>Fomento Mercantil</x:v>
      </x:c>
      <x:c r="J117" s="166" t="str">
        <x:v>CI</x:v>
      </x:c>
      <x:c r="K117" s="172" t="n">
        <x:v>272</x:v>
      </x:c>
      <x:c r="L117" s="185" t="str">
        <x:v>Não classificado</x:v>
      </x:c>
    </x:row>
    <x:row r="118">
      <x:c r="A118" s="175" t="str">
        <x:v>59.595.605/0001-15</x:v>
      </x:c>
      <x:c r="B118" s="166" t="str">
        <x:v>BTG PACTUAL ATLAS FUNDO DE INVESTIMENTO EM DIREITOS CREDITÓRIOS RESPONSABILIDADE LIMITADA</x:v>
      </x:c>
      <x:c r="C118" s="188" t="n">
        <x:v>1165691142.0100002</x:v>
      </x:c>
      <x:c r="D118" s="166" t="str">
        <x:v>BTG Pactual Asset</x:v>
      </x:c>
      <x:c r="E118" s="166" t="str">
        <x:f>IFERROR(INDEX('Classif Gestoras'!$H$6:$H$462,MATCH(D118,'Classif Gestoras'!$A$6:$A$462,0)),"Não classificada")</x:f>
        <x:v>Ligada a banco</x:v>
      </x:c>
      <x:c r="F118" s="166" t="str">
        <x:v>BTG Pactual Servicos Financeiros S/A DTVM</x:v>
      </x:c>
      <x:c r="G118" s="166" t="str">
        <x:v>BANCO BTG PACTUAL S/A</x:v>
      </x:c>
      <x:c r="H118" s="166" t="str">
        <x:v>Outros</x:v>
      </x:c>
      <x:c r="I118" s="166" t="str">
        <x:v>Multicarteira Outros</x:v>
      </x:c>
      <x:c r="J118" s="166" t="str">
        <x:v>CI</x:v>
      </x:c>
      <x:c r="K118" s="172" t="n">
        <x:v>128</x:v>
      </x:c>
      <x:c r="L118" s="185" t="str">
        <x:v>Não classificado</x:v>
      </x:c>
    </x:row>
    <x:row r="119">
      <x:c r="A119" s="175" t="str">
        <x:v>14.051.028/0001-62</x:v>
      </x:c>
      <x:c r="B119" s="166" t="str">
        <x:v>FUNDO DE INVESTIMENTO EM DIREITOS CREDITÓRIOS DA INDÚSTRIA EXODUS INSTITUCIONAL - RESPONS. LIMITADA</x:v>
      </x:c>
      <x:c r="C119" s="188" t="n">
        <x:v>1155730320.09</x:v>
      </x:c>
      <x:c r="D119" s="166" t="str">
        <x:v>NOVA S R M</x:v>
      </x:c>
      <x:c r="E119" s="166" t="str">
        <x:f>IFERROR(INDEX('Classif Gestoras'!$H$6:$H$462,MATCH(D119,'Classif Gestoras'!$A$6:$A$462,0)),"Não classificada")</x:f>
        <x:v>Independente</x:v>
      </x:c>
      <x:c r="F119" s="166" t="str">
        <x:v>Singulare</x:v>
      </x:c>
      <x:c r="G119" s="166" t="str">
        <x:v>QI CORRETORA DE TÍTULOS E VALORES MOBILIÁRIOS S.A.</x:v>
      </x:c>
      <x:c r="H119" s="166" t="str">
        <x:v>Outros</x:v>
      </x:c>
      <x:c r="I119" s="166" t="str">
        <x:v>Multicarteira Outros</x:v>
      </x:c>
      <x:c r="J119" s="166" t="str">
        <x:v>CI</x:v>
      </x:c>
      <x:c r="K119" s="172" t="n">
        <x:v>29</x:v>
      </x:c>
      <x:c r="L119" s="185" t="str">
        <x:v>Não classificado</x:v>
      </x:c>
    </x:row>
    <x:row r="120">
      <x:c r="A120" s="175" t="str">
        <x:v>42.401.957/0001-90</x:v>
      </x:c>
      <x:c r="B120" s="166" t="str">
        <x:v>ATIVOS ESPECIAIS III - FUNDO DE INVESTIMENTO EM DIREITOS CREDITÓRIOS DE RESPONSABILIDADE LIMITADA</x:v>
      </x:c>
      <x:c r="C120" s="188" t="n">
        <x:v>1149333176.31</x:v>
      </x:c>
      <x:c r="D120" s="166" t="str">
        <x:v>Vinci SPS Gestão de Recursos Ltda.</x:v>
      </x:c>
      <x:c r="E120" s="166" t="str">
        <x:f>IFERROR(INDEX('Classif Gestoras'!$H$6:$H$462,MATCH(D120,'Classif Gestoras'!$A$6:$A$462,0)),"Não classificada")</x:f>
        <x:v>Independente</x:v>
      </x:c>
      <x:c r="F120" s="166" t="str">
        <x:v>BANCO DAYCOVAL S/A</x:v>
      </x:c>
      <x:c r="G120" s="166" t="str">
        <x:v>BANCO DAYCOVAL S.A.</x:v>
      </x:c>
      <x:c r="H120" s="166" t="str">
        <x:v>Agro, Indústria e Comércio</x:v>
      </x:c>
      <x:c r="I120" s="166" t="str">
        <x:v>Multicarteira Agro, Indústria e Comércio</x:v>
      </x:c>
      <x:c r="J120" s="166" t="str">
        <x:v>CI</x:v>
      </x:c>
      <x:c r="K120" s="172" t="n">
        <x:v>3</x:v>
      </x:c>
      <x:c r="L120" s="185" t="str">
        <x:v>Não classificado</x:v>
      </x:c>
    </x:row>
    <x:row r="121">
      <x:c r="A121" s="175" t="str">
        <x:v>32.774.233/0001-38</x:v>
      </x:c>
      <x:c r="B121" s="166" t="str">
        <x:v>FUNDO DE INVESTIMENTO EM DIREITOS CREDITÓRIOS PRECATÓRIOS BRASIL</x:v>
      </x:c>
      <x:c r="C121" s="188" t="n">
        <x:v>1148173672.88</x:v>
      </x:c>
      <x:c r="D121" s="166" t="str">
        <x:v>Banco BTG Pactual</x:v>
      </x:c>
      <x:c r="E121" s="166" t="str">
        <x:f>IFERROR(INDEX('Classif Gestoras'!$H$6:$H$462,MATCH(D121,'Classif Gestoras'!$A$6:$A$462,0)),"Não classificada")</x:f>
        <x:v>Ligada a banco</x:v>
      </x:c>
      <x:c r="F121" s="166" t="str">
        <x:v>BTG Pactual Servicos Financeiros S/A DTVM</x:v>
      </x:c>
      <x:c r="G121" s="166" t="str">
        <x:v>BANCO BTG PACTUAL S/A</x:v>
      </x:c>
      <x:c r="H121" s="166" t="str">
        <x:v>Outros</x:v>
      </x:c>
      <x:c r="I121" s="166" t="str">
        <x:v>Multicarteira Outros</x:v>
      </x:c>
      <x:c r="J121" s="166" t="str">
        <x:v>CI</x:v>
      </x:c>
      <x:c r="K121" s="172" t="n">
        <x:v>1</x:v>
      </x:c>
      <x:c r="L121" s="185" t="str">
        <x:v>Não classificado</x:v>
      </x:c>
    </x:row>
    <x:row r="122">
      <x:c r="A122" s="175" t="str">
        <x:v>60.942.242/0001-26</x:v>
      </x:c>
      <x:c r="B122" s="166" t="str">
        <x:v>CARTÃO DE COMPRA SUPPLIER FUNDO DE INVESTIMENTO EM DIREITOS CREDITÓRIOS III - RESPONSABILIDADE LTDA</x:v>
      </x:c>
      <x:c r="C122" s="188" t="n">
        <x:v>1132513909.4299998</x:v>
      </x:c>
      <x:c r="D122" s="166" t="str">
        <x:v>Oliveira Trust Servicer</x:v>
      </x:c>
      <x:c r="E122" s="166" t="str">
        <x:f>IFERROR(INDEX('Classif Gestoras'!$H$6:$H$462,MATCH(D122,'Classif Gestoras'!$A$6:$A$462,0)),"Não classificada")</x:f>
        <x:v>Independente</x:v>
      </x:c>
      <x:c r="F122" s="166" t="str">
        <x:v>Oliveira Trust DTVM</x:v>
      </x:c>
      <x:c r="G122" s="166" t="str">
        <x:v>OLIVEIRA TRUST DTVM S.A.</x:v>
      </x:c>
      <x:c r="H122" s="166" t="str">
        <x:v>Financeiro</x:v>
      </x:c>
      <x:c r="I122" s="166" t="str">
        <x:v>Crédito Pessoal</x:v>
      </x:c>
      <x:c r="J122" s="166" t="str">
        <x:v>CI</x:v>
      </x:c>
      <x:c r="K122" s="172" t="n">
        <x:v>120</x:v>
      </x:c>
      <x:c r="L122" s="185" t="str">
        <x:v>Não classificado</x:v>
      </x:c>
    </x:row>
    <x:row r="123">
      <x:c r="A123" s="175" t="str">
        <x:v>15.254.301/0001-19</x:v>
      </x:c>
      <x:c r="B123" s="166" t="str">
        <x:v>FUNDO DE INVESTIMENTO EM DIREITOS CREDITÓRIOS NÃO PADRONIZADOS IV ENERGISA CENTRO OESTE</x:v>
      </x:c>
      <x:c r="C123" s="188" t="n">
        <x:v>1126388398.73</x:v>
      </x:c>
      <x:c r="D123" s="166" t="str">
        <x:v>Caixa Econ. Federal</x:v>
      </x:c>
      <x:c r="E123" s="166" t="str">
        <x:f>IFERROR(INDEX('Classif Gestoras'!$H$6:$H$462,MATCH(D123,'Classif Gestoras'!$A$6:$A$462,0)),"Não classificada")</x:f>
        <x:v>Ligada a banco</x:v>
      </x:c>
      <x:c r="F123" s="166" t="str">
        <x:v>Caixa Econ. Federal</x:v>
      </x:c>
      <x:c r="G123" s="166" t="str">
        <x:v>BANCO BRADESCO S.A.</x:v>
      </x:c>
      <x:c r="H123" s="166" t="str">
        <x:v>Agro, Indústria e Comércio</x:v>
      </x:c>
      <x:c r="I123" s="166" t="str">
        <x:v>Infraestrutura</x:v>
      </x:c>
      <x:c r="J123" s="166" t="str">
        <x:v>CI</x:v>
      </x:c>
      <x:c r="K123" s="172" t="n">
        <x:v>4</x:v>
      </x:c>
      <x:c r="L123" s="185" t="str">
        <x:v>Não classificado</x:v>
      </x:c>
    </x:row>
    <x:row r="124">
      <x:c r="A124" s="175" t="str">
        <x:v>60.431.592/0001-28</x:v>
      </x:c>
      <x:c r="B124" s="166" t="str">
        <x:v>FUNDO DE INVESTIMENTO EM DIREITOS CREDITÓRIOS KINEA CRÉDITO ESTRUTURADO RESPONSABILIDADE LIMITADA</x:v>
      </x:c>
      <x:c r="C124" s="188" t="n">
        <x:v>1095670331.31</x:v>
      </x:c>
      <x:c r="D124" s="166" t="str">
        <x:v>KINEA INVESTIMENTOS</x:v>
      </x:c>
      <x:c r="E124" s="166" t="str">
        <x:f>IFERROR(INDEX('Classif Gestoras'!$H$6:$H$462,MATCH(D124,'Classif Gestoras'!$A$6:$A$462,0)),"Não classificada")</x:f>
        <x:v>Ligada a banco</x:v>
      </x:c>
      <x:c r="F124" s="166" t="str">
        <x:v>INTRAG DIST. DE TÍTU</x:v>
      </x:c>
      <x:c r="G124" s="166" t="str">
        <x:v>ITAU UNIBANCO S.A.</x:v>
      </x:c>
      <x:c r="H124" s="166" t="str">
        <x:v>Outros</x:v>
      </x:c>
      <x:c r="I124" s="166" t="str">
        <x:v>Multicarteira Outros</x:v>
      </x:c>
      <x:c r="J124" s="166" t="str">
        <x:v>CI</x:v>
      </x:c>
      <x:c r="K124" s="172" t="n">
        <x:v>4226</x:v>
      </x:c>
      <x:c r="L124" s="185" t="str">
        <x:v>Não classificado</x:v>
      </x:c>
    </x:row>
    <x:row r="125">
      <x:c r="A125" s="175" t="str">
        <x:v>63.733.796/0001-01</x:v>
      </x:c>
      <x:c r="B125" s="166" t="str">
        <x:v>ICRED CHOPIN INSS FUNDO DE INVESTIMENTO EM DIREITOS CREDITÓRIOS RESPONSABILIDADE LIMITADA</x:v>
      </x:c>
      <x:c r="C125" s="188" t="n">
        <x:v>1095307446.06</x:v>
      </x:c>
      <x:c r="D125" s="166" t="str">
        <x:v>VERT Gestora de Recursos Financeiros Ltda.</x:v>
      </x:c>
      <x:c r="E125" s="166" t="str">
        <x:f>IFERROR(INDEX('Classif Gestoras'!$H$6:$H$462,MATCH(D125,'Classif Gestoras'!$A$6:$A$462,0)),"Não classificada")</x:f>
        <x:v>Independente</x:v>
      </x:c>
      <x:c r="F125" s="166" t="str">
        <x:v>VERT Distribuidora de Títulos e Valores Mobiliários Ltd</x:v>
      </x:c>
      <x:c r="G125" s="166" t="str">
        <x:v>VERT DISTRIBUIDORA DE TÍTULOS E VALORES MOBILIÁRIOS LTDA.</x:v>
      </x:c>
      <x:c r="H125" s="166" t="str">
        <x:v>Financeiro</x:v>
      </x:c>
      <x:c r="I125" s="166" t="str">
        <x:v>Crédito Consignado</x:v>
      </x:c>
      <x:c r="J125" s="166" t="str">
        <x:v>CI</x:v>
      </x:c>
      <x:c r="K125" s="172" t="n">
        <x:v>6</x:v>
      </x:c>
      <x:c r="L125" s="185" t="str">
        <x:v>Não classificado</x:v>
      </x:c>
    </x:row>
    <x:row r="126">
      <x:c r="A126" s="175" t="str">
        <x:v>29.292.312/0001-06</x:v>
      </x:c>
      <x:c r="B126" s="166" t="str">
        <x:v>FUNDO DE INVESTIMENTO EM DIREITOS CREDITÓRIOS NÃO PADRONIZADOS NPL II</x:v>
      </x:c>
      <x:c r="C126" s="188" t="n">
        <x:v>1092847460.34</x:v>
      </x:c>
      <x:c r="D126" s="166" t="str">
        <x:v>OSLO DTVM S. A.</x:v>
      </x:c>
      <x:c r="E126" s="166" t="str">
        <x:f>IFERROR(INDEX('Classif Gestoras'!$H$6:$H$462,MATCH(D126,'Classif Gestoras'!$A$6:$A$462,0)),"Não classificada")</x:f>
        <x:v>Independente</x:v>
      </x:c>
      <x:c r="F126" s="166" t="str">
        <x:v>OSLO DTVM S. A.</x:v>
      </x:c>
      <x:c r="G126" s="166" t="str">
        <x:v>OSLO CAPITAL DISTRIBUIDORA DE TITULOS E VALORES MOBILIARIOS S.A.</x:v>
      </x:c>
      <x:c r="H126" s="166" t="str">
        <x:v>Outros</x:v>
      </x:c>
      <x:c r="I126" s="166" t="str">
        <x:v>Multicarteira Outros</x:v>
      </x:c>
      <x:c r="J126" s="166" t="str">
        <x:v>CI</x:v>
      </x:c>
      <x:c r="K126" s="172" t="n">
        <x:v>1</x:v>
      </x:c>
      <x:c r="L126" s="185" t="str">
        <x:v>Não classificado</x:v>
      </x:c>
    </x:row>
    <x:row r="127">
      <x:c r="A127" s="175" t="str">
        <x:v>58.545.868/0001-57</x:v>
      </x:c>
      <x:c r="B127" s="166" t="str">
        <x:v>POTENCIAL INVEST FUNDO DE INVESTIMENTO EM DIREITOS CREDITÓRIOS</x:v>
      </x:c>
      <x:c r="C127" s="188" t="n">
        <x:v>1086638485.16</x:v>
      </x:c>
      <x:c r="D127" s="166" t="str">
        <x:v>Oliveira Trust Servicer</x:v>
      </x:c>
      <x:c r="E127" s="166" t="str">
        <x:f>IFERROR(INDEX('Classif Gestoras'!$H$6:$H$462,MATCH(D127,'Classif Gestoras'!$A$6:$A$462,0)),"Não classificada")</x:f>
        <x:v>Independente</x:v>
      </x:c>
      <x:c r="F127" s="166" t="str">
        <x:v>Oliveira Trust DTVM</x:v>
      </x:c>
      <x:c r="G127" s="166" t="str">
        <x:v>OLIVEIRA TRUST DTVM S.A.</x:v>
      </x:c>
      <x:c r="H127" s="166" t="str">
        <x:v>Agro, Indústria e Comércio</x:v>
      </x:c>
      <x:c r="I127" s="166" t="str">
        <x:v>Infraestrutura</x:v>
      </x:c>
      <x:c r="J127" s="166" t="str">
        <x:v>CI</x:v>
      </x:c>
      <x:c r="K127" s="172" t="n">
        <x:v>1</x:v>
      </x:c>
      <x:c r="L127" s="185" t="str">
        <x:v>Não classificado</x:v>
      </x:c>
    </x:row>
    <x:row r="128">
      <x:c r="A128" s="175" t="str">
        <x:v>42.736.995/0001-01</x:v>
      </x:c>
      <x:c r="B128" s="166" t="str">
        <x:v>CNPJ 42736995000101</x:v>
      </x:c>
      <x:c r="C128" s="188" t="n">
        <x:v>1066163833.5499996</x:v>
      </x:c>
      <x:c r="D128" s="166" t="str">
        <x:v>ITAU ASSET</x:v>
      </x:c>
      <x:c r="E128" s="166" t="str">
        <x:f>IFERROR(INDEX('Classif Gestoras'!$H$6:$H$462,MATCH(D128,'Classif Gestoras'!$A$6:$A$462,0)),"Não classificada")</x:f>
        <x:v>Ligada a banco</x:v>
      </x:c>
      <x:c r="F128" s="166" t="str">
        <x:v>INTRAG DIST. DE TÍTU</x:v>
      </x:c>
      <x:c r="G128" s="166" t="str">
        <x:v>Não identificado</x:v>
      </x:c>
      <x:c r="H128" s="166" t="str">
        <x:v>Outros</x:v>
      </x:c>
      <x:c r="I128" s="166" t="str">
        <x:v>Multicarteira Outros</x:v>
      </x:c>
      <x:c r="J128" s="166" t="str">
        <x:v>CI</x:v>
      </x:c>
      <x:c r="K128" s="172"/>
      <x:c r="L128" s="185" t="str">
        <x:v>Não classificado</x:v>
      </x:c>
    </x:row>
    <x:row r="129">
      <x:c r="A129" s="175" t="str">
        <x:v>60.598.366/0001-36</x:v>
      </x:c>
      <x:c r="B129" s="166" t="str">
        <x:v>FIDC BV AUTO II SEGMENTO FINANCEIRO - RESPONSABILIDADE LIMITADA</x:v>
      </x:c>
      <x:c r="C129" s="188" t="n">
        <x:v>1064516732.05</x:v>
      </x:c>
      <x:c r="D129" s="166" t="str">
        <x:v>ANGÁ ASSET MANAGEMENT</x:v>
      </x:c>
      <x:c r="E129" s="166" t="str">
        <x:f>IFERROR(INDEX('Classif Gestoras'!$H$6:$H$462,MATCH(D129,'Classif Gestoras'!$A$6:$A$462,0)),"Não classificada")</x:f>
        <x:v>Independente</x:v>
      </x:c>
      <x:c r="F129" s="166" t="str">
        <x:v>BANCO DAYCOVAL S/A</x:v>
      </x:c>
      <x:c r="G129" s="166" t="str">
        <x:v>BANCO DAYCOVAL S.A.</x:v>
      </x:c>
      <x:c r="H129" s="166" t="str">
        <x:v>Financeiro</x:v>
      </x:c>
      <x:c r="I129" s="166" t="str">
        <x:v>Crédito Pessoal</x:v>
      </x:c>
      <x:c r="J129" s="166" t="str">
        <x:v>CI</x:v>
      </x:c>
      <x:c r="K129" s="172" t="n">
        <x:v>79</x:v>
      </x:c>
      <x:c r="L129" s="185" t="str">
        <x:v>Não classificado</x:v>
      </x:c>
    </x:row>
    <x:row r="130">
      <x:c r="A130" s="175" t="str">
        <x:v>52.044.598/0001-14</x:v>
      </x:c>
      <x:c r="B130" s="166" t="str">
        <x:v>EMPRESAS DE TRANSPORTE FUNDO DE INVESTIMENTO EM DIREITOS CREDITÓRIOS.</x:v>
      </x:c>
      <x:c r="C130" s="188" t="n">
        <x:v>1054868800.37</x:v>
      </x:c>
      <x:c r="D130" s="166" t="str">
        <x:v>Trius Capital</x:v>
      </x:c>
      <x:c r="E130" s="166" t="str">
        <x:f>IFERROR(INDEX('Classif Gestoras'!$H$6:$H$462,MATCH(D130,'Classif Gestoras'!$A$6:$A$462,0)),"Não classificada")</x:f>
        <x:v>Independente</x:v>
      </x:c>
      <x:c r="F130" s="166" t="str">
        <x:v>Singulare</x:v>
      </x:c>
      <x:c r="G130" s="166" t="str">
        <x:v>QI CORRETORA DE TÍTULOS E VALORES MOBILIÁRIOS S.A.</x:v>
      </x:c>
      <x:c r="H130" s="166" t="str">
        <x:v>Outros</x:v>
      </x:c>
      <x:c r="I130" s="166" t="str">
        <x:v>Multicarteira Outros</x:v>
      </x:c>
      <x:c r="J130" s="166" t="str">
        <x:v>CI</x:v>
      </x:c>
      <x:c r="K130" s="172" t="n">
        <x:v>5</x:v>
      </x:c>
      <x:c r="L130" s="185" t="str">
        <x:v>Não classificado</x:v>
      </x:c>
    </x:row>
    <x:row r="131">
      <x:c r="A131" s="175" t="str">
        <x:v>58.349.979/0001-98</x:v>
      </x:c>
      <x:c r="B131" s="166" t="str">
        <x:v>VOLKSWAGEN TERA FUNDO DE INVESTIMENTO EM DIREITOS CREDITÓRIOS RECEBÍVEIS COMERCIAIS RESP LTDA</x:v>
      </x:c>
      <x:c r="C131" s="188" t="n">
        <x:v>1051247096.64</x:v>
      </x:c>
      <x:c r="D131" s="166" t="str">
        <x:v>Oliveira Trust Servicer</x:v>
      </x:c>
      <x:c r="E131" s="166" t="str">
        <x:f>IFERROR(INDEX('Classif Gestoras'!$H$6:$H$462,MATCH(D131,'Classif Gestoras'!$A$6:$A$462,0)),"Não classificada")</x:f>
        <x:v>Independente</x:v>
      </x:c>
      <x:c r="F131" s="166" t="str">
        <x:v>Oliveira Trust DTVM</x:v>
      </x:c>
      <x:c r="G131" s="166" t="str">
        <x:v>OLIVEIRA TRUST DTVM S.A.</x:v>
      </x:c>
      <x:c r="H131" s="166" t="str">
        <x:v>Agro, Indústria e Comércio</x:v>
      </x:c>
      <x:c r="I131" s="166" t="str">
        <x:v>Recebíveis Comerciais</x:v>
      </x:c>
      <x:c r="J131" s="166" t="str">
        <x:v>CI</x:v>
      </x:c>
      <x:c r="K131" s="172" t="n">
        <x:v>23</x:v>
      </x:c>
      <x:c r="L131" s="185" t="str">
        <x:v>Não classificado</x:v>
      </x:c>
    </x:row>
    <x:row r="132">
      <x:c r="A132" s="175" t="str">
        <x:v>12.236.809/0001-04</x:v>
      </x:c>
      <x:c r="B132" s="166" t="str">
        <x:v>PLR FUNDO DE INVESTIMENTO EM DIREITOS CREDITÓRIOS</x:v>
      </x:c>
      <x:c r="C132" s="188" t="n">
        <x:v>1046651295.13</x:v>
      </x:c>
      <x:c r="D132" s="166" t="str">
        <x:v>ORRAM GESTÃO DE RECURSOS LTDA.</x:v>
      </x:c>
      <x:c r="E132" s="166" t="str">
        <x:f>IFERROR(INDEX('Classif Gestoras'!$H$6:$H$462,MATCH(D132,'Classif Gestoras'!$A$6:$A$462,0)),"Não classificada")</x:f>
        <x:v>Independente</x:v>
      </x:c>
      <x:c r="F132" s="166" t="str">
        <x:v>FIDD DISTRIBUIDORA DE TITULOS E VALORES MOBILIARIOS LTD</x:v>
      </x:c>
      <x:c r="G132" s="166" t="str">
        <x:v>FIDD DISTRIBUIDORA DE TITULOS E VALORES MOBILIARIOS LTDA.</x:v>
      </x:c>
      <x:c r="H132" s="166" t="str">
        <x:v>Outros</x:v>
      </x:c>
      <x:c r="I132" s="166" t="str">
        <x:v>Multicarteira Outros</x:v>
      </x:c>
      <x:c r="J132" s="166" t="str">
        <x:v>CI</x:v>
      </x:c>
      <x:c r="K132" s="172" t="n">
        <x:v>4</x:v>
      </x:c>
      <x:c r="L132" s="185" t="str">
        <x:v>Não classificado</x:v>
      </x:c>
    </x:row>
    <x:row r="133">
      <x:c r="A133" s="175" t="str">
        <x:v>63.321.684/0001-43</x:v>
      </x:c>
      <x:c r="B133" s="166" t="str">
        <x:v>PINE INSS II FUNDO DE INVESTIMENTO EM DIREITOS CREDITÓRIOS RESPONSABILIDADE LIMITADA</x:v>
      </x:c>
      <x:c r="C133" s="188" t="n">
        <x:v>1021780760.61</x:v>
      </x:c>
      <x:c r="D133" s="166" t="str">
        <x:v>PIER GESTAO DE RECURSOS FINANCEIROS LTDA</x:v>
      </x:c>
      <x:c r="E133" s="166" t="str">
        <x:f>IFERROR(INDEX('Classif Gestoras'!$H$6:$H$462,MATCH(D133,'Classif Gestoras'!$A$6:$A$462,0)),"Não classificada")</x:f>
        <x:v>Independente</x:v>
      </x:c>
      <x:c r="F133" s="166" t="str">
        <x:v>VERT Distribuidora de Títulos e Valores Mobiliários Ltd</x:v>
      </x:c>
      <x:c r="G133" s="166" t="str">
        <x:v>VERT DISTRIBUIDORA DE TÍTULOS E VALORES MOBILIÁRIOS LTDA.</x:v>
      </x:c>
      <x:c r="H133" s="166" t="str">
        <x:v>Financeiro</x:v>
      </x:c>
      <x:c r="I133" s="166" t="str">
        <x:v>Crédito Consignado</x:v>
      </x:c>
      <x:c r="J133" s="166" t="str">
        <x:v>CI</x:v>
      </x:c>
      <x:c r="K133" s="172" t="n">
        <x:v>4</x:v>
      </x:c>
      <x:c r="L133" s="185" t="str">
        <x:v>Não classificado</x:v>
      </x:c>
    </x:row>
    <x:row r="134">
      <x:c r="A134" s="175" t="str">
        <x:v>61.271.872/0001-89</x:v>
      </x:c>
      <x:c r="B134" s="166" t="str">
        <x:v>PINE INSS FUNDO DE INVESTIMENTO EM DIREITOS CREDITÓRIOS SEGMENTO FINANCEIRO RESP LIMITADA</x:v>
      </x:c>
      <x:c r="C134" s="188" t="n">
        <x:v>1019959508.07</x:v>
      </x:c>
      <x:c r="D134" s="166" t="str">
        <x:v>VALORA RENDA FIXA ESTRUTURADOS LTDA.</x:v>
      </x:c>
      <x:c r="E134" s="166" t="str">
        <x:f>IFERROR(INDEX('Classif Gestoras'!$H$6:$H$462,MATCH(D134,'Classif Gestoras'!$A$6:$A$462,0)),"Não classificada")</x:f>
        <x:v>Independente</x:v>
      </x:c>
      <x:c r="F134" s="166" t="str">
        <x:v>VERT Distribuidora de Títulos e Valores Mobiliários Ltd</x:v>
      </x:c>
      <x:c r="G134" s="166" t="str">
        <x:v>VERT DISTRIBUIDORA DE TÍTULOS E VALORES MOBILIÁRIOS LTDA.</x:v>
      </x:c>
      <x:c r="H134" s="166" t="str">
        <x:v>Financeiro</x:v>
      </x:c>
      <x:c r="I134" s="166" t="str">
        <x:v>Crédito Consignado</x:v>
      </x:c>
      <x:c r="J134" s="166" t="str">
        <x:v>CI</x:v>
      </x:c>
      <x:c r="K134" s="172" t="n">
        <x:v>4</x:v>
      </x:c>
      <x:c r="L134" s="185" t="str">
        <x:v>Não classificado</x:v>
      </x:c>
    </x:row>
    <x:row r="135">
      <x:c r="A135" s="175" t="str">
        <x:v>62.310.468/0001-30</x:v>
      </x:c>
      <x:c r="B135" s="166" t="str">
        <x:v>MT INSS RECEIVABLES VI FUNDO DE INVESTIMENTO EM DIREITOS CREDITÓRIOS RESPONSABILIDADE LIMITADA</x:v>
      </x:c>
      <x:c r="C135" s="188" t="n">
        <x:v>1014942596.8600004</x:v>
      </x:c>
      <x:c r="D135" s="166" t="str">
        <x:v>BTG Pactual Asset</x:v>
      </x:c>
      <x:c r="E135" s="166" t="str">
        <x:f>IFERROR(INDEX('Classif Gestoras'!$H$6:$H$462,MATCH(D135,'Classif Gestoras'!$A$6:$A$462,0)),"Não classificada")</x:f>
        <x:v>Ligada a banco</x:v>
      </x:c>
      <x:c r="F135" s="166" t="str">
        <x:v>BTG Pactual Servicos Financeiros S/A DTVM</x:v>
      </x:c>
      <x:c r="G135" s="166" t="str">
        <x:v>BANCO BTG PACTUAL S/A</x:v>
      </x:c>
      <x:c r="H135" s="166" t="str">
        <x:v>Financeiro</x:v>
      </x:c>
      <x:c r="I135" s="166" t="str">
        <x:v>Crédito Consignado</x:v>
      </x:c>
      <x:c r="J135" s="166" t="str">
        <x:v>CI</x:v>
      </x:c>
      <x:c r="K135" s="172" t="n">
        <x:v>128</x:v>
      </x:c>
      <x:c r="L135" s="185" t="str">
        <x:v>Não classificado</x:v>
      </x:c>
    </x:row>
    <x:row r="136">
      <x:c r="A136" s="175" t="str">
        <x:v>26.459.204/0001-89</x:v>
      </x:c>
      <x:c r="B136" s="166" t="str">
        <x:v>JAPUÍRA FUNDO DE INVESTIMENTO EM DIREITOS CREDITÓRIOS NÃO PADRONIZADOS</x:v>
      </x:c>
      <x:c r="C136" s="188" t="n">
        <x:v>1010617767.96</x:v>
      </x:c>
      <x:c r="D136" s="166" t="str">
        <x:v>REAG BERKANA</x:v>
      </x:c>
      <x:c r="E136" s="166" t="str">
        <x:f>IFERROR(INDEX('Classif Gestoras'!$H$6:$H$462,MATCH(D136,'Classif Gestoras'!$A$6:$A$462,0)),"Não classificada")</x:f>
        <x:v>Independente</x:v>
      </x:c>
      <x:c r="F136" s="166" t="str">
        <x:v>Singulare</x:v>
      </x:c>
      <x:c r="G136" s="166" t="str">
        <x:v>QI CORRETORA DE TÍTULOS E VALORES MOBILIÁRIOS S.A.</x:v>
      </x:c>
      <x:c r="H136" s="166" t="str">
        <x:v>Agro, Indústria e Comércio</x:v>
      </x:c>
      <x:c r="I136" s="166" t="str">
        <x:v>Agronegócio</x:v>
      </x:c>
      <x:c r="J136" s="166" t="str">
        <x:v>CI</x:v>
      </x:c>
      <x:c r="K136" s="172" t="n">
        <x:v>1</x:v>
      </x:c>
      <x:c r="L136" s="185" t="str">
        <x:v>Não classificado</x:v>
      </x:c>
    </x:row>
    <x:row r="137">
      <x:c r="A137" s="175" t="str">
        <x:v>19.388.423/0001-59</x:v>
      </x:c>
      <x:c r="B137" s="166" t="str">
        <x:v>FUNDO DE INVESTIMENTO EM DIREITOS CREDITÓRIOS IOX I</x:v>
      </x:c>
      <x:c r="C137" s="188" t="n">
        <x:v>1009951736.41</x:v>
      </x:c>
      <x:c r="D137" s="166" t="str">
        <x:v>OURO PRETO INVESTIMENTOS</x:v>
      </x:c>
      <x:c r="E137" s="166" t="str">
        <x:f>IFERROR(INDEX('Classif Gestoras'!$H$6:$H$462,MATCH(D137,'Classif Gestoras'!$A$6:$A$462,0)),"Não classificada")</x:f>
        <x:v>Independente</x:v>
      </x:c>
      <x:c r="F137" s="166" t="str">
        <x:v>Singulare</x:v>
      </x:c>
      <x:c r="G137" s="166" t="str">
        <x:v>QI CORRETORA DE TÍTULOS E VALORES MOBILIÁRIOS S.A.</x:v>
      </x:c>
      <x:c r="H137" s="166" t="str">
        <x:v>Fomento Mercantil</x:v>
      </x:c>
      <x:c r="I137" s="166" t="str">
        <x:v>Fomento Mercantil</x:v>
      </x:c>
      <x:c r="J137" s="166" t="str">
        <x:v>CI</x:v>
      </x:c>
      <x:c r="K137" s="172" t="n">
        <x:v>213</x:v>
      </x:c>
      <x:c r="L137" s="185" t="str">
        <x:v>Não classificado</x:v>
      </x:c>
    </x:row>
    <x:row r="138">
      <x:c r="A138" s="175" t="str">
        <x:v>51.344.394/0001-36</x:v>
      </x:c>
      <x:c r="B138" s="166" t="str">
        <x:v>HAVAN FORNECEDORES FUNDO DE INVESTIMENTO EM DIREITOS CREDITÓRIOS MULTICARTEIRA</x:v>
      </x:c>
      <x:c r="C138" s="188" t="n">
        <x:v>993651198.36</x:v>
      </x:c>
      <x:c r="D138" s="166" t="str">
        <x:v>Petra Capital</x:v>
      </x:c>
      <x:c r="E138" s="166" t="str">
        <x:f>IFERROR(INDEX('Classif Gestoras'!$H$6:$H$462,MATCH(D138,'Classif Gestoras'!$A$6:$A$462,0)),"Não classificada")</x:f>
        <x:v>Independente</x:v>
      </x:c>
      <x:c r="F138" s="166" t="str">
        <x:v>Finaxis Corretora de Títulos e Valores Mobiliários S.A.</x:v>
      </x:c>
      <x:c r="G138" s="166" t="str">
        <x:v>BANCO FINAXIS S.A.</x:v>
      </x:c>
      <x:c r="H138" s="166" t="str">
        <x:v>Agro, Indústria e Comércio</x:v>
      </x:c>
      <x:c r="I138" s="166" t="str">
        <x:v>Recebíveis Comerciais</x:v>
      </x:c>
      <x:c r="J138" s="166" t="str">
        <x:v>CI</x:v>
      </x:c>
      <x:c r="K138" s="172" t="n">
        <x:v>1</x:v>
      </x:c>
      <x:c r="L138" s="185" t="str">
        <x:v>Não classificado</x:v>
      </x:c>
    </x:row>
    <x:row r="139">
      <x:c r="A139" s="175" t="str">
        <x:v>57.816.252/0001-00</x:v>
      </x:c>
      <x:c r="B139" s="166" t="str">
        <x:v>NATURA PAY FUNDO DE INVESTIMENTO EM DIREITOS CREDITÓRIOS CRÉDITO PESSOAL SOCIAL E IS RESP LTDA</x:v>
      </x:c>
      <x:c r="C139" s="188" t="n">
        <x:v>990943423.15</x:v>
      </x:c>
      <x:c r="D139" s="166" t="str">
        <x:v>Oliveira Trust Servicer</x:v>
      </x:c>
      <x:c r="E139" s="166" t="str">
        <x:f>IFERROR(INDEX('Classif Gestoras'!$H$6:$H$462,MATCH(D139,'Classif Gestoras'!$A$6:$A$462,0)),"Não classificada")</x:f>
        <x:v>Independente</x:v>
      </x:c>
      <x:c r="F139" s="166" t="str">
        <x:v>Oliveira Trust DTVM</x:v>
      </x:c>
      <x:c r="G139" s="166" t="str">
        <x:v>OLIVEIRA TRUST DTVM S.A.</x:v>
      </x:c>
      <x:c r="H139" s="166" t="str">
        <x:v>Financeiro</x:v>
      </x:c>
      <x:c r="I139" s="166" t="str">
        <x:v>Crédito Pessoal</x:v>
      </x:c>
      <x:c r="J139" s="166" t="str">
        <x:v>CI</x:v>
      </x:c>
      <x:c r="K139" s="172" t="n">
        <x:v>4</x:v>
      </x:c>
      <x:c r="L139" s="185" t="str">
        <x:v>Não classificado</x:v>
      </x:c>
    </x:row>
    <x:row r="140">
      <x:c r="A140" s="175" t="str">
        <x:v>57.555.582/0001-90</x:v>
      </x:c>
      <x:c r="B140" s="166" t="str">
        <x:v>ALDEBARAN FUNDO DE INVESTIMENTO EM DIREITOS CREDITÓRIOS - RESPONSABILIDADE LIMITADA</x:v>
      </x:c>
      <x:c r="C140" s="188" t="n">
        <x:v>989930998.45</x:v>
      </x:c>
      <x:c r="D140" s="166" t="str">
        <x:v>Emerald Gestão de Investimento</x:v>
      </x:c>
      <x:c r="E140" s="166" t="str">
        <x:f>IFERROR(INDEX('Classif Gestoras'!$H$6:$H$462,MATCH(D140,'Classif Gestoras'!$A$6:$A$462,0)),"Não classificada")</x:f>
        <x:v>Independente</x:v>
      </x:c>
      <x:c r="F140" s="166" t="str">
        <x:v>BANCO J. SAFRA S/A</x:v>
      </x:c>
      <x:c r="G140" s="166" t="str">
        <x:v>OLIVEIRA TRUST DTVM S.A.</x:v>
      </x:c>
      <x:c r="H140" s="166" t="str">
        <x:v>Outros</x:v>
      </x:c>
      <x:c r="I140" s="166" t="str">
        <x:v>Multicarteira Outros</x:v>
      </x:c>
      <x:c r="J140" s="166" t="str">
        <x:v>CI</x:v>
      </x:c>
      <x:c r="K140" s="172" t="n">
        <x:v>8</x:v>
      </x:c>
      <x:c r="L140" s="185" t="str">
        <x:v>Não classificado</x:v>
      </x:c>
    </x:row>
    <x:row r="141">
      <x:c r="A141" s="175" t="str">
        <x:v>47.166.884/0001-12</x:v>
      </x:c>
      <x:c r="B141" s="166" t="str">
        <x:v>FUNDO DE INVESTIMENTO EM DIREITOS CREDITÓRIOS COMERCIAIS VIKING</x:v>
      </x:c>
      <x:c r="C141" s="188" t="n">
        <x:v>988228672.84</x:v>
      </x:c>
      <x:c r="D141" s="166" t="str">
        <x:v>Integral Investimentos</x:v>
      </x:c>
      <x:c r="E141" s="166" t="str">
        <x:f>IFERROR(INDEX('Classif Gestoras'!$H$6:$H$462,MATCH(D141,'Classif Gestoras'!$A$6:$A$462,0)),"Não classificada")</x:f>
        <x:v>Independente</x:v>
      </x:c>
      <x:c r="F141" s="166" t="str">
        <x:v>BEM - DIST. DE TÍTUL</x:v>
      </x:c>
      <x:c r="G141" s="166" t="str">
        <x:v>BANCO BRADESCO S.A.</x:v>
      </x:c>
      <x:c r="H141" s="166" t="str">
        <x:v>Financeiro</x:v>
      </x:c>
      <x:c r="I141" s="166" t="str">
        <x:v>Financiamento de Veículos</x:v>
      </x:c>
      <x:c r="J141" s="166" t="str">
        <x:v>CI</x:v>
      </x:c>
      <x:c r="K141" s="172" t="n">
        <x:v>1</x:v>
      </x:c>
      <x:c r="L141" s="185" t="str">
        <x:v>Não classificado</x:v>
      </x:c>
    </x:row>
    <x:row r="142">
      <x:c r="A142" s="175" t="str">
        <x:v>54.810.968/0001-02</x:v>
      </x:c>
      <x:c r="B142" s="166" t="str">
        <x:v>ANGÁ FGTS III FUNDO DE INVESTIMENTO EM DIREITOS CREDITÓRIOS</x:v>
      </x:c>
      <x:c r="C142" s="188" t="n">
        <x:v>986234239.47</x:v>
      </x:c>
      <x:c r="D142" s="166" t="str">
        <x:v>ANGÁ ASSET MANAGEMENT</x:v>
      </x:c>
      <x:c r="E142" s="166" t="str">
        <x:f>IFERROR(INDEX('Classif Gestoras'!$H$6:$H$462,MATCH(D142,'Classif Gestoras'!$A$6:$A$462,0)),"Não classificada")</x:f>
        <x:v>Independente</x:v>
      </x:c>
      <x:c r="F142" s="166" t="str">
        <x:v>BANCO DAYCOVAL S/A</x:v>
      </x:c>
      <x:c r="G142" s="166" t="str">
        <x:v>BANCO DAYCOVAL S.A.</x:v>
      </x:c>
      <x:c r="H142" s="166" t="str">
        <x:v>Financeiro</x:v>
      </x:c>
      <x:c r="I142" s="166" t="str">
        <x:v>Crédito Pessoal</x:v>
      </x:c>
      <x:c r="J142" s="166" t="str">
        <x:v>CI</x:v>
      </x:c>
      <x:c r="K142" s="172" t="n">
        <x:v>7</x:v>
      </x:c>
      <x:c r="L142" s="185" t="str">
        <x:v>Não classificado</x:v>
      </x:c>
    </x:row>
    <x:row r="143">
      <x:c r="A143" s="175" t="str">
        <x:v>52.720.932/0001-02</x:v>
      </x:c>
      <x:c r="B143" s="166" t="str">
        <x:v>FUNDO DE INVESTIMENTO EM DIREITOS CREDITÓRIOS CLIENTES BRF II</x:v>
      </x:c>
      <x:c r="C143" s="188" t="n">
        <x:v>973060308.59</x:v>
      </x:c>
      <x:c r="D143" s="166" t="str">
        <x:v>Banco Bradesco S/A</x:v>
      </x:c>
      <x:c r="E143" s="166" t="str">
        <x:f>IFERROR(INDEX('Classif Gestoras'!$H$6:$H$462,MATCH(D143,'Classif Gestoras'!$A$6:$A$462,0)),"Não classificada")</x:f>
        <x:v>Ligada a banco</x:v>
      </x:c>
      <x:c r="F143" s="166" t="str">
        <x:v>BEM - DIST. DE TÍTUL</x:v>
      </x:c>
      <x:c r="G143" s="166" t="str">
        <x:v>BANCO BRADESCO S.A.</x:v>
      </x:c>
      <x:c r="H143" s="166" t="str">
        <x:v>Fomento Mercantil</x:v>
      </x:c>
      <x:c r="I143" s="166" t="str">
        <x:v>Fomento Mercantil</x:v>
      </x:c>
      <x:c r="J143" s="166" t="str">
        <x:v>CI</x:v>
      </x:c>
      <x:c r="K143" s="172" t="n">
        <x:v>86</x:v>
      </x:c>
      <x:c r="L143" s="185" t="str">
        <x:v>Não classificado</x:v>
      </x:c>
    </x:row>
    <x:row r="144">
      <x:c r="A144" s="175" t="str">
        <x:v>40.770.670/0001-01</x:v>
      </x:c>
      <x:c r="B144" s="166" t="str">
        <x:v>MEZZO FUNDO DE INVESTIMENTO EM DIREITOS CREDITÓRIOS</x:v>
      </x:c>
      <x:c r="C144" s="188" t="n">
        <x:v>960708741.59</x:v>
      </x:c>
      <x:c r="D144" s="166" t="str">
        <x:v>SameSide GP</x:v>
      </x:c>
      <x:c r="E144" s="166" t="str">
        <x:f>IFERROR(INDEX('Classif Gestoras'!$H$6:$H$462,MATCH(D144,'Classif Gestoras'!$A$6:$A$462,0)),"Não classificada")</x:f>
        <x:v>Independente</x:v>
      </x:c>
      <x:c r="F144" s="166" t="str">
        <x:v>BTG Pactual Servicos Financeiros S/A DTVM</x:v>
      </x:c>
      <x:c r="G144" s="166" t="str">
        <x:v>BANCO BTG PACTUAL S/A</x:v>
      </x:c>
      <x:c r="H144" s="166" t="str">
        <x:v>Outros</x:v>
      </x:c>
      <x:c r="I144" s="166" t="str">
        <x:v>Multicarteira Outros</x:v>
      </x:c>
      <x:c r="J144" s="166" t="str">
        <x:v>CI</x:v>
      </x:c>
      <x:c r="K144" s="172" t="n">
        <x:v>1</x:v>
      </x:c>
      <x:c r="L144" s="185" t="str">
        <x:v>Não classificado</x:v>
      </x:c>
    </x:row>
    <x:row r="145">
      <x:c r="A145" s="175" t="str">
        <x:v>28.651.441/0001-72</x:v>
      </x:c>
      <x:c r="B145" s="166" t="str">
        <x:v>VERMILLION I FUNDO DE INVESTIMENTO EM DIREITOS CREDITÓRIOS NÃO PADRONIZADOS</x:v>
      </x:c>
      <x:c r="C145" s="188" t="n">
        <x:v>959931553.18</x:v>
      </x:c>
      <x:c r="D145" s="166" t="str">
        <x:v>GV ATACAMA CAPITAL LTDA.</x:v>
      </x:c>
      <x:c r="E145" s="166" t="str">
        <x:f>IFERROR(INDEX('Classif Gestoras'!$H$6:$H$462,MATCH(D145,'Classif Gestoras'!$A$6:$A$462,0)),"Não classificada")</x:f>
        <x:v>Independente</x:v>
      </x:c>
      <x:c r="F145" s="166" t="str">
        <x:v>Singulare</x:v>
      </x:c>
      <x:c r="G145" s="166" t="str">
        <x:v>QI CORRETORA DE TÍTULOS E VALORES MOBILIÁRIOS S.A.</x:v>
      </x:c>
      <x:c r="H145" s="166" t="str">
        <x:v>Fomento Mercantil</x:v>
      </x:c>
      <x:c r="I145" s="166" t="str">
        <x:v>Fomento Mercantil</x:v>
      </x:c>
      <x:c r="J145" s="166" t="str">
        <x:v>CI</x:v>
      </x:c>
      <x:c r="K145" s="172" t="n">
        <x:v>1</x:v>
      </x:c>
      <x:c r="L145" s="185" t="str">
        <x:v>Não classificado</x:v>
      </x:c>
    </x:row>
    <x:row r="146">
      <x:c r="A146" s="175" t="str">
        <x:v>29.720.593/0001-42</x:v>
      </x:c>
      <x:c r="B146" s="166" t="str">
        <x:v>FUNDO DE INVESTIMENTO EM DIREITOS CREDITÓRIOS ANGÁ MULTI CONSIGNADOS I RESPONSABILIDADE LIMITADA</x:v>
      </x:c>
      <x:c r="C146" s="188" t="n">
        <x:v>957627543.12</x:v>
      </x:c>
      <x:c r="D146" s="166" t="str">
        <x:v>ANGÁ ASSET MANAGEMENT</x:v>
      </x:c>
      <x:c r="E146" s="166" t="str">
        <x:f>IFERROR(INDEX('Classif Gestoras'!$H$6:$H$462,MATCH(D146,'Classif Gestoras'!$A$6:$A$462,0)),"Não classificada")</x:f>
        <x:v>Independente</x:v>
      </x:c>
      <x:c r="F146" s="166" t="str">
        <x:v>BANCO DAYCOVAL S/A</x:v>
      </x:c>
      <x:c r="G146" s="166" t="str">
        <x:v>BANCO DAYCOVAL S.A.</x:v>
      </x:c>
      <x:c r="H146" s="166" t="str">
        <x:v>Financeiro</x:v>
      </x:c>
      <x:c r="I146" s="166" t="str">
        <x:v>Multicarteira Financeiro</x:v>
      </x:c>
      <x:c r="J146" s="166" t="str">
        <x:v>CI</x:v>
      </x:c>
      <x:c r="K146" s="172" t="n">
        <x:v>10</x:v>
      </x:c>
      <x:c r="L146" s="185" t="str">
        <x:v>Não classificado</x:v>
      </x:c>
    </x:row>
    <x:row r="147">
      <x:c r="A147" s="175" t="str">
        <x:v>35.880.835/0001-68</x:v>
      </x:c>
      <x:c r="B147" s="166" t="str">
        <x:v>FUNDO DE GESTÃO E RECUPERAÇÃO - FIDC - RESPONSABILIDADE LIMITADA</x:v>
      </x:c>
      <x:c r="C147" s="188" t="n">
        <x:v>955973193.6</x:v>
      </x:c>
      <x:c r="D147" s="166" t="str">
        <x:v>JIVE INVESTMENTS</x:v>
      </x:c>
      <x:c r="E147" s="166" t="str">
        <x:f>IFERROR(INDEX('Classif Gestoras'!$H$6:$H$462,MATCH(D147,'Classif Gestoras'!$A$6:$A$462,0)),"Não classificada")</x:f>
        <x:v>Independente</x:v>
      </x:c>
      <x:c r="F147" s="166" t="str">
        <x:v>MAF Distribuidora de Títulos e Valores Mobiliários S.A.</x:v>
      </x:c>
      <x:c r="G147" s="166" t="str">
        <x:v>MAF DISTRIBUIDORA DE TITULOS E VALORES MOBILIARIOS S.A.</x:v>
      </x:c>
      <x:c r="H147" s="166" t="str">
        <x:v>Outros</x:v>
      </x:c>
      <x:c r="I147" s="166" t="str">
        <x:v>Recuperação</x:v>
      </x:c>
      <x:c r="J147" s="166" t="str">
        <x:v>CI</x:v>
      </x:c>
      <x:c r="K147" s="172" t="n">
        <x:v>1</x:v>
      </x:c>
      <x:c r="L147" s="185" t="str">
        <x:v>Não classificado</x:v>
      </x:c>
    </x:row>
    <x:row r="148">
      <x:c r="A148" s="175" t="str">
        <x:v>26.607.493/0001-16</x:v>
      </x:c>
      <x:c r="B148" s="166" t="str">
        <x:v>CNPJ 26607493000116</x:v>
      </x:c>
      <x:c r="C148" s="188" t="n">
        <x:v>955952751.58</x:v>
      </x:c>
      <x:c r="D148" s="166" t="str">
        <x:v>Emerald Gestão de Investimento</x:v>
      </x:c>
      <x:c r="E148" s="166" t="str">
        <x:f>IFERROR(INDEX('Classif Gestoras'!$H$6:$H$462,MATCH(D148,'Classif Gestoras'!$A$6:$A$462,0)),"Não classificada")</x:f>
        <x:v>Independente</x:v>
      </x:c>
      <x:c r="F148" s="166" t="str">
        <x:v>BANCO J. SAFRA S/A</x:v>
      </x:c>
      <x:c r="G148" s="166" t="str">
        <x:v>Não identificado</x:v>
      </x:c>
      <x:c r="H148" s="166" t="str">
        <x:v>Outros</x:v>
      </x:c>
      <x:c r="I148" s="166" t="str">
        <x:v>Poder Público</x:v>
      </x:c>
      <x:c r="J148" s="166" t="str">
        <x:v>CI</x:v>
      </x:c>
      <x:c r="K148" s="172"/>
      <x:c r="L148" s="185" t="str">
        <x:v>Não classificado</x:v>
      </x:c>
    </x:row>
    <x:row r="149">
      <x:c r="A149" s="175" t="str">
        <x:v>28.472.392/0001-00</x:v>
      </x:c>
      <x:c r="B149" s="166" t="str">
        <x:v>UPL 1 FUNDO DE INVESTIMENTO EM DIREITOS CREDITÓRIOS AGRONEGÓCIO RESPONSABILIDADE LIMITADA</x:v>
      </x:c>
      <x:c r="C149" s="188" t="n">
        <x:v>955072456.1</x:v>
      </x:c>
      <x:c r="D149" s="166" t="str">
        <x:v>Eco Gestão de Ativos LTDA.</x:v>
      </x:c>
      <x:c r="E149" s="166" t="str">
        <x:f>IFERROR(INDEX('Classif Gestoras'!$H$6:$H$462,MATCH(D149,'Classif Gestoras'!$A$6:$A$462,0)),"Não classificada")</x:f>
        <x:v>Independente</x:v>
      </x:c>
      <x:c r="F149" s="166" t="str">
        <x:v>Finaxis Corretora de Títulos e Valores Mobiliários S.A.</x:v>
      </x:c>
      <x:c r="G149" s="166" t="str">
        <x:v>BANCO FINAXIS S.A.</x:v>
      </x:c>
      <x:c r="H149" s="166" t="str">
        <x:v>Agro, Indústria e Comércio</x:v>
      </x:c>
      <x:c r="I149" s="166" t="str">
        <x:v>Agronegócio</x:v>
      </x:c>
      <x:c r="J149" s="166" t="str">
        <x:v>CI</x:v>
      </x:c>
      <x:c r="K149" s="172" t="n">
        <x:v>7</x:v>
      </x:c>
      <x:c r="L149" s="185" t="str">
        <x:v>Não classificado</x:v>
      </x:c>
    </x:row>
    <x:row r="150">
      <x:c r="A150" s="175" t="str">
        <x:v>06.182.371/0001-18</x:v>
      </x:c>
      <x:c r="B150" s="166" t="str">
        <x:v>FOR-TE FIDC</x:v>
      </x:c>
      <x:c r="C150" s="188" t="n">
        <x:v>949948396.56</x:v>
      </x:c>
      <x:c r="D150" s="166" t="str">
        <x:v>Banco Bradesco S/A</x:v>
      </x:c>
      <x:c r="E150" s="166" t="str">
        <x:f>IFERROR(INDEX('Classif Gestoras'!$H$6:$H$462,MATCH(D150,'Classif Gestoras'!$A$6:$A$462,0)),"Não classificada")</x:f>
        <x:v>Ligada a banco</x:v>
      </x:c>
      <x:c r="F150" s="166" t="str">
        <x:v>BEM - DIST. DE TÍTUL</x:v>
      </x:c>
      <x:c r="G150" s="166" t="str">
        <x:v>Não identificado</x:v>
      </x:c>
      <x:c r="H150" s="166" t="str">
        <x:v>Fomento Mercantil</x:v>
      </x:c>
      <x:c r="I150" s="166" t="str">
        <x:v>Fomento Mercantil</x:v>
      </x:c>
      <x:c r="J150" s="166" t="str">
        <x:v>CI</x:v>
      </x:c>
      <x:c r="K150" s="172" t="n">
        <x:v>6</x:v>
      </x:c>
      <x:c r="L150" s="185" t="str">
        <x:v>Não classificado</x:v>
      </x:c>
    </x:row>
    <x:row r="151">
      <x:c r="A151" s="175" t="str">
        <x:v>52.989.090/0001-99</x:v>
      </x:c>
      <x:c r="B151" s="166" t="str">
        <x:v>FUNDO DE INVESTIMENTO EM DIREITOS CREDITÓRIOS NOTO CONSIGNADOS - RESPONSABILIDADE LIMITADA</x:v>
      </x:c>
      <x:c r="C151" s="188" t="n">
        <x:v>948499289.57</x:v>
      </x:c>
      <x:c r="D151" s="166" t="str">
        <x:v>VALORA RENDA FIXA ESTRUTURADOS LTDA.</x:v>
      </x:c>
      <x:c r="E151" s="166" t="str">
        <x:f>IFERROR(INDEX('Classif Gestoras'!$H$6:$H$462,MATCH(D151,'Classif Gestoras'!$A$6:$A$462,0)),"Não classificada")</x:f>
        <x:v>Independente</x:v>
      </x:c>
      <x:c r="F151" s="166" t="str">
        <x:v>Banvox DTVM</x:v>
      </x:c>
      <x:c r="G151" s="166" t="str">
        <x:v>QI CORRETORA DE TÍTULOS E VALORES MOBILIÁRIOS S.A.</x:v>
      </x:c>
      <x:c r="H151" s="166" t="str">
        <x:v>Financeiro</x:v>
      </x:c>
      <x:c r="I151" s="166" t="str">
        <x:v>Crédito Consignado</x:v>
      </x:c>
      <x:c r="J151" s="166" t="str">
        <x:v>CI</x:v>
      </x:c>
      <x:c r="K151" s="172" t="n">
        <x:v>160</x:v>
      </x:c>
      <x:c r="L151" s="185" t="str">
        <x:v>Não classificado</x:v>
      </x:c>
    </x:row>
    <x:row r="152">
      <x:c r="A152" s="175" t="str">
        <x:v>23.956.882/0001-69</x:v>
      </x:c>
      <x:c r="B152" s="166" t="str">
        <x:v>SB CRÉDITO FUNDO DE INVESTIMENTO EM DIREITOS CREDITÓRIOS MULTISSETORIAL DE CLASSE UNICA FECHADA</x:v>
      </x:c>
      <x:c r="C152" s="188" t="n">
        <x:v>948150439.08</x:v>
      </x:c>
      <x:c r="D152" s="166" t="str">
        <x:v>CARMEL GESTORA DE ATIVOS LTDA</x:v>
      </x:c>
      <x:c r="E152" s="166" t="str">
        <x:f>IFERROR(INDEX('Classif Gestoras'!$H$6:$H$462,MATCH(D152,'Classif Gestoras'!$A$6:$A$462,0)),"Não classificada")</x:f>
        <x:v>Independente</x:v>
      </x:c>
      <x:c r="F152" s="166" t="str">
        <x:v>Singulare</x:v>
      </x:c>
      <x:c r="G152" s="166" t="str">
        <x:v>QI CORRETORA DE TÍTULOS E VALORES MOBILIÁRIOS S.A.</x:v>
      </x:c>
      <x:c r="H152" s="166" t="str">
        <x:v>Fomento Mercantil</x:v>
      </x:c>
      <x:c r="I152" s="166" t="str">
        <x:v>Fomento Mercantil</x:v>
      </x:c>
      <x:c r="J152" s="166" t="str">
        <x:v>CI</x:v>
      </x:c>
      <x:c r="K152" s="172" t="n">
        <x:v>155</x:v>
      </x:c>
      <x:c r="L152" s="185" t="str">
        <x:v>Não classificado</x:v>
      </x:c>
    </x:row>
    <x:row r="153">
      <x:c r="A153" s="175" t="str">
        <x:v>24.069.733/0001-40</x:v>
      </x:c>
      <x:c r="B153" s="166" t="str">
        <x:v>MEG - FUNDO DE INVESTIMENTO EM DIREITOS CREDITÓRIOS</x:v>
      </x:c>
      <x:c r="C153" s="188" t="n">
        <x:v>930566821.42</x:v>
      </x:c>
      <x:c r="D153" s="166" t="str">
        <x:v>MAM ASSET MANAGEMENT</x:v>
      </x:c>
      <x:c r="E153" s="166" t="str">
        <x:f>IFERROR(INDEX('Classif Gestoras'!$H$6:$H$462,MATCH(D153,'Classif Gestoras'!$A$6:$A$462,0)),"Não classificada")</x:f>
        <x:v>Independente</x:v>
      </x:c>
      <x:c r="F153" s="166" t="str">
        <x:v>TRUSTEE DTVM</x:v>
      </x:c>
      <x:c r="G153" s="166" t="str">
        <x:v>TRUSTEE DISTRIBUIDORA DE TITULOS E VALORES MOBILIARIOS LTDA.</x:v>
      </x:c>
      <x:c r="H153" s="166" t="str">
        <x:v>Outros</x:v>
      </x:c>
      <x:c r="I153" s="166" t="str">
        <x:v>Poder Público</x:v>
      </x:c>
      <x:c r="J153" s="166" t="str">
        <x:v>CI</x:v>
      </x:c>
      <x:c r="K153" s="172" t="n">
        <x:v>2</x:v>
      </x:c>
      <x:c r="L153" s="185" t="str">
        <x:v>Não classificado</x:v>
      </x:c>
    </x:row>
    <x:row r="154">
      <x:c r="A154" s="175" t="str">
        <x:v>59.929.098/0001-09</x:v>
      </x:c>
      <x:c r="B154" s="166" t="str">
        <x:v>FUNDO DE INVESTIMENTO EM DIREITOS CREDITÓRIOS CREDITAS AUTO XII</x:v>
      </x:c>
      <x:c r="C154" s="188" t="n">
        <x:v>929466766.62</x:v>
      </x:c>
      <x:c r="D154" s="166" t="str">
        <x:v>ANGÁ ASSET MANAGEMENT</x:v>
      </x:c>
      <x:c r="E154" s="166" t="str">
        <x:f>IFERROR(INDEX('Classif Gestoras'!$H$6:$H$462,MATCH(D154,'Classif Gestoras'!$A$6:$A$462,0)),"Não classificada")</x:f>
        <x:v>Independente</x:v>
      </x:c>
      <x:c r="F154" s="166" t="str">
        <x:v>BANCO DAYCOVAL S/A</x:v>
      </x:c>
      <x:c r="G154" s="166" t="str">
        <x:v>BANCO DAYCOVAL S.A.</x:v>
      </x:c>
      <x:c r="H154" s="166" t="str">
        <x:v>Outros</x:v>
      </x:c>
      <x:c r="I154" s="166" t="str">
        <x:v>Multicarteira Outros</x:v>
      </x:c>
      <x:c r="J154" s="166" t="str">
        <x:v>CI</x:v>
      </x:c>
      <x:c r="K154" s="172" t="n">
        <x:v>458</x:v>
      </x:c>
      <x:c r="L154" s="185" t="str">
        <x:v>Não classificado</x:v>
      </x:c>
    </x:row>
    <x:row r="155">
      <x:c r="A155" s="175" t="str">
        <x:v>45.445.355/0001-22</x:v>
      </x:c>
      <x:c r="B155" s="166" t="str">
        <x:v>BEMOL CRÉDITO PESSOAL FIDC FINANCEIROS DE RESPONSABILIDADE LIMITADA</x:v>
      </x:c>
      <x:c r="C155" s="188" t="n">
        <x:v>919874909.34</x:v>
      </x:c>
      <x:c r="D155" s="166" t="str">
        <x:v>VERT Gestora de Recursos Financeiros Ltda.</x:v>
      </x:c>
      <x:c r="E155" s="166" t="str">
        <x:f>IFERROR(INDEX('Classif Gestoras'!$H$6:$H$462,MATCH(D155,'Classif Gestoras'!$A$6:$A$462,0)),"Não classificada")</x:f>
        <x:v>Independente</x:v>
      </x:c>
      <x:c r="F155" s="166" t="str">
        <x:v>Oliveira Trust DTVM</x:v>
      </x:c>
      <x:c r="G155" s="166" t="str">
        <x:v>OLIVEIRA TRUST DTVM S.A.</x:v>
      </x:c>
      <x:c r="H155" s="166" t="str">
        <x:v>Financeiro</x:v>
      </x:c>
      <x:c r="I155" s="166" t="str">
        <x:v>Crédito Pessoal</x:v>
      </x:c>
      <x:c r="J155" s="166" t="str">
        <x:v>CI</x:v>
      </x:c>
      <x:c r="K155" s="172" t="n">
        <x:v>193</x:v>
      </x:c>
      <x:c r="L155" s="185" t="str">
        <x:v>Não classificado</x:v>
      </x:c>
    </x:row>
    <x:row r="156">
      <x:c r="A156" s="175" t="str">
        <x:v>54.218.673/0001-41</x:v>
      </x:c>
      <x:c r="B156" s="166" t="str">
        <x:v>CLOUDWALK BIG PICTURE I FUNDO DE INVESTIMENTO EM DIREITOS CREDITÓRIOS SEGMENTO MEIOS DE PAGAMENTO</x:v>
      </x:c>
      <x:c r="C156" s="188" t="n">
        <x:v>904587000.3</x:v>
      </x:c>
      <x:c r="D156" s="166" t="str">
        <x:v>GENIAL GESTÃO LTDA.</x:v>
      </x:c>
      <x:c r="E156" s="166" t="str">
        <x:f>IFERROR(INDEX('Classif Gestoras'!$H$6:$H$462,MATCH(D156,'Classif Gestoras'!$A$6:$A$462,0)),"Não classificada")</x:f>
        <x:v>Ligada a banco</x:v>
      </x:c>
      <x:c r="F156" s="166" t="str">
        <x:v>Banco Genial S.A.</x:v>
      </x:c>
      <x:c r="G156" s="166" t="str">
        <x:v>BANCO GENIAL S.A.</x:v>
      </x:c>
      <x:c r="H156" s="166" t="str">
        <x:v>Agro, Indústria e Comércio</x:v>
      </x:c>
      <x:c r="I156" s="166" t="str">
        <x:v>Recebíveis Comerciais</x:v>
      </x:c>
      <x:c r="J156" s="166" t="str">
        <x:v>CI</x:v>
      </x:c>
      <x:c r="K156" s="172" t="n">
        <x:v>18</x:v>
      </x:c>
      <x:c r="L156" s="185" t="str">
        <x:v>Não classificado</x:v>
      </x:c>
    </x:row>
    <x:row r="157">
      <x:c r="A157" s="175" t="str">
        <x:v>60.487.508/0001-98</x:v>
      </x:c>
      <x:c r="B157" s="166" t="str">
        <x:v>MOAB FUNDO DE INVESTIMENTO EM DIREITOS CREDITÓRIOS SEGMENTO RECEBÍVEIS COMERCIAIS</x:v>
      </x:c>
      <x:c r="C157" s="188" t="n">
        <x:v>900000005.07</x:v>
      </x:c>
      <x:c r="D157" s="166" t="str">
        <x:v>Banco Bradesco S/A</x:v>
      </x:c>
      <x:c r="E157" s="166" t="str">
        <x:f>IFERROR(INDEX('Classif Gestoras'!$H$6:$H$462,MATCH(D157,'Classif Gestoras'!$A$6:$A$462,0)),"Não classificada")</x:f>
        <x:v>Ligada a banco</x:v>
      </x:c>
      <x:c r="F157" s="166" t="str">
        <x:v>BEM - DIST. DE TÍTUL</x:v>
      </x:c>
      <x:c r="G157" s="166" t="str">
        <x:v>BANCO BRADESCO S.A.</x:v>
      </x:c>
      <x:c r="H157" s="166" t="str">
        <x:v>Agro, Indústria e Comércio</x:v>
      </x:c>
      <x:c r="I157" s="166" t="str">
        <x:v>Recebíveis Comerciais</x:v>
      </x:c>
      <x:c r="J157" s="166" t="str">
        <x:v>CI</x:v>
      </x:c>
      <x:c r="K157" s="172" t="n">
        <x:v>190</x:v>
      </x:c>
      <x:c r="L157" s="185" t="str">
        <x:v>Não classificado</x:v>
      </x:c>
    </x:row>
    <x:row r="158">
      <x:c r="A158" s="175" t="str">
        <x:v>61.188.091/0001-25</x:v>
      </x:c>
      <x:c r="B158" s="166" t="str">
        <x:v>BYX MOZART FUNDO DE INVESTIMENTO EM DIREITOS CREDITÓRIOS - CRÉDITO CONSIGNADO RESP. LIMITADA</x:v>
      </x:c>
      <x:c r="C158" s="188" t="n">
        <x:v>891029584.7</x:v>
      </x:c>
      <x:c r="D158" s="166" t="str">
        <x:v>VERT Gestora de Recursos Financeiros Ltda.</x:v>
      </x:c>
      <x:c r="E158" s="166" t="str">
        <x:f>IFERROR(INDEX('Classif Gestoras'!$H$6:$H$462,MATCH(D158,'Classif Gestoras'!$A$6:$A$462,0)),"Não classificada")</x:f>
        <x:v>Independente</x:v>
      </x:c>
      <x:c r="F158" s="166" t="str">
        <x:v>VERT Distribuidora de Títulos e Valores Mobiliários Ltd</x:v>
      </x:c>
      <x:c r="G158" s="166" t="str">
        <x:v>VERT DISTRIBUIDORA DE TÍTULOS E VALORES MOBILIÁRIOS LTDA.</x:v>
      </x:c>
      <x:c r="H158" s="166" t="str">
        <x:v>Financeiro</x:v>
      </x:c>
      <x:c r="I158" s="166" t="str">
        <x:v>Crédito Consignado</x:v>
      </x:c>
      <x:c r="J158" s="166" t="str">
        <x:v>CI</x:v>
      </x:c>
      <x:c r="K158" s="172" t="n">
        <x:v>5</x:v>
      </x:c>
      <x:c r="L158" s="185" t="str">
        <x:v>Não classificado</x:v>
      </x:c>
    </x:row>
    <x:row r="159">
      <x:c r="A159" s="175" t="str">
        <x:v>58.148.845/0001-09</x:v>
      </x:c>
      <x:c r="B159" s="166" t="str">
        <x:v>FUNDO DE INVESTIMENTO EM DIREITOS CREDITÓRIOS PICPAY FGTS</x:v>
      </x:c>
      <x:c r="C159" s="188" t="n">
        <x:v>890620937.7499999</x:v>
      </x:c>
      <x:c r="D159" s="166" t="str">
        <x:v>Kanastra</x:v>
      </x:c>
      <x:c r="E159" s="166" t="str">
        <x:f>IFERROR(INDEX('Classif Gestoras'!$H$6:$H$462,MATCH(D159,'Classif Gestoras'!$A$6:$A$462,0)),"Não classificada")</x:f>
        <x:v>Independente</x:v>
      </x:c>
      <x:c r="F159" s="166" t="str">
        <x:v>Limine Trust Distribuidora de Titulos e Valores Mobiliá</x:v>
      </x:c>
      <x:c r="G159" s="166" t="str">
        <x:v>LIMINE TRUST DISTRIBUIDORA DE TITULOS E VALORES MOBILIARIOS LTDA.</x:v>
      </x:c>
      <x:c r="H159" s="166" t="str">
        <x:v>Financeiro</x:v>
      </x:c>
      <x:c r="I159" s="166" t="str">
        <x:v>Crédito Pessoal</x:v>
      </x:c>
      <x:c r="J159" s="166" t="str">
        <x:v>CI</x:v>
      </x:c>
      <x:c r="K159" s="172" t="n">
        <x:v>112</x:v>
      </x:c>
      <x:c r="L159" s="185" t="str">
        <x:v>Não classificado</x:v>
      </x:c>
    </x:row>
    <x:row r="160">
      <x:c r="A160" s="175" t="str">
        <x:v>36.672.404/0001-79</x:v>
      </x:c>
      <x:c r="B160" s="166" t="str">
        <x:v>FUNDO DE INVESTIMENTO EM DIREITOS CREDITÓRIOS CRÉDITOS NÃO PADRONIZADOS I RESPONSABILIDADE LIMITADA</x:v>
      </x:c>
      <x:c r="C160" s="188" t="n">
        <x:v>890080998.39</x:v>
      </x:c>
      <x:c r="D160" s="166" t="str">
        <x:v>Banco BTG Pactual</x:v>
      </x:c>
      <x:c r="E160" s="166" t="str">
        <x:f>IFERROR(INDEX('Classif Gestoras'!$H$6:$H$462,MATCH(D160,'Classif Gestoras'!$A$6:$A$462,0)),"Não classificada")</x:f>
        <x:v>Ligada a banco</x:v>
      </x:c>
      <x:c r="F160" s="166" t="str">
        <x:v>BTG Pactual Servicos Financeiros S/A DTVM</x:v>
      </x:c>
      <x:c r="G160" s="166" t="str">
        <x:v>BANCO BTG PACTUAL S/A</x:v>
      </x:c>
      <x:c r="H160" s="166" t="str">
        <x:v>Outros</x:v>
      </x:c>
      <x:c r="I160" s="166" t="str">
        <x:v>Multicarteira Outros</x:v>
      </x:c>
      <x:c r="J160" s="166" t="str">
        <x:v>CI</x:v>
      </x:c>
      <x:c r="K160" s="172" t="n">
        <x:v>1</x:v>
      </x:c>
      <x:c r="L160" s="185" t="str">
        <x:v>Não classificado</x:v>
      </x:c>
    </x:row>
    <x:row r="161">
      <x:c r="A161" s="175" t="str">
        <x:v>35.754.011/0001-41</x:v>
      </x:c>
      <x:c r="B161" s="166" t="str">
        <x:v>FUNDO DE INVESTIMENTO EM DIREITOS CREDITÓRIOS PORTO DESAP -RESPONSABILIDADE LIMITADA</x:v>
      </x:c>
      <x:c r="C161" s="188" t="n">
        <x:v>883285827.63</x:v>
      </x:c>
      <x:c r="D161" s="166" t="str">
        <x:v>JIVE ASSET GESTAO DE RECURSOS LTDA</x:v>
      </x:c>
      <x:c r="E161" s="166" t="str">
        <x:f>IFERROR(INDEX('Classif Gestoras'!$H$6:$H$462,MATCH(D161,'Classif Gestoras'!$A$6:$A$462,0)),"Não classificada")</x:f>
        <x:v>Independente</x:v>
      </x:c>
      <x:c r="F161" s="166" t="str">
        <x:v>MAF Distribuidora de Títulos e Valores Mobiliários S.A.</x:v>
      </x:c>
      <x:c r="G161" s="166" t="str">
        <x:v>MAF DISTRIBUIDORA DE TITULOS E VALORES MOBILIARIOS S.A.</x:v>
      </x:c>
      <x:c r="H161" s="166" t="str">
        <x:v>Outros</x:v>
      </x:c>
      <x:c r="I161" s="166" t="str">
        <x:v>Recuperação</x:v>
      </x:c>
      <x:c r="J161" s="166" t="str">
        <x:v>CI</x:v>
      </x:c>
      <x:c r="K161" s="172" t="n">
        <x:v>5</x:v>
      </x:c>
      <x:c r="L161" s="185" t="str">
        <x:v>Não classificado</x:v>
      </x:c>
    </x:row>
    <x:row r="162">
      <x:c r="A162" s="175" t="str">
        <x:v>57.976.916/0001-07</x:v>
      </x:c>
      <x:c r="B162" s="166" t="str">
        <x:v>TM II FUNDO DE INVESTIMENTO EM DIREITOS CREDITORIOS</x:v>
      </x:c>
      <x:c r="C162" s="188" t="n">
        <x:v>882857515.46</x:v>
      </x:c>
      <x:c r="D162" s="166" t="str">
        <x:v>NEBRASKA CAPITAL</x:v>
      </x:c>
      <x:c r="E162" s="166" t="str">
        <x:f>IFERROR(INDEX('Classif Gestoras'!$H$6:$H$462,MATCH(D162,'Classif Gestoras'!$A$6:$A$462,0)),"Não classificada")</x:f>
        <x:v>Independente</x:v>
      </x:c>
      <x:c r="F162" s="166" t="str">
        <x:v>BTG Pactual Servicos Financeiros S/A DTVM</x:v>
      </x:c>
      <x:c r="G162" s="166" t="str">
        <x:v>BANCO BTG PACTUAL S/A</x:v>
      </x:c>
      <x:c r="H162" s="166" t="str">
        <x:v>Outros</x:v>
      </x:c>
      <x:c r="I162" s="166" t="str">
        <x:v>Multicarteira Outros</x:v>
      </x:c>
      <x:c r="J162" s="166" t="str">
        <x:v>CI</x:v>
      </x:c>
      <x:c r="K162" s="172" t="n">
        <x:v>7</x:v>
      </x:c>
      <x:c r="L162" s="185" t="str">
        <x:v>Não classificado</x:v>
      </x:c>
    </x:row>
    <x:row r="163">
      <x:c r="A163" s="175" t="str">
        <x:v>56.321.885/0001-85</x:v>
      </x:c>
      <x:c r="B163" s="166" t="str">
        <x:v>GONN II FUNDO DE INVESTIMENTO EM DIREITOS CREDITÓRIOS RESPONSABILIDADE LIMITADA</x:v>
      </x:c>
      <x:c r="C163" s="188" t="n">
        <x:v>877133966.83</x:v>
      </x:c>
      <x:c r="D163" s="166" t="str">
        <x:v>GENIAL GESTÃO LTDA.</x:v>
      </x:c>
      <x:c r="E163" s="166" t="str">
        <x:f>IFERROR(INDEX('Classif Gestoras'!$H$6:$H$462,MATCH(D163,'Classif Gestoras'!$A$6:$A$462,0)),"Não classificada")</x:f>
        <x:v>Ligada a banco</x:v>
      </x:c>
      <x:c r="F163" s="166" t="str">
        <x:v>Banco Genial S.A.</x:v>
      </x:c>
      <x:c r="G163" s="166" t="str">
        <x:v>BANCO GENIAL S.A.</x:v>
      </x:c>
      <x:c r="H163" s="166" t="str">
        <x:v>Financeiro</x:v>
      </x:c>
      <x:c r="I163" s="166" t="str">
        <x:v>Crédito Pessoal</x:v>
      </x:c>
      <x:c r="J163" s="166" t="str">
        <x:v>CI</x:v>
      </x:c>
      <x:c r="K163" s="172" t="n">
        <x:v>1</x:v>
      </x:c>
      <x:c r="L163" s="185" t="str">
        <x:v>Não classificado</x:v>
      </x:c>
    </x:row>
    <x:row r="164">
      <x:c r="A164" s="175" t="str">
        <x:v>51.943.745/0001-25</x:v>
      </x:c>
      <x:c r="B164" s="166" t="str">
        <x:v>V SELECT FUNDO DE INVESTIMENTO EM DIREITOS CREDITÓRIOS</x:v>
      </x:c>
      <x:c r="C164" s="188" t="n">
        <x:v>861908259.11</x:v>
      </x:c>
      <x:c r="D164" s="166" t="str">
        <x:v>Intrabank Asset</x:v>
      </x:c>
      <x:c r="E164" s="166" t="str">
        <x:f>IFERROR(INDEX('Classif Gestoras'!$H$6:$H$462,MATCH(D164,'Classif Gestoras'!$A$6:$A$462,0)),"Não classificada")</x:f>
        <x:v>Independente</x:v>
      </x:c>
      <x:c r="F164" s="166" t="str">
        <x:v>HEMERA DTVM</x:v>
      </x:c>
      <x:c r="G164" s="166" t="str">
        <x:v>HEMERA DISTRIBUIDORA DE TITULOS E VALORES MOBILIARIOS LTDA</x:v>
      </x:c>
      <x:c r="H164" s="166" t="str">
        <x:v>Outros</x:v>
      </x:c>
      <x:c r="I164" s="166" t="str">
        <x:v>Multicarteira Outros</x:v>
      </x:c>
      <x:c r="J164" s="166" t="str">
        <x:v>CI</x:v>
      </x:c>
      <x:c r="K164" s="172" t="n">
        <x:v>1</x:v>
      </x:c>
      <x:c r="L164" s="185" t="str">
        <x:v>Não classificado</x:v>
      </x:c>
    </x:row>
    <x:row r="165">
      <x:c r="A165" s="175" t="str">
        <x:v>53.293.984/0001-02</x:v>
      </x:c>
      <x:c r="B165" s="166" t="str">
        <x:v>SERENA FUNDO DE INVESTIMENTO EM DIREITOS CREDITÓRIOS</x:v>
      </x:c>
      <x:c r="C165" s="188" t="n">
        <x:v>856119469.95</x:v>
      </x:c>
      <x:c r="D165" s="166" t="str">
        <x:v>SUESTE CAPITAL GESTÃO DE RECURSOS LTDA.</x:v>
      </x:c>
      <x:c r="E165" s="166" t="str">
        <x:f>IFERROR(INDEX('Classif Gestoras'!$H$6:$H$462,MATCH(D165,'Classif Gestoras'!$A$6:$A$462,0)),"Não classificada")</x:f>
        <x:v>Independente</x:v>
      </x:c>
      <x:c r="F165" s="166" t="str">
        <x:v>XPI CCTVM S/A</x:v>
      </x:c>
      <x:c r="G165" s="166" t="str">
        <x:v>OLIVEIRA TRUST DTVM S.A.</x:v>
      </x:c>
      <x:c r="H165" s="166" t="str">
        <x:v>Outros</x:v>
      </x:c>
      <x:c r="I165" s="166" t="str">
        <x:v>Multicarteira Outros</x:v>
      </x:c>
      <x:c r="J165" s="166" t="str">
        <x:v>CI</x:v>
      </x:c>
      <x:c r="K165" s="172" t="n">
        <x:v>1</x:v>
      </x:c>
      <x:c r="L165" s="185" t="str">
        <x:v>Não classificado</x:v>
      </x:c>
    </x:row>
    <x:row r="166">
      <x:c r="A166" s="175" t="str">
        <x:v>50.327.909/0001-27</x:v>
      </x:c>
      <x:c r="B166" s="166" t="str">
        <x:v>TAMBASA FUNDO DE INVESTIMENTO EM DIREITOS CREDITÓRIOS</x:v>
      </x:c>
      <x:c r="C166" s="188" t="n">
        <x:v>852374454.16</x:v>
      </x:c>
      <x:c r="D166" s="166" t="str">
        <x:v>GV ATACAMA CAPITAL LTDA.</x:v>
      </x:c>
      <x:c r="E166" s="166" t="str">
        <x:f>IFERROR(INDEX('Classif Gestoras'!$H$6:$H$462,MATCH(D166,'Classif Gestoras'!$A$6:$A$462,0)),"Não classificada")</x:f>
        <x:v>Independente</x:v>
      </x:c>
      <x:c r="F166" s="166" t="str">
        <x:v>Singulare</x:v>
      </x:c>
      <x:c r="G166" s="166" t="str">
        <x:v>QI CORRETORA DE TÍTULOS E VALORES MOBILIÁRIOS S.A.</x:v>
      </x:c>
      <x:c r="H166" s="166" t="str">
        <x:v>Outros</x:v>
      </x:c>
      <x:c r="I166" s="166" t="str">
        <x:v>Multicarteira Outros</x:v>
      </x:c>
      <x:c r="J166" s="166" t="str">
        <x:v>CI</x:v>
      </x:c>
      <x:c r="K166" s="172" t="n">
        <x:v>54</x:v>
      </x:c>
      <x:c r="L166" s="185" t="str">
        <x:v>Não classificado</x:v>
      </x:c>
    </x:row>
    <x:row r="167">
      <x:c r="A167" s="175" t="str">
        <x:v>31.848.028/0001-07</x:v>
      </x:c>
      <x:c r="B167" s="166" t="str">
        <x:v>NAZARE MASTER FUNDO DE INVESTIMENTO EM DIREITOS CREDITÓRIOS</x:v>
      </x:c>
      <x:c r="C167" s="188" t="n">
        <x:v>846530147.88</x:v>
      </x:c>
      <x:c r="D167" s="166" t="str">
        <x:v>Artesanal Investimentos</x:v>
      </x:c>
      <x:c r="E167" s="166" t="str">
        <x:f>IFERROR(INDEX('Classif Gestoras'!$H$6:$H$462,MATCH(D167,'Classif Gestoras'!$A$6:$A$462,0)),"Não classificada")</x:f>
        <x:v>Independente</x:v>
      </x:c>
      <x:c r="F167" s="166" t="str">
        <x:v>Genial Investimentos Corretora de Valores Mobiliários S.A.</x:v>
      </x:c>
      <x:c r="G167" s="166" t="str">
        <x:v>BANCO B3 S.A.</x:v>
      </x:c>
      <x:c r="H167" s="166" t="str">
        <x:v>Financeiro</x:v>
      </x:c>
      <x:c r="I167" s="166" t="str">
        <x:v>Crédito Pessoal</x:v>
      </x:c>
      <x:c r="J167" s="166" t="str">
        <x:v>CI</x:v>
      </x:c>
      <x:c r="K167" s="172" t="n">
        <x:v>8</x:v>
      </x:c>
      <x:c r="L167" s="185" t="str">
        <x:v>Não classificado</x:v>
      </x:c>
    </x:row>
    <x:row r="168">
      <x:c r="A168" s="175" t="str">
        <x:v>53.779.703/0001-26</x:v>
      </x:c>
      <x:c r="B168" s="166" t="str">
        <x:v>XP CREDIT OPPORTUNITIES FUNDO DE INVESTIMENTO EM DIREITOS CREDITÓRIOS DE RESPONSABILIDADE LIMITADA</x:v>
      </x:c>
      <x:c r="C168" s="188" t="n">
        <x:v>844169473.6099999</x:v>
      </x:c>
      <x:c r="D168" s="166" t="str">
        <x:v>Vista Real Estate</x:v>
      </x:c>
      <x:c r="E168" s="166" t="str">
        <x:f>IFERROR(INDEX('Classif Gestoras'!$H$6:$H$462,MATCH(D168,'Classif Gestoras'!$A$6:$A$462,0)),"Não classificada")</x:f>
        <x:v>Independente</x:v>
      </x:c>
      <x:c r="F168" s="166" t="str">
        <x:v>XPI CCTVM S/A</x:v>
      </x:c>
      <x:c r="G168" s="166" t="str">
        <x:v>OLIVEIRA TRUST DTVM S.A.</x:v>
      </x:c>
      <x:c r="H168" s="166" t="str">
        <x:v>Outros</x:v>
      </x:c>
      <x:c r="I168" s="166" t="str">
        <x:v>Multicarteira Outros</x:v>
      </x:c>
      <x:c r="J168" s="166" t="str">
        <x:v>CI</x:v>
      </x:c>
      <x:c r="K168" s="172" t="n">
        <x:v>10325</x:v>
      </x:c>
      <x:c r="L168" s="185" t="str">
        <x:v>Não classificado</x:v>
      </x:c>
    </x:row>
    <x:row r="169">
      <x:c r="A169" s="175" t="str">
        <x:v>29.043.573/0001-84</x:v>
      </x:c>
      <x:c r="B169" s="166" t="str">
        <x:v>MALTA II FUNDO DE INVESTIMENTO EM DIREITOS CREDITÓRIOS NÃO-PADRONIZADOS</x:v>
      </x:c>
      <x:c r="C169" s="188" t="n">
        <x:v>841872348.77</x:v>
      </x:c>
      <x:c r="D169" s="166" t="str">
        <x:v>Jus Capital Gestão de Recursos LTDA</x:v>
      </x:c>
      <x:c r="E169" s="166" t="str">
        <x:f>IFERROR(INDEX('Classif Gestoras'!$H$6:$H$462,MATCH(D169,'Classif Gestoras'!$A$6:$A$462,0)),"Não classificada")</x:f>
        <x:v>Independente</x:v>
      </x:c>
      <x:c r="F169" s="166" t="str">
        <x:v>BTG Pactual Servicos Financeiros S/A DTVM</x:v>
      </x:c>
      <x:c r="G169" s="166" t="str">
        <x:v>BANCO BTG PACTUAL S/A</x:v>
      </x:c>
      <x:c r="H169" s="166" t="str">
        <x:v>Outros</x:v>
      </x:c>
      <x:c r="I169" s="166" t="str">
        <x:v>Multicarteira Outros</x:v>
      </x:c>
      <x:c r="J169" s="166" t="str">
        <x:v>CI</x:v>
      </x:c>
      <x:c r="K169" s="172" t="n">
        <x:v>8</x:v>
      </x:c>
      <x:c r="L169" s="185" t="str">
        <x:v>Não classificado</x:v>
      </x:c>
    </x:row>
    <x:row r="170">
      <x:c r="A170" s="175" t="str">
        <x:v>49.805.246/0001-20</x:v>
      </x:c>
      <x:c r="B170" s="166" t="str">
        <x:v>LASSIE 1 CRÉDITOS JUDICIAIS FUNDO DE INVESTIMENTO EM DIREITOS CREDITÓRIOS</x:v>
      </x:c>
      <x:c r="C170" s="188" t="n">
        <x:v>834710358.86</x:v>
      </x:c>
      <x:c r="D170" s="166" t="str">
        <x:v>LASS CAPITAL</x:v>
      </x:c>
      <x:c r="E170" s="166" t="str">
        <x:f>IFERROR(INDEX('Classif Gestoras'!$H$6:$H$462,MATCH(D170,'Classif Gestoras'!$A$6:$A$462,0)),"Não classificada")</x:f>
        <x:v>Independente</x:v>
      </x:c>
      <x:c r="F170" s="166" t="str">
        <x:v>BTG Pactual Servicos Financeiros S/A DTVM</x:v>
      </x:c>
      <x:c r="G170" s="166" t="str">
        <x:v>BANCO BTG PACTUAL S/A</x:v>
      </x:c>
      <x:c r="H170" s="166" t="str">
        <x:v>Outros</x:v>
      </x:c>
      <x:c r="I170" s="166" t="str">
        <x:v>Poder Público</x:v>
      </x:c>
      <x:c r="J170" s="166" t="str">
        <x:v>CI</x:v>
      </x:c>
      <x:c r="K170" s="172" t="n">
        <x:v>1</x:v>
      </x:c>
      <x:c r="L170" s="185" t="str">
        <x:v>Não classificado</x:v>
      </x:c>
    </x:row>
    <x:row r="171">
      <x:c r="A171" s="175" t="str">
        <x:v>32.321.306/0001-36</x:v>
      </x:c>
      <x:c r="B171" s="166" t="str">
        <x:v>ARAGUAIA FUNDO DE INVESTIMENTO EM DIREITOS CREDITÓRIOS RESPONSABILIDADE LIMITADA</x:v>
      </x:c>
      <x:c r="C171" s="188" t="n">
        <x:v>819765665.0300002</x:v>
      </x:c>
      <x:c r="D171" s="166" t="str">
        <x:v>Redwood Asset Management</x:v>
      </x:c>
      <x:c r="E171" s="166" t="str">
        <x:f>IFERROR(INDEX('Classif Gestoras'!$H$6:$H$462,MATCH(D171,'Classif Gestoras'!$A$6:$A$462,0)),"Não classificada")</x:f>
        <x:v>Independente</x:v>
      </x:c>
      <x:c r="F171" s="166" t="str">
        <x:v>PLANNER CV</x:v>
      </x:c>
      <x:c r="G171" s="166" t="str">
        <x:v>PLANNER CORRETORA DE VALORES S.A.</x:v>
      </x:c>
      <x:c r="H171" s="166" t="str">
        <x:v>Outros</x:v>
      </x:c>
      <x:c r="I171" s="166" t="str">
        <x:v>Multicarteira Outros</x:v>
      </x:c>
      <x:c r="J171" s="166" t="str">
        <x:v>CI</x:v>
      </x:c>
      <x:c r="K171" s="172" t="n">
        <x:v>3</x:v>
      </x:c>
      <x:c r="L171" s="185" t="str">
        <x:v>Não classificado</x:v>
      </x:c>
    </x:row>
    <x:row r="172">
      <x:c r="A172" s="175" t="str">
        <x:v>54.518.191/0001-07</x:v>
      </x:c>
      <x:c r="B172" s="166" t="str">
        <x:v>ICRED FGTS FUNDO DE INVESTIMENTO EM DIREITOS CREDITÓRIOS RESPONSABILIDADE LIMITADA</x:v>
      </x:c>
      <x:c r="C172" s="188" t="n">
        <x:v>813412014.52</x:v>
      </x:c>
      <x:c r="D172" s="166" t="str">
        <x:v>Oliveira Trust DTVM</x:v>
      </x:c>
      <x:c r="E172" s="166" t="str">
        <x:f>IFERROR(INDEX('Classif Gestoras'!$H$6:$H$462,MATCH(D172,'Classif Gestoras'!$A$6:$A$462,0)),"Não classificada")</x:f>
        <x:v>Independente</x:v>
      </x:c>
      <x:c r="F172" s="166" t="str">
        <x:v>Oliveira Trust DTVM</x:v>
      </x:c>
      <x:c r="G172" s="166" t="str">
        <x:v>OLIVEIRA TRUST DTVM S.A.</x:v>
      </x:c>
      <x:c r="H172" s="166" t="str">
        <x:v>Financeiro</x:v>
      </x:c>
      <x:c r="I172" s="166" t="str">
        <x:v>Crédito Pessoal</x:v>
      </x:c>
      <x:c r="J172" s="166" t="str">
        <x:v>CI</x:v>
      </x:c>
      <x:c r="K172" s="172" t="n">
        <x:v>147</x:v>
      </x:c>
      <x:c r="L172" s="185" t="str">
        <x:v>Não classificado</x:v>
      </x:c>
    </x:row>
    <x:row r="173">
      <x:c r="A173" s="175" t="str">
        <x:v>26.405.874/0001-12</x:v>
      </x:c>
      <x:c r="B173" s="166" t="str">
        <x:v>FUNDO DE INVESTIMENTO EM DIREITOS CREDITÓRIOS ATACADO RESPONSABILIDADE LIMITADA</x:v>
      </x:c>
      <x:c r="C173" s="188" t="n">
        <x:v>811932857.77</x:v>
      </x:c>
      <x:c r="D173" s="166" t="str">
        <x:v>BRL TRUST DTVM</x:v>
      </x:c>
      <x:c r="E173" s="166" t="str">
        <x:f>IFERROR(INDEX('Classif Gestoras'!$H$6:$H$462,MATCH(D173,'Classif Gestoras'!$A$6:$A$462,0)),"Não classificada")</x:f>
        <x:v>Independente</x:v>
      </x:c>
      <x:c r="F173" s="166" t="str">
        <x:v>BRL TRUST DTVM</x:v>
      </x:c>
      <x:c r="G173" s="166" t="str">
        <x:v>BRL TRUST DISTRIBUIDORA DE TITULOS E VALORES MOBILIARIOS S.A.</x:v>
      </x:c>
      <x:c r="H173" s="166" t="str">
        <x:v>Outros</x:v>
      </x:c>
      <x:c r="I173" s="166" t="str">
        <x:v>Multicarteira Outros</x:v>
      </x:c>
      <x:c r="J173" s="166" t="str">
        <x:v>CI</x:v>
      </x:c>
      <x:c r="K173" s="172" t="n">
        <x:v>1</x:v>
      </x:c>
      <x:c r="L173" s="185" t="str">
        <x:v>Não classificado</x:v>
      </x:c>
    </x:row>
    <x:row r="174">
      <x:c r="A174" s="175" t="str">
        <x:v>41.196.241/0001-35</x:v>
      </x:c>
      <x:c r="B174" s="166" t="str">
        <x:v>BRAVE 30 FUNDO DE INVESTIMENTO EM DIREITOS CREDITÓRIOS</x:v>
      </x:c>
      <x:c r="C174" s="188" t="n">
        <x:v>811842242.8022</x:v>
      </x:c>
      <x:c r="D174" s="166" t="str">
        <x:v>Brave Asset</x:v>
      </x:c>
      <x:c r="E174" s="166" t="str">
        <x:f>IFERROR(INDEX('Classif Gestoras'!$H$6:$H$462,MATCH(D174,'Classif Gestoras'!$A$6:$A$462,0)),"Não classificada")</x:f>
        <x:v>Independente</x:v>
      </x:c>
      <x:c r="F174" s="166" t="str">
        <x:v>BTG Pactual Servicos Financeiros S/A DTVM</x:v>
      </x:c>
      <x:c r="G174" s="166" t="str">
        <x:v>BANCO BTG PACTUAL S/A</x:v>
      </x:c>
      <x:c r="H174" s="166" t="str">
        <x:v>Outros</x:v>
      </x:c>
      <x:c r="I174" s="166" t="str">
        <x:v>Multicarteira Outros</x:v>
      </x:c>
      <x:c r="J174" s="166" t="str">
        <x:v>CI</x:v>
      </x:c>
      <x:c r="K174" s="172" t="n">
        <x:v>3374</x:v>
      </x:c>
      <x:c r="L174" s="185" t="str">
        <x:v>Não classificado</x:v>
      </x:c>
    </x:row>
    <x:row r="175">
      <x:c r="A175" s="175" t="str">
        <x:v>36.246.327/0001-95</x:v>
      </x:c>
      <x:c r="B175" s="166" t="str">
        <x:v>AMAZONITA FUNDO DE INVESTIMENTO EM DIREITOS CREDITÓRIOS</x:v>
      </x:c>
      <x:c r="C175" s="188" t="n">
        <x:v>811771955.91</x:v>
      </x:c>
      <x:c r="D175" s="166" t="str">
        <x:v>SMART AGRO INVESTIMENTOS LTDA.</x:v>
      </x:c>
      <x:c r="E175" s="166" t="str">
        <x:f>IFERROR(INDEX('Classif Gestoras'!$H$6:$H$462,MATCH(D175,'Classif Gestoras'!$A$6:$A$462,0)),"Não classificada")</x:f>
        <x:v>Independente</x:v>
      </x:c>
      <x:c r="F175" s="166" t="str">
        <x:v>TRUSTEE DTVM</x:v>
      </x:c>
      <x:c r="G175" s="166" t="str">
        <x:v>TRUSTEE DISTRIBUIDORA DE TITULOS E VALORES MOBILIARIOS LTDA.</x:v>
      </x:c>
      <x:c r="H175" s="166" t="str">
        <x:v>Outros</x:v>
      </x:c>
      <x:c r="I175" s="166" t="str">
        <x:v>Multicarteira Outros</x:v>
      </x:c>
      <x:c r="J175" s="166" t="str">
        <x:v>CI</x:v>
      </x:c>
      <x:c r="K175" s="172" t="n">
        <x:v>2</x:v>
      </x:c>
      <x:c r="L175" s="185" t="str">
        <x:v>Não classificado</x:v>
      </x:c>
    </x:row>
    <x:row r="176">
      <x:c r="A176" s="175" t="str">
        <x:v>10.613.882/0001-14</x:v>
      </x:c>
      <x:c r="B176" s="166" t="str">
        <x:v>ROYAL BANK FUNDO DE INVESTIMENTO EM DIREITOS CREDITÓRIOS DE RESPONSABILIDADE LIMITADA</x:v>
      </x:c>
      <x:c r="C176" s="188" t="n">
        <x:v>802422100.79</x:v>
      </x:c>
      <x:c r="D176" s="166" t="str">
        <x:v>Seven Pounds Asset</x:v>
      </x:c>
      <x:c r="E176" s="166" t="str">
        <x:f>IFERROR(INDEX('Classif Gestoras'!$H$6:$H$462,MATCH(D176,'Classif Gestoras'!$A$6:$A$462,0)),"Não classificada")</x:f>
        <x:v>Independente</x:v>
      </x:c>
      <x:c r="F176" s="166" t="str">
        <x:v>INTRAG DIST. DE TÍTU</x:v>
      </x:c>
      <x:c r="G176" s="166" t="str">
        <x:v>ITAU UNIBANCO S.A.</x:v>
      </x:c>
      <x:c r="H176" s="166" t="str">
        <x:v>Fomento Mercantil</x:v>
      </x:c>
      <x:c r="I176" s="166" t="str">
        <x:v>Fomento Mercantil</x:v>
      </x:c>
      <x:c r="J176" s="166" t="str">
        <x:v>CI</x:v>
      </x:c>
      <x:c r="K176" s="172" t="n">
        <x:v>1</x:v>
      </x:c>
      <x:c r="L176" s="185" t="str">
        <x:v>Não classificado</x:v>
      </x:c>
    </x:row>
    <x:row r="177">
      <x:c r="A177" s="175" t="str">
        <x:v>59.063.143/0001-95</x:v>
      </x:c>
      <x:c r="B177" s="166" t="str">
        <x:v>GUARDIAN MULTI CONSIGNADO XIII FUNDO DE INVESTIMENTO EM DIREITOS CREDITÓRIOS RESP LTDA</x:v>
      </x:c>
      <x:c r="C177" s="188" t="n">
        <x:v>785556591.55</x:v>
      </x:c>
      <x:c r="D177" s="166" t="str">
        <x:v>Guardian Crédito</x:v>
      </x:c>
      <x:c r="E177" s="166" t="str">
        <x:f>IFERROR(INDEX('Classif Gestoras'!$H$6:$H$462,MATCH(D177,'Classif Gestoras'!$A$6:$A$462,0)),"Não classificada")</x:f>
        <x:v>Independente</x:v>
      </x:c>
      <x:c r="F177" s="166" t="str">
        <x:v>Oliveira Trust DTVM</x:v>
      </x:c>
      <x:c r="G177" s="166" t="str">
        <x:v>OLIVEIRA TRUST DTVM S.A.</x:v>
      </x:c>
      <x:c r="H177" s="166" t="str">
        <x:v>Financeiro</x:v>
      </x:c>
      <x:c r="I177" s="166" t="str">
        <x:v>Crédito Consignado</x:v>
      </x:c>
      <x:c r="J177" s="166" t="str">
        <x:v>CI</x:v>
      </x:c>
      <x:c r="K177" s="172" t="n">
        <x:v>83</x:v>
      </x:c>
      <x:c r="L177" s="185" t="str">
        <x:v>Não classificado</x:v>
      </x:c>
    </x:row>
    <x:row r="178">
      <x:c r="A178" s="175" t="str">
        <x:v>62.092.802/0001-26</x:v>
      </x:c>
      <x:c r="B178" s="166" t="str">
        <x:v>IA II - FUNDO DE INVESTIMENTO EM DIREITOS CREDITÓRIOS RESPONSABILIDADE LIMITADA</x:v>
      </x:c>
      <x:c r="C178" s="188" t="n">
        <x:v>783253116.09</x:v>
      </x:c>
      <x:c r="D178" s="166" t="str">
        <x:v>Itau Unibanco</x:v>
      </x:c>
      <x:c r="E178" s="166" t="str">
        <x:f>IFERROR(INDEX('Classif Gestoras'!$H$6:$H$462,MATCH(D178,'Classif Gestoras'!$A$6:$A$462,0)),"Não classificada")</x:f>
        <x:v>Ligada a banco</x:v>
      </x:c>
      <x:c r="F178" s="166" t="str">
        <x:v>INTRAG DIST. DE TÍTU</x:v>
      </x:c>
      <x:c r="G178" s="166" t="str">
        <x:v>ITAU UNIBANCO S.A.</x:v>
      </x:c>
      <x:c r="H178" s="166" t="str">
        <x:v>Outros</x:v>
      </x:c>
      <x:c r="I178" s="166" t="str">
        <x:v>Poder Público</x:v>
      </x:c>
      <x:c r="J178" s="166" t="str">
        <x:v>CI</x:v>
      </x:c>
      <x:c r="K178" s="172" t="n">
        <x:v>1</x:v>
      </x:c>
      <x:c r="L178" s="185" t="str">
        <x:v>Não classificado</x:v>
      </x:c>
    </x:row>
    <x:row r="179">
      <x:c r="A179" s="175" t="str">
        <x:v>61.799.604/0001-34</x:v>
      </x:c>
      <x:c r="B179" s="166" t="str">
        <x:v>GCB FORNECEDORES FUNDO DE INVESTIMENTO EM DIREITOS CREDITÓRIOS COMERCIAIS RESPONSABILIDADE LIMITADA</x:v>
      </x:c>
      <x:c r="C179" s="188" t="n">
        <x:v>782272473.17</x:v>
      </x:c>
      <x:c r="D179" s="166" t="str">
        <x:v>Riza Securitização e Carteiras</x:v>
      </x:c>
      <x:c r="E179" s="166" t="str">
        <x:f>IFERROR(INDEX('Classif Gestoras'!$H$6:$H$462,MATCH(D179,'Classif Gestoras'!$A$6:$A$462,0)),"Não classificada")</x:f>
        <x:v>Independente</x:v>
      </x:c>
      <x:c r="F179" s="166" t="str">
        <x:v>Oliveira Trust DTVM</x:v>
      </x:c>
      <x:c r="G179" s="166" t="str">
        <x:v>OLIVEIRA TRUST DTVM S.A.</x:v>
      </x:c>
      <x:c r="H179" s="166" t="str">
        <x:v>Agro, Indústria e Comércio</x:v>
      </x:c>
      <x:c r="I179" s="166" t="str">
        <x:v>Recebíveis Comerciais</x:v>
      </x:c>
      <x:c r="J179" s="166" t="str">
        <x:v>CI</x:v>
      </x:c>
      <x:c r="K179" s="172" t="n">
        <x:v>158</x:v>
      </x:c>
      <x:c r="L179" s="185" t="str">
        <x:v>Não classificado</x:v>
      </x:c>
    </x:row>
    <x:row r="180">
      <x:c r="A180" s="175" t="str">
        <x:v>50.168.890/0001-13</x:v>
      </x:c>
      <x:c r="B180" s="166" t="str">
        <x:v>CEA PAY FUNDO DE INVESTIMENTO EM DIREITOS CREDITÓRIOS FINANCEIROS RESPONSABILIDADE LIMITADA</x:v>
      </x:c>
      <x:c r="C180" s="188" t="n">
        <x:v>776982789.62</x:v>
      </x:c>
      <x:c r="D180" s="166" t="str">
        <x:v>GENIAL GESTÃO LTDA.</x:v>
      </x:c>
      <x:c r="E180" s="166" t="str">
        <x:f>IFERROR(INDEX('Classif Gestoras'!$H$6:$H$462,MATCH(D180,'Classif Gestoras'!$A$6:$A$462,0)),"Não classificada")</x:f>
        <x:v>Ligada a banco</x:v>
      </x:c>
      <x:c r="F180" s="166" t="str">
        <x:v>Banco Genial S.A.</x:v>
      </x:c>
      <x:c r="G180" s="166" t="str">
        <x:v>BANCO GENIAL S.A.</x:v>
      </x:c>
      <x:c r="H180" s="166" t="str">
        <x:v>Agro, Indústria e Comércio</x:v>
      </x:c>
      <x:c r="I180" s="166" t="str">
        <x:v>Recebíveis Comerciais</x:v>
      </x:c>
      <x:c r="J180" s="166" t="str">
        <x:v>CI</x:v>
      </x:c>
      <x:c r="K180" s="172" t="n">
        <x:v>1</x:v>
      </x:c>
      <x:c r="L180" s="185" t="str">
        <x:v>Não classificado</x:v>
      </x:c>
    </x:row>
    <x:row r="181">
      <x:c r="A181" s="175" t="str">
        <x:v>63.322.011/0001-08</x:v>
      </x:c>
      <x:c r="B181" s="166" t="str">
        <x:v>FUNDO DE INVESTIMENTO EM DIREITOS CREDITÓRIOS STELLANTIS MOBILITY II - RESPONSABILIDADE LIMITADA</x:v>
      </x:c>
      <x:c r="C181" s="188" t="n">
        <x:v>775536893.4900001</x:v>
      </x:c>
      <x:c r="D181" s="166" t="str">
        <x:v>QI GESTAO DE RECURSOS LTDA</x:v>
      </x:c>
      <x:c r="E181" s="166" t="str">
        <x:f>IFERROR(INDEX('Classif Gestoras'!$H$6:$H$462,MATCH(D181,'Classif Gestoras'!$A$6:$A$462,0)),"Não classificada")</x:f>
        <x:v>Independente</x:v>
      </x:c>
      <x:c r="F181" s="166" t="str">
        <x:v>Singulare</x:v>
      </x:c>
      <x:c r="G181" s="166" t="str">
        <x:v>QI CORRETORA DE TÍTULOS E VALORES MOBILIÁRIOS S.A.</x:v>
      </x:c>
      <x:c r="H181" s="166" t="str">
        <x:v>Financeiro</x:v>
      </x:c>
      <x:c r="I181" s="166" t="str">
        <x:v>Financiamento de Veículos</x:v>
      </x:c>
      <x:c r="J181" s="166" t="str">
        <x:v>CI</x:v>
      </x:c>
      <x:c r="K181" s="172" t="n">
        <x:v>73</x:v>
      </x:c>
      <x:c r="L181" s="185" t="str">
        <x:v>Não classificado</x:v>
      </x:c>
    </x:row>
    <x:row r="182">
      <x:c r="A182" s="175" t="str">
        <x:v>30.144.066/0001-16</x:v>
      </x:c>
      <x:c r="B182" s="166" t="str">
        <x:v>CITY FUNDO DE INVESTIMENTO EM DIREITOS CREDITÓRIOS NÃO PADRONIZADO</x:v>
      </x:c>
      <x:c r="C182" s="188" t="n">
        <x:v>772069392.1300001</x:v>
      </x:c>
      <x:c r="D182" s="166" t="str">
        <x:v>Acura Gestora de Recursos LTDA.</x:v>
      </x:c>
      <x:c r="E182" s="166" t="str">
        <x:f>IFERROR(INDEX('Classif Gestoras'!$H$6:$H$462,MATCH(D182,'Classif Gestoras'!$A$6:$A$462,0)),"Não classificada")</x:f>
        <x:v>Independente</x:v>
      </x:c>
      <x:c r="F182" s="166" t="str">
        <x:v>SEFER DTVM</x:v>
      </x:c>
      <x:c r="G182" s="166" t="str">
        <x:v>SEFER INVESTIMENTOS DISTRIBUIDORA DE TÍTULOS E VALORES MOBILIÁRIOS LTDA.</x:v>
      </x:c>
      <x:c r="H182" s="166" t="str">
        <x:v>Outros</x:v>
      </x:c>
      <x:c r="I182" s="166" t="str">
        <x:v>Multicarteira Outros</x:v>
      </x:c>
      <x:c r="J182" s="166" t="str">
        <x:v>CI</x:v>
      </x:c>
      <x:c r="K182" s="172" t="n">
        <x:v>1</x:v>
      </x:c>
      <x:c r="L182" s="185" t="str">
        <x:v>Não classificado</x:v>
      </x:c>
    </x:row>
    <x:row r="183">
      <x:c r="A183" s="175" t="str">
        <x:v>29.986.319/0001-10</x:v>
      </x:c>
      <x:c r="B183" s="166" t="str">
        <x:v>KINEA VÉRTICE FUNDO DE INVESTIMENTO EM DIREITOS CREDITÓRIOS ABERTO RESPONSABILIDADE LIMITADA</x:v>
      </x:c>
      <x:c r="C183" s="188" t="n">
        <x:v>762416742.73</x:v>
      </x:c>
      <x:c r="D183" s="166" t="str">
        <x:v>KINEA INVESTIMENTOS</x:v>
      </x:c>
      <x:c r="E183" s="166" t="str">
        <x:f>IFERROR(INDEX('Classif Gestoras'!$H$6:$H$462,MATCH(D183,'Classif Gestoras'!$A$6:$A$462,0)),"Não classificada")</x:f>
        <x:v>Ligada a banco</x:v>
      </x:c>
      <x:c r="F183" s="166" t="str">
        <x:v>INTRAG DIST. DE TÍTU</x:v>
      </x:c>
      <x:c r="G183" s="166" t="str">
        <x:v>ITAU UNIBANCO S.A.</x:v>
      </x:c>
      <x:c r="H183" s="166" t="str">
        <x:v>Outros</x:v>
      </x:c>
      <x:c r="I183" s="166" t="str">
        <x:v>Multicarteira Outros</x:v>
      </x:c>
      <x:c r="J183" s="166" t="str">
        <x:v>CI</x:v>
      </x:c>
      <x:c r="K183" s="172" t="n">
        <x:v>3</x:v>
      </x:c>
      <x:c r="L183" s="185" t="str">
        <x:v>Não classificado</x:v>
      </x:c>
    </x:row>
    <x:row r="184">
      <x:c r="A184" s="175" t="str">
        <x:v>48.997.793/0001-91</x:v>
      </x:c>
      <x:c r="B184" s="166" t="str">
        <x:v>IA FUNDO DE INVESTIMENTO EM DIREITOS CREDITÓRIOS - RESPONSABILIDADE LIMITADA</x:v>
      </x:c>
      <x:c r="C184" s="188" t="n">
        <x:v>757787506.76</x:v>
      </x:c>
      <x:c r="D184" s="166" t="str">
        <x:v>Itau Unibanco</x:v>
      </x:c>
      <x:c r="E184" s="166" t="str">
        <x:f>IFERROR(INDEX('Classif Gestoras'!$H$6:$H$462,MATCH(D184,'Classif Gestoras'!$A$6:$A$462,0)),"Não classificada")</x:f>
        <x:v>Ligada a banco</x:v>
      </x:c>
      <x:c r="F184" s="166" t="str">
        <x:v>Oliveira Trust DTVM</x:v>
      </x:c>
      <x:c r="G184" s="166" t="str">
        <x:v>MAF DISTRIBUIDORA DE TITULOS E VALORES MOBILIARIOS S.A.</x:v>
      </x:c>
      <x:c r="H184" s="166" t="str">
        <x:v>Outros</x:v>
      </x:c>
      <x:c r="I184" s="166" t="str">
        <x:v>Multicarteira Outros</x:v>
      </x:c>
      <x:c r="J184" s="166" t="str">
        <x:v>CI</x:v>
      </x:c>
      <x:c r="K184" s="172" t="n">
        <x:v>1</x:v>
      </x:c>
      <x:c r="L184" s="185" t="str">
        <x:v>Não classificado</x:v>
      </x:c>
    </x:row>
    <x:row r="185">
      <x:c r="A185" s="175" t="str">
        <x:v>37.511.828/0001-14</x:v>
      </x:c>
      <x:c r="B185" s="166" t="str">
        <x:v>MERCADO CRÉDITO I BRASIL FIDC SEGMENTO FINANCEIRO DE RESPONSABILIDADE LIMITADA</x:v>
      </x:c>
      <x:c r="C185" s="188" t="n">
        <x:v>753481606.8289099</x:v>
      </x:c>
      <x:c r="D185" s="166" t="str">
        <x:v>GENIAL GESTÃO LTDA.</x:v>
      </x:c>
      <x:c r="E185" s="166" t="str">
        <x:f>IFERROR(INDEX('Classif Gestoras'!$H$6:$H$462,MATCH(D185,'Classif Gestoras'!$A$6:$A$462,0)),"Não classificada")</x:f>
        <x:v>Ligada a banco</x:v>
      </x:c>
      <x:c r="F185" s="166" t="str">
        <x:v>Banco Genial S.A.</x:v>
      </x:c>
      <x:c r="G185" s="166" t="str">
        <x:v>BANCO GENIAL S.A.</x:v>
      </x:c>
      <x:c r="H185" s="166" t="str">
        <x:v>Financeiro</x:v>
      </x:c>
      <x:c r="I185" s="166" t="str">
        <x:v>Multicarteira Financeiro</x:v>
      </x:c>
      <x:c r="J185" s="166" t="str">
        <x:v>CI</x:v>
      </x:c>
      <x:c r="K185" s="172" t="n">
        <x:v>3</x:v>
      </x:c>
      <x:c r="L185" s="185" t="str">
        <x:v>Não classificado</x:v>
      </x:c>
    </x:row>
    <x:row r="186">
      <x:c r="A186" s="175" t="str">
        <x:v>55.562.158/0001-47</x:v>
      </x:c>
      <x:c r="B186" s="166" t="str">
        <x:v>LANDBANK FUNDO DE INVESTIMENTO EM DIREITOS CREDITÓRIOS RESPONSABILIDADE LIMITADA</x:v>
      </x:c>
      <x:c r="C186" s="188" t="n">
        <x:v>752063336.42</x:v>
      </x:c>
      <x:c r="D186" s="166" t="str">
        <x:v>Inter Asset</x:v>
      </x:c>
      <x:c r="E186" s="166" t="str">
        <x:f>IFERROR(INDEX('Classif Gestoras'!$H$6:$H$462,MATCH(D186,'Classif Gestoras'!$A$6:$A$462,0)),"Não classificada")</x:f>
        <x:v>Ligada a banco</x:v>
      </x:c>
      <x:c r="F186" s="166" t="str">
        <x:v>Inter Distribuidora de Títulos e Valores Mobiliários Lt</x:v>
      </x:c>
      <x:c r="G186" s="166" t="str">
        <x:v>INTER DISTRIBUIDORA DE TÍTULOS E VALORES MOBILIÁRIOS</x:v>
      </x:c>
      <x:c r="H186" s="166" t="str">
        <x:v>Agro, Indústria e Comércio</x:v>
      </x:c>
      <x:c r="I186" s="166" t="str">
        <x:v>Recebíveis Comerciais</x:v>
      </x:c>
      <x:c r="J186" s="166" t="str">
        <x:v>CI</x:v>
      </x:c>
      <x:c r="K186" s="172" t="n">
        <x:v>4</x:v>
      </x:c>
      <x:c r="L186" s="185" t="str">
        <x:v>Não classificado</x:v>
      </x:c>
    </x:row>
    <x:row r="187">
      <x:c r="A187" s="175" t="str">
        <x:v>32.113.780/0001-72</x:v>
      </x:c>
      <x:c r="B187" s="166" t="str">
        <x:v>PASSO FUNDO RS FUNDO DE INVESTIMENTO EM DIREITOS CREDITÓRIOS RESPONSABILIDADE LIMITADA</x:v>
      </x:c>
      <x:c r="C187" s="188" t="n">
        <x:v>748280148.7</x:v>
      </x:c>
      <x:c r="D187" s="166" t="str">
        <x:v>Renova Gestora</x:v>
      </x:c>
      <x:c r="E187" s="166" t="str">
        <x:f>IFERROR(INDEX('Classif Gestoras'!$H$6:$H$462,MATCH(D187,'Classif Gestoras'!$A$6:$A$462,0)),"Não classificada")</x:f>
        <x:v>Independente</x:v>
      </x:c>
      <x:c r="F187" s="166" t="str">
        <x:v>MONETAR DISTRIBUIDORA DE TITUL</x:v>
      </x:c>
      <x:c r="G187" s="166" t="str">
        <x:v>TERRA INVESTIMENTOS DISTRIBUIDORA DE TITULOS E VALORES MOBILIARIOS LTDA</x:v>
      </x:c>
      <x:c r="H187" s="166" t="str">
        <x:v>Outros</x:v>
      </x:c>
      <x:c r="I187" s="166" t="str">
        <x:v>Multicarteira Outros</x:v>
      </x:c>
      <x:c r="J187" s="166" t="str">
        <x:v>CI</x:v>
      </x:c>
      <x:c r="K187" s="172" t="n">
        <x:v>31</x:v>
      </x:c>
      <x:c r="L187" s="185" t="str">
        <x:v>Não classificado</x:v>
      </x:c>
    </x:row>
    <x:row r="188">
      <x:c r="A188" s="175" t="str">
        <x:v>54.759.252/0001-28</x:v>
      </x:c>
      <x:c r="B188" s="166" t="str">
        <x:v>ITAÚ PIRINEUS II FUNDO DE INVESTIMENTO EM DIREITOS CREDITÓRIOS DE INFRA - RESP LIMITADA</x:v>
      </x:c>
      <x:c r="C188" s="188" t="n">
        <x:v>741571299.21</x:v>
      </x:c>
      <x:c r="D188" s="166" t="str">
        <x:v>ITAU ASSET</x:v>
      </x:c>
      <x:c r="E188" s="166" t="str">
        <x:f>IFERROR(INDEX('Classif Gestoras'!$H$6:$H$462,MATCH(D188,'Classif Gestoras'!$A$6:$A$462,0)),"Não classificada")</x:f>
        <x:v>Ligada a banco</x:v>
      </x:c>
      <x:c r="F188" s="166" t="str">
        <x:v>INTRAG DIST. DE TÍTU</x:v>
      </x:c>
      <x:c r="G188" s="166" t="str">
        <x:v>ITAU UNIBANCO S.A.</x:v>
      </x:c>
      <x:c r="H188" s="166" t="str">
        <x:v>Outros</x:v>
      </x:c>
      <x:c r="I188" s="166" t="str">
        <x:v>Multicarteira Outros</x:v>
      </x:c>
      <x:c r="J188" s="166" t="str">
        <x:v>CI</x:v>
      </x:c>
      <x:c r="K188" s="172" t="n">
        <x:v>7</x:v>
      </x:c>
      <x:c r="L188" s="185" t="str">
        <x:v>Não classificado</x:v>
      </x:c>
    </x:row>
    <x:row r="189">
      <x:c r="A189" s="175" t="str">
        <x:v>52.069.691/0001-83</x:v>
      </x:c>
      <x:c r="B189" s="166" t="str">
        <x:v>HERMON FUNDO DE INVESTIMENTO EM DIREITOS CREDITÓRIOS NÃO PADRONIZADOS RESPONSABILIDADE LIMITADA</x:v>
      </x:c>
      <x:c r="C189" s="188" t="n">
        <x:v>740657026.55</x:v>
      </x:c>
      <x:c r="D189" s="166" t="str">
        <x:v>Bless Capital Gestora de Recursos Ltda.</x:v>
      </x:c>
      <x:c r="E189" s="166" t="str">
        <x:f>IFERROR(INDEX('Classif Gestoras'!$H$6:$H$462,MATCH(D189,'Classif Gestoras'!$A$6:$A$462,0)),"Não classificada")</x:f>
        <x:v>Independente</x:v>
      </x:c>
      <x:c r="F189" s="166" t="str">
        <x:v>ID Corretora de Títulos e Valores Mobiliários S.A.</x:v>
      </x:c>
      <x:c r="G189" s="166" t="str">
        <x:v>ID CORRETORA DE TITULOS E VALORES MOBILIARIOS S.A.</x:v>
      </x:c>
      <x:c r="H189" s="166" t="str">
        <x:v>Outros</x:v>
      </x:c>
      <x:c r="I189" s="166" t="str">
        <x:v>Multicarteira Outros</x:v>
      </x:c>
      <x:c r="J189" s="166" t="str">
        <x:v>CI</x:v>
      </x:c>
      <x:c r="K189" s="172" t="n">
        <x:v>1</x:v>
      </x:c>
      <x:c r="L189" s="185" t="str">
        <x:v>Não classificado</x:v>
      </x:c>
    </x:row>
    <x:row r="190">
      <x:c r="A190" s="175" t="str">
        <x:v>29.226.704/0001-69</x:v>
      </x:c>
      <x:c r="B190" s="166" t="str">
        <x:v>OPERA FUNDO DE INVESTIMENTO EM DIREITOS CREDITÓRIOS MULTISETORIAL</x:v>
      </x:c>
      <x:c r="C190" s="188" t="n">
        <x:v>739293584.79</x:v>
      </x:c>
      <x:c r="D190" s="166" t="str">
        <x:v>BS2 ASSET MANAGEMENT – ADMINISTRADORA DE RECURSOS LTDA.</x:v>
      </x:c>
      <x:c r="E190" s="166" t="str">
        <x:f>IFERROR(INDEX('Classif Gestoras'!$H$6:$H$462,MATCH(D190,'Classif Gestoras'!$A$6:$A$462,0)),"Não classificada")</x:f>
        <x:v>Independente</x:v>
      </x:c>
      <x:c r="F190" s="166" t="str">
        <x:v>Singulare</x:v>
      </x:c>
      <x:c r="G190" s="166" t="str">
        <x:v>QI CORRETORA DE TÍTULOS E VALORES MOBILIÁRIOS S.A.</x:v>
      </x:c>
      <x:c r="H190" s="166" t="str">
        <x:v>Fomento Mercantil</x:v>
      </x:c>
      <x:c r="I190" s="166" t="str">
        <x:v>Fomento Mercantil</x:v>
      </x:c>
      <x:c r="J190" s="166" t="str">
        <x:v>CI</x:v>
      </x:c>
      <x:c r="K190" s="172" t="n">
        <x:v>7</x:v>
      </x:c>
      <x:c r="L190" s="185" t="str">
        <x:v>Não classificado</x:v>
      </x:c>
    </x:row>
    <x:row r="191">
      <x:c r="A191" s="175" t="str">
        <x:v>65.783.221/0001-29</x:v>
      </x:c>
      <x:c r="B191" s="166" t="str">
        <x:v>FIDC JOHN DEERE I SEGMENTO RECEBÍVEIS COMERCIAIS - RESPONSABILIDADE LIMITADA</x:v>
      </x:c>
      <x:c r="C191" s="188" t="n">
        <x:v>736393218.57</x:v>
      </x:c>
      <x:c r="D191" s="166" t="str">
        <x:v>Banco Bradesco S/A</x:v>
      </x:c>
      <x:c r="E191" s="166" t="str">
        <x:f>IFERROR(INDEX('Classif Gestoras'!$H$6:$H$462,MATCH(D191,'Classif Gestoras'!$A$6:$A$462,0)),"Não classificada")</x:f>
        <x:v>Ligada a banco</x:v>
      </x:c>
      <x:c r="F191" s="166" t="str">
        <x:v>BEM - DIST. DE TÍTUL</x:v>
      </x:c>
      <x:c r="G191" s="166" t="str">
        <x:v>BANCO BRADESCO S.A.</x:v>
      </x:c>
      <x:c r="H191" s="166" t="str">
        <x:v>Agro, Indústria e Comércio</x:v>
      </x:c>
      <x:c r="I191" s="166" t="str">
        <x:v>Recebíveis Comerciais</x:v>
      </x:c>
      <x:c r="J191" s="166" t="str">
        <x:v>CI</x:v>
      </x:c>
      <x:c r="K191" s="172" t="n">
        <x:v>28</x:v>
      </x:c>
      <x:c r="L191" s="185" t="str">
        <x:v>Não classificado</x:v>
      </x:c>
    </x:row>
    <x:row r="192">
      <x:c r="A192" s="175" t="str">
        <x:v>26.709.975/0001-87</x:v>
      </x:c>
      <x:c r="B192" s="166" t="str">
        <x:v>ARON FUNDO DE INVESTIMENTO EM DIREITOS CREDITÓRIOS - RESPONSABILIDADE LIMITADA</x:v>
      </x:c>
      <x:c r="C192" s="188" t="n">
        <x:v>734727704.23</x:v>
      </x:c>
      <x:c r="D192" s="166" t="str">
        <x:v>SUESTE CAPITAL GESTÃO DE RECURSOS LTDA.</x:v>
      </x:c>
      <x:c r="E192" s="166" t="str">
        <x:f>IFERROR(INDEX('Classif Gestoras'!$H$6:$H$462,MATCH(D192,'Classif Gestoras'!$A$6:$A$462,0)),"Não classificada")</x:f>
        <x:v>Independente</x:v>
      </x:c>
      <x:c r="F192" s="166" t="str">
        <x:v>Oliveira Trust DTVM</x:v>
      </x:c>
      <x:c r="G192" s="166" t="str">
        <x:v>OLIVEIRA TRUST DTVM S.A.</x:v>
      </x:c>
      <x:c r="H192" s="166" t="str">
        <x:v>Agro, Indústria e Comércio</x:v>
      </x:c>
      <x:c r="I192" s="166" t="str">
        <x:v>Crédito Corporativo</x:v>
      </x:c>
      <x:c r="J192" s="166" t="str">
        <x:v>CI</x:v>
      </x:c>
      <x:c r="K192" s="172" t="n">
        <x:v>1</x:v>
      </x:c>
      <x:c r="L192" s="185" t="str">
        <x:v>Não classificado</x:v>
      </x:c>
    </x:row>
    <x:row r="193">
      <x:c r="A193" s="175" t="str">
        <x:v>46.655.552/0001-39</x:v>
      </x:c>
      <x:c r="B193" s="166" t="str">
        <x:v>FUNDO DE INVESTIMENTO EM DIREITOS CREDITÓRIOS BULLLA CARTÕES RESPONSABILIDADE LIMITADA</x:v>
      </x:c>
      <x:c r="C193" s="188" t="n">
        <x:v>718064604.3499999</x:v>
      </x:c>
      <x:c r="D193" s="166" t="str">
        <x:v>Vila Rica Capital</x:v>
      </x:c>
      <x:c r="E193" s="166" t="str">
        <x:f>IFERROR(INDEX('Classif Gestoras'!$H$6:$H$462,MATCH(D193,'Classif Gestoras'!$A$6:$A$462,0)),"Não classificada")</x:f>
        <x:v>Independente</x:v>
      </x:c>
      <x:c r="F193" s="166" t="str">
        <x:v>Oliveira Trust DTVM</x:v>
      </x:c>
      <x:c r="G193" s="166" t="str">
        <x:v>OLIVEIRA TRUST DTVM S.A.</x:v>
      </x:c>
      <x:c r="H193" s="166" t="str">
        <x:v>Financeiro</x:v>
      </x:c>
      <x:c r="I193" s="166" t="str">
        <x:v>Multicarteira Financeiro</x:v>
      </x:c>
      <x:c r="J193" s="166" t="str">
        <x:v>CI</x:v>
      </x:c>
      <x:c r="K193" s="172" t="n">
        <x:v>123</x:v>
      </x:c>
      <x:c r="L193" s="185" t="str">
        <x:v>Não classificado</x:v>
      </x:c>
    </x:row>
    <x:row r="194">
      <x:c r="A194" s="175" t="str">
        <x:v>62.274.607/0001-17</x:v>
      </x:c>
      <x:c r="B194" s="166" t="str">
        <x:v>MT CP III FUNDO DE INVESTIMENTO EM DIREITOS CREDITÓRIOS RESPONSABILIDADE LIMITADA</x:v>
      </x:c>
      <x:c r="C194" s="188" t="n">
        <x:v>706560734.13</x:v>
      </x:c>
      <x:c r="D194" s="166" t="str">
        <x:v>BTG Pactual Asset</x:v>
      </x:c>
      <x:c r="E194" s="166" t="str">
        <x:f>IFERROR(INDEX('Classif Gestoras'!$H$6:$H$462,MATCH(D194,'Classif Gestoras'!$A$6:$A$462,0)),"Não classificada")</x:f>
        <x:v>Ligada a banco</x:v>
      </x:c>
      <x:c r="F194" s="166" t="str">
        <x:v>BTG Pactual Servicos Financeiros S/A DTVM</x:v>
      </x:c>
      <x:c r="G194" s="166" t="str">
        <x:v>BANCO BTG PACTUAL S/A</x:v>
      </x:c>
      <x:c r="H194" s="166" t="str">
        <x:v>Financeiro</x:v>
      </x:c>
      <x:c r="I194" s="166" t="str">
        <x:v>Crédito Consignado</x:v>
      </x:c>
      <x:c r="J194" s="166" t="str">
        <x:v>CI</x:v>
      </x:c>
      <x:c r="K194" s="172" t="n">
        <x:v>16</x:v>
      </x:c>
      <x:c r="L194" s="185" t="str">
        <x:v>Não classificado</x:v>
      </x:c>
    </x:row>
    <x:row r="195">
      <x:c r="A195" s="175" t="str">
        <x:v>59.688.936/0001-08</x:v>
      </x:c>
      <x:c r="B195" s="166" t="str">
        <x:v>ITAÚ PIRINEUS III FUNDO DE INVESTIMENTOS EM DIREITOS CREDITÓRIOS DE INFRAESTRUTURA RESP LIMITADA</x:v>
      </x:c>
      <x:c r="C195" s="188" t="n">
        <x:v>704962784.3</x:v>
      </x:c>
      <x:c r="D195" s="166" t="str">
        <x:v>ITAU ASSET</x:v>
      </x:c>
      <x:c r="E195" s="166" t="str">
        <x:f>IFERROR(INDEX('Classif Gestoras'!$H$6:$H$462,MATCH(D195,'Classif Gestoras'!$A$6:$A$462,0)),"Não classificada")</x:f>
        <x:v>Ligada a banco</x:v>
      </x:c>
      <x:c r="F195" s="166" t="str">
        <x:v>INTRAG DIST. DE TÍTU</x:v>
      </x:c>
      <x:c r="G195" s="166" t="str">
        <x:v>ITAU UNIBANCO S.A.</x:v>
      </x:c>
      <x:c r="H195" s="166" t="str">
        <x:v>Agro, Indústria e Comércio</x:v>
      </x:c>
      <x:c r="I195" s="166" t="str">
        <x:v>Infraestrutura</x:v>
      </x:c>
      <x:c r="J195" s="166" t="str">
        <x:v>CIPC</x:v>
      </x:c>
      <x:c r="K195" s="172" t="n">
        <x:v>5</x:v>
      </x:c>
      <x:c r="L195" s="185" t="str">
        <x:v>Não classificado</x:v>
      </x:c>
    </x:row>
    <x:row r="196">
      <x:c r="A196" s="175" t="str">
        <x:v>28.079.873/0001-50</x:v>
      </x:c>
      <x:c r="B196" s="166" t="str">
        <x:v>MULTIPLIKE INVESTIMENTOS FUNDO DE INVESTIMENTO EM DIREITOS CREDITÓRIOS MULTISSETORIAL - RESPONSABILI</x:v>
      </x:c>
      <x:c r="C196" s="188" t="n">
        <x:v>704829785.14</x:v>
      </x:c>
      <x:c r="D196" s="166" t="str">
        <x:v>OURO PRETO INVESTIMENTOS</x:v>
      </x:c>
      <x:c r="E196" s="166" t="str">
        <x:f>IFERROR(INDEX('Classif Gestoras'!$H$6:$H$462,MATCH(D196,'Classif Gestoras'!$A$6:$A$462,0)),"Não classificada")</x:f>
        <x:v>Independente</x:v>
      </x:c>
      <x:c r="F196" s="166" t="str">
        <x:v>Singulare</x:v>
      </x:c>
      <x:c r="G196" s="166" t="str">
        <x:v>QI CORRETORA DE TÍTULOS E VALORES MOBILIÁRIOS S.A.</x:v>
      </x:c>
      <x:c r="H196" s="166" t="str">
        <x:v>Outros</x:v>
      </x:c>
      <x:c r="I196" s="166" t="str">
        <x:v>Multicarteira Outros</x:v>
      </x:c>
      <x:c r="J196" s="166" t="str">
        <x:v>CI</x:v>
      </x:c>
      <x:c r="K196" s="172" t="n">
        <x:v>1</x:v>
      </x:c>
      <x:c r="L196" s="185" t="str">
        <x:v>Não classificado</x:v>
      </x:c>
    </x:row>
    <x:row r="197">
      <x:c r="A197" s="175" t="str">
        <x:v>12.813.212/0001-77</x:v>
      </x:c>
      <x:c r="B197" s="166" t="str">
        <x:v>RNX FUNDO DE INVESTIMENTO EM DIREITOS CREDITÓRIOS MULTISSETORIAL DE RESPONSABILIDADE LIMITADA</x:v>
      </x:c>
      <x:c r="C197" s="188" t="n">
        <x:v>701740972.9200001</x:v>
      </x:c>
      <x:c r="D197" s="166" t="str">
        <x:v>OURO PRETO INVESTIMENTOS</x:v>
      </x:c>
      <x:c r="E197" s="166" t="str">
        <x:f>IFERROR(INDEX('Classif Gestoras'!$H$6:$H$462,MATCH(D197,'Classif Gestoras'!$A$6:$A$462,0)),"Não classificada")</x:f>
        <x:v>Independente</x:v>
      </x:c>
      <x:c r="F197" s="166" t="str">
        <x:v>Singulare</x:v>
      </x:c>
      <x:c r="G197" s="166" t="str">
        <x:v>QI CORRETORA DE TÍTULOS E VALORES MOBILIÁRIOS S.A.</x:v>
      </x:c>
      <x:c r="H197" s="166" t="str">
        <x:v>Fomento Mercantil</x:v>
      </x:c>
      <x:c r="I197" s="166" t="str">
        <x:v>Fomento Mercantil</x:v>
      </x:c>
      <x:c r="J197" s="166" t="str">
        <x:v>CI</x:v>
      </x:c>
      <x:c r="K197" s="172" t="n">
        <x:v>285</x:v>
      </x:c>
      <x:c r="L197" s="185" t="str">
        <x:v>Não classificado</x:v>
      </x:c>
    </x:row>
    <x:row r="198">
      <x:c r="A198" s="175" t="str">
        <x:v>50.491.214/0001-86</x:v>
      </x:c>
      <x:c r="B198" s="166" t="str">
        <x:v>ADGM FUNDO DE INVESTIMENTO EM DIREITOS CREDITÓRIOS</x:v>
      </x:c>
      <x:c r="C198" s="188" t="n">
        <x:v>697366458.3999999</x:v>
      </x:c>
      <x:c r="D198" s="166" t="str">
        <x:v>M8 Partners</x:v>
      </x:c>
      <x:c r="E198" s="166" t="str">
        <x:f>IFERROR(INDEX('Classif Gestoras'!$H$6:$H$462,MATCH(D198,'Classif Gestoras'!$A$6:$A$462,0)),"Não classificada")</x:f>
        <x:v>Independente</x:v>
      </x:c>
      <x:c r="F198" s="166" t="str">
        <x:v>Singulare</x:v>
      </x:c>
      <x:c r="G198" s="166" t="str">
        <x:v>QI CORRETORA DE TÍTULOS E VALORES MOBILIÁRIOS S.A.</x:v>
      </x:c>
      <x:c r="H198" s="166" t="str">
        <x:v>Fomento Mercantil</x:v>
      </x:c>
      <x:c r="I198" s="166" t="str">
        <x:v>Fomento Mercantil</x:v>
      </x:c>
      <x:c r="J198" s="166" t="str">
        <x:v>CI</x:v>
      </x:c>
      <x:c r="K198" s="172" t="n">
        <x:v>147</x:v>
      </x:c>
      <x:c r="L198" s="185" t="str">
        <x:v>Não classificado</x:v>
      </x:c>
    </x:row>
    <x:row r="199">
      <x:c r="A199" s="175" t="str">
        <x:v>44.516.049/0001-77</x:v>
      </x:c>
      <x:c r="B199" s="166" t="str">
        <x:v>ISAAC FUNDO DE INVESTIMENTO EM DIREITOS CREDITÓRIOS DO SEGMENTO DE SERVIÇOS EDUCACIONAIS</x:v>
      </x:c>
      <x:c r="C199" s="188" t="n">
        <x:v>697277375.05</x:v>
      </x:c>
      <x:c r="D199" s="166" t="str">
        <x:v>VERT Gestora de Recursos Financeiros Ltda.</x:v>
      </x:c>
      <x:c r="E199" s="166" t="str">
        <x:f>IFERROR(INDEX('Classif Gestoras'!$H$6:$H$462,MATCH(D199,'Classif Gestoras'!$A$6:$A$462,0)),"Não classificada")</x:f>
        <x:v>Independente</x:v>
      </x:c>
      <x:c r="F199" s="166" t="str">
        <x:v>Banco Genial S.A.</x:v>
      </x:c>
      <x:c r="G199" s="166" t="str">
        <x:v>BANCO GENIAL S.A.</x:v>
      </x:c>
      <x:c r="H199" s="166" t="str">
        <x:v>Agro, Indústria e Comércio</x:v>
      </x:c>
      <x:c r="I199" s="166" t="str">
        <x:v>Recebíveis Comerciais</x:v>
      </x:c>
      <x:c r="J199" s="166" t="str">
        <x:v>CI</x:v>
      </x:c>
      <x:c r="K199" s="172" t="n">
        <x:v>150</x:v>
      </x:c>
      <x:c r="L199" s="185" t="str">
        <x:v>Não classificado</x:v>
      </x:c>
    </x:row>
    <x:row r="200">
      <x:c r="A200" s="175" t="str">
        <x:v>37.120.828/0001-93</x:v>
      </x:c>
      <x:c r="B200" s="166" t="str">
        <x:v>G5 SPECIAL F FUNDO DE INVESTIMENTO EM DIREITOS CREDITÓRIOS</x:v>
      </x:c>
      <x:c r="C200" s="188" t="n">
        <x:v>694781209.73</x:v>
      </x:c>
      <x:c r="D200" s="166" t="str">
        <x:v>G5 Adm. de Recursos</x:v>
      </x:c>
      <x:c r="E200" s="166" t="str">
        <x:f>IFERROR(INDEX('Classif Gestoras'!$H$6:$H$462,MATCH(D200,'Classif Gestoras'!$A$6:$A$462,0)),"Não classificada")</x:f>
        <x:v>Independente</x:v>
      </x:c>
      <x:c r="F200" s="166" t="str">
        <x:v>Singulare</x:v>
      </x:c>
      <x:c r="G200" s="166" t="str">
        <x:v>QI CORRETORA DE TÍTULOS E VALORES MOBILIÁRIOS S.A.</x:v>
      </x:c>
      <x:c r="H200" s="166" t="str">
        <x:v>Outros</x:v>
      </x:c>
      <x:c r="I200" s="166" t="str">
        <x:v>Multicarteira Outros</x:v>
      </x:c>
      <x:c r="J200" s="166" t="str">
        <x:v>CI</x:v>
      </x:c>
      <x:c r="K200" s="172" t="n">
        <x:v>94</x:v>
      </x:c>
      <x:c r="L200" s="185" t="str">
        <x:v>Não classificado</x:v>
      </x:c>
    </x:row>
    <x:row r="201">
      <x:c r="A201" s="175" t="str">
        <x:v>35.880.735/0001-31</x:v>
      </x:c>
      <x:c r="B201" s="166" t="str">
        <x:v>DJF FUNDO DE INVESTIMENTO EM DIREITOS CREDITÓRIOS - RESPONSABILIDADE LIMITADA</x:v>
      </x:c>
      <x:c r="C201" s="188" t="n">
        <x:v>694006106.7299999</x:v>
      </x:c>
      <x:c r="D201" s="166" t="str">
        <x:v>JIVE INVESTMENTS</x:v>
      </x:c>
      <x:c r="E201" s="166" t="str">
        <x:f>IFERROR(INDEX('Classif Gestoras'!$H$6:$H$462,MATCH(D201,'Classif Gestoras'!$A$6:$A$462,0)),"Não classificada")</x:f>
        <x:v>Independente</x:v>
      </x:c>
      <x:c r="F201" s="166" t="str">
        <x:v>MAF Distribuidora de Títulos e Valores Mobiliários S.A.</x:v>
      </x:c>
      <x:c r="G201" s="166" t="str">
        <x:v>MAF DISTRIBUIDORA DE TITULOS E VALORES MOBILIARIOS S.A.</x:v>
      </x:c>
      <x:c r="H201" s="166" t="str">
        <x:v>Outros</x:v>
      </x:c>
      <x:c r="I201" s="166" t="str">
        <x:v>Multicarteira Outros</x:v>
      </x:c>
      <x:c r="J201" s="166" t="str">
        <x:v>CI</x:v>
      </x:c>
      <x:c r="K201" s="172" t="n">
        <x:v>1</x:v>
      </x:c>
      <x:c r="L201" s="185" t="str">
        <x:v>Não classificado</x:v>
      </x:c>
    </x:row>
    <x:row r="202">
      <x:c r="A202" s="175" t="str">
        <x:v>37.022.236/0001-39</x:v>
      </x:c>
      <x:c r="B202" s="166" t="str">
        <x:v>ESPRESSO CRÉDITOS JUDICIAIS FUNDO DE INVESTIMENTO EM DIREITOS CREDITÓRIOS</x:v>
      </x:c>
      <x:c r="C202" s="188" t="n">
        <x:v>690128220.7899998</x:v>
      </x:c>
      <x:c r="D202" s="166" t="str">
        <x:v>LASS CAPITAL</x:v>
      </x:c>
      <x:c r="E202" s="166" t="str">
        <x:f>IFERROR(INDEX('Classif Gestoras'!$H$6:$H$462,MATCH(D202,'Classif Gestoras'!$A$6:$A$462,0)),"Não classificada")</x:f>
        <x:v>Independente</x:v>
      </x:c>
      <x:c r="F202" s="166" t="str">
        <x:v>BTG Pactual Servicos Financeiros S/A DTVM</x:v>
      </x:c>
      <x:c r="G202" s="166" t="str">
        <x:v>BANCO BTG PACTUAL S/A</x:v>
      </x:c>
      <x:c r="H202" s="166" t="str">
        <x:v>Outros</x:v>
      </x:c>
      <x:c r="I202" s="166" t="str">
        <x:v>Multicarteira Outros</x:v>
      </x:c>
      <x:c r="J202" s="166" t="str">
        <x:v>CI</x:v>
      </x:c>
      <x:c r="K202" s="172" t="n">
        <x:v>3</x:v>
      </x:c>
      <x:c r="L202" s="185" t="str">
        <x:v>Não classificado</x:v>
      </x:c>
    </x:row>
    <x:row r="203">
      <x:c r="A203" s="175" t="str">
        <x:v>35.138.028/0001-74</x:v>
      </x:c>
      <x:c r="B203" s="166" t="str">
        <x:v>JIF CRÉDITOS - FUNDO DE INVESTIMENTO EM DIREITOS CREDITÓRIOS CRÉD PRIV DE RESPONSABILIDADE ILIMITAD</x:v>
      </x:c>
      <x:c r="C203" s="188" t="n">
        <x:v>686733958.73</x:v>
      </x:c>
      <x:c r="D203" s="166" t="str">
        <x:v>JIVE HIGH YIELD GESTÃO DE RECURSOS LTDA</x:v>
      </x:c>
      <x:c r="E203" s="166" t="str">
        <x:f>IFERROR(INDEX('Classif Gestoras'!$H$6:$H$462,MATCH(D203,'Classif Gestoras'!$A$6:$A$462,0)),"Não classificada")</x:f>
        <x:v>Independente</x:v>
      </x:c>
      <x:c r="F203" s="166" t="str">
        <x:v>BANCO DAYCOVAL S/A</x:v>
      </x:c>
      <x:c r="G203" s="166" t="str">
        <x:v>BANCO DAYCOVAL S.A.</x:v>
      </x:c>
      <x:c r="H203" s="166" t="str">
        <x:v>Outros</x:v>
      </x:c>
      <x:c r="I203" s="166" t="str">
        <x:v>Multicarteira Outros</x:v>
      </x:c>
      <x:c r="J203" s="166" t="str">
        <x:v>CI</x:v>
      </x:c>
      <x:c r="K203" s="172" t="n">
        <x:v>2</x:v>
      </x:c>
      <x:c r="L203" s="185" t="str">
        <x:v>Não classificado</x:v>
      </x:c>
    </x:row>
    <x:row r="204">
      <x:c r="A204" s="175" t="str">
        <x:v>41.197.066/0001-09</x:v>
      </x:c>
      <x:c r="B204" s="166" t="str">
        <x:v>IFOOD PAGO CRÉDITO I FUNDO DE INVESTIMENTO EM DIREITOS CREDITÓRIOS FINANCEIRO DE RESP LIMITADA</x:v>
      </x:c>
      <x:c r="C204" s="188" t="n">
        <x:v>679892399.78</x:v>
      </x:c>
      <x:c r="D204" s="166" t="str">
        <x:v>GENIAL GESTÃO LTDA.</x:v>
      </x:c>
      <x:c r="E204" s="166" t="str">
        <x:f>IFERROR(INDEX('Classif Gestoras'!$H$6:$H$462,MATCH(D204,'Classif Gestoras'!$A$6:$A$462,0)),"Não classificada")</x:f>
        <x:v>Ligada a banco</x:v>
      </x:c>
      <x:c r="F204" s="166" t="str">
        <x:v>Banco Genial S.A.</x:v>
      </x:c>
      <x:c r="G204" s="166" t="str">
        <x:v>BANCO GENIAL S.A.</x:v>
      </x:c>
      <x:c r="H204" s="166" t="str">
        <x:v>Financeiro</x:v>
      </x:c>
      <x:c r="I204" s="166" t="str">
        <x:v>Crédito Pessoal</x:v>
      </x:c>
      <x:c r="J204" s="166" t="str">
        <x:v>CI</x:v>
      </x:c>
      <x:c r="K204" s="172" t="n">
        <x:v>224</x:v>
      </x:c>
      <x:c r="L204" s="185" t="str">
        <x:v>Não classificado</x:v>
      </x:c>
    </x:row>
    <x:row r="205">
      <x:c r="A205" s="175" t="str">
        <x:v>61.288.838/0001-17</x:v>
      </x:c>
      <x:c r="B205" s="166" t="str">
        <x:v>IFOOD PAGO CRÉDITO III FUNDO DE INVESTIMENTO EM DIREITOS CREDITÓRIOS FINANCEIRO RESP. LIMITADA</x:v>
      </x:c>
      <x:c r="C205" s="188" t="n">
        <x:v>679673236.1</x:v>
      </x:c>
      <x:c r="D205" s="166" t="str">
        <x:v>VERT Gestora de Recursos Financeiros Ltda.</x:v>
      </x:c>
      <x:c r="E205" s="166" t="str">
        <x:f>IFERROR(INDEX('Classif Gestoras'!$H$6:$H$462,MATCH(D205,'Classif Gestoras'!$A$6:$A$462,0)),"Não classificada")</x:f>
        <x:v>Independente</x:v>
      </x:c>
      <x:c r="F205" s="166" t="str">
        <x:v>VERT Distribuidora de Títulos e Valores Mobiliários Ltd</x:v>
      </x:c>
      <x:c r="G205" s="166" t="str">
        <x:v>VERT DISTRIBUIDORA DE TÍTULOS E VALORES MOBILIÁRIOS LTDA.</x:v>
      </x:c>
      <x:c r="H205" s="166" t="str">
        <x:v>Financeiro</x:v>
      </x:c>
      <x:c r="I205" s="166" t="str">
        <x:v>Multicarteira Financeiro</x:v>
      </x:c>
      <x:c r="J205" s="166" t="str">
        <x:v>CI</x:v>
      </x:c>
      <x:c r="K205" s="172" t="n">
        <x:v>2</x:v>
      </x:c>
      <x:c r="L205" s="185" t="str">
        <x:v>Não classificado</x:v>
      </x:c>
    </x:row>
    <x:row r="206">
      <x:c r="A206" s="175" t="str">
        <x:v>09.115.244/0001-94</x:v>
      </x:c>
      <x:c r="B206" s="166" t="str">
        <x:v>FUNDO DE INVESTIMENTO EM DIREITOS CREDITÓRIOS TRATEX PRECATÓRIO II - RESPONSABILIDADE LIMITADA</x:v>
      </x:c>
      <x:c r="C206" s="188" t="n">
        <x:v>678224729.96</x:v>
      </x:c>
      <x:c r="D206" s="166" t="str">
        <x:v>Oliveira Trust Servicer</x:v>
      </x:c>
      <x:c r="E206" s="166" t="str">
        <x:f>IFERROR(INDEX('Classif Gestoras'!$H$6:$H$462,MATCH(D206,'Classif Gestoras'!$A$6:$A$462,0)),"Não classificada")</x:f>
        <x:v>Independente</x:v>
      </x:c>
      <x:c r="F206" s="166" t="str">
        <x:v>Oliveira Trust DTVM</x:v>
      </x:c>
      <x:c r="G206" s="166" t="str">
        <x:v>BANCO BRADESCO S.A.</x:v>
      </x:c>
      <x:c r="H206" s="166" t="str">
        <x:v>Outros</x:v>
      </x:c>
      <x:c r="I206" s="166" t="str">
        <x:v>Poder Público</x:v>
      </x:c>
      <x:c r="J206" s="166" t="str">
        <x:v>CI</x:v>
      </x:c>
      <x:c r="K206" s="172" t="n">
        <x:v>2</x:v>
      </x:c>
      <x:c r="L206" s="185" t="str">
        <x:v>Não classificado</x:v>
      </x:c>
    </x:row>
    <x:row r="207">
      <x:c r="A207" s="175" t="str">
        <x:v>31.495.065/0001-89</x:v>
      </x:c>
      <x:c r="B207" s="166" t="str">
        <x:v>JP MM FUNDO DE INVESTIMENTO EM DIREITOS CREDITÓRIOS MULTISSEGMENTOS DE RESPONSABILIDADE LIMITADA</x:v>
      </x:c>
      <x:c r="C207" s="188" t="n">
        <x:v>673386227.2199999</x:v>
      </x:c>
      <x:c r="D207" s="166" t="str">
        <x:v>Petra Capital</x:v>
      </x:c>
      <x:c r="E207" s="166" t="str">
        <x:f>IFERROR(INDEX('Classif Gestoras'!$H$6:$H$462,MATCH(D207,'Classif Gestoras'!$A$6:$A$462,0)),"Não classificada")</x:f>
        <x:v>Independente</x:v>
      </x:c>
      <x:c r="F207" s="166" t="str">
        <x:v>Finaxis Corretora de Títulos e Valores Mobiliários S.A.</x:v>
      </x:c>
      <x:c r="G207" s="166" t="str">
        <x:v>BANCO FINAXIS S.A.</x:v>
      </x:c>
      <x:c r="H207" s="166" t="str">
        <x:v>Outros</x:v>
      </x:c>
      <x:c r="I207" s="166" t="str">
        <x:v>Multicarteira Outros</x:v>
      </x:c>
      <x:c r="J207" s="166" t="str">
        <x:v>CI</x:v>
      </x:c>
      <x:c r="K207" s="172" t="n">
        <x:v>7</x:v>
      </x:c>
      <x:c r="L207" s="185" t="str">
        <x:v>Não classificado</x:v>
      </x:c>
    </x:row>
    <x:row r="208">
      <x:c r="A208" s="175" t="str">
        <x:v>37.021.511/0001-08</x:v>
      </x:c>
      <x:c r="B208" s="166" t="str">
        <x:v>MASONE FUNDO DE INVESTIMENTO EM DIREITOS CREDITÓRIOS</x:v>
      </x:c>
      <x:c r="C208" s="188" t="n">
        <x:v>673294970.7224</x:v>
      </x:c>
      <x:c r="D208" s="166" t="str">
        <x:v>Quadra Gestão de Recursos S.A.</x:v>
      </x:c>
      <x:c r="E208" s="166" t="str">
        <x:f>IFERROR(INDEX('Classif Gestoras'!$H$6:$H$462,MATCH(D208,'Classif Gestoras'!$A$6:$A$462,0)),"Não classificada")</x:f>
        <x:v>Independente</x:v>
      </x:c>
      <x:c r="F208" s="166" t="str">
        <x:v>BTG Pactual Servicos Financeiros S/A DTVM</x:v>
      </x:c>
      <x:c r="G208" s="166" t="str">
        <x:v>BANCO BTG PACTUAL S/A</x:v>
      </x:c>
      <x:c r="H208" s="166" t="str">
        <x:v>Outros</x:v>
      </x:c>
      <x:c r="I208" s="166" t="str">
        <x:v>Multicarteira Outros</x:v>
      </x:c>
      <x:c r="J208" s="166" t="str">
        <x:v>CI</x:v>
      </x:c>
      <x:c r="K208" s="172" t="n">
        <x:v>1</x:v>
      </x:c>
      <x:c r="L208" s="185" t="str">
        <x:v>Não classificado</x:v>
      </x:c>
    </x:row>
    <x:row r="209">
      <x:c r="A209" s="175" t="str">
        <x:v>28.153.046/0001-60</x:v>
      </x:c>
      <x:c r="B209" s="166" t="str">
        <x:v>BLC II FUNDO DE INVESTIMENTO EM DIREITOS CREDITÓRIOS NÃO-PADRONIZADOS</x:v>
      </x:c>
      <x:c r="C209" s="188" t="n">
        <x:v>667521190.18</x:v>
      </x:c>
      <x:c r="D209" s="166" t="str">
        <x:v>Jus Capital Gestão de Recursos LTDA</x:v>
      </x:c>
      <x:c r="E209" s="166" t="str">
        <x:f>IFERROR(INDEX('Classif Gestoras'!$H$6:$H$462,MATCH(D209,'Classif Gestoras'!$A$6:$A$462,0)),"Não classificada")</x:f>
        <x:v>Independente</x:v>
      </x:c>
      <x:c r="F209" s="166" t="str">
        <x:v>Singulare</x:v>
      </x:c>
      <x:c r="G209" s="166" t="str">
        <x:v>QI CORRETORA DE TÍTULOS E VALORES MOBILIÁRIOS S.A.</x:v>
      </x:c>
      <x:c r="H209" s="166" t="str">
        <x:v>Outros</x:v>
      </x:c>
      <x:c r="I209" s="166" t="str">
        <x:v>Poder Público</x:v>
      </x:c>
      <x:c r="J209" s="166" t="str">
        <x:v>CIC</x:v>
      </x:c>
      <x:c r="K209" s="172" t="n">
        <x:v>3</x:v>
      </x:c>
      <x:c r="L209" s="185" t="str">
        <x:v>Não classificado</x:v>
      </x:c>
    </x:row>
    <x:row r="210">
      <x:c r="A210" s="175" t="str">
        <x:v>25.382.606/0001-60</x:v>
      </x:c>
      <x:c r="B210" s="166" t="str">
        <x:v>URA AGRO FUNDO DE INVESTIMENTO EM DIREITOS CREDITÓRIOS - RESPONSABILIDADE LIMITADA</x:v>
      </x:c>
      <x:c r="C210" s="188" t="n">
        <x:v>665164567.18</x:v>
      </x:c>
      <x:c r="D210" s="166" t="str">
        <x:v>Artesanal Agro</x:v>
      </x:c>
      <x:c r="E210" s="166" t="str">
        <x:f>IFERROR(INDEX('Classif Gestoras'!$H$6:$H$462,MATCH(D210,'Classif Gestoras'!$A$6:$A$462,0)),"Não classificada")</x:f>
        <x:v>Independente</x:v>
      </x:c>
      <x:c r="F210" s="166" t="str">
        <x:v>Singulare</x:v>
      </x:c>
      <x:c r="G210" s="166" t="str">
        <x:v>QI CORRETORA DE TÍTULOS E VALORES MOBILIÁRIOS S.A.</x:v>
      </x:c>
      <x:c r="H210" s="166" t="str">
        <x:v>Agro, Indústria e Comércio</x:v>
      </x:c>
      <x:c r="I210" s="166" t="str">
        <x:v>Agronegócio</x:v>
      </x:c>
      <x:c r="J210" s="166" t="str">
        <x:v>CI</x:v>
      </x:c>
      <x:c r="K210" s="172" t="n">
        <x:v>326</x:v>
      </x:c>
      <x:c r="L210" s="185" t="str">
        <x:v>Não classificado</x:v>
      </x:c>
    </x:row>
    <x:row r="211">
      <x:c r="A211" s="175" t="str">
        <x:v>32.302.163/0001-15</x:v>
      </x:c>
      <x:c r="B211" s="166" t="str">
        <x:v>ALPE FUNDO DE INVESTIMENTO EM DIREITOS CREDITÓRIOS</x:v>
      </x:c>
      <x:c r="C211" s="188" t="n">
        <x:v>664861318.84</x:v>
      </x:c>
      <x:c r="D211" s="166" t="str">
        <x:v>Solis</x:v>
      </x:c>
      <x:c r="E211" s="166" t="str">
        <x:f>IFERROR(INDEX('Classif Gestoras'!$H$6:$H$462,MATCH(D211,'Classif Gestoras'!$A$6:$A$462,0)),"Não classificada")</x:f>
        <x:v>Independente</x:v>
      </x:c>
      <x:c r="F211" s="166" t="str">
        <x:v>HEMERA DTVM</x:v>
      </x:c>
      <x:c r="G211" s="166" t="str">
        <x:v>HEMERA DISTRIBUIDORA DE TITULOS E VALORES MOBILIARIOS LTDA</x:v>
      </x:c>
      <x:c r="H211" s="166" t="str">
        <x:v>Outros</x:v>
      </x:c>
      <x:c r="I211" s="166" t="str">
        <x:v>Multicarteira Outros</x:v>
      </x:c>
      <x:c r="J211" s="166" t="str">
        <x:v>CI</x:v>
      </x:c>
      <x:c r="K211" s="172" t="n">
        <x:v>1</x:v>
      </x:c>
      <x:c r="L211" s="185" t="str">
        <x:v>Não classificado</x:v>
      </x:c>
    </x:row>
    <x:row r="212">
      <x:c r="A212" s="175" t="str">
        <x:v>65.347.578/0001-64</x:v>
      </x:c>
      <x:c r="B212" s="166" t="str">
        <x:v>ICRED INSS III FUNDO DE INVESTIMENTO EM DIREITOS CREDITÓRIOS RESPONSABILIDADE LIMITADA</x:v>
      </x:c>
      <x:c r="C212" s="188" t="n">
        <x:v>659285879.43</x:v>
      </x:c>
      <x:c r="D212" s="166" t="str">
        <x:v>VERT Gestora de Recursos Financeiros Ltda.</x:v>
      </x:c>
      <x:c r="E212" s="166" t="str">
        <x:f>IFERROR(INDEX('Classif Gestoras'!$H$6:$H$462,MATCH(D212,'Classif Gestoras'!$A$6:$A$462,0)),"Não classificada")</x:f>
        <x:v>Independente</x:v>
      </x:c>
      <x:c r="F212" s="166" t="str">
        <x:v>VERT Distribuidora de Títulos e Valores Mobiliários Ltd</x:v>
      </x:c>
      <x:c r="G212" s="166" t="str">
        <x:v>VERT DISTRIBUIDORA DE TÍTULOS E VALORES MOBILIÁRIOS LTDA.</x:v>
      </x:c>
      <x:c r="H212" s="166" t="str">
        <x:v>Financeiro</x:v>
      </x:c>
      <x:c r="I212" s="166" t="str">
        <x:v>Crédito Consignado</x:v>
      </x:c>
      <x:c r="J212" s="166" t="str">
        <x:v>CI</x:v>
      </x:c>
      <x:c r="K212" s="172" t="n">
        <x:v>4</x:v>
      </x:c>
      <x:c r="L212" s="185" t="str">
        <x:v>Não classificado</x:v>
      </x:c>
    </x:row>
    <x:row r="213">
      <x:c r="A213" s="175" t="str">
        <x:v>47.424.724/0001-26</x:v>
      </x:c>
      <x:c r="B213" s="166" t="str">
        <x:v>MF GROUP FUNDO DE INVESTIMENTO EM DIREITOS CREDITÓRIOS NÃO PADRONIZADOS</x:v>
      </x:c>
      <x:c r="C213" s="188" t="n">
        <x:v>658869404.35</x:v>
      </x:c>
      <x:c r="D213" s="166" t="str">
        <x:v>Catálise Investimentos</x:v>
      </x:c>
      <x:c r="E213" s="166" t="str">
        <x:f>IFERROR(INDEX('Classif Gestoras'!$H$6:$H$462,MATCH(D213,'Classif Gestoras'!$A$6:$A$462,0)),"Não classificada")</x:f>
        <x:v>Independente</x:v>
      </x:c>
      <x:c r="F213" s="166" t="str">
        <x:v>CATÁLISE DTVM</x:v>
      </x:c>
      <x:c r="G213" s="166" t="str">
        <x:v>BANCO DAYCOVAL S.A.</x:v>
      </x:c>
      <x:c r="H213" s="166" t="str">
        <x:v>Outros</x:v>
      </x:c>
      <x:c r="I213" s="166" t="str">
        <x:v>Multicarteira Outros</x:v>
      </x:c>
      <x:c r="J213" s="166" t="str">
        <x:v>CI</x:v>
      </x:c>
      <x:c r="K213" s="172" t="n">
        <x:v>1</x:v>
      </x:c>
      <x:c r="L213" s="185" t="str">
        <x:v>Não classificado</x:v>
      </x:c>
    </x:row>
    <x:row r="214">
      <x:c r="A214" s="175" t="str">
        <x:v>15.675.220/0001-92</x:v>
      </x:c>
      <x:c r="B214" s="166" t="str">
        <x:v>MP FUNDO DE INVESTIMENTO EM DIREITOS CREDITÓRIOS</x:v>
      </x:c>
      <x:c r="C214" s="188" t="n">
        <x:v>654695229.7199999</x:v>
      </x:c>
      <x:c r="D214" s="166" t="str">
        <x:v>ARTESANAL FINANCEIRO</x:v>
      </x:c>
      <x:c r="E214" s="166" t="str">
        <x:f>IFERROR(INDEX('Classif Gestoras'!$H$6:$H$462,MATCH(D214,'Classif Gestoras'!$A$6:$A$462,0)),"Não classificada")</x:f>
        <x:v>Independente</x:v>
      </x:c>
      <x:c r="F214" s="166" t="str">
        <x:v>Singulare</x:v>
      </x:c>
      <x:c r="G214" s="166" t="str">
        <x:v>QI CORRETORA DE TÍTULOS E VALORES MOBILIÁRIOS S.A.</x:v>
      </x:c>
      <x:c r="H214" s="166" t="str">
        <x:v>Outros</x:v>
      </x:c>
      <x:c r="I214" s="166" t="str">
        <x:v>Multicarteira Outros</x:v>
      </x:c>
      <x:c r="J214" s="166" t="str">
        <x:v>CI</x:v>
      </x:c>
      <x:c r="K214" s="172" t="n">
        <x:v>14</x:v>
      </x:c>
      <x:c r="L214" s="185" t="str">
        <x:v>Não classificado</x:v>
      </x:c>
    </x:row>
    <x:row r="215">
      <x:c r="A215" s="175" t="str">
        <x:v>32.528.241/0001-02</x:v>
      </x:c>
      <x:c r="B215" s="166" t="str">
        <x:v>DANIELE MÚLTIPLO FUNDO DE INVESTIMENTO EM DIREITOS CREDITÓRIOS</x:v>
      </x:c>
      <x:c r="C215" s="188" t="n">
        <x:v>651588301.8199999</x:v>
      </x:c>
      <x:c r="D215" s="166" t="str">
        <x:v>Solis</x:v>
      </x:c>
      <x:c r="E215" s="166" t="str">
        <x:f>IFERROR(INDEX('Classif Gestoras'!$H$6:$H$462,MATCH(D215,'Classif Gestoras'!$A$6:$A$462,0)),"Não classificada")</x:f>
        <x:v>Independente</x:v>
      </x:c>
      <x:c r="F215" s="166" t="str">
        <x:v>HEMERA DTVM</x:v>
      </x:c>
      <x:c r="G215" s="166" t="str">
        <x:v>HEMERA DISTRIBUIDORA DE TITULOS E VALORES MOBILIARIOS LTDA</x:v>
      </x:c>
      <x:c r="H215" s="166" t="str">
        <x:v>Outros</x:v>
      </x:c>
      <x:c r="I215" s="166" t="str">
        <x:v>Multicarteira Outros</x:v>
      </x:c>
      <x:c r="J215" s="166" t="str">
        <x:v>CI</x:v>
      </x:c>
      <x:c r="K215" s="172" t="n">
        <x:v>1</x:v>
      </x:c>
      <x:c r="L215" s="185" t="str">
        <x:v>Não classificado</x:v>
      </x:c>
    </x:row>
    <x:row r="216">
      <x:c r="A216" s="175" t="str">
        <x:v>31.570.767/0001-80</x:v>
      </x:c>
      <x:c r="B216" s="166" t="str">
        <x:v>FUNDO DE INVESTIMENTO EM DIREITOS CREDITÓRIOS TRADEPAY VAREJO I - RESPONSABILIDADE LIMITADA</x:v>
      </x:c>
      <x:c r="C216" s="188" t="n">
        <x:v>650989733.9699999</x:v>
      </x:c>
      <x:c r="D216" s="166" t="str">
        <x:v>Solis</x:v>
      </x:c>
      <x:c r="E216" s="166" t="str">
        <x:f>IFERROR(INDEX('Classif Gestoras'!$H$6:$H$462,MATCH(D216,'Classif Gestoras'!$A$6:$A$462,0)),"Não classificada")</x:f>
        <x:v>Independente</x:v>
      </x:c>
      <x:c r="F216" s="166" t="str">
        <x:v>HEMERA DTVM</x:v>
      </x:c>
      <x:c r="G216" s="166" t="str">
        <x:v>HEMERA DISTRIBUIDORA DE TITULOS E VALORES MOBILIARIOS LTDA</x:v>
      </x:c>
      <x:c r="H216" s="166" t="str">
        <x:v>Agro, Indústria e Comércio</x:v>
      </x:c>
      <x:c r="I216" s="166" t="str">
        <x:v>Recebíveis Comerciais</x:v>
      </x:c>
      <x:c r="J216" s="166" t="str">
        <x:v>CI</x:v>
      </x:c>
      <x:c r="K216" s="172" t="n">
        <x:v>96</x:v>
      </x:c>
      <x:c r="L216" s="185" t="str">
        <x:v>Não classificado</x:v>
      </x:c>
    </x:row>
    <x:row r="217">
      <x:c r="A217" s="175" t="str">
        <x:v>37.037.144/0001-22</x:v>
      </x:c>
      <x:c r="B217" s="166" t="str">
        <x:v>GALAPAGOS WM FUNDO DE INVESTIMENTO EM DIREITOS CREDITÓRIOS</x:v>
      </x:c>
      <x:c r="C217" s="188" t="n">
        <x:v>650932444.2100002</x:v>
      </x:c>
      <x:c r="D217" s="166" t="str">
        <x:v>Galápagos</x:v>
      </x:c>
      <x:c r="E217" s="166" t="str">
        <x:f>IFERROR(INDEX('Classif Gestoras'!$H$6:$H$462,MATCH(D217,'Classif Gestoras'!$A$6:$A$462,0)),"Não classificada")</x:f>
        <x:v>Independente</x:v>
      </x:c>
      <x:c r="F217" s="166" t="str">
        <x:v>VÓRTX DTVM</x:v>
      </x:c>
      <x:c r="G217" s="166" t="str">
        <x:v>VORTX DISTRIBUIDORA DE TITULOS E VALORES MOBILIARIOS LTDA.</x:v>
      </x:c>
      <x:c r="H217" s="166" t="str">
        <x:v>Outros</x:v>
      </x:c>
      <x:c r="I217" s="166" t="str">
        <x:v>Multicarteira Outros</x:v>
      </x:c>
      <x:c r="J217" s="166" t="str">
        <x:v>CI</x:v>
      </x:c>
      <x:c r="K217" s="172" t="n">
        <x:v>19</x:v>
      </x:c>
      <x:c r="L217" s="185" t="str">
        <x:v>Não classificado</x:v>
      </x:c>
    </x:row>
    <x:row r="218">
      <x:c r="A218" s="175" t="str">
        <x:v>62.690.693/0001-49</x:v>
      </x:c>
      <x:c r="B218" s="166" t="str">
        <x:v>FIDC RANDONCORP SEGMENTO RECEBÍVEIS COMERCIAIS RESPONSABILIDADE LIMITADA</x:v>
      </x:c>
      <x:c r="C218" s="188" t="n">
        <x:v>649756762.62</x:v>
      </x:c>
      <x:c r="D218" s="166" t="str">
        <x:v>Integral Investimentos</x:v>
      </x:c>
      <x:c r="E218" s="166" t="str">
        <x:f>IFERROR(INDEX('Classif Gestoras'!$H$6:$H$462,MATCH(D218,'Classif Gestoras'!$A$6:$A$462,0)),"Não classificada")</x:f>
        <x:v>Independente</x:v>
      </x:c>
      <x:c r="F218" s="166" t="str">
        <x:v>INTEGRAL ACCESS DTVM</x:v>
      </x:c>
      <x:c r="G218" s="166" t="str">
        <x:v>OLIVEIRA TRUST DTVM S.A.</x:v>
      </x:c>
      <x:c r="H218" s="166" t="str">
        <x:v>Agro, Indústria e Comércio</x:v>
      </x:c>
      <x:c r="I218" s="166" t="str">
        <x:v>Recebíveis Comerciais</x:v>
      </x:c>
      <x:c r="J218" s="166" t="str">
        <x:v>CI</x:v>
      </x:c>
      <x:c r="K218" s="172" t="n">
        <x:v>1</x:v>
      </x:c>
      <x:c r="L218" s="185" t="str">
        <x:v>Não classificado</x:v>
      </x:c>
    </x:row>
    <x:row r="219">
      <x:c r="A219" s="175" t="str">
        <x:v>52.653.470/0001-58</x:v>
      </x:c>
      <x:c r="B219" s="166" t="str">
        <x:v>FUNDO DE INVESTIMENTO EM DIREITOS CREDITÓRIOS ST</x:v>
      </x:c>
      <x:c r="C219" s="188" t="n">
        <x:v>646026804.37</x:v>
      </x:c>
      <x:c r="D219" s="166" t="str">
        <x:v>BTG Pactual Asset</x:v>
      </x:c>
      <x:c r="E219" s="166" t="str">
        <x:f>IFERROR(INDEX('Classif Gestoras'!$H$6:$H$462,MATCH(D219,'Classif Gestoras'!$A$6:$A$462,0)),"Não classificada")</x:f>
        <x:v>Ligada a banco</x:v>
      </x:c>
      <x:c r="F219" s="166" t="str">
        <x:v>BTG Pactual Servicos Financeiros S/A DTVM</x:v>
      </x:c>
      <x:c r="G219" s="166" t="str">
        <x:v>BANCO BTG PACTUAL S/A</x:v>
      </x:c>
      <x:c r="H219" s="166" t="str">
        <x:v>Outros</x:v>
      </x:c>
      <x:c r="I219" s="166" t="str">
        <x:v>Multicarteira Outros</x:v>
      </x:c>
      <x:c r="J219" s="166" t="str">
        <x:v>CI</x:v>
      </x:c>
      <x:c r="K219" s="172" t="n">
        <x:v>5</x:v>
      </x:c>
      <x:c r="L219" s="185" t="str">
        <x:v>Não classificado</x:v>
      </x:c>
    </x:row>
    <x:row r="220">
      <x:c r="A220" s="175" t="str">
        <x:v>45.938.235/0001-67</x:v>
      </x:c>
      <x:c r="B220" s="166" t="str">
        <x:v>MAKENA FUNDO DE INVESTIMENTO EM DIREITOS CREDITÓRIOS</x:v>
      </x:c>
      <x:c r="C220" s="188" t="n">
        <x:v>643260775.5000001</x:v>
      </x:c>
      <x:c r="D220" s="166" t="str">
        <x:v>MAKENA GESTORA DE RECURSOS LTDA.</x:v>
      </x:c>
      <x:c r="E220" s="166" t="str">
        <x:f>IFERROR(INDEX('Classif Gestoras'!$H$6:$H$462,MATCH(D220,'Classif Gestoras'!$A$6:$A$462,0)),"Não classificada")</x:f>
        <x:v>Independente</x:v>
      </x:c>
      <x:c r="F220" s="166" t="str">
        <x:v>Limine Trust Distribuidora de Titulos e Valores Mobiliá</x:v>
      </x:c>
      <x:c r="G220" s="166" t="str">
        <x:v>LIMINE TRUST DISTRIBUIDORA DE TITULOS E VALORES MOBILIARIOS LTDA.</x:v>
      </x:c>
      <x:c r="H220" s="166" t="str">
        <x:v>Outros</x:v>
      </x:c>
      <x:c r="I220" s="166" t="str">
        <x:v>Multicarteira Outros</x:v>
      </x:c>
      <x:c r="J220" s="166" t="str">
        <x:v>CI</x:v>
      </x:c>
      <x:c r="K220" s="172" t="n">
        <x:v>5</x:v>
      </x:c>
      <x:c r="L220" s="185" t="str">
        <x:v>Não classificado</x:v>
      </x:c>
    </x:row>
    <x:row r="221">
      <x:c r="A221" s="175" t="str">
        <x:v>10.841.847/0001-52</x:v>
      </x:c>
      <x:c r="B221" s="166" t="str">
        <x:v>MULTI ASSET FUNDO DE INVESTIMENTO EM DIREITOS CREDITÓRIOS</x:v>
      </x:c>
      <x:c r="C221" s="188" t="n">
        <x:v>640594943.4399998</x:v>
      </x:c>
      <x:c r="D221" s="166" t="str">
        <x:v>TERCON ASSET MANAGEMENT</x:v>
      </x:c>
      <x:c r="E221" s="166" t="str">
        <x:f>IFERROR(INDEX('Classif Gestoras'!$H$6:$H$462,MATCH(D221,'Classif Gestoras'!$A$6:$A$462,0)),"Não classificada")</x:f>
        <x:v>Independente</x:v>
      </x:c>
      <x:c r="F221" s="166" t="str">
        <x:v>Singulare</x:v>
      </x:c>
      <x:c r="G221" s="166" t="str">
        <x:v>QI CORRETORA DE TÍTULOS E VALORES MOBILIÁRIOS S.A.</x:v>
      </x:c>
      <x:c r="H221" s="166" t="str">
        <x:v>Fomento Mercantil</x:v>
      </x:c>
      <x:c r="I221" s="166" t="str">
        <x:v>Fomento Mercantil</x:v>
      </x:c>
      <x:c r="J221" s="166" t="str">
        <x:v>CI</x:v>
      </x:c>
      <x:c r="K221" s="172" t="n">
        <x:v>84</x:v>
      </x:c>
      <x:c r="L221" s="185" t="str">
        <x:v>Não classificado</x:v>
      </x:c>
    </x:row>
    <x:row r="222">
      <x:c r="A222" s="175" t="str">
        <x:v>21.838.483/0001-78</x:v>
      </x:c>
      <x:c r="B222" s="166" t="str">
        <x:v>RIO FORMOSO II FUNDO DE INVESTIMENTO EM DIREITOS CREDITÓRIOS NÃO-PADRONIZADOS MULTISSETORIAL NP</x:v>
      </x:c>
      <x:c r="C222" s="188" t="n">
        <x:v>640384800.38</x:v>
      </x:c>
      <x:c r="D222" s="166" t="str">
        <x:v>BR-Capital DTVM</x:v>
      </x:c>
      <x:c r="E222" s="166" t="str">
        <x:f>IFERROR(INDEX('Classif Gestoras'!$H$6:$H$462,MATCH(D222,'Classif Gestoras'!$A$6:$A$462,0)),"Não classificada")</x:f>
        <x:v>Independente</x:v>
      </x:c>
      <x:c r="F222" s="166" t="str">
        <x:v>BR-Capital DTVM</x:v>
      </x:c>
      <x:c r="G222" s="166" t="str">
        <x:v>BR-CAPITAL DTVM S.A.</x:v>
      </x:c>
      <x:c r="H222" s="166" t="str">
        <x:v>Outros</x:v>
      </x:c>
      <x:c r="I222" s="166" t="str">
        <x:v>Multicarteira Outros</x:v>
      </x:c>
      <x:c r="J222" s="166" t="str">
        <x:v>CI</x:v>
      </x:c>
      <x:c r="K222" s="172" t="n">
        <x:v>4</x:v>
      </x:c>
      <x:c r="L222" s="185" t="str">
        <x:v>Não classificado</x:v>
      </x:c>
    </x:row>
    <x:row r="223">
      <x:c r="A223" s="175" t="str">
        <x:v>55.519.337/0001-00</x:v>
      </x:c>
      <x:c r="B223" s="166" t="str">
        <x:v>BT VAREJO FUNDO DE INVESTIMENTO EM DIREITOS CREDITÓRIOS</x:v>
      </x:c>
      <x:c r="C223" s="188" t="n">
        <x:v>639276182.72</x:v>
      </x:c>
      <x:c r="D223" s="166" t="str">
        <x:v>Prisma Claims Ltda.</x:v>
      </x:c>
      <x:c r="E223" s="166" t="str">
        <x:f>IFERROR(INDEX('Classif Gestoras'!$H$6:$H$462,MATCH(D223,'Classif Gestoras'!$A$6:$A$462,0)),"Não classificada")</x:f>
        <x:v>Independente</x:v>
      </x:c>
      <x:c r="F223" s="166" t="str">
        <x:v>FIDD DISTRIBUIDORA DE TITULOS E VALORES MOBILIARIOS LTD</x:v>
      </x:c>
      <x:c r="G223" s="166" t="str">
        <x:v>FIDD DISTRIBUIDORA DE TITULOS E VALORES MOBILIARIOS LTDA.</x:v>
      </x:c>
      <x:c r="H223" s="166" t="str">
        <x:v>Outros</x:v>
      </x:c>
      <x:c r="I223" s="166" t="str">
        <x:v>Recuperação</x:v>
      </x:c>
      <x:c r="J223" s="166" t="str">
        <x:v>CI</x:v>
      </x:c>
      <x:c r="K223" s="172" t="n">
        <x:v>39</x:v>
      </x:c>
      <x:c r="L223" s="185" t="str">
        <x:v>Não classificado</x:v>
      </x:c>
    </x:row>
    <x:row r="224">
      <x:c r="A224" s="175" t="str">
        <x:v>31.216.543/0001-74</x:v>
      </x:c>
      <x:c r="B224" s="166" t="str">
        <x:v>FUNDO DE INVESTIMENTO EM DIREITOS CREDITÓRIOS XPCE INFRA</x:v>
      </x:c>
      <x:c r="C224" s="188" t="n">
        <x:v>638950574.68</x:v>
      </x:c>
      <x:c r="D224" s="166" t="str">
        <x:v>Vista Real Estate</x:v>
      </x:c>
      <x:c r="E224" s="166" t="str">
        <x:f>IFERROR(INDEX('Classif Gestoras'!$H$6:$H$462,MATCH(D224,'Classif Gestoras'!$A$6:$A$462,0)),"Não classificada")</x:f>
        <x:v>Independente</x:v>
      </x:c>
      <x:c r="F224" s="166" t="str">
        <x:v>XPI CCTVM S/A</x:v>
      </x:c>
      <x:c r="G224" s="166" t="str">
        <x:v>OLIVEIRA TRUST DTVM S.A.</x:v>
      </x:c>
      <x:c r="H224" s="166" t="str">
        <x:v>Outros</x:v>
      </x:c>
      <x:c r="I224" s="166" t="str">
        <x:v>Multicarteira Outros</x:v>
      </x:c>
      <x:c r="J224" s="166" t="str">
        <x:v>CI</x:v>
      </x:c>
      <x:c r="K224" s="172" t="n">
        <x:v>4</x:v>
      </x:c>
      <x:c r="L224" s="185" t="str">
        <x:v>Não classificado</x:v>
      </x:c>
    </x:row>
    <x:row r="225">
      <x:c r="A225" s="175" t="str">
        <x:v>44.062.564/0001-24</x:v>
      </x:c>
      <x:c r="B225" s="166" t="str">
        <x:v>SFT FUNDO DE INVESTIMENTO EM DIREITOS CREDITÓRIOS</x:v>
      </x:c>
      <x:c r="C225" s="188" t="n">
        <x:v>637526437.92</x:v>
      </x:c>
      <x:c r="D225" s="166" t="str">
        <x:v>M8 Partners</x:v>
      </x:c>
      <x:c r="E225" s="166" t="str">
        <x:f>IFERROR(INDEX('Classif Gestoras'!$H$6:$H$462,MATCH(D225,'Classif Gestoras'!$A$6:$A$462,0)),"Não classificada")</x:f>
        <x:v>Independente</x:v>
      </x:c>
      <x:c r="F225" s="166" t="str">
        <x:v>HEMERA DTVM</x:v>
      </x:c>
      <x:c r="G225" s="166" t="str">
        <x:v>HEMERA DISTRIBUIDORA DE TITULOS E VALORES MOBILIARIOS LTDA</x:v>
      </x:c>
      <x:c r="H225" s="166" t="str">
        <x:v>Outros</x:v>
      </x:c>
      <x:c r="I225" s="166" t="str">
        <x:v>Multicarteira Outros</x:v>
      </x:c>
      <x:c r="J225" s="166" t="str">
        <x:v>CI</x:v>
      </x:c>
      <x:c r="K225" s="172" t="n">
        <x:v>179</x:v>
      </x:c>
      <x:c r="L225" s="185" t="str">
        <x:v>Não classificado</x:v>
      </x:c>
    </x:row>
    <x:row r="226">
      <x:c r="A226" s="175" t="str">
        <x:v>15.428.505/0001-29</x:v>
      </x:c>
      <x:c r="B226" s="166" t="str">
        <x:v>JC 4870 II FUNDO DE INVESTIMENTO EM DIREITOS CREDITÓRIOS NÃO-PADRONIZADOS</x:v>
      </x:c>
      <x:c r="C226" s="188" t="n">
        <x:v>636227149.1999999</x:v>
      </x:c>
      <x:c r="D226" s="166" t="str">
        <x:v>Jus Capital Gestão de Recursos LTDA</x:v>
      </x:c>
      <x:c r="E226" s="166" t="str">
        <x:f>IFERROR(INDEX('Classif Gestoras'!$H$6:$H$462,MATCH(D226,'Classif Gestoras'!$A$6:$A$462,0)),"Não classificada")</x:f>
        <x:v>Independente</x:v>
      </x:c>
      <x:c r="F226" s="166" t="str">
        <x:v>MAF Distribuidora de Títulos e Valores Mobiliários S.A.</x:v>
      </x:c>
      <x:c r="G226" s="166" t="str">
        <x:v>MAF DISTRIBUIDORA DE TITULOS E VALORES MOBILIARIOS S.A.</x:v>
      </x:c>
      <x:c r="H226" s="166" t="str">
        <x:v>Outros</x:v>
      </x:c>
      <x:c r="I226" s="166" t="str">
        <x:v>Multicarteira Outros</x:v>
      </x:c>
      <x:c r="J226" s="166" t="str">
        <x:v>CI</x:v>
      </x:c>
      <x:c r="K226" s="172" t="n">
        <x:v>1</x:v>
      </x:c>
      <x:c r="L226" s="185" t="str">
        <x:v>Não classificado</x:v>
      </x:c>
    </x:row>
    <x:row r="227">
      <x:c r="A227" s="175" t="str">
        <x:v>52.756.013/0001-99</x:v>
      </x:c>
      <x:c r="B227" s="166" t="str">
        <x:v>NM VOLPI MORTGAGE FUNDO DE INVESTIMENTO EM DIREITOS CREDITORIOS RESPONSABILIDADE LIMITADA</x:v>
      </x:c>
      <x:c r="C227" s="188" t="n">
        <x:v>635484300.3999999</x:v>
      </x:c>
      <x:c r="D227" s="166" t="str">
        <x:v>QI GESTAO DE RECURSOS LTDA</x:v>
      </x:c>
      <x:c r="E227" s="166" t="str">
        <x:f>IFERROR(INDEX('Classif Gestoras'!$H$6:$H$462,MATCH(D227,'Classif Gestoras'!$A$6:$A$462,0)),"Não classificada")</x:f>
        <x:v>Independente</x:v>
      </x:c>
      <x:c r="F227" s="166" t="str">
        <x:v>Singulare</x:v>
      </x:c>
      <x:c r="G227" s="166" t="str">
        <x:v>QI CORRETORA DE TÍTULOS E VALORES MOBILIÁRIOS S.A.</x:v>
      </x:c>
      <x:c r="H227" s="166" t="str">
        <x:v>Fomento Mercantil</x:v>
      </x:c>
      <x:c r="I227" s="166" t="str">
        <x:v>Fomento Mercantil</x:v>
      </x:c>
      <x:c r="J227" s="166" t="str">
        <x:v>CI</x:v>
      </x:c>
      <x:c r="K227" s="172" t="n">
        <x:v>8</x:v>
      </x:c>
      <x:c r="L227" s="185" t="str">
        <x:v>Não classificado</x:v>
      </x:c>
    </x:row>
    <x:row r="228">
      <x:c r="A228" s="175" t="str">
        <x:v>47.117.855/0001-60</x:v>
      </x:c>
      <x:c r="B228" s="166" t="str">
        <x:v>FUNDO DE INVESTIMENTO EM DIREITOS CREDITÓRIOS SOL CONSIG - RESPONSABILIDADE LIMITADA</x:v>
      </x:c>
      <x:c r="C228" s="188" t="n">
        <x:v>630605322.7199998</x:v>
      </x:c>
      <x:c r="D228" s="166" t="str">
        <x:v>Solis</x:v>
      </x:c>
      <x:c r="E228" s="166" t="str">
        <x:f>IFERROR(INDEX('Classif Gestoras'!$H$6:$H$462,MATCH(D228,'Classif Gestoras'!$A$6:$A$462,0)),"Não classificada")</x:f>
        <x:v>Independente</x:v>
      </x:c>
      <x:c r="F228" s="166" t="str">
        <x:v>HEMERA DTVM</x:v>
      </x:c>
      <x:c r="G228" s="166" t="str">
        <x:v>HEMERA DISTRIBUIDORA DE TITULOS E VALORES MOBILIARIOS LTDA</x:v>
      </x:c>
      <x:c r="H228" s="166" t="str">
        <x:v>Financeiro</x:v>
      </x:c>
      <x:c r="I228" s="166" t="str">
        <x:v>Crédito Consignado</x:v>
      </x:c>
      <x:c r="J228" s="166" t="str">
        <x:v>CI</x:v>
      </x:c>
      <x:c r="K228" s="172" t="n">
        <x:v>120</x:v>
      </x:c>
      <x:c r="L228" s="185" t="str">
        <x:v>Não classificado</x:v>
      </x:c>
    </x:row>
    <x:row r="229">
      <x:c r="A229" s="175" t="str">
        <x:v>61.351.481/0001-74</x:v>
      </x:c>
      <x:c r="B229" s="166" t="str">
        <x:v>FUNDO DE INVESTIMENTO EM DIREITOS CREDITÓRIOS STELLANTIS MOBILITY I - RESPONSABILIDADE LIMITADA</x:v>
      </x:c>
      <x:c r="C229" s="188" t="n">
        <x:v>629623425.8699999</x:v>
      </x:c>
      <x:c r="D229" s="166" t="str">
        <x:v>QI GESTAO DE RECURSOS LTDA</x:v>
      </x:c>
      <x:c r="E229" s="166" t="str">
        <x:f>IFERROR(INDEX('Classif Gestoras'!$H$6:$H$462,MATCH(D229,'Classif Gestoras'!$A$6:$A$462,0)),"Não classificada")</x:f>
        <x:v>Independente</x:v>
      </x:c>
      <x:c r="F229" s="166" t="str">
        <x:v>Singulare</x:v>
      </x:c>
      <x:c r="G229" s="166" t="str">
        <x:v>QI CORRETORA DE TÍTULOS E VALORES MOBILIÁRIOS S.A.</x:v>
      </x:c>
      <x:c r="H229" s="166" t="str">
        <x:v>Financeiro</x:v>
      </x:c>
      <x:c r="I229" s="166" t="str">
        <x:v>Financiamento de Veículos</x:v>
      </x:c>
      <x:c r="J229" s="166" t="str">
        <x:v>CI</x:v>
      </x:c>
      <x:c r="K229" s="172" t="n">
        <x:v>121</x:v>
      </x:c>
      <x:c r="L229" s="185" t="str">
        <x:v>Não classificado</x:v>
      </x:c>
    </x:row>
    <x:row r="230">
      <x:c r="A230" s="175" t="str">
        <x:v>13.733.804/0001-41</x:v>
      </x:c>
      <x:c r="B230" s="166" t="str">
        <x:v>FUNDO DE INVESTIMENTO EM DIREITOS CREDITÓRIOS MIT RESPONSABILIDADE LIMITADA</x:v>
      </x:c>
      <x:c r="C230" s="188" t="n">
        <x:v>629613376.5600001</x:v>
      </x:c>
      <x:c r="D230" s="166" t="str">
        <x:v>Integral Investimentos</x:v>
      </x:c>
      <x:c r="E230" s="166" t="str">
        <x:f>IFERROR(INDEX('Classif Gestoras'!$H$6:$H$462,MATCH(D230,'Classif Gestoras'!$A$6:$A$462,0)),"Não classificada")</x:f>
        <x:v>Independente</x:v>
      </x:c>
      <x:c r="F230" s="166" t="str">
        <x:v>BTG Pactual Servicos Financeiros S/A DTVM</x:v>
      </x:c>
      <x:c r="G230" s="166" t="str">
        <x:v>BANCO BRADESCO S.A.</x:v>
      </x:c>
      <x:c r="H230" s="166" t="str">
        <x:v>Fomento Mercantil</x:v>
      </x:c>
      <x:c r="I230" s="166" t="str">
        <x:v>Fomento Mercantil</x:v>
      </x:c>
      <x:c r="J230" s="166" t="str">
        <x:v>CI</x:v>
      </x:c>
      <x:c r="K230" s="172" t="n">
        <x:v>92</x:v>
      </x:c>
      <x:c r="L230" s="185" t="str">
        <x:v>Não classificado</x:v>
      </x:c>
    </x:row>
    <x:row r="231">
      <x:c r="A231" s="175" t="str">
        <x:v>11.701.985/0001-07</x:v>
      </x:c>
      <x:c r="B231" s="166" t="str">
        <x:v>VALORA GUARDIAN FUNDO DE INVESTIMENTO EM DIREITOS CREDITÓRIOS - RESPONSABILIDADE LIMITADA</x:v>
      </x:c>
      <x:c r="C231" s="188" t="n">
        <x:v>624552197.02</x:v>
      </x:c>
      <x:c r="D231" s="166" t="str">
        <x:v>VALORA RENDA FIXA LTDA.</x:v>
      </x:c>
      <x:c r="E231" s="166" t="str">
        <x:f>IFERROR(INDEX('Classif Gestoras'!$H$6:$H$462,MATCH(D231,'Classif Gestoras'!$A$6:$A$462,0)),"Não classificada")</x:f>
        <x:v>Independente</x:v>
      </x:c>
      <x:c r="F231" s="166" t="str">
        <x:v>BNY MELLON SERVICOS</x:v>
      </x:c>
      <x:c r="G231" s="166" t="str">
        <x:v>BNY MELLON BANCO S.A.</x:v>
      </x:c>
      <x:c r="H231" s="166" t="str">
        <x:v>Outros</x:v>
      </x:c>
      <x:c r="I231" s="166" t="str">
        <x:v>Multicarteira Outros</x:v>
      </x:c>
      <x:c r="J231" s="166" t="str">
        <x:v>CI</x:v>
      </x:c>
      <x:c r="K231" s="172" t="n">
        <x:v>3995</x:v>
      </x:c>
      <x:c r="L231" s="185" t="str">
        <x:v>Não classificado</x:v>
      </x:c>
    </x:row>
    <x:row r="232">
      <x:c r="A232" s="175" t="str">
        <x:v>23.729.525/0001-68</x:v>
      </x:c>
      <x:c r="B232" s="166" t="str">
        <x:v>VALORA GUARDIAN II FUNDO DE INVESTIMENTO EM DIREITOS CREDITÓRIOS RESPONSABILIDADE LIMITADA</x:v>
      </x:c>
      <x:c r="C232" s="188" t="n">
        <x:v>617470143.54</x:v>
      </x:c>
      <x:c r="D232" s="166" t="str">
        <x:v>VALORA RENDA FIXA LTDA.</x:v>
      </x:c>
      <x:c r="E232" s="166" t="str">
        <x:f>IFERROR(INDEX('Classif Gestoras'!$H$6:$H$462,MATCH(D232,'Classif Gestoras'!$A$6:$A$462,0)),"Não classificada")</x:f>
        <x:v>Independente</x:v>
      </x:c>
      <x:c r="F232" s="166" t="str">
        <x:v>BNY MELLON SERVICOS</x:v>
      </x:c>
      <x:c r="G232" s="166" t="str">
        <x:v>BNY MELLON BANCO S.A.</x:v>
      </x:c>
      <x:c r="H232" s="166" t="str">
        <x:v>Outros</x:v>
      </x:c>
      <x:c r="I232" s="166" t="str">
        <x:v>Multicarteira Outros</x:v>
      </x:c>
      <x:c r="J232" s="166" t="str">
        <x:v>CI</x:v>
      </x:c>
      <x:c r="K232" s="172" t="n">
        <x:v>3081</x:v>
      </x:c>
      <x:c r="L232" s="185" t="str">
        <x:v>Não classificado</x:v>
      </x:c>
    </x:row>
    <x:row r="233">
      <x:c r="A233" s="175" t="str">
        <x:v>27.227.796/0001-76</x:v>
      </x:c>
      <x:c r="B233" s="166" t="str">
        <x:v>XP CRÉDITO ESTRUTURADO 360 FUNDO DE INVESTIMENTO EM DIREITOS CREDITÓRIOS RESPONSABILIDADE LIMITADA</x:v>
      </x:c>
      <x:c r="C233" s="188" t="n">
        <x:v>613591944.32</x:v>
      </x:c>
      <x:c r="D233" s="166" t="str">
        <x:v>Vista Real Estate</x:v>
      </x:c>
      <x:c r="E233" s="166" t="str">
        <x:f>IFERROR(INDEX('Classif Gestoras'!$H$6:$H$462,MATCH(D233,'Classif Gestoras'!$A$6:$A$462,0)),"Não classificada")</x:f>
        <x:v>Independente</x:v>
      </x:c>
      <x:c r="F233" s="166" t="str">
        <x:v>BNY MELLON SERVICOS</x:v>
      </x:c>
      <x:c r="G233" s="166" t="str">
        <x:v>BNY MELLON BANCO S.A.</x:v>
      </x:c>
      <x:c r="H233" s="166" t="str">
        <x:v>Outros</x:v>
      </x:c>
      <x:c r="I233" s="166" t="str">
        <x:v>Multicarteira Outros</x:v>
      </x:c>
      <x:c r="J233" s="166" t="str">
        <x:v>CI</x:v>
      </x:c>
      <x:c r="K233" s="172" t="n">
        <x:v>2922</x:v>
      </x:c>
      <x:c r="L233" s="185" t="str">
        <x:v>Não classificado</x:v>
      </x:c>
    </x:row>
    <x:row r="234">
      <x:c r="A234" s="175" t="str">
        <x:v>52.258.677/0001-28</x:v>
      </x:c>
      <x:c r="B234" s="166" t="str">
        <x:v>ITAÚ PIRINEUS FUNDO DE INVESTIMENTOS EM DIREITOS CREDITÓRIOS DE INFRAESTRUTURA - RESP LIMITADA</x:v>
      </x:c>
      <x:c r="C234" s="188" t="n">
        <x:v>610468656.1999999</x:v>
      </x:c>
      <x:c r="D234" s="166" t="str">
        <x:v>ITAU ASSET</x:v>
      </x:c>
      <x:c r="E234" s="166" t="str">
        <x:f>IFERROR(INDEX('Classif Gestoras'!$H$6:$H$462,MATCH(D234,'Classif Gestoras'!$A$6:$A$462,0)),"Não classificada")</x:f>
        <x:v>Ligada a banco</x:v>
      </x:c>
      <x:c r="F234" s="166" t="str">
        <x:v>INTRAG DIST. DE TÍTU</x:v>
      </x:c>
      <x:c r="G234" s="166" t="str">
        <x:v>ITAU UNIBANCO S.A.</x:v>
      </x:c>
      <x:c r="H234" s="166" t="str">
        <x:v>Outros</x:v>
      </x:c>
      <x:c r="I234" s="166" t="str">
        <x:v>Multicarteira Outros</x:v>
      </x:c>
      <x:c r="J234" s="166" t="str">
        <x:v>CI</x:v>
      </x:c>
      <x:c r="K234" s="172" t="n">
        <x:v>3</x:v>
      </x:c>
      <x:c r="L234" s="185" t="str">
        <x:v>Não classificado</x:v>
      </x:c>
    </x:row>
    <x:row r="235">
      <x:c r="A235" s="175" t="str">
        <x:v>31.164.462/0001-78</x:v>
      </x:c>
      <x:c r="B235" s="166" t="str">
        <x:v>TARANIS - FUNDO DE INVESTIMENTO EM DIREITOS CREDITÓRIOS - RESPONSABILIDADE LIMITADA</x:v>
      </x:c>
      <x:c r="C235" s="188" t="n">
        <x:v>608579694.6700001</x:v>
      </x:c>
      <x:c r="D235" s="166" t="str">
        <x:v>Starboard Asset</x:v>
      </x:c>
      <x:c r="E235" s="166" t="str">
        <x:f>IFERROR(INDEX('Classif Gestoras'!$H$6:$H$462,MATCH(D235,'Classif Gestoras'!$A$6:$A$462,0)),"Não classificada")</x:f>
        <x:v>Independente</x:v>
      </x:c>
      <x:c r="F235" s="166" t="str">
        <x:v>Oliveira Trust DTVM</x:v>
      </x:c>
      <x:c r="G235" s="166" t="str">
        <x:v>OLIVEIRA TRUST DTVM S.A.</x:v>
      </x:c>
      <x:c r="H235" s="166" t="str">
        <x:v>Outros</x:v>
      </x:c>
      <x:c r="I235" s="166" t="str">
        <x:v>Poder Público</x:v>
      </x:c>
      <x:c r="J235" s="166" t="str">
        <x:v>CI</x:v>
      </x:c>
      <x:c r="K235" s="172" t="n">
        <x:v>9</x:v>
      </x:c>
      <x:c r="L235" s="185" t="str">
        <x:v>Não classificado</x:v>
      </x:c>
    </x:row>
    <x:row r="236">
      <x:c r="A236" s="175" t="str">
        <x:v>10.434.089/0001-58</x:v>
      </x:c>
      <x:c r="B236" s="166" t="str">
        <x:v>BMA FUNDO DE INVESTIMENTO EM DIREITOS CREDITÓRIOS MULTISSETORIAL - RESPONSABILIDADE LIMITADA</x:v>
      </x:c>
      <x:c r="C236" s="188" t="n">
        <x:v>606376155.84</x:v>
      </x:c>
      <x:c r="D236" s="166" t="str">
        <x:v>BMA ASSET</x:v>
      </x:c>
      <x:c r="E236" s="166" t="str">
        <x:f>IFERROR(INDEX('Classif Gestoras'!$H$6:$H$462,MATCH(D236,'Classif Gestoras'!$A$6:$A$462,0)),"Não classificada")</x:f>
        <x:v>Independente</x:v>
      </x:c>
      <x:c r="F236" s="166" t="str">
        <x:v>Singulare</x:v>
      </x:c>
      <x:c r="G236" s="166" t="str">
        <x:v>QI CORRETORA DE TÍTULOS E VALORES MOBILIÁRIOS S.A.</x:v>
      </x:c>
      <x:c r="H236" s="166" t="str">
        <x:v>Outros</x:v>
      </x:c>
      <x:c r="I236" s="166" t="str">
        <x:v>Multicarteira Outros</x:v>
      </x:c>
      <x:c r="J236" s="166" t="str">
        <x:v>CI</x:v>
      </x:c>
      <x:c r="K236" s="172" t="n">
        <x:v>40</x:v>
      </x:c>
      <x:c r="L236" s="185" t="str">
        <x:v>Não classificado</x:v>
      </x:c>
    </x:row>
    <x:row r="237">
      <x:c r="A237" s="175" t="str">
        <x:v>28.903.657/0001-88</x:v>
      </x:c>
      <x:c r="B237" s="166" t="str">
        <x:v>KP CP FUNDO DE INVESTIMENTO EM DIREITOS CREDITÓRIOS RESPONSABILIDADE LIMITADA</x:v>
      </x:c>
      <x:c r="C237" s="188" t="n">
        <x:v>605535335.9400002</x:v>
      </x:c>
      <x:c r="D237" s="166" t="str">
        <x:v>KP GESTÃO DE RECURSOS LTDA.</x:v>
      </x:c>
      <x:c r="E237" s="166" t="str">
        <x:f>IFERROR(INDEX('Classif Gestoras'!$H$6:$H$462,MATCH(D237,'Classif Gestoras'!$A$6:$A$462,0)),"Não classificada")</x:f>
        <x:v>Independente</x:v>
      </x:c>
      <x:c r="F237" s="166" t="str">
        <x:v>BNY MELLON SERVICOS</x:v>
      </x:c>
      <x:c r="G237" s="166" t="str">
        <x:v>BNY MELLON BANCO S.A.</x:v>
      </x:c>
      <x:c r="H237" s="166" t="str">
        <x:v>Outros</x:v>
      </x:c>
      <x:c r="I237" s="166" t="str">
        <x:v>Multicarteira Outros</x:v>
      </x:c>
      <x:c r="J237" s="166" t="str">
        <x:v>CI</x:v>
      </x:c>
      <x:c r="K237" s="172" t="n">
        <x:v>4497</x:v>
      </x:c>
      <x:c r="L237" s="185" t="str">
        <x:v>Não classificado</x:v>
      </x:c>
    </x:row>
    <x:row r="238">
      <x:c r="A238" s="175" t="str">
        <x:v>20.057.764/0001-20</x:v>
      </x:c>
      <x:c r="B238" s="166" t="str">
        <x:v>HARPIA FUNDO DE INVESTIMENTO EM DIREITOS CREDITÓRIOS - RESPONSABILIDADE LIMITADA</x:v>
      </x:c>
      <x:c r="C238" s="188" t="n">
        <x:v>601698935.51</x:v>
      </x:c>
      <x:c r="D238" s="166" t="str">
        <x:v>Golden Asset Gestora de Recursos</x:v>
      </x:c>
      <x:c r="E238" s="166" t="str">
        <x:f>IFERROR(INDEX('Classif Gestoras'!$H$6:$H$462,MATCH(D238,'Classif Gestoras'!$A$6:$A$462,0)),"Não classificada")</x:f>
        <x:v>Independente</x:v>
      </x:c>
      <x:c r="F238" s="166" t="str">
        <x:v>HEMERA DTVM</x:v>
      </x:c>
      <x:c r="G238" s="166" t="str">
        <x:v>HEMERA DISTRIBUIDORA DE TITULOS E VALORES MOBILIARIOS LTDA</x:v>
      </x:c>
      <x:c r="H238" s="166" t="str">
        <x:v>Fomento Mercantil</x:v>
      </x:c>
      <x:c r="I238" s="166" t="str">
        <x:v>Fomento Mercantil</x:v>
      </x:c>
      <x:c r="J238" s="166" t="str">
        <x:v>CI</x:v>
      </x:c>
      <x:c r="K238" s="172" t="n">
        <x:v>148</x:v>
      </x:c>
      <x:c r="L238" s="185" t="str">
        <x:v>Não classificado</x:v>
      </x:c>
    </x:row>
    <x:row r="239">
      <x:c r="A239" s="175" t="str">
        <x:v>32.400.342/0001-95</x:v>
      </x:c>
      <x:c r="B239" s="166" t="str">
        <x:v>KYKLOS N FUNDO DE INVESTIMENTO EM DIREITOS CREDITÓRIOS RESPONSABILIDADE LIMITADA</x:v>
      </x:c>
      <x:c r="C239" s="188" t="n">
        <x:v>600127641.37</x:v>
      </x:c>
      <x:c r="D239" s="166" t="str">
        <x:v>Kobold Gestora de Fundos LTDA.</x:v>
      </x:c>
      <x:c r="E239" s="166" t="str">
        <x:f>IFERROR(INDEX('Classif Gestoras'!$H$6:$H$462,MATCH(D239,'Classif Gestoras'!$A$6:$A$462,0)),"Não classificada")</x:f>
        <x:v>Independente</x:v>
      </x:c>
      <x:c r="F239" s="166" t="str">
        <x:v>Finaxis Corretora de Títulos e Valores Mobiliários S.A.</x:v>
      </x:c>
      <x:c r="G239" s="166" t="str">
        <x:v>BANCO FINAXIS S.A.</x:v>
      </x:c>
      <x:c r="H239" s="166" t="str">
        <x:v>Outros</x:v>
      </x:c>
      <x:c r="I239" s="166" t="str">
        <x:v>Multicarteira Outros</x:v>
      </x:c>
      <x:c r="J239" s="166" t="str">
        <x:v>CI</x:v>
      </x:c>
      <x:c r="K239" s="172" t="n">
        <x:v>12</x:v>
      </x:c>
      <x:c r="L239" s="185" t="str">
        <x:v>Não classificado</x:v>
      </x:c>
    </x:row>
    <x:row r="240">
      <x:c r="A240" s="175" t="str">
        <x:v>40.132.424/0001-24</x:v>
      </x:c>
      <x:c r="B240" s="166" t="str">
        <x:v>SAINTE JULIE FUNDO DE INVESTIMENTO EM DIREITOS CREDITÓRIOS NÃO-PADRONIZADOS RESP LIMITADA</x:v>
      </x:c>
      <x:c r="C240" s="188" t="n">
        <x:v>592629025.79</x:v>
      </x:c>
      <x:c r="D240" s="166" t="str">
        <x:v>Oliveira Trust Servicer</x:v>
      </x:c>
      <x:c r="E240" s="166" t="str">
        <x:f>IFERROR(INDEX('Classif Gestoras'!$H$6:$H$462,MATCH(D240,'Classif Gestoras'!$A$6:$A$462,0)),"Não classificada")</x:f>
        <x:v>Independente</x:v>
      </x:c>
      <x:c r="F240" s="166" t="str">
        <x:v>Oliveira Trust DTVM</x:v>
      </x:c>
      <x:c r="G240" s="166" t="str">
        <x:v>OLIVEIRA TRUST DTVM S.A.</x:v>
      </x:c>
      <x:c r="H240" s="166" t="str">
        <x:v>Financeiro</x:v>
      </x:c>
      <x:c r="I240" s="166" t="str">
        <x:v>Multicarteira Financeiro</x:v>
      </x:c>
      <x:c r="J240" s="166" t="str">
        <x:v>CI</x:v>
      </x:c>
      <x:c r="K240" s="172" t="n">
        <x:v>2</x:v>
      </x:c>
      <x:c r="L240" s="185" t="str">
        <x:v>Não classificado</x:v>
      </x:c>
    </x:row>
    <x:row r="241">
      <x:c r="A241" s="175" t="str">
        <x:v>65.505.678/0001-71</x:v>
      </x:c>
      <x:c r="B241" s="166" t="str">
        <x:v>ERYTHRINA FIDC SEGMENTO INFRAESTRUTURA E AGRONEGÓCIO DE RESPONSABILIDADE LIMITADA</x:v>
      </x:c>
      <x:c r="C241" s="188" t="n">
        <x:v>587623984.11</x:v>
      </x:c>
      <x:c r="D241" s="166" t="str">
        <x:v>Itau Unibanco</x:v>
      </x:c>
      <x:c r="E241" s="166" t="str">
        <x:f>IFERROR(INDEX('Classif Gestoras'!$H$6:$H$462,MATCH(D241,'Classif Gestoras'!$A$6:$A$462,0)),"Não classificada")</x:f>
        <x:v>Ligada a banco</x:v>
      </x:c>
      <x:c r="F241" s="166" t="str">
        <x:v>INTRAG DIST. DE TÍTU</x:v>
      </x:c>
      <x:c r="G241" s="166" t="str">
        <x:v>ITAU UNIBANCO S.A.</x:v>
      </x:c>
      <x:c r="H241" s="166" t="str">
        <x:v>Agro, Indústria e Comércio</x:v>
      </x:c>
      <x:c r="I241" s="166" t="str">
        <x:v>Infraestrutura</x:v>
      </x:c>
      <x:c r="J241" s="166" t="str">
        <x:v>CI</x:v>
      </x:c>
      <x:c r="K241" s="172" t="n">
        <x:v>1</x:v>
      </x:c>
      <x:c r="L241" s="185" t="str">
        <x:v>Não classificado</x:v>
      </x:c>
    </x:row>
    <x:row r="242">
      <x:c r="A242" s="175" t="str">
        <x:v>54.464.892/0001-00</x:v>
      </x:c>
      <x:c r="B242" s="166" t="str">
        <x:v>FUNDO DE INVESTIMENTO EM DIREITOS CREDITÓRIOS MT FGTS RECEIVABLES II</x:v>
      </x:c>
      <x:c r="C242" s="188" t="n">
        <x:v>584515144.18</x:v>
      </x:c>
      <x:c r="D242" s="166" t="str">
        <x:v>Solis</x:v>
      </x:c>
      <x:c r="E242" s="166" t="str">
        <x:f>IFERROR(INDEX('Classif Gestoras'!$H$6:$H$462,MATCH(D242,'Classif Gestoras'!$A$6:$A$462,0)),"Não classificada")</x:f>
        <x:v>Independente</x:v>
      </x:c>
      <x:c r="F242" s="166" t="str">
        <x:v>VÓRTX DTVM</x:v>
      </x:c>
      <x:c r="G242" s="166" t="str">
        <x:v>VORTX DISTRIBUIDORA DE TITULOS E VALORES MOBILIARIOS LTDA.</x:v>
      </x:c>
      <x:c r="H242" s="166" t="str">
        <x:v>Financeiro</x:v>
      </x:c>
      <x:c r="I242" s="166" t="str">
        <x:v>Crédito Pessoal</x:v>
      </x:c>
      <x:c r="J242" s="166" t="str">
        <x:v>CI</x:v>
      </x:c>
      <x:c r="K242" s="172" t="n">
        <x:v>71</x:v>
      </x:c>
      <x:c r="L242" s="185" t="str">
        <x:v>Não classificado</x:v>
      </x:c>
    </x:row>
    <x:row r="243">
      <x:c r="A243" s="175" t="str">
        <x:v>19.746.810/0001-10</x:v>
      </x:c>
      <x:c r="B243" s="166" t="str">
        <x:v>FUNDO DE INVESTIMENTO EM DIREITOS CREDITÓRIOS SUMITOMO RESPONSABILIDADE LIMITADA</x:v>
      </x:c>
      <x:c r="C243" s="188" t="n">
        <x:v>584315664.6999999</x:v>
      </x:c>
      <x:c r="D243" s="166" t="str">
        <x:v>Beyond Capital Ltda</x:v>
      </x:c>
      <x:c r="E243" s="166" t="str">
        <x:f>IFERROR(INDEX('Classif Gestoras'!$H$6:$H$462,MATCH(D243,'Classif Gestoras'!$A$6:$A$462,0)),"Não classificada")</x:f>
        <x:v>Independente</x:v>
      </x:c>
      <x:c r="F243" s="166" t="str">
        <x:v>Oliveira Trust DTVM</x:v>
      </x:c>
      <x:c r="G243" s="166" t="str">
        <x:v>OLIVEIRA TRUST DTVM S.A.</x:v>
      </x:c>
      <x:c r="H243" s="166" t="str">
        <x:v>Agro, Indústria e Comércio</x:v>
      </x:c>
      <x:c r="I243" s="166" t="str">
        <x:v>Multicarteira Agro, Indústria e Comércio</x:v>
      </x:c>
      <x:c r="J243" s="166" t="str">
        <x:v>CI</x:v>
      </x:c>
      <x:c r="K243" s="172" t="n">
        <x:v>7</x:v>
      </x:c>
      <x:c r="L243" s="185" t="str">
        <x:v>Não classificado</x:v>
      </x:c>
    </x:row>
    <x:row r="244">
      <x:c r="A244" s="175" t="str">
        <x:v>57.584.403/0001-42</x:v>
      </x:c>
      <x:c r="B244" s="166" t="str">
        <x:v>CAPRI FUNDO DE INVESTIMENTO EM DIREITOS CREDITÓRIOS</x:v>
      </x:c>
      <x:c r="C244" s="188" t="n">
        <x:v>583757914.4399999</x:v>
      </x:c>
      <x:c r="D244" s="166" t="str">
        <x:v>Trius Capital</x:v>
      </x:c>
      <x:c r="E244" s="166" t="str">
        <x:f>IFERROR(INDEX('Classif Gestoras'!$H$6:$H$462,MATCH(D244,'Classif Gestoras'!$A$6:$A$462,0)),"Não classificada")</x:f>
        <x:v>Independente</x:v>
      </x:c>
      <x:c r="F244" s="166" t="str">
        <x:v>BTG Pactual Servicos Financeiros S/A DTVM</x:v>
      </x:c>
      <x:c r="G244" s="166" t="str">
        <x:v>BANCO BTG PACTUAL S/A</x:v>
      </x:c>
      <x:c r="H244" s="166" t="str">
        <x:v>Outros</x:v>
      </x:c>
      <x:c r="I244" s="166" t="str">
        <x:v>Multicarteira Outros</x:v>
      </x:c>
      <x:c r="J244" s="166" t="str">
        <x:v>CI</x:v>
      </x:c>
      <x:c r="K244" s="172" t="n">
        <x:v>1</x:v>
      </x:c>
      <x:c r="L244" s="185" t="str">
        <x:v>Não classificado</x:v>
      </x:c>
    </x:row>
    <x:row r="245">
      <x:c r="A245" s="175" t="str">
        <x:v>42.700.626/0001-50</x:v>
      </x:c>
      <x:c r="B245" s="166" t="str">
        <x:v>STARS BANK FUNDO DE INVESTIMENTO EM DIREITOS CREDITÓRIOS LP DE RESPONSABILIDADE LIMITADA</x:v>
      </x:c>
      <x:c r="C245" s="188" t="n">
        <x:v>582244775.4599999</x:v>
      </x:c>
      <x:c r="D245" s="166" t="str">
        <x:v>TERCON ASSET MANAGEMENT</x:v>
      </x:c>
      <x:c r="E245" s="166" t="str">
        <x:f>IFERROR(INDEX('Classif Gestoras'!$H$6:$H$462,MATCH(D245,'Classif Gestoras'!$A$6:$A$462,0)),"Não classificada")</x:f>
        <x:v>Independente</x:v>
      </x:c>
      <x:c r="F245" s="166" t="str">
        <x:v>Singulare</x:v>
      </x:c>
      <x:c r="G245" s="166" t="str">
        <x:v>QI CORRETORA DE TÍTULOS E VALORES MOBILIÁRIOS S.A.</x:v>
      </x:c>
      <x:c r="H245" s="166" t="str">
        <x:v>Fomento Mercantil</x:v>
      </x:c>
      <x:c r="I245" s="166" t="str">
        <x:v>Fomento Mercantil</x:v>
      </x:c>
      <x:c r="J245" s="166" t="str">
        <x:v>CI</x:v>
      </x:c>
      <x:c r="K245" s="172" t="n">
        <x:v>72</x:v>
      </x:c>
      <x:c r="L245" s="185" t="str">
        <x:v>Não classificado</x:v>
      </x:c>
    </x:row>
    <x:row r="246">
      <x:c r="A246" s="175" t="str">
        <x:v>17.313.316/0001-36</x:v>
      </x:c>
      <x:c r="B246" s="166" t="str">
        <x:v>VALORA HORIZON HIGH YIELD FUNDO DE INVESTIMENTO EM DIREITOS CREDITÓRIOS</x:v>
      </x:c>
      <x:c r="C246" s="188" t="n">
        <x:v>581571635.0930998</x:v>
      </x:c>
      <x:c r="D246" s="166" t="str">
        <x:v>VALORA IMOBILIÁRIO E INFRAESTRUTURA LTDA</x:v>
      </x:c>
      <x:c r="E246" s="166" t="str">
        <x:f>IFERROR(INDEX('Classif Gestoras'!$H$6:$H$462,MATCH(D246,'Classif Gestoras'!$A$6:$A$462,0)),"Não classificada")</x:f>
        <x:v>Independente</x:v>
      </x:c>
      <x:c r="F246" s="166" t="str">
        <x:v>BTG Pactual Servicos Financeiros S/A DTVM</x:v>
      </x:c>
      <x:c r="G246" s="166" t="str">
        <x:v>BANCO BTG PACTUAL S/A</x:v>
      </x:c>
      <x:c r="H246" s="166" t="str">
        <x:v>Outros</x:v>
      </x:c>
      <x:c r="I246" s="166" t="str">
        <x:v>Multicarteira Outros</x:v>
      </x:c>
      <x:c r="J246" s="166" t="str">
        <x:v>CI</x:v>
      </x:c>
      <x:c r="K246" s="172" t="n">
        <x:v>3441</x:v>
      </x:c>
      <x:c r="L246" s="185" t="str">
        <x:v>Não classificado</x:v>
      </x:c>
    </x:row>
    <x:row r="247">
      <x:c r="A247" s="175" t="str">
        <x:v>20.460.014/0001-03</x:v>
      </x:c>
      <x:c r="B247" s="166" t="str">
        <x:v>FLOWINVEST FUNDO DE INVESTIMENTO EM DIREITOS CREDITÓRIOS RESPONSABILIDADE LIMITADA</x:v>
      </x:c>
      <x:c r="C247" s="188" t="n">
        <x:v>578156012.3500001</x:v>
      </x:c>
      <x:c r="D247" s="166" t="str">
        <x:v>ARTESANAL MCMS</x:v>
      </x:c>
      <x:c r="E247" s="166" t="str">
        <x:f>IFERROR(INDEX('Classif Gestoras'!$H$6:$H$462,MATCH(D247,'Classif Gestoras'!$A$6:$A$462,0)),"Não classificada")</x:f>
        <x:v>Independente</x:v>
      </x:c>
      <x:c r="F247" s="166" t="str">
        <x:v>Singulare</x:v>
      </x:c>
      <x:c r="G247" s="166" t="str">
        <x:v>QI CORRETORA DE TÍTULOS E VALORES MOBILIÁRIOS S.A.</x:v>
      </x:c>
      <x:c r="H247" s="166" t="str">
        <x:v>Agro, Indústria e Comércio</x:v>
      </x:c>
      <x:c r="I247" s="166" t="str">
        <x:v>Multicarteira Agro, Indústria e Comércio</x:v>
      </x:c>
      <x:c r="J247" s="166" t="str">
        <x:v>CI</x:v>
      </x:c>
      <x:c r="K247" s="172" t="n">
        <x:v>61</x:v>
      </x:c>
      <x:c r="L247" s="185" t="str">
        <x:v>Não classificado</x:v>
      </x:c>
    </x:row>
    <x:row r="248">
      <x:c r="A248" s="175" t="str">
        <x:v>51.767.969/0001-23</x:v>
      </x:c>
      <x:c r="B248" s="166" t="str">
        <x:v>GUARDIAN GDF FUNDO DE INVESTIMENTO EM DIREITOS CREDITÓRIOS RESPONSABILIDADE LIMITADA</x:v>
      </x:c>
      <x:c r="C248" s="188" t="n">
        <x:v>577711540.49</x:v>
      </x:c>
      <x:c r="D248" s="166" t="str">
        <x:v>Guardian Gestora</x:v>
      </x:c>
      <x:c r="E248" s="166" t="str">
        <x:f>IFERROR(INDEX('Classif Gestoras'!$H$6:$H$462,MATCH(D248,'Classif Gestoras'!$A$6:$A$462,0)),"Não classificada")</x:f>
        <x:v>Independente</x:v>
      </x:c>
      <x:c r="F248" s="166" t="str">
        <x:v>Banvox DTVM</x:v>
      </x:c>
      <x:c r="G248" s="166" t="str">
        <x:v>BANCO DAYCOVAL S.A.</x:v>
      </x:c>
      <x:c r="H248" s="166" t="str">
        <x:v>Financeiro</x:v>
      </x:c>
      <x:c r="I248" s="166" t="str">
        <x:v>Crédito Consignado</x:v>
      </x:c>
      <x:c r="J248" s="166" t="str">
        <x:v>CI</x:v>
      </x:c>
      <x:c r="K248" s="172" t="n">
        <x:v>4</x:v>
      </x:c>
      <x:c r="L248" s="185" t="str">
        <x:v>Não classificado</x:v>
      </x:c>
    </x:row>
    <x:row r="249">
      <x:c r="A249" s="175" t="str">
        <x:v>51.295.720/0001-62</x:v>
      </x:c>
      <x:c r="B249" s="166" t="str">
        <x:v>OPI GOOROO FUNDO DE INVESTIMENTO EM DIREITOS CREDITÓRIOS MULTISSETORIAL - RESP LIMITADA</x:v>
      </x:c>
      <x:c r="C249" s="188" t="n">
        <x:v>573731805.4599999</x:v>
      </x:c>
      <x:c r="D249" s="166" t="str">
        <x:v>OURO PRETO INVESTIMENTOS</x:v>
      </x:c>
      <x:c r="E249" s="166" t="str">
        <x:f>IFERROR(INDEX('Classif Gestoras'!$H$6:$H$462,MATCH(D249,'Classif Gestoras'!$A$6:$A$462,0)),"Não classificada")</x:f>
        <x:v>Independente</x:v>
      </x:c>
      <x:c r="F249" s="166" t="str">
        <x:v>Limine Trust Distribuidora de Titulos e Valores Mobiliá</x:v>
      </x:c>
      <x:c r="G249" s="166" t="str">
        <x:v>LIMINE TRUST DISTRIBUIDORA DE TITULOS E VALORES MOBILIARIOS LTDA.</x:v>
      </x:c>
      <x:c r="H249" s="166" t="str">
        <x:v>Financeiro</x:v>
      </x:c>
      <x:c r="I249" s="166" t="str">
        <x:v>Crédito Consignado</x:v>
      </x:c>
      <x:c r="J249" s="166" t="str">
        <x:v>CI</x:v>
      </x:c>
      <x:c r="K249" s="172" t="n">
        <x:v>147</x:v>
      </x:c>
      <x:c r="L249" s="185" t="str">
        <x:v>Não classificado</x:v>
      </x:c>
    </x:row>
    <x:row r="250">
      <x:c r="A250" s="175" t="str">
        <x:v>97.533.979/0001-03</x:v>
      </x:c>
      <x:c r="B250" s="166" t="str">
        <x:v>FUNDO DE INVESTIMENTO EM DIREITOS CREDITORIOS CASH FLOW MULTISSEGMENTOS</x:v>
      </x:c>
      <x:c r="C250" s="188" t="n">
        <x:v>572456867.98</x:v>
      </x:c>
      <x:c r="D250" s="166" t="str">
        <x:v>Petra Capital</x:v>
      </x:c>
      <x:c r="E250" s="166" t="str">
        <x:f>IFERROR(INDEX('Classif Gestoras'!$H$6:$H$462,MATCH(D250,'Classif Gestoras'!$A$6:$A$462,0)),"Não classificada")</x:f>
        <x:v>Independente</x:v>
      </x:c>
      <x:c r="F250" s="166" t="str">
        <x:v>Finaxis Corretora de Títulos e Valores Mobiliários S.A.</x:v>
      </x:c>
      <x:c r="G250" s="166" t="str">
        <x:v>BANCO FINAXIS S.A.</x:v>
      </x:c>
      <x:c r="H250" s="166" t="str">
        <x:v>Agro, Indústria e Comércio</x:v>
      </x:c>
      <x:c r="I250" s="166" t="str">
        <x:v>Multicarteira Agro, Indústria e Comércio</x:v>
      </x:c>
      <x:c r="J250" s="166" t="str">
        <x:v>CI</x:v>
      </x:c>
      <x:c r="K250" s="172" t="n">
        <x:v>1</x:v>
      </x:c>
      <x:c r="L250" s="185" t="str">
        <x:v>Não classificado</x:v>
      </x:c>
    </x:row>
    <x:row r="251">
      <x:c r="A251" s="175" t="str">
        <x:v>29.746.371/0001-07</x:v>
      </x:c>
      <x:c r="B251" s="166" t="str">
        <x:v>CNPJ 29746371000107</x:v>
      </x:c>
      <x:c r="C251" s="188" t="n">
        <x:v>572112753.1</x:v>
      </x:c>
      <x:c r="D251" s="166" t="str">
        <x:v>Emerald Gestão de Investimento</x:v>
      </x:c>
      <x:c r="E251" s="166" t="str">
        <x:f>IFERROR(INDEX('Classif Gestoras'!$H$6:$H$462,MATCH(D251,'Classif Gestoras'!$A$6:$A$462,0)),"Não classificada")</x:f>
        <x:v>Independente</x:v>
      </x:c>
      <x:c r="F251" s="166" t="str">
        <x:v>BANCO J. SAFRA S/A</x:v>
      </x:c>
      <x:c r="G251" s="166" t="str">
        <x:v>Não identificado</x:v>
      </x:c>
      <x:c r="H251" s="166" t="str">
        <x:v>Outros</x:v>
      </x:c>
      <x:c r="I251" s="166" t="str">
        <x:v>Poder Público</x:v>
      </x:c>
      <x:c r="J251" s="166" t="str">
        <x:v>CI</x:v>
      </x:c>
      <x:c r="K251" s="172"/>
      <x:c r="L251" s="185" t="str">
        <x:v>Não classificado</x:v>
      </x:c>
    </x:row>
    <x:row r="252">
      <x:c r="A252" s="175" t="str">
        <x:v>62.010.175/0001-37</x:v>
      </x:c>
      <x:c r="B252" s="166" t="str">
        <x:v>FUNDO DE INVESTIMENTO EM DIREITOS CREDITÓRIOS MT FGTS RECEIVABLES IV</x:v>
      </x:c>
      <x:c r="C252" s="188" t="n">
        <x:v>567408596.86</x:v>
      </x:c>
      <x:c r="D252" s="166" t="str">
        <x:v>Solis</x:v>
      </x:c>
      <x:c r="E252" s="166" t="str">
        <x:f>IFERROR(INDEX('Classif Gestoras'!$H$6:$H$462,MATCH(D252,'Classif Gestoras'!$A$6:$A$462,0)),"Não classificada")</x:f>
        <x:v>Independente</x:v>
      </x:c>
      <x:c r="F252" s="166" t="str">
        <x:v>VÓRTX DTVM</x:v>
      </x:c>
      <x:c r="G252" s="166" t="str">
        <x:v>VORTX DISTRIBUIDORA DE TITULOS E VALORES MOBILIARIOS LTDA.</x:v>
      </x:c>
      <x:c r="H252" s="166" t="str">
        <x:v>Agro, Indústria e Comércio</x:v>
      </x:c>
      <x:c r="I252" s="166" t="str">
        <x:v>Crédito Pessoal</x:v>
      </x:c>
      <x:c r="J252" s="166" t="str">
        <x:v>CI</x:v>
      </x:c>
      <x:c r="K252" s="172" t="n">
        <x:v>58</x:v>
      </x:c>
      <x:c r="L252" s="185" t="str">
        <x:v>Não classificado</x:v>
      </x:c>
    </x:row>
    <x:row r="253">
      <x:c r="A253" s="175" t="str">
        <x:v>16.874.770/0001-01</x:v>
      </x:c>
      <x:c r="B253" s="166" t="str">
        <x:v>VHG FUNDO DE INVEST EM DIREITOS CREDITÓRIOS RECEBÍVEIS MULTISEGMENTOS DE RESPONSABILIDADE LIMITADA</x:v>
      </x:c>
      <x:c r="C253" s="188" t="n">
        <x:v>561748160.04</x:v>
      </x:c>
      <x:c r="D253" s="166" t="str">
        <x:v>Vinci Gestora de Recursos LTDA</x:v>
      </x:c>
      <x:c r="E253" s="166" t="str">
        <x:f>IFERROR(INDEX('Classif Gestoras'!$H$6:$H$462,MATCH(D253,'Classif Gestoras'!$A$6:$A$462,0)),"Não classificada")</x:f>
        <x:v>Independente</x:v>
      </x:c>
      <x:c r="F253" s="166" t="str">
        <x:v>Banco Finaxis S.A.</x:v>
      </x:c>
      <x:c r="G253" s="166" t="str">
        <x:v>BANCO FINAXIS S.A.</x:v>
      </x:c>
      <x:c r="H253" s="166" t="str">
        <x:v>Outros</x:v>
      </x:c>
      <x:c r="I253" s="166" t="str">
        <x:v>Multicarteira Outros</x:v>
      </x:c>
      <x:c r="J253" s="166" t="str">
        <x:v>CI</x:v>
      </x:c>
      <x:c r="K253" s="172" t="n">
        <x:v>22</x:v>
      </x:c>
      <x:c r="L253" s="185" t="str">
        <x:v>Não classificado</x:v>
      </x:c>
    </x:row>
    <x:row r="254">
      <x:c r="A254" s="175" t="str">
        <x:v>52.810.196/0001-83</x:v>
      </x:c>
      <x:c r="B254" s="166" t="str">
        <x:v>FUNDO DE INVESTIMENTO EM DIREITOS CREDITÓRIOS FUTURO PREVIDÊNCIA CONSIGNADO PÚBLICO II RESP LTDA</x:v>
      </x:c>
      <x:c r="C254" s="188" t="n">
        <x:v>560495842.9</x:v>
      </x:c>
      <x:c r="D254" s="166" t="str">
        <x:v>Guardian Crédito</x:v>
      </x:c>
      <x:c r="E254" s="166" t="str">
        <x:f>IFERROR(INDEX('Classif Gestoras'!$H$6:$H$462,MATCH(D254,'Classif Gestoras'!$A$6:$A$462,0)),"Não classificada")</x:f>
        <x:v>Independente</x:v>
      </x:c>
      <x:c r="F254" s="166" t="str">
        <x:v>Oliveira Trust DTVM</x:v>
      </x:c>
      <x:c r="G254" s="166" t="str">
        <x:v>OLIVEIRA TRUST DTVM S.A.</x:v>
      </x:c>
      <x:c r="H254" s="166" t="str">
        <x:v>Financeiro</x:v>
      </x:c>
      <x:c r="I254" s="166" t="str">
        <x:v>Crédito Consignado</x:v>
      </x:c>
      <x:c r="J254" s="166" t="str">
        <x:v>CI</x:v>
      </x:c>
      <x:c r="K254" s="172" t="n">
        <x:v>146</x:v>
      </x:c>
      <x:c r="L254" s="185" t="str">
        <x:v>Não classificado</x:v>
      </x:c>
    </x:row>
    <x:row r="255">
      <x:c r="A255" s="175" t="str">
        <x:v>26.756.137/0001-64</x:v>
      </x:c>
      <x:c r="B255" s="166" t="str">
        <x:v>BASSO FUNDO DE INVESTIMENTO EM DIREITOS CREDITORIOS</x:v>
      </x:c>
      <x:c r="C255" s="188" t="n">
        <x:v>559933026.36</x:v>
      </x:c>
      <x:c r="D255" s="166" t="str">
        <x:v>OURO PRETO INVESTIMENTOS</x:v>
      </x:c>
      <x:c r="E255" s="166" t="str">
        <x:f>IFERROR(INDEX('Classif Gestoras'!$H$6:$H$462,MATCH(D255,'Classif Gestoras'!$A$6:$A$462,0)),"Não classificada")</x:f>
        <x:v>Independente</x:v>
      </x:c>
      <x:c r="F255" s="166" t="str">
        <x:v>Singulare</x:v>
      </x:c>
      <x:c r="G255" s="166" t="str">
        <x:v>QI CORRETORA DE TÍTULOS E VALORES MOBILIÁRIOS S.A.</x:v>
      </x:c>
      <x:c r="H255" s="166" t="str">
        <x:v>Fomento Mercantil</x:v>
      </x:c>
      <x:c r="I255" s="166" t="str">
        <x:v>Fomento Mercantil</x:v>
      </x:c>
      <x:c r="J255" s="166" t="str">
        <x:v>CI</x:v>
      </x:c>
      <x:c r="K255" s="172" t="n">
        <x:v>119</x:v>
      </x:c>
      <x:c r="L255" s="185" t="str">
        <x:v>Não classificado</x:v>
      </x:c>
    </x:row>
    <x:row r="256">
      <x:c r="A256" s="175" t="str">
        <x:v>63.882.874/0001-30</x:v>
      </x:c>
      <x:c r="B256" s="166" t="str">
        <x:v>FUNDO DE INVESTIMENTO EM DIREITOS CREDITÓRIOS MOTO HONDA II</x:v>
      </x:c>
      <x:c r="C256" s="188" t="n">
        <x:v>558202599.3000001</x:v>
      </x:c>
      <x:c r="D256" s="166" t="str">
        <x:v>Cultinvest Asset</x:v>
      </x:c>
      <x:c r="E256" s="166" t="str">
        <x:f>IFERROR(INDEX('Classif Gestoras'!$H$6:$H$462,MATCH(D256,'Classif Gestoras'!$A$6:$A$462,0)),"Não classificada")</x:f>
        <x:v>Independente</x:v>
      </x:c>
      <x:c r="F256" s="166" t="str">
        <x:v>S3 Caceis Brasil Distribuidora de Títulos e Valores Mob</x:v>
      </x:c>
      <x:c r="G256" s="166" t="str">
        <x:v>S3 CACEIS BRASIL DISTRIBUIDORA DE TITULOS E VALORES MOBILIARIOS S.A</x:v>
      </x:c>
      <x:c r="H256" s="166" t="str">
        <x:v>Agro, Indústria e Comércio</x:v>
      </x:c>
      <x:c r="I256" s="166" t="str">
        <x:v>Recebíveis Comerciais</x:v>
      </x:c>
      <x:c r="J256" s="166" t="str">
        <x:v>CI</x:v>
      </x:c>
      <x:c r="K256" s="172" t="n">
        <x:v>331</x:v>
      </x:c>
      <x:c r="L256" s="185" t="str">
        <x:v>Não classificado</x:v>
      </x:c>
    </x:row>
    <x:row r="257">
      <x:c r="A257" s="175" t="str">
        <x:v>25.043.891/0001-94</x:v>
      </x:c>
      <x:c r="B257" s="166" t="str">
        <x:v>FUNDO DE INVESTIMENTO EM DIREITOS CREDITÓRIOS XPCE III</x:v>
      </x:c>
      <x:c r="C257" s="188" t="n">
        <x:v>556950642.37</x:v>
      </x:c>
      <x:c r="D257" s="166" t="str">
        <x:v>XP Gestão de Recurso</x:v>
      </x:c>
      <x:c r="E257" s="166" t="str">
        <x:f>IFERROR(INDEX('Classif Gestoras'!$H$6:$H$462,MATCH(D257,'Classif Gestoras'!$A$6:$A$462,0)),"Não classificada")</x:f>
        <x:v>Ligada a banco</x:v>
      </x:c>
      <x:c r="F257" s="166" t="str">
        <x:v>VÓRTX DTVM</x:v>
      </x:c>
      <x:c r="G257" s="166" t="str">
        <x:v>VORTX DISTRIBUIDORA DE TITULOS E VALORES MOBILIARIOS LTDA.</x:v>
      </x:c>
      <x:c r="H257" s="166" t="str">
        <x:v>Financeiro</x:v>
      </x:c>
      <x:c r="I257" s="166" t="str">
        <x:v>Multicarteira Financeiro</x:v>
      </x:c>
      <x:c r="J257" s="166" t="str">
        <x:v>CI</x:v>
      </x:c>
      <x:c r="K257" s="172" t="n">
        <x:v>5</x:v>
      </x:c>
      <x:c r="L257" s="185" t="str">
        <x:v>Não classificado</x:v>
      </x:c>
    </x:row>
    <x:row r="258">
      <x:c r="A258" s="175" t="str">
        <x:v>31.024.386/0001-03</x:v>
      </x:c>
      <x:c r="B258" s="166" t="str">
        <x:v>GAVEA OPEN FUNDO DE INVESTIMENTO EM DIREITOS CREDITÓRIOS</x:v>
      </x:c>
      <x:c r="C258" s="188" t="n">
        <x:v>554232776.9799999</x:v>
      </x:c>
      <x:c r="D258" s="166" t="str">
        <x:v>M8 Partners</x:v>
      </x:c>
      <x:c r="E258" s="166" t="str">
        <x:f>IFERROR(INDEX('Classif Gestoras'!$H$6:$H$462,MATCH(D258,'Classif Gestoras'!$A$6:$A$462,0)),"Não classificada")</x:f>
        <x:v>Independente</x:v>
      </x:c>
      <x:c r="F258" s="166" t="str">
        <x:v>Singulare</x:v>
      </x:c>
      <x:c r="G258" s="166" t="str">
        <x:v>QI CORRETORA DE TÍTULOS E VALORES MOBILIÁRIOS S.A.</x:v>
      </x:c>
      <x:c r="H258" s="166" t="str">
        <x:v>Fomento Mercantil</x:v>
      </x:c>
      <x:c r="I258" s="166" t="str">
        <x:v>Fomento Mercantil</x:v>
      </x:c>
      <x:c r="J258" s="166" t="str">
        <x:v>CI</x:v>
      </x:c>
      <x:c r="K258" s="172" t="n">
        <x:v>89</x:v>
      </x:c>
      <x:c r="L258" s="185" t="str">
        <x:v>Não classificado</x:v>
      </x:c>
    </x:row>
    <x:row r="259">
      <x:c r="A259" s="175" t="str">
        <x:v>37.457.423/0001-45</x:v>
      </x:c>
      <x:c r="B259" s="166" t="str">
        <x:v>FUNDO DE INVESTIMENTO EM DIREITOS CREDITÓRIOS ATIVOS JUDICIAIS I RESPONSABILIDADE LIMITADA</x:v>
      </x:c>
      <x:c r="C259" s="188" t="n">
        <x:v>552566090.23</x:v>
      </x:c>
      <x:c r="D259" s="166" t="str">
        <x:v>Vista Real Estate</x:v>
      </x:c>
      <x:c r="E259" s="166" t="str">
        <x:f>IFERROR(INDEX('Classif Gestoras'!$H$6:$H$462,MATCH(D259,'Classif Gestoras'!$A$6:$A$462,0)),"Não classificada")</x:f>
        <x:v>Independente</x:v>
      </x:c>
      <x:c r="F259" s="166" t="str">
        <x:v>BRL TRUST DTVM</x:v>
      </x:c>
      <x:c r="G259" s="166" t="str">
        <x:v>BRL TRUST DISTRIBUIDORA DE TITULOS E VALORES MOBILIARIOS S.A.</x:v>
      </x:c>
      <x:c r="H259" s="166" t="str">
        <x:v>Outros</x:v>
      </x:c>
      <x:c r="I259" s="166" t="str">
        <x:v>Poder Público</x:v>
      </x:c>
      <x:c r="J259" s="166" t="str">
        <x:v>CI</x:v>
      </x:c>
      <x:c r="K259" s="172" t="n">
        <x:v>32</x:v>
      </x:c>
      <x:c r="L259" s="185" t="str">
        <x:v>Não classificado</x:v>
      </x:c>
    </x:row>
    <x:row r="260">
      <x:c r="A260" s="175" t="str">
        <x:v>32.113.885/0001-21</x:v>
      </x:c>
      <x:c r="B260" s="166" t="str">
        <x:v>MN I FUNDO DE INVESTIMENTO EM DIREITOS CREDITORIOS NAO-PADRONIZADOS</x:v>
      </x:c>
      <x:c r="C260" s="188" t="n">
        <x:v>549614280.9499999</x:v>
      </x:c>
      <x:c r="D260" s="166" t="str">
        <x:v>Acura Gestora de Recursos LTDA.</x:v>
      </x:c>
      <x:c r="E260" s="166" t="str">
        <x:f>IFERROR(INDEX('Classif Gestoras'!$H$6:$H$462,MATCH(D260,'Classif Gestoras'!$A$6:$A$462,0)),"Não classificada")</x:f>
        <x:v>Independente</x:v>
      </x:c>
      <x:c r="F260" s="166" t="str">
        <x:v>SEFER DTVM</x:v>
      </x:c>
      <x:c r="G260" s="166" t="str">
        <x:v>SEFER INVESTIMENTOS DISTRIBUIDORA DE TÍTULOS E VALORES MOBILIÁRIOS LTDA.</x:v>
      </x:c>
      <x:c r="H260" s="166" t="str">
        <x:v>Fomento Mercantil</x:v>
      </x:c>
      <x:c r="I260" s="166" t="str">
        <x:v>Fomento Mercantil</x:v>
      </x:c>
      <x:c r="J260" s="166" t="str">
        <x:v>CI</x:v>
      </x:c>
      <x:c r="K260" s="172" t="n">
        <x:v>3</x:v>
      </x:c>
      <x:c r="L260" s="185" t="str">
        <x:v>Não classificado</x:v>
      </x:c>
    </x:row>
    <x:row r="261">
      <x:c r="A261" s="175" t="str">
        <x:v>17.024.546/0001-85</x:v>
      </x:c>
      <x:c r="B261" s="166" t="str">
        <x:v>AUSTER FUNDO DE INVESTIMENTO EM DIREITOS CREDITÓRIOS</x:v>
      </x:c>
      <x:c r="C261" s="188" t="n">
        <x:v>549596002.27</x:v>
      </x:c>
      <x:c r="D261" s="166" t="str">
        <x:v>BTG PACTUAL GESTAO E CONSULTORIA DE INVESTIMENTOS</x:v>
      </x:c>
      <x:c r="E261" s="166" t="str">
        <x:f>IFERROR(INDEX('Classif Gestoras'!$H$6:$H$462,MATCH(D261,'Classif Gestoras'!$A$6:$A$462,0)),"Não classificada")</x:f>
        <x:v>Ligada a banco</x:v>
      </x:c>
      <x:c r="F261" s="166" t="str">
        <x:v>BTG Pactual Servicos Financeiros S/A DTVM</x:v>
      </x:c>
      <x:c r="G261" s="166" t="str">
        <x:v>BANCO BTG PACTUAL S/A</x:v>
      </x:c>
      <x:c r="H261" s="166" t="str">
        <x:v>Agro, Indústria e Comércio</x:v>
      </x:c>
      <x:c r="I261" s="166" t="str">
        <x:v>Multicarteira Agro, Indústria e Comércio</x:v>
      </x:c>
      <x:c r="J261" s="166" t="str">
        <x:v>CI</x:v>
      </x:c>
      <x:c r="K261" s="172" t="n">
        <x:v>0</x:v>
      </x:c>
      <x:c r="L261" s="185" t="str">
        <x:v>Não classificado</x:v>
      </x:c>
    </x:row>
    <x:row r="262">
      <x:c r="A262" s="175" t="str">
        <x:v>30.366.204/0001-01</x:v>
      </x:c>
      <x:c r="B262" s="166" t="str">
        <x:v>ITAPEVA XI MULTICARTEIRA FUNDO DE INVESTIMENTO EM DIREITOS CREDITÓRIOS RESPONSABILIDADE LIMITADA</x:v>
      </x:c>
      <x:c r="C262" s="188" t="n">
        <x:v>546182102.6299999</x:v>
      </x:c>
      <x:c r="D262" s="166" t="str">
        <x:v>RCB PORTFOLIOS</x:v>
      </x:c>
      <x:c r="E262" s="166" t="str">
        <x:f>IFERROR(INDEX('Classif Gestoras'!$H$6:$H$462,MATCH(D262,'Classif Gestoras'!$A$6:$A$462,0)),"Não classificada")</x:f>
        <x:v>Independente</x:v>
      </x:c>
      <x:c r="F262" s="166" t="str">
        <x:v>OSLO DTVM S. A.</x:v>
      </x:c>
      <x:c r="G262" s="166" t="str">
        <x:v>OSLO CAPITAL DISTRIBUIDORA DE TITULOS E VALORES MOBILIARIOS S.A.</x:v>
      </x:c>
      <x:c r="H262" s="166" t="str">
        <x:v>Outros</x:v>
      </x:c>
      <x:c r="I262" s="166" t="str">
        <x:v>Multicarteira Outros</x:v>
      </x:c>
      <x:c r="J262" s="166" t="str">
        <x:v>CI</x:v>
      </x:c>
      <x:c r="K262" s="172" t="n">
        <x:v>3</x:v>
      </x:c>
      <x:c r="L262" s="185" t="str">
        <x:v>Não classificado</x:v>
      </x:c>
    </x:row>
    <x:row r="263">
      <x:c r="A263" s="175" t="str">
        <x:v>55.144.787/0001-57</x:v>
      </x:c>
      <x:c r="B263" s="166" t="str">
        <x:v>GERA FUNDO DE INVESTIMENTO EM DIREITOS CREDITÓRIOS</x:v>
      </x:c>
      <x:c r="C263" s="188" t="n">
        <x:v>545944064</x:v>
      </x:c>
      <x:c r="D263" s="166" t="str">
        <x:v>H2 CAPITAL</x:v>
      </x:c>
      <x:c r="E263" s="166" t="str">
        <x:f>IFERROR(INDEX('Classif Gestoras'!$H$6:$H$462,MATCH(D263,'Classif Gestoras'!$A$6:$A$462,0)),"Não classificada")</x:f>
        <x:v>Independente</x:v>
      </x:c>
      <x:c r="F263" s="166" t="str">
        <x:v>Genial Investimentos Corretora de Valores Mobiliários S.A.</x:v>
      </x:c>
      <x:c r="G263" s="166" t="str">
        <x:v>BANCO GENIAL S.A.</x:v>
      </x:c>
      <x:c r="H263" s="166" t="str">
        <x:v>Agro, Indústria e Comércio</x:v>
      </x:c>
      <x:c r="I263" s="166" t="str">
        <x:v>Multicarteira Agro, Indústria e Comércio</x:v>
      </x:c>
      <x:c r="J263" s="166" t="str">
        <x:v>CI</x:v>
      </x:c>
      <x:c r="K263" s="172" t="n">
        <x:v>5</x:v>
      </x:c>
      <x:c r="L263" s="185" t="str">
        <x:v>Não classificado</x:v>
      </x:c>
    </x:row>
    <x:row r="264">
      <x:c r="A264" s="175" t="str">
        <x:v>60.871.638/0001-20</x:v>
      </x:c>
      <x:c r="B264" s="166" t="str">
        <x:v>MINERVA FUNDO DE INVESTIMENTO EM DIREITOS CREDITÓRIOS II - CRÉDITO MERCANTIL RESP LIMITADA</x:v>
      </x:c>
      <x:c r="C264" s="188" t="n">
        <x:v>544486945.93</x:v>
      </x:c>
      <x:c r="D264" s="166" t="str">
        <x:v>Banco Bradesco S/A</x:v>
      </x:c>
      <x:c r="E264" s="166" t="str">
        <x:f>IFERROR(INDEX('Classif Gestoras'!$H$6:$H$462,MATCH(D264,'Classif Gestoras'!$A$6:$A$462,0)),"Não classificada")</x:f>
        <x:v>Ligada a banco</x:v>
      </x:c>
      <x:c r="F264" s="166" t="str">
        <x:v>BEM - DIST. DE TÍTUL</x:v>
      </x:c>
      <x:c r="G264" s="166" t="str">
        <x:v>BANCO BRADESCO S.A.</x:v>
      </x:c>
      <x:c r="H264" s="166" t="str">
        <x:v>Agro, Indústria e Comércio</x:v>
      </x:c>
      <x:c r="I264" s="166" t="str">
        <x:v>Recebíveis Comerciais</x:v>
      </x:c>
      <x:c r="J264" s="166" t="str">
        <x:v>CI</x:v>
      </x:c>
      <x:c r="K264" s="172" t="n">
        <x:v>3</x:v>
      </x:c>
      <x:c r="L264" s="185" t="str">
        <x:v>Não classificado</x:v>
      </x:c>
    </x:row>
    <x:row r="265">
      <x:c r="A265" s="175" t="str">
        <x:v>35.654.776/0001-00</x:v>
      </x:c>
      <x:c r="B265" s="166" t="str">
        <x:v>PANTANAL DO BRASIL FUNDO DE INVESTIMENTO EM DIREITOS CREDITÓRIOS NÃO PADRONIZADOS</x:v>
      </x:c>
      <x:c r="C265" s="188" t="n">
        <x:v>543410435.6899999</x:v>
      </x:c>
      <x:c r="D265" s="166" t="str">
        <x:v>REAG BERKANA</x:v>
      </x:c>
      <x:c r="E265" s="166" t="str">
        <x:f>IFERROR(INDEX('Classif Gestoras'!$H$6:$H$462,MATCH(D265,'Classif Gestoras'!$A$6:$A$462,0)),"Não classificada")</x:f>
        <x:v>Independente</x:v>
      </x:c>
      <x:c r="F265" s="166" t="str">
        <x:v>Singulare</x:v>
      </x:c>
      <x:c r="G265" s="166" t="str">
        <x:v>QI CORRETORA DE TÍTULOS E VALORES MOBILIÁRIOS S.A.</x:v>
      </x:c>
      <x:c r="H265" s="166" t="str">
        <x:v>Agro, Indústria e Comércio</x:v>
      </x:c>
      <x:c r="I265" s="166" t="str">
        <x:v>Agronegócio</x:v>
      </x:c>
      <x:c r="J265" s="166" t="str">
        <x:v>CI</x:v>
      </x:c>
      <x:c r="K265" s="172" t="n">
        <x:v>1</x:v>
      </x:c>
      <x:c r="L265" s="185" t="str">
        <x:v>Não classificado</x:v>
      </x:c>
    </x:row>
    <x:row r="266">
      <x:c r="A266" s="175" t="str">
        <x:v>62.837.773/0001-84</x:v>
      </x:c>
      <x:c r="B266" s="166" t="str">
        <x:v>JACARANDÁ FUNDO DE INVESTIMENTO EM DIREITOS CREDITÓRIOS ECO INVEST BRASIL DE RESP LIMITADA</x:v>
      </x:c>
      <x:c r="C266" s="188" t="n">
        <x:v>542937829</x:v>
      </x:c>
      <x:c r="D266" s="166" t="str">
        <x:v>Itau Unibanco</x:v>
      </x:c>
      <x:c r="E266" s="166" t="str">
        <x:f>IFERROR(INDEX('Classif Gestoras'!$H$6:$H$462,MATCH(D266,'Classif Gestoras'!$A$6:$A$462,0)),"Não classificada")</x:f>
        <x:v>Ligada a banco</x:v>
      </x:c>
      <x:c r="F266" s="166" t="str">
        <x:v>INTRAG DIST. DE TÍTU</x:v>
      </x:c>
      <x:c r="G266" s="166" t="str">
        <x:v>ITAU UNIBANCO S.A.</x:v>
      </x:c>
      <x:c r="H266" s="166" t="str">
        <x:v>Outros</x:v>
      </x:c>
      <x:c r="I266" s="166" t="str">
        <x:v>Multicarteira Outros</x:v>
      </x:c>
      <x:c r="J266" s="166" t="str">
        <x:v>CI</x:v>
      </x:c>
      <x:c r="K266" s="172" t="n">
        <x:v>1</x:v>
      </x:c>
      <x:c r="L266" s="185" t="str">
        <x:v>Não classificado</x:v>
      </x:c>
    </x:row>
    <x:row r="267">
      <x:c r="A267" s="175" t="str">
        <x:v>18.911.897/0001-70</x:v>
      </x:c>
      <x:c r="B267" s="166" t="str">
        <x:v>SPREAD INVESTIMENTOS FUNDO DE INVESTIMENTO EM DIREITOS CREDITÓRIOS</x:v>
      </x:c>
      <x:c r="C267" s="188" t="n">
        <x:v>542257973.75</x:v>
      </x:c>
      <x:c r="D267" s="166" t="str">
        <x:v>M8 Partners</x:v>
      </x:c>
      <x:c r="E267" s="166" t="str">
        <x:f>IFERROR(INDEX('Classif Gestoras'!$H$6:$H$462,MATCH(D267,'Classif Gestoras'!$A$6:$A$462,0)),"Não classificada")</x:f>
        <x:v>Independente</x:v>
      </x:c>
      <x:c r="F267" s="166" t="str">
        <x:v>Singulare</x:v>
      </x:c>
      <x:c r="G267" s="166" t="str">
        <x:v>QI CORRETORA DE TÍTULOS E VALORES MOBILIÁRIOS S.A.</x:v>
      </x:c>
      <x:c r="H267" s="166" t="str">
        <x:v>Outros</x:v>
      </x:c>
      <x:c r="I267" s="166" t="str">
        <x:v>Multicarteira Outros</x:v>
      </x:c>
      <x:c r="J267" s="166" t="str">
        <x:v>CI</x:v>
      </x:c>
      <x:c r="K267" s="172" t="n">
        <x:v>3</x:v>
      </x:c>
      <x:c r="L267" s="185" t="str">
        <x:v>Não classificado</x:v>
      </x:c>
    </x:row>
    <x:row r="268">
      <x:c r="A268" s="175" t="str">
        <x:v>54.427.427/0001-08</x:v>
      </x:c>
      <x:c r="B268" s="166" t="str">
        <x:v>FUNDO DE INVESTIMENTO EM DIREITOS CREDITÓRIOS VOITER CONSIGNADO II - RESPONSABILIDADE LIMITADA</x:v>
      </x:c>
      <x:c r="C268" s="188" t="n">
        <x:v>541601043.7</x:v>
      </x:c>
      <x:c r="D268" s="166" t="str">
        <x:v>WNT Gestora de Recursos Ltda.</x:v>
      </x:c>
      <x:c r="E268" s="166" t="str">
        <x:f>IFERROR(INDEX('Classif Gestoras'!$H$6:$H$462,MATCH(D268,'Classif Gestoras'!$A$6:$A$462,0)),"Não classificada")</x:f>
        <x:v>Independente</x:v>
      </x:c>
      <x:c r="F268" s="166" t="str">
        <x:v>Banvox DTVM</x:v>
      </x:c>
      <x:c r="G268" s="166" t="str">
        <x:v>BANVOX DISTRIBUIDORA DE TITULOS E VALORES MOBILIARIOS LTDA</x:v>
      </x:c>
      <x:c r="H268" s="166" t="str">
        <x:v>Financeiro</x:v>
      </x:c>
      <x:c r="I268" s="166" t="str">
        <x:v>Crédito Consignado</x:v>
      </x:c>
      <x:c r="J268" s="166" t="str">
        <x:v>CI</x:v>
      </x:c>
      <x:c r="K268" s="172" t="n">
        <x:v>1</x:v>
      </x:c>
      <x:c r="L268" s="185" t="str">
        <x:v>Não classificado</x:v>
      </x:c>
    </x:row>
    <x:row r="269">
      <x:c r="A269" s="175" t="str">
        <x:v>36.953.080/0001-47</x:v>
      </x:c>
      <x:c r="B269" s="166" t="str">
        <x:v>ENDURANCE INVEST FUNDO DE INVESTIMENTO EM DIREITOS CREDITÓRIOS</x:v>
      </x:c>
      <x:c r="C269" s="188" t="n">
        <x:v>538085867.25</x:v>
      </x:c>
      <x:c r="D269" s="166" t="str">
        <x:v>GV ATACAMA CAPITAL LTDA.</x:v>
      </x:c>
      <x:c r="E269" s="166" t="str">
        <x:f>IFERROR(INDEX('Classif Gestoras'!$H$6:$H$462,MATCH(D269,'Classif Gestoras'!$A$6:$A$462,0)),"Não classificada")</x:f>
        <x:v>Independente</x:v>
      </x:c>
      <x:c r="F269" s="166" t="str">
        <x:v>Singulare</x:v>
      </x:c>
      <x:c r="G269" s="166" t="str">
        <x:v>QI CORRETORA DE TÍTULOS E VALORES MOBILIÁRIOS S.A.</x:v>
      </x:c>
      <x:c r="H269" s="166" t="str">
        <x:v>Outros</x:v>
      </x:c>
      <x:c r="I269" s="166" t="str">
        <x:v>Multicarteira Outros</x:v>
      </x:c>
      <x:c r="J269" s="166" t="str">
        <x:v>CI</x:v>
      </x:c>
      <x:c r="K269" s="172" t="n">
        <x:v>1</x:v>
      </x:c>
      <x:c r="L269" s="185" t="str">
        <x:v>Não classificado</x:v>
      </x:c>
    </x:row>
    <x:row r="270">
      <x:c r="A270" s="175" t="str">
        <x:v>40.211.693/0001-86</x:v>
      </x:c>
      <x:c r="B270" s="166" t="str">
        <x:v>30E FUNDO DE INVESTIMENTO EM DIREITOS CREDITÓRIOS - RESPONSABILIDADE LIMITADA</x:v>
      </x:c>
      <x:c r="C270" s="188" t="n">
        <x:v>534947313.42</x:v>
      </x:c>
      <x:c r="D270" s="166" t="str">
        <x:v>ARTESANAL MCMS</x:v>
      </x:c>
      <x:c r="E270" s="166" t="str">
        <x:f>IFERROR(INDEX('Classif Gestoras'!$H$6:$H$462,MATCH(D270,'Classif Gestoras'!$A$6:$A$462,0)),"Não classificada")</x:f>
        <x:v>Independente</x:v>
      </x:c>
      <x:c r="F270" s="166" t="str">
        <x:v>Singulare</x:v>
      </x:c>
      <x:c r="G270" s="166" t="str">
        <x:v>QI CORRETORA DE TÍTULOS E VALORES MOBILIÁRIOS S.A.</x:v>
      </x:c>
      <x:c r="H270" s="166" t="str">
        <x:v>Fomento Mercantil</x:v>
      </x:c>
      <x:c r="I270" s="166" t="str">
        <x:v>Fomento Mercantil</x:v>
      </x:c>
      <x:c r="J270" s="166" t="str">
        <x:v>CI</x:v>
      </x:c>
      <x:c r="K270" s="172" t="n">
        <x:v>23</x:v>
      </x:c>
      <x:c r="L270" s="185" t="str">
        <x:v>Não classificado</x:v>
      </x:c>
    </x:row>
    <x:row r="271">
      <x:c r="A271" s="175" t="str">
        <x:v>50.440.392/0001-88</x:v>
      </x:c>
      <x:c r="B271" s="166" t="str">
        <x:v>PLATINUM FUNDO DE INVESTIMENTO EM DIREITOS CREDITÓRIOS</x:v>
      </x:c>
      <x:c r="C271" s="188" t="n">
        <x:v>526938878.17</x:v>
      </x:c>
      <x:c r="D271" s="166" t="str">
        <x:v>Redwood Asset Management</x:v>
      </x:c>
      <x:c r="E271" s="166" t="str">
        <x:f>IFERROR(INDEX('Classif Gestoras'!$H$6:$H$462,MATCH(D271,'Classif Gestoras'!$A$6:$A$462,0)),"Não classificada")</x:f>
        <x:v>Independente</x:v>
      </x:c>
      <x:c r="F271" s="166" t="str">
        <x:v>PLANNER CV</x:v>
      </x:c>
      <x:c r="G271" s="166" t="str">
        <x:v>PLANNER CORRETORA DE VALORES S.A.</x:v>
      </x:c>
      <x:c r="H271" s="166" t="str">
        <x:v>Outros</x:v>
      </x:c>
      <x:c r="I271" s="166" t="str">
        <x:v>Multicarteira Outros</x:v>
      </x:c>
      <x:c r="J271" s="166" t="str">
        <x:v>CI</x:v>
      </x:c>
      <x:c r="K271" s="172" t="n">
        <x:v>1</x:v>
      </x:c>
      <x:c r="L271" s="185" t="str">
        <x:v>Não classificado</x:v>
      </x:c>
    </x:row>
    <x:row r="272">
      <x:c r="A272" s="175" t="str">
        <x:v>29.109.350/0001-72</x:v>
      </x:c>
      <x:c r="B272" s="166" t="str">
        <x:v>JC DIVERSIFICADO III FUNDO DE INVESTIMENTO EM DIREITOS CREDITORIOS NAO-PADRONIZADOS</x:v>
      </x:c>
      <x:c r="C272" s="188" t="n">
        <x:v>526764060.21</x:v>
      </x:c>
      <x:c r="D272" s="166" t="str">
        <x:v>Jus Capital Gestão de Recursos LTDA</x:v>
      </x:c>
      <x:c r="E272" s="166" t="str">
        <x:f>IFERROR(INDEX('Classif Gestoras'!$H$6:$H$462,MATCH(D272,'Classif Gestoras'!$A$6:$A$462,0)),"Não classificada")</x:f>
        <x:v>Independente</x:v>
      </x:c>
      <x:c r="F272" s="166" t="str">
        <x:v>Singulare</x:v>
      </x:c>
      <x:c r="G272" s="166" t="str">
        <x:v>QI CORRETORA DE TÍTULOS E VALORES MOBILIÁRIOS S.A.</x:v>
      </x:c>
      <x:c r="H272" s="166" t="str">
        <x:v>Outros</x:v>
      </x:c>
      <x:c r="I272" s="166" t="str">
        <x:v>Poder Público</x:v>
      </x:c>
      <x:c r="J272" s="166" t="str">
        <x:v>CI</x:v>
      </x:c>
      <x:c r="K272" s="172" t="n">
        <x:v>8</x:v>
      </x:c>
      <x:c r="L272" s="185" t="str">
        <x:v>Não classificado</x:v>
      </x:c>
    </x:row>
    <x:row r="273">
      <x:c r="A273" s="175" t="str">
        <x:v>20.998.706/0001-00</x:v>
      </x:c>
      <x:c r="B273" s="166" t="str">
        <x:v>FMC 202201 FUNDO DE INVESTIMENTO EM DIREITOS CREDITÓRIOS - RESPONSABILIDADE LIMITADA</x:v>
      </x:c>
      <x:c r="C273" s="188" t="n">
        <x:v>526141447.56</x:v>
      </x:c>
      <x:c r="D273" s="166" t="str">
        <x:v>Beyond Capital Ltda</x:v>
      </x:c>
      <x:c r="E273" s="166" t="str">
        <x:f>IFERROR(INDEX('Classif Gestoras'!$H$6:$H$462,MATCH(D273,'Classif Gestoras'!$A$6:$A$462,0)),"Não classificada")</x:f>
        <x:v>Independente</x:v>
      </x:c>
      <x:c r="F273" s="166" t="str">
        <x:v>Finaxis Corretora de Títulos e Valores Mobiliários S.A.</x:v>
      </x:c>
      <x:c r="G273" s="166" t="str">
        <x:v>BANCO FINAXIS S.A.</x:v>
      </x:c>
      <x:c r="H273" s="166" t="str">
        <x:v>Agro, Indústria e Comércio</x:v>
      </x:c>
      <x:c r="I273" s="166" t="str">
        <x:v>Agronegócio</x:v>
      </x:c>
      <x:c r="J273" s="166" t="str">
        <x:v>CI</x:v>
      </x:c>
      <x:c r="K273" s="172" t="n">
        <x:v>5</x:v>
      </x:c>
      <x:c r="L273" s="185" t="str">
        <x:v>Não classificado</x:v>
      </x:c>
    </x:row>
    <x:row r="274">
      <x:c r="A274" s="175" t="str">
        <x:v>51.983.832/0001-06</x:v>
      </x:c>
      <x:c r="B274" s="166" t="str">
        <x:v>FUNDO DE INVESTIMENTO EM DIREITOS CREDITÓRIOS - ACR IV</x:v>
      </x:c>
      <x:c r="C274" s="188" t="n">
        <x:v>520806769.33</x:v>
      </x:c>
      <x:c r="D274" s="166" t="str">
        <x:v>GENIAL GESTÃO LTDA.</x:v>
      </x:c>
      <x:c r="E274" s="166" t="str">
        <x:f>IFERROR(INDEX('Classif Gestoras'!$H$6:$H$462,MATCH(D274,'Classif Gestoras'!$A$6:$A$462,0)),"Não classificada")</x:f>
        <x:v>Ligada a banco</x:v>
      </x:c>
      <x:c r="F274" s="166" t="str">
        <x:v>Banco Genial S.A.</x:v>
      </x:c>
      <x:c r="G274" s="166" t="str">
        <x:v>BANCO GENIAL S.A.</x:v>
      </x:c>
      <x:c r="H274" s="166" t="str">
        <x:v>Agro, Indústria e Comércio</x:v>
      </x:c>
      <x:c r="I274" s="166" t="str">
        <x:v>Recebíveis Comerciais</x:v>
      </x:c>
      <x:c r="J274" s="166" t="str">
        <x:v>CI</x:v>
      </x:c>
      <x:c r="K274" s="172" t="n">
        <x:v>7</x:v>
      </x:c>
      <x:c r="L274" s="185" t="str">
        <x:v>Não classificado</x:v>
      </x:c>
    </x:row>
    <x:row r="275">
      <x:c r="A275" s="175" t="str">
        <x:v>55.581.400/0001-20</x:v>
      </x:c>
      <x:c r="B275" s="166" t="str">
        <x:v>INSS SOLIS ITER FUNDO DE INVESTIMENTO EM DIREITOS CREDITÓRIOS - RESPONSABILIDADE LIMITADA</x:v>
      </x:c>
      <x:c r="C275" s="188" t="n">
        <x:v>520083141.67</x:v>
      </x:c>
      <x:c r="D275" s="166" t="str">
        <x:v>Solis</x:v>
      </x:c>
      <x:c r="E275" s="166" t="str">
        <x:f>IFERROR(INDEX('Classif Gestoras'!$H$6:$H$462,MATCH(D275,'Classif Gestoras'!$A$6:$A$462,0)),"Não classificada")</x:f>
        <x:v>Independente</x:v>
      </x:c>
      <x:c r="F275" s="166" t="str">
        <x:v>HEMERA DTVM</x:v>
      </x:c>
      <x:c r="G275" s="166" t="str">
        <x:v>HEMERA DISTRIBUIDORA DE TITULOS E VALORES MOBILIARIOS LTDA</x:v>
      </x:c>
      <x:c r="H275" s="166" t="str">
        <x:v>Financeiro</x:v>
      </x:c>
      <x:c r="I275" s="166" t="str">
        <x:v>Crédito Consignado</x:v>
      </x:c>
      <x:c r="J275" s="166" t="str">
        <x:v>CI</x:v>
      </x:c>
      <x:c r="K275" s="172" t="n">
        <x:v>51</x:v>
      </x:c>
      <x:c r="L275" s="185" t="str">
        <x:v>Não classificado</x:v>
      </x:c>
    </x:row>
    <x:row r="276">
      <x:c r="A276" s="175" t="str">
        <x:v>26.558.785/0001-06</x:v>
      </x:c>
      <x:c r="B276" s="166" t="str">
        <x:v>UNIQUE FUNDO DE INVESTIMENTO EM DIREITOS CREDITÓRIOS - RESPONSABILIDADE LIMITADA</x:v>
      </x:c>
      <x:c r="C276" s="188" t="n">
        <x:v>519739746.75</x:v>
      </x:c>
      <x:c r="D276" s="166" t="str">
        <x:v>ARTESANAL MCMS</x:v>
      </x:c>
      <x:c r="E276" s="166" t="str">
        <x:f>IFERROR(INDEX('Classif Gestoras'!$H$6:$H$462,MATCH(D276,'Classif Gestoras'!$A$6:$A$462,0)),"Não classificada")</x:f>
        <x:v>Independente</x:v>
      </x:c>
      <x:c r="F276" s="166" t="str">
        <x:v>Singulare</x:v>
      </x:c>
      <x:c r="G276" s="166" t="str">
        <x:v>QI CORRETORA DE TÍTULOS E VALORES MOBILIÁRIOS S.A.</x:v>
      </x:c>
      <x:c r="H276" s="166" t="str">
        <x:v>Fomento Mercantil</x:v>
      </x:c>
      <x:c r="I276" s="166" t="str">
        <x:v>Fomento Mercantil</x:v>
      </x:c>
      <x:c r="J276" s="166" t="str">
        <x:v>CI</x:v>
      </x:c>
      <x:c r="K276" s="172" t="n">
        <x:v>85</x:v>
      </x:c>
      <x:c r="L276" s="185" t="str">
        <x:v>Não classificado</x:v>
      </x:c>
    </x:row>
    <x:row r="277">
      <x:c r="A277" s="175" t="str">
        <x:v>59.534.745/0001-83</x:v>
      </x:c>
      <x:c r="B277" s="166" t="str">
        <x:v>CHEMICAL XIV - FIDC - INDÚSTRIA PETROQUÍMICA</x:v>
      </x:c>
      <x:c r="C277" s="188" t="n">
        <x:v>519120527.6</x:v>
      </x:c>
      <x:c r="D277" s="166" t="str">
        <x:v>Banco Bradesco S/A</x:v>
      </x:c>
      <x:c r="E277" s="166" t="str">
        <x:f>IFERROR(INDEX('Classif Gestoras'!$H$6:$H$462,MATCH(D277,'Classif Gestoras'!$A$6:$A$462,0)),"Não classificada")</x:f>
        <x:v>Ligada a banco</x:v>
      </x:c>
      <x:c r="F277" s="166" t="str">
        <x:v>BEM - DIST. DE TÍTUL</x:v>
      </x:c>
      <x:c r="G277" s="166" t="str">
        <x:v>BANCO BRADESCO S.A.</x:v>
      </x:c>
      <x:c r="H277" s="166" t="str">
        <x:v>Agro, Indústria e Comércio</x:v>
      </x:c>
      <x:c r="I277" s="166" t="str">
        <x:v>Multicarteira Agro, Indústria e Comércio</x:v>
      </x:c>
      <x:c r="J277" s="166" t="str">
        <x:v>CI</x:v>
      </x:c>
      <x:c r="K277" s="172" t="n">
        <x:v>87</x:v>
      </x:c>
      <x:c r="L277" s="185" t="str">
        <x:v>Não classificado</x:v>
      </x:c>
    </x:row>
    <x:row r="278">
      <x:c r="A278" s="175" t="str">
        <x:v>57.449.433/0001-46</x:v>
      </x:c>
      <x:c r="B278" s="166" t="str">
        <x:v>SOA FUNDO DE INVESTIMENTO EM DIREITOS CREDITÓRIOS NÃO - PADRONIZADOS</x:v>
      </x:c>
      <x:c r="C278" s="188" t="n">
        <x:v>518671918.57000005</x:v>
      </x:c>
      <x:c r="D278" s="166" t="str">
        <x:v>NORTH SEA CAPITAL</x:v>
      </x:c>
      <x:c r="E278" s="166" t="str">
        <x:f>IFERROR(INDEX('Classif Gestoras'!$H$6:$H$462,MATCH(D278,'Classif Gestoras'!$A$6:$A$462,0)),"Não classificada")</x:f>
        <x:v>Independente</x:v>
      </x:c>
      <x:c r="F278" s="166" t="str">
        <x:v>Qore DTVM</x:v>
      </x:c>
      <x:c r="G278" s="166" t="str">
        <x:v>QORE DISTRIBUIDORA DE TÍTULOS E VALORES MOBILIÁRIOS LTDA.</x:v>
      </x:c>
      <x:c r="H278" s="166" t="str">
        <x:v>Outros</x:v>
      </x:c>
      <x:c r="I278" s="166" t="str">
        <x:v>Multicarteira Outros</x:v>
      </x:c>
      <x:c r="J278" s="166" t="str">
        <x:v>CI</x:v>
      </x:c>
      <x:c r="K278" s="172" t="n">
        <x:v>1</x:v>
      </x:c>
      <x:c r="L278" s="185" t="str">
        <x:v>Não classificado</x:v>
      </x:c>
    </x:row>
    <x:row r="279">
      <x:c r="A279" s="175" t="str">
        <x:v>47.280.025/0001-50</x:v>
      </x:c>
      <x:c r="B279" s="166" t="str">
        <x:v>FIDC AGRO CAPITAL FINANCE RESPONSABILIDADE LIMITADA</x:v>
      </x:c>
      <x:c r="C279" s="188" t="n">
        <x:v>517459019.09</x:v>
      </x:c>
      <x:c r="D279" s="166" t="str">
        <x:v>Kanastra</x:v>
      </x:c>
      <x:c r="E279" s="166" t="str">
        <x:f>IFERROR(INDEX('Classif Gestoras'!$H$6:$H$462,MATCH(D279,'Classif Gestoras'!$A$6:$A$462,0)),"Não classificada")</x:f>
        <x:v>Independente</x:v>
      </x:c>
      <x:c r="F279" s="166" t="str">
        <x:v>Limine Trust Distribuidora de Titulos e Valores Mobiliá</x:v>
      </x:c>
      <x:c r="G279" s="166" t="str">
        <x:v>LIMINE TRUST DISTRIBUIDORA DE TITULOS E VALORES MOBILIARIOS LTDA.</x:v>
      </x:c>
      <x:c r="H279" s="166" t="str">
        <x:v>Agro, Indústria e Comércio</x:v>
      </x:c>
      <x:c r="I279" s="166" t="str">
        <x:v>Recebíveis Comerciais</x:v>
      </x:c>
      <x:c r="J279" s="166" t="str">
        <x:v>CI</x:v>
      </x:c>
      <x:c r="K279" s="172" t="n">
        <x:v>3</x:v>
      </x:c>
      <x:c r="L279" s="185" t="str">
        <x:v>Não classificado</x:v>
      </x:c>
    </x:row>
    <x:row r="280">
      <x:c r="A280" s="175" t="str">
        <x:v>40.054.735/0001-12</x:v>
      </x:c>
      <x:c r="B280" s="166" t="str">
        <x:v>JCI II - FUNDO DE INVESTIMENTO EM DIREITOS CREDITÓRIOS RESPONSABILIDADE LIMITADA</x:v>
      </x:c>
      <x:c r="C280" s="188" t="n">
        <x:v>513739028.2</x:v>
      </x:c>
      <x:c r="D280" s="166" t="str">
        <x:v>JIVE INVESTMENTS</x:v>
      </x:c>
      <x:c r="E280" s="166" t="str">
        <x:f>IFERROR(INDEX('Classif Gestoras'!$H$6:$H$462,MATCH(D280,'Classif Gestoras'!$A$6:$A$462,0)),"Não classificada")</x:f>
        <x:v>Independente</x:v>
      </x:c>
      <x:c r="F280" s="166" t="str">
        <x:v>MAF Distribuidora de Títulos e Valores Mobiliários S.A.</x:v>
      </x:c>
      <x:c r="G280" s="166" t="str">
        <x:v>MAF DISTRIBUIDORA DE TITULOS E VALORES MOBILIARIOS S.A.</x:v>
      </x:c>
      <x:c r="H280" s="166" t="str">
        <x:v>Outros</x:v>
      </x:c>
      <x:c r="I280" s="166" t="str">
        <x:v>Recuperação</x:v>
      </x:c>
      <x:c r="J280" s="166" t="str">
        <x:v>CI</x:v>
      </x:c>
      <x:c r="K280" s="172" t="n">
        <x:v>6</x:v>
      </x:c>
      <x:c r="L280" s="185" t="str">
        <x:v>Não classificado</x:v>
      </x:c>
    </x:row>
    <x:row r="281">
      <x:c r="A281" s="175" t="str">
        <x:v>45.963.809/0001-57</x:v>
      </x:c>
      <x:c r="B281" s="166" t="str">
        <x:v>PAYJOY I FUNDO DE INVESTIMENTO EM DIREITOS CREDITÓRIOS SEGMENTO FINANCEIRO</x:v>
      </x:c>
      <x:c r="C281" s="188" t="n">
        <x:v>509815862.03</x:v>
      </x:c>
      <x:c r="D281" s="166" t="str">
        <x:v>Integral Investimentos</x:v>
      </x:c>
      <x:c r="E281" s="166" t="str">
        <x:f>IFERROR(INDEX('Classif Gestoras'!$H$6:$H$462,MATCH(D281,'Classif Gestoras'!$A$6:$A$462,0)),"Não classificada")</x:f>
        <x:v>Independente</x:v>
      </x:c>
      <x:c r="F281" s="166" t="str">
        <x:v>Genial Investimentos Corretora de Valores Mobiliários S.A.</x:v>
      </x:c>
      <x:c r="G281" s="166" t="str">
        <x:v>BANCO GENIAL S.A.</x:v>
      </x:c>
      <x:c r="H281" s="166" t="str">
        <x:v>Financeiro</x:v>
      </x:c>
      <x:c r="I281" s="166" t="str">
        <x:v>Multicarteira Financeiro</x:v>
      </x:c>
      <x:c r="J281" s="166" t="str">
        <x:v>CI</x:v>
      </x:c>
      <x:c r="K281" s="172" t="n">
        <x:v>5</x:v>
      </x:c>
      <x:c r="L281" s="185" t="str">
        <x:v>Não classificado</x:v>
      </x:c>
    </x:row>
    <x:row r="282">
      <x:c r="A282" s="175" t="str">
        <x:v>65.411.764/0001-15</x:v>
      </x:c>
      <x:c r="B282" s="166" t="str">
        <x:v>ATENA FUNDO DE INVESTIMENTO EM DIREITOS CREDITÓRIOS SEGMENTO INFRAESTRUTURA DE RESP LIMITADA</x:v>
      </x:c>
      <x:c r="C282" s="188" t="n">
        <x:v>507114261.73</x:v>
      </x:c>
      <x:c r="D282" s="166" t="str">
        <x:v>Banco Santander</x:v>
      </x:c>
      <x:c r="E282" s="166" t="str">
        <x:f>IFERROR(INDEX('Classif Gestoras'!$H$6:$H$462,MATCH(D282,'Classif Gestoras'!$A$6:$A$462,0)),"Não classificada")</x:f>
        <x:v>Ligada a banco</x:v>
      </x:c>
      <x:c r="F282" s="166" t="str">
        <x:v>SANTANDER DISTRIBUIDORA DE TÍTULOS E VALORES MOBILIÁRIOS S.A</x:v>
      </x:c>
      <x:c r="G282" s="166" t="str">
        <x:v>S3 CACEIS BRASIL DISTRIBUIDORA DE TITULOS E VALORES MOBILIARIOS S.A</x:v>
      </x:c>
      <x:c r="H282" s="166" t="str">
        <x:v>Agro, Indústria e Comércio</x:v>
      </x:c>
      <x:c r="I282" s="166" t="str">
        <x:v>Infraestrutura</x:v>
      </x:c>
      <x:c r="J282" s="166" t="str">
        <x:v>CI</x:v>
      </x:c>
      <x:c r="K282" s="172" t="n">
        <x:v>1</x:v>
      </x:c>
      <x:c r="L282" s="185" t="str">
        <x:v>Não classificado</x:v>
      </x:c>
    </x:row>
    <x:row r="283">
      <x:c r="A283" s="175" t="str">
        <x:v>52.363.951/0001-29</x:v>
      </x:c>
      <x:c r="B283" s="166" t="str">
        <x:v>ARC DIP JS FUNDO DE INVESTIMENTO EM DIREITOS CREDITÓRIOS NÃO PADRONIZADO</x:v>
      </x:c>
      <x:c r="C283" s="188" t="n">
        <x:v>505308600.57</x:v>
      </x:c>
      <x:c r="D283" s="166" t="str">
        <x:v>ARC Capital</x:v>
      </x:c>
      <x:c r="E283" s="166" t="str">
        <x:f>IFERROR(INDEX('Classif Gestoras'!$H$6:$H$462,MATCH(D283,'Classif Gestoras'!$A$6:$A$462,0)),"Não classificada")</x:f>
        <x:v>Independente</x:v>
      </x:c>
      <x:c r="F283" s="166" t="str">
        <x:v>BANCO DAYCOVAL S/A</x:v>
      </x:c>
      <x:c r="G283" s="166" t="str">
        <x:v>BANCO DAYCOVAL S.A.</x:v>
      </x:c>
      <x:c r="H283" s="166" t="str">
        <x:v>Outros</x:v>
      </x:c>
      <x:c r="I283" s="166" t="str">
        <x:v>Recuperação</x:v>
      </x:c>
      <x:c r="J283" s="166" t="str">
        <x:v>CI</x:v>
      </x:c>
      <x:c r="K283" s="172" t="n">
        <x:v>30</x:v>
      </x:c>
      <x:c r="L283" s="185" t="str">
        <x:v>Não classificado</x:v>
      </x:c>
    </x:row>
    <x:row r="284">
      <x:c r="A284" s="175" t="str">
        <x:v>33.254.370/0001-04</x:v>
      </x:c>
      <x:c r="B284" s="166" t="str">
        <x:v>MERCADO CRÉDITO FUNDO DE INVESTIMENTO EM DIREITOS CREDITÓRIOS RESPONSABILIDADE LIMITADA</x:v>
      </x:c>
      <x:c r="C284" s="188" t="n">
        <x:v>504444772.15</x:v>
      </x:c>
      <x:c r="D284" s="166" t="str">
        <x:v>POLÍGONO CAPITAL LTDA.</x:v>
      </x:c>
      <x:c r="E284" s="166" t="str">
        <x:f>IFERROR(INDEX('Classif Gestoras'!$H$6:$H$462,MATCH(D284,'Classif Gestoras'!$A$6:$A$462,0)),"Não classificada")</x:f>
        <x:v>Independente</x:v>
      </x:c>
      <x:c r="F284" s="166" t="str">
        <x:v>BTG Pactual Servicos Financeiros S/A DTVM</x:v>
      </x:c>
      <x:c r="G284" s="166" t="str">
        <x:v>BANCO BTG PACTUAL S/A</x:v>
      </x:c>
      <x:c r="H284" s="166" t="str">
        <x:v>Financeiro</x:v>
      </x:c>
      <x:c r="I284" s="166" t="str">
        <x:v>Multicarteira Financeiro</x:v>
      </x:c>
      <x:c r="J284" s="166" t="str">
        <x:v>CI</x:v>
      </x:c>
      <x:c r="K284" s="172" t="n">
        <x:v>11</x:v>
      </x:c>
      <x:c r="L284" s="185" t="str">
        <x:v>Não classificado</x:v>
      </x:c>
    </x:row>
    <x:row r="285">
      <x:c r="A285" s="175" t="str">
        <x:v>46.285.232/0001-34</x:v>
      </x:c>
      <x:c r="B285" s="166" t="str">
        <x:v>ROQUEDAL FUNDO DE INVESTIMENTO EM DIREITOS CREDITÓRIOS</x:v>
      </x:c>
      <x:c r="C285" s="188" t="n">
        <x:v>502790706.0100001</x:v>
      </x:c>
      <x:c r="D285" s="166" t="str">
        <x:v>SOMMA Investimentos</x:v>
      </x:c>
      <x:c r="E285" s="166" t="str">
        <x:f>IFERROR(INDEX('Classif Gestoras'!$H$6:$H$462,MATCH(D285,'Classif Gestoras'!$A$6:$A$462,0)),"Não classificada")</x:f>
        <x:v>Independente</x:v>
      </x:c>
      <x:c r="F285" s="166" t="str">
        <x:v>Singulare</x:v>
      </x:c>
      <x:c r="G285" s="166" t="str">
        <x:v>QI CORRETORA DE TÍTULOS E VALORES MOBILIÁRIOS S.A.</x:v>
      </x:c>
      <x:c r="H285" s="166" t="str">
        <x:v>Outros</x:v>
      </x:c>
      <x:c r="I285" s="166" t="str">
        <x:v>Multicarteira Outros</x:v>
      </x:c>
      <x:c r="J285" s="166" t="str">
        <x:v>CI</x:v>
      </x:c>
      <x:c r="K285" s="172" t="n">
        <x:v>5</x:v>
      </x:c>
      <x:c r="L285" s="185" t="str">
        <x:v>Não classificado</x:v>
      </x:c>
    </x:row>
    <x:row r="286">
      <x:c r="A286" s="175" t="str">
        <x:v>51.290.497/0001-60</x:v>
      </x:c>
      <x:c r="B286" s="166" t="str">
        <x:v>MT INSS RECEIVABLES V FUNDO DE INVESTIMENTO EM DIREITOS CREDITÓRIOS CONSIGNADOS</x:v>
      </x:c>
      <x:c r="C286" s="188" t="n">
        <x:v>501667206.84</x:v>
      </x:c>
      <x:c r="D286" s="166" t="str">
        <x:v>Oliveira Trust Servicer</x:v>
      </x:c>
      <x:c r="E286" s="166" t="str">
        <x:f>IFERROR(INDEX('Classif Gestoras'!$H$6:$H$462,MATCH(D286,'Classif Gestoras'!$A$6:$A$462,0)),"Não classificada")</x:f>
        <x:v>Independente</x:v>
      </x:c>
      <x:c r="F286" s="166" t="str">
        <x:v>Oliveira Trust DTVM</x:v>
      </x:c>
      <x:c r="G286" s="166" t="str">
        <x:v>OLIVEIRA TRUST DTVM S.A.</x:v>
      </x:c>
      <x:c r="H286" s="166" t="str">
        <x:v>Financeiro</x:v>
      </x:c>
      <x:c r="I286" s="166" t="str">
        <x:v>Crédito Consignado</x:v>
      </x:c>
      <x:c r="J286" s="166" t="str">
        <x:v>CI</x:v>
      </x:c>
      <x:c r="K286" s="172" t="n">
        <x:v>30</x:v>
      </x:c>
      <x:c r="L286" s="185" t="str">
        <x:v>Não classificado</x:v>
      </x:c>
    </x:row>
    <x:row r="287">
      <x:c r="A287" s="175" t="str">
        <x:v>56.805.661/0001-49</x:v>
      </x:c>
      <x:c r="B287" s="166" t="str">
        <x:v>PJUS COBALTO FIDC DE PRECATÓRIOS DE RESPONSABILIDADE LIMITADA</x:v>
      </x:c>
      <x:c r="C287" s="188" t="n">
        <x:v>500393825.3400001</x:v>
      </x:c>
      <x:c r="D287" s="166" t="str">
        <x:v>Vista Real Estate</x:v>
      </x:c>
      <x:c r="E287" s="166" t="str">
        <x:f>IFERROR(INDEX('Classif Gestoras'!$H$6:$H$462,MATCH(D287,'Classif Gestoras'!$A$6:$A$462,0)),"Não classificada")</x:f>
        <x:v>Independente</x:v>
      </x:c>
      <x:c r="F287" s="166" t="str">
        <x:v>BRL TRUST DTVM</x:v>
      </x:c>
      <x:c r="G287" s="166" t="str">
        <x:v>BRL TRUST DISTRIBUIDORA DE TITULOS E VALORES MOBILIARIOS S.A.</x:v>
      </x:c>
      <x:c r="H287" s="166" t="str">
        <x:v>Outros</x:v>
      </x:c>
      <x:c r="I287" s="166" t="str">
        <x:v>Poder Público</x:v>
      </x:c>
      <x:c r="J287" s="166" t="str">
        <x:v>CI</x:v>
      </x:c>
      <x:c r="K287" s="172" t="n">
        <x:v>43</x:v>
      </x:c>
      <x:c r="L287" s="185" t="str">
        <x:v>Não classificado</x:v>
      </x:c>
    </x:row>
    <x:row r="288">
      <x:c r="A288" s="175" t="str">
        <x:v>23.104.485/0001-69</x:v>
      </x:c>
      <x:c r="B288" s="166" t="str">
        <x:v>CVPAR I FUNDO DE INVESTIMENTO EM DIREITOS CREDITÓRIOS RESPONSABILIDADE LIMITADA</x:v>
      </x:c>
      <x:c r="C288" s="188" t="n">
        <x:v>496900809.2900001</x:v>
      </x:c>
      <x:c r="D288" s="166" t="str">
        <x:v>CVPAR Investimentos ltda</x:v>
      </x:c>
      <x:c r="E288" s="166" t="str">
        <x:f>IFERROR(INDEX('Classif Gestoras'!$H$6:$H$462,MATCH(D288,'Classif Gestoras'!$A$6:$A$462,0)),"Não classificada")</x:f>
        <x:v>Independente</x:v>
      </x:c>
      <x:c r="F288" s="166" t="str">
        <x:v>Singulare</x:v>
      </x:c>
      <x:c r="G288" s="166" t="str">
        <x:v>QI CORRETORA DE TÍTULOS E VALORES MOBILIÁRIOS S.A.</x:v>
      </x:c>
      <x:c r="H288" s="166" t="str">
        <x:v>Outros</x:v>
      </x:c>
      <x:c r="I288" s="166" t="str">
        <x:v>Multicarteira Outros</x:v>
      </x:c>
      <x:c r="J288" s="166" t="str">
        <x:v>CI</x:v>
      </x:c>
      <x:c r="K288" s="172" t="n">
        <x:v>62</x:v>
      </x:c>
      <x:c r="L288" s="185" t="str">
        <x:v>Não classificado</x:v>
      </x:c>
    </x:row>
    <x:row r="289">
      <x:c r="A289" s="175" t="str">
        <x:v>32.156.017/0001-29</x:v>
      </x:c>
      <x:c r="B289" s="166" t="str">
        <x:v>POLONIA FUNDO DE INVESTIMENTO EM DIREITOS CREDITORIOS NÃO PADRONIZADO - FIDC NP</x:v>
      </x:c>
      <x:c r="C289" s="188" t="n">
        <x:v>495628744.77</x:v>
      </x:c>
      <x:c r="D289" s="166" t="str">
        <x:v>Acura Gestora de Recursos LTDA.</x:v>
      </x:c>
      <x:c r="E289" s="166" t="str">
        <x:f>IFERROR(INDEX('Classif Gestoras'!$H$6:$H$462,MATCH(D289,'Classif Gestoras'!$A$6:$A$462,0)),"Não classificada")</x:f>
        <x:v>Independente</x:v>
      </x:c>
      <x:c r="F289" s="166" t="str">
        <x:v>SEFER DTVM</x:v>
      </x:c>
      <x:c r="G289" s="166" t="str">
        <x:v>SEFER INVESTIMENTOS DISTRIBUIDORA DE TÍTULOS E VALORES MOBILIÁRIOS LTDA.</x:v>
      </x:c>
      <x:c r="H289" s="166" t="str">
        <x:v>Outros</x:v>
      </x:c>
      <x:c r="I289" s="166" t="str">
        <x:v>Multicarteira Outros</x:v>
      </x:c>
      <x:c r="J289" s="166" t="str">
        <x:v>CI</x:v>
      </x:c>
      <x:c r="K289" s="172" t="n">
        <x:v>11</x:v>
      </x:c>
      <x:c r="L289" s="185" t="str">
        <x:v>Não classificado</x:v>
      </x:c>
    </x:row>
    <x:row r="290">
      <x:c r="A290" s="175" t="str">
        <x:v>38.137.056/0001-65</x:v>
      </x:c>
      <x:c r="B290" s="166" t="str">
        <x:v>UNITY FUNDO DE INVESTIMENTO EM DIREITOS CREDITÓRIOS NÃO-PADRONIZADOS</x:v>
      </x:c>
      <x:c r="C290" s="188" t="n">
        <x:v>490494154.6</x:v>
      </x:c>
      <x:c r="D290" s="166" t="str">
        <x:v>Catálise Investimentos</x:v>
      </x:c>
      <x:c r="E290" s="166" t="str">
        <x:f>IFERROR(INDEX('Classif Gestoras'!$H$6:$H$462,MATCH(D290,'Classif Gestoras'!$A$6:$A$462,0)),"Não classificada")</x:f>
        <x:v>Independente</x:v>
      </x:c>
      <x:c r="F290" s="166" t="str">
        <x:v>CATÁLISE DTVM</x:v>
      </x:c>
      <x:c r="G290" s="166" t="str">
        <x:v>BANCO DAYCOVAL S.A.</x:v>
      </x:c>
      <x:c r="H290" s="166" t="str">
        <x:v>Agro, Indústria e Comércio</x:v>
      </x:c>
      <x:c r="I290" s="166" t="str">
        <x:v>Multicarteira Agro, Indústria e Comércio</x:v>
      </x:c>
      <x:c r="J290" s="166" t="str">
        <x:v>CI</x:v>
      </x:c>
      <x:c r="K290" s="172" t="n">
        <x:v>1</x:v>
      </x:c>
      <x:c r="L290" s="185" t="str">
        <x:v>Não classificado</x:v>
      </x:c>
    </x:row>
    <x:row r="291">
      <x:c r="A291" s="175" t="str">
        <x:v>18.686.800/0001-73</x:v>
      </x:c>
      <x:c r="B291" s="166" t="str">
        <x:v>CERRADO I FUNDO DE INVESTIMENTO EM DIREITOS CREDITÓRIOS</x:v>
      </x:c>
      <x:c r="C291" s="188" t="n">
        <x:v>486999232.3</x:v>
      </x:c>
      <x:c r="D291" s="166" t="str">
        <x:v>CRD Capital Administração de Recursos Ltda</x:v>
      </x:c>
      <x:c r="E291" s="166" t="str">
        <x:f>IFERROR(INDEX('Classif Gestoras'!$H$6:$H$462,MATCH(D291,'Classif Gestoras'!$A$6:$A$462,0)),"Não classificada")</x:f>
        <x:v>Independente</x:v>
      </x:c>
      <x:c r="F291" s="166" t="str">
        <x:v>BTG Pactual Servicos Financeiros S/A DTVM</x:v>
      </x:c>
      <x:c r="G291" s="166" t="str">
        <x:v>BANCO BTG PACTUAL S/A</x:v>
      </x:c>
      <x:c r="H291" s="166" t="str">
        <x:v>Agro, Indústria e Comércio</x:v>
      </x:c>
      <x:c r="I291" s="166" t="str">
        <x:v>Agronegócio</x:v>
      </x:c>
      <x:c r="J291" s="166" t="str">
        <x:v>CI</x:v>
      </x:c>
      <x:c r="K291" s="172" t="n">
        <x:v>1</x:v>
      </x:c>
      <x:c r="L291" s="185" t="str">
        <x:v>Não classificado</x:v>
      </x:c>
    </x:row>
    <x:row r="292">
      <x:c r="A292" s="175" t="str">
        <x:v>19.424.642/0001-46</x:v>
      </x:c>
      <x:c r="B292" s="166" t="str">
        <x:v>LOTUS PERFORMANCE FUNDO DE INVESTIMENTO EM DIREITOS CREDITÓRIOS MULTISEGMENTOS</x:v>
      </x:c>
      <x:c r="C292" s="188" t="n">
        <x:v>485255813.47</x:v>
      </x:c>
      <x:c r="D292" s="166" t="str">
        <x:v>M8 Partners</x:v>
      </x:c>
      <x:c r="E292" s="166" t="str">
        <x:f>IFERROR(INDEX('Classif Gestoras'!$H$6:$H$462,MATCH(D292,'Classif Gestoras'!$A$6:$A$462,0)),"Não classificada")</x:f>
        <x:v>Independente</x:v>
      </x:c>
      <x:c r="F292" s="166" t="str">
        <x:v>Finaxis Corretora de Títulos e Valores Mobiliários S.A.</x:v>
      </x:c>
      <x:c r="G292" s="166" t="str">
        <x:v>BANCO FINAXIS S.A.</x:v>
      </x:c>
      <x:c r="H292" s="166" t="str">
        <x:v>Fomento Mercantil</x:v>
      </x:c>
      <x:c r="I292" s="166" t="str">
        <x:v>Fomento Mercantil</x:v>
      </x:c>
      <x:c r="J292" s="166" t="str">
        <x:v>CI</x:v>
      </x:c>
      <x:c r="K292" s="172" t="n">
        <x:v>155</x:v>
      </x:c>
      <x:c r="L292" s="185" t="str">
        <x:v>Não classificado</x:v>
      </x:c>
    </x:row>
    <x:row r="293">
      <x:c r="A293" s="175" t="str">
        <x:v>52.998.078/0001-40</x:v>
      </x:c>
      <x:c r="B293" s="166" t="str">
        <x:v>M12 FUNDO DE INVESTIMENTO EM DIREITOS CREDITORIOS LONGO PRAZO</x:v>
      </x:c>
      <x:c r="C293" s="188" t="n">
        <x:v>484726303.52</x:v>
      </x:c>
      <x:c r="D293" s="166" t="str">
        <x:v>Aurum</x:v>
      </x:c>
      <x:c r="E293" s="166" t="str">
        <x:f>IFERROR(INDEX('Classif Gestoras'!$H$6:$H$462,MATCH(D293,'Classif Gestoras'!$A$6:$A$462,0)),"Não classificada")</x:f>
        <x:v>Independente</x:v>
      </x:c>
      <x:c r="F293" s="166" t="str">
        <x:v>BANCO DAYCOVAL S/A</x:v>
      </x:c>
      <x:c r="G293" s="166" t="str">
        <x:v>BANCO DAYCOVAL S.A.</x:v>
      </x:c>
      <x:c r="H293" s="166" t="str">
        <x:v>Outros</x:v>
      </x:c>
      <x:c r="I293" s="166" t="str">
        <x:v>Multicarteira Outros</x:v>
      </x:c>
      <x:c r="J293" s="166" t="str">
        <x:v>CI</x:v>
      </x:c>
      <x:c r="K293" s="172" t="n">
        <x:v>1</x:v>
      </x:c>
      <x:c r="L293" s="185" t="str">
        <x:v>Não classificado</x:v>
      </x:c>
    </x:row>
    <x:row r="294">
      <x:c r="A294" s="175" t="str">
        <x:v>44.574.361/0001-17</x:v>
      </x:c>
      <x:c r="B294" s="166" t="str">
        <x:v>FUNDO DE INVESTIMENTO EM DIREITOS CREDITORIOS UPL 02 - RESPONSABILIDADE LIMITADA</x:v>
      </x:c>
      <x:c r="C294" s="188" t="n">
        <x:v>483216348.7600001</x:v>
      </x:c>
      <x:c r="D294" s="166" t="str">
        <x:v>Farmtech Gestão de Recursos Ltda.</x:v>
      </x:c>
      <x:c r="E294" s="166" t="str">
        <x:f>IFERROR(INDEX('Classif Gestoras'!$H$6:$H$462,MATCH(D294,'Classif Gestoras'!$A$6:$A$462,0)),"Não classificada")</x:f>
        <x:v>Independente</x:v>
      </x:c>
      <x:c r="F294" s="166" t="str">
        <x:v>Oliveira Trust DTVM</x:v>
      </x:c>
      <x:c r="G294" s="166" t="str">
        <x:v>OLIVEIRA TRUST DTVM S.A.</x:v>
      </x:c>
      <x:c r="H294" s="166" t="str">
        <x:v>Agro, Indústria e Comércio</x:v>
      </x:c>
      <x:c r="I294" s="166" t="str">
        <x:v>Multicarteira Agro, Indústria e Comércio</x:v>
      </x:c>
      <x:c r="J294" s="166" t="str">
        <x:v>CI</x:v>
      </x:c>
      <x:c r="K294" s="172" t="n">
        <x:v>2</x:v>
      </x:c>
      <x:c r="L294" s="185" t="str">
        <x:v>Não classificado</x:v>
      </x:c>
    </x:row>
    <x:row r="295">
      <x:c r="A295" s="175" t="str">
        <x:v>29.828.733/0001-09</x:v>
      </x:c>
      <x:c r="B295" s="166" t="str">
        <x:v>C6 BANK TV1 FUNDO DE INVESTIMENTO EM DIREITOS CREDITÓRIOS - RESPONSABILIDADE LIMITADA</x:v>
      </x:c>
      <x:c r="C295" s="188" t="n">
        <x:v>482972637.91</x:v>
      </x:c>
      <x:c r="D295" s="166" t="str">
        <x:v>Solis</x:v>
      </x:c>
      <x:c r="E295" s="166" t="str">
        <x:f>IFERROR(INDEX('Classif Gestoras'!$H$6:$H$462,MATCH(D295,'Classif Gestoras'!$A$6:$A$462,0)),"Não classificada")</x:f>
        <x:v>Independente</x:v>
      </x:c>
      <x:c r="F295" s="166" t="str">
        <x:v>HEMERA DTVM</x:v>
      </x:c>
      <x:c r="G295" s="166" t="str">
        <x:v>HEMERA DISTRIBUIDORA DE TITULOS E VALORES MOBILIARIOS LTDA</x:v>
      </x:c>
      <x:c r="H295" s="166" t="str">
        <x:v>Outros</x:v>
      </x:c>
      <x:c r="I295" s="166" t="str">
        <x:v>Multicarteira Outros</x:v>
      </x:c>
      <x:c r="J295" s="166" t="str">
        <x:v>CI</x:v>
      </x:c>
      <x:c r="K295" s="172" t="n">
        <x:v>1</x:v>
      </x:c>
      <x:c r="L295" s="185" t="str">
        <x:v>Não classificado</x:v>
      </x:c>
    </x:row>
    <x:row r="296">
      <x:c r="A296" s="175" t="str">
        <x:v>50.442.399/0001-39</x:v>
      </x:c>
      <x:c r="B296" s="166" t="str">
        <x:v>PRINZ DISCOVERY MASTER FUNDO DE INVESTIMENTO EM DIREITOS CREDITÓRIOS</x:v>
      </x:c>
      <x:c r="C296" s="188" t="n">
        <x:v>481490149.9899999</x:v>
      </x:c>
      <x:c r="D296" s="166" t="str">
        <x:v>Prinz Gestora de Recursos Ltda</x:v>
      </x:c>
      <x:c r="E296" s="166" t="str">
        <x:f>IFERROR(INDEX('Classif Gestoras'!$H$6:$H$462,MATCH(D296,'Classif Gestoras'!$A$6:$A$462,0)),"Não classificada")</x:f>
        <x:v>Independente</x:v>
      </x:c>
      <x:c r="F296" s="166" t="str">
        <x:v>XPI CCTVM S/A</x:v>
      </x:c>
      <x:c r="G296" s="166" t="str">
        <x:v>OLIVEIRA TRUST DTVM S.A.</x:v>
      </x:c>
      <x:c r="H296" s="166" t="str">
        <x:v>Outros</x:v>
      </x:c>
      <x:c r="I296" s="166" t="str">
        <x:v>Multicarteira Outros</x:v>
      </x:c>
      <x:c r="J296" s="166" t="str">
        <x:v>CI</x:v>
      </x:c>
      <x:c r="K296" s="172" t="n">
        <x:v>1</x:v>
      </x:c>
      <x:c r="L296" s="185" t="str">
        <x:v>Não classificado</x:v>
      </x:c>
    </x:row>
    <x:row r="297">
      <x:c r="A297" s="175" t="str">
        <x:v>07.727.757/0001-20</x:v>
      </x:c>
      <x:c r="B297" s="166" t="str">
        <x:v>EMPRESARIAL FUNDO DE INVESTIMENTO EM DIREITOS CREDITÓRIOS MULTISEGMENTOS</x:v>
      </x:c>
      <x:c r="C297" s="188" t="n">
        <x:v>480853352.64</x:v>
      </x:c>
      <x:c r="D297" s="166" t="str">
        <x:v>ANTHARUS GESTORA DE RECURSOS LTDA</x:v>
      </x:c>
      <x:c r="E297" s="166" t="str">
        <x:f>IFERROR(INDEX('Classif Gestoras'!$H$6:$H$462,MATCH(D297,'Classif Gestoras'!$A$6:$A$462,0)),"Não classificada")</x:f>
        <x:v>Independente</x:v>
      </x:c>
      <x:c r="F297" s="166" t="str">
        <x:v>HEMERA DTVM</x:v>
      </x:c>
      <x:c r="G297" s="166" t="str">
        <x:v>HEMERA DISTRIBUIDORA DE TITULOS E VALORES MOBILIARIOS LTDA</x:v>
      </x:c>
      <x:c r="H297" s="166" t="str">
        <x:v>Fomento Mercantil</x:v>
      </x:c>
      <x:c r="I297" s="166" t="str">
        <x:v>Fomento Mercantil</x:v>
      </x:c>
      <x:c r="J297" s="166" t="str">
        <x:v>CI</x:v>
      </x:c>
      <x:c r="K297" s="172" t="n">
        <x:v>95</x:v>
      </x:c>
      <x:c r="L297" s="185" t="str">
        <x:v>Não classificado</x:v>
      </x:c>
    </x:row>
    <x:row r="298">
      <x:c r="A298" s="175" t="str">
        <x:v>28.492.719/0001-06</x:v>
      </x:c>
      <x:c r="B298" s="166" t="str">
        <x:v>VINCI ENERGIA SUSTENTÁVEL FIDC - IS RESPONSABILIDADE LIMITADA</x:v>
      </x:c>
      <x:c r="C298" s="188" t="n">
        <x:v>480186075.36</x:v>
      </x:c>
      <x:c r="D298" s="166" t="str">
        <x:v>Vinci Gestora de Recursos LTDA</x:v>
      </x:c>
      <x:c r="E298" s="166" t="str">
        <x:f>IFERROR(INDEX('Classif Gestoras'!$H$6:$H$462,MATCH(D298,'Classif Gestoras'!$A$6:$A$462,0)),"Não classificada")</x:f>
        <x:v>Independente</x:v>
      </x:c>
      <x:c r="F298" s="166" t="str">
        <x:v>BRL TRUST DTVM</x:v>
      </x:c>
      <x:c r="G298" s="166" t="str">
        <x:v>BRL TRUST DISTRIBUIDORA DE TITULOS E VALORES MOBILIARIOS S.A.</x:v>
      </x:c>
      <x:c r="H298" s="166" t="str">
        <x:v>Agro, Indústria e Comércio</x:v>
      </x:c>
      <x:c r="I298" s="166" t="str">
        <x:v>Infraestrutura</x:v>
      </x:c>
      <x:c r="J298" s="166" t="str">
        <x:v>CI</x:v>
      </x:c>
      <x:c r="K298" s="172" t="n">
        <x:v>14</x:v>
      </x:c>
      <x:c r="L298" s="185" t="str">
        <x:v>Não classificado</x:v>
      </x:c>
    </x:row>
    <x:row r="299">
      <x:c r="A299" s="175" t="str">
        <x:v>35.689.601/0001-38</x:v>
      </x:c>
      <x:c r="B299" s="166" t="str">
        <x:v>ÁGIS - FUNDO DE INVESTIMENTO EM DIREITOS CREDITÓRIOS NÃO PADRONIZADOS</x:v>
      </x:c>
      <x:c r="C299" s="188" t="n">
        <x:v>479786822.91</x:v>
      </x:c>
      <x:c r="D299" s="166" t="str">
        <x:v>Catálise Investimentos</x:v>
      </x:c>
      <x:c r="E299" s="166" t="str">
        <x:f>IFERROR(INDEX('Classif Gestoras'!$H$6:$H$462,MATCH(D299,'Classif Gestoras'!$A$6:$A$462,0)),"Não classificada")</x:f>
        <x:v>Independente</x:v>
      </x:c>
      <x:c r="F299" s="166" t="str">
        <x:v>CATÁLISE DTVM</x:v>
      </x:c>
      <x:c r="G299" s="166" t="str">
        <x:v>BANCO DAYCOVAL S.A.</x:v>
      </x:c>
      <x:c r="H299" s="166" t="str">
        <x:v>Outros</x:v>
      </x:c>
      <x:c r="I299" s="166" t="str">
        <x:v>Multicarteira Outros</x:v>
      </x:c>
      <x:c r="J299" s="166" t="str">
        <x:v>CI</x:v>
      </x:c>
      <x:c r="K299" s="172" t="n">
        <x:v>3</x:v>
      </x:c>
      <x:c r="L299" s="185" t="str">
        <x:v>Não classificado</x:v>
      </x:c>
    </x:row>
    <x:row r="300">
      <x:c r="A300" s="175" t="str">
        <x:v>37.294.759/0001-34</x:v>
      </x:c>
      <x:c r="B300" s="166" t="str">
        <x:v>GALLERIA HOME EQUITY FIDC</x:v>
      </x:c>
      <x:c r="C300" s="188" t="n">
        <x:v>479270257.77</x:v>
      </x:c>
      <x:c r="D300" s="166" t="str">
        <x:v>VERT Gestora de Recursos Financeiros Ltda.</x:v>
      </x:c>
      <x:c r="E300" s="166" t="str">
        <x:f>IFERROR(INDEX('Classif Gestoras'!$H$6:$H$462,MATCH(D300,'Classif Gestoras'!$A$6:$A$462,0)),"Não classificada")</x:f>
        <x:v>Independente</x:v>
      </x:c>
      <x:c r="F300" s="166" t="str">
        <x:v>VERT Distribuidora de Títulos e Valores Mobiliários Ltd</x:v>
      </x:c>
      <x:c r="G300" s="166" t="str">
        <x:v>VERT DISTRIBUIDORA DE TÍTULOS E VALORES MOBILIÁRIOS LTDA.</x:v>
      </x:c>
      <x:c r="H300" s="166" t="str">
        <x:v>Financeiro</x:v>
      </x:c>
      <x:c r="I300" s="166" t="str">
        <x:v>Multicarteira Financeiro</x:v>
      </x:c>
      <x:c r="J300" s="166" t="str">
        <x:v>CI</x:v>
      </x:c>
      <x:c r="K300" s="172" t="n">
        <x:v>10</x:v>
      </x:c>
      <x:c r="L300" s="185" t="str">
        <x:v>Não classificado</x:v>
      </x:c>
    </x:row>
    <x:row r="301">
      <x:c r="A301" s="175" t="str">
        <x:v>53.164.652/0001-28</x:v>
      </x:c>
      <x:c r="B301" s="166" t="str">
        <x:v>IS SOL AGORA GREEN II ESG FIDC SEGMENTO FINANCEIRO DE RESPONSABILIDADE LIMITADA</x:v>
      </x:c>
      <x:c r="C301" s="188" t="n">
        <x:v>477130082.13</x:v>
      </x:c>
      <x:c r="D301" s="166" t="str">
        <x:v>JGP Gestão de Crédito LTDA.</x:v>
      </x:c>
      <x:c r="E301" s="166" t="str">
        <x:f>IFERROR(INDEX('Classif Gestoras'!$H$6:$H$462,MATCH(D301,'Classif Gestoras'!$A$6:$A$462,0)),"Não classificada")</x:f>
        <x:v>Independente</x:v>
      </x:c>
      <x:c r="F301" s="166" t="str">
        <x:v>Banco Genial S.A.</x:v>
      </x:c>
      <x:c r="G301" s="166" t="str">
        <x:v>BANCO GENIAL S.A.</x:v>
      </x:c>
      <x:c r="H301" s="166" t="str">
        <x:v>Financeiro</x:v>
      </x:c>
      <x:c r="I301" s="166" t="str">
        <x:v>Crédito Pessoal</x:v>
      </x:c>
      <x:c r="J301" s="166" t="str">
        <x:v>CI</x:v>
      </x:c>
      <x:c r="K301" s="172" t="n">
        <x:v>101</x:v>
      </x:c>
      <x:c r="L301" s="185" t="str">
        <x:v>Não classificado</x:v>
      </x:c>
    </x:row>
    <x:row r="302">
      <x:c r="A302" s="175" t="str">
        <x:v>53.245.260/0001-93</x:v>
      </x:c>
      <x:c r="B302" s="166" t="str">
        <x:v>CP II FUNDO DE INVESTIMENTO DE DIREITOS CREDITÓRIOS RESPONSABILIDADE LIMITADA</x:v>
      </x:c>
      <x:c r="C302" s="188" t="n">
        <x:v>476416652.37</x:v>
      </x:c>
      <x:c r="D302" s="166" t="str">
        <x:v>Lumina</x:v>
      </x:c>
      <x:c r="E302" s="166" t="str">
        <x:f>IFERROR(INDEX('Classif Gestoras'!$H$6:$H$462,MATCH(D302,'Classif Gestoras'!$A$6:$A$462,0)),"Não classificada")</x:f>
        <x:v>Independente</x:v>
      </x:c>
      <x:c r="F302" s="166" t="str">
        <x:v>Singulare</x:v>
      </x:c>
      <x:c r="G302" s="166" t="str">
        <x:v>QI CORRETORA DE TÍTULOS E VALORES MOBILIÁRIOS S.A.</x:v>
      </x:c>
      <x:c r="H302" s="166" t="str">
        <x:v>Outros</x:v>
      </x:c>
      <x:c r="I302" s="166" t="str">
        <x:v>Poder Público</x:v>
      </x:c>
      <x:c r="J302" s="166" t="str">
        <x:v>CI</x:v>
      </x:c>
      <x:c r="K302" s="172" t="n">
        <x:v>7</x:v>
      </x:c>
      <x:c r="L302" s="185" t="str">
        <x:v>Não classificado</x:v>
      </x:c>
    </x:row>
    <x:row r="303">
      <x:c r="A303" s="175" t="str">
        <x:v>17.468.142/0001-80</x:v>
      </x:c>
      <x:c r="B303" s="166" t="str">
        <x:v>VALOREM FUNDO DE INVESTIMENTO EM DIREITOS CREDITÓRIOS MULTISETORIAL RESPONSABILIDADE LIMITADA</x:v>
      </x:c>
      <x:c r="C303" s="188" t="n">
        <x:v>475431938.4</x:v>
      </x:c>
      <x:c r="D303" s="166" t="str">
        <x:v>OURO PRETO INVESTIMENTOS</x:v>
      </x:c>
      <x:c r="E303" s="166" t="str">
        <x:f>IFERROR(INDEX('Classif Gestoras'!$H$6:$H$462,MATCH(D303,'Classif Gestoras'!$A$6:$A$462,0)),"Não classificada")</x:f>
        <x:v>Independente</x:v>
      </x:c>
      <x:c r="F303" s="166" t="str">
        <x:v>Singulare</x:v>
      </x:c>
      <x:c r="G303" s="166" t="str">
        <x:v>QI CORRETORA DE TÍTULOS E VALORES MOBILIÁRIOS S.A.</x:v>
      </x:c>
      <x:c r="H303" s="166" t="str">
        <x:v>Fomento Mercantil</x:v>
      </x:c>
      <x:c r="I303" s="166" t="str">
        <x:v>Fomento Mercantil</x:v>
      </x:c>
      <x:c r="J303" s="166" t="str">
        <x:v>CI</x:v>
      </x:c>
      <x:c r="K303" s="172" t="n">
        <x:v>75</x:v>
      </x:c>
      <x:c r="L303" s="185" t="str">
        <x:v>Não classificado</x:v>
      </x:c>
    </x:row>
    <x:row r="304">
      <x:c r="A304" s="175" t="str">
        <x:v>40.211.675/0001-02</x:v>
      </x:c>
      <x:c r="B304" s="166" t="str">
        <x:v>G VALUE FUNDO DE INVESTIMENTO EM DIREITOS CREDITÓRIOS NÃO PADRONIZADO</x:v>
      </x:c>
      <x:c r="C304" s="188" t="n">
        <x:v>474326229.94</x:v>
      </x:c>
      <x:c r="D304" s="166" t="str">
        <x:v>Multiplica Capital</x:v>
      </x:c>
      <x:c r="E304" s="166" t="str">
        <x:f>IFERROR(INDEX('Classif Gestoras'!$H$6:$H$462,MATCH(D304,'Classif Gestoras'!$A$6:$A$462,0)),"Não classificada")</x:f>
        <x:v>Independente</x:v>
      </x:c>
      <x:c r="F304" s="166" t="str">
        <x:v>PLANNER CV</x:v>
      </x:c>
      <x:c r="G304" s="166" t="str">
        <x:v>PLANNER CORRETORA DE VALORES S.A.</x:v>
      </x:c>
      <x:c r="H304" s="166" t="str">
        <x:v>Outros</x:v>
      </x:c>
      <x:c r="I304" s="166" t="str">
        <x:v>Multicarteira Outros</x:v>
      </x:c>
      <x:c r="J304" s="166" t="str">
        <x:v>CI</x:v>
      </x:c>
      <x:c r="K304" s="172" t="n">
        <x:v>1</x:v>
      </x:c>
      <x:c r="L304" s="185" t="str">
        <x:v>Não classificado</x:v>
      </x:c>
    </x:row>
    <x:row r="305">
      <x:c r="A305" s="175" t="str">
        <x:v>62.390.922/0001-00</x:v>
      </x:c>
      <x:c r="B305" s="166" t="str">
        <x:v>FUNDO DE INVESTIMENTO EM DIREITOS CREDITÓRIOS CLT NOW RESPONSABILIDADE LIMITADA</x:v>
      </x:c>
      <x:c r="C305" s="188" t="n">
        <x:v>471003804.75000006</x:v>
      </x:c>
      <x:c r="D305" s="166" t="str">
        <x:v>Solis</x:v>
      </x:c>
      <x:c r="E305" s="166" t="str">
        <x:f>IFERROR(INDEX('Classif Gestoras'!$H$6:$H$462,MATCH(D305,'Classif Gestoras'!$A$6:$A$462,0)),"Não classificada")</x:f>
        <x:v>Independente</x:v>
      </x:c>
      <x:c r="F305" s="166" t="str">
        <x:v>Oliveira Trust DTVM</x:v>
      </x:c>
      <x:c r="G305" s="166" t="str">
        <x:v>OLIVEIRA TRUST DTVM S.A.</x:v>
      </x:c>
      <x:c r="H305" s="166" t="str">
        <x:v>Financeiro</x:v>
      </x:c>
      <x:c r="I305" s="166" t="str">
        <x:v>Crédito Consignado</x:v>
      </x:c>
      <x:c r="J305" s="166" t="str">
        <x:v>CI</x:v>
      </x:c>
      <x:c r="K305" s="172" t="n">
        <x:v>31</x:v>
      </x:c>
      <x:c r="L305" s="185" t="str">
        <x:v>Não classificado</x:v>
      </x:c>
    </x:row>
    <x:row r="306">
      <x:c r="A306" s="175" t="str">
        <x:v>63.505.455/0001-89</x:v>
      </x:c>
      <x:c r="B306" s="166" t="str">
        <x:v>IS GREEN SOLFÁCIL VII FINANCEIRO FUNDO DE INVESTIMENTO EM DIREITOS CREDITÓRIOS RESP LIMITADA LIM</x:v>
      </x:c>
      <x:c r="C306" s="188" t="n">
        <x:v>468311586.93</x:v>
      </x:c>
      <x:c r="D306" s="166" t="str">
        <x:v>GENIAL GESTÃO LTDA.</x:v>
      </x:c>
      <x:c r="E306" s="166" t="str">
        <x:f>IFERROR(INDEX('Classif Gestoras'!$H$6:$H$462,MATCH(D306,'Classif Gestoras'!$A$6:$A$462,0)),"Não classificada")</x:f>
        <x:v>Ligada a banco</x:v>
      </x:c>
      <x:c r="F306" s="166" t="str">
        <x:v>Genial Investimentos Corretora de Valores Mobiliários S.A.</x:v>
      </x:c>
      <x:c r="G306" s="166" t="str">
        <x:v>BANCO GENIAL S.A.</x:v>
      </x:c>
      <x:c r="H306" s="166" t="str">
        <x:v>Financeiro</x:v>
      </x:c>
      <x:c r="I306" s="166" t="str">
        <x:v>Crédito Pessoal</x:v>
      </x:c>
      <x:c r="J306" s="166" t="str">
        <x:v>CI</x:v>
      </x:c>
      <x:c r="K306" s="172" t="n">
        <x:v>41</x:v>
      </x:c>
      <x:c r="L306" s="185" t="str">
        <x:v>Não classificado</x:v>
      </x:c>
    </x:row>
    <x:row r="307">
      <x:c r="A307" s="175" t="str">
        <x:v>18.185.812/0001-14</x:v>
      </x:c>
      <x:c r="B307" s="166" t="str">
        <x:v>GAVEA SUL FUNDO DE INVESTIMENTO EM DIREITOS CREDITÓRIOS MULTISSETORIAL LP</x:v>
      </x:c>
      <x:c r="C307" s="188" t="n">
        <x:v>467712491.2499998</x:v>
      </x:c>
      <x:c r="D307" s="166" t="str">
        <x:v>M8 Partners</x:v>
      </x:c>
      <x:c r="E307" s="166" t="str">
        <x:f>IFERROR(INDEX('Classif Gestoras'!$H$6:$H$462,MATCH(D307,'Classif Gestoras'!$A$6:$A$462,0)),"Não classificada")</x:f>
        <x:v>Independente</x:v>
      </x:c>
      <x:c r="F307" s="166" t="str">
        <x:v>Singulare</x:v>
      </x:c>
      <x:c r="G307" s="166" t="str">
        <x:v>QI CORRETORA DE TÍTULOS E VALORES MOBILIÁRIOS S.A.</x:v>
      </x:c>
      <x:c r="H307" s="166" t="str">
        <x:v>Fomento Mercantil</x:v>
      </x:c>
      <x:c r="I307" s="166" t="str">
        <x:v>Fomento Mercantil</x:v>
      </x:c>
      <x:c r="J307" s="166" t="str">
        <x:v>CI</x:v>
      </x:c>
      <x:c r="K307" s="172" t="n">
        <x:v>94</x:v>
      </x:c>
      <x:c r="L307" s="185" t="str">
        <x:v>Não classificado</x:v>
      </x:c>
    </x:row>
    <x:row r="308">
      <x:c r="A308" s="175" t="str">
        <x:v>20.791.371/0001-46</x:v>
      </x:c>
      <x:c r="B308" s="166" t="str">
        <x:v>INTERBANK FUNDO DE INVESTIMENTO EM DIREITOS CREDITÓRIOS</x:v>
      </x:c>
      <x:c r="C308" s="188" t="n">
        <x:v>465624112.75</x:v>
      </x:c>
      <x:c r="D308" s="166" t="str">
        <x:v>Solis</x:v>
      </x:c>
      <x:c r="E308" s="166" t="str">
        <x:f>IFERROR(INDEX('Classif Gestoras'!$H$6:$H$462,MATCH(D308,'Classif Gestoras'!$A$6:$A$462,0)),"Não classificada")</x:f>
        <x:v>Independente</x:v>
      </x:c>
      <x:c r="F308" s="166" t="str">
        <x:v>Singulare</x:v>
      </x:c>
      <x:c r="G308" s="166" t="str">
        <x:v>QI CORRETORA DE TÍTULOS E VALORES MOBILIÁRIOS S.A.</x:v>
      </x:c>
      <x:c r="H308" s="166" t="str">
        <x:v>Fomento Mercantil</x:v>
      </x:c>
      <x:c r="I308" s="166" t="str">
        <x:v>Fomento Mercantil</x:v>
      </x:c>
      <x:c r="J308" s="166" t="str">
        <x:v>CI</x:v>
      </x:c>
      <x:c r="K308" s="172" t="n">
        <x:v>104</x:v>
      </x:c>
      <x:c r="L308" s="185" t="str">
        <x:v>Não classificado</x:v>
      </x:c>
    </x:row>
    <x:row r="309">
      <x:c r="A309" s="175" t="str">
        <x:v>59.017.361/0001-93</x:v>
      </x:c>
      <x:c r="B309" s="166" t="str">
        <x:v>ITAÚ SONETO CRÉDITO PRIVADO FUNDO DE INVESTIMENTO EM DIREITOS CREDITÓRIOS RESPONSABILIDADE LIMITADA</x:v>
      </x:c>
      <x:c r="C309" s="188" t="n">
        <x:v>463838044.69000006</x:v>
      </x:c>
      <x:c r="D309" s="166" t="str">
        <x:v>ITAU ASSET</x:v>
      </x:c>
      <x:c r="E309" s="166" t="str">
        <x:f>IFERROR(INDEX('Classif Gestoras'!$H$6:$H$462,MATCH(D309,'Classif Gestoras'!$A$6:$A$462,0)),"Não classificada")</x:f>
        <x:v>Ligada a banco</x:v>
      </x:c>
      <x:c r="F309" s="166" t="str">
        <x:v>INTRAG DIST. DE TÍTU</x:v>
      </x:c>
      <x:c r="G309" s="166" t="str">
        <x:v>ITAU UNIBANCO S.A.</x:v>
      </x:c>
      <x:c r="H309" s="166" t="str">
        <x:v>Outros</x:v>
      </x:c>
      <x:c r="I309" s="166" t="str">
        <x:v>Multicarteira Outros</x:v>
      </x:c>
      <x:c r="J309" s="166" t="str">
        <x:v>CI</x:v>
      </x:c>
      <x:c r="K309" s="172" t="n">
        <x:v>1</x:v>
      </x:c>
      <x:c r="L309" s="185" t="str">
        <x:v>Não classificado</x:v>
      </x:c>
    </x:row>
    <x:row r="310">
      <x:c r="A310" s="175" t="str">
        <x:v>62.626.409/0001-75</x:v>
      </x:c>
      <x:c r="B310" s="166" t="str">
        <x:v>SUMUP SMART I FIDC SEGMENTO MEIOS DE PAGAMENTO DE RESPONSABILIDADE LIMITADA</x:v>
      </x:c>
      <x:c r="C310" s="188" t="n">
        <x:v>459022537.67</x:v>
      </x:c>
      <x:c r="D310" s="166" t="str">
        <x:v>Banco Bradesco S/A</x:v>
      </x:c>
      <x:c r="E310" s="166" t="str">
        <x:f>IFERROR(INDEX('Classif Gestoras'!$H$6:$H$462,MATCH(D310,'Classif Gestoras'!$A$6:$A$462,0)),"Não classificada")</x:f>
        <x:v>Ligada a banco</x:v>
      </x:c>
      <x:c r="F310" s="166" t="str">
        <x:v>BEM - DIST. DE TÍTUL</x:v>
      </x:c>
      <x:c r="G310" s="166" t="str">
        <x:v>BANCO BRADESCO S.A.</x:v>
      </x:c>
      <x:c r="H310" s="166" t="str">
        <x:v>Outros</x:v>
      </x:c>
      <x:c r="I310" s="166" t="str">
        <x:v>Multicarteira Outros</x:v>
      </x:c>
      <x:c r="J310" s="166" t="str">
        <x:v>CI</x:v>
      </x:c>
      <x:c r="K310" s="172" t="n">
        <x:v>13</x:v>
      </x:c>
      <x:c r="L310" s="185" t="str">
        <x:v>Não classificado</x:v>
      </x:c>
    </x:row>
    <x:row r="311">
      <x:c r="A311" s="175" t="str">
        <x:v>32.724.252/0001-50</x:v>
      </x:c>
      <x:c r="B311" s="166" t="str">
        <x:v>RB CAPITAL CREDIT ALPHA STRATEGY I FIDC - RESPONSABILIDADE LIMITADA</x:v>
      </x:c>
      <x:c r="C311" s="188" t="n">
        <x:v>458599769.59</x:v>
      </x:c>
      <x:c r="D311" s="166" t="str">
        <x:v>RB Asset</x:v>
      </x:c>
      <x:c r="E311" s="166" t="str">
        <x:f>IFERROR(INDEX('Classif Gestoras'!$H$6:$H$462,MATCH(D311,'Classif Gestoras'!$A$6:$A$462,0)),"Não classificada")</x:f>
        <x:v>Independente</x:v>
      </x:c>
      <x:c r="F311" s="166" t="str">
        <x:v>Oliveira Trust DTVM</x:v>
      </x:c>
      <x:c r="G311" s="166" t="str">
        <x:v>OLIVEIRA TRUST DTVM S.A.</x:v>
      </x:c>
      <x:c r="H311" s="166" t="str">
        <x:v>Financeiro</x:v>
      </x:c>
      <x:c r="I311" s="166" t="str">
        <x:v>Crédito Consignado</x:v>
      </x:c>
      <x:c r="J311" s="166" t="str">
        <x:v>CI</x:v>
      </x:c>
      <x:c r="K311" s="172" t="n">
        <x:v>133</x:v>
      </x:c>
      <x:c r="L311" s="185" t="str">
        <x:v>Não classificado</x:v>
      </x:c>
    </x:row>
    <x:row r="312">
      <x:c r="A312" s="175" t="str">
        <x:v>52.554.072/0001-84</x:v>
      </x:c>
      <x:c r="B312" s="166" t="str">
        <x:v>ST1 MASTER FUNDO DE INVESTIMENTO EM DIREITOS CREDITÓRIOS</x:v>
      </x:c>
      <x:c r="C312" s="188" t="n">
        <x:v>454858771.73</x:v>
      </x:c>
      <x:c r="D312" s="166" t="str">
        <x:v>Strata Capital</x:v>
      </x:c>
      <x:c r="E312" s="166" t="str">
        <x:f>IFERROR(INDEX('Classif Gestoras'!$H$6:$H$462,MATCH(D312,'Classif Gestoras'!$A$6:$A$462,0)),"Não classificada")</x:f>
        <x:v>Independente</x:v>
      </x:c>
      <x:c r="F312" s="166" t="str">
        <x:v>BANCO DAYCOVAL S/A</x:v>
      </x:c>
      <x:c r="G312" s="166" t="str">
        <x:v>BANCO DAYCOVAL S.A.</x:v>
      </x:c>
      <x:c r="H312" s="166" t="str">
        <x:v>Financeiro</x:v>
      </x:c>
      <x:c r="I312" s="166" t="str">
        <x:v>Multicarteira Financeiro</x:v>
      </x:c>
      <x:c r="J312" s="166" t="str">
        <x:v>CI</x:v>
      </x:c>
      <x:c r="K312" s="172" t="n">
        <x:v>3</x:v>
      </x:c>
      <x:c r="L312" s="185" t="str">
        <x:v>Não classificado</x:v>
      </x:c>
    </x:row>
    <x:row r="313">
      <x:c r="A313" s="175" t="str">
        <x:v>08.661.352/0001-08</x:v>
      </x:c>
      <x:c r="B313" s="166" t="str">
        <x:v>VVMB FUNDO DE INVESTIMENTO EM DIREITOS CREDITÓRIOS NÃO-PADRONIZADOS</x:v>
      </x:c>
      <x:c r="C313" s="188" t="n">
        <x:v>454505099.34</x:v>
      </x:c>
      <x:c r="D313" s="166" t="str">
        <x:v>Veritas Capital Management</x:v>
      </x:c>
      <x:c r="E313" s="166" t="str">
        <x:f>IFERROR(INDEX('Classif Gestoras'!$H$6:$H$462,MATCH(D313,'Classif Gestoras'!$A$6:$A$462,0)),"Não classificada")</x:f>
        <x:v>Independente</x:v>
      </x:c>
      <x:c r="F313" s="166" t="str">
        <x:v>PLANNER CV</x:v>
      </x:c>
      <x:c r="G313" s="166" t="str">
        <x:v>PLANNER CORRETORA DE VALORES S.A.</x:v>
      </x:c>
      <x:c r="H313" s="166" t="str">
        <x:v>Outros</x:v>
      </x:c>
      <x:c r="I313" s="166" t="str">
        <x:v>Multicarteira Outros</x:v>
      </x:c>
      <x:c r="J313" s="166" t="str">
        <x:v>CI</x:v>
      </x:c>
      <x:c r="K313" s="172" t="n">
        <x:v>4</x:v>
      </x:c>
      <x:c r="L313" s="185" t="str">
        <x:v>Não classificado</x:v>
      </x:c>
    </x:row>
    <x:row r="314">
      <x:c r="A314" s="175" t="str">
        <x:v>48.903.717/0001-70</x:v>
      </x:c>
      <x:c r="B314" s="166" t="str">
        <x:v>VLBM FUNDO DE INVESTIMENTO EM DIREITOS CREDITÓRIOS NÃO-PADRONIZADOS</x:v>
      </x:c>
      <x:c r="C314" s="188" t="n">
        <x:v>454448343.69000006</x:v>
      </x:c>
      <x:c r="D314" s="166" t="str">
        <x:v>Veritas Capital Management</x:v>
      </x:c>
      <x:c r="E314" s="166" t="str">
        <x:f>IFERROR(INDEX('Classif Gestoras'!$H$6:$H$462,MATCH(D314,'Classif Gestoras'!$A$6:$A$462,0)),"Não classificada")</x:f>
        <x:v>Independente</x:v>
      </x:c>
      <x:c r="F314" s="166" t="str">
        <x:v>PLANNER CV</x:v>
      </x:c>
      <x:c r="G314" s="166" t="str">
        <x:v>PLANNER CORRETORA DE VALORES S.A.</x:v>
      </x:c>
      <x:c r="H314" s="166" t="str">
        <x:v>Outros</x:v>
      </x:c>
      <x:c r="I314" s="166" t="str">
        <x:v>Multicarteira Outros</x:v>
      </x:c>
      <x:c r="J314" s="166" t="str">
        <x:v>CI</x:v>
      </x:c>
      <x:c r="K314" s="172" t="n">
        <x:v>4</x:v>
      </x:c>
      <x:c r="L314" s="185" t="str">
        <x:v>Não classificado</x:v>
      </x:c>
    </x:row>
    <x:row r="315">
      <x:c r="A315" s="175" t="str">
        <x:v>48.904.297/0001-46</x:v>
      </x:c>
      <x:c r="B315" s="166" t="str">
        <x:v>VNMB FUNDO DE INVESTIMENTO EM DIREITOS CREDITÓRIOS NÃO-PADRONIZADOS</x:v>
      </x:c>
      <x:c r="C315" s="188" t="n">
        <x:v>454447827.43</x:v>
      </x:c>
      <x:c r="D315" s="166" t="str">
        <x:v>Veritas Capital Management</x:v>
      </x:c>
      <x:c r="E315" s="166" t="str">
        <x:f>IFERROR(INDEX('Classif Gestoras'!$H$6:$H$462,MATCH(D315,'Classif Gestoras'!$A$6:$A$462,0)),"Não classificada")</x:f>
        <x:v>Independente</x:v>
      </x:c>
      <x:c r="F315" s="166" t="str">
        <x:v>PLANNER CV</x:v>
      </x:c>
      <x:c r="G315" s="166" t="str">
        <x:v>PLANNER CORRETORA DE VALORES S.A.</x:v>
      </x:c>
      <x:c r="H315" s="166" t="str">
        <x:v>Outros</x:v>
      </x:c>
      <x:c r="I315" s="166" t="str">
        <x:v>Multicarteira Outros</x:v>
      </x:c>
      <x:c r="J315" s="166" t="str">
        <x:v>CI</x:v>
      </x:c>
      <x:c r="K315" s="172" t="n">
        <x:v>4</x:v>
      </x:c>
      <x:c r="L315" s="185" t="str">
        <x:v>Não classificado</x:v>
      </x:c>
    </x:row>
    <x:row r="316">
      <x:c r="A316" s="175" t="str">
        <x:v>57.377.286/0001-46</x:v>
      </x:c>
      <x:c r="B316" s="166" t="str">
        <x:v>JIVEMAUÁ BOSSANOVA SECURITIZADO MASTER FIDC CRÉD PRIV RESPONSABILIDADE LIMITADA</x:v>
      </x:c>
      <x:c r="C316" s="188" t="n">
        <x:v>453640885.48</x:v>
      </x:c>
      <x:c r="D316" s="166" t="str">
        <x:v>JIVE HIGH YIELD GESTÃO DE RECURSOS LTDA</x:v>
      </x:c>
      <x:c r="E316" s="166" t="str">
        <x:f>IFERROR(INDEX('Classif Gestoras'!$H$6:$H$462,MATCH(D316,'Classif Gestoras'!$A$6:$A$462,0)),"Não classificada")</x:f>
        <x:v>Independente</x:v>
      </x:c>
      <x:c r="F316" s="166" t="str">
        <x:v>BANCO DAYCOVAL S/A</x:v>
      </x:c>
      <x:c r="G316" s="166" t="str">
        <x:v>BANCO DAYCOVAL S.A.</x:v>
      </x:c>
      <x:c r="H316" s="166" t="str">
        <x:v>Outros</x:v>
      </x:c>
      <x:c r="I316" s="166" t="str">
        <x:v>Multicarteira Outros</x:v>
      </x:c>
      <x:c r="J316" s="166" t="str">
        <x:v>CI</x:v>
      </x:c>
      <x:c r="K316" s="172" t="n">
        <x:v>2</x:v>
      </x:c>
      <x:c r="L316" s="185" t="str">
        <x:v>Não classificado</x:v>
      </x:c>
    </x:row>
    <x:row r="317">
      <x:c r="A317" s="175" t="str">
        <x:v>34.521.809/0001-80</x:v>
      </x:c>
      <x:c r="B317" s="166" t="str">
        <x:v>SRM EXODUS PME FUNDO DE INVESTIMENTO EM DIREITOS CREDITÓRIOS RESPONSABILIDADE LIMITADA</x:v>
      </x:c>
      <x:c r="C317" s="188" t="n">
        <x:v>452888369.54</x:v>
      </x:c>
      <x:c r="D317" s="166" t="str">
        <x:v>NOVA S R M</x:v>
      </x:c>
      <x:c r="E317" s="166" t="str">
        <x:f>IFERROR(INDEX('Classif Gestoras'!$H$6:$H$462,MATCH(D317,'Classif Gestoras'!$A$6:$A$462,0)),"Não classificada")</x:f>
        <x:v>Independente</x:v>
      </x:c>
      <x:c r="F317" s="166" t="str">
        <x:v>Singulare</x:v>
      </x:c>
      <x:c r="G317" s="166" t="str">
        <x:v>QI CORRETORA DE TÍTULOS E VALORES MOBILIÁRIOS S.A.</x:v>
      </x:c>
      <x:c r="H317" s="166" t="str">
        <x:v>Fomento Mercantil</x:v>
      </x:c>
      <x:c r="I317" s="166" t="str">
        <x:v>Fomento Mercantil</x:v>
      </x:c>
      <x:c r="J317" s="166" t="str">
        <x:v>CI</x:v>
      </x:c>
      <x:c r="K317" s="172" t="n">
        <x:v>6</x:v>
      </x:c>
      <x:c r="L317" s="185" t="str">
        <x:v>Não classificado</x:v>
      </x:c>
    </x:row>
    <x:row r="318">
      <x:c r="A318" s="175" t="str">
        <x:v>08.654.210/0001-05</x:v>
      </x:c>
      <x:c r="B318" s="166" t="str">
        <x:v>FUNDO DE INVESTIMENTO EM DIREITOS CREDITÓRIOS MULTISSETORIAL ONE7 LP RESPONSABILIDADE LIMITADA</x:v>
      </x:c>
      <x:c r="C318" s="188" t="n">
        <x:v>451192966.43975</x:v>
      </x:c>
      <x:c r="D318" s="166" t="str">
        <x:v>M8 Partners</x:v>
      </x:c>
      <x:c r="E318" s="166" t="str">
        <x:f>IFERROR(INDEX('Classif Gestoras'!$H$6:$H$462,MATCH(D318,'Classif Gestoras'!$A$6:$A$462,0)),"Não classificada")</x:f>
        <x:v>Independente</x:v>
      </x:c>
      <x:c r="F318" s="166" t="str">
        <x:v>Singulare</x:v>
      </x:c>
      <x:c r="G318" s="166" t="str">
        <x:v>QI CORRETORA DE TÍTULOS E VALORES MOBILIÁRIOS S.A.</x:v>
      </x:c>
      <x:c r="H318" s="166" t="str">
        <x:v>Fomento Mercantil</x:v>
      </x:c>
      <x:c r="I318" s="166" t="str">
        <x:v>Fomento Mercantil</x:v>
      </x:c>
      <x:c r="J318" s="166" t="str">
        <x:v>CI</x:v>
      </x:c>
      <x:c r="K318" s="172" t="n">
        <x:v>142</x:v>
      </x:c>
      <x:c r="L318" s="185" t="str">
        <x:v>Não classificado</x:v>
      </x:c>
    </x:row>
    <x:row r="319">
      <x:c r="A319" s="175" t="str">
        <x:v>60.103.810/0001-03</x:v>
      </x:c>
      <x:c r="B319" s="166" t="str">
        <x:v>JIVEMAUÁ BOSSANOVA CRÉDITO SECURITIZADO FUNDO DE INVESTIMENTO EM DIREITOS CREDITÓRIOS RESP LIMITADA</x:v>
      </x:c>
      <x:c r="C319" s="188" t="n">
        <x:v>451106873.66</x:v>
      </x:c>
      <x:c r="D319" s="166" t="str">
        <x:v>JIVE HIGH YIELD GESTÃO DE RECURSOS LTDA</x:v>
      </x:c>
      <x:c r="E319" s="166" t="str">
        <x:f>IFERROR(INDEX('Classif Gestoras'!$H$6:$H$462,MATCH(D319,'Classif Gestoras'!$A$6:$A$462,0)),"Não classificada")</x:f>
        <x:v>Independente</x:v>
      </x:c>
      <x:c r="F319" s="166" t="str">
        <x:v>XPI CCTVM S/A</x:v>
      </x:c>
      <x:c r="G319" s="166" t="str">
        <x:v>OLIVEIRA TRUST DTVM S.A.</x:v>
      </x:c>
      <x:c r="H319" s="166" t="str">
        <x:v>Outros</x:v>
      </x:c>
      <x:c r="I319" s="166" t="str">
        <x:v>Multicarteira Outros</x:v>
      </x:c>
      <x:c r="J319" s="166" t="str">
        <x:v>CI</x:v>
      </x:c>
      <x:c r="K319" s="172" t="n">
        <x:v>5431</x:v>
      </x:c>
      <x:c r="L319" s="185" t="str">
        <x:v>Não classificado</x:v>
      </x:c>
    </x:row>
    <x:row r="320">
      <x:c r="A320" s="175" t="str">
        <x:v>53.314.997/0001-10</x:v>
      </x:c>
      <x:c r="B320" s="166" t="str">
        <x:v>RAVENA FUNDO DE INVESTIMENTO EM DIREITOS CREDITÓRIOS</x:v>
      </x:c>
      <x:c r="C320" s="188" t="n">
        <x:v>449650201.86</x:v>
      </x:c>
      <x:c r="D320" s="166" t="str">
        <x:v>Blue Solutions</x:v>
      </x:c>
      <x:c r="E320" s="166" t="str">
        <x:f>IFERROR(INDEX('Classif Gestoras'!$H$6:$H$462,MATCH(D320,'Classif Gestoras'!$A$6:$A$462,0)),"Não classificada")</x:f>
        <x:v>Independente</x:v>
      </x:c>
      <x:c r="F320" s="166" t="str">
        <x:v>TRUSTEE DTVM</x:v>
      </x:c>
      <x:c r="G320" s="166" t="str">
        <x:v>TRUSTEE DISTRIBUIDORA DE TITULOS E VALORES MOBILIARIOS LTDA.</x:v>
      </x:c>
      <x:c r="H320" s="166" t="str">
        <x:v>Outros</x:v>
      </x:c>
      <x:c r="I320" s="166" t="str">
        <x:v>Multicarteira Outros</x:v>
      </x:c>
      <x:c r="J320" s="166" t="str">
        <x:v>CI</x:v>
      </x:c>
      <x:c r="K320" s="172" t="n">
        <x:v>2</x:v>
      </x:c>
      <x:c r="L320" s="185" t="str">
        <x:v>Não classificado</x:v>
      </x:c>
    </x:row>
    <x:row r="321">
      <x:c r="A321" s="175" t="str">
        <x:v>60.570.464/0001-65</x:v>
      </x:c>
      <x:c r="B321" s="166" t="str">
        <x:v>BTG PACTUAL APOLO FUNDO DE INVESTIMENTO EM DIREITOS CREDITÓRIOS RESPONSABILIDADE LIMITADA</x:v>
      </x:c>
      <x:c r="C321" s="188" t="n">
        <x:v>449113090.17</x:v>
      </x:c>
      <x:c r="D321" s="166" t="str">
        <x:v>BTG Pactual Asset</x:v>
      </x:c>
      <x:c r="E321" s="166" t="str">
        <x:f>IFERROR(INDEX('Classif Gestoras'!$H$6:$H$462,MATCH(D321,'Classif Gestoras'!$A$6:$A$462,0)),"Não classificada")</x:f>
        <x:v>Ligada a banco</x:v>
      </x:c>
      <x:c r="F321" s="166" t="str">
        <x:v>BTG Pactual Servicos Financeiros S/A DTVM</x:v>
      </x:c>
      <x:c r="G321" s="166" t="str">
        <x:v>BANCO BTG PACTUAL S/A</x:v>
      </x:c>
      <x:c r="H321" s="166" t="str">
        <x:v>Outros</x:v>
      </x:c>
      <x:c r="I321" s="166" t="str">
        <x:v>Multicarteira Outros</x:v>
      </x:c>
      <x:c r="J321" s="166" t="str">
        <x:v>CIPC</x:v>
      </x:c>
      <x:c r="K321" s="172" t="n">
        <x:v>1</x:v>
      </x:c>
      <x:c r="L321" s="185" t="str">
        <x:v>Não classificado</x:v>
      </x:c>
    </x:row>
    <x:row r="322">
      <x:c r="A322" s="175" t="str">
        <x:v>19.388.377/0001-98</x:v>
      </x:c>
      <x:c r="B322" s="166" t="str">
        <x:v>ANKARA FUNDO DE INVESTIMENTO EM DIREITOS CREDITÓRIOS RESPONSABILIDADE LIMITADA</x:v>
      </x:c>
      <x:c r="C322" s="188" t="n">
        <x:v>448714052.03</x:v>
      </x:c>
      <x:c r="D322" s="166" t="str">
        <x:v>Kanastra</x:v>
      </x:c>
      <x:c r="E322" s="166" t="str">
        <x:f>IFERROR(INDEX('Classif Gestoras'!$H$6:$H$462,MATCH(D322,'Classif Gestoras'!$A$6:$A$462,0)),"Não classificada")</x:f>
        <x:v>Independente</x:v>
      </x:c>
      <x:c r="F322" s="166" t="str">
        <x:v>Limine Trust Distribuidora de Titulos e Valores Mobiliá</x:v>
      </x:c>
      <x:c r="G322" s="166" t="str">
        <x:v>LIMINE TRUST DISTRIBUIDORA DE TITULOS E VALORES MOBILIARIOS LTDA.</x:v>
      </x:c>
      <x:c r="H322" s="166" t="str">
        <x:v>Outros</x:v>
      </x:c>
      <x:c r="I322" s="166" t="str">
        <x:v>Multicarteira Outros</x:v>
      </x:c>
      <x:c r="J322" s="166" t="str">
        <x:v>CI</x:v>
      </x:c>
      <x:c r="K322" s="172" t="n">
        <x:v>4</x:v>
      </x:c>
      <x:c r="L322" s="185" t="str">
        <x:v>Não classificado</x:v>
      </x:c>
    </x:row>
    <x:row r="323">
      <x:c r="A323" s="175" t="str">
        <x:v>58.152.340/0001-18</x:v>
      </x:c>
      <x:c r="B323" s="166" t="str">
        <x:v>MONEE II FUNDO DE INVESTIMENTO EM DIREITOS CREDITÓRIOS SEGMENTO FINANCEIRO - RESP. LIMITADA</x:v>
      </x:c>
      <x:c r="C323" s="188" t="n">
        <x:v>442213717.88533</x:v>
      </x:c>
      <x:c r="D323" s="166" t="str">
        <x:v>VALORA RENDA FIXA ESTRUTURADOS LTDA.</x:v>
      </x:c>
      <x:c r="E323" s="166" t="str">
        <x:f>IFERROR(INDEX('Classif Gestoras'!$H$6:$H$462,MATCH(D323,'Classif Gestoras'!$A$6:$A$462,0)),"Não classificada")</x:f>
        <x:v>Independente</x:v>
      </x:c>
      <x:c r="F323" s="166" t="str">
        <x:v>Singulare</x:v>
      </x:c>
      <x:c r="G323" s="166" t="str">
        <x:v>QI CORRETORA DE TÍTULOS E VALORES MOBILIÁRIOS S.A.</x:v>
      </x:c>
      <x:c r="H323" s="166" t="str">
        <x:v>Financeiro</x:v>
      </x:c>
      <x:c r="I323" s="166" t="str">
        <x:v>Crédito Pessoal</x:v>
      </x:c>
      <x:c r="J323" s="166" t="str">
        <x:v>CI</x:v>
      </x:c>
      <x:c r="K323" s="172" t="n">
        <x:v>2</x:v>
      </x:c>
      <x:c r="L323" s="185" t="str">
        <x:v>Não classificado</x:v>
      </x:c>
    </x:row>
    <x:row r="324">
      <x:c r="A324" s="175" t="str">
        <x:v>35.448.967/0001-15</x:v>
      </x:c>
      <x:c r="B324" s="166" t="str">
        <x:v>ATIVOS ESPECIAIS II - FUNDO DE INVESTIMENTO EM DIREITOS CREDITÓRIOS - RESPONSABILIDADE LIMITADA</x:v>
      </x:c>
      <x:c r="C324" s="188" t="n">
        <x:v>442106152.26</x:v>
      </x:c>
      <x:c r="D324" s="166" t="str">
        <x:v>Vinci SPS Gestão de Recursos Ltda.</x:v>
      </x:c>
      <x:c r="E324" s="166" t="str">
        <x:f>IFERROR(INDEX('Classif Gestoras'!$H$6:$H$462,MATCH(D324,'Classif Gestoras'!$A$6:$A$462,0)),"Não classificada")</x:f>
        <x:v>Independente</x:v>
      </x:c>
      <x:c r="F324" s="166" t="str">
        <x:v>VÓRTX DTVM</x:v>
      </x:c>
      <x:c r="G324" s="166" t="str">
        <x:v>VORTX DISTRIBUIDORA DE TITULOS E VALORES MOBILIARIOS LTDA.</x:v>
      </x:c>
      <x:c r="H324" s="166" t="str">
        <x:v>Agro, Indústria e Comércio</x:v>
      </x:c>
      <x:c r="I324" s="166" t="str">
        <x:v>Multicarteira Agro, Indústria e Comércio</x:v>
      </x:c>
      <x:c r="J324" s="166" t="str">
        <x:v>CI</x:v>
      </x:c>
      <x:c r="K324" s="172" t="n">
        <x:v>2</x:v>
      </x:c>
      <x:c r="L324" s="185" t="str">
        <x:v>Não classificado</x:v>
      </x:c>
    </x:row>
    <x:row r="325">
      <x:c r="A325" s="175" t="str">
        <x:v>33.256.234/0001-53</x:v>
      </x:c>
      <x:c r="B325" s="166" t="str">
        <x:v>ARTESANAL PFN FUNDO DE INVESTIMENTO EM DIREITOS CREDITÓRIOS RESPONSABILIDADE LIMITADA</x:v>
      </x:c>
      <x:c r="C325" s="188" t="n">
        <x:v>440415500.15</x:v>
      </x:c>
      <x:c r="D325" s="166" t="str">
        <x:v>Artesanal Investimentos</x:v>
      </x:c>
      <x:c r="E325" s="166" t="str">
        <x:f>IFERROR(INDEX('Classif Gestoras'!$H$6:$H$462,MATCH(D325,'Classif Gestoras'!$A$6:$A$462,0)),"Não classificada")</x:f>
        <x:v>Independente</x:v>
      </x:c>
      <x:c r="F325" s="166" t="str">
        <x:v>Banco Genial S.A.</x:v>
      </x:c>
      <x:c r="G325" s="166" t="str">
        <x:v>BANCO B3 S.A.</x:v>
      </x:c>
      <x:c r="H325" s="166" t="str">
        <x:v>Financeiro</x:v>
      </x:c>
      <x:c r="I325" s="166" t="str">
        <x:v>Crédito Pessoal</x:v>
      </x:c>
      <x:c r="J325" s="166" t="str">
        <x:v>CI</x:v>
      </x:c>
      <x:c r="K325" s="172" t="n">
        <x:v>1</x:v>
      </x:c>
      <x:c r="L325" s="185" t="str">
        <x:v>Não classificado</x:v>
      </x:c>
    </x:row>
    <x:row r="326">
      <x:c r="A326" s="175" t="str">
        <x:v>28.481.469/0001-09</x:v>
      </x:c>
      <x:c r="B326" s="166" t="str">
        <x:v>MAJORITY - FUNDO DE INVESTIMENTO EM DIREITOS CREDITÓRIOS RESPONSABILIDADE LIMITADA</x:v>
      </x:c>
      <x:c r="C326" s="188" t="n">
        <x:v>437321684.23</x:v>
      </x:c>
      <x:c r="D326" s="166" t="str">
        <x:v>SUESTE CAPITAL GESTÃO DE RECURSOS LTDA.</x:v>
      </x:c>
      <x:c r="E326" s="166" t="str">
        <x:f>IFERROR(INDEX('Classif Gestoras'!$H$6:$H$462,MATCH(D326,'Classif Gestoras'!$A$6:$A$462,0)),"Não classificada")</x:f>
        <x:v>Independente</x:v>
      </x:c>
      <x:c r="F326" s="166" t="str">
        <x:v>Oliveira Trust DTVM</x:v>
      </x:c>
      <x:c r="G326" s="166" t="str">
        <x:v>OLIVEIRA TRUST DTVM S.A.</x:v>
      </x:c>
      <x:c r="H326" s="166" t="str">
        <x:v>Outros</x:v>
      </x:c>
      <x:c r="I326" s="166" t="str">
        <x:v>Multicarteira Outros</x:v>
      </x:c>
      <x:c r="J326" s="166" t="str">
        <x:v>CI</x:v>
      </x:c>
      <x:c r="K326" s="172" t="n">
        <x:v>2</x:v>
      </x:c>
      <x:c r="L326" s="185" t="str">
        <x:v>Não classificado</x:v>
      </x:c>
    </x:row>
    <x:row r="327">
      <x:c r="A327" s="175" t="str">
        <x:v>43.193.260/0001-33</x:v>
      </x:c>
      <x:c r="B327" s="166" t="str">
        <x:v>RESIDENCE CLUB FUNDO DE INVESTIMENTO EM DIREITOS CREDITÓRIOS</x:v>
      </x:c>
      <x:c r="C327" s="188" t="n">
        <x:v>436211634.46</x:v>
      </x:c>
      <x:c r="D327" s="166" t="str">
        <x:v>CARMEL GESTORA DE ATIVOS LTDA</x:v>
      </x:c>
      <x:c r="E327" s="166" t="str">
        <x:f>IFERROR(INDEX('Classif Gestoras'!$H$6:$H$462,MATCH(D327,'Classif Gestoras'!$A$6:$A$462,0)),"Não classificada")</x:f>
        <x:v>Independente</x:v>
      </x:c>
      <x:c r="F327" s="166" t="str">
        <x:v>BRL TRUST DTVM</x:v>
      </x:c>
      <x:c r="G327" s="166" t="str">
        <x:v>BRL TRUST DISTRIBUIDORA DE TITULOS E VALORES MOBILIARIOS S.A.</x:v>
      </x:c>
      <x:c r="H327" s="166" t="str">
        <x:v>Financeiro</x:v>
      </x:c>
      <x:c r="I327" s="166" t="str">
        <x:v>Crédito Imobiliário</x:v>
      </x:c>
      <x:c r="J327" s="166" t="str">
        <x:v>CI</x:v>
      </x:c>
      <x:c r="K327" s="172" t="n">
        <x:v>12</x:v>
      </x:c>
      <x:c r="L327" s="185" t="str">
        <x:v>Não classificado</x:v>
      </x:c>
    </x:row>
    <x:row r="328">
      <x:c r="A328" s="175" t="str">
        <x:v>57.584.334/0001-77</x:v>
      </x:c>
      <x:c r="B328" s="166" t="str">
        <x:v>TAYA TECH FGTS I FUNDO DE INVESTIMENTO EM DIREITOS CREDITÓRIOS</x:v>
      </x:c>
      <x:c r="C328" s="188" t="n">
        <x:v>430622941.49999994</x:v>
      </x:c>
      <x:c r="D328" s="166" t="str">
        <x:v>ANGÁ ASSET MANAGEMENT</x:v>
      </x:c>
      <x:c r="E328" s="166" t="str">
        <x:f>IFERROR(INDEX('Classif Gestoras'!$H$6:$H$462,MATCH(D328,'Classif Gestoras'!$A$6:$A$462,0)),"Não classificada")</x:f>
        <x:v>Independente</x:v>
      </x:c>
      <x:c r="F328" s="166" t="str">
        <x:v>BANCO DAYCOVAL S/A</x:v>
      </x:c>
      <x:c r="G328" s="166" t="str">
        <x:v>BANCO DAYCOVAL S.A.</x:v>
      </x:c>
      <x:c r="H328" s="166" t="str">
        <x:v>Financeiro</x:v>
      </x:c>
      <x:c r="I328" s="166" t="str">
        <x:v>Crédito Pessoal</x:v>
      </x:c>
      <x:c r="J328" s="166" t="str">
        <x:v>CI</x:v>
      </x:c>
      <x:c r="K328" s="172" t="n">
        <x:v>83</x:v>
      </x:c>
      <x:c r="L328" s="185" t="str">
        <x:v>Não classificado</x:v>
      </x:c>
    </x:row>
    <x:row r="329">
      <x:c r="A329" s="175" t="str">
        <x:v>44.302.112/0001-72</x:v>
      </x:c>
      <x:c r="B329" s="166" t="str">
        <x:v>CLASSE ÚNICA FUNDO DE INVESTIMENTO EM DIREITOS CREDITÓRIOS AGRO CITI-BAYER RESPONSABILIDADE LIMITADA</x:v>
      </x:c>
      <x:c r="C329" s="188" t="n">
        <x:v>428833875.29</x:v>
      </x:c>
      <x:c r="D329" s="166" t="str">
        <x:v>Integral Investimentos</x:v>
      </x:c>
      <x:c r="E329" s="166" t="str">
        <x:f>IFERROR(INDEX('Classif Gestoras'!$H$6:$H$462,MATCH(D329,'Classif Gestoras'!$A$6:$A$462,0)),"Não classificada")</x:f>
        <x:v>Independente</x:v>
      </x:c>
      <x:c r="F329" s="166" t="str">
        <x:v>VÓRTX DTVM</x:v>
      </x:c>
      <x:c r="G329" s="166" t="str">
        <x:v>VORTX DISTRIBUIDORA DE TITULOS E VALORES MOBILIARIOS LTDA.</x:v>
      </x:c>
      <x:c r="H329" s="166" t="str">
        <x:v>Agro, Indústria e Comércio</x:v>
      </x:c>
      <x:c r="I329" s="166" t="str">
        <x:v>Agronegócio</x:v>
      </x:c>
      <x:c r="J329" s="166" t="str">
        <x:v>CI</x:v>
      </x:c>
      <x:c r="K329" s="172" t="n">
        <x:v>8</x:v>
      </x:c>
      <x:c r="L329" s="185" t="str">
        <x:v>Não classificado</x:v>
      </x:c>
    </x:row>
    <x:row r="330">
      <x:c r="A330" s="175" t="str">
        <x:v>52.982.703/0001-66</x:v>
      </x:c>
      <x:c r="B330" s="166" t="str">
        <x:v>FUNDO DE INVESTIMENTO EM DIREITOS CREDITÓRIOS OSHER</x:v>
      </x:c>
      <x:c r="C330" s="188" t="n">
        <x:v>427359440.68000007</x:v>
      </x:c>
      <x:c r="D330" s="166" t="str">
        <x:v>ORRAM GESTÃO DE RECURSOS LTDA.</x:v>
      </x:c>
      <x:c r="E330" s="166" t="str">
        <x:f>IFERROR(INDEX('Classif Gestoras'!$H$6:$H$462,MATCH(D330,'Classif Gestoras'!$A$6:$A$462,0)),"Não classificada")</x:f>
        <x:v>Independente</x:v>
      </x:c>
      <x:c r="F330" s="166" t="str">
        <x:v>FIDD DISTRIBUIDORA DE TITULOS E VALORES MOBILIARIOS LTD</x:v>
      </x:c>
      <x:c r="G330" s="166" t="str">
        <x:v>FIDD DISTRIBUIDORA DE TITULOS E VALORES MOBILIARIOS LTDA.</x:v>
      </x:c>
      <x:c r="H330" s="166" t="str">
        <x:v>Outros</x:v>
      </x:c>
      <x:c r="I330" s="166" t="str">
        <x:v>Multicarteira Outros</x:v>
      </x:c>
      <x:c r="J330" s="166" t="str">
        <x:v>CI</x:v>
      </x:c>
      <x:c r="K330" s="172" t="n">
        <x:v>6</x:v>
      </x:c>
      <x:c r="L330" s="185" t="str">
        <x:v>Não classificado</x:v>
      </x:c>
    </x:row>
    <x:row r="331">
      <x:c r="A331" s="175" t="str">
        <x:v>57.139.003/0001-28</x:v>
      </x:c>
      <x:c r="B331" s="166" t="str">
        <x:v>IMPACTO ROXO FIDC DE PRECATÓRIOS DE RESPONSABILIDADE LIMITADA</x:v>
      </x:c>
      <x:c r="C331" s="188" t="n">
        <x:v>426526140.84</x:v>
      </x:c>
      <x:c r="D331" s="166" t="str">
        <x:v>Vista Real Estate</x:v>
      </x:c>
      <x:c r="E331" s="166" t="str">
        <x:f>IFERROR(INDEX('Classif Gestoras'!$H$6:$H$462,MATCH(D331,'Classif Gestoras'!$A$6:$A$462,0)),"Não classificada")</x:f>
        <x:v>Independente</x:v>
      </x:c>
      <x:c r="F331" s="166" t="str">
        <x:v>BRL TRUST DTVM</x:v>
      </x:c>
      <x:c r="G331" s="166" t="str">
        <x:v>BRL TRUST DISTRIBUIDORA DE TITULOS E VALORES MOBILIARIOS S.A.</x:v>
      </x:c>
      <x:c r="H331" s="166" t="str">
        <x:v>Outros</x:v>
      </x:c>
      <x:c r="I331" s="166" t="str">
        <x:v>Poder Público</x:v>
      </x:c>
      <x:c r="J331" s="166" t="str">
        <x:v>CI</x:v>
      </x:c>
      <x:c r="K331" s="172" t="n">
        <x:v>49</x:v>
      </x:c>
      <x:c r="L331" s="185" t="str">
        <x:v>Não classificado</x:v>
      </x:c>
    </x:row>
    <x:row r="332">
      <x:c r="A332" s="175" t="str">
        <x:v>51.957.370/0001-52</x:v>
      </x:c>
      <x:c r="B332" s="166" t="str">
        <x:v>FUNDO DE INVESTIMENTO EM DIREITOS CREDITÓRIOS ANGÁ FGTS I - RESPONSABILIDADE LIMITADA</x:v>
      </x:c>
      <x:c r="C332" s="188" t="n">
        <x:v>425209977.6</x:v>
      </x:c>
      <x:c r="D332" s="166" t="str">
        <x:v>ANGÁ ASSET MANAGEMENT</x:v>
      </x:c>
      <x:c r="E332" s="166" t="str">
        <x:f>IFERROR(INDEX('Classif Gestoras'!$H$6:$H$462,MATCH(D332,'Classif Gestoras'!$A$6:$A$462,0)),"Não classificada")</x:f>
        <x:v>Independente</x:v>
      </x:c>
      <x:c r="F332" s="166" t="str">
        <x:v>BANCO DAYCOVAL S/A</x:v>
      </x:c>
      <x:c r="G332" s="166" t="str">
        <x:v>BANCO DAYCOVAL S.A.</x:v>
      </x:c>
      <x:c r="H332" s="166" t="str">
        <x:v>Financeiro</x:v>
      </x:c>
      <x:c r="I332" s="166" t="str">
        <x:v>Crédito Pessoal</x:v>
      </x:c>
      <x:c r="J332" s="166" t="str">
        <x:v>CI</x:v>
      </x:c>
      <x:c r="K332" s="172" t="n">
        <x:v>20</x:v>
      </x:c>
      <x:c r="L332" s="185" t="str">
        <x:v>Não classificado</x:v>
      </x:c>
    </x:row>
    <x:row r="333">
      <x:c r="A333" s="175" t="str">
        <x:v>60.457.292/0001-18</x:v>
      </x:c>
      <x:c r="B333" s="166" t="str">
        <x:v>CNPJ 60457292000118</x:v>
      </x:c>
      <x:c r="C333" s="188" t="n">
        <x:v>423072957.77</x:v>
      </x:c>
      <x:c r="D333" s="166" t="str">
        <x:v>BTG Pactual Asset</x:v>
      </x:c>
      <x:c r="E333" s="166" t="str">
        <x:f>IFERROR(INDEX('Classif Gestoras'!$H$6:$H$462,MATCH(D333,'Classif Gestoras'!$A$6:$A$462,0)),"Não classificada")</x:f>
        <x:v>Ligada a banco</x:v>
      </x:c>
      <x:c r="F333" s="166" t="str">
        <x:v>BTG Pactual Servicos Financeiros S/A DTVM</x:v>
      </x:c>
      <x:c r="G333" s="166" t="str">
        <x:v>Não identificado</x:v>
      </x:c>
      <x:c r="H333" s="166" t="str">
        <x:v>Outros</x:v>
      </x:c>
      <x:c r="I333" s="166" t="str">
        <x:v>Multicarteira Outros</x:v>
      </x:c>
      <x:c r="J333" s="166" t="str">
        <x:v>CI</x:v>
      </x:c>
      <x:c r="K333" s="172"/>
      <x:c r="L333" s="185" t="str">
        <x:v>Não classificado</x:v>
      </x:c>
    </x:row>
    <x:row r="334">
      <x:c r="A334" s="175" t="str">
        <x:v>40.752.367/0001-86</x:v>
      </x:c>
      <x:c r="B334" s="166" t="str">
        <x:v>MT INSS RECEIVABLES II FUNDO DE INVESTIMENTO EM DIREITOS CREDITÓRIOS RESPONSABILIDADE LIMITADA</x:v>
      </x:c>
      <x:c r="C334" s="188" t="n">
        <x:v>421597559.06</x:v>
      </x:c>
      <x:c r="D334" s="166" t="str">
        <x:v>BTG Pactual Asset</x:v>
      </x:c>
      <x:c r="E334" s="166" t="str">
        <x:f>IFERROR(INDEX('Classif Gestoras'!$H$6:$H$462,MATCH(D334,'Classif Gestoras'!$A$6:$A$462,0)),"Não classificada")</x:f>
        <x:v>Ligada a banco</x:v>
      </x:c>
      <x:c r="F334" s="166" t="str">
        <x:v>BTG Pactual Servicos Financeiros S/A DTVM</x:v>
      </x:c>
      <x:c r="G334" s="166" t="str">
        <x:v>BANCO BTG PACTUAL S/A</x:v>
      </x:c>
      <x:c r="H334" s="166" t="str">
        <x:v>Financeiro</x:v>
      </x:c>
      <x:c r="I334" s="166" t="str">
        <x:v>Crédito Consignado</x:v>
      </x:c>
      <x:c r="J334" s="166" t="str">
        <x:v>CI</x:v>
      </x:c>
      <x:c r="K334" s="172" t="n">
        <x:v>1</x:v>
      </x:c>
      <x:c r="L334" s="185" t="str">
        <x:v>Não classificado</x:v>
      </x:c>
    </x:row>
    <x:row r="335">
      <x:c r="A335" s="175" t="str">
        <x:v>40.054.747/0001-47</x:v>
      </x:c>
      <x:c r="B335" s="166" t="str">
        <x:v>JCI III - FIDC RESPONSABILIDADE LIMITADA</x:v>
      </x:c>
      <x:c r="C335" s="188" t="n">
        <x:v>419924082.13</x:v>
      </x:c>
      <x:c r="D335" s="166" t="str">
        <x:v>JIVE INVESTMENTS</x:v>
      </x:c>
      <x:c r="E335" s="166" t="str">
        <x:f>IFERROR(INDEX('Classif Gestoras'!$H$6:$H$462,MATCH(D335,'Classif Gestoras'!$A$6:$A$462,0)),"Não classificada")</x:f>
        <x:v>Independente</x:v>
      </x:c>
      <x:c r="F335" s="166" t="str">
        <x:v>MAF Distribuidora de Títulos e Valores Mobiliários S.A.</x:v>
      </x:c>
      <x:c r="G335" s="166" t="str">
        <x:v>MAF DISTRIBUIDORA DE TITULOS E VALORES MOBILIARIOS S.A.</x:v>
      </x:c>
      <x:c r="H335" s="166" t="str">
        <x:v>Outros</x:v>
      </x:c>
      <x:c r="I335" s="166" t="str">
        <x:v>Recuperação</x:v>
      </x:c>
      <x:c r="J335" s="166" t="str">
        <x:v>CI</x:v>
      </x:c>
      <x:c r="K335" s="172" t="n">
        <x:v>1</x:v>
      </x:c>
      <x:c r="L335" s="185" t="str">
        <x:v>Não classificado</x:v>
      </x:c>
    </x:row>
    <x:row r="336">
      <x:c r="A336" s="175" t="str">
        <x:v>56.544.469/0001-46</x:v>
      </x:c>
      <x:c r="B336" s="166" t="str">
        <x:v>CREDIT RESTRUCTURING II FUNDO DE INVESTIMENTO EM DIREITOS CREDITÓRIOS RESPONSABILIDADE LIMITADA</x:v>
      </x:c>
      <x:c r="C336" s="188" t="n">
        <x:v>417704422.86</x:v>
      </x:c>
      <x:c r="D336" s="166" t="str">
        <x:v>XPI CCTVM S/A</x:v>
      </x:c>
      <x:c r="E336" s="166" t="str">
        <x:f>IFERROR(INDEX('Classif Gestoras'!$H$6:$H$462,MATCH(D336,'Classif Gestoras'!$A$6:$A$462,0)),"Não classificada")</x:f>
        <x:v>Ligada a banco</x:v>
      </x:c>
      <x:c r="F336" s="166" t="str">
        <x:v>XPI CCTVM S/A</x:v>
      </x:c>
      <x:c r="G336" s="166" t="str">
        <x:v>XP SERVIÇOS FINANCEIROS DTVM LTDA.</x:v>
      </x:c>
      <x:c r="H336" s="166" t="str">
        <x:v>Outros</x:v>
      </x:c>
      <x:c r="I336" s="166" t="str">
        <x:v>Multicarteira Outros</x:v>
      </x:c>
      <x:c r="J336" s="166" t="str">
        <x:v>CI</x:v>
      </x:c>
      <x:c r="K336" s="172" t="n">
        <x:v>1</x:v>
      </x:c>
      <x:c r="L336" s="185" t="str">
        <x:v>Não classificado</x:v>
      </x:c>
    </x:row>
    <x:row r="337">
      <x:c r="A337" s="175" t="str">
        <x:v>41.195.737/0001-94</x:v>
      </x:c>
      <x:c r="B337" s="166" t="str">
        <x:v>SANTA FÉ FUNDO DE INVESTIMENTO EM DIREITOS CREDITÓRIOS DE RESPONSABILIDADE LIMITADA</x:v>
      </x:c>
      <x:c r="C337" s="188" t="n">
        <x:v>416986368.1099999</x:v>
      </x:c>
      <x:c r="D337" s="166" t="str">
        <x:v>Galápagos</x:v>
      </x:c>
      <x:c r="E337" s="166" t="str">
        <x:f>IFERROR(INDEX('Classif Gestoras'!$H$6:$H$462,MATCH(D337,'Classif Gestoras'!$A$6:$A$462,0)),"Não classificada")</x:f>
        <x:v>Independente</x:v>
      </x:c>
      <x:c r="F337" s="166" t="str">
        <x:v>Singulare</x:v>
      </x:c>
      <x:c r="G337" s="166" t="str">
        <x:v>QI CORRETORA DE TÍTULOS E VALORES MOBILIÁRIOS S.A.</x:v>
      </x:c>
      <x:c r="H337" s="166" t="str">
        <x:v>Outros</x:v>
      </x:c>
      <x:c r="I337" s="166" t="str">
        <x:v>Poder Público</x:v>
      </x:c>
      <x:c r="J337" s="166" t="str">
        <x:v>CI</x:v>
      </x:c>
      <x:c r="K337" s="172" t="n">
        <x:v>37</x:v>
      </x:c>
      <x:c r="L337" s="185" t="str">
        <x:v>Não classificado</x:v>
      </x:c>
    </x:row>
    <x:row r="338">
      <x:c r="A338" s="175" t="str">
        <x:v>54.029.281/0001-34</x:v>
      </x:c>
      <x:c r="B338" s="166" t="str">
        <x:v>JEFER BANKING FUNDO DE INVESTIMENTO EM DIREITOS CREDITÓRIOS NÃO-PADRONIZADOS RESP LIMITADA</x:v>
      </x:c>
      <x:c r="C338" s="188" t="n">
        <x:v>416388368.01</x:v>
      </x:c>
      <x:c r="D338" s="166" t="str">
        <x:v>GESTORA DE RECURSOS ID - GRID LTDA.</x:v>
      </x:c>
      <x:c r="E338" s="166" t="str">
        <x:f>IFERROR(INDEX('Classif Gestoras'!$H$6:$H$462,MATCH(D338,'Classif Gestoras'!$A$6:$A$462,0)),"Não classificada")</x:f>
        <x:v>Independente</x:v>
      </x:c>
      <x:c r="F338" s="166" t="str">
        <x:v>ID Corretora de Títulos e Valores Mobiliários S.A.</x:v>
      </x:c>
      <x:c r="G338" s="166" t="str">
        <x:v>ID CORRETORA DE TITULOS E VALORES MOBILIARIOS S.A.</x:v>
      </x:c>
      <x:c r="H338" s="166" t="str">
        <x:v>Outros</x:v>
      </x:c>
      <x:c r="I338" s="166" t="str">
        <x:v>Multicarteira Outros</x:v>
      </x:c>
      <x:c r="J338" s="166" t="str">
        <x:v>CI</x:v>
      </x:c>
      <x:c r="K338" s="172" t="n">
        <x:v>3</x:v>
      </x:c>
      <x:c r="L338" s="185" t="str">
        <x:v>Não classificado</x:v>
      </x:c>
    </x:row>
    <x:row r="339">
      <x:c r="A339" s="175" t="str">
        <x:v>18.063.954/0001-09</x:v>
      </x:c>
      <x:c r="B339" s="166" t="str">
        <x:v>FIDC DONEGAL - RESPONSABILIDADE LIMITADA - SEGMENTO COMERCIAL</x:v>
      </x:c>
      <x:c r="C339" s="188" t="n">
        <x:v>413109387.62</x:v>
      </x:c>
      <x:c r="D339" s="166" t="str">
        <x:v>Oliveira Trust Servicer</x:v>
      </x:c>
      <x:c r="E339" s="166" t="str">
        <x:f>IFERROR(INDEX('Classif Gestoras'!$H$6:$H$462,MATCH(D339,'Classif Gestoras'!$A$6:$A$462,0)),"Não classificada")</x:f>
        <x:v>Independente</x:v>
      </x:c>
      <x:c r="F339" s="166" t="str">
        <x:v>Oliveira Trust DTVM</x:v>
      </x:c>
      <x:c r="G339" s="166" t="str">
        <x:v>OLIVEIRA TRUST DTVM S.A.</x:v>
      </x:c>
      <x:c r="H339" s="166" t="str">
        <x:v>Agro, Indústria e Comércio</x:v>
      </x:c>
      <x:c r="I339" s="166" t="str">
        <x:v>Recebíveis Comerciais</x:v>
      </x:c>
      <x:c r="J339" s="166" t="str">
        <x:v>CI</x:v>
      </x:c>
      <x:c r="K339" s="172" t="n">
        <x:v>4</x:v>
      </x:c>
      <x:c r="L339" s="185" t="str">
        <x:v>Não classificado</x:v>
      </x:c>
    </x:row>
    <x:row r="340">
      <x:c r="A340" s="175" t="str">
        <x:v>62.627.291/0001-08</x:v>
      </x:c>
      <x:c r="B340" s="166" t="str">
        <x:v>FACIO 4 FUNDO DE INVESTIMENTO EM DIREITOS CREDITÓRIOS FINANCEIROS DE RESPONSABILIDADE LIMITADA</x:v>
      </x:c>
      <x:c r="C340" s="188" t="n">
        <x:v>410773065.36</x:v>
      </x:c>
      <x:c r="D340" s="166" t="str">
        <x:v>CONTEA CAPITAL</x:v>
      </x:c>
      <x:c r="E340" s="166" t="str">
        <x:f>IFERROR(INDEX('Classif Gestoras'!$H$6:$H$462,MATCH(D340,'Classif Gestoras'!$A$6:$A$462,0)),"Não classificada")</x:f>
        <x:v>Independente</x:v>
      </x:c>
      <x:c r="F340" s="166" t="str">
        <x:v>Singulare</x:v>
      </x:c>
      <x:c r="G340" s="166" t="str">
        <x:v>QI CORRETORA DE TÍTULOS E VALORES MOBILIÁRIOS S.A.</x:v>
      </x:c>
      <x:c r="H340" s="166" t="str">
        <x:v>Financeiro</x:v>
      </x:c>
      <x:c r="I340" s="166" t="str">
        <x:v>Crédito Pessoal</x:v>
      </x:c>
      <x:c r="J340" s="166" t="str">
        <x:v>CI</x:v>
      </x:c>
      <x:c r="K340" s="172" t="n">
        <x:v>42</x:v>
      </x:c>
      <x:c r="L340" s="185" t="str">
        <x:v>Não classificado</x:v>
      </x:c>
    </x:row>
    <x:row r="341">
      <x:c r="A341" s="175" t="str">
        <x:v>17.012.019/0001-50</x:v>
      </x:c>
      <x:c r="B341" s="166" t="str">
        <x:v>FUNDO DE INVESTIMENTO EM DIREITOS CREDITÓRIOS NÃO PADRONIZADOS SIFRA PERFORMANCE</x:v>
      </x:c>
      <x:c r="C341" s="188" t="n">
        <x:v>408873847.05</x:v>
      </x:c>
      <x:c r="D341" s="166" t="str">
        <x:v>ORRAM GESTÃO DE RECURSOS LTDA.</x:v>
      </x:c>
      <x:c r="E341" s="166" t="str">
        <x:f>IFERROR(INDEX('Classif Gestoras'!$H$6:$H$462,MATCH(D341,'Classif Gestoras'!$A$6:$A$462,0)),"Não classificada")</x:f>
        <x:v>Independente</x:v>
      </x:c>
      <x:c r="F341" s="166" t="str">
        <x:v>FIDD DISTRIBUIDORA DE TITULOS E VALORES MOBILIARIOS LTD</x:v>
      </x:c>
      <x:c r="G341" s="166" t="str">
        <x:v>FIDD DISTRIBUIDORA DE TITULOS E VALORES MOBILIARIOS LTDA.</x:v>
      </x:c>
      <x:c r="H341" s="166" t="str">
        <x:v>Outros</x:v>
      </x:c>
      <x:c r="I341" s="166" t="str">
        <x:v>Multicarteira Outros</x:v>
      </x:c>
      <x:c r="J341" s="166" t="str">
        <x:v>CI</x:v>
      </x:c>
      <x:c r="K341" s="172" t="n">
        <x:v>35</x:v>
      </x:c>
      <x:c r="L341" s="185" t="str">
        <x:v>Não classificado</x:v>
      </x:c>
    </x:row>
    <x:row r="342">
      <x:c r="A342" s="175" t="str">
        <x:v>09.527.140/0001-97</x:v>
      </x:c>
      <x:c r="B342" s="166" t="str">
        <x:v>BSPAR FUNDO DE INVESTIMENTO EM DIREITOS CREDITÓRIOS NÃO-PADRONIZADOS MULTISSETORIAL</x:v>
      </x:c>
      <x:c r="C342" s="188" t="n">
        <x:v>407823856.64</x:v>
      </x:c>
      <x:c r="D342" s="166" t="str">
        <x:v>V8 Capital</x:v>
      </x:c>
      <x:c r="E342" s="166" t="str">
        <x:f>IFERROR(INDEX('Classif Gestoras'!$H$6:$H$462,MATCH(D342,'Classif Gestoras'!$A$6:$A$462,0)),"Não classificada")</x:f>
        <x:v>Independente</x:v>
      </x:c>
      <x:c r="F342" s="166" t="str">
        <x:v>S3 Caceis Brasil Distribuidora de Títulos e Valores Mob</x:v>
      </x:c>
      <x:c r="G342" s="166" t="str">
        <x:v>S3 CACEIS BRASIL DISTRIBUIDORA DE TITULOS E VALORES MOBILIARIOS S.A</x:v>
      </x:c>
      <x:c r="H342" s="166" t="str">
        <x:v>Fomento Mercantil</x:v>
      </x:c>
      <x:c r="I342" s="166" t="str">
        <x:v>Fomento Mercantil</x:v>
      </x:c>
      <x:c r="J342" s="166" t="str">
        <x:v>CI</x:v>
      </x:c>
      <x:c r="K342" s="172" t="n">
        <x:v>1</x:v>
      </x:c>
      <x:c r="L342" s="185" t="str">
        <x:v>Não classificado</x:v>
      </x:c>
    </x:row>
    <x:row r="343">
      <x:c r="A343" s="175" t="str">
        <x:v>62.627.051/0001-03</x:v>
      </x:c>
      <x:c r="B343" s="166" t="str">
        <x:v>SUMUP SMART II FIDC SEGMENTO MEIOS DE PAGAMENTO DE RESPONSABILIDADE LIMITADA</x:v>
      </x:c>
      <x:c r="C343" s="188" t="n">
        <x:v>407670161.72</x:v>
      </x:c>
      <x:c r="D343" s="166" t="str">
        <x:v>Banco Bradesco S/A</x:v>
      </x:c>
      <x:c r="E343" s="166" t="str">
        <x:f>IFERROR(INDEX('Classif Gestoras'!$H$6:$H$462,MATCH(D343,'Classif Gestoras'!$A$6:$A$462,0)),"Não classificada")</x:f>
        <x:v>Ligada a banco</x:v>
      </x:c>
      <x:c r="F343" s="166" t="str">
        <x:v>BEM - DIST. DE TÍTUL</x:v>
      </x:c>
      <x:c r="G343" s="166" t="str">
        <x:v>BANCO BRADESCO S.A.</x:v>
      </x:c>
      <x:c r="H343" s="166" t="str">
        <x:v>Outros</x:v>
      </x:c>
      <x:c r="I343" s="166" t="str">
        <x:v>Multicarteira Outros</x:v>
      </x:c>
      <x:c r="J343" s="166" t="str">
        <x:v>CI</x:v>
      </x:c>
      <x:c r="K343" s="172" t="n">
        <x:v>21</x:v>
      </x:c>
      <x:c r="L343" s="185" t="str">
        <x:v>Não classificado</x:v>
      </x:c>
    </x:row>
    <x:row r="344">
      <x:c r="A344" s="175" t="str">
        <x:v>27.954.644/0001-75</x:v>
      </x:c>
      <x:c r="B344" s="166" t="str">
        <x:v>QG DISTRESSED FUNDO DE INVESTIMENTO EM DIREITOS CREDITÓRIOS - RESPONSABILIDADE LIMITADA</x:v>
      </x:c>
      <x:c r="C344" s="188" t="n">
        <x:v>406726925.6099999</x:v>
      </x:c>
      <x:c r="D344" s="166" t="str">
        <x:v>Quadra Gestão de Recursos S.A.</x:v>
      </x:c>
      <x:c r="E344" s="166" t="str">
        <x:f>IFERROR(INDEX('Classif Gestoras'!$H$6:$H$462,MATCH(D344,'Classif Gestoras'!$A$6:$A$462,0)),"Não classificada")</x:f>
        <x:v>Independente</x:v>
      </x:c>
      <x:c r="F344" s="166" t="str">
        <x:v>BNY MELLON SERVICOS</x:v>
      </x:c>
      <x:c r="G344" s="166" t="str">
        <x:v>BNY MELLON BANCO S.A.</x:v>
      </x:c>
      <x:c r="H344" s="166" t="str">
        <x:v>Outros</x:v>
      </x:c>
      <x:c r="I344" s="166" t="str">
        <x:v>Multicarteira Outros</x:v>
      </x:c>
      <x:c r="J344" s="166" t="str">
        <x:v>CI</x:v>
      </x:c>
      <x:c r="K344" s="172" t="n">
        <x:v>1</x:v>
      </x:c>
      <x:c r="L344" s="185" t="str">
        <x:v>Não classificado</x:v>
      </x:c>
    </x:row>
    <x:row r="345">
      <x:c r="A345" s="175" t="str">
        <x:v>48.887.679/0001-09</x:v>
      </x:c>
      <x:c r="B345" s="166" t="str">
        <x:v>DJF IV FUNDO DE INVESTIMENTO EM DIREITOS CREDITÓRIOS NÃO-PADRONIZADOS - RESPONSABILIDADE LIMITADA</x:v>
      </x:c>
      <x:c r="C345" s="188" t="n">
        <x:v>404680666.7</x:v>
      </x:c>
      <x:c r="D345" s="166" t="str">
        <x:v>JIVE INVESTMENTS</x:v>
      </x:c>
      <x:c r="E345" s="166" t="str">
        <x:f>IFERROR(INDEX('Classif Gestoras'!$H$6:$H$462,MATCH(D345,'Classif Gestoras'!$A$6:$A$462,0)),"Não classificada")</x:f>
        <x:v>Independente</x:v>
      </x:c>
      <x:c r="F345" s="166" t="str">
        <x:v>MAF Distribuidora de Títulos e Valores Mobiliários S.A.</x:v>
      </x:c>
      <x:c r="G345" s="166" t="str">
        <x:v>MAF DISTRIBUIDORA DE TITULOS E VALORES MOBILIARIOS S.A.</x:v>
      </x:c>
      <x:c r="H345" s="166" t="str">
        <x:v>Outros</x:v>
      </x:c>
      <x:c r="I345" s="166" t="str">
        <x:v>Multicarteira Outros</x:v>
      </x:c>
      <x:c r="J345" s="166" t="str">
        <x:v>CI</x:v>
      </x:c>
      <x:c r="K345" s="172" t="n">
        <x:v>5</x:v>
      </x:c>
      <x:c r="L345" s="185" t="str">
        <x:v>Não classificado</x:v>
      </x:c>
    </x:row>
    <x:row r="346">
      <x:c r="A346" s="175" t="str">
        <x:v>14.605.855/0001-50</x:v>
      </x:c>
      <x:c r="B346" s="166" t="str">
        <x:v>DEL MONTE FUNDO DE INVESTIMENTO EM DIREITOS CREDITÓRIOS MULTISEGMENTOS</x:v>
      </x:c>
      <x:c r="C346" s="188" t="n">
        <x:v>404527276.39</x:v>
      </x:c>
      <x:c r="D346" s="166" t="str">
        <x:v>Solis</x:v>
      </x:c>
      <x:c r="E346" s="166" t="str">
        <x:f>IFERROR(INDEX('Classif Gestoras'!$H$6:$H$462,MATCH(D346,'Classif Gestoras'!$A$6:$A$462,0)),"Não classificada")</x:f>
        <x:v>Independente</x:v>
      </x:c>
      <x:c r="F346" s="166" t="str">
        <x:v>HEMERA DTVM</x:v>
      </x:c>
      <x:c r="G346" s="166" t="str">
        <x:v>HEMERA DISTRIBUIDORA DE TITULOS E VALORES MOBILIARIOS LTDA</x:v>
      </x:c>
      <x:c r="H346" s="166" t="str">
        <x:v>Fomento Mercantil</x:v>
      </x:c>
      <x:c r="I346" s="166" t="str">
        <x:v>Fomento Mercantil</x:v>
      </x:c>
      <x:c r="J346" s="166" t="str">
        <x:v>CI</x:v>
      </x:c>
      <x:c r="K346" s="172" t="n">
        <x:v>74</x:v>
      </x:c>
      <x:c r="L346" s="185" t="str">
        <x:v>Não classificado</x:v>
      </x:c>
    </x:row>
    <x:row r="347">
      <x:c r="A347" s="175" t="str">
        <x:v>60.964.573/0001-67</x:v>
      </x:c>
      <x:c r="B347" s="166" t="str">
        <x:v>RAINIER FUNDO DE INVESTIMENTO EM DIREITOS CREDITÓRIOS</x:v>
      </x:c>
      <x:c r="C347" s="188" t="n">
        <x:v>403641878.26</x:v>
      </x:c>
      <x:c r="D347" s="166" t="str">
        <x:v>PACTUAL CAPITAL PART</x:v>
      </x:c>
      <x:c r="E347" s="166" t="str">
        <x:f>IFERROR(INDEX('Classif Gestoras'!$H$6:$H$462,MATCH(D347,'Classif Gestoras'!$A$6:$A$462,0)),"Não classificada")</x:f>
        <x:v>Independente</x:v>
      </x:c>
      <x:c r="F347" s="166" t="str">
        <x:v>BTG Pactual Servicos Financeiros S/A DTVM</x:v>
      </x:c>
      <x:c r="G347" s="166" t="str">
        <x:v>BANCO BTG PACTUAL S/A</x:v>
      </x:c>
      <x:c r="H347" s="166" t="str">
        <x:v>Outros</x:v>
      </x:c>
      <x:c r="I347" s="166" t="str">
        <x:v>Multicarteira Outros</x:v>
      </x:c>
      <x:c r="J347" s="166" t="str">
        <x:v>CI</x:v>
      </x:c>
      <x:c r="K347" s="172" t="n">
        <x:v>2</x:v>
      </x:c>
      <x:c r="L347" s="185" t="str">
        <x:v>Não classificado</x:v>
      </x:c>
    </x:row>
    <x:row r="348">
      <x:c r="A348" s="175" t="str">
        <x:v>27.326.160/0001-81</x:v>
      </x:c>
      <x:c r="B348" s="166" t="str">
        <x:v>HB CAPITAL FUNDO DE INVESTIMENTO EM DIREITOS CREDITÓRIOS</x:v>
      </x:c>
      <x:c r="C348" s="188" t="n">
        <x:v>403607689.06</x:v>
      </x:c>
      <x:c r="D348" s="166" t="str">
        <x:v>OURO PRETO INVESTIMENTOS</x:v>
      </x:c>
      <x:c r="E348" s="166" t="str">
        <x:f>IFERROR(INDEX('Classif Gestoras'!$H$6:$H$462,MATCH(D348,'Classif Gestoras'!$A$6:$A$462,0)),"Não classificada")</x:f>
        <x:v>Independente</x:v>
      </x:c>
      <x:c r="F348" s="166" t="str">
        <x:v>Limine Trust Distribuidora de Titulos e Valores Mobiliá</x:v>
      </x:c>
      <x:c r="G348" s="166" t="str">
        <x:v>LIMINE TRUST DISTRIBUIDORA DE TITULOS E VALORES MOBILIARIOS LTDA.</x:v>
      </x:c>
      <x:c r="H348" s="166" t="str">
        <x:v>Outros</x:v>
      </x:c>
      <x:c r="I348" s="166" t="str">
        <x:v>Multicarteira Outros</x:v>
      </x:c>
      <x:c r="J348" s="166" t="str">
        <x:v>CI</x:v>
      </x:c>
      <x:c r="K348" s="172" t="n">
        <x:v>12</x:v>
      </x:c>
      <x:c r="L348" s="185" t="str">
        <x:v>Não classificado</x:v>
      </x:c>
    </x:row>
    <x:row r="349">
      <x:c r="A349" s="175" t="str">
        <x:v>26.506.898/0001-68</x:v>
      </x:c>
      <x:c r="B349" s="166" t="str">
        <x:v>TREVISO FUNDO DE INVESTIMENTO EM DIREITOS CREDITÓRIOS</x:v>
      </x:c>
      <x:c r="C349" s="188" t="n">
        <x:v>402987124.85</x:v>
      </x:c>
      <x:c r="D349" s="166" t="str">
        <x:v>TERCON ASSET MANAGEMENT</x:v>
      </x:c>
      <x:c r="E349" s="166" t="str">
        <x:f>IFERROR(INDEX('Classif Gestoras'!$H$6:$H$462,MATCH(D349,'Classif Gestoras'!$A$6:$A$462,0)),"Não classificada")</x:f>
        <x:v>Independente</x:v>
      </x:c>
      <x:c r="F349" s="166" t="str">
        <x:v>Singulare</x:v>
      </x:c>
      <x:c r="G349" s="166" t="str">
        <x:v>QI CORRETORA DE TÍTULOS E VALORES MOBILIÁRIOS S.A.</x:v>
      </x:c>
      <x:c r="H349" s="166" t="str">
        <x:v>Fomento Mercantil</x:v>
      </x:c>
      <x:c r="I349" s="166" t="str">
        <x:v>Fomento Mercantil</x:v>
      </x:c>
      <x:c r="J349" s="166" t="str">
        <x:v>CI</x:v>
      </x:c>
      <x:c r="K349" s="172" t="n">
        <x:v>5</x:v>
      </x:c>
      <x:c r="L349" s="185" t="str">
        <x:v>Não classificado</x:v>
      </x:c>
    </x:row>
    <x:row r="350">
      <x:c r="A350" s="175" t="str">
        <x:v>45.521.676/0001-69</x:v>
      </x:c>
      <x:c r="B350" s="166" t="str">
        <x:v>HAWKER FUNDO DE INVESTIMENTO EM DIREITOS CREDITÓRIOS NÃO-PADRONIZADOS</x:v>
      </x:c>
      <x:c r="C350" s="188" t="n">
        <x:v>402948619.41</x:v>
      </x:c>
      <x:c r="D350" s="166" t="str">
        <x:v>BPS CAPITAL</x:v>
      </x:c>
      <x:c r="E350" s="166" t="str">
        <x:f>IFERROR(INDEX('Classif Gestoras'!$H$6:$H$462,MATCH(D350,'Classif Gestoras'!$A$6:$A$462,0)),"Não classificada")</x:f>
        <x:v>Independente</x:v>
      </x:c>
      <x:c r="F350" s="166" t="str">
        <x:v>ID Corretora de Títulos e Valores Mobiliários S.A.</x:v>
      </x:c>
      <x:c r="G350" s="166" t="str">
        <x:v>ID CORRETORA DE TITULOS E VALORES MOBILIARIOS S.A.</x:v>
      </x:c>
      <x:c r="H350" s="166" t="str">
        <x:v>Outros</x:v>
      </x:c>
      <x:c r="I350" s="166" t="str">
        <x:v>Multicarteira Outros</x:v>
      </x:c>
      <x:c r="J350" s="166" t="str">
        <x:v>CI</x:v>
      </x:c>
      <x:c r="K350" s="172" t="n">
        <x:v>2</x:v>
      </x:c>
      <x:c r="L350" s="185" t="str">
        <x:v>Não classificado</x:v>
      </x:c>
    </x:row>
    <x:row r="351">
      <x:c r="A351" s="175" t="str">
        <x:v>64.082.064/0001-61</x:v>
      </x:c>
      <x:c r="B351" s="166" t="str">
        <x:v>G5 SAÚDE II FUNDO DE INVESTIMENTO EM DIREITOS CREDITÓRIOS</x:v>
      </x:c>
      <x:c r="C351" s="188" t="n">
        <x:v>401647267.19</x:v>
      </x:c>
      <x:c r="D351" s="166" t="str">
        <x:v>G5 Adm. de Recursos</x:v>
      </x:c>
      <x:c r="E351" s="166" t="str">
        <x:f>IFERROR(INDEX('Classif Gestoras'!$H$6:$H$462,MATCH(D351,'Classif Gestoras'!$A$6:$A$462,0)),"Não classificada")</x:f>
        <x:v>Independente</x:v>
      </x:c>
      <x:c r="F351" s="166" t="str">
        <x:v>Singulare</x:v>
      </x:c>
      <x:c r="G351" s="166" t="str">
        <x:v>QI CORRETORA DE TÍTULOS E VALORES MOBILIÁRIOS S.A.</x:v>
      </x:c>
      <x:c r="H351" s="166" t="str">
        <x:v>Outros</x:v>
      </x:c>
      <x:c r="I351" s="166" t="str">
        <x:v>Multicarteira Outros</x:v>
      </x:c>
      <x:c r="J351" s="166" t="str">
        <x:v>CI</x:v>
      </x:c>
      <x:c r="K351" s="172" t="n">
        <x:v>5</x:v>
      </x:c>
      <x:c r="L351" s="185" t="str">
        <x:v>Não classificado</x:v>
      </x:c>
    </x:row>
    <x:row r="352">
      <x:c r="A352" s="175" t="str">
        <x:v>53.095.241/0001-28</x:v>
      </x:c>
      <x:c r="B352" s="166" t="str">
        <x:v>FUNDO DE INVESTIMENTO EM DIREITOS CREDITÓRIOS CREDITAS AUTO X - RESPONSABILIDADE LIMITADA</x:v>
      </x:c>
      <x:c r="C352" s="188" t="n">
        <x:v>399398098.3</x:v>
      </x:c>
      <x:c r="D352" s="166" t="str">
        <x:v>ANGÁ ASSET MANAGEMENT</x:v>
      </x:c>
      <x:c r="E352" s="166" t="str">
        <x:f>IFERROR(INDEX('Classif Gestoras'!$H$6:$H$462,MATCH(D352,'Classif Gestoras'!$A$6:$A$462,0)),"Não classificada")</x:f>
        <x:v>Independente</x:v>
      </x:c>
      <x:c r="F352" s="166" t="str">
        <x:v>Limine Trust Distribuidora de Titulos e Valores Mobiliá</x:v>
      </x:c>
      <x:c r="G352" s="166" t="str">
        <x:v>LIMINE TRUST DISTRIBUIDORA DE TITULOS E VALORES MOBILIARIOS LTDA.</x:v>
      </x:c>
      <x:c r="H352" s="166" t="str">
        <x:v>Financeiro</x:v>
      </x:c>
      <x:c r="I352" s="166" t="str">
        <x:v>Crédito Pessoal</x:v>
      </x:c>
      <x:c r="J352" s="166" t="str">
        <x:v>CI</x:v>
      </x:c>
      <x:c r="K352" s="172" t="n">
        <x:v>137</x:v>
      </x:c>
      <x:c r="L352" s="185" t="str">
        <x:v>Não classificado</x:v>
      </x:c>
    </x:row>
    <x:row r="353">
      <x:c r="A353" s="175" t="str">
        <x:v>45.207.572/0001-84</x:v>
      </x:c>
      <x:c r="B353" s="166" t="str">
        <x:v>GOAT CRÉDITOS JUDICIAIS FUNDO DE INVESTIMENTO EM DIREITOS CREDITÓRIOS</x:v>
      </x:c>
      <x:c r="C353" s="188" t="n">
        <x:v>399018498.53</x:v>
      </x:c>
      <x:c r="D353" s="166" t="str">
        <x:v>LASS CAPITAL</x:v>
      </x:c>
      <x:c r="E353" s="166" t="str">
        <x:f>IFERROR(INDEX('Classif Gestoras'!$H$6:$H$462,MATCH(D353,'Classif Gestoras'!$A$6:$A$462,0)),"Não classificada")</x:f>
        <x:v>Independente</x:v>
      </x:c>
      <x:c r="F353" s="166" t="str">
        <x:v>BTG Pactual Servicos Financeiros S/A DTVM</x:v>
      </x:c>
      <x:c r="G353" s="166" t="str">
        <x:v>BANCO BTG PACTUAL S/A</x:v>
      </x:c>
      <x:c r="H353" s="166" t="str">
        <x:v>Outros</x:v>
      </x:c>
      <x:c r="I353" s="166" t="str">
        <x:v>Multicarteira Outros</x:v>
      </x:c>
      <x:c r="J353" s="166" t="str">
        <x:v>CI</x:v>
      </x:c>
      <x:c r="K353" s="172" t="n">
        <x:v>3</x:v>
      </x:c>
      <x:c r="L353" s="185" t="str">
        <x:v>Não classificado</x:v>
      </x:c>
    </x:row>
    <x:row r="354">
      <x:c r="A354" s="175" t="str">
        <x:v>54.639.537/0001-25</x:v>
      </x:c>
      <x:c r="B354" s="166" t="str">
        <x:v>GAVEA REAL FUNDO DE INVESTIMENTO EM DIREITOS CREDITÓRIOS</x:v>
      </x:c>
      <x:c r="C354" s="188" t="n">
        <x:v>398187551.47</x:v>
      </x:c>
      <x:c r="D354" s="166" t="str">
        <x:v>M8 Partners</x:v>
      </x:c>
      <x:c r="E354" s="166" t="str">
        <x:f>IFERROR(INDEX('Classif Gestoras'!$H$6:$H$462,MATCH(D354,'Classif Gestoras'!$A$6:$A$462,0)),"Não classificada")</x:f>
        <x:v>Independente</x:v>
      </x:c>
      <x:c r="F354" s="166" t="str">
        <x:v>Singulare</x:v>
      </x:c>
      <x:c r="G354" s="166" t="str">
        <x:v>QI CORRETORA DE TÍTULOS E VALORES MOBILIÁRIOS S.A.</x:v>
      </x:c>
      <x:c r="H354" s="166" t="str">
        <x:v>Fomento Mercantil</x:v>
      </x:c>
      <x:c r="I354" s="166" t="str">
        <x:v>Fomento Mercantil</x:v>
      </x:c>
      <x:c r="J354" s="166" t="str">
        <x:v>CI</x:v>
      </x:c>
      <x:c r="K354" s="172" t="n">
        <x:v>41</x:v>
      </x:c>
      <x:c r="L354" s="185" t="str">
        <x:v>Não classificado</x:v>
      </x:c>
    </x:row>
    <x:row r="355">
      <x:c r="A355" s="175" t="str">
        <x:v>58.212.304/0001-00</x:v>
      </x:c>
      <x:c r="B355" s="166" t="str">
        <x:v>BAROLO FUNDO DE INVESTIMENTO EM DIREITOS CREDITÓRIOS</x:v>
      </x:c>
      <x:c r="C355" s="188" t="n">
        <x:v>395979686.25</x:v>
      </x:c>
      <x:c r="D355" s="166" t="str">
        <x:v>Track Capital Gestão de Recursos Ltda.</x:v>
      </x:c>
      <x:c r="E355" s="166" t="str">
        <x:f>IFERROR(INDEX('Classif Gestoras'!$H$6:$H$462,MATCH(D355,'Classif Gestoras'!$A$6:$A$462,0)),"Não classificada")</x:f>
        <x:v>Independente</x:v>
      </x:c>
      <x:c r="F355" s="166" t="str">
        <x:v>BTG Pactual Servicos Financeiros S/A DTVM</x:v>
      </x:c>
      <x:c r="G355" s="166" t="str">
        <x:v>BANCO BTG PACTUAL S/A</x:v>
      </x:c>
      <x:c r="H355" s="166" t="str">
        <x:v>Outros</x:v>
      </x:c>
      <x:c r="I355" s="166" t="str">
        <x:v>Multicarteira Outros</x:v>
      </x:c>
      <x:c r="J355" s="166" t="str">
        <x:v>CI</x:v>
      </x:c>
      <x:c r="K355" s="172" t="n">
        <x:v>1</x:v>
      </x:c>
      <x:c r="L355" s="185" t="str">
        <x:v>Não classificado</x:v>
      </x:c>
    </x:row>
    <x:row r="356">
      <x:c r="A356" s="175" t="str">
        <x:v>59.629.874/0001-55</x:v>
      </x:c>
      <x:c r="B356" s="166" t="str">
        <x:v>PARANÁ I FIDC - FUNDO DE INVESTIMENTO EM DIREITOS CREDITÓRIOS - RESPONSABILIDADE LIMITADA</x:v>
      </x:c>
      <x:c r="C356" s="188" t="n">
        <x:v>395012029.65</x:v>
      </x:c>
      <x:c r="D356" s="166" t="str">
        <x:v>SUNO ASSET MANAGEMENT</x:v>
      </x:c>
      <x:c r="E356" s="166" t="str">
        <x:f>IFERROR(INDEX('Classif Gestoras'!$H$6:$H$462,MATCH(D356,'Classif Gestoras'!$A$6:$A$462,0)),"Não classificada")</x:f>
        <x:v>Independente</x:v>
      </x:c>
      <x:c r="F356" s="166" t="str">
        <x:v>Genial Investimentos Corretora de Valores Mobiliários S.A.</x:v>
      </x:c>
      <x:c r="G356" s="166" t="str">
        <x:v>BANCO GENIAL S.A.</x:v>
      </x:c>
      <x:c r="H356" s="166" t="str">
        <x:v>Agro, Indústria e Comércio</x:v>
      </x:c>
      <x:c r="I356" s="166" t="str">
        <x:v>Multicarteira Agro, Indústria e Comércio</x:v>
      </x:c>
      <x:c r="J356" s="166" t="str">
        <x:v>CI</x:v>
      </x:c>
      <x:c r="K356" s="172" t="n">
        <x:v>3</x:v>
      </x:c>
      <x:c r="L356" s="185" t="str">
        <x:v>Não classificado</x:v>
      </x:c>
    </x:row>
    <x:row r="357">
      <x:c r="A357" s="175" t="str">
        <x:v>60.115.335/0001-87</x:v>
      </x:c>
      <x:c r="B357" s="166" t="str">
        <x:v>CEPOR FUNDO DE INVESTIMENTO EM DIREITOS CREDITÓRIOS</x:v>
      </x:c>
      <x:c r="C357" s="188" t="n">
        <x:v>394997843.87</x:v>
      </x:c>
      <x:c r="D357" s="166" t="str">
        <x:v>Latache Capital</x:v>
      </x:c>
      <x:c r="E357" s="166" t="str">
        <x:f>IFERROR(INDEX('Classif Gestoras'!$H$6:$H$462,MATCH(D357,'Classif Gestoras'!$A$6:$A$462,0)),"Não classificada")</x:f>
        <x:v>Independente</x:v>
      </x:c>
      <x:c r="F357" s="166" t="str">
        <x:v>BRL TRUST DTVM</x:v>
      </x:c>
      <x:c r="G357" s="166" t="str">
        <x:v>BRL TRUST DISTRIBUIDORA DE TITULOS E VALORES MOBILIARIOS S.A.</x:v>
      </x:c>
      <x:c r="H357" s="166" t="str">
        <x:v>Outros</x:v>
      </x:c>
      <x:c r="I357" s="166" t="str">
        <x:v>Multicarteira Outros</x:v>
      </x:c>
      <x:c r="J357" s="166" t="str">
        <x:v>CI</x:v>
      </x:c>
      <x:c r="K357" s="172" t="n">
        <x:v>2</x:v>
      </x:c>
      <x:c r="L357" s="185" t="str">
        <x:v>Não classificado</x:v>
      </x:c>
    </x:row>
    <x:row r="358">
      <x:c r="A358" s="175" t="str">
        <x:v>12.167.116/0001-07</x:v>
      </x:c>
      <x:c r="B358" s="166" t="str">
        <x:v>VIA INVEST FUNDO DE INVESTIMENTO EM DIREITOS CREDITÓRIOS MULTISSETORIAL RESPONSABILIDADE LIMITADA</x:v>
      </x:c>
      <x:c r="C358" s="188" t="n">
        <x:v>394822451.55</x:v>
      </x:c>
      <x:c r="D358" s="166" t="str">
        <x:v>Via Invest Gestão de Recursos Ltda.</x:v>
      </x:c>
      <x:c r="E358" s="166" t="str">
        <x:f>IFERROR(INDEX('Classif Gestoras'!$H$6:$H$462,MATCH(D358,'Classif Gestoras'!$A$6:$A$462,0)),"Não classificada")</x:f>
        <x:v>Independente</x:v>
      </x:c>
      <x:c r="F358" s="166" t="str">
        <x:v>Singulare</x:v>
      </x:c>
      <x:c r="G358" s="166" t="str">
        <x:v>QI CORRETORA DE TÍTULOS E VALORES MOBILIÁRIOS S.A.</x:v>
      </x:c>
      <x:c r="H358" s="166" t="str">
        <x:v>Fomento Mercantil</x:v>
      </x:c>
      <x:c r="I358" s="166" t="str">
        <x:v>Fomento Mercantil</x:v>
      </x:c>
      <x:c r="J358" s="166" t="str">
        <x:v>CI</x:v>
      </x:c>
      <x:c r="K358" s="172" t="n">
        <x:v>10</x:v>
      </x:c>
      <x:c r="L358" s="185" t="str">
        <x:v>Não classificado</x:v>
      </x:c>
    </x:row>
    <x:row r="359">
      <x:c r="A359" s="175" t="str">
        <x:v>61.157.943/0001-17</x:v>
      </x:c>
      <x:c r="B359" s="166" t="str">
        <x:v>JEITTO FUNDO DE INVESTIMENTO EM DIREITOS CREDITÓRIOS GUARDIAN RESPONSABILIDADE LIMITADA</x:v>
      </x:c>
      <x:c r="C359" s="188" t="n">
        <x:v>391002185.35</x:v>
      </x:c>
      <x:c r="D359" s="166" t="str">
        <x:v>Guardian Crédito</x:v>
      </x:c>
      <x:c r="E359" s="166" t="str">
        <x:f>IFERROR(INDEX('Classif Gestoras'!$H$6:$H$462,MATCH(D359,'Classif Gestoras'!$A$6:$A$462,0)),"Não classificada")</x:f>
        <x:v>Independente</x:v>
      </x:c>
      <x:c r="F359" s="166" t="str">
        <x:v>Oliveira Trust DTVM</x:v>
      </x:c>
      <x:c r="G359" s="166" t="str">
        <x:v>OLIVEIRA TRUST DTVM S.A.</x:v>
      </x:c>
      <x:c r="H359" s="166" t="str">
        <x:v>Financeiro</x:v>
      </x:c>
      <x:c r="I359" s="166" t="str">
        <x:v>Crédito Pessoal</x:v>
      </x:c>
      <x:c r="J359" s="166" t="str">
        <x:v>CI</x:v>
      </x:c>
      <x:c r="K359" s="172" t="n">
        <x:v>8</x:v>
      </x:c>
      <x:c r="L359" s="185" t="str">
        <x:v>Não classificado</x:v>
      </x:c>
    </x:row>
    <x:row r="360">
      <x:c r="A360" s="175" t="str">
        <x:v>50.277.965/0001-02</x:v>
      </x:c>
      <x:c r="B360" s="166" t="str">
        <x:v>PÁTRIA CRÉDITO ESTRUTURADO MASTER FUNDO DE INVESTIMENTO EM DIREITOS CREDITÓRIOS</x:v>
      </x:c>
      <x:c r="C360" s="188" t="n">
        <x:v>388655882.7000001</x:v>
      </x:c>
      <x:c r="D360" s="166" t="str">
        <x:v>Pátria Investimentos Ltda.</x:v>
      </x:c>
      <x:c r="E360" s="166" t="str">
        <x:f>IFERROR(INDEX('Classif Gestoras'!$H$6:$H$462,MATCH(D360,'Classif Gestoras'!$A$6:$A$462,0)),"Não classificada")</x:f>
        <x:v>Independente</x:v>
      </x:c>
      <x:c r="F360" s="166" t="str">
        <x:v>XPI CCTVM S/A</x:v>
      </x:c>
      <x:c r="G360" s="166" t="str">
        <x:v>OLIVEIRA TRUST DTVM S.A.</x:v>
      </x:c>
      <x:c r="H360" s="166" t="str">
        <x:v>Outros</x:v>
      </x:c>
      <x:c r="I360" s="166" t="str">
        <x:v>Multicarteira Outros</x:v>
      </x:c>
      <x:c r="J360" s="166" t="str">
        <x:v>CI</x:v>
      </x:c>
      <x:c r="K360" s="172" t="n">
        <x:v>4</x:v>
      </x:c>
      <x:c r="L360" s="185" t="str">
        <x:v>Não classificado</x:v>
      </x:c>
    </x:row>
    <x:row r="361">
      <x:c r="A361" s="175" t="str">
        <x:v>26.749.095/0001-34</x:v>
      </x:c>
      <x:c r="B361" s="166" t="str">
        <x:v>PRAVALER CRÉDITO UNIVERSITÁRIO II FUNDO DE INVESTIMENTO EM DIREITOS CREDITÓRIOS - RESP LIMITADAL</x:v>
      </x:c>
      <x:c r="C361" s="188" t="n">
        <x:v>386087567.1</x:v>
      </x:c>
      <x:c r="D361" s="166" t="str">
        <x:v>PRAVALER S/A</x:v>
      </x:c>
      <x:c r="E361" s="166" t="str">
        <x:f>IFERROR(INDEX('Classif Gestoras'!$H$6:$H$462,MATCH(D361,'Classif Gestoras'!$A$6:$A$462,0)),"Não classificada")</x:f>
        <x:v>Independente</x:v>
      </x:c>
      <x:c r="F361" s="166" t="str">
        <x:v>Oliveira Trust DTVM</x:v>
      </x:c>
      <x:c r="G361" s="166" t="str">
        <x:v>OLIVEIRA TRUST DTVM S.A.</x:v>
      </x:c>
      <x:c r="H361" s="166" t="str">
        <x:v>Financeiro</x:v>
      </x:c>
      <x:c r="I361" s="166" t="str">
        <x:v>Crédito Pessoal</x:v>
      </x:c>
      <x:c r="J361" s="166" t="str">
        <x:v>CI</x:v>
      </x:c>
      <x:c r="K361" s="172" t="n">
        <x:v>38</x:v>
      </x:c>
      <x:c r="L361" s="185" t="str">
        <x:v>Não classificado</x:v>
      </x:c>
    </x:row>
    <x:row r="362">
      <x:c r="A362" s="175" t="str">
        <x:v>43.705.687/0001-73</x:v>
      </x:c>
      <x:c r="B362" s="166" t="str">
        <x:v>EDENEMERALD HEZ FIDC SEGMENTO MEIOS DE PAGAMENTO DE RESPONSABILIDADE LIMITADA</x:v>
      </x:c>
      <x:c r="C362" s="188" t="n">
        <x:v>385710795.8</x:v>
      </x:c>
      <x:c r="D362" s="166" t="str">
        <x:v>GENIAL GESTÃO LTDA.</x:v>
      </x:c>
      <x:c r="E362" s="166" t="str">
        <x:f>IFERROR(INDEX('Classif Gestoras'!$H$6:$H$462,MATCH(D362,'Classif Gestoras'!$A$6:$A$462,0)),"Não classificada")</x:f>
        <x:v>Ligada a banco</x:v>
      </x:c>
      <x:c r="F362" s="166" t="str">
        <x:v>Genial Investimentos Corretora de Valores Mobiliários S.A.</x:v>
      </x:c>
      <x:c r="G362" s="166" t="str">
        <x:v>BANCO GENIAL S.A.</x:v>
      </x:c>
      <x:c r="H362" s="166" t="str">
        <x:v>Agro, Indústria e Comércio</x:v>
      </x:c>
      <x:c r="I362" s="166" t="str">
        <x:v>Recebíveis Comerciais</x:v>
      </x:c>
      <x:c r="J362" s="166" t="str">
        <x:v>CI</x:v>
      </x:c>
      <x:c r="K362" s="172" t="n">
        <x:v>37</x:v>
      </x:c>
      <x:c r="L362" s="185" t="str">
        <x:v>Não classificado</x:v>
      </x:c>
    </x:row>
    <x:row r="363">
      <x:c r="A363" s="175" t="str">
        <x:v>58.476.520/0001-55</x:v>
      </x:c>
      <x:c r="B363" s="166" t="str">
        <x:v>BRADESCO FARMTECH PLUS - FUNDO DE INVESTIMENTO EM DIREITOS CREDITÓRIOS DO AGRONEGÓCIO - RESP LTDA</x:v>
      </x:c>
      <x:c r="C363" s="188" t="n">
        <x:v>385607915.24</x:v>
      </x:c>
      <x:c r="D363" s="166" t="str">
        <x:v>Banco Bradesco S/A</x:v>
      </x:c>
      <x:c r="E363" s="166" t="str">
        <x:f>IFERROR(INDEX('Classif Gestoras'!$H$6:$H$462,MATCH(D363,'Classif Gestoras'!$A$6:$A$462,0)),"Não classificada")</x:f>
        <x:v>Ligada a banco</x:v>
      </x:c>
      <x:c r="F363" s="166" t="str">
        <x:v>Oliveira Trust DTVM</x:v>
      </x:c>
      <x:c r="G363" s="166" t="str">
        <x:v>OLIVEIRA TRUST DTVM S.A.</x:v>
      </x:c>
      <x:c r="H363" s="166" t="str">
        <x:v>Agro, Indústria e Comércio</x:v>
      </x:c>
      <x:c r="I363" s="166" t="str">
        <x:v>Recebíveis Comerciais</x:v>
      </x:c>
      <x:c r="J363" s="166" t="str">
        <x:v>CI</x:v>
      </x:c>
      <x:c r="K363" s="172" t="n">
        <x:v>15</x:v>
      </x:c>
      <x:c r="L363" s="185" t="str">
        <x:v>Não classificado</x:v>
      </x:c>
    </x:row>
    <x:row r="364">
      <x:c r="A364" s="175" t="str">
        <x:v>48.971.114/0001-05</x:v>
      </x:c>
      <x:c r="B364" s="166" t="str">
        <x:v>BTS FUNDO DE INVESTIMENTO EM DIREITOS CREDITÓRIOS</x:v>
      </x:c>
      <x:c r="C364" s="188" t="n">
        <x:v>385507229.93</x:v>
      </x:c>
      <x:c r="D364" s="166" t="str">
        <x:v>Acura Gestora de Recursos LTDA.</x:v>
      </x:c>
      <x:c r="E364" s="166" t="str">
        <x:f>IFERROR(INDEX('Classif Gestoras'!$H$6:$H$462,MATCH(D364,'Classif Gestoras'!$A$6:$A$462,0)),"Não classificada")</x:f>
        <x:v>Independente</x:v>
      </x:c>
      <x:c r="F364" s="166" t="str">
        <x:v>SEFER DTVM</x:v>
      </x:c>
      <x:c r="G364" s="166" t="str">
        <x:v>SEFER INVESTIMENTOS DISTRIBUIDORA DE TÍTULOS E VALORES MOBILIÁRIOS LTDA.</x:v>
      </x:c>
      <x:c r="H364" s="166" t="str">
        <x:v>Financeiro</x:v>
      </x:c>
      <x:c r="I364" s="166" t="str">
        <x:v>Crédito Consignado</x:v>
      </x:c>
      <x:c r="J364" s="166" t="str">
        <x:v>CI</x:v>
      </x:c>
      <x:c r="K364" s="172" t="n">
        <x:v>1</x:v>
      </x:c>
      <x:c r="L364" s="185" t="str">
        <x:v>Não classificado</x:v>
      </x:c>
    </x:row>
    <x:row r="365">
      <x:c r="A365" s="175" t="str">
        <x:v>36.566.199/0001-67</x:v>
      </x:c>
      <x:c r="B365" s="166" t="str">
        <x:v>LAPERANTA FUNDO DE INVESTIMENTO EM DIREITOS CREDITÓRIOS</x:v>
      </x:c>
      <x:c r="C365" s="188" t="n">
        <x:v>383831847.9499999</x:v>
      </x:c>
      <x:c r="D365" s="166" t="str">
        <x:v>Redwood Asset Management</x:v>
      </x:c>
      <x:c r="E365" s="166" t="str">
        <x:f>IFERROR(INDEX('Classif Gestoras'!$H$6:$H$462,MATCH(D365,'Classif Gestoras'!$A$6:$A$462,0)),"Não classificada")</x:f>
        <x:v>Independente</x:v>
      </x:c>
      <x:c r="F365" s="166" t="str">
        <x:v>PLANNER CV</x:v>
      </x:c>
      <x:c r="G365" s="166" t="str">
        <x:v>PLANNER CORRETORA DE VALORES S.A.</x:v>
      </x:c>
      <x:c r="H365" s="166" t="str">
        <x:v>Outros</x:v>
      </x:c>
      <x:c r="I365" s="166" t="str">
        <x:v>Multicarteira Outros</x:v>
      </x:c>
      <x:c r="J365" s="166" t="str">
        <x:v>CI</x:v>
      </x:c>
      <x:c r="K365" s="172" t="n">
        <x:v>2</x:v>
      </x:c>
      <x:c r="L365" s="185" t="str">
        <x:v>Não classificado</x:v>
      </x:c>
    </x:row>
    <x:row r="366">
      <x:c r="A366" s="175" t="str">
        <x:v>43.866.348/0001-79</x:v>
      </x:c>
      <x:c r="B366" s="166" t="str">
        <x:v>FUNDO DE INVESTIMENTO EM DIREITOS CREDITÓRIOS OPEA AGRO SUMITOMO CHEMICAL RESP LIMITADA</x:v>
      </x:c>
      <x:c r="C366" s="188" t="n">
        <x:v>383512695.84</x:v>
      </x:c>
      <x:c r="D366" s="166" t="str">
        <x:v>OPEA GESTORA DE RECURSOS</x:v>
      </x:c>
      <x:c r="E366" s="166" t="str">
        <x:f>IFERROR(INDEX('Classif Gestoras'!$H$6:$H$462,MATCH(D366,'Classif Gestoras'!$A$6:$A$462,0)),"Não classificada")</x:f>
        <x:v>Independente</x:v>
      </x:c>
      <x:c r="F366" s="166" t="str">
        <x:v>VÓRTX DTVM</x:v>
      </x:c>
      <x:c r="G366" s="166" t="str">
        <x:v>VORTX DISTRIBUIDORA DE TITULOS E VALORES MOBILIARIOS LTDA.</x:v>
      </x:c>
      <x:c r="H366" s="166" t="str">
        <x:v>Agro, Indústria e Comércio</x:v>
      </x:c>
      <x:c r="I366" s="166" t="str">
        <x:v>Multicarteira Agro, Indústria e Comércio</x:v>
      </x:c>
      <x:c r="J366" s="166" t="str">
        <x:v>CI</x:v>
      </x:c>
      <x:c r="K366" s="172" t="n">
        <x:v>132</x:v>
      </x:c>
      <x:c r="L366" s="185" t="str">
        <x:v>Não classificado</x:v>
      </x:c>
    </x:row>
    <x:row r="367">
      <x:c r="A367" s="175" t="str">
        <x:v>42.336.323/0001-09</x:v>
      </x:c>
      <x:c r="B367" s="166" t="str">
        <x:v>CERES CONFINA FUNDO DE INVESTIMENTO EM DIREITOS CREDITÓRIOS - RESPONSABILIDADE LIMITADA</x:v>
      </x:c>
      <x:c r="C367" s="188" t="n">
        <x:v>383406330.8999999</x:v>
      </x:c>
      <x:c r="D367" s="166" t="str">
        <x:v>Artesanal Agro</x:v>
      </x:c>
      <x:c r="E367" s="166" t="str">
        <x:f>IFERROR(INDEX('Classif Gestoras'!$H$6:$H$462,MATCH(D367,'Classif Gestoras'!$A$6:$A$462,0)),"Não classificada")</x:f>
        <x:v>Independente</x:v>
      </x:c>
      <x:c r="F367" s="166" t="str">
        <x:v>Singulare</x:v>
      </x:c>
      <x:c r="G367" s="166" t="str">
        <x:v>QI CORRETORA DE TÍTULOS E VALORES MOBILIÁRIOS S.A.</x:v>
      </x:c>
      <x:c r="H367" s="166" t="str">
        <x:v>Agro, Indústria e Comércio</x:v>
      </x:c>
      <x:c r="I367" s="166" t="str">
        <x:v>Agronegócio</x:v>
      </x:c>
      <x:c r="J367" s="166" t="str">
        <x:v>CI</x:v>
      </x:c>
      <x:c r="K367" s="172" t="n">
        <x:v>59</x:v>
      </x:c>
      <x:c r="L367" s="185" t="str">
        <x:v>Não classificado</x:v>
      </x:c>
    </x:row>
    <x:row r="368">
      <x:c r="A368" s="175" t="str">
        <x:v>27.985.097/0001-95</x:v>
      </x:c>
      <x:c r="B368" s="166" t="str">
        <x:v>ALIANÇA FUNDO DE INVESTIMENTO EM DIREITOS CREDITÓRIOS CONSIGNADOS - RESPONSABILIDADE LIMITADA</x:v>
      </x:c>
      <x:c r="C368" s="188" t="n">
        <x:v>381832002.5499999</x:v>
      </x:c>
      <x:c r="D368" s="166" t="str">
        <x:v>SUESTE CAPITAL GESTÃO DE RECURSOS LTDA.</x:v>
      </x:c>
      <x:c r="E368" s="166" t="str">
        <x:f>IFERROR(INDEX('Classif Gestoras'!$H$6:$H$462,MATCH(D368,'Classif Gestoras'!$A$6:$A$462,0)),"Não classificada")</x:f>
        <x:v>Independente</x:v>
      </x:c>
      <x:c r="F368" s="166" t="str">
        <x:v>BANCO DAYCOVAL S/A</x:v>
      </x:c>
      <x:c r="G368" s="166" t="str">
        <x:v>BANCO DAYCOVAL S.A.</x:v>
      </x:c>
      <x:c r="H368" s="166" t="str">
        <x:v>Financeiro</x:v>
      </x:c>
      <x:c r="I368" s="166" t="str">
        <x:v>Crédito Consignado</x:v>
      </x:c>
      <x:c r="J368" s="166" t="str">
        <x:v>CI</x:v>
      </x:c>
      <x:c r="K368" s="172" t="n">
        <x:v>13</x:v>
      </x:c>
      <x:c r="L368" s="185" t="str">
        <x:v>Não classificado</x:v>
      </x:c>
    </x:row>
    <x:row r="369">
      <x:c r="A369" s="175" t="str">
        <x:v>27.771.731/0001-97</x:v>
      </x:c>
      <x:c r="B369" s="166" t="str">
        <x:v>FUNDO DE INVESTIMENTO EM DIREITOS CREDITORIOS XPCE V</x:v>
      </x:c>
      <x:c r="C369" s="188" t="n">
        <x:v>381719309.02</x:v>
      </x:c>
      <x:c r="D369" s="166" t="str">
        <x:v>XP Gestão de Recurso</x:v>
      </x:c>
      <x:c r="E369" s="166" t="str">
        <x:f>IFERROR(INDEX('Classif Gestoras'!$H$6:$H$462,MATCH(D369,'Classif Gestoras'!$A$6:$A$462,0)),"Não classificada")</x:f>
        <x:v>Ligada a banco</x:v>
      </x:c>
      <x:c r="F369" s="166" t="str">
        <x:v>Banco Genial S.A.</x:v>
      </x:c>
      <x:c r="G369" s="166" t="str">
        <x:v>BANCO GENIAL S.A.</x:v>
      </x:c>
      <x:c r="H369" s="166" t="str">
        <x:v>Financeiro</x:v>
      </x:c>
      <x:c r="I369" s="166" t="str">
        <x:v>Crédito Imobiliário</x:v>
      </x:c>
      <x:c r="J369" s="166" t="str">
        <x:v>CI</x:v>
      </x:c>
      <x:c r="K369" s="172" t="n">
        <x:v>3</x:v>
      </x:c>
      <x:c r="L369" s="185" t="str">
        <x:v>Não classificado</x:v>
      </x:c>
    </x:row>
    <x:row r="370">
      <x:c r="A370" s="175" t="str">
        <x:v>32.274.338/0001-28</x:v>
      </x:c>
      <x:c r="B370" s="166" t="str">
        <x:v>JAZZ FUNDO DE INVESTIMENTO EM DIREITOS CREDITÓRIOS</x:v>
      </x:c>
      <x:c r="C370" s="188" t="n">
        <x:v>381482676.3162</x:v>
      </x:c>
      <x:c r="D370" s="166" t="str">
        <x:v>JIVE INVESTMENTS</x:v>
      </x:c>
      <x:c r="E370" s="166" t="str">
        <x:f>IFERROR(INDEX('Classif Gestoras'!$H$6:$H$462,MATCH(D370,'Classif Gestoras'!$A$6:$A$462,0)),"Não classificada")</x:f>
        <x:v>Independente</x:v>
      </x:c>
      <x:c r="F370" s="166" t="str">
        <x:v>BTG Pactual Servicos Financeiros S/A DTVM</x:v>
      </x:c>
      <x:c r="G370" s="166" t="str">
        <x:v>BANCO BTG PACTUAL S/A</x:v>
      </x:c>
      <x:c r="H370" s="166" t="str">
        <x:v>Outros</x:v>
      </x:c>
      <x:c r="I370" s="166" t="str">
        <x:v>Poder Público</x:v>
      </x:c>
      <x:c r="J370" s="166" t="str">
        <x:v>CI</x:v>
      </x:c>
      <x:c r="K370" s="172" t="n">
        <x:v>1</x:v>
      </x:c>
      <x:c r="L370" s="185" t="str">
        <x:v>Não classificado</x:v>
      </x:c>
    </x:row>
    <x:row r="371">
      <x:c r="A371" s="175" t="str">
        <x:v>61.305.620/0001-23</x:v>
      </x:c>
      <x:c r="B371" s="166" t="str">
        <x:v>PLGN AUTO LOANS II FUNDO DE INVESTIMENTO EM DIREITOS CREDITÓRIOS</x:v>
      </x:c>
      <x:c r="C371" s="188" t="n">
        <x:v>381326085.36</x:v>
      </x:c>
      <x:c r="D371" s="166" t="str">
        <x:v>POLÍGONO CAPITAL LTDA.</x:v>
      </x:c>
      <x:c r="E371" s="166" t="str">
        <x:f>IFERROR(INDEX('Classif Gestoras'!$H$6:$H$462,MATCH(D371,'Classif Gestoras'!$A$6:$A$462,0)),"Não classificada")</x:f>
        <x:v>Independente</x:v>
      </x:c>
      <x:c r="F371" s="166" t="str">
        <x:v>FIDD DISTRIBUIDORA DE TITULOS E VALORES MOBILIARIOS LTD</x:v>
      </x:c>
      <x:c r="G371" s="166" t="str">
        <x:v>FIDD DISTRIBUIDORA DE TITULOS E VALORES MOBILIARIOS LTDA.</x:v>
      </x:c>
      <x:c r="H371" s="166" t="str">
        <x:v>Financeiro</x:v>
      </x:c>
      <x:c r="I371" s="166" t="str">
        <x:v>Financiamento de Veículos</x:v>
      </x:c>
      <x:c r="J371" s="166" t="str">
        <x:v>CI</x:v>
      </x:c>
      <x:c r="K371" s="172" t="n">
        <x:v>10</x:v>
      </x:c>
      <x:c r="L371" s="185" t="str">
        <x:v>Não classificado</x:v>
      </x:c>
    </x:row>
    <x:row r="372">
      <x:c r="A372" s="175" t="str">
        <x:v>37.294.908/0001-65</x:v>
      </x:c>
      <x:c r="B372" s="166" t="str">
        <x:v>FUNDO DE INVESTIMENTO EM DIREITOS CREDITORIOS CCS ASSET II - RESPONSABILIDADE LIMITADA</x:v>
      </x:c>
      <x:c r="C372" s="188" t="n">
        <x:v>379618080.47</x:v>
      </x:c>
      <x:c r="D372" s="166" t="str">
        <x:v>BRL TRUST DTVM</x:v>
      </x:c>
      <x:c r="E372" s="166" t="str">
        <x:f>IFERROR(INDEX('Classif Gestoras'!$H$6:$H$462,MATCH(D372,'Classif Gestoras'!$A$6:$A$462,0)),"Não classificada")</x:f>
        <x:v>Independente</x:v>
      </x:c>
      <x:c r="F372" s="166" t="str">
        <x:v>BRL TRUST DTVM</x:v>
      </x:c>
      <x:c r="G372" s="166" t="str">
        <x:v>BRL TRUST DISTRIBUIDORA DE TITULOS E VALORES MOBILIARIOS S.A.</x:v>
      </x:c>
      <x:c r="H372" s="166" t="str">
        <x:v>Outros</x:v>
      </x:c>
      <x:c r="I372" s="166" t="str">
        <x:v>Multicarteira Outros</x:v>
      </x:c>
      <x:c r="J372" s="166" t="str">
        <x:v>CI</x:v>
      </x:c>
      <x:c r="K372" s="172" t="n">
        <x:v>1</x:v>
      </x:c>
      <x:c r="L372" s="185" t="str">
        <x:v>Não classificado</x:v>
      </x:c>
    </x:row>
    <x:row r="373">
      <x:c r="A373" s="175" t="str">
        <x:v>55.595.058/0001-17</x:v>
      </x:c>
      <x:c r="B373" s="166" t="str">
        <x:v>ATIVOS ESPECIAIS IV A FUNDO DE INVESTIMENTO EM DIREITOS CREDITÓRIOS</x:v>
      </x:c>
      <x:c r="C373" s="188" t="n">
        <x:v>379058948.48</x:v>
      </x:c>
      <x:c r="D373" s="166" t="str">
        <x:v>Vinci SPS Gestão de Recursos Ltda.</x:v>
      </x:c>
      <x:c r="E373" s="166" t="str">
        <x:f>IFERROR(INDEX('Classif Gestoras'!$H$6:$H$462,MATCH(D373,'Classif Gestoras'!$A$6:$A$462,0)),"Não classificada")</x:f>
        <x:v>Independente</x:v>
      </x:c>
      <x:c r="F373" s="166" t="str">
        <x:v>BANCO DAYCOVAL S/A</x:v>
      </x:c>
      <x:c r="G373" s="166" t="str">
        <x:v>BANCO DAYCOVAL S.A.</x:v>
      </x:c>
      <x:c r="H373" s="166" t="str">
        <x:v>Outros</x:v>
      </x:c>
      <x:c r="I373" s="166" t="str">
        <x:v>Multicarteira Outros</x:v>
      </x:c>
      <x:c r="J373" s="166" t="str">
        <x:v>CI</x:v>
      </x:c>
      <x:c r="K373" s="172" t="n">
        <x:v>1</x:v>
      </x:c>
      <x:c r="L373" s="185" t="str">
        <x:v>Não classificado</x:v>
      </x:c>
    </x:row>
    <x:row r="374">
      <x:c r="A374" s="175" t="str">
        <x:v>54.229.771/0001-84</x:v>
      </x:c>
      <x:c r="B374" s="166" t="str">
        <x:v>CAMPANA FUNDO DE INVESTIMENTO EM DIREITOS CREDITÓRIOS - RESPONSABILIDADE LIMITADA</x:v>
      </x:c>
      <x:c r="C374" s="188" t="n">
        <x:v>376978496.44000006</x:v>
      </x:c>
      <x:c r="D374" s="166" t="str">
        <x:v>Solis</x:v>
      </x:c>
      <x:c r="E374" s="166" t="str">
        <x:f>IFERROR(INDEX('Classif Gestoras'!$H$6:$H$462,MATCH(D374,'Classif Gestoras'!$A$6:$A$462,0)),"Não classificada")</x:f>
        <x:v>Independente</x:v>
      </x:c>
      <x:c r="F374" s="166" t="str">
        <x:v>HEMERA DTVM</x:v>
      </x:c>
      <x:c r="G374" s="166" t="str">
        <x:v>HEMERA DISTRIBUIDORA DE TITULOS E VALORES MOBILIARIOS LTDA</x:v>
      </x:c>
      <x:c r="H374" s="166" t="str">
        <x:v>Financeiro</x:v>
      </x:c>
      <x:c r="I374" s="166" t="str">
        <x:v>Crédito Consignado</x:v>
      </x:c>
      <x:c r="J374" s="166" t="str">
        <x:v>CI</x:v>
      </x:c>
      <x:c r="K374" s="172" t="n">
        <x:v>27</x:v>
      </x:c>
      <x:c r="L374" s="185" t="str">
        <x:v>Não classificado</x:v>
      </x:c>
    </x:row>
    <x:row r="375">
      <x:c r="A375" s="175" t="str">
        <x:v>47.085.610/0001-07</x:v>
      </x:c>
      <x:c r="B375" s="166" t="str">
        <x:v>FUNDO DE GESTÃO DE ATIVOS DE CRÉDITO - FIDC RESPONSABILIDADE LIMITADA</x:v>
      </x:c>
      <x:c r="C375" s="188" t="n">
        <x:v>376407858.83</x:v>
      </x:c>
      <x:c r="D375" s="166" t="str">
        <x:v>JIVE INVESTMENTS</x:v>
      </x:c>
      <x:c r="E375" s="166" t="str">
        <x:f>IFERROR(INDEX('Classif Gestoras'!$H$6:$H$462,MATCH(D375,'Classif Gestoras'!$A$6:$A$462,0)),"Não classificada")</x:f>
        <x:v>Independente</x:v>
      </x:c>
      <x:c r="F375" s="166" t="str">
        <x:v>MAF Distribuidora de Títulos e Valores Mobiliários S.A.</x:v>
      </x:c>
      <x:c r="G375" s="166" t="str">
        <x:v>MAF DISTRIBUIDORA DE TITULOS E VALORES MOBILIARIOS S.A.</x:v>
      </x:c>
      <x:c r="H375" s="166" t="str">
        <x:v>Outros</x:v>
      </x:c>
      <x:c r="I375" s="166" t="str">
        <x:v>Multicarteira Outros</x:v>
      </x:c>
      <x:c r="J375" s="166" t="str">
        <x:v>CI</x:v>
      </x:c>
      <x:c r="K375" s="172" t="n">
        <x:v>3</x:v>
      </x:c>
      <x:c r="L375" s="185" t="str">
        <x:v>Não classificado</x:v>
      </x:c>
    </x:row>
    <x:row r="376">
      <x:c r="A376" s="175" t="str">
        <x:v>63.113.571/0001-52</x:v>
      </x:c>
      <x:c r="B376" s="166" t="str">
        <x:v>GALAPAGOS ARCESP FUNDO DE INVESTIMENTO EM DIREITOS CREDITÓRIOS - RESPONSABILIDADE LIMITADA</x:v>
      </x:c>
      <x:c r="C376" s="188" t="n">
        <x:v>374914631.32</x:v>
      </x:c>
      <x:c r="D376" s="166" t="str">
        <x:v>Galápagos</x:v>
      </x:c>
      <x:c r="E376" s="166" t="str">
        <x:f>IFERROR(INDEX('Classif Gestoras'!$H$6:$H$462,MATCH(D376,'Classif Gestoras'!$A$6:$A$462,0)),"Não classificada")</x:f>
        <x:v>Independente</x:v>
      </x:c>
      <x:c r="F376" s="166" t="str">
        <x:v>VÓRTX DTVM</x:v>
      </x:c>
      <x:c r="G376" s="166" t="str">
        <x:v>VORTX DISTRIBUIDORA DE TITULOS E VALORES MOBILIARIOS LTDA.</x:v>
      </x:c>
      <x:c r="H376" s="166" t="str">
        <x:v>Outros</x:v>
      </x:c>
      <x:c r="I376" s="166" t="str">
        <x:v>Multicarteira Outros</x:v>
      </x:c>
      <x:c r="J376" s="166" t="str">
        <x:v>CI</x:v>
      </x:c>
      <x:c r="K376" s="172" t="n">
        <x:v>34</x:v>
      </x:c>
      <x:c r="L376" s="185" t="str">
        <x:v>Não classificado</x:v>
      </x:c>
    </x:row>
    <x:row r="377">
      <x:c r="A377" s="175" t="str">
        <x:v>32.510.577/0001-30</x:v>
      </x:c>
      <x:c r="B377" s="166" t="str">
        <x:v>MULTIPLICA LONG TERM LONGO PRAZO FUNDO DE INVESTIMENTO EM DIREITOS CREDITÓRIOS</x:v>
      </x:c>
      <x:c r="C377" s="188" t="n">
        <x:v>373739367.85</x:v>
      </x:c>
      <x:c r="D377" s="166" t="str">
        <x:v>Multiplica Capital</x:v>
      </x:c>
      <x:c r="E377" s="166" t="str">
        <x:f>IFERROR(INDEX('Classif Gestoras'!$H$6:$H$462,MATCH(D377,'Classif Gestoras'!$A$6:$A$462,0)),"Não classificada")</x:f>
        <x:v>Independente</x:v>
      </x:c>
      <x:c r="F377" s="166" t="str">
        <x:v>Singulare</x:v>
      </x:c>
      <x:c r="G377" s="166" t="str">
        <x:v>QI CORRETORA DE TÍTULOS E VALORES MOBILIÁRIOS S.A.</x:v>
      </x:c>
      <x:c r="H377" s="166" t="str">
        <x:v>Fomento Mercantil</x:v>
      </x:c>
      <x:c r="I377" s="166" t="str">
        <x:v>Fomento Mercantil</x:v>
      </x:c>
      <x:c r="J377" s="166" t="str">
        <x:v>CI</x:v>
      </x:c>
      <x:c r="K377" s="172" t="n">
        <x:v>41</x:v>
      </x:c>
      <x:c r="L377" s="185" t="str">
        <x:v>Não classificado</x:v>
      </x:c>
    </x:row>
    <x:row r="378">
      <x:c r="A378" s="175" t="str">
        <x:v>18.676.119/0001-44</x:v>
      </x:c>
      <x:c r="B378" s="166" t="str">
        <x:v>CROWN OCEAN CAPITAL CREDITS I FUNDO DE INVESTIMENTO EM DIREITOS CREDITÓRIOS</x:v>
      </x:c>
      <x:c r="C378" s="188" t="n">
        <x:v>372748610.13</x:v>
      </x:c>
      <x:c r="D378" s="166" t="str">
        <x:v>Vista Real Estate</x:v>
      </x:c>
      <x:c r="E378" s="166" t="str">
        <x:f>IFERROR(INDEX('Classif Gestoras'!$H$6:$H$462,MATCH(D378,'Classif Gestoras'!$A$6:$A$462,0)),"Não classificada")</x:f>
        <x:v>Independente</x:v>
      </x:c>
      <x:c r="F378" s="166" t="str">
        <x:v>VÓRTX DTVM</x:v>
      </x:c>
      <x:c r="G378" s="166" t="str">
        <x:v>VORTX DISTRIBUIDORA DE TITULOS E VALORES MOBILIARIOS LTDA.</x:v>
      </x:c>
      <x:c r="H378" s="166" t="str">
        <x:v>Outros</x:v>
      </x:c>
      <x:c r="I378" s="166" t="str">
        <x:v>Poder Público</x:v>
      </x:c>
      <x:c r="J378" s="166" t="str">
        <x:v>CI</x:v>
      </x:c>
      <x:c r="K378" s="172" t="n">
        <x:v>7</x:v>
      </x:c>
      <x:c r="L378" s="185" t="str">
        <x:v>Não classificado</x:v>
      </x:c>
    </x:row>
    <x:row r="379">
      <x:c r="A379" s="175" t="str">
        <x:v>50.312.715/0001-58</x:v>
      </x:c>
      <x:c r="B379" s="166" t="str">
        <x:v>PFC FUNDO DE INVESTIMENTO EM DIREITOS CREDITÓRIOS NÃO-PADRONIZADOS RESPONSABILIDADE LIMITADA</x:v>
      </x:c>
      <x:c r="C379" s="188" t="n">
        <x:v>372731612.81</x:v>
      </x:c>
      <x:c r="D379" s="166" t="str">
        <x:v>GESTORA DE RECURSOS ID - GRID LTDA.</x:v>
      </x:c>
      <x:c r="E379" s="166" t="str">
        <x:f>IFERROR(INDEX('Classif Gestoras'!$H$6:$H$462,MATCH(D379,'Classif Gestoras'!$A$6:$A$462,0)),"Não classificada")</x:f>
        <x:v>Independente</x:v>
      </x:c>
      <x:c r="F379" s="166" t="str">
        <x:v>ID Corretora de Títulos e Valores Mobiliários S.A.</x:v>
      </x:c>
      <x:c r="G379" s="166" t="str">
        <x:v>ID CORRETORA DE TITULOS E VALORES MOBILIARIOS S.A.</x:v>
      </x:c>
      <x:c r="H379" s="166" t="str">
        <x:v>Outros</x:v>
      </x:c>
      <x:c r="I379" s="166" t="str">
        <x:v>Multicarteira Outros</x:v>
      </x:c>
      <x:c r="J379" s="166" t="str">
        <x:v>CI</x:v>
      </x:c>
      <x:c r="K379" s="172" t="n">
        <x:v>2</x:v>
      </x:c>
      <x:c r="L379" s="185" t="str">
        <x:v>Não classificado</x:v>
      </x:c>
    </x:row>
    <x:row r="380">
      <x:c r="A380" s="175" t="str">
        <x:v>60.742.201/0001-96</x:v>
      </x:c>
      <x:c r="B380" s="166" t="str">
        <x:v>FGCB III FUNDO DE INVESTIMENTO EM DIREITOS CREDITÓRIOS SEGMENTO MULTICARTEIRA - RESP LIMITADA</x:v>
      </x:c>
      <x:c r="C380" s="188" t="n">
        <x:v>372345045.4899999</x:v>
      </x:c>
      <x:c r="D380" s="166" t="str">
        <x:v>BRL TRUST DTVM</x:v>
      </x:c>
      <x:c r="E380" s="166" t="str">
        <x:f>IFERROR(INDEX('Classif Gestoras'!$H$6:$H$462,MATCH(D380,'Classif Gestoras'!$A$6:$A$462,0)),"Não classificada")</x:f>
        <x:v>Independente</x:v>
      </x:c>
      <x:c r="F380" s="166" t="str">
        <x:v>BRL TRUST DTVM</x:v>
      </x:c>
      <x:c r="G380" s="166" t="str">
        <x:v>BRL TRUST DISTRIBUIDORA DE TITULOS E VALORES MOBILIARIOS S.A.</x:v>
      </x:c>
      <x:c r="H380" s="166" t="str">
        <x:v>Financeiro</x:v>
      </x:c>
      <x:c r="I380" s="166" t="str">
        <x:v>Multicarteira Financeiro</x:v>
      </x:c>
      <x:c r="J380" s="166" t="str">
        <x:v>CI</x:v>
      </x:c>
      <x:c r="K380" s="172" t="n">
        <x:v>13</x:v>
      </x:c>
      <x:c r="L380" s="185" t="str">
        <x:v>Não classificado</x:v>
      </x:c>
    </x:row>
    <x:row r="381">
      <x:c r="A381" s="175" t="str">
        <x:v>37.457.367/0001-49</x:v>
      </x:c>
      <x:c r="B381" s="166" t="str">
        <x:v>POSITIVO II FUNDO DE INVESTIMENTO EM DIREITOS CREDITÓRIOS RESPONSABILIDADE LIMITADA</x:v>
      </x:c>
      <x:c r="C381" s="188" t="n">
        <x:v>372139112.47</x:v>
      </x:c>
      <x:c r="D381" s="166" t="str">
        <x:v>ASAROCK ASSET MANAGEMENT</x:v>
      </x:c>
      <x:c r="E381" s="166" t="str">
        <x:f>IFERROR(INDEX('Classif Gestoras'!$H$6:$H$462,MATCH(D381,'Classif Gestoras'!$A$6:$A$462,0)),"Não classificada")</x:f>
        <x:v>Independente</x:v>
      </x:c>
      <x:c r="F381" s="166" t="str">
        <x:v>ID Corretora de Títulos e Valores Mobiliários S.A.</x:v>
      </x:c>
      <x:c r="G381" s="166" t="str">
        <x:v>ID CORRETORA DE TITULOS E VALORES MOBILIARIOS S.A.</x:v>
      </x:c>
      <x:c r="H381" s="166" t="str">
        <x:v>Outros</x:v>
      </x:c>
      <x:c r="I381" s="166" t="str">
        <x:v>Multicarteira Outros</x:v>
      </x:c>
      <x:c r="J381" s="166" t="str">
        <x:v>CI</x:v>
      </x:c>
      <x:c r="K381" s="172" t="n">
        <x:v>1</x:v>
      </x:c>
      <x:c r="L381" s="185" t="str">
        <x:v>Não classificado</x:v>
      </x:c>
    </x:row>
    <x:row r="382">
      <x:c r="A382" s="175" t="str">
        <x:v>44.177.436/0001-26</x:v>
      </x:c>
      <x:c r="B382" s="166" t="str">
        <x:v>GALAXY FUNDO DE INVESTIMENTO EM DIREITOS CREDITÓRIOS RESPONSABILIDADE LIMITADA</x:v>
      </x:c>
      <x:c r="C382" s="188" t="n">
        <x:v>371783599.43</x:v>
      </x:c>
      <x:c r="D382" s="166" t="str">
        <x:v>BDR Asset</x:v>
      </x:c>
      <x:c r="E382" s="166" t="str">
        <x:f>IFERROR(INDEX('Classif Gestoras'!$H$6:$H$462,MATCH(D382,'Classif Gestoras'!$A$6:$A$462,0)),"Não classificada")</x:f>
        <x:v>Independente</x:v>
      </x:c>
      <x:c r="F382" s="166" t="str">
        <x:v>ID Corretora de Títulos e Valores Mobiliários S.A.</x:v>
      </x:c>
      <x:c r="G382" s="166" t="str">
        <x:v>ID CORRETORA DE TITULOS E VALORES MOBILIARIOS S.A.</x:v>
      </x:c>
      <x:c r="H382" s="166" t="str">
        <x:v>Outros</x:v>
      </x:c>
      <x:c r="I382" s="166" t="str">
        <x:v>Multicarteira Outros</x:v>
      </x:c>
      <x:c r="J382" s="166" t="str">
        <x:v>CI</x:v>
      </x:c>
      <x:c r="K382" s="172" t="n">
        <x:v>1</x:v>
      </x:c>
      <x:c r="L382" s="185" t="str">
        <x:v>Não classificado</x:v>
      </x:c>
    </x:row>
    <x:row r="383">
      <x:c r="A383" s="175" t="str">
        <x:v>14.115.121/0001-93</x:v>
      </x:c>
      <x:c r="B383" s="166" t="str">
        <x:v>VALORA TITAN FUNDO DE INVESTIMENTO EM DIREITOS CREDITÓRIOS RESPONSABILIDADE LIMITADA</x:v>
      </x:c>
      <x:c r="C383" s="188" t="n">
        <x:v>368372445.5813</x:v>
      </x:c>
      <x:c r="D383" s="166" t="str">
        <x:v>VALORA RENDA FIXA LTDA.</x:v>
      </x:c>
      <x:c r="E383" s="166" t="str">
        <x:f>IFERROR(INDEX('Classif Gestoras'!$H$6:$H$462,MATCH(D383,'Classif Gestoras'!$A$6:$A$462,0)),"Não classificada")</x:f>
        <x:v>Independente</x:v>
      </x:c>
      <x:c r="F383" s="166" t="str">
        <x:v>BTG Pactual Servicos Financeiros S/A DTVM</x:v>
      </x:c>
      <x:c r="G383" s="166" t="str">
        <x:v>BANCO BTG PACTUAL S/A</x:v>
      </x:c>
      <x:c r="H383" s="166" t="str">
        <x:v>Outros</x:v>
      </x:c>
      <x:c r="I383" s="166" t="str">
        <x:v>Multicarteira Outros</x:v>
      </x:c>
      <x:c r="J383" s="166" t="str">
        <x:v>CI</x:v>
      </x:c>
      <x:c r="K383" s="172" t="n">
        <x:v>203</x:v>
      </x:c>
      <x:c r="L383" s="185" t="str">
        <x:v>Não classificado</x:v>
      </x:c>
    </x:row>
    <x:row r="384">
      <x:c r="A384" s="175" t="str">
        <x:v>59.400.337/0001-39</x:v>
      </x:c>
      <x:c r="B384" s="166" t="str">
        <x:v>LUX FUNDO DE INVESTIMENTO EM DIREITOS CREDITÓRIOS NÃO PADRONIZADOS FEEDER RESP LIMITADA</x:v>
      </x:c>
      <x:c r="C384" s="188" t="n">
        <x:v>368153523.39</x:v>
      </x:c>
      <x:c r="D384" s="166" t="str">
        <x:v>GESTORA DE RECURSOS ID - GRID LTDA.</x:v>
      </x:c>
      <x:c r="E384" s="166" t="str">
        <x:f>IFERROR(INDEX('Classif Gestoras'!$H$6:$H$462,MATCH(D384,'Classif Gestoras'!$A$6:$A$462,0)),"Não classificada")</x:f>
        <x:v>Independente</x:v>
      </x:c>
      <x:c r="F384" s="166" t="str">
        <x:v>ID Corretora de Títulos e Valores Mobiliários S.A.</x:v>
      </x:c>
      <x:c r="G384" s="166" t="str">
        <x:v>ID CORRETORA DE TITULOS E VALORES MOBILIARIOS S.A.</x:v>
      </x:c>
      <x:c r="H384" s="166" t="str">
        <x:v>Outros</x:v>
      </x:c>
      <x:c r="I384" s="166" t="str">
        <x:v>Multicarteira Outros</x:v>
      </x:c>
      <x:c r="J384" s="166" t="str">
        <x:v>CI</x:v>
      </x:c>
      <x:c r="K384" s="172" t="n">
        <x:v>1</x:v>
      </x:c>
      <x:c r="L384" s="185" t="str">
        <x:v>Não classificado</x:v>
      </x:c>
    </x:row>
    <x:row r="385">
      <x:c r="A385" s="175" t="str">
        <x:v>29.152.636/0001-30</x:v>
      </x:c>
      <x:c r="B385" s="166" t="str">
        <x:v>ACREDITAR FUNDO DE INVESTIMENTO EM DIREITOS CREDITORIOS - RESPONSABILIDADE LIMITADA</x:v>
      </x:c>
      <x:c r="C385" s="188" t="n">
        <x:v>367290349.69</x:v>
      </x:c>
      <x:c r="D385" s="166" t="str">
        <x:v>TERCON ASSET MANAGEMENT</x:v>
      </x:c>
      <x:c r="E385" s="166" t="str">
        <x:f>IFERROR(INDEX('Classif Gestoras'!$H$6:$H$462,MATCH(D385,'Classif Gestoras'!$A$6:$A$462,0)),"Não classificada")</x:f>
        <x:v>Independente</x:v>
      </x:c>
      <x:c r="F385" s="166" t="str">
        <x:v>Singulare</x:v>
      </x:c>
      <x:c r="G385" s="166" t="str">
        <x:v>QI CORRETORA DE TÍTULOS E VALORES MOBILIÁRIOS S.A.</x:v>
      </x:c>
      <x:c r="H385" s="166" t="str">
        <x:v>Fomento Mercantil</x:v>
      </x:c>
      <x:c r="I385" s="166" t="str">
        <x:v>Fomento Mercantil</x:v>
      </x:c>
      <x:c r="J385" s="166" t="str">
        <x:v>CI</x:v>
      </x:c>
      <x:c r="K385" s="172" t="n">
        <x:v>100</x:v>
      </x:c>
      <x:c r="L385" s="185" t="str">
        <x:v>Não classificado</x:v>
      </x:c>
    </x:row>
    <x:row r="386">
      <x:c r="A386" s="175" t="str">
        <x:v>41.755.826/0001-48</x:v>
      </x:c>
      <x:c r="B386" s="166" t="str">
        <x:v>RIO DOCE FUNDO DE INVESTIMENTO EM DIREITOS CREDITÓRIOS</x:v>
      </x:c>
      <x:c r="C386" s="188" t="n">
        <x:v>366354049.33</x:v>
      </x:c>
      <x:c r="D386" s="166" t="str">
        <x:v>GESTORA DE RECURSOS ID - GRID LTDA.</x:v>
      </x:c>
      <x:c r="E386" s="166" t="str">
        <x:f>IFERROR(INDEX('Classif Gestoras'!$H$6:$H$462,MATCH(D386,'Classif Gestoras'!$A$6:$A$462,0)),"Não classificada")</x:f>
        <x:v>Independente</x:v>
      </x:c>
      <x:c r="F386" s="166" t="str">
        <x:v>PLANNER CV</x:v>
      </x:c>
      <x:c r="G386" s="166" t="str">
        <x:v>PLANNER CORRETORA DE VALORES S.A.</x:v>
      </x:c>
      <x:c r="H386" s="166" t="str">
        <x:v>Outros</x:v>
      </x:c>
      <x:c r="I386" s="166" t="str">
        <x:v>Multicarteira Outros</x:v>
      </x:c>
      <x:c r="J386" s="166" t="str">
        <x:v>CI</x:v>
      </x:c>
      <x:c r="K386" s="172" t="n">
        <x:v>3</x:v>
      </x:c>
      <x:c r="L386" s="185" t="str">
        <x:v>Não classificado</x:v>
      </x:c>
    </x:row>
    <x:row r="387">
      <x:c r="A387" s="175" t="str">
        <x:v>64.118.207/0001-48</x:v>
      </x:c>
      <x:c r="B387" s="166" t="str">
        <x:v>JIVEMAUÁ BOSSANOVA CRÉDITO SECURITIZADO II FUNDO DE INVESTIMENTO EM DIREITOS CREDITÓRIOS</x:v>
      </x:c>
      <x:c r="C387" s="188" t="n">
        <x:v>365266713.7600001</x:v>
      </x:c>
      <x:c r="D387" s="166" t="str">
        <x:v>JIVE HIGH YIELD GESTÃO DE RECURSOS LTDA</x:v>
      </x:c>
      <x:c r="E387" s="166" t="str">
        <x:f>IFERROR(INDEX('Classif Gestoras'!$H$6:$H$462,MATCH(D387,'Classif Gestoras'!$A$6:$A$462,0)),"Não classificada")</x:f>
        <x:v>Independente</x:v>
      </x:c>
      <x:c r="F387" s="166" t="str">
        <x:v>XPI CCTVM S/A</x:v>
      </x:c>
      <x:c r="G387" s="166" t="str">
        <x:v>OLIVEIRA TRUST DTVM S.A.</x:v>
      </x:c>
      <x:c r="H387" s="166" t="str">
        <x:v>Outros</x:v>
      </x:c>
      <x:c r="I387" s="166" t="str">
        <x:v>Multicarteira Outros</x:v>
      </x:c>
      <x:c r="J387" s="166" t="str">
        <x:v>CI</x:v>
      </x:c>
      <x:c r="K387" s="172" t="n">
        <x:v>2</x:v>
      </x:c>
      <x:c r="L387" s="185" t="str">
        <x:v>Não classificado</x:v>
      </x:c>
    </x:row>
    <x:row r="388">
      <x:c r="A388" s="175" t="str">
        <x:v>59.942.929/0001-82</x:v>
      </x:c>
      <x:c r="B388" s="166" t="str">
        <x:v>COTIA FUNDO DE INVESTIMENTO EM DIREITOS CREDITÓRIOS</x:v>
      </x:c>
      <x:c r="C388" s="188" t="n">
        <x:v>364088225.34</x:v>
      </x:c>
      <x:c r="D388" s="166" t="str">
        <x:v>Banco Bradesco S/A</x:v>
      </x:c>
      <x:c r="E388" s="166" t="str">
        <x:f>IFERROR(INDEX('Classif Gestoras'!$H$6:$H$462,MATCH(D388,'Classif Gestoras'!$A$6:$A$462,0)),"Não classificada")</x:f>
        <x:v>Ligada a banco</x:v>
      </x:c>
      <x:c r="F388" s="166" t="str">
        <x:v>BEM - DIST. DE TÍTUL</x:v>
      </x:c>
      <x:c r="G388" s="166" t="str">
        <x:v>BANCO BRADESCO S.A.</x:v>
      </x:c>
      <x:c r="H388" s="166" t="str">
        <x:v>Outros</x:v>
      </x:c>
      <x:c r="I388" s="166" t="str">
        <x:v>Poder Público</x:v>
      </x:c>
      <x:c r="J388" s="166" t="str">
        <x:v>CI</x:v>
      </x:c>
      <x:c r="K388" s="172" t="n">
        <x:v>1</x:v>
      </x:c>
      <x:c r="L388" s="185" t="str">
        <x:v>Não classificado</x:v>
      </x:c>
    </x:row>
    <x:row r="389">
      <x:c r="A389" s="175" t="str">
        <x:v>45.598.747/0001-21</x:v>
      </x:c>
      <x:c r="B389" s="166" t="str">
        <x:v>SUMUP SOLO FUNDO DE INVESTIMENTO EM DIREITOS CREDITÓRIOS SEGMENTO MEIOS DE PAGAMENTO DE RESPONSABILI</x:v>
      </x:c>
      <x:c r="C389" s="188" t="n">
        <x:v>362784782.69000006</x:v>
      </x:c>
      <x:c r="D389" s="166" t="str">
        <x:v>GENIAL GESTÃO LTDA.</x:v>
      </x:c>
      <x:c r="E389" s="166" t="str">
        <x:f>IFERROR(INDEX('Classif Gestoras'!$H$6:$H$462,MATCH(D389,'Classif Gestoras'!$A$6:$A$462,0)),"Não classificada")</x:f>
        <x:v>Ligada a banco</x:v>
      </x:c>
      <x:c r="F389" s="166" t="str">
        <x:v>Banco Genial S.A.</x:v>
      </x:c>
      <x:c r="G389" s="166" t="str">
        <x:v>BANCO GENIAL S.A.</x:v>
      </x:c>
      <x:c r="H389" s="166" t="str">
        <x:v>Agro, Indústria e Comércio</x:v>
      </x:c>
      <x:c r="I389" s="166" t="str">
        <x:v>Recebíveis Comerciais</x:v>
      </x:c>
      <x:c r="J389" s="166" t="str">
        <x:v>CI</x:v>
      </x:c>
      <x:c r="K389" s="172" t="n">
        <x:v>3</x:v>
      </x:c>
      <x:c r="L389" s="185" t="str">
        <x:v>Não classificado</x:v>
      </x:c>
    </x:row>
    <x:row r="390">
      <x:c r="A390" s="175" t="str">
        <x:v>09.172.117/0001-27</x:v>
      </x:c>
      <x:c r="B390" s="166" t="str">
        <x:v>FUNDO DE INVESTIMENTO EM DIREITOS CREDITÓRIOS MULTISETORIAL ÁSIA LP</x:v>
      </x:c>
      <x:c r="C390" s="188" t="n">
        <x:v>362447587.38</x:v>
      </x:c>
      <x:c r="D390" s="166" t="str">
        <x:v>Golden Asset Gestora de Recursos</x:v>
      </x:c>
      <x:c r="E390" s="166" t="str">
        <x:f>IFERROR(INDEX('Classif Gestoras'!$H$6:$H$462,MATCH(D390,'Classif Gestoras'!$A$6:$A$462,0)),"Não classificada")</x:f>
        <x:v>Independente</x:v>
      </x:c>
      <x:c r="F390" s="166" t="str">
        <x:v>HEMERA DTVM</x:v>
      </x:c>
      <x:c r="G390" s="166" t="str">
        <x:v>HEMERA DISTRIBUIDORA DE TITULOS E VALORES MOBILIARIOS LTDA</x:v>
      </x:c>
      <x:c r="H390" s="166" t="str">
        <x:v>Fomento Mercantil</x:v>
      </x:c>
      <x:c r="I390" s="166" t="str">
        <x:v>Fomento Mercantil</x:v>
      </x:c>
      <x:c r="J390" s="166" t="str">
        <x:v>CI</x:v>
      </x:c>
      <x:c r="K390" s="172" t="n">
        <x:v>48</x:v>
      </x:c>
      <x:c r="L390" s="185" t="str">
        <x:v>Não classificado</x:v>
      </x:c>
    </x:row>
    <x:row r="391">
      <x:c r="A391" s="175" t="str">
        <x:v>50.456.492/0001-00</x:v>
      </x:c>
      <x:c r="B391" s="166" t="str">
        <x:v>LEGGERO FUNDO DE INVESTIMENTO EM DIREITOS CREDITÓRIOS</x:v>
      </x:c>
      <x:c r="C391" s="188" t="n">
        <x:v>362433679.65</x:v>
      </x:c>
      <x:c r="D391" s="166" t="str">
        <x:v>Blue Solutions</x:v>
      </x:c>
      <x:c r="E391" s="166" t="str">
        <x:f>IFERROR(INDEX('Classif Gestoras'!$H$6:$H$462,MATCH(D391,'Classif Gestoras'!$A$6:$A$462,0)),"Não classificada")</x:f>
        <x:v>Independente</x:v>
      </x:c>
      <x:c r="F391" s="166" t="str">
        <x:v>TRUSTEE DTVM</x:v>
      </x:c>
      <x:c r="G391" s="166" t="str">
        <x:v>TRUSTEE DISTRIBUIDORA DE TITULOS E VALORES MOBILIARIOS LTDA.</x:v>
      </x:c>
      <x:c r="H391" s="166" t="str">
        <x:v>Outros</x:v>
      </x:c>
      <x:c r="I391" s="166" t="str">
        <x:v>Multicarteira Outros</x:v>
      </x:c>
      <x:c r="J391" s="166" t="str">
        <x:v>CI</x:v>
      </x:c>
      <x:c r="K391" s="172" t="n">
        <x:v>1</x:v>
      </x:c>
      <x:c r="L391" s="185" t="str">
        <x:v>Não classificado</x:v>
      </x:c>
    </x:row>
    <x:row r="392">
      <x:c r="A392" s="175" t="str">
        <x:v>52.041.044/0001-63</x:v>
      </x:c>
      <x:c r="B392" s="166" t="str">
        <x:v>MALBEC FUNDO DE INVESTIMENTO EM DIREITOS CREDITÓRIOS</x:v>
      </x:c>
      <x:c r="C392" s="188" t="n">
        <x:v>362003766.49</x:v>
      </x:c>
      <x:c r="D392" s="166" t="str">
        <x:v>Catálise Investimentos</x:v>
      </x:c>
      <x:c r="E392" s="166" t="str">
        <x:f>IFERROR(INDEX('Classif Gestoras'!$H$6:$H$462,MATCH(D392,'Classif Gestoras'!$A$6:$A$462,0)),"Não classificada")</x:f>
        <x:v>Independente</x:v>
      </x:c>
      <x:c r="F392" s="166" t="str">
        <x:v>CATÁLISE DTVM</x:v>
      </x:c>
      <x:c r="G392" s="166" t="str">
        <x:v>BANCO DAYCOVAL S.A.</x:v>
      </x:c>
      <x:c r="H392" s="166" t="str">
        <x:v>Agro, Indústria e Comércio</x:v>
      </x:c>
      <x:c r="I392" s="166" t="str">
        <x:v>Recebíveis Comerciais</x:v>
      </x:c>
      <x:c r="J392" s="166" t="str">
        <x:v>CI</x:v>
      </x:c>
      <x:c r="K392" s="172" t="n">
        <x:v>1</x:v>
      </x:c>
      <x:c r="L392" s="185" t="str">
        <x:v>Não classificado</x:v>
      </x:c>
    </x:row>
    <x:row r="393">
      <x:c r="A393" s="175" t="str">
        <x:v>61.536.498/0001-04</x:v>
      </x:c>
      <x:c r="B393" s="166" t="str">
        <x:v>POLÍGONO DELTA FUNDO DE INVESTIMENTO EM DIREITOS CREDITÓRIOS</x:v>
      </x:c>
      <x:c r="C393" s="188" t="n">
        <x:v>361062717.43</x:v>
      </x:c>
      <x:c r="D393" s="166" t="str">
        <x:v>POLÍGONO CAPITAL LTDA.</x:v>
      </x:c>
      <x:c r="E393" s="166" t="str">
        <x:f>IFERROR(INDEX('Classif Gestoras'!$H$6:$H$462,MATCH(D393,'Classif Gestoras'!$A$6:$A$462,0)),"Não classificada")</x:f>
        <x:v>Independente</x:v>
      </x:c>
      <x:c r="F393" s="166" t="str">
        <x:v>BTG Pactual Servicos Financeiros S/A DTVM</x:v>
      </x:c>
      <x:c r="G393" s="166" t="str">
        <x:v>BANCO BTG PACTUAL S/A</x:v>
      </x:c>
      <x:c r="H393" s="166" t="str">
        <x:v>Outros</x:v>
      </x:c>
      <x:c r="I393" s="166" t="str">
        <x:v>Multicarteira Outros</x:v>
      </x:c>
      <x:c r="J393" s="166" t="str">
        <x:v>CI</x:v>
      </x:c>
      <x:c r="K393" s="172" t="n">
        <x:v>3932</x:v>
      </x:c>
      <x:c r="L393" s="185" t="str">
        <x:v>Não classificado</x:v>
      </x:c>
    </x:row>
    <x:row r="394">
      <x:c r="A394" s="175" t="str">
        <x:v>58.154.011/0001-06</x:v>
      </x:c>
      <x:c r="B394" s="166" t="str">
        <x:v>FARMTECH KEY ACCOUNTS - FUNDO DE INVESTIMENTO EM DIREITOS CREDITÓRIOS DO AGRONEGÓCIO - RESP LTDA</x:v>
      </x:c>
      <x:c r="C394" s="188" t="n">
        <x:v>360272681.97</x:v>
      </x:c>
      <x:c r="D394" s="166" t="str">
        <x:v>Farmtech Gestão de Recursos Ltda.</x:v>
      </x:c>
      <x:c r="E394" s="166" t="str">
        <x:f>IFERROR(INDEX('Classif Gestoras'!$H$6:$H$462,MATCH(D394,'Classif Gestoras'!$A$6:$A$462,0)),"Não classificada")</x:f>
        <x:v>Independente</x:v>
      </x:c>
      <x:c r="F394" s="166" t="str">
        <x:v>Oliveira Trust DTVM</x:v>
      </x:c>
      <x:c r="G394" s="166" t="str">
        <x:v>OLIVEIRA TRUST DTVM S.A.</x:v>
      </x:c>
      <x:c r="H394" s="166" t="str">
        <x:v>Agro, Indústria e Comércio</x:v>
      </x:c>
      <x:c r="I394" s="166" t="str">
        <x:v>Multicarteira Agro, Indústria e Comércio</x:v>
      </x:c>
      <x:c r="J394" s="166" t="str">
        <x:v>CI</x:v>
      </x:c>
      <x:c r="K394" s="172" t="n">
        <x:v>5</x:v>
      </x:c>
      <x:c r="L394" s="185" t="str">
        <x:v>Não classificado</x:v>
      </x:c>
    </x:row>
    <x:row r="395">
      <x:c r="A395" s="175" t="str">
        <x:v>28.819.553/0001-90</x:v>
      </x:c>
      <x:c r="B395" s="166" t="str">
        <x:v>PÁTRIA CRÉDITO ESTRUTURADO FUNDO DE INVESTIMENTO EM DIREITOS CREDITÓRIOS - RESPONSABILIDADE LIMITADA</x:v>
      </x:c>
      <x:c r="C395" s="188" t="n">
        <x:v>358387075.61</x:v>
      </x:c>
      <x:c r="D395" s="166" t="str">
        <x:v>Pátria Investimentos Ltda.</x:v>
      </x:c>
      <x:c r="E395" s="166" t="str">
        <x:f>IFERROR(INDEX('Classif Gestoras'!$H$6:$H$462,MATCH(D395,'Classif Gestoras'!$A$6:$A$462,0)),"Não classificada")</x:f>
        <x:v>Independente</x:v>
      </x:c>
      <x:c r="F395" s="166" t="str">
        <x:v>Oliveira Trust DTVM</x:v>
      </x:c>
      <x:c r="G395" s="166" t="str">
        <x:v>OLIVEIRA TRUST DTVM S.A.</x:v>
      </x:c>
      <x:c r="H395" s="166" t="str">
        <x:v>Agro, Indústria e Comércio</x:v>
      </x:c>
      <x:c r="I395" s="166" t="str">
        <x:v>Crédito Corporativo</x:v>
      </x:c>
      <x:c r="J395" s="166" t="str">
        <x:v>CI</x:v>
      </x:c>
      <x:c r="K395" s="172" t="n">
        <x:v>18</x:v>
      </x:c>
      <x:c r="L395" s="185" t="str">
        <x:v>Não classificado</x:v>
      </x:c>
    </x:row>
    <x:row r="396">
      <x:c r="A396" s="175" t="str">
        <x:v>44.062.556/0001-88</x:v>
      </x:c>
      <x:c r="B396" s="166" t="str">
        <x:v>ARES FUNDO DE INVESTIMENTO EM DIREITOS CREDITÓRIOS NÃO-PADRONIZADOS</x:v>
      </x:c>
      <x:c r="C396" s="188" t="n">
        <x:v>357510306.01</x:v>
      </x:c>
      <x:c r="D396" s="166" t="str">
        <x:v>Jus Capital Gestão de Recursos LTDA</x:v>
      </x:c>
      <x:c r="E396" s="166" t="str">
        <x:f>IFERROR(INDEX('Classif Gestoras'!$H$6:$H$462,MATCH(D396,'Classif Gestoras'!$A$6:$A$462,0)),"Não classificada")</x:f>
        <x:v>Independente</x:v>
      </x:c>
      <x:c r="F396" s="166" t="str">
        <x:v>Singulare</x:v>
      </x:c>
      <x:c r="G396" s="166" t="str">
        <x:v>QI CORRETORA DE TÍTULOS E VALORES MOBILIÁRIOS S.A.</x:v>
      </x:c>
      <x:c r="H396" s="166" t="str">
        <x:v>Outros</x:v>
      </x:c>
      <x:c r="I396" s="166" t="str">
        <x:v>Poder Público</x:v>
      </x:c>
      <x:c r="J396" s="166" t="str">
        <x:v>CI</x:v>
      </x:c>
      <x:c r="K396" s="172" t="n">
        <x:v>4</x:v>
      </x:c>
      <x:c r="L396" s="185" t="str">
        <x:v>Não classificado</x:v>
      </x:c>
    </x:row>
    <x:row r="397">
      <x:c r="A397" s="175" t="str">
        <x:v>59.475.109/0001-28</x:v>
      </x:c>
      <x:c r="B397" s="166" t="str">
        <x:v>SOLDI INVEST FUNDO DE INVESTIMENTO EM DIREITOS CREDITÓRIOS</x:v>
      </x:c>
      <x:c r="C397" s="188" t="n">
        <x:v>356569790.71000004</x:v>
      </x:c>
      <x:c r="D397" s="166" t="str">
        <x:v>Multiplica Capital</x:v>
      </x:c>
      <x:c r="E397" s="166" t="str">
        <x:f>IFERROR(INDEX('Classif Gestoras'!$H$6:$H$462,MATCH(D397,'Classif Gestoras'!$A$6:$A$462,0)),"Não classificada")</x:f>
        <x:v>Independente</x:v>
      </x:c>
      <x:c r="F397" s="166" t="str">
        <x:v>Singulare</x:v>
      </x:c>
      <x:c r="G397" s="166" t="str">
        <x:v>QI CORRETORA DE TÍTULOS E VALORES MOBILIÁRIOS S.A.</x:v>
      </x:c>
      <x:c r="H397" s="166" t="str">
        <x:v>Fomento Mercantil</x:v>
      </x:c>
      <x:c r="I397" s="166" t="str">
        <x:v>Fomento Mercantil</x:v>
      </x:c>
      <x:c r="J397" s="166" t="str">
        <x:v>CI</x:v>
      </x:c>
      <x:c r="K397" s="172" t="n">
        <x:v>43</x:v>
      </x:c>
      <x:c r="L397" s="185" t="str">
        <x:v>Não classificado</x:v>
      </x:c>
    </x:row>
    <x:row r="398">
      <x:c r="A398" s="175" t="str">
        <x:v>62.626.887/0001-85</x:v>
      </x:c>
      <x:c r="B398" s="166" t="str">
        <x:v>SUMUP SMART IV FIDC SEGMENTO MEIOS DE PAGAMENTO DE RESPONSABILIDADE LIMITADA</x:v>
      </x:c>
      <x:c r="C398" s="188" t="n">
        <x:v>355920954.19</x:v>
      </x:c>
      <x:c r="D398" s="166" t="str">
        <x:v>Banco Bradesco S/A</x:v>
      </x:c>
      <x:c r="E398" s="166" t="str">
        <x:f>IFERROR(INDEX('Classif Gestoras'!$H$6:$H$462,MATCH(D398,'Classif Gestoras'!$A$6:$A$462,0)),"Não classificada")</x:f>
        <x:v>Ligada a banco</x:v>
      </x:c>
      <x:c r="F398" s="166" t="str">
        <x:v>BEM - DIST. DE TÍTUL</x:v>
      </x:c>
      <x:c r="G398" s="166" t="str">
        <x:v>BANCO BRADESCO S.A.</x:v>
      </x:c>
      <x:c r="H398" s="166" t="str">
        <x:v>Outros</x:v>
      </x:c>
      <x:c r="I398" s="166" t="str">
        <x:v>Multicarteira Outros</x:v>
      </x:c>
      <x:c r="J398" s="166" t="str">
        <x:v>CI</x:v>
      </x:c>
      <x:c r="K398" s="172" t="n">
        <x:v>2</x:v>
      </x:c>
      <x:c r="L398" s="185" t="str">
        <x:v>Não classificado</x:v>
      </x:c>
    </x:row>
    <x:row r="399">
      <x:c r="A399" s="175" t="str">
        <x:v>54.029.912/0001-15</x:v>
      </x:c>
      <x:c r="B399" s="166" t="str">
        <x:v>TABOR FUNDO DE INVESTIMENTO EM DIREITOS CREDITÓRIOS NÃO-PADRONIZADOS RESPONSABILIDADE LIMITADA</x:v>
      </x:c>
      <x:c r="C399" s="188" t="n">
        <x:v>355820069.36</x:v>
      </x:c>
      <x:c r="D399" s="166" t="str">
        <x:v>Bless Capital Gestora de Recursos Ltda.</x:v>
      </x:c>
      <x:c r="E399" s="166" t="str">
        <x:f>IFERROR(INDEX('Classif Gestoras'!$H$6:$H$462,MATCH(D399,'Classif Gestoras'!$A$6:$A$462,0)),"Não classificada")</x:f>
        <x:v>Independente</x:v>
      </x:c>
      <x:c r="F399" s="166" t="str">
        <x:v>ID Corretora de Títulos e Valores Mobiliários S.A.</x:v>
      </x:c>
      <x:c r="G399" s="166" t="str">
        <x:v>ID CORRETORA DE TITULOS E VALORES MOBILIARIOS S.A.</x:v>
      </x:c>
      <x:c r="H399" s="166" t="str">
        <x:v>Outros</x:v>
      </x:c>
      <x:c r="I399" s="166" t="str">
        <x:v>Multicarteira Outros</x:v>
      </x:c>
      <x:c r="J399" s="166" t="str">
        <x:v>CI</x:v>
      </x:c>
      <x:c r="K399" s="172" t="n">
        <x:v>7</x:v>
      </x:c>
      <x:c r="L399" s="185" t="str">
        <x:v>Não classificado</x:v>
      </x:c>
    </x:row>
    <x:row r="400">
      <x:c r="A400" s="175" t="str">
        <x:v>29.242.877/0001-70</x:v>
      </x:c>
      <x:c r="B400" s="166" t="str">
        <x:v>AVANTI MULTIPLICA FUNDO DE INVESTIMENTO EM DIREITOS CREDITÓRIOS</x:v>
      </x:c>
      <x:c r="C400" s="188" t="n">
        <x:v>355494412.49</x:v>
      </x:c>
      <x:c r="D400" s="166" t="str">
        <x:v>Multiplica Capital</x:v>
      </x:c>
      <x:c r="E400" s="166" t="str">
        <x:f>IFERROR(INDEX('Classif Gestoras'!$H$6:$H$462,MATCH(D400,'Classif Gestoras'!$A$6:$A$462,0)),"Não classificada")</x:f>
        <x:v>Independente</x:v>
      </x:c>
      <x:c r="F400" s="166" t="str">
        <x:v>Singulare</x:v>
      </x:c>
      <x:c r="G400" s="166" t="str">
        <x:v>QI CORRETORA DE TÍTULOS E VALORES MOBILIÁRIOS S.A.</x:v>
      </x:c>
      <x:c r="H400" s="166" t="str">
        <x:v>Fomento Mercantil</x:v>
      </x:c>
      <x:c r="I400" s="166" t="str">
        <x:v>Fomento Mercantil</x:v>
      </x:c>
      <x:c r="J400" s="166" t="str">
        <x:v>CI</x:v>
      </x:c>
      <x:c r="K400" s="172" t="n">
        <x:v>84</x:v>
      </x:c>
      <x:c r="L400" s="185" t="str">
        <x:v>Não classificado</x:v>
      </x:c>
    </x:row>
    <x:row r="401">
      <x:c r="A401" s="175" t="str">
        <x:v>49.936.440/0001-44</x:v>
      </x:c>
      <x:c r="B401" s="166" t="str">
        <x:v>FUNDO DE INVESTIMENTO EM DIREITOS CREDITÓRIOS TURBI I DE RESPONSABILIDADE LIMITADA</x:v>
      </x:c>
      <x:c r="C401" s="188" t="n">
        <x:v>353558689.87</x:v>
      </x:c>
      <x:c r="D401" s="166" t="str">
        <x:v>Milênio Capital</x:v>
      </x:c>
      <x:c r="E401" s="166" t="str">
        <x:f>IFERROR(INDEX('Classif Gestoras'!$H$6:$H$462,MATCH(D401,'Classif Gestoras'!$A$6:$A$462,0)),"Não classificada")</x:f>
        <x:v>Independente</x:v>
      </x:c>
      <x:c r="F401" s="166" t="str">
        <x:v>BANCO DAYCOVAL S/A</x:v>
      </x:c>
      <x:c r="G401" s="166" t="str">
        <x:v>BANCO DAYCOVAL S.A.</x:v>
      </x:c>
      <x:c r="H401" s="166" t="str">
        <x:v>Financeiro</x:v>
      </x:c>
      <x:c r="I401" s="166" t="str">
        <x:v>Financiamento de Veículos</x:v>
      </x:c>
      <x:c r="J401" s="166" t="str">
        <x:v>CI</x:v>
      </x:c>
      <x:c r="K401" s="172" t="n">
        <x:v>121</x:v>
      </x:c>
      <x:c r="L401" s="185" t="str">
        <x:v>Não classificado</x:v>
      </x:c>
    </x:row>
    <x:row r="402">
      <x:c r="A402" s="175" t="str">
        <x:v>29.746.406/0001-08</x:v>
      </x:c>
      <x:c r="B402" s="166" t="str">
        <x:v>CNPJ 29746406000108</x:v>
      </x:c>
      <x:c r="C402" s="188" t="n">
        <x:v>351717211.78000003</x:v>
      </x:c>
      <x:c r="D402" s="166" t="str">
        <x:v>Emerald Gestão de Investimento</x:v>
      </x:c>
      <x:c r="E402" s="166" t="str">
        <x:f>IFERROR(INDEX('Classif Gestoras'!$H$6:$H$462,MATCH(D402,'Classif Gestoras'!$A$6:$A$462,0)),"Não classificada")</x:f>
        <x:v>Independente</x:v>
      </x:c>
      <x:c r="F402" s="166" t="str">
        <x:v>BANCO J. SAFRA S/A</x:v>
      </x:c>
      <x:c r="G402" s="166" t="str">
        <x:v>Não identificado</x:v>
      </x:c>
      <x:c r="H402" s="166" t="str">
        <x:v>Outros</x:v>
      </x:c>
      <x:c r="I402" s="166" t="str">
        <x:v>Poder Público</x:v>
      </x:c>
      <x:c r="J402" s="166" t="str">
        <x:v>CI</x:v>
      </x:c>
      <x:c r="K402" s="172"/>
      <x:c r="L402" s="185" t="str">
        <x:v>Não classificado</x:v>
      </x:c>
    </x:row>
    <x:row r="403">
      <x:c r="A403" s="175" t="str">
        <x:v>16.686.142/0001-94</x:v>
      </x:c>
      <x:c r="B403" s="166" t="str">
        <x:v>FUNDO DE INVESTIMENTO EM DIREITOS CREDITORIOS RECUPERA</x:v>
      </x:c>
      <x:c r="C403" s="188" t="n">
        <x:v>351332791.21</x:v>
      </x:c>
      <x:c r="D403" s="166" t="str">
        <x:v>TRUSTEE DTVM</x:v>
      </x:c>
      <x:c r="E403" s="166" t="str">
        <x:f>IFERROR(INDEX('Classif Gestoras'!$H$6:$H$462,MATCH(D403,'Classif Gestoras'!$A$6:$A$462,0)),"Não classificada")</x:f>
        <x:v>Independente</x:v>
      </x:c>
      <x:c r="F403" s="166" t="str">
        <x:v>TRUSTEE DTVM</x:v>
      </x:c>
      <x:c r="G403" s="166" t="str">
        <x:v>TRUSTEE DISTRIBUIDORA DE TITULOS E VALORES MOBILIARIOS LTDA.</x:v>
      </x:c>
      <x:c r="H403" s="166" t="str">
        <x:v>Financeiro</x:v>
      </x:c>
      <x:c r="I403" s="166" t="str">
        <x:v>Multicarteira Financeiro</x:v>
      </x:c>
      <x:c r="J403" s="166" t="str">
        <x:v>CI</x:v>
      </x:c>
      <x:c r="K403" s="172" t="n">
        <x:v>1</x:v>
      </x:c>
      <x:c r="L403" s="185" t="str">
        <x:v>Não classificado</x:v>
      </x:c>
    </x:row>
    <x:row r="404">
      <x:c r="A404" s="175" t="str">
        <x:v>42.085.830/0001-09</x:v>
      </x:c>
      <x:c r="B404" s="166" t="str">
        <x:v>CLOUDWALK AKIRA I FUNDO DE INVESTIMENTO EM DIREITOS CREDITÓRIOS SEGMENTO MEIOS DE PAGAMENTO</x:v>
      </x:c>
      <x:c r="C404" s="188" t="n">
        <x:v>350024576.34999996</x:v>
      </x:c>
      <x:c r="D404" s="166" t="str">
        <x:v>VERT Gestora de Recursos Financeiros Ltda.</x:v>
      </x:c>
      <x:c r="E404" s="166" t="str">
        <x:f>IFERROR(INDEX('Classif Gestoras'!$H$6:$H$462,MATCH(D404,'Classif Gestoras'!$A$6:$A$462,0)),"Não classificada")</x:f>
        <x:v>Independente</x:v>
      </x:c>
      <x:c r="F404" s="166" t="str">
        <x:v>VERT Distribuidora de Títulos e Valores Mobiliários Ltd</x:v>
      </x:c>
      <x:c r="G404" s="166" t="str">
        <x:v>VERT DISTRIBUIDORA DE TÍTULOS E VALORES MOBILIÁRIOS LTDA.</x:v>
      </x:c>
      <x:c r="H404" s="166" t="str">
        <x:v>Agro, Indústria e Comércio</x:v>
      </x:c>
      <x:c r="I404" s="166" t="str">
        <x:v>Recebíveis Comerciais</x:v>
      </x:c>
      <x:c r="J404" s="166" t="str">
        <x:v>CI</x:v>
      </x:c>
      <x:c r="K404" s="172" t="n">
        <x:v>2</x:v>
      </x:c>
      <x:c r="L404" s="185" t="str">
        <x:v>Não classificado</x:v>
      </x:c>
    </x:row>
    <x:row r="405">
      <x:c r="A405" s="175" t="str">
        <x:v>47.117.579/0001-30</x:v>
      </x:c>
      <x:c r="B405" s="166" t="str">
        <x:v>CRÉDITO CORPORATIVO SOLIS ITER FUNDO DE INVESTIMENTO EM DIREITOS CREDITÓRIOS</x:v>
      </x:c>
      <x:c r="C405" s="188" t="n">
        <x:v>348090052.26000005</x:v>
      </x:c>
      <x:c r="D405" s="166" t="str">
        <x:v>Solis</x:v>
      </x:c>
      <x:c r="E405" s="166" t="str">
        <x:f>IFERROR(INDEX('Classif Gestoras'!$H$6:$H$462,MATCH(D405,'Classif Gestoras'!$A$6:$A$462,0)),"Não classificada")</x:f>
        <x:v>Independente</x:v>
      </x:c>
      <x:c r="F405" s="166" t="str">
        <x:v>HEMERA DTVM</x:v>
      </x:c>
      <x:c r="G405" s="166" t="str">
        <x:v>HEMERA DISTRIBUIDORA DE TITULOS E VALORES MOBILIARIOS LTDA</x:v>
      </x:c>
      <x:c r="H405" s="166" t="str">
        <x:v>Outros</x:v>
      </x:c>
      <x:c r="I405" s="166" t="str">
        <x:v>Multicarteira Outros</x:v>
      </x:c>
      <x:c r="J405" s="166" t="str">
        <x:v>CI</x:v>
      </x:c>
      <x:c r="K405" s="172" t="n">
        <x:v>3</x:v>
      </x:c>
      <x:c r="L405" s="185" t="str">
        <x:v>Não classificado</x:v>
      </x:c>
    </x:row>
    <x:row r="406">
      <x:c r="A406" s="175" t="str">
        <x:v>52.341.847/0001-33</x:v>
      </x:c>
      <x:c r="B406" s="166" t="str">
        <x:v>GUARDIAN MULTI CONSIGNADO III FIDC RESPONSABILIDADE LIMITADA</x:v>
      </x:c>
      <x:c r="C406" s="188" t="n">
        <x:v>347220831.86</x:v>
      </x:c>
      <x:c r="D406" s="166" t="str">
        <x:v>Guardian Gestora</x:v>
      </x:c>
      <x:c r="E406" s="166" t="str">
        <x:f>IFERROR(INDEX('Classif Gestoras'!$H$6:$H$462,MATCH(D406,'Classif Gestoras'!$A$6:$A$462,0)),"Não classificada")</x:f>
        <x:v>Independente</x:v>
      </x:c>
      <x:c r="F406" s="166" t="str">
        <x:v>Oliveira Trust DTVM</x:v>
      </x:c>
      <x:c r="G406" s="166" t="str">
        <x:v>OLIVEIRA TRUST DTVM S.A.</x:v>
      </x:c>
      <x:c r="H406" s="166" t="str">
        <x:v>Financeiro</x:v>
      </x:c>
      <x:c r="I406" s="166" t="str">
        <x:v>Crédito Consignado</x:v>
      </x:c>
      <x:c r="J406" s="166" t="str">
        <x:v>CI</x:v>
      </x:c>
      <x:c r="K406" s="172" t="n">
        <x:v>72</x:v>
      </x:c>
      <x:c r="L406" s="185" t="str">
        <x:v>Não classificado</x:v>
      </x:c>
    </x:row>
    <x:row r="407">
      <x:c r="A407" s="175" t="str">
        <x:v>28.671.081/0001-70</x:v>
      </x:c>
      <x:c r="B407" s="166" t="str">
        <x:v>HERCULES FUNDO DE INVESTIMENTO EM DIREITOS CREDITÓRIOS MULTISSETORIAL</x:v>
      </x:c>
      <x:c r="C407" s="188" t="n">
        <x:v>345638458.37</x:v>
      </x:c>
      <x:c r="D407" s="166" t="str">
        <x:v>OURO PRETO INVESTIMENTOS</x:v>
      </x:c>
      <x:c r="E407" s="166" t="str">
        <x:f>IFERROR(INDEX('Classif Gestoras'!$H$6:$H$462,MATCH(D407,'Classif Gestoras'!$A$6:$A$462,0)),"Não classificada")</x:f>
        <x:v>Independente</x:v>
      </x:c>
      <x:c r="F407" s="166" t="str">
        <x:v>Singulare</x:v>
      </x:c>
      <x:c r="G407" s="166" t="str">
        <x:v>QI CORRETORA DE TÍTULOS E VALORES MOBILIÁRIOS S.A.</x:v>
      </x:c>
      <x:c r="H407" s="166" t="str">
        <x:v>Fomento Mercantil</x:v>
      </x:c>
      <x:c r="I407" s="166" t="str">
        <x:v>Fomento Mercantil</x:v>
      </x:c>
      <x:c r="J407" s="166" t="str">
        <x:v>CI</x:v>
      </x:c>
      <x:c r="K407" s="172" t="n">
        <x:v>41</x:v>
      </x:c>
      <x:c r="L407" s="185" t="str">
        <x:v>Não classificado</x:v>
      </x:c>
    </x:row>
    <x:row r="408">
      <x:c r="A408" s="175" t="str">
        <x:v>21.648.446/0001-05</x:v>
      </x:c>
      <x:c r="B408" s="166" t="str">
        <x:v>CREDIFIX FUNDO DE INVESTIMENTO EM DIREITOS CREDITÓRIOS</x:v>
      </x:c>
      <x:c r="C408" s="188" t="n">
        <x:v>344868239.03000003</x:v>
      </x:c>
      <x:c r="D408" s="166" t="str">
        <x:v>MAM ASSET MANAGEMENT</x:v>
      </x:c>
      <x:c r="E408" s="166" t="str">
        <x:f>IFERROR(INDEX('Classif Gestoras'!$H$6:$H$462,MATCH(D408,'Classif Gestoras'!$A$6:$A$462,0)),"Não classificada")</x:f>
        <x:v>Independente</x:v>
      </x:c>
      <x:c r="F408" s="166" t="str">
        <x:v>TRUSTEE DTVM</x:v>
      </x:c>
      <x:c r="G408" s="166" t="str">
        <x:v>PLANNER CORRETORA DE VALORES S.A.</x:v>
      </x:c>
      <x:c r="H408" s="166" t="str">
        <x:v>Outros</x:v>
      </x:c>
      <x:c r="I408" s="166" t="str">
        <x:v>Multicarteira Outros</x:v>
      </x:c>
      <x:c r="J408" s="166" t="str">
        <x:v>CI</x:v>
      </x:c>
      <x:c r="K408" s="172" t="n">
        <x:v>3</x:v>
      </x:c>
      <x:c r="L408" s="185" t="str">
        <x:v>Não classificado</x:v>
      </x:c>
    </x:row>
    <x:row r="409">
      <x:c r="A409" s="175" t="str">
        <x:v>37.087.653/0001-60</x:v>
      </x:c>
      <x:c r="B409" s="166" t="str">
        <x:v>RIZA MEYENII DLG FUNDO DE INVESTIMENTO EM DIREITOS CREDITÓRIOS</x:v>
      </x:c>
      <x:c r="C409" s="188" t="n">
        <x:v>343821481.84000003</x:v>
      </x:c>
      <x:c r="D409" s="166" t="str">
        <x:v>Riza Securitização e Carteiras</x:v>
      </x:c>
      <x:c r="E409" s="166" t="str">
        <x:f>IFERROR(INDEX('Classif Gestoras'!$H$6:$H$462,MATCH(D409,'Classif Gestoras'!$A$6:$A$462,0)),"Não classificada")</x:f>
        <x:v>Independente</x:v>
      </x:c>
      <x:c r="F409" s="166" t="str">
        <x:v>BTG Pactual Servicos Financeiros S/A DTVM</x:v>
      </x:c>
      <x:c r="G409" s="166" t="str">
        <x:v>BANCO BTG PACTUAL S/A</x:v>
      </x:c>
      <x:c r="H409" s="166" t="str">
        <x:v>Outros</x:v>
      </x:c>
      <x:c r="I409" s="166" t="str">
        <x:v>Multicarteira Outros</x:v>
      </x:c>
      <x:c r="J409" s="166" t="str">
        <x:v>CIPC</x:v>
      </x:c>
      <x:c r="K409" s="172" t="n">
        <x:v>3</x:v>
      </x:c>
      <x:c r="L409" s="185" t="str">
        <x:v>Não classificado</x:v>
      </x:c>
    </x:row>
    <x:row r="410">
      <x:c r="A410" s="175" t="str">
        <x:v>16.802.124/0001-20</x:v>
      </x:c>
      <x:c r="B410" s="166" t="str">
        <x:v>BERETTA FUNDO DE INVESTIMENTO EM DIREITOS CREDITÓRIOS - RESPONSABILIDADE LIMITADA</x:v>
      </x:c>
      <x:c r="C410" s="188" t="n">
        <x:v>343516491.96</x:v>
      </x:c>
      <x:c r="D410" s="166" t="str">
        <x:v>Quatá Investimentos</x:v>
      </x:c>
      <x:c r="E410" s="166" t="str">
        <x:f>IFERROR(INDEX('Classif Gestoras'!$H$6:$H$462,MATCH(D410,'Classif Gestoras'!$A$6:$A$462,0)),"Não classificada")</x:f>
        <x:v>Independente</x:v>
      </x:c>
      <x:c r="F410" s="166" t="str">
        <x:v>Singulare</x:v>
      </x:c>
      <x:c r="G410" s="166" t="str">
        <x:v>QI CORRETORA DE TÍTULOS E VALORES MOBILIÁRIOS S.A.</x:v>
      </x:c>
      <x:c r="H410" s="166" t="str">
        <x:v>Outros</x:v>
      </x:c>
      <x:c r="I410" s="166" t="str">
        <x:v>Multicarteira Outros</x:v>
      </x:c>
      <x:c r="J410" s="166" t="str">
        <x:v>CI</x:v>
      </x:c>
      <x:c r="K410" s="172" t="n">
        <x:v>1</x:v>
      </x:c>
      <x:c r="L410" s="185" t="str">
        <x:v>Não classificado</x:v>
      </x:c>
    </x:row>
    <x:row r="411">
      <x:c r="A411" s="175" t="str">
        <x:v>55.072.790/0001-02</x:v>
      </x:c>
      <x:c r="B411" s="166" t="str">
        <x:v>FUNDO DE INVESTIMENTO EM DIREITOS CREDITÓRIOS FUTURO CONSIGNADO PÚBLICO III RESP LTDA</x:v>
      </x:c>
      <x:c r="C411" s="188" t="n">
        <x:v>343381382.93999994</x:v>
      </x:c>
      <x:c r="D411" s="166" t="str">
        <x:v>REAG GESTÃO DE CRÉDITO</x:v>
      </x:c>
      <x:c r="E411" s="166" t="str">
        <x:f>IFERROR(INDEX('Classif Gestoras'!$H$6:$H$462,MATCH(D411,'Classif Gestoras'!$A$6:$A$462,0)),"Não classificada")</x:f>
        <x:v>Independente</x:v>
      </x:c>
      <x:c r="F411" s="166" t="str">
        <x:v>Oliveira Trust DTVM</x:v>
      </x:c>
      <x:c r="G411" s="166" t="str">
        <x:v>OLIVEIRA TRUST DTVM S.A.</x:v>
      </x:c>
      <x:c r="H411" s="166" t="str">
        <x:v>Financeiro</x:v>
      </x:c>
      <x:c r="I411" s="166" t="str">
        <x:v>Crédito Consignado</x:v>
      </x:c>
      <x:c r="J411" s="166" t="str">
        <x:v>CI</x:v>
      </x:c>
      <x:c r="K411" s="172" t="n">
        <x:v>7</x:v>
      </x:c>
      <x:c r="L411" s="185" t="str">
        <x:v>Não classificado</x:v>
      </x:c>
    </x:row>
    <x:row r="412">
      <x:c r="A412" s="175" t="str">
        <x:v>34.218.393/0001-26</x:v>
      </x:c>
      <x:c r="B412" s="166" t="str">
        <x:v>AGL FUNDO DE INVESTIMENTO EM DIREITOS CREDITORIOS</x:v>
      </x:c>
      <x:c r="C412" s="188" t="n">
        <x:v>343324549.2</x:v>
      </x:c>
      <x:c r="D412" s="166" t="str">
        <x:v>Libertas Asset</x:v>
      </x:c>
      <x:c r="E412" s="166" t="str">
        <x:f>IFERROR(INDEX('Classif Gestoras'!$H$6:$H$462,MATCH(D412,'Classif Gestoras'!$A$6:$A$462,0)),"Não classificada")</x:f>
        <x:v>Independente</x:v>
      </x:c>
      <x:c r="F412" s="166" t="str">
        <x:v>ACTUAL DTVM</x:v>
      </x:c>
      <x:c r="G412" s="166" t="str">
        <x:v>LASTRO RDV DTVM LTDA</x:v>
      </x:c>
      <x:c r="H412" s="166" t="str">
        <x:v>Fomento Mercantil</x:v>
      </x:c>
      <x:c r="I412" s="166" t="str">
        <x:v>Fomento Mercantil</x:v>
      </x:c>
      <x:c r="J412" s="166" t="str">
        <x:v>CI</x:v>
      </x:c>
      <x:c r="K412" s="172" t="n">
        <x:v>1</x:v>
      </x:c>
      <x:c r="L412" s="185" t="str">
        <x:v>Não classificado</x:v>
      </x:c>
    </x:row>
    <x:row r="413">
      <x:c r="A413" s="175" t="str">
        <x:v>43.721.713/0001-57</x:v>
      </x:c>
      <x:c r="B413" s="166" t="str">
        <x:v>BTG CONSÓRCIOS FUNDO DE INVESTIMENTO EM DIREITOS CREDITÓRIOS II</x:v>
      </x:c>
      <x:c r="C413" s="188" t="n">
        <x:v>340084676.34</x:v>
      </x:c>
      <x:c r="D413" s="166" t="str">
        <x:v>PACTUAL CAPITAL PART</x:v>
      </x:c>
      <x:c r="E413" s="166" t="str">
        <x:f>IFERROR(INDEX('Classif Gestoras'!$H$6:$H$462,MATCH(D413,'Classif Gestoras'!$A$6:$A$462,0)),"Não classificada")</x:f>
        <x:v>Independente</x:v>
      </x:c>
      <x:c r="F413" s="166" t="str">
        <x:v>BTG Pactual Servicos Financeiros S/A DTVM</x:v>
      </x:c>
      <x:c r="G413" s="166" t="str">
        <x:v>BANCO BTG PACTUAL S/A</x:v>
      </x:c>
      <x:c r="H413" s="166" t="str">
        <x:v>Outros</x:v>
      </x:c>
      <x:c r="I413" s="166" t="str">
        <x:v>Multicarteira Outros</x:v>
      </x:c>
      <x:c r="J413" s="166" t="str">
        <x:v>CI</x:v>
      </x:c>
      <x:c r="K413" s="172" t="n">
        <x:v>1</x:v>
      </x:c>
      <x:c r="L413" s="185" t="str">
        <x:v>Não classificado</x:v>
      </x:c>
    </x:row>
    <x:row r="414">
      <x:c r="A414" s="175" t="str">
        <x:v>55.695.976/0001-18</x:v>
      </x:c>
      <x:c r="B414" s="166" t="str">
        <x:v>FALCON CONSIGNADO FUNDO DE INVESTIMENTOS EM DIREITOS CREDITÓRIOS</x:v>
      </x:c>
      <x:c r="C414" s="188" t="n">
        <x:v>339826783.45</x:v>
      </x:c>
      <x:c r="D414" s="166" t="str">
        <x:v>Riza Securitização e Carteiras</x:v>
      </x:c>
      <x:c r="E414" s="166" t="str">
        <x:f>IFERROR(INDEX('Classif Gestoras'!$H$6:$H$462,MATCH(D414,'Classif Gestoras'!$A$6:$A$462,0)),"Não classificada")</x:f>
        <x:v>Independente</x:v>
      </x:c>
      <x:c r="F414" s="166" t="str">
        <x:v>BRL TRUST DTVM</x:v>
      </x:c>
      <x:c r="G414" s="166" t="str">
        <x:v>BRL TRUST DISTRIBUIDORA DE TITULOS E VALORES MOBILIARIOS S.A.</x:v>
      </x:c>
      <x:c r="H414" s="166" t="str">
        <x:v>Financeiro</x:v>
      </x:c>
      <x:c r="I414" s="166" t="str">
        <x:v>Crédito Consignado</x:v>
      </x:c>
      <x:c r="J414" s="166" t="str">
        <x:v>CI</x:v>
      </x:c>
      <x:c r="K414" s="172" t="n">
        <x:v>52</x:v>
      </x:c>
      <x:c r="L414" s="185" t="str">
        <x:v>Não classificado</x:v>
      </x:c>
    </x:row>
    <x:row r="415">
      <x:c r="A415" s="175" t="str">
        <x:v>59.323.530/0001-13</x:v>
      </x:c>
      <x:c r="B415" s="166" t="str">
        <x:v>IFOOD PAGO CRÉDITO II FUNDO DE INVESTIMENTO EM DIREITOS CREDITÓRIOS FINANCEIRO RESP. LIMITADA</x:v>
      </x:c>
      <x:c r="C415" s="188" t="n">
        <x:v>339784494.53000003</x:v>
      </x:c>
      <x:c r="D415" s="166" t="str">
        <x:v>VERT Gestora de Recursos Financeiros Ltda.</x:v>
      </x:c>
      <x:c r="E415" s="166" t="str">
        <x:f>IFERROR(INDEX('Classif Gestoras'!$H$6:$H$462,MATCH(D415,'Classif Gestoras'!$A$6:$A$462,0)),"Não classificada")</x:f>
        <x:v>Independente</x:v>
      </x:c>
      <x:c r="F415" s="166" t="str">
        <x:v>VERT Distribuidora de Títulos e Valores Mobiliários Ltd</x:v>
      </x:c>
      <x:c r="G415" s="166" t="str">
        <x:v>VERT DISTRIBUIDORA DE TÍTULOS E VALORES MOBILIÁRIOS LTDA.</x:v>
      </x:c>
      <x:c r="H415" s="166" t="str">
        <x:v>Financeiro</x:v>
      </x:c>
      <x:c r="I415" s="166" t="str">
        <x:v>Multicarteira Financeiro</x:v>
      </x:c>
      <x:c r="J415" s="166" t="str">
        <x:v>CI</x:v>
      </x:c>
      <x:c r="K415" s="172" t="n">
        <x:v>3</x:v>
      </x:c>
      <x:c r="L415" s="185" t="str">
        <x:v>Não classificado</x:v>
      </x:c>
    </x:row>
    <x:row r="416">
      <x:c r="A416" s="175" t="str">
        <x:v>52.271.464/0001-36</x:v>
      </x:c>
      <x:c r="B416" s="166" t="str">
        <x:v>KIWIFY FUNDO DE INVESTIMENTO EM DIREITOS CREDITÓRIOS SEGMENTO MEIOS DE PAGAMENTO DE RESPONSABILIDADE</x:v>
      </x:c>
      <x:c r="C416" s="188" t="n">
        <x:v>339663291.15</x:v>
      </x:c>
      <x:c r="D416" s="166" t="str">
        <x:v>H2 CAPITAL</x:v>
      </x:c>
      <x:c r="E416" s="166" t="str">
        <x:f>IFERROR(INDEX('Classif Gestoras'!$H$6:$H$462,MATCH(D416,'Classif Gestoras'!$A$6:$A$462,0)),"Não classificada")</x:f>
        <x:v>Independente</x:v>
      </x:c>
      <x:c r="F416" s="166" t="str">
        <x:v>Banco Genial S.A.</x:v>
      </x:c>
      <x:c r="G416" s="166" t="str">
        <x:v>BANCO GENIAL S.A.</x:v>
      </x:c>
      <x:c r="H416" s="166" t="str">
        <x:v>Agro, Indústria e Comércio</x:v>
      </x:c>
      <x:c r="I416" s="166" t="str">
        <x:v>Recebíveis Comerciais</x:v>
      </x:c>
      <x:c r="J416" s="166" t="str">
        <x:v>CI</x:v>
      </x:c>
      <x:c r="K416" s="172" t="n">
        <x:v>4</x:v>
      </x:c>
      <x:c r="L416" s="185" t="str">
        <x:v>Não classificado</x:v>
      </x:c>
    </x:row>
    <x:row r="417">
      <x:c r="A417" s="175" t="str">
        <x:v>63.622.842/0001-03</x:v>
      </x:c>
      <x:c r="B417" s="166" t="str">
        <x:v>DESBRAVA UNO ARTIGOS ESPORTIVOS FUNDO DE INVESTIMENTO EM DIREITOS CREDITÓRIOS RESP LIMITADA</x:v>
      </x:c>
      <x:c r="C417" s="188" t="n">
        <x:v>339242275.28</x:v>
      </x:c>
      <x:c r="D417" s="166" t="str">
        <x:v>ITAU ASSET</x:v>
      </x:c>
      <x:c r="E417" s="166" t="str">
        <x:f>IFERROR(INDEX('Classif Gestoras'!$H$6:$H$462,MATCH(D417,'Classif Gestoras'!$A$6:$A$462,0)),"Não classificada")</x:f>
        <x:v>Ligada a banco</x:v>
      </x:c>
      <x:c r="F417" s="166" t="str">
        <x:v>INTRAG DIST. DE TÍTU</x:v>
      </x:c>
      <x:c r="G417" s="166" t="str">
        <x:v>ITAU UNIBANCO S.A.</x:v>
      </x:c>
      <x:c r="H417" s="166" t="str">
        <x:v>Fomento Mercantil</x:v>
      </x:c>
      <x:c r="I417" s="166" t="str">
        <x:v>Fomento Mercantil</x:v>
      </x:c>
      <x:c r="J417" s="166" t="str">
        <x:v>CI</x:v>
      </x:c>
      <x:c r="K417" s="172" t="n">
        <x:v>2</x:v>
      </x:c>
      <x:c r="L417" s="185" t="str">
        <x:v>Não classificado</x:v>
      </x:c>
    </x:row>
    <x:row r="418">
      <x:c r="A418" s="175" t="str">
        <x:v>60.715.499/0001-45</x:v>
      </x:c>
      <x:c r="B418" s="166" t="str">
        <x:v>SEVEN CRÉDITO ESTRUTURADO 360 FUNDO DE INVESTIMENTO EM DIREITOS CREDITÓRIOS - RESPONSABILIDADE LIMIT</x:v>
      </x:c>
      <x:c r="C418" s="188" t="n">
        <x:v>338609596.41</x:v>
      </x:c>
      <x:c r="D418" s="166" t="str">
        <x:v>SVN Gestora de Recursos Ltda.</x:v>
      </x:c>
      <x:c r="E418" s="166" t="str">
        <x:f>IFERROR(INDEX('Classif Gestoras'!$H$6:$H$462,MATCH(D418,'Classif Gestoras'!$A$6:$A$462,0)),"Não classificada")</x:f>
        <x:v>Independente</x:v>
      </x:c>
      <x:c r="F418" s="166" t="str">
        <x:v>XPI CCTVM S/A</x:v>
      </x:c>
      <x:c r="G418" s="166" t="str">
        <x:v>OLIVEIRA TRUST DTVM S.A.</x:v>
      </x:c>
      <x:c r="H418" s="166" t="str">
        <x:v>Outros</x:v>
      </x:c>
      <x:c r="I418" s="166" t="str">
        <x:v>Multicarteira Outros</x:v>
      </x:c>
      <x:c r="J418" s="166" t="str">
        <x:v>CI</x:v>
      </x:c>
      <x:c r="K418" s="172" t="n">
        <x:v>2067</x:v>
      </x:c>
      <x:c r="L418" s="185" t="str">
        <x:v>Não classificado</x:v>
      </x:c>
    </x:row>
    <x:row r="419">
      <x:c r="A419" s="175" t="str">
        <x:v>26.208.328/0001-91</x:v>
      </x:c>
      <x:c r="B419" s="166" t="str">
        <x:v>ÁRTICO MIDDLE CORPORATE FUNDO DE INVESTIMENTO EM DIREITOS CREDITÓRIOS</x:v>
      </x:c>
      <x:c r="C419" s="188" t="n">
        <x:v>338385198.51</x:v>
      </x:c>
      <x:c r="D419" s="166" t="str">
        <x:v>TERCON ASSET MANAGEMENT</x:v>
      </x:c>
      <x:c r="E419" s="166" t="str">
        <x:f>IFERROR(INDEX('Classif Gestoras'!$H$6:$H$462,MATCH(D419,'Classif Gestoras'!$A$6:$A$462,0)),"Não classificada")</x:f>
        <x:v>Independente</x:v>
      </x:c>
      <x:c r="F419" s="166" t="str">
        <x:v>Singulare</x:v>
      </x:c>
      <x:c r="G419" s="166" t="str">
        <x:v>QI CORRETORA DE TÍTULOS E VALORES MOBILIÁRIOS S.A.</x:v>
      </x:c>
      <x:c r="H419" s="166" t="str">
        <x:v>Fomento Mercantil</x:v>
      </x:c>
      <x:c r="I419" s="166" t="str">
        <x:v>Fomento Mercantil</x:v>
      </x:c>
      <x:c r="J419" s="166" t="str">
        <x:v>CI</x:v>
      </x:c>
      <x:c r="K419" s="172" t="n">
        <x:v>88</x:v>
      </x:c>
      <x:c r="L419" s="185" t="str">
        <x:v>Não classificado</x:v>
      </x:c>
    </x:row>
    <x:row r="420">
      <x:c r="A420" s="175" t="str">
        <x:v>54.178.902/0001-41</x:v>
      </x:c>
      <x:c r="B420" s="166" t="str">
        <x:v>TANGERINA FUNDO DE INVESTIMENTO EM DIREITOS CREDITÓRIOS - RESPONSABILIDADE LIMITADA</x:v>
      </x:c>
      <x:c r="C420" s="188" t="n">
        <x:v>337275042.42</x:v>
      </x:c>
      <x:c r="D420" s="166" t="str">
        <x:v>SOSU CAPITAL GESTÃO DE INVESTIMENTOS LTDA.</x:v>
      </x:c>
      <x:c r="E420" s="166" t="str">
        <x:f>IFERROR(INDEX('Classif Gestoras'!$H$6:$H$462,MATCH(D420,'Classif Gestoras'!$A$6:$A$462,0)),"Não classificada")</x:f>
        <x:v>Independente</x:v>
      </x:c>
      <x:c r="F420" s="166" t="str">
        <x:v>BRL TRUST DTVM</x:v>
      </x:c>
      <x:c r="G420" s="166" t="str">
        <x:v>BRL TRUST DISTRIBUIDORA DE TITULOS E VALORES MOBILIARIOS S.A.</x:v>
      </x:c>
      <x:c r="H420" s="166" t="str">
        <x:v>Outros</x:v>
      </x:c>
      <x:c r="I420" s="166" t="str">
        <x:v>Poder Público</x:v>
      </x:c>
      <x:c r="J420" s="166" t="str">
        <x:v>CI</x:v>
      </x:c>
      <x:c r="K420" s="172" t="n">
        <x:v>1</x:v>
      </x:c>
      <x:c r="L420" s="185" t="str">
        <x:v>Não classificado</x:v>
      </x:c>
    </x:row>
    <x:row r="421">
      <x:c r="A421" s="175" t="str">
        <x:v>55.144.736/0001-25</x:v>
      </x:c>
      <x:c r="B421" s="166" t="str">
        <x:v>RENOVAGRO FIAGRO RESPONSABILIDADE LIMITADA</x:v>
      </x:c>
      <x:c r="C421" s="188" t="n">
        <x:v>336532927.28000003</x:v>
      </x:c>
      <x:c r="D421" s="166" t="str">
        <x:v>Artesanal Agro</x:v>
      </x:c>
      <x:c r="E421" s="166" t="str">
        <x:f>IFERROR(INDEX('Classif Gestoras'!$H$6:$H$462,MATCH(D421,'Classif Gestoras'!$A$6:$A$462,0)),"Não classificada")</x:f>
        <x:v>Independente</x:v>
      </x:c>
      <x:c r="F421" s="166" t="str">
        <x:v>Singulare</x:v>
      </x:c>
      <x:c r="G421" s="166" t="str">
        <x:v>QI CORRETORA DE TÍTULOS E VALORES MOBILIÁRIOS S.A.</x:v>
      </x:c>
      <x:c r="H421" s="166" t="str">
        <x:v>Agro, Indústria e Comércio</x:v>
      </x:c>
      <x:c r="I421" s="166" t="str">
        <x:v>Agronegócio</x:v>
      </x:c>
      <x:c r="J421" s="166" t="str">
        <x:v>CI</x:v>
      </x:c>
      <x:c r="K421" s="172" t="n">
        <x:v>14</x:v>
      </x:c>
      <x:c r="L421" s="185" t="str">
        <x:v>Não classificado</x:v>
      </x:c>
    </x:row>
    <x:row r="422">
      <x:c r="A422" s="175" t="str">
        <x:v>11.507.489/0001-09</x:v>
      </x:c>
      <x:c r="B422" s="166" t="str">
        <x:v>BFC FUNDO DE INVESTIMENTO EM DIREITOS CREDITÓRIOS</x:v>
      </x:c>
      <x:c r="C422" s="188" t="n">
        <x:v>335546523.75</x:v>
      </x:c>
      <x:c r="D422" s="166" t="str">
        <x:v>TERCON ASSET MANAGEMENT</x:v>
      </x:c>
      <x:c r="E422" s="166" t="str">
        <x:f>IFERROR(INDEX('Classif Gestoras'!$H$6:$H$462,MATCH(D422,'Classif Gestoras'!$A$6:$A$462,0)),"Não classificada")</x:f>
        <x:v>Independente</x:v>
      </x:c>
      <x:c r="F422" s="166" t="str">
        <x:v>Singulare</x:v>
      </x:c>
      <x:c r="G422" s="166" t="str">
        <x:v>QI CORRETORA DE TÍTULOS E VALORES MOBILIÁRIOS S.A.</x:v>
      </x:c>
      <x:c r="H422" s="166" t="str">
        <x:v>Fomento Mercantil</x:v>
      </x:c>
      <x:c r="I422" s="166" t="str">
        <x:v>Fomento Mercantil</x:v>
      </x:c>
      <x:c r="J422" s="166" t="str">
        <x:v>CI</x:v>
      </x:c>
      <x:c r="K422" s="172" t="n">
        <x:v>11</x:v>
      </x:c>
      <x:c r="L422" s="185" t="str">
        <x:v>Não classificado</x:v>
      </x:c>
    </x:row>
    <x:row r="423">
      <x:c r="A423" s="175" t="str">
        <x:v>48.887.873/0001-94</x:v>
      </x:c>
      <x:c r="B423" s="166" t="str">
        <x:v>DJF IV FUNDO DE INVESTIMENTO EM DIREITOS CREDITÓRIOS- RESPONSABILIDADE LIMITADA</x:v>
      </x:c>
      <x:c r="C423" s="188" t="n">
        <x:v>335528925.59999996</x:v>
      </x:c>
      <x:c r="D423" s="166" t="str">
        <x:v>JIVE INVESTMENTS</x:v>
      </x:c>
      <x:c r="E423" s="166" t="str">
        <x:f>IFERROR(INDEX('Classif Gestoras'!$H$6:$H$462,MATCH(D423,'Classif Gestoras'!$A$6:$A$462,0)),"Não classificada")</x:f>
        <x:v>Independente</x:v>
      </x:c>
      <x:c r="F423" s="166" t="str">
        <x:v>MAF Distribuidora de Títulos e Valores Mobiliários S.A.</x:v>
      </x:c>
      <x:c r="G423" s="166" t="str">
        <x:v>MAF DISTRIBUIDORA DE TITULOS E VALORES MOBILIARIOS S.A.</x:v>
      </x:c>
      <x:c r="H423" s="166" t="str">
        <x:v>Outros</x:v>
      </x:c>
      <x:c r="I423" s="166" t="str">
        <x:v>Recuperação</x:v>
      </x:c>
      <x:c r="J423" s="166" t="str">
        <x:v>CI</x:v>
      </x:c>
      <x:c r="K423" s="172" t="n">
        <x:v>4</x:v>
      </x:c>
      <x:c r="L423" s="185" t="str">
        <x:v>Não classificado</x:v>
      </x:c>
    </x:row>
    <x:row r="424">
      <x:c r="A424" s="175" t="str">
        <x:v>54.980.022/0001-94</x:v>
      </x:c>
      <x:c r="B424" s="166" t="str">
        <x:v>BLC IV MASTER FUNDO DE INVESTIMENTO EM DIREITOS CREDITÓRIOS</x:v>
      </x:c>
      <x:c r="C424" s="188" t="n">
        <x:v>334719464.73999995</x:v>
      </x:c>
      <x:c r="D424" s="166" t="str">
        <x:v>Jus Capital Gestão de Recursos LTDA</x:v>
      </x:c>
      <x:c r="E424" s="166" t="str">
        <x:f>IFERROR(INDEX('Classif Gestoras'!$H$6:$H$462,MATCH(D424,'Classif Gestoras'!$A$6:$A$462,0)),"Não classificada")</x:f>
        <x:v>Independente</x:v>
      </x:c>
      <x:c r="F424" s="166" t="str">
        <x:v>Singulare</x:v>
      </x:c>
      <x:c r="G424" s="166" t="str">
        <x:v>QI CORRETORA DE TÍTULOS E VALORES MOBILIÁRIOS S.A.</x:v>
      </x:c>
      <x:c r="H424" s="166" t="str">
        <x:v>Outros</x:v>
      </x:c>
      <x:c r="I424" s="166" t="str">
        <x:v>Poder Público</x:v>
      </x:c>
      <x:c r="J424" s="166" t="str">
        <x:v>CI</x:v>
      </x:c>
      <x:c r="K424" s="172" t="n">
        <x:v>3</x:v>
      </x:c>
      <x:c r="L424" s="185" t="str">
        <x:v>Não classificado</x:v>
      </x:c>
    </x:row>
    <x:row r="425">
      <x:c r="A425" s="175" t="str">
        <x:v>26.690.373/0001-25</x:v>
      </x:c>
      <x:c r="B425" s="166" t="str">
        <x:v>SIMPLIC FUNDO DE INVESTIMENTO EM DIREITOS CREDITÓRIOS - RESPONSABILIDADE LIMITADA</x:v>
      </x:c>
      <x:c r="C425" s="188" t="n">
        <x:v>333404901.09</x:v>
      </x:c>
      <x:c r="D425" s="166" t="str">
        <x:v>POLÍGONO CAPITAL LTDA.</x:v>
      </x:c>
      <x:c r="E425" s="166" t="str">
        <x:f>IFERROR(INDEX('Classif Gestoras'!$H$6:$H$462,MATCH(D425,'Classif Gestoras'!$A$6:$A$462,0)),"Não classificada")</x:f>
        <x:v>Independente</x:v>
      </x:c>
      <x:c r="F425" s="166" t="str">
        <x:v>Limine Trust Distribuidora de Titulos e Valores Mobiliá</x:v>
      </x:c>
      <x:c r="G425" s="166" t="str">
        <x:v>LIMINE TRUST DISTRIBUIDORA DE TITULOS E VALORES MOBILIARIOS LTDA.</x:v>
      </x:c>
      <x:c r="H425" s="166" t="str">
        <x:v>Financeiro</x:v>
      </x:c>
      <x:c r="I425" s="166" t="str">
        <x:v>Crédito Pessoal</x:v>
      </x:c>
      <x:c r="J425" s="166" t="str">
        <x:v>CI</x:v>
      </x:c>
      <x:c r="K425" s="172" t="n">
        <x:v>1</x:v>
      </x:c>
      <x:c r="L425" s="185" t="str">
        <x:v>Não classificado</x:v>
      </x:c>
    </x:row>
    <x:row r="426">
      <x:c r="A426" s="175" t="str">
        <x:v>40.895.649/0001-32</x:v>
      </x:c>
      <x:c r="B426" s="166" t="str">
        <x:v>AUDAX CAPITAL FUNDO DE INVESTIMENTO EM DIREITOS CREDITÓRIOS</x:v>
      </x:c>
      <x:c r="C426" s="188" t="n">
        <x:v>332850691.92999995</x:v>
      </x:c>
      <x:c r="D426" s="166" t="str">
        <x:v>TERCON ASSET MANAGEMENT</x:v>
      </x:c>
      <x:c r="E426" s="166" t="str">
        <x:f>IFERROR(INDEX('Classif Gestoras'!$H$6:$H$462,MATCH(D426,'Classif Gestoras'!$A$6:$A$462,0)),"Não classificada")</x:f>
        <x:v>Independente</x:v>
      </x:c>
      <x:c r="F426" s="166" t="str">
        <x:v>Singulare</x:v>
      </x:c>
      <x:c r="G426" s="166" t="str">
        <x:v>QI CORRETORA DE TÍTULOS E VALORES MOBILIÁRIOS S.A.</x:v>
      </x:c>
      <x:c r="H426" s="166" t="str">
        <x:v>Fomento Mercantil</x:v>
      </x:c>
      <x:c r="I426" s="166" t="str">
        <x:v>Fomento Mercantil</x:v>
      </x:c>
      <x:c r="J426" s="166" t="str">
        <x:v>CI</x:v>
      </x:c>
      <x:c r="K426" s="172" t="n">
        <x:v>78</x:v>
      </x:c>
      <x:c r="L426" s="185" t="str">
        <x:v>Não classificado</x:v>
      </x:c>
    </x:row>
    <x:row r="427">
      <x:c r="A427" s="175" t="str">
        <x:v>12.254.372/0001-23</x:v>
      </x:c>
      <x:c r="B427" s="166" t="str">
        <x:v>GARSON - FUNDO DE INVESTIMENTO EM DIREITOS CREDITÓRIOS</x:v>
      </x:c>
      <x:c r="C427" s="188" t="n">
        <x:v>330230004.13000005</x:v>
      </x:c>
      <x:c r="D427" s="166" t="str">
        <x:v>M8 Partners</x:v>
      </x:c>
      <x:c r="E427" s="166" t="str">
        <x:f>IFERROR(INDEX('Classif Gestoras'!$H$6:$H$462,MATCH(D427,'Classif Gestoras'!$A$6:$A$462,0)),"Não classificada")</x:f>
        <x:v>Independente</x:v>
      </x:c>
      <x:c r="F427" s="166" t="str">
        <x:v>HEMERA DTVM</x:v>
      </x:c>
      <x:c r="G427" s="166" t="str">
        <x:v>HEMERA DISTRIBUIDORA DE TITULOS E VALORES MOBILIARIOS LTDA</x:v>
      </x:c>
      <x:c r="H427" s="166" t="str">
        <x:v>Outros</x:v>
      </x:c>
      <x:c r="I427" s="166" t="str">
        <x:v>Multicarteira Outros</x:v>
      </x:c>
      <x:c r="J427" s="166" t="str">
        <x:v>CI</x:v>
      </x:c>
      <x:c r="K427" s="172" t="n">
        <x:v>75</x:v>
      </x:c>
      <x:c r="L427" s="185" t="str">
        <x:v>Não classificado</x:v>
      </x:c>
    </x:row>
    <x:row r="428">
      <x:c r="A428" s="175" t="str">
        <x:v>32.388.171/0001-26</x:v>
      </x:c>
      <x:c r="B428" s="166" t="str">
        <x:v>UNIQUE II FUNDO DE INVESTIMENTO EM DIREITOS CREDITÓRIOS</x:v>
      </x:c>
      <x:c r="C428" s="188" t="n">
        <x:v>330094049.46</x:v>
      </x:c>
      <x:c r="D428" s="166" t="str">
        <x:v>Soma Asset</x:v>
      </x:c>
      <x:c r="E428" s="166" t="str">
        <x:f>IFERROR(INDEX('Classif Gestoras'!$H$6:$H$462,MATCH(D428,'Classif Gestoras'!$A$6:$A$462,0)),"Não classificada")</x:f>
        <x:v>Independente</x:v>
      </x:c>
      <x:c r="F428" s="166" t="str">
        <x:v>Singulare</x:v>
      </x:c>
      <x:c r="G428" s="166" t="str">
        <x:v>QI CORRETORA DE TÍTULOS E VALORES MOBILIÁRIOS S.A.</x:v>
      </x:c>
      <x:c r="H428" s="166" t="str">
        <x:v>Fomento Mercantil</x:v>
      </x:c>
      <x:c r="I428" s="166" t="str">
        <x:v>Fomento Mercantil</x:v>
      </x:c>
      <x:c r="J428" s="166" t="str">
        <x:v>CI</x:v>
      </x:c>
      <x:c r="K428" s="172" t="n">
        <x:v>63</x:v>
      </x:c>
      <x:c r="L428" s="185" t="str">
        <x:v>Não classificado</x:v>
      </x:c>
    </x:row>
    <x:row r="429">
      <x:c r="A429" s="175" t="str">
        <x:v>22.802.113/0001-43</x:v>
      </x:c>
      <x:c r="B429" s="166" t="str">
        <x:v>FUNDO DE INVESTIMENTO EM DIREITOS CREDITÓRIOS MUSTANG MULTICARTEIRA - RESPONSABILIDADE LIMITADA</x:v>
      </x:c>
      <x:c r="C429" s="188" t="n">
        <x:v>328487540.70000005</x:v>
      </x:c>
      <x:c r="D429" s="166" t="str">
        <x:v>Oliveira Trust Servicer</x:v>
      </x:c>
      <x:c r="E429" s="166" t="str">
        <x:f>IFERROR(INDEX('Classif Gestoras'!$H$6:$H$462,MATCH(D429,'Classif Gestoras'!$A$6:$A$462,0)),"Não classificada")</x:f>
        <x:v>Independente</x:v>
      </x:c>
      <x:c r="F429" s="166" t="str">
        <x:v>Oliveira Trust DTVM</x:v>
      </x:c>
      <x:c r="G429" s="166" t="str">
        <x:v>OLIVEIRA TRUST DTVM S.A.</x:v>
      </x:c>
      <x:c r="H429" s="166" t="str">
        <x:v>Outros</x:v>
      </x:c>
      <x:c r="I429" s="166" t="str">
        <x:v>Multicarteira Outros</x:v>
      </x:c>
      <x:c r="J429" s="166" t="str">
        <x:v>CI</x:v>
      </x:c>
      <x:c r="K429" s="172" t="n">
        <x:v>1</x:v>
      </x:c>
      <x:c r="L429" s="185" t="str">
        <x:v>Não classificado</x:v>
      </x:c>
    </x:row>
    <x:row r="430">
      <x:c r="A430" s="175" t="str">
        <x:v>53.553.002/0001-74</x:v>
      </x:c>
      <x:c r="B430" s="166" t="str">
        <x:v>JIVE DISTRESSED &amp; SPECIAL SITS IV (QUALIFICADO) FIDC - RESPONSABILIDADE LIMITADA</x:v>
      </x:c>
      <x:c r="C430" s="188" t="n">
        <x:v>327074102.13</x:v>
      </x:c>
      <x:c r="D430" s="166" t="str">
        <x:v>JIVE INVESTMENTS</x:v>
      </x:c>
      <x:c r="E430" s="166" t="str">
        <x:f>IFERROR(INDEX('Classif Gestoras'!$H$6:$H$462,MATCH(D430,'Classif Gestoras'!$A$6:$A$462,0)),"Não classificada")</x:f>
        <x:v>Independente</x:v>
      </x:c>
      <x:c r="F430" s="166" t="str">
        <x:v>MAF Distribuidora de Títulos e Valores Mobiliários S.A.</x:v>
      </x:c>
      <x:c r="G430" s="166" t="str">
        <x:v>MAF DISTRIBUIDORA DE TITULOS E VALORES MOBILIARIOS S.A.</x:v>
      </x:c>
      <x:c r="H430" s="166" t="str">
        <x:v>Outros</x:v>
      </x:c>
      <x:c r="I430" s="166" t="str">
        <x:v>Multicarteira Outros</x:v>
      </x:c>
      <x:c r="J430" s="166" t="str">
        <x:v>CI</x:v>
      </x:c>
      <x:c r="K430" s="172" t="n">
        <x:v>1</x:v>
      </x:c>
      <x:c r="L430" s="185" t="str">
        <x:v>Não classificado</x:v>
      </x:c>
    </x:row>
    <x:row r="431">
      <x:c r="A431" s="175" t="str">
        <x:v>62.339.527/0001-00</x:v>
      </x:c>
      <x:c r="B431" s="166" t="str">
        <x:v>FIDC UP.P CONSIGNADO PRIVADO - RESP LIMITADA</x:v>
      </x:c>
      <x:c r="C431" s="188" t="n">
        <x:v>326154531.18</x:v>
      </x:c>
      <x:c r="D431" s="166" t="str">
        <x:v>ANGÁ ASSET MANAGEMENT</x:v>
      </x:c>
      <x:c r="E431" s="166" t="str">
        <x:f>IFERROR(INDEX('Classif Gestoras'!$H$6:$H$462,MATCH(D431,'Classif Gestoras'!$A$6:$A$462,0)),"Não classificada")</x:f>
        <x:v>Independente</x:v>
      </x:c>
      <x:c r="F431" s="166" t="str">
        <x:v>BANCO DAYCOVAL S/A</x:v>
      </x:c>
      <x:c r="G431" s="166" t="str">
        <x:v>BANCO DAYCOVAL S.A.</x:v>
      </x:c>
      <x:c r="H431" s="166" t="str">
        <x:v>Financeiro</x:v>
      </x:c>
      <x:c r="I431" s="166" t="str">
        <x:v>Crédito Consignado</x:v>
      </x:c>
      <x:c r="J431" s="166" t="str">
        <x:v>CI</x:v>
      </x:c>
      <x:c r="K431" s="172" t="n">
        <x:v>42</x:v>
      </x:c>
      <x:c r="L431" s="185" t="str">
        <x:v>Não classificado</x:v>
      </x:c>
    </x:row>
    <x:row r="432">
      <x:c r="A432" s="175" t="str">
        <x:v>59.904.247/0001-85</x:v>
      </x:c>
      <x:c r="B432" s="166" t="str">
        <x:v>LEPTA MULTISETORIAL FUNDO DE INVESTIMENTO EM DIREITOS CREDITÓRIOS</x:v>
      </x:c>
      <x:c r="C432" s="188" t="n">
        <x:v>326065550.5</x:v>
      </x:c>
      <x:c r="D432" s="166" t="str">
        <x:v>M8 Partners</x:v>
      </x:c>
      <x:c r="E432" s="166" t="str">
        <x:f>IFERROR(INDEX('Classif Gestoras'!$H$6:$H$462,MATCH(D432,'Classif Gestoras'!$A$6:$A$462,0)),"Não classificada")</x:f>
        <x:v>Independente</x:v>
      </x:c>
      <x:c r="F432" s="166" t="str">
        <x:v>HEMERA DTVM</x:v>
      </x:c>
      <x:c r="G432" s="166" t="str">
        <x:v>HEMERA DISTRIBUIDORA DE TITULOS E VALORES MOBILIARIOS LTDA</x:v>
      </x:c>
      <x:c r="H432" s="166" t="str">
        <x:v>Financeiro</x:v>
      </x:c>
      <x:c r="I432" s="166" t="str">
        <x:v>Multicarteira Financeiro</x:v>
      </x:c>
      <x:c r="J432" s="166" t="str">
        <x:v>CI</x:v>
      </x:c>
      <x:c r="K432" s="172" t="n">
        <x:v>24</x:v>
      </x:c>
      <x:c r="L432" s="185" t="str">
        <x:v>Não classificado</x:v>
      </x:c>
    </x:row>
    <x:row r="433">
      <x:c r="A433" s="175" t="str">
        <x:v>59.086.325/0001-81</x:v>
      </x:c>
      <x:c r="B433" s="166" t="str">
        <x:v>CONSIGNADOS IX FUNDO DE INVESTIMENTO EM DIREITOS CREDITÓRIOS - RESPONSABILIDADE LIMITADA</x:v>
      </x:c>
      <x:c r="C433" s="188" t="n">
        <x:v>324050696.19</x:v>
      </x:c>
      <x:c r="D433" s="166" t="str">
        <x:v>BRZ Gestão de Recursos</x:v>
      </x:c>
      <x:c r="E433" s="166" t="str">
        <x:f>IFERROR(INDEX('Classif Gestoras'!$H$6:$H$462,MATCH(D433,'Classif Gestoras'!$A$6:$A$462,0)),"Não classificada")</x:f>
        <x:v>Independente</x:v>
      </x:c>
      <x:c r="F433" s="166" t="str">
        <x:v>Singulare</x:v>
      </x:c>
      <x:c r="G433" s="166" t="str">
        <x:v>QI CORRETORA DE TÍTULOS E VALORES MOBILIÁRIOS S.A.</x:v>
      </x:c>
      <x:c r="H433" s="166" t="str">
        <x:v>Financeiro</x:v>
      </x:c>
      <x:c r="I433" s="166" t="str">
        <x:v>Crédito Consignado</x:v>
      </x:c>
      <x:c r="J433" s="166" t="str">
        <x:v>CI</x:v>
      </x:c>
      <x:c r="K433" s="172" t="n">
        <x:v>82</x:v>
      </x:c>
      <x:c r="L433" s="185" t="str">
        <x:v>Não classificado</x:v>
      </x:c>
    </x:row>
    <x:row r="434">
      <x:c r="A434" s="175" t="str">
        <x:v>62.191.905/0001-43</x:v>
      </x:c>
      <x:c r="B434" s="166" t="str">
        <x:v>PARANÁ II FIDC DO SEGMENTO AGRONEGÓCIO - RESPONSABILIDADE LIMITADA</x:v>
      </x:c>
      <x:c r="C434" s="188" t="n">
        <x:v>323326925.18</x:v>
      </x:c>
      <x:c r="D434" s="166" t="str">
        <x:v>SUNO ASSET MANAGEMENT</x:v>
      </x:c>
      <x:c r="E434" s="166" t="str">
        <x:f>IFERROR(INDEX('Classif Gestoras'!$H$6:$H$462,MATCH(D434,'Classif Gestoras'!$A$6:$A$462,0)),"Não classificada")</x:f>
        <x:v>Independente</x:v>
      </x:c>
      <x:c r="F434" s="166" t="str">
        <x:v>Genial Investimentos Corretora de Valores Mobiliários S.A.</x:v>
      </x:c>
      <x:c r="G434" s="166" t="str">
        <x:v>BANCO GENIAL S.A.</x:v>
      </x:c>
      <x:c r="H434" s="166" t="str">
        <x:v>Agro, Indústria e Comércio</x:v>
      </x:c>
      <x:c r="I434" s="166" t="str">
        <x:v>Multicarteira Agro, Indústria e Comércio</x:v>
      </x:c>
      <x:c r="J434" s="166" t="str">
        <x:v>CI</x:v>
      </x:c>
      <x:c r="K434" s="172" t="n">
        <x:v>2</x:v>
      </x:c>
      <x:c r="L434" s="185" t="str">
        <x:v>Não classificado</x:v>
      </x:c>
    </x:row>
    <x:row r="435">
      <x:c r="A435" s="175" t="str">
        <x:v>08.756.222/0001-40</x:v>
      </x:c>
      <x:c r="B435" s="166" t="str">
        <x:v>FUNDO DE INVESTIMENTO EM DIREITOS CREDITORIOS MULTISSETORIAL TRADEMAX RESPONSABILIDADE LIMITADA</x:v>
      </x:c>
      <x:c r="C435" s="188" t="n">
        <x:v>323251457.33</x:v>
      </x:c>
      <x:c r="D435" s="166" t="str">
        <x:v>Paraguaçu Investimentos</x:v>
      </x:c>
      <x:c r="E435" s="166" t="str">
        <x:f>IFERROR(INDEX('Classif Gestoras'!$H$6:$H$462,MATCH(D435,'Classif Gestoras'!$A$6:$A$462,0)),"Não classificada")</x:f>
        <x:v>Independente</x:v>
      </x:c>
      <x:c r="F435" s="166" t="str">
        <x:v>Singulare</x:v>
      </x:c>
      <x:c r="G435" s="166" t="str">
        <x:v>QI CORRETORA DE TÍTULOS E VALORES MOBILIÁRIOS S.A.</x:v>
      </x:c>
      <x:c r="H435" s="166" t="str">
        <x:v>Outros</x:v>
      </x:c>
      <x:c r="I435" s="166" t="str">
        <x:v>Multicarteira Outros</x:v>
      </x:c>
      <x:c r="J435" s="166" t="str">
        <x:v>CI</x:v>
      </x:c>
      <x:c r="K435" s="172" t="n">
        <x:v>62</x:v>
      </x:c>
      <x:c r="L435" s="185" t="str">
        <x:v>Não classificado</x:v>
      </x:c>
    </x:row>
    <x:row r="436">
      <x:c r="A436" s="175" t="str">
        <x:v>50.151.440/0001-18</x:v>
      </x:c>
      <x:c r="B436" s="166" t="str">
        <x:v>LASSIE 2 CRÉDITOS JUDICIAIS FUNDO DE INVESTIMENTO EM DIREITOS CREDITÓRIOS</x:v>
      </x:c>
      <x:c r="C436" s="188" t="n">
        <x:v>323028811.58</x:v>
      </x:c>
      <x:c r="D436" s="166" t="str">
        <x:v>LASS CAPITAL</x:v>
      </x:c>
      <x:c r="E436" s="166" t="str">
        <x:f>IFERROR(INDEX('Classif Gestoras'!$H$6:$H$462,MATCH(D436,'Classif Gestoras'!$A$6:$A$462,0)),"Não classificada")</x:f>
        <x:v>Independente</x:v>
      </x:c>
      <x:c r="F436" s="166" t="str">
        <x:v>BTG Pactual Servicos Financeiros S/A DTVM</x:v>
      </x:c>
      <x:c r="G436" s="166" t="str">
        <x:v>BANCO BTG PACTUAL S/A</x:v>
      </x:c>
      <x:c r="H436" s="166" t="str">
        <x:v>Outros</x:v>
      </x:c>
      <x:c r="I436" s="166" t="str">
        <x:v>Poder Público</x:v>
      </x:c>
      <x:c r="J436" s="166" t="str">
        <x:v>CI</x:v>
      </x:c>
      <x:c r="K436" s="172" t="n">
        <x:v>2</x:v>
      </x:c>
      <x:c r="L436" s="185" t="str">
        <x:v>Não classificado</x:v>
      </x:c>
    </x:row>
    <x:row r="437">
      <x:c r="A437" s="175" t="str">
        <x:v>61.641.236/0001-00</x:v>
      </x:c>
      <x:c r="B437" s="166" t="str">
        <x:v>JIVE ALM CP FIDC DE RESP ILIMITADA</x:v>
      </x:c>
      <x:c r="C437" s="188" t="n">
        <x:v>322708082.87</x:v>
      </x:c>
      <x:c r="D437" s="166" t="str">
        <x:v>JIVE HIGH YIELD GESTÃO DE RECURSOS LTDA</x:v>
      </x:c>
      <x:c r="E437" s="166" t="str">
        <x:f>IFERROR(INDEX('Classif Gestoras'!$H$6:$H$462,MATCH(D437,'Classif Gestoras'!$A$6:$A$462,0)),"Não classificada")</x:f>
        <x:v>Independente</x:v>
      </x:c>
      <x:c r="F437" s="166" t="str">
        <x:v>BANCO DAYCOVAL S/A</x:v>
      </x:c>
      <x:c r="G437" s="166" t="str">
        <x:v>BANCO DAYCOVAL S.A.</x:v>
      </x:c>
      <x:c r="H437" s="166" t="str">
        <x:v>Financeiro</x:v>
      </x:c>
      <x:c r="I437" s="166" t="str">
        <x:v>Multicarteira Financeiro</x:v>
      </x:c>
      <x:c r="J437" s="166" t="str">
        <x:v>CI</x:v>
      </x:c>
      <x:c r="K437" s="172" t="n">
        <x:v>2</x:v>
      </x:c>
      <x:c r="L437" s="185" t="str">
        <x:v>Não classificado</x:v>
      </x:c>
    </x:row>
    <x:row r="438">
      <x:c r="A438" s="175" t="str">
        <x:v>08.315.045/0001-67</x:v>
      </x:c>
      <x:c r="B438" s="166" t="str">
        <x:v>HOPE I FUNDO DE INVESTIMENTO EM DIREITOS CREDITÓRIOS MULTISSEGMENTOS</x:v>
      </x:c>
      <x:c r="C438" s="188" t="n">
        <x:v>321201696.60999995</x:v>
      </x:c>
      <x:c r="D438" s="166" t="str">
        <x:v>HOPE ASSET</x:v>
      </x:c>
      <x:c r="E438" s="166" t="str">
        <x:f>IFERROR(INDEX('Classif Gestoras'!$H$6:$H$462,MATCH(D438,'Classif Gestoras'!$A$6:$A$462,0)),"Não classificada")</x:f>
        <x:v>Independente</x:v>
      </x:c>
      <x:c r="F438" s="166" t="str">
        <x:v>Finaxis Corretora de Títulos e Valores Mobiliários S.A.</x:v>
      </x:c>
      <x:c r="G438" s="166" t="str">
        <x:v>BANCO FINAXIS S.A.</x:v>
      </x:c>
      <x:c r="H438" s="166" t="str">
        <x:v>Fomento Mercantil</x:v>
      </x:c>
      <x:c r="I438" s="166" t="str">
        <x:v>Fomento Mercantil</x:v>
      </x:c>
      <x:c r="J438" s="166" t="str">
        <x:v>CI</x:v>
      </x:c>
      <x:c r="K438" s="172" t="n">
        <x:v>40</x:v>
      </x:c>
      <x:c r="L438" s="185" t="str">
        <x:v>Não classificado</x:v>
      </x:c>
    </x:row>
    <x:row r="439">
      <x:c r="A439" s="175" t="str">
        <x:v>28.194.817/0001-67</x:v>
      </x:c>
      <x:c r="B439" s="166" t="str">
        <x:v>CREDVALE FUNDO DE INVESTIMENTO EM DIREITOS CREDITORIOS MULTISSETORIAL</x:v>
      </x:c>
      <x:c r="C439" s="188" t="n">
        <x:v>320944084.16999996</x:v>
      </x:c>
      <x:c r="D439" s="166" t="str">
        <x:v>OURO PRETO INVESTIMENTOS</x:v>
      </x:c>
      <x:c r="E439" s="166" t="str">
        <x:f>IFERROR(INDEX('Classif Gestoras'!$H$6:$H$462,MATCH(D439,'Classif Gestoras'!$A$6:$A$462,0)),"Não classificada")</x:f>
        <x:v>Independente</x:v>
      </x:c>
      <x:c r="F439" s="166" t="str">
        <x:v>Singulare</x:v>
      </x:c>
      <x:c r="G439" s="166" t="str">
        <x:v>QI CORRETORA DE TÍTULOS E VALORES MOBILIÁRIOS S.A.</x:v>
      </x:c>
      <x:c r="H439" s="166" t="str">
        <x:v>Fomento Mercantil</x:v>
      </x:c>
      <x:c r="I439" s="166" t="str">
        <x:v>Fomento Mercantil</x:v>
      </x:c>
      <x:c r="J439" s="166" t="str">
        <x:v>CI</x:v>
      </x:c>
      <x:c r="K439" s="172" t="n">
        <x:v>13</x:v>
      </x:c>
      <x:c r="L439" s="185" t="str">
        <x:v>Não classificado</x:v>
      </x:c>
    </x:row>
    <x:row r="440">
      <x:c r="A440" s="175" t="str">
        <x:v>57.832.889/0001-90</x:v>
      </x:c>
      <x:c r="B440" s="166" t="str">
        <x:v>ALDEBARAN III FUNDO DE INVESTIMENTO EM DIREITOS CREDITÓRIOS - RESPONSABILIDADE LIMITADA</x:v>
      </x:c>
      <x:c r="C440" s="188" t="n">
        <x:v>320682906.38</x:v>
      </x:c>
      <x:c r="D440" s="166" t="str">
        <x:v>Emerald Gestão de Investimento</x:v>
      </x:c>
      <x:c r="E440" s="166" t="str">
        <x:f>IFERROR(INDEX('Classif Gestoras'!$H$6:$H$462,MATCH(D440,'Classif Gestoras'!$A$6:$A$462,0)),"Não classificada")</x:f>
        <x:v>Independente</x:v>
      </x:c>
      <x:c r="F440" s="166" t="str">
        <x:v>BANCO J. SAFRA S/A</x:v>
      </x:c>
      <x:c r="G440" s="166" t="str">
        <x:v>OLIVEIRA TRUST DTVM S.A.</x:v>
      </x:c>
      <x:c r="H440" s="166" t="str">
        <x:v>Outros</x:v>
      </x:c>
      <x:c r="I440" s="166" t="str">
        <x:v>Multicarteira Outros</x:v>
      </x:c>
      <x:c r="J440" s="166" t="str">
        <x:v>CI</x:v>
      </x:c>
      <x:c r="K440" s="172" t="n">
        <x:v>2</x:v>
      </x:c>
      <x:c r="L440" s="185" t="str">
        <x:v>Não classificado</x:v>
      </x:c>
    </x:row>
    <x:row r="441">
      <x:c r="A441" s="175" t="str">
        <x:v>23.750.225/0001-60</x:v>
      </x:c>
      <x:c r="B441" s="166" t="str">
        <x:v>TRAÇÃO FINANCEIRA FUNDO DE INVESTIMENTO EM DIREITOS CREDITÓRIOS - RESPONSABILIDADE LIMITADA</x:v>
      </x:c>
      <x:c r="C441" s="188" t="n">
        <x:v>319184931.33</x:v>
      </x:c>
      <x:c r="D441" s="166" t="str">
        <x:v>ARTESANAL FINANCEIRO</x:v>
      </x:c>
      <x:c r="E441" s="166" t="str">
        <x:f>IFERROR(INDEX('Classif Gestoras'!$H$6:$H$462,MATCH(D441,'Classif Gestoras'!$A$6:$A$462,0)),"Não classificada")</x:f>
        <x:v>Independente</x:v>
      </x:c>
      <x:c r="F441" s="166" t="str">
        <x:v>Singulare</x:v>
      </x:c>
      <x:c r="G441" s="166" t="str">
        <x:v>QI CORRETORA DE TÍTULOS E VALORES MOBILIÁRIOS S.A.</x:v>
      </x:c>
      <x:c r="H441" s="166" t="str">
        <x:v>Agro, Indústria e Comércio</x:v>
      </x:c>
      <x:c r="I441" s="166" t="str">
        <x:v>Multicarteira Agro, Indústria e Comércio</x:v>
      </x:c>
      <x:c r="J441" s="166" t="str">
        <x:v>CI</x:v>
      </x:c>
      <x:c r="K441" s="172" t="n">
        <x:v>32</x:v>
      </x:c>
      <x:c r="L441" s="185" t="str">
        <x:v>Não classificado</x:v>
      </x:c>
    </x:row>
    <x:row r="442">
      <x:c r="A442" s="175" t="str">
        <x:v>10.462.494/0001-80</x:v>
      </x:c>
      <x:c r="B442" s="166" t="str">
        <x:v>PRINCIPAL CLASSE DE INVESTIMENTO EM DIREITOS CRÉDITÓRIOS RESPONSABILIDADE LIMITADA</x:v>
      </x:c>
      <x:c r="C442" s="188" t="n">
        <x:v>319050902.84</x:v>
      </x:c>
      <x:c r="D442" s="166" t="str">
        <x:v>V8 Capital</x:v>
      </x:c>
      <x:c r="E442" s="166" t="str">
        <x:f>IFERROR(INDEX('Classif Gestoras'!$H$6:$H$462,MATCH(D442,'Classif Gestoras'!$A$6:$A$462,0)),"Não classificada")</x:f>
        <x:v>Independente</x:v>
      </x:c>
      <x:c r="F442" s="166" t="str">
        <x:v>S3 Caceis Brasil Distribuidora de Títulos e Valores Mob</x:v>
      </x:c>
      <x:c r="G442" s="166" t="str">
        <x:v>S3 CACEIS BRASIL DISTRIBUIDORA DE TITULOS E VALORES MOBILIARIOS S.A</x:v>
      </x:c>
      <x:c r="H442" s="166" t="str">
        <x:v>Outros</x:v>
      </x:c>
      <x:c r="I442" s="166" t="str">
        <x:v>Multicarteira Outros</x:v>
      </x:c>
      <x:c r="J442" s="166" t="str">
        <x:v>CI</x:v>
      </x:c>
      <x:c r="K442" s="172" t="n">
        <x:v>1</x:v>
      </x:c>
      <x:c r="L442" s="185" t="str">
        <x:v>Não classificado</x:v>
      </x:c>
    </x:row>
    <x:row r="443">
      <x:c r="A443" s="175" t="str">
        <x:v>57.660.236/0001-71</x:v>
      </x:c>
      <x:c r="B443" s="166" t="str">
        <x:v>INTRA SOLIDEZ FUNDO DE INVESTIMENTO EM DIREITOS CREDITÓRIOS</x:v>
      </x:c>
      <x:c r="C443" s="188" t="n">
        <x:v>318415191.18</x:v>
      </x:c>
      <x:c r="D443" s="166" t="str">
        <x:v>Intrabank Asset</x:v>
      </x:c>
      <x:c r="E443" s="166" t="str">
        <x:f>IFERROR(INDEX('Classif Gestoras'!$H$6:$H$462,MATCH(D443,'Classif Gestoras'!$A$6:$A$462,0)),"Não classificada")</x:f>
        <x:v>Independente</x:v>
      </x:c>
      <x:c r="F443" s="166" t="str">
        <x:v>HEMERA DTVM</x:v>
      </x:c>
      <x:c r="G443" s="166" t="str">
        <x:v>HEMERA DISTRIBUIDORA DE TITULOS E VALORES MOBILIARIOS LTDA</x:v>
      </x:c>
      <x:c r="H443" s="166" t="str">
        <x:v>Financeiro</x:v>
      </x:c>
      <x:c r="I443" s="166" t="str">
        <x:v>Multicarteira Financeiro</x:v>
      </x:c>
      <x:c r="J443" s="166" t="str">
        <x:v>CI</x:v>
      </x:c>
      <x:c r="K443" s="172" t="n">
        <x:v>53</x:v>
      </x:c>
      <x:c r="L443" s="185" t="str">
        <x:v>Não classificado</x:v>
      </x:c>
    </x:row>
    <x:row r="444">
      <x:c r="A444" s="175" t="str">
        <x:v>52.258.255/0001-52</x:v>
      </x:c>
      <x:c r="B444" s="166" t="str">
        <x:v>BINVEST FUNDO DE INVESTIMENTO EM DIREITOS CREDITÓRIOS RESPONSABILIDADE LIMITADA</x:v>
      </x:c>
      <x:c r="C444" s="188" t="n">
        <x:v>317135575.46</x:v>
      </x:c>
      <x:c r="D444" s="166" t="str">
        <x:v>Catálise Investimentos</x:v>
      </x:c>
      <x:c r="E444" s="166" t="str">
        <x:f>IFERROR(INDEX('Classif Gestoras'!$H$6:$H$462,MATCH(D444,'Classif Gestoras'!$A$6:$A$462,0)),"Não classificada")</x:f>
        <x:v>Independente</x:v>
      </x:c>
      <x:c r="F444" s="166" t="str">
        <x:v>ID Corretora de Títulos e Valores Mobiliários S.A.</x:v>
      </x:c>
      <x:c r="G444" s="166" t="str">
        <x:v>ID CORRETORA DE TITULOS E VALORES MOBILIARIOS S.A.</x:v>
      </x:c>
      <x:c r="H444" s="166" t="str">
        <x:v>Outros</x:v>
      </x:c>
      <x:c r="I444" s="166" t="str">
        <x:v>Multicarteira Outros</x:v>
      </x:c>
      <x:c r="J444" s="166" t="str">
        <x:v>CI</x:v>
      </x:c>
      <x:c r="K444" s="172" t="n">
        <x:v>50</x:v>
      </x:c>
      <x:c r="L444" s="185" t="str">
        <x:v>Não classificado</x:v>
      </x:c>
    </x:row>
    <x:row r="445">
      <x:c r="A445" s="175" t="str">
        <x:v>56.844.535/0001-01</x:v>
      </x:c>
      <x:c r="B445" s="166" t="str">
        <x:v>SARFATY CRÉDITO CORPORATIVO FUNDO DE INVESTIMENTO EM DIREITOS CREDITÓRIOS</x:v>
      </x:c>
      <x:c r="C445" s="188" t="n">
        <x:v>317004553.51</x:v>
      </x:c>
      <x:c r="D445" s="166" t="str">
        <x:v>SARFATY ASSET</x:v>
      </x:c>
      <x:c r="E445" s="166" t="str">
        <x:f>IFERROR(INDEX('Classif Gestoras'!$H$6:$H$462,MATCH(D445,'Classif Gestoras'!$A$6:$A$462,0)),"Não classificada")</x:f>
        <x:v>Independente</x:v>
      </x:c>
      <x:c r="F445" s="166" t="str">
        <x:v>HEMERA DTVM</x:v>
      </x:c>
      <x:c r="G445" s="166" t="str">
        <x:v>HEMERA DISTRIBUIDORA DE TITULOS E VALORES MOBILIARIOS LTDA</x:v>
      </x:c>
      <x:c r="H445" s="166" t="str">
        <x:v>Outros</x:v>
      </x:c>
      <x:c r="I445" s="166" t="str">
        <x:v>Multicarteira Outros</x:v>
      </x:c>
      <x:c r="J445" s="166" t="str">
        <x:v>CI</x:v>
      </x:c>
      <x:c r="K445" s="172" t="n">
        <x:v>47</x:v>
      </x:c>
      <x:c r="L445" s="185" t="str">
        <x:v>Não classificado</x:v>
      </x:c>
    </x:row>
    <x:row r="446">
      <x:c r="A446" s="175" t="str">
        <x:v>44.179.672/0001-81</x:v>
      </x:c>
      <x:c r="B446" s="166" t="str">
        <x:v>LATACHE CRÉDITO ESTRUTURADO FIDC</x:v>
      </x:c>
      <x:c r="C446" s="188" t="n">
        <x:v>316405470.87</x:v>
      </x:c>
      <x:c r="D446" s="166" t="str">
        <x:v>Latache Capital</x:v>
      </x:c>
      <x:c r="E446" s="166" t="str">
        <x:f>IFERROR(INDEX('Classif Gestoras'!$H$6:$H$462,MATCH(D446,'Classif Gestoras'!$A$6:$A$462,0)),"Não classificada")</x:f>
        <x:v>Independente</x:v>
      </x:c>
      <x:c r="F446" s="166" t="str">
        <x:v>BRL TRUST DTVM</x:v>
      </x:c>
      <x:c r="G446" s="166" t="str">
        <x:v>BRL TRUST DISTRIBUIDORA DE TITULOS E VALORES MOBILIARIOS S.A.</x:v>
      </x:c>
      <x:c r="H446" s="166" t="str">
        <x:v>Outros</x:v>
      </x:c>
      <x:c r="I446" s="166" t="str">
        <x:v>Recuperação</x:v>
      </x:c>
      <x:c r="J446" s="166" t="str">
        <x:v>CI</x:v>
      </x:c>
      <x:c r="K446" s="172" t="n">
        <x:v>1</x:v>
      </x:c>
      <x:c r="L446" s="185" t="str">
        <x:v>Não classificado</x:v>
      </x:c>
    </x:row>
    <x:row r="447">
      <x:c r="A447" s="175" t="str">
        <x:v>54.851.094/0001-31</x:v>
      </x:c>
      <x:c r="B447" s="166" t="str">
        <x:v>VERDE AM IPÊ FUNDO DE INVESTIMENTO EM DIREITOS CREDITÓRIOS RESPONSABILIDADE LIMITADA</x:v>
      </x:c>
      <x:c r="C447" s="188" t="n">
        <x:v>315903988.43829995</x:v>
      </x:c>
      <x:c r="D447" s="166" t="str">
        <x:v>Verde Asset Management S.A.</x:v>
      </x:c>
      <x:c r="E447" s="166" t="str">
        <x:f>IFERROR(INDEX('Classif Gestoras'!$H$6:$H$462,MATCH(D447,'Classif Gestoras'!$A$6:$A$462,0)),"Não classificada")</x:f>
        <x:v>Independente</x:v>
      </x:c>
      <x:c r="F447" s="166" t="str">
        <x:v>BTG Pactual Servicos Financeiros S/A DTVM</x:v>
      </x:c>
      <x:c r="G447" s="166" t="str">
        <x:v>BANCO BTG PACTUAL S/A</x:v>
      </x:c>
      <x:c r="H447" s="166" t="str">
        <x:v>Outros</x:v>
      </x:c>
      <x:c r="I447" s="166" t="str">
        <x:v>Multicarteira Outros</x:v>
      </x:c>
      <x:c r="J447" s="166" t="str">
        <x:v>CI</x:v>
      </x:c>
      <x:c r="K447" s="172" t="n">
        <x:v>750</x:v>
      </x:c>
      <x:c r="L447" s="185" t="str">
        <x:v>Não classificado</x:v>
      </x:c>
    </x:row>
    <x:row r="448">
      <x:c r="A448" s="175" t="str">
        <x:v>62.303.024/0001-77</x:v>
      </x:c>
      <x:c r="B448" s="166" t="str">
        <x:v>PRISMA AUTO LOANS FUNDO DE INVESTIMENTO EM DIREITOS CREDITÓRIOS</x:v>
      </x:c>
      <x:c r="C448" s="188" t="n">
        <x:v>314406505.89000005</x:v>
      </x:c>
      <x:c r="D448" s="166" t="str">
        <x:v>PRISMA PRIVATE CREDIT</x:v>
      </x:c>
      <x:c r="E448" s="166" t="str">
        <x:f>IFERROR(INDEX('Classif Gestoras'!$H$6:$H$462,MATCH(D448,'Classif Gestoras'!$A$6:$A$462,0)),"Não classificada")</x:f>
        <x:v>Independente</x:v>
      </x:c>
      <x:c r="F448" s="166" t="str">
        <x:v>FIDD DISTRIBUIDORA DE TITULOS E VALORES MOBILIARIOS LTD</x:v>
      </x:c>
      <x:c r="G448" s="166" t="str">
        <x:v>FIDD DISTRIBUIDORA DE TITULOS E VALORES MOBILIARIOS LTDA.</x:v>
      </x:c>
      <x:c r="H448" s="166" t="str">
        <x:v>Outros</x:v>
      </x:c>
      <x:c r="I448" s="166" t="str">
        <x:v>Multicarteira Outros</x:v>
      </x:c>
      <x:c r="J448" s="166" t="str">
        <x:v>CI</x:v>
      </x:c>
      <x:c r="K448" s="172" t="n">
        <x:v>2</x:v>
      </x:c>
      <x:c r="L448" s="185" t="str">
        <x:v>Não classificado</x:v>
      </x:c>
    </x:row>
    <x:row r="449">
      <x:c r="A449" s="175" t="str">
        <x:v>53.823.295/0001-62</x:v>
      </x:c>
      <x:c r="B449" s="166" t="str">
        <x:v>ITAÚ HIMALAIA PRIVATE MARKETS FUNDO DE INVESTIMENTO EM DIREITOS CREDITÓRIOS RESPONSABILIDADE LIMITAD</x:v>
      </x:c>
      <x:c r="C449" s="188" t="n">
        <x:v>313553650.62</x:v>
      </x:c>
      <x:c r="D449" s="166" t="str">
        <x:v>ITAU ASSET</x:v>
      </x:c>
      <x:c r="E449" s="166" t="str">
        <x:f>IFERROR(INDEX('Classif Gestoras'!$H$6:$H$462,MATCH(D449,'Classif Gestoras'!$A$6:$A$462,0)),"Não classificada")</x:f>
        <x:v>Ligada a banco</x:v>
      </x:c>
      <x:c r="F449" s="166" t="str">
        <x:v>INTRAG DIST. DE TÍTU</x:v>
      </x:c>
      <x:c r="G449" s="166" t="str">
        <x:v>ITAU UNIBANCO S.A.</x:v>
      </x:c>
      <x:c r="H449" s="166" t="str">
        <x:v>Outros</x:v>
      </x:c>
      <x:c r="I449" s="166" t="str">
        <x:v>Multicarteira Outros</x:v>
      </x:c>
      <x:c r="J449" s="166" t="str">
        <x:v>CI</x:v>
      </x:c>
      <x:c r="K449" s="172" t="n">
        <x:v>1</x:v>
      </x:c>
      <x:c r="L449" s="185" t="str">
        <x:v>Não classificado</x:v>
      </x:c>
    </x:row>
    <x:row r="450">
      <x:c r="A450" s="175" t="str">
        <x:v>42.605.322/0001-04</x:v>
      </x:c>
      <x:c r="B450" s="166" t="str">
        <x:v>OPHIR FUNDO DE INVESTIMENTO EM DIREITOS CREDITÓRIOS</x:v>
      </x:c>
      <x:c r="C450" s="188" t="n">
        <x:v>313125520.01000005</x:v>
      </x:c>
      <x:c r="D450" s="166" t="str">
        <x:v>TERCON ASSET MANAGEMENT</x:v>
      </x:c>
      <x:c r="E450" s="166" t="str">
        <x:f>IFERROR(INDEX('Classif Gestoras'!$H$6:$H$462,MATCH(D450,'Classif Gestoras'!$A$6:$A$462,0)),"Não classificada")</x:f>
        <x:v>Independente</x:v>
      </x:c>
      <x:c r="F450" s="166" t="str">
        <x:v>Singulare</x:v>
      </x:c>
      <x:c r="G450" s="166" t="str">
        <x:v>QI CORRETORA DE TÍTULOS E VALORES MOBILIÁRIOS S.A.</x:v>
      </x:c>
      <x:c r="H450" s="166" t="str">
        <x:v>Fomento Mercantil</x:v>
      </x:c>
      <x:c r="I450" s="166" t="str">
        <x:v>Fomento Mercantil</x:v>
      </x:c>
      <x:c r="J450" s="166" t="str">
        <x:v>CI</x:v>
      </x:c>
      <x:c r="K450" s="172" t="n">
        <x:v>98</x:v>
      </x:c>
      <x:c r="L450" s="185" t="str">
        <x:v>Não classificado</x:v>
      </x:c>
    </x:row>
    <x:row r="451">
      <x:c r="A451" s="175" t="str">
        <x:v>24.506.071/0001-29</x:v>
      </x:c>
      <x:c r="B451" s="166" t="str">
        <x:v>VIA CAPITAL ARTEMUS FUNDO DE INVESTIMENTO EM DIREITOS CREDITÓRIOS MULTISSETORIAL</x:v>
      </x:c>
      <x:c r="C451" s="188" t="n">
        <x:v>312483280.17</x:v>
      </x:c>
      <x:c r="D451" s="166" t="str">
        <x:v>OURO PRETO INVESTIMENTOS</x:v>
      </x:c>
      <x:c r="E451" s="166" t="str">
        <x:f>IFERROR(INDEX('Classif Gestoras'!$H$6:$H$462,MATCH(D451,'Classif Gestoras'!$A$6:$A$462,0)),"Não classificada")</x:f>
        <x:v>Independente</x:v>
      </x:c>
      <x:c r="F451" s="166" t="str">
        <x:v>Singulare</x:v>
      </x:c>
      <x:c r="G451" s="166" t="str">
        <x:v>QI CORRETORA DE TÍTULOS E VALORES MOBILIÁRIOS S.A.</x:v>
      </x:c>
      <x:c r="H451" s="166" t="str">
        <x:v>Fomento Mercantil</x:v>
      </x:c>
      <x:c r="I451" s="166" t="str">
        <x:v>Fomento Mercantil</x:v>
      </x:c>
      <x:c r="J451" s="166" t="str">
        <x:v>CI</x:v>
      </x:c>
      <x:c r="K451" s="172" t="n">
        <x:v>90</x:v>
      </x:c>
      <x:c r="L451" s="185" t="str">
        <x:v>Não classificado</x:v>
      </x:c>
    </x:row>
    <x:row r="452">
      <x:c r="A452" s="175" t="str">
        <x:v>53.323.703/0001-17</x:v>
      </x:c>
      <x:c r="B452" s="166" t="str">
        <x:v>REAL MINAS 2 FUNDO DE INVESTIMENTO EM DIREITOS CREDITÓRIOS</x:v>
      </x:c>
      <x:c r="C452" s="188" t="n">
        <x:v>312442689.77</x:v>
      </x:c>
      <x:c r="D452" s="166" t="str">
        <x:v>Capri Investimentos Ltda.</x:v>
      </x:c>
      <x:c r="E452" s="166" t="str">
        <x:f>IFERROR(INDEX('Classif Gestoras'!$H$6:$H$462,MATCH(D452,'Classif Gestoras'!$A$6:$A$462,0)),"Não classificada")</x:f>
        <x:v>Independente</x:v>
      </x:c>
      <x:c r="F452" s="166" t="str">
        <x:v>Oliveira Trust DTVM</x:v>
      </x:c>
      <x:c r="G452" s="166" t="str">
        <x:v>OLIVEIRA TRUST DTVM S.A.</x:v>
      </x:c>
      <x:c r="H452" s="166" t="str">
        <x:v>Outros</x:v>
      </x:c>
      <x:c r="I452" s="166" t="str">
        <x:v>Multicarteira Outros</x:v>
      </x:c>
      <x:c r="J452" s="166" t="str">
        <x:v>CI</x:v>
      </x:c>
      <x:c r="K452" s="172" t="n">
        <x:v>4</x:v>
      </x:c>
      <x:c r="L452" s="185" t="str">
        <x:v>Não classificado</x:v>
      </x:c>
    </x:row>
    <x:row r="453">
      <x:c r="A453" s="175" t="str">
        <x:v>42.196.119/0001-21</x:v>
      </x:c>
      <x:c r="B453" s="166" t="str">
        <x:v>CEDARS CAPITAL FUNDO DE INVESTIMENTO EM DIREITOS CREDITÓRIOS</x:v>
      </x:c>
      <x:c r="C453" s="188" t="n">
        <x:v>312040050.29</x:v>
      </x:c>
      <x:c r="D453" s="166" t="str">
        <x:v>Latache Capital</x:v>
      </x:c>
      <x:c r="E453" s="166" t="str">
        <x:f>IFERROR(INDEX('Classif Gestoras'!$H$6:$H$462,MATCH(D453,'Classif Gestoras'!$A$6:$A$462,0)),"Não classificada")</x:f>
        <x:v>Independente</x:v>
      </x:c>
      <x:c r="F453" s="166" t="str">
        <x:v>BRL TRUST DTVM</x:v>
      </x:c>
      <x:c r="G453" s="166" t="str">
        <x:v>BRL TRUST DISTRIBUIDORA DE TITULOS E VALORES MOBILIARIOS S.A.</x:v>
      </x:c>
      <x:c r="H453" s="166" t="str">
        <x:v>Outros</x:v>
      </x:c>
      <x:c r="I453" s="166" t="str">
        <x:v>Multicarteira Outros</x:v>
      </x:c>
      <x:c r="J453" s="166" t="str">
        <x:v>CI</x:v>
      </x:c>
      <x:c r="K453" s="172" t="n">
        <x:v>2</x:v>
      </x:c>
      <x:c r="L453" s="185" t="str">
        <x:v>Não classificado</x:v>
      </x:c>
    </x:row>
    <x:row r="454">
      <x:c r="A454" s="175" t="str">
        <x:v>29.720.595/0001-31</x:v>
      </x:c>
      <x:c r="B454" s="166" t="str">
        <x:v>DISTRESSED FUNDO DE INVESTIMENTO EM DIREITOS CREDITÓRIOS MULTISEGMENTOS DE RESPONSABILIDADE LIMITADA</x:v>
      </x:c>
      <x:c r="C454" s="188" t="n">
        <x:v>311179173.11</x:v>
      </x:c>
      <x:c r="D454" s="166" t="str">
        <x:v>Solis</x:v>
      </x:c>
      <x:c r="E454" s="166" t="str">
        <x:f>IFERROR(INDEX('Classif Gestoras'!$H$6:$H$462,MATCH(D454,'Classif Gestoras'!$A$6:$A$462,0)),"Não classificada")</x:f>
        <x:v>Independente</x:v>
      </x:c>
      <x:c r="F454" s="166" t="str">
        <x:v>HEMERA DTVM</x:v>
      </x:c>
      <x:c r="G454" s="166" t="str">
        <x:v>HEMERA DISTRIBUIDORA DE TITULOS E VALORES MOBILIARIOS LTDA</x:v>
      </x:c>
      <x:c r="H454" s="166" t="str">
        <x:v>Fomento Mercantil</x:v>
      </x:c>
      <x:c r="I454" s="166" t="str">
        <x:v>Fomento Mercantil</x:v>
      </x:c>
      <x:c r="J454" s="166" t="str">
        <x:v>CI</x:v>
      </x:c>
      <x:c r="K454" s="172" t="n">
        <x:v>4</x:v>
      </x:c>
      <x:c r="L454" s="185" t="str">
        <x:v>Não classificado</x:v>
      </x:c>
    </x:row>
    <x:row r="455">
      <x:c r="A455" s="175" t="str">
        <x:v>52.596.071/0001-00</x:v>
      </x:c>
      <x:c r="B455" s="166" t="str">
        <x:v>CONSIGNADO PLGN I FUNDO DE INVESTIMENTO EM DIREITOS CREDITÓRIOS RESPONSABILIDADE LIMITADA</x:v>
      </x:c>
      <x:c r="C455" s="188" t="n">
        <x:v>311132757.22</x:v>
      </x:c>
      <x:c r="D455" s="166" t="str">
        <x:v>POLÍGONO CAPITAL LTDA.</x:v>
      </x:c>
      <x:c r="E455" s="166" t="str">
        <x:f>IFERROR(INDEX('Classif Gestoras'!$H$6:$H$462,MATCH(D455,'Classif Gestoras'!$A$6:$A$462,0)),"Não classificada")</x:f>
        <x:v>Independente</x:v>
      </x:c>
      <x:c r="F455" s="166" t="str">
        <x:v>BTG Pactual Servicos Financeiros S/A DTVM</x:v>
      </x:c>
      <x:c r="G455" s="166" t="str">
        <x:v>BANCO BTG PACTUAL S/A</x:v>
      </x:c>
      <x:c r="H455" s="166" t="str">
        <x:v>Financeiro</x:v>
      </x:c>
      <x:c r="I455" s="166" t="str">
        <x:v>Crédito Pessoal</x:v>
      </x:c>
      <x:c r="J455" s="166" t="str">
        <x:v>CI</x:v>
      </x:c>
      <x:c r="K455" s="172" t="n">
        <x:v>30</x:v>
      </x:c>
      <x:c r="L455" s="185" t="str">
        <x:v>Não classificado</x:v>
      </x:c>
    </x:row>
    <x:row r="456">
      <x:c r="A456" s="175" t="str">
        <x:v>62.790.827/0001-01</x:v>
      </x:c>
      <x:c r="B456" s="166" t="str">
        <x:v>MRV PRÓ SOLUTO I FUNDO DE INVESTIMENTO EM DIREITOS CREDITÓRIOS IMOBILIÁRIOS DE RESP LIMITADA</x:v>
      </x:c>
      <x:c r="C456" s="188" t="n">
        <x:v>310502472.96</x:v>
      </x:c>
      <x:c r="D456" s="166" t="str">
        <x:v>Riza Securitização e Carteiras</x:v>
      </x:c>
      <x:c r="E456" s="166" t="str">
        <x:f>IFERROR(INDEX('Classif Gestoras'!$H$6:$H$462,MATCH(D456,'Classif Gestoras'!$A$6:$A$462,0)),"Não classificada")</x:f>
        <x:v>Independente</x:v>
      </x:c>
      <x:c r="F456" s="166" t="str">
        <x:v>Oliveira Trust DTVM</x:v>
      </x:c>
      <x:c r="G456" s="166" t="str">
        <x:v>OLIVEIRA TRUST DTVM S.A.</x:v>
      </x:c>
      <x:c r="H456" s="166" t="str">
        <x:v>Financeiro</x:v>
      </x:c>
      <x:c r="I456" s="166" t="str">
        <x:v>Crédito Imobiliário</x:v>
      </x:c>
      <x:c r="J456" s="166" t="str">
        <x:v>CI</x:v>
      </x:c>
      <x:c r="K456" s="172" t="n">
        <x:v>20</x:v>
      </x:c>
      <x:c r="L456" s="185" t="str">
        <x:v>Não classificado</x:v>
      </x:c>
    </x:row>
    <x:row r="457">
      <x:c r="A457" s="175" t="str">
        <x:v>54.248.022/0001-02</x:v>
      </x:c>
      <x:c r="B457" s="166" t="str">
        <x:v>CLOUDWALK BIG PICTURE IV FUNDO DE INVESTIMENTO EM DIREITOS CREDITÓRIOS SEGMENTO MEIOS DE PAGAMENTO</x:v>
      </x:c>
      <x:c r="C457" s="188" t="n">
        <x:v>309918155.46999997</x:v>
      </x:c>
      <x:c r="D457" s="166" t="str">
        <x:v>GENIAL GESTÃO LTDA.</x:v>
      </x:c>
      <x:c r="E457" s="166" t="str">
        <x:f>IFERROR(INDEX('Classif Gestoras'!$H$6:$H$462,MATCH(D457,'Classif Gestoras'!$A$6:$A$462,0)),"Não classificada")</x:f>
        <x:v>Ligada a banco</x:v>
      </x:c>
      <x:c r="F457" s="166" t="str">
        <x:v>Banco Genial S.A.</x:v>
      </x:c>
      <x:c r="G457" s="166" t="str">
        <x:v>BANCO GENIAL S.A.</x:v>
      </x:c>
      <x:c r="H457" s="166" t="str">
        <x:v>Agro, Indústria e Comércio</x:v>
      </x:c>
      <x:c r="I457" s="166" t="str">
        <x:v>Recebíveis Comerciais</x:v>
      </x:c>
      <x:c r="J457" s="166" t="str">
        <x:v>CI</x:v>
      </x:c>
      <x:c r="K457" s="172" t="n">
        <x:v>60</x:v>
      </x:c>
      <x:c r="L457" s="185" t="str">
        <x:v>Não classificado</x:v>
      </x:c>
    </x:row>
    <x:row r="458">
      <x:c r="A458" s="175" t="str">
        <x:v>63.657.457/0001-93</x:v>
      </x:c>
      <x:c r="B458" s="166" t="str">
        <x:v>MSV3 FUNDO DE INVESTIMENTO EM DIREITOS CREDITÓRIOS RECEBÍVEIS COMERCIAIS RESPONSABILIDADE LIMITADA</x:v>
      </x:c>
      <x:c r="C458" s="188" t="n">
        <x:v>308852909.28</x:v>
      </x:c>
      <x:c r="D458" s="166" t="str">
        <x:v>Vinci Gestora de Recursos LTDA</x:v>
      </x:c>
      <x:c r="E458" s="166" t="str">
        <x:f>IFERROR(INDEX('Classif Gestoras'!$H$6:$H$462,MATCH(D458,'Classif Gestoras'!$A$6:$A$462,0)),"Não classificada")</x:f>
        <x:v>Independente</x:v>
      </x:c>
      <x:c r="F458" s="166" t="str">
        <x:v>Singulare</x:v>
      </x:c>
      <x:c r="G458" s="166" t="str">
        <x:v>QI CORRETORA DE TÍTULOS E VALORES MOBILIÁRIOS S.A.</x:v>
      </x:c>
      <x:c r="H458" s="166" t="str">
        <x:v>Agro, Indústria e Comércio</x:v>
      </x:c>
      <x:c r="I458" s="166" t="str">
        <x:v>Recebíveis Comerciais</x:v>
      </x:c>
      <x:c r="J458" s="166" t="str">
        <x:v>CI</x:v>
      </x:c>
      <x:c r="K458" s="172" t="n">
        <x:v>21</x:v>
      </x:c>
      <x:c r="L458" s="185" t="str">
        <x:v>Não classificado</x:v>
      </x:c>
    </x:row>
    <x:row r="459">
      <x:c r="A459" s="175" t="str">
        <x:v>22.235.997/0001-00</x:v>
      </x:c>
      <x:c r="B459" s="166" t="str">
        <x:v>FUNDO DE INVESTIMENTO EM DIREITOS CREDITÓRIOS ABERTO EAN</x:v>
      </x:c>
      <x:c r="C459" s="188" t="n">
        <x:v>307479668.16999996</x:v>
      </x:c>
      <x:c r="D459" s="166" t="str">
        <x:v>SOD Capital Ltda.</x:v>
      </x:c>
      <x:c r="E459" s="166" t="str">
        <x:f>IFERROR(INDEX('Classif Gestoras'!$H$6:$H$462,MATCH(D459,'Classif Gestoras'!$A$6:$A$462,0)),"Não classificada")</x:f>
        <x:v>Independente</x:v>
      </x:c>
      <x:c r="F459" s="166" t="str">
        <x:v>BRL TRUST DTVM</x:v>
      </x:c>
      <x:c r="G459" s="166" t="str">
        <x:v>BRL TRUST DISTRIBUIDORA DE TITULOS E VALORES MOBILIARIOS S.A.</x:v>
      </x:c>
      <x:c r="H459" s="166" t="str">
        <x:v>Outros</x:v>
      </x:c>
      <x:c r="I459" s="166" t="str">
        <x:v>Multicarteira Outros</x:v>
      </x:c>
      <x:c r="J459" s="166" t="str">
        <x:v>CI</x:v>
      </x:c>
      <x:c r="K459" s="172" t="n">
        <x:v>1</x:v>
      </x:c>
      <x:c r="L459" s="185" t="str">
        <x:v>Não classificado</x:v>
      </x:c>
    </x:row>
    <x:row r="460">
      <x:c r="A460" s="175" t="str">
        <x:v>62.015.452/0001-02</x:v>
      </x:c>
      <x:c r="B460" s="166" t="str">
        <x:v>JC CARBON FUNDO DE INVESTIMENTO EM DIREITOS CREDITÓRIOS</x:v>
      </x:c>
      <x:c r="C460" s="188" t="n">
        <x:v>307145181.8000001</x:v>
      </x:c>
      <x:c r="D460" s="166" t="str">
        <x:v>Jus Capital Gestão de Recursos LTDA</x:v>
      </x:c>
      <x:c r="E460" s="166" t="str">
        <x:f>IFERROR(INDEX('Classif Gestoras'!$H$6:$H$462,MATCH(D460,'Classif Gestoras'!$A$6:$A$462,0)),"Não classificada")</x:f>
        <x:v>Independente</x:v>
      </x:c>
      <x:c r="F460" s="166" t="str">
        <x:v>Singulare</x:v>
      </x:c>
      <x:c r="G460" s="166" t="str">
        <x:v>QI CORRETORA DE TÍTULOS E VALORES MOBILIÁRIOS S.A.</x:v>
      </x:c>
      <x:c r="H460" s="166" t="str">
        <x:v>Outros</x:v>
      </x:c>
      <x:c r="I460" s="166" t="str">
        <x:v>Poder Público</x:v>
      </x:c>
      <x:c r="J460" s="166" t="str">
        <x:v>CI</x:v>
      </x:c>
      <x:c r="K460" s="172" t="n">
        <x:v>3</x:v>
      </x:c>
      <x:c r="L460" s="185" t="str">
        <x:v>Não classificado</x:v>
      </x:c>
    </x:row>
    <x:row r="461">
      <x:c r="A461" s="175" t="str">
        <x:v>51.306.712/0001-74</x:v>
      </x:c>
      <x:c r="B461" s="166" t="str">
        <x:v>ATF FUNDO DE INVESTIMENTO EM DIREITOS CREDITÓRIOS RESPONSABILIDADE LIMITADA</x:v>
      </x:c>
      <x:c r="C461" s="188" t="n">
        <x:v>306981289.6600001</x:v>
      </x:c>
      <x:c r="D461" s="166" t="str">
        <x:v>TERCON ASSET MANAGEMENT</x:v>
      </x:c>
      <x:c r="E461" s="166" t="str">
        <x:f>IFERROR(INDEX('Classif Gestoras'!$H$6:$H$462,MATCH(D461,'Classif Gestoras'!$A$6:$A$462,0)),"Não classificada")</x:f>
        <x:v>Independente</x:v>
      </x:c>
      <x:c r="F461" s="166" t="str">
        <x:v>Singulare</x:v>
      </x:c>
      <x:c r="G461" s="166" t="str">
        <x:v>QI CORRETORA DE TÍTULOS E VALORES MOBILIÁRIOS S.A.</x:v>
      </x:c>
      <x:c r="H461" s="166" t="str">
        <x:v>Fomento Mercantil</x:v>
      </x:c>
      <x:c r="I461" s="166" t="str">
        <x:v>Fomento Mercantil</x:v>
      </x:c>
      <x:c r="J461" s="166" t="str">
        <x:v>CI</x:v>
      </x:c>
      <x:c r="K461" s="172" t="n">
        <x:v>18</x:v>
      </x:c>
      <x:c r="L461" s="185" t="str">
        <x:v>Não classificado</x:v>
      </x:c>
    </x:row>
    <x:row r="462">
      <x:c r="A462" s="175" t="str">
        <x:v>47.846.781/0001-01</x:v>
      </x:c>
      <x:c r="B462" s="166" t="str">
        <x:v>ZENIT FUNDO DE INVESTIMENTO EM DIREITOS CREDITÓRIOS - RESPONSABILIDADE LIMITADA</x:v>
      </x:c>
      <x:c r="C462" s="188" t="n">
        <x:v>306852791.4</x:v>
      </x:c>
      <x:c r="D462" s="166" t="str">
        <x:v>Mercury Gestão de Recursos Ltda.</x:v>
      </x:c>
      <x:c r="E462" s="166" t="str">
        <x:f>IFERROR(INDEX('Classif Gestoras'!$H$6:$H$462,MATCH(D462,'Classif Gestoras'!$A$6:$A$462,0)),"Não classificada")</x:f>
        <x:v>Independente</x:v>
      </x:c>
      <x:c r="F462" s="166" t="str">
        <x:v>HEMERA DTVM</x:v>
      </x:c>
      <x:c r="G462" s="166" t="str">
        <x:v>HEMERA DISTRIBUIDORA DE TITULOS E VALORES MOBILIARIOS LTDA</x:v>
      </x:c>
      <x:c r="H462" s="166" t="str">
        <x:v>Outros</x:v>
      </x:c>
      <x:c r="I462" s="166" t="str">
        <x:v>Multicarteira Outros</x:v>
      </x:c>
      <x:c r="J462" s="166" t="str">
        <x:v>CI</x:v>
      </x:c>
      <x:c r="K462" s="172" t="n">
        <x:v>2</x:v>
      </x:c>
      <x:c r="L462" s="185" t="str">
        <x:v>Não classificado</x:v>
      </x:c>
    </x:row>
    <x:row r="463">
      <x:c r="A463" s="175" t="str">
        <x:v>53.744.997/0001-50</x:v>
      </x:c>
      <x:c r="B463" s="166" t="str">
        <x:v>ALGARVE LEGAL CLAIMS II FUNDO DE INVESTIMENTO EM DIREITOS CREDITÓRIOS - RESPONSABILIDADE LIMITADA</x:v>
      </x:c>
      <x:c r="C463" s="188" t="n">
        <x:v>305729986.58000004</x:v>
      </x:c>
      <x:c r="D463" s="166" t="str">
        <x:v>Algarve Capital</x:v>
      </x:c>
      <x:c r="E463" s="166" t="str">
        <x:f>IFERROR(INDEX('Classif Gestoras'!$H$6:$H$462,MATCH(D463,'Classif Gestoras'!$A$6:$A$462,0)),"Não classificada")</x:f>
        <x:v>Independente</x:v>
      </x:c>
      <x:c r="F463" s="166" t="str">
        <x:v>BRL TRUST DTVM</x:v>
      </x:c>
      <x:c r="G463" s="166" t="str">
        <x:v>BRL TRUST DISTRIBUIDORA DE TITULOS E VALORES MOBILIARIOS S.A.</x:v>
      </x:c>
      <x:c r="H463" s="166" t="str">
        <x:v>Outros</x:v>
      </x:c>
      <x:c r="I463" s="166" t="str">
        <x:v>Multicarteira Outros</x:v>
      </x:c>
      <x:c r="J463" s="166" t="str">
        <x:v>CI</x:v>
      </x:c>
      <x:c r="K463" s="172" t="n">
        <x:v>1</x:v>
      </x:c>
      <x:c r="L463" s="185" t="str">
        <x:v>Não classificado</x:v>
      </x:c>
    </x:row>
    <x:row r="464">
      <x:c r="A464" s="175" t="str">
        <x:v>09.443.633/0001-49</x:v>
      </x:c>
      <x:c r="B464" s="166" t="str">
        <x:v>FUNDO DE INVESTIMENTO EM DIREITOS CREDITÓRIOS TRATEX PRECATÓRIO III - RESPONSABILIDADE LIMITADA</x:v>
      </x:c>
      <x:c r="C464" s="188" t="n">
        <x:v>304792651.11999995</x:v>
      </x:c>
      <x:c r="D464" s="166" t="str">
        <x:v>Oliveira Trust DTVM</x:v>
      </x:c>
      <x:c r="E464" s="166" t="str">
        <x:f>IFERROR(INDEX('Classif Gestoras'!$H$6:$H$462,MATCH(D464,'Classif Gestoras'!$A$6:$A$462,0)),"Não classificada")</x:f>
        <x:v>Independente</x:v>
      </x:c>
      <x:c r="F464" s="166" t="str">
        <x:v>Oliveira Trust DTVM</x:v>
      </x:c>
      <x:c r="G464" s="166" t="str">
        <x:v>BANCO BRADESCO S.A.</x:v>
      </x:c>
      <x:c r="H464" s="166" t="str">
        <x:v>Outros</x:v>
      </x:c>
      <x:c r="I464" s="166" t="str">
        <x:v>Poder Público</x:v>
      </x:c>
      <x:c r="J464" s="166" t="str">
        <x:v>CI</x:v>
      </x:c>
      <x:c r="K464" s="172" t="n">
        <x:v>3</x:v>
      </x:c>
      <x:c r="L464" s="185" t="str">
        <x:v>Não classificado</x:v>
      </x:c>
    </x:row>
    <x:row r="465">
      <x:c r="A465" s="175" t="str">
        <x:v>21.081.976/0001-06</x:v>
      </x:c>
      <x:c r="B465" s="166" t="str">
        <x:v>TAIPATSB FUNDO DE INVESTIMENTO EM DIREITOS CREDITÓRIOS MULTISSETORIAL</x:v>
      </x:c>
      <x:c r="C465" s="188" t="n">
        <x:v>304089373.17999995</x:v>
      </x:c>
      <x:c r="D465" s="166" t="str">
        <x:v>OURO PRETO INVESTIMENTOS</x:v>
      </x:c>
      <x:c r="E465" s="166" t="str">
        <x:f>IFERROR(INDEX('Classif Gestoras'!$H$6:$H$462,MATCH(D465,'Classif Gestoras'!$A$6:$A$462,0)),"Não classificada")</x:f>
        <x:v>Independente</x:v>
      </x:c>
      <x:c r="F465" s="166" t="str">
        <x:v>Singulare</x:v>
      </x:c>
      <x:c r="G465" s="166" t="str">
        <x:v>QI CORRETORA DE TÍTULOS E VALORES MOBILIÁRIOS S.A.</x:v>
      </x:c>
      <x:c r="H465" s="166" t="str">
        <x:v>Fomento Mercantil</x:v>
      </x:c>
      <x:c r="I465" s="166" t="str">
        <x:v>Fomento Mercantil</x:v>
      </x:c>
      <x:c r="J465" s="166" t="str">
        <x:v>CI</x:v>
      </x:c>
      <x:c r="K465" s="172" t="n">
        <x:v>12</x:v>
      </x:c>
      <x:c r="L465" s="185" t="str">
        <x:v>Não classificado</x:v>
      </x:c>
    </x:row>
    <x:row r="466">
      <x:c r="A466" s="175" t="str">
        <x:v>52.498.421/0001-98</x:v>
      </x:c>
      <x:c r="B466" s="166" t="str">
        <x:v>SOLAR PUGLIA FUNDO DE INVESTIMENTO EM DIREITOS CREDITÓRIOS RESPONSABILIDADE LIMITADA</x:v>
      </x:c>
      <x:c r="C466" s="188" t="n">
        <x:v>303748934.98</x:v>
      </x:c>
      <x:c r="D466" s="166" t="str">
        <x:v>Iggy Investimentos</x:v>
      </x:c>
      <x:c r="E466" s="166" t="str">
        <x:f>IFERROR(INDEX('Classif Gestoras'!$H$6:$H$462,MATCH(D466,'Classif Gestoras'!$A$6:$A$462,0)),"Não classificada")</x:f>
        <x:v>Independente</x:v>
      </x:c>
      <x:c r="F466" s="166" t="str">
        <x:v>Singulare</x:v>
      </x:c>
      <x:c r="G466" s="166" t="str">
        <x:v>QI CORRETORA DE TÍTULOS E VALORES MOBILIÁRIOS S.A.</x:v>
      </x:c>
      <x:c r="H466" s="166" t="str">
        <x:v>Fomento Mercantil</x:v>
      </x:c>
      <x:c r="I466" s="166" t="str">
        <x:v>Fomento Mercantil</x:v>
      </x:c>
      <x:c r="J466" s="166" t="str">
        <x:v>CI</x:v>
      </x:c>
      <x:c r="K466" s="172" t="n">
        <x:v>31</x:v>
      </x:c>
      <x:c r="L466" s="185" t="str">
        <x:v>Não classificado</x:v>
      </x:c>
    </x:row>
    <x:row r="467">
      <x:c r="A467" s="175" t="str">
        <x:v>54.968.056/0001-63</x:v>
      </x:c>
      <x:c r="B467" s="166" t="str">
        <x:v>TAYA FGTS FUNDO DE INVESTIMENTO EM DIREITOS CREDITÓRIOS - RESPONSABILIDADE LIMITADA</x:v>
      </x:c>
      <x:c r="C467" s="188" t="n">
        <x:v>303734661.23</x:v>
      </x:c>
      <x:c r="D467" s="166" t="str">
        <x:v>SUESTE CAPITAL GESTÃO DE RECURSOS LTDA.</x:v>
      </x:c>
      <x:c r="E467" s="166" t="str">
        <x:f>IFERROR(INDEX('Classif Gestoras'!$H$6:$H$462,MATCH(D467,'Classif Gestoras'!$A$6:$A$462,0)),"Não classificada")</x:f>
        <x:v>Independente</x:v>
      </x:c>
      <x:c r="F467" s="166" t="str">
        <x:v>BANCO DAYCOVAL S/A</x:v>
      </x:c>
      <x:c r="G467" s="166" t="str">
        <x:v>BANCO DAYCOVAL S.A.</x:v>
      </x:c>
      <x:c r="H467" s="166" t="str">
        <x:v>Financeiro</x:v>
      </x:c>
      <x:c r="I467" s="166" t="str">
        <x:v>Crédito Pessoal</x:v>
      </x:c>
      <x:c r="J467" s="166" t="str">
        <x:v>CI</x:v>
      </x:c>
      <x:c r="K467" s="172" t="n">
        <x:v>70</x:v>
      </x:c>
      <x:c r="L467" s="185" t="str">
        <x:v>Não classificado</x:v>
      </x:c>
    </x:row>
    <x:row r="468">
      <x:c r="A468" s="175" t="str">
        <x:v>58.458.416/0001-38</x:v>
      </x:c>
      <x:c r="B468" s="166" t="str">
        <x:v>MT CONSIGNADO PRIVADO II FUNDO DE INVESTIMENTO EM DIREITOS CREDITÓRIOS RESPONSABILIDADE LIMITADA</x:v>
      </x:c>
      <x:c r="C468" s="188" t="n">
        <x:v>303014841.55999994</x:v>
      </x:c>
      <x:c r="D468" s="166" t="str">
        <x:v>ANGÁ ASSET MANAGEMENT</x:v>
      </x:c>
      <x:c r="E468" s="166" t="str">
        <x:f>IFERROR(INDEX('Classif Gestoras'!$H$6:$H$462,MATCH(D468,'Classif Gestoras'!$A$6:$A$462,0)),"Não classificada")</x:f>
        <x:v>Independente</x:v>
      </x:c>
      <x:c r="F468" s="166" t="str">
        <x:v>BANCO DAYCOVAL S/A</x:v>
      </x:c>
      <x:c r="G468" s="166" t="str">
        <x:v>BANCO DAYCOVAL S.A.</x:v>
      </x:c>
      <x:c r="H468" s="166" t="str">
        <x:v>Financeiro</x:v>
      </x:c>
      <x:c r="I468" s="166" t="str">
        <x:v>Crédito Consignado</x:v>
      </x:c>
      <x:c r="J468" s="166" t="str">
        <x:v>CI</x:v>
      </x:c>
      <x:c r="K468" s="172" t="n">
        <x:v>88</x:v>
      </x:c>
      <x:c r="L468" s="185" t="str">
        <x:v>Não classificado</x:v>
      </x:c>
    </x:row>
    <x:row r="469">
      <x:c r="A469" s="175" t="str">
        <x:v>54.218.941/0001-25</x:v>
      </x:c>
      <x:c r="B469" s="166" t="str">
        <x:v>CLOUDWALK BIG PICTURE II FUNDO DE INVESTIMENTO EM DIREITOS CREDITÓRIOS SEGMENTO MEIOS DE PAGAMENTO</x:v>
      </x:c>
      <x:c r="C469" s="188" t="n">
        <x:v>302082480.66999996</x:v>
      </x:c>
      <x:c r="D469" s="166" t="str">
        <x:v>GENIAL GESTÃO LTDA.</x:v>
      </x:c>
      <x:c r="E469" s="166" t="str">
        <x:f>IFERROR(INDEX('Classif Gestoras'!$H$6:$H$462,MATCH(D469,'Classif Gestoras'!$A$6:$A$462,0)),"Não classificada")</x:f>
        <x:v>Ligada a banco</x:v>
      </x:c>
      <x:c r="F469" s="166" t="str">
        <x:v>Banco Genial S.A.</x:v>
      </x:c>
      <x:c r="G469" s="166" t="str">
        <x:v>BANCO GENIAL S.A.</x:v>
      </x:c>
      <x:c r="H469" s="166" t="str">
        <x:v>Agro, Indústria e Comércio</x:v>
      </x:c>
      <x:c r="I469" s="166" t="str">
        <x:v>Recebíveis Comerciais</x:v>
      </x:c>
      <x:c r="J469" s="166" t="str">
        <x:v>CI</x:v>
      </x:c>
      <x:c r="K469" s="172" t="n">
        <x:v>145</x:v>
      </x:c>
      <x:c r="L469" s="185" t="str">
        <x:v>Não classificado</x:v>
      </x:c>
    </x:row>
    <x:row r="470">
      <x:c r="A470" s="175" t="str">
        <x:v>52.073.804/0001-14</x:v>
      </x:c>
      <x:c r="B470" s="166" t="str">
        <x:v>IF-AÇOR FUNDO DE INVESTIMENTO EM DIREITOS CREDITÓRIOS NÃO-PADRONIZADOS RESPONSABILIDADE LIMITADA</x:v>
      </x:c>
      <x:c r="C470" s="188" t="n">
        <x:v>301815713.02000004</x:v>
      </x:c>
      <x:c r="D470" s="166" t="str">
        <x:v>IFCONSULTANT</x:v>
      </x:c>
      <x:c r="E470" s="166" t="str">
        <x:f>IFERROR(INDEX('Classif Gestoras'!$H$6:$H$462,MATCH(D470,'Classif Gestoras'!$A$6:$A$462,0)),"Não classificada")</x:f>
        <x:v>Independente</x:v>
      </x:c>
      <x:c r="F470" s="166" t="str">
        <x:v>ID Corretora de Títulos e Valores Mobiliários S.A.</x:v>
      </x:c>
      <x:c r="G470" s="166" t="str">
        <x:v>ID CORRETORA DE TITULOS E VALORES MOBILIARIOS S.A.</x:v>
      </x:c>
      <x:c r="H470" s="166" t="str">
        <x:v>Outros</x:v>
      </x:c>
      <x:c r="I470" s="166" t="str">
        <x:v>Multicarteira Outros</x:v>
      </x:c>
      <x:c r="J470" s="166" t="str">
        <x:v>CI</x:v>
      </x:c>
      <x:c r="K470" s="172" t="n">
        <x:v>5</x:v>
      </x:c>
      <x:c r="L470" s="185" t="str">
        <x:v>Não classificado</x:v>
      </x:c>
    </x:row>
    <x:row r="471">
      <x:c r="A471" s="175" t="str">
        <x:v>48.905.593/0001-61</x:v>
      </x:c>
      <x:c r="B471" s="166" t="str">
        <x:v>PÁTRIA INFRA CRÉDITO FUNDO DE INVESTIMENTO EM DIREITOS CREDITÓRIOS - RESPONSABILIDADE LIMITADA</x:v>
      </x:c>
      <x:c r="C471" s="188" t="n">
        <x:v>300481172.92999995</x:v>
      </x:c>
      <x:c r="D471" s="166" t="str">
        <x:v>Pátria Investimentos Ltda.</x:v>
      </x:c>
      <x:c r="E471" s="166" t="str">
        <x:f>IFERROR(INDEX('Classif Gestoras'!$H$6:$H$462,MATCH(D471,'Classif Gestoras'!$A$6:$A$462,0)),"Não classificada")</x:f>
        <x:v>Independente</x:v>
      </x:c>
      <x:c r="F471" s="166" t="str">
        <x:v>Oliveira Trust DTVM</x:v>
      </x:c>
      <x:c r="G471" s="166" t="str">
        <x:v>OLIVEIRA TRUST DTVM S.A.</x:v>
      </x:c>
      <x:c r="H471" s="166" t="str">
        <x:v>Agro, Indústria e Comércio</x:v>
      </x:c>
      <x:c r="I471" s="166" t="str">
        <x:v>Infraestrutura</x:v>
      </x:c>
      <x:c r="J471" s="166" t="str">
        <x:v>CI</x:v>
      </x:c>
      <x:c r="K471" s="172" t="n">
        <x:v>8</x:v>
      </x:c>
      <x:c r="L471" s="185" t="str">
        <x:v>Não classificado</x:v>
      </x:c>
    </x:row>
    <x:row r="472">
      <x:c r="A472" s="175" t="str">
        <x:v>62.387.472/0001-04</x:v>
      </x:c>
      <x:c r="B472" s="166" t="str">
        <x:v>DIGGER FIDC - SEGMENTO DE RECEBÍVEIS COMERCIAIS - RESPONSABILIDADE LIMITADA</x:v>
      </x:c>
      <x:c r="C472" s="188" t="n">
        <x:v>300259185.34999996</x:v>
      </x:c>
      <x:c r="D472" s="166" t="str">
        <x:v>Banco Bradesco S/A</x:v>
      </x:c>
      <x:c r="E472" s="166" t="str">
        <x:f>IFERROR(INDEX('Classif Gestoras'!$H$6:$H$462,MATCH(D472,'Classif Gestoras'!$A$6:$A$462,0)),"Não classificada")</x:f>
        <x:v>Ligada a banco</x:v>
      </x:c>
      <x:c r="F472" s="166" t="str">
        <x:v>BEM - DIST. DE TÍTUL</x:v>
      </x:c>
      <x:c r="G472" s="166" t="str">
        <x:v>BANCO BRADESCO S.A.</x:v>
      </x:c>
      <x:c r="H472" s="166" t="str">
        <x:v>Agro, Indústria e Comércio</x:v>
      </x:c>
      <x:c r="I472" s="166" t="str">
        <x:v>Recebíveis Comerciais</x:v>
      </x:c>
      <x:c r="J472" s="166" t="str">
        <x:v>CI</x:v>
      </x:c>
      <x:c r="K472" s="172" t="n">
        <x:v>1</x:v>
      </x:c>
      <x:c r="L472" s="185" t="str">
        <x:v>Não classificado</x:v>
      </x:c>
    </x:row>
    <x:row r="473">
      <x:c r="A473" s="175" t="str">
        <x:v>13.098.860/0001-51</x:v>
      </x:c>
      <x:c r="B473" s="166" t="str">
        <x:v>GFM FUNDO DE INVESTIMENTO EM DIREITOS CREDITÓRIOS MULTICRÉDITO</x:v>
      </x:c>
      <x:c r="C473" s="188" t="n">
        <x:v>299850657.23</x:v>
      </x:c>
      <x:c r="D473" s="166" t="str">
        <x:v>TERCON ASSET MANAGEMENT</x:v>
      </x:c>
      <x:c r="E473" s="166" t="str">
        <x:f>IFERROR(INDEX('Classif Gestoras'!$H$6:$H$462,MATCH(D473,'Classif Gestoras'!$A$6:$A$462,0)),"Não classificada")</x:f>
        <x:v>Independente</x:v>
      </x:c>
      <x:c r="F473" s="166" t="str">
        <x:v>Singulare</x:v>
      </x:c>
      <x:c r="G473" s="166" t="str">
        <x:v>QI CORRETORA DE TÍTULOS E VALORES MOBILIÁRIOS S.A.</x:v>
      </x:c>
      <x:c r="H473" s="166" t="str">
        <x:v>Fomento Mercantil</x:v>
      </x:c>
      <x:c r="I473" s="166" t="str">
        <x:v>Fomento Mercantil</x:v>
      </x:c>
      <x:c r="J473" s="166" t="str">
        <x:v>CI</x:v>
      </x:c>
      <x:c r="K473" s="172" t="n">
        <x:v>86</x:v>
      </x:c>
      <x:c r="L473" s="185" t="str">
        <x:v>Não classificado</x:v>
      </x:c>
    </x:row>
    <x:row r="474">
      <x:c r="A474" s="175" t="str">
        <x:v>46.082.763/0001-20</x:v>
      </x:c>
      <x:c r="B474" s="166" t="str">
        <x:v>MENTORE FUNDO DE INVESTIMENTO EM DIREITOS CREDITÓRIOS - RESPONSABILIDADE LIMITADA</x:v>
      </x:c>
      <x:c r="C474" s="188" t="n">
        <x:v>299794726.52</x:v>
      </x:c>
      <x:c r="D474" s="166" t="str">
        <x:v>Solis</x:v>
      </x:c>
      <x:c r="E474" s="166" t="str">
        <x:f>IFERROR(INDEX('Classif Gestoras'!$H$6:$H$462,MATCH(D474,'Classif Gestoras'!$A$6:$A$462,0)),"Não classificada")</x:f>
        <x:v>Independente</x:v>
      </x:c>
      <x:c r="F474" s="166" t="str">
        <x:v>HEMERA DTVM</x:v>
      </x:c>
      <x:c r="G474" s="166" t="str">
        <x:v>HEMERA DISTRIBUIDORA DE TITULOS E VALORES MOBILIARIOS LTDA</x:v>
      </x:c>
      <x:c r="H474" s="166" t="str">
        <x:v>Financeiro</x:v>
      </x:c>
      <x:c r="I474" s="166" t="str">
        <x:v>Crédito Pessoal</x:v>
      </x:c>
      <x:c r="J474" s="166" t="str">
        <x:v>CI</x:v>
      </x:c>
      <x:c r="K474" s="172" t="n">
        <x:v>57</x:v>
      </x:c>
      <x:c r="L474" s="185" t="str">
        <x:v>Não classificado</x:v>
      </x:c>
    </x:row>
    <x:row r="475">
      <x:c r="A475" s="175" t="str">
        <x:v>55.711.648/0001-68</x:v>
      </x:c>
      <x:c r="B475" s="166" t="str">
        <x:v>RIO BRAVO INLIRA STEFANINI CONSÓRCIO FIDC DE RESPONSABILIDADE LIMITADA</x:v>
      </x:c>
      <x:c r="C475" s="188" t="n">
        <x:v>299792130.36</x:v>
      </x:c>
      <x:c r="D475" s="166" t="str">
        <x:v>Rio Bravo</x:v>
      </x:c>
      <x:c r="E475" s="166" t="str">
        <x:f>IFERROR(INDEX('Classif Gestoras'!$H$6:$H$462,MATCH(D475,'Classif Gestoras'!$A$6:$A$462,0)),"Não classificada")</x:f>
        <x:v>Independente</x:v>
      </x:c>
      <x:c r="F475" s="166" t="str">
        <x:v>BANCO DAYCOVAL S/A</x:v>
      </x:c>
      <x:c r="G475" s="166" t="str">
        <x:v>BANCO DAYCOVAL S.A.</x:v>
      </x:c>
      <x:c r="H475" s="166" t="str">
        <x:v>Financeiro</x:v>
      </x:c>
      <x:c r="I475" s="166" t="str">
        <x:v>Multicarteira Financeiro</x:v>
      </x:c>
      <x:c r="J475" s="166" t="str">
        <x:v>CI</x:v>
      </x:c>
      <x:c r="K475" s="172" t="n">
        <x:v>103</x:v>
      </x:c>
      <x:c r="L475" s="185" t="str">
        <x:v>Não classificado</x:v>
      </x:c>
    </x:row>
    <x:row r="476">
      <x:c r="A476" s="175" t="str">
        <x:v>24.546.098/0001-45</x:v>
      </x:c>
      <x:c r="B476" s="166" t="str">
        <x:v>GII GESTAO INTELIGENTE FUNDO DE INVESTIMENTO EM DIREITOS CREDITORIOS</x:v>
      </x:c>
      <x:c r="C476" s="188" t="n">
        <x:v>298638466.93999994</x:v>
      </x:c>
      <x:c r="D476" s="166" t="str">
        <x:v>TERCON ASSET MANAGEMENT</x:v>
      </x:c>
      <x:c r="E476" s="166" t="str">
        <x:f>IFERROR(INDEX('Classif Gestoras'!$H$6:$H$462,MATCH(D476,'Classif Gestoras'!$A$6:$A$462,0)),"Não classificada")</x:f>
        <x:v>Independente</x:v>
      </x:c>
      <x:c r="F476" s="166" t="str">
        <x:v>Singulare</x:v>
      </x:c>
      <x:c r="G476" s="166" t="str">
        <x:v>QI CORRETORA DE TÍTULOS E VALORES MOBILIÁRIOS S.A.</x:v>
      </x:c>
      <x:c r="H476" s="166" t="str">
        <x:v>Fomento Mercantil</x:v>
      </x:c>
      <x:c r="I476" s="166" t="str">
        <x:v>Fomento Mercantil</x:v>
      </x:c>
      <x:c r="J476" s="166" t="str">
        <x:v>CI</x:v>
      </x:c>
      <x:c r="K476" s="172" t="n">
        <x:v>111</x:v>
      </x:c>
      <x:c r="L476" s="185" t="str">
        <x:v>Não classificado</x:v>
      </x:c>
    </x:row>
    <x:row r="477">
      <x:c r="A477" s="175" t="str">
        <x:v>59.532.738/0001-42</x:v>
      </x:c>
      <x:c r="B477" s="166" t="str">
        <x:v>CP III FUNDO DE INVESTIMENTO EM DIREITOS CREDITÓRIOS RESPONSABILIDADE LIMITADA</x:v>
      </x:c>
      <x:c r="C477" s="188" t="n">
        <x:v>296296992.61</x:v>
      </x:c>
      <x:c r="D477" s="166" t="str">
        <x:v>Lumina</x:v>
      </x:c>
      <x:c r="E477" s="166" t="str">
        <x:f>IFERROR(INDEX('Classif Gestoras'!$H$6:$H$462,MATCH(D477,'Classif Gestoras'!$A$6:$A$462,0)),"Não classificada")</x:f>
        <x:v>Independente</x:v>
      </x:c>
      <x:c r="F477" s="166" t="str">
        <x:v>Singulare</x:v>
      </x:c>
      <x:c r="G477" s="166" t="str">
        <x:v>QI CORRETORA DE TÍTULOS E VALORES MOBILIÁRIOS S.A.</x:v>
      </x:c>
      <x:c r="H477" s="166" t="str">
        <x:v>Outros</x:v>
      </x:c>
      <x:c r="I477" s="166" t="str">
        <x:v>Multicarteira Outros</x:v>
      </x:c>
      <x:c r="J477" s="166" t="str">
        <x:v>CI</x:v>
      </x:c>
      <x:c r="K477" s="172" t="n">
        <x:v>8</x:v>
      </x:c>
      <x:c r="L477" s="185" t="str">
        <x:v>Não classificado</x:v>
      </x:c>
    </x:row>
    <x:row r="478">
      <x:c r="A478" s="175" t="str">
        <x:v>21.053.898/0001-36</x:v>
      </x:c>
      <x:c r="B478" s="166" t="str">
        <x:v>ARTESANAL SPECIAL SITS FIDC MULTISETORIAL - RESPONSABILIDADE LIMITADA</x:v>
      </x:c>
      <x:c r="C478" s="188" t="n">
        <x:v>295863626.87</x:v>
      </x:c>
      <x:c r="D478" s="166" t="str">
        <x:v>ARTESANAL FINANCEIRO</x:v>
      </x:c>
      <x:c r="E478" s="166" t="str">
        <x:f>IFERROR(INDEX('Classif Gestoras'!$H$6:$H$462,MATCH(D478,'Classif Gestoras'!$A$6:$A$462,0)),"Não classificada")</x:f>
        <x:v>Independente</x:v>
      </x:c>
      <x:c r="F478" s="166" t="str">
        <x:v>FIDD DISTRIBUIDORA DE TITULOS E VALORES MOBILIARIOS LTD</x:v>
      </x:c>
      <x:c r="G478" s="166" t="str">
        <x:v>FIDD DISTRIBUIDORA DE TITULOS E VALORES MOBILIARIOS LTDA.</x:v>
      </x:c>
      <x:c r="H478" s="166" t="str">
        <x:v>Outros</x:v>
      </x:c>
      <x:c r="I478" s="166" t="str">
        <x:v>Multicarteira Outros</x:v>
      </x:c>
      <x:c r="J478" s="166" t="str">
        <x:v>CI</x:v>
      </x:c>
      <x:c r="K478" s="172" t="n">
        <x:v>5</x:v>
      </x:c>
      <x:c r="L478" s="185" t="str">
        <x:v>Não classificado</x:v>
      </x:c>
    </x:row>
    <x:row r="479">
      <x:c r="A479" s="175" t="str">
        <x:v>62.017.163/0001-34</x:v>
      </x:c>
      <x:c r="B479" s="166" t="str">
        <x:v>ARTESANAL CDI + FIDC III FUNDO DE INVESTIMENTO EM DIREITOS CREDITÓRIOS - RESPONSABILIDADE LIMITADA</x:v>
      </x:c>
      <x:c r="C479" s="188" t="n">
        <x:v>295858942.35</x:v>
      </x:c>
      <x:c r="D479" s="166" t="str">
        <x:v>Artesanal Investimentos</x:v>
      </x:c>
      <x:c r="E479" s="166" t="str">
        <x:f>IFERROR(INDEX('Classif Gestoras'!$H$6:$H$462,MATCH(D479,'Classif Gestoras'!$A$6:$A$462,0)),"Não classificada")</x:f>
        <x:v>Independente</x:v>
      </x:c>
      <x:c r="F479" s="166" t="str">
        <x:v>XPI CCTVM S/A</x:v>
      </x:c>
      <x:c r="G479" s="166" t="str">
        <x:v>OLIVEIRA TRUST DTVM S.A.</x:v>
      </x:c>
      <x:c r="H479" s="166" t="str">
        <x:v>Outros</x:v>
      </x:c>
      <x:c r="I479" s="166" t="str">
        <x:v>Multicarteira Outros</x:v>
      </x:c>
      <x:c r="J479" s="166" t="str">
        <x:v>CI</x:v>
      </x:c>
      <x:c r="K479" s="172" t="n">
        <x:v>3580</x:v>
      </x:c>
      <x:c r="L479" s="185" t="str">
        <x:v>Não classificado</x:v>
      </x:c>
    </x:row>
    <x:row r="480">
      <x:c r="A480" s="175" t="str">
        <x:v>57.437.905/0001-40</x:v>
      </x:c>
      <x:c r="B480" s="166" t="str">
        <x:v>BERRINI FUNDO DE INVESTIMENTO EM DIREITOS CREDITÓRIOS RESPONSABILIDADE LIMITADA</x:v>
      </x:c>
      <x:c r="C480" s="188" t="n">
        <x:v>294269996.68</x:v>
      </x:c>
      <x:c r="D480" s="166" t="str">
        <x:v>GENIAL GESTÃO LTDA.</x:v>
      </x:c>
      <x:c r="E480" s="166" t="str">
        <x:f>IFERROR(INDEX('Classif Gestoras'!$H$6:$H$462,MATCH(D480,'Classif Gestoras'!$A$6:$A$462,0)),"Não classificada")</x:f>
        <x:v>Ligada a banco</x:v>
      </x:c>
      <x:c r="F480" s="166" t="str">
        <x:v>Genial Investimentos Corretora de Valores Mobiliários S.A.</x:v>
      </x:c>
      <x:c r="G480" s="166" t="str">
        <x:v>BANCO GENIAL S.A.</x:v>
      </x:c>
      <x:c r="H480" s="166" t="str">
        <x:v>Outros</x:v>
      </x:c>
      <x:c r="I480" s="166" t="str">
        <x:v>Multicarteira Outros</x:v>
      </x:c>
      <x:c r="J480" s="166" t="str">
        <x:v>CI</x:v>
      </x:c>
      <x:c r="K480" s="172" t="n">
        <x:v>1</x:v>
      </x:c>
      <x:c r="L480" s="185" t="str">
        <x:v>Não classificado</x:v>
      </x:c>
    </x:row>
    <x:row r="481">
      <x:c r="A481" s="175" t="str">
        <x:v>47.640.584/0001-23</x:v>
      </x:c>
      <x:c r="B481" s="166" t="str">
        <x:v>SOL AGORA GREEN ESG FIDC IS SEGMENTO FINANCEIRO DE RESPONSABILIDADE LIMITADA</x:v>
      </x:c>
      <x:c r="C481" s="188" t="n">
        <x:v>293654515.32</x:v>
      </x:c>
      <x:c r="D481" s="166" t="str">
        <x:v>JGP Gestão de Crédito LTDA.</x:v>
      </x:c>
      <x:c r="E481" s="166" t="str">
        <x:f>IFERROR(INDEX('Classif Gestoras'!$H$6:$H$462,MATCH(D481,'Classif Gestoras'!$A$6:$A$462,0)),"Não classificada")</x:f>
        <x:v>Independente</x:v>
      </x:c>
      <x:c r="F481" s="166" t="str">
        <x:v>Banco Genial S.A.</x:v>
      </x:c>
      <x:c r="G481" s="166" t="str">
        <x:v>BANCO GENIAL S.A.</x:v>
      </x:c>
      <x:c r="H481" s="166" t="str">
        <x:v>Financeiro</x:v>
      </x:c>
      <x:c r="I481" s="166" t="str">
        <x:v>Crédito Pessoal</x:v>
      </x:c>
      <x:c r="J481" s="166" t="str">
        <x:v>CI</x:v>
      </x:c>
      <x:c r="K481" s="172" t="n">
        <x:v>16</x:v>
      </x:c>
      <x:c r="L481" s="185" t="str">
        <x:v>Não classificado</x:v>
      </x:c>
    </x:row>
    <x:row r="482">
      <x:c r="A482" s="175" t="str">
        <x:v>62.107.469/0001-81</x:v>
      </x:c>
      <x:c r="B482" s="166" t="str">
        <x:v>ARTESANAL CRÉDITO ESTRUTURADO III FIDC DE RESPONSABILIDADE LIMITADA</x:v>
      </x:c>
      <x:c r="C482" s="188" t="n">
        <x:v>293503547.3</x:v>
      </x:c>
      <x:c r="D482" s="166" t="str">
        <x:v>Artesanal Investimentos</x:v>
      </x:c>
      <x:c r="E482" s="166" t="str">
        <x:f>IFERROR(INDEX('Classif Gestoras'!$H$6:$H$462,MATCH(D482,'Classif Gestoras'!$A$6:$A$462,0)),"Não classificada")</x:f>
        <x:v>Independente</x:v>
      </x:c>
      <x:c r="F482" s="166" t="str">
        <x:v>Genial Investimentos Corretora de Valores Mobiliários S.A.</x:v>
      </x:c>
      <x:c r="G482" s="166" t="str">
        <x:v>BANCO GENIAL S.A.</x:v>
      </x:c>
      <x:c r="H482" s="166" t="str">
        <x:v>Outros</x:v>
      </x:c>
      <x:c r="I482" s="166" t="str">
        <x:v>Multicarteira Outros</x:v>
      </x:c>
      <x:c r="J482" s="166" t="str">
        <x:v>CI</x:v>
      </x:c>
      <x:c r="K482" s="172" t="n">
        <x:v>1</x:v>
      </x:c>
      <x:c r="L482" s="185" t="str">
        <x:v>Não classificado</x:v>
      </x:c>
    </x:row>
    <x:row r="483">
      <x:c r="A483" s="175" t="str">
        <x:v>52.298.532/0001-50</x:v>
      </x:c>
      <x:c r="B483" s="166" t="str">
        <x:v>IOX REAL FUNDO DE INVESTIMENTO EM DIREITOS CREDITÓRIOS</x:v>
      </x:c>
      <x:c r="C483" s="188" t="n">
        <x:v>293071939.14000005</x:v>
      </x:c>
      <x:c r="D483" s="166" t="str">
        <x:v>M8 Partners</x:v>
      </x:c>
      <x:c r="E483" s="166" t="str">
        <x:f>IFERROR(INDEX('Classif Gestoras'!$H$6:$H$462,MATCH(D483,'Classif Gestoras'!$A$6:$A$462,0)),"Não classificada")</x:f>
        <x:v>Independente</x:v>
      </x:c>
      <x:c r="F483" s="166" t="str">
        <x:v>Singulare</x:v>
      </x:c>
      <x:c r="G483" s="166" t="str">
        <x:v>QI CORRETORA DE TÍTULOS E VALORES MOBILIÁRIOS S.A.</x:v>
      </x:c>
      <x:c r="H483" s="166" t="str">
        <x:v>Fomento Mercantil</x:v>
      </x:c>
      <x:c r="I483" s="166" t="str">
        <x:v>Fomento Mercantil</x:v>
      </x:c>
      <x:c r="J483" s="166" t="str">
        <x:v>CI</x:v>
      </x:c>
      <x:c r="K483" s="172" t="n">
        <x:v>36</x:v>
      </x:c>
      <x:c r="L483" s="185" t="str">
        <x:v>Não classificado</x:v>
      </x:c>
    </x:row>
    <x:row r="484">
      <x:c r="A484" s="175" t="str">
        <x:v>58.223.658/0001-42</x:v>
      </x:c>
      <x:c r="B484" s="166" t="str">
        <x:v>CORRESPONDENTE BANQUEIRO XP FUNDO DE INVESTIMENTO EM DIREITOS CREDITÓRIOS - RESP LTDA</x:v>
      </x:c>
      <x:c r="C484" s="188" t="n">
        <x:v>291472700.09000003</x:v>
      </x:c>
      <x:c r="D484" s="166" t="str">
        <x:v>Oliveira Trust Servicer</x:v>
      </x:c>
      <x:c r="E484" s="166" t="str">
        <x:f>IFERROR(INDEX('Classif Gestoras'!$H$6:$H$462,MATCH(D484,'Classif Gestoras'!$A$6:$A$462,0)),"Não classificada")</x:f>
        <x:v>Independente</x:v>
      </x:c>
      <x:c r="F484" s="166" t="str">
        <x:v>Oliveira Trust DTVM</x:v>
      </x:c>
      <x:c r="G484" s="166" t="str">
        <x:v>OLIVEIRA TRUST DTVM S.A.</x:v>
      </x:c>
      <x:c r="H484" s="166" t="str">
        <x:v>Financeiro</x:v>
      </x:c>
      <x:c r="I484" s="166" t="str">
        <x:v>Crédito Consignado</x:v>
      </x:c>
      <x:c r="J484" s="166" t="str">
        <x:v>CI</x:v>
      </x:c>
      <x:c r="K484" s="172" t="n">
        <x:v>2</x:v>
      </x:c>
      <x:c r="L484" s="185" t="str">
        <x:v>Não classificado</x:v>
      </x:c>
    </x:row>
    <x:row r="485">
      <x:c r="A485" s="175" t="str">
        <x:v>41.351.629/0001-63</x:v>
      </x:c>
      <x:c r="B485" s="166" t="str">
        <x:v>SIFRA LP FUNDO DE INVESTIMENTO EM DIREITOS CREDITÓRIOS</x:v>
      </x:c>
      <x:c r="C485" s="188" t="n">
        <x:v>291184497.90999997</x:v>
      </x:c>
      <x:c r="D485" s="166" t="str">
        <x:v>ORRAM GESTÃO DE RECURSOS LTDA.</x:v>
      </x:c>
      <x:c r="E485" s="166" t="str">
        <x:f>IFERROR(INDEX('Classif Gestoras'!$H$6:$H$462,MATCH(D485,'Classif Gestoras'!$A$6:$A$462,0)),"Não classificada")</x:f>
        <x:v>Independente</x:v>
      </x:c>
      <x:c r="F485" s="166" t="str">
        <x:v>Singulare</x:v>
      </x:c>
      <x:c r="G485" s="166" t="str">
        <x:v>QI CORRETORA DE TÍTULOS E VALORES MOBILIÁRIOS S.A.</x:v>
      </x:c>
      <x:c r="H485" s="166" t="str">
        <x:v>Fomento Mercantil</x:v>
      </x:c>
      <x:c r="I485" s="166" t="str">
        <x:v>Fomento Mercantil</x:v>
      </x:c>
      <x:c r="J485" s="166" t="str">
        <x:v>CI</x:v>
      </x:c>
      <x:c r="K485" s="172" t="n">
        <x:v>47</x:v>
      </x:c>
      <x:c r="L485" s="185" t="str">
        <x:v>Não classificado</x:v>
      </x:c>
    </x:row>
    <x:row r="486">
      <x:c r="A486" s="175" t="str">
        <x:v>29.243.004/0001-82</x:v>
      </x:c>
      <x:c r="B486" s="166" t="str">
        <x:v>LIMAJ FUNDO DE INVESTIMENTO EM DIREITOS CREDITÓRIOS</x:v>
      </x:c>
      <x:c r="C486" s="188" t="n">
        <x:v>290263148.18999994</x:v>
      </x:c>
      <x:c r="D486" s="166" t="str">
        <x:v>Multiplica Capital</x:v>
      </x:c>
      <x:c r="E486" s="166" t="str">
        <x:f>IFERROR(INDEX('Classif Gestoras'!$H$6:$H$462,MATCH(D486,'Classif Gestoras'!$A$6:$A$462,0)),"Não classificada")</x:f>
        <x:v>Independente</x:v>
      </x:c>
      <x:c r="F486" s="166" t="str">
        <x:v>Singulare</x:v>
      </x:c>
      <x:c r="G486" s="166" t="str">
        <x:v>QI CORRETORA DE TÍTULOS E VALORES MOBILIÁRIOS S.A.</x:v>
      </x:c>
      <x:c r="H486" s="166" t="str">
        <x:v>Fomento Mercantil</x:v>
      </x:c>
      <x:c r="I486" s="166" t="str">
        <x:v>Fomento Mercantil</x:v>
      </x:c>
      <x:c r="J486" s="166" t="str">
        <x:v>CI</x:v>
      </x:c>
      <x:c r="K486" s="172" t="n">
        <x:v>58</x:v>
      </x:c>
      <x:c r="L486" s="185" t="str">
        <x:v>Não classificado</x:v>
      </x:c>
    </x:row>
    <x:row r="487">
      <x:c r="A487" s="175" t="str">
        <x:v>58.311.958/0001-83</x:v>
      </x:c>
      <x:c r="B487" s="166" t="str">
        <x:v>PLGN AUTO LOANS I FUNDO DE INVESTIMENTO EM DIREITOS CREDITÓRIOS RESPONSABILIDADE LIMITADA</x:v>
      </x:c>
      <x:c r="C487" s="188" t="n">
        <x:v>287914661.39</x:v>
      </x:c>
      <x:c r="D487" s="166" t="str">
        <x:v>POLÍGONO CAPITAL LTDA.</x:v>
      </x:c>
      <x:c r="E487" s="166" t="str">
        <x:f>IFERROR(INDEX('Classif Gestoras'!$H$6:$H$462,MATCH(D487,'Classif Gestoras'!$A$6:$A$462,0)),"Não classificada")</x:f>
        <x:v>Independente</x:v>
      </x:c>
      <x:c r="F487" s="166" t="str">
        <x:v>BTG Pactual Servicos Financeiros S/A DTVM</x:v>
      </x:c>
      <x:c r="G487" s="166" t="str">
        <x:v>BANCO BTG PACTUAL S/A</x:v>
      </x:c>
      <x:c r="H487" s="166" t="str">
        <x:v>Financeiro</x:v>
      </x:c>
      <x:c r="I487" s="166" t="str">
        <x:v>Financiamento de Veículos</x:v>
      </x:c>
      <x:c r="J487" s="166" t="str">
        <x:v>CI</x:v>
      </x:c>
      <x:c r="K487" s="172" t="n">
        <x:v>8</x:v>
      </x:c>
      <x:c r="L487" s="185" t="str">
        <x:v>Não classificado</x:v>
      </x:c>
    </x:row>
    <x:row r="488">
      <x:c r="A488" s="175" t="str">
        <x:v>59.773.387/0001-61</x:v>
      </x:c>
      <x:c r="B488" s="166" t="str">
        <x:v>ITAÚ PIRINEUS III PRIVATE FIC FIDC DE INFRAESTRUTURA RESPONSABILIDADE LIMITADA</x:v>
      </x:c>
      <x:c r="C488" s="188" t="n">
        <x:v>287365842.62</x:v>
      </x:c>
      <x:c r="D488" s="166" t="str">
        <x:v>ITAU ASSET</x:v>
      </x:c>
      <x:c r="E488" s="166" t="str">
        <x:f>IFERROR(INDEX('Classif Gestoras'!$H$6:$H$462,MATCH(D488,'Classif Gestoras'!$A$6:$A$462,0)),"Não classificada")</x:f>
        <x:v>Ligada a banco</x:v>
      </x:c>
      <x:c r="F488" s="166" t="str">
        <x:v>INTRAG DIST. DE TÍTU</x:v>
      </x:c>
      <x:c r="G488" s="166" t="str">
        <x:v>ITAU UNIBANCO S.A.</x:v>
      </x:c>
      <x:c r="H488" s="166" t="str">
        <x:v>Agro, Indústria e Comércio</x:v>
      </x:c>
      <x:c r="I488" s="166" t="str">
        <x:v>Infraestrutura</x:v>
      </x:c>
      <x:c r="J488" s="166" t="str">
        <x:v>CIPC</x:v>
      </x:c>
      <x:c r="K488" s="172" t="n">
        <x:v>277</x:v>
      </x:c>
      <x:c r="L488" s="185" t="str">
        <x:v>Não classificado</x:v>
      </x:c>
    </x:row>
    <x:row r="489">
      <x:c r="A489" s="175" t="str">
        <x:v>29.720.639/0001-23</x:v>
      </x:c>
      <x:c r="B489" s="166" t="str">
        <x:v>FUNDO DE INVESTIMENTO EM DIREITOS CREDITÓRIOS JPM III</x:v>
      </x:c>
      <x:c r="C489" s="188" t="n">
        <x:v>286137664.42</x:v>
      </x:c>
      <x:c r="D489" s="166" t="str">
        <x:v>Solis</x:v>
      </x:c>
      <x:c r="E489" s="166" t="str">
        <x:f>IFERROR(INDEX('Classif Gestoras'!$H$6:$H$462,MATCH(D489,'Classif Gestoras'!$A$6:$A$462,0)),"Não classificada")</x:f>
        <x:v>Independente</x:v>
      </x:c>
      <x:c r="F489" s="166" t="str">
        <x:v>HEMERA DTVM</x:v>
      </x:c>
      <x:c r="G489" s="166" t="str">
        <x:v>HEMERA DISTRIBUIDORA DE TITULOS E VALORES MOBILIARIOS LTDA</x:v>
      </x:c>
      <x:c r="H489" s="166" t="str">
        <x:v>Outros</x:v>
      </x:c>
      <x:c r="I489" s="166" t="str">
        <x:v>Multicarteira Outros</x:v>
      </x:c>
      <x:c r="J489" s="166" t="str">
        <x:v>CI</x:v>
      </x:c>
      <x:c r="K489" s="172" t="n">
        <x:v>39</x:v>
      </x:c>
      <x:c r="L489" s="185" t="str">
        <x:v>Não classificado</x:v>
      </x:c>
    </x:row>
    <x:row r="490">
      <x:c r="A490" s="175" t="str">
        <x:v>40.919.667/0001-07</x:v>
      </x:c>
      <x:c r="B490" s="166" t="str">
        <x:v>RECARGAPAY I FUNDO DE INVESTIMENTO EM DIREITOS CREDITÓRIOS</x:v>
      </x:c>
      <x:c r="C490" s="188" t="n">
        <x:v>284997728.40999997</x:v>
      </x:c>
      <x:c r="D490" s="166" t="str">
        <x:v>GENIAL GESTÃO LTDA.</x:v>
      </x:c>
      <x:c r="E490" s="166" t="str">
        <x:f>IFERROR(INDEX('Classif Gestoras'!$H$6:$H$462,MATCH(D490,'Classif Gestoras'!$A$6:$A$462,0)),"Não classificada")</x:f>
        <x:v>Ligada a banco</x:v>
      </x:c>
      <x:c r="F490" s="166" t="str">
        <x:v>Genial Investimentos Corretora de Valores Mobiliários S.A.</x:v>
      </x:c>
      <x:c r="G490" s="166" t="str">
        <x:v>BANCO GENIAL S.A.</x:v>
      </x:c>
      <x:c r="H490" s="166" t="str">
        <x:v>Agro, Indústria e Comércio</x:v>
      </x:c>
      <x:c r="I490" s="166" t="str">
        <x:v>Recebíveis Comerciais</x:v>
      </x:c>
      <x:c r="J490" s="166" t="str">
        <x:v>CI</x:v>
      </x:c>
      <x:c r="K490" s="172" t="n">
        <x:v>2</x:v>
      </x:c>
      <x:c r="L490" s="185" t="str">
        <x:v>Não classificado</x:v>
      </x:c>
    </x:row>
    <x:row r="491">
      <x:c r="A491" s="175" t="str">
        <x:v>28.296.620/0001-39</x:v>
      </x:c>
      <x:c r="B491" s="166" t="str">
        <x:v>KATCH DIVERSIFIED FUNDO DE INVESTIMENTO EM DIREITOS CREDITÓRIOS</x:v>
      </x:c>
      <x:c r="C491" s="188" t="n">
        <x:v>284246950.90999997</x:v>
      </x:c>
      <x:c r="D491" s="166" t="str">
        <x:v>Harbour Capital</x:v>
      </x:c>
      <x:c r="E491" s="166" t="str">
        <x:f>IFERROR(INDEX('Classif Gestoras'!$H$6:$H$462,MATCH(D491,'Classif Gestoras'!$A$6:$A$462,0)),"Não classificada")</x:f>
        <x:v>Independente</x:v>
      </x:c>
      <x:c r="F491" s="166" t="str">
        <x:v>Qore DTVM</x:v>
      </x:c>
      <x:c r="G491" s="166" t="str">
        <x:v>QORE DISTRIBUIDORA DE TÍTULOS E VALORES MOBILIÁRIOS LTDA.</x:v>
      </x:c>
      <x:c r="H491" s="166" t="str">
        <x:v>Fomento Mercantil</x:v>
      </x:c>
      <x:c r="I491" s="166" t="str">
        <x:v>Fomento Mercantil</x:v>
      </x:c>
      <x:c r="J491" s="166" t="str">
        <x:v>CI</x:v>
      </x:c>
      <x:c r="K491" s="172" t="n">
        <x:v>2</x:v>
      </x:c>
      <x:c r="L491" s="185" t="str">
        <x:v>Não classificado</x:v>
      </x:c>
    </x:row>
    <x:row r="492">
      <x:c r="A492" s="175" t="str">
        <x:v>45.683.314/0001-74</x:v>
      </x:c>
      <x:c r="B492" s="166" t="str">
        <x:v>JGP SECURITIZAÇÃO FUNDO DE INVESTIMENTO EM DIREITOS CREDITÓRIOS - RESPONSABILIDADE LIMITADA</x:v>
      </x:c>
      <x:c r="C492" s="188" t="n">
        <x:v>284132972.08</x:v>
      </x:c>
      <x:c r="D492" s="166" t="str">
        <x:v>JGP Gestão de Crédito LTDA.</x:v>
      </x:c>
      <x:c r="E492" s="166" t="str">
        <x:f>IFERROR(INDEX('Classif Gestoras'!$H$6:$H$462,MATCH(D492,'Classif Gestoras'!$A$6:$A$462,0)),"Não classificada")</x:f>
        <x:v>Independente</x:v>
      </x:c>
      <x:c r="F492" s="166" t="str">
        <x:v>BNY MELLON SERVICOS</x:v>
      </x:c>
      <x:c r="G492" s="166" t="str">
        <x:v>BNY MELLON BANCO S.A.</x:v>
      </x:c>
      <x:c r="H492" s="166" t="str">
        <x:v>Outros</x:v>
      </x:c>
      <x:c r="I492" s="166" t="str">
        <x:v>Multicarteira Outros</x:v>
      </x:c>
      <x:c r="J492" s="166" t="str">
        <x:v>CIPC</x:v>
      </x:c>
      <x:c r="K492" s="172" t="n">
        <x:v>10</x:v>
      </x:c>
      <x:c r="L492" s="185" t="str">
        <x:v>Não classificado</x:v>
      </x:c>
    </x:row>
    <x:row r="493">
      <x:c r="A493" s="175" t="str">
        <x:v>57.088.244/0001-95</x:v>
      </x:c>
      <x:c r="B493" s="166" t="str">
        <x:v>CENTRO SUL CONCESSOES FIDC DE RESPONSABILIDADE LIMITADA</x:v>
      </x:c>
      <x:c r="C493" s="188" t="n">
        <x:v>284068868.72999996</x:v>
      </x:c>
      <x:c r="D493" s="166" t="str">
        <x:v>Bocaina Capital</x:v>
      </x:c>
      <x:c r="E493" s="166" t="str">
        <x:f>IFERROR(INDEX('Classif Gestoras'!$H$6:$H$462,MATCH(D493,'Classif Gestoras'!$A$6:$A$462,0)),"Não classificada")</x:f>
        <x:v>Independente</x:v>
      </x:c>
      <x:c r="F493" s="166" t="str">
        <x:v>BANCO DAYCOVAL S/A</x:v>
      </x:c>
      <x:c r="G493" s="166" t="str">
        <x:v>BANCO DAYCOVAL S.A.</x:v>
      </x:c>
      <x:c r="H493" s="166" t="str">
        <x:v>Agro, Indústria e Comércio</x:v>
      </x:c>
      <x:c r="I493" s="166" t="str">
        <x:v>Infraestrutura</x:v>
      </x:c>
      <x:c r="J493" s="166" t="str">
        <x:v>CI</x:v>
      </x:c>
      <x:c r="K493" s="172" t="n">
        <x:v>78</x:v>
      </x:c>
      <x:c r="L493" s="185" t="str">
        <x:v>Não classificado</x:v>
      </x:c>
    </x:row>
    <x:row r="494">
      <x:c r="A494" s="175" t="str">
        <x:v>59.764.569/0001-76</x:v>
      </x:c>
      <x:c r="B494" s="166" t="str">
        <x:v>AUGME LVG FUNDO DE INVESTIMENTO EM DIREITOS CREDITÓRIOS RESPONSABILIDADE LIMITADA</x:v>
      </x:c>
      <x:c r="C494" s="188" t="n">
        <x:v>284004130.84000003</x:v>
      </x:c>
      <x:c r="D494" s="166" t="str">
        <x:v>AUGME CAPITAL GESTÃO DE RECURSOS LTDA.</x:v>
      </x:c>
      <x:c r="E494" s="166" t="str">
        <x:f>IFERROR(INDEX('Classif Gestoras'!$H$6:$H$462,MATCH(D494,'Classif Gestoras'!$A$6:$A$462,0)),"Não classificada")</x:f>
        <x:v>Independente</x:v>
      </x:c>
      <x:c r="F494" s="166" t="str">
        <x:v>BANCO DAYCOVAL S/A</x:v>
      </x:c>
      <x:c r="G494" s="166" t="str">
        <x:v>BANCO DAYCOVAL S.A.</x:v>
      </x:c>
      <x:c r="H494" s="166" t="str">
        <x:v>Outros</x:v>
      </x:c>
      <x:c r="I494" s="166" t="str">
        <x:v>Multicarteira Outros</x:v>
      </x:c>
      <x:c r="J494" s="166" t="str">
        <x:v>CI</x:v>
      </x:c>
      <x:c r="K494" s="172" t="n">
        <x:v>27</x:v>
      </x:c>
      <x:c r="L494" s="185" t="str">
        <x:v>Não classificado</x:v>
      </x:c>
    </x:row>
    <x:row r="495">
      <x:c r="A495" s="175" t="str">
        <x:v>38.082.159/0001-75</x:v>
      </x:c>
      <x:c r="B495" s="166" t="str">
        <x:v>FACTA INSS CB FUNDO DE INVESTIMENTO EM DIREITOS CREDITÓRIOS - RESPONSABILIDADE LIMITADA</x:v>
      </x:c>
      <x:c r="C495" s="188" t="n">
        <x:v>283321920.22999996</x:v>
      </x:c>
      <x:c r="D495" s="166" t="str">
        <x:v>RB Asset</x:v>
      </x:c>
      <x:c r="E495" s="166" t="str">
        <x:f>IFERROR(INDEX('Classif Gestoras'!$H$6:$H$462,MATCH(D495,'Classif Gestoras'!$A$6:$A$462,0)),"Não classificada")</x:f>
        <x:v>Independente</x:v>
      </x:c>
      <x:c r="F495" s="166" t="str">
        <x:v>Oliveira Trust DTVM</x:v>
      </x:c>
      <x:c r="G495" s="166" t="str">
        <x:v>OLIVEIRA TRUST DTVM S.A.</x:v>
      </x:c>
      <x:c r="H495" s="166" t="str">
        <x:v>Financeiro</x:v>
      </x:c>
      <x:c r="I495" s="166" t="str">
        <x:v>Crédito Consignado</x:v>
      </x:c>
      <x:c r="J495" s="166" t="str">
        <x:v>CI</x:v>
      </x:c>
      <x:c r="K495" s="172" t="n">
        <x:v>6347</x:v>
      </x:c>
      <x:c r="L495" s="185" t="str">
        <x:v>Não classificado</x:v>
      </x:c>
    </x:row>
    <x:row r="496">
      <x:c r="A496" s="175" t="str">
        <x:v>59.851.384/0001-07</x:v>
      </x:c>
      <x:c r="B496" s="166" t="str">
        <x:v>GALLERIA FUNDO DE INVESTIMENTO EM DIREITOS CREDITÓRIOS 2</x:v>
      </x:c>
      <x:c r="C496" s="188" t="n">
        <x:v>281904224.34</x:v>
      </x:c>
      <x:c r="D496" s="166" t="str">
        <x:v>VERT Gestora de Recursos Financeiros Ltda.</x:v>
      </x:c>
      <x:c r="E496" s="166" t="str">
        <x:f>IFERROR(INDEX('Classif Gestoras'!$H$6:$H$462,MATCH(D496,'Classif Gestoras'!$A$6:$A$462,0)),"Não classificada")</x:f>
        <x:v>Independente</x:v>
      </x:c>
      <x:c r="F496" s="166" t="str">
        <x:v>VERT Distribuidora de Títulos e Valores Mobiliários Ltd</x:v>
      </x:c>
      <x:c r="G496" s="166" t="str">
        <x:v>VERT DISTRIBUIDORA DE TÍTULOS E VALORES MOBILIÁRIOS LTDA.</x:v>
      </x:c>
      <x:c r="H496" s="166" t="str">
        <x:v>Outros</x:v>
      </x:c>
      <x:c r="I496" s="166" t="str">
        <x:v>Multicarteira Outros</x:v>
      </x:c>
      <x:c r="J496" s="166" t="str">
        <x:v>CI</x:v>
      </x:c>
      <x:c r="K496" s="172" t="n">
        <x:v>8</x:v>
      </x:c>
      <x:c r="L496" s="185" t="str">
        <x:v>Não classificado</x:v>
      </x:c>
    </x:row>
    <x:row r="497">
      <x:c r="A497" s="175" t="str">
        <x:v>33.554.498/0001-93</x:v>
      </x:c>
      <x:c r="B497" s="166" t="str">
        <x:v>LATACHE HIGH YIELD FUNDO DE INVESTIMENTO EM DIREITOS CREDITÓRIOS NÃO PADRONIZADOS FIDC NP</x:v>
      </x:c>
      <x:c r="C497" s="188" t="n">
        <x:v>281382711.6</x:v>
      </x:c>
      <x:c r="D497" s="166" t="str">
        <x:v>Latache Capital</x:v>
      </x:c>
      <x:c r="E497" s="166" t="str">
        <x:f>IFERROR(INDEX('Classif Gestoras'!$H$6:$H$462,MATCH(D497,'Classif Gestoras'!$A$6:$A$462,0)),"Não classificada")</x:f>
        <x:v>Independente</x:v>
      </x:c>
      <x:c r="F497" s="166" t="str">
        <x:v>BRL TRUST DTVM</x:v>
      </x:c>
      <x:c r="G497" s="166" t="str">
        <x:v>BRL TRUST DISTRIBUIDORA DE TITULOS E VALORES MOBILIARIOS S.A.</x:v>
      </x:c>
      <x:c r="H497" s="166" t="str">
        <x:v>Outros</x:v>
      </x:c>
      <x:c r="I497" s="166" t="str">
        <x:v>Recuperação</x:v>
      </x:c>
      <x:c r="J497" s="166" t="str">
        <x:v>CI</x:v>
      </x:c>
      <x:c r="K497" s="172" t="n">
        <x:v>48</x:v>
      </x:c>
      <x:c r="L497" s="185" t="str">
        <x:v>Não classificado</x:v>
      </x:c>
    </x:row>
    <x:row r="498">
      <x:c r="A498" s="175" t="str">
        <x:v>55.843.467/0001-95</x:v>
      </x:c>
      <x:c r="B498" s="166" t="str">
        <x:v>CONSIGNADOS VI FUNDO DE INVESTIMENTO EM DIREITOS CREDITÓRIOS - RESPONSABILIDADE LIMITADA</x:v>
      </x:c>
      <x:c r="C498" s="188" t="n">
        <x:v>280895671.09000003</x:v>
      </x:c>
      <x:c r="D498" s="166" t="str">
        <x:v>BRZ Gestão de Recursos</x:v>
      </x:c>
      <x:c r="E498" s="166" t="str">
        <x:f>IFERROR(INDEX('Classif Gestoras'!$H$6:$H$462,MATCH(D498,'Classif Gestoras'!$A$6:$A$462,0)),"Não classificada")</x:f>
        <x:v>Independente</x:v>
      </x:c>
      <x:c r="F498" s="166" t="str">
        <x:v>BANCO DAYCOVAL S/A</x:v>
      </x:c>
      <x:c r="G498" s="166" t="str">
        <x:v>BANCO DAYCOVAL S.A.</x:v>
      </x:c>
      <x:c r="H498" s="166" t="str">
        <x:v>Financeiro</x:v>
      </x:c>
      <x:c r="I498" s="166" t="str">
        <x:v>Crédito Consignado</x:v>
      </x:c>
      <x:c r="J498" s="166" t="str">
        <x:v>CI</x:v>
      </x:c>
      <x:c r="K498" s="172" t="n">
        <x:v>115</x:v>
      </x:c>
      <x:c r="L498" s="185" t="str">
        <x:v>Não classificado</x:v>
      </x:c>
    </x:row>
    <x:row r="499">
      <x:c r="A499" s="175" t="str">
        <x:v>11.693.671/0001-00</x:v>
      </x:c>
      <x:c r="B499" s="166" t="str">
        <x:v>R&amp;G FUNDO DE INVESTIMENTO EM DIREITOS CREDITÓRIOS MULTISEGMENTOS</x:v>
      </x:c>
      <x:c r="C499" s="188" t="n">
        <x:v>280366098.31</x:v>
      </x:c>
      <x:c r="D499" s="166" t="str">
        <x:v>Petra Capital</x:v>
      </x:c>
      <x:c r="E499" s="166" t="str">
        <x:f>IFERROR(INDEX('Classif Gestoras'!$H$6:$H$462,MATCH(D499,'Classif Gestoras'!$A$6:$A$462,0)),"Não classificada")</x:f>
        <x:v>Independente</x:v>
      </x:c>
      <x:c r="F499" s="166" t="str">
        <x:v>Finaxis Corretora de Títulos e Valores Mobiliários S.A.</x:v>
      </x:c>
      <x:c r="G499" s="166" t="str">
        <x:v>BANCO FINAXIS S.A.</x:v>
      </x:c>
      <x:c r="H499" s="166" t="str">
        <x:v>Fomento Mercantil</x:v>
      </x:c>
      <x:c r="I499" s="166" t="str">
        <x:v>Fomento Mercantil</x:v>
      </x:c>
      <x:c r="J499" s="166" t="str">
        <x:v>CI</x:v>
      </x:c>
      <x:c r="K499" s="172" t="n">
        <x:v>89</x:v>
      </x:c>
      <x:c r="L499" s="185" t="str">
        <x:v>Não classificado</x:v>
      </x:c>
    </x:row>
    <x:row r="500">
      <x:c r="A500" s="175" t="str">
        <x:v>32.388.169/0001-57</x:v>
      </x:c>
      <x:c r="B500" s="166" t="str">
        <x:v>CANAL 47 FUNDO DE INVESTIMENTO EM DIREITOS CREDITORIOS NAO PADRONIZADO</x:v>
      </x:c>
      <x:c r="C500" s="188" t="n">
        <x:v>280204214.95</x:v>
      </x:c>
      <x:c r="D500" s="166" t="str">
        <x:v>G5 Adm. de Recursos</x:v>
      </x:c>
      <x:c r="E500" s="166" t="str">
        <x:f>IFERROR(INDEX('Classif Gestoras'!$H$6:$H$462,MATCH(D500,'Classif Gestoras'!$A$6:$A$462,0)),"Não classificada")</x:f>
        <x:v>Independente</x:v>
      </x:c>
      <x:c r="F500" s="166" t="str">
        <x:v>Singulare</x:v>
      </x:c>
      <x:c r="G500" s="166" t="str">
        <x:v>QI CORRETORA DE TÍTULOS E VALORES MOBILIÁRIOS S.A.</x:v>
      </x:c>
      <x:c r="H500" s="166" t="str">
        <x:v>Outros</x:v>
      </x:c>
      <x:c r="I500" s="166" t="str">
        <x:v>Multicarteira Outros</x:v>
      </x:c>
      <x:c r="J500" s="166" t="str">
        <x:v>CI</x:v>
      </x:c>
      <x:c r="K500" s="172" t="n">
        <x:v>4</x:v>
      </x:c>
      <x:c r="L500" s="185" t="str">
        <x:v>Não classificado</x:v>
      </x:c>
    </x:row>
    <x:row r="501">
      <x:c r="A501" s="175" t="str">
        <x:v>57.183.411/0001-87</x:v>
      </x:c>
      <x:c r="B501" s="166" t="str">
        <x:v>SPECIALE PLGN FUNDO DE INVESTIMENTO EM DIREITOS CREDITÓRIOS</x:v>
      </x:c>
      <x:c r="C501" s="188" t="n">
        <x:v>280132102.42</x:v>
      </x:c>
      <x:c r="D501" s="166" t="str">
        <x:v>POLÍGONO CAPITAL LTDA.</x:v>
      </x:c>
      <x:c r="E501" s="166" t="str">
        <x:f>IFERROR(INDEX('Classif Gestoras'!$H$6:$H$462,MATCH(D501,'Classif Gestoras'!$A$6:$A$462,0)),"Não classificada")</x:f>
        <x:v>Independente</x:v>
      </x:c>
      <x:c r="F501" s="166" t="str">
        <x:v>BTG Pactual Servicos Financeiros S/A DTVM</x:v>
      </x:c>
      <x:c r="G501" s="166" t="str">
        <x:v>BANCO BTG PACTUAL S/A</x:v>
      </x:c>
      <x:c r="H501" s="166" t="str">
        <x:v>Outros</x:v>
      </x:c>
      <x:c r="I501" s="166" t="str">
        <x:v>Multicarteira Outros</x:v>
      </x:c>
      <x:c r="J501" s="166" t="str">
        <x:v>CIPC</x:v>
      </x:c>
      <x:c r="K501" s="172" t="n">
        <x:v>34</x:v>
      </x:c>
      <x:c r="L501" s="185" t="str">
        <x:v>Não classificado</x:v>
      </x:c>
    </x:row>
    <x:row r="502">
      <x:c r="A502" s="175" t="str">
        <x:v>60.645.628/0001-76</x:v>
      </x:c>
      <x:c r="B502" s="166" t="str">
        <x:v>LL CAPITAL FUNDO DE INVESTIMENTO EM DIREITOS CREDITÓRIOS RESPONSABILIDADE LIMITADA</x:v>
      </x:c>
      <x:c r="C502" s="188" t="n">
        <x:v>280068260.78000003</x:v>
      </x:c>
      <x:c r="D502" s="166" t="str">
        <x:v>Redwood Asset Management</x:v>
      </x:c>
      <x:c r="E502" s="166" t="str">
        <x:f>IFERROR(INDEX('Classif Gestoras'!$H$6:$H$462,MATCH(D502,'Classif Gestoras'!$A$6:$A$462,0)),"Não classificada")</x:f>
        <x:v>Independente</x:v>
      </x:c>
      <x:c r="F502" s="166" t="str">
        <x:v>PLANNER CV</x:v>
      </x:c>
      <x:c r="G502" s="166" t="str">
        <x:v>PLANNER CORRETORA DE VALORES S.A.</x:v>
      </x:c>
      <x:c r="H502" s="166" t="str">
        <x:v>Fomento Mercantil</x:v>
      </x:c>
      <x:c r="I502" s="166" t="str">
        <x:v>Fomento Mercantil</x:v>
      </x:c>
      <x:c r="J502" s="166" t="str">
        <x:v>CI</x:v>
      </x:c>
      <x:c r="K502" s="172" t="n">
        <x:v>2</x:v>
      </x:c>
      <x:c r="L502" s="185" t="str">
        <x:v>Não classificado</x:v>
      </x:c>
    </x:row>
    <x:row r="503">
      <x:c r="A503" s="175" t="str">
        <x:v>60.696.539/0001-59</x:v>
      </x:c>
      <x:c r="B503" s="166" t="str">
        <x:v>GALAPAGOS SPECIAL OPPORTUNITIES INFRA FUNDO DE INVESTIMENTO EM DIREITOS CREDITÓRIOS RESP LIMITADA</x:v>
      </x:c>
      <x:c r="C503" s="188" t="n">
        <x:v>279648854.61</x:v>
      </x:c>
      <x:c r="D503" s="166" t="str">
        <x:v>Galápagos</x:v>
      </x:c>
      <x:c r="E503" s="166" t="str">
        <x:f>IFERROR(INDEX('Classif Gestoras'!$H$6:$H$462,MATCH(D503,'Classif Gestoras'!$A$6:$A$462,0)),"Não classificada")</x:f>
        <x:v>Independente</x:v>
      </x:c>
      <x:c r="F503" s="166" t="str">
        <x:v>VÓRTX DTVM</x:v>
      </x:c>
      <x:c r="G503" s="166" t="str">
        <x:v>VORTX DISTRIBUIDORA DE TITULOS E VALORES MOBILIARIOS LTDA.</x:v>
      </x:c>
      <x:c r="H503" s="166" t="str">
        <x:v>Outros</x:v>
      </x:c>
      <x:c r="I503" s="166" t="str">
        <x:v>Multicarteira Outros</x:v>
      </x:c>
      <x:c r="J503" s="166" t="str">
        <x:v>CI</x:v>
      </x:c>
      <x:c r="K503" s="172" t="n">
        <x:v>2371</x:v>
      </x:c>
      <x:c r="L503" s="185" t="str">
        <x:v>Não classificado</x:v>
      </x:c>
    </x:row>
    <x:row r="504">
      <x:c r="A504" s="175" t="str">
        <x:v>37.035.970/0001-32</x:v>
      </x:c>
      <x:c r="B504" s="166" t="str">
        <x:v>CD CASH FUNDO DE INVESTIMENTO EM DIREITOS CREDITÓRIOS RESPONSABILIDADE LIMITADA</x:v>
      </x:c>
      <x:c r="C504" s="188" t="n">
        <x:v>279622686.97999996</x:v>
      </x:c>
      <x:c r="D504" s="166" t="str">
        <x:v>ORRAM GESTÃO DE RECURSOS LTDA.</x:v>
      </x:c>
      <x:c r="E504" s="166" t="str">
        <x:f>IFERROR(INDEX('Classif Gestoras'!$H$6:$H$462,MATCH(D504,'Classif Gestoras'!$A$6:$A$462,0)),"Não classificada")</x:f>
        <x:v>Independente</x:v>
      </x:c>
      <x:c r="F504" s="166" t="str">
        <x:v>Singulare</x:v>
      </x:c>
      <x:c r="G504" s="166" t="str">
        <x:v>QI CORRETORA DE TÍTULOS E VALORES MOBILIÁRIOS S.A.</x:v>
      </x:c>
      <x:c r="H504" s="166" t="str">
        <x:v>Agro, Indústria e Comércio</x:v>
      </x:c>
      <x:c r="I504" s="166" t="str">
        <x:v>Multicarteira Agro, Indústria e Comércio</x:v>
      </x:c>
      <x:c r="J504" s="166" t="str">
        <x:v>CI</x:v>
      </x:c>
      <x:c r="K504" s="172" t="n">
        <x:v>41</x:v>
      </x:c>
      <x:c r="L504" s="185" t="str">
        <x:v>Não classificado</x:v>
      </x:c>
    </x:row>
    <x:row r="505">
      <x:c r="A505" s="175" t="str">
        <x:v>51.928.470/0001-50</x:v>
      </x:c>
      <x:c r="B505" s="166" t="str">
        <x:v>CASHME I FUNDO DE INVESTIMENTO EM DIREITOS CREDITÓRIOS DE RESPONSABILIDADE LIMITADA</x:v>
      </x:c>
      <x:c r="C505" s="188" t="n">
        <x:v>277862476.99</x:v>
      </x:c>
      <x:c r="D505" s="166" t="str">
        <x:v>M8 Partners</x:v>
      </x:c>
      <x:c r="E505" s="166" t="str">
        <x:f>IFERROR(INDEX('Classif Gestoras'!$H$6:$H$462,MATCH(D505,'Classif Gestoras'!$A$6:$A$462,0)),"Não classificada")</x:f>
        <x:v>Independente</x:v>
      </x:c>
      <x:c r="F505" s="166" t="str">
        <x:v>HEMERA DTVM</x:v>
      </x:c>
      <x:c r="G505" s="166" t="str">
        <x:v>HEMERA DISTRIBUIDORA DE TITULOS E VALORES MOBILIARIOS LTDA</x:v>
      </x:c>
      <x:c r="H505" s="166" t="str">
        <x:v>Outros</x:v>
      </x:c>
      <x:c r="I505" s="166" t="str">
        <x:v>Multicarteira Outros</x:v>
      </x:c>
      <x:c r="J505" s="166" t="str">
        <x:v>CI</x:v>
      </x:c>
      <x:c r="K505" s="172" t="n">
        <x:v>39</x:v>
      </x:c>
      <x:c r="L505" s="185" t="str">
        <x:v>Não classificado</x:v>
      </x:c>
    </x:row>
    <x:row r="506">
      <x:c r="A506" s="175" t="str">
        <x:v>47.085.633/0001-03</x:v>
      </x:c>
      <x:c r="B506" s="166" t="str">
        <x:v>FUNDO DE CRÉDITO E RECEBÍVEIS - FIDC RESPONSABILIDADE LIMITADA</x:v>
      </x:c>
      <x:c r="C506" s="188" t="n">
        <x:v>277471953.46</x:v>
      </x:c>
      <x:c r="D506" s="166" t="str">
        <x:v>JIVE INVESTMENTS</x:v>
      </x:c>
      <x:c r="E506" s="166" t="str">
        <x:f>IFERROR(INDEX('Classif Gestoras'!$H$6:$H$462,MATCH(D506,'Classif Gestoras'!$A$6:$A$462,0)),"Não classificada")</x:f>
        <x:v>Independente</x:v>
      </x:c>
      <x:c r="F506" s="166" t="str">
        <x:v>MAF Distribuidora de Títulos e Valores Mobiliários S.A.</x:v>
      </x:c>
      <x:c r="G506" s="166" t="str">
        <x:v>MAF DISTRIBUIDORA DE TITULOS E VALORES MOBILIARIOS S.A.</x:v>
      </x:c>
      <x:c r="H506" s="166" t="str">
        <x:v>Outros</x:v>
      </x:c>
      <x:c r="I506" s="166" t="str">
        <x:v>Multicarteira Outros</x:v>
      </x:c>
      <x:c r="J506" s="166" t="str">
        <x:v>CI</x:v>
      </x:c>
      <x:c r="K506" s="172" t="n">
        <x:v>6</x:v>
      </x:c>
      <x:c r="L506" s="185" t="str">
        <x:v>Não classificado</x:v>
      </x:c>
    </x:row>
    <x:row r="507">
      <x:c r="A507" s="175" t="str">
        <x:v>53.287.227/0001-26</x:v>
      </x:c>
      <x:c r="B507" s="166" t="str">
        <x:v>CNPJ 53287227000126</x:v>
      </x:c>
      <x:c r="C507" s="188" t="n">
        <x:v>276843039.77</x:v>
      </x:c>
      <x:c r="D507" s="166" t="str">
        <x:v>QLZ WM GESTAO DE PATRIMONIOS LTDA</x:v>
      </x:c>
      <x:c r="E507" s="166" t="str">
        <x:f>IFERROR(INDEX('Classif Gestoras'!$H$6:$H$462,MATCH(D507,'Classif Gestoras'!$A$6:$A$462,0)),"Não classificada")</x:f>
        <x:v>Independente</x:v>
      </x:c>
      <x:c r="F507" s="166" t="str">
        <x:v>BANCO J. SAFRA S/A</x:v>
      </x:c>
      <x:c r="G507" s="166" t="str">
        <x:v>Não identificado</x:v>
      </x:c>
      <x:c r="H507" s="166" t="str">
        <x:v>Outros</x:v>
      </x:c>
      <x:c r="I507" s="166" t="str">
        <x:v>Multicarteira Outros</x:v>
      </x:c>
      <x:c r="J507" s="166" t="str">
        <x:v>CI</x:v>
      </x:c>
      <x:c r="K507" s="172"/>
      <x:c r="L507" s="185" t="str">
        <x:v>Não classificado</x:v>
      </x:c>
    </x:row>
    <x:row r="508">
      <x:c r="A508" s="175" t="str">
        <x:v>49.571.859/0001-40</x:v>
      </x:c>
      <x:c r="B508" s="166" t="str">
        <x:v>SCORE MASTER I FUNDO DE INVESTIMENTO EM COTAS DE FUNDOS DE INVESTIMENTO EM DIREITOS CREDITÓRIOS</x:v>
      </x:c>
      <x:c r="C508" s="188" t="n">
        <x:v>276722710.08</x:v>
      </x:c>
      <x:c r="D508" s="166" t="str">
        <x:v>Score Capital</x:v>
      </x:c>
      <x:c r="E508" s="166" t="str">
        <x:f>IFERROR(INDEX('Classif Gestoras'!$H$6:$H$462,MATCH(D508,'Classif Gestoras'!$A$6:$A$462,0)),"Não classificada")</x:f>
        <x:v>Independente</x:v>
      </x:c>
      <x:c r="F508" s="166" t="str">
        <x:v>BTG Pactual Servicos Financeiros S/A DTVM</x:v>
      </x:c>
      <x:c r="G508" s="166" t="str">
        <x:v>BANCO BTG PACTUAL S/A</x:v>
      </x:c>
      <x:c r="H508" s="166" t="str">
        <x:v>Outros</x:v>
      </x:c>
      <x:c r="I508" s="166" t="str">
        <x:v>Multicarteira Outros</x:v>
      </x:c>
      <x:c r="J508" s="166" t="str">
        <x:v>CI</x:v>
      </x:c>
      <x:c r="K508" s="172" t="n">
        <x:v>60</x:v>
      </x:c>
      <x:c r="L508" s="185" t="str">
        <x:v>Não classificado</x:v>
      </x:c>
    </x:row>
    <x:row r="509">
      <x:c r="A509" s="175" t="str">
        <x:v>46.449.843/0001-70</x:v>
      </x:c>
      <x:c r="B509" s="166" t="str">
        <x:v>SPS ALGARVE DELTA CRÉDITOS JUDICIAIS FIDC DE RESPONSABILIDADE LIMITADA</x:v>
      </x:c>
      <x:c r="C509" s="188" t="n">
        <x:v>276339451.44</x:v>
      </x:c>
      <x:c r="D509" s="166" t="str">
        <x:v>Vinci SPS Gestão de Recursos Ltda.</x:v>
      </x:c>
      <x:c r="E509" s="166" t="str">
        <x:f>IFERROR(INDEX('Classif Gestoras'!$H$6:$H$462,MATCH(D509,'Classif Gestoras'!$A$6:$A$462,0)),"Não classificada")</x:f>
        <x:v>Independente</x:v>
      </x:c>
      <x:c r="F509" s="166" t="str">
        <x:v>BANCO DAYCOVAL S/A</x:v>
      </x:c>
      <x:c r="G509" s="166" t="str">
        <x:v>BANCO DAYCOVAL S.A.</x:v>
      </x:c>
      <x:c r="H509" s="166" t="str">
        <x:v>Outros</x:v>
      </x:c>
      <x:c r="I509" s="166" t="str">
        <x:v>Multicarteira Outros</x:v>
      </x:c>
      <x:c r="J509" s="166" t="str">
        <x:v>CI</x:v>
      </x:c>
      <x:c r="K509" s="172" t="n">
        <x:v>6</x:v>
      </x:c>
      <x:c r="L509" s="185" t="str">
        <x:v>Não classificado</x:v>
      </x:c>
    </x:row>
    <x:row r="510">
      <x:c r="A510" s="175" t="str">
        <x:v>26.607.511/0001-60</x:v>
      </x:c>
      <x:c r="B510" s="166" t="str">
        <x:v>CNPJ 26607511000160</x:v>
      </x:c>
      <x:c r="C510" s="188" t="n">
        <x:v>275850883.6</x:v>
      </x:c>
      <x:c r="D510" s="166" t="str">
        <x:v>Emerald Gestão de Investimento</x:v>
      </x:c>
      <x:c r="E510" s="166" t="str">
        <x:f>IFERROR(INDEX('Classif Gestoras'!$H$6:$H$462,MATCH(D510,'Classif Gestoras'!$A$6:$A$462,0)),"Não classificada")</x:f>
        <x:v>Independente</x:v>
      </x:c>
      <x:c r="F510" s="166" t="str">
        <x:v>BANCO J. SAFRA S/A</x:v>
      </x:c>
      <x:c r="G510" s="166" t="str">
        <x:v>Não identificado</x:v>
      </x:c>
      <x:c r="H510" s="166" t="str">
        <x:v>Outros</x:v>
      </x:c>
      <x:c r="I510" s="166" t="str">
        <x:v>Multicarteira Outros</x:v>
      </x:c>
      <x:c r="J510" s="166" t="str">
        <x:v>CI</x:v>
      </x:c>
      <x:c r="K510" s="172"/>
      <x:c r="L510" s="185" t="str">
        <x:v>Não classificado</x:v>
      </x:c>
    </x:row>
    <x:row r="511">
      <x:c r="A511" s="175" t="str">
        <x:v>22.945.783/0001-19</x:v>
      </x:c>
      <x:c r="B511" s="166" t="str">
        <x:v>LEVE FUNDO DE INVESTIMENTO EM DIREITOS CREDITÓRIOS - RESPONSABILIDADE LIMITADA</x:v>
      </x:c>
      <x:c r="C511" s="188" t="n">
        <x:v>275751255.36999995</x:v>
      </x:c>
      <x:c r="D511" s="166" t="str">
        <x:v>ARTESANAL MCMS</x:v>
      </x:c>
      <x:c r="E511" s="166" t="str">
        <x:f>IFERROR(INDEX('Classif Gestoras'!$H$6:$H$462,MATCH(D511,'Classif Gestoras'!$A$6:$A$462,0)),"Não classificada")</x:f>
        <x:v>Independente</x:v>
      </x:c>
      <x:c r="F511" s="166" t="str">
        <x:v>Singulare</x:v>
      </x:c>
      <x:c r="G511" s="166" t="str">
        <x:v>QI CORRETORA DE TÍTULOS E VALORES MOBILIÁRIOS S.A.</x:v>
      </x:c>
      <x:c r="H511" s="166" t="str">
        <x:v>Fomento Mercantil</x:v>
      </x:c>
      <x:c r="I511" s="166" t="str">
        <x:v>Fomento Mercantil</x:v>
      </x:c>
      <x:c r="J511" s="166" t="str">
        <x:v>CI</x:v>
      </x:c>
      <x:c r="K511" s="172" t="n">
        <x:v>39</x:v>
      </x:c>
      <x:c r="L511" s="185" t="str">
        <x:v>Não classificado</x:v>
      </x:c>
    </x:row>
    <x:row r="512">
      <x:c r="A512" s="175" t="str">
        <x:v>60.412.619/0001-35</x:v>
      </x:c>
      <x:c r="B512" s="166" t="str">
        <x:v>PS PLGN FUNDO DE INVESTIMENTO EM DIREITOS CREDITÓRIOS</x:v>
      </x:c>
      <x:c r="C512" s="188" t="n">
        <x:v>275584054</x:v>
      </x:c>
      <x:c r="D512" s="166" t="str">
        <x:v>POLÍGONO CAPITAL LTDA.</x:v>
      </x:c>
      <x:c r="E512" s="166" t="str">
        <x:f>IFERROR(INDEX('Classif Gestoras'!$H$6:$H$462,MATCH(D512,'Classif Gestoras'!$A$6:$A$462,0)),"Não classificada")</x:f>
        <x:v>Independente</x:v>
      </x:c>
      <x:c r="F512" s="166" t="str">
        <x:v>BTG Pactual Servicos Financeiros S/A DTVM</x:v>
      </x:c>
      <x:c r="G512" s="166" t="str">
        <x:v>BANCO BTG PACTUAL S/A</x:v>
      </x:c>
      <x:c r="H512" s="166" t="str">
        <x:v>Outros</x:v>
      </x:c>
      <x:c r="I512" s="166" t="str">
        <x:v>Multicarteira Outros</x:v>
      </x:c>
      <x:c r="J512" s="166" t="str">
        <x:v>CI</x:v>
      </x:c>
      <x:c r="K512" s="172" t="n">
        <x:v>1</x:v>
      </x:c>
      <x:c r="L512" s="185" t="str">
        <x:v>Não classificado</x:v>
      </x:c>
    </x:row>
    <x:row r="513">
      <x:c r="A513" s="175" t="str">
        <x:v>61.631.615/0001-00</x:v>
      </x:c>
      <x:c r="B513" s="166" t="str">
        <x:v>ITAÚ SONETO IP CRÉDITO PRIVADO FUNDO DE INVESTIMENTO EM DIREITOS CREDITÓRIOS RESPONSABILIDADE LIMITA</x:v>
      </x:c>
      <x:c r="C513" s="188" t="n">
        <x:v>275430994.93000007</x:v>
      </x:c>
      <x:c r="D513" s="166" t="str">
        <x:v>ITAU ASSET</x:v>
      </x:c>
      <x:c r="E513" s="166" t="str">
        <x:f>IFERROR(INDEX('Classif Gestoras'!$H$6:$H$462,MATCH(D513,'Classif Gestoras'!$A$6:$A$462,0)),"Não classificada")</x:f>
        <x:v>Ligada a banco</x:v>
      </x:c>
      <x:c r="F513" s="166" t="str">
        <x:v>INTRAG DIST. DE TÍTU</x:v>
      </x:c>
      <x:c r="G513" s="166" t="str">
        <x:v>ITAU UNIBANCO S.A.</x:v>
      </x:c>
      <x:c r="H513" s="166" t="str">
        <x:v>Outros</x:v>
      </x:c>
      <x:c r="I513" s="166" t="str">
        <x:v>Multicarteira Outros</x:v>
      </x:c>
      <x:c r="J513" s="166" t="str">
        <x:v>CI</x:v>
      </x:c>
      <x:c r="K513" s="172" t="n">
        <x:v>270</x:v>
      </x:c>
      <x:c r="L513" s="185" t="str">
        <x:v>Não classificado</x:v>
      </x:c>
    </x:row>
    <x:row r="514">
      <x:c r="A514" s="175" t="str">
        <x:v>63.168.433/0001-70</x:v>
      </x:c>
      <x:c r="B514" s="166" t="str">
        <x:v>LARCA AURORA FUNDO DE INVESTIMENTO EM DIREITOS CREDITÓRIOS CONSIGNADO DE RESPONSABILIDADE LIMITADA</x:v>
      </x:c>
      <x:c r="C514" s="188" t="n">
        <x:v>275326302.47</x:v>
      </x:c>
      <x:c r="D514" s="166" t="str">
        <x:v>VERT Gestora de Recursos Financeiros Ltda.</x:v>
      </x:c>
      <x:c r="E514" s="166" t="str">
        <x:f>IFERROR(INDEX('Classif Gestoras'!$H$6:$H$462,MATCH(D514,'Classif Gestoras'!$A$6:$A$462,0)),"Não classificada")</x:f>
        <x:v>Independente</x:v>
      </x:c>
      <x:c r="F514" s="166" t="str">
        <x:v>VERT Distribuidora de Títulos e Valores Mobiliários Ltd</x:v>
      </x:c>
      <x:c r="G514" s="166" t="str">
        <x:v>VERT DISTRIBUIDORA DE TÍTULOS E VALORES MOBILIÁRIOS LTDA.</x:v>
      </x:c>
      <x:c r="H514" s="166" t="str">
        <x:v>Financeiro</x:v>
      </x:c>
      <x:c r="I514" s="166" t="str">
        <x:v>Crédito Consignado</x:v>
      </x:c>
      <x:c r="J514" s="166" t="str">
        <x:v>CI</x:v>
      </x:c>
      <x:c r="K514" s="172" t="n">
        <x:v>13</x:v>
      </x:c>
      <x:c r="L514" s="185" t="str">
        <x:v>Não classificado</x:v>
      </x:c>
    </x:row>
    <x:row r="515">
      <x:c r="A515" s="175" t="str">
        <x:v>54.782.494/0001-32</x:v>
      </x:c>
      <x:c r="B515" s="166" t="str">
        <x:v>HALFDOME FUNDO DE INVESTIMENTO EM DIREITOS CREDITÓRIOS</x:v>
      </x:c>
      <x:c r="C515" s="188" t="n">
        <x:v>274916342.98</x:v>
      </x:c>
      <x:c r="D515" s="166" t="str">
        <x:v>Redwood Asset Management</x:v>
      </x:c>
      <x:c r="E515" s="166" t="str">
        <x:f>IFERROR(INDEX('Classif Gestoras'!$H$6:$H$462,MATCH(D515,'Classif Gestoras'!$A$6:$A$462,0)),"Não classificada")</x:f>
        <x:v>Independente</x:v>
      </x:c>
      <x:c r="F515" s="166" t="str">
        <x:v>PLANNER CV</x:v>
      </x:c>
      <x:c r="G515" s="166" t="str">
        <x:v>PLANNER CORRETORA DE VALORES S.A.</x:v>
      </x:c>
      <x:c r="H515" s="166" t="str">
        <x:v>Outros</x:v>
      </x:c>
      <x:c r="I515" s="166" t="str">
        <x:v>Multicarteira Outros</x:v>
      </x:c>
      <x:c r="J515" s="166" t="str">
        <x:v>CI</x:v>
      </x:c>
      <x:c r="K515" s="172" t="n">
        <x:v>7</x:v>
      </x:c>
      <x:c r="L515" s="185" t="str">
        <x:v>Não classificado</x:v>
      </x:c>
    </x:row>
    <x:row r="516">
      <x:c r="A516" s="175" t="str">
        <x:v>24.796.631/0001-27</x:v>
      </x:c>
      <x:c r="B516" s="166" t="str">
        <x:v>EVOLVE FUNDO DE INVESTIMENTO EM DIREITOS CREDITÓRIOS MULTISSETORIAL LP</x:v>
      </x:c>
      <x:c r="C516" s="188" t="n">
        <x:v>273784429.61</x:v>
      </x:c>
      <x:c r="D516" s="166" t="str">
        <x:v>Multiplica Capital</x:v>
      </x:c>
      <x:c r="E516" s="166" t="str">
        <x:f>IFERROR(INDEX('Classif Gestoras'!$H$6:$H$462,MATCH(D516,'Classif Gestoras'!$A$6:$A$462,0)),"Não classificada")</x:f>
        <x:v>Independente</x:v>
      </x:c>
      <x:c r="F516" s="166" t="str">
        <x:v>Singulare</x:v>
      </x:c>
      <x:c r="G516" s="166" t="str">
        <x:v>QI CORRETORA DE TÍTULOS E VALORES MOBILIÁRIOS S.A.</x:v>
      </x:c>
      <x:c r="H516" s="166" t="str">
        <x:v>Fomento Mercantil</x:v>
      </x:c>
      <x:c r="I516" s="166" t="str">
        <x:v>Fomento Mercantil</x:v>
      </x:c>
      <x:c r="J516" s="166" t="str">
        <x:v>CI</x:v>
      </x:c>
      <x:c r="K516" s="172" t="n">
        <x:v>68</x:v>
      </x:c>
      <x:c r="L516" s="185" t="str">
        <x:v>Não classificado</x:v>
      </x:c>
    </x:row>
    <x:row r="517">
      <x:c r="A517" s="175" t="str">
        <x:v>60.940.790/0001-17</x:v>
      </x:c>
      <x:c r="B517" s="166" t="str">
        <x:v>RIACHUELO MIDWAY EP FUNDO DE INVESTIMENTO EM DIREITOS CREDITÓRIOS CRÉDITO PESSOAL - RESP LIMITADA</x:v>
      </x:c>
      <x:c r="C517" s="188" t="n">
        <x:v>273713484.78999996</x:v>
      </x:c>
      <x:c r="D517" s="166" t="str">
        <x:v>GENIAL GESTÃO LTDA.</x:v>
      </x:c>
      <x:c r="E517" s="166" t="str">
        <x:f>IFERROR(INDEX('Classif Gestoras'!$H$6:$H$462,MATCH(D517,'Classif Gestoras'!$A$6:$A$462,0)),"Não classificada")</x:f>
        <x:v>Ligada a banco</x:v>
      </x:c>
      <x:c r="F517" s="166" t="str">
        <x:v>Genial Investimentos Corretora de Valores Mobiliários S.A.</x:v>
      </x:c>
      <x:c r="G517" s="166" t="str">
        <x:v>BANCO GENIAL S.A.</x:v>
      </x:c>
      <x:c r="H517" s="166" t="str">
        <x:v>Financeiro</x:v>
      </x:c>
      <x:c r="I517" s="166" t="str">
        <x:v>Crédito Pessoal</x:v>
      </x:c>
      <x:c r="J517" s="166" t="str">
        <x:v>CI</x:v>
      </x:c>
      <x:c r="K517" s="172" t="n">
        <x:v>1</x:v>
      </x:c>
      <x:c r="L517" s="185" t="str">
        <x:v>Não classificado</x:v>
      </x:c>
    </x:row>
    <x:row r="518">
      <x:c r="A518" s="175" t="str">
        <x:v>26.208.281/0001-66</x:v>
      </x:c>
      <x:c r="B518" s="166" t="str">
        <x:v>JC CACAU FUNDO DE INVESTIMENTO EM DIREITOS CREDITÓRIOS NÃO PADRONIZADOS - FIDC-NP</x:v>
      </x:c>
      <x:c r="C518" s="188" t="n">
        <x:v>272668500.93</x:v>
      </x:c>
      <x:c r="D518" s="166" t="str">
        <x:v>Jus Capital Gestão de Recursos LTDA</x:v>
      </x:c>
      <x:c r="E518" s="166" t="str">
        <x:f>IFERROR(INDEX('Classif Gestoras'!$H$6:$H$462,MATCH(D518,'Classif Gestoras'!$A$6:$A$462,0)),"Não classificada")</x:f>
        <x:v>Independente</x:v>
      </x:c>
      <x:c r="F518" s="166" t="str">
        <x:v>Singulare</x:v>
      </x:c>
      <x:c r="G518" s="166" t="str">
        <x:v>QI CORRETORA DE TÍTULOS E VALORES MOBILIÁRIOS S.A.</x:v>
      </x:c>
      <x:c r="H518" s="166" t="str">
        <x:v>Outros</x:v>
      </x:c>
      <x:c r="I518" s="166" t="str">
        <x:v>Poder Público</x:v>
      </x:c>
      <x:c r="J518" s="166" t="str">
        <x:v>CI</x:v>
      </x:c>
      <x:c r="K518" s="172" t="n">
        <x:v>4</x:v>
      </x:c>
      <x:c r="L518" s="185" t="str">
        <x:v>Não classificado</x:v>
      </x:c>
    </x:row>
    <x:row r="519">
      <x:c r="A519" s="175" t="str">
        <x:v>53.662.209/0001-87</x:v>
      </x:c>
      <x:c r="B519" s="166" t="str">
        <x:v>PNEUCASH FUNDO DE INVESTIMENTO EM DIREITOS CREDITÓRIOS DE CLASSE ÚNICA FECHADA - RESP LTDA</x:v>
      </x:c>
      <x:c r="C519" s="188" t="n">
        <x:v>272090505.43</x:v>
      </x:c>
      <x:c r="D519" s="166" t="str">
        <x:v>ANGÁ ASSET MANAGEMENT</x:v>
      </x:c>
      <x:c r="E519" s="166" t="str">
        <x:f>IFERROR(INDEX('Classif Gestoras'!$H$6:$H$462,MATCH(D519,'Classif Gestoras'!$A$6:$A$462,0)),"Não classificada")</x:f>
        <x:v>Independente</x:v>
      </x:c>
      <x:c r="F519" s="166" t="str">
        <x:v>Oliveira Trust DTVM</x:v>
      </x:c>
      <x:c r="G519" s="166" t="str">
        <x:v>OLIVEIRA TRUST DTVM S.A.</x:v>
      </x:c>
      <x:c r="H519" s="166" t="str">
        <x:v>Fomento Mercantil</x:v>
      </x:c>
      <x:c r="I519" s="166" t="str">
        <x:v>Fomento Mercantil</x:v>
      </x:c>
      <x:c r="J519" s="166" t="str">
        <x:v>CI</x:v>
      </x:c>
      <x:c r="K519" s="172" t="n">
        <x:v>7</x:v>
      </x:c>
      <x:c r="L519" s="185" t="str">
        <x:v>Não classificado</x:v>
      </x:c>
    </x:row>
    <x:row r="520">
      <x:c r="A520" s="175" t="str">
        <x:v>57.088.975/0001-30</x:v>
      </x:c>
      <x:c r="B520" s="166" t="str">
        <x:v>MONTE SIÃO FUNDO DE INVESTIMENTO EM DIREITOS CREDITÓRIOS</x:v>
      </x:c>
      <x:c r="C520" s="188" t="n">
        <x:v>271660220.71999997</x:v>
      </x:c>
      <x:c r="D520" s="166" t="str">
        <x:v>ORRAM GESTÃO DE RECURSOS LTDA.</x:v>
      </x:c>
      <x:c r="E520" s="166" t="str">
        <x:f>IFERROR(INDEX('Classif Gestoras'!$H$6:$H$462,MATCH(D520,'Classif Gestoras'!$A$6:$A$462,0)),"Não classificada")</x:f>
        <x:v>Independente</x:v>
      </x:c>
      <x:c r="F520" s="166" t="str">
        <x:v>Singulare</x:v>
      </x:c>
      <x:c r="G520" s="166" t="str">
        <x:v>QI CORRETORA DE TÍTULOS E VALORES MOBILIÁRIOS S.A.</x:v>
      </x:c>
      <x:c r="H520" s="166" t="str">
        <x:v>Fomento Mercantil</x:v>
      </x:c>
      <x:c r="I520" s="166" t="str">
        <x:v>Fomento Mercantil</x:v>
      </x:c>
      <x:c r="J520" s="166" t="str">
        <x:v>CI</x:v>
      </x:c>
      <x:c r="K520" s="172" t="n">
        <x:v>72</x:v>
      </x:c>
      <x:c r="L520" s="185" t="str">
        <x:v>Não classificado</x:v>
      </x:c>
    </x:row>
    <x:row r="521">
      <x:c r="A521" s="175" t="str">
        <x:v>53.147.925/0001-26</x:v>
      </x:c>
      <x:c r="B521" s="166" t="str">
        <x:v>ROKA FUNDO DE INVESTIMENTO EM DIREITOS CREDITÓRIOS - RESPONSABILIDADE LIMITADA</x:v>
      </x:c>
      <x:c r="C521" s="188" t="n">
        <x:v>271193859.3682</x:v>
      </x:c>
      <x:c r="D521" s="166" t="str">
        <x:v>BTG PACTUAL GESTAO E CONSULTORIA DE INVESTIMENTOS</x:v>
      </x:c>
      <x:c r="E521" s="166" t="str">
        <x:f>IFERROR(INDEX('Classif Gestoras'!$H$6:$H$462,MATCH(D521,'Classif Gestoras'!$A$6:$A$462,0)),"Não classificada")</x:f>
        <x:v>Ligada a banco</x:v>
      </x:c>
      <x:c r="F521" s="166" t="str">
        <x:v>BTG Pactual Servicos Financeiros S/A DTVM</x:v>
      </x:c>
      <x:c r="G521" s="166" t="str">
        <x:v>BANCO BTG PACTUAL S/A</x:v>
      </x:c>
      <x:c r="H521" s="166" t="str">
        <x:v>Outros</x:v>
      </x:c>
      <x:c r="I521" s="166" t="str">
        <x:v>Multicarteira Outros</x:v>
      </x:c>
      <x:c r="J521" s="166" t="str">
        <x:v>CI</x:v>
      </x:c>
      <x:c r="K521" s="172" t="n">
        <x:v>1</x:v>
      </x:c>
      <x:c r="L521" s="185" t="str">
        <x:v>Não classificado</x:v>
      </x:c>
    </x:row>
    <x:row r="522">
      <x:c r="A522" s="175" t="str">
        <x:v>49.628.680/0001-81</x:v>
      </x:c>
      <x:c r="B522" s="166" t="str">
        <x:v>RD FUNDO DE INVESTIMENTO EM DIREITOS CREDITÓRIOS COMERCIAIS CRÉDITO CORPORATIVO DE RESPONSA LIMITADA</x:v>
      </x:c>
      <x:c r="C522" s="188" t="n">
        <x:v>269637084.62</x:v>
      </x:c>
      <x:c r="D522" s="166" t="str">
        <x:v>Integral Investimentos</x:v>
      </x:c>
      <x:c r="E522" s="166" t="str">
        <x:f>IFERROR(INDEX('Classif Gestoras'!$H$6:$H$462,MATCH(D522,'Classif Gestoras'!$A$6:$A$462,0)),"Não classificada")</x:f>
        <x:v>Independente</x:v>
      </x:c>
      <x:c r="F522" s="166" t="str">
        <x:v>Oliveira Trust DTVM</x:v>
      </x:c>
      <x:c r="G522" s="166" t="str">
        <x:v>OLIVEIRA TRUST DTVM S.A.</x:v>
      </x:c>
      <x:c r="H522" s="166" t="str">
        <x:v>Agro, Indústria e Comércio</x:v>
      </x:c>
      <x:c r="I522" s="166" t="str">
        <x:v>Crédito Corporativo</x:v>
      </x:c>
      <x:c r="J522" s="166" t="str">
        <x:v>CI</x:v>
      </x:c>
      <x:c r="K522" s="172" t="n">
        <x:v>41</x:v>
      </x:c>
      <x:c r="L522" s="185" t="str">
        <x:v>Não classificado</x:v>
      </x:c>
    </x:row>
    <x:row r="523">
      <x:c r="A523" s="175" t="str">
        <x:v>47.117.773/0001-16</x:v>
      </x:c>
      <x:c r="B523" s="166" t="str">
        <x:v>SOLIS CONSIGNADO FEDERAL FUNDO DE INVESTIMENTO EM DIREITOS CREDITÓRIOS - RESP LIMITADA</x:v>
      </x:c>
      <x:c r="C523" s="188" t="n">
        <x:v>267448360.80999997</x:v>
      </x:c>
      <x:c r="D523" s="166" t="str">
        <x:v>Solis</x:v>
      </x:c>
      <x:c r="E523" s="166" t="str">
        <x:f>IFERROR(INDEX('Classif Gestoras'!$H$6:$H$462,MATCH(D523,'Classif Gestoras'!$A$6:$A$462,0)),"Não classificada")</x:f>
        <x:v>Independente</x:v>
      </x:c>
      <x:c r="F523" s="166" t="str">
        <x:v>HEMERA DTVM</x:v>
      </x:c>
      <x:c r="G523" s="166" t="str">
        <x:v>HEMERA DISTRIBUIDORA DE TITULOS E VALORES MOBILIARIOS LTDA</x:v>
      </x:c>
      <x:c r="H523" s="166" t="str">
        <x:v>Financeiro</x:v>
      </x:c>
      <x:c r="I523" s="166" t="str">
        <x:v>Crédito Consignado</x:v>
      </x:c>
      <x:c r="J523" s="166" t="str">
        <x:v>CI</x:v>
      </x:c>
      <x:c r="K523" s="172" t="n">
        <x:v>92</x:v>
      </x:c>
      <x:c r="L523" s="185" t="str">
        <x:v>Não classificado</x:v>
      </x:c>
    </x:row>
    <x:row r="524">
      <x:c r="A524" s="175" t="str">
        <x:v>55.565.510/0001-06</x:v>
      </x:c>
      <x:c r="B524" s="166" t="str">
        <x:v>FUNDO DE INVESTIMENTO EM DIREITOS CREDITÓRIOS TM4</x:v>
      </x:c>
      <x:c r="C524" s="188" t="n">
        <x:v>267399294.83</x:v>
      </x:c>
      <x:c r="D524" s="166" t="str">
        <x:v>OPEA GESTORA DE RECURSOS</x:v>
      </x:c>
      <x:c r="E524" s="166" t="str">
        <x:f>IFERROR(INDEX('Classif Gestoras'!$H$6:$H$462,MATCH(D524,'Classif Gestoras'!$A$6:$A$462,0)),"Não classificada")</x:f>
        <x:v>Independente</x:v>
      </x:c>
      <x:c r="F524" s="166" t="str">
        <x:v>VÓRTX DTVM</x:v>
      </x:c>
      <x:c r="G524" s="166" t="str">
        <x:v>VORTX DISTRIBUIDORA DE TITULOS E VALORES MOBILIARIOS LTDA.</x:v>
      </x:c>
      <x:c r="H524" s="166" t="str">
        <x:v>Financeiro</x:v>
      </x:c>
      <x:c r="I524" s="166" t="str">
        <x:v>Crédito Pessoal</x:v>
      </x:c>
      <x:c r="J524" s="166" t="str">
        <x:v>CI</x:v>
      </x:c>
      <x:c r="K524" s="172" t="n">
        <x:v>21</x:v>
      </x:c>
      <x:c r="L524" s="185" t="str">
        <x:v>Não classificado</x:v>
      </x:c>
    </x:row>
    <x:row r="525">
      <x:c r="A525" s="175" t="str">
        <x:v>26.648.752/0001-57</x:v>
      </x:c>
      <x:c r="B525" s="166" t="str">
        <x:v>VALECRED DISTRESSED &amp; SPECIAL SITS FUNDO DE INVESTIMENTO EM DIREITOS CREDITÓRIOS NÃO PADRONIZADOS</x:v>
      </x:c>
      <x:c r="C525" s="188" t="n">
        <x:v>266931334.62000003</x:v>
      </x:c>
      <x:c r="D525" s="166" t="str">
        <x:v>TERCON ASSET MANAGEMENT</x:v>
      </x:c>
      <x:c r="E525" s="166" t="str">
        <x:f>IFERROR(INDEX('Classif Gestoras'!$H$6:$H$462,MATCH(D525,'Classif Gestoras'!$A$6:$A$462,0)),"Não classificada")</x:f>
        <x:v>Independente</x:v>
      </x:c>
      <x:c r="F525" s="166" t="str">
        <x:v>Singulare</x:v>
      </x:c>
      <x:c r="G525" s="166" t="str">
        <x:v>QI CORRETORA DE TÍTULOS E VALORES MOBILIÁRIOS S.A.</x:v>
      </x:c>
      <x:c r="H525" s="166" t="str">
        <x:v>Fomento Mercantil</x:v>
      </x:c>
      <x:c r="I525" s="166" t="str">
        <x:v>Fomento Mercantil</x:v>
      </x:c>
      <x:c r="J525" s="166" t="str">
        <x:v>CI</x:v>
      </x:c>
      <x:c r="K525" s="172" t="n">
        <x:v>2</x:v>
      </x:c>
      <x:c r="L525" s="185" t="str">
        <x:v>Não classificado</x:v>
      </x:c>
    </x:row>
    <x:row r="526">
      <x:c r="A526" s="175" t="str">
        <x:v>62.190.416/0001-77</x:v>
      </x:c>
      <x:c r="B526" s="166" t="str">
        <x:v>BIAGRO FUNDO DE INVESTIMENTO EM DIREITOS CREDITÓRIOS</x:v>
      </x:c>
      <x:c r="C526" s="188" t="n">
        <x:v>266641944.8</x:v>
      </x:c>
      <x:c r="D526" s="166" t="str">
        <x:v>ICON CAPITAL</x:v>
      </x:c>
      <x:c r="E526" s="166" t="str">
        <x:f>IFERROR(INDEX('Classif Gestoras'!$H$6:$H$462,MATCH(D526,'Classif Gestoras'!$A$6:$A$462,0)),"Não classificada")</x:f>
        <x:v>Independente</x:v>
      </x:c>
      <x:c r="F526" s="166" t="str">
        <x:v>FIDD DISTRIBUIDORA DE TITULOS E VALORES MOBILIARIOS LTD</x:v>
      </x:c>
      <x:c r="G526" s="166" t="str">
        <x:v>FIDD DISTRIBUIDORA DE TITULOS E VALORES MOBILIARIOS LTDA.</x:v>
      </x:c>
      <x:c r="H526" s="166" t="str">
        <x:v>Agro, Indústria e Comércio</x:v>
      </x:c>
      <x:c r="I526" s="166" t="str">
        <x:v>Multicarteira Agro, Indústria e Comércio</x:v>
      </x:c>
      <x:c r="J526" s="166" t="str">
        <x:v>CI</x:v>
      </x:c>
      <x:c r="K526" s="172" t="n">
        <x:v>1</x:v>
      </x:c>
      <x:c r="L526" s="185" t="str">
        <x:v>Não classificado</x:v>
      </x:c>
    </x:row>
    <x:row r="527">
      <x:c r="A527" s="175" t="str">
        <x:v>61.995.584/0001-77</x:v>
      </x:c>
      <x:c r="B527" s="166" t="str">
        <x:v>CAPITAL SOLUTIONS FUNDO DE INVESTIMENTO EM DIREITOS CREDITÓRIOS - RESPONSABILIDADE LIMITADA</x:v>
      </x:c>
      <x:c r="C527" s="188" t="n">
        <x:v>265829325.32</x:v>
      </x:c>
      <x:c r="D527" s="166" t="str">
        <x:v>EB CAPITAL CRÉDITO AGRO LTDA.</x:v>
      </x:c>
      <x:c r="E527" s="166" t="str">
        <x:f>IFERROR(INDEX('Classif Gestoras'!$H$6:$H$462,MATCH(D527,'Classif Gestoras'!$A$6:$A$462,0)),"Não classificada")</x:f>
        <x:v>Independente</x:v>
      </x:c>
      <x:c r="F527" s="166" t="str">
        <x:v>Singulare</x:v>
      </x:c>
      <x:c r="G527" s="166" t="str">
        <x:v>QI CORRETORA DE TÍTULOS E VALORES MOBILIÁRIOS S.A.</x:v>
      </x:c>
      <x:c r="H527" s="166" t="str">
        <x:v>Outros</x:v>
      </x:c>
      <x:c r="I527" s="166" t="str">
        <x:v>Multicarteira Outros</x:v>
      </x:c>
      <x:c r="J527" s="166" t="str">
        <x:v>CI</x:v>
      </x:c>
      <x:c r="K527" s="172" t="n">
        <x:v>4</x:v>
      </x:c>
      <x:c r="L527" s="185" t="str">
        <x:v>Não classificado</x:v>
      </x:c>
    </x:row>
    <x:row r="528">
      <x:c r="A528" s="175" t="str">
        <x:v>52.115.758/0001-79</x:v>
      </x:c>
      <x:c r="B528" s="166" t="str">
        <x:v>PRECATO IV FUNDO DE INVESTIMENTO EM DIREITOS CREDITÓRIOS DE RESPONSABILIDADE LIMITADA</x:v>
      </x:c>
      <x:c r="C528" s="188" t="n">
        <x:v>265761636.83</x:v>
      </x:c>
      <x:c r="D528" s="166" t="str">
        <x:v>TAG Investimentos</x:v>
      </x:c>
      <x:c r="E528" s="166" t="str">
        <x:f>IFERROR(INDEX('Classif Gestoras'!$H$6:$H$462,MATCH(D528,'Classif Gestoras'!$A$6:$A$462,0)),"Não classificada")</x:f>
        <x:v>Independente</x:v>
      </x:c>
      <x:c r="F528" s="166" t="str">
        <x:v>ID Corretora de Títulos e Valores Mobiliários S.A.</x:v>
      </x:c>
      <x:c r="G528" s="166" t="str">
        <x:v>ID CORRETORA DE TITULOS E VALORES MOBILIARIOS S.A.</x:v>
      </x:c>
      <x:c r="H528" s="166" t="str">
        <x:v>Financeiro</x:v>
      </x:c>
      <x:c r="I528" s="166" t="str">
        <x:v>Multicarteira Financeiro</x:v>
      </x:c>
      <x:c r="J528" s="166" t="str">
        <x:v>CI</x:v>
      </x:c>
      <x:c r="K528" s="172" t="n">
        <x:v>1</x:v>
      </x:c>
      <x:c r="L528" s="185" t="str">
        <x:v>Não classificado</x:v>
      </x:c>
    </x:row>
    <x:row r="529">
      <x:c r="A529" s="175" t="str">
        <x:v>19.425.700/0001-56</x:v>
      </x:c>
      <x:c r="B529" s="166" t="str">
        <x:v>RDF FUNDO DE INVESTIMENTO EM DIREITOS CREDITÓRIOS DE RESPONSABILIDADE LIMITADA</x:v>
      </x:c>
      <x:c r="C529" s="188" t="n">
        <x:v>265574207.04</x:v>
      </x:c>
      <x:c r="D529" s="166" t="str">
        <x:v>TERCON ASSET MANAGEMENT</x:v>
      </x:c>
      <x:c r="E529" s="166" t="str">
        <x:f>IFERROR(INDEX('Classif Gestoras'!$H$6:$H$462,MATCH(D529,'Classif Gestoras'!$A$6:$A$462,0)),"Não classificada")</x:f>
        <x:v>Independente</x:v>
      </x:c>
      <x:c r="F529" s="166" t="str">
        <x:v>Singulare</x:v>
      </x:c>
      <x:c r="G529" s="166" t="str">
        <x:v>QI CORRETORA DE TÍTULOS E VALORES MOBILIÁRIOS S.A.</x:v>
      </x:c>
      <x:c r="H529" s="166" t="str">
        <x:v>Fomento Mercantil</x:v>
      </x:c>
      <x:c r="I529" s="166" t="str">
        <x:v>Fomento Mercantil</x:v>
      </x:c>
      <x:c r="J529" s="166" t="str">
        <x:v>CI</x:v>
      </x:c>
      <x:c r="K529" s="172" t="n">
        <x:v>73</x:v>
      </x:c>
      <x:c r="L529" s="185" t="str">
        <x:v>Não classificado</x:v>
      </x:c>
    </x:row>
    <x:row r="530">
      <x:c r="A530" s="175" t="str">
        <x:v>30.366.120/0001-78</x:v>
      </x:c>
      <x:c r="B530" s="166" t="str">
        <x:v>FUNDO DE INVESTIMENTO EM DIREITOS CREDITÓRIOS VCK CONSIGNADOS - RESPONSABILIDADE LIMITADA</x:v>
      </x:c>
      <x:c r="C530" s="188" t="n">
        <x:v>265210221.61999995</x:v>
      </x:c>
      <x:c r="D530" s="166" t="str">
        <x:v>VALORA RENDA FIXA LTDA.</x:v>
      </x:c>
      <x:c r="E530" s="166" t="str">
        <x:f>IFERROR(INDEX('Classif Gestoras'!$H$6:$H$462,MATCH(D530,'Classif Gestoras'!$A$6:$A$462,0)),"Não classificada")</x:f>
        <x:v>Independente</x:v>
      </x:c>
      <x:c r="F530" s="166" t="str">
        <x:v>Singulare</x:v>
      </x:c>
      <x:c r="G530" s="166" t="str">
        <x:v>QI CORRETORA DE TÍTULOS E VALORES MOBILIÁRIOS S.A.</x:v>
      </x:c>
      <x:c r="H530" s="166" t="str">
        <x:v>Financeiro</x:v>
      </x:c>
      <x:c r="I530" s="166" t="str">
        <x:v>Crédito Consignado</x:v>
      </x:c>
      <x:c r="J530" s="166" t="str">
        <x:v>CI</x:v>
      </x:c>
      <x:c r="K530" s="172" t="n">
        <x:v>31</x:v>
      </x:c>
      <x:c r="L530" s="185" t="str">
        <x:v>Não classificado</x:v>
      </x:c>
    </x:row>
    <x:row r="531">
      <x:c r="A531" s="175" t="str">
        <x:v>46.766.050/0001-85</x:v>
      </x:c>
      <x:c r="B531" s="166" t="str">
        <x:v>FUNDO DE INVESTIMENTO EM DIREITOS CREDITÓRIOS ALION II CONSIGNADOS</x:v>
      </x:c>
      <x:c r="C531" s="188" t="n">
        <x:v>265158278.13</x:v>
      </x:c>
      <x:c r="D531" s="166" t="str">
        <x:v>VALORA RENDA FIXA ESTRUTURADOS LTDA.</x:v>
      </x:c>
      <x:c r="E531" s="166" t="str">
        <x:f>IFERROR(INDEX('Classif Gestoras'!$H$6:$H$462,MATCH(D531,'Classif Gestoras'!$A$6:$A$462,0)),"Não classificada")</x:f>
        <x:v>Independente</x:v>
      </x:c>
      <x:c r="F531" s="166" t="str">
        <x:v>Singulare</x:v>
      </x:c>
      <x:c r="G531" s="166" t="str">
        <x:v>QI CORRETORA DE TÍTULOS E VALORES MOBILIÁRIOS S.A.</x:v>
      </x:c>
      <x:c r="H531" s="166" t="str">
        <x:v>Financeiro</x:v>
      </x:c>
      <x:c r="I531" s="166" t="str">
        <x:v>Crédito Consignado</x:v>
      </x:c>
      <x:c r="J531" s="166" t="str">
        <x:v>CI</x:v>
      </x:c>
      <x:c r="K531" s="172" t="n">
        <x:v>99</x:v>
      </x:c>
      <x:c r="L531" s="185" t="str">
        <x:v>Não classificado</x:v>
      </x:c>
    </x:row>
    <x:row r="532">
      <x:c r="A532" s="175" t="str">
        <x:v>59.773.538/0001-81</x:v>
      </x:c>
      <x:c r="B532" s="166" t="str">
        <x:v>ITAÚ PIRINEUS III FIC FIDC DE DE INFRAESTRUTURA RESPONSABILIDADE LIMITADA</x:v>
      </x:c>
      <x:c r="C532" s="188" t="n">
        <x:v>262646220.33</x:v>
      </x:c>
      <x:c r="D532" s="166" t="str">
        <x:v>ITAU ASSET</x:v>
      </x:c>
      <x:c r="E532" s="166" t="str">
        <x:f>IFERROR(INDEX('Classif Gestoras'!$H$6:$H$462,MATCH(D532,'Classif Gestoras'!$A$6:$A$462,0)),"Não classificada")</x:f>
        <x:v>Ligada a banco</x:v>
      </x:c>
      <x:c r="F532" s="166" t="str">
        <x:v>INTRAG DIST. DE TÍTU</x:v>
      </x:c>
      <x:c r="G532" s="166" t="str">
        <x:v>ITAU UNIBANCO S.A.</x:v>
      </x:c>
      <x:c r="H532" s="166" t="str">
        <x:v>Agro, Indústria e Comércio</x:v>
      </x:c>
      <x:c r="I532" s="166" t="str">
        <x:v>Infraestrutura</x:v>
      </x:c>
      <x:c r="J532" s="166" t="str">
        <x:v>CIPC</x:v>
      </x:c>
      <x:c r="K532" s="172" t="n">
        <x:v>885</x:v>
      </x:c>
      <x:c r="L532" s="185" t="str">
        <x:v>Não classificado</x:v>
      </x:c>
    </x:row>
    <x:row r="533">
      <x:c r="A533" s="175" t="str">
        <x:v>25.316.863/0001-01</x:v>
      </x:c>
      <x:c r="B533" s="166" t="str">
        <x:v>SPDA HABITACAO FUNDO DE INVESTIMENTO EM DIREITOS CREDITORIOS RESPONSABILIDADE LIMITADA</x:v>
      </x:c>
      <x:c r="C533" s="188" t="n">
        <x:v>262465512.58</x:v>
      </x:c>
      <x:c r="D533" s="166" t="str">
        <x:v>RCB PORTFOLIOS</x:v>
      </x:c>
      <x:c r="E533" s="166" t="str">
        <x:f>IFERROR(INDEX('Classif Gestoras'!$H$6:$H$462,MATCH(D533,'Classif Gestoras'!$A$6:$A$462,0)),"Não classificada")</x:f>
        <x:v>Independente</x:v>
      </x:c>
      <x:c r="F533" s="166" t="str">
        <x:v>OSLO DTVM S. A.</x:v>
      </x:c>
      <x:c r="G533" s="166" t="str">
        <x:v>OSLO CAPITAL DISTRIBUIDORA DE TITULOS E VALORES MOBILIARIOS S.A.</x:v>
      </x:c>
      <x:c r="H533" s="166" t="str">
        <x:v>Financeiro</x:v>
      </x:c>
      <x:c r="I533" s="166" t="str">
        <x:v>Crédito Imobiliário</x:v>
      </x:c>
      <x:c r="J533" s="166" t="str">
        <x:v>CI</x:v>
      </x:c>
      <x:c r="K533" s="172" t="n">
        <x:v>1</x:v>
      </x:c>
      <x:c r="L533" s="185" t="str">
        <x:v>Não classificado</x:v>
      </x:c>
    </x:row>
    <x:row r="534">
      <x:c r="A534" s="175" t="str">
        <x:v>17.498.285/0001-35</x:v>
      </x:c>
      <x:c r="B534" s="166" t="str">
        <x:v>RAIZES FUNDO DE INVESTIMENTO EM DIREITOS CREDITORIOS MULTISSETORIAL</x:v>
      </x:c>
      <x:c r="C534" s="188" t="n">
        <x:v>261561011.74</x:v>
      </x:c>
      <x:c r="D534" s="166" t="str">
        <x:v>OURO PRETO INVESTIMENTOS</x:v>
      </x:c>
      <x:c r="E534" s="166" t="str">
        <x:f>IFERROR(INDEX('Classif Gestoras'!$H$6:$H$462,MATCH(D534,'Classif Gestoras'!$A$6:$A$462,0)),"Não classificada")</x:f>
        <x:v>Independente</x:v>
      </x:c>
      <x:c r="F534" s="166" t="str">
        <x:v>Singulare</x:v>
      </x:c>
      <x:c r="G534" s="166" t="str">
        <x:v>QI CORRETORA DE TÍTULOS E VALORES MOBILIÁRIOS S.A.</x:v>
      </x:c>
      <x:c r="H534" s="166" t="str">
        <x:v>Fomento Mercantil</x:v>
      </x:c>
      <x:c r="I534" s="166" t="str">
        <x:v>Fomento Mercantil</x:v>
      </x:c>
      <x:c r="J534" s="166" t="str">
        <x:v>CI</x:v>
      </x:c>
      <x:c r="K534" s="172" t="n">
        <x:v>69</x:v>
      </x:c>
      <x:c r="L534" s="185" t="str">
        <x:v>Não classificado</x:v>
      </x:c>
    </x:row>
    <x:row r="535">
      <x:c r="A535" s="175" t="str">
        <x:v>58.055.083/0001-04</x:v>
      </x:c>
      <x:c r="B535" s="166" t="str">
        <x:v>MIDIAN FUNDO DE INVESTIMENTO EM DIREITOS CREDITÓRIOS - RESPONSABILIDADE LIMITADA</x:v>
      </x:c>
      <x:c r="C535" s="188" t="n">
        <x:v>261349086.72999996</x:v>
      </x:c>
      <x:c r="D535" s="166" t="str">
        <x:v>Number Asset Brasil Ltda.</x:v>
      </x:c>
      <x:c r="E535" s="166" t="str">
        <x:f>IFERROR(INDEX('Classif Gestoras'!$H$6:$H$462,MATCH(D535,'Classif Gestoras'!$A$6:$A$462,0)),"Não classificada")</x:f>
        <x:v>Independente</x:v>
      </x:c>
      <x:c r="F535" s="166" t="str">
        <x:v>Banvox DTVM</x:v>
      </x:c>
      <x:c r="G535" s="166" t="str">
        <x:v>BANVOX DISTRIBUIDORA DE TITULOS E VALORES MOBILIARIOS LTDA</x:v>
      </x:c>
      <x:c r="H535" s="166" t="str">
        <x:v>Financeiro</x:v>
      </x:c>
      <x:c r="I535" s="166" t="str">
        <x:v>Crédito Consignado</x:v>
      </x:c>
      <x:c r="J535" s="166" t="str">
        <x:v>CI</x:v>
      </x:c>
      <x:c r="K535" s="172" t="n">
        <x:v>2</x:v>
      </x:c>
      <x:c r="L535" s="185" t="str">
        <x:v>Não classificado</x:v>
      </x:c>
    </x:row>
    <x:row r="536">
      <x:c r="A536" s="175" t="str">
        <x:v>60.327.212/0001-00</x:v>
      </x:c>
      <x:c r="B536" s="166" t="str">
        <x:v>MTR CRÉDITOS SELECIONADOS II FUNDO DE INVESTIMENTO EM DIREITOS CREDITÓRIOS - RESPONSABILIDADE LIMITA</x:v>
      </x:c>
      <x:c r="C536" s="188" t="n">
        <x:v>260861017.67000005</x:v>
      </x:c>
      <x:c r="D536" s="166" t="str">
        <x:v>BURITI INVESTIMENTOS</x:v>
      </x:c>
      <x:c r="E536" s="166" t="str">
        <x:f>IFERROR(INDEX('Classif Gestoras'!$H$6:$H$462,MATCH(D536,'Classif Gestoras'!$A$6:$A$462,0)),"Não classificada")</x:f>
        <x:v>Independente</x:v>
      </x:c>
      <x:c r="F536" s="166" t="str">
        <x:v>Singulare</x:v>
      </x:c>
      <x:c r="G536" s="166" t="str">
        <x:v>QI CORRETORA DE TÍTULOS E VALORES MOBILIÁRIOS S.A.</x:v>
      </x:c>
      <x:c r="H536" s="166" t="str">
        <x:v>Outros</x:v>
      </x:c>
      <x:c r="I536" s="166" t="str">
        <x:v>Poder Público</x:v>
      </x:c>
      <x:c r="J536" s="166" t="str">
        <x:v>CI</x:v>
      </x:c>
      <x:c r="K536" s="172" t="n">
        <x:v>19</x:v>
      </x:c>
      <x:c r="L536" s="185" t="str">
        <x:v>Não classificado</x:v>
      </x:c>
    </x:row>
    <x:row r="537">
      <x:c r="A537" s="175" t="str">
        <x:v>20.093.858/0001-55</x:v>
      </x:c>
      <x:c r="B537" s="166" t="str">
        <x:v>IB SIGMA FUNDO DE INVESTIMENTO EM DIREITOS CREDITÓRIOS</x:v>
      </x:c>
      <x:c r="C537" s="188" t="n">
        <x:v>260227254.31</x:v>
      </x:c>
      <x:c r="D537" s="166" t="str">
        <x:v>TERCON ASSET MANAGEMENT</x:v>
      </x:c>
      <x:c r="E537" s="166" t="str">
        <x:f>IFERROR(INDEX('Classif Gestoras'!$H$6:$H$462,MATCH(D537,'Classif Gestoras'!$A$6:$A$462,0)),"Não classificada")</x:f>
        <x:v>Independente</x:v>
      </x:c>
      <x:c r="F537" s="166" t="str">
        <x:v>Singulare</x:v>
      </x:c>
      <x:c r="G537" s="166" t="str">
        <x:v>QI CORRETORA DE TÍTULOS E VALORES MOBILIÁRIOS S.A.</x:v>
      </x:c>
      <x:c r="H537" s="166" t="str">
        <x:v>Fomento Mercantil</x:v>
      </x:c>
      <x:c r="I537" s="166" t="str">
        <x:v>Fomento Mercantil</x:v>
      </x:c>
      <x:c r="J537" s="166" t="str">
        <x:v>CI</x:v>
      </x:c>
      <x:c r="K537" s="172" t="n">
        <x:v>29</x:v>
      </x:c>
      <x:c r="L537" s="185" t="str">
        <x:v>Não classificado</x:v>
      </x:c>
    </x:row>
    <x:row r="538">
      <x:c r="A538" s="175" t="str">
        <x:v>35.580.989/0001-34</x:v>
      </x:c>
      <x:c r="B538" s="166" t="str">
        <x:v>BANFITA FUNDO DE INVESTIMENTO EM DIREITOS CREDITÓRIOS MULTISSETORIAL</x:v>
      </x:c>
      <x:c r="C538" s="188" t="n">
        <x:v>260172164.52</x:v>
      </x:c>
      <x:c r="D538" s="166" t="str">
        <x:v>OURO PRETO INVESTIMENTOS</x:v>
      </x:c>
      <x:c r="E538" s="166" t="str">
        <x:f>IFERROR(INDEX('Classif Gestoras'!$H$6:$H$462,MATCH(D538,'Classif Gestoras'!$A$6:$A$462,0)),"Não classificada")</x:f>
        <x:v>Independente</x:v>
      </x:c>
      <x:c r="F538" s="166" t="str">
        <x:v>Singulare</x:v>
      </x:c>
      <x:c r="G538" s="166" t="str">
        <x:v>QI CORRETORA DE TÍTULOS E VALORES MOBILIÁRIOS S.A.</x:v>
      </x:c>
      <x:c r="H538" s="166" t="str">
        <x:v>Fomento Mercantil</x:v>
      </x:c>
      <x:c r="I538" s="166" t="str">
        <x:v>Fomento Mercantil</x:v>
      </x:c>
      <x:c r="J538" s="166" t="str">
        <x:v>CI</x:v>
      </x:c>
      <x:c r="K538" s="172" t="n">
        <x:v>63</x:v>
      </x:c>
      <x:c r="L538" s="185" t="str">
        <x:v>Não classificado</x:v>
      </x:c>
    </x:row>
    <x:row r="539">
      <x:c r="A539" s="175" t="str">
        <x:v>46.767.226/0001-13</x:v>
      </x:c>
      <x:c r="B539" s="166" t="str">
        <x:v>GUARDIAN MULTI CONSIGNADO I FUNDO DE INVESTIMENTO EM DIREITOS CREDITÓRIOS</x:v>
      </x:c>
      <x:c r="C539" s="188" t="n">
        <x:v>259164139.92</x:v>
      </x:c>
      <x:c r="D539" s="166" t="str">
        <x:v>Guardian Gestora</x:v>
      </x:c>
      <x:c r="E539" s="166" t="str">
        <x:f>IFERROR(INDEX('Classif Gestoras'!$H$6:$H$462,MATCH(D539,'Classif Gestoras'!$A$6:$A$462,0)),"Não classificada")</x:f>
        <x:v>Independente</x:v>
      </x:c>
      <x:c r="F539" s="166" t="str">
        <x:v>Banvox DTVM</x:v>
      </x:c>
      <x:c r="G539" s="166" t="str">
        <x:v>BANVOX DISTRIBUIDORA DE TITULOS E VALORES MOBILIARIOS LTDA</x:v>
      </x:c>
      <x:c r="H539" s="166" t="str">
        <x:v>Financeiro</x:v>
      </x:c>
      <x:c r="I539" s="166" t="str">
        <x:v>Crédito Consignado</x:v>
      </x:c>
      <x:c r="J539" s="166" t="str">
        <x:v>CI</x:v>
      </x:c>
      <x:c r="K539" s="172" t="n">
        <x:v>72</x:v>
      </x:c>
      <x:c r="L539" s="185" t="str">
        <x:v>Não classificado</x:v>
      </x:c>
    </x:row>
    <x:row r="540">
      <x:c r="A540" s="175" t="str">
        <x:v>08.621.199/0001-87</x:v>
      </x:c>
      <x:c r="B540" s="166" t="str">
        <x:v>FAMCRED FUNDO DE INVESTIMENTO EM DIREITOS CREDITÓRIOS NÃO-PADRONIZADOS RESPONSABILIDADE LIMITADA</x:v>
      </x:c>
      <x:c r="C540" s="188" t="n">
        <x:v>258985767.09000003</x:v>
      </x:c>
      <x:c r="D540" s="166" t="str">
        <x:v>MEL GESTORA DE RECURSOS S.A.</x:v>
      </x:c>
      <x:c r="E540" s="166" t="str">
        <x:f>IFERROR(INDEX('Classif Gestoras'!$H$6:$H$462,MATCH(D540,'Classif Gestoras'!$A$6:$A$462,0)),"Não classificada")</x:f>
        <x:v>Independente</x:v>
      </x:c>
      <x:c r="F540" s="166" t="str">
        <x:v>ID Corretora de Títulos e Valores Mobiliários S.A.</x:v>
      </x:c>
      <x:c r="G540" s="166" t="str">
        <x:v>ID CORRETORA DE TITULOS E VALORES MOBILIARIOS S.A.</x:v>
      </x:c>
      <x:c r="H540" s="166" t="str">
        <x:v>Fomento Mercantil</x:v>
      </x:c>
      <x:c r="I540" s="166" t="str">
        <x:v>Fomento Mercantil</x:v>
      </x:c>
      <x:c r="J540" s="166" t="str">
        <x:v>CI</x:v>
      </x:c>
      <x:c r="K540" s="172" t="n">
        <x:v>3</x:v>
      </x:c>
      <x:c r="L540" s="185" t="str">
        <x:v>Não classificado</x:v>
      </x:c>
    </x:row>
    <x:row r="541">
      <x:c r="A541" s="175" t="str">
        <x:v>55.582.283/0001-19</x:v>
      </x:c>
      <x:c r="B541" s="166" t="str">
        <x:v>JIVE DISTRESSED &amp; SPECIAL SITS IV (OFFSHORE) FIDC RESPONSABILIDADE LIMITADA</x:v>
      </x:c>
      <x:c r="C541" s="188" t="n">
        <x:v>258551445.78</x:v>
      </x:c>
      <x:c r="D541" s="166" t="str">
        <x:v>JIVE INVESTMENTS</x:v>
      </x:c>
      <x:c r="E541" s="166" t="str">
        <x:f>IFERROR(INDEX('Classif Gestoras'!$H$6:$H$462,MATCH(D541,'Classif Gestoras'!$A$6:$A$462,0)),"Não classificada")</x:f>
        <x:v>Independente</x:v>
      </x:c>
      <x:c r="F541" s="166" t="str">
        <x:v>MAF Distribuidora de Títulos e Valores Mobiliários S.A.</x:v>
      </x:c>
      <x:c r="G541" s="166" t="str">
        <x:v>MAF DISTRIBUIDORA DE TITULOS E VALORES MOBILIARIOS S.A.</x:v>
      </x:c>
      <x:c r="H541" s="166" t="str">
        <x:v>Outros</x:v>
      </x:c>
      <x:c r="I541" s="166" t="str">
        <x:v>Multicarteira Outros</x:v>
      </x:c>
      <x:c r="J541" s="166" t="str">
        <x:v>CI</x:v>
      </x:c>
      <x:c r="K541" s="172" t="n">
        <x:v>1</x:v>
      </x:c>
      <x:c r="L541" s="185" t="str">
        <x:v>Não classificado</x:v>
      </x:c>
    </x:row>
    <x:row r="542">
      <x:c r="A542" s="175" t="str">
        <x:v>27.944.660/0001-87</x:v>
      </x:c>
      <x:c r="B542" s="166" t="str">
        <x:v>FACT LAW FUNDO DE INVESTIMENTO EM DIREITOS CREDITORIOS NAO-PADRONIZADOS</x:v>
      </x:c>
      <x:c r="C542" s="188" t="n">
        <x:v>257662456.91</x:v>
      </x:c>
      <x:c r="D542" s="166" t="str">
        <x:v>Fact Investments Gestão de Re</x:v>
      </x:c>
      <x:c r="E542" s="166" t="str">
        <x:f>IFERROR(INDEX('Classif Gestoras'!$H$6:$H$462,MATCH(D542,'Classif Gestoras'!$A$6:$A$462,0)),"Não classificada")</x:f>
        <x:v>Independente</x:v>
      </x:c>
      <x:c r="F542" s="166" t="str">
        <x:v>Singulare</x:v>
      </x:c>
      <x:c r="G542" s="166" t="str">
        <x:v>QI CORRETORA DE TÍTULOS E VALORES MOBILIÁRIOS S.A.</x:v>
      </x:c>
      <x:c r="H542" s="166" t="str">
        <x:v>Outros</x:v>
      </x:c>
      <x:c r="I542" s="166" t="str">
        <x:v>Poder Público</x:v>
      </x:c>
      <x:c r="J542" s="166" t="str">
        <x:v>CI</x:v>
      </x:c>
      <x:c r="K542" s="172" t="n">
        <x:v>2</x:v>
      </x:c>
      <x:c r="L542" s="185" t="str">
        <x:v>Não classificado</x:v>
      </x:c>
    </x:row>
    <x:row r="543">
      <x:c r="A543" s="175" t="str">
        <x:v>65.592.704/0001-46</x:v>
      </x:c>
      <x:c r="B543" s="166" t="str">
        <x:v>BTG LEGATO II PMFO 2 FUNDO DE INVESTIMENTO EM DIREITOS CREDITÓRIOS RESPONSABILIDADE LIMITADA</x:v>
      </x:c>
      <x:c r="C543" s="188" t="n">
        <x:v>257647817.71999997</x:v>
      </x:c>
      <x:c r="D543" s="166" t="str">
        <x:v>BTG Pactual Asset</x:v>
      </x:c>
      <x:c r="E543" s="166" t="str">
        <x:f>IFERROR(INDEX('Classif Gestoras'!$H$6:$H$462,MATCH(D543,'Classif Gestoras'!$A$6:$A$462,0)),"Não classificada")</x:f>
        <x:v>Ligada a banco</x:v>
      </x:c>
      <x:c r="F543" s="166" t="str">
        <x:v>BTG Pactual Servicos Financeiros S/A DTVM</x:v>
      </x:c>
      <x:c r="G543" s="166" t="str">
        <x:v>BANCO BTG PACTUAL S/A</x:v>
      </x:c>
      <x:c r="H543" s="166" t="str">
        <x:v>Outros</x:v>
      </x:c>
      <x:c r="I543" s="166" t="str">
        <x:v>Multicarteira Outros</x:v>
      </x:c>
      <x:c r="J543" s="166" t="str">
        <x:v>CI</x:v>
      </x:c>
      <x:c r="K543" s="172" t="n">
        <x:v>2</x:v>
      </x:c>
      <x:c r="L543" s="185" t="str">
        <x:v>Não classificado</x:v>
      </x:c>
    </x:row>
    <x:row r="544">
      <x:c r="A544" s="175" t="str">
        <x:v>53.577.135/0001-80</x:v>
      </x:c>
      <x:c r="B544" s="166" t="str">
        <x:v>ANGÁ FGTS II FUNDO DE INVESTIMENTO EM DIREITOS CREDITÓRIOS - RESPONSABILIDADE LIMITADA</x:v>
      </x:c>
      <x:c r="C544" s="188" t="n">
        <x:v>256279032.9</x:v>
      </x:c>
      <x:c r="D544" s="166" t="str">
        <x:v>ANGÁ ASSET MANAGEMENT</x:v>
      </x:c>
      <x:c r="E544" s="166" t="str">
        <x:f>IFERROR(INDEX('Classif Gestoras'!$H$6:$H$462,MATCH(D544,'Classif Gestoras'!$A$6:$A$462,0)),"Não classificada")</x:f>
        <x:v>Independente</x:v>
      </x:c>
      <x:c r="F544" s="166" t="str">
        <x:v>QI DISTRIBUIDORA DE TITULOS E VALORES MOBILIARIOS LTDA</x:v>
      </x:c>
      <x:c r="G544" s="166" t="str">
        <x:v>LASTRO RDV DTVM LTDA</x:v>
      </x:c>
      <x:c r="H544" s="166" t="str">
        <x:v>Financeiro</x:v>
      </x:c>
      <x:c r="I544" s="166" t="str">
        <x:v>Crédito Pessoal</x:v>
      </x:c>
      <x:c r="J544" s="166" t="str">
        <x:v>CI</x:v>
      </x:c>
      <x:c r="K544" s="172" t="n">
        <x:v>7</x:v>
      </x:c>
      <x:c r="L544" s="185" t="str">
        <x:v>Não classificado</x:v>
      </x:c>
    </x:row>
    <x:row r="545">
      <x:c r="A545" s="175" t="str">
        <x:v>17.015.979/0001-74</x:v>
      </x:c>
      <x:c r="B545" s="166" t="str">
        <x:v>EXCLUSIVO FUNDO DE INVESTIMENTO EM DIREITOS CREDITÓRIOS MULTISEGMENTOS DE RESPONSABILIDADE LIMITADA</x:v>
      </x:c>
      <x:c r="C545" s="188" t="n">
        <x:v>255900473.71</x:v>
      </x:c>
      <x:c r="D545" s="166" t="str">
        <x:v>Petra Capital</x:v>
      </x:c>
      <x:c r="E545" s="166" t="str">
        <x:f>IFERROR(INDEX('Classif Gestoras'!$H$6:$H$462,MATCH(D545,'Classif Gestoras'!$A$6:$A$462,0)),"Não classificada")</x:f>
        <x:v>Independente</x:v>
      </x:c>
      <x:c r="F545" s="166" t="str">
        <x:v>Banco Finaxis S.A.</x:v>
      </x:c>
      <x:c r="G545" s="166" t="str">
        <x:v>BANCO FINAXIS S.A.</x:v>
      </x:c>
      <x:c r="H545" s="166" t="str">
        <x:v>Outros</x:v>
      </x:c>
      <x:c r="I545" s="166" t="str">
        <x:v>Multicarteira Outros</x:v>
      </x:c>
      <x:c r="J545" s="166" t="str">
        <x:v>CI</x:v>
      </x:c>
      <x:c r="K545" s="172" t="n">
        <x:v>3</x:v>
      </x:c>
      <x:c r="L545" s="185" t="str">
        <x:v>Não classificado</x:v>
      </x:c>
    </x:row>
    <x:row r="546">
      <x:c r="A546" s="175" t="str">
        <x:v>50.963.249/0001-70</x:v>
      </x:c>
      <x:c r="B546" s="166" t="str">
        <x:v>BOREAL I FUNDO DE INVESTIMENTO EM DIREITOS CREDITÓRIOS COMERCIAL - RESPONSABILIDADE LIMITADA</x:v>
      </x:c>
      <x:c r="C546" s="188" t="n">
        <x:v>255119389.95</x:v>
      </x:c>
      <x:c r="D546" s="166" t="str">
        <x:v>OURO PRETO INVESTIMENTOS</x:v>
      </x:c>
      <x:c r="E546" s="166" t="str">
        <x:f>IFERROR(INDEX('Classif Gestoras'!$H$6:$H$462,MATCH(D546,'Classif Gestoras'!$A$6:$A$462,0)),"Não classificada")</x:f>
        <x:v>Independente</x:v>
      </x:c>
      <x:c r="F546" s="166" t="str">
        <x:v>ID Corretora de Títulos e Valores Mobiliários S.A.</x:v>
      </x:c>
      <x:c r="G546" s="166" t="str">
        <x:v>ID CORRETORA DE TITULOS E VALORES MOBILIARIOS S.A.</x:v>
      </x:c>
      <x:c r="H546" s="166" t="str">
        <x:v>Outros</x:v>
      </x:c>
      <x:c r="I546" s="166" t="str">
        <x:v>Multicarteira Outros</x:v>
      </x:c>
      <x:c r="J546" s="166" t="str">
        <x:v>CI</x:v>
      </x:c>
      <x:c r="K546" s="172" t="n">
        <x:v>27</x:v>
      </x:c>
      <x:c r="L546" s="185" t="str">
        <x:v>Não classificado</x:v>
      </x:c>
    </x:row>
    <x:row r="547">
      <x:c r="A547" s="175" t="str">
        <x:v>23.956.961/0001-70</x:v>
      </x:c>
      <x:c r="B547" s="166" t="str">
        <x:v>RIDOLFINVEST 2 FIDC NÃO PADRONIZADOS - RESPONSABILIDADE LIMITADA</x:v>
      </x:c>
      <x:c r="C547" s="188" t="n">
        <x:v>254396325.5</x:v>
      </x:c>
      <x:c r="D547" s="166" t="str">
        <x:v>Leen Capital</x:v>
      </x:c>
      <x:c r="E547" s="166" t="str">
        <x:f>IFERROR(INDEX('Classif Gestoras'!$H$6:$H$462,MATCH(D547,'Classif Gestoras'!$A$6:$A$462,0)),"Não classificada")</x:f>
        <x:v>Independente</x:v>
      </x:c>
      <x:c r="F547" s="166" t="str">
        <x:v>Singulare</x:v>
      </x:c>
      <x:c r="G547" s="166" t="str">
        <x:v>QI CORRETORA DE TÍTULOS E VALORES MOBILIÁRIOS S.A.</x:v>
      </x:c>
      <x:c r="H547" s="166" t="str">
        <x:v>Outros</x:v>
      </x:c>
      <x:c r="I547" s="166" t="str">
        <x:v>Poder Público</x:v>
      </x:c>
      <x:c r="J547" s="166" t="str">
        <x:v>CI</x:v>
      </x:c>
      <x:c r="K547" s="172" t="n">
        <x:v>38</x:v>
      </x:c>
      <x:c r="L547" s="185" t="str">
        <x:v>Não classificado</x:v>
      </x:c>
    </x:row>
    <x:row r="548">
      <x:c r="A548" s="175" t="str">
        <x:v>31.523.738/0001-67</x:v>
      </x:c>
      <x:c r="B548" s="166" t="str">
        <x:v>IMPETUS FUNDO DE INVESTIMENTO EM DIREITOS CREDITÓRIOS</x:v>
      </x:c>
      <x:c r="C548" s="188" t="n">
        <x:v>253730861.19</x:v>
      </x:c>
      <x:c r="D548" s="166" t="str">
        <x:v>Solis</x:v>
      </x:c>
      <x:c r="E548" s="166" t="str">
        <x:f>IFERROR(INDEX('Classif Gestoras'!$H$6:$H$462,MATCH(D548,'Classif Gestoras'!$A$6:$A$462,0)),"Não classificada")</x:f>
        <x:v>Independente</x:v>
      </x:c>
      <x:c r="F548" s="166" t="str">
        <x:v>HEMERA DTVM</x:v>
      </x:c>
      <x:c r="G548" s="166" t="str">
        <x:v>HEMERA DISTRIBUIDORA DE TITULOS E VALORES MOBILIARIOS LTDA</x:v>
      </x:c>
      <x:c r="H548" s="166" t="str">
        <x:v>Outros</x:v>
      </x:c>
      <x:c r="I548" s="166" t="str">
        <x:v>Multicarteira Outros</x:v>
      </x:c>
      <x:c r="J548" s="166" t="str">
        <x:v>CI</x:v>
      </x:c>
      <x:c r="K548" s="172" t="n">
        <x:v>2</x:v>
      </x:c>
      <x:c r="L548" s="185" t="str">
        <x:v>Não classificado</x:v>
      </x:c>
    </x:row>
    <x:row r="549">
      <x:c r="A549" s="175" t="str">
        <x:v>37.645.459/0001-52</x:v>
      </x:c>
      <x:c r="B549" s="166" t="str">
        <x:v>FUNDO DE INVESTIMENTO EM DIREITOS CREDITÓRIOS BASSANO DI GRAPPO - RESPONSABILIDADE LIMITADA</x:v>
      </x:c>
      <x:c r="C549" s="188" t="n">
        <x:v>253300491.95</x:v>
      </x:c>
      <x:c r="D549" s="166" t="str">
        <x:v>Phronesis Invest.</x:v>
      </x:c>
      <x:c r="E549" s="166" t="str">
        <x:f>IFERROR(INDEX('Classif Gestoras'!$H$6:$H$462,MATCH(D549,'Classif Gestoras'!$A$6:$A$462,0)),"Não classificada")</x:f>
        <x:v>Independente</x:v>
      </x:c>
      <x:c r="F549" s="166" t="str">
        <x:v>BRL TRUST DTVM</x:v>
      </x:c>
      <x:c r="G549" s="166" t="str">
        <x:v>BRL TRUST DISTRIBUIDORA DE TITULOS E VALORES MOBILIARIOS S.A.</x:v>
      </x:c>
      <x:c r="H549" s="166" t="str">
        <x:v>Outros</x:v>
      </x:c>
      <x:c r="I549" s="166" t="str">
        <x:v>Multicarteira Outros</x:v>
      </x:c>
      <x:c r="J549" s="166" t="str">
        <x:v>CI</x:v>
      </x:c>
      <x:c r="K549" s="172" t="n">
        <x:v>1</x:v>
      </x:c>
      <x:c r="L549" s="185" t="str">
        <x:v>Não classificado</x:v>
      </x:c>
    </x:row>
    <x:row r="550">
      <x:c r="A550" s="175" t="str">
        <x:v>59.143.807/0001-26</x:v>
      </x:c>
      <x:c r="B550" s="166" t="str">
        <x:v>AZQ CDO FUNDO DE INVESTIMENTO EM DIREITOS CREDITÓRIOS DE RESPONSABILIDADE ILIMITADA</x:v>
      </x:c>
      <x:c r="C550" s="188" t="n">
        <x:v>252769008.73</x:v>
      </x:c>
      <x:c r="D550" s="166" t="str">
        <x:v>AZ Quest MZK Investimentos Macro e Crédito Ltda.</x:v>
      </x:c>
      <x:c r="E550" s="166" t="str">
        <x:f>IFERROR(INDEX('Classif Gestoras'!$H$6:$H$462,MATCH(D550,'Classif Gestoras'!$A$6:$A$462,0)),"Não classificada")</x:f>
        <x:v>Independente</x:v>
      </x:c>
      <x:c r="F550" s="166" t="str">
        <x:v>BANCO DAYCOVAL S/A</x:v>
      </x:c>
      <x:c r="G550" s="166" t="str">
        <x:v>BANCO DAYCOVAL S.A.</x:v>
      </x:c>
      <x:c r="H550" s="166" t="str">
        <x:v>Financeiro</x:v>
      </x:c>
      <x:c r="I550" s="166" t="str">
        <x:v>Multicarteira Financeiro</x:v>
      </x:c>
      <x:c r="J550" s="166" t="str">
        <x:v>CI</x:v>
      </x:c>
      <x:c r="K550" s="172" t="n">
        <x:v>15</x:v>
      </x:c>
      <x:c r="L550" s="185" t="str">
        <x:v>Não classificado</x:v>
      </x:c>
    </x:row>
    <x:row r="551">
      <x:c r="A551" s="175" t="str">
        <x:v>48.969.748/0001-23</x:v>
      </x:c>
      <x:c r="B551" s="166" t="str">
        <x:v>OKNO 1 FUNDO DE INVESTIMENTO EM DIREITOS CREDITÓRIOS</x:v>
      </x:c>
      <x:c r="C551" s="188" t="n">
        <x:v>252284305.85999995</x:v>
      </x:c>
      <x:c r="D551" s="166" t="str">
        <x:v>ORRAM GESTÃO DE RECURSOS LTDA.</x:v>
      </x:c>
      <x:c r="E551" s="166" t="str">
        <x:f>IFERROR(INDEX('Classif Gestoras'!$H$6:$H$462,MATCH(D551,'Classif Gestoras'!$A$6:$A$462,0)),"Não classificada")</x:f>
        <x:v>Independente</x:v>
      </x:c>
      <x:c r="F551" s="166" t="str">
        <x:v>MAF Distribuidora de Títulos e Valores Mobiliários S.A.</x:v>
      </x:c>
      <x:c r="G551" s="166" t="str">
        <x:v>MAF DISTRIBUIDORA DE TITULOS E VALORES MOBILIARIOS S.A.</x:v>
      </x:c>
      <x:c r="H551" s="166" t="str">
        <x:v>Outros</x:v>
      </x:c>
      <x:c r="I551" s="166" t="str">
        <x:v>Multicarteira Outros</x:v>
      </x:c>
      <x:c r="J551" s="166" t="str">
        <x:v>CI</x:v>
      </x:c>
      <x:c r="K551" s="172" t="n">
        <x:v>39</x:v>
      </x:c>
      <x:c r="L551" s="185" t="str">
        <x:v>Não classificado</x:v>
      </x:c>
    </x:row>
    <x:row r="552">
      <x:c r="A552" s="175" t="str">
        <x:v>64.024.849/0001-88</x:v>
      </x:c>
      <x:c r="B552" s="166" t="str">
        <x:v>FUNDO DE INVESTIMENTO EM DIREITOS CREDITÓRIOS SPECIAL 2 DE RESPONSABILIDADE LIMITADA</x:v>
      </x:c>
      <x:c r="C552" s="188" t="n">
        <x:v>251889041.86</x:v>
      </x:c>
      <x:c r="D552" s="166" t="str">
        <x:v>G5 Adm. de Recursos</x:v>
      </x:c>
      <x:c r="E552" s="166" t="str">
        <x:f>IFERROR(INDEX('Classif Gestoras'!$H$6:$H$462,MATCH(D552,'Classif Gestoras'!$A$6:$A$462,0)),"Não classificada")</x:f>
        <x:v>Independente</x:v>
      </x:c>
      <x:c r="F552" s="166" t="str">
        <x:v>Singulare</x:v>
      </x:c>
      <x:c r="G552" s="166" t="str">
        <x:v>QI CORRETORA DE TÍTULOS E VALORES MOBILIÁRIOS S.A.</x:v>
      </x:c>
      <x:c r="H552" s="166" t="str">
        <x:v>Outros</x:v>
      </x:c>
      <x:c r="I552" s="166" t="str">
        <x:v>Multicarteira Outros</x:v>
      </x:c>
      <x:c r="J552" s="166" t="str">
        <x:v>CI</x:v>
      </x:c>
      <x:c r="K552" s="172" t="n">
        <x:v>2</x:v>
      </x:c>
      <x:c r="L552" s="185" t="str">
        <x:v>Não classificado</x:v>
      </x:c>
    </x:row>
    <x:row r="553">
      <x:c r="A553" s="175" t="str">
        <x:v>57.651.404/0001-62</x:v>
      </x:c>
      <x:c r="B553" s="166" t="str">
        <x:v>APPIA FUNDO DE INVESTIMENTO EM DIREITOS CREDITÓRIOS - RESPONSABILIDADE LIMITADA</x:v>
      </x:c>
      <x:c r="C553" s="188" t="n">
        <x:v>251869327.2</x:v>
      </x:c>
      <x:c r="D553" s="166" t="str">
        <x:v>Solis</x:v>
      </x:c>
      <x:c r="E553" s="166" t="str">
        <x:f>IFERROR(INDEX('Classif Gestoras'!$H$6:$H$462,MATCH(D553,'Classif Gestoras'!$A$6:$A$462,0)),"Não classificada")</x:f>
        <x:v>Independente</x:v>
      </x:c>
      <x:c r="F553" s="166" t="str">
        <x:v>HEMERA DTVM</x:v>
      </x:c>
      <x:c r="G553" s="166" t="str">
        <x:v>HEMERA DISTRIBUIDORA DE TITULOS E VALORES MOBILIARIOS LTDA</x:v>
      </x:c>
      <x:c r="H553" s="166" t="str">
        <x:v>Financeiro</x:v>
      </x:c>
      <x:c r="I553" s="166" t="str">
        <x:v>Crédito Consignado</x:v>
      </x:c>
      <x:c r="J553" s="166" t="str">
        <x:v>CI</x:v>
      </x:c>
      <x:c r="K553" s="172" t="n">
        <x:v>30</x:v>
      </x:c>
      <x:c r="L553" s="185" t="str">
        <x:v>Não classificado</x:v>
      </x:c>
    </x:row>
    <x:row r="554">
      <x:c r="A554" s="175" t="str">
        <x:v>29.492.703/0001-66</x:v>
      </x:c>
      <x:c r="B554" s="166" t="str">
        <x:v>FRADINHO N FUNDO DE INVESTIMENTO EM DIREITOS CREDITÓRIOS RESPONSABILIDADE LIMITADA</x:v>
      </x:c>
      <x:c r="C554" s="188" t="n">
        <x:v>251114244.03000003</x:v>
      </x:c>
      <x:c r="D554" s="166" t="str">
        <x:v>Kobold Gestora de Fundos LTDA.</x:v>
      </x:c>
      <x:c r="E554" s="166" t="str">
        <x:f>IFERROR(INDEX('Classif Gestoras'!$H$6:$H$462,MATCH(D554,'Classif Gestoras'!$A$6:$A$462,0)),"Não classificada")</x:f>
        <x:v>Independente</x:v>
      </x:c>
      <x:c r="F554" s="166" t="str">
        <x:v>Finaxis Corretora de Títulos e Valores Mobiliários S.A.</x:v>
      </x:c>
      <x:c r="G554" s="166" t="str">
        <x:v>BANCO FINAXIS S.A.</x:v>
      </x:c>
      <x:c r="H554" s="166" t="str">
        <x:v>Outros</x:v>
      </x:c>
      <x:c r="I554" s="166" t="str">
        <x:v>Multicarteira Outros</x:v>
      </x:c>
      <x:c r="J554" s="166" t="str">
        <x:v>CI</x:v>
      </x:c>
      <x:c r="K554" s="172" t="n">
        <x:v>6</x:v>
      </x:c>
      <x:c r="L554" s="185" t="str">
        <x:v>Não classificado</x:v>
      </x:c>
    </x:row>
    <x:row r="555">
      <x:c r="A555" s="175" t="str">
        <x:v>58.544.960/0001-00</x:v>
      </x:c>
      <x:c r="B555" s="166" t="str">
        <x:v>FLAGSTAFF FUNDO DE INVESTIMENTO EM DIREITOS CREDITÓRIOS</x:v>
      </x:c>
      <x:c r="C555" s="188" t="n">
        <x:v>251078966.94</x:v>
      </x:c>
      <x:c r="D555" s="166" t="str">
        <x:v>PACTUAL CAPITAL PART</x:v>
      </x:c>
      <x:c r="E555" s="166" t="str">
        <x:f>IFERROR(INDEX('Classif Gestoras'!$H$6:$H$462,MATCH(D555,'Classif Gestoras'!$A$6:$A$462,0)),"Não classificada")</x:f>
        <x:v>Independente</x:v>
      </x:c>
      <x:c r="F555" s="166" t="str">
        <x:v>BTG Pactual Servicos Financeiros S/A DTVM</x:v>
      </x:c>
      <x:c r="G555" s="166" t="str">
        <x:v>BANCO BTG PACTUAL S/A</x:v>
      </x:c>
      <x:c r="H555" s="166" t="str">
        <x:v>Outros</x:v>
      </x:c>
      <x:c r="I555" s="166" t="str">
        <x:v>Poder Público</x:v>
      </x:c>
      <x:c r="J555" s="166" t="str">
        <x:v>CI</x:v>
      </x:c>
      <x:c r="K555" s="172" t="n">
        <x:v>2</x:v>
      </x:c>
      <x:c r="L555" s="185" t="str">
        <x:v>Não classificado</x:v>
      </x:c>
    </x:row>
    <x:row r="556">
      <x:c r="A556" s="175" t="str">
        <x:v>47.240.173/0001-40</x:v>
      </x:c>
      <x:c r="B556" s="166" t="str">
        <x:v>CONSIGNADOS V FUNDO DE INVESTIMENTO EM DIREITOS CREDITÓRIOS - RESPONSABILIDADE LIMITADA</x:v>
      </x:c>
      <x:c r="C556" s="188" t="n">
        <x:v>251056005.48000005</x:v>
      </x:c>
      <x:c r="D556" s="166" t="str">
        <x:v>BRZ Investimentos</x:v>
      </x:c>
      <x:c r="E556" s="166" t="str">
        <x:f>IFERROR(INDEX('Classif Gestoras'!$H$6:$H$462,MATCH(D556,'Classif Gestoras'!$A$6:$A$462,0)),"Não classificada")</x:f>
        <x:v>Independente</x:v>
      </x:c>
      <x:c r="F556" s="166" t="str">
        <x:v>Banvox DTVM</x:v>
      </x:c>
      <x:c r="G556" s="166" t="str">
        <x:v>QI CORRETORA DE TÍTULOS E VALORES MOBILIÁRIOS S.A.</x:v>
      </x:c>
      <x:c r="H556" s="166" t="str">
        <x:v>Financeiro</x:v>
      </x:c>
      <x:c r="I556" s="166" t="str">
        <x:v>Crédito Consignado</x:v>
      </x:c>
      <x:c r="J556" s="166" t="str">
        <x:v>CI</x:v>
      </x:c>
      <x:c r="K556" s="172" t="n">
        <x:v>95</x:v>
      </x:c>
      <x:c r="L556" s="185" t="str">
        <x:v>Não classificado</x:v>
      </x:c>
    </x:row>
    <x:row r="557">
      <x:c r="A557" s="175" t="str">
        <x:v>15.489.383/0001-80</x:v>
      </x:c>
      <x:c r="B557" s="166" t="str">
        <x:v>FUNDO DE INVESTIMENTO EM DIREITOS CREDITÓRIOS SAN MARINO</x:v>
      </x:c>
      <x:c r="C557" s="188" t="n">
        <x:v>250885759.11</x:v>
      </x:c>
      <x:c r="D557" s="166" t="str">
        <x:v>Redwood Asset Management</x:v>
      </x:c>
      <x:c r="E557" s="166" t="str">
        <x:f>IFERROR(INDEX('Classif Gestoras'!$H$6:$H$462,MATCH(D557,'Classif Gestoras'!$A$6:$A$462,0)),"Não classificada")</x:f>
        <x:v>Independente</x:v>
      </x:c>
      <x:c r="F557" s="166" t="str">
        <x:v>PLANNER CV</x:v>
      </x:c>
      <x:c r="G557" s="166" t="str">
        <x:v>PLANNER CORRETORA DE VALORES S.A.</x:v>
      </x:c>
      <x:c r="H557" s="166" t="str">
        <x:v>Outros</x:v>
      </x:c>
      <x:c r="I557" s="166" t="str">
        <x:v>Multicarteira Outros</x:v>
      </x:c>
      <x:c r="J557" s="166" t="str">
        <x:v>CI</x:v>
      </x:c>
      <x:c r="K557" s="172" t="n">
        <x:v>1</x:v>
      </x:c>
      <x:c r="L557" s="185" t="str">
        <x:v>Não classificado</x:v>
      </x:c>
    </x:row>
    <x:row r="558">
      <x:c r="A558" s="175" t="str">
        <x:v>46.075.436/0001-40</x:v>
      </x:c>
      <x:c r="B558" s="166" t="str">
        <x:v>CREDIT OPPORTUNITIES I FUNDO DE INVESTIMENTO EM DIREITOS CREDITÓRIOS RESPONSABILIDADE LIMITADA</x:v>
      </x:c>
      <x:c r="C558" s="188" t="n">
        <x:v>250733172.57</x:v>
      </x:c>
      <x:c r="D558" s="166" t="str">
        <x:v>ITAU ASSET</x:v>
      </x:c>
      <x:c r="E558" s="166" t="str">
        <x:f>IFERROR(INDEX('Classif Gestoras'!$H$6:$H$462,MATCH(D558,'Classif Gestoras'!$A$6:$A$462,0)),"Não classificada")</x:f>
        <x:v>Ligada a banco</x:v>
      </x:c>
      <x:c r="F558" s="166" t="str">
        <x:v>BTG Pactual Servicos Financeiros S/A DTVM</x:v>
      </x:c>
      <x:c r="G558" s="166" t="str">
        <x:v>BANCO BTG PACTUAL S/A</x:v>
      </x:c>
      <x:c r="H558" s="166" t="str">
        <x:v>Outros</x:v>
      </x:c>
      <x:c r="I558" s="166" t="str">
        <x:v>Poder Público</x:v>
      </x:c>
      <x:c r="J558" s="166" t="str">
        <x:v>CI</x:v>
      </x:c>
      <x:c r="K558" s="172" t="n">
        <x:v>2</x:v>
      </x:c>
      <x:c r="L558" s="185" t="str">
        <x:v>Não classificado</x:v>
      </x:c>
    </x:row>
    <x:row r="559">
      <x:c r="A559" s="175" t="str">
        <x:v>64.299.705/0001-34</x:v>
      </x:c>
      <x:c r="B559" s="166" t="str">
        <x:v>ROOT CAPITAL FICUS FUNDO DE INVESTIMENTO EM DIREITOS CREDITÓRIOS - RESPONSABILIDADE LIMITADA</x:v>
      </x:c>
      <x:c r="C559" s="188" t="n">
        <x:v>249671299.96</x:v>
      </x:c>
      <x:c r="D559" s="166" t="str">
        <x:v>ROOT CAPITAL</x:v>
      </x:c>
      <x:c r="E559" s="166" t="str">
        <x:f>IFERROR(INDEX('Classif Gestoras'!$H$6:$H$462,MATCH(D559,'Classif Gestoras'!$A$6:$A$462,0)),"Não classificada")</x:f>
        <x:v>Independente</x:v>
      </x:c>
      <x:c r="F559" s="166" t="str">
        <x:v>BTG Pactual Servicos Financeiros S/A DTVM</x:v>
      </x:c>
      <x:c r="G559" s="166" t="str">
        <x:v>BANCO BTG PACTUAL S/A</x:v>
      </x:c>
      <x:c r="H559" s="166" t="str">
        <x:v>Outros</x:v>
      </x:c>
      <x:c r="I559" s="166" t="str">
        <x:v>Multicarteira Outros</x:v>
      </x:c>
      <x:c r="J559" s="166" t="str">
        <x:v>CI</x:v>
      </x:c>
      <x:c r="K559" s="172" t="n">
        <x:v>4905</x:v>
      </x:c>
      <x:c r="L559" s="185" t="str">
        <x:v>Não classificado</x:v>
      </x:c>
    </x:row>
    <x:row r="560">
      <x:c r="A560" s="175" t="str">
        <x:v>53.877.402/0001-35</x:v>
      </x:c>
      <x:c r="B560" s="166" t="str">
        <x:v>SÓLIDO FUNDO DE INVESTIMENTO EM DIREITOS CREDITÓRIOS</x:v>
      </x:c>
      <x:c r="C560" s="188" t="n">
        <x:v>248552926.21999997</x:v>
      </x:c>
      <x:c r="D560" s="166" t="str">
        <x:v>H2 CAPITAL</x:v>
      </x:c>
      <x:c r="E560" s="166" t="str">
        <x:f>IFERROR(INDEX('Classif Gestoras'!$H$6:$H$462,MATCH(D560,'Classif Gestoras'!$A$6:$A$462,0)),"Não classificada")</x:f>
        <x:v>Independente</x:v>
      </x:c>
      <x:c r="F560" s="166" t="str">
        <x:v>Singulare</x:v>
      </x:c>
      <x:c r="G560" s="166" t="str">
        <x:v>QI CORRETORA DE TÍTULOS E VALORES MOBILIÁRIOS S.A.</x:v>
      </x:c>
      <x:c r="H560" s="166" t="str">
        <x:v>Financeiro</x:v>
      </x:c>
      <x:c r="I560" s="166" t="str">
        <x:v>Crédito Pessoal</x:v>
      </x:c>
      <x:c r="J560" s="166" t="str">
        <x:v>CI</x:v>
      </x:c>
      <x:c r="K560" s="172" t="n">
        <x:v>3</x:v>
      </x:c>
      <x:c r="L560" s="185" t="str">
        <x:v>Não classificado</x:v>
      </x:c>
    </x:row>
    <x:row r="561">
      <x:c r="A561" s="175" t="str">
        <x:v>15.254.288/0001-06</x:v>
      </x:c>
      <x:c r="B561" s="166" t="str">
        <x:v>FUNDO DE INVESTIMENTO EM DIREITOS CREDITORIOS CAIXA DUBLIN</x:v>
      </x:c>
      <x:c r="C561" s="188" t="n">
        <x:v>247284902.9</x:v>
      </x:c>
      <x:c r="D561" s="166" t="str">
        <x:v>Caixa Distribuidora de Títulos e Valores Mobiliários S.A.</x:v>
      </x:c>
      <x:c r="E561" s="166" t="str">
        <x:f>IFERROR(INDEX('Classif Gestoras'!$H$6:$H$462,MATCH(D561,'Classif Gestoras'!$A$6:$A$462,0)),"Não classificada")</x:f>
        <x:v>Ligada a banco</x:v>
      </x:c>
      <x:c r="F561" s="166" t="str">
        <x:v>Caixa Econ. Federal</x:v>
      </x:c>
      <x:c r="G561" s="166" t="str">
        <x:v>OLIVEIRA TRUST DTVM S.A.</x:v>
      </x:c>
      <x:c r="H561" s="166" t="str">
        <x:v>Agro, Indústria e Comércio</x:v>
      </x:c>
      <x:c r="I561" s="166" t="str">
        <x:v>Infraestrutura</x:v>
      </x:c>
      <x:c r="J561" s="166" t="str">
        <x:v>CI</x:v>
      </x:c>
      <x:c r="K561" s="172" t="n">
        <x:v>2</x:v>
      </x:c>
      <x:c r="L561" s="185" t="str">
        <x:v>Não classificado</x:v>
      </x:c>
    </x:row>
    <x:row r="562">
      <x:c r="A562" s="175" t="str">
        <x:v>35.162.655/0001-40</x:v>
      </x:c>
      <x:c r="B562" s="166" t="str">
        <x:v>INTRABANK FUNDO DE INVESTIMENTO EM DIREITOS CREDITÓRIOS</x:v>
      </x:c>
      <x:c r="C562" s="188" t="n">
        <x:v>246569348.75</x:v>
      </x:c>
      <x:c r="D562" s="166" t="str">
        <x:v>Intrabank Asset</x:v>
      </x:c>
      <x:c r="E562" s="166" t="str">
        <x:f>IFERROR(INDEX('Classif Gestoras'!$H$6:$H$462,MATCH(D562,'Classif Gestoras'!$A$6:$A$462,0)),"Não classificada")</x:f>
        <x:v>Independente</x:v>
      </x:c>
      <x:c r="F562" s="166" t="str">
        <x:v>Oliveira Trust DTVM</x:v>
      </x:c>
      <x:c r="G562" s="166" t="str">
        <x:v>OLIVEIRA TRUST DTVM S.A.</x:v>
      </x:c>
      <x:c r="H562" s="166" t="str">
        <x:v>Outros</x:v>
      </x:c>
      <x:c r="I562" s="166" t="str">
        <x:v>Multicarteira Outros</x:v>
      </x:c>
      <x:c r="J562" s="166" t="str">
        <x:v>CI</x:v>
      </x:c>
      <x:c r="K562" s="172" t="n">
        <x:v>4</x:v>
      </x:c>
      <x:c r="L562" s="185" t="str">
        <x:v>Não classificado</x:v>
      </x:c>
    </x:row>
    <x:row r="563">
      <x:c r="A563" s="175" t="str">
        <x:v>36.643.574/0001-25</x:v>
      </x:c>
      <x:c r="B563" s="166" t="str">
        <x:v>VIVO PAY I FUNDO DE INVESTIMENTO EM DIREITOS CREDITORIOS RESPONSABILIDADE LIMITADA</x:v>
      </x:c>
      <x:c r="C563" s="188" t="n">
        <x:v>246275774.29</x:v>
      </x:c>
      <x:c r="D563" s="166" t="str">
        <x:v>POLÍGONO CAPITAL LTDA.</x:v>
      </x:c>
      <x:c r="E563" s="166" t="str">
        <x:f>IFERROR(INDEX('Classif Gestoras'!$H$6:$H$462,MATCH(D563,'Classif Gestoras'!$A$6:$A$462,0)),"Não classificada")</x:f>
        <x:v>Independente</x:v>
      </x:c>
      <x:c r="F563" s="166" t="str">
        <x:v>BTG Pactual Servicos Financeiros S/A DTVM</x:v>
      </x:c>
      <x:c r="G563" s="166" t="str">
        <x:v>BANCO BTG PACTUAL S/A</x:v>
      </x:c>
      <x:c r="H563" s="166" t="str">
        <x:v>Financeiro</x:v>
      </x:c>
      <x:c r="I563" s="166" t="str">
        <x:v>Crédito Pessoal</x:v>
      </x:c>
      <x:c r="J563" s="166" t="str">
        <x:v>CI</x:v>
      </x:c>
      <x:c r="K563" s="172" t="n">
        <x:v>6</x:v>
      </x:c>
      <x:c r="L563" s="185" t="str">
        <x:v>Não classificado</x:v>
      </x:c>
    </x:row>
    <x:row r="564">
      <x:c r="A564" s="175" t="str">
        <x:v>46.439.664/0001-52</x:v>
      </x:c>
      <x:c r="B564" s="166" t="str">
        <x:v>VALORA BWM FUNDO DE INVESTIMENTO EM DIREITOS CREDITÓRIOS RESPONSABILIDADE LIMITADA</x:v>
      </x:c>
      <x:c r="C564" s="188" t="n">
        <x:v>246100877.74</x:v>
      </x:c>
      <x:c r="D564" s="166" t="str">
        <x:v>VALORA RENDA FIXA LTDA.</x:v>
      </x:c>
      <x:c r="E564" s="166" t="str">
        <x:f>IFERROR(INDEX('Classif Gestoras'!$H$6:$H$462,MATCH(D564,'Classif Gestoras'!$A$6:$A$462,0)),"Não classificada")</x:f>
        <x:v>Independente</x:v>
      </x:c>
      <x:c r="F564" s="166" t="str">
        <x:v>BTG Pactual Servicos Financeiros S/A DTVM</x:v>
      </x:c>
      <x:c r="G564" s="166" t="str">
        <x:v>BANCO BTG PACTUAL S/A</x:v>
      </x:c>
      <x:c r="H564" s="166" t="str">
        <x:v>Outros</x:v>
      </x:c>
      <x:c r="I564" s="166" t="str">
        <x:v>Multicarteira Outros</x:v>
      </x:c>
      <x:c r="J564" s="166" t="str">
        <x:v>CI</x:v>
      </x:c>
      <x:c r="K564" s="172" t="n">
        <x:v>31</x:v>
      </x:c>
      <x:c r="L564" s="185" t="str">
        <x:v>Não classificado</x:v>
      </x:c>
    </x:row>
    <x:row r="565">
      <x:c r="A565" s="175" t="str">
        <x:v>62.729.814/0001-19</x:v>
      </x:c>
      <x:c r="B565" s="166" t="str">
        <x:v>DIRECIONAL RECEBÍVEIS FUNDO DE INVESTIMENTO EM DIREITOS CREDITÓRIOS FINANCEIROS DE RESP LTDA</x:v>
      </x:c>
      <x:c r="C565" s="188" t="n">
        <x:v>244771616.36999995</x:v>
      </x:c>
      <x:c r="D565" s="166" t="str">
        <x:v>Riza Securitização e Carteiras</x:v>
      </x:c>
      <x:c r="E565" s="166" t="str">
        <x:f>IFERROR(INDEX('Classif Gestoras'!$H$6:$H$462,MATCH(D565,'Classif Gestoras'!$A$6:$A$462,0)),"Não classificada")</x:f>
        <x:v>Independente</x:v>
      </x:c>
      <x:c r="F565" s="166" t="str">
        <x:v>Oliveira Trust DTVM</x:v>
      </x:c>
      <x:c r="G565" s="166" t="str">
        <x:v>OLIVEIRA TRUST DTVM S.A.</x:v>
      </x:c>
      <x:c r="H565" s="166" t="str">
        <x:v>Financeiro</x:v>
      </x:c>
      <x:c r="I565" s="166" t="str">
        <x:v>Crédito Imobiliário</x:v>
      </x:c>
      <x:c r="J565" s="166" t="str">
        <x:v>CI</x:v>
      </x:c>
      <x:c r="K565" s="172" t="n">
        <x:v>11</x:v>
      </x:c>
      <x:c r="L565" s="185" t="str">
        <x:v>Não classificado</x:v>
      </x:c>
    </x:row>
    <x:row r="566">
      <x:c r="A566" s="175" t="str">
        <x:v>48.660.463/0001-06</x:v>
      </x:c>
      <x:c r="B566" s="166" t="str">
        <x:v>FARMTECH UP CREDIT FUNDO DE INVESTIMENTO EM DIREITOS CREDITÓRIOS RESPONSABILIDADE LIMITADA</x:v>
      </x:c>
      <x:c r="C566" s="188" t="n">
        <x:v>244356512.27</x:v>
      </x:c>
      <x:c r="D566" s="166" t="str">
        <x:v>Farmtech Gestão de Recursos Ltda.</x:v>
      </x:c>
      <x:c r="E566" s="166" t="str">
        <x:f>IFERROR(INDEX('Classif Gestoras'!$H$6:$H$462,MATCH(D566,'Classif Gestoras'!$A$6:$A$462,0)),"Não classificada")</x:f>
        <x:v>Independente</x:v>
      </x:c>
      <x:c r="F566" s="166" t="str">
        <x:v>Oliveira Trust DTVM</x:v>
      </x:c>
      <x:c r="G566" s="166" t="str">
        <x:v>OLIVEIRA TRUST DTVM S.A.</x:v>
      </x:c>
      <x:c r="H566" s="166" t="str">
        <x:v>Agro, Indústria e Comércio</x:v>
      </x:c>
      <x:c r="I566" s="166" t="str">
        <x:v>Agronegócio</x:v>
      </x:c>
      <x:c r="J566" s="166" t="str">
        <x:v>CI</x:v>
      </x:c>
      <x:c r="K566" s="172" t="n">
        <x:v>3</x:v>
      </x:c>
      <x:c r="L566" s="185" t="str">
        <x:v>Não classificado</x:v>
      </x:c>
    </x:row>
    <x:row r="567">
      <x:c r="A567" s="175" t="str">
        <x:v>26.570.645/0001-53</x:v>
      </x:c>
      <x:c r="B567" s="166" t="str">
        <x:v>JC 4870 VI - FUNDO DE INVESTIMENTO EM DIREITOS CREDITÓRIOS NÃO PADRONIZADOS</x:v>
      </x:c>
      <x:c r="C567" s="188" t="n">
        <x:v>244243230.56</x:v>
      </x:c>
      <x:c r="D567" s="166" t="str">
        <x:v>PACTUAL CAPITAL PART</x:v>
      </x:c>
      <x:c r="E567" s="166" t="str">
        <x:f>IFERROR(INDEX('Classif Gestoras'!$H$6:$H$462,MATCH(D567,'Classif Gestoras'!$A$6:$A$462,0)),"Não classificada")</x:f>
        <x:v>Independente</x:v>
      </x:c>
      <x:c r="F567" s="166" t="str">
        <x:v>BTG Pactual Servicos Financeiros S/A DTVM</x:v>
      </x:c>
      <x:c r="G567" s="166" t="str">
        <x:v>BANCO BTG PACTUAL S/A</x:v>
      </x:c>
      <x:c r="H567" s="166" t="str">
        <x:v>Outros</x:v>
      </x:c>
      <x:c r="I567" s="166" t="str">
        <x:v>Poder Público</x:v>
      </x:c>
      <x:c r="J567" s="166" t="str">
        <x:v>CI</x:v>
      </x:c>
      <x:c r="K567" s="172" t="n">
        <x:v>9</x:v>
      </x:c>
      <x:c r="L567" s="185" t="str">
        <x:v>Não classificado</x:v>
      </x:c>
    </x:row>
    <x:row r="568">
      <x:c r="A568" s="175" t="str">
        <x:v>42.299.325/0001-67</x:v>
      </x:c>
      <x:c r="B568" s="166" t="str">
        <x:v>FUNDO DE INVESTIMENTO EM DIREITOS CREDITÓRIOS KUNA CAPITAL RESPONSABILIDADE LIMITADA</x:v>
      </x:c>
      <x:c r="C568" s="188" t="n">
        <x:v>243648730.27</x:v>
      </x:c>
      <x:c r="D568" s="166" t="str">
        <x:v>GV ATACAMA CAPITAL LTDA.</x:v>
      </x:c>
      <x:c r="E568" s="166" t="str">
        <x:f>IFERROR(INDEX('Classif Gestoras'!$H$6:$H$462,MATCH(D568,'Classif Gestoras'!$A$6:$A$462,0)),"Não classificada")</x:f>
        <x:v>Independente</x:v>
      </x:c>
      <x:c r="F568" s="166" t="str">
        <x:v>Singulare</x:v>
      </x:c>
      <x:c r="G568" s="166" t="str">
        <x:v>QI CORRETORA DE TÍTULOS E VALORES MOBILIÁRIOS S.A.</x:v>
      </x:c>
      <x:c r="H568" s="166" t="str">
        <x:v>Financeiro</x:v>
      </x:c>
      <x:c r="I568" s="166" t="str">
        <x:v>Financiamento de Veículos</x:v>
      </x:c>
      <x:c r="J568" s="166" t="str">
        <x:v>CI</x:v>
      </x:c>
      <x:c r="K568" s="172" t="n">
        <x:v>5</x:v>
      </x:c>
      <x:c r="L568" s="185" t="str">
        <x:v>Não classificado</x:v>
      </x:c>
    </x:row>
    <x:row r="569">
      <x:c r="A569" s="175" t="str">
        <x:v>49.740.972/0001-01</x:v>
      </x:c>
      <x:c r="B569" s="166" t="str">
        <x:v>PSS SPECTRUM-A PRINCIPAL FUNDO DE INVESTIMENTO EM DIREITOS CREDITÓRIOS</x:v>
      </x:c>
      <x:c r="C569" s="188" t="n">
        <x:v>243178194.86</x:v>
      </x:c>
      <x:c r="D569" s="166" t="str">
        <x:v>Prisma Capital Ltda.</x:v>
      </x:c>
      <x:c r="E569" s="166" t="str">
        <x:f>IFERROR(INDEX('Classif Gestoras'!$H$6:$H$462,MATCH(D569,'Classif Gestoras'!$A$6:$A$462,0)),"Não classificada")</x:f>
        <x:v>Independente</x:v>
      </x:c>
      <x:c r="F569" s="166" t="str">
        <x:v>Singulare</x:v>
      </x:c>
      <x:c r="G569" s="166" t="str">
        <x:v>QI CORRETORA DE TÍTULOS E VALORES MOBILIÁRIOS S.A.</x:v>
      </x:c>
      <x:c r="H569" s="166" t="str">
        <x:v>Outros</x:v>
      </x:c>
      <x:c r="I569" s="166" t="str">
        <x:v>Multicarteira Outros</x:v>
      </x:c>
      <x:c r="J569" s="166" t="str">
        <x:v>CI</x:v>
      </x:c>
      <x:c r="K569" s="172" t="n">
        <x:v>1</x:v>
      </x:c>
      <x:c r="L569" s="185" t="str">
        <x:v>Não classificado</x:v>
      </x:c>
    </x:row>
    <x:row r="570">
      <x:c r="A570" s="175" t="str">
        <x:v>26.395.682/0001-72</x:v>
      </x:c>
      <x:c r="B570" s="166" t="str">
        <x:v>FUNDO DE INVESTIMENTO EM DIREITOS CREDITÓRIOS XPCE IV</x:v>
      </x:c>
      <x:c r="C570" s="188" t="n">
        <x:v>242864537.05</x:v>
      </x:c>
      <x:c r="D570" s="166" t="str">
        <x:v>Vista Real Estate</x:v>
      </x:c>
      <x:c r="E570" s="166" t="str">
        <x:f>IFERROR(INDEX('Classif Gestoras'!$H$6:$H$462,MATCH(D570,'Classif Gestoras'!$A$6:$A$462,0)),"Não classificada")</x:f>
        <x:v>Independente</x:v>
      </x:c>
      <x:c r="F570" s="166" t="str">
        <x:v>XPI CCTVM S/A</x:v>
      </x:c>
      <x:c r="G570" s="166" t="str">
        <x:v>OLIVEIRA TRUST DTVM S.A.</x:v>
      </x:c>
      <x:c r="H570" s="166" t="str">
        <x:v>Outros</x:v>
      </x:c>
      <x:c r="I570" s="166" t="str">
        <x:v>Multicarteira Outros</x:v>
      </x:c>
      <x:c r="J570" s="166" t="str">
        <x:v>CI</x:v>
      </x:c>
      <x:c r="K570" s="172" t="n">
        <x:v>5</x:v>
      </x:c>
      <x:c r="L570" s="185" t="str">
        <x:v>Não classificado</x:v>
      </x:c>
    </x:row>
    <x:row r="571">
      <x:c r="A571" s="175" t="str">
        <x:v>58.533.905/0001-07</x:v>
      </x:c>
      <x:c r="B571" s="166" t="str">
        <x:v>LEGEND I SPECIAL ASSETS LEGAL CLAIMS FUNDO DE INVESTIMENTO EM DIREITOS CREDITÓRIOS</x:v>
      </x:c>
      <x:c r="C571" s="188" t="n">
        <x:v>242541522.92</x:v>
      </x:c>
      <x:c r="D571" s="166" t="str">
        <x:v>LEGEND LEGAL ASSETS GESTAO DE RECURSOS LTDA</x:v>
      </x:c>
      <x:c r="E571" s="166" t="str">
        <x:f>IFERROR(INDEX('Classif Gestoras'!$H$6:$H$462,MATCH(D571,'Classif Gestoras'!$A$6:$A$462,0)),"Não classificada")</x:f>
        <x:v>Independente</x:v>
      </x:c>
      <x:c r="F571" s="166" t="str">
        <x:v>BTG Pactual Servicos Financeiros S/A DTVM</x:v>
      </x:c>
      <x:c r="G571" s="166" t="str">
        <x:v>BANCO BTG PACTUAL S/A</x:v>
      </x:c>
      <x:c r="H571" s="166" t="str">
        <x:v>Outros</x:v>
      </x:c>
      <x:c r="I571" s="166" t="str">
        <x:v>Poder Público</x:v>
      </x:c>
      <x:c r="J571" s="166" t="str">
        <x:v>CI</x:v>
      </x:c>
      <x:c r="K571" s="172" t="n">
        <x:v>1</x:v>
      </x:c>
      <x:c r="L571" s="185" t="str">
        <x:v>Não classificado</x:v>
      </x:c>
    </x:row>
    <x:row r="572">
      <x:c r="A572" s="175" t="str">
        <x:v>61.996.793/0001-35</x:v>
      </x:c>
      <x:c r="B572" s="166" t="str">
        <x:v>SG II B FUNDO DE INVESTIMENTO EM DIREITOS CREDITÓRIOS</x:v>
      </x:c>
      <x:c r="C572" s="188" t="n">
        <x:v>241343149.15</x:v>
      </x:c>
      <x:c r="D572" s="166" t="str">
        <x:v>Jus Capital Gestão de Recursos LTDA</x:v>
      </x:c>
      <x:c r="E572" s="166" t="str">
        <x:f>IFERROR(INDEX('Classif Gestoras'!$H$6:$H$462,MATCH(D572,'Classif Gestoras'!$A$6:$A$462,0)),"Não classificada")</x:f>
        <x:v>Independente</x:v>
      </x:c>
      <x:c r="F572" s="166" t="str">
        <x:v>BTG Pactual Servicos Financeiros S/A DTVM</x:v>
      </x:c>
      <x:c r="G572" s="166" t="str">
        <x:v>BANCO BTG PACTUAL S/A</x:v>
      </x:c>
      <x:c r="H572" s="166" t="str">
        <x:v>Outros</x:v>
      </x:c>
      <x:c r="I572" s="166" t="str">
        <x:v>Poder Público</x:v>
      </x:c>
      <x:c r="J572" s="166" t="str">
        <x:v>CIPC</x:v>
      </x:c>
      <x:c r="K572" s="172" t="n">
        <x:v>1</x:v>
      </x:c>
      <x:c r="L572" s="185" t="str">
        <x:v>Não classificado</x:v>
      </x:c>
    </x:row>
    <x:row r="573">
      <x:c r="A573" s="175" t="str">
        <x:v>39.375.599/0001-83</x:v>
      </x:c>
      <x:c r="B573" s="166" t="str">
        <x:v>FUNDO DE INVESTIMENTO EM DIREITOS CREDITÓRIOS TRAMONTINA I</x:v>
      </x:c>
      <x:c r="C573" s="188" t="n">
        <x:v>241335572.11</x:v>
      </x:c>
      <x:c r="D573" s="166" t="str">
        <x:v>Cultinvest Asset</x:v>
      </x:c>
      <x:c r="E573" s="166" t="str">
        <x:f>IFERROR(INDEX('Classif Gestoras'!$H$6:$H$462,MATCH(D573,'Classif Gestoras'!$A$6:$A$462,0)),"Não classificada")</x:f>
        <x:v>Independente</x:v>
      </x:c>
      <x:c r="F573" s="166" t="str">
        <x:v>S3 Caceis Brasil Distribuidora de Títulos e Valores Mob</x:v>
      </x:c>
      <x:c r="G573" s="166" t="str">
        <x:v>S3 CACEIS BRASIL DISTRIBUIDORA DE TITULOS E VALORES MOBILIARIOS S.A</x:v>
      </x:c>
      <x:c r="H573" s="166" t="str">
        <x:v>Agro, Indústria e Comércio</x:v>
      </x:c>
      <x:c r="I573" s="166" t="str">
        <x:v>Recebíveis Comerciais</x:v>
      </x:c>
      <x:c r="J573" s="166" t="str">
        <x:v>CI</x:v>
      </x:c>
      <x:c r="K573" s="172" t="n">
        <x:v>72</x:v>
      </x:c>
      <x:c r="L573" s="185" t="str">
        <x:v>Não classificado</x:v>
      </x:c>
    </x:row>
    <x:row r="574">
      <x:c r="A574" s="175" t="str">
        <x:v>43.946.448/0001-05</x:v>
      </x:c>
      <x:c r="B574" s="166" t="str">
        <x:v>CALÊNDULA FUNDO DE INVESTIMENTO EM DIREITOS CREDITÓRIOS</x:v>
      </x:c>
      <x:c r="C574" s="188" t="n">
        <x:v>241064540.75</x:v>
      </x:c>
      <x:c r="D574" s="166" t="str">
        <x:v>Blue Solutions</x:v>
      </x:c>
      <x:c r="E574" s="166" t="str">
        <x:f>IFERROR(INDEX('Classif Gestoras'!$H$6:$H$462,MATCH(D574,'Classif Gestoras'!$A$6:$A$462,0)),"Não classificada")</x:f>
        <x:v>Independente</x:v>
      </x:c>
      <x:c r="F574" s="166" t="str">
        <x:v>TRUSTEE DTVM</x:v>
      </x:c>
      <x:c r="G574" s="166" t="str">
        <x:v>TRUSTEE DISTRIBUIDORA DE TITULOS E VALORES MOBILIARIOS LTDA.</x:v>
      </x:c>
      <x:c r="H574" s="166" t="str">
        <x:v>Outros</x:v>
      </x:c>
      <x:c r="I574" s="166" t="str">
        <x:v>Multicarteira Outros</x:v>
      </x:c>
      <x:c r="J574" s="166" t="str">
        <x:v>CI</x:v>
      </x:c>
      <x:c r="K574" s="172" t="n">
        <x:v>3</x:v>
      </x:c>
      <x:c r="L574" s="185" t="str">
        <x:v>Não classificado</x:v>
      </x:c>
    </x:row>
    <x:row r="575">
      <x:c r="A575" s="175" t="str">
        <x:v>47.425.662/0001-77</x:v>
      </x:c>
      <x:c r="B575" s="166" t="str">
        <x:v>IOX SPECIAL FUNDO DE INVESTIMENTO EM DIREITOS CREDITORIOS NÃO PADRONIZADO</x:v>
      </x:c>
      <x:c r="C575" s="188" t="n">
        <x:v>240209948.33999997</x:v>
      </x:c>
      <x:c r="D575" s="166" t="str">
        <x:v>M8 Partners</x:v>
      </x:c>
      <x:c r="E575" s="166" t="str">
        <x:f>IFERROR(INDEX('Classif Gestoras'!$H$6:$H$462,MATCH(D575,'Classif Gestoras'!$A$6:$A$462,0)),"Não classificada")</x:f>
        <x:v>Independente</x:v>
      </x:c>
      <x:c r="F575" s="166" t="str">
        <x:v>Singulare</x:v>
      </x:c>
      <x:c r="G575" s="166" t="str">
        <x:v>QI CORRETORA DE TÍTULOS E VALORES MOBILIÁRIOS S.A.</x:v>
      </x:c>
      <x:c r="H575" s="166" t="str">
        <x:v>Outros</x:v>
      </x:c>
      <x:c r="I575" s="166" t="str">
        <x:v>Multicarteira Outros</x:v>
      </x:c>
      <x:c r="J575" s="166" t="str">
        <x:v>CI</x:v>
      </x:c>
      <x:c r="K575" s="172" t="n">
        <x:v>37</x:v>
      </x:c>
      <x:c r="L575" s="185" t="str">
        <x:v>Não classificado</x:v>
      </x:c>
    </x:row>
    <x:row r="576">
      <x:c r="A576" s="175" t="str">
        <x:v>57.182.268/0001-09</x:v>
      </x:c>
      <x:c r="B576" s="166" t="str">
        <x:v>CONECTEPAG I FUNDO DE INVESTIMENTO EM DIREITOS CREDITORIOS RESPONSABILIDADE LIMITADA</x:v>
      </x:c>
      <x:c r="C576" s="188" t="n">
        <x:v>238002321.52</x:v>
      </x:c>
      <x:c r="D576" s="166" t="str">
        <x:v>AUGME CAPITAL GESTÃO DE RECURSOS LTDA.</x:v>
      </x:c>
      <x:c r="E576" s="166" t="str">
        <x:f>IFERROR(INDEX('Classif Gestoras'!$H$6:$H$462,MATCH(D576,'Classif Gestoras'!$A$6:$A$462,0)),"Não classificada")</x:f>
        <x:v>Independente</x:v>
      </x:c>
      <x:c r="F576" s="166" t="str">
        <x:v>BANCO DAYCOVAL S/A</x:v>
      </x:c>
      <x:c r="G576" s="166" t="str">
        <x:v>BANCO DAYCOVAL S.A.</x:v>
      </x:c>
      <x:c r="H576" s="166" t="str">
        <x:v>Outros</x:v>
      </x:c>
      <x:c r="I576" s="166" t="str">
        <x:v>Multicarteira Outros</x:v>
      </x:c>
      <x:c r="J576" s="166" t="str">
        <x:v>CI</x:v>
      </x:c>
      <x:c r="K576" s="172" t="n">
        <x:v>48</x:v>
      </x:c>
      <x:c r="L576" s="185" t="str">
        <x:v>Não classificado</x:v>
      </x:c>
    </x:row>
    <x:row r="577">
      <x:c r="A577" s="175" t="str">
        <x:v>39.769.235/0001-88</x:v>
      </x:c>
      <x:c r="B577" s="166" t="str">
        <x:v>CUPERTINO FUNDO DE INVESTIMENTO EM DIREITOS CREDITÓRIOS - RESPONSABILIDADE LIMITADA</x:v>
      </x:c>
      <x:c r="C577" s="188" t="n">
        <x:v>237888761.27000004</x:v>
      </x:c>
      <x:c r="D577" s="166" t="str">
        <x:v>M8 Partners</x:v>
      </x:c>
      <x:c r="E577" s="166" t="str">
        <x:f>IFERROR(INDEX('Classif Gestoras'!$H$6:$H$462,MATCH(D577,'Classif Gestoras'!$A$6:$A$462,0)),"Não classificada")</x:f>
        <x:v>Independente</x:v>
      </x:c>
      <x:c r="F577" s="166" t="str">
        <x:v>Singulare</x:v>
      </x:c>
      <x:c r="G577" s="166" t="str">
        <x:v>QI CORRETORA DE TÍTULOS E VALORES MOBILIÁRIOS S.A.</x:v>
      </x:c>
      <x:c r="H577" s="166" t="str">
        <x:v>Fomento Mercantil</x:v>
      </x:c>
      <x:c r="I577" s="166" t="str">
        <x:v>Fomento Mercantil</x:v>
      </x:c>
      <x:c r="J577" s="166" t="str">
        <x:v>CI</x:v>
      </x:c>
      <x:c r="K577" s="172" t="n">
        <x:v>183</x:v>
      </x:c>
      <x:c r="L577" s="185" t="str">
        <x:v>Não classificado</x:v>
      </x:c>
    </x:row>
    <x:row r="578">
      <x:c r="A578" s="175" t="str">
        <x:v>21.824.924/0001-82</x:v>
      </x:c>
      <x:c r="B578" s="166" t="str">
        <x:v>CIELO FUNDO DE INVESTIMENTO EM DIREITOS CREDITÓRIOS NÃO-PADRONIZADOS</x:v>
      </x:c>
      <x:c r="C578" s="188" t="n">
        <x:v>237405289.2</x:v>
      </x:c>
      <x:c r="D578" s="166" t="str">
        <x:v>Banco Bradesco S/A</x:v>
      </x:c>
      <x:c r="E578" s="166" t="str">
        <x:f>IFERROR(INDEX('Classif Gestoras'!$H$6:$H$462,MATCH(D578,'Classif Gestoras'!$A$6:$A$462,0)),"Não classificada")</x:f>
        <x:v>Ligada a banco</x:v>
      </x:c>
      <x:c r="F578" s="166" t="str">
        <x:v>BEM - DIST. DE TÍTUL</x:v>
      </x:c>
      <x:c r="G578" s="166" t="str">
        <x:v>BANCO BRADESCO S.A.</x:v>
      </x:c>
      <x:c r="H578" s="166" t="str">
        <x:v>Agro, Indústria e Comércio</x:v>
      </x:c>
      <x:c r="I578" s="166" t="str">
        <x:v>Recebíveis Comerciais</x:v>
      </x:c>
      <x:c r="J578" s="166" t="str">
        <x:v>CI</x:v>
      </x:c>
      <x:c r="K578" s="172" t="n">
        <x:v>1</x:v>
      </x:c>
      <x:c r="L578" s="185" t="str">
        <x:v>Não classificado</x:v>
      </x:c>
    </x:row>
    <x:row r="579">
      <x:c r="A579" s="175" t="str">
        <x:v>44.002.535/0001-77</x:v>
      </x:c>
      <x:c r="B579" s="166" t="str">
        <x:v>BEX FUNDO DE INVESTIMENTO EM DIREITOS CREDITÓRIOS - RESPONSABILIDADE LIMITADA</x:v>
      </x:c>
      <x:c r="C579" s="188" t="n">
        <x:v>237387135.42000005</x:v>
      </x:c>
      <x:c r="D579" s="166" t="str">
        <x:v>BRZ Investimentos</x:v>
      </x:c>
      <x:c r="E579" s="166" t="str">
        <x:f>IFERROR(INDEX('Classif Gestoras'!$H$6:$H$462,MATCH(D579,'Classif Gestoras'!$A$6:$A$462,0)),"Não classificada")</x:f>
        <x:v>Independente</x:v>
      </x:c>
      <x:c r="F579" s="166" t="str">
        <x:v>Singulare</x:v>
      </x:c>
      <x:c r="G579" s="166" t="str">
        <x:v>QI CORRETORA DE TÍTULOS E VALORES MOBILIÁRIOS S.A.</x:v>
      </x:c>
      <x:c r="H579" s="166" t="str">
        <x:v>Fomento Mercantil</x:v>
      </x:c>
      <x:c r="I579" s="166" t="str">
        <x:v>Fomento Mercantil</x:v>
      </x:c>
      <x:c r="J579" s="166" t="str">
        <x:v>CI</x:v>
      </x:c>
      <x:c r="K579" s="172" t="n">
        <x:v>123</x:v>
      </x:c>
      <x:c r="L579" s="185" t="str">
        <x:v>Não classificado</x:v>
      </x:c>
    </x:row>
    <x:row r="580">
      <x:c r="A580" s="175" t="str">
        <x:v>51.430.054/0001-28</x:v>
      </x:c>
      <x:c r="B580" s="166" t="str">
        <x:v>BRAVOS FUNDO DE INVESTIMENTO EM DIREITOS CREDITÓRIOS</x:v>
      </x:c>
      <x:c r="C580" s="188" t="n">
        <x:v>236726720.82</x:v>
      </x:c>
      <x:c r="D580" s="166" t="str">
        <x:v>Catálise Investimentos</x:v>
      </x:c>
      <x:c r="E580" s="166" t="str">
        <x:f>IFERROR(INDEX('Classif Gestoras'!$H$6:$H$462,MATCH(D580,'Classif Gestoras'!$A$6:$A$462,0)),"Não classificada")</x:f>
        <x:v>Independente</x:v>
      </x:c>
      <x:c r="F580" s="166" t="str">
        <x:v>CATÁLISE DTVM</x:v>
      </x:c>
      <x:c r="G580" s="166" t="str">
        <x:v>BANCO DAYCOVAL S.A.</x:v>
      </x:c>
      <x:c r="H580" s="166" t="str">
        <x:v>Outros</x:v>
      </x:c>
      <x:c r="I580" s="166" t="str">
        <x:v>Multicarteira Outros</x:v>
      </x:c>
      <x:c r="J580" s="166" t="str">
        <x:v>CI</x:v>
      </x:c>
      <x:c r="K580" s="172" t="n">
        <x:v>1</x:v>
      </x:c>
      <x:c r="L580" s="185" t="str">
        <x:v>Não classificado</x:v>
      </x:c>
    </x:row>
    <x:row r="581">
      <x:c r="A581" s="175" t="str">
        <x:v>49.669.950/0001-00</x:v>
      </x:c>
      <x:c r="B581" s="166" t="str">
        <x:v>MAROSTICA CAPITAL FUNDO DE INVESTIMENTO EM DIREITOS CREDITORIOS NÃO PADRONIZADO</x:v>
      </x:c>
      <x:c r="C581" s="188" t="n">
        <x:v>236623056.33</x:v>
      </x:c>
      <x:c r="D581" s="166" t="str">
        <x:v>Harbour Capital</x:v>
      </x:c>
      <x:c r="E581" s="166" t="str">
        <x:f>IFERROR(INDEX('Classif Gestoras'!$H$6:$H$462,MATCH(D581,'Classif Gestoras'!$A$6:$A$462,0)),"Não classificada")</x:f>
        <x:v>Independente</x:v>
      </x:c>
      <x:c r="F581" s="166" t="str">
        <x:v>Singulare</x:v>
      </x:c>
      <x:c r="G581" s="166" t="str">
        <x:v>QI CORRETORA DE TÍTULOS E VALORES MOBILIÁRIOS S.A.</x:v>
      </x:c>
      <x:c r="H581" s="166" t="str">
        <x:v>Fomento Mercantil</x:v>
      </x:c>
      <x:c r="I581" s="166" t="str">
        <x:v>Fomento Mercantil</x:v>
      </x:c>
      <x:c r="J581" s="166" t="str">
        <x:v>CI</x:v>
      </x:c>
      <x:c r="K581" s="172" t="n">
        <x:v>4</x:v>
      </x:c>
      <x:c r="L581" s="185" t="str">
        <x:v>Não classificado</x:v>
      </x:c>
    </x:row>
    <x:row r="582">
      <x:c r="A582" s="175" t="str">
        <x:v>11.198.684/0001-02</x:v>
      </x:c>
      <x:c r="B582" s="166" t="str">
        <x:v>PRASS FUNDO DE INVESTIMENTO EM DIREITOS CREDITÓRIOS II</x:v>
      </x:c>
      <x:c r="C582" s="188" t="n">
        <x:v>236334239.95</x:v>
      </x:c>
      <x:c r="D582" s="166" t="str">
        <x:v>Quatá Investimentos</x:v>
      </x:c>
      <x:c r="E582" s="166" t="str">
        <x:f>IFERROR(INDEX('Classif Gestoras'!$H$6:$H$462,MATCH(D582,'Classif Gestoras'!$A$6:$A$462,0)),"Não classificada")</x:f>
        <x:v>Independente</x:v>
      </x:c>
      <x:c r="F582" s="166" t="str">
        <x:v>BRL TRUST DTVM</x:v>
      </x:c>
      <x:c r="G582" s="166" t="str">
        <x:v>BRL TRUST DISTRIBUIDORA DE TITULOS E VALORES MOBILIARIOS S.A.</x:v>
      </x:c>
      <x:c r="H582" s="166" t="str">
        <x:v>Agro, Indústria e Comércio</x:v>
      </x:c>
      <x:c r="I582" s="166" t="str">
        <x:v>Crédito Corporativo</x:v>
      </x:c>
      <x:c r="J582" s="166" t="str">
        <x:v>CI</x:v>
      </x:c>
      <x:c r="K582" s="172" t="n">
        <x:v>48</x:v>
      </x:c>
      <x:c r="L582" s="185" t="str">
        <x:v>Não classificado</x:v>
      </x:c>
    </x:row>
    <x:row r="583">
      <x:c r="A583" s="175" t="str">
        <x:v>58.171.340/0001-65</x:v>
      </x:c>
      <x:c r="B583" s="166" t="str">
        <x:v>FRIMESA FUNDO DE INVESTIMENTO EM DIREITOS CREDITÓRIOS DE RESPONSABILIDADE LIMITADA</x:v>
      </x:c>
      <x:c r="C583" s="188" t="n">
        <x:v>236095604.02</x:v>
      </x:c>
      <x:c r="D583" s="166" t="str">
        <x:v>OPEA GESTORA DE RECURSOS</x:v>
      </x:c>
      <x:c r="E583" s="166" t="str">
        <x:f>IFERROR(INDEX('Classif Gestoras'!$H$6:$H$462,MATCH(D583,'Classif Gestoras'!$A$6:$A$462,0)),"Não classificada")</x:f>
        <x:v>Independente</x:v>
      </x:c>
      <x:c r="F583" s="166" t="str">
        <x:v>VÓRTX DTVM</x:v>
      </x:c>
      <x:c r="G583" s="166" t="str">
        <x:v>VORTX DISTRIBUIDORA DE TITULOS E VALORES MOBILIARIOS LTDA.</x:v>
      </x:c>
      <x:c r="H583" s="166" t="str">
        <x:v>Agro, Indústria e Comércio</x:v>
      </x:c>
      <x:c r="I583" s="166" t="str">
        <x:v>Multicarteira Agro, Indústria e Comércio</x:v>
      </x:c>
      <x:c r="J583" s="166" t="str">
        <x:v>CI</x:v>
      </x:c>
      <x:c r="K583" s="172" t="n">
        <x:v>4</x:v>
      </x:c>
      <x:c r="L583" s="185" t="str">
        <x:v>Não classificado</x:v>
      </x:c>
    </x:row>
    <x:row r="584">
      <x:c r="A584" s="175" t="str">
        <x:v>48.279.539/0001-58</x:v>
      </x:c>
      <x:c r="B584" s="166" t="str">
        <x:v>ALGARVE AMAZÔNIA FUNDO DE INVESTIMENTO EM DIREITOS CREDITÓRIOS DE RESPONSABILIDADE LIMITADA</x:v>
      </x:c>
      <x:c r="C584" s="188" t="n">
        <x:v>235413589.75</x:v>
      </x:c>
      <x:c r="D584" s="166" t="str">
        <x:v>Algarve Capital</x:v>
      </x:c>
      <x:c r="E584" s="166" t="str">
        <x:f>IFERROR(INDEX('Classif Gestoras'!$H$6:$H$462,MATCH(D584,'Classif Gestoras'!$A$6:$A$462,0)),"Não classificada")</x:f>
        <x:v>Independente</x:v>
      </x:c>
      <x:c r="F584" s="166" t="str">
        <x:v>BANCO DAYCOVAL S/A</x:v>
      </x:c>
      <x:c r="G584" s="166" t="str">
        <x:v>BANCO DAYCOVAL S.A.</x:v>
      </x:c>
      <x:c r="H584" s="166" t="str">
        <x:v>Outros</x:v>
      </x:c>
      <x:c r="I584" s="166" t="str">
        <x:v>Multicarteira Outros</x:v>
      </x:c>
      <x:c r="J584" s="166" t="str">
        <x:v>CI</x:v>
      </x:c>
      <x:c r="K584" s="172" t="n">
        <x:v>8</x:v>
      </x:c>
      <x:c r="L584" s="185" t="str">
        <x:v>Não classificado</x:v>
      </x:c>
    </x:row>
    <x:row r="585">
      <x:c r="A585" s="175" t="str">
        <x:v>52.498.585/0001-15</x:v>
      </x:c>
      <x:c r="B585" s="166" t="str">
        <x:v>SALENTO FUNDO DE INVESTIMENTO EM DIREITOS CREDITÓRIOS</x:v>
      </x:c>
      <x:c r="C585" s="188" t="n">
        <x:v>234927168.04</x:v>
      </x:c>
      <x:c r="D585" s="166" t="str">
        <x:v>Iggy Investimentos</x:v>
      </x:c>
      <x:c r="E585" s="166" t="str">
        <x:f>IFERROR(INDEX('Classif Gestoras'!$H$6:$H$462,MATCH(D585,'Classif Gestoras'!$A$6:$A$462,0)),"Não classificada")</x:f>
        <x:v>Independente</x:v>
      </x:c>
      <x:c r="F585" s="166" t="str">
        <x:v>Singulare</x:v>
      </x:c>
      <x:c r="G585" s="166" t="str">
        <x:v>QI CORRETORA DE TÍTULOS E VALORES MOBILIÁRIOS S.A.</x:v>
      </x:c>
      <x:c r="H585" s="166" t="str">
        <x:v>Outros</x:v>
      </x:c>
      <x:c r="I585" s="166" t="str">
        <x:v>Multicarteira Outros</x:v>
      </x:c>
      <x:c r="J585" s="166" t="str">
        <x:v>CI</x:v>
      </x:c>
      <x:c r="K585" s="172" t="n">
        <x:v>1</x:v>
      </x:c>
      <x:c r="L585" s="185" t="str">
        <x:v>Não classificado</x:v>
      </x:c>
    </x:row>
    <x:row r="586">
      <x:c r="A586" s="175" t="str">
        <x:v>36.655.893/0001-50</x:v>
      </x:c>
      <x:c r="B586" s="166" t="str">
        <x:v>XP CRÉDITO ESTRUTURADO 360 PROFISSIONAL FUNDO DE INVESTIMENTO EM DIREITOS CREDITÓRIOS</x:v>
      </x:c>
      <x:c r="C586" s="188" t="n">
        <x:v>233432926.49</x:v>
      </x:c>
      <x:c r="D586" s="166" t="str">
        <x:v>Vista Real Estate</x:v>
      </x:c>
      <x:c r="E586" s="166" t="str">
        <x:f>IFERROR(INDEX('Classif Gestoras'!$H$6:$H$462,MATCH(D586,'Classif Gestoras'!$A$6:$A$462,0)),"Não classificada")</x:f>
        <x:v>Independente</x:v>
      </x:c>
      <x:c r="F586" s="166" t="str">
        <x:v>VÓRTX DTVM</x:v>
      </x:c>
      <x:c r="G586" s="166" t="str">
        <x:v>VORTX DISTRIBUIDORA DE TITULOS E VALORES MOBILIARIOS LTDA.</x:v>
      </x:c>
      <x:c r="H586" s="166" t="str">
        <x:v>Outros</x:v>
      </x:c>
      <x:c r="I586" s="166" t="str">
        <x:v>Multicarteira Outros</x:v>
      </x:c>
      <x:c r="J586" s="166" t="str">
        <x:v>CI</x:v>
      </x:c>
      <x:c r="K586" s="172" t="n">
        <x:v>1</x:v>
      </x:c>
      <x:c r="L586" s="185" t="str">
        <x:v>Não classificado</x:v>
      </x:c>
    </x:row>
    <x:row r="587">
      <x:c r="A587" s="175" t="str">
        <x:v>14.770.038/0001-58</x:v>
      </x:c>
      <x:c r="B587" s="166" t="str">
        <x:v>MULTIPLIX MULTISSETORIAL FUNDO DE INVESTIMENTO EM DIREITOS CREDITÓRIOS - RESPONSABILIDADE LIMITADA</x:v>
      </x:c>
      <x:c r="C587" s="188" t="n">
        <x:v>233320820.07000005</x:v>
      </x:c>
      <x:c r="D587" s="166" t="str">
        <x:v>ARTESANAL MCMS</x:v>
      </x:c>
      <x:c r="E587" s="166" t="str">
        <x:f>IFERROR(INDEX('Classif Gestoras'!$H$6:$H$462,MATCH(D587,'Classif Gestoras'!$A$6:$A$462,0)),"Não classificada")</x:f>
        <x:v>Independente</x:v>
      </x:c>
      <x:c r="F587" s="166" t="str">
        <x:v>Singulare</x:v>
      </x:c>
      <x:c r="G587" s="166" t="str">
        <x:v>QI CORRETORA DE TÍTULOS E VALORES MOBILIÁRIOS S.A.</x:v>
      </x:c>
      <x:c r="H587" s="166" t="str">
        <x:v>Fomento Mercantil</x:v>
      </x:c>
      <x:c r="I587" s="166" t="str">
        <x:v>Fomento Mercantil</x:v>
      </x:c>
      <x:c r="J587" s="166" t="str">
        <x:v>CI</x:v>
      </x:c>
      <x:c r="K587" s="172" t="n">
        <x:v>17</x:v>
      </x:c>
      <x:c r="L587" s="185" t="str">
        <x:v>Não classificado</x:v>
      </x:c>
    </x:row>
    <x:row r="588">
      <x:c r="A588" s="175" t="str">
        <x:v>53.661.754/0001-59</x:v>
      </x:c>
      <x:c r="B588" s="166" t="str">
        <x:v>CRÉDITO CONSIGNADO PREFIXADO FI EM DIREITOS CREDITÓRIOS FINANCEIROS DE RESPONSABILIDADE LIMITADA</x:v>
      </x:c>
      <x:c r="C588" s="188" t="n">
        <x:v>232960417.34</x:v>
      </x:c>
      <x:c r="D588" s="166" t="str">
        <x:v>POLÍGONO CAPITAL LTDA.</x:v>
      </x:c>
      <x:c r="E588" s="166" t="str">
        <x:f>IFERROR(INDEX('Classif Gestoras'!$H$6:$H$462,MATCH(D588,'Classif Gestoras'!$A$6:$A$462,0)),"Não classificada")</x:f>
        <x:v>Independente</x:v>
      </x:c>
      <x:c r="F588" s="166" t="str">
        <x:v>BTG Pactual Servicos Financeiros S/A DTVM</x:v>
      </x:c>
      <x:c r="G588" s="166" t="str">
        <x:v>BANCO BTG PACTUAL S/A</x:v>
      </x:c>
      <x:c r="H588" s="166" t="str">
        <x:v>Financeiro</x:v>
      </x:c>
      <x:c r="I588" s="166" t="str">
        <x:v>Crédito Consignado</x:v>
      </x:c>
      <x:c r="J588" s="166" t="str">
        <x:v>CI</x:v>
      </x:c>
      <x:c r="K588" s="172" t="n">
        <x:v>5</x:v>
      </x:c>
      <x:c r="L588" s="185" t="str">
        <x:v>Não classificado</x:v>
      </x:c>
    </x:row>
    <x:row r="589">
      <x:c r="A589" s="175" t="str">
        <x:v>10.145.630/0001-08</x:v>
      </x:c>
      <x:c r="B589" s="166" t="str">
        <x:v>QUATA FUNDO DE INVESTIMENTO EM DIREITOS CREDITORIOS MULTISETORIAL</x:v>
      </x:c>
      <x:c r="C589" s="188" t="n">
        <x:v>232351437.96999997</x:v>
      </x:c>
      <x:c r="D589" s="166" t="str">
        <x:v>Quatá Investimentos</x:v>
      </x:c>
      <x:c r="E589" s="166" t="str">
        <x:f>IFERROR(INDEX('Classif Gestoras'!$H$6:$H$462,MATCH(D589,'Classif Gestoras'!$A$6:$A$462,0)),"Não classificada")</x:f>
        <x:v>Independente</x:v>
      </x:c>
      <x:c r="F589" s="166" t="str">
        <x:v>Singulare</x:v>
      </x:c>
      <x:c r="G589" s="166" t="str">
        <x:v>QI CORRETORA DE TÍTULOS E VALORES MOBILIÁRIOS S.A.</x:v>
      </x:c>
      <x:c r="H589" s="166" t="str">
        <x:v>Fomento Mercantil</x:v>
      </x:c>
      <x:c r="I589" s="166" t="str">
        <x:v>Fomento Mercantil</x:v>
      </x:c>
      <x:c r="J589" s="166" t="str">
        <x:v>CI</x:v>
      </x:c>
      <x:c r="K589" s="172" t="n">
        <x:v>200</x:v>
      </x:c>
      <x:c r="L589" s="185" t="str">
        <x:v>Não classificado</x:v>
      </x:c>
    </x:row>
    <x:row r="590">
      <x:c r="A590" s="175" t="str">
        <x:v>10.528.349/0001-54</x:v>
      </x:c>
      <x:c r="B590" s="166" t="str">
        <x:v>CREDENCIAL - FUNDO DE INVESTIMENTO EM DIREITOS CREDITÓRIOS RESPONSABILIDADE LIMITADA</x:v>
      </x:c>
      <x:c r="C590" s="188" t="n">
        <x:v>231061523.25</x:v>
      </x:c>
      <x:c r="D590" s="166" t="str">
        <x:v>Oliveira Trust DTVM</x:v>
      </x:c>
      <x:c r="E590" s="166" t="str">
        <x:f>IFERROR(INDEX('Classif Gestoras'!$H$6:$H$462,MATCH(D590,'Classif Gestoras'!$A$6:$A$462,0)),"Não classificada")</x:f>
        <x:v>Independente</x:v>
      </x:c>
      <x:c r="F590" s="166" t="str">
        <x:v>Oliveira Trust DTVM</x:v>
      </x:c>
      <x:c r="G590" s="166" t="str">
        <x:v>OLIVEIRA TRUST DTVM S.A.</x:v>
      </x:c>
      <x:c r="H590" s="166" t="str">
        <x:v>Agro, Indústria e Comércio</x:v>
      </x:c>
      <x:c r="I590" s="166" t="str">
        <x:v>Recebíveis Comerciais</x:v>
      </x:c>
      <x:c r="J590" s="166" t="str">
        <x:v>CI</x:v>
      </x:c>
      <x:c r="K590" s="172" t="n">
        <x:v>1</x:v>
      </x:c>
      <x:c r="L590" s="185" t="str">
        <x:v>Não classificado</x:v>
      </x:c>
    </x:row>
    <x:row r="591">
      <x:c r="A591" s="175" t="str">
        <x:v>55.401.645/0001-28</x:v>
      </x:c>
      <x:c r="B591" s="166" t="str">
        <x:v>QUATÁ FDC FGTS FUNDO DE INVESTIMENTO EM DIREITOS CREDITÓRIOS</x:v>
      </x:c>
      <x:c r="C591" s="188" t="n">
        <x:v>231005714.68001</x:v>
      </x:c>
      <x:c r="D591" s="166" t="str">
        <x:v>Quatá Investimentos</x:v>
      </x:c>
      <x:c r="E591" s="166" t="str">
        <x:f>IFERROR(INDEX('Classif Gestoras'!$H$6:$H$462,MATCH(D591,'Classif Gestoras'!$A$6:$A$462,0)),"Não classificada")</x:f>
        <x:v>Independente</x:v>
      </x:c>
      <x:c r="F591" s="166" t="str">
        <x:v>QI DISTRIBUIDORA DE TITULOS E VALORES MOBILIARIOS LTDA</x:v>
      </x:c>
      <x:c r="G591" s="166" t="str">
        <x:v>QI CORRETORA DE TÍTULOS E VALORES MOBILIÁRIOS S.A.</x:v>
      </x:c>
      <x:c r="H591" s="166" t="str">
        <x:v>Financeiro</x:v>
      </x:c>
      <x:c r="I591" s="166" t="str">
        <x:v>Crédito Pessoal</x:v>
      </x:c>
      <x:c r="J591" s="166" t="str">
        <x:v>CI</x:v>
      </x:c>
      <x:c r="K591" s="172" t="n">
        <x:v>6</x:v>
      </x:c>
      <x:c r="L591" s="185" t="str">
        <x:v>Não classificado</x:v>
      </x:c>
    </x:row>
    <x:row r="592">
      <x:c r="A592" s="175" t="str">
        <x:v>28.086.648/0001-41</x:v>
      </x:c>
      <x:c r="B592" s="166" t="str">
        <x:v>QG PRIM FUNDO DE INVESTIMENTO EM DIREITOS CREDITÓRIOS - RESPONSABILIDADE LIMITADA</x:v>
      </x:c>
      <x:c r="C592" s="188" t="n">
        <x:v>230369998.75</x:v>
      </x:c>
      <x:c r="D592" s="166" t="str">
        <x:v>Quadra Gestão de Recursos S.A.</x:v>
      </x:c>
      <x:c r="E592" s="166" t="str">
        <x:f>IFERROR(INDEX('Classif Gestoras'!$H$6:$H$462,MATCH(D592,'Classif Gestoras'!$A$6:$A$462,0)),"Não classificada")</x:f>
        <x:v>Independente</x:v>
      </x:c>
      <x:c r="F592" s="166" t="str">
        <x:v>BNY MELLON SERVICOS</x:v>
      </x:c>
      <x:c r="G592" s="166" t="str">
        <x:v>BNY MELLON BANCO S.A.</x:v>
      </x:c>
      <x:c r="H592" s="166" t="str">
        <x:v>Outros</x:v>
      </x:c>
      <x:c r="I592" s="166" t="str">
        <x:v>Multicarteira Outros</x:v>
      </x:c>
      <x:c r="J592" s="166" t="str">
        <x:v>CI</x:v>
      </x:c>
      <x:c r="K592" s="172" t="n">
        <x:v>1</x:v>
      </x:c>
      <x:c r="L592" s="185" t="str">
        <x:v>Não classificado</x:v>
      </x:c>
    </x:row>
    <x:row r="593">
      <x:c r="A593" s="175" t="str">
        <x:v>57.213.448/0001-00</x:v>
      </x:c>
      <x:c r="B593" s="166" t="str">
        <x:v>MISSÕES FUNDO DE INVESTIMENTO EM DIREITOS CREDITÓRIOS</x:v>
      </x:c>
      <x:c r="C593" s="188" t="n">
        <x:v>229890565</x:v>
      </x:c>
      <x:c r="D593" s="166" t="str">
        <x:v>SOMMA Investimentos</x:v>
      </x:c>
      <x:c r="E593" s="166" t="str">
        <x:f>IFERROR(INDEX('Classif Gestoras'!$H$6:$H$462,MATCH(D593,'Classif Gestoras'!$A$6:$A$462,0)),"Não classificada")</x:f>
        <x:v>Independente</x:v>
      </x:c>
      <x:c r="F593" s="166" t="str">
        <x:v>Singulare</x:v>
      </x:c>
      <x:c r="G593" s="166" t="str">
        <x:v>QI CORRETORA DE TÍTULOS E VALORES MOBILIÁRIOS S.A.</x:v>
      </x:c>
      <x:c r="H593" s="166" t="str">
        <x:v>Outros</x:v>
      </x:c>
      <x:c r="I593" s="166" t="str">
        <x:v>Multicarteira Outros</x:v>
      </x:c>
      <x:c r="J593" s="166" t="str">
        <x:v>CI</x:v>
      </x:c>
      <x:c r="K593" s="172" t="n">
        <x:v>4</x:v>
      </x:c>
      <x:c r="L593" s="185" t="str">
        <x:v>Não classificado</x:v>
      </x:c>
    </x:row>
    <x:row r="594">
      <x:c r="A594" s="175" t="str">
        <x:v>10.756.703/0001-06</x:v>
      </x:c>
      <x:c r="B594" s="166" t="str">
        <x:v>KOBOLD H FUNDO DE INVESTIMENTO EM DIREITOS CREDITÓRIOS RESPONSABILIDADE LIMITADA</x:v>
      </x:c>
      <x:c r="C594" s="188" t="n">
        <x:v>229843113.11</x:v>
      </x:c>
      <x:c r="D594" s="166" t="str">
        <x:v>Kobold Gestora de Fundos LTDA.</x:v>
      </x:c>
      <x:c r="E594" s="166" t="str">
        <x:f>IFERROR(INDEX('Classif Gestoras'!$H$6:$H$462,MATCH(D594,'Classif Gestoras'!$A$6:$A$462,0)),"Não classificada")</x:f>
        <x:v>Independente</x:v>
      </x:c>
      <x:c r="F594" s="166" t="str">
        <x:v>Finaxis Corretora de Títulos e Valores Mobiliários S.A.</x:v>
      </x:c>
      <x:c r="G594" s="166" t="str">
        <x:v>BANCO FINAXIS S.A.</x:v>
      </x:c>
      <x:c r="H594" s="166" t="str">
        <x:v>Outros</x:v>
      </x:c>
      <x:c r="I594" s="166" t="str">
        <x:v>Multicarteira Outros</x:v>
      </x:c>
      <x:c r="J594" s="166" t="str">
        <x:v>CI</x:v>
      </x:c>
      <x:c r="K594" s="172" t="n">
        <x:v>9</x:v>
      </x:c>
      <x:c r="L594" s="185" t="str">
        <x:v>Não classificado</x:v>
      </x:c>
    </x:row>
    <x:row r="595">
      <x:c r="A595" s="175" t="str">
        <x:v>48.181.830/0001-99</x:v>
      </x:c>
      <x:c r="B595" s="166" t="str">
        <x:v>TB1 FUNDO DE INVESTIMENTO EM DIREITOS CREDITÓRIOS DE RESPONSABILIDADE ILIMITADA</x:v>
      </x:c>
      <x:c r="C595" s="188" t="n">
        <x:v>229253821.33</x:v>
      </x:c>
      <x:c r="D595" s="166" t="str">
        <x:v>Milênio Capital</x:v>
      </x:c>
      <x:c r="E595" s="166" t="str">
        <x:f>IFERROR(INDEX('Classif Gestoras'!$H$6:$H$462,MATCH(D595,'Classif Gestoras'!$A$6:$A$462,0)),"Não classificada")</x:f>
        <x:v>Independente</x:v>
      </x:c>
      <x:c r="F595" s="166" t="str">
        <x:v>BANCO DAYCOVAL S/A</x:v>
      </x:c>
      <x:c r="G595" s="166" t="str">
        <x:v>BANCO DAYCOVAL S.A.</x:v>
      </x:c>
      <x:c r="H595" s="166" t="str">
        <x:v>Agro, Indústria e Comércio</x:v>
      </x:c>
      <x:c r="I595" s="166" t="str">
        <x:v>Crédito Corporativo</x:v>
      </x:c>
      <x:c r="J595" s="166" t="str">
        <x:v>CI</x:v>
      </x:c>
      <x:c r="K595" s="172" t="n">
        <x:v>1</x:v>
      </x:c>
      <x:c r="L595" s="185" t="str">
        <x:v>Não classificado</x:v>
      </x:c>
    </x:row>
    <x:row r="596">
      <x:c r="A596" s="175" t="str">
        <x:v>47.425.841/0001-04</x:v>
      </x:c>
      <x:c r="B596" s="166" t="str">
        <x:v>CVPAR II FUNDO DE INVESTIMENTO EM DIREITOS CREDITÓRIOS - RESPONSABILIDADE LIMITADA</x:v>
      </x:c>
      <x:c r="C596" s="188" t="n">
        <x:v>227940977.91000003</x:v>
      </x:c>
      <x:c r="D596" s="166" t="str">
        <x:v>CVPAR Investimentos ltda</x:v>
      </x:c>
      <x:c r="E596" s="166" t="str">
        <x:f>IFERROR(INDEX('Classif Gestoras'!$H$6:$H$462,MATCH(D596,'Classif Gestoras'!$A$6:$A$462,0)),"Não classificada")</x:f>
        <x:v>Independente</x:v>
      </x:c>
      <x:c r="F596" s="166" t="str">
        <x:v>Singulare</x:v>
      </x:c>
      <x:c r="G596" s="166" t="str">
        <x:v>QI CORRETORA DE TÍTULOS E VALORES MOBILIÁRIOS S.A.</x:v>
      </x:c>
      <x:c r="H596" s="166" t="str">
        <x:v>Outros</x:v>
      </x:c>
      <x:c r="I596" s="166" t="str">
        <x:v>Multicarteira Outros</x:v>
      </x:c>
      <x:c r="J596" s="166" t="str">
        <x:v>CI</x:v>
      </x:c>
      <x:c r="K596" s="172" t="n">
        <x:v>78</x:v>
      </x:c>
      <x:c r="L596" s="185" t="str">
        <x:v>Não classificado</x:v>
      </x:c>
    </x:row>
    <x:row r="597">
      <x:c r="A597" s="175" t="str">
        <x:v>43.236.160/0001-47</x:v>
      </x:c>
      <x:c r="B597" s="166" t="str">
        <x:v>FUNDO DE INVESTIMENTO EM DIREITOS CREDITÓRIOS VCK II CONSIGNADOS</x:v>
      </x:c>
      <x:c r="C597" s="188" t="n">
        <x:v>227868941.48</x:v>
      </x:c>
      <x:c r="D597" s="166" t="str">
        <x:v>VALORA RENDA FIXA ESTRUTURADOS LTDA.</x:v>
      </x:c>
      <x:c r="E597" s="166" t="str">
        <x:f>IFERROR(INDEX('Classif Gestoras'!$H$6:$H$462,MATCH(D597,'Classif Gestoras'!$A$6:$A$462,0)),"Não classificada")</x:f>
        <x:v>Independente</x:v>
      </x:c>
      <x:c r="F597" s="166" t="str">
        <x:v>Banvox DTVM</x:v>
      </x:c>
      <x:c r="G597" s="166" t="str">
        <x:v>QI CORRETORA DE TÍTULOS E VALORES MOBILIÁRIOS S.A.</x:v>
      </x:c>
      <x:c r="H597" s="166" t="str">
        <x:v>Financeiro</x:v>
      </x:c>
      <x:c r="I597" s="166" t="str">
        <x:v>Crédito Consignado</x:v>
      </x:c>
      <x:c r="J597" s="166" t="str">
        <x:v>CI</x:v>
      </x:c>
      <x:c r="K597" s="172" t="n">
        <x:v>44</x:v>
      </x:c>
      <x:c r="L597" s="185" t="str">
        <x:v>Não classificado</x:v>
      </x:c>
    </x:row>
    <x:row r="598">
      <x:c r="A598" s="175" t="str">
        <x:v>64.447.452/0001-07</x:v>
      </x:c>
      <x:c r="B598" s="166" t="str">
        <x:v>JIVEMAUÁ BOSSANOVA SECURITIZADO MASTER II FIDC CRED PRIV RESP LIMITADA</x:v>
      </x:c>
      <x:c r="C598" s="188" t="n">
        <x:v>227845094.72</x:v>
      </x:c>
      <x:c r="D598" s="166" t="str">
        <x:v>JIVE HIGH YIELD GESTÃO DE RECURSOS LTDA</x:v>
      </x:c>
      <x:c r="E598" s="166" t="str">
        <x:f>IFERROR(INDEX('Classif Gestoras'!$H$6:$H$462,MATCH(D598,'Classif Gestoras'!$A$6:$A$462,0)),"Não classificada")</x:f>
        <x:v>Independente</x:v>
      </x:c>
      <x:c r="F598" s="166" t="str">
        <x:v>BANCO DAYCOVAL S/A</x:v>
      </x:c>
      <x:c r="G598" s="166" t="str">
        <x:v>BANCO DAYCOVAL S.A.</x:v>
      </x:c>
      <x:c r="H598" s="166" t="str">
        <x:v>Outros</x:v>
      </x:c>
      <x:c r="I598" s="166" t="str">
        <x:v>Multicarteira Outros</x:v>
      </x:c>
      <x:c r="J598" s="166" t="str">
        <x:v>CI</x:v>
      </x:c>
      <x:c r="K598" s="172" t="n">
        <x:v>3</x:v>
      </x:c>
      <x:c r="L598" s="185" t="str">
        <x:v>Não classificado</x:v>
      </x:c>
    </x:row>
    <x:row r="599">
      <x:c r="A599" s="175" t="str">
        <x:v>63.845.478/0001-32</x:v>
      </x:c>
      <x:c r="B599" s="166" t="str">
        <x:v>FUNDO DE INVESTIMENTO EM DIREITOS CREDITÓRIOS SOMACRED VEGA SICÍLIA ASSISTÊNCIA FINANCEIRA RESP LTDA</x:v>
      </x:c>
      <x:c r="C599" s="188" t="n">
        <x:v>227835792.55</x:v>
      </x:c>
      <x:c r="D599" s="166" t="str">
        <x:v>VERT Gestora de Recursos Financeiros Ltda.</x:v>
      </x:c>
      <x:c r="E599" s="166" t="str">
        <x:f>IFERROR(INDEX('Classif Gestoras'!$H$6:$H$462,MATCH(D599,'Classif Gestoras'!$A$6:$A$462,0)),"Não classificada")</x:f>
        <x:v>Independente</x:v>
      </x:c>
      <x:c r="F599" s="166" t="str">
        <x:v>VERT Distribuidora de Títulos e Valores Mobiliários Ltd</x:v>
      </x:c>
      <x:c r="G599" s="166" t="str">
        <x:v>VERT DISTRIBUIDORA DE TÍTULOS E VALORES MOBILIÁRIOS LTDA.</x:v>
      </x:c>
      <x:c r="H599" s="166" t="str">
        <x:v>Financeiro</x:v>
      </x:c>
      <x:c r="I599" s="166" t="str">
        <x:v>Crédito Pessoal</x:v>
      </x:c>
      <x:c r="J599" s="166" t="str">
        <x:v>CI</x:v>
      </x:c>
      <x:c r="K599" s="172" t="n">
        <x:v>5</x:v>
      </x:c>
      <x:c r="L599" s="185" t="str">
        <x:v>Não classificado</x:v>
      </x:c>
    </x:row>
    <x:row r="600">
      <x:c r="A600" s="175" t="str">
        <x:v>40.770.569/0001-50</x:v>
      </x:c>
      <x:c r="B600" s="166" t="str">
        <x:v>ENDLESS SUMMIT FUNDO DE INVESTIMENTO EM DIREITOS CREDITÓRIOS</x:v>
      </x:c>
      <x:c r="C600" s="188" t="n">
        <x:v>227432212.19999996</x:v>
      </x:c>
      <x:c r="D600" s="166" t="str">
        <x:v>Latache Capital</x:v>
      </x:c>
      <x:c r="E600" s="166" t="str">
        <x:f>IFERROR(INDEX('Classif Gestoras'!$H$6:$H$462,MATCH(D600,'Classif Gestoras'!$A$6:$A$462,0)),"Não classificada")</x:f>
        <x:v>Independente</x:v>
      </x:c>
      <x:c r="F600" s="166" t="str">
        <x:v>BRL TRUST DTVM</x:v>
      </x:c>
      <x:c r="G600" s="166" t="str">
        <x:v>BRL TRUST DISTRIBUIDORA DE TITULOS E VALORES MOBILIARIOS S.A.</x:v>
      </x:c>
      <x:c r="H600" s="166" t="str">
        <x:v>Outros</x:v>
      </x:c>
      <x:c r="I600" s="166" t="str">
        <x:v>Multicarteira Outros</x:v>
      </x:c>
      <x:c r="J600" s="166" t="str">
        <x:v>CI</x:v>
      </x:c>
      <x:c r="K600" s="172" t="n">
        <x:v>6</x:v>
      </x:c>
      <x:c r="L600" s="185" t="str">
        <x:v>Não classificado</x:v>
      </x:c>
    </x:row>
    <x:row r="601">
      <x:c r="A601" s="175" t="str">
        <x:v>39.380.171/0001-29</x:v>
      </x:c>
      <x:c r="B601" s="166" t="str">
        <x:v>STARTER FUNDO DE INVESTIMENTO EM DIREITOS CREDITÓRIOS</x:v>
      </x:c>
      <x:c r="C601" s="188" t="n">
        <x:v>226797289.99</x:v>
      </x:c>
      <x:c r="D601" s="166" t="str">
        <x:v>M8 Partners</x:v>
      </x:c>
      <x:c r="E601" s="166" t="str">
        <x:f>IFERROR(INDEX('Classif Gestoras'!$H$6:$H$462,MATCH(D601,'Classif Gestoras'!$A$6:$A$462,0)),"Não classificada")</x:f>
        <x:v>Independente</x:v>
      </x:c>
      <x:c r="F601" s="166" t="str">
        <x:v>Singulare</x:v>
      </x:c>
      <x:c r="G601" s="166" t="str">
        <x:v>QI CORRETORA DE TÍTULOS E VALORES MOBILIÁRIOS S.A.</x:v>
      </x:c>
      <x:c r="H601" s="166" t="str">
        <x:v>Outros</x:v>
      </x:c>
      <x:c r="I601" s="166" t="str">
        <x:v>Multicarteira Outros</x:v>
      </x:c>
      <x:c r="J601" s="166" t="str">
        <x:v>CI</x:v>
      </x:c>
      <x:c r="K601" s="172" t="n">
        <x:v>5</x:v>
      </x:c>
      <x:c r="L601" s="185" t="str">
        <x:v>Não classificado</x:v>
      </x:c>
    </x:row>
    <x:row r="602">
      <x:c r="A602" s="175" t="str">
        <x:v>54.083.697/0001-30</x:v>
      </x:c>
      <x:c r="B602" s="166" t="str">
        <x:v>PERNAMBUCANAS FIDC DE RESPONSABILIDADE LIMITADA</x:v>
      </x:c>
      <x:c r="C602" s="188" t="n">
        <x:v>226728034.29</x:v>
      </x:c>
      <x:c r="D602" s="166" t="str">
        <x:v>DAYCOVAL ASSET MANAG</x:v>
      </x:c>
      <x:c r="E602" s="166" t="str">
        <x:f>IFERROR(INDEX('Classif Gestoras'!$H$6:$H$462,MATCH(D602,'Classif Gestoras'!$A$6:$A$462,0)),"Não classificada")</x:f>
        <x:v>Ligada a banco</x:v>
      </x:c>
      <x:c r="F602" s="166" t="str">
        <x:v>BANCO DAYCOVAL S/A</x:v>
      </x:c>
      <x:c r="G602" s="166" t="str">
        <x:v>BANCO DAYCOVAL S.A.</x:v>
      </x:c>
      <x:c r="H602" s="166" t="str">
        <x:v>Agro, Indústria e Comércio</x:v>
      </x:c>
      <x:c r="I602" s="166" t="str">
        <x:v>Multicarteira Agro, Indústria e Comércio</x:v>
      </x:c>
      <x:c r="J602" s="166" t="str">
        <x:v>CI</x:v>
      </x:c>
      <x:c r="K602" s="172" t="n">
        <x:v>2</x:v>
      </x:c>
      <x:c r="L602" s="185" t="str">
        <x:v>Não classificado</x:v>
      </x:c>
    </x:row>
    <x:row r="603">
      <x:c r="A603" s="175" t="str">
        <x:v>26.718.267/0001-02</x:v>
      </x:c>
      <x:c r="B603" s="166" t="str">
        <x:v>MILÊNIO LW 180 FUNDO DE INVESTIMENTO EM DIREITOS CREDITÓRIOS RESPONSABILIDADE LIMITADA</x:v>
      </x:c>
      <x:c r="C603" s="188" t="n">
        <x:v>225990814.52</x:v>
      </x:c>
      <x:c r="D603" s="166" t="str">
        <x:v>Milênio Capital</x:v>
      </x:c>
      <x:c r="E603" s="166" t="str">
        <x:f>IFERROR(INDEX('Classif Gestoras'!$H$6:$H$462,MATCH(D603,'Classif Gestoras'!$A$6:$A$462,0)),"Não classificada")</x:f>
        <x:v>Independente</x:v>
      </x:c>
      <x:c r="F603" s="166" t="str">
        <x:v>BTG Pactual Servicos Financeiros S/A DTVM</x:v>
      </x:c>
      <x:c r="G603" s="166" t="str">
        <x:v>BANCO BTG PACTUAL S/A</x:v>
      </x:c>
      <x:c r="H603" s="166" t="str">
        <x:v>Outros</x:v>
      </x:c>
      <x:c r="I603" s="166" t="str">
        <x:v>Multicarteira Outros</x:v>
      </x:c>
      <x:c r="J603" s="166" t="str">
        <x:v>CI</x:v>
      </x:c>
      <x:c r="K603" s="172" t="n">
        <x:v>86</x:v>
      </x:c>
      <x:c r="L603" s="185" t="str">
        <x:v>Não classificado</x:v>
      </x:c>
    </x:row>
    <x:row r="604">
      <x:c r="A604" s="175" t="str">
        <x:v>50.991.111/0001-85</x:v>
      </x:c>
      <x:c r="B604" s="166" t="str">
        <x:v>ROCKET IV CRÉDITOS JUDICIAIS FUNDO DE INVESTIMENTO EM DIREITOS CREDITÓRIOS</x:v>
      </x:c>
      <x:c r="C604" s="188" t="n">
        <x:v>225982834.23</x:v>
      </x:c>
      <x:c r="D604" s="166" t="str">
        <x:v>SOSU CAPITAL GESTÃO DE INVESTIMENTOS LTDA.</x:v>
      </x:c>
      <x:c r="E604" s="166" t="str">
        <x:f>IFERROR(INDEX('Classif Gestoras'!$H$6:$H$462,MATCH(D604,'Classif Gestoras'!$A$6:$A$462,0)),"Não classificada")</x:f>
        <x:v>Independente</x:v>
      </x:c>
      <x:c r="F604" s="166" t="str">
        <x:v>BRL TRUST DTVM</x:v>
      </x:c>
      <x:c r="G604" s="166" t="str">
        <x:v>BRL TRUST DISTRIBUIDORA DE TITULOS E VALORES MOBILIARIOS S.A.</x:v>
      </x:c>
      <x:c r="H604" s="166" t="str">
        <x:v>Outros</x:v>
      </x:c>
      <x:c r="I604" s="166" t="str">
        <x:v>Poder Público</x:v>
      </x:c>
      <x:c r="J604" s="166" t="str">
        <x:v>CI</x:v>
      </x:c>
      <x:c r="K604" s="172" t="n">
        <x:v>3</x:v>
      </x:c>
      <x:c r="L604" s="185" t="str">
        <x:v>Não classificado</x:v>
      </x:c>
    </x:row>
    <x:row r="605">
      <x:c r="A605" s="175" t="str">
        <x:v>37.720.020/0001-47</x:v>
      </x:c>
      <x:c r="B605" s="166" t="str">
        <x:v>FIDC MILAS II - FUNDO DE INVESTIMENTO EM DIREITOS CREDITÓRIOS</x:v>
      </x:c>
      <x:c r="C605" s="188" t="n">
        <x:v>225808004.63999996</x:v>
      </x:c>
      <x:c r="D605" s="166" t="str">
        <x:v>Quadra Gestão de Recursos S.A.</x:v>
      </x:c>
      <x:c r="E605" s="166" t="str">
        <x:f>IFERROR(INDEX('Classif Gestoras'!$H$6:$H$462,MATCH(D605,'Classif Gestoras'!$A$6:$A$462,0)),"Não classificada")</x:f>
        <x:v>Independente</x:v>
      </x:c>
      <x:c r="F605" s="166" t="str">
        <x:v>BTG Pactual Servicos Financeiros S/A DTVM</x:v>
      </x:c>
      <x:c r="G605" s="166" t="str">
        <x:v>BANCO BTG PACTUAL S/A</x:v>
      </x:c>
      <x:c r="H605" s="166" t="str">
        <x:v>Outros</x:v>
      </x:c>
      <x:c r="I605" s="166" t="str">
        <x:v>Multicarteira Outros</x:v>
      </x:c>
      <x:c r="J605" s="166" t="str">
        <x:v>CI</x:v>
      </x:c>
      <x:c r="K605" s="172" t="n">
        <x:v>1</x:v>
      </x:c>
      <x:c r="L605" s="185" t="str">
        <x:v>Não classificado</x:v>
      </x:c>
    </x:row>
    <x:row r="606">
      <x:c r="A606" s="175" t="str">
        <x:v>55.039.863/0001-64</x:v>
      </x:c>
      <x:c r="B606" s="166" t="str">
        <x:v>JIVE DISTRESSED &amp; SPECIAL SITS IV (PROFISSIONAL) FIDC - RESPONSABILIDADE LIMITADA</x:v>
      </x:c>
      <x:c r="C606" s="188" t="n">
        <x:v>225758922.55</x:v>
      </x:c>
      <x:c r="D606" s="166" t="str">
        <x:v>JIVE INVESTMENTS</x:v>
      </x:c>
      <x:c r="E606" s="166" t="str">
        <x:f>IFERROR(INDEX('Classif Gestoras'!$H$6:$H$462,MATCH(D606,'Classif Gestoras'!$A$6:$A$462,0)),"Não classificada")</x:f>
        <x:v>Independente</x:v>
      </x:c>
      <x:c r="F606" s="166" t="str">
        <x:v>MAF Distribuidora de Títulos e Valores Mobiliários S.A.</x:v>
      </x:c>
      <x:c r="G606" s="166" t="str">
        <x:v>MAF DISTRIBUIDORA DE TITULOS E VALORES MOBILIARIOS S.A.</x:v>
      </x:c>
      <x:c r="H606" s="166" t="str">
        <x:v>Outros</x:v>
      </x:c>
      <x:c r="I606" s="166" t="str">
        <x:v>Multicarteira Outros</x:v>
      </x:c>
      <x:c r="J606" s="166" t="str">
        <x:v>CI</x:v>
      </x:c>
      <x:c r="K606" s="172" t="n">
        <x:v>1</x:v>
      </x:c>
      <x:c r="L606" s="185" t="str">
        <x:v>Não classificado</x:v>
      </x:c>
    </x:row>
    <x:row r="607">
      <x:c r="A607" s="175" t="str">
        <x:v>45.523.699/0001-02</x:v>
      </x:c>
      <x:c r="B607" s="166" t="str">
        <x:v>VIXTRA FUNDO DE INVESTIMENTO EM DIREITOS CREDITÓRIOS RESPONSABILIDADE LIMITADA</x:v>
      </x:c>
      <x:c r="C607" s="188" t="n">
        <x:v>225436283.58</x:v>
      </x:c>
      <x:c r="D607" s="166" t="str">
        <x:v>CONTEA CAPITAL</x:v>
      </x:c>
      <x:c r="E607" s="166" t="str">
        <x:f>IFERROR(INDEX('Classif Gestoras'!$H$6:$H$462,MATCH(D607,'Classif Gestoras'!$A$6:$A$462,0)),"Não classificada")</x:f>
        <x:v>Independente</x:v>
      </x:c>
      <x:c r="F607" s="166" t="str">
        <x:v>Singulare</x:v>
      </x:c>
      <x:c r="G607" s="166" t="str">
        <x:v>QI CORRETORA DE TÍTULOS E VALORES MOBILIÁRIOS S.A.</x:v>
      </x:c>
      <x:c r="H607" s="166" t="str">
        <x:v>Outros</x:v>
      </x:c>
      <x:c r="I607" s="166" t="str">
        <x:v>Multicarteira Outros</x:v>
      </x:c>
      <x:c r="J607" s="166" t="str">
        <x:v>CI</x:v>
      </x:c>
      <x:c r="K607" s="172" t="n">
        <x:v>57</x:v>
      </x:c>
      <x:c r="L607" s="185" t="str">
        <x:v>Não classificado</x:v>
      </x:c>
    </x:row>
    <x:row r="608">
      <x:c r="A608" s="175" t="str">
        <x:v>47.425.750/0001-79</x:v>
      </x:c>
      <x:c r="B608" s="166" t="str">
        <x:v>CEREALIS FUNDO DE INVESTIMENTO EM DIREITOS CREDITÓRIOS</x:v>
      </x:c>
      <x:c r="C608" s="188" t="n">
        <x:v>225026363.65</x:v>
      </x:c>
      <x:c r="D608" s="166" t="str">
        <x:v>ORRAM GESTÃO DE RECURSOS LTDA.</x:v>
      </x:c>
      <x:c r="E608" s="166" t="str">
        <x:f>IFERROR(INDEX('Classif Gestoras'!$H$6:$H$462,MATCH(D608,'Classif Gestoras'!$A$6:$A$462,0)),"Não classificada")</x:f>
        <x:v>Independente</x:v>
      </x:c>
      <x:c r="F608" s="166" t="str">
        <x:v>Singulare</x:v>
      </x:c>
      <x:c r="G608" s="166" t="str">
        <x:v>QI CORRETORA DE TÍTULOS E VALORES MOBILIÁRIOS S.A.</x:v>
      </x:c>
      <x:c r="H608" s="166" t="str">
        <x:v>Outros</x:v>
      </x:c>
      <x:c r="I608" s="166" t="str">
        <x:v>Multicarteira Outros</x:v>
      </x:c>
      <x:c r="J608" s="166" t="str">
        <x:v>CI</x:v>
      </x:c>
      <x:c r="K608" s="172" t="n">
        <x:v>17</x:v>
      </x:c>
      <x:c r="L608" s="185" t="str">
        <x:v>Não classificado</x:v>
      </x:c>
    </x:row>
    <x:row r="609">
      <x:c r="A609" s="175" t="str">
        <x:v>36.544.636/0001-41</x:v>
      </x:c>
      <x:c r="B609" s="166" t="str">
        <x:v>PAY CARGO FUNDO DE INVESTIMENTO EM DIREITOS CREDITÓRIOS</x:v>
      </x:c>
      <x:c r="C609" s="188" t="n">
        <x:v>224052658.94</x:v>
      </x:c>
      <x:c r="D609" s="166" t="str">
        <x:v>Catálise Investimentos</x:v>
      </x:c>
      <x:c r="E609" s="166" t="str">
        <x:f>IFERROR(INDEX('Classif Gestoras'!$H$6:$H$462,MATCH(D609,'Classif Gestoras'!$A$6:$A$462,0)),"Não classificada")</x:f>
        <x:v>Independente</x:v>
      </x:c>
      <x:c r="F609" s="166" t="str">
        <x:v>CATÁLISE DTVM</x:v>
      </x:c>
      <x:c r="G609" s="166" t="str">
        <x:v>BANCO DAYCOVAL S.A.</x:v>
      </x:c>
      <x:c r="H609" s="166" t="str">
        <x:v>Agro, Indústria e Comércio</x:v>
      </x:c>
      <x:c r="I609" s="166" t="str">
        <x:v>Multicarteira Agro, Indústria e Comércio</x:v>
      </x:c>
      <x:c r="J609" s="166" t="str">
        <x:v>CI</x:v>
      </x:c>
      <x:c r="K609" s="172" t="n">
        <x:v>4</x:v>
      </x:c>
      <x:c r="L609" s="185" t="str">
        <x:v>Não classificado</x:v>
      </x:c>
    </x:row>
    <x:row r="610">
      <x:c r="A610" s="175" t="str">
        <x:v>59.499.177/0001-27</x:v>
      </x:c>
      <x:c r="B610" s="166" t="str">
        <x:v>PETTRA FUNDO DE INVESTIMENTO EM DIREITOS CREDITÓRIOS</x:v>
      </x:c>
      <x:c r="C610" s="188" t="n">
        <x:v>223431008.88</x:v>
      </x:c>
      <x:c r="D610" s="166" t="str">
        <x:v>Multiplica Capital</x:v>
      </x:c>
      <x:c r="E610" s="166" t="str">
        <x:f>IFERROR(INDEX('Classif Gestoras'!$H$6:$H$462,MATCH(D610,'Classif Gestoras'!$A$6:$A$462,0)),"Não classificada")</x:f>
        <x:v>Independente</x:v>
      </x:c>
      <x:c r="F610" s="166" t="str">
        <x:v>Singulare</x:v>
      </x:c>
      <x:c r="G610" s="166" t="str">
        <x:v>QI CORRETORA DE TÍTULOS E VALORES MOBILIÁRIOS S.A.</x:v>
      </x:c>
      <x:c r="H610" s="166" t="str">
        <x:v>Fomento Mercantil</x:v>
      </x:c>
      <x:c r="I610" s="166" t="str">
        <x:v>Fomento Mercantil</x:v>
      </x:c>
      <x:c r="J610" s="166" t="str">
        <x:v>CI</x:v>
      </x:c>
      <x:c r="K610" s="172" t="n">
        <x:v>23</x:v>
      </x:c>
      <x:c r="L610" s="185" t="str">
        <x:v>Não classificado</x:v>
      </x:c>
    </x:row>
    <x:row r="611">
      <x:c r="A611" s="175" t="str">
        <x:v>55.325.522/0001-55</x:v>
      </x:c>
      <x:c r="B611" s="166" t="str">
        <x:v>POLÍGONO MASTER PRO FUNDO DE INVESTIMENTO EM DIREITOS CREDITÓRIOS</x:v>
      </x:c>
      <x:c r="C611" s="188" t="n">
        <x:v>223366743.95</x:v>
      </x:c>
      <x:c r="D611" s="166" t="str">
        <x:v>POLÍGONO CAPITAL LTDA.</x:v>
      </x:c>
      <x:c r="E611" s="166" t="str">
        <x:f>IFERROR(INDEX('Classif Gestoras'!$H$6:$H$462,MATCH(D611,'Classif Gestoras'!$A$6:$A$462,0)),"Não classificada")</x:f>
        <x:v>Independente</x:v>
      </x:c>
      <x:c r="F611" s="166" t="str">
        <x:v>BTG Pactual Servicos Financeiros S/A DTVM</x:v>
      </x:c>
      <x:c r="G611" s="166" t="str">
        <x:v>BANCO BTG PACTUAL S/A</x:v>
      </x:c>
      <x:c r="H611" s="166" t="str">
        <x:v>Outros</x:v>
      </x:c>
      <x:c r="I611" s="166" t="str">
        <x:v>Multicarteira Outros</x:v>
      </x:c>
      <x:c r="J611" s="166" t="str">
        <x:v>CI</x:v>
      </x:c>
      <x:c r="K611" s="172" t="n">
        <x:v>5</x:v>
      </x:c>
      <x:c r="L611" s="185" t="str">
        <x:v>Não classificado</x:v>
      </x:c>
    </x:row>
    <x:row r="612">
      <x:c r="A612" s="175" t="str">
        <x:v>24.270.541/0001-06</x:v>
      </x:c>
      <x:c r="B612" s="166" t="str">
        <x:v>DISAM CASH - FIDC AGRONEGÓCIO DE RESPONSABILIDADE ILIMITADA</x:v>
      </x:c>
      <x:c r="C612" s="188" t="n">
        <x:v>223151208.33</x:v>
      </x:c>
      <x:c r="D612" s="166" t="str">
        <x:v>ORRAM GESTÃO DE RECURSOS LTDA.</x:v>
      </x:c>
      <x:c r="E612" s="166" t="str">
        <x:f>IFERROR(INDEX('Classif Gestoras'!$H$6:$H$462,MATCH(D612,'Classif Gestoras'!$A$6:$A$462,0)),"Não classificada")</x:f>
        <x:v>Independente</x:v>
      </x:c>
      <x:c r="F612" s="166" t="str">
        <x:v>BANCO DAYCOVAL S/A</x:v>
      </x:c>
      <x:c r="G612" s="166" t="str">
        <x:v>BANCO DAYCOVAL S.A.</x:v>
      </x:c>
      <x:c r="H612" s="166" t="str">
        <x:v>Agro, Indústria e Comércio</x:v>
      </x:c>
      <x:c r="I612" s="166" t="str">
        <x:v>Agronegócio</x:v>
      </x:c>
      <x:c r="J612" s="166" t="str">
        <x:v>CI</x:v>
      </x:c>
      <x:c r="K612" s="172" t="n">
        <x:v>78</x:v>
      </x:c>
      <x:c r="L612" s="185" t="str">
        <x:v>Não classificado</x:v>
      </x:c>
    </x:row>
    <x:row r="613">
      <x:c r="A613" s="175" t="str">
        <x:v>62.014.262/0001-62</x:v>
      </x:c>
      <x:c r="B613" s="166" t="str">
        <x:v>ITAÚ CRÉDITO ESTRUTURADO ALPES III UPFRONT FIDC RESPONSABILIDADE LIMITADA</x:v>
      </x:c>
      <x:c r="C613" s="188" t="n">
        <x:v>223021115.61</x:v>
      </x:c>
      <x:c r="D613" s="166" t="str">
        <x:v>ITAU ASSET</x:v>
      </x:c>
      <x:c r="E613" s="166" t="str">
        <x:f>IFERROR(INDEX('Classif Gestoras'!$H$6:$H$462,MATCH(D613,'Classif Gestoras'!$A$6:$A$462,0)),"Não classificada")</x:f>
        <x:v>Ligada a banco</x:v>
      </x:c>
      <x:c r="F613" s="166" t="str">
        <x:v>INTRAG DIST. DE TÍTU</x:v>
      </x:c>
      <x:c r="G613" s="166" t="str">
        <x:v>ITAU UNIBANCO S.A.</x:v>
      </x:c>
      <x:c r="H613" s="166" t="str">
        <x:v>Outros</x:v>
      </x:c>
      <x:c r="I613" s="166" t="str">
        <x:v>Multicarteira Outros</x:v>
      </x:c>
      <x:c r="J613" s="166" t="str">
        <x:v>CI</x:v>
      </x:c>
      <x:c r="K613" s="172" t="n">
        <x:v>590</x:v>
      </x:c>
      <x:c r="L613" s="185" t="str">
        <x:v>Não classificado</x:v>
      </x:c>
    </x:row>
    <x:row r="614">
      <x:c r="A614" s="175" t="str">
        <x:v>21.093.180/0001-73</x:v>
      </x:c>
      <x:c r="B614" s="166" t="str">
        <x:v>FIPER FUNDO DE INVESTIMENTO EM DIREITOS CREDITÓRIOS RESPONSABILIDADE LIMITADA</x:v>
      </x:c>
      <x:c r="C614" s="188" t="n">
        <x:v>222604891.38</x:v>
      </x:c>
      <x:c r="D614" s="166" t="str">
        <x:v>Oliveira Trust Servicer</x:v>
      </x:c>
      <x:c r="E614" s="166" t="str">
        <x:f>IFERROR(INDEX('Classif Gestoras'!$H$6:$H$462,MATCH(D614,'Classif Gestoras'!$A$6:$A$462,0)),"Não classificada")</x:f>
        <x:v>Independente</x:v>
      </x:c>
      <x:c r="F614" s="166" t="str">
        <x:v>Oliveira Trust DTVM</x:v>
      </x:c>
      <x:c r="G614" s="166" t="str">
        <x:v>OLIVEIRA TRUST DTVM S.A.</x:v>
      </x:c>
      <x:c r="H614" s="166" t="str">
        <x:v>Outros</x:v>
      </x:c>
      <x:c r="I614" s="166" t="str">
        <x:v>Multicarteira Outros</x:v>
      </x:c>
      <x:c r="J614" s="166" t="str">
        <x:v>CI</x:v>
      </x:c>
      <x:c r="K614" s="172" t="n">
        <x:v>8</x:v>
      </x:c>
      <x:c r="L614" s="185" t="str">
        <x:v>Não classificado</x:v>
      </x:c>
    </x:row>
    <x:row r="615">
      <x:c r="A615" s="175" t="str">
        <x:v>53.110.325/0001-93</x:v>
      </x:c>
      <x:c r="B615" s="166" t="str">
        <x:v>FUNDO DE INVESTIMENTO EM DIREITOS CREDITÓRIOS DIRETO RESPONSABILIDADE LIMITADA</x:v>
      </x:c>
      <x:c r="C615" s="188" t="n">
        <x:v>222543498.57</x:v>
      </x:c>
      <x:c r="D615" s="166" t="str">
        <x:v>Oliveira Trust Servicer</x:v>
      </x:c>
      <x:c r="E615" s="166" t="str">
        <x:f>IFERROR(INDEX('Classif Gestoras'!$H$6:$H$462,MATCH(D615,'Classif Gestoras'!$A$6:$A$462,0)),"Não classificada")</x:f>
        <x:v>Independente</x:v>
      </x:c>
      <x:c r="F615" s="166" t="str">
        <x:v>Oliveira Trust DTVM</x:v>
      </x:c>
      <x:c r="G615" s="166" t="str">
        <x:v>OLIVEIRA TRUST DTVM S.A.</x:v>
      </x:c>
      <x:c r="H615" s="166" t="str">
        <x:v>Financeiro</x:v>
      </x:c>
      <x:c r="I615" s="166" t="str">
        <x:v>Crédito Imobiliário</x:v>
      </x:c>
      <x:c r="J615" s="166" t="str">
        <x:v>CI</x:v>
      </x:c>
      <x:c r="K615" s="172" t="n">
        <x:v>12</x:v>
      </x:c>
      <x:c r="L615" s="185" t="str">
        <x:v>Não classificado</x:v>
      </x:c>
    </x:row>
    <x:row r="616">
      <x:c r="A616" s="175" t="str">
        <x:v>13.805.152/0001-03</x:v>
      </x:c>
      <x:c r="B616" s="166" t="str">
        <x:v>PUMA FUNDO DE INVESTIMENTO EM DIREITOS CREDITORIOS</x:v>
      </x:c>
      <x:c r="C616" s="188" t="n">
        <x:v>221222041.89</x:v>
      </x:c>
      <x:c r="D616" s="166" t="str">
        <x:v>M8 Partners</x:v>
      </x:c>
      <x:c r="E616" s="166" t="str">
        <x:f>IFERROR(INDEX('Classif Gestoras'!$H$6:$H$462,MATCH(D616,'Classif Gestoras'!$A$6:$A$462,0)),"Não classificada")</x:f>
        <x:v>Independente</x:v>
      </x:c>
      <x:c r="F616" s="166" t="str">
        <x:v>Singulare</x:v>
      </x:c>
      <x:c r="G616" s="166" t="str">
        <x:v>QI CORRETORA DE TÍTULOS E VALORES MOBILIÁRIOS S.A.</x:v>
      </x:c>
      <x:c r="H616" s="166" t="str">
        <x:v>Fomento Mercantil</x:v>
      </x:c>
      <x:c r="I616" s="166" t="str">
        <x:v>Fomento Mercantil</x:v>
      </x:c>
      <x:c r="J616" s="166" t="str">
        <x:v>CI</x:v>
      </x:c>
      <x:c r="K616" s="172" t="n">
        <x:v>13</x:v>
      </x:c>
      <x:c r="L616" s="185" t="str">
        <x:v>Não classificado</x:v>
      </x:c>
    </x:row>
    <x:row r="617">
      <x:c r="A617" s="175" t="str">
        <x:v>56.745.579/0001-76</x:v>
      </x:c>
      <x:c r="B617" s="166" t="str">
        <x:v>CBSB FUNDO DE INVESTIMENTO EM DIREITOS CREDITÓRIOS</x:v>
      </x:c>
      <x:c r="C617" s="188" t="n">
        <x:v>220480803.63</x:v>
      </x:c>
      <x:c r="D617" s="166" t="str">
        <x:v>Solis</x:v>
      </x:c>
      <x:c r="E617" s="166" t="str">
        <x:f>IFERROR(INDEX('Classif Gestoras'!$H$6:$H$462,MATCH(D617,'Classif Gestoras'!$A$6:$A$462,0)),"Não classificada")</x:f>
        <x:v>Independente</x:v>
      </x:c>
      <x:c r="F617" s="166" t="str">
        <x:v>HEMERA DTVM</x:v>
      </x:c>
      <x:c r="G617" s="166" t="str">
        <x:v>HEMERA DISTRIBUIDORA DE TITULOS E VALORES MOBILIARIOS LTDA</x:v>
      </x:c>
      <x:c r="H617" s="166" t="str">
        <x:v>Agro, Indústria e Comércio</x:v>
      </x:c>
      <x:c r="I617" s="166" t="str">
        <x:v>Crédito Corporativo</x:v>
      </x:c>
      <x:c r="J617" s="166" t="str">
        <x:v>CI</x:v>
      </x:c>
      <x:c r="K617" s="172" t="n">
        <x:v>6</x:v>
      </x:c>
      <x:c r="L617" s="185" t="str">
        <x:v>Não classificado</x:v>
      </x:c>
    </x:row>
    <x:row r="618">
      <x:c r="A618" s="175" t="str">
        <x:v>52.908.543/0001-05</x:v>
      </x:c>
      <x:c r="B618" s="166" t="str">
        <x:v>CNPJ 52908543000105</x:v>
      </x:c>
      <x:c r="C618" s="188" t="n">
        <x:v>219762433.59000003</x:v>
      </x:c>
      <x:c r="D618" s="166" t="str">
        <x:v>OPEA GESTORA DE RECURSOS</x:v>
      </x:c>
      <x:c r="E618" s="166" t="str">
        <x:f>IFERROR(INDEX('Classif Gestoras'!$H$6:$H$462,MATCH(D618,'Classif Gestoras'!$A$6:$A$462,0)),"Não classificada")</x:f>
        <x:v>Independente</x:v>
      </x:c>
      <x:c r="F618" s="166" t="str">
        <x:v>VÓRTX DTVM</x:v>
      </x:c>
      <x:c r="G618" s="166" t="str">
        <x:v>Não identificado</x:v>
      </x:c>
      <x:c r="H618" s="166" t="str">
        <x:v>Agro, Indústria e Comércio</x:v>
      </x:c>
      <x:c r="I618" s="166" t="str">
        <x:v>Multicarteira Agro, Indústria e Comércio</x:v>
      </x:c>
      <x:c r="J618" s="166" t="str">
        <x:v>CI</x:v>
      </x:c>
      <x:c r="K618" s="172"/>
      <x:c r="L618" s="185" t="str">
        <x:v>Não classificado</x:v>
      </x:c>
    </x:row>
    <x:row r="619">
      <x:c r="A619" s="175" t="str">
        <x:v>54.252.144/0001-64</x:v>
      </x:c>
      <x:c r="B619" s="166" t="str">
        <x:v>J17 FGTS FUNDO DE INVESTIMENTO EM DIREITOS CREDITÓRIOS FINANCEIRO - RESPONSABILIDADE LIMITADA</x:v>
      </x:c>
      <x:c r="C619" s="188" t="n">
        <x:v>219550168.73</x:v>
      </x:c>
      <x:c r="D619" s="166" t="str">
        <x:v>BURITI INVESTIMENTOS</x:v>
      </x:c>
      <x:c r="E619" s="166" t="str">
        <x:f>IFERROR(INDEX('Classif Gestoras'!$H$6:$H$462,MATCH(D619,'Classif Gestoras'!$A$6:$A$462,0)),"Não classificada")</x:f>
        <x:v>Independente</x:v>
      </x:c>
      <x:c r="F619" s="166" t="str">
        <x:v>Limine Trust Distribuidora de Titulos e Valores Mobiliá</x:v>
      </x:c>
      <x:c r="G619" s="166" t="str">
        <x:v>LIMINE TRUST DISTRIBUIDORA DE TITULOS E VALORES MOBILIARIOS LTDA.</x:v>
      </x:c>
      <x:c r="H619" s="166" t="str">
        <x:v>Financeiro</x:v>
      </x:c>
      <x:c r="I619" s="166" t="str">
        <x:v>Crédito Pessoal</x:v>
      </x:c>
      <x:c r="J619" s="166" t="str">
        <x:v>CI</x:v>
      </x:c>
      <x:c r="K619" s="172" t="n">
        <x:v>16</x:v>
      </x:c>
      <x:c r="L619" s="185" t="str">
        <x:v>Não classificado</x:v>
      </x:c>
    </x:row>
    <x:row r="620">
      <x:c r="A620" s="175" t="str">
        <x:v>39.616.091/0001-20</x:v>
      </x:c>
      <x:c r="B620" s="166" t="str">
        <x:v>TECNOMYL FUNDO DE INVESTIMENTO EM DIREITOS CREDITÓRIOS RESPONSABILIDADE LIMITADA</x:v>
      </x:c>
      <x:c r="C620" s="188" t="n">
        <x:v>219490505.73</x:v>
      </x:c>
      <x:c r="D620" s="166" t="str">
        <x:v>Brave Asset</x:v>
      </x:c>
      <x:c r="E620" s="166" t="str">
        <x:f>IFERROR(INDEX('Classif Gestoras'!$H$6:$H$462,MATCH(D620,'Classif Gestoras'!$A$6:$A$462,0)),"Não classificada")</x:f>
        <x:v>Independente</x:v>
      </x:c>
      <x:c r="F620" s="166" t="str">
        <x:v>BRL TRUST DTVM</x:v>
      </x:c>
      <x:c r="G620" s="166" t="str">
        <x:v>BRL TRUST DISTRIBUIDORA DE TITULOS E VALORES MOBILIARIOS S.A.</x:v>
      </x:c>
      <x:c r="H620" s="166" t="str">
        <x:v>Agro, Indústria e Comércio</x:v>
      </x:c>
      <x:c r="I620" s="166" t="str">
        <x:v>Multicarteira Agro, Indústria e Comércio</x:v>
      </x:c>
      <x:c r="J620" s="166" t="str">
        <x:v>CI</x:v>
      </x:c>
      <x:c r="K620" s="172" t="n">
        <x:v>27</x:v>
      </x:c>
      <x:c r="L620" s="185" t="str">
        <x:v>Não classificado</x:v>
      </x:c>
    </x:row>
    <x:row r="621">
      <x:c r="A621" s="175" t="str">
        <x:v>63.614.498/0001-00</x:v>
      </x:c>
      <x:c r="B621" s="166" t="str">
        <x:v>VENICE FUNDO DE INVESTIMENTO EM DIREITOS CREDITÓRIOS RESPONSABILIDADE LIMITADA</x:v>
      </x:c>
      <x:c r="C621" s="188" t="n">
        <x:v>218810925.36</x:v>
      </x:c>
      <x:c r="D621" s="166" t="str">
        <x:v>SUESTE CAPITAL GESTÃO DE RECURSOS LTDA.</x:v>
      </x:c>
      <x:c r="E621" s="166" t="str">
        <x:f>IFERROR(INDEX('Classif Gestoras'!$H$6:$H$462,MATCH(D621,'Classif Gestoras'!$A$6:$A$462,0)),"Não classificada")</x:f>
        <x:v>Independente</x:v>
      </x:c>
      <x:c r="F621" s="166" t="str">
        <x:v>Oliveira Trust DTVM</x:v>
      </x:c>
      <x:c r="G621" s="166" t="str">
        <x:v>OLIVEIRA TRUST DTVM S.A.</x:v>
      </x:c>
      <x:c r="H621" s="166" t="str">
        <x:v>Agro, Indústria e Comércio</x:v>
      </x:c>
      <x:c r="I621" s="166" t="str">
        <x:v>Recebíveis Comerciais</x:v>
      </x:c>
      <x:c r="J621" s="166" t="str">
        <x:v>CI</x:v>
      </x:c>
      <x:c r="K621" s="172" t="n">
        <x:v>1</x:v>
      </x:c>
      <x:c r="L621" s="185" t="str">
        <x:v>Não classificado</x:v>
      </x:c>
    </x:row>
    <x:row r="622">
      <x:c r="A622" s="175" t="str">
        <x:v>49.686.425/0001-95</x:v>
      </x:c>
      <x:c r="B622" s="166" t="str">
        <x:v>URANO FUNDO DE INVESTIMENTO EM DIREITOS CREDITÓRIOS NÃO PADRONIZADO</x:v>
      </x:c>
      <x:c r="C622" s="188" t="n">
        <x:v>218426489.76</x:v>
      </x:c>
      <x:c r="D622" s="166" t="str">
        <x:v>Jus Capital Gestão de Recursos LTDA</x:v>
      </x:c>
      <x:c r="E622" s="166" t="str">
        <x:f>IFERROR(INDEX('Classif Gestoras'!$H$6:$H$462,MATCH(D622,'Classif Gestoras'!$A$6:$A$462,0)),"Não classificada")</x:f>
        <x:v>Independente</x:v>
      </x:c>
      <x:c r="F622" s="166" t="str">
        <x:v>Singulare</x:v>
      </x:c>
      <x:c r="G622" s="166" t="str">
        <x:v>QI CORRETORA DE TÍTULOS E VALORES MOBILIÁRIOS S.A.</x:v>
      </x:c>
      <x:c r="H622" s="166" t="str">
        <x:v>Outros</x:v>
      </x:c>
      <x:c r="I622" s="166" t="str">
        <x:v>Poder Público</x:v>
      </x:c>
      <x:c r="J622" s="166" t="str">
        <x:v>CI</x:v>
      </x:c>
      <x:c r="K622" s="172" t="n">
        <x:v>2</x:v>
      </x:c>
      <x:c r="L622" s="185" t="str">
        <x:v>Não classificado</x:v>
      </x:c>
    </x:row>
    <x:row r="623">
      <x:c r="A623" s="175" t="str">
        <x:v>29.957.532/0001-01</x:v>
      </x:c>
      <x:c r="B623" s="166" t="str">
        <x:v>FUNDO DE INVESTIMENTO EM DIREITOS CREDITORIOS SABIA CREDIT</x:v>
      </x:c>
      <x:c r="C623" s="188" t="n">
        <x:v>218009394.31000003</x:v>
      </x:c>
      <x:c r="D623" s="166" t="str">
        <x:v>OURO PRETO INVESTIMENTOS</x:v>
      </x:c>
      <x:c r="E623" s="166" t="str">
        <x:f>IFERROR(INDEX('Classif Gestoras'!$H$6:$H$462,MATCH(D623,'Classif Gestoras'!$A$6:$A$462,0)),"Não classificada")</x:f>
        <x:v>Independente</x:v>
      </x:c>
      <x:c r="F623" s="166" t="str">
        <x:v>Singulare</x:v>
      </x:c>
      <x:c r="G623" s="166" t="str">
        <x:v>QI CORRETORA DE TÍTULOS E VALORES MOBILIÁRIOS S.A.</x:v>
      </x:c>
      <x:c r="H623" s="166" t="str">
        <x:v>Fomento Mercantil</x:v>
      </x:c>
      <x:c r="I623" s="166" t="str">
        <x:v>Fomento Mercantil</x:v>
      </x:c>
      <x:c r="J623" s="166" t="str">
        <x:v>CI</x:v>
      </x:c>
      <x:c r="K623" s="172" t="n">
        <x:v>47</x:v>
      </x:c>
      <x:c r="L623" s="185" t="str">
        <x:v>Não classificado</x:v>
      </x:c>
    </x:row>
    <x:row r="624">
      <x:c r="A624" s="175" t="str">
        <x:v>41.096.982/0001-44</x:v>
      </x:c>
      <x:c r="B624" s="166" t="str">
        <x:v>7S FUNDO DE INVESTIMENTO EM DIREITOS CREDITÓRIOS</x:v>
      </x:c>
      <x:c r="C624" s="188" t="n">
        <x:v>217768687.76</x:v>
      </x:c>
      <x:c r="D624" s="166" t="str">
        <x:v>TERCON ASSET MANAGEMENT</x:v>
      </x:c>
      <x:c r="E624" s="166" t="str">
        <x:f>IFERROR(INDEX('Classif Gestoras'!$H$6:$H$462,MATCH(D624,'Classif Gestoras'!$A$6:$A$462,0)),"Não classificada")</x:f>
        <x:v>Independente</x:v>
      </x:c>
      <x:c r="F624" s="166" t="str">
        <x:v>Singulare</x:v>
      </x:c>
      <x:c r="G624" s="166" t="str">
        <x:v>QI CORRETORA DE TÍTULOS E VALORES MOBILIÁRIOS S.A.</x:v>
      </x:c>
      <x:c r="H624" s="166" t="str">
        <x:v>Fomento Mercantil</x:v>
      </x:c>
      <x:c r="I624" s="166" t="str">
        <x:v>Fomento Mercantil</x:v>
      </x:c>
      <x:c r="J624" s="166" t="str">
        <x:v>CI</x:v>
      </x:c>
      <x:c r="K624" s="172" t="n">
        <x:v>1</x:v>
      </x:c>
      <x:c r="L624" s="185" t="str">
        <x:v>Não classificado</x:v>
      </x:c>
    </x:row>
    <x:row r="625">
      <x:c r="A625" s="175" t="str">
        <x:v>39.769.038/0001-69</x:v>
      </x:c>
      <x:c r="B625" s="166" t="str">
        <x:v>PHD FUNDO DE INVESTIMENTO EM DIREITOS CREDITÓRIOS</x:v>
      </x:c>
      <x:c r="C625" s="188" t="n">
        <x:v>217353553.24</x:v>
      </x:c>
      <x:c r="D625" s="166" t="str">
        <x:v>M8 Partners</x:v>
      </x:c>
      <x:c r="E625" s="166" t="str">
        <x:f>IFERROR(INDEX('Classif Gestoras'!$H$6:$H$462,MATCH(D625,'Classif Gestoras'!$A$6:$A$462,0)),"Não classificada")</x:f>
        <x:v>Independente</x:v>
      </x:c>
      <x:c r="F625" s="166" t="str">
        <x:v>Singulare</x:v>
      </x:c>
      <x:c r="G625" s="166" t="str">
        <x:v>QI CORRETORA DE TÍTULOS E VALORES MOBILIÁRIOS S.A.</x:v>
      </x:c>
      <x:c r="H625" s="166" t="str">
        <x:v>Fomento Mercantil</x:v>
      </x:c>
      <x:c r="I625" s="166" t="str">
        <x:v>Fomento Mercantil</x:v>
      </x:c>
      <x:c r="J625" s="166" t="str">
        <x:v>CI</x:v>
      </x:c>
      <x:c r="K625" s="172" t="n">
        <x:v>31</x:v>
      </x:c>
      <x:c r="L625" s="185" t="str">
        <x:v>Não classificado</x:v>
      </x:c>
    </x:row>
    <x:row r="626">
      <x:c r="A626" s="175" t="str">
        <x:v>23.426.441/0001-55</x:v>
      </x:c>
      <x:c r="B626" s="166" t="str">
        <x:v>MULTIPLIK FUNDO DE INVESTIMENTO EM DIREITOS CREDITÓRIOS MULTISSETORIAL LP</x:v>
      </x:c>
      <x:c r="C626" s="188" t="n">
        <x:v>217313325.73000005</x:v>
      </x:c>
      <x:c r="D626" s="166" t="str">
        <x:v>Multiplica Capital</x:v>
      </x:c>
      <x:c r="E626" s="166" t="str">
        <x:f>IFERROR(INDEX('Classif Gestoras'!$H$6:$H$462,MATCH(D626,'Classif Gestoras'!$A$6:$A$462,0)),"Não classificada")</x:f>
        <x:v>Independente</x:v>
      </x:c>
      <x:c r="F626" s="166" t="str">
        <x:v>PLANNER CV</x:v>
      </x:c>
      <x:c r="G626" s="166" t="str">
        <x:v>PLANNER CORRETORA DE VALORES S.A.</x:v>
      </x:c>
      <x:c r="H626" s="166" t="str">
        <x:v>Fomento Mercantil</x:v>
      </x:c>
      <x:c r="I626" s="166" t="str">
        <x:v>Fomento Mercantil</x:v>
      </x:c>
      <x:c r="J626" s="166" t="str">
        <x:v>CI</x:v>
      </x:c>
      <x:c r="K626" s="172" t="n">
        <x:v>19</x:v>
      </x:c>
      <x:c r="L626" s="185" t="str">
        <x:v>Não classificado</x:v>
      </x:c>
    </x:row>
    <x:row r="627">
      <x:c r="A627" s="175" t="str">
        <x:v>54.422.165/0001-80</x:v>
      </x:c>
      <x:c r="B627" s="166" t="str">
        <x:v>ORIZ ALOCAÇÃO CRÉDITO ESTRUTURADO FUNDO DE INVESTIMENTO EM DIREITOS CREDITÓRIOS DE RESP LIMITADA</x:v>
      </x:c>
      <x:c r="C627" s="188" t="n">
        <x:v>216918631.05</x:v>
      </x:c>
      <x:c r="D627" s="166" t="str">
        <x:v>ORIZ ASSET MANAGEMENT LTDA.</x:v>
      </x:c>
      <x:c r="E627" s="166" t="str">
        <x:f>IFERROR(INDEX('Classif Gestoras'!$H$6:$H$462,MATCH(D627,'Classif Gestoras'!$A$6:$A$462,0)),"Não classificada")</x:f>
        <x:v>Independente</x:v>
      </x:c>
      <x:c r="F627" s="166" t="str">
        <x:v>BANCO DAYCOVAL S/A</x:v>
      </x:c>
      <x:c r="G627" s="166" t="str">
        <x:v>BANCO DAYCOVAL S.A.</x:v>
      </x:c>
      <x:c r="H627" s="166" t="str">
        <x:v>Outros</x:v>
      </x:c>
      <x:c r="I627" s="166" t="str">
        <x:v>Multicarteira Outros</x:v>
      </x:c>
      <x:c r="J627" s="166" t="str">
        <x:v>CI</x:v>
      </x:c>
      <x:c r="K627" s="172" t="n">
        <x:v>130</x:v>
      </x:c>
      <x:c r="L627" s="185" t="str">
        <x:v>Não classificado</x:v>
      </x:c>
    </x:row>
    <x:row r="628">
      <x:c r="A628" s="175" t="str">
        <x:v>60.405.221/0001-71</x:v>
      </x:c>
      <x:c r="B628" s="166" t="str">
        <x:v>FUNDO DE INVESTIMENTO EM DIREITOS CREDITÓRIOS RESPONSABILIDADE LIMITADA FLAGSHIP BTO RECEIVABLES</x:v>
      </x:c>
      <x:c r="C628" s="188" t="n">
        <x:v>216756398.11</x:v>
      </x:c>
      <x:c r="D628" s="166" t="str">
        <x:v>VERT Gestora de Recursos Financeiros Ltda.</x:v>
      </x:c>
      <x:c r="E628" s="166" t="str">
        <x:f>IFERROR(INDEX('Classif Gestoras'!$H$6:$H$462,MATCH(D628,'Classif Gestoras'!$A$6:$A$462,0)),"Não classificada")</x:f>
        <x:v>Independente</x:v>
      </x:c>
      <x:c r="F628" s="166" t="str">
        <x:v>VERT Distribuidora de Títulos e Valores Mobiliários Ltd</x:v>
      </x:c>
      <x:c r="G628" s="166" t="str">
        <x:v>VERT DISTRIBUIDORA DE TÍTULOS E VALORES MOBILIÁRIOS LTDA.</x:v>
      </x:c>
      <x:c r="H628" s="166" t="str">
        <x:v>Agro, Indústria e Comércio</x:v>
      </x:c>
      <x:c r="I628" s="166" t="str">
        <x:v>Recebíveis Comerciais</x:v>
      </x:c>
      <x:c r="J628" s="166" t="str">
        <x:v>CI</x:v>
      </x:c>
      <x:c r="K628" s="172" t="n">
        <x:v>3</x:v>
      </x:c>
      <x:c r="L628" s="185" t="str">
        <x:v>Não classificado</x:v>
      </x:c>
    </x:row>
    <x:row r="629">
      <x:c r="A629" s="175" t="str">
        <x:v>51.390.507/0001-30</x:v>
      </x:c>
      <x:c r="B629" s="166" t="str">
        <x:v>FUNDO DE INVESTIMENTO EM DIREITOS CREDITÓRIOS ZONDA HY</x:v>
      </x:c>
      <x:c r="C629" s="188" t="n">
        <x:v>216521266.37</x:v>
      </x:c>
      <x:c r="D629" s="166" t="str">
        <x:v>AUGME CAPITAL GESTÃO DE RECURSOS LTDA.</x:v>
      </x:c>
      <x:c r="E629" s="166" t="str">
        <x:f>IFERROR(INDEX('Classif Gestoras'!$H$6:$H$462,MATCH(D629,'Classif Gestoras'!$A$6:$A$462,0)),"Não classificada")</x:f>
        <x:v>Independente</x:v>
      </x:c>
      <x:c r="F629" s="166" t="str">
        <x:v>BANCO DAYCOVAL S/A</x:v>
      </x:c>
      <x:c r="G629" s="166" t="str">
        <x:v>BANCO DAYCOVAL S.A.</x:v>
      </x:c>
      <x:c r="H629" s="166" t="str">
        <x:v>Outros</x:v>
      </x:c>
      <x:c r="I629" s="166" t="str">
        <x:v>Multicarteira Outros</x:v>
      </x:c>
      <x:c r="J629" s="166" t="str">
        <x:v>CI</x:v>
      </x:c>
      <x:c r="K629" s="172" t="n">
        <x:v>8</x:v>
      </x:c>
      <x:c r="L629" s="185" t="str">
        <x:v>Não classificado</x:v>
      </x:c>
    </x:row>
    <x:row r="630">
      <x:c r="A630" s="175" t="str">
        <x:v>17.198.574/0001-19</x:v>
      </x:c>
      <x:c r="B630" s="166" t="str">
        <x:v>PLATA I FUNDO DE INVESTIMENTO EM DIREITOS CREDITÓRIOS MULTISSEGMENTOS</x:v>
      </x:c>
      <x:c r="C630" s="188" t="n">
        <x:v>216421250.81</x:v>
      </x:c>
      <x:c r="D630" s="166" t="str">
        <x:v>Solis</x:v>
      </x:c>
      <x:c r="E630" s="166" t="str">
        <x:f>IFERROR(INDEX('Classif Gestoras'!$H$6:$H$462,MATCH(D630,'Classif Gestoras'!$A$6:$A$462,0)),"Não classificada")</x:f>
        <x:v>Independente</x:v>
      </x:c>
      <x:c r="F630" s="166" t="str">
        <x:v>HEMERA DTVM</x:v>
      </x:c>
      <x:c r="G630" s="166" t="str">
        <x:v>HEMERA DISTRIBUIDORA DE TITULOS E VALORES MOBILIARIOS LTDA</x:v>
      </x:c>
      <x:c r="H630" s="166" t="str">
        <x:v>Fomento Mercantil</x:v>
      </x:c>
      <x:c r="I630" s="166" t="str">
        <x:v>Fomento Mercantil</x:v>
      </x:c>
      <x:c r="J630" s="166" t="str">
        <x:v>CI</x:v>
      </x:c>
      <x:c r="K630" s="172" t="n">
        <x:v>52</x:v>
      </x:c>
      <x:c r="L630" s="185" t="str">
        <x:v>Não classificado</x:v>
      </x:c>
    </x:row>
    <x:row r="631">
      <x:c r="A631" s="175" t="str">
        <x:v>49.220.648/0001-62</x:v>
      </x:c>
      <x:c r="B631" s="166" t="str">
        <x:v>FUNDO DE INVESTIMENTO EM DIREITOS CREDITÓRIOS ALION III CONSIGNADOS - RESPONSABILIDADE LIMITADA</x:v>
      </x:c>
      <x:c r="C631" s="188" t="n">
        <x:v>215685633.5</x:v>
      </x:c>
      <x:c r="D631" s="166" t="str">
        <x:v>VALORA RENDA FIXA ESTRUTURADOS LTDA.</x:v>
      </x:c>
      <x:c r="E631" s="166" t="str">
        <x:f>IFERROR(INDEX('Classif Gestoras'!$H$6:$H$462,MATCH(D631,'Classif Gestoras'!$A$6:$A$462,0)),"Não classificada")</x:f>
        <x:v>Independente</x:v>
      </x:c>
      <x:c r="F631" s="166" t="str">
        <x:v>Singulare</x:v>
      </x:c>
      <x:c r="G631" s="166" t="str">
        <x:v>QI CORRETORA DE TÍTULOS E VALORES MOBILIÁRIOS S.A.</x:v>
      </x:c>
      <x:c r="H631" s="166" t="str">
        <x:v>Financeiro</x:v>
      </x:c>
      <x:c r="I631" s="166" t="str">
        <x:v>Crédito Consignado</x:v>
      </x:c>
      <x:c r="J631" s="166" t="str">
        <x:v>CI</x:v>
      </x:c>
      <x:c r="K631" s="172" t="n">
        <x:v>60</x:v>
      </x:c>
      <x:c r="L631" s="185" t="str">
        <x:v>Não classificado</x:v>
      </x:c>
    </x:row>
    <x:row r="632">
      <x:c r="A632" s="175" t="str">
        <x:v>55.497.707/0001-47</x:v>
      </x:c>
      <x:c r="B632" s="166" t="str">
        <x:v>ROOT CAPITAL HIGH YIELD T360 FUNDO DE INVESTIMENTO EM DIREITOS CREDITORIOS</x:v>
      </x:c>
      <x:c r="C632" s="188" t="n">
        <x:v>215328574.08230007</x:v>
      </x:c>
      <x:c r="D632" s="166" t="str">
        <x:v>ROOT CAPITAL</x:v>
      </x:c>
      <x:c r="E632" s="166" t="str">
        <x:f>IFERROR(INDEX('Classif Gestoras'!$H$6:$H$462,MATCH(D632,'Classif Gestoras'!$A$6:$A$462,0)),"Não classificada")</x:f>
        <x:v>Independente</x:v>
      </x:c>
      <x:c r="F632" s="166" t="str">
        <x:v>BTG Pactual Servicos Financeiros S/A DTVM</x:v>
      </x:c>
      <x:c r="G632" s="166" t="str">
        <x:v>BANCO BTG PACTUAL S/A</x:v>
      </x:c>
      <x:c r="H632" s="166" t="str">
        <x:v>Outros</x:v>
      </x:c>
      <x:c r="I632" s="166" t="str">
        <x:v>Multicarteira Outros</x:v>
      </x:c>
      <x:c r="J632" s="166" t="str">
        <x:v>CI</x:v>
      </x:c>
      <x:c r="K632" s="172" t="n">
        <x:v>204</x:v>
      </x:c>
      <x:c r="L632" s="185" t="str">
        <x:v>Não classificado</x:v>
      </x:c>
    </x:row>
    <x:row r="633">
      <x:c r="A633" s="175" t="str">
        <x:v>41.649.912/0001-76</x:v>
      </x:c>
      <x:c r="B633" s="166" t="str">
        <x:v>OLAM FUNDO DE INVESTIMENTO EM DIREITOS CREDITORIOS</x:v>
      </x:c>
      <x:c r="C633" s="188" t="n">
        <x:v>215044525.15</x:v>
      </x:c>
      <x:c r="D633" s="166" t="str">
        <x:v>TERCON ASSET MANAGEMENT</x:v>
      </x:c>
      <x:c r="E633" s="166" t="str">
        <x:f>IFERROR(INDEX('Classif Gestoras'!$H$6:$H$462,MATCH(D633,'Classif Gestoras'!$A$6:$A$462,0)),"Não classificada")</x:f>
        <x:v>Independente</x:v>
      </x:c>
      <x:c r="F633" s="166" t="str">
        <x:v>Singulare</x:v>
      </x:c>
      <x:c r="G633" s="166" t="str">
        <x:v>QI CORRETORA DE TÍTULOS E VALORES MOBILIÁRIOS S.A.</x:v>
      </x:c>
      <x:c r="H633" s="166" t="str">
        <x:v>Fomento Mercantil</x:v>
      </x:c>
      <x:c r="I633" s="166" t="str">
        <x:v>Fomento Mercantil</x:v>
      </x:c>
      <x:c r="J633" s="166" t="str">
        <x:v>CI</x:v>
      </x:c>
      <x:c r="K633" s="172" t="n">
        <x:v>61</x:v>
      </x:c>
      <x:c r="L633" s="185" t="str">
        <x:v>Não classificado</x:v>
      </x:c>
    </x:row>
    <x:row r="634">
      <x:c r="A634" s="175" t="str">
        <x:v>54.335.957/0001-18</x:v>
      </x:c>
      <x:c r="B634" s="166" t="str">
        <x:v>CREDIT RESTRUCTURING FUNDO DE INVESTIMENTO EM DIREITOS CREDITÓRIOS</x:v>
      </x:c>
      <x:c r="C634" s="188" t="n">
        <x:v>214674875.54</x:v>
      </x:c>
      <x:c r="D634" s="166" t="str">
        <x:v>XPI CCTVM S/A</x:v>
      </x:c>
      <x:c r="E634" s="166" t="str">
        <x:f>IFERROR(INDEX('Classif Gestoras'!$H$6:$H$462,MATCH(D634,'Classif Gestoras'!$A$6:$A$462,0)),"Não classificada")</x:f>
        <x:v>Ligada a banco</x:v>
      </x:c>
      <x:c r="F634" s="166" t="str">
        <x:v>XPI CCTVM S/A</x:v>
      </x:c>
      <x:c r="G634" s="166" t="str">
        <x:v>OLIVEIRA TRUST DTVM S.A.</x:v>
      </x:c>
      <x:c r="H634" s="166" t="str">
        <x:v>Outros</x:v>
      </x:c>
      <x:c r="I634" s="166" t="str">
        <x:v>Multicarteira Outros</x:v>
      </x:c>
      <x:c r="J634" s="166" t="str">
        <x:v>CI</x:v>
      </x:c>
      <x:c r="K634" s="172" t="n">
        <x:v>2</x:v>
      </x:c>
      <x:c r="L634" s="185" t="str">
        <x:v>Não classificado</x:v>
      </x:c>
    </x:row>
    <x:row r="635">
      <x:c r="A635" s="175" t="str">
        <x:v>37.351.013/0001-15</x:v>
      </x:c>
      <x:c r="B635" s="166" t="str">
        <x:v>CS FUNDO DE INVESTIMENTO EM DIREITOS CREDITORIOS</x:v>
      </x:c>
      <x:c r="C635" s="188" t="n">
        <x:v>214354769.12000003</x:v>
      </x:c>
      <x:c r="D635" s="166" t="str">
        <x:v>Libertas Asset</x:v>
      </x:c>
      <x:c r="E635" s="166" t="str">
        <x:f>IFERROR(INDEX('Classif Gestoras'!$H$6:$H$462,MATCH(D635,'Classif Gestoras'!$A$6:$A$462,0)),"Não classificada")</x:f>
        <x:v>Independente</x:v>
      </x:c>
      <x:c r="F635" s="166" t="str">
        <x:v>ACTUAL DTVM</x:v>
      </x:c>
      <x:c r="G635" s="166" t="str">
        <x:v>TRUSTEE DISTRIBUIDORA DE TITULOS E VALORES MOBILIARIOS LTDA.</x:v>
      </x:c>
      <x:c r="H635" s="166" t="str">
        <x:v>Fomento Mercantil</x:v>
      </x:c>
      <x:c r="I635" s="166" t="str">
        <x:v>Fomento Mercantil</x:v>
      </x:c>
      <x:c r="J635" s="166" t="str">
        <x:v>CI</x:v>
      </x:c>
      <x:c r="K635" s="172" t="n">
        <x:v>25</x:v>
      </x:c>
      <x:c r="L635" s="185" t="str">
        <x:v>Não classificado</x:v>
      </x:c>
    </x:row>
    <x:row r="636">
      <x:c r="A636" s="175" t="str">
        <x:v>19.675.590/0001-80</x:v>
      </x:c>
      <x:c r="B636" s="166" t="str">
        <x:v>V7 FUNDO DE INVESTIMENTO EM DIREITOS CREDITÓRIOS - AÇÕES JUDICIAIS</x:v>
      </x:c>
      <x:c r="C636" s="188" t="n">
        <x:v>214250875.8072</x:v>
      </x:c>
      <x:c r="D636" s="166" t="str">
        <x:v>Vision Brazil</x:v>
      </x:c>
      <x:c r="E636" s="166" t="str">
        <x:f>IFERROR(INDEX('Classif Gestoras'!$H$6:$H$462,MATCH(D636,'Classif Gestoras'!$A$6:$A$462,0)),"Não classificada")</x:f>
        <x:v>Independente</x:v>
      </x:c>
      <x:c r="F636" s="166" t="str">
        <x:v>BTG Pactual Servicos Financeiros S/A DTVM</x:v>
      </x:c>
      <x:c r="G636" s="166" t="str">
        <x:v>BANCO BTG PACTUAL S/A</x:v>
      </x:c>
      <x:c r="H636" s="166" t="str">
        <x:v>Outros</x:v>
      </x:c>
      <x:c r="I636" s="166" t="str">
        <x:v>Poder Público</x:v>
      </x:c>
      <x:c r="J636" s="166" t="str">
        <x:v>CI</x:v>
      </x:c>
      <x:c r="K636" s="172" t="n">
        <x:v>2</x:v>
      </x:c>
      <x:c r="L636" s="185" t="str">
        <x:v>Não classificado</x:v>
      </x:c>
    </x:row>
    <x:row r="637">
      <x:c r="A637" s="175" t="str">
        <x:v>55.167.862/0001-03</x:v>
      </x:c>
      <x:c r="B637" s="166" t="str">
        <x:v>FUNDO DE INVESTIMENTO EM DIREITOS CREDITÓRIOS - PAGBANK MULTIADQUIRÊNCIA - RESPONSABILIDADE LIMITADA</x:v>
      </x:c>
      <x:c r="C637" s="188" t="n">
        <x:v>213955119.34</x:v>
      </x:c>
      <x:c r="D637" s="166" t="str">
        <x:v>Oliveira Trust Servicer</x:v>
      </x:c>
      <x:c r="E637" s="166" t="str">
        <x:f>IFERROR(INDEX('Classif Gestoras'!$H$6:$H$462,MATCH(D637,'Classif Gestoras'!$A$6:$A$462,0)),"Não classificada")</x:f>
        <x:v>Independente</x:v>
      </x:c>
      <x:c r="F637" s="166" t="str">
        <x:v>Oliveira Trust DTVM</x:v>
      </x:c>
      <x:c r="G637" s="166" t="str">
        <x:v>OLIVEIRA TRUST DTVM S.A.</x:v>
      </x:c>
      <x:c r="H637" s="166" t="str">
        <x:v>Agro, Indústria e Comércio</x:v>
      </x:c>
      <x:c r="I637" s="166" t="str">
        <x:v>Recebíveis Comerciais</x:v>
      </x:c>
      <x:c r="J637" s="166" t="str">
        <x:v>CI</x:v>
      </x:c>
      <x:c r="K637" s="172" t="n">
        <x:v>1</x:v>
      </x:c>
      <x:c r="L637" s="185" t="str">
        <x:v>Não classificado</x:v>
      </x:c>
    </x:row>
    <x:row r="638">
      <x:c r="A638" s="175" t="str">
        <x:v>60.127.189/0001-00</x:v>
      </x:c>
      <x:c r="B638" s="166" t="str">
        <x:v>PARANÁ FIDC DO SEGMENTO AGRONEGÓCIO - RESPONSABILIDADE LIMITADA</x:v>
      </x:c>
      <x:c r="C638" s="188" t="n">
        <x:v>212852401.6</x:v>
      </x:c>
      <x:c r="D638" s="166" t="str">
        <x:v>SUNO ASSET MANAGEMENT</x:v>
      </x:c>
      <x:c r="E638" s="166" t="str">
        <x:f>IFERROR(INDEX('Classif Gestoras'!$H$6:$H$462,MATCH(D638,'Classif Gestoras'!$A$6:$A$462,0)),"Não classificada")</x:f>
        <x:v>Independente</x:v>
      </x:c>
      <x:c r="F638" s="166" t="str">
        <x:v>Genial Investimentos Corretora de Valores Mobiliários S.A.</x:v>
      </x:c>
      <x:c r="G638" s="166" t="str">
        <x:v>BANCO GENIAL S.A.</x:v>
      </x:c>
      <x:c r="H638" s="166" t="str">
        <x:v>Agro, Indústria e Comércio</x:v>
      </x:c>
      <x:c r="I638" s="166" t="str">
        <x:v>Agronegócio</x:v>
      </x:c>
      <x:c r="J638" s="166" t="str">
        <x:v>CI</x:v>
      </x:c>
      <x:c r="K638" s="172" t="n">
        <x:v>1</x:v>
      </x:c>
      <x:c r="L638" s="185" t="str">
        <x:v>Não classificado</x:v>
      </x:c>
    </x:row>
    <x:row r="639">
      <x:c r="A639" s="175" t="str">
        <x:v>54.876.169/0001-39</x:v>
      </x:c>
      <x:c r="B639" s="166" t="str">
        <x:v>BARBARESCO 4870 FUNDO DE INVESTIMENTO EM DIREITOS CREDITÓRIOS</x:v>
      </x:c>
      <x:c r="C639" s="188" t="n">
        <x:v>212252846.3</x:v>
      </x:c>
      <x:c r="D639" s="166" t="str">
        <x:v>PACTUAL CAPITAL PART</x:v>
      </x:c>
      <x:c r="E639" s="166" t="str">
        <x:f>IFERROR(INDEX('Classif Gestoras'!$H$6:$H$462,MATCH(D639,'Classif Gestoras'!$A$6:$A$462,0)),"Não classificada")</x:f>
        <x:v>Independente</x:v>
      </x:c>
      <x:c r="F639" s="166" t="str">
        <x:v>BTG Pactual Servicos Financeiros S/A DTVM</x:v>
      </x:c>
      <x:c r="G639" s="166" t="str">
        <x:v>BANCO BTG PACTUAL S/A</x:v>
      </x:c>
      <x:c r="H639" s="166" t="str">
        <x:v>Outros</x:v>
      </x:c>
      <x:c r="I639" s="166" t="str">
        <x:v>Poder Público</x:v>
      </x:c>
      <x:c r="J639" s="166" t="str">
        <x:v>CI</x:v>
      </x:c>
      <x:c r="K639" s="172" t="n">
        <x:v>4</x:v>
      </x:c>
      <x:c r="L639" s="185" t="str">
        <x:v>Não classificado</x:v>
      </x:c>
    </x:row>
    <x:row r="640">
      <x:c r="A640" s="175" t="str">
        <x:v>15.653.649/0001-89</x:v>
      </x:c>
      <x:c r="B640" s="166" t="str">
        <x:v>AURUM - FUNDO DE INVESTIMENTO EM DIREITOS CREDITÓRIOS MULTISSETORIAL LP</x:v>
      </x:c>
      <x:c r="C640" s="188" t="n">
        <x:v>211617056.12</x:v>
      </x:c>
      <x:c r="D640" s="166" t="str">
        <x:v>M8 Partners</x:v>
      </x:c>
      <x:c r="E640" s="166" t="str">
        <x:f>IFERROR(INDEX('Classif Gestoras'!$H$6:$H$462,MATCH(D640,'Classif Gestoras'!$A$6:$A$462,0)),"Não classificada")</x:f>
        <x:v>Independente</x:v>
      </x:c>
      <x:c r="F640" s="166" t="str">
        <x:v>Singulare</x:v>
      </x:c>
      <x:c r="G640" s="166" t="str">
        <x:v>QI CORRETORA DE TÍTULOS E VALORES MOBILIÁRIOS S.A.</x:v>
      </x:c>
      <x:c r="H640" s="166" t="str">
        <x:v>Fomento Mercantil</x:v>
      </x:c>
      <x:c r="I640" s="166" t="str">
        <x:v>Fomento Mercantil</x:v>
      </x:c>
      <x:c r="J640" s="166" t="str">
        <x:v>CI</x:v>
      </x:c>
      <x:c r="K640" s="172" t="n">
        <x:v>90</x:v>
      </x:c>
      <x:c r="L640" s="185" t="str">
        <x:v>Não classificado</x:v>
      </x:c>
    </x:row>
    <x:row r="641">
      <x:c r="A641" s="175" t="str">
        <x:v>43.309.133/0001-57</x:v>
      </x:c>
      <x:c r="B641" s="166" t="str">
        <x:v>NACIONAL FEITO PRA VOCÊ FUNDO DE INVESTIMENTO EM DIREITOS CREDITÓRIOS DE RESPONSABILIDADE LIMITADA</x:v>
      </x:c>
      <x:c r="C641" s="188" t="n">
        <x:v>211499341.73</x:v>
      </x:c>
      <x:c r="D641" s="166" t="str">
        <x:v>Oliveira Trust Servicer</x:v>
      </x:c>
      <x:c r="E641" s="166" t="str">
        <x:f>IFERROR(INDEX('Classif Gestoras'!$H$6:$H$462,MATCH(D641,'Classif Gestoras'!$A$6:$A$462,0)),"Não classificada")</x:f>
        <x:v>Independente</x:v>
      </x:c>
      <x:c r="F641" s="166" t="str">
        <x:v>Oliveira Trust DTVM</x:v>
      </x:c>
      <x:c r="G641" s="166" t="str">
        <x:v>OLIVEIRA TRUST DTVM S.A.</x:v>
      </x:c>
      <x:c r="H641" s="166" t="str">
        <x:v>Outros</x:v>
      </x:c>
      <x:c r="I641" s="166" t="str">
        <x:v>Poder Público</x:v>
      </x:c>
      <x:c r="J641" s="166" t="str">
        <x:v>CI</x:v>
      </x:c>
      <x:c r="K641" s="172" t="n">
        <x:v>18</x:v>
      </x:c>
      <x:c r="L641" s="185" t="str">
        <x:v>Não classificado</x:v>
      </x:c>
    </x:row>
    <x:row r="642">
      <x:c r="A642" s="175" t="str">
        <x:v>41.514.874/0001-44</x:v>
      </x:c>
      <x:c r="B642" s="166" t="str">
        <x:v>FORMES FUNDO DE INVESTIMENTO EM DIREITOS CREDITÓRIOS</x:v>
      </x:c>
      <x:c r="C642" s="188" t="n">
        <x:v>211411515.16</x:v>
      </x:c>
      <x:c r="D642" s="166" t="str">
        <x:v>WNT Gestora de Recursos Ltda.</x:v>
      </x:c>
      <x:c r="E642" s="166" t="str">
        <x:f>IFERROR(INDEX('Classif Gestoras'!$H$6:$H$462,MATCH(D642,'Classif Gestoras'!$A$6:$A$462,0)),"Não classificada")</x:f>
        <x:v>Independente</x:v>
      </x:c>
      <x:c r="F642" s="166" t="str">
        <x:v>TRUSTEE DTVM</x:v>
      </x:c>
      <x:c r="G642" s="166" t="str">
        <x:v>TRUSTEE DISTRIBUIDORA DE TITULOS E VALORES MOBILIARIOS LTDA.</x:v>
      </x:c>
      <x:c r="H642" s="166" t="str">
        <x:v>Outros</x:v>
      </x:c>
      <x:c r="I642" s="166" t="str">
        <x:v>Multicarteira Outros</x:v>
      </x:c>
      <x:c r="J642" s="166" t="str">
        <x:v>CI</x:v>
      </x:c>
      <x:c r="K642" s="172" t="n">
        <x:v>2</x:v>
      </x:c>
      <x:c r="L642" s="185" t="str">
        <x:v>Não classificado</x:v>
      </x:c>
    </x:row>
    <x:row r="643">
      <x:c r="A643" s="175" t="str">
        <x:v>47.669.200/0001-03</x:v>
      </x:c>
      <x:c r="B643" s="166" t="str">
        <x:v>FERT-AGRO FUNDO DE INVESTIMENTO EM DIREITOS CREDITÓRIOS DE RESPONSABILIDADE LIMITADA</x:v>
      </x:c>
      <x:c r="C643" s="188" t="n">
        <x:v>211377503.72</x:v>
      </x:c>
      <x:c r="D643" s="166" t="str">
        <x:v>ASSET MANAGEMENT</x:v>
      </x:c>
      <x:c r="E643" s="166" t="str">
        <x:f>IFERROR(INDEX('Classif Gestoras'!$H$6:$H$462,MATCH(D643,'Classif Gestoras'!$A$6:$A$462,0)),"Não classificada")</x:f>
        <x:v>Independente</x:v>
      </x:c>
      <x:c r="F643" s="166" t="str">
        <x:v>AZUMI DISTRIBUIDORA DE TÍTULOS E VALORES MOBILIÁRIOS LT</x:v>
      </x:c>
      <x:c r="G643" s="166" t="str">
        <x:v>AZUMI DISTRIBUIDORA DE TÍTULOS E VALORES MOBILIÁRIOS LTDA.</x:v>
      </x:c>
      <x:c r="H643" s="166" t="str">
        <x:v>Outros</x:v>
      </x:c>
      <x:c r="I643" s="166" t="str">
        <x:v>Multicarteira Outros</x:v>
      </x:c>
      <x:c r="J643" s="166" t="str">
        <x:v>CI</x:v>
      </x:c>
      <x:c r="K643" s="172" t="n">
        <x:v>186</x:v>
      </x:c>
      <x:c r="L643" s="185" t="str">
        <x:v>Não classificado</x:v>
      </x:c>
    </x:row>
    <x:row r="644">
      <x:c r="A644" s="175" t="str">
        <x:v>27.983.569/0001-70</x:v>
      </x:c>
      <x:c r="B644" s="166" t="str">
        <x:v>ENERGY 21 - FUNDO DE INVESTIMENTO EM DIREITOS CREDITÓRIOS</x:v>
      </x:c>
      <x:c r="C644" s="188" t="n">
        <x:v>211185064.39</x:v>
      </x:c>
      <x:c r="D644" s="166" t="str">
        <x:v>Multiplica Capital</x:v>
      </x:c>
      <x:c r="E644" s="166" t="str">
        <x:f>IFERROR(INDEX('Classif Gestoras'!$H$6:$H$462,MATCH(D644,'Classif Gestoras'!$A$6:$A$462,0)),"Não classificada")</x:f>
        <x:v>Independente</x:v>
      </x:c>
      <x:c r="F644" s="166" t="str">
        <x:v>TRUSTEE DTVM</x:v>
      </x:c>
      <x:c r="G644" s="166" t="str">
        <x:v>PLANNER CORRETORA DE VALORES S.A.</x:v>
      </x:c>
      <x:c r="H644" s="166" t="str">
        <x:v>Outros</x:v>
      </x:c>
      <x:c r="I644" s="166" t="str">
        <x:v>Multicarteira Outros</x:v>
      </x:c>
      <x:c r="J644" s="166" t="str">
        <x:v>CI</x:v>
      </x:c>
      <x:c r="K644" s="172" t="n">
        <x:v>1</x:v>
      </x:c>
      <x:c r="L644" s="185" t="str">
        <x:v>Não classificado</x:v>
      </x:c>
    </x:row>
    <x:row r="645">
      <x:c r="A645" s="175" t="str">
        <x:v>58.494.418/0001-82</x:v>
      </x:c>
      <x:c r="B645" s="166" t="str">
        <x:v>ARKAM I - FUNDO DE INVESTIMENTO EM DIREITOS CREDITÓRIOS</x:v>
      </x:c>
      <x:c r="C645" s="188" t="n">
        <x:v>210164214.18</x:v>
      </x:c>
      <x:c r="D645" s="166" t="str">
        <x:v>Acura Gestora de Recursos LTDA.</x:v>
      </x:c>
      <x:c r="E645" s="166" t="str">
        <x:f>IFERROR(INDEX('Classif Gestoras'!$H$6:$H$462,MATCH(D645,'Classif Gestoras'!$A$6:$A$462,0)),"Não classificada")</x:f>
        <x:v>Independente</x:v>
      </x:c>
      <x:c r="F645" s="166" t="str">
        <x:v>SEFER DTVM</x:v>
      </x:c>
      <x:c r="G645" s="166" t="str">
        <x:v>SEFER INVESTIMENTOS DISTRIBUIDORA DE TÍTULOS E VALORES MOBILIÁRIOS LTDA.</x:v>
      </x:c>
      <x:c r="H645" s="166" t="str">
        <x:v>Outros</x:v>
      </x:c>
      <x:c r="I645" s="166" t="str">
        <x:v>Poder Público</x:v>
      </x:c>
      <x:c r="J645" s="166" t="str">
        <x:v>CI</x:v>
      </x:c>
      <x:c r="K645" s="172" t="n">
        <x:v>2</x:v>
      </x:c>
      <x:c r="L645" s="185" t="str">
        <x:v>Não classificado</x:v>
      </x:c>
    </x:row>
    <x:row r="646">
      <x:c r="A646" s="175" t="str">
        <x:v>23.711.475/0001-91</x:v>
      </x:c>
      <x:c r="B646" s="166" t="str">
        <x:v>MULTINVEST 1940 FUNDO DE INVESTIMENTO EM DIREITOS CREDITÓRIOS DE RESPONSABILIDADE LIMITADA</x:v>
      </x:c>
      <x:c r="C646" s="188" t="n">
        <x:v>209895808.64</x:v>
      </x:c>
      <x:c r="D646" s="166" t="str">
        <x:v>Multinvest Capital</x:v>
      </x:c>
      <x:c r="E646" s="166" t="str">
        <x:f>IFERROR(INDEX('Classif Gestoras'!$H$6:$H$462,MATCH(D646,'Classif Gestoras'!$A$6:$A$462,0)),"Não classificada")</x:f>
        <x:v>Independente</x:v>
      </x:c>
      <x:c r="F646" s="166" t="str">
        <x:v>BANCO DAYCOVAL S/A</x:v>
      </x:c>
      <x:c r="G646" s="166" t="str">
        <x:v>BANCO DAYCOVAL S.A.</x:v>
      </x:c>
      <x:c r="H646" s="166" t="str">
        <x:v>Outros</x:v>
      </x:c>
      <x:c r="I646" s="166" t="str">
        <x:v>Multicarteira Outros</x:v>
      </x:c>
      <x:c r="J646" s="166" t="str">
        <x:v>CI</x:v>
      </x:c>
      <x:c r="K646" s="172" t="n">
        <x:v>2</x:v>
      </x:c>
      <x:c r="L646" s="185" t="str">
        <x:v>Não classificado</x:v>
      </x:c>
    </x:row>
    <x:row r="647">
      <x:c r="A647" s="175" t="str">
        <x:v>60.261.869/0001-11</x:v>
      </x:c>
      <x:c r="B647" s="166" t="str">
        <x:v>JIVEMAUÁ BOSSANOVA CRÉDITO SECURITIZADO (VAREJO) FUNDO DE INVESTIMENTO EM DIREITOS CREDITÓRIOS RL</x:v>
      </x:c>
      <x:c r="C647" s="188" t="n">
        <x:v>209836815.62</x:v>
      </x:c>
      <x:c r="D647" s="166" t="str">
        <x:v>JIVE HIGH YIELD GESTÃO DE RECURSOS LTDA</x:v>
      </x:c>
      <x:c r="E647" s="166" t="str">
        <x:f>IFERROR(INDEX('Classif Gestoras'!$H$6:$H$462,MATCH(D647,'Classif Gestoras'!$A$6:$A$462,0)),"Não classificada")</x:f>
        <x:v>Independente</x:v>
      </x:c>
      <x:c r="F647" s="166" t="str">
        <x:v>XPI CCTVM S/A</x:v>
      </x:c>
      <x:c r="G647" s="166" t="str">
        <x:v>OLIVEIRA TRUST DTVM S.A.</x:v>
      </x:c>
      <x:c r="H647" s="166" t="str">
        <x:v>Outros</x:v>
      </x:c>
      <x:c r="I647" s="166" t="str">
        <x:v>Multicarteira Outros</x:v>
      </x:c>
      <x:c r="J647" s="166" t="str">
        <x:v>CI</x:v>
      </x:c>
      <x:c r="K647" s="172" t="n">
        <x:v>3750</x:v>
      </x:c>
      <x:c r="L647" s="185" t="str">
        <x:v>Não classificado</x:v>
      </x:c>
    </x:row>
    <x:row r="648">
      <x:c r="A648" s="175" t="str">
        <x:v>62.363.602/0001-60</x:v>
      </x:c>
      <x:c r="B648" s="166" t="str">
        <x:v>GUARDIAN FUTURO V FUNDO DE INVESTIMENTO EM DIREITOS CREDITÓRIOS RESPONSABILIDADE LIMITADA</x:v>
      </x:c>
      <x:c r="C648" s="188" t="n">
        <x:v>209590814.18</x:v>
      </x:c>
      <x:c r="D648" s="166" t="str">
        <x:v>Guardian Crédito</x:v>
      </x:c>
      <x:c r="E648" s="166" t="str">
        <x:f>IFERROR(INDEX('Classif Gestoras'!$H$6:$H$462,MATCH(D648,'Classif Gestoras'!$A$6:$A$462,0)),"Não classificada")</x:f>
        <x:v>Independente</x:v>
      </x:c>
      <x:c r="F648" s="166" t="str">
        <x:v>Oliveira Trust DTVM</x:v>
      </x:c>
      <x:c r="G648" s="166" t="str">
        <x:v>OLIVEIRA TRUST DTVM S.A.</x:v>
      </x:c>
      <x:c r="H648" s="166" t="str">
        <x:v>Financeiro</x:v>
      </x:c>
      <x:c r="I648" s="166" t="str">
        <x:v>Multicarteira Financeiro</x:v>
      </x:c>
      <x:c r="J648" s="166" t="str">
        <x:v>CI</x:v>
      </x:c>
      <x:c r="K648" s="172" t="n">
        <x:v>4</x:v>
      </x:c>
      <x:c r="L648" s="185" t="str">
        <x:v>Não classificado</x:v>
      </x:c>
    </x:row>
    <x:row r="649">
      <x:c r="A649" s="175" t="str">
        <x:v>11.812.962/0001-61</x:v>
      </x:c>
      <x:c r="B649" s="166" t="str">
        <x:v>BERLANDA FUNDO DE INVESTIMENTO EM DIREITOS CREDITÓRIOS SEGMENTO ECONÔMICO FINANCEIRO</x:v>
      </x:c>
      <x:c r="C649" s="188" t="n">
        <x:v>209410086.42</x:v>
      </x:c>
      <x:c r="D649" s="166" t="str">
        <x:v>Petra Capital</x:v>
      </x:c>
      <x:c r="E649" s="166" t="str">
        <x:f>IFERROR(INDEX('Classif Gestoras'!$H$6:$H$462,MATCH(D649,'Classif Gestoras'!$A$6:$A$462,0)),"Não classificada")</x:f>
        <x:v>Independente</x:v>
      </x:c>
      <x:c r="F649" s="166" t="str">
        <x:v>Finaxis Corretora de Títulos e Valores Mobiliários S.A.</x:v>
      </x:c>
      <x:c r="G649" s="166" t="str">
        <x:v>BANCO FINAXIS S.A.</x:v>
      </x:c>
      <x:c r="H649" s="166" t="str">
        <x:v>Financeiro</x:v>
      </x:c>
      <x:c r="I649" s="166" t="str">
        <x:v>Crédito Pessoal</x:v>
      </x:c>
      <x:c r="J649" s="166" t="str">
        <x:v>CI</x:v>
      </x:c>
      <x:c r="K649" s="172" t="n">
        <x:v>4</x:v>
      </x:c>
      <x:c r="L649" s="185" t="str">
        <x:v>Não classificado</x:v>
      </x:c>
    </x:row>
    <x:row r="650">
      <x:c r="A650" s="175" t="str">
        <x:v>51.144.449/0001-64</x:v>
      </x:c>
      <x:c r="B650" s="166" t="str">
        <x:v>LBA FUNDO DE INVESTIMENTO EM DIREITOS CREDITÓRIOS</x:v>
      </x:c>
      <x:c r="C650" s="188" t="n">
        <x:v>209062462.36000004</x:v>
      </x:c>
      <x:c r="D650" s="166" t="str">
        <x:v>Artesanal Imobiliário</x:v>
      </x:c>
      <x:c r="E650" s="166" t="str">
        <x:f>IFERROR(INDEX('Classif Gestoras'!$H$6:$H$462,MATCH(D650,'Classif Gestoras'!$A$6:$A$462,0)),"Não classificada")</x:f>
        <x:v>Independente</x:v>
      </x:c>
      <x:c r="F650" s="166" t="str">
        <x:v>Singulare</x:v>
      </x:c>
      <x:c r="G650" s="166" t="str">
        <x:v>QI CORRETORA DE TÍTULOS E VALORES MOBILIÁRIOS S.A.</x:v>
      </x:c>
      <x:c r="H650" s="166" t="str">
        <x:v>Fomento Mercantil</x:v>
      </x:c>
      <x:c r="I650" s="166" t="str">
        <x:v>Fomento Mercantil</x:v>
      </x:c>
      <x:c r="J650" s="166" t="str">
        <x:v>CI</x:v>
      </x:c>
      <x:c r="K650" s="172" t="n">
        <x:v>17</x:v>
      </x:c>
      <x:c r="L650" s="185" t="str">
        <x:v>Não classificado</x:v>
      </x:c>
    </x:row>
    <x:row r="651">
      <x:c r="A651" s="175" t="str">
        <x:v>09.363.400/0001-36</x:v>
      </x:c>
      <x:c r="B651" s="166" t="str">
        <x:v>MERCANTIL NP FUNDO DE INVESTIMENTO EM DIREITOS CREDITORIOS NAO PADRONIZADOS MULTISETORIAL</x:v>
      </x:c>
      <x:c r="C651" s="188" t="n">
        <x:v>208374271.43</x:v>
      </x:c>
      <x:c r="D651" s="166" t="str">
        <x:v>TERCON ASSET MANAGEMENT</x:v>
      </x:c>
      <x:c r="E651" s="166" t="str">
        <x:f>IFERROR(INDEX('Classif Gestoras'!$H$6:$H$462,MATCH(D651,'Classif Gestoras'!$A$6:$A$462,0)),"Não classificada")</x:f>
        <x:v>Independente</x:v>
      </x:c>
      <x:c r="F651" s="166" t="str">
        <x:v>Singulare</x:v>
      </x:c>
      <x:c r="G651" s="166" t="str">
        <x:v>QI CORRETORA DE TÍTULOS E VALORES MOBILIÁRIOS S.A.</x:v>
      </x:c>
      <x:c r="H651" s="166" t="str">
        <x:v>Fomento Mercantil</x:v>
      </x:c>
      <x:c r="I651" s="166" t="str">
        <x:v>Fomento Mercantil</x:v>
      </x:c>
      <x:c r="J651" s="166" t="str">
        <x:v>CI</x:v>
      </x:c>
      <x:c r="K651" s="172" t="n">
        <x:v>7</x:v>
      </x:c>
      <x:c r="L651" s="185" t="str">
        <x:v>Não classificado</x:v>
      </x:c>
    </x:row>
    <x:row r="652">
      <x:c r="A652" s="175" t="str">
        <x:v>29.469.886/0001-07</x:v>
      </x:c>
      <x:c r="B652" s="166" t="str">
        <x:v>JC DIVERSIFICADO VI FUNDO DE INVESTIMENTO EM DIREITOS CREDITORIOS NAO-PADRONIZADOS</x:v>
      </x:c>
      <x:c r="C652" s="188" t="n">
        <x:v>207840019.57</x:v>
      </x:c>
      <x:c r="D652" s="166" t="str">
        <x:v>Jus Capital Gestão de Recursos LTDA</x:v>
      </x:c>
      <x:c r="E652" s="166" t="str">
        <x:f>IFERROR(INDEX('Classif Gestoras'!$H$6:$H$462,MATCH(D652,'Classif Gestoras'!$A$6:$A$462,0)),"Não classificada")</x:f>
        <x:v>Independente</x:v>
      </x:c>
      <x:c r="F652" s="166" t="str">
        <x:v>Singulare</x:v>
      </x:c>
      <x:c r="G652" s="166" t="str">
        <x:v>QI CORRETORA DE TÍTULOS E VALORES MOBILIÁRIOS S.A.</x:v>
      </x:c>
      <x:c r="H652" s="166" t="str">
        <x:v>Outros</x:v>
      </x:c>
      <x:c r="I652" s="166" t="str">
        <x:v>Poder Público</x:v>
      </x:c>
      <x:c r="J652" s="166" t="str">
        <x:v>CI</x:v>
      </x:c>
      <x:c r="K652" s="172" t="n">
        <x:v>5</x:v>
      </x:c>
      <x:c r="L652" s="185" t="str">
        <x:v>Não classificado</x:v>
      </x:c>
    </x:row>
    <x:row r="653">
      <x:c r="A653" s="175" t="str">
        <x:v>43.076.509/0001-20</x:v>
      </x:c>
      <x:c r="B653" s="166" t="str">
        <x:v>CERTO - FUNDO DE INVESTIMENTO EM DIREITOS CREDITÓRIOS</x:v>
      </x:c>
      <x:c r="C653" s="188" t="n">
        <x:v>207078531.3</x:v>
      </x:c>
      <x:c r="D653" s="166" t="str">
        <x:v>Libertas Asset</x:v>
      </x:c>
      <x:c r="E653" s="166" t="str">
        <x:f>IFERROR(INDEX('Classif Gestoras'!$H$6:$H$462,MATCH(D653,'Classif Gestoras'!$A$6:$A$462,0)),"Não classificada")</x:f>
        <x:v>Independente</x:v>
      </x:c>
      <x:c r="F653" s="166" t="str">
        <x:v>LASTRO RDV DIST. DE</x:v>
      </x:c>
      <x:c r="G653" s="166" t="str">
        <x:v>LASTRO RDV DTVM LTDA</x:v>
      </x:c>
      <x:c r="H653" s="166" t="str">
        <x:v>Financeiro</x:v>
      </x:c>
      <x:c r="I653" s="166" t="str">
        <x:v>Crédito Consignado</x:v>
      </x:c>
      <x:c r="J653" s="166" t="str">
        <x:v>CI</x:v>
      </x:c>
      <x:c r="K653" s="172" t="n">
        <x:v>2</x:v>
      </x:c>
      <x:c r="L653" s="185" t="str">
        <x:v>Não classificado</x:v>
      </x:c>
    </x:row>
    <x:row r="654">
      <x:c r="A654" s="175" t="str">
        <x:v>33.289.359/0001-80</x:v>
      </x:c>
      <x:c r="B654" s="166" t="str">
        <x:v>NOVA CAPITAL FUNDO DE INVESTIMENTO EM DIREITOS CREDITÓRIOS</x:v>
      </x:c>
      <x:c r="C654" s="188" t="n">
        <x:v>206765100.2</x:v>
      </x:c>
      <x:c r="D654" s="166" t="str">
        <x:v>TERCON ASSET MANAGEMENT</x:v>
      </x:c>
      <x:c r="E654" s="166" t="str">
        <x:f>IFERROR(INDEX('Classif Gestoras'!$H$6:$H$462,MATCH(D654,'Classif Gestoras'!$A$6:$A$462,0)),"Não classificada")</x:f>
        <x:v>Independente</x:v>
      </x:c>
      <x:c r="F654" s="166" t="str">
        <x:v>Singulare</x:v>
      </x:c>
      <x:c r="G654" s="166" t="str">
        <x:v>QI CORRETORA DE TÍTULOS E VALORES MOBILIÁRIOS S.A.</x:v>
      </x:c>
      <x:c r="H654" s="166" t="str">
        <x:v>Fomento Mercantil</x:v>
      </x:c>
      <x:c r="I654" s="166" t="str">
        <x:v>Fomento Mercantil</x:v>
      </x:c>
      <x:c r="J654" s="166" t="str">
        <x:v>CI</x:v>
      </x:c>
      <x:c r="K654" s="172" t="n">
        <x:v>64</x:v>
      </x:c>
      <x:c r="L654" s="185" t="str">
        <x:v>Não classificado</x:v>
      </x:c>
    </x:row>
    <x:row r="655">
      <x:c r="A655" s="175" t="str">
        <x:v>52.174.102/0001-27</x:v>
      </x:c>
      <x:c r="B655" s="166" t="str">
        <x:v>BYX CONSIGNADO MULTICONVENIOS FUNDO DE INVESTIMENTO EM DIREITOS CREDITÓRIOS RESP LIMITADA</x:v>
      </x:c>
      <x:c r="C655" s="188" t="n">
        <x:v>206417725.87</x:v>
      </x:c>
      <x:c r="D655" s="166" t="str">
        <x:v>GESTORA DE RECURSOS ID - GRID LTDA.</x:v>
      </x:c>
      <x:c r="E655" s="166" t="str">
        <x:f>IFERROR(INDEX('Classif Gestoras'!$H$6:$H$462,MATCH(D655,'Classif Gestoras'!$A$6:$A$462,0)),"Não classificada")</x:f>
        <x:v>Independente</x:v>
      </x:c>
      <x:c r="F655" s="166" t="str">
        <x:v>ID Corretora de Títulos e Valores Mobiliários S.A.</x:v>
      </x:c>
      <x:c r="G655" s="166" t="str">
        <x:v>ID CORRETORA DE TITULOS E VALORES MOBILIARIOS S.A.</x:v>
      </x:c>
      <x:c r="H655" s="166" t="str">
        <x:v>Financeiro</x:v>
      </x:c>
      <x:c r="I655" s="166" t="str">
        <x:v>Crédito Consignado</x:v>
      </x:c>
      <x:c r="J655" s="166" t="str">
        <x:v>CI</x:v>
      </x:c>
      <x:c r="K655" s="172" t="n">
        <x:v>3</x:v>
      </x:c>
      <x:c r="L655" s="185" t="str">
        <x:v>Não classificado</x:v>
      </x:c>
    </x:row>
    <x:row r="656">
      <x:c r="A656" s="175" t="str">
        <x:v>32.156.038/0001-44</x:v>
      </x:c>
      <x:c r="B656" s="166" t="str">
        <x:v>SUN CAPITAL FUNDO DE INVESTIMENTO EM DIREITOS CREDITÓRIOS NÃO PADRONIZADOS</x:v>
      </x:c>
      <x:c r="C656" s="188" t="n">
        <x:v>205437924.91000003</x:v>
      </x:c>
      <x:c r="D656" s="166" t="str">
        <x:v>GV ATACAMA CAPITAL LTDA.</x:v>
      </x:c>
      <x:c r="E656" s="166" t="str">
        <x:f>IFERROR(INDEX('Classif Gestoras'!$H$6:$H$462,MATCH(D656,'Classif Gestoras'!$A$6:$A$462,0)),"Não classificada")</x:f>
        <x:v>Independente</x:v>
      </x:c>
      <x:c r="F656" s="166" t="str">
        <x:v>Singulare</x:v>
      </x:c>
      <x:c r="G656" s="166" t="str">
        <x:v>QI CORRETORA DE TÍTULOS E VALORES MOBILIÁRIOS S.A.</x:v>
      </x:c>
      <x:c r="H656" s="166" t="str">
        <x:v>Outros</x:v>
      </x:c>
      <x:c r="I656" s="166" t="str">
        <x:v>Multicarteira Outros</x:v>
      </x:c>
      <x:c r="J656" s="166" t="str">
        <x:v>CI</x:v>
      </x:c>
      <x:c r="K656" s="172" t="n">
        <x:v>1</x:v>
      </x:c>
      <x:c r="L656" s="185" t="str">
        <x:v>Não classificado</x:v>
      </x:c>
    </x:row>
    <x:row r="657">
      <x:c r="A657" s="175" t="str">
        <x:v>20.118.619/0001-02</x:v>
      </x:c>
      <x:c r="B657" s="166" t="str">
        <x:v>SG GAINSA FUNDO DE INVESTIMENTO EM DIREITOS CREDITÓRIOS NÃO-PADRONIZADOS</x:v>
      </x:c>
      <x:c r="C657" s="188" t="n">
        <x:v>205014113.09</x:v>
      </x:c>
      <x:c r="D657" s="166" t="str">
        <x:v>Jus Capital Gestão de Recursos LTDA</x:v>
      </x:c>
      <x:c r="E657" s="166" t="str">
        <x:f>IFERROR(INDEX('Classif Gestoras'!$H$6:$H$462,MATCH(D657,'Classif Gestoras'!$A$6:$A$462,0)),"Não classificada")</x:f>
        <x:v>Independente</x:v>
      </x:c>
      <x:c r="F657" s="166" t="str">
        <x:v>BTG Pactual Servicos Financeiros S/A DTVM</x:v>
      </x:c>
      <x:c r="G657" s="166" t="str">
        <x:v>BANCO BTG PACTUAL S/A</x:v>
      </x:c>
      <x:c r="H657" s="166" t="str">
        <x:v>Outros</x:v>
      </x:c>
      <x:c r="I657" s="166" t="str">
        <x:v>Poder Público</x:v>
      </x:c>
      <x:c r="J657" s="166" t="str">
        <x:v>CI</x:v>
      </x:c>
      <x:c r="K657" s="172" t="n">
        <x:v>2</x:v>
      </x:c>
      <x:c r="L657" s="185" t="str">
        <x:v>Não classificado</x:v>
      </x:c>
    </x:row>
    <x:row r="658">
      <x:c r="A658" s="175" t="str">
        <x:v>51.170.105/0001-20</x:v>
      </x:c>
      <x:c r="B658" s="166" t="str">
        <x:v>CNPJ 51170105000120</x:v>
      </x:c>
      <x:c r="C658" s="188" t="n">
        <x:v>205004399.89</x:v>
      </x:c>
      <x:c r="D658" s="166" t="str">
        <x:v>MAV CAPITAL GESTORA DE RECURSOS SS LTDA</x:v>
      </x:c>
      <x:c r="E658" s="166" t="str">
        <x:f>IFERROR(INDEX('Classif Gestoras'!$H$6:$H$462,MATCH(D658,'Classif Gestoras'!$A$6:$A$462,0)),"Não classificada")</x:f>
        <x:v>Independente</x:v>
      </x:c>
      <x:c r="F658" s="166" t="str">
        <x:v>Banco Genial S.A.</x:v>
      </x:c>
      <x:c r="G658" s="166" t="str">
        <x:v>Não identificado</x:v>
      </x:c>
      <x:c r="H658" s="166" t="str">
        <x:v>Agro, Indústria e Comércio</x:v>
      </x:c>
      <x:c r="I658" s="166" t="str">
        <x:v>Agronegócio</x:v>
      </x:c>
      <x:c r="J658" s="166" t="str">
        <x:v>CI</x:v>
      </x:c>
      <x:c r="K658" s="172"/>
      <x:c r="L658" s="185" t="str">
        <x:v>Não classificado</x:v>
      </x:c>
    </x:row>
    <x:row r="659">
      <x:c r="A659" s="175" t="str">
        <x:v>55.983.705/0001-68</x:v>
      </x:c>
      <x:c r="B659" s="166" t="str">
        <x:v>PRAVALER CRÉDITO UNIVERSITÁRIO IV FUNDO DE INVESTIMENTO EM DIREITOS CREDITÓRIOS - RESP LIMITADA</x:v>
      </x:c>
      <x:c r="C659" s="188" t="n">
        <x:v>204904527.83</x:v>
      </x:c>
      <x:c r="D659" s="166" t="str">
        <x:v>PRAVALER S/A</x:v>
      </x:c>
      <x:c r="E659" s="166" t="str">
        <x:f>IFERROR(INDEX('Classif Gestoras'!$H$6:$H$462,MATCH(D659,'Classif Gestoras'!$A$6:$A$462,0)),"Não classificada")</x:f>
        <x:v>Independente</x:v>
      </x:c>
      <x:c r="F659" s="166" t="str">
        <x:v>Oliveira Trust DTVM</x:v>
      </x:c>
      <x:c r="G659" s="166" t="str">
        <x:v>OLIVEIRA TRUST DTVM S.A.</x:v>
      </x:c>
      <x:c r="H659" s="166" t="str">
        <x:v>Financeiro</x:v>
      </x:c>
      <x:c r="I659" s="166" t="str">
        <x:v>Crédito Pessoal</x:v>
      </x:c>
      <x:c r="J659" s="166" t="str">
        <x:v>CI</x:v>
      </x:c>
      <x:c r="K659" s="172" t="n">
        <x:v>58</x:v>
      </x:c>
      <x:c r="L659" s="185" t="str">
        <x:v>Não classificado</x:v>
      </x:c>
    </x:row>
    <x:row r="660">
      <x:c r="A660" s="175" t="str">
        <x:v>50.057.356/0001-30</x:v>
      </x:c>
      <x:c r="B660" s="166" t="str">
        <x:v>FUNDO DE INVESTIMENTO EM DIREITOS CREDITÓRIOS PRATA DIGITAL</x:v>
      </x:c>
      <x:c r="C660" s="188" t="n">
        <x:v>204785091.33</x:v>
      </x:c>
      <x:c r="D660" s="166" t="str">
        <x:v>ANGÁ ASSET MANAGEMENT</x:v>
      </x:c>
      <x:c r="E660" s="166" t="str">
        <x:f>IFERROR(INDEX('Classif Gestoras'!$H$6:$H$462,MATCH(D660,'Classif Gestoras'!$A$6:$A$462,0)),"Não classificada")</x:f>
        <x:v>Independente</x:v>
      </x:c>
      <x:c r="F660" s="166" t="str">
        <x:v>BANCO DAYCOVAL S/A</x:v>
      </x:c>
      <x:c r="G660" s="166" t="str">
        <x:v>BANCO DAYCOVAL S.A.</x:v>
      </x:c>
      <x:c r="H660" s="166" t="str">
        <x:v>Financeiro</x:v>
      </x:c>
      <x:c r="I660" s="166" t="str">
        <x:v>Crédito Pessoal</x:v>
      </x:c>
      <x:c r="J660" s="166" t="str">
        <x:v>CI</x:v>
      </x:c>
      <x:c r="K660" s="172" t="n">
        <x:v>133</x:v>
      </x:c>
      <x:c r="L660" s="185" t="str">
        <x:v>Não classificado</x:v>
      </x:c>
    </x:row>
    <x:row r="661">
      <x:c r="A661" s="175" t="str">
        <x:v>39.615.917/0001-36</x:v>
      </x:c>
      <x:c r="B661" s="166" t="str">
        <x:v>PCS II CLAIMS FUNDO DE INVESTIMENTO EM DIREITOS CREDITÓRIOS - NÃO PADRONIZADOS</x:v>
      </x:c>
      <x:c r="C661" s="188" t="n">
        <x:v>203945049.51</x:v>
      </x:c>
      <x:c r="D661" s="166" t="str">
        <x:v>Prisma Claims Ltda.</x:v>
      </x:c>
      <x:c r="E661" s="166" t="str">
        <x:f>IFERROR(INDEX('Classif Gestoras'!$H$6:$H$462,MATCH(D661,'Classif Gestoras'!$A$6:$A$462,0)),"Não classificada")</x:f>
        <x:v>Independente</x:v>
      </x:c>
      <x:c r="F661" s="166" t="str">
        <x:v>Singulare</x:v>
      </x:c>
      <x:c r="G661" s="166" t="str">
        <x:v>QI CORRETORA DE TÍTULOS E VALORES MOBILIÁRIOS S.A.</x:v>
      </x:c>
      <x:c r="H661" s="166" t="str">
        <x:v>Outros</x:v>
      </x:c>
      <x:c r="I661" s="166" t="str">
        <x:v>Multicarteira Outros</x:v>
      </x:c>
      <x:c r="J661" s="166" t="str">
        <x:v>CI</x:v>
      </x:c>
      <x:c r="K661" s="172" t="n">
        <x:v>2</x:v>
      </x:c>
      <x:c r="L661" s="185" t="str">
        <x:v>Não classificado</x:v>
      </x:c>
    </x:row>
    <x:row r="662">
      <x:c r="A662" s="175" t="str">
        <x:v>46.157.224/0001-02</x:v>
      </x:c>
      <x:c r="B662" s="166" t="str">
        <x:v>SOFISA CONSIGNADO FUNDO DE INVESTIMENTO EM DIREITOS CREDITÓRIOS - RESPONSABILIDADE LIMITADA</x:v>
      </x:c>
      <x:c r="C662" s="188" t="n">
        <x:v>203669858.77</x:v>
      </x:c>
      <x:c r="D662" s="166" t="str">
        <x:v>Solis</x:v>
      </x:c>
      <x:c r="E662" s="166" t="str">
        <x:f>IFERROR(INDEX('Classif Gestoras'!$H$6:$H$462,MATCH(D662,'Classif Gestoras'!$A$6:$A$462,0)),"Não classificada")</x:f>
        <x:v>Independente</x:v>
      </x:c>
      <x:c r="F662" s="166" t="str">
        <x:v>HEMERA DTVM</x:v>
      </x:c>
      <x:c r="G662" s="166" t="str">
        <x:v>HEMERA DISTRIBUIDORA DE TITULOS E VALORES MOBILIARIOS LTDA</x:v>
      </x:c>
      <x:c r="H662" s="166" t="str">
        <x:v>Financeiro</x:v>
      </x:c>
      <x:c r="I662" s="166" t="str">
        <x:v>Crédito Consignado</x:v>
      </x:c>
      <x:c r="J662" s="166" t="str">
        <x:v>CI</x:v>
      </x:c>
      <x:c r="K662" s="172" t="n">
        <x:v>1</x:v>
      </x:c>
      <x:c r="L662" s="185" t="str">
        <x:v>Não classificado</x:v>
      </x:c>
    </x:row>
    <x:row r="663">
      <x:c r="A663" s="175" t="str">
        <x:v>62.627.122/0001-60</x:v>
      </x:c>
      <x:c r="B663" s="166" t="str">
        <x:v>SUMUP SMART III FIDC SEGMENTO MEIOS DE PAGAMENTO DE RESPONSABILIDADE LIMITADA</x:v>
      </x:c>
      <x:c r="C663" s="188" t="n">
        <x:v>203549058.93</x:v>
      </x:c>
      <x:c r="D663" s="166" t="str">
        <x:v>Banco Bradesco S/A</x:v>
      </x:c>
      <x:c r="E663" s="166" t="str">
        <x:f>IFERROR(INDEX('Classif Gestoras'!$H$6:$H$462,MATCH(D663,'Classif Gestoras'!$A$6:$A$462,0)),"Não classificada")</x:f>
        <x:v>Ligada a banco</x:v>
      </x:c>
      <x:c r="F663" s="166" t="str">
        <x:v>BEM - DIST. DE TÍTUL</x:v>
      </x:c>
      <x:c r="G663" s="166" t="str">
        <x:v>BANCO BRADESCO S.A.</x:v>
      </x:c>
      <x:c r="H663" s="166" t="str">
        <x:v>Outros</x:v>
      </x:c>
      <x:c r="I663" s="166" t="str">
        <x:v>Multicarteira Outros</x:v>
      </x:c>
      <x:c r="J663" s="166" t="str">
        <x:v>CI</x:v>
      </x:c>
      <x:c r="K663" s="172" t="n">
        <x:v>16</x:v>
      </x:c>
      <x:c r="L663" s="185" t="str">
        <x:v>Não classificado</x:v>
      </x:c>
    </x:row>
    <x:row r="664">
      <x:c r="A664" s="175" t="str">
        <x:v>45.207.689/0001-68</x:v>
      </x:c>
      <x:c r="B664" s="166" t="str">
        <x:v>TESOURARIA 2 FUNDO DE INVESTIMENTO EM DIREITOS CREDITÓRIOS</x:v>
      </x:c>
      <x:c r="C664" s="188" t="n">
        <x:v>203447979.03</x:v>
      </x:c>
      <x:c r="D664" s="166" t="str">
        <x:v>Quadra Gestão de Recursos S.A.</x:v>
      </x:c>
      <x:c r="E664" s="166" t="str">
        <x:f>IFERROR(INDEX('Classif Gestoras'!$H$6:$H$462,MATCH(D664,'Classif Gestoras'!$A$6:$A$462,0)),"Não classificada")</x:f>
        <x:v>Independente</x:v>
      </x:c>
      <x:c r="F664" s="166" t="str">
        <x:v>BTG Pactual Servicos Financeiros S/A DTVM</x:v>
      </x:c>
      <x:c r="G664" s="166" t="str">
        <x:v>BANCO BTG PACTUAL S/A</x:v>
      </x:c>
      <x:c r="H664" s="166" t="str">
        <x:v>Outros</x:v>
      </x:c>
      <x:c r="I664" s="166" t="str">
        <x:v>Recuperação</x:v>
      </x:c>
      <x:c r="J664" s="166" t="str">
        <x:v>CI</x:v>
      </x:c>
      <x:c r="K664" s="172" t="n">
        <x:v>1</x:v>
      </x:c>
      <x:c r="L664" s="185" t="str">
        <x:v>Não classificado</x:v>
      </x:c>
    </x:row>
    <x:row r="665">
      <x:c r="A665" s="175" t="str">
        <x:v>52.100.879/0001-47</x:v>
      </x:c>
      <x:c r="B665" s="166" t="str">
        <x:v>SOTREQ FUNDO DE INVESTIMENTO EM DIREITOS CREDITÓRIOS - RESPONSABILIDADE LIMITADA</x:v>
      </x:c>
      <x:c r="C665" s="188" t="n">
        <x:v>203344797.40000004</x:v>
      </x:c>
      <x:c r="D665" s="166" t="str">
        <x:v>ANGÁ ASSET MANAGEMENT</x:v>
      </x:c>
      <x:c r="E665" s="166" t="str">
        <x:f>IFERROR(INDEX('Classif Gestoras'!$H$6:$H$462,MATCH(D665,'Classif Gestoras'!$A$6:$A$462,0)),"Não classificada")</x:f>
        <x:v>Independente</x:v>
      </x:c>
      <x:c r="F665" s="166" t="str">
        <x:v>Oliveira Trust DTVM</x:v>
      </x:c>
      <x:c r="G665" s="166" t="str">
        <x:v>OLIVEIRA TRUST DTVM S.A.</x:v>
      </x:c>
      <x:c r="H665" s="166" t="str">
        <x:v>Financeiro</x:v>
      </x:c>
      <x:c r="I665" s="166" t="str">
        <x:v>Multicarteira Financeiro</x:v>
      </x:c>
      <x:c r="J665" s="166" t="str">
        <x:v>CI</x:v>
      </x:c>
      <x:c r="K665" s="172" t="n">
        <x:v>3</x:v>
      </x:c>
      <x:c r="L665" s="185" t="str">
        <x:v>Não classificado</x:v>
      </x:c>
    </x:row>
    <x:row r="666">
      <x:c r="A666" s="175" t="str">
        <x:v>13.842.701/0001-10</x:v>
      </x:c>
      <x:c r="B666" s="166" t="str">
        <x:v>NEW TRADE BANK FUNDO DE INVESTIMENTO EM DIREITOS CREDITÓRIOS</x:v>
      </x:c>
      <x:c r="C666" s="188" t="n">
        <x:v>203269809.6</x:v>
      </x:c>
      <x:c r="D666" s="166" t="str">
        <x:v>TERCON ASSET MANAGEMENT</x:v>
      </x:c>
      <x:c r="E666" s="166" t="str">
        <x:f>IFERROR(INDEX('Classif Gestoras'!$H$6:$H$462,MATCH(D666,'Classif Gestoras'!$A$6:$A$462,0)),"Não classificada")</x:f>
        <x:v>Independente</x:v>
      </x:c>
      <x:c r="F666" s="166" t="str">
        <x:v>Singulare</x:v>
      </x:c>
      <x:c r="G666" s="166" t="str">
        <x:v>QI CORRETORA DE TÍTULOS E VALORES MOBILIÁRIOS S.A.</x:v>
      </x:c>
      <x:c r="H666" s="166" t="str">
        <x:v>Fomento Mercantil</x:v>
      </x:c>
      <x:c r="I666" s="166" t="str">
        <x:v>Fomento Mercantil</x:v>
      </x:c>
      <x:c r="J666" s="166" t="str">
        <x:v>CI</x:v>
      </x:c>
      <x:c r="K666" s="172" t="n">
        <x:v>3</x:v>
      </x:c>
      <x:c r="L666" s="185" t="str">
        <x:v>Não classificado</x:v>
      </x:c>
    </x:row>
    <x:row r="667">
      <x:c r="A667" s="175" t="str">
        <x:v>29.494.026/0001-15</x:v>
      </x:c>
      <x:c r="B667" s="166" t="str">
        <x:v>MULVI FIDC RESPONSABILIDADE LIMITADA - ARRANJO DE PAGAMENTOS</x:v>
      </x:c>
      <x:c r="C667" s="188" t="n">
        <x:v>203220393.49</x:v>
      </x:c>
      <x:c r="D667" s="166" t="str">
        <x:v>H2 CAPITAL</x:v>
      </x:c>
      <x:c r="E667" s="166" t="str">
        <x:f>IFERROR(INDEX('Classif Gestoras'!$H$6:$H$462,MATCH(D667,'Classif Gestoras'!$A$6:$A$462,0)),"Não classificada")</x:f>
        <x:v>Independente</x:v>
      </x:c>
      <x:c r="F667" s="166" t="str">
        <x:v>MASTER S/A CORRETORA</x:v>
      </x:c>
      <x:c r="G667" s="166" t="str">
        <x:v>BANCO GENIAL S.A.</x:v>
      </x:c>
      <x:c r="H667" s="166" t="str">
        <x:v>Agro, Indústria e Comércio</x:v>
      </x:c>
      <x:c r="I667" s="166" t="str">
        <x:v>Recebíveis Comerciais</x:v>
      </x:c>
      <x:c r="J667" s="166" t="str">
        <x:v>CI</x:v>
      </x:c>
      <x:c r="K667" s="172" t="n">
        <x:v>4</x:v>
      </x:c>
      <x:c r="L667" s="185" t="str">
        <x:v>Não classificado</x:v>
      </x:c>
    </x:row>
    <x:row r="668">
      <x:c r="A668" s="175" t="str">
        <x:v>22.175.369/0001-78</x:v>
      </x:c>
      <x:c r="B668" s="166" t="str">
        <x:v>CONFIANÇA FUNDO DE INVESTIMENTO EM DIREITOS CREDITÓRIOS</x:v>
      </x:c>
      <x:c r="C668" s="188" t="n">
        <x:v>202434977.06</x:v>
      </x:c>
      <x:c r="D668" s="166" t="str">
        <x:v>TERCON ASSET MANAGEMENT</x:v>
      </x:c>
      <x:c r="E668" s="166" t="str">
        <x:f>IFERROR(INDEX('Classif Gestoras'!$H$6:$H$462,MATCH(D668,'Classif Gestoras'!$A$6:$A$462,0)),"Não classificada")</x:f>
        <x:v>Independente</x:v>
      </x:c>
      <x:c r="F668" s="166" t="str">
        <x:v>Singulare</x:v>
      </x:c>
      <x:c r="G668" s="166" t="str">
        <x:v>QI CORRETORA DE TÍTULOS E VALORES MOBILIÁRIOS S.A.</x:v>
      </x:c>
      <x:c r="H668" s="166" t="str">
        <x:v>Fomento Mercantil</x:v>
      </x:c>
      <x:c r="I668" s="166" t="str">
        <x:v>Fomento Mercantil</x:v>
      </x:c>
      <x:c r="J668" s="166" t="str">
        <x:v>CI</x:v>
      </x:c>
      <x:c r="K668" s="172" t="n">
        <x:v>51</x:v>
      </x:c>
      <x:c r="L668" s="185" t="str">
        <x:v>Não classificado</x:v>
      </x:c>
    </x:row>
    <x:row r="669">
      <x:c r="A669" s="175" t="str">
        <x:v>12.796.029/0001-00</x:v>
      </x:c>
      <x:c r="B669" s="166" t="str">
        <x:v>FUNDO DE INVESTIMENTO EM DIREITOS CREDITÓRIOS MERCANTIS AUTO PEÇAS</x:v>
      </x:c>
      <x:c r="C669" s="188" t="n">
        <x:v>202099783.78</x:v>
      </x:c>
      <x:c r="D669" s="166" t="str">
        <x:v>Cultinvest Asset</x:v>
      </x:c>
      <x:c r="E669" s="166" t="str">
        <x:f>IFERROR(INDEX('Classif Gestoras'!$H$6:$H$462,MATCH(D669,'Classif Gestoras'!$A$6:$A$462,0)),"Não classificada")</x:f>
        <x:v>Independente</x:v>
      </x:c>
      <x:c r="F669" s="166" t="str">
        <x:v>S3 Caceis Brasil Distribuidora de Títulos e Valores Mob</x:v>
      </x:c>
      <x:c r="G669" s="166" t="str">
        <x:v>S3 CACEIS BRASIL DISTRIBUIDORA DE TITULOS E VALORES MOBILIARIOS S.A</x:v>
      </x:c>
      <x:c r="H669" s="166" t="str">
        <x:v>Agro, Indústria e Comércio</x:v>
      </x:c>
      <x:c r="I669" s="166" t="str">
        <x:v>Recebíveis Comerciais</x:v>
      </x:c>
      <x:c r="J669" s="166" t="str">
        <x:v>CI</x:v>
      </x:c>
      <x:c r="K669" s="172" t="n">
        <x:v>2</x:v>
      </x:c>
      <x:c r="L669" s="185" t="str">
        <x:v>Não classificado</x:v>
      </x:c>
    </x:row>
    <x:row r="670">
      <x:c r="A670" s="175" t="str">
        <x:v>35.765.961/0001-71</x:v>
      </x:c>
      <x:c r="B670" s="166" t="str">
        <x:v>C3E CRÉDITOS JUDICIAIS FUNDO DE INVESTIMENTO EM DIREITOS CREDITÓRIOS DE RESPONSABILIDADE LIMITADA</x:v>
      </x:c>
      <x:c r="C670" s="188" t="n">
        <x:v>201815482.86</x:v>
      </x:c>
      <x:c r="D670" s="166" t="str">
        <x:v>Iron Capital</x:v>
      </x:c>
      <x:c r="E670" s="166" t="str">
        <x:f>IFERROR(INDEX('Classif Gestoras'!$H$6:$H$462,MATCH(D670,'Classif Gestoras'!$A$6:$A$462,0)),"Não classificada")</x:f>
        <x:v>Independente</x:v>
      </x:c>
      <x:c r="F670" s="166" t="str">
        <x:v>MAF Distribuidora de Títulos e Valores Mobiliários S.A.</x:v>
      </x:c>
      <x:c r="G670" s="166" t="str">
        <x:v>MAF DISTRIBUIDORA DE TITULOS E VALORES MOBILIARIOS S.A.</x:v>
      </x:c>
      <x:c r="H670" s="166" t="str">
        <x:v>Outros</x:v>
      </x:c>
      <x:c r="I670" s="166" t="str">
        <x:v>Poder Público</x:v>
      </x:c>
      <x:c r="J670" s="166" t="str">
        <x:v>CI</x:v>
      </x:c>
      <x:c r="K670" s="172" t="n">
        <x:v>9</x:v>
      </x:c>
      <x:c r="L670" s="185" t="str">
        <x:v>Não classificado</x:v>
      </x:c>
    </x:row>
    <x:row r="671">
      <x:c r="A671" s="175" t="str">
        <x:v>36.703.167/0001-66</x:v>
      </x:c>
      <x:c r="B671" s="166" t="str">
        <x:v>YAALEH FUNDO DE INVESTIMENTO EM DIREITOS CREDITÓRIOS - RESPONSABILIDADE LIMITADA</x:v>
      </x:c>
      <x:c r="C671" s="188" t="n">
        <x:v>201535661.05</x:v>
      </x:c>
      <x:c r="D671" s="166" t="str">
        <x:v>BRZ Investimentos</x:v>
      </x:c>
      <x:c r="E671" s="166" t="str">
        <x:f>IFERROR(INDEX('Classif Gestoras'!$H$6:$H$462,MATCH(D671,'Classif Gestoras'!$A$6:$A$462,0)),"Não classificada")</x:f>
        <x:v>Independente</x:v>
      </x:c>
      <x:c r="F671" s="166" t="str">
        <x:v>Singulare</x:v>
      </x:c>
      <x:c r="G671" s="166" t="str">
        <x:v>QI CORRETORA DE TÍTULOS E VALORES MOBILIÁRIOS S.A.</x:v>
      </x:c>
      <x:c r="H671" s="166" t="str">
        <x:v>Fomento Mercantil</x:v>
      </x:c>
      <x:c r="I671" s="166" t="str">
        <x:v>Fomento Mercantil</x:v>
      </x:c>
      <x:c r="J671" s="166" t="str">
        <x:v>CI</x:v>
      </x:c>
      <x:c r="K671" s="172" t="n">
        <x:v>94</x:v>
      </x:c>
      <x:c r="L671" s="185" t="str">
        <x:v>Não classificado</x:v>
      </x:c>
    </x:row>
    <x:row r="672">
      <x:c r="A672" s="175" t="str">
        <x:v>64.158.002/0001-96</x:v>
      </x:c>
      <x:c r="B672" s="166" t="str">
        <x:v>POLÍGONO FOX FUNDO DE INVESTIMENTO EM DIREITOS CREDITÓRIOS</x:v>
      </x:c>
      <x:c r="C672" s="188" t="n">
        <x:v>200421356.09</x:v>
      </x:c>
      <x:c r="D672" s="166" t="str">
        <x:v>POLÍGONO CAPITAL LTDA.</x:v>
      </x:c>
      <x:c r="E672" s="166" t="str">
        <x:f>IFERROR(INDEX('Classif Gestoras'!$H$6:$H$462,MATCH(D672,'Classif Gestoras'!$A$6:$A$462,0)),"Não classificada")</x:f>
        <x:v>Independente</x:v>
      </x:c>
      <x:c r="F672" s="166" t="str">
        <x:v>BTG Pactual Servicos Financeiros S/A DTVM</x:v>
      </x:c>
      <x:c r="G672" s="166" t="str">
        <x:v>BANCO BTG PACTUAL S/A</x:v>
      </x:c>
      <x:c r="H672" s="166" t="str">
        <x:v>Outros</x:v>
      </x:c>
      <x:c r="I672" s="166" t="str">
        <x:v>Multicarteira Outros</x:v>
      </x:c>
      <x:c r="J672" s="166" t="str">
        <x:v>CI</x:v>
      </x:c>
      <x:c r="K672" s="172" t="n">
        <x:v>460</x:v>
      </x:c>
      <x:c r="L672" s="185" t="str">
        <x:v>Não classificado</x:v>
      </x:c>
    </x:row>
    <x:row r="673">
      <x:c r="A673" s="175" t="str">
        <x:v>50.059.866/0001-46</x:v>
      </x:c>
      <x:c r="B673" s="166" t="str">
        <x:v>PAGALEVE FUNDO DE INVESTIMENTO EM DIREITOS CREDITÓRIOS COMERCIAIS DE RESPONSABILIDADE LIMITADA</x:v>
      </x:c>
      <x:c r="C673" s="188" t="n">
        <x:v>199978986.22</x:v>
      </x:c>
      <x:c r="D673" s="166" t="str">
        <x:v>Kanastra</x:v>
      </x:c>
      <x:c r="E673" s="166" t="str">
        <x:f>IFERROR(INDEX('Classif Gestoras'!$H$6:$H$462,MATCH(D673,'Classif Gestoras'!$A$6:$A$462,0)),"Não classificada")</x:f>
        <x:v>Independente</x:v>
      </x:c>
      <x:c r="F673" s="166" t="str">
        <x:v>Limine Trust Distribuidora de Titulos e Valores Mobiliá</x:v>
      </x:c>
      <x:c r="G673" s="166" t="str">
        <x:v>LIMINE TRUST DISTRIBUIDORA DE TITULOS E VALORES MOBILIARIOS LTDA.</x:v>
      </x:c>
      <x:c r="H673" s="166" t="str">
        <x:v>Agro, Indústria e Comércio</x:v>
      </x:c>
      <x:c r="I673" s="166" t="str">
        <x:v>Recebíveis Comerciais</x:v>
      </x:c>
      <x:c r="J673" s="166" t="str">
        <x:v>CI</x:v>
      </x:c>
      <x:c r="K673" s="172" t="n">
        <x:v>14</x:v>
      </x:c>
      <x:c r="L673" s="185" t="str">
        <x:v>Não classificado</x:v>
      </x:c>
    </x:row>
    <x:row r="674">
      <x:c r="A674" s="175" t="str">
        <x:v>45.121.179/0001-73</x:v>
      </x:c>
      <x:c r="B674" s="166" t="str">
        <x:v>EVEREST FUNDO DE INVESTIMENTO EM DIREITOS CREDITÓRIOS RECEBÍVEIS IMOBILIÁRIOS</x:v>
      </x:c>
      <x:c r="C674" s="188" t="n">
        <x:v>199702257.49</x:v>
      </x:c>
      <x:c r="D674" s="166" t="str">
        <x:v>Everest Capital</x:v>
      </x:c>
      <x:c r="E674" s="166" t="str">
        <x:f>IFERROR(INDEX('Classif Gestoras'!$H$6:$H$462,MATCH(D674,'Classif Gestoras'!$A$6:$A$462,0)),"Não classificada")</x:f>
        <x:v>Independente</x:v>
      </x:c>
      <x:c r="F674" s="166" t="str">
        <x:v>Singulare</x:v>
      </x:c>
      <x:c r="G674" s="166" t="str">
        <x:v>QI CORRETORA DE TÍTULOS E VALORES MOBILIÁRIOS S.A.</x:v>
      </x:c>
      <x:c r="H674" s="166" t="str">
        <x:v>Financeiro</x:v>
      </x:c>
      <x:c r="I674" s="166" t="str">
        <x:v>Crédito Imobiliário</x:v>
      </x:c>
      <x:c r="J674" s="166" t="str">
        <x:v>CI</x:v>
      </x:c>
      <x:c r="K674" s="172" t="n">
        <x:v>28</x:v>
      </x:c>
      <x:c r="L674" s="185" t="str">
        <x:v>Não classificado</x:v>
      </x:c>
    </x:row>
    <x:row r="675">
      <x:c r="A675" s="175" t="str">
        <x:v>15.586.793/0001-40</x:v>
      </x:c>
      <x:c r="B675" s="166" t="str">
        <x:v>FUNDO DE INVESTIMENTO EM DIREITOS CREDITÓRIOS QW1 - RESPONSABILIDADE ILIMITADA</x:v>
      </x:c>
      <x:c r="C675" s="188" t="n">
        <x:v>199460988.45</x:v>
      </x:c>
      <x:c r="D675" s="166" t="str">
        <x:v>Quatá Investimentos</x:v>
      </x:c>
      <x:c r="E675" s="166" t="str">
        <x:f>IFERROR(INDEX('Classif Gestoras'!$H$6:$H$462,MATCH(D675,'Classif Gestoras'!$A$6:$A$462,0)),"Não classificada")</x:f>
        <x:v>Independente</x:v>
      </x:c>
      <x:c r="F675" s="166" t="str">
        <x:v>BRL TRUST DTVM</x:v>
      </x:c>
      <x:c r="G675" s="166" t="str">
        <x:v>BRL TRUST DISTRIBUIDORA DE TITULOS E VALORES MOBILIARIOS S.A.</x:v>
      </x:c>
      <x:c r="H675" s="166" t="str">
        <x:v>Agro, Indústria e Comércio</x:v>
      </x:c>
      <x:c r="I675" s="166" t="str">
        <x:v>Multicarteira Agro, Indústria e Comércio</x:v>
      </x:c>
      <x:c r="J675" s="166" t="str">
        <x:v>CI</x:v>
      </x:c>
      <x:c r="K675" s="172" t="n">
        <x:v>3</x:v>
      </x:c>
      <x:c r="L675" s="185" t="str">
        <x:v>Não classificado</x:v>
      </x:c>
    </x:row>
    <x:row r="676">
      <x:c r="A676" s="175" t="str">
        <x:v>23.006.061/0001-61</x:v>
      </x:c>
      <x:c r="B676" s="166" t="str">
        <x:v>MARTE FUNDO DE INVESTIMENTO EM DIREITOS CREDITÓRIOS</x:v>
      </x:c>
      <x:c r="C676" s="188" t="n">
        <x:v>199275785.99</x:v>
      </x:c>
      <x:c r="D676" s="166" t="str">
        <x:v>Veritas Capital Management</x:v>
      </x:c>
      <x:c r="E676" s="166" t="str">
        <x:f>IFERROR(INDEX('Classif Gestoras'!$H$6:$H$462,MATCH(D676,'Classif Gestoras'!$A$6:$A$462,0)),"Não classificada")</x:f>
        <x:v>Independente</x:v>
      </x:c>
      <x:c r="F676" s="166" t="str">
        <x:v>Singulare</x:v>
      </x:c>
      <x:c r="G676" s="166" t="str">
        <x:v>QI CORRETORA DE TÍTULOS E VALORES MOBILIÁRIOS S.A.</x:v>
      </x:c>
      <x:c r="H676" s="166" t="str">
        <x:v>Outros</x:v>
      </x:c>
      <x:c r="I676" s="166" t="str">
        <x:v>Multicarteira Outros</x:v>
      </x:c>
      <x:c r="J676" s="166" t="str">
        <x:v>CI</x:v>
      </x:c>
      <x:c r="K676" s="172" t="n">
        <x:v>2</x:v>
      </x:c>
      <x:c r="L676" s="185" t="str">
        <x:v>Não classificado</x:v>
      </x:c>
    </x:row>
    <x:row r="677">
      <x:c r="A677" s="175" t="str">
        <x:v>32.302.284/0001-67</x:v>
      </x:c>
      <x:c r="B677" s="166" t="str">
        <x:v>SOLIS WAREHOUSE FUNDO DE INVESTIMENTO EM DIREITOS CREDITÓRIOS MULTISSETORIAL - RESPONSABILIDADE LIMI</x:v>
      </x:c>
      <x:c r="C677" s="188" t="n">
        <x:v>198749461.35</x:v>
      </x:c>
      <x:c r="D677" s="166" t="str">
        <x:v>Solis</x:v>
      </x:c>
      <x:c r="E677" s="166" t="str">
        <x:f>IFERROR(INDEX('Classif Gestoras'!$H$6:$H$462,MATCH(D677,'Classif Gestoras'!$A$6:$A$462,0)),"Não classificada")</x:f>
        <x:v>Independente</x:v>
      </x:c>
      <x:c r="F677" s="166" t="str">
        <x:v>HEMERA DTVM</x:v>
      </x:c>
      <x:c r="G677" s="166" t="str">
        <x:v>HEMERA DISTRIBUIDORA DE TITULOS E VALORES MOBILIARIOS LTDA</x:v>
      </x:c>
      <x:c r="H677" s="166" t="str">
        <x:v>Outros</x:v>
      </x:c>
      <x:c r="I677" s="166" t="str">
        <x:v>Multicarteira Outros</x:v>
      </x:c>
      <x:c r="J677" s="166" t="str">
        <x:v>CI</x:v>
      </x:c>
      <x:c r="K677" s="172" t="n">
        <x:v>16</x:v>
      </x:c>
      <x:c r="L677" s="185" t="str">
        <x:v>Não classificado</x:v>
      </x:c>
    </x:row>
    <x:row r="678">
      <x:c r="A678" s="175" t="str">
        <x:v>57.823.707/0001-15</x:v>
      </x:c>
      <x:c r="B678" s="166" t="str">
        <x:v>ICRED INSS FUNDO DE INVESTIMENTO EM DIREITOS CREDITÓRIOS RESPONSABILIDADE LIMITADA</x:v>
      </x:c>
      <x:c r="C678" s="188" t="n">
        <x:v>198657891.27202</x:v>
      </x:c>
      <x:c r="D678" s="166" t="str">
        <x:v>VERT Gestora de Recursos Financeiros Ltda.</x:v>
      </x:c>
      <x:c r="E678" s="166" t="str">
        <x:f>IFERROR(INDEX('Classif Gestoras'!$H$6:$H$462,MATCH(D678,'Classif Gestoras'!$A$6:$A$462,0)),"Não classificada")</x:f>
        <x:v>Independente</x:v>
      </x:c>
      <x:c r="F678" s="166" t="str">
        <x:v>QI DISTRIBUIDORA DE TITULOS E VALORES MOBILIARIOS LTDA</x:v>
      </x:c>
      <x:c r="G678" s="166" t="str">
        <x:v>QI CORRETORA DE TÍTULOS E VALORES MOBILIÁRIOS S.A.</x:v>
      </x:c>
      <x:c r="H678" s="166" t="str">
        <x:v>Financeiro</x:v>
      </x:c>
      <x:c r="I678" s="166" t="str">
        <x:v>Crédito Consignado</x:v>
      </x:c>
      <x:c r="J678" s="166" t="str">
        <x:v>CI</x:v>
      </x:c>
      <x:c r="K678" s="172" t="n">
        <x:v>138</x:v>
      </x:c>
      <x:c r="L678" s="185" t="str">
        <x:v>Não classificado</x:v>
      </x:c>
    </x:row>
    <x:row r="679">
      <x:c r="A679" s="175" t="str">
        <x:v>61.885.788/0001-55</x:v>
      </x:c>
      <x:c r="B679" s="166" t="str">
        <x:v>ITAÚ CRÉDITO ESTRUTURADO ADVISORY ALPES III FIDC RESPONSABILIDADE LIMITADA</x:v>
      </x:c>
      <x:c r="C679" s="188" t="n">
        <x:v>198644647.68</x:v>
      </x:c>
      <x:c r="D679" s="166" t="str">
        <x:v>ITAU ASSET</x:v>
      </x:c>
      <x:c r="E679" s="166" t="str">
        <x:f>IFERROR(INDEX('Classif Gestoras'!$H$6:$H$462,MATCH(D679,'Classif Gestoras'!$A$6:$A$462,0)),"Não classificada")</x:f>
        <x:v>Ligada a banco</x:v>
      </x:c>
      <x:c r="F679" s="166" t="str">
        <x:v>INTRAG DIST. DE TÍTU</x:v>
      </x:c>
      <x:c r="G679" s="166" t="str">
        <x:v>ITAU UNIBANCO S.A.</x:v>
      </x:c>
      <x:c r="H679" s="166" t="str">
        <x:v>Outros</x:v>
      </x:c>
      <x:c r="I679" s="166" t="str">
        <x:v>Multicarteira Outros</x:v>
      </x:c>
      <x:c r="J679" s="166" t="str">
        <x:v>CI</x:v>
      </x:c>
      <x:c r="K679" s="172" t="n">
        <x:v>2234</x:v>
      </x:c>
      <x:c r="L679" s="185" t="str">
        <x:v>Não classificado</x:v>
      </x:c>
    </x:row>
    <x:row r="680">
      <x:c r="A680" s="175" t="str">
        <x:v>51.956.448/0001-14</x:v>
      </x:c>
      <x:c r="B680" s="166" t="str">
        <x:v>FIDC SOMACRED CONSIGNADO PÚBLICO II - RESPONSABILIDADE LIMITADA</x:v>
      </x:c>
      <x:c r="C680" s="188" t="n">
        <x:v>198101240.94</x:v>
      </x:c>
      <x:c r="D680" s="166" t="str">
        <x:v>Oliveira Trust Servicer</x:v>
      </x:c>
      <x:c r="E680" s="166" t="str">
        <x:f>IFERROR(INDEX('Classif Gestoras'!$H$6:$H$462,MATCH(D680,'Classif Gestoras'!$A$6:$A$462,0)),"Não classificada")</x:f>
        <x:v>Independente</x:v>
      </x:c>
      <x:c r="F680" s="166" t="str">
        <x:v>Oliveira Trust DTVM</x:v>
      </x:c>
      <x:c r="G680" s="166" t="str">
        <x:v>OLIVEIRA TRUST DTVM S.A.</x:v>
      </x:c>
      <x:c r="H680" s="166" t="str">
        <x:v>Financeiro</x:v>
      </x:c>
      <x:c r="I680" s="166" t="str">
        <x:v>Crédito Consignado</x:v>
      </x:c>
      <x:c r="J680" s="166" t="str">
        <x:v>CI</x:v>
      </x:c>
      <x:c r="K680" s="172" t="n">
        <x:v>109</x:v>
      </x:c>
      <x:c r="L680" s="185" t="str">
        <x:v>Não classificado</x:v>
      </x:c>
    </x:row>
    <x:row r="681">
      <x:c r="A681" s="175" t="str">
        <x:v>44.680.409/0001-71</x:v>
      </x:c>
      <x:c r="B681" s="166" t="str">
        <x:v>JUST TEC FUNDO DE INVESTIMENTO EM DIREITOS CREDITORIOS</x:v>
      </x:c>
      <x:c r="C681" s="188" t="n">
        <x:v>198091696.43000004</x:v>
      </x:c>
      <x:c r="D681" s="166" t="str">
        <x:v>Plural Investimentos Gestão de Recursos Ltda.</x:v>
      </x:c>
      <x:c r="E681" s="166" t="str">
        <x:f>IFERROR(INDEX('Classif Gestoras'!$H$6:$H$462,MATCH(D681,'Classif Gestoras'!$A$6:$A$462,0)),"Não classificada")</x:f>
        <x:v>Ligada a banco</x:v>
      </x:c>
      <x:c r="F681" s="166" t="str">
        <x:v>Genial Investimentos Corretora de Valores Mobiliários S.A.</x:v>
      </x:c>
      <x:c r="G681" s="166" t="str">
        <x:v>BANCO GENIAL S.A.</x:v>
      </x:c>
      <x:c r="H681" s="166" t="str">
        <x:v>Outros</x:v>
      </x:c>
      <x:c r="I681" s="166" t="str">
        <x:v>Poder Público</x:v>
      </x:c>
      <x:c r="J681" s="166" t="str">
        <x:v>CI</x:v>
      </x:c>
      <x:c r="K681" s="172" t="n">
        <x:v>123</x:v>
      </x:c>
      <x:c r="L681" s="185" t="str">
        <x:v>Não classificado</x:v>
      </x:c>
    </x:row>
    <x:row r="682">
      <x:c r="A682" s="175" t="str">
        <x:v>35.949.242/0001-00</x:v>
      </x:c>
      <x:c r="B682" s="166" t="str">
        <x:v>XP OPUS I FUNDO DE INVESTIMENTO EM DIREITOS CREDITÓRIOS DO SETOR DO ENTRETENIMENTO DE RESP LIMITADA</x:v>
      </x:c>
      <x:c r="C682" s="188" t="n">
        <x:v>197648048.52</x:v>
      </x:c>
      <x:c r="D682" s="166" t="str">
        <x:v>Vista Real Estate</x:v>
      </x:c>
      <x:c r="E682" s="166" t="str">
        <x:f>IFERROR(INDEX('Classif Gestoras'!$H$6:$H$462,MATCH(D682,'Classif Gestoras'!$A$6:$A$462,0)),"Não classificada")</x:f>
        <x:v>Independente</x:v>
      </x:c>
      <x:c r="F682" s="166" t="str">
        <x:v>BRL TRUST DTVM</x:v>
      </x:c>
      <x:c r="G682" s="166" t="str">
        <x:v>BRL TRUST DISTRIBUIDORA DE TITULOS E VALORES MOBILIARIOS S.A.</x:v>
      </x:c>
      <x:c r="H682" s="166" t="str">
        <x:v>Agro, Indústria e Comércio</x:v>
      </x:c>
      <x:c r="I682" s="166" t="str">
        <x:v>Multicarteira Agro, Indústria e Comércio</x:v>
      </x:c>
      <x:c r="J682" s="166" t="str">
        <x:v>CI</x:v>
      </x:c>
      <x:c r="K682" s="172" t="n">
        <x:v>21</x:v>
      </x:c>
      <x:c r="L682" s="185" t="str">
        <x:v>Não classificado</x:v>
      </x:c>
    </x:row>
    <x:row r="683">
      <x:c r="A683" s="175" t="str">
        <x:v>46.711.630/0001-75</x:v>
      </x:c>
      <x:c r="B683" s="166" t="str">
        <x:v>CHEMICAL XII - FUNDO DE INVESTIMENTO EM DIREITOS CREDITÓRIOS - INDÚSTRIA PETROQUÍMICA</x:v>
      </x:c>
      <x:c r="C683" s="188" t="n">
        <x:v>197491668.4</x:v>
      </x:c>
      <x:c r="D683" s="166" t="str">
        <x:v>Banco Bradesco S/A</x:v>
      </x:c>
      <x:c r="E683" s="166" t="str">
        <x:f>IFERROR(INDEX('Classif Gestoras'!$H$6:$H$462,MATCH(D683,'Classif Gestoras'!$A$6:$A$462,0)),"Não classificada")</x:f>
        <x:v>Ligada a banco</x:v>
      </x:c>
      <x:c r="F683" s="166" t="str">
        <x:v>BEM - DIST. DE TÍTUL</x:v>
      </x:c>
      <x:c r="G683" s="166" t="str">
        <x:v>BANCO BRADESCO S.A.</x:v>
      </x:c>
      <x:c r="H683" s="166" t="str">
        <x:v>Agro, Indústria e Comércio</x:v>
      </x:c>
      <x:c r="I683" s="166" t="str">
        <x:v>Recebíveis Comerciais</x:v>
      </x:c>
      <x:c r="J683" s="166" t="str">
        <x:v>CI</x:v>
      </x:c>
      <x:c r="K683" s="172" t="n">
        <x:v>68</x:v>
      </x:c>
      <x:c r="L683" s="185" t="str">
        <x:v>Não classificado</x:v>
      </x:c>
    </x:row>
    <x:row r="684">
      <x:c r="A684" s="175" t="str">
        <x:v>40.169.680/0001-96</x:v>
      </x:c>
      <x:c r="B684" s="166" t="str">
        <x:v>GREEN FIDC SOLAR GD -FUNDO DE INVESTIMENTO EM DIREITOS CREDITORIOS SOCIOAMBIENTAL-ENERGIA SOLAR - IS</x:v>
      </x:c>
      <x:c r="C684" s="188" t="n">
        <x:v>196368020.91000003</x:v>
      </x:c>
      <x:c r="D684" s="166" t="str">
        <x:v>Albion Capital LTDA.</x:v>
      </x:c>
      <x:c r="E684" s="166" t="str">
        <x:f>IFERROR(INDEX('Classif Gestoras'!$H$6:$H$462,MATCH(D684,'Classif Gestoras'!$A$6:$A$462,0)),"Não classificada")</x:f>
        <x:v>Independente</x:v>
      </x:c>
      <x:c r="F684" s="166" t="str">
        <x:v>Oliveira Trust DTVM</x:v>
      </x:c>
      <x:c r="G684" s="166" t="str">
        <x:v>OLIVEIRA TRUST DTVM S.A.</x:v>
      </x:c>
      <x:c r="H684" s="166" t="str">
        <x:v>Agro, Indústria e Comércio</x:v>
      </x:c>
      <x:c r="I684" s="166" t="str">
        <x:v>Infraestrutura</x:v>
      </x:c>
      <x:c r="J684" s="166" t="str">
        <x:v>CI</x:v>
      </x:c>
      <x:c r="K684" s="172" t="n">
        <x:v>367</x:v>
      </x:c>
      <x:c r="L684" s="185" t="str">
        <x:v>Não classificado</x:v>
      </x:c>
    </x:row>
    <x:row r="685">
      <x:c r="A685" s="175" t="str">
        <x:v>61.987.722/0001-76</x:v>
      </x:c>
      <x:c r="B685" s="166" t="str">
        <x:v>VINLAND CRÉDITO ESTRUTURADO MASTER FUNDO DE INVESTIMENTO EM DIREITOS CREDITÓRIOS RESP LIMITADA</x:v>
      </x:c>
      <x:c r="C685" s="188" t="n">
        <x:v>196147013.23999995</x:v>
      </x:c>
      <x:c r="D685" s="166" t="str">
        <x:v>VINLAND CAPITAL MANAGEMENT CREDITO PRIVADO GESTORA DE R</x:v>
      </x:c>
      <x:c r="E685" s="166" t="str">
        <x:f>IFERROR(INDEX('Classif Gestoras'!$H$6:$H$462,MATCH(D685,'Classif Gestoras'!$A$6:$A$462,0)),"Não classificada")</x:f>
        <x:v>Independente</x:v>
      </x:c>
      <x:c r="F685" s="166" t="str">
        <x:v>BTG Pactual Servicos Financeiros S/A DTVM</x:v>
      </x:c>
      <x:c r="G685" s="166" t="str">
        <x:v>BANCO BTG PACTUAL S/A</x:v>
      </x:c>
      <x:c r="H685" s="166" t="str">
        <x:v>Outros</x:v>
      </x:c>
      <x:c r="I685" s="166" t="str">
        <x:v>Multicarteira Outros</x:v>
      </x:c>
      <x:c r="J685" s="166" t="str">
        <x:v>CI</x:v>
      </x:c>
      <x:c r="K685" s="172" t="n">
        <x:v>4</x:v>
      </x:c>
      <x:c r="L685" s="185" t="str">
        <x:v>Não classificado</x:v>
      </x:c>
    </x:row>
    <x:row r="686">
      <x:c r="A686" s="175" t="str">
        <x:v>31.608.972/0001-97</x:v>
      </x:c>
      <x:c r="B686" s="166" t="str">
        <x:v>GAD FUNDO DE INVESTIMENTO EM DIREITOS CREDITÓRIOS</x:v>
      </x:c>
      <x:c r="C686" s="188" t="n">
        <x:v>196008720.94</x:v>
      </x:c>
      <x:c r="D686" s="166" t="str">
        <x:v>Multiplica Capital</x:v>
      </x:c>
      <x:c r="E686" s="166" t="str">
        <x:f>IFERROR(INDEX('Classif Gestoras'!$H$6:$H$462,MATCH(D686,'Classif Gestoras'!$A$6:$A$462,0)),"Não classificada")</x:f>
        <x:v>Independente</x:v>
      </x:c>
      <x:c r="F686" s="166" t="str">
        <x:v>PLANNER CV</x:v>
      </x:c>
      <x:c r="G686" s="166" t="str">
        <x:v>PLANNER CORRETORA DE VALORES S.A.</x:v>
      </x:c>
      <x:c r="H686" s="166" t="str">
        <x:v>Outros</x:v>
      </x:c>
      <x:c r="I686" s="166" t="str">
        <x:v>Multicarteira Outros</x:v>
      </x:c>
      <x:c r="J686" s="166" t="str">
        <x:v>CI</x:v>
      </x:c>
      <x:c r="K686" s="172" t="n">
        <x:v>27</x:v>
      </x:c>
      <x:c r="L686" s="185" t="str">
        <x:v>Não classificado</x:v>
      </x:c>
    </x:row>
    <x:row r="687">
      <x:c r="A687" s="175" t="str">
        <x:v>12.400.421/0001-99</x:v>
      </x:c>
      <x:c r="B687" s="166" t="str">
        <x:v>LIBRA FUNDO DE INVESTIMENTO EM DIREITOS CREDITÓRIOS MULTISSETORIAL</x:v>
      </x:c>
      <x:c r="C687" s="188" t="n">
        <x:v>195239644.02999997</x:v>
      </x:c>
      <x:c r="D687" s="166" t="str">
        <x:v>TERCON ASSET MANAGEMENT</x:v>
      </x:c>
      <x:c r="E687" s="166" t="str">
        <x:f>IFERROR(INDEX('Classif Gestoras'!$H$6:$H$462,MATCH(D687,'Classif Gestoras'!$A$6:$A$462,0)),"Não classificada")</x:f>
        <x:v>Independente</x:v>
      </x:c>
      <x:c r="F687" s="166" t="str">
        <x:v>Singulare</x:v>
      </x:c>
      <x:c r="G687" s="166" t="str">
        <x:v>QI CORRETORA DE TÍTULOS E VALORES MOBILIÁRIOS S.A.</x:v>
      </x:c>
      <x:c r="H687" s="166" t="str">
        <x:v>Fomento Mercantil</x:v>
      </x:c>
      <x:c r="I687" s="166" t="str">
        <x:v>Fomento Mercantil</x:v>
      </x:c>
      <x:c r="J687" s="166" t="str">
        <x:v>CI</x:v>
      </x:c>
      <x:c r="K687" s="172" t="n">
        <x:v>81</x:v>
      </x:c>
      <x:c r="L687" s="185" t="str">
        <x:v>Não classificado</x:v>
      </x:c>
    </x:row>
    <x:row r="688">
      <x:c r="A688" s="175" t="str">
        <x:v>53.601.640/0001-13</x:v>
      </x:c>
      <x:c r="B688" s="166" t="str">
        <x:v>ECO MULTI HY FUNDO DE INVESTIMENTO EM DIREITOS CREDITÓRIOS RESPONSABILIDADE LIMITADA</x:v>
      </x:c>
      <x:c r="C688" s="188" t="n">
        <x:v>194719253.60999995</x:v>
      </x:c>
      <x:c r="D688" s="166" t="str">
        <x:v>Eco Gestão de Ativos LTDA.</x:v>
      </x:c>
      <x:c r="E688" s="166" t="str">
        <x:f>IFERROR(INDEX('Classif Gestoras'!$H$6:$H$462,MATCH(D688,'Classif Gestoras'!$A$6:$A$462,0)),"Não classificada")</x:f>
        <x:v>Independente</x:v>
      </x:c>
      <x:c r="F688" s="166" t="str">
        <x:v>BANCO DAYCOVAL S/A</x:v>
      </x:c>
      <x:c r="G688" s="166" t="str">
        <x:v>BANCO DAYCOVAL S.A.</x:v>
      </x:c>
      <x:c r="H688" s="166" t="str">
        <x:v>Financeiro</x:v>
      </x:c>
      <x:c r="I688" s="166" t="str">
        <x:v>Multicarteira Financeiro</x:v>
      </x:c>
      <x:c r="J688" s="166" t="str">
        <x:v>CI</x:v>
      </x:c>
      <x:c r="K688" s="172" t="n">
        <x:v>260</x:v>
      </x:c>
      <x:c r="L688" s="185" t="str">
        <x:v>Não classificado</x:v>
      </x:c>
    </x:row>
    <x:row r="689">
      <x:c r="A689" s="175" t="str">
        <x:v>33.019.220/0001-16</x:v>
      </x:c>
      <x:c r="B689" s="166" t="str">
        <x:v>GENESIS FUNDO DE INVESTIMENTO EM DIREITOS CREDITÓRIOS RESPONSABILIDADE LIMITADA</x:v>
      </x:c>
      <x:c r="C689" s="188" t="n">
        <x:v>194601588.68</x:v>
      </x:c>
      <x:c r="D689" s="166" t="str">
        <x:v>Invista Asset</x:v>
      </x:c>
      <x:c r="E689" s="166" t="str">
        <x:f>IFERROR(INDEX('Classif Gestoras'!$H$6:$H$462,MATCH(D689,'Classif Gestoras'!$A$6:$A$462,0)),"Não classificada")</x:f>
        <x:v>Independente</x:v>
      </x:c>
      <x:c r="F689" s="166" t="str">
        <x:v>Singulare</x:v>
      </x:c>
      <x:c r="G689" s="166" t="str">
        <x:v>QI CORRETORA DE TÍTULOS E VALORES MOBILIÁRIOS S.A.</x:v>
      </x:c>
      <x:c r="H689" s="166" t="str">
        <x:v>Fomento Mercantil</x:v>
      </x:c>
      <x:c r="I689" s="166" t="str">
        <x:v>Fomento Mercantil</x:v>
      </x:c>
      <x:c r="J689" s="166" t="str">
        <x:v>CI</x:v>
      </x:c>
      <x:c r="K689" s="172" t="n">
        <x:v>8</x:v>
      </x:c>
      <x:c r="L689" s="185" t="str">
        <x:v>Não classificado</x:v>
      </x:c>
    </x:row>
    <x:row r="690">
      <x:c r="A690" s="175" t="str">
        <x:v>55.891.903/0001-00</x:v>
      </x:c>
      <x:c r="B690" s="166" t="str">
        <x:v>SP TUNE FUNDO DE INVESTIMENTO EM DIREITOS CREDITÓRIOS RESPONSABILIDADE LIMITADA</x:v>
      </x:c>
      <x:c r="C690" s="188" t="n">
        <x:v>194388448.44</x:v>
      </x:c>
      <x:c r="D690" s="166" t="str">
        <x:v>FIDD Administração de Recursos Ltda.</x:v>
      </x:c>
      <x:c r="E690" s="166" t="str">
        <x:f>IFERROR(INDEX('Classif Gestoras'!$H$6:$H$462,MATCH(D690,'Classif Gestoras'!$A$6:$A$462,0)),"Não classificada")</x:f>
        <x:v>Independente</x:v>
      </x:c>
      <x:c r="F690" s="166" t="str">
        <x:v>FIDD DISTRIBUIDORA DE TITULOS E VALORES MOBILIARIOS LTD</x:v>
      </x:c>
      <x:c r="G690" s="166" t="str">
        <x:v>FIDD DISTRIBUIDORA DE TITULOS E VALORES MOBILIARIOS LTDA.</x:v>
      </x:c>
      <x:c r="H690" s="166" t="str">
        <x:v>Outros</x:v>
      </x:c>
      <x:c r="I690" s="166" t="str">
        <x:v>Poder Público</x:v>
      </x:c>
      <x:c r="J690" s="166" t="str">
        <x:v>CI</x:v>
      </x:c>
      <x:c r="K690" s="172" t="n">
        <x:v>1</x:v>
      </x:c>
      <x:c r="L690" s="185" t="str">
        <x:v>Não classificado</x:v>
      </x:c>
    </x:row>
    <x:row r="691">
      <x:c r="A691" s="175" t="str">
        <x:v>46.783.889/0001-21</x:v>
      </x:c>
      <x:c r="B691" s="166" t="str">
        <x:v>MIDAS FUNDO DE INVESTIMENTO EM DIREITOS CREDITÓRIOS NÃO PADRONIZADOS</x:v>
      </x:c>
      <x:c r="C691" s="188" t="n">
        <x:v>194174986</x:v>
      </x:c>
      <x:c r="D691" s="166" t="str">
        <x:v>GV ATACAMA CAPITAL LTDA.</x:v>
      </x:c>
      <x:c r="E691" s="166" t="str">
        <x:f>IFERROR(INDEX('Classif Gestoras'!$H$6:$H$462,MATCH(D691,'Classif Gestoras'!$A$6:$A$462,0)),"Não classificada")</x:f>
        <x:v>Independente</x:v>
      </x:c>
      <x:c r="F691" s="166" t="str">
        <x:v>Singulare</x:v>
      </x:c>
      <x:c r="G691" s="166" t="str">
        <x:v>QI CORRETORA DE TÍTULOS E VALORES MOBILIÁRIOS S.A.</x:v>
      </x:c>
      <x:c r="H691" s="166" t="str">
        <x:v>Outros</x:v>
      </x:c>
      <x:c r="I691" s="166" t="str">
        <x:v>Poder Público</x:v>
      </x:c>
      <x:c r="J691" s="166" t="str">
        <x:v>CI</x:v>
      </x:c>
      <x:c r="K691" s="172" t="n">
        <x:v>2</x:v>
      </x:c>
      <x:c r="L691" s="185" t="str">
        <x:v>Não classificado</x:v>
      </x:c>
    </x:row>
    <x:row r="692">
      <x:c r="A692" s="175" t="str">
        <x:v>54.091.598/0001-09</x:v>
      </x:c>
      <x:c r="B692" s="166" t="str">
        <x:v>JUGIS II PRÉ-PRECATÓRIOS FUNDO DE INVESTIMENTO EM DIREITOS CREDITÓRIOS</x:v>
      </x:c>
      <x:c r="C692" s="188" t="n">
        <x:v>194088585.1</x:v>
      </x:c>
      <x:c r="D692" s="166" t="str">
        <x:v>JUGIS CAPITAL GESTÃO DE RECURSOS LTDA.</x:v>
      </x:c>
      <x:c r="E692" s="166" t="str">
        <x:f>IFERROR(INDEX('Classif Gestoras'!$H$6:$H$462,MATCH(D692,'Classif Gestoras'!$A$6:$A$462,0)),"Não classificada")</x:f>
        <x:v>Independente</x:v>
      </x:c>
      <x:c r="F692" s="166" t="str">
        <x:v>BRL TRUST DTVM</x:v>
      </x:c>
      <x:c r="G692" s="166" t="str">
        <x:v>BRL TRUST DISTRIBUIDORA DE TITULOS E VALORES MOBILIARIOS S.A.</x:v>
      </x:c>
      <x:c r="H692" s="166" t="str">
        <x:v>Outros</x:v>
      </x:c>
      <x:c r="I692" s="166" t="str">
        <x:v>Poder Público</x:v>
      </x:c>
      <x:c r="J692" s="166" t="str">
        <x:v>CI</x:v>
      </x:c>
      <x:c r="K692" s="172" t="n">
        <x:v>127</x:v>
      </x:c>
      <x:c r="L692" s="185" t="str">
        <x:v>Não classificado</x:v>
      </x:c>
    </x:row>
    <x:row r="693">
      <x:c r="A693" s="175" t="str">
        <x:v>21.081.952/0001-57</x:v>
      </x:c>
      <x:c r="B693" s="166" t="str">
        <x:v>FICOU FÁCIL FUNDO DE INVESTIMENTO EM DIREITOS CREDITÓRIOS EDUCACIONAL RESPONSABILIDADE LIMITADA</x:v>
      </x:c>
      <x:c r="C693" s="188" t="n">
        <x:v>192239494.84</x:v>
      </x:c>
      <x:c r="D693" s="166" t="str">
        <x:v>VERT Gestora de Recursos Financeiros Ltda.</x:v>
      </x:c>
      <x:c r="E693" s="166" t="str">
        <x:f>IFERROR(INDEX('Classif Gestoras'!$H$6:$H$462,MATCH(D693,'Classif Gestoras'!$A$6:$A$462,0)),"Não classificada")</x:f>
        <x:v>Independente</x:v>
      </x:c>
      <x:c r="F693" s="166" t="str">
        <x:v>Oliveira Trust DTVM</x:v>
      </x:c>
      <x:c r="G693" s="166" t="str">
        <x:v>OLIVEIRA TRUST DTVM S.A.</x:v>
      </x:c>
      <x:c r="H693" s="166" t="str">
        <x:v>Financeiro</x:v>
      </x:c>
      <x:c r="I693" s="166" t="str">
        <x:v>Crédito Pessoal</x:v>
      </x:c>
      <x:c r="J693" s="166" t="str">
        <x:v>CI</x:v>
      </x:c>
      <x:c r="K693" s="172" t="n">
        <x:v>4</x:v>
      </x:c>
      <x:c r="L693" s="185" t="str">
        <x:v>Não classificado</x:v>
      </x:c>
    </x:row>
    <x:row r="694">
      <x:c r="A694" s="175" t="str">
        <x:v>42.747.344/0001-09</x:v>
      </x:c>
      <x:c r="B694" s="166" t="str">
        <x:v>MICROCRÉDITO FUNDO DE INVESTIMENTO EM DIREITOS CREDITÓRIOS DE RESPONSABILIDADE LIMITADA</x:v>
      </x:c>
      <x:c r="C694" s="188" t="n">
        <x:v>192076931.06</x:v>
      </x:c>
      <x:c r="D694" s="166" t="str">
        <x:v>EuQueroInvestir Gestão de Recursos Ltda.</x:v>
      </x:c>
      <x:c r="E694" s="166" t="str">
        <x:f>IFERROR(INDEX('Classif Gestoras'!$H$6:$H$462,MATCH(D694,'Classif Gestoras'!$A$6:$A$462,0)),"Não classificada")</x:f>
        <x:v>Independente</x:v>
      </x:c>
      <x:c r="F694" s="166" t="str">
        <x:v>BTG Pactual Servicos Financeiros S/A DTVM</x:v>
      </x:c>
      <x:c r="G694" s="166" t="str">
        <x:v>BANCO BTG PACTUAL S/A</x:v>
      </x:c>
      <x:c r="H694" s="166" t="str">
        <x:v>Outros</x:v>
      </x:c>
      <x:c r="I694" s="166" t="str">
        <x:v>Multicarteira Outros</x:v>
      </x:c>
      <x:c r="J694" s="166" t="str">
        <x:v>CI</x:v>
      </x:c>
      <x:c r="K694" s="172" t="n">
        <x:v>4306</x:v>
      </x:c>
      <x:c r="L694" s="185" t="str">
        <x:v>Não classificado</x:v>
      </x:c>
    </x:row>
    <x:row r="695">
      <x:c r="A695" s="175" t="str">
        <x:v>65.804.737/0001-02</x:v>
      </x:c>
      <x:c r="B695" s="166" t="str">
        <x:v>OLIVENZA FUNDO DE INVESTIMENTO EM DIREITOS CREDITÓRIOS NÃO PADRONIZADOS</x:v>
      </x:c>
      <x:c r="C695" s="188" t="n">
        <x:v>191946699.18</x:v>
      </x:c>
      <x:c r="D695" s="166" t="str">
        <x:v>Multiplica Capital</x:v>
      </x:c>
      <x:c r="E695" s="166" t="str">
        <x:f>IFERROR(INDEX('Classif Gestoras'!$H$6:$H$462,MATCH(D695,'Classif Gestoras'!$A$6:$A$462,0)),"Não classificada")</x:f>
        <x:v>Independente</x:v>
      </x:c>
      <x:c r="F695" s="166" t="str">
        <x:v>PLANNER CV</x:v>
      </x:c>
      <x:c r="G695" s="166" t="str">
        <x:v>PLANNER CORRETORA DE VALORES S.A.</x:v>
      </x:c>
      <x:c r="H695" s="166" t="str">
        <x:v>Outros</x:v>
      </x:c>
      <x:c r="I695" s="166" t="str">
        <x:v>Multicarteira Outros</x:v>
      </x:c>
      <x:c r="J695" s="166" t="str">
        <x:v>CI</x:v>
      </x:c>
      <x:c r="K695" s="172" t="n">
        <x:v>2</x:v>
      </x:c>
      <x:c r="L695" s="185" t="str">
        <x:v>Não classificado</x:v>
      </x:c>
    </x:row>
    <x:row r="696">
      <x:c r="A696" s="175" t="str">
        <x:v>25.167.283/0001-91</x:v>
      </x:c>
      <x:c r="B696" s="166" t="str">
        <x:v>KRIPTA FUNDO DE INVESTIMENTO EM DIREITOS CREDITÓRIOS</x:v>
      </x:c>
      <x:c r="C696" s="188" t="n">
        <x:v>191084361.16000003</x:v>
      </x:c>
      <x:c r="D696" s="166" t="str">
        <x:v>Libertas Asset</x:v>
      </x:c>
      <x:c r="E696" s="166" t="str">
        <x:f>IFERROR(INDEX('Classif Gestoras'!$H$6:$H$462,MATCH(D696,'Classif Gestoras'!$A$6:$A$462,0)),"Não classificada")</x:f>
        <x:v>Independente</x:v>
      </x:c>
      <x:c r="F696" s="166" t="str">
        <x:v>ACTUAL DTVM</x:v>
      </x:c>
      <x:c r="G696" s="166" t="str">
        <x:v>TRUSTEE DISTRIBUIDORA DE TITULOS E VALORES MOBILIARIOS LTDA.</x:v>
      </x:c>
      <x:c r="H696" s="166" t="str">
        <x:v>Outros</x:v>
      </x:c>
      <x:c r="I696" s="166" t="str">
        <x:v>Multicarteira Outros</x:v>
      </x:c>
      <x:c r="J696" s="166" t="str">
        <x:v>CI</x:v>
      </x:c>
      <x:c r="K696" s="172" t="n">
        <x:v>1</x:v>
      </x:c>
      <x:c r="L696" s="185" t="str">
        <x:v>Não classificado</x:v>
      </x:c>
    </x:row>
    <x:row r="697">
      <x:c r="A697" s="175" t="str">
        <x:v>22.881.521/0001-38</x:v>
      </x:c>
      <x:c r="B697" s="166" t="str">
        <x:v>JC HONORÁRIOS TDA FUNDO DE INVESTIMENTO EM DIREITOS CREDITÓRIOS NÃO-PADRONIZADOS</x:v>
      </x:c>
      <x:c r="C697" s="188" t="n">
        <x:v>190916464.7</x:v>
      </x:c>
      <x:c r="D697" s="166" t="str">
        <x:v>GV ATACAMA CAPITAL LTDA.</x:v>
      </x:c>
      <x:c r="E697" s="166" t="str">
        <x:f>IFERROR(INDEX('Classif Gestoras'!$H$6:$H$462,MATCH(D697,'Classif Gestoras'!$A$6:$A$462,0)),"Não classificada")</x:f>
        <x:v>Independente</x:v>
      </x:c>
      <x:c r="F697" s="166" t="str">
        <x:v>Singulare</x:v>
      </x:c>
      <x:c r="G697" s="166" t="str">
        <x:v>QI CORRETORA DE TÍTULOS E VALORES MOBILIÁRIOS S.A.</x:v>
      </x:c>
      <x:c r="H697" s="166" t="str">
        <x:v>Outros</x:v>
      </x:c>
      <x:c r="I697" s="166" t="str">
        <x:v>Poder Público</x:v>
      </x:c>
      <x:c r="J697" s="166" t="str">
        <x:v>CI</x:v>
      </x:c>
      <x:c r="K697" s="172" t="n">
        <x:v>2</x:v>
      </x:c>
      <x:c r="L697" s="185" t="str">
        <x:v>Não classificado</x:v>
      </x:c>
    </x:row>
    <x:row r="698">
      <x:c r="A698" s="175" t="str">
        <x:v>50.988.212/0001-05</x:v>
      </x:c>
      <x:c r="B698" s="166" t="str">
        <x:v>CARTÃO DE COMPRA SUPPLIER FUNDO DE INVESTIMENTO EM DIREITOS CREDITÓRIOS II-RESPONSABILIDADE LIMITADA</x:v>
      </x:c>
      <x:c r="C698" s="188" t="n">
        <x:v>190803905.81</x:v>
      </x:c>
      <x:c r="D698" s="166" t="str">
        <x:v>Oliveira Trust DTVM</x:v>
      </x:c>
      <x:c r="E698" s="166" t="str">
        <x:f>IFERROR(INDEX('Classif Gestoras'!$H$6:$H$462,MATCH(D698,'Classif Gestoras'!$A$6:$A$462,0)),"Não classificada")</x:f>
        <x:v>Independente</x:v>
      </x:c>
      <x:c r="F698" s="166" t="str">
        <x:v>Oliveira Trust DTVM</x:v>
      </x:c>
      <x:c r="G698" s="166" t="str">
        <x:v>OLIVEIRA TRUST DTVM S.A.</x:v>
      </x:c>
      <x:c r="H698" s="166" t="str">
        <x:v>Financeiro</x:v>
      </x:c>
      <x:c r="I698" s="166" t="str">
        <x:v>Crédito Pessoal</x:v>
      </x:c>
      <x:c r="J698" s="166" t="str">
        <x:v>CI</x:v>
      </x:c>
      <x:c r="K698" s="172" t="n">
        <x:v>3</x:v>
      </x:c>
      <x:c r="L698" s="185" t="str">
        <x:v>Não classificado</x:v>
      </x:c>
    </x:row>
    <x:row r="699">
      <x:c r="A699" s="175" t="str">
        <x:v>53.286.391/0001-19</x:v>
      </x:c>
      <x:c r="B699" s="166" t="str">
        <x:v>CONSIGNADOS VIII FUNDO DE INVESTIMENTO EM DIREITOS CREDITÓRIOS - RESPONSABILIDADE LIMITADA</x:v>
      </x:c>
      <x:c r="C699" s="188" t="n">
        <x:v>190711299.65999997</x:v>
      </x:c>
      <x:c r="D699" s="166" t="str">
        <x:v>BRZ Investimentos</x:v>
      </x:c>
      <x:c r="E699" s="166" t="str">
        <x:f>IFERROR(INDEX('Classif Gestoras'!$H$6:$H$462,MATCH(D699,'Classif Gestoras'!$A$6:$A$462,0)),"Não classificada")</x:f>
        <x:v>Independente</x:v>
      </x:c>
      <x:c r="F699" s="166" t="str">
        <x:v>Banvox DTVM</x:v>
      </x:c>
      <x:c r="G699" s="166" t="str">
        <x:v>QI CORRETORA DE TÍTULOS E VALORES MOBILIÁRIOS S.A.</x:v>
      </x:c>
      <x:c r="H699" s="166" t="str">
        <x:v>Financeiro</x:v>
      </x:c>
      <x:c r="I699" s="166" t="str">
        <x:v>Crédito Consignado</x:v>
      </x:c>
      <x:c r="J699" s="166" t="str">
        <x:v>CI</x:v>
      </x:c>
      <x:c r="K699" s="172" t="n">
        <x:v>55</x:v>
      </x:c>
      <x:c r="L699" s="185" t="str">
        <x:v>Não classificado</x:v>
      </x:c>
    </x:row>
    <x:row r="700">
      <x:c r="A700" s="175" t="str">
        <x:v>64.756.178/0001-40</x:v>
      </x:c>
      <x:c r="B700" s="166" t="str">
        <x:v>G5 FUNDO DE INVESTIMENTO EM DIREITOS CREDITÓRIOS DE INFRAESTRUTURA ALLOCATION</x:v>
      </x:c>
      <x:c r="C700" s="188" t="n">
        <x:v>190619496.10999995</x:v>
      </x:c>
      <x:c r="D700" s="166" t="str">
        <x:v>G5 Adm. de Recursos</x:v>
      </x:c>
      <x:c r="E700" s="166" t="str">
        <x:f>IFERROR(INDEX('Classif Gestoras'!$H$6:$H$462,MATCH(D700,'Classif Gestoras'!$A$6:$A$462,0)),"Não classificada")</x:f>
        <x:v>Independente</x:v>
      </x:c>
      <x:c r="F700" s="166" t="str">
        <x:v>Singulare</x:v>
      </x:c>
      <x:c r="G700" s="166" t="str">
        <x:v>QI CORRETORA DE TÍTULOS E VALORES MOBILIÁRIOS S.A.</x:v>
      </x:c>
      <x:c r="H700" s="166" t="str">
        <x:v>Agro, Indústria e Comércio</x:v>
      </x:c>
      <x:c r="I700" s="166" t="str">
        <x:v>Infraestrutura</x:v>
      </x:c>
      <x:c r="J700" s="166" t="str">
        <x:v>CI</x:v>
      </x:c>
      <x:c r="K700" s="172" t="n">
        <x:v>121</x:v>
      </x:c>
      <x:c r="L700" s="185" t="str">
        <x:v>Não classificado</x:v>
      </x:c>
    </x:row>
    <x:row r="701">
      <x:c r="A701" s="175" t="str">
        <x:v>58.321.970/0001-79</x:v>
      </x:c>
      <x:c r="B701" s="166" t="str">
        <x:v>SIRIUS IV FUNDO DE INVESTIMENTO EM DIREITOS CREDITÓRIOS</x:v>
      </x:c>
      <x:c r="C701" s="188" t="n">
        <x:v>190606985.96</x:v>
      </x:c>
      <x:c r="D701" s="166" t="str">
        <x:v>TERCON ASSET MANAGEMENT</x:v>
      </x:c>
      <x:c r="E701" s="166" t="str">
        <x:f>IFERROR(INDEX('Classif Gestoras'!$H$6:$H$462,MATCH(D701,'Classif Gestoras'!$A$6:$A$462,0)),"Não classificada")</x:f>
        <x:v>Independente</x:v>
      </x:c>
      <x:c r="F701" s="166" t="str">
        <x:v>Singulare</x:v>
      </x:c>
      <x:c r="G701" s="166" t="str">
        <x:v>QI CORRETORA DE TÍTULOS E VALORES MOBILIÁRIOS S.A.</x:v>
      </x:c>
      <x:c r="H701" s="166" t="str">
        <x:v>Fomento Mercantil</x:v>
      </x:c>
      <x:c r="I701" s="166" t="str">
        <x:v>Fomento Mercantil</x:v>
      </x:c>
      <x:c r="J701" s="166" t="str">
        <x:v>CI</x:v>
      </x:c>
      <x:c r="K701" s="172" t="n">
        <x:v>2</x:v>
      </x:c>
      <x:c r="L701" s="185" t="str">
        <x:v>Não classificado</x:v>
      </x:c>
    </x:row>
    <x:row r="702">
      <x:c r="A702" s="175" t="str">
        <x:v>63.070.011/0001-68</x:v>
      </x:c>
      <x:c r="B702" s="166" t="str">
        <x:v>FIONA FUNDO DE INVESTIMENTO EM DIREITOS CREDITÓRIOS RESPONSABILIDADE LIMITADA</x:v>
      </x:c>
      <x:c r="C702" s="188" t="n">
        <x:v>190415981.1</x:v>
      </x:c>
      <x:c r="D702" s="166" t="str">
        <x:v>SUESTE CAPITAL GESTÃO DE RECURSOS LTDA.</x:v>
      </x:c>
      <x:c r="E702" s="166" t="str">
        <x:f>IFERROR(INDEX('Classif Gestoras'!$H$6:$H$462,MATCH(D702,'Classif Gestoras'!$A$6:$A$462,0)),"Não classificada")</x:f>
        <x:v>Independente</x:v>
      </x:c>
      <x:c r="F702" s="166" t="str">
        <x:v>Oliveira Trust DTVM</x:v>
      </x:c>
      <x:c r="G702" s="166" t="str">
        <x:v>OLIVEIRA TRUST DTVM S.A.</x:v>
      </x:c>
      <x:c r="H702" s="166" t="str">
        <x:v>Outros</x:v>
      </x:c>
      <x:c r="I702" s="166" t="str">
        <x:v>Multicarteira Outros</x:v>
      </x:c>
      <x:c r="J702" s="166" t="str">
        <x:v>CI</x:v>
      </x:c>
      <x:c r="K702" s="172" t="n">
        <x:v>1</x:v>
      </x:c>
      <x:c r="L702" s="185" t="str">
        <x:v>Não classificado</x:v>
      </x:c>
    </x:row>
    <x:row r="703">
      <x:c r="A703" s="175" t="str">
        <x:v>55.768.379/0001-76</x:v>
      </x:c>
      <x:c r="B703" s="166" t="str">
        <x:v>FGTS V FUNDO DE INVESTIMENTO EM DIREITOS CREDITÓRIOS</x:v>
      </x:c>
      <x:c r="C703" s="188" t="n">
        <x:v>189340308.61</x:v>
      </x:c>
      <x:c r="D703" s="166" t="str">
        <x:v>ANGÁ ASSET MANAGEMENT</x:v>
      </x:c>
      <x:c r="E703" s="166" t="str">
        <x:f>IFERROR(INDEX('Classif Gestoras'!$H$6:$H$462,MATCH(D703,'Classif Gestoras'!$A$6:$A$462,0)),"Não classificada")</x:f>
        <x:v>Independente</x:v>
      </x:c>
      <x:c r="F703" s="166" t="str">
        <x:v>BANCO DAYCOVAL S/A</x:v>
      </x:c>
      <x:c r="G703" s="166" t="str">
        <x:v>BANCO DAYCOVAL S.A.</x:v>
      </x:c>
      <x:c r="H703" s="166" t="str">
        <x:v>Financeiro</x:v>
      </x:c>
      <x:c r="I703" s="166" t="str">
        <x:v>Multicarteira Financeiro</x:v>
      </x:c>
      <x:c r="J703" s="166" t="str">
        <x:v>CI</x:v>
      </x:c>
      <x:c r="K703" s="172" t="n">
        <x:v>7</x:v>
      </x:c>
      <x:c r="L703" s="185" t="str">
        <x:v>Não classificado</x:v>
      </x:c>
    </x:row>
    <x:row r="704">
      <x:c r="A704" s="175" t="str">
        <x:v>40.753.151/0001-35</x:v>
      </x:c>
      <x:c r="B704" s="166" t="str">
        <x:v>JP CAPITAL FUNDO DE INVESTIMENTO EM DIREITOS CREDITÓRIOS - RESPONSABILIDADE LIMITADA</x:v>
      </x:c>
      <x:c r="C704" s="188" t="n">
        <x:v>189280087.75000003</x:v>
      </x:c>
      <x:c r="D704" s="166" t="str">
        <x:v>Apuama Capital</x:v>
      </x:c>
      <x:c r="E704" s="166" t="str">
        <x:f>IFERROR(INDEX('Classif Gestoras'!$H$6:$H$462,MATCH(D704,'Classif Gestoras'!$A$6:$A$462,0)),"Não classificada")</x:f>
        <x:v>Independente</x:v>
      </x:c>
      <x:c r="F704" s="166" t="str">
        <x:v>Singulare</x:v>
      </x:c>
      <x:c r="G704" s="166" t="str">
        <x:v>QI CORRETORA DE TÍTULOS E VALORES MOBILIÁRIOS S.A.</x:v>
      </x:c>
      <x:c r="H704" s="166" t="str">
        <x:v>Fomento Mercantil</x:v>
      </x:c>
      <x:c r="I704" s="166" t="str">
        <x:v>Fomento Mercantil</x:v>
      </x:c>
      <x:c r="J704" s="166" t="str">
        <x:v>CI</x:v>
      </x:c>
      <x:c r="K704" s="172" t="n">
        <x:v>48</x:v>
      </x:c>
      <x:c r="L704" s="185" t="str">
        <x:v>Não classificado</x:v>
      </x:c>
    </x:row>
    <x:row r="705">
      <x:c r="A705" s="175" t="str">
        <x:v>62.323.195/0001-68</x:v>
      </x:c>
      <x:c r="B705" s="166" t="str">
        <x:v>FIBRA RUBICON FUNDO DE INVESTIMENTO EM DIREITOS CREDITÓRIOS RESPONSABILIDADE LIMITADA</x:v>
      </x:c>
      <x:c r="C705" s="188" t="n">
        <x:v>188505504.52</x:v>
      </x:c>
      <x:c r="D705" s="166" t="str">
        <x:v>Fibra Asset</x:v>
      </x:c>
      <x:c r="E705" s="166" t="str">
        <x:f>IFERROR(INDEX('Classif Gestoras'!$H$6:$H$462,MATCH(D705,'Classif Gestoras'!$A$6:$A$462,0)),"Não classificada")</x:f>
        <x:v>Independente</x:v>
      </x:c>
      <x:c r="F705" s="166" t="str">
        <x:v>Limine Trust Distribuidora de Titulos e Valores Mobiliá</x:v>
      </x:c>
      <x:c r="G705" s="166" t="str">
        <x:v>LIMINE TRUST DISTRIBUIDORA DE TITULOS E VALORES MOBILIARIOS LTDA.</x:v>
      </x:c>
      <x:c r="H705" s="166" t="str">
        <x:v>Financeiro</x:v>
      </x:c>
      <x:c r="I705" s="166" t="str">
        <x:v>Crédito Consignado</x:v>
      </x:c>
      <x:c r="J705" s="166" t="str">
        <x:v>CI</x:v>
      </x:c>
      <x:c r="K705" s="172" t="n">
        <x:v>2</x:v>
      </x:c>
      <x:c r="L705" s="185" t="str">
        <x:v>Não classificado</x:v>
      </x:c>
    </x:row>
    <x:row r="706">
      <x:c r="A706" s="175" t="str">
        <x:v>62.160.076/0001-31</x:v>
      </x:c>
      <x:c r="B706" s="166" t="str">
        <x:v>TKO I FUNDO DE INVESTIMENTO EM DIREITOS CREDITÓRIOS</x:v>
      </x:c>
      <x:c r="C706" s="188" t="n">
        <x:v>187736157.7</x:v>
      </x:c>
      <x:c r="D706" s="166" t="str">
        <x:v>ANGÁ ASSET MANAGEMENT</x:v>
      </x:c>
      <x:c r="E706" s="166" t="str">
        <x:f>IFERROR(INDEX('Classif Gestoras'!$H$6:$H$462,MATCH(D706,'Classif Gestoras'!$A$6:$A$462,0)),"Não classificada")</x:f>
        <x:v>Independente</x:v>
      </x:c>
      <x:c r="F706" s="166" t="str">
        <x:v>BANCO DAYCOVAL S/A</x:v>
      </x:c>
      <x:c r="G706" s="166" t="str">
        <x:v>BANCO DAYCOVAL S.A.</x:v>
      </x:c>
      <x:c r="H706" s="166" t="str">
        <x:v>Financeiro</x:v>
      </x:c>
      <x:c r="I706" s="166" t="str">
        <x:v>Crédito Pessoal</x:v>
      </x:c>
      <x:c r="J706" s="166" t="str">
        <x:v>CI</x:v>
      </x:c>
      <x:c r="K706" s="172" t="n">
        <x:v>12</x:v>
      </x:c>
      <x:c r="L706" s="185" t="str">
        <x:v>Não classificado</x:v>
      </x:c>
    </x:row>
    <x:row r="707">
      <x:c r="A707" s="175" t="str">
        <x:v>59.900.616/0001-61</x:v>
      </x:c>
      <x:c r="B707" s="166" t="str">
        <x:v>GALAPAGOS SANTA HELENA FUNDO DE INVESTIMENTO EM DIREITOS CREDITÓRIOS RESPONSABILIDADE LIMITADA</x:v>
      </x:c>
      <x:c r="C707" s="188" t="n">
        <x:v>187527494.72</x:v>
      </x:c>
      <x:c r="D707" s="166" t="str">
        <x:v>Galápagos</x:v>
      </x:c>
      <x:c r="E707" s="166" t="str">
        <x:f>IFERROR(INDEX('Classif Gestoras'!$H$6:$H$462,MATCH(D707,'Classif Gestoras'!$A$6:$A$462,0)),"Não classificada")</x:f>
        <x:v>Independente</x:v>
      </x:c>
      <x:c r="F707" s="166" t="str">
        <x:v>VÓRTX DTVM</x:v>
      </x:c>
      <x:c r="G707" s="166" t="str">
        <x:v>VORTX DISTRIBUIDORA DE TITULOS E VALORES MOBILIARIOS LTDA.</x:v>
      </x:c>
      <x:c r="H707" s="166" t="str">
        <x:v>Outros</x:v>
      </x:c>
      <x:c r="I707" s="166" t="str">
        <x:v>Poder Público</x:v>
      </x:c>
      <x:c r="J707" s="166" t="str">
        <x:v>CI</x:v>
      </x:c>
      <x:c r="K707" s="172" t="n">
        <x:v>13</x:v>
      </x:c>
      <x:c r="L707" s="185" t="str">
        <x:v>Não classificado</x:v>
      </x:c>
    </x:row>
    <x:row r="708">
      <x:c r="A708" s="175" t="str">
        <x:v>63.784.711/0001-14</x:v>
      </x:c>
      <x:c r="B708" s="166" t="str">
        <x:v>DGV FUNDO DE INVESTIMENTOS EM DIREITOS CREDITÓRIOS</x:v>
      </x:c>
      <x:c r="C708" s="188" t="n">
        <x:v>187119360.27</x:v>
      </x:c>
      <x:c r="D708" s="166" t="str">
        <x:v>VESTRA CAPITAL</x:v>
      </x:c>
      <x:c r="E708" s="166" t="str">
        <x:f>IFERROR(INDEX('Classif Gestoras'!$H$6:$H$462,MATCH(D708,'Classif Gestoras'!$A$6:$A$462,0)),"Não classificada")</x:f>
        <x:v>Independente</x:v>
      </x:c>
      <x:c r="F708" s="166" t="str">
        <x:v>LASTRO RDV DIST. DE</x:v>
      </x:c>
      <x:c r="G708" s="166" t="str">
        <x:v>LASTRO RDV DTVM LTDA</x:v>
      </x:c>
      <x:c r="H708" s="166" t="str">
        <x:v>Outros</x:v>
      </x:c>
      <x:c r="I708" s="166" t="str">
        <x:v>Multicarteira Outros</x:v>
      </x:c>
      <x:c r="J708" s="166" t="str">
        <x:v>CI</x:v>
      </x:c>
      <x:c r="K708" s="172" t="n">
        <x:v>3</x:v>
      </x:c>
      <x:c r="L708" s="185" t="str">
        <x:v>Não classificado</x:v>
      </x:c>
    </x:row>
    <x:row r="709">
      <x:c r="A709" s="175" t="str">
        <x:v>54.495.443/0001-20</x:v>
      </x:c>
      <x:c r="B709" s="166" t="str">
        <x:v>GV HOME EQUITY FUNDO DE INVESTIMENTO EM DIREITOS CREDITÓRIOS</x:v>
      </x:c>
      <x:c r="C709" s="188" t="n">
        <x:v>186280052.77001</x:v>
      </x:c>
      <x:c r="D709" s="166" t="str">
        <x:v>GV ATACAMA CAPITAL LTDA.</x:v>
      </x:c>
      <x:c r="E709" s="166" t="str">
        <x:f>IFERROR(INDEX('Classif Gestoras'!$H$6:$H$462,MATCH(D709,'Classif Gestoras'!$A$6:$A$462,0)),"Não classificada")</x:f>
        <x:v>Independente</x:v>
      </x:c>
      <x:c r="F709" s="166" t="str">
        <x:v>Singulare</x:v>
      </x:c>
      <x:c r="G709" s="166" t="str">
        <x:v>QI CORRETORA DE TÍTULOS E VALORES MOBILIÁRIOS S.A.</x:v>
      </x:c>
      <x:c r="H709" s="166" t="str">
        <x:v>Outros</x:v>
      </x:c>
      <x:c r="I709" s="166" t="str">
        <x:v>Multicarteira Outros</x:v>
      </x:c>
      <x:c r="J709" s="166" t="str">
        <x:v>CI</x:v>
      </x:c>
      <x:c r="K709" s="172" t="n">
        <x:v>5</x:v>
      </x:c>
      <x:c r="L709" s="185" t="str">
        <x:v>Não classificado</x:v>
      </x:c>
    </x:row>
    <x:row r="710">
      <x:c r="A710" s="175" t="str">
        <x:v>29.720.582/0001-62</x:v>
      </x:c>
      <x:c r="B710" s="166" t="str">
        <x:v>SG FUNDO DE INVESTIMENTO EM DIREITOS CREDITÓRIOS</x:v>
      </x:c>
      <x:c r="C710" s="188" t="n">
        <x:v>186222576.22</x:v>
      </x:c>
      <x:c r="D710" s="166" t="str">
        <x:v>Solis</x:v>
      </x:c>
      <x:c r="E710" s="166" t="str">
        <x:f>IFERROR(INDEX('Classif Gestoras'!$H$6:$H$462,MATCH(D710,'Classif Gestoras'!$A$6:$A$462,0)),"Não classificada")</x:f>
        <x:v>Independente</x:v>
      </x:c>
      <x:c r="F710" s="166" t="str">
        <x:v>HEMERA DTVM</x:v>
      </x:c>
      <x:c r="G710" s="166" t="str">
        <x:v>HEMERA DISTRIBUIDORA DE TITULOS E VALORES MOBILIARIOS LTDA</x:v>
      </x:c>
      <x:c r="H710" s="166" t="str">
        <x:v>Outros</x:v>
      </x:c>
      <x:c r="I710" s="166" t="str">
        <x:v>Multicarteira Outros</x:v>
      </x:c>
      <x:c r="J710" s="166" t="str">
        <x:v>CI</x:v>
      </x:c>
      <x:c r="K710" s="172" t="n">
        <x:v>54</x:v>
      </x:c>
      <x:c r="L710" s="185" t="str">
        <x:v>Não classificado</x:v>
      </x:c>
    </x:row>
    <x:row r="711">
      <x:c r="A711" s="175" t="str">
        <x:v>10.269.029/0001-27</x:v>
      </x:c>
      <x:c r="B711" s="166" t="str">
        <x:v>AJAXJUD - FUNDO DE INVESTIMENTO EM DIREITOS CREDITÓRIOS MULTISEGMENTOS DE RESPONSABILIDADE LIMITADA</x:v>
      </x:c>
      <x:c r="C711" s="188" t="n">
        <x:v>186049954.3</x:v>
      </x:c>
      <x:c r="D711" s="166" t="str">
        <x:v>Solis</x:v>
      </x:c>
      <x:c r="E711" s="166" t="str">
        <x:f>IFERROR(INDEX('Classif Gestoras'!$H$6:$H$462,MATCH(D711,'Classif Gestoras'!$A$6:$A$462,0)),"Não classificada")</x:f>
        <x:v>Independente</x:v>
      </x:c>
      <x:c r="F711" s="166" t="str">
        <x:v>HEMERA DTVM</x:v>
      </x:c>
      <x:c r="G711" s="166" t="str">
        <x:v>HEMERA DISTRIBUIDORA DE TITULOS E VALORES MOBILIARIOS LTDA</x:v>
      </x:c>
      <x:c r="H711" s="166" t="str">
        <x:v>Outros</x:v>
      </x:c>
      <x:c r="I711" s="166" t="str">
        <x:v>Multicarteira Outros</x:v>
      </x:c>
      <x:c r="J711" s="166" t="str">
        <x:v>CI</x:v>
      </x:c>
      <x:c r="K711" s="172" t="n">
        <x:v>3</x:v>
      </x:c>
      <x:c r="L711" s="185" t="str">
        <x:v>Não classificado</x:v>
      </x:c>
    </x:row>
    <x:row r="712">
      <x:c r="A712" s="175" t="str">
        <x:v>41.114.564/0001-32</x:v>
      </x:c>
      <x:c r="B712" s="166" t="str">
        <x:v>LARCA MULTIPLICA CAPITAL FUNDO DE INVESTIMENTO EM DIREITOS CREDITÓRIOS</x:v>
      </x:c>
      <x:c r="C712" s="188" t="n">
        <x:v>185878656.02999997</x:v>
      </x:c>
      <x:c r="D712" s="166" t="str">
        <x:v>TERCON ASSET MANAGEMENT</x:v>
      </x:c>
      <x:c r="E712" s="166" t="str">
        <x:f>IFERROR(INDEX('Classif Gestoras'!$H$6:$H$462,MATCH(D712,'Classif Gestoras'!$A$6:$A$462,0)),"Não classificada")</x:f>
        <x:v>Independente</x:v>
      </x:c>
      <x:c r="F712" s="166" t="str">
        <x:v>MASTER S/A CORRETORA</x:v>
      </x:c>
      <x:c r="G712" s="166" t="str">
        <x:v>QI CORRETORA DE TÍTULOS E VALORES MOBILIÁRIOS S.A.</x:v>
      </x:c>
      <x:c r="H712" s="166" t="str">
        <x:v>Outros</x:v>
      </x:c>
      <x:c r="I712" s="166" t="str">
        <x:v>Fomento Mercantil</x:v>
      </x:c>
      <x:c r="J712" s="166" t="str">
        <x:v>CI</x:v>
      </x:c>
      <x:c r="K712" s="172" t="n">
        <x:v>65</x:v>
      </x:c>
      <x:c r="L712" s="185" t="str">
        <x:v>Não classificado</x:v>
      </x:c>
    </x:row>
    <x:row r="713">
      <x:c r="A713" s="175" t="str">
        <x:v>30.590.978/0001-11</x:v>
      </x:c>
      <x:c r="B713" s="166" t="str">
        <x:v>AUTOMOTIVO FUNDO DE INVESTIMENTO EM DIREITOS CREDITÓRIOS</x:v>
      </x:c>
      <x:c r="C713" s="188" t="n">
        <x:v>185704203.99</x:v>
      </x:c>
      <x:c r="D713" s="166" t="str">
        <x:v>Oliveira Trust Servicer</x:v>
      </x:c>
      <x:c r="E713" s="166" t="str">
        <x:f>IFERROR(INDEX('Classif Gestoras'!$H$6:$H$462,MATCH(D713,'Classif Gestoras'!$A$6:$A$462,0)),"Não classificada")</x:f>
        <x:v>Independente</x:v>
      </x:c>
      <x:c r="F713" s="166" t="str">
        <x:v>Oliveira Trust DTVM</x:v>
      </x:c>
      <x:c r="G713" s="166" t="str">
        <x:v>OLIVEIRA TRUST DTVM S.A.</x:v>
      </x:c>
      <x:c r="H713" s="166" t="str">
        <x:v>Agro, Indústria e Comércio</x:v>
      </x:c>
      <x:c r="I713" s="166" t="str">
        <x:v>Crédito Corporativo</x:v>
      </x:c>
      <x:c r="J713" s="166" t="str">
        <x:v>CI</x:v>
      </x:c>
      <x:c r="K713" s="172" t="n">
        <x:v>57</x:v>
      </x:c>
      <x:c r="L713" s="185" t="str">
        <x:v>Não classificado</x:v>
      </x:c>
    </x:row>
    <x:row r="714">
      <x:c r="A714" s="175" t="str">
        <x:v>52.155.823/0001-90</x:v>
      </x:c>
      <x:c r="B714" s="166" t="str">
        <x:v>CHIMERA NPL &amp; SPECIAL OPPORTUNITIES II FUNDO DE INVESTIMENTO EM DIREITOS CREDITÓRIOS DE RESPONSABILI</x:v>
      </x:c>
      <x:c r="C714" s="188" t="n">
        <x:v>185440316.49</x:v>
      </x:c>
      <x:c r="D714" s="166" t="str">
        <x:v>Chimera Capital Asset Management Ltda.</x:v>
      </x:c>
      <x:c r="E714" s="166" t="str">
        <x:f>IFERROR(INDEX('Classif Gestoras'!$H$6:$H$462,MATCH(D714,'Classif Gestoras'!$A$6:$A$462,0)),"Não classificada")</x:f>
        <x:v>Independente</x:v>
      </x:c>
      <x:c r="F714" s="166" t="str">
        <x:v>VÓRTX DTVM</x:v>
      </x:c>
      <x:c r="G714" s="166" t="str">
        <x:v>VORTX DISTRIBUIDORA DE TITULOS E VALORES MOBILIARIOS LTDA.</x:v>
      </x:c>
      <x:c r="H714" s="166" t="str">
        <x:v>Outros</x:v>
      </x:c>
      <x:c r="I714" s="166" t="str">
        <x:v>Multicarteira Outros</x:v>
      </x:c>
      <x:c r="J714" s="166" t="str">
        <x:v>CI</x:v>
      </x:c>
      <x:c r="K714" s="172" t="n">
        <x:v>3</x:v>
      </x:c>
      <x:c r="L714" s="185" t="str">
        <x:v>Não classificado</x:v>
      </x:c>
    </x:row>
    <x:row r="715">
      <x:c r="A715" s="175" t="str">
        <x:v>55.257.461/0001-36</x:v>
      </x:c>
      <x:c r="B715" s="166" t="str">
        <x:v>SELLOR FUNDO DE INVESTIMENTO EM DIREITOS CREDITÓRIOS MULTISSETORIAL</x:v>
      </x:c>
      <x:c r="C715" s="188" t="n">
        <x:v>185140620.29</x:v>
      </x:c>
      <x:c r="D715" s="166" t="str">
        <x:v>ORRAM GESTÃO DE RECURSOS LTDA.</x:v>
      </x:c>
      <x:c r="E715" s="166" t="str">
        <x:f>IFERROR(INDEX('Classif Gestoras'!$H$6:$H$462,MATCH(D715,'Classif Gestoras'!$A$6:$A$462,0)),"Não classificada")</x:f>
        <x:v>Independente</x:v>
      </x:c>
      <x:c r="F715" s="166" t="str">
        <x:v>Singulare</x:v>
      </x:c>
      <x:c r="G715" s="166" t="str">
        <x:v>QI CORRETORA DE TÍTULOS E VALORES MOBILIÁRIOS S.A.</x:v>
      </x:c>
      <x:c r="H715" s="166" t="str">
        <x:v>Fomento Mercantil</x:v>
      </x:c>
      <x:c r="I715" s="166" t="str">
        <x:v>Fomento Mercantil</x:v>
      </x:c>
      <x:c r="J715" s="166" t="str">
        <x:v>CI</x:v>
      </x:c>
      <x:c r="K715" s="172" t="n">
        <x:v>52</x:v>
      </x:c>
      <x:c r="L715" s="185" t="str">
        <x:v>Não classificado</x:v>
      </x:c>
    </x:row>
    <x:row r="716">
      <x:c r="A716" s="175" t="str">
        <x:v>46.390.255/0001-09</x:v>
      </x:c>
      <x:c r="B716" s="166" t="str">
        <x:v>CULTURA AGROMAIS FIAGRO RESPONSABILIDADE LIMITADA</x:v>
      </x:c>
      <x:c r="C716" s="188" t="n">
        <x:v>185063382.97999996</x:v>
      </x:c>
      <x:c r="D716" s="166" t="str">
        <x:v>Artesanal Agro</x:v>
      </x:c>
      <x:c r="E716" s="166" t="str">
        <x:f>IFERROR(INDEX('Classif Gestoras'!$H$6:$H$462,MATCH(D716,'Classif Gestoras'!$A$6:$A$462,0)),"Não classificada")</x:f>
        <x:v>Independente</x:v>
      </x:c>
      <x:c r="F716" s="166" t="str">
        <x:v>Singulare</x:v>
      </x:c>
      <x:c r="G716" s="166" t="str">
        <x:v>QI CORRETORA DE TÍTULOS E VALORES MOBILIÁRIOS S.A.</x:v>
      </x:c>
      <x:c r="H716" s="166" t="str">
        <x:v>Agro, Indústria e Comércio</x:v>
      </x:c>
      <x:c r="I716" s="166" t="str">
        <x:v>Agronegócio</x:v>
      </x:c>
      <x:c r="J716" s="166" t="str">
        <x:v>CI</x:v>
      </x:c>
      <x:c r="K716" s="172" t="n">
        <x:v>12</x:v>
      </x:c>
      <x:c r="L716" s="185" t="str">
        <x:v>Não classificado</x:v>
      </x:c>
    </x:row>
    <x:row r="717">
      <x:c r="A717" s="175" t="str">
        <x:v>09.104.359/0001-83</x:v>
      </x:c>
      <x:c r="B717" s="166" t="str">
        <x:v>DETOMASO FIDC-NP MULTISSETORIAL</x:v>
      </x:c>
      <x:c r="C717" s="188" t="n">
        <x:v>184959979.76</x:v>
      </x:c>
      <x:c r="D717" s="166" t="str">
        <x:v>BURITI INVESTIMENTOS</x:v>
      </x:c>
      <x:c r="E717" s="166" t="str">
        <x:f>IFERROR(INDEX('Classif Gestoras'!$H$6:$H$462,MATCH(D717,'Classif Gestoras'!$A$6:$A$462,0)),"Não classificada")</x:f>
        <x:v>Independente</x:v>
      </x:c>
      <x:c r="F717" s="166" t="str">
        <x:v>Singulare</x:v>
      </x:c>
      <x:c r="G717" s="166" t="str">
        <x:v>QI CORRETORA DE TÍTULOS E VALORES MOBILIÁRIOS S.A.</x:v>
      </x:c>
      <x:c r="H717" s="166" t="str">
        <x:v>Fomento Mercantil</x:v>
      </x:c>
      <x:c r="I717" s="166" t="str">
        <x:v>Fomento Mercantil</x:v>
      </x:c>
      <x:c r="J717" s="166" t="str">
        <x:v>CI</x:v>
      </x:c>
      <x:c r="K717" s="172" t="n">
        <x:v>4</x:v>
      </x:c>
      <x:c r="L717" s="185" t="str">
        <x:v>Não classificado</x:v>
      </x:c>
    </x:row>
    <x:row r="718">
      <x:c r="A718" s="175" t="str">
        <x:v>56.112.240/0001-32</x:v>
      </x:c>
      <x:c r="B718" s="166" t="str">
        <x:v>FUNDO DE INVESTIMENTO EM DIREITOS CREDITÓRIOS AUTO GWM - RESPONSABILIDADE LIMITADA</x:v>
      </x:c>
      <x:c r="C718" s="188" t="n">
        <x:v>184740197.11</x:v>
      </x:c>
      <x:c r="D718" s="166" t="str">
        <x:v>Integral Investimentos</x:v>
      </x:c>
      <x:c r="E718" s="166" t="str">
        <x:f>IFERROR(INDEX('Classif Gestoras'!$H$6:$H$462,MATCH(D718,'Classif Gestoras'!$A$6:$A$462,0)),"Não classificada")</x:f>
        <x:v>Independente</x:v>
      </x:c>
      <x:c r="F718" s="166" t="str">
        <x:v>INTEGRAL ACCESS DTVM</x:v>
      </x:c>
      <x:c r="G718" s="166" t="str">
        <x:v>OLIVEIRA TRUST DTVM S.A.</x:v>
      </x:c>
      <x:c r="H718" s="166" t="str">
        <x:v>Financeiro</x:v>
      </x:c>
      <x:c r="I718" s="166" t="str">
        <x:v>Financiamento de Veículos</x:v>
      </x:c>
      <x:c r="J718" s="166" t="str">
        <x:v>CI</x:v>
      </x:c>
      <x:c r="K718" s="172" t="n">
        <x:v>29</x:v>
      </x:c>
      <x:c r="L718" s="185" t="str">
        <x:v>Não classificado</x:v>
      </x:c>
    </x:row>
    <x:row r="719">
      <x:c r="A719" s="175" t="str">
        <x:v>32.388.176/0001-59</x:v>
      </x:c>
      <x:c r="B719" s="166" t="str">
        <x:v>BOMTRATO FUNDO DE INVESTIMENTO EM DIREITOS CREDITÓRIOS - NÃO PADRONIZADOS</x:v>
      </x:c>
      <x:c r="C719" s="188" t="n">
        <x:v>184142813.54</x:v>
      </x:c>
      <x:c r="D719" s="166" t="str">
        <x:v>Prisma Claims Ltda.</x:v>
      </x:c>
      <x:c r="E719" s="166" t="str">
        <x:f>IFERROR(INDEX('Classif Gestoras'!$H$6:$H$462,MATCH(D719,'Classif Gestoras'!$A$6:$A$462,0)),"Não classificada")</x:f>
        <x:v>Independente</x:v>
      </x:c>
      <x:c r="F719" s="166" t="str">
        <x:v>Singulare</x:v>
      </x:c>
      <x:c r="G719" s="166" t="str">
        <x:v>QI CORRETORA DE TÍTULOS E VALORES MOBILIÁRIOS S.A.</x:v>
      </x:c>
      <x:c r="H719" s="166" t="str">
        <x:v>Outros</x:v>
      </x:c>
      <x:c r="I719" s="166" t="str">
        <x:v>Multicarteira Outros</x:v>
      </x:c>
      <x:c r="J719" s="166" t="str">
        <x:v>CI</x:v>
      </x:c>
      <x:c r="K719" s="172" t="n">
        <x:v>2</x:v>
      </x:c>
      <x:c r="L719" s="185" t="str">
        <x:v>Não classificado</x:v>
      </x:c>
    </x:row>
    <x:row r="720">
      <x:c r="A720" s="175" t="str">
        <x:v>52.994.887/0001-84</x:v>
      </x:c>
      <x:c r="B720" s="166" t="str">
        <x:v>ZIPPI FUNDO DE INVESTIMENTO EM DIREITOS CREDITÓRIOS - RESPONSABILIDADE LIMITADA</x:v>
      </x:c>
      <x:c r="C720" s="188" t="n">
        <x:v>183819431.96</x:v>
      </x:c>
      <x:c r="D720" s="166" t="str">
        <x:v>VALORA RENDA FIXA ESTRUTURADOS LTDA.</x:v>
      </x:c>
      <x:c r="E720" s="166" t="str">
        <x:f>IFERROR(INDEX('Classif Gestoras'!$H$6:$H$462,MATCH(D720,'Classif Gestoras'!$A$6:$A$462,0)),"Não classificada")</x:f>
        <x:v>Independente</x:v>
      </x:c>
      <x:c r="F720" s="166" t="str">
        <x:v>VERT Distribuidora de Títulos e Valores Mobiliários Ltd</x:v>
      </x:c>
      <x:c r="G720" s="166" t="str">
        <x:v>VERT DISTRIBUIDORA DE TÍTULOS E VALORES MOBILIÁRIOS LTDA.</x:v>
      </x:c>
      <x:c r="H720" s="166" t="str">
        <x:v>Outros</x:v>
      </x:c>
      <x:c r="I720" s="166" t="str">
        <x:v>Multicarteira Outros</x:v>
      </x:c>
      <x:c r="J720" s="166" t="str">
        <x:v>CI</x:v>
      </x:c>
      <x:c r="K720" s="172" t="n">
        <x:v>14</x:v>
      </x:c>
      <x:c r="L720" s="185" t="str">
        <x:v>Não classificado</x:v>
      </x:c>
    </x:row>
    <x:row r="721">
      <x:c r="A721" s="175" t="str">
        <x:v>17.093.144/0001-32</x:v>
      </x:c>
      <x:c r="B721" s="166" t="str">
        <x:v>BLACKPARTNERS MIRUNA FI EM DIREITOS CREDITÓRIOS MULTISSEGMENTOS DE RESPONSABILIDADE LIMITADA</x:v>
      </x:c>
      <x:c r="C721" s="188" t="n">
        <x:v>183551838.89</x:v>
      </x:c>
      <x:c r="D721" s="166" t="str">
        <x:v>BLP CAPITAL</x:v>
      </x:c>
      <x:c r="E721" s="166" t="str">
        <x:f>IFERROR(INDEX('Classif Gestoras'!$H$6:$H$462,MATCH(D721,'Classif Gestoras'!$A$6:$A$462,0)),"Não classificada")</x:f>
        <x:v>Independente</x:v>
      </x:c>
      <x:c r="F721" s="166" t="str">
        <x:v>Finaxis Corretora de Títulos e Valores Mobiliários S.A.</x:v>
      </x:c>
      <x:c r="G721" s="166" t="str">
        <x:v>VORTX DISTRIBUIDORA DE TITULOS E VALORES MOBILIARIOS LTDA.</x:v>
      </x:c>
      <x:c r="H721" s="166" t="str">
        <x:v>Outros</x:v>
      </x:c>
      <x:c r="I721" s="166" t="str">
        <x:v>Multicarteira Outros</x:v>
      </x:c>
      <x:c r="J721" s="166" t="str">
        <x:v>CI</x:v>
      </x:c>
      <x:c r="K721" s="172" t="n">
        <x:v>1</x:v>
      </x:c>
      <x:c r="L721" s="185" t="str">
        <x:v>Não classificado</x:v>
      </x:c>
    </x:row>
    <x:row r="722">
      <x:c r="A722" s="175" t="str">
        <x:v>57.777.919/0001-03</x:v>
      </x:c>
      <x:c r="B722" s="166" t="str">
        <x:v>FUNDO DE INVESTIMENTO EM DIREITOS CREDITÓRIOS SÃO PAULO FUTEBOL CLUBE - RESPONSABILIDADE LIMITADA</x:v>
      </x:c>
      <x:c r="C722" s="188" t="n">
        <x:v>183244954.11</x:v>
      </x:c>
      <x:c r="D722" s="166" t="str">
        <x:v>VÓRTX DTVM</x:v>
      </x:c>
      <x:c r="E722" s="166" t="str">
        <x:f>IFERROR(INDEX('Classif Gestoras'!$H$6:$H$462,MATCH(D722,'Classif Gestoras'!$A$6:$A$462,0)),"Não classificada")</x:f>
        <x:v>Independente</x:v>
      </x:c>
      <x:c r="F722" s="166" t="str">
        <x:v>VÓRTX DTVM</x:v>
      </x:c>
      <x:c r="G722" s="166" t="str">
        <x:v>VORTX DISTRIBUIDORA DE TITULOS E VALORES MOBILIARIOS LTDA.</x:v>
      </x:c>
      <x:c r="H722" s="166" t="str">
        <x:v>Outros</x:v>
      </x:c>
      <x:c r="I722" s="166" t="str">
        <x:v>Multicarteira Outros</x:v>
      </x:c>
      <x:c r="J722" s="166" t="str">
        <x:v>CI</x:v>
      </x:c>
      <x:c r="K722" s="172" t="n">
        <x:v>664</x:v>
      </x:c>
      <x:c r="L722" s="185" t="str">
        <x:v>Não classificado</x:v>
      </x:c>
    </x:row>
    <x:row r="723">
      <x:c r="A723" s="175" t="str">
        <x:v>18.563.847/0001-40</x:v>
      </x:c>
      <x:c r="B723" s="166" t="str">
        <x:v>LIBRA II NP FUNDO DE INVESTIMENTO EM DIREITOS CREDITÓRIOS NÃO PADRONIZADOS MULTISSETORIAL</x:v>
      </x:c>
      <x:c r="C723" s="188" t="n">
        <x:v>182959606.15</x:v>
      </x:c>
      <x:c r="D723" s="166" t="str">
        <x:v>TERCON ASSET MANAGEMENT</x:v>
      </x:c>
      <x:c r="E723" s="166" t="str">
        <x:f>IFERROR(INDEX('Classif Gestoras'!$H$6:$H$462,MATCH(D723,'Classif Gestoras'!$A$6:$A$462,0)),"Não classificada")</x:f>
        <x:v>Independente</x:v>
      </x:c>
      <x:c r="F723" s="166" t="str">
        <x:v>Singulare</x:v>
      </x:c>
      <x:c r="G723" s="166" t="str">
        <x:v>QI CORRETORA DE TÍTULOS E VALORES MOBILIÁRIOS S.A.</x:v>
      </x:c>
      <x:c r="H723" s="166" t="str">
        <x:v>Fomento Mercantil</x:v>
      </x:c>
      <x:c r="I723" s="166" t="str">
        <x:v>Fomento Mercantil</x:v>
      </x:c>
      <x:c r="J723" s="166" t="str">
        <x:v>CI</x:v>
      </x:c>
      <x:c r="K723" s="172" t="n">
        <x:v>59</x:v>
      </x:c>
      <x:c r="L723" s="185" t="str">
        <x:v>Não classificado</x:v>
      </x:c>
    </x:row>
    <x:row r="724">
      <x:c r="A724" s="175" t="str">
        <x:v>50.857.998/0001-13</x:v>
      </x:c>
      <x:c r="B724" s="166" t="str">
        <x:v>LEO MADEIRAS FIDC SEGMENTO MEIOS DE PAGAMENTO DE RESPONSABILIDADE LIMITADA</x:v>
      </x:c>
      <x:c r="C724" s="188" t="n">
        <x:v>182817434.22</x:v>
      </x:c>
      <x:c r="D724" s="166" t="str">
        <x:v>GENIAL GESTÃO LTDA.</x:v>
      </x:c>
      <x:c r="E724" s="166" t="str">
        <x:f>IFERROR(INDEX('Classif Gestoras'!$H$6:$H$462,MATCH(D724,'Classif Gestoras'!$A$6:$A$462,0)),"Não classificada")</x:f>
        <x:v>Ligada a banco</x:v>
      </x:c>
      <x:c r="F724" s="166" t="str">
        <x:v>Banco Genial S.A.</x:v>
      </x:c>
      <x:c r="G724" s="166" t="str">
        <x:v>BANCO GENIAL S.A.</x:v>
      </x:c>
      <x:c r="H724" s="166" t="str">
        <x:v>Agro, Indústria e Comércio</x:v>
      </x:c>
      <x:c r="I724" s="166" t="str">
        <x:v>Recebíveis Comerciais</x:v>
      </x:c>
      <x:c r="J724" s="166" t="str">
        <x:v>CI</x:v>
      </x:c>
      <x:c r="K724" s="172" t="n">
        <x:v>25</x:v>
      </x:c>
      <x:c r="L724" s="185" t="str">
        <x:v>Não classificado</x:v>
      </x:c>
    </x:row>
    <x:row r="725">
      <x:c r="A725" s="175" t="str">
        <x:v>24.220.859/0001-74</x:v>
      </x:c>
      <x:c r="B725" s="166" t="str">
        <x:v>DIP FINANCING 11 FUNDO DE INVESTIMENTO EM DIREITOS CREDITÓRIOS NÃO-PADRONIZADOS</x:v>
      </x:c>
      <x:c r="C725" s="188" t="n">
        <x:v>182485562.61</x:v>
      </x:c>
      <x:c r="D725" s="166" t="str">
        <x:v>M8 Partners</x:v>
      </x:c>
      <x:c r="E725" s="166" t="str">
        <x:f>IFERROR(INDEX('Classif Gestoras'!$H$6:$H$462,MATCH(D725,'Classif Gestoras'!$A$6:$A$462,0)),"Não classificada")</x:f>
        <x:v>Independente</x:v>
      </x:c>
      <x:c r="F725" s="166" t="str">
        <x:v>Singulare</x:v>
      </x:c>
      <x:c r="G725" s="166" t="str">
        <x:v>QI CORRETORA DE TÍTULOS E VALORES MOBILIÁRIOS S.A.</x:v>
      </x:c>
      <x:c r="H725" s="166" t="str">
        <x:v>Fomento Mercantil</x:v>
      </x:c>
      <x:c r="I725" s="166" t="str">
        <x:v>Fomento Mercantil</x:v>
      </x:c>
      <x:c r="J725" s="166" t="str">
        <x:v>CI</x:v>
      </x:c>
      <x:c r="K725" s="172" t="n">
        <x:v>51</x:v>
      </x:c>
      <x:c r="L725" s="185" t="str">
        <x:v>Não classificado</x:v>
      </x:c>
    </x:row>
    <x:row r="726">
      <x:c r="A726" s="175" t="str">
        <x:v>62.014.120/0001-03</x:v>
      </x:c>
      <x:c r="B726" s="166" t="str">
        <x:v>ITAÚ CRÉDITO ESTRUTURADO ALPES III CHAMADA DE CAPITAL FIDC RESPONSABILIDADE LIMITADA</x:v>
      </x:c>
      <x:c r="C726" s="188" t="n">
        <x:v>182410428.84</x:v>
      </x:c>
      <x:c r="D726" s="166" t="str">
        <x:v>ITAU ASSET</x:v>
      </x:c>
      <x:c r="E726" s="166" t="str">
        <x:f>IFERROR(INDEX('Classif Gestoras'!$H$6:$H$462,MATCH(D726,'Classif Gestoras'!$A$6:$A$462,0)),"Não classificada")</x:f>
        <x:v>Ligada a banco</x:v>
      </x:c>
      <x:c r="F726" s="166" t="str">
        <x:v>INTRAG DIST. DE TÍTU</x:v>
      </x:c>
      <x:c r="G726" s="166" t="str">
        <x:v>ITAU UNIBANCO S.A.</x:v>
      </x:c>
      <x:c r="H726" s="166" t="str">
        <x:v>Outros</x:v>
      </x:c>
      <x:c r="I726" s="166" t="str">
        <x:v>Multicarteira Outros</x:v>
      </x:c>
      <x:c r="J726" s="166" t="str">
        <x:v>CI</x:v>
      </x:c>
      <x:c r="K726" s="172" t="n">
        <x:v>209</x:v>
      </x:c>
      <x:c r="L726" s="185" t="str">
        <x:v>Não classificado</x:v>
      </x:c>
    </x:row>
    <x:row r="727">
      <x:c r="A727" s="175" t="str">
        <x:v>14.042.458/0001-18</x:v>
      </x:c>
      <x:c r="B727" s="166" t="str">
        <x:v>FEDERAL 4870 IAA FUNDO DE INVESTIMENTO EM DIREITOS CREDITÓRIOS NÃO-PADRONIZADOS</x:v>
      </x:c>
      <x:c r="C727" s="188" t="n">
        <x:v>182189772.50000003</x:v>
      </x:c>
      <x:c r="D727" s="166" t="str">
        <x:v>Carpa Family Office</x:v>
      </x:c>
      <x:c r="E727" s="166" t="str">
        <x:f>IFERROR(INDEX('Classif Gestoras'!$H$6:$H$462,MATCH(D727,'Classif Gestoras'!$A$6:$A$462,0)),"Não classificada")</x:f>
        <x:v>Independente</x:v>
      </x:c>
      <x:c r="F727" s="166" t="str">
        <x:v>Singulare</x:v>
      </x:c>
      <x:c r="G727" s="166" t="str">
        <x:v>QI CORRETORA DE TÍTULOS E VALORES MOBILIÁRIOS S.A.</x:v>
      </x:c>
      <x:c r="H727" s="166" t="str">
        <x:v>Outros</x:v>
      </x:c>
      <x:c r="I727" s="166" t="str">
        <x:v>Poder Público</x:v>
      </x:c>
      <x:c r="J727" s="166" t="str">
        <x:v>CI</x:v>
      </x:c>
      <x:c r="K727" s="172" t="n">
        <x:v>13</x:v>
      </x:c>
      <x:c r="L727" s="185" t="str">
        <x:v>Não classificado</x:v>
      </x:c>
    </x:row>
    <x:row r="728">
      <x:c r="A728" s="175" t="str">
        <x:v>52.918.480/0001-78</x:v>
      </x:c>
      <x:c r="B728" s="166" t="str">
        <x:v>AMC FUNDO DE INVESTIMENTO EM DIREITOS CREDITÓRIOS</x:v>
      </x:c>
      <x:c r="C728" s="188" t="n">
        <x:v>181970351.49</x:v>
      </x:c>
      <x:c r="D728" s="166" t="str">
        <x:v>Plural Investimentos Gestão de Recursos Ltda.</x:v>
      </x:c>
      <x:c r="E728" s="166" t="str">
        <x:f>IFERROR(INDEX('Classif Gestoras'!$H$6:$H$462,MATCH(D728,'Classif Gestoras'!$A$6:$A$462,0)),"Não classificada")</x:f>
        <x:v>Ligada a banco</x:v>
      </x:c>
      <x:c r="F728" s="166" t="str">
        <x:v>FIDD DISTRIBUIDORA DE TITULOS E VALORES MOBILIARIOS LTD</x:v>
      </x:c>
      <x:c r="G728" s="166" t="str">
        <x:v>FIDD DISTRIBUIDORA DE TITULOS E VALORES MOBILIARIOS LTDA.</x:v>
      </x:c>
      <x:c r="H728" s="166" t="str">
        <x:v>Outros</x:v>
      </x:c>
      <x:c r="I728" s="166" t="str">
        <x:v>Multicarteira Outros</x:v>
      </x:c>
      <x:c r="J728" s="166" t="str">
        <x:v>CI</x:v>
      </x:c>
      <x:c r="K728" s="172" t="n">
        <x:v>1</x:v>
      </x:c>
      <x:c r="L728" s="185" t="str">
        <x:v>Não classificado</x:v>
      </x:c>
    </x:row>
    <x:row r="729">
      <x:c r="A729" s="175" t="str">
        <x:v>30.591.284/0001-07</x:v>
      </x:c>
      <x:c r="B729" s="166" t="str">
        <x:v>MOLEIRO CONSIGNADO FIDC FINANCEIROS DE RESPONSABILIDADE LIMITADA</x:v>
      </x:c>
      <x:c r="C729" s="188" t="n">
        <x:v>181961888.41</x:v>
      </x:c>
      <x:c r="D729" s="166" t="str">
        <x:v>Integral Investimentos</x:v>
      </x:c>
      <x:c r="E729" s="166" t="str">
        <x:f>IFERROR(INDEX('Classif Gestoras'!$H$6:$H$462,MATCH(D729,'Classif Gestoras'!$A$6:$A$462,0)),"Não classificada")</x:f>
        <x:v>Independente</x:v>
      </x:c>
      <x:c r="F729" s="166" t="str">
        <x:v>Oliveira Trust DTVM</x:v>
      </x:c>
      <x:c r="G729" s="166" t="str">
        <x:v>OLIVEIRA TRUST DTVM S.A.</x:v>
      </x:c>
      <x:c r="H729" s="166" t="str">
        <x:v>Financeiro</x:v>
      </x:c>
      <x:c r="I729" s="166" t="str">
        <x:v>Crédito Consignado</x:v>
      </x:c>
      <x:c r="J729" s="166" t="str">
        <x:v>CI</x:v>
      </x:c>
      <x:c r="K729" s="172" t="n">
        <x:v>29</x:v>
      </x:c>
      <x:c r="L729" s="185" t="str">
        <x:v>Não classificado</x:v>
      </x:c>
    </x:row>
    <x:row r="730">
      <x:c r="A730" s="175" t="str">
        <x:v>32.316.940/0001-80</x:v>
      </x:c>
      <x:c r="B730" s="166" t="str">
        <x:v>FINANZI FUNDO DE INVESTIMENTO EM DIREITOS CREDITÓRIOS NÃO PADRONIZADOS</x:v>
      </x:c>
      <x:c r="C730" s="188" t="n">
        <x:v>181509734.42</x:v>
      </x:c>
      <x:c r="D730" s="166" t="str">
        <x:v>TERCON ASSET MANAGEMENT</x:v>
      </x:c>
      <x:c r="E730" s="166" t="str">
        <x:f>IFERROR(INDEX('Classif Gestoras'!$H$6:$H$462,MATCH(D730,'Classif Gestoras'!$A$6:$A$462,0)),"Não classificada")</x:f>
        <x:v>Independente</x:v>
      </x:c>
      <x:c r="F730" s="166" t="str">
        <x:v>Singulare</x:v>
      </x:c>
      <x:c r="G730" s="166" t="str">
        <x:v>QI CORRETORA DE TÍTULOS E VALORES MOBILIÁRIOS S.A.</x:v>
      </x:c>
      <x:c r="H730" s="166" t="str">
        <x:v>Fomento Mercantil</x:v>
      </x:c>
      <x:c r="I730" s="166" t="str">
        <x:v>Fomento Mercantil</x:v>
      </x:c>
      <x:c r="J730" s="166" t="str">
        <x:v>CI</x:v>
      </x:c>
      <x:c r="K730" s="172" t="n">
        <x:v>7</x:v>
      </x:c>
      <x:c r="L730" s="185" t="str">
        <x:v>Não classificado</x:v>
      </x:c>
    </x:row>
    <x:row r="731">
      <x:c r="A731" s="175" t="str">
        <x:v>44.395.203/0001-08</x:v>
      </x:c>
      <x:c r="B731" s="166" t="str">
        <x:v>DOMINÓ CRÉDITOS JUDICIAIS FUNDO DE INVESTIMENTO EM DIREITOS CREDITÓRIOS</x:v>
      </x:c>
      <x:c r="C731" s="188" t="n">
        <x:v>181123556.7185</x:v>
      </x:c>
      <x:c r="D731" s="166" t="str">
        <x:v>LASS CAPITAL</x:v>
      </x:c>
      <x:c r="E731" s="166" t="str">
        <x:f>IFERROR(INDEX('Classif Gestoras'!$H$6:$H$462,MATCH(D731,'Classif Gestoras'!$A$6:$A$462,0)),"Não classificada")</x:f>
        <x:v>Independente</x:v>
      </x:c>
      <x:c r="F731" s="166" t="str">
        <x:v>BTG Pactual Servicos Financeiros S/A DTVM</x:v>
      </x:c>
      <x:c r="G731" s="166" t="str">
        <x:v>BANCO BTG PACTUAL S/A</x:v>
      </x:c>
      <x:c r="H731" s="166" t="str">
        <x:v>Outros</x:v>
      </x:c>
      <x:c r="I731" s="166" t="str">
        <x:v>Multicarteira Outros</x:v>
      </x:c>
      <x:c r="J731" s="166" t="str">
        <x:v>CI</x:v>
      </x:c>
      <x:c r="K731" s="172" t="n">
        <x:v>3</x:v>
      </x:c>
      <x:c r="L731" s="185" t="str">
        <x:v>Não classificado</x:v>
      </x:c>
    </x:row>
    <x:row r="732">
      <x:c r="A732" s="175" t="str">
        <x:v>30.035.329/0001-59</x:v>
      </x:c>
      <x:c r="B732" s="166" t="str">
        <x:v>VIA INVEST II FUNDO DE INVESTIMENTO EM DIREITOS CREDITÓRIOS RESPONSABILIDADE LIMITADA</x:v>
      </x:c>
      <x:c r="C732" s="188" t="n">
        <x:v>180997772.44</x:v>
      </x:c>
      <x:c r="D732" s="166" t="str">
        <x:v>Via Invest Gestão de Recursos Ltda.</x:v>
      </x:c>
      <x:c r="E732" s="166" t="str">
        <x:f>IFERROR(INDEX('Classif Gestoras'!$H$6:$H$462,MATCH(D732,'Classif Gestoras'!$A$6:$A$462,0)),"Não classificada")</x:f>
        <x:v>Independente</x:v>
      </x:c>
      <x:c r="F732" s="166" t="str">
        <x:v>Genial Investimentos Corretora de Valores Mobiliários S.A.</x:v>
      </x:c>
      <x:c r="G732" s="166" t="str">
        <x:v>BANCO GENIAL S.A.</x:v>
      </x:c>
      <x:c r="H732" s="166" t="str">
        <x:v>Financeiro</x:v>
      </x:c>
      <x:c r="I732" s="166" t="str">
        <x:v>Crédito Consignado</x:v>
      </x:c>
      <x:c r="J732" s="166" t="str">
        <x:v>CI</x:v>
      </x:c>
      <x:c r="K732" s="172" t="n">
        <x:v>5</x:v>
      </x:c>
      <x:c r="L732" s="185" t="str">
        <x:v>Não classificado</x:v>
      </x:c>
    </x:row>
    <x:row r="733">
      <x:c r="A733" s="175" t="str">
        <x:v>43.722.605/0001-07</x:v>
      </x:c>
      <x:c r="B733" s="166" t="str">
        <x:v>EDENTOURMALINE HAN FIDC SEGMENTO MEIOS DE PAGAMENTO DE RESPONSABILIDADE LIMITADA</x:v>
      </x:c>
      <x:c r="C733" s="188" t="n">
        <x:v>180470212.08</x:v>
      </x:c>
      <x:c r="D733" s="166" t="str">
        <x:v>GENIAL GESTÃO LTDA.</x:v>
      </x:c>
      <x:c r="E733" s="166" t="str">
        <x:f>IFERROR(INDEX('Classif Gestoras'!$H$6:$H$462,MATCH(D733,'Classif Gestoras'!$A$6:$A$462,0)),"Não classificada")</x:f>
        <x:v>Ligada a banco</x:v>
      </x:c>
      <x:c r="F733" s="166" t="str">
        <x:v>Genial Investimentos Corretora de Valores Mobiliários S.A.</x:v>
      </x:c>
      <x:c r="G733" s="166" t="str">
        <x:v>BANCO GENIAL S.A.</x:v>
      </x:c>
      <x:c r="H733" s="166" t="str">
        <x:v>Agro, Indústria e Comércio</x:v>
      </x:c>
      <x:c r="I733" s="166" t="str">
        <x:v>Recebíveis Comerciais</x:v>
      </x:c>
      <x:c r="J733" s="166" t="str">
        <x:v>CI</x:v>
      </x:c>
      <x:c r="K733" s="172" t="n">
        <x:v>21</x:v>
      </x:c>
      <x:c r="L733" s="185" t="str">
        <x:v>Não classificado</x:v>
      </x:c>
    </x:row>
    <x:row r="734">
      <x:c r="A734" s="175" t="str">
        <x:v>55.251.884/0001-49</x:v>
      </x:c>
      <x:c r="B734" s="166" t="str">
        <x:v>JAZZ CAPITAL FUNDO DE INVESTIMENTO EM DIREITOS CREDITÓRIOS DE RESPONSABILIDADE LIMITADA</x:v>
      </x:c>
      <x:c r="C734" s="188" t="n">
        <x:v>180374297.49</x:v>
      </x:c>
      <x:c r="D734" s="166" t="str">
        <x:v>URCA CAPITAL PARTNERS</x:v>
      </x:c>
      <x:c r="E734" s="166" t="str">
        <x:f>IFERROR(INDEX('Classif Gestoras'!$H$6:$H$462,MATCH(D734,'Classif Gestoras'!$A$6:$A$462,0)),"Não classificada")</x:f>
        <x:v>Independente</x:v>
      </x:c>
      <x:c r="F734" s="166" t="str">
        <x:v>BANCO DAYCOVAL S/A</x:v>
      </x:c>
      <x:c r="G734" s="166" t="str">
        <x:v>BANCO DAYCOVAL S.A.</x:v>
      </x:c>
      <x:c r="H734" s="166" t="str">
        <x:v>Financeiro</x:v>
      </x:c>
      <x:c r="I734" s="166" t="str">
        <x:v>Multicarteira Financeiro</x:v>
      </x:c>
      <x:c r="J734" s="166" t="str">
        <x:v>CI</x:v>
      </x:c>
      <x:c r="K734" s="172" t="n">
        <x:v>8</x:v>
      </x:c>
      <x:c r="L734" s="185" t="str">
        <x:v>Não classificado</x:v>
      </x:c>
    </x:row>
    <x:row r="735">
      <x:c r="A735" s="175" t="str">
        <x:v>35.157.905/0001-54</x:v>
      </x:c>
      <x:c r="B735" s="166" t="str">
        <x:v>LUNA FUNDO DE INVESTIMENTO EM DIREITOS CREDITÓRIOS</x:v>
      </x:c>
      <x:c r="C735" s="188" t="n">
        <x:v>179894201.79</x:v>
      </x:c>
      <x:c r="D735" s="166" t="str">
        <x:v>Blue Solutions</x:v>
      </x:c>
      <x:c r="E735" s="166" t="str">
        <x:f>IFERROR(INDEX('Classif Gestoras'!$H$6:$H$462,MATCH(D735,'Classif Gestoras'!$A$6:$A$462,0)),"Não classificada")</x:f>
        <x:v>Independente</x:v>
      </x:c>
      <x:c r="F735" s="166" t="str">
        <x:v>TRUSTEE DTVM</x:v>
      </x:c>
      <x:c r="G735" s="166" t="str">
        <x:v>TRUSTEE DISTRIBUIDORA DE TITULOS E VALORES MOBILIARIOS LTDA.</x:v>
      </x:c>
      <x:c r="H735" s="166" t="str">
        <x:v>Outros</x:v>
      </x:c>
      <x:c r="I735" s="166" t="str">
        <x:v>Multicarteira Outros</x:v>
      </x:c>
      <x:c r="J735" s="166" t="str">
        <x:v>CI</x:v>
      </x:c>
      <x:c r="K735" s="172" t="n">
        <x:v>3</x:v>
      </x:c>
      <x:c r="L735" s="185" t="str">
        <x:v>Não classificado</x:v>
      </x:c>
    </x:row>
    <x:row r="736">
      <x:c r="A736" s="175" t="str">
        <x:v>27.456.204/0001-98</x:v>
      </x:c>
      <x:c r="B736" s="166" t="str">
        <x:v>PREMIUM RECEBÍVEIS MULTISSETORIAL FUNDO DE INVESTIMENTO EM DIREITOS CREDITÓRIOS - RESP LIMITADA</x:v>
      </x:c>
      <x:c r="C736" s="188" t="n">
        <x:v>179849518.37</x:v>
      </x:c>
      <x:c r="D736" s="166" t="str">
        <x:v>Solis</x:v>
      </x:c>
      <x:c r="E736" s="166" t="str">
        <x:f>IFERROR(INDEX('Classif Gestoras'!$H$6:$H$462,MATCH(D736,'Classif Gestoras'!$A$6:$A$462,0)),"Não classificada")</x:f>
        <x:v>Independente</x:v>
      </x:c>
      <x:c r="F736" s="166" t="str">
        <x:v>HEMERA DTVM</x:v>
      </x:c>
      <x:c r="G736" s="166" t="str">
        <x:v>HEMERA DISTRIBUIDORA DE TITULOS E VALORES MOBILIARIOS LTDA</x:v>
      </x:c>
      <x:c r="H736" s="166" t="str">
        <x:v>Fomento Mercantil</x:v>
      </x:c>
      <x:c r="I736" s="166" t="str">
        <x:v>Fomento Mercantil</x:v>
      </x:c>
      <x:c r="J736" s="166" t="str">
        <x:v>CI</x:v>
      </x:c>
      <x:c r="K736" s="172" t="n">
        <x:v>41</x:v>
      </x:c>
      <x:c r="L736" s="185" t="str">
        <x:v>Não classificado</x:v>
      </x:c>
    </x:row>
    <x:row r="737">
      <x:c r="A737" s="175" t="str">
        <x:v>49.007.595/0001-04</x:v>
      </x:c>
      <x:c r="B737" s="166" t="str">
        <x:v>SP CAPITAL FUNDO DE INVESTIMENTO EM DIREITOS CREDITÓRIOS</x:v>
      </x:c>
      <x:c r="C737" s="188" t="n">
        <x:v>179671885.51</x:v>
      </x:c>
      <x:c r="D737" s="166" t="str">
        <x:v>TERCON ASSET MANAGEMENT</x:v>
      </x:c>
      <x:c r="E737" s="166" t="str">
        <x:f>IFERROR(INDEX('Classif Gestoras'!$H$6:$H$462,MATCH(D737,'Classif Gestoras'!$A$6:$A$462,0)),"Não classificada")</x:f>
        <x:v>Independente</x:v>
      </x:c>
      <x:c r="F737" s="166" t="str">
        <x:v>Singulare</x:v>
      </x:c>
      <x:c r="G737" s="166" t="str">
        <x:v>QI CORRETORA DE TÍTULOS E VALORES MOBILIÁRIOS S.A.</x:v>
      </x:c>
      <x:c r="H737" s="166" t="str">
        <x:v>Fomento Mercantil</x:v>
      </x:c>
      <x:c r="I737" s="166" t="str">
        <x:v>Fomento Mercantil</x:v>
      </x:c>
      <x:c r="J737" s="166" t="str">
        <x:v>CI</x:v>
      </x:c>
      <x:c r="K737" s="172" t="n">
        <x:v>47</x:v>
      </x:c>
      <x:c r="L737" s="185" t="str">
        <x:v>Não classificado</x:v>
      </x:c>
    </x:row>
    <x:row r="738">
      <x:c r="A738" s="175" t="str">
        <x:v>44.615.718/0001-68</x:v>
      </x:c>
      <x:c r="B738" s="166" t="str">
        <x:v>INTERLAKEN FUNDO DE INVESTIMENTO EM DIREITOS CREDITÓRIOS NÃO PADRONIZADOS</x:v>
      </x:c>
      <x:c r="C738" s="188" t="n">
        <x:v>179224679.13000005</x:v>
      </x:c>
      <x:c r="D738" s="166" t="str">
        <x:v>ASAROCK ASSET MANAGEMENT</x:v>
      </x:c>
      <x:c r="E738" s="166" t="str">
        <x:f>IFERROR(INDEX('Classif Gestoras'!$H$6:$H$462,MATCH(D738,'Classif Gestoras'!$A$6:$A$462,0)),"Não classificada")</x:f>
        <x:v>Independente</x:v>
      </x:c>
      <x:c r="F738" s="166" t="str">
        <x:v>PLANNER CV</x:v>
      </x:c>
      <x:c r="G738" s="166" t="str">
        <x:v>PLANNER CORRETORA DE VALORES S.A.</x:v>
      </x:c>
      <x:c r="H738" s="166" t="str">
        <x:v>Outros</x:v>
      </x:c>
      <x:c r="I738" s="166" t="str">
        <x:v>Multicarteira Outros</x:v>
      </x:c>
      <x:c r="J738" s="166" t="str">
        <x:v>CI</x:v>
      </x:c>
      <x:c r="K738" s="172" t="n">
        <x:v>2</x:v>
      </x:c>
      <x:c r="L738" s="185" t="str">
        <x:v>Não classificado</x:v>
      </x:c>
    </x:row>
    <x:row r="739">
      <x:c r="A739" s="175" t="str">
        <x:v>65.924.624/0001-40</x:v>
      </x:c>
      <x:c r="B739" s="166" t="str">
        <x:v>DIFAL FUNDO DE INVESTIMENTO EM DIREITOS CREDITÓRIOS - RESPONSABILIDADE LIMITADA</x:v>
      </x:c>
      <x:c r="C739" s="188" t="n">
        <x:v>179173020.29999998</x:v>
      </x:c>
      <x:c r="D739" s="166" t="str">
        <x:v>JIVE INVESTMENTS</x:v>
      </x:c>
      <x:c r="E739" s="166" t="str">
        <x:f>IFERROR(INDEX('Classif Gestoras'!$H$6:$H$462,MATCH(D739,'Classif Gestoras'!$A$6:$A$462,0)),"Não classificada")</x:f>
        <x:v>Independente</x:v>
      </x:c>
      <x:c r="F739" s="166" t="str">
        <x:v>BRL TRUST DTVM</x:v>
      </x:c>
      <x:c r="G739" s="166" t="str">
        <x:v>BRL TRUST DISTRIBUIDORA DE TITULOS E VALORES MOBILIARIOS S.A.</x:v>
      </x:c>
      <x:c r="H739" s="166" t="str">
        <x:v>Outros</x:v>
      </x:c>
      <x:c r="I739" s="166" t="str">
        <x:v>Recuperação</x:v>
      </x:c>
      <x:c r="J739" s="166" t="str">
        <x:v>CI</x:v>
      </x:c>
      <x:c r="K739" s="172" t="n">
        <x:v>4</x:v>
      </x:c>
      <x:c r="L739" s="185" t="str">
        <x:v>Não classificado</x:v>
      </x:c>
    </x:row>
    <x:row r="740">
      <x:c r="A740" s="175" t="str">
        <x:v>29.969.815/0001-65</x:v>
      </x:c>
      <x:c r="B740" s="166" t="str">
        <x:v>ALAMIN CAPITAL FUNDO DE INVESTIMENTO EM DIREITOS CREDITORIOS MULTISSETORIAL</x:v>
      </x:c>
      <x:c r="C740" s="188" t="n">
        <x:v>179098262.01</x:v>
      </x:c>
      <x:c r="D740" s="166" t="str">
        <x:v>Global Gestão e Investimentos</x:v>
      </x:c>
      <x:c r="E740" s="166" t="str">
        <x:f>IFERROR(INDEX('Classif Gestoras'!$H$6:$H$462,MATCH(D740,'Classif Gestoras'!$A$6:$A$462,0)),"Não classificada")</x:f>
        <x:v>Independente</x:v>
      </x:c>
      <x:c r="F740" s="166" t="str">
        <x:v>Singulare</x:v>
      </x:c>
      <x:c r="G740" s="166" t="str">
        <x:v>QI CORRETORA DE TÍTULOS E VALORES MOBILIÁRIOS S.A.</x:v>
      </x:c>
      <x:c r="H740" s="166" t="str">
        <x:v>Outros</x:v>
      </x:c>
      <x:c r="I740" s="166" t="str">
        <x:v>Multicarteira Outros</x:v>
      </x:c>
      <x:c r="J740" s="166" t="str">
        <x:v>CI</x:v>
      </x:c>
      <x:c r="K740" s="172" t="n">
        <x:v>2</x:v>
      </x:c>
      <x:c r="L740" s="185" t="str">
        <x:v>Não classificado</x:v>
      </x:c>
    </x:row>
    <x:row r="741">
      <x:c r="A741" s="175" t="str">
        <x:v>32.274.571/0001-00</x:v>
      </x:c>
      <x:c r="B741" s="166" t="str">
        <x:v>V11 FUNDO DE INVESTIMENTO EM DIREITOS CREDITÓRIOS - PRECATÓRIOS</x:v>
      </x:c>
      <x:c r="C741" s="188" t="n">
        <x:v>178808385.87</x:v>
      </x:c>
      <x:c r="D741" s="166" t="str">
        <x:v>Vision Brazil</x:v>
      </x:c>
      <x:c r="E741" s="166" t="str">
        <x:f>IFERROR(INDEX('Classif Gestoras'!$H$6:$H$462,MATCH(D741,'Classif Gestoras'!$A$6:$A$462,0)),"Não classificada")</x:f>
        <x:v>Independente</x:v>
      </x:c>
      <x:c r="F741" s="166" t="str">
        <x:v>BTG Pactual Servicos Financeiros S/A DTVM</x:v>
      </x:c>
      <x:c r="G741" s="166" t="str">
        <x:v>BANCO BTG PACTUAL S/A</x:v>
      </x:c>
      <x:c r="H741" s="166" t="str">
        <x:v>Outros</x:v>
      </x:c>
      <x:c r="I741" s="166" t="str">
        <x:v>Poder Público</x:v>
      </x:c>
      <x:c r="J741" s="166" t="str">
        <x:v>CI</x:v>
      </x:c>
      <x:c r="K741" s="172" t="n">
        <x:v>1</x:v>
      </x:c>
      <x:c r="L741" s="185" t="str">
        <x:v>Não classificado</x:v>
      </x:c>
    </x:row>
    <x:row r="742">
      <x:c r="A742" s="175" t="str">
        <x:v>24.987.402/0001-90</x:v>
      </x:c>
      <x:c r="B742" s="166" t="str">
        <x:v>SEJA FUNDO DE INVESTIMENTO EM DIREITOS CREDITÓRIOS</x:v>
      </x:c>
      <x:c r="C742" s="188" t="n">
        <x:v>178452094.35</x:v>
      </x:c>
      <x:c r="D742" s="166" t="str">
        <x:v>TERCON ASSET MANAGEMENT</x:v>
      </x:c>
      <x:c r="E742" s="166" t="str">
        <x:f>IFERROR(INDEX('Classif Gestoras'!$H$6:$H$462,MATCH(D742,'Classif Gestoras'!$A$6:$A$462,0)),"Não classificada")</x:f>
        <x:v>Independente</x:v>
      </x:c>
      <x:c r="F742" s="166" t="str">
        <x:v>Limine Trust Distribuidora de Titulos e Valores Mobiliá</x:v>
      </x:c>
      <x:c r="G742" s="166" t="str">
        <x:v>LIMINE TRUST DISTRIBUIDORA DE TITULOS E VALORES MOBILIARIOS LTDA.</x:v>
      </x:c>
      <x:c r="H742" s="166" t="str">
        <x:v>Fomento Mercantil</x:v>
      </x:c>
      <x:c r="I742" s="166" t="str">
        <x:v>Fomento Mercantil</x:v>
      </x:c>
      <x:c r="J742" s="166" t="str">
        <x:v>CI</x:v>
      </x:c>
      <x:c r="K742" s="172" t="n">
        <x:v>44</x:v>
      </x:c>
      <x:c r="L742" s="185" t="str">
        <x:v>Não classificado</x:v>
      </x:c>
    </x:row>
    <x:row r="743">
      <x:c r="A743" s="175" t="str">
        <x:v>63.912.733/0001-12</x:v>
      </x:c>
      <x:c r="B743" s="166" t="str">
        <x:v>JIVEMAUÁ BOSSANOVA CRÉDITO SECURITIZADO II (VAREJO) FUNDO DE INVESTIMENTO EM DIREITOS CREDITÓRIOS</x:v>
      </x:c>
      <x:c r="C743" s="188" t="n">
        <x:v>178016025.57999998</x:v>
      </x:c>
      <x:c r="D743" s="166" t="str">
        <x:v>JIVE HIGH YIELD GESTÃO DE RECURSOS LTDA</x:v>
      </x:c>
      <x:c r="E743" s="166" t="str">
        <x:f>IFERROR(INDEX('Classif Gestoras'!$H$6:$H$462,MATCH(D743,'Classif Gestoras'!$A$6:$A$462,0)),"Não classificada")</x:f>
        <x:v>Independente</x:v>
      </x:c>
      <x:c r="F743" s="166" t="str">
        <x:v>XPI CCTVM S/A</x:v>
      </x:c>
      <x:c r="G743" s="166" t="str">
        <x:v>OLIVEIRA TRUST DTVM S.A.</x:v>
      </x:c>
      <x:c r="H743" s="166" t="str">
        <x:v>Outros</x:v>
      </x:c>
      <x:c r="I743" s="166" t="str">
        <x:v>Multicarteira Outros</x:v>
      </x:c>
      <x:c r="J743" s="166" t="str">
        <x:v>CI</x:v>
      </x:c>
      <x:c r="K743" s="172" t="n">
        <x:v>2</x:v>
      </x:c>
      <x:c r="L743" s="185" t="str">
        <x:v>Não classificado</x:v>
      </x:c>
    </x:row>
    <x:row r="744">
      <x:c r="A744" s="175" t="str">
        <x:v>30.659.408/0001-30</x:v>
      </x:c>
      <x:c r="B744" s="166" t="str">
        <x:v>PER FUNDO DE INVESTIMENTO EM DIREITOS CREDITORIOS - RESPONSABILIDADE LIMITADA</x:v>
      </x:c>
      <x:c r="C744" s="188" t="n">
        <x:v>176791519.05</x:v>
      </x:c>
      <x:c r="D744" s="166" t="str">
        <x:v>Ghia Asset Management</x:v>
      </x:c>
      <x:c r="E744" s="166" t="str">
        <x:f>IFERROR(INDEX('Classif Gestoras'!$H$6:$H$462,MATCH(D744,'Classif Gestoras'!$A$6:$A$462,0)),"Não classificada")</x:f>
        <x:v>Independente</x:v>
      </x:c>
      <x:c r="F744" s="166" t="str">
        <x:v>Singulare</x:v>
      </x:c>
      <x:c r="G744" s="166" t="str">
        <x:v>QI CORRETORA DE TÍTULOS E VALORES MOBILIÁRIOS S.A.</x:v>
      </x:c>
      <x:c r="H744" s="166" t="str">
        <x:v>Outros</x:v>
      </x:c>
      <x:c r="I744" s="166" t="str">
        <x:v>Multicarteira Outros</x:v>
      </x:c>
      <x:c r="J744" s="166" t="str">
        <x:v>CI</x:v>
      </x:c>
      <x:c r="K744" s="172" t="n">
        <x:v>16</x:v>
      </x:c>
      <x:c r="L744" s="185" t="str">
        <x:v>Não classificado</x:v>
      </x:c>
    </x:row>
    <x:row r="745">
      <x:c r="A745" s="175" t="str">
        <x:v>65.205.033/0001-13</x:v>
      </x:c>
      <x:c r="B745" s="166" t="str">
        <x:v>ARC DEB III FUNDO DE INVESTIMENTO EM DIREITOS CREDITÓRIOS DE RESPONSABILIDADE LIMITADA</x:v>
      </x:c>
      <x:c r="C745" s="188" t="n">
        <x:v>176738033.73</x:v>
      </x:c>
      <x:c r="D745" s="166" t="str">
        <x:v>ARC Capital</x:v>
      </x:c>
      <x:c r="E745" s="166" t="str">
        <x:f>IFERROR(INDEX('Classif Gestoras'!$H$6:$H$462,MATCH(D745,'Classif Gestoras'!$A$6:$A$462,0)),"Não classificada")</x:f>
        <x:v>Independente</x:v>
      </x:c>
      <x:c r="F745" s="166" t="str">
        <x:v>Oliveira Trust DTVM</x:v>
      </x:c>
      <x:c r="G745" s="166" t="str">
        <x:v>OLIVEIRA TRUST DTVM S.A.</x:v>
      </x:c>
      <x:c r="H745" s="166" t="str">
        <x:v>Outros</x:v>
      </x:c>
      <x:c r="I745" s="166" t="str">
        <x:v>Multicarteira Outros</x:v>
      </x:c>
      <x:c r="J745" s="166" t="str">
        <x:v>CI</x:v>
      </x:c>
      <x:c r="K745" s="172" t="n">
        <x:v>1</x:v>
      </x:c>
      <x:c r="L745" s="185" t="str">
        <x:v>Não classificado</x:v>
      </x:c>
    </x:row>
    <x:row r="746">
      <x:c r="A746" s="175" t="str">
        <x:v>43.290.912/0001-58</x:v>
      </x:c>
      <x:c r="B746" s="166" t="str">
        <x:v>SDL FUNDO DE INVESTIMENTO EM DIREITOS CREDITÓRIOS DE RESPONSABILIDADE LIMITADA</x:v>
      </x:c>
      <x:c r="C746" s="188" t="n">
        <x:v>176706321.48999998</x:v>
      </x:c>
      <x:c r="D746" s="166" t="str">
        <x:v>Catálise Investimentos</x:v>
      </x:c>
      <x:c r="E746" s="166" t="str">
        <x:f>IFERROR(INDEX('Classif Gestoras'!$H$6:$H$462,MATCH(D746,'Classif Gestoras'!$A$6:$A$462,0)),"Não classificada")</x:f>
        <x:v>Independente</x:v>
      </x:c>
      <x:c r="F746" s="166" t="str">
        <x:v>CATÁLISE DTVM</x:v>
      </x:c>
      <x:c r="G746" s="166" t="str">
        <x:v>BANCO DAYCOVAL S.A.</x:v>
      </x:c>
      <x:c r="H746" s="166" t="str">
        <x:v>Agro, Indústria e Comércio</x:v>
      </x:c>
      <x:c r="I746" s="166" t="str">
        <x:v>Multicarteira Agro, Indústria e Comércio</x:v>
      </x:c>
      <x:c r="J746" s="166" t="str">
        <x:v>CI</x:v>
      </x:c>
      <x:c r="K746" s="172" t="n">
        <x:v>1</x:v>
      </x:c>
      <x:c r="L746" s="185" t="str">
        <x:v>Não classificado</x:v>
      </x:c>
    </x:row>
    <x:row r="747">
      <x:c r="A747" s="175" t="str">
        <x:v>33.133.194/0001-52</x:v>
      </x:c>
      <x:c r="B747" s="166" t="str">
        <x:v>JES FUNDO DE INVESTIMENTO EM DIREITOS CREDITÓRIOS MULTISEGMENTOS</x:v>
      </x:c>
      <x:c r="C747" s="188" t="n">
        <x:v>176500282.39000002</x:v>
      </x:c>
      <x:c r="D747" s="166" t="str">
        <x:v>Petra Capital</x:v>
      </x:c>
      <x:c r="E747" s="166" t="str">
        <x:f>IFERROR(INDEX('Classif Gestoras'!$H$6:$H$462,MATCH(D747,'Classif Gestoras'!$A$6:$A$462,0)),"Não classificada")</x:f>
        <x:v>Independente</x:v>
      </x:c>
      <x:c r="F747" s="166" t="str">
        <x:v>Finaxis Corretora de Títulos e Valores Mobiliários S.A.</x:v>
      </x:c>
      <x:c r="G747" s="166" t="str">
        <x:v>BANCO FINAXIS S.A.</x:v>
      </x:c>
      <x:c r="H747" s="166" t="str">
        <x:v>Agro, Indústria e Comércio</x:v>
      </x:c>
      <x:c r="I747" s="166" t="str">
        <x:v>Recebíveis Comerciais</x:v>
      </x:c>
      <x:c r="J747" s="166" t="str">
        <x:v>CI</x:v>
      </x:c>
      <x:c r="K747" s="172" t="n">
        <x:v>2</x:v>
      </x:c>
      <x:c r="L747" s="185" t="str">
        <x:v>Não classificado</x:v>
      </x:c>
    </x:row>
    <x:row r="748">
      <x:c r="A748" s="175" t="str">
        <x:v>28.702.814/0001-97</x:v>
      </x:c>
      <x:c r="B748" s="166" t="str">
        <x:v>CREDITISE FUNDO DE INVESTIMENTO EM DIREITOS CREDITÓRIOS - RESPONSABILIDADE LIMITADA</x:v>
      </x:c>
      <x:c r="C748" s="188" t="n">
        <x:v>175386338.67999998</x:v>
      </x:c>
      <x:c r="D748" s="166" t="str">
        <x:v>Solis</x:v>
      </x:c>
      <x:c r="E748" s="166" t="str">
        <x:f>IFERROR(INDEX('Classif Gestoras'!$H$6:$H$462,MATCH(D748,'Classif Gestoras'!$A$6:$A$462,0)),"Não classificada")</x:f>
        <x:v>Independente</x:v>
      </x:c>
      <x:c r="F748" s="166" t="str">
        <x:v>HEMERA DTVM</x:v>
      </x:c>
      <x:c r="G748" s="166" t="str">
        <x:v>HEMERA DISTRIBUIDORA DE TITULOS E VALORES MOBILIARIOS LTDA</x:v>
      </x:c>
      <x:c r="H748" s="166" t="str">
        <x:v>Outros</x:v>
      </x:c>
      <x:c r="I748" s="166" t="str">
        <x:v>Multicarteira Outros</x:v>
      </x:c>
      <x:c r="J748" s="166" t="str">
        <x:v>CI</x:v>
      </x:c>
      <x:c r="K748" s="172" t="n">
        <x:v>7</x:v>
      </x:c>
      <x:c r="L748" s="185" t="str">
        <x:v>Não classificado</x:v>
      </x:c>
    </x:row>
    <x:row r="749">
      <x:c r="A749" s="175" t="str">
        <x:v>38.658.727/0001-33</x:v>
      </x:c>
      <x:c r="B749" s="166" t="str">
        <x:v>FUNDO DE INVESTIMENTO EM DIREITOS CREDITÓRIOS FORNECEDORES MADEIRA MADEIRA I</x:v>
      </x:c>
      <x:c r="C749" s="188" t="n">
        <x:v>175301844.07000002</x:v>
      </x:c>
      <x:c r="D749" s="166" t="str">
        <x:v>BRL TRUST DTVM</x:v>
      </x:c>
      <x:c r="E749" s="166" t="str">
        <x:f>IFERROR(INDEX('Classif Gestoras'!$H$6:$H$462,MATCH(D749,'Classif Gestoras'!$A$6:$A$462,0)),"Não classificada")</x:f>
        <x:v>Independente</x:v>
      </x:c>
      <x:c r="F749" s="166" t="str">
        <x:v>BRL TRUST DTVM</x:v>
      </x:c>
      <x:c r="G749" s="166" t="str">
        <x:v>VERT DISTRIBUIDORA DE TÍTULOS E VALORES MOBILIÁRIOS LTDA.</x:v>
      </x:c>
      <x:c r="H749" s="166" t="str">
        <x:v>Outros</x:v>
      </x:c>
      <x:c r="I749" s="166" t="str">
        <x:v>Multicarteira Outros</x:v>
      </x:c>
      <x:c r="J749" s="166" t="str">
        <x:v>CI</x:v>
      </x:c>
      <x:c r="K749" s="172" t="n">
        <x:v>4</x:v>
      </x:c>
      <x:c r="L749" s="185" t="str">
        <x:v>Não classificado</x:v>
      </x:c>
    </x:row>
    <x:row r="750">
      <x:c r="A750" s="175" t="str">
        <x:v>45.080.955/0001-34</x:v>
      </x:c>
      <x:c r="B750" s="166" t="str">
        <x:v>GREEN FIDC SOLAR GD II-FUNDO DE INVESTIMENTO EM DIREITOS CREDITÓRIOS SOCIOAMBIENTAL-ENERGIA SOLAR-IS</x:v>
      </x:c>
      <x:c r="C750" s="188" t="n">
        <x:v>175018562.38</x:v>
      </x:c>
      <x:c r="D750" s="166" t="str">
        <x:v>Albion Capital LTDA.</x:v>
      </x:c>
      <x:c r="E750" s="166" t="str">
        <x:f>IFERROR(INDEX('Classif Gestoras'!$H$6:$H$462,MATCH(D750,'Classif Gestoras'!$A$6:$A$462,0)),"Não classificada")</x:f>
        <x:v>Independente</x:v>
      </x:c>
      <x:c r="F750" s="166" t="str">
        <x:v>Oliveira Trust DTVM</x:v>
      </x:c>
      <x:c r="G750" s="166" t="str">
        <x:v>OLIVEIRA TRUST DTVM S.A.</x:v>
      </x:c>
      <x:c r="H750" s="166" t="str">
        <x:v>Agro, Indústria e Comércio</x:v>
      </x:c>
      <x:c r="I750" s="166" t="str">
        <x:v>Infraestrutura</x:v>
      </x:c>
      <x:c r="J750" s="166" t="str">
        <x:v>CI</x:v>
      </x:c>
      <x:c r="K750" s="172" t="n">
        <x:v>147</x:v>
      </x:c>
      <x:c r="L750" s="185" t="str">
        <x:v>Não classificado</x:v>
      </x:c>
    </x:row>
    <x:row r="751">
      <x:c r="A751" s="175" t="str">
        <x:v>57.271.402/0001-48</x:v>
      </x:c>
      <x:c r="B751" s="166" t="str">
        <x:v>ROOT CAPITAL FIGUEIRA FUNDO DE INVESTIMENTO EM DIREITOS CREDITÓRIOS DE RESPONSABILIDADE LIMITADA</x:v>
      </x:c>
      <x:c r="C751" s="188" t="n">
        <x:v>174062466.49</x:v>
      </x:c>
      <x:c r="D751" s="166" t="str">
        <x:v>ROOT CAPITAL</x:v>
      </x:c>
      <x:c r="E751" s="166" t="str">
        <x:f>IFERROR(INDEX('Classif Gestoras'!$H$6:$H$462,MATCH(D751,'Classif Gestoras'!$A$6:$A$462,0)),"Não classificada")</x:f>
        <x:v>Independente</x:v>
      </x:c>
      <x:c r="F751" s="166" t="str">
        <x:v>XPI CCTVM S/A</x:v>
      </x:c>
      <x:c r="G751" s="166" t="str">
        <x:v>S3 CACEIS BRASIL DISTRIBUIDORA DE TITULOS E VALORES MOBILIARIOS S.A</x:v>
      </x:c>
      <x:c r="H751" s="166" t="str">
        <x:v>Outros</x:v>
      </x:c>
      <x:c r="I751" s="166" t="str">
        <x:v>Multicarteira Outros</x:v>
      </x:c>
      <x:c r="J751" s="166" t="str">
        <x:v>CI</x:v>
      </x:c>
      <x:c r="K751" s="172" t="n">
        <x:v>2159</x:v>
      </x:c>
      <x:c r="L751" s="185" t="str">
        <x:v>Não classificado</x:v>
      </x:c>
    </x:row>
    <x:row r="752">
      <x:c r="A752" s="175" t="str">
        <x:v>53.405.469/0001-77</x:v>
      </x:c>
      <x:c r="B752" s="166" t="str">
        <x:v>XP PJUS FUNDO DE INVESTIMENTO EM DIREITOS CREDITÓRIOS</x:v>
      </x:c>
      <x:c r="C752" s="188" t="n">
        <x:v>173824414.28</x:v>
      </x:c>
      <x:c r="D752" s="166" t="str">
        <x:v>Vista Real Estate</x:v>
      </x:c>
      <x:c r="E752" s="166" t="str">
        <x:f>IFERROR(INDEX('Classif Gestoras'!$H$6:$H$462,MATCH(D752,'Classif Gestoras'!$A$6:$A$462,0)),"Não classificada")</x:f>
        <x:v>Independente</x:v>
      </x:c>
      <x:c r="F752" s="166" t="str">
        <x:v>BRL TRUST DTVM</x:v>
      </x:c>
      <x:c r="G752" s="166" t="str">
        <x:v>BRL TRUST DISTRIBUIDORA DE TITULOS E VALORES MOBILIARIOS S.A.</x:v>
      </x:c>
      <x:c r="H752" s="166" t="str">
        <x:v>Outros</x:v>
      </x:c>
      <x:c r="I752" s="166" t="str">
        <x:v>Poder Público</x:v>
      </x:c>
      <x:c r="J752" s="166" t="str">
        <x:v>CI</x:v>
      </x:c>
      <x:c r="K752" s="172" t="n">
        <x:v>12</x:v>
      </x:c>
      <x:c r="L752" s="185" t="str">
        <x:v>Não classificado</x:v>
      </x:c>
    </x:row>
    <x:row r="753">
      <x:c r="A753" s="175" t="str">
        <x:v>53.523.699/0001-30</x:v>
      </x:c>
      <x:c r="B753" s="166" t="str">
        <x:v>FUNDO DE INVESTIMENTO EM DIREITOS CREDITÓRIOS SIGA ENERGIA PORTFÓLIO DE RESPONSABILIDADE LIMITADA</x:v>
      </x:c>
      <x:c r="C753" s="188" t="n">
        <x:v>173459909.13000005</x:v>
      </x:c>
      <x:c r="D753" s="166" t="str">
        <x:v>SIGA GESTORA DE RECURSOS LTDA</x:v>
      </x:c>
      <x:c r="E753" s="166" t="str">
        <x:f>IFERROR(INDEX('Classif Gestoras'!$H$6:$H$462,MATCH(D753,'Classif Gestoras'!$A$6:$A$462,0)),"Não classificada")</x:f>
        <x:v>Independente</x:v>
      </x:c>
      <x:c r="F753" s="166" t="str">
        <x:v>BANCO DAYCOVAL S/A</x:v>
      </x:c>
      <x:c r="G753" s="166" t="str">
        <x:v>BANCO DAYCOVAL S.A.</x:v>
      </x:c>
      <x:c r="H753" s="166" t="str">
        <x:v>Financeiro</x:v>
      </x:c>
      <x:c r="I753" s="166" t="str">
        <x:v>Multicarteira Financeiro</x:v>
      </x:c>
      <x:c r="J753" s="166" t="str">
        <x:v>CI</x:v>
      </x:c>
      <x:c r="K753" s="172" t="n">
        <x:v>52</x:v>
      </x:c>
      <x:c r="L753" s="185" t="str">
        <x:v>Não classificado</x:v>
      </x:c>
    </x:row>
    <x:row r="754">
      <x:c r="A754" s="175" t="str">
        <x:v>32.202.903/0001-41</x:v>
      </x:c>
      <x:c r="B754" s="166" t="str">
        <x:v>DCASH FUNDO DE INVESTIMENTO EM DIREITOS CREDITÓRIOS</x:v>
      </x:c>
      <x:c r="C754" s="188" t="n">
        <x:v>172915372.32999998</x:v>
      </x:c>
      <x:c r="D754" s="166" t="str">
        <x:v>TERCON ASSET MANAGEMENT</x:v>
      </x:c>
      <x:c r="E754" s="166" t="str">
        <x:f>IFERROR(INDEX('Classif Gestoras'!$H$6:$H$462,MATCH(D754,'Classif Gestoras'!$A$6:$A$462,0)),"Não classificada")</x:f>
        <x:v>Independente</x:v>
      </x:c>
      <x:c r="F754" s="166" t="str">
        <x:v>Singulare</x:v>
      </x:c>
      <x:c r="G754" s="166" t="str">
        <x:v>QI CORRETORA DE TÍTULOS E VALORES MOBILIÁRIOS S.A.</x:v>
      </x:c>
      <x:c r="H754" s="166" t="str">
        <x:v>Fomento Mercantil</x:v>
      </x:c>
      <x:c r="I754" s="166" t="str">
        <x:v>Fomento Mercantil</x:v>
      </x:c>
      <x:c r="J754" s="166" t="str">
        <x:v>CI</x:v>
      </x:c>
      <x:c r="K754" s="172" t="n">
        <x:v>65</x:v>
      </x:c>
      <x:c r="L754" s="185" t="str">
        <x:v>Não classificado</x:v>
      </x:c>
    </x:row>
    <x:row r="755">
      <x:c r="A755" s="175" t="str">
        <x:v>50.996.316/0001-53</x:v>
      </x:c>
      <x:c r="B755" s="166" t="str">
        <x:v>OCEANO FUNDO DE INVESTIMENTO EM DIREITOS CREDITÓRIOS NÃO PADRONIZADOS</x:v>
      </x:c>
      <x:c r="C755" s="188" t="n">
        <x:v>172810862.50000003</x:v>
      </x:c>
      <x:c r="D755" s="166" t="str">
        <x:v>GV ATACAMA CAPITAL LTDA.</x:v>
      </x:c>
      <x:c r="E755" s="166" t="str">
        <x:f>IFERROR(INDEX('Classif Gestoras'!$H$6:$H$462,MATCH(D755,'Classif Gestoras'!$A$6:$A$462,0)),"Não classificada")</x:f>
        <x:v>Independente</x:v>
      </x:c>
      <x:c r="F755" s="166" t="str">
        <x:v>Singulare</x:v>
      </x:c>
      <x:c r="G755" s="166" t="str">
        <x:v>QI CORRETORA DE TÍTULOS E VALORES MOBILIÁRIOS S.A.</x:v>
      </x:c>
      <x:c r="H755" s="166" t="str">
        <x:v>Outros</x:v>
      </x:c>
      <x:c r="I755" s="166" t="str">
        <x:v>Poder Público</x:v>
      </x:c>
      <x:c r="J755" s="166" t="str">
        <x:v>CI</x:v>
      </x:c>
      <x:c r="K755" s="172" t="n">
        <x:v>30</x:v>
      </x:c>
      <x:c r="L755" s="185" t="str">
        <x:v>Não classificado</x:v>
      </x:c>
    </x:row>
    <x:row r="756">
      <x:c r="A756" s="175" t="str">
        <x:v>61.373.414/0001-50</x:v>
      </x:c>
      <x:c r="B756" s="166" t="str">
        <x:v>G5 FUNDO DE INVESTIMENTO EM DIREITOS CREDITÓRIOS S.O</x:v>
      </x:c>
      <x:c r="C756" s="188" t="n">
        <x:v>172717905.60000002</x:v>
      </x:c>
      <x:c r="D756" s="166" t="str">
        <x:v>G5 Adm. de Recursos</x:v>
      </x:c>
      <x:c r="E756" s="166" t="str">
        <x:f>IFERROR(INDEX('Classif Gestoras'!$H$6:$H$462,MATCH(D756,'Classif Gestoras'!$A$6:$A$462,0)),"Não classificada")</x:f>
        <x:v>Independente</x:v>
      </x:c>
      <x:c r="F756" s="166" t="str">
        <x:v>BTG Pactual Servicos Financeiros S/A DTVM</x:v>
      </x:c>
      <x:c r="G756" s="166" t="str">
        <x:v>BANCO BTG PACTUAL S/A</x:v>
      </x:c>
      <x:c r="H756" s="166" t="str">
        <x:v>Outros</x:v>
      </x:c>
      <x:c r="I756" s="166" t="str">
        <x:v>Multicarteira Outros</x:v>
      </x:c>
      <x:c r="J756" s="166" t="str">
        <x:v>CI</x:v>
      </x:c>
      <x:c r="K756" s="172" t="n">
        <x:v>11</x:v>
      </x:c>
      <x:c r="L756" s="185" t="str">
        <x:v>Não classificado</x:v>
      </x:c>
    </x:row>
    <x:row r="757">
      <x:c r="A757" s="175" t="str">
        <x:v>47.167.918/0001-93</x:v>
      </x:c>
      <x:c r="B757" s="166" t="str">
        <x:v>GV ATACAMA FUNDO DE INVESTIMENTO EM DIREITOS CREDITÓRIOS</x:v>
      </x:c>
      <x:c r="C757" s="188" t="n">
        <x:v>172655157.58</x:v>
      </x:c>
      <x:c r="D757" s="166" t="str">
        <x:v>GV ATACAMA CAPITAL LTDA.</x:v>
      </x:c>
      <x:c r="E757" s="166" t="str">
        <x:f>IFERROR(INDEX('Classif Gestoras'!$H$6:$H$462,MATCH(D757,'Classif Gestoras'!$A$6:$A$462,0)),"Não classificada")</x:f>
        <x:v>Independente</x:v>
      </x:c>
      <x:c r="F757" s="166" t="str">
        <x:v>Singulare</x:v>
      </x:c>
      <x:c r="G757" s="166" t="str">
        <x:v>QI CORRETORA DE TÍTULOS E VALORES MOBILIÁRIOS S.A.</x:v>
      </x:c>
      <x:c r="H757" s="166" t="str">
        <x:v>Outros</x:v>
      </x:c>
      <x:c r="I757" s="166" t="str">
        <x:v>Multicarteira Outros</x:v>
      </x:c>
      <x:c r="J757" s="166" t="str">
        <x:v>CI</x:v>
      </x:c>
      <x:c r="K757" s="172" t="n">
        <x:v>1</x:v>
      </x:c>
      <x:c r="L757" s="185" t="str">
        <x:v>Não classificado</x:v>
      </x:c>
    </x:row>
    <x:row r="758">
      <x:c r="A758" s="175" t="str">
        <x:v>52.683.660/0001-18</x:v>
      </x:c>
      <x:c r="B758" s="166" t="str">
        <x:v>PLATÃO FUNDO DE INVESTIMENTO EM DIREITOS CREDITÓRIOS</x:v>
      </x:c>
      <x:c r="C758" s="188" t="n">
        <x:v>172468476.45000002</x:v>
      </x:c>
      <x:c r="D758" s="166" t="str">
        <x:v>NORTH SEA CAPITAL</x:v>
      </x:c>
      <x:c r="E758" s="166" t="str">
        <x:f>IFERROR(INDEX('Classif Gestoras'!$H$6:$H$462,MATCH(D758,'Classif Gestoras'!$A$6:$A$462,0)),"Não classificada")</x:f>
        <x:v>Independente</x:v>
      </x:c>
      <x:c r="F758" s="166" t="str">
        <x:v>Qore DTVM</x:v>
      </x:c>
      <x:c r="G758" s="166" t="str">
        <x:v>QORE DISTRIBUIDORA DE TÍTULOS E VALORES MOBILIÁRIOS LTDA.</x:v>
      </x:c>
      <x:c r="H758" s="166" t="str">
        <x:v>Financeiro</x:v>
      </x:c>
      <x:c r="I758" s="166" t="str">
        <x:v>Crédito Imobiliário</x:v>
      </x:c>
      <x:c r="J758" s="166" t="str">
        <x:v>CI</x:v>
      </x:c>
      <x:c r="K758" s="172" t="n">
        <x:v>2</x:v>
      </x:c>
      <x:c r="L758" s="185" t="str">
        <x:v>Não classificado</x:v>
      </x:c>
    </x:row>
    <x:row r="759">
      <x:c r="A759" s="175" t="str">
        <x:v>57.362.995/0001-58</x:v>
      </x:c>
      <x:c r="B759" s="166" t="str">
        <x:v>MILK INVEST FUNDO DE INVESTIMENTO EM DIREITOS CREDITÓRIOS</x:v>
      </x:c>
      <x:c r="C759" s="188" t="n">
        <x:v>172355719.22</x:v>
      </x:c>
      <x:c r="D759" s="166" t="str">
        <x:v>Multiplica Capital</x:v>
      </x:c>
      <x:c r="E759" s="166" t="str">
        <x:f>IFERROR(INDEX('Classif Gestoras'!$H$6:$H$462,MATCH(D759,'Classif Gestoras'!$A$6:$A$462,0)),"Não classificada")</x:f>
        <x:v>Independente</x:v>
      </x:c>
      <x:c r="F759" s="166" t="str">
        <x:v>Singulare</x:v>
      </x:c>
      <x:c r="G759" s="166" t="str">
        <x:v>QI CORRETORA DE TÍTULOS E VALORES MOBILIÁRIOS S.A.</x:v>
      </x:c>
      <x:c r="H759" s="166" t="str">
        <x:v>Fomento Mercantil</x:v>
      </x:c>
      <x:c r="I759" s="166" t="str">
        <x:v>Fomento Mercantil</x:v>
      </x:c>
      <x:c r="J759" s="166" t="str">
        <x:v>CI</x:v>
      </x:c>
      <x:c r="K759" s="172" t="n">
        <x:v>17</x:v>
      </x:c>
      <x:c r="L759" s="185" t="str">
        <x:v>Não classificado</x:v>
      </x:c>
    </x:row>
    <x:row r="760">
      <x:c r="A760" s="175" t="str">
        <x:v>43.237.790/0001-36</x:v>
      </x:c>
      <x:c r="B760" s="166" t="str">
        <x:v>FUNDO DE INVESTIMENTO EM DIREITOS CREDITÓRIOS CONSORCIEI II - RESPONSABILIDADE LIMITADA</x:v>
      </x:c>
      <x:c r="C760" s="188" t="n">
        <x:v>171828582.55999997</x:v>
      </x:c>
      <x:c r="D760" s="166" t="str">
        <x:v>TERA CAPITAL</x:v>
      </x:c>
      <x:c r="E760" s="166" t="str">
        <x:f>IFERROR(INDEX('Classif Gestoras'!$H$6:$H$462,MATCH(D760,'Classif Gestoras'!$A$6:$A$462,0)),"Não classificada")</x:f>
        <x:v>Independente</x:v>
      </x:c>
      <x:c r="F760" s="166" t="str">
        <x:v>BANCO DAYCOVAL S/A</x:v>
      </x:c>
      <x:c r="G760" s="166" t="str">
        <x:v>BANCO DAYCOVAL S.A.</x:v>
      </x:c>
      <x:c r="H760" s="166" t="str">
        <x:v>Outros</x:v>
      </x:c>
      <x:c r="I760" s="166" t="str">
        <x:v>Multicarteira Outros</x:v>
      </x:c>
      <x:c r="J760" s="166" t="str">
        <x:v>CI</x:v>
      </x:c>
      <x:c r="K760" s="172" t="n">
        <x:v>58</x:v>
      </x:c>
      <x:c r="L760" s="185" t="str">
        <x:v>Não classificado</x:v>
      </x:c>
    </x:row>
    <x:row r="761">
      <x:c r="A761" s="175" t="str">
        <x:v>53.273.825/0001-46</x:v>
      </x:c>
      <x:c r="B761" s="166" t="str">
        <x:v>FUNDO DE INVESTIMENTO EM DIREITOS CREDITÓRIOS AGRO OPEA COCARI DE RESPONSABILIDADE LIMITADA</x:v>
      </x:c>
      <x:c r="C761" s="188" t="n">
        <x:v>171787473.15</x:v>
      </x:c>
      <x:c r="D761" s="166" t="str">
        <x:v>OPEA GESTORA DE RECURSOS</x:v>
      </x:c>
      <x:c r="E761" s="166" t="str">
        <x:f>IFERROR(INDEX('Classif Gestoras'!$H$6:$H$462,MATCH(D761,'Classif Gestoras'!$A$6:$A$462,0)),"Não classificada")</x:f>
        <x:v>Independente</x:v>
      </x:c>
      <x:c r="F761" s="166" t="str">
        <x:v>VÓRTX DTVM</x:v>
      </x:c>
      <x:c r="G761" s="166" t="str">
        <x:v>VORTX DISTRIBUIDORA DE TITULOS E VALORES MOBILIARIOS LTDA.</x:v>
      </x:c>
      <x:c r="H761" s="166" t="str">
        <x:v>Agro, Indústria e Comércio</x:v>
      </x:c>
      <x:c r="I761" s="166" t="str">
        <x:v>Agronegócio</x:v>
      </x:c>
      <x:c r="J761" s="166" t="str">
        <x:v>CI</x:v>
      </x:c>
      <x:c r="K761" s="172" t="n">
        <x:v>4</x:v>
      </x:c>
      <x:c r="L761" s="185" t="str">
        <x:v>Não classificado</x:v>
      </x:c>
    </x:row>
    <x:row r="762">
      <x:c r="A762" s="175" t="str">
        <x:v>45.778.027/0001-48</x:v>
      </x:c>
      <x:c r="B762" s="166" t="str">
        <x:v>INFRA FUNDO DE INVESTIMENTO EM DIREITOS CREDITORIOS NÃO PADRONIZADO</x:v>
      </x:c>
      <x:c r="C762" s="188" t="n">
        <x:v>171063383.88</x:v>
      </x:c>
      <x:c r="D762" s="166" t="str">
        <x:v>Renta Gestão de Recursos LTDA.</x:v>
      </x:c>
      <x:c r="E762" s="166" t="str">
        <x:f>IFERROR(INDEX('Classif Gestoras'!$H$6:$H$462,MATCH(D762,'Classif Gestoras'!$A$6:$A$462,0)),"Não classificada")</x:f>
        <x:v>Independente</x:v>
      </x:c>
      <x:c r="F762" s="166" t="str">
        <x:v>Singulare</x:v>
      </x:c>
      <x:c r="G762" s="166" t="str">
        <x:v>QI CORRETORA DE TÍTULOS E VALORES MOBILIÁRIOS S.A.</x:v>
      </x:c>
      <x:c r="H762" s="166" t="str">
        <x:v>Outros</x:v>
      </x:c>
      <x:c r="I762" s="166" t="str">
        <x:v>Multicarteira Outros</x:v>
      </x:c>
      <x:c r="J762" s="166" t="str">
        <x:v>CI</x:v>
      </x:c>
      <x:c r="K762" s="172" t="n">
        <x:v>2</x:v>
      </x:c>
      <x:c r="L762" s="185" t="str">
        <x:v>Não classificado</x:v>
      </x:c>
    </x:row>
    <x:row r="763">
      <x:c r="A763" s="175" t="str">
        <x:v>19.932.422/0001-23</x:v>
      </x:c>
      <x:c r="B763" s="166" t="str">
        <x:v>SBK CAPITAL FUNDO DE INVESTIMENTO EM DIREITOS CREDITÓRIOS MULTISSETORIAL RESPONSABILIDADE LIMITADA</x:v>
      </x:c>
      <x:c r="C763" s="188" t="n">
        <x:v>171036993.38</x:v>
      </x:c>
      <x:c r="D763" s="166" t="str">
        <x:v>OURO PRETO INVESTIMENTOS</x:v>
      </x:c>
      <x:c r="E763" s="166" t="str">
        <x:f>IFERROR(INDEX('Classif Gestoras'!$H$6:$H$462,MATCH(D763,'Classif Gestoras'!$A$6:$A$462,0)),"Não classificada")</x:f>
        <x:v>Independente</x:v>
      </x:c>
      <x:c r="F763" s="166" t="str">
        <x:v>Singulare</x:v>
      </x:c>
      <x:c r="G763" s="166" t="str">
        <x:v>QI CORRETORA DE TÍTULOS E VALORES MOBILIÁRIOS S.A.</x:v>
      </x:c>
      <x:c r="H763" s="166" t="str">
        <x:v>Fomento Mercantil</x:v>
      </x:c>
      <x:c r="I763" s="166" t="str">
        <x:v>Fomento Mercantil</x:v>
      </x:c>
      <x:c r="J763" s="166" t="str">
        <x:v>CI</x:v>
      </x:c>
      <x:c r="K763" s="172" t="n">
        <x:v>67</x:v>
      </x:c>
      <x:c r="L763" s="185" t="str">
        <x:v>Não classificado</x:v>
      </x:c>
    </x:row>
    <x:row r="764">
      <x:c r="A764" s="175" t="str">
        <x:v>58.557.938/0001-97</x:v>
      </x:c>
      <x:c r="B764" s="166" t="str">
        <x:v>JVD FUNDO DE INVESTIMENTO EM DIREITOS CREDITORIOS</x:v>
      </x:c>
      <x:c r="C764" s="188" t="n">
        <x:v>170984811.92999998</x:v>
      </x:c>
      <x:c r="D764" s="166" t="str">
        <x:v>Libertas Asset</x:v>
      </x:c>
      <x:c r="E764" s="166" t="str">
        <x:f>IFERROR(INDEX('Classif Gestoras'!$H$6:$H$462,MATCH(D764,'Classif Gestoras'!$A$6:$A$462,0)),"Não classificada")</x:f>
        <x:v>Independente</x:v>
      </x:c>
      <x:c r="F764" s="166" t="str">
        <x:v>ACTUAL DTVM</x:v>
      </x:c>
      <x:c r="G764" s="166" t="str">
        <x:v>TRUSTEE DISTRIBUIDORA DE TITULOS E VALORES MOBILIARIOS LTDA.</x:v>
      </x:c>
      <x:c r="H764" s="166" t="str">
        <x:v>Outros</x:v>
      </x:c>
      <x:c r="I764" s="166" t="str">
        <x:v>Multicarteira Outros</x:v>
      </x:c>
      <x:c r="J764" s="166" t="str">
        <x:v>CI</x:v>
      </x:c>
      <x:c r="K764" s="172" t="n">
        <x:v>3</x:v>
      </x:c>
      <x:c r="L764" s="185" t="str">
        <x:v>Não classificado</x:v>
      </x:c>
    </x:row>
    <x:row r="765">
      <x:c r="A765" s="175" t="str">
        <x:v>55.125.894/0001-38</x:v>
      </x:c>
      <x:c r="B765" s="166" t="str">
        <x:v>MTR CRÉDITOS SELECIONADOS I FUNDO DE INVESTIMENTO EM DIREITOS CREDITÓRIOS RESPONSABILIDADE LIMITADA</x:v>
      </x:c>
      <x:c r="C765" s="188" t="n">
        <x:v>170859281.53</x:v>
      </x:c>
      <x:c r="D765" s="166" t="str">
        <x:v>BURITI INVESTIMENTOS</x:v>
      </x:c>
      <x:c r="E765" s="166" t="str">
        <x:f>IFERROR(INDEX('Classif Gestoras'!$H$6:$H$462,MATCH(D765,'Classif Gestoras'!$A$6:$A$462,0)),"Não classificada")</x:f>
        <x:v>Independente</x:v>
      </x:c>
      <x:c r="F765" s="166" t="str">
        <x:v>Singulare</x:v>
      </x:c>
      <x:c r="G765" s="166" t="str">
        <x:v>QI CORRETORA DE TÍTULOS E VALORES MOBILIÁRIOS S.A.</x:v>
      </x:c>
      <x:c r="H765" s="166" t="str">
        <x:v>Outros</x:v>
      </x:c>
      <x:c r="I765" s="166" t="str">
        <x:v>Poder Público</x:v>
      </x:c>
      <x:c r="J765" s="166" t="str">
        <x:v>CI</x:v>
      </x:c>
      <x:c r="K765" s="172" t="n">
        <x:v>18</x:v>
      </x:c>
      <x:c r="L765" s="185" t="str">
        <x:v>Não classificado</x:v>
      </x:c>
    </x:row>
    <x:row r="766">
      <x:c r="A766" s="175" t="str">
        <x:v>12.764.483/0001-80</x:v>
      </x:c>
      <x:c r="B766" s="166" t="str">
        <x:v>NEGOCIAL FIDC SEGMENTO ECONÔMICO FINANCEIRO, INDUSTRIAL, COMERCIAL E PRESTAÇÃO DE SERVIÇOS</x:v>
      </x:c>
      <x:c r="C766" s="188" t="n">
        <x:v>170578131.56</x:v>
      </x:c>
      <x:c r="D766" s="166" t="str">
        <x:v>Petra Capital</x:v>
      </x:c>
      <x:c r="E766" s="166" t="str">
        <x:f>IFERROR(INDEX('Classif Gestoras'!$H$6:$H$462,MATCH(D766,'Classif Gestoras'!$A$6:$A$462,0)),"Não classificada")</x:f>
        <x:v>Independente</x:v>
      </x:c>
      <x:c r="F766" s="166" t="str">
        <x:v>Banco Finaxis S.A.</x:v>
      </x:c>
      <x:c r="G766" s="166" t="str">
        <x:v>BANCO FINAXIS S.A.</x:v>
      </x:c>
      <x:c r="H766" s="166" t="str">
        <x:v>Fomento Mercantil</x:v>
      </x:c>
      <x:c r="I766" s="166" t="str">
        <x:v>Fomento Mercantil</x:v>
      </x:c>
      <x:c r="J766" s="166" t="str">
        <x:v>CI</x:v>
      </x:c>
      <x:c r="K766" s="172" t="n">
        <x:v>3</x:v>
      </x:c>
      <x:c r="L766" s="185" t="str">
        <x:v>Não classificado</x:v>
      </x:c>
    </x:row>
    <x:row r="767">
      <x:c r="A767" s="175" t="str">
        <x:v>54.837.785/0001-80</x:v>
      </x:c>
      <x:c r="B767" s="166" t="str">
        <x:v>CELOSIA FUNDO DE INVESTIMENTO EM DIREITOS CREDITÓRIOS RESPONSABILIDADE LIMITADA</x:v>
      </x:c>
      <x:c r="C767" s="188" t="n">
        <x:v>170498684.2</x:v>
      </x:c>
      <x:c r="D767" s="166" t="str">
        <x:v>Versal Finance Gestão de Recursos LTDA.</x:v>
      </x:c>
      <x:c r="E767" s="166" t="str">
        <x:f>IFERROR(INDEX('Classif Gestoras'!$H$6:$H$462,MATCH(D767,'Classif Gestoras'!$A$6:$A$462,0)),"Não classificada")</x:f>
        <x:v>Independente</x:v>
      </x:c>
      <x:c r="F767" s="166" t="str">
        <x:v>Banvox DTVM</x:v>
      </x:c>
      <x:c r="G767" s="166" t="str">
        <x:v>BANVOX DISTRIBUIDORA DE TITULOS E VALORES MOBILIARIOS LTDA</x:v>
      </x:c>
      <x:c r="H767" s="166" t="str">
        <x:v>Outros</x:v>
      </x:c>
      <x:c r="I767" s="166" t="str">
        <x:v>Poder Público</x:v>
      </x:c>
      <x:c r="J767" s="166" t="str">
        <x:v>CI</x:v>
      </x:c>
      <x:c r="K767" s="172" t="n">
        <x:v>3</x:v>
      </x:c>
      <x:c r="L767" s="185" t="str">
        <x:v>Não classificado</x:v>
      </x:c>
    </x:row>
    <x:row r="768">
      <x:c r="A768" s="175" t="str">
        <x:v>47.279.584/0001-40</x:v>
      </x:c>
      <x:c r="B768" s="166" t="str">
        <x:v>ROMAPE FUNDO DE INVESTIMENTO EM DIREITOS CREDITÓRIOS NÃO PADRONIZADOS</x:v>
      </x:c>
      <x:c r="C768" s="188" t="n">
        <x:v>170192426.87</x:v>
      </x:c>
      <x:c r="D768" s="166" t="str">
        <x:v>B.Side Wealth</x:v>
      </x:c>
      <x:c r="E768" s="166" t="str">
        <x:f>IFERROR(INDEX('Classif Gestoras'!$H$6:$H$462,MATCH(D768,'Classif Gestoras'!$A$6:$A$462,0)),"Não classificada")</x:f>
        <x:v>Independente</x:v>
      </x:c>
      <x:c r="F768" s="166" t="str">
        <x:v>ID Corretora de Títulos e Valores Mobiliários S.A.</x:v>
      </x:c>
      <x:c r="G768" s="166" t="str">
        <x:v>ID CORRETORA DE TITULOS E VALORES MOBILIARIOS S.A.</x:v>
      </x:c>
      <x:c r="H768" s="166" t="str">
        <x:v>Outros</x:v>
      </x:c>
      <x:c r="I768" s="166" t="str">
        <x:v>Multicarteira Outros</x:v>
      </x:c>
      <x:c r="J768" s="166" t="str">
        <x:v>CI</x:v>
      </x:c>
      <x:c r="K768" s="172" t="n">
        <x:v>2</x:v>
      </x:c>
      <x:c r="L768" s="185" t="str">
        <x:v>Não classificado</x:v>
      </x:c>
    </x:row>
    <x:row r="769">
      <x:c r="A769" s="175" t="str">
        <x:v>41.801.514/0001-23</x:v>
      </x:c>
      <x:c r="B769" s="166" t="str">
        <x:v>MLC1 FUNDO DE INVESTIMENTO EM DIREITOS CREDITÓRIOS - RESPONSABILIDADE LIMITADA</x:v>
      </x:c>
      <x:c r="C769" s="188" t="n">
        <x:v>169962860.51999998</x:v>
      </x:c>
      <x:c r="D769" s="166" t="str">
        <x:v>Möbius Capital</x:v>
      </x:c>
      <x:c r="E769" s="166" t="str">
        <x:f>IFERROR(INDEX('Classif Gestoras'!$H$6:$H$462,MATCH(D769,'Classif Gestoras'!$A$6:$A$462,0)),"Não classificada")</x:f>
        <x:v>Independente</x:v>
      </x:c>
      <x:c r="F769" s="166" t="str">
        <x:v>BANCO DAYCOVAL S/A</x:v>
      </x:c>
      <x:c r="G769" s="166" t="str">
        <x:v>BANCO DAYCOVAL S.A.</x:v>
      </x:c>
      <x:c r="H769" s="166" t="str">
        <x:v>Outros</x:v>
      </x:c>
      <x:c r="I769" s="166" t="str">
        <x:v>Multicarteira Outros</x:v>
      </x:c>
      <x:c r="J769" s="166" t="str">
        <x:v>CI</x:v>
      </x:c>
      <x:c r="K769" s="172" t="n">
        <x:v>89</x:v>
      </x:c>
      <x:c r="L769" s="185" t="str">
        <x:v>Não classificado</x:v>
      </x:c>
    </x:row>
    <x:row r="770">
      <x:c r="A770" s="175" t="str">
        <x:v>53.075.146/0001-62</x:v>
      </x:c>
      <x:c r="B770" s="166" t="str">
        <x:v>TRINU FUNDO DE INVESTIMENTO EM DIREITOS CREDITÓRIOS RESPONSABILIDADE LIMITADA</x:v>
      </x:c>
      <x:c r="C770" s="188" t="n">
        <x:v>169373774.63000005</x:v>
      </x:c>
      <x:c r="D770" s="166" t="str">
        <x:v>Catálise Investimentos</x:v>
      </x:c>
      <x:c r="E770" s="166" t="str">
        <x:f>IFERROR(INDEX('Classif Gestoras'!$H$6:$H$462,MATCH(D770,'Classif Gestoras'!$A$6:$A$462,0)),"Não classificada")</x:f>
        <x:v>Independente</x:v>
      </x:c>
      <x:c r="F770" s="166" t="str">
        <x:v>Qore DTVM</x:v>
      </x:c>
      <x:c r="G770" s="166" t="str">
        <x:v>QORE DISTRIBUIDORA DE TÍTULOS E VALORES MOBILIÁRIOS LTDA.</x:v>
      </x:c>
      <x:c r="H770" s="166" t="str">
        <x:v>Agro, Indústria e Comércio</x:v>
      </x:c>
      <x:c r="I770" s="166" t="str">
        <x:v>Recebíveis Comerciais</x:v>
      </x:c>
      <x:c r="J770" s="166" t="str">
        <x:v>CI</x:v>
      </x:c>
      <x:c r="K770" s="172" t="n">
        <x:v>11</x:v>
      </x:c>
      <x:c r="L770" s="185" t="str">
        <x:v>Não classificado</x:v>
      </x:c>
    </x:row>
    <x:row r="771">
      <x:c r="A771" s="175" t="str">
        <x:v>64.078.685/0001-71</x:v>
      </x:c>
      <x:c r="B771" s="166" t="str">
        <x:v>VOGAL FUNDO DE INVESTIMENTO EM DIREITOS CREDITÓRIOS - RESPONSABILIDADE LIMITADA</x:v>
      </x:c>
      <x:c r="C771" s="188" t="n">
        <x:v>169112782.47</x:v>
      </x:c>
      <x:c r="D771" s="166" t="str">
        <x:v>Bocom BBM Corretora de Câmbio e Valores Mobiliários S.A</x:v>
      </x:c>
      <x:c r="E771" s="166" t="str">
        <x:f>IFERROR(INDEX('Classif Gestoras'!$H$6:$H$462,MATCH(D771,'Classif Gestoras'!$A$6:$A$462,0)),"Não classificada")</x:f>
        <x:v>Independente</x:v>
      </x:c>
      <x:c r="F771" s="166" t="str">
        <x:v>BNY MELLON SERVICOS</x:v>
      </x:c>
      <x:c r="G771" s="166" t="str">
        <x:v>BNY MELLON BANCO S.A.</x:v>
      </x:c>
      <x:c r="H771" s="166" t="str">
        <x:v>Outros</x:v>
      </x:c>
      <x:c r="I771" s="166" t="str">
        <x:v>Multicarteira Outros</x:v>
      </x:c>
      <x:c r="J771" s="166" t="str">
        <x:v>CI</x:v>
      </x:c>
      <x:c r="K771" s="172" t="n">
        <x:v>3</x:v>
      </x:c>
      <x:c r="L771" s="185" t="str">
        <x:v>Não classificado</x:v>
      </x:c>
    </x:row>
    <x:row r="772">
      <x:c r="A772" s="175" t="str">
        <x:v>18.862.277/0001-99</x:v>
      </x:c>
      <x:c r="B772" s="166" t="str">
        <x:v>BRASFOR FUNDO DE INVESTIMENTO EM DIREITOS CREDITÓRIOS MULTISEGMENTOS</x:v>
      </x:c>
      <x:c r="C772" s="188" t="n">
        <x:v>168655520.4</x:v>
      </x:c>
      <x:c r="D772" s="166" t="str">
        <x:v>Petra Capital</x:v>
      </x:c>
      <x:c r="E772" s="166" t="str">
        <x:f>IFERROR(INDEX('Classif Gestoras'!$H$6:$H$462,MATCH(D772,'Classif Gestoras'!$A$6:$A$462,0)),"Não classificada")</x:f>
        <x:v>Independente</x:v>
      </x:c>
      <x:c r="F772" s="166" t="str">
        <x:v>Finaxis Corretora de Títulos e Valores Mobiliários S.A.</x:v>
      </x:c>
      <x:c r="G772" s="166" t="str">
        <x:v>BANCO FINAXIS S.A.</x:v>
      </x:c>
      <x:c r="H772" s="166" t="str">
        <x:v>Fomento Mercantil</x:v>
      </x:c>
      <x:c r="I772" s="166" t="str">
        <x:v>Fomento Mercantil</x:v>
      </x:c>
      <x:c r="J772" s="166" t="str">
        <x:v>CI</x:v>
      </x:c>
      <x:c r="K772" s="172" t="n">
        <x:v>31</x:v>
      </x:c>
      <x:c r="L772" s="185" t="str">
        <x:v>Não classificado</x:v>
      </x:c>
    </x:row>
    <x:row r="773">
      <x:c r="A773" s="175" t="str">
        <x:v>51.507.998/0001-56</x:v>
      </x:c>
      <x:c r="B773" s="166" t="str">
        <x:v>LESTE CREDIT MD PRECATÓRIOS III FUNDO DE INVESTIMENTO EM DIREITOS CREDITÓRIOS RESP LIMITADA</x:v>
      </x:c>
      <x:c r="C773" s="188" t="n">
        <x:v>168586779.12000003</x:v>
      </x:c>
      <x:c r="D773" s="166" t="str">
        <x:v>Leste Credit Gestão de Recursos LTDA.</x:v>
      </x:c>
      <x:c r="E773" s="166" t="str">
        <x:f>IFERROR(INDEX('Classif Gestoras'!$H$6:$H$462,MATCH(D773,'Classif Gestoras'!$A$6:$A$462,0)),"Não classificada")</x:f>
        <x:v>Independente</x:v>
      </x:c>
      <x:c r="F773" s="166" t="str">
        <x:v>PLANNER CV</x:v>
      </x:c>
      <x:c r="G773" s="166" t="str">
        <x:v>PLANNER CORRETORA DE VALORES S.A.</x:v>
      </x:c>
      <x:c r="H773" s="166" t="str">
        <x:v>Outros</x:v>
      </x:c>
      <x:c r="I773" s="166" t="str">
        <x:v>Poder Público</x:v>
      </x:c>
      <x:c r="J773" s="166" t="str">
        <x:v>CI</x:v>
      </x:c>
      <x:c r="K773" s="172" t="n">
        <x:v>56</x:v>
      </x:c>
      <x:c r="L773" s="185" t="str">
        <x:v>Não classificado</x:v>
      </x:c>
    </x:row>
    <x:row r="774">
      <x:c r="A774" s="175" t="str">
        <x:v>45.830.738/0001-14</x:v>
      </x:c>
      <x:c r="B774" s="166" t="str">
        <x:v>ARTESANAL CRÉDITO PRIVADO 30 FUNDO DE INVESTIMENTO EM DIREITOS CREDITÓRIOS - RESP LIMITADA</x:v>
      </x:c>
      <x:c r="C774" s="188" t="n">
        <x:v>168482740.66</x:v>
      </x:c>
      <x:c r="D774" s="166" t="str">
        <x:v>Artesanal Investimentos</x:v>
      </x:c>
      <x:c r="E774" s="166" t="str">
        <x:f>IFERROR(INDEX('Classif Gestoras'!$H$6:$H$462,MATCH(D774,'Classif Gestoras'!$A$6:$A$462,0)),"Não classificada")</x:f>
        <x:v>Independente</x:v>
      </x:c>
      <x:c r="F774" s="166" t="str">
        <x:v>Genial Investimentos Corretora de Valores Mobiliários S.A.</x:v>
      </x:c>
      <x:c r="G774" s="166" t="str">
        <x:v>BANCO B3 S.A.</x:v>
      </x:c>
      <x:c r="H774" s="166" t="str">
        <x:v>Outros</x:v>
      </x:c>
      <x:c r="I774" s="166" t="str">
        <x:v>Multicarteira Outros</x:v>
      </x:c>
      <x:c r="J774" s="166" t="str">
        <x:v>CI</x:v>
      </x:c>
      <x:c r="K774" s="172" t="n">
        <x:v>1337</x:v>
      </x:c>
      <x:c r="L774" s="185" t="str">
        <x:v>Não classificado</x:v>
      </x:c>
    </x:row>
    <x:row r="775">
      <x:c r="A775" s="175" t="str">
        <x:v>58.377.489/0001-03</x:v>
      </x:c>
      <x:c r="B775" s="166" t="str">
        <x:v>CNPJ 58377489000103</x:v>
      </x:c>
      <x:c r="C775" s="188" t="n">
        <x:v>168392892.62</x:v>
      </x:c>
      <x:c r="D775" s="166" t="str">
        <x:v>MAV CAPITAL GESTORA DE RECURSOS SS LTDA</x:v>
      </x:c>
      <x:c r="E775" s="166" t="str">
        <x:f>IFERROR(INDEX('Classif Gestoras'!$H$6:$H$462,MATCH(D775,'Classif Gestoras'!$A$6:$A$462,0)),"Não classificada")</x:f>
        <x:v>Independente</x:v>
      </x:c>
      <x:c r="F775" s="166" t="str">
        <x:v>Genial Investimentos Corretora de Valores Mobiliários S.A.</x:v>
      </x:c>
      <x:c r="G775" s="166" t="str">
        <x:v>Não identificado</x:v>
      </x:c>
      <x:c r="H775" s="166" t="str">
        <x:v>Agro, Indústria e Comércio</x:v>
      </x:c>
      <x:c r="I775" s="166" t="str">
        <x:v>Multicarteira Agro, Indústria e Comércio</x:v>
      </x:c>
      <x:c r="J775" s="166" t="str">
        <x:v>CI</x:v>
      </x:c>
      <x:c r="K775" s="172"/>
      <x:c r="L775" s="185" t="str">
        <x:v>Não classificado</x:v>
      </x:c>
    </x:row>
    <x:row r="776">
      <x:c r="A776" s="175" t="str">
        <x:v>54.591.932/0001-85</x:v>
      </x:c>
      <x:c r="B776" s="166" t="str">
        <x:v>CLÁSSICO FUNDO DE INVESTIMENTO EM DIREITOS CREDITÓRIOS NÃO-PADRONIZADOS</x:v>
      </x:c>
      <x:c r="C776" s="188" t="n">
        <x:v>168018160.08</x:v>
      </x:c>
      <x:c r="D776" s="166" t="str">
        <x:v>G5 Adm. de Recursos</x:v>
      </x:c>
      <x:c r="E776" s="166" t="str">
        <x:f>IFERROR(INDEX('Classif Gestoras'!$H$6:$H$462,MATCH(D776,'Classif Gestoras'!$A$6:$A$462,0)),"Não classificada")</x:f>
        <x:v>Independente</x:v>
      </x:c>
      <x:c r="F776" s="166" t="str">
        <x:v>Singulare</x:v>
      </x:c>
      <x:c r="G776" s="166" t="str">
        <x:v>QI CORRETORA DE TÍTULOS E VALORES MOBILIÁRIOS S.A.</x:v>
      </x:c>
      <x:c r="H776" s="166" t="str">
        <x:v>Outros</x:v>
      </x:c>
      <x:c r="I776" s="166" t="str">
        <x:v>Poder Público</x:v>
      </x:c>
      <x:c r="J776" s="166" t="str">
        <x:v>CI</x:v>
      </x:c>
      <x:c r="K776" s="172" t="n">
        <x:v>1</x:v>
      </x:c>
      <x:c r="L776" s="185" t="str">
        <x:v>Não classificado</x:v>
      </x:c>
    </x:row>
    <x:row r="777">
      <x:c r="A777" s="175" t="str">
        <x:v>50.653.785/0001-70</x:v>
      </x:c>
      <x:c r="B777" s="166" t="str">
        <x:v>CNPJ 50653785000170</x:v>
      </x:c>
      <x:c r="C777" s="188" t="n">
        <x:v>167882706.6136784</x:v>
      </x:c>
      <x:c r="D777" s="166" t="str">
        <x:v>Eco Gestão de Ativos LTDA.</x:v>
      </x:c>
      <x:c r="E777" s="166" t="str">
        <x:f>IFERROR(INDEX('Classif Gestoras'!$H$6:$H$462,MATCH(D777,'Classif Gestoras'!$A$6:$A$462,0)),"Não classificada")</x:f>
        <x:v>Independente</x:v>
      </x:c>
      <x:c r="F777" s="166" t="str">
        <x:v>BANCO DAYCOVAL S/A</x:v>
      </x:c>
      <x:c r="G777" s="166" t="str">
        <x:v>Não identificado</x:v>
      </x:c>
      <x:c r="H777" s="166" t="str">
        <x:v>Agro, Indústria e Comércio</x:v>
      </x:c>
      <x:c r="I777" s="166" t="str">
        <x:v>Agronegócio</x:v>
      </x:c>
      <x:c r="J777" s="166" t="str">
        <x:v>CI</x:v>
      </x:c>
      <x:c r="K777" s="172"/>
      <x:c r="L777" s="185" t="str">
        <x:v>Não classificado</x:v>
      </x:c>
    </x:row>
    <x:row r="778">
      <x:c r="A778" s="175" t="str">
        <x:v>37.484.246/0001-96</x:v>
      </x:c>
      <x:c r="B778" s="166" t="str">
        <x:v>CNPJ 37484246000196</x:v>
      </x:c>
      <x:c r="C778" s="188" t="n">
        <x:v>167868396.20000002</x:v>
      </x:c>
      <x:c r="D778" s="166" t="str">
        <x:v>Emerald Gestão de Investimento</x:v>
      </x:c>
      <x:c r="E778" s="166" t="str">
        <x:f>IFERROR(INDEX('Classif Gestoras'!$H$6:$H$462,MATCH(D778,'Classif Gestoras'!$A$6:$A$462,0)),"Não classificada")</x:f>
        <x:v>Independente</x:v>
      </x:c>
      <x:c r="F778" s="166" t="str">
        <x:v>BANCO J. SAFRA S/A</x:v>
      </x:c>
      <x:c r="G778" s="166" t="str">
        <x:v>Não identificado</x:v>
      </x:c>
      <x:c r="H778" s="166" t="str">
        <x:v>Outros</x:v>
      </x:c>
      <x:c r="I778" s="166" t="str">
        <x:v>Poder Público</x:v>
      </x:c>
      <x:c r="J778" s="166" t="str">
        <x:v>CI</x:v>
      </x:c>
      <x:c r="K778" s="172"/>
      <x:c r="L778" s="185" t="str">
        <x:v>Não classificado</x:v>
      </x:c>
    </x:row>
    <x:row r="779">
      <x:c r="A779" s="175" t="str">
        <x:v>63.934.300/0001-68</x:v>
      </x:c>
      <x:c r="B779" s="166" t="str">
        <x:v>FUNDO DE INVESTIMENTO EM DIREITOS CREDITÓRIOS CONSIGNADO EXT V-EIGHT - RESPONSABILIDADE LIMITADA</x:v>
      </x:c>
      <x:c r="C779" s="188" t="n">
        <x:v>167164295.77999997</x:v>
      </x:c>
      <x:c r="D779" s="166" t="str">
        <x:v>Ext Capital</x:v>
      </x:c>
      <x:c r="E779" s="166" t="str">
        <x:f>IFERROR(INDEX('Classif Gestoras'!$H$6:$H$462,MATCH(D779,'Classif Gestoras'!$A$6:$A$462,0)),"Não classificada")</x:f>
        <x:v>Independente</x:v>
      </x:c>
      <x:c r="F779" s="166" t="str">
        <x:v>BANCO DAYCOVAL S/A</x:v>
      </x:c>
      <x:c r="G779" s="166" t="str">
        <x:v>BANCO DAYCOVAL S.A.</x:v>
      </x:c>
      <x:c r="H779" s="166" t="str">
        <x:v>Financeiro</x:v>
      </x:c>
      <x:c r="I779" s="166" t="str">
        <x:v>Crédito Pessoal</x:v>
      </x:c>
      <x:c r="J779" s="166" t="str">
        <x:v>CI</x:v>
      </x:c>
      <x:c r="K779" s="172" t="n">
        <x:v>22</x:v>
      </x:c>
      <x:c r="L779" s="185" t="str">
        <x:v>Não classificado</x:v>
      </x:c>
    </x:row>
    <x:row r="780">
      <x:c r="A780" s="175" t="str">
        <x:v>51.983.505/0001-54</x:v>
      </x:c>
      <x:c r="B780" s="166" t="str">
        <x:v>GEAR CONSIGNADOS FUNDO DE INVESTIMENTO EM DIREITOS CREDITÓRIOS</x:v>
      </x:c>
      <x:c r="C780" s="188" t="n">
        <x:v>166893363.05</x:v>
      </x:c>
      <x:c r="D780" s="166" t="str">
        <x:v>Plural Investimentos Gestão de Recursos Ltda.</x:v>
      </x:c>
      <x:c r="E780" s="166" t="str">
        <x:f>IFERROR(INDEX('Classif Gestoras'!$H$6:$H$462,MATCH(D780,'Classif Gestoras'!$A$6:$A$462,0)),"Não classificada")</x:f>
        <x:v>Ligada a banco</x:v>
      </x:c>
      <x:c r="F780" s="166" t="str">
        <x:v>Genial Investimentos Corretora de Valores Mobiliários S.A.</x:v>
      </x:c>
      <x:c r="G780" s="166" t="str">
        <x:v>BANCO GENIAL S.A.</x:v>
      </x:c>
      <x:c r="H780" s="166" t="str">
        <x:v>Financeiro</x:v>
      </x:c>
      <x:c r="I780" s="166" t="str">
        <x:v>Crédito Consignado</x:v>
      </x:c>
      <x:c r="J780" s="166" t="str">
        <x:v>CI</x:v>
      </x:c>
      <x:c r="K780" s="172" t="n">
        <x:v>146</x:v>
      </x:c>
      <x:c r="L780" s="185" t="str">
        <x:v>Não classificado</x:v>
      </x:c>
    </x:row>
    <x:row r="781">
      <x:c r="A781" s="175" t="str">
        <x:v>28.075.236/0001-06</x:v>
      </x:c>
      <x:c r="B781" s="166" t="str">
        <x:v>SOFISA RECEBÍVEIS FUNDO DE INVESTIMENTO EM DIREITOS CREDITÓRIOS RESPONSABILIDADE LIMITADA</x:v>
      </x:c>
      <x:c r="C781" s="188" t="n">
        <x:v>166665100.71</x:v>
      </x:c>
      <x:c r="D781" s="166" t="str">
        <x:v>Solis</x:v>
      </x:c>
      <x:c r="E781" s="166" t="str">
        <x:f>IFERROR(INDEX('Classif Gestoras'!$H$6:$H$462,MATCH(D781,'Classif Gestoras'!$A$6:$A$462,0)),"Não classificada")</x:f>
        <x:v>Independente</x:v>
      </x:c>
      <x:c r="F781" s="166" t="str">
        <x:v>HEMERA DTVM</x:v>
      </x:c>
      <x:c r="G781" s="166" t="str">
        <x:v>HEMERA DISTRIBUIDORA DE TITULOS E VALORES MOBILIARIOS LTDA</x:v>
      </x:c>
      <x:c r="H781" s="166" t="str">
        <x:v>Outros</x:v>
      </x:c>
      <x:c r="I781" s="166" t="str">
        <x:v>Multicarteira Outros</x:v>
      </x:c>
      <x:c r="J781" s="166" t="str">
        <x:v>CI</x:v>
      </x:c>
      <x:c r="K781" s="172" t="n">
        <x:v>1</x:v>
      </x:c>
      <x:c r="L781" s="185" t="str">
        <x:v>Não classificado</x:v>
      </x:c>
    </x:row>
    <x:row r="782">
      <x:c r="A782" s="175" t="str">
        <x:v>34.407.714/0001-30</x:v>
      </x:c>
      <x:c r="B782" s="166" t="str">
        <x:v>FUNDO DE INVESTIMENTO EM DIREITOS CREDITORIÓS ANTECIPA RESPONSABILIDADE LIMITADA</x:v>
      </x:c>
      <x:c r="C782" s="188" t="n">
        <x:v>166607619.95</x:v>
      </x:c>
      <x:c r="D782" s="166" t="str">
        <x:v>Oliveira Trust Servicer</x:v>
      </x:c>
      <x:c r="E782" s="166" t="str">
        <x:f>IFERROR(INDEX('Classif Gestoras'!$H$6:$H$462,MATCH(D782,'Classif Gestoras'!$A$6:$A$462,0)),"Não classificada")</x:f>
        <x:v>Independente</x:v>
      </x:c>
      <x:c r="F782" s="166" t="str">
        <x:v>Oliveira Trust DTVM</x:v>
      </x:c>
      <x:c r="G782" s="166" t="str">
        <x:v>OLIVEIRA TRUST DTVM S.A.</x:v>
      </x:c>
      <x:c r="H782" s="166" t="str">
        <x:v>Outros</x:v>
      </x:c>
      <x:c r="I782" s="166" t="str">
        <x:v>Multicarteira Outros</x:v>
      </x:c>
      <x:c r="J782" s="166" t="str">
        <x:v>CI</x:v>
      </x:c>
      <x:c r="K782" s="172" t="n">
        <x:v>1</x:v>
      </x:c>
      <x:c r="L782" s="185" t="str">
        <x:v>Não classificado</x:v>
      </x:c>
    </x:row>
    <x:row r="783">
      <x:c r="A783" s="175" t="str">
        <x:v>58.238.773/0001-90</x:v>
      </x:c>
      <x:c r="B783" s="166" t="str">
        <x:v>FUNDO DE INVESTIMENTO EM DIREITOS CREDITÓRIOS CONRETORNO - RESPONSABILIDADE LIMITADA</x:v>
      </x:c>
      <x:c r="C783" s="188" t="n">
        <x:v>166594531.29</x:v>
      </x:c>
      <x:c r="D783" s="166" t="str">
        <x:v>TERA CAPITAL</x:v>
      </x:c>
      <x:c r="E783" s="166" t="str">
        <x:f>IFERROR(INDEX('Classif Gestoras'!$H$6:$H$462,MATCH(D783,'Classif Gestoras'!$A$6:$A$462,0)),"Não classificada")</x:f>
        <x:v>Independente</x:v>
      </x:c>
      <x:c r="F783" s="166" t="str">
        <x:v>BANCO DAYCOVAL S/A</x:v>
      </x:c>
      <x:c r="G783" s="166" t="str">
        <x:v>BANCO DAYCOVAL S.A.</x:v>
      </x:c>
      <x:c r="H783" s="166" t="str">
        <x:v>Outros</x:v>
      </x:c>
      <x:c r="I783" s="166" t="str">
        <x:v>Multicarteira Outros</x:v>
      </x:c>
      <x:c r="J783" s="166" t="str">
        <x:v>CI</x:v>
      </x:c>
      <x:c r="K783" s="172" t="n">
        <x:v>1</x:v>
      </x:c>
      <x:c r="L783" s="185" t="str">
        <x:v>Não classificado</x:v>
      </x:c>
    </x:row>
    <x:row r="784">
      <x:c r="A784" s="175" t="str">
        <x:v>55.938.045/0001-01</x:v>
      </x:c>
      <x:c r="B784" s="166" t="str">
        <x:v>KASTEN FUNDO DE INVESTIMENTO EM DIREITOS CREDITÓRIOS</x:v>
      </x:c>
      <x:c r="C784" s="188" t="n">
        <x:v>166501826.45000002</x:v>
      </x:c>
      <x:c r="D784" s="166" t="str">
        <x:v>KP GESTÃO DE RECURSOS LTDA.</x:v>
      </x:c>
      <x:c r="E784" s="166" t="str">
        <x:f>IFERROR(INDEX('Classif Gestoras'!$H$6:$H$462,MATCH(D784,'Classif Gestoras'!$A$6:$A$462,0)),"Não classificada")</x:f>
        <x:v>Independente</x:v>
      </x:c>
      <x:c r="F784" s="166" t="str">
        <x:v>Singulare</x:v>
      </x:c>
      <x:c r="G784" s="166" t="str">
        <x:v>QI CORRETORA DE TÍTULOS E VALORES MOBILIÁRIOS S.A.</x:v>
      </x:c>
      <x:c r="H784" s="166" t="str">
        <x:v>Outros</x:v>
      </x:c>
      <x:c r="I784" s="166" t="str">
        <x:v>Multicarteira Outros</x:v>
      </x:c>
      <x:c r="J784" s="166" t="str">
        <x:v>CI</x:v>
      </x:c>
      <x:c r="K784" s="172" t="n">
        <x:v>3</x:v>
      </x:c>
      <x:c r="L784" s="185" t="str">
        <x:v>Não classificado</x:v>
      </x:c>
    </x:row>
    <x:row r="785">
      <x:c r="A785" s="175" t="str">
        <x:v>31.844.721/0001-01</x:v>
      </x:c>
      <x:c r="B785" s="166" t="str">
        <x:v>PONTUAL BRASIL FUNDO DE INVESTIMENTO EM DIREITOS CREDITÓRIOS MULTISSETORIAL - RESPONSABILIDADE LIMIT</x:v>
      </x:c>
      <x:c r="C785" s="188" t="n">
        <x:v>166135072.89000002</x:v>
      </x:c>
      <x:c r="D785" s="166" t="str">
        <x:v>OURO PRETO INVESTIMENTOS</x:v>
      </x:c>
      <x:c r="E785" s="166" t="str">
        <x:f>IFERROR(INDEX('Classif Gestoras'!$H$6:$H$462,MATCH(D785,'Classif Gestoras'!$A$6:$A$462,0)),"Não classificada")</x:f>
        <x:v>Independente</x:v>
      </x:c>
      <x:c r="F785" s="166" t="str">
        <x:v>Singulare</x:v>
      </x:c>
      <x:c r="G785" s="166" t="str">
        <x:v>QI CORRETORA DE TÍTULOS E VALORES MOBILIÁRIOS S.A.</x:v>
      </x:c>
      <x:c r="H785" s="166" t="str">
        <x:v>Fomento Mercantil</x:v>
      </x:c>
      <x:c r="I785" s="166" t="str">
        <x:v>Fomento Mercantil</x:v>
      </x:c>
      <x:c r="J785" s="166" t="str">
        <x:v>CI</x:v>
      </x:c>
      <x:c r="K785" s="172" t="n">
        <x:v>2</x:v>
      </x:c>
      <x:c r="L785" s="185" t="str">
        <x:v>Não classificado</x:v>
      </x:c>
    </x:row>
    <x:row r="786">
      <x:c r="A786" s="175" t="str">
        <x:v>54.349.601/0001-33</x:v>
      </x:c>
      <x:c r="B786" s="166" t="str">
        <x:v>AERIS FIDC - INDÚSTRIA E COMÉRCIO - RESPONSABILIDADE LIMITADA</x:v>
      </x:c>
      <x:c r="C786" s="188" t="n">
        <x:v>165854001</x:v>
      </x:c>
      <x:c r="D786" s="166" t="str">
        <x:v>UC Gestora de Recursos</x:v>
      </x:c>
      <x:c r="E786" s="166" t="str">
        <x:f>IFERROR(INDEX('Classif Gestoras'!$H$6:$H$462,MATCH(D786,'Classif Gestoras'!$A$6:$A$462,0)),"Não classificada")</x:f>
        <x:v>Independente</x:v>
      </x:c>
      <x:c r="F786" s="166" t="str">
        <x:v>Singulare</x:v>
      </x:c>
      <x:c r="G786" s="166" t="str">
        <x:v>QI CORRETORA DE TÍTULOS E VALORES MOBILIÁRIOS S.A.</x:v>
      </x:c>
      <x:c r="H786" s="166" t="str">
        <x:v>Agro, Indústria e Comércio</x:v>
      </x:c>
      <x:c r="I786" s="166" t="str">
        <x:v>Multicarteira Agro, Indústria e Comércio</x:v>
      </x:c>
      <x:c r="J786" s="166" t="str">
        <x:v>CI</x:v>
      </x:c>
      <x:c r="K786" s="172" t="n">
        <x:v>20</x:v>
      </x:c>
      <x:c r="L786" s="185" t="str">
        <x:v>Não classificado</x:v>
      </x:c>
    </x:row>
    <x:row r="787">
      <x:c r="A787" s="175" t="str">
        <x:v>55.364.540/0001-46</x:v>
      </x:c>
      <x:c r="B787" s="166" t="str">
        <x:v>ANGÁ FGTS IV FUNDO DE INVESTIMENTO EM DIREITOS CREDITÓRIOS</x:v>
      </x:c>
      <x:c r="C787" s="188" t="n">
        <x:v>165577862.82</x:v>
      </x:c>
      <x:c r="D787" s="166" t="str">
        <x:v>ANGÁ ASSET MANAGEMENT</x:v>
      </x:c>
      <x:c r="E787" s="166" t="str">
        <x:f>IFERROR(INDEX('Classif Gestoras'!$H$6:$H$462,MATCH(D787,'Classif Gestoras'!$A$6:$A$462,0)),"Não classificada")</x:f>
        <x:v>Independente</x:v>
      </x:c>
      <x:c r="F787" s="166" t="str">
        <x:v>BANCO DAYCOVAL S/A</x:v>
      </x:c>
      <x:c r="G787" s="166" t="str">
        <x:v>BANCO DAYCOVAL S.A.</x:v>
      </x:c>
      <x:c r="H787" s="166" t="str">
        <x:v>Financeiro</x:v>
      </x:c>
      <x:c r="I787" s="166" t="str">
        <x:v>Crédito Pessoal</x:v>
      </x:c>
      <x:c r="J787" s="166" t="str">
        <x:v>CI</x:v>
      </x:c>
      <x:c r="K787" s="172" t="n">
        <x:v>27</x:v>
      </x:c>
      <x:c r="L787" s="185" t="str">
        <x:v>Não classificado</x:v>
      </x:c>
    </x:row>
    <x:row r="788">
      <x:c r="A788" s="175" t="str">
        <x:v>49.427.492/0001-95</x:v>
      </x:c>
      <x:c r="B788" s="166" t="str">
        <x:v>IBITIPOCA FUNDO DE INVESTIMENTO EM DIREITOS CREDITÓRIOS NÃO-PADRONIZADOS</x:v>
      </x:c>
      <x:c r="C788" s="188" t="n">
        <x:v>165425509.60999998</x:v>
      </x:c>
      <x:c r="D788" s="166" t="str">
        <x:v>ASAROCK ASSET MANAGEMENT</x:v>
      </x:c>
      <x:c r="E788" s="166" t="str">
        <x:f>IFERROR(INDEX('Classif Gestoras'!$H$6:$H$462,MATCH(D788,'Classif Gestoras'!$A$6:$A$462,0)),"Não classificada")</x:f>
        <x:v>Independente</x:v>
      </x:c>
      <x:c r="F788" s="166" t="str">
        <x:v>PLANNER CV</x:v>
      </x:c>
      <x:c r="G788" s="166" t="str">
        <x:v>PLANNER CORRETORA DE VALORES S.A.</x:v>
      </x:c>
      <x:c r="H788" s="166" t="str">
        <x:v>Outros</x:v>
      </x:c>
      <x:c r="I788" s="166" t="str">
        <x:v>Multicarteira Outros</x:v>
      </x:c>
      <x:c r="J788" s="166" t="str">
        <x:v>CI</x:v>
      </x:c>
      <x:c r="K788" s="172" t="n">
        <x:v>3</x:v>
      </x:c>
      <x:c r="L788" s="185" t="str">
        <x:v>Não classificado</x:v>
      </x:c>
    </x:row>
    <x:row r="789">
      <x:c r="A789" s="175" t="str">
        <x:v>58.476.088/0001-00</x:v>
      </x:c>
      <x:c r="B789" s="166" t="str">
        <x:v>SAGA FUNDO DE INVESTIMENTO EM DIREITOS CREDITÓRIOS CRÉDITO PRIVADO - RESPONSABILIDADE LIMITADA</x:v>
      </x:c>
      <x:c r="C789" s="188" t="n">
        <x:v>165270005.59</x:v>
      </x:c>
      <x:c r="D789" s="166" t="str">
        <x:v>Oliveira Trust Servicer</x:v>
      </x:c>
      <x:c r="E789" s="166" t="str">
        <x:f>IFERROR(INDEX('Classif Gestoras'!$H$6:$H$462,MATCH(D789,'Classif Gestoras'!$A$6:$A$462,0)),"Não classificada")</x:f>
        <x:v>Independente</x:v>
      </x:c>
      <x:c r="F789" s="166" t="str">
        <x:v>Oliveira Trust DTVM</x:v>
      </x:c>
      <x:c r="G789" s="166" t="str">
        <x:v>OLIVEIRA TRUST DTVM S.A.</x:v>
      </x:c>
      <x:c r="H789" s="166" t="str">
        <x:v>Agro, Indústria e Comércio</x:v>
      </x:c>
      <x:c r="I789" s="166" t="str">
        <x:v>Recebíveis Comerciais</x:v>
      </x:c>
      <x:c r="J789" s="166" t="str">
        <x:v>CI</x:v>
      </x:c>
      <x:c r="K789" s="172" t="n">
        <x:v>21</x:v>
      </x:c>
      <x:c r="L789" s="185" t="str">
        <x:v>Não classificado</x:v>
      </x:c>
    </x:row>
    <x:row r="790">
      <x:c r="A790" s="175" t="str">
        <x:v>55.106.118/0001-90</x:v>
      </x:c>
      <x:c r="B790" s="166" t="str">
        <x:v>DBANK FUNDO DE INVESTIMENTO EM DIREITOS CREDITÓRIOS DE RESPONSABILIDADE LIMITADA</x:v>
      </x:c>
      <x:c r="C790" s="188" t="n">
        <x:v>165188598.48</x:v>
      </x:c>
      <x:c r="D790" s="166" t="str">
        <x:v>Catálise Investimentos</x:v>
      </x:c>
      <x:c r="E790" s="166" t="str">
        <x:f>IFERROR(INDEX('Classif Gestoras'!$H$6:$H$462,MATCH(D790,'Classif Gestoras'!$A$6:$A$462,0)),"Não classificada")</x:f>
        <x:v>Independente</x:v>
      </x:c>
      <x:c r="F790" s="166" t="str">
        <x:v>CATÁLISE DTVM</x:v>
      </x:c>
      <x:c r="G790" s="166" t="str">
        <x:v>BANCO DAYCOVAL S.A.</x:v>
      </x:c>
      <x:c r="H790" s="166" t="str">
        <x:v>Agro, Indústria e Comércio</x:v>
      </x:c>
      <x:c r="I790" s="166" t="str">
        <x:v>Multicarteira Agro, Indústria e Comércio</x:v>
      </x:c>
      <x:c r="J790" s="166" t="str">
        <x:v>CI</x:v>
      </x:c>
      <x:c r="K790" s="172" t="n">
        <x:v>3</x:v>
      </x:c>
      <x:c r="L790" s="185" t="str">
        <x:v>Não classificado</x:v>
      </x:c>
    </x:row>
    <x:row r="791">
      <x:c r="A791" s="175" t="str">
        <x:v>36.729.755/0001-79</x:v>
      </x:c>
      <x:c r="B791" s="166" t="str">
        <x:v>GALÁPAGOS DRAGON FUNDO DE INVESTIMENTO EM DIREITOS CREDITÓRIOS</x:v>
      </x:c>
      <x:c r="C791" s="188" t="n">
        <x:v>165181669.40740004</x:v>
      </x:c>
      <x:c r="D791" s="166" t="str">
        <x:v>Galápagos</x:v>
      </x:c>
      <x:c r="E791" s="166" t="str">
        <x:f>IFERROR(INDEX('Classif Gestoras'!$H$6:$H$462,MATCH(D791,'Classif Gestoras'!$A$6:$A$462,0)),"Não classificada")</x:f>
        <x:v>Independente</x:v>
      </x:c>
      <x:c r="F791" s="166" t="str">
        <x:v>BTG Pactual Servicos Financeiros S/A DTVM</x:v>
      </x:c>
      <x:c r="G791" s="166" t="str">
        <x:v>BANCO BTG PACTUAL S/A</x:v>
      </x:c>
      <x:c r="H791" s="166" t="str">
        <x:v>Outros</x:v>
      </x:c>
      <x:c r="I791" s="166" t="str">
        <x:v>Multicarteira Outros</x:v>
      </x:c>
      <x:c r="J791" s="166" t="str">
        <x:v>CI</x:v>
      </x:c>
      <x:c r="K791" s="172" t="n">
        <x:v>1561</x:v>
      </x:c>
      <x:c r="L791" s="185" t="str">
        <x:v>Não classificado</x:v>
      </x:c>
    </x:row>
    <x:row r="792">
      <x:c r="A792" s="175" t="str">
        <x:v>47.984.241/0001-86</x:v>
      </x:c>
      <x:c r="B792" s="166" t="str">
        <x:v>JUGIS I PRECATÓRIOS FUNDO DE INVESTIMENTO EM DIREITOS CREDITÓRIOS</x:v>
      </x:c>
      <x:c r="C792" s="188" t="n">
        <x:v>164459950.36</x:v>
      </x:c>
      <x:c r="D792" s="166" t="str">
        <x:v>JUGIS CAPITAL GESTÃO DE RECURSOS LTDA.</x:v>
      </x:c>
      <x:c r="E792" s="166" t="str">
        <x:f>IFERROR(INDEX('Classif Gestoras'!$H$6:$H$462,MATCH(D792,'Classif Gestoras'!$A$6:$A$462,0)),"Não classificada")</x:f>
        <x:v>Independente</x:v>
      </x:c>
      <x:c r="F792" s="166" t="str">
        <x:v>MAF Distribuidora de Títulos e Valores Mobiliários S.A.</x:v>
      </x:c>
      <x:c r="G792" s="166" t="str">
        <x:v>MAF DISTRIBUIDORA DE TITULOS E VALORES MOBILIARIOS S.A.</x:v>
      </x:c>
      <x:c r="H792" s="166" t="str">
        <x:v>Outros</x:v>
      </x:c>
      <x:c r="I792" s="166" t="str">
        <x:v>Poder Público</x:v>
      </x:c>
      <x:c r="J792" s="166" t="str">
        <x:v>CI</x:v>
      </x:c>
      <x:c r="K792" s="172" t="n">
        <x:v>1</x:v>
      </x:c>
      <x:c r="L792" s="185" t="str">
        <x:v>Não classificado</x:v>
      </x:c>
    </x:row>
    <x:row r="793">
      <x:c r="A793" s="175" t="str">
        <x:v>62.552.447/0001-20</x:v>
      </x:c>
      <x:c r="B793" s="166" t="str">
        <x:v>V CDT 1 FUNDO DE INVESTIMENTO EM DIREITOS CREDITÓRIOS RESPONSABILIDADE LIMITADA</x:v>
      </x:c>
      <x:c r="C793" s="188" t="n">
        <x:v>164182708.87</x:v>
      </x:c>
      <x:c r="D793" s="166" t="str">
        <x:v>BTG Pactual Asset</x:v>
      </x:c>
      <x:c r="E793" s="166" t="str">
        <x:f>IFERROR(INDEX('Classif Gestoras'!$H$6:$H$462,MATCH(D793,'Classif Gestoras'!$A$6:$A$462,0)),"Não classificada")</x:f>
        <x:v>Ligada a banco</x:v>
      </x:c>
      <x:c r="F793" s="166" t="str">
        <x:v>BTG Pactual Servicos Financeiros S/A DTVM</x:v>
      </x:c>
      <x:c r="G793" s="166" t="str">
        <x:v>BANCO BTG PACTUAL S/A</x:v>
      </x:c>
      <x:c r="H793" s="166" t="str">
        <x:v>Financeiro</x:v>
      </x:c>
      <x:c r="I793" s="166" t="str">
        <x:v>Multicarteira Financeiro</x:v>
      </x:c>
      <x:c r="J793" s="166" t="str">
        <x:v>CI</x:v>
      </x:c>
      <x:c r="K793" s="172" t="n">
        <x:v>3</x:v>
      </x:c>
      <x:c r="L793" s="185" t="str">
        <x:v>Não classificado</x:v>
      </x:c>
    </x:row>
    <x:row r="794">
      <x:c r="A794" s="175" t="str">
        <x:v>58.215.693/0001-10</x:v>
      </x:c>
      <x:c r="B794" s="166" t="str">
        <x:v>SEGUE ÁRTICO FUNDO DE INVESTIMENTO EM DIREITOS CREDITÓRIOS FINANCEIRO RESPONSABILIDADE LIMITADA</x:v>
      </x:c>
      <x:c r="C794" s="188" t="n">
        <x:v>163982858.7</x:v>
      </x:c>
      <x:c r="D794" s="166" t="str">
        <x:v>VALORA RENDA FIXA ESTRUTURADOS LTDA.</x:v>
      </x:c>
      <x:c r="E794" s="166" t="str">
        <x:f>IFERROR(INDEX('Classif Gestoras'!$H$6:$H$462,MATCH(D794,'Classif Gestoras'!$A$6:$A$462,0)),"Não classificada")</x:f>
        <x:v>Independente</x:v>
      </x:c>
      <x:c r="F794" s="166" t="str">
        <x:v>VERT Distribuidora de Títulos e Valores Mobiliários Ltd</x:v>
      </x:c>
      <x:c r="G794" s="166" t="str">
        <x:v>VERT DISTRIBUIDORA DE TÍTULOS E VALORES MOBILIÁRIOS LTDA.</x:v>
      </x:c>
      <x:c r="H794" s="166" t="str">
        <x:v>Financeiro</x:v>
      </x:c>
      <x:c r="I794" s="166" t="str">
        <x:v>Crédito Consignado</x:v>
      </x:c>
      <x:c r="J794" s="166" t="str">
        <x:v>CI</x:v>
      </x:c>
      <x:c r="K794" s="172" t="n">
        <x:v>11</x:v>
      </x:c>
      <x:c r="L794" s="185" t="str">
        <x:v>Não classificado</x:v>
      </x:c>
    </x:row>
    <x:row r="795">
      <x:c r="A795" s="175" t="str">
        <x:v>43.721.652/0001-28</x:v>
      </x:c>
      <x:c r="B795" s="166" t="str">
        <x:v>TELCOBANK I FUNDO DE INVESTIMENTO EM DIREITOS CREDITÓRIOS RESPONSABILIDADE LIMITADA</x:v>
      </x:c>
      <x:c r="C795" s="188" t="n">
        <x:v>163554978.76999998</x:v>
      </x:c>
      <x:c r="D795" s="166" t="str">
        <x:v>IDGR</x:v>
      </x:c>
      <x:c r="E795" s="166" t="str">
        <x:f>IFERROR(INDEX('Classif Gestoras'!$H$6:$H$462,MATCH(D795,'Classif Gestoras'!$A$6:$A$462,0)),"Não classificada")</x:f>
        <x:v>Independente</x:v>
      </x:c>
      <x:c r="F795" s="166" t="str">
        <x:v>ID Corretora de Títulos e Valores Mobiliários S.A.</x:v>
      </x:c>
      <x:c r="G795" s="166" t="str">
        <x:v>VORTX DISTRIBUIDORA DE TITULOS E VALORES MOBILIARIOS LTDA.</x:v>
      </x:c>
      <x:c r="H795" s="166" t="str">
        <x:v>Fomento Mercantil</x:v>
      </x:c>
      <x:c r="I795" s="166" t="str">
        <x:v>Fomento Mercantil</x:v>
      </x:c>
      <x:c r="J795" s="166" t="str">
        <x:v>CI</x:v>
      </x:c>
      <x:c r="K795" s="172" t="n">
        <x:v>91</x:v>
      </x:c>
      <x:c r="L795" s="185" t="str">
        <x:v>Não classificado</x:v>
      </x:c>
    </x:row>
    <x:row r="796">
      <x:c r="A796" s="175" t="str">
        <x:v>58.922.423/0001-49</x:v>
      </x:c>
      <x:c r="B796" s="166" t="str">
        <x:v>PBG SUPPLIERS - FUNDO DE INVESTIMENTO EM DIREITOS CREDITÓRIO</x:v>
      </x:c>
      <x:c r="C796" s="188" t="n">
        <x:v>163405494.60000002</x:v>
      </x:c>
      <x:c r="D796" s="166" t="str">
        <x:v>Kanastra</x:v>
      </x:c>
      <x:c r="E796" s="166" t="str">
        <x:f>IFERROR(INDEX('Classif Gestoras'!$H$6:$H$462,MATCH(D796,'Classif Gestoras'!$A$6:$A$462,0)),"Não classificada")</x:f>
        <x:v>Independente</x:v>
      </x:c>
      <x:c r="F796" s="166" t="str">
        <x:v>Limine Trust Distribuidora de Titulos e Valores Mobiliá</x:v>
      </x:c>
      <x:c r="G796" s="166" t="str">
        <x:v>LIMINE TRUST DISTRIBUIDORA DE TITULOS E VALORES MOBILIARIOS LTDA.</x:v>
      </x:c>
      <x:c r="H796" s="166" t="str">
        <x:v>Outros</x:v>
      </x:c>
      <x:c r="I796" s="166" t="str">
        <x:v>Multicarteira Outros</x:v>
      </x:c>
      <x:c r="J796" s="166" t="str">
        <x:v>CI</x:v>
      </x:c>
      <x:c r="K796" s="172" t="n">
        <x:v>3</x:v>
      </x:c>
      <x:c r="L796" s="185" t="str">
        <x:v>Não classificado</x:v>
      </x:c>
    </x:row>
    <x:row r="797">
      <x:c r="A797" s="175" t="str">
        <x:v>40.054.828/0001-47</x:v>
      </x:c>
      <x:c r="B797" s="166" t="str">
        <x:v>GAIA FUNDO DE INVESTIMENTO EM DIREITOS CREDITÓRIOS NÃO-PADRONIZADOS</x:v>
      </x:c>
      <x:c r="C797" s="188" t="n">
        <x:v>162868508.25</x:v>
      </x:c>
      <x:c r="D797" s="166" t="str">
        <x:v>Jus Capital Gestão de Recursos LTDA</x:v>
      </x:c>
      <x:c r="E797" s="166" t="str">
        <x:f>IFERROR(INDEX('Classif Gestoras'!$H$6:$H$462,MATCH(D797,'Classif Gestoras'!$A$6:$A$462,0)),"Não classificada")</x:f>
        <x:v>Independente</x:v>
      </x:c>
      <x:c r="F797" s="166" t="str">
        <x:v>BTG Pactual Servicos Financeiros S/A DTVM</x:v>
      </x:c>
      <x:c r="G797" s="166" t="str">
        <x:v>BANCO BTG PACTUAL S/A</x:v>
      </x:c>
      <x:c r="H797" s="166" t="str">
        <x:v>Outros</x:v>
      </x:c>
      <x:c r="I797" s="166" t="str">
        <x:v>Poder Público</x:v>
      </x:c>
      <x:c r="J797" s="166" t="str">
        <x:v>CI</x:v>
      </x:c>
      <x:c r="K797" s="172" t="n">
        <x:v>4</x:v>
      </x:c>
      <x:c r="L797" s="185" t="str">
        <x:v>Não classificado</x:v>
      </x:c>
    </x:row>
    <x:row r="798">
      <x:c r="A798" s="175" t="str">
        <x:v>42.513.808/0001-12</x:v>
      </x:c>
      <x:c r="B798" s="166" t="str">
        <x:v>CNPJ 42513808000112</x:v>
      </x:c>
      <x:c r="C798" s="188" t="n">
        <x:v>162464960.39</x:v>
      </x:c>
      <x:c r="D798" s="166" t="str">
        <x:v>Emerald Gestão de Investimento</x:v>
      </x:c>
      <x:c r="E798" s="166" t="str">
        <x:f>IFERROR(INDEX('Classif Gestoras'!$H$6:$H$462,MATCH(D798,'Classif Gestoras'!$A$6:$A$462,0)),"Não classificada")</x:f>
        <x:v>Independente</x:v>
      </x:c>
      <x:c r="F798" s="166" t="str">
        <x:v>BANCO J. SAFRA S/A</x:v>
      </x:c>
      <x:c r="G798" s="166" t="str">
        <x:v>Não identificado</x:v>
      </x:c>
      <x:c r="H798" s="166" t="str">
        <x:v>Outros</x:v>
      </x:c>
      <x:c r="I798" s="166" t="str">
        <x:v>Poder Público</x:v>
      </x:c>
      <x:c r="J798" s="166" t="str">
        <x:v>CI</x:v>
      </x:c>
      <x:c r="K798" s="172"/>
      <x:c r="L798" s="185" t="str">
        <x:v>Não classificado</x:v>
      </x:c>
    </x:row>
    <x:row r="799">
      <x:c r="A799" s="175" t="str">
        <x:v>62.543.802/0001-03</x:v>
      </x:c>
      <x:c r="B799" s="166" t="str">
        <x:v>PINE LIFT I CARTÃO INSS FIDC - RESP LIMITADA</x:v>
      </x:c>
      <x:c r="C799" s="188" t="n">
        <x:v>162325173.02</x:v>
      </x:c>
      <x:c r="D799" s="166" t="str">
        <x:v>Namari Capital Gestão de Recursos Ltda.</x:v>
      </x:c>
      <x:c r="E799" s="166" t="str">
        <x:f>IFERROR(INDEX('Classif Gestoras'!$H$6:$H$462,MATCH(D799,'Classif Gestoras'!$A$6:$A$462,0)),"Não classificada")</x:f>
        <x:v>Independente</x:v>
      </x:c>
      <x:c r="F799" s="166" t="str">
        <x:v>BANCO DAYCOVAL S/A</x:v>
      </x:c>
      <x:c r="G799" s="166" t="str">
        <x:v>BANCO DAYCOVAL S.A.</x:v>
      </x:c>
      <x:c r="H799" s="166" t="str">
        <x:v>Financeiro</x:v>
      </x:c>
      <x:c r="I799" s="166" t="str">
        <x:v>Crédito Consignado</x:v>
      </x:c>
      <x:c r="J799" s="166" t="str">
        <x:v>CI</x:v>
      </x:c>
      <x:c r="K799" s="172" t="n">
        <x:v>17</x:v>
      </x:c>
      <x:c r="L799" s="185" t="str">
        <x:v>Não classificado</x:v>
      </x:c>
    </x:row>
    <x:row r="800">
      <x:c r="A800" s="175" t="str">
        <x:v>58.396.668/0001-80</x:v>
      </x:c>
      <x:c r="B800" s="166" t="str">
        <x:v>TECNOMYL III FUNDO DE INVESTIMENTO EM DIREITOS CREDITÓRIOS - AGRONEGÓCIO</x:v>
      </x:c>
      <x:c r="C800" s="188" t="n">
        <x:v>162268548.95999998</x:v>
      </x:c>
      <x:c r="D800" s="166" t="str">
        <x:v>Sabrina Ribeiro Molina</x:v>
      </x:c>
      <x:c r="E800" s="166" t="str">
        <x:f>IFERROR(INDEX('Classif Gestoras'!$H$6:$H$462,MATCH(D800,'Classif Gestoras'!$A$6:$A$462,0)),"Não classificada")</x:f>
        <x:v>Independente</x:v>
      </x:c>
      <x:c r="F800" s="166" t="str">
        <x:v>Singulare</x:v>
      </x:c>
      <x:c r="G800" s="166" t="str">
        <x:v>QI CORRETORA DE TÍTULOS E VALORES MOBILIÁRIOS S.A.</x:v>
      </x:c>
      <x:c r="H800" s="166" t="str">
        <x:v>Outros</x:v>
      </x:c>
      <x:c r="I800" s="166" t="str">
        <x:v>Multicarteira Outros</x:v>
      </x:c>
      <x:c r="J800" s="166" t="str">
        <x:v>CI</x:v>
      </x:c>
      <x:c r="K800" s="172" t="n">
        <x:v>10</x:v>
      </x:c>
      <x:c r="L800" s="185" t="str">
        <x:v>Não classificado</x:v>
      </x:c>
    </x:row>
    <x:row r="801">
      <x:c r="A801" s="175" t="str">
        <x:v>42.404.659/0001-53</x:v>
      </x:c>
      <x:c r="B801" s="166" t="str">
        <x:v>ARCESP CONSIGNADO FUNDO DE INVESTIMENTO EM DIREITOS CREDITÓRIOS</x:v>
      </x:c>
      <x:c r="C801" s="188" t="n">
        <x:v>162249457.6</x:v>
      </x:c>
      <x:c r="D801" s="166" t="str">
        <x:v>OPEA GESTORA DE RECURSOS</x:v>
      </x:c>
      <x:c r="E801" s="166" t="str">
        <x:f>IFERROR(INDEX('Classif Gestoras'!$H$6:$H$462,MATCH(D801,'Classif Gestoras'!$A$6:$A$462,0)),"Não classificada")</x:f>
        <x:v>Independente</x:v>
      </x:c>
      <x:c r="F801" s="166" t="str">
        <x:v>VÓRTX DTVM</x:v>
      </x:c>
      <x:c r="G801" s="166" t="str">
        <x:v>VORTX DISTRIBUIDORA DE TITULOS E VALORES MOBILIARIOS LTDA.</x:v>
      </x:c>
      <x:c r="H801" s="166" t="str">
        <x:v>Financeiro</x:v>
      </x:c>
      <x:c r="I801" s="166" t="str">
        <x:v>Crédito Consignado</x:v>
      </x:c>
      <x:c r="J801" s="166" t="str">
        <x:v>CI</x:v>
      </x:c>
      <x:c r="K801" s="172" t="n">
        <x:v>64</x:v>
      </x:c>
      <x:c r="L801" s="185" t="str">
        <x:v>Não classificado</x:v>
      </x:c>
    </x:row>
    <x:row r="802">
      <x:c r="A802" s="175" t="str">
        <x:v>17.198.822/0001-21</x:v>
      </x:c>
      <x:c r="B802" s="166" t="str">
        <x:v>ROVENSA FUNDO DE INVESTIMENTO EM DIREITOS CREDITÓRIOS AGRONEGÓCIO RESPONSABILIDADE LIMITADA</x:v>
      </x:c>
      <x:c r="C802" s="188" t="n">
        <x:v>161637758.45999998</x:v>
      </x:c>
      <x:c r="D802" s="166" t="str">
        <x:v>Eco Gestão de Ativos LTDA.</x:v>
      </x:c>
      <x:c r="E802" s="166" t="str">
        <x:f>IFERROR(INDEX('Classif Gestoras'!$H$6:$H$462,MATCH(D802,'Classif Gestoras'!$A$6:$A$462,0)),"Não classificada")</x:f>
        <x:v>Independente</x:v>
      </x:c>
      <x:c r="F802" s="166" t="str">
        <x:v>Finaxis Corretora de Títulos e Valores Mobiliários S.A.</x:v>
      </x:c>
      <x:c r="G802" s="166" t="str">
        <x:v>BANCO FINAXIS S.A.</x:v>
      </x:c>
      <x:c r="H802" s="166" t="str">
        <x:v>Agro, Indústria e Comércio</x:v>
      </x:c>
      <x:c r="I802" s="166" t="str">
        <x:v>Agronegócio</x:v>
      </x:c>
      <x:c r="J802" s="166" t="str">
        <x:v>CI</x:v>
      </x:c>
      <x:c r="K802" s="172" t="n">
        <x:v>5</x:v>
      </x:c>
      <x:c r="L802" s="185" t="str">
        <x:v>Não classificado</x:v>
      </x:c>
    </x:row>
    <x:row r="803">
      <x:c r="A803" s="175" t="str">
        <x:v>63.428.693/0001-38</x:v>
      </x:c>
      <x:c r="B803" s="166" t="str">
        <x:v>AVEIRO FUNDO DE INVESTIMENTO EM DIREITOS CREDITÓRIOS</x:v>
      </x:c>
      <x:c r="C803" s="188" t="n">
        <x:v>161031120.01</x:v>
      </x:c>
      <x:c r="D803" s="166" t="str">
        <x:v>Acura Gestora de Recursos LTDA.</x:v>
      </x:c>
      <x:c r="E803" s="166" t="str">
        <x:f>IFERROR(INDEX('Classif Gestoras'!$H$6:$H$462,MATCH(D803,'Classif Gestoras'!$A$6:$A$462,0)),"Não classificada")</x:f>
        <x:v>Independente</x:v>
      </x:c>
      <x:c r="F803" s="166" t="str">
        <x:v>SEFER DTVM</x:v>
      </x:c>
      <x:c r="G803" s="166" t="str">
        <x:v>SEFER INVESTIMENTOS DISTRIBUIDORA DE TÍTULOS E VALORES MOBILIÁRIOS LTDA.</x:v>
      </x:c>
      <x:c r="H803" s="166" t="str">
        <x:v>Outros</x:v>
      </x:c>
      <x:c r="I803" s="166" t="str">
        <x:v>Multicarteira Outros</x:v>
      </x:c>
      <x:c r="J803" s="166" t="str">
        <x:v>CI</x:v>
      </x:c>
      <x:c r="K803" s="172" t="n">
        <x:v>7</x:v>
      </x:c>
      <x:c r="L803" s="185" t="str">
        <x:v>Não classificado</x:v>
      </x:c>
    </x:row>
    <x:row r="804">
      <x:c r="A804" s="175" t="str">
        <x:v>52.892.178/0001-98</x:v>
      </x:c>
      <x:c r="B804" s="166" t="str">
        <x:v>CISS FUNDO DE INVESTIMENTO EM DIREITOS CREDITÓRIOS PRESTAÇÃO DE SERVIÇOS</x:v>
      </x:c>
      <x:c r="C804" s="188" t="n">
        <x:v>160302916.4</x:v>
      </x:c>
      <x:c r="D804" s="166" t="str">
        <x:v>VALORA RENDA FIXA ESTRUTURADOS LTDA.</x:v>
      </x:c>
      <x:c r="E804" s="166" t="str">
        <x:f>IFERROR(INDEX('Classif Gestoras'!$H$6:$H$462,MATCH(D804,'Classif Gestoras'!$A$6:$A$462,0)),"Não classificada")</x:f>
        <x:v>Independente</x:v>
      </x:c>
      <x:c r="F804" s="166" t="str">
        <x:v>BANCO DAYCOVAL S/A</x:v>
      </x:c>
      <x:c r="G804" s="166" t="str">
        <x:v>BANCO DAYCOVAL S.A.</x:v>
      </x:c>
      <x:c r="H804" s="166" t="str">
        <x:v>Agro, Indústria e Comércio</x:v>
      </x:c>
      <x:c r="I804" s="166" t="str">
        <x:v>Recebíveis Comerciais</x:v>
      </x:c>
      <x:c r="J804" s="166" t="str">
        <x:v>CI</x:v>
      </x:c>
      <x:c r="K804" s="172" t="n">
        <x:v>71</x:v>
      </x:c>
      <x:c r="L804" s="185" t="str">
        <x:v>Não classificado</x:v>
      </x:c>
    </x:row>
    <x:row r="805">
      <x:c r="A805" s="175" t="str">
        <x:v>45.683.318/0001-52</x:v>
      </x:c>
      <x:c r="B805" s="166" t="str">
        <x:v>JGP FUNDO DE INVESTIMENTO EM DIREITOS CREDITÓRIOS HIGH YIELD - RESPONSABILIDADE LIMITADA</x:v>
      </x:c>
      <x:c r="C805" s="188" t="n">
        <x:v>160086079.97</x:v>
      </x:c>
      <x:c r="D805" s="166" t="str">
        <x:v>JGP Gestão de Crédito LTDA.</x:v>
      </x:c>
      <x:c r="E805" s="166" t="str">
        <x:f>IFERROR(INDEX('Classif Gestoras'!$H$6:$H$462,MATCH(D805,'Classif Gestoras'!$A$6:$A$462,0)),"Não classificada")</x:f>
        <x:v>Independente</x:v>
      </x:c>
      <x:c r="F805" s="166" t="str">
        <x:v>BNY MELLON SERVICOS</x:v>
      </x:c>
      <x:c r="G805" s="166" t="str">
        <x:v>BNY MELLON BANCO S.A.</x:v>
      </x:c>
      <x:c r="H805" s="166" t="str">
        <x:v>Outros</x:v>
      </x:c>
      <x:c r="I805" s="166" t="str">
        <x:v>Multicarteira Outros</x:v>
      </x:c>
      <x:c r="J805" s="166" t="str">
        <x:v>CI</x:v>
      </x:c>
      <x:c r="K805" s="172" t="n">
        <x:v>8</x:v>
      </x:c>
      <x:c r="L805" s="185" t="str">
        <x:v>Não classificado</x:v>
      </x:c>
    </x:row>
    <x:row r="806">
      <x:c r="A806" s="175" t="str">
        <x:v>57.619.773/0001-78</x:v>
      </x:c>
      <x:c r="B806" s="166" t="str">
        <x:v>PLGN VIC FUNDO DE INVESTIMENTO EM DIREITOS CREDITÓRIOS</x:v>
      </x:c>
      <x:c r="C806" s="188" t="n">
        <x:v>160065144.71</x:v>
      </x:c>
      <x:c r="D806" s="166" t="str">
        <x:v>POLÍGONO CAPITAL LTDA.</x:v>
      </x:c>
      <x:c r="E806" s="166" t="str">
        <x:f>IFERROR(INDEX('Classif Gestoras'!$H$6:$H$462,MATCH(D806,'Classif Gestoras'!$A$6:$A$462,0)),"Não classificada")</x:f>
        <x:v>Independente</x:v>
      </x:c>
      <x:c r="F806" s="166" t="str">
        <x:v>BTG Pactual Servicos Financeiros S/A DTVM</x:v>
      </x:c>
      <x:c r="G806" s="166" t="str">
        <x:v>BANCO BTG PACTUAL S/A</x:v>
      </x:c>
      <x:c r="H806" s="166" t="str">
        <x:v>Outros</x:v>
      </x:c>
      <x:c r="I806" s="166" t="str">
        <x:v>Multicarteira Outros</x:v>
      </x:c>
      <x:c r="J806" s="166" t="str">
        <x:v>CI</x:v>
      </x:c>
      <x:c r="K806" s="172" t="n">
        <x:v>1</x:v>
      </x:c>
      <x:c r="L806" s="185" t="str">
        <x:v>Não classificado</x:v>
      </x:c>
    </x:row>
    <x:row r="807">
      <x:c r="A807" s="175" t="str">
        <x:v>65.873.297/0001-45</x:v>
      </x:c>
      <x:c r="B807" s="166" t="str">
        <x:v>ARCELORMITTAL VÉRTICE FUNDO DE INVESTIMENTO EM DIREITOS CREDITÓRIOS COMERCIAIS - RESP LIMITADA</x:v>
      </x:c>
      <x:c r="C807" s="188" t="n">
        <x:v>159979051.73000002</x:v>
      </x:c>
      <x:c r="D807" s="166" t="str">
        <x:v>Oliveira Trust Servicer</x:v>
      </x:c>
      <x:c r="E807" s="166" t="str">
        <x:f>IFERROR(INDEX('Classif Gestoras'!$H$6:$H$462,MATCH(D807,'Classif Gestoras'!$A$6:$A$462,0)),"Não classificada")</x:f>
        <x:v>Independente</x:v>
      </x:c>
      <x:c r="F807" s="166" t="str">
        <x:v>Oliveira Trust DTVM</x:v>
      </x:c>
      <x:c r="G807" s="166" t="str">
        <x:v>OLIVEIRA TRUST DTVM S.A.</x:v>
      </x:c>
      <x:c r="H807" s="166" t="str">
        <x:v>Agro, Indústria e Comércio</x:v>
      </x:c>
      <x:c r="I807" s="166" t="str">
        <x:v>Recebíveis Comerciais</x:v>
      </x:c>
      <x:c r="J807" s="166" t="str">
        <x:v>CI</x:v>
      </x:c>
      <x:c r="K807" s="172" t="n">
        <x:v>2</x:v>
      </x:c>
      <x:c r="L807" s="185" t="str">
        <x:v>Não classificado</x:v>
      </x:c>
    </x:row>
    <x:row r="808">
      <x:c r="A808" s="175" t="str">
        <x:v>19.390.746/0001-87</x:v>
      </x:c>
      <x:c r="B808" s="166" t="str">
        <x:v>ATLAS FUNDO DE INVESTIMENTO EM DIREITOS CREDITÓRIOS DE RESPONSABILIDADE LIMITADA</x:v>
      </x:c>
      <x:c r="C808" s="188" t="n">
        <x:v>159200616.59</x:v>
      </x:c>
      <x:c r="D808" s="166" t="str">
        <x:v>TERCON ASSET MANAGEMENT</x:v>
      </x:c>
      <x:c r="E808" s="166" t="str">
        <x:f>IFERROR(INDEX('Classif Gestoras'!$H$6:$H$462,MATCH(D808,'Classif Gestoras'!$A$6:$A$462,0)),"Não classificada")</x:f>
        <x:v>Independente</x:v>
      </x:c>
      <x:c r="F808" s="166" t="str">
        <x:v>Singulare</x:v>
      </x:c>
      <x:c r="G808" s="166" t="str">
        <x:v>QI CORRETORA DE TÍTULOS E VALORES MOBILIÁRIOS S.A.</x:v>
      </x:c>
      <x:c r="H808" s="166" t="str">
        <x:v>Fomento Mercantil</x:v>
      </x:c>
      <x:c r="I808" s="166" t="str">
        <x:v>Fomento Mercantil</x:v>
      </x:c>
      <x:c r="J808" s="166" t="str">
        <x:v>CI</x:v>
      </x:c>
      <x:c r="K808" s="172" t="n">
        <x:v>2</x:v>
      </x:c>
      <x:c r="L808" s="185" t="str">
        <x:v>Não classificado</x:v>
      </x:c>
    </x:row>
    <x:row r="809">
      <x:c r="A809" s="175" t="str">
        <x:v>49.879.065/0001-48</x:v>
      </x:c>
      <x:c r="B809" s="166" t="str">
        <x:v>ARTESANAL VP FUNDO DE INVESTIMENTO EM DIREITOS CREDITÓRIOS - RESPONSABILIDADE LIMITADA</x:v>
      </x:c>
      <x:c r="C809" s="188" t="n">
        <x:v>158829358.97</x:v>
      </x:c>
      <x:c r="D809" s="166" t="str">
        <x:v>Artesanal Investimentos</x:v>
      </x:c>
      <x:c r="E809" s="166" t="str">
        <x:f>IFERROR(INDEX('Classif Gestoras'!$H$6:$H$462,MATCH(D809,'Classif Gestoras'!$A$6:$A$462,0)),"Não classificada")</x:f>
        <x:v>Independente</x:v>
      </x:c>
      <x:c r="F809" s="166" t="str">
        <x:v>Genial Investimentos Corretora de Valores Mobiliários S.A.</x:v>
      </x:c>
      <x:c r="G809" s="166" t="str">
        <x:v>BANCO B3 S.A.</x:v>
      </x:c>
      <x:c r="H809" s="166" t="str">
        <x:v>Outros</x:v>
      </x:c>
      <x:c r="I809" s="166" t="str">
        <x:v>Multicarteira Outros</x:v>
      </x:c>
      <x:c r="J809" s="166" t="str">
        <x:v>CI</x:v>
      </x:c>
      <x:c r="K809" s="172" t="n">
        <x:v>3</x:v>
      </x:c>
      <x:c r="L809" s="185" t="str">
        <x:v>Não classificado</x:v>
      </x:c>
    </x:row>
    <x:row r="810">
      <x:c r="A810" s="175" t="str">
        <x:v>19.117.931/0001-00</x:v>
      </x:c>
      <x:c r="B810" s="166" t="str">
        <x:v>FIDC MRFG FUNDO DE INVESTIMENTO EM DIREITOS CREDITÓRIOS - RESPONSABILIDADE LIMITADA</x:v>
      </x:c>
      <x:c r="C810" s="188" t="n">
        <x:v>158540534.2</x:v>
      </x:c>
      <x:c r="D810" s="166" t="str">
        <x:v>Oliveira Trust Servicer</x:v>
      </x:c>
      <x:c r="E810" s="166" t="str">
        <x:f>IFERROR(INDEX('Classif Gestoras'!$H$6:$H$462,MATCH(D810,'Classif Gestoras'!$A$6:$A$462,0)),"Não classificada")</x:f>
        <x:v>Independente</x:v>
      </x:c>
      <x:c r="F810" s="166" t="str">
        <x:v>Oliveira Trust DTVM</x:v>
      </x:c>
      <x:c r="G810" s="166" t="str">
        <x:v>OLIVEIRA TRUST DTVM S.A.</x:v>
      </x:c>
      <x:c r="H810" s="166" t="str">
        <x:v>Agro, Indústria e Comércio</x:v>
      </x:c>
      <x:c r="I810" s="166" t="str">
        <x:v>Multicarteira Agro, Indústria e Comércio</x:v>
      </x:c>
      <x:c r="J810" s="166" t="str">
        <x:v>CI</x:v>
      </x:c>
      <x:c r="K810" s="172" t="n">
        <x:v>5</x:v>
      </x:c>
      <x:c r="L810" s="185" t="str">
        <x:v>Não classificado</x:v>
      </x:c>
    </x:row>
    <x:row r="811">
      <x:c r="A811" s="175" t="str">
        <x:v>56.797.968/0001-45</x:v>
      </x:c>
      <x:c r="B811" s="166" t="str">
        <x:v>PJUS ABETO FIDC DE PRECATÓRIOS FEDERAIS DE RESPONSABILIDADE LIMITADA</x:v>
      </x:c>
      <x:c r="C811" s="188" t="n">
        <x:v>158483535.54999998</x:v>
      </x:c>
      <x:c r="D811" s="166" t="str">
        <x:v>BRL TRUST DTVM</x:v>
      </x:c>
      <x:c r="E811" s="166" t="str">
        <x:f>IFERROR(INDEX('Classif Gestoras'!$H$6:$H$462,MATCH(D811,'Classif Gestoras'!$A$6:$A$462,0)),"Não classificada")</x:f>
        <x:v>Independente</x:v>
      </x:c>
      <x:c r="F811" s="166" t="str">
        <x:v>BRL TRUST DTVM</x:v>
      </x:c>
      <x:c r="G811" s="166" t="str">
        <x:v>BRL TRUST DISTRIBUIDORA DE TITULOS E VALORES MOBILIARIOS S.A.</x:v>
      </x:c>
      <x:c r="H811" s="166" t="str">
        <x:v>Outros</x:v>
      </x:c>
      <x:c r="I811" s="166" t="str">
        <x:v>Multicarteira Outros</x:v>
      </x:c>
      <x:c r="J811" s="166" t="str">
        <x:v>CI</x:v>
      </x:c>
      <x:c r="K811" s="172" t="n">
        <x:v>39</x:v>
      </x:c>
      <x:c r="L811" s="185" t="str">
        <x:v>Não classificado</x:v>
      </x:c>
    </x:row>
    <x:row r="812">
      <x:c r="A812" s="175" t="str">
        <x:v>62.696.791/0001-93</x:v>
      </x:c>
      <x:c r="B812" s="166" t="str">
        <x:v>CNPJ 62696791000193</x:v>
      </x:c>
      <x:c r="C812" s="188" t="n">
        <x:v>157515146.78000003</x:v>
      </x:c>
      <x:c r="D812" s="166" t="str">
        <x:v>BTG Pactual Asset</x:v>
      </x:c>
      <x:c r="E812" s="166" t="str">
        <x:f>IFERROR(INDEX('Classif Gestoras'!$H$6:$H$462,MATCH(D812,'Classif Gestoras'!$A$6:$A$462,0)),"Não classificada")</x:f>
        <x:v>Ligada a banco</x:v>
      </x:c>
      <x:c r="F812" s="166" t="str">
        <x:v>BTG Pactual Servicos Financeiros S/A DTVM</x:v>
      </x:c>
      <x:c r="G812" s="166" t="str">
        <x:v>Não identificado</x:v>
      </x:c>
      <x:c r="H812" s="166" t="str">
        <x:v>Outros</x:v>
      </x:c>
      <x:c r="I812" s="166" t="str">
        <x:v>Multicarteira Outros</x:v>
      </x:c>
      <x:c r="J812" s="166" t="str">
        <x:v>CI</x:v>
      </x:c>
      <x:c r="K812" s="172"/>
      <x:c r="L812" s="185" t="str">
        <x:v>Não classificado</x:v>
      </x:c>
    </x:row>
    <x:row r="813">
      <x:c r="A813" s="175" t="str">
        <x:v>13.767.420/0001-40</x:v>
      </x:c>
      <x:c r="B813" s="166" t="str">
        <x:v>FUNDO DE INVESTIMENTO EM DIREITOS CREDI VAREJO BR</x:v>
      </x:c>
      <x:c r="C813" s="188" t="n">
        <x:v>157491543.19</x:v>
      </x:c>
      <x:c r="D813" s="166" t="str">
        <x:v>TERCON ASSET MANAGEMENT</x:v>
      </x:c>
      <x:c r="E813" s="166" t="str">
        <x:f>IFERROR(INDEX('Classif Gestoras'!$H$6:$H$462,MATCH(D813,'Classif Gestoras'!$A$6:$A$462,0)),"Não classificada")</x:f>
        <x:v>Independente</x:v>
      </x:c>
      <x:c r="F813" s="166" t="str">
        <x:v>Singulare</x:v>
      </x:c>
      <x:c r="G813" s="166" t="str">
        <x:v>QI CORRETORA DE TÍTULOS E VALORES MOBILIÁRIOS S.A.</x:v>
      </x:c>
      <x:c r="H813" s="166" t="str">
        <x:v>Fomento Mercantil</x:v>
      </x:c>
      <x:c r="I813" s="166" t="str">
        <x:v>Fomento Mercantil</x:v>
      </x:c>
      <x:c r="J813" s="166" t="str">
        <x:v>CI</x:v>
      </x:c>
      <x:c r="K813" s="172" t="n">
        <x:v>3</x:v>
      </x:c>
      <x:c r="L813" s="185" t="str">
        <x:v>Não classificado</x:v>
      </x:c>
    </x:row>
    <x:row r="814">
      <x:c r="A814" s="175" t="str">
        <x:v>29.187.006/0001-00</x:v>
      </x:c>
      <x:c r="B814" s="166" t="str">
        <x:v>CONTATO FUNDO DE INVESTIMENTO EM DIREITOS CREDITORIOS MULTISSETORIAL</x:v>
      </x:c>
      <x:c r="C814" s="188" t="n">
        <x:v>157410342.79000002</x:v>
      </x:c>
      <x:c r="D814" s="166" t="str">
        <x:v>Solis</x:v>
      </x:c>
      <x:c r="E814" s="166" t="str">
        <x:f>IFERROR(INDEX('Classif Gestoras'!$H$6:$H$462,MATCH(D814,'Classif Gestoras'!$A$6:$A$462,0)),"Não classificada")</x:f>
        <x:v>Independente</x:v>
      </x:c>
      <x:c r="F814" s="166" t="str">
        <x:v>HEMERA DTVM</x:v>
      </x:c>
      <x:c r="G814" s="166" t="str">
        <x:v>HEMERA DISTRIBUIDORA DE TITULOS E VALORES MOBILIARIOS LTDA</x:v>
      </x:c>
      <x:c r="H814" s="166" t="str">
        <x:v>Fomento Mercantil</x:v>
      </x:c>
      <x:c r="I814" s="166" t="str">
        <x:v>Fomento Mercantil</x:v>
      </x:c>
      <x:c r="J814" s="166" t="str">
        <x:v>CI</x:v>
      </x:c>
      <x:c r="K814" s="172" t="n">
        <x:v>54</x:v>
      </x:c>
      <x:c r="L814" s="185" t="str">
        <x:v>Não classificado</x:v>
      </x:c>
    </x:row>
    <x:row r="815">
      <x:c r="A815" s="175" t="str">
        <x:v>12.093.804/0001-61</x:v>
      </x:c>
      <x:c r="B815" s="166" t="str">
        <x:v>CAPITAL ANNEX FUNDO DE INVESTIMENTO EM DIREITOS CREDITÓRIOS MULTISSETORIAL</x:v>
      </x:c>
      <x:c r="C815" s="188" t="n">
        <x:v>157120642.23</x:v>
      </x:c>
      <x:c r="D815" s="166" t="str">
        <x:v>TERCON ASSET MANAGEMENT</x:v>
      </x:c>
      <x:c r="E815" s="166" t="str">
        <x:f>IFERROR(INDEX('Classif Gestoras'!$H$6:$H$462,MATCH(D815,'Classif Gestoras'!$A$6:$A$462,0)),"Não classificada")</x:f>
        <x:v>Independente</x:v>
      </x:c>
      <x:c r="F815" s="166" t="str">
        <x:v>Singulare</x:v>
      </x:c>
      <x:c r="G815" s="166" t="str">
        <x:v>QI CORRETORA DE TÍTULOS E VALORES MOBILIÁRIOS S.A.</x:v>
      </x:c>
      <x:c r="H815" s="166" t="str">
        <x:v>Fomento Mercantil</x:v>
      </x:c>
      <x:c r="I815" s="166" t="str">
        <x:v>Fomento Mercantil</x:v>
      </x:c>
      <x:c r="J815" s="166" t="str">
        <x:v>CI</x:v>
      </x:c>
      <x:c r="K815" s="172" t="n">
        <x:v>7</x:v>
      </x:c>
      <x:c r="L815" s="185" t="str">
        <x:v>Não classificado</x:v>
      </x:c>
    </x:row>
    <x:row r="816">
      <x:c r="A816" s="175" t="str">
        <x:v>50.739.342/0001-04</x:v>
      </x:c>
      <x:c r="B816" s="166" t="str">
        <x:v>RIGEL FUNDO DE INVESTIMENTO EM DIREITOS CREDITÓRIOS NÃO-PADRONIZADOS</x:v>
      </x:c>
      <x:c r="C816" s="188" t="n">
        <x:v>156559100.84</x:v>
      </x:c>
      <x:c r="D816" s="166" t="str">
        <x:v>MAV CAPITAL GESTORA DE RECURSOS SS LTDA</x:v>
      </x:c>
      <x:c r="E816" s="166" t="str">
        <x:f>IFERROR(INDEX('Classif Gestoras'!$H$6:$H$462,MATCH(D816,'Classif Gestoras'!$A$6:$A$462,0)),"Não classificada")</x:f>
        <x:v>Independente</x:v>
      </x:c>
      <x:c r="F816" s="166" t="str">
        <x:v>Singulare</x:v>
      </x:c>
      <x:c r="G816" s="166" t="str">
        <x:v>QI CORRETORA DE TÍTULOS E VALORES MOBILIÁRIOS S.A.</x:v>
      </x:c>
      <x:c r="H816" s="166" t="str">
        <x:v>Outros</x:v>
      </x:c>
      <x:c r="I816" s="166" t="str">
        <x:v>Poder Público</x:v>
      </x:c>
      <x:c r="J816" s="166" t="str">
        <x:v>CI</x:v>
      </x:c>
      <x:c r="K816" s="172" t="n">
        <x:v>3</x:v>
      </x:c>
      <x:c r="L816" s="185" t="str">
        <x:v>Não classificado</x:v>
      </x:c>
    </x:row>
    <x:row r="817">
      <x:c r="A817" s="175" t="str">
        <x:v>47.463.381/0001-09</x:v>
      </x:c>
      <x:c r="B817" s="166" t="str">
        <x:v>PCS II PRINCIPAL FUNDO DE INVESTIMENTO EM DIREITOS CREDITÓRIOS - NÃO PADRONIZADOS</x:v>
      </x:c>
      <x:c r="C817" s="188" t="n">
        <x:v>156463846.07999998</x:v>
      </x:c>
      <x:c r="D817" s="166" t="str">
        <x:v>Prisma Capital Ltda.</x:v>
      </x:c>
      <x:c r="E817" s="166" t="str">
        <x:f>IFERROR(INDEX('Classif Gestoras'!$H$6:$H$462,MATCH(D817,'Classif Gestoras'!$A$6:$A$462,0)),"Não classificada")</x:f>
        <x:v>Independente</x:v>
      </x:c>
      <x:c r="F817" s="166" t="str">
        <x:v>Singulare</x:v>
      </x:c>
      <x:c r="G817" s="166" t="str">
        <x:v>FIDD DISTRIBUIDORA DE TITULOS E VALORES MOBILIARIOS LTDA.</x:v>
      </x:c>
      <x:c r="H817" s="166" t="str">
        <x:v>Outros</x:v>
      </x:c>
      <x:c r="I817" s="166" t="str">
        <x:v>Multicarteira Outros</x:v>
      </x:c>
      <x:c r="J817" s="166" t="str">
        <x:v>CI</x:v>
      </x:c>
      <x:c r="K817" s="172" t="n">
        <x:v>2</x:v>
      </x:c>
      <x:c r="L817" s="185" t="str">
        <x:v>Não classificado</x:v>
      </x:c>
    </x:row>
    <x:row r="818">
      <x:c r="A818" s="175" t="str">
        <x:v>58.377.616/0001-66</x:v>
      </x:c>
      <x:c r="B818" s="166" t="str">
        <x:v>CNPJ 58377616000166</x:v>
      </x:c>
      <x:c r="C818" s="188" t="n">
        <x:v>156365687.05</x:v>
      </x:c>
      <x:c r="D818" s="166" t="str">
        <x:v>Artesanal Investimentos</x:v>
      </x:c>
      <x:c r="E818" s="166" t="str">
        <x:f>IFERROR(INDEX('Classif Gestoras'!$H$6:$H$462,MATCH(D818,'Classif Gestoras'!$A$6:$A$462,0)),"Não classificada")</x:f>
        <x:v>Independente</x:v>
      </x:c>
      <x:c r="F818" s="166" t="str">
        <x:v>Genial Investimentos Corretora de Valores Mobiliários S.A.</x:v>
      </x:c>
      <x:c r="G818" s="166" t="str">
        <x:v>Não identificado</x:v>
      </x:c>
      <x:c r="H818" s="166" t="str">
        <x:v>Outros</x:v>
      </x:c>
      <x:c r="I818" s="166" t="str">
        <x:v>Multicarteira Outros</x:v>
      </x:c>
      <x:c r="J818" s="166" t="str">
        <x:v>CI</x:v>
      </x:c>
      <x:c r="K818" s="172"/>
      <x:c r="L818" s="185" t="str">
        <x:v>Não classificado</x:v>
      </x:c>
    </x:row>
    <x:row r="819">
      <x:c r="A819" s="175" t="str">
        <x:v>65.494.608/0001-65</x:v>
      </x:c>
      <x:c r="B819" s="166" t="str">
        <x:v>MKL LEGAL CLAIMS I FUNDO DE INVESTIMENTO EM DIREITOS CREDITÓRIOS</x:v>
      </x:c>
      <x:c r="C819" s="188" t="n">
        <x:v>156334223.33</x:v>
      </x:c>
      <x:c r="D819" s="166" t="str">
        <x:v>MAKALU</x:v>
      </x:c>
      <x:c r="E819" s="166" t="str">
        <x:f>IFERROR(INDEX('Classif Gestoras'!$H$6:$H$462,MATCH(D819,'Classif Gestoras'!$A$6:$A$462,0)),"Não classificada")</x:f>
        <x:v>Independente</x:v>
      </x:c>
      <x:c r="F819" s="166" t="str">
        <x:v>Singulare</x:v>
      </x:c>
      <x:c r="G819" s="166" t="str">
        <x:v>QI CORRETORA DE TÍTULOS E VALORES MOBILIÁRIOS S.A.</x:v>
      </x:c>
      <x:c r="H819" s="166" t="str">
        <x:v>Outros</x:v>
      </x:c>
      <x:c r="I819" s="166" t="str">
        <x:v>Poder Público</x:v>
      </x:c>
      <x:c r="J819" s="166" t="str">
        <x:v>CI</x:v>
      </x:c>
      <x:c r="K819" s="172" t="n">
        <x:v>8</x:v>
      </x:c>
      <x:c r="L819" s="185" t="str">
        <x:v>Não classificado</x:v>
      </x:c>
    </x:row>
    <x:row r="820">
      <x:c r="A820" s="175" t="str">
        <x:v>63.384.189/0001-83</x:v>
      </x:c>
      <x:c r="B820" s="166" t="str">
        <x:v>NINFEIA FUNDO DE INVESTIMENTO EM DIREITOS CREDITÓRIOS</x:v>
      </x:c>
      <x:c r="C820" s="188" t="n">
        <x:v>156207986.77999997</x:v>
      </x:c>
      <x:c r="D820" s="166" t="str">
        <x:v>Global Gestão e Investimentos</x:v>
      </x:c>
      <x:c r="E820" s="166" t="str">
        <x:f>IFERROR(INDEX('Classif Gestoras'!$H$6:$H$462,MATCH(D820,'Classif Gestoras'!$A$6:$A$462,0)),"Não classificada")</x:f>
        <x:v>Independente</x:v>
      </x:c>
      <x:c r="F820" s="166" t="str">
        <x:v>BTG Pactual Servicos Financeiros S/A DTVM</x:v>
      </x:c>
      <x:c r="G820" s="166" t="str">
        <x:v>BANCO BTG PACTUAL S/A</x:v>
      </x:c>
      <x:c r="H820" s="166" t="str">
        <x:v>Outros</x:v>
      </x:c>
      <x:c r="I820" s="166" t="str">
        <x:v>Poder Público</x:v>
      </x:c>
      <x:c r="J820" s="166" t="str">
        <x:v>CI</x:v>
      </x:c>
      <x:c r="K820" s="172" t="n">
        <x:v>6</x:v>
      </x:c>
      <x:c r="L820" s="185" t="str">
        <x:v>Não classificado</x:v>
      </x:c>
    </x:row>
    <x:row r="821">
      <x:c r="A821" s="175" t="str">
        <x:v>62.359.143/0001-41</x:v>
      </x:c>
      <x:c r="B821" s="166" t="str">
        <x:v>XP VINTAGE I FUNDO DE INVESTIMENTO EM DIREITOS CREDITÓRIOS MULTICARTEIRA OUTROS RL</x:v>
      </x:c>
      <x:c r="C821" s="188" t="n">
        <x:v>155991373.51</x:v>
      </x:c>
      <x:c r="D821" s="166" t="str">
        <x:v>XP Allocation</x:v>
      </x:c>
      <x:c r="E821" s="166" t="str">
        <x:f>IFERROR(INDEX('Classif Gestoras'!$H$6:$H$462,MATCH(D821,'Classif Gestoras'!$A$6:$A$462,0)),"Não classificada")</x:f>
        <x:v>Ligada a banco</x:v>
      </x:c>
      <x:c r="F821" s="166" t="str">
        <x:v>XPI CCTVM S/A</x:v>
      </x:c>
      <x:c r="G821" s="166" t="str">
        <x:v>OLIVEIRA TRUST DTVM S.A.</x:v>
      </x:c>
      <x:c r="H821" s="166" t="str">
        <x:v>Fomento Mercantil</x:v>
      </x:c>
      <x:c r="I821" s="166" t="str">
        <x:v>Fomento Mercantil</x:v>
      </x:c>
      <x:c r="J821" s="166" t="str">
        <x:v>CI</x:v>
      </x:c>
      <x:c r="K821" s="172" t="n">
        <x:v>98</x:v>
      </x:c>
      <x:c r="L821" s="185" t="str">
        <x:v>Não classificado</x:v>
      </x:c>
    </x:row>
    <x:row r="822">
      <x:c r="A822" s="175" t="str">
        <x:v>66.127.332/0001-40</x:v>
      </x:c>
      <x:c r="B822" s="166" t="str">
        <x:v>LCM OSÍRIS FUNDO DE INVESTIMENTO EM DIREITOS CREDITÓRIOS</x:v>
      </x:c>
      <x:c r="C822" s="188" t="n">
        <x:v>155953511.86</x:v>
      </x:c>
      <x:c r="D822" s="166" t="str">
        <x:v>Lumina</x:v>
      </x:c>
      <x:c r="E822" s="166" t="str">
        <x:f>IFERROR(INDEX('Classif Gestoras'!$H$6:$H$462,MATCH(D822,'Classif Gestoras'!$A$6:$A$462,0)),"Não classificada")</x:f>
        <x:v>Independente</x:v>
      </x:c>
      <x:c r="F822" s="166" t="str">
        <x:v>BTG Pactual Servicos Financeiros S/A DTVM</x:v>
      </x:c>
      <x:c r="G822" s="166" t="str">
        <x:v>BANCO BTG PACTUAL S/A</x:v>
      </x:c>
      <x:c r="H822" s="166" t="str">
        <x:v>Outros</x:v>
      </x:c>
      <x:c r="I822" s="166" t="str">
        <x:v>Multicarteira Outros</x:v>
      </x:c>
      <x:c r="J822" s="166" t="str">
        <x:v>CI</x:v>
      </x:c>
      <x:c r="K822" s="172" t="n">
        <x:v>3</x:v>
      </x:c>
      <x:c r="L822" s="185" t="str">
        <x:v>Não classificado</x:v>
      </x:c>
    </x:row>
    <x:row r="823">
      <x:c r="A823" s="175" t="str">
        <x:v>52.148.267/0001-24</x:v>
      </x:c>
      <x:c r="B823" s="166" t="str">
        <x:v>AZ-ATHON FUNDO DE INVESTIMENTO EM DIREITOS CREDITÓRIOS DE RESPONSABILIDADE ILIMITADA</x:v>
      </x:c>
      <x:c r="C823" s="188" t="n">
        <x:v>155906021.29999998</x:v>
      </x:c>
      <x:c r="D823" s="166" t="str">
        <x:v>AZ QUEST</x:v>
      </x:c>
      <x:c r="E823" s="166" t="str">
        <x:f>IFERROR(INDEX('Classif Gestoras'!$H$6:$H$462,MATCH(D823,'Classif Gestoras'!$A$6:$A$462,0)),"Não classificada")</x:f>
        <x:v>Independente</x:v>
      </x:c>
      <x:c r="F823" s="166" t="str">
        <x:v>BANCO DAYCOVAL S/A</x:v>
      </x:c>
      <x:c r="G823" s="166" t="str">
        <x:v>BANCO DAYCOVAL S.A.</x:v>
      </x:c>
      <x:c r="H823" s="166" t="str">
        <x:v>Financeiro</x:v>
      </x:c>
      <x:c r="I823" s="166" t="str">
        <x:v>Multicarteira Financeiro</x:v>
      </x:c>
      <x:c r="J823" s="166" t="str">
        <x:v>CI</x:v>
      </x:c>
      <x:c r="K823" s="172" t="n">
        <x:v>31</x:v>
      </x:c>
      <x:c r="L823" s="185" t="str">
        <x:v>Não classificado</x:v>
      </x:c>
    </x:row>
    <x:row r="824">
      <x:c r="A824" s="175" t="str">
        <x:v>49.920.525/0001-34</x:v>
      </x:c>
      <x:c r="B824" s="166" t="str">
        <x:v>IS GREEN SOLFÁCIL III FUNDO DE INVESTIMENTO EM DIREITOS CREDITÓRIOS RESPONSABILIDADE LIMITADA</x:v>
      </x:c>
      <x:c r="C824" s="188" t="n">
        <x:v>155163394.42000002</x:v>
      </x:c>
      <x:c r="D824" s="166" t="str">
        <x:v>Régia Capital Ltda</x:v>
      </x:c>
      <x:c r="E824" s="166" t="str">
        <x:f>IFERROR(INDEX('Classif Gestoras'!$H$6:$H$462,MATCH(D824,'Classif Gestoras'!$A$6:$A$462,0)),"Não classificada")</x:f>
        <x:v>Independente</x:v>
      </x:c>
      <x:c r="F824" s="166" t="str">
        <x:v>BANCO DAYCOVAL S/A</x:v>
      </x:c>
      <x:c r="G824" s="166" t="str">
        <x:v>BANCO DAYCOVAL S.A.</x:v>
      </x:c>
      <x:c r="H824" s="166" t="str">
        <x:v>Financeiro</x:v>
      </x:c>
      <x:c r="I824" s="166" t="str">
        <x:v>Crédito Pessoal</x:v>
      </x:c>
      <x:c r="J824" s="166" t="str">
        <x:v>CI</x:v>
      </x:c>
      <x:c r="K824" s="172" t="n">
        <x:v>134</x:v>
      </x:c>
      <x:c r="L824" s="185" t="str">
        <x:v>Não classificado</x:v>
      </x:c>
    </x:row>
    <x:row r="825">
      <x:c r="A825" s="175" t="str">
        <x:v>52.667.588/0001-35</x:v>
      </x:c>
      <x:c r="B825" s="166" t="str">
        <x:v>GRUPO CASAS BAHIA FUNDO DE INVESTIMENTO EM DIREITOS CREDITÓRIOS</x:v>
      </x:c>
      <x:c r="C825" s="188" t="n">
        <x:v>154599278.41</x:v>
      </x:c>
      <x:c r="D825" s="166" t="str">
        <x:v>POLÍGONO CAPITAL LTDA.</x:v>
      </x:c>
      <x:c r="E825" s="166" t="str">
        <x:f>IFERROR(INDEX('Classif Gestoras'!$H$6:$H$462,MATCH(D825,'Classif Gestoras'!$A$6:$A$462,0)),"Não classificada")</x:f>
        <x:v>Independente</x:v>
      </x:c>
      <x:c r="F825" s="166" t="str">
        <x:v>BTG Pactual Servicos Financeiros S/A DTVM</x:v>
      </x:c>
      <x:c r="G825" s="166" t="str">
        <x:v>BANCO BTG PACTUAL S/A</x:v>
      </x:c>
      <x:c r="H825" s="166" t="str">
        <x:v>Financeiro</x:v>
      </x:c>
      <x:c r="I825" s="166" t="str">
        <x:v>Crédito Pessoal</x:v>
      </x:c>
      <x:c r="J825" s="166" t="str">
        <x:v>CI</x:v>
      </x:c>
      <x:c r="K825" s="172" t="n">
        <x:v>2</x:v>
      </x:c>
      <x:c r="L825" s="185" t="str">
        <x:v>Não classificado</x:v>
      </x:c>
    </x:row>
    <x:row r="826">
      <x:c r="A826" s="175" t="str">
        <x:v>32.771.763/0001-22</x:v>
      </x:c>
      <x:c r="B826" s="166" t="str">
        <x:v>SÃO MARTINHO FUNDO DE INVESTIMENTO EM DIREITOS CREDITÓRIOS MULTISSETORIAL</x:v>
      </x:c>
      <x:c r="C826" s="188" t="n">
        <x:v>154517074.28</x:v>
      </x:c>
      <x:c r="D826" s="166" t="str">
        <x:v>Global Gestão e Investimentos</x:v>
      </x:c>
      <x:c r="E826" s="166" t="str">
        <x:f>IFERROR(INDEX('Classif Gestoras'!$H$6:$H$462,MATCH(D826,'Classif Gestoras'!$A$6:$A$462,0)),"Não classificada")</x:f>
        <x:v>Independente</x:v>
      </x:c>
      <x:c r="F826" s="166" t="str">
        <x:v>Singulare</x:v>
      </x:c>
      <x:c r="G826" s="166" t="str">
        <x:v>QI CORRETORA DE TÍTULOS E VALORES MOBILIÁRIOS S.A.</x:v>
      </x:c>
      <x:c r="H826" s="166" t="str">
        <x:v>Fomento Mercantil</x:v>
      </x:c>
      <x:c r="I826" s="166" t="str">
        <x:v>Fomento Mercantil</x:v>
      </x:c>
      <x:c r="J826" s="166" t="str">
        <x:v>CI</x:v>
      </x:c>
      <x:c r="K826" s="172" t="n">
        <x:v>24</x:v>
      </x:c>
      <x:c r="L826" s="185" t="str">
        <x:v>Não classificado</x:v>
      </x:c>
    </x:row>
    <x:row r="827">
      <x:c r="A827" s="175" t="str">
        <x:v>55.633.169/0001-70</x:v>
      </x:c>
      <x:c r="B827" s="166" t="str">
        <x:v>FUNDO DE INVESTIMENTO EM DIREITOS CREDITÓRIOS AMETISTA II - RESPONSABILIDADE LIMITADA</x:v>
      </x:c>
      <x:c r="C827" s="188" t="n">
        <x:v>154319282.65</x:v>
      </x:c>
      <x:c r="D827" s="166" t="str">
        <x:v>Solis</x:v>
      </x:c>
      <x:c r="E827" s="166" t="str">
        <x:f>IFERROR(INDEX('Classif Gestoras'!$H$6:$H$462,MATCH(D827,'Classif Gestoras'!$A$6:$A$462,0)),"Não classificada")</x:f>
        <x:v>Independente</x:v>
      </x:c>
      <x:c r="F827" s="166" t="str">
        <x:v>VÓRTX DTVM</x:v>
      </x:c>
      <x:c r="G827" s="166" t="str">
        <x:v>VORTX DISTRIBUIDORA DE TITULOS E VALORES MOBILIARIOS LTDA.</x:v>
      </x:c>
      <x:c r="H827" s="166" t="str">
        <x:v>Outros</x:v>
      </x:c>
      <x:c r="I827" s="166" t="str">
        <x:v>Multicarteira Outros</x:v>
      </x:c>
      <x:c r="J827" s="166" t="str">
        <x:v>CI</x:v>
      </x:c>
      <x:c r="K827" s="172" t="n">
        <x:v>31</x:v>
      </x:c>
      <x:c r="L827" s="185" t="str">
        <x:v>Não classificado</x:v>
      </x:c>
    </x:row>
    <x:row r="828">
      <x:c r="A828" s="175" t="str">
        <x:v>53.179.862/0001-90</x:v>
      </x:c>
      <x:c r="B828" s="166" t="str">
        <x:v>FUNDO DE INVESTIMENTO EM DIREITOS CREDITÓRIOS DE RESPONSABILIDADE LIMITADA FGTS MT II</x:v>
      </x:c>
      <x:c r="C828" s="188" t="n">
        <x:v>154141195.29000002</x:v>
      </x:c>
      <x:c r="D828" s="166" t="str">
        <x:v>VALORA RENDA FIXA ESTRUTURADOS LTDA.</x:v>
      </x:c>
      <x:c r="E828" s="166" t="str">
        <x:f>IFERROR(INDEX('Classif Gestoras'!$H$6:$H$462,MATCH(D828,'Classif Gestoras'!$A$6:$A$462,0)),"Não classificada")</x:f>
        <x:v>Independente</x:v>
      </x:c>
      <x:c r="F828" s="166" t="str">
        <x:v>BANCO DAYCOVAL S/A</x:v>
      </x:c>
      <x:c r="G828" s="166" t="str">
        <x:v>BANCO DAYCOVAL S.A.</x:v>
      </x:c>
      <x:c r="H828" s="166" t="str">
        <x:v>Financeiro</x:v>
      </x:c>
      <x:c r="I828" s="166" t="str">
        <x:v>Multicarteira Financeiro</x:v>
      </x:c>
      <x:c r="J828" s="166" t="str">
        <x:v>CI</x:v>
      </x:c>
      <x:c r="K828" s="172" t="n">
        <x:v>71</x:v>
      </x:c>
      <x:c r="L828" s="185" t="str">
        <x:v>Não classificado</x:v>
      </x:c>
    </x:row>
    <x:row r="829">
      <x:c r="A829" s="175" t="str">
        <x:v>35.448.908/0001-47</x:v>
      </x:c>
      <x:c r="B829" s="166" t="str">
        <x:v>EXES CRÉDITO DIRETO - FUNDO DE INVESTIMENTO EM DIREITOS CREDITÓRIOS RESPONSABILIDADE LIMITADA</x:v>
      </x:c>
      <x:c r="C829" s="188" t="n">
        <x:v>153620749.38</x:v>
      </x:c>
      <x:c r="D829" s="166" t="str">
        <x:v>Éxes</x:v>
      </x:c>
      <x:c r="E829" s="166" t="str">
        <x:f>IFERROR(INDEX('Classif Gestoras'!$H$6:$H$462,MATCH(D829,'Classif Gestoras'!$A$6:$A$462,0)),"Não classificada")</x:f>
        <x:v>Independente</x:v>
      </x:c>
      <x:c r="F829" s="166" t="str">
        <x:v>BANCO DAYCOVAL S/A</x:v>
      </x:c>
      <x:c r="G829" s="166" t="str">
        <x:v>BANCO DAYCOVAL S.A.</x:v>
      </x:c>
      <x:c r="H829" s="166" t="str">
        <x:v>Outros</x:v>
      </x:c>
      <x:c r="I829" s="166" t="str">
        <x:v>Multicarteira Outros</x:v>
      </x:c>
      <x:c r="J829" s="166" t="str">
        <x:v>CI</x:v>
      </x:c>
      <x:c r="K829" s="172" t="n">
        <x:v>7</x:v>
      </x:c>
      <x:c r="L829" s="185" t="str">
        <x:v>Não classificado</x:v>
      </x:c>
    </x:row>
    <x:row r="830">
      <x:c r="A830" s="175" t="str">
        <x:v>56.992.610/0001-73</x:v>
      </x:c>
      <x:c r="B830" s="166" t="str">
        <x:v>VINCI CRÉDITO PORTFÓLIO CDI+ FUNDO DE INVESTIMENTO EM DIREITOS CREDITÓRIOS</x:v>
      </x:c>
      <x:c r="C830" s="188" t="n">
        <x:v>153575145.23999998</x:v>
      </x:c>
      <x:c r="D830" s="166" t="str">
        <x:v>Vinci Gestora de Recursos LTDA</x:v>
      </x:c>
      <x:c r="E830" s="166" t="str">
        <x:f>IFERROR(INDEX('Classif Gestoras'!$H$6:$H$462,MATCH(D830,'Classif Gestoras'!$A$6:$A$462,0)),"Não classificada")</x:f>
        <x:v>Independente</x:v>
      </x:c>
      <x:c r="F830" s="166" t="str">
        <x:v>XPI CCTVM S/A</x:v>
      </x:c>
      <x:c r="G830" s="166" t="str">
        <x:v>OLIVEIRA TRUST DTVM S.A.</x:v>
      </x:c>
      <x:c r="H830" s="166" t="str">
        <x:v>Outros</x:v>
      </x:c>
      <x:c r="I830" s="166" t="str">
        <x:v>Multicarteira Outros</x:v>
      </x:c>
      <x:c r="J830" s="166" t="str">
        <x:v>CI</x:v>
      </x:c>
      <x:c r="K830" s="172" t="n">
        <x:v>2207</x:v>
      </x:c>
      <x:c r="L830" s="185" t="str">
        <x:v>Não classificado</x:v>
      </x:c>
    </x:row>
    <x:row r="831">
      <x:c r="A831" s="175" t="str">
        <x:v>23.104.468/0001-21</x:v>
      </x:c>
      <x:c r="B831" s="166" t="str">
        <x:v>SELECTOR FUNDO DE INVESTIMENTO EM DIREITOS CREDITÓRIOS NÃO-PADRONIZADOS</x:v>
      </x:c>
      <x:c r="C831" s="188" t="n">
        <x:v>153129140.26000002</x:v>
      </x:c>
      <x:c r="D831" s="166" t="str">
        <x:v>REAG PORTFOLIO SOLUTIONS</x:v>
      </x:c>
      <x:c r="E831" s="166" t="str">
        <x:f>IFERROR(INDEX('Classif Gestoras'!$H$6:$H$462,MATCH(D831,'Classif Gestoras'!$A$6:$A$462,0)),"Não classificada")</x:f>
        <x:v>Independente</x:v>
      </x:c>
      <x:c r="F831" s="166" t="str">
        <x:v>REAG DTVM</x:v>
      </x:c>
      <x:c r="G831" s="166" t="str">
        <x:v>FINVEST DISTRIBUIDORA DE TÍTULOS E VALORES MOBILIÁRIOS LTDA.</x:v>
      </x:c>
      <x:c r="H831" s="166" t="str">
        <x:v>Fomento Mercantil</x:v>
      </x:c>
      <x:c r="I831" s="166" t="str">
        <x:v>Fomento Mercantil</x:v>
      </x:c>
      <x:c r="J831" s="166" t="str">
        <x:v>CI</x:v>
      </x:c>
      <x:c r="K831" s="172" t="n">
        <x:v>1</x:v>
      </x:c>
      <x:c r="L831" s="185" t="str">
        <x:v>Não classificado</x:v>
      </x:c>
    </x:row>
    <x:row r="832">
      <x:c r="A832" s="175" t="str">
        <x:v>38.065.069/0001-76</x:v>
      </x:c>
      <x:c r="B832" s="166" t="str">
        <x:v>ÉXES D90 FUNDO DE INVESTIMENTO EM DIREITOS CREDITÓRIOS</x:v>
      </x:c>
      <x:c r="C832" s="188" t="n">
        <x:v>153128102.0273</x:v>
      </x:c>
      <x:c r="D832" s="166" t="str">
        <x:v>Éxes</x:v>
      </x:c>
      <x:c r="E832" s="166" t="str">
        <x:f>IFERROR(INDEX('Classif Gestoras'!$H$6:$H$462,MATCH(D832,'Classif Gestoras'!$A$6:$A$462,0)),"Não classificada")</x:f>
        <x:v>Independente</x:v>
      </x:c>
      <x:c r="F832" s="166" t="str">
        <x:v>BTG Pactual Servicos Financeiros S/A DTVM</x:v>
      </x:c>
      <x:c r="G832" s="166" t="str">
        <x:v>BANCO BTG PACTUAL S/A</x:v>
      </x:c>
      <x:c r="H832" s="166" t="str">
        <x:v>Outros</x:v>
      </x:c>
      <x:c r="I832" s="166" t="str">
        <x:v>Multicarteira Outros</x:v>
      </x:c>
      <x:c r="J832" s="166" t="str">
        <x:v>CI</x:v>
      </x:c>
      <x:c r="K832" s="172" t="n">
        <x:v>898</x:v>
      </x:c>
      <x:c r="L832" s="185" t="str">
        <x:v>Não classificado</x:v>
      </x:c>
    </x:row>
    <x:row r="833">
      <x:c r="A833" s="175" t="str">
        <x:v>45.019.334/0001-45</x:v>
      </x:c>
      <x:c r="B833" s="166" t="str">
        <x:v>IUGU I UR - FIDC - UNIDADE DE RECEBÍVEIS RESPONSABILIDADE LIMITADA</x:v>
      </x:c>
      <x:c r="C833" s="188" t="n">
        <x:v>153072414.26</x:v>
      </x:c>
      <x:c r="D833" s="166" t="str">
        <x:v>H2 CAPITAL</x:v>
      </x:c>
      <x:c r="E833" s="166" t="str">
        <x:f>IFERROR(INDEX('Classif Gestoras'!$H$6:$H$462,MATCH(D833,'Classif Gestoras'!$A$6:$A$462,0)),"Não classificada")</x:f>
        <x:v>Independente</x:v>
      </x:c>
      <x:c r="F833" s="166" t="str">
        <x:v>BEM - DIST. DE TÍTUL</x:v>
      </x:c>
      <x:c r="G833" s="166" t="str">
        <x:v>BANCO BRADESCO S.A.</x:v>
      </x:c>
      <x:c r="H833" s="166" t="str">
        <x:v>Financeiro</x:v>
      </x:c>
      <x:c r="I833" s="166" t="str">
        <x:v>Multicarteira Financeiro</x:v>
      </x:c>
      <x:c r="J833" s="166" t="str">
        <x:v>CI</x:v>
      </x:c>
      <x:c r="K833" s="172" t="n">
        <x:v>6</x:v>
      </x:c>
      <x:c r="L833" s="185" t="str">
        <x:v>Não classificado</x:v>
      </x:c>
    </x:row>
    <x:row r="834">
      <x:c r="A834" s="175" t="str">
        <x:v>54.028.640/0001-39</x:v>
      </x:c>
      <x:c r="B834" s="166" t="str">
        <x:v>SUPER BOX FUNDO DE INVESTIMENTO EM DIREITOS CREDITÓRIOS</x:v>
      </x:c>
      <x:c r="C834" s="188" t="n">
        <x:v>152899021.44</x:v>
      </x:c>
      <x:c r="D834" s="166" t="str">
        <x:v>M8 Partners</x:v>
      </x:c>
      <x:c r="E834" s="166" t="str">
        <x:f>IFERROR(INDEX('Classif Gestoras'!$H$6:$H$462,MATCH(D834,'Classif Gestoras'!$A$6:$A$462,0)),"Não classificada")</x:f>
        <x:v>Independente</x:v>
      </x:c>
      <x:c r="F834" s="166" t="str">
        <x:v>Singulare</x:v>
      </x:c>
      <x:c r="G834" s="166" t="str">
        <x:v>QI CORRETORA DE TÍTULOS E VALORES MOBILIÁRIOS S.A.</x:v>
      </x:c>
      <x:c r="H834" s="166" t="str">
        <x:v>Fomento Mercantil</x:v>
      </x:c>
      <x:c r="I834" s="166" t="str">
        <x:v>Fomento Mercantil</x:v>
      </x:c>
      <x:c r="J834" s="166" t="str">
        <x:v>CI</x:v>
      </x:c>
      <x:c r="K834" s="172" t="n">
        <x:v>43</x:v>
      </x:c>
      <x:c r="L834" s="185" t="str">
        <x:v>Não classificado</x:v>
      </x:c>
    </x:row>
    <x:row r="835">
      <x:c r="A835" s="175" t="str">
        <x:v>50.198.834/0001-21</x:v>
      </x:c>
      <x:c r="B835" s="166" t="str">
        <x:v>JGP ESTRUTURADOS III FUNDO DE INVESTIMENTO EM DIREITOS CREDITÓRIOS - RESPONSABILIDADE LIMITADA</x:v>
      </x:c>
      <x:c r="C835" s="188" t="n">
        <x:v>152529867.13000005</x:v>
      </x:c>
      <x:c r="D835" s="166" t="str">
        <x:v>JGP Gestão de Crédito LTDA.</x:v>
      </x:c>
      <x:c r="E835" s="166" t="str">
        <x:f>IFERROR(INDEX('Classif Gestoras'!$H$6:$H$462,MATCH(D835,'Classif Gestoras'!$A$6:$A$462,0)),"Não classificada")</x:f>
        <x:v>Independente</x:v>
      </x:c>
      <x:c r="F835" s="166" t="str">
        <x:v>BNY MELLON SERVICOS</x:v>
      </x:c>
      <x:c r="G835" s="166" t="str">
        <x:v>BNY MELLON BANCO S.A.</x:v>
      </x:c>
      <x:c r="H835" s="166" t="str">
        <x:v>Outros</x:v>
      </x:c>
      <x:c r="I835" s="166" t="str">
        <x:v>Multicarteira Outros</x:v>
      </x:c>
      <x:c r="J835" s="166" t="str">
        <x:v>CI</x:v>
      </x:c>
      <x:c r="K835" s="172" t="n">
        <x:v>54</x:v>
      </x:c>
      <x:c r="L835" s="185" t="str">
        <x:v>Não classificado</x:v>
      </x:c>
    </x:row>
    <x:row r="836">
      <x:c r="A836" s="175" t="str">
        <x:v>43.863.266/0001-70</x:v>
      </x:c>
      <x:c r="B836" s="166" t="str">
        <x:v>LC SFH I FUNDO DE INVESTIMENTO EM DIREITOS CREDITÓRIOS DE RESPONSABILIDADE LIMITADA</x:v>
      </x:c>
      <x:c r="C836" s="188" t="n">
        <x:v>152249543.32</x:v>
      </x:c>
      <x:c r="D836" s="166" t="str">
        <x:v>TAG Investimentos</x:v>
      </x:c>
      <x:c r="E836" s="166" t="str">
        <x:f>IFERROR(INDEX('Classif Gestoras'!$H$6:$H$462,MATCH(D836,'Classif Gestoras'!$A$6:$A$462,0)),"Não classificada")</x:f>
        <x:v>Independente</x:v>
      </x:c>
      <x:c r="F836" s="166" t="str">
        <x:v>VÓRTX DTVM</x:v>
      </x:c>
      <x:c r="G836" s="166" t="str">
        <x:v>VORTX DISTRIBUIDORA DE TITULOS E VALORES MOBILIARIOS LTDA.</x:v>
      </x:c>
      <x:c r="H836" s="166" t="str">
        <x:v>Outros</x:v>
      </x:c>
      <x:c r="I836" s="166" t="str">
        <x:v>Poder Público</x:v>
      </x:c>
      <x:c r="J836" s="166" t="str">
        <x:v>CI</x:v>
      </x:c>
      <x:c r="K836" s="172" t="n">
        <x:v>22</x:v>
      </x:c>
      <x:c r="L836" s="185" t="str">
        <x:v>Não classificado</x:v>
      </x:c>
    </x:row>
    <x:row r="837">
      <x:c r="A837" s="175" t="str">
        <x:v>59.599.914/0001-63</x:v>
      </x:c>
      <x:c r="B837" s="166" t="str">
        <x:v>FUNDO DE INVESTIMENTO EM DIREITOS CREDITÓRIOS FUTURO PREVIDENCIA CONSIGNADO PUBLICO IV RESP LTDA</x:v>
      </x:c>
      <x:c r="C837" s="188" t="n">
        <x:v>152179458.93</x:v>
      </x:c>
      <x:c r="D837" s="166" t="str">
        <x:v>Brave Asset</x:v>
      </x:c>
      <x:c r="E837" s="166" t="str">
        <x:f>IFERROR(INDEX('Classif Gestoras'!$H$6:$H$462,MATCH(D837,'Classif Gestoras'!$A$6:$A$462,0)),"Não classificada")</x:f>
        <x:v>Independente</x:v>
      </x:c>
      <x:c r="F837" s="166" t="str">
        <x:v>Oliveira Trust DTVM</x:v>
      </x:c>
      <x:c r="G837" s="166" t="str">
        <x:v>OLIVEIRA TRUST DTVM S.A.</x:v>
      </x:c>
      <x:c r="H837" s="166" t="str">
        <x:v>Financeiro</x:v>
      </x:c>
      <x:c r="I837" s="166" t="str">
        <x:v>Crédito Consignado</x:v>
      </x:c>
      <x:c r="J837" s="166" t="str">
        <x:v>CI</x:v>
      </x:c>
      <x:c r="K837" s="172" t="n">
        <x:v>30</x:v>
      </x:c>
      <x:c r="L837" s="185" t="str">
        <x:v>Não classificado</x:v>
      </x:c>
    </x:row>
    <x:row r="838">
      <x:c r="A838" s="175" t="str">
        <x:v>55.198.653/0001-19</x:v>
      </x:c>
      <x:c r="B838" s="166" t="str">
        <x:v>PBG FUNDO DE INVESTIMENTO EM DIREITOS CREDITÓRIOS DE RESPONSABILIDADE LIMITADA</x:v>
      </x:c>
      <x:c r="C838" s="188" t="n">
        <x:v>152043445.39</x:v>
      </x:c>
      <x:c r="D838" s="166" t="str">
        <x:v>ANGÁ ASSET MANAGEMENT</x:v>
      </x:c>
      <x:c r="E838" s="166" t="str">
        <x:f>IFERROR(INDEX('Classif Gestoras'!$H$6:$H$462,MATCH(D838,'Classif Gestoras'!$A$6:$A$462,0)),"Não classificada")</x:f>
        <x:v>Independente</x:v>
      </x:c>
      <x:c r="F838" s="166" t="str">
        <x:v>BANCO DAYCOVAL S/A</x:v>
      </x:c>
      <x:c r="G838" s="166" t="str">
        <x:v>BANCO DAYCOVAL S.A.</x:v>
      </x:c>
      <x:c r="H838" s="166" t="str">
        <x:v>Agro, Indústria e Comércio</x:v>
      </x:c>
      <x:c r="I838" s="166" t="str">
        <x:v>Recebíveis Comerciais</x:v>
      </x:c>
      <x:c r="J838" s="166" t="str">
        <x:v>CI</x:v>
      </x:c>
      <x:c r="K838" s="172" t="n">
        <x:v>3</x:v>
      </x:c>
      <x:c r="L838" s="185" t="str">
        <x:v>Não classificado</x:v>
      </x:c>
    </x:row>
    <x:row r="839">
      <x:c r="A839" s="175" t="str">
        <x:v>61.290.215/0001-89</x:v>
      </x:c>
      <x:c r="B839" s="166" t="str">
        <x:v>POLÍGONO MASTER PROF FUNDO DE INVESTIMENTO EM DIREITOS CREDITÓRIOS</x:v>
      </x:c>
      <x:c r="C839" s="188" t="n">
        <x:v>151934700.89000002</x:v>
      </x:c>
      <x:c r="D839" s="166" t="str">
        <x:v>POLÍGONO CAPITAL LTDA.</x:v>
      </x:c>
      <x:c r="E839" s="166" t="str">
        <x:f>IFERROR(INDEX('Classif Gestoras'!$H$6:$H$462,MATCH(D839,'Classif Gestoras'!$A$6:$A$462,0)),"Não classificada")</x:f>
        <x:v>Independente</x:v>
      </x:c>
      <x:c r="F839" s="166" t="str">
        <x:v>FIDD DISTRIBUIDORA DE TITULOS E VALORES MOBILIARIOS LTD</x:v>
      </x:c>
      <x:c r="G839" s="166" t="str">
        <x:v>FIDD DISTRIBUIDORA DE TITULOS E VALORES MOBILIARIOS LTDA.</x:v>
      </x:c>
      <x:c r="H839" s="166" t="str">
        <x:v>Outros</x:v>
      </x:c>
      <x:c r="I839" s="166" t="str">
        <x:v>Multicarteira Outros</x:v>
      </x:c>
      <x:c r="J839" s="166" t="str">
        <x:v>CI</x:v>
      </x:c>
      <x:c r="K839" s="172" t="n">
        <x:v>5</x:v>
      </x:c>
      <x:c r="L839" s="185" t="str">
        <x:v>Não classificado</x:v>
      </x:c>
    </x:row>
    <x:row r="840">
      <x:c r="A840" s="175" t="str">
        <x:v>54.219.179/0001-00</x:v>
      </x:c>
      <x:c r="B840" s="166" t="str">
        <x:v>CLOUDWALK BIG PICTURE III FUNDO DE INVESTIMENTO EM DIREITOS CREDITÓRIOS SEGMENTO MEIOS DE PAGAMENTO</x:v>
      </x:c>
      <x:c r="C840" s="188" t="n">
        <x:v>151918115.03</x:v>
      </x:c>
      <x:c r="D840" s="166" t="str">
        <x:v>GENIAL GESTÃO LTDA.</x:v>
      </x:c>
      <x:c r="E840" s="166" t="str">
        <x:f>IFERROR(INDEX('Classif Gestoras'!$H$6:$H$462,MATCH(D840,'Classif Gestoras'!$A$6:$A$462,0)),"Não classificada")</x:f>
        <x:v>Ligada a banco</x:v>
      </x:c>
      <x:c r="F840" s="166" t="str">
        <x:v>Banco Genial S.A.</x:v>
      </x:c>
      <x:c r="G840" s="166" t="str">
        <x:v>BANCO GENIAL S.A.</x:v>
      </x:c>
      <x:c r="H840" s="166" t="str">
        <x:v>Agro, Indústria e Comércio</x:v>
      </x:c>
      <x:c r="I840" s="166" t="str">
        <x:v>Recebíveis Comerciais</x:v>
      </x:c>
      <x:c r="J840" s="166" t="str">
        <x:v>CI</x:v>
      </x:c>
      <x:c r="K840" s="172" t="n">
        <x:v>77</x:v>
      </x:c>
      <x:c r="L840" s="185" t="str">
        <x:v>Não classificado</x:v>
      </x:c>
    </x:row>
    <x:row r="841">
      <x:c r="A841" s="175" t="str">
        <x:v>30.127.068/0001-05</x:v>
      </x:c>
      <x:c r="B841" s="166" t="str">
        <x:v>ELDORADO FUNDO DE INVESTIMENTO EM DIREITOS CREDITÓRIOS NÃO-PADRONIZADOS</x:v>
      </x:c>
      <x:c r="C841" s="188" t="n">
        <x:v>151889818.69</x:v>
      </x:c>
      <x:c r="D841" s="166" t="str">
        <x:v>SOMMA Investimentos</x:v>
      </x:c>
      <x:c r="E841" s="166" t="str">
        <x:f>IFERROR(INDEX('Classif Gestoras'!$H$6:$H$462,MATCH(D841,'Classif Gestoras'!$A$6:$A$462,0)),"Não classificada")</x:f>
        <x:v>Independente</x:v>
      </x:c>
      <x:c r="F841" s="166" t="str">
        <x:v>Singulare</x:v>
      </x:c>
      <x:c r="G841" s="166" t="str">
        <x:v>QI CORRETORA DE TÍTULOS E VALORES MOBILIÁRIOS S.A.</x:v>
      </x:c>
      <x:c r="H841" s="166" t="str">
        <x:v>Financeiro</x:v>
      </x:c>
      <x:c r="I841" s="166" t="str">
        <x:v>Crédito Pessoal</x:v>
      </x:c>
      <x:c r="J841" s="166" t="str">
        <x:v>CI</x:v>
      </x:c>
      <x:c r="K841" s="172" t="n">
        <x:v>4</x:v>
      </x:c>
      <x:c r="L841" s="185" t="str">
        <x:v>Não classificado</x:v>
      </x:c>
    </x:row>
    <x:row r="842">
      <x:c r="A842" s="175" t="str">
        <x:v>31.570.816/0001-84</x:v>
      </x:c>
      <x:c r="B842" s="166" t="str">
        <x:v>FUNDO DE INVESTIMENTO EM DIREITOS CREDITÓRIOS ANGÁ MULTIESTRATÉGIA II DE RESPONSABILIDADE LIMITADA</x:v>
      </x:c>
      <x:c r="C842" s="188" t="n">
        <x:v>151553137.59000003</x:v>
      </x:c>
      <x:c r="D842" s="166" t="str">
        <x:v>ANGÁ ASSET MANAGEMENT</x:v>
      </x:c>
      <x:c r="E842" s="166" t="str">
        <x:f>IFERROR(INDEX('Classif Gestoras'!$H$6:$H$462,MATCH(D842,'Classif Gestoras'!$A$6:$A$462,0)),"Não classificada")</x:f>
        <x:v>Independente</x:v>
      </x:c>
      <x:c r="F842" s="166" t="str">
        <x:v>BANCO DAYCOVAL S/A</x:v>
      </x:c>
      <x:c r="G842" s="166" t="str">
        <x:v>BANCO DAYCOVAL S.A.</x:v>
      </x:c>
      <x:c r="H842" s="166" t="str">
        <x:v>Outros</x:v>
      </x:c>
      <x:c r="I842" s="166" t="str">
        <x:v>Multicarteira Outros</x:v>
      </x:c>
      <x:c r="J842" s="166" t="str">
        <x:v>CI</x:v>
      </x:c>
      <x:c r="K842" s="172" t="n">
        <x:v>12</x:v>
      </x:c>
      <x:c r="L842" s="185" t="str">
        <x:v>Não classificado</x:v>
      </x:c>
    </x:row>
    <x:row r="843">
      <x:c r="A843" s="175" t="str">
        <x:v>33.499.726/0001-70</x:v>
      </x:c>
      <x:c r="B843" s="166" t="str">
        <x:v>BRISTOL FUNDO DE INVESTIMENTO EM DIREITOS CREDITÓRIOS MULTISSETORIAL</x:v>
      </x:c>
      <x:c r="C843" s="188" t="n">
        <x:v>151165280.89000002</x:v>
      </x:c>
      <x:c r="D843" s="166" t="str">
        <x:v>Apuama Capital</x:v>
      </x:c>
      <x:c r="E843" s="166" t="str">
        <x:f>IFERROR(INDEX('Classif Gestoras'!$H$6:$H$462,MATCH(D843,'Classif Gestoras'!$A$6:$A$462,0)),"Não classificada")</x:f>
        <x:v>Independente</x:v>
      </x:c>
      <x:c r="F843" s="166" t="str">
        <x:v>Singulare</x:v>
      </x:c>
      <x:c r="G843" s="166" t="str">
        <x:v>QI CORRETORA DE TÍTULOS E VALORES MOBILIÁRIOS S.A.</x:v>
      </x:c>
      <x:c r="H843" s="166" t="str">
        <x:v>Fomento Mercantil</x:v>
      </x:c>
      <x:c r="I843" s="166" t="str">
        <x:v>Fomento Mercantil</x:v>
      </x:c>
      <x:c r="J843" s="166" t="str">
        <x:v>CI</x:v>
      </x:c>
      <x:c r="K843" s="172" t="n">
        <x:v>11</x:v>
      </x:c>
      <x:c r="L843" s="185" t="str">
        <x:v>Não classificado</x:v>
      </x:c>
    </x:row>
    <x:row r="844">
      <x:c r="A844" s="175" t="str">
        <x:v>60.485.375/0001-10</x:v>
      </x:c>
      <x:c r="B844" s="166" t="str">
        <x:v>BTG DESENVOLVE SP FUNDO DE INVESTIMENTO EM DIREITOS CREDITORIOS</x:v>
      </x:c>
      <x:c r="C844" s="188" t="n">
        <x:v>150851458.28</x:v>
      </x:c>
      <x:c r="D844" s="166" t="str">
        <x:v>BTG Pactual Asset</x:v>
      </x:c>
      <x:c r="E844" s="166" t="str">
        <x:f>IFERROR(INDEX('Classif Gestoras'!$H$6:$H$462,MATCH(D844,'Classif Gestoras'!$A$6:$A$462,0)),"Não classificada")</x:f>
        <x:v>Ligada a banco</x:v>
      </x:c>
      <x:c r="F844" s="166" t="str">
        <x:v>BTG Pactual Servicos Financeiros S/A DTVM</x:v>
      </x:c>
      <x:c r="G844" s="166" t="str">
        <x:v>BANCO BTG PACTUAL S/A</x:v>
      </x:c>
      <x:c r="H844" s="166" t="str">
        <x:v>Agro, Indústria e Comércio</x:v>
      </x:c>
      <x:c r="I844" s="166" t="str">
        <x:v>Agronegócio</x:v>
      </x:c>
      <x:c r="J844" s="166" t="str">
        <x:v>CI</x:v>
      </x:c>
      <x:c r="K844" s="172" t="n">
        <x:v>4</x:v>
      </x:c>
      <x:c r="L844" s="185" t="str">
        <x:v>Não classificado</x:v>
      </x:c>
    </x:row>
    <x:row r="845">
      <x:c r="A845" s="175" t="str">
        <x:v>44.302.001/0001-66</x:v>
      </x:c>
      <x:c r="B845" s="166" t="str">
        <x:v>CNPJ 44302001000166</x:v>
      </x:c>
      <x:c r="C845" s="188" t="n">
        <x:v>150774719.86999995</x:v>
      </x:c>
      <x:c r="D845" s="166" t="str">
        <x:v>Milênio Capital</x:v>
      </x:c>
      <x:c r="E845" s="166" t="str">
        <x:f>IFERROR(INDEX('Classif Gestoras'!$H$6:$H$462,MATCH(D845,'Classif Gestoras'!$A$6:$A$462,0)),"Não classificada")</x:f>
        <x:v>Independente</x:v>
      </x:c>
      <x:c r="F845" s="166" t="str">
        <x:v>VÓRTX DTVM</x:v>
      </x:c>
      <x:c r="G845" s="166" t="str">
        <x:v>Não identificado</x:v>
      </x:c>
      <x:c r="H845" s="166" t="str">
        <x:v>Agro, Indústria e Comércio</x:v>
      </x:c>
      <x:c r="I845" s="166" t="str">
        <x:v>Multicarteira Agro, Indústria e Comércio</x:v>
      </x:c>
      <x:c r="J845" s="166" t="str">
        <x:v>CI</x:v>
      </x:c>
      <x:c r="K845" s="172"/>
      <x:c r="L845" s="185" t="str">
        <x:v>Não classificado</x:v>
      </x:c>
    </x:row>
    <x:row r="846">
      <x:c r="A846" s="175" t="str">
        <x:v>60.741.672/0001-80</x:v>
      </x:c>
      <x:c r="B846" s="166" t="str">
        <x:v>DLAW FUNDO DE INVESTIMENTO EM DIREITOS CREDITÓRIOS</x:v>
      </x:c>
      <x:c r="C846" s="188" t="n">
        <x:v>150684791.83</x:v>
      </x:c>
      <x:c r="D846" s="166" t="str">
        <x:v>Prisma Claims Ltda.</x:v>
      </x:c>
      <x:c r="E846" s="166" t="str">
        <x:f>IFERROR(INDEX('Classif Gestoras'!$H$6:$H$462,MATCH(D846,'Classif Gestoras'!$A$6:$A$462,0)),"Não classificada")</x:f>
        <x:v>Independente</x:v>
      </x:c>
      <x:c r="F846" s="166" t="str">
        <x:v>FIDD DISTRIBUIDORA DE TITULOS E VALORES MOBILIARIOS LTD</x:v>
      </x:c>
      <x:c r="G846" s="166" t="str">
        <x:v>FIDD DISTRIBUIDORA DE TITULOS E VALORES MOBILIARIOS LTDA.</x:v>
      </x:c>
      <x:c r="H846" s="166" t="str">
        <x:v>Agro, Indústria e Comércio</x:v>
      </x:c>
      <x:c r="I846" s="166" t="str">
        <x:v>Crédito Corporativo</x:v>
      </x:c>
      <x:c r="J846" s="166" t="str">
        <x:v>CI</x:v>
      </x:c>
      <x:c r="K846" s="172" t="n">
        <x:v>36</x:v>
      </x:c>
      <x:c r="L846" s="185" t="str">
        <x:v>Não classificado</x:v>
      </x:c>
    </x:row>
    <x:row r="847">
      <x:c r="A847" s="175" t="str">
        <x:v>37.651.102/0001-87</x:v>
      </x:c>
      <x:c r="B847" s="166" t="str">
        <x:v>BARCELONA FUNDO DE INVESTIMENTO EM DIREITOS CREDITÓRIOS RESPONSABILIDADE LIMITADA</x:v>
      </x:c>
      <x:c r="C847" s="188" t="n">
        <x:v>150375402.15</x:v>
      </x:c>
      <x:c r="D847" s="166" t="str">
        <x:v>Tyr Gestao de Recursos Ltda</x:v>
      </x:c>
      <x:c r="E847" s="166" t="str">
        <x:f>IFERROR(INDEX('Classif Gestoras'!$H$6:$H$462,MATCH(D847,'Classif Gestoras'!$A$6:$A$462,0)),"Não classificada")</x:f>
        <x:v>Independente</x:v>
      </x:c>
      <x:c r="F847" s="166" t="str">
        <x:v>ID Corretora de Títulos e Valores Mobiliários S.A.</x:v>
      </x:c>
      <x:c r="G847" s="166" t="str">
        <x:v>ID CORRETORA DE TITULOS E VALORES MOBILIARIOS S.A.</x:v>
      </x:c>
      <x:c r="H847" s="166" t="str">
        <x:v>Agro, Indústria e Comércio</x:v>
      </x:c>
      <x:c r="I847" s="166" t="str">
        <x:v>Multicarteira Agro, Indústria e Comércio</x:v>
      </x:c>
      <x:c r="J847" s="166" t="str">
        <x:v>CI</x:v>
      </x:c>
      <x:c r="K847" s="172" t="n">
        <x:v>59</x:v>
      </x:c>
      <x:c r="L847" s="185" t="str">
        <x:v>Não classificado</x:v>
      </x:c>
    </x:row>
    <x:row r="848">
      <x:c r="A848" s="175" t="str">
        <x:v>60.882.563/0001-82</x:v>
      </x:c>
      <x:c r="B848" s="166" t="str">
        <x:v>ST 1019.A FIDC RESPONSABILIDADE LIMITADA</x:v>
      </x:c>
      <x:c r="C848" s="188" t="n">
        <x:v>150374733.45</x:v>
      </x:c>
      <x:c r="D848" s="166" t="str">
        <x:v>Strata Capital</x:v>
      </x:c>
      <x:c r="E848" s="166" t="str">
        <x:f>IFERROR(INDEX('Classif Gestoras'!$H$6:$H$462,MATCH(D848,'Classif Gestoras'!$A$6:$A$462,0)),"Não classificada")</x:f>
        <x:v>Independente</x:v>
      </x:c>
      <x:c r="F848" s="166" t="str">
        <x:v>BANCO DAYCOVAL S/A</x:v>
      </x:c>
      <x:c r="G848" s="166" t="str">
        <x:v>BANCO DAYCOVAL S.A.</x:v>
      </x:c>
      <x:c r="H848" s="166" t="str">
        <x:v>Outros</x:v>
      </x:c>
      <x:c r="I848" s="166" t="str">
        <x:v>Multicarteira Outros</x:v>
      </x:c>
      <x:c r="J848" s="166" t="str">
        <x:v>CI</x:v>
      </x:c>
      <x:c r="K848" s="172" t="n">
        <x:v>2</x:v>
      </x:c>
      <x:c r="L848" s="185" t="str">
        <x:v>Não classificado</x:v>
      </x:c>
    </x:row>
    <x:row r="849">
      <x:c r="A849" s="175" t="str">
        <x:v>53.109.903/0001-71</x:v>
      </x:c>
      <x:c r="B849" s="166" t="str">
        <x:v>UP.P II FUNDO DE INVESTIMENTO EM DIREITOS CREDITÓRIOS - RESPONSABILIDADE LIMITADA</x:v>
      </x:c>
      <x:c r="C849" s="188" t="n">
        <x:v>150198376.39000002</x:v>
      </x:c>
      <x:c r="D849" s="166" t="str">
        <x:v>ANGÁ ASSET MANAGEMENT</x:v>
      </x:c>
      <x:c r="E849" s="166" t="str">
        <x:f>IFERROR(INDEX('Classif Gestoras'!$H$6:$H$462,MATCH(D849,'Classif Gestoras'!$A$6:$A$462,0)),"Não classificada")</x:f>
        <x:v>Independente</x:v>
      </x:c>
      <x:c r="F849" s="166" t="str">
        <x:v>BANCO DAYCOVAL S/A</x:v>
      </x:c>
      <x:c r="G849" s="166" t="str">
        <x:v>BANCO DAYCOVAL S.A.</x:v>
      </x:c>
      <x:c r="H849" s="166" t="str">
        <x:v>Financeiro</x:v>
      </x:c>
      <x:c r="I849" s="166" t="str">
        <x:v>Crédito Pessoal</x:v>
      </x:c>
      <x:c r="J849" s="166" t="str">
        <x:v>CI</x:v>
      </x:c>
      <x:c r="K849" s="172" t="n">
        <x:v>69</x:v>
      </x:c>
      <x:c r="L849" s="185" t="str">
        <x:v>Não classificado</x:v>
      </x:c>
    </x:row>
    <x:row r="850">
      <x:c r="A850" s="175" t="str">
        <x:v>41.184.857/0001-96</x:v>
      </x:c>
      <x:c r="B850" s="166" t="str">
        <x:v>SALEM III CRÉDITOS JUDICIAIS FUNDO DE INVESTIMENTO EM DIREITOS CREDITÓRIOS</x:v>
      </x:c>
      <x:c r="C850" s="188" t="n">
        <x:v>150076558.26</x:v>
      </x:c>
      <x:c r="D850" s="166" t="str">
        <x:v>LASS CAPITAL</x:v>
      </x:c>
      <x:c r="E850" s="166" t="str">
        <x:f>IFERROR(INDEX('Classif Gestoras'!$H$6:$H$462,MATCH(D850,'Classif Gestoras'!$A$6:$A$462,0)),"Não classificada")</x:f>
        <x:v>Independente</x:v>
      </x:c>
      <x:c r="F850" s="166" t="str">
        <x:v>BTG Pactual Servicos Financeiros S/A DTVM</x:v>
      </x:c>
      <x:c r="G850" s="166" t="str">
        <x:v>BANCO BTG PACTUAL S/A</x:v>
      </x:c>
      <x:c r="H850" s="166" t="str">
        <x:v>Outros</x:v>
      </x:c>
      <x:c r="I850" s="166" t="str">
        <x:v>Multicarteira Outros</x:v>
      </x:c>
      <x:c r="J850" s="166" t="str">
        <x:v>CI</x:v>
      </x:c>
      <x:c r="K850" s="172" t="n">
        <x:v>3</x:v>
      </x:c>
      <x:c r="L850" s="185" t="str">
        <x:v>Não classificado</x:v>
      </x:c>
    </x:row>
    <x:row r="851">
      <x:c r="A851" s="175" t="str">
        <x:v>37.388.031/0001-71</x:v>
      </x:c>
      <x:c r="B851" s="166" t="str">
        <x:v>HC HIDROCARBON FUNDO DE INVESTIMENTO EM DIREITOS CREDITÓRIOS NÃO-PADRONIZADOS</x:v>
      </x:c>
      <x:c r="C851" s="188" t="n">
        <x:v>149931702.16</x:v>
      </x:c>
      <x:c r="D851" s="166" t="str">
        <x:v>Fram Capital Gestão de Ativos Ltda</x:v>
      </x:c>
      <x:c r="E851" s="166" t="str">
        <x:f>IFERROR(INDEX('Classif Gestoras'!$H$6:$H$462,MATCH(D851,'Classif Gestoras'!$A$6:$A$462,0)),"Não classificada")</x:f>
        <x:v>Independente</x:v>
      </x:c>
      <x:c r="F851" s="166" t="str">
        <x:v>OSLO DTVM S. A.</x:v>
      </x:c>
      <x:c r="G851" s="166" t="str">
        <x:v>OSLO CAPITAL DISTRIBUIDORA DE TITULOS E VALORES MOBILIARIOS S.A.</x:v>
      </x:c>
      <x:c r="H851" s="166" t="str">
        <x:v>Outros</x:v>
      </x:c>
      <x:c r="I851" s="166" t="str">
        <x:v>Poder Público</x:v>
      </x:c>
      <x:c r="J851" s="166" t="str">
        <x:v>CI</x:v>
      </x:c>
      <x:c r="K851" s="172" t="n">
        <x:v>4</x:v>
      </x:c>
      <x:c r="L851" s="185" t="str">
        <x:v>Não classificado</x:v>
      </x:c>
    </x:row>
    <x:row r="852">
      <x:c r="A852" s="175" t="str">
        <x:v>63.618.462/0001-97</x:v>
      </x:c>
      <x:c r="B852" s="166" t="str">
        <x:v>EVOLUX CAPITAL FUNDO DE INVESTIMENTO EM DIREITOS CREDITÓRIOS DE RESPONSABILIDADE LIMITADA</x:v>
      </x:c>
      <x:c r="C852" s="188" t="n">
        <x:v>149857805.28</x:v>
      </x:c>
      <x:c r="D852" s="166" t="str">
        <x:v>Catálise Investimentos</x:v>
      </x:c>
      <x:c r="E852" s="166" t="str">
        <x:f>IFERROR(INDEX('Classif Gestoras'!$H$6:$H$462,MATCH(D852,'Classif Gestoras'!$A$6:$A$462,0)),"Não classificada")</x:f>
        <x:v>Independente</x:v>
      </x:c>
      <x:c r="F852" s="166" t="str">
        <x:v>CATÁLISE DTVM</x:v>
      </x:c>
      <x:c r="G852" s="166" t="str">
        <x:v>BANCO DAYCOVAL S.A.</x:v>
      </x:c>
      <x:c r="H852" s="166" t="str">
        <x:v>Agro, Indústria e Comércio</x:v>
      </x:c>
      <x:c r="I852" s="166" t="str">
        <x:v>Multicarteira Agro, Indústria e Comércio</x:v>
      </x:c>
      <x:c r="J852" s="166" t="str">
        <x:v>CI</x:v>
      </x:c>
      <x:c r="K852" s="172" t="n">
        <x:v>1</x:v>
      </x:c>
      <x:c r="L852" s="185" t="str">
        <x:v>Não classificado</x:v>
      </x:c>
    </x:row>
    <x:row r="853">
      <x:c r="A853" s="175" t="str">
        <x:v>52.304.780/0001-67</x:v>
      </x:c>
      <x:c r="B853" s="166" t="str">
        <x:v>STARS BANK I FUNDO DE INVESTIMENTO EM DIREITOS CREDITÓRIOS - RESPONSABILIDADE LIMITADA</x:v>
      </x:c>
      <x:c r="C853" s="188" t="n">
        <x:v>149785955.65</x:v>
      </x:c>
      <x:c r="D853" s="166" t="str">
        <x:v>Solis</x:v>
      </x:c>
      <x:c r="E853" s="166" t="str">
        <x:f>IFERROR(INDEX('Classif Gestoras'!$H$6:$H$462,MATCH(D853,'Classif Gestoras'!$A$6:$A$462,0)),"Não classificada")</x:f>
        <x:v>Independente</x:v>
      </x:c>
      <x:c r="F853" s="166" t="str">
        <x:v>Singulare</x:v>
      </x:c>
      <x:c r="G853" s="166" t="str">
        <x:v>QI CORRETORA DE TÍTULOS E VALORES MOBILIÁRIOS S.A.</x:v>
      </x:c>
      <x:c r="H853" s="166" t="str">
        <x:v>Fomento Mercantil</x:v>
      </x:c>
      <x:c r="I853" s="166" t="str">
        <x:v>Fomento Mercantil</x:v>
      </x:c>
      <x:c r="J853" s="166" t="str">
        <x:v>CI</x:v>
      </x:c>
      <x:c r="K853" s="172" t="n">
        <x:v>21</x:v>
      </x:c>
      <x:c r="L853" s="185" t="str">
        <x:v>Não classificado</x:v>
      </x:c>
    </x:row>
    <x:row r="854">
      <x:c r="A854" s="175" t="str">
        <x:v>32.388.184/0001-03</x:v>
      </x:c>
      <x:c r="B854" s="166" t="str">
        <x:v>PSS PRINCIPAL FUNDO DE INVESTIMENTO EM DIREITOS CREDITÓRIOS - NÃO PADRONIZADOS</x:v>
      </x:c>
      <x:c r="C854" s="188" t="n">
        <x:v>149276278.82</x:v>
      </x:c>
      <x:c r="D854" s="166" t="str">
        <x:v>Prisma Capital Ltda.</x:v>
      </x:c>
      <x:c r="E854" s="166" t="str">
        <x:f>IFERROR(INDEX('Classif Gestoras'!$H$6:$H$462,MATCH(D854,'Classif Gestoras'!$A$6:$A$462,0)),"Não classificada")</x:f>
        <x:v>Independente</x:v>
      </x:c>
      <x:c r="F854" s="166" t="str">
        <x:v>Singulare</x:v>
      </x:c>
      <x:c r="G854" s="166" t="str">
        <x:v>QI CORRETORA DE TÍTULOS E VALORES MOBILIÁRIOS S.A.</x:v>
      </x:c>
      <x:c r="H854" s="166" t="str">
        <x:v>Outros</x:v>
      </x:c>
      <x:c r="I854" s="166" t="str">
        <x:v>Multicarteira Outros</x:v>
      </x:c>
      <x:c r="J854" s="166" t="str">
        <x:v>CIPC</x:v>
      </x:c>
      <x:c r="K854" s="172" t="n">
        <x:v>2</x:v>
      </x:c>
      <x:c r="L854" s="185" t="str">
        <x:v>Não classificado</x:v>
      </x:c>
    </x:row>
    <x:row r="855">
      <x:c r="A855" s="175" t="str">
        <x:v>56.780.135/0001-71</x:v>
      </x:c>
      <x:c r="B855" s="166" t="str">
        <x:v>FUNDO DE INVESTIMENTO EM DIREITOS CREDITÓRIOS PRATA DIGITAL IV</x:v>
      </x:c>
      <x:c r="C855" s="188" t="n">
        <x:v>148443404.15</x:v>
      </x:c>
      <x:c r="D855" s="166" t="str">
        <x:v>ANGÁ ASSET MANAGEMENT</x:v>
      </x:c>
      <x:c r="E855" s="166" t="str">
        <x:f>IFERROR(INDEX('Classif Gestoras'!$H$6:$H$462,MATCH(D855,'Classif Gestoras'!$A$6:$A$462,0)),"Não classificada")</x:f>
        <x:v>Independente</x:v>
      </x:c>
      <x:c r="F855" s="166" t="str">
        <x:v>BANCO DAYCOVAL S/A</x:v>
      </x:c>
      <x:c r="G855" s="166" t="str">
        <x:v>BANCO DAYCOVAL S.A.</x:v>
      </x:c>
      <x:c r="H855" s="166" t="str">
        <x:v>Financeiro</x:v>
      </x:c>
      <x:c r="I855" s="166" t="str">
        <x:v>Crédito Pessoal</x:v>
      </x:c>
      <x:c r="J855" s="166" t="str">
        <x:v>CI</x:v>
      </x:c>
      <x:c r="K855" s="172" t="n">
        <x:v>55</x:v>
      </x:c>
      <x:c r="L855" s="185" t="str">
        <x:v>Não classificado</x:v>
      </x:c>
    </x:row>
    <x:row r="856">
      <x:c r="A856" s="175" t="str">
        <x:v>52.351.675/0001-89</x:v>
      </x:c>
      <x:c r="B856" s="166" t="str">
        <x:v>ASA SPECIAL SITUATIONS FUNDO DE INVESTIMENTO EM DIREITOS CREDITÓRIOS RESPONSABILIDADE LIMITADA</x:v>
      </x:c>
      <x:c r="C856" s="188" t="n">
        <x:v>147533280.21413</x:v>
      </x:c>
      <x:c r="D856" s="166" t="str">
        <x:v>ASA Investments</x:v>
      </x:c>
      <x:c r="E856" s="166" t="str">
        <x:f>IFERROR(INDEX('Classif Gestoras'!$H$6:$H$462,MATCH(D856,'Classif Gestoras'!$A$6:$A$462,0)),"Não classificada")</x:f>
        <x:v>Independente</x:v>
      </x:c>
      <x:c r="F856" s="166" t="str">
        <x:v>Singulare</x:v>
      </x:c>
      <x:c r="G856" s="166" t="str">
        <x:v>QI CORRETORA DE TÍTULOS E VALORES MOBILIÁRIOS S.A.</x:v>
      </x:c>
      <x:c r="H856" s="166" t="str">
        <x:v>Outros</x:v>
      </x:c>
      <x:c r="I856" s="166" t="str">
        <x:v>Multicarteira Outros</x:v>
      </x:c>
      <x:c r="J856" s="166" t="str">
        <x:v>CI</x:v>
      </x:c>
      <x:c r="K856" s="172" t="n">
        <x:v>116</x:v>
      </x:c>
      <x:c r="L856" s="185" t="str">
        <x:v>Não classificado</x:v>
      </x:c>
    </x:row>
    <x:row r="857">
      <x:c r="A857" s="175" t="str">
        <x:v>54.114.034/0001-36</x:v>
      </x:c>
      <x:c r="B857" s="166" t="str">
        <x:v>BRAVANO FUNDO DE INVESTIMENTO EM DIREITOS CREDITÓRIOS</x:v>
      </x:c>
      <x:c r="C857" s="188" t="n">
        <x:v>147285195.12</x:v>
      </x:c>
      <x:c r="D857" s="166" t="str">
        <x:v>Artesanal Agro</x:v>
      </x:c>
      <x:c r="E857" s="166" t="str">
        <x:f>IFERROR(INDEX('Classif Gestoras'!$H$6:$H$462,MATCH(D857,'Classif Gestoras'!$A$6:$A$462,0)),"Não classificada")</x:f>
        <x:v>Independente</x:v>
      </x:c>
      <x:c r="F857" s="166" t="str">
        <x:v>Singulare</x:v>
      </x:c>
      <x:c r="G857" s="166" t="str">
        <x:v>QI CORRETORA DE TÍTULOS E VALORES MOBILIÁRIOS S.A.</x:v>
      </x:c>
      <x:c r="H857" s="166" t="str">
        <x:v>Agro, Indústria e Comércio</x:v>
      </x:c>
      <x:c r="I857" s="166" t="str">
        <x:v>Agronegócio</x:v>
      </x:c>
      <x:c r="J857" s="166" t="str">
        <x:v>CI</x:v>
      </x:c>
      <x:c r="K857" s="172" t="n">
        <x:v>13</x:v>
      </x:c>
      <x:c r="L857" s="185" t="str">
        <x:v>Não classificado</x:v>
      </x:c>
    </x:row>
    <x:row r="858">
      <x:c r="A858" s="175" t="str">
        <x:v>51.030.944/0001-42</x:v>
      </x:c>
      <x:c r="B858" s="166" t="str">
        <x:v>DIRETA CAPITAL FUNDO DE INVESTIMENTO EM DIREITOS CREDITÓRIOS MULTISETORIAL DE CLASSE ÚNICA FECHADA</x:v>
      </x:c>
      <x:c r="C858" s="188" t="n">
        <x:v>147235710.51</x:v>
      </x:c>
      <x:c r="D858" s="166" t="str">
        <x:v>DIRETA Capital</x:v>
      </x:c>
      <x:c r="E858" s="166" t="str">
        <x:f>IFERROR(INDEX('Classif Gestoras'!$H$6:$H$462,MATCH(D858,'Classif Gestoras'!$A$6:$A$462,0)),"Não classificada")</x:f>
        <x:v>Independente</x:v>
      </x:c>
      <x:c r="F858" s="166" t="str">
        <x:v>Singulare</x:v>
      </x:c>
      <x:c r="G858" s="166" t="str">
        <x:v>QI CORRETORA DE TÍTULOS E VALORES MOBILIÁRIOS S.A.</x:v>
      </x:c>
      <x:c r="H858" s="166" t="str">
        <x:v>Fomento Mercantil</x:v>
      </x:c>
      <x:c r="I858" s="166" t="str">
        <x:v>Fomento Mercantil</x:v>
      </x:c>
      <x:c r="J858" s="166" t="str">
        <x:v>CI</x:v>
      </x:c>
      <x:c r="K858" s="172" t="n">
        <x:v>34</x:v>
      </x:c>
      <x:c r="L858" s="185" t="str">
        <x:v>Não classificado</x:v>
      </x:c>
    </x:row>
    <x:row r="859">
      <x:c r="A859" s="175" t="str">
        <x:v>63.931.003/0001-69</x:v>
      </x:c>
      <x:c r="B859" s="166" t="str">
        <x:v>FUNDO DE INVESTIMENTO EM DIREITOS CREDITÓRIOS COBUCCIO INSS</x:v>
      </x:c>
      <x:c r="C859" s="188" t="n">
        <x:v>146842224.98</x:v>
      </x:c>
      <x:c r="D859" s="166" t="str">
        <x:v>ANGÁ ASSET MANAGEMENT</x:v>
      </x:c>
      <x:c r="E859" s="166" t="str">
        <x:f>IFERROR(INDEX('Classif Gestoras'!$H$6:$H$462,MATCH(D859,'Classif Gestoras'!$A$6:$A$462,0)),"Não classificada")</x:f>
        <x:v>Independente</x:v>
      </x:c>
      <x:c r="F859" s="166" t="str">
        <x:v>BANCO DAYCOVAL S/A</x:v>
      </x:c>
      <x:c r="G859" s="166" t="str">
        <x:v>BANCO DAYCOVAL S.A.</x:v>
      </x:c>
      <x:c r="H859" s="166" t="str">
        <x:v>Financeiro</x:v>
      </x:c>
      <x:c r="I859" s="166" t="str">
        <x:v>Crédito Consignado</x:v>
      </x:c>
      <x:c r="J859" s="166" t="str">
        <x:v>CI</x:v>
      </x:c>
      <x:c r="K859" s="172" t="n">
        <x:v>51</x:v>
      </x:c>
      <x:c r="L859" s="185" t="str">
        <x:v>Não classificado</x:v>
      </x:c>
    </x:row>
    <x:row r="860">
      <x:c r="A860" s="175" t="str">
        <x:v>35.688.101/0001-81</x:v>
      </x:c>
      <x:c r="B860" s="166" t="str">
        <x:v>FUNDO DE INVESTIMENTO EM DIREITOS CREDITÓRIOS CLAIMS S1</x:v>
      </x:c>
      <x:c r="C860" s="188" t="n">
        <x:v>146649961.74</x:v>
      </x:c>
      <x:c r="D860" s="166" t="str">
        <x:v>Vista Real Estate</x:v>
      </x:c>
      <x:c r="E860" s="166" t="str">
        <x:f>IFERROR(INDEX('Classif Gestoras'!$H$6:$H$462,MATCH(D860,'Classif Gestoras'!$A$6:$A$462,0)),"Não classificada")</x:f>
        <x:v>Independente</x:v>
      </x:c>
      <x:c r="F860" s="166" t="str">
        <x:v>BRL TRUST DTVM</x:v>
      </x:c>
      <x:c r="G860" s="166" t="str">
        <x:v>BRL TRUST DISTRIBUIDORA DE TITULOS E VALORES MOBILIARIOS S.A.</x:v>
      </x:c>
      <x:c r="H860" s="166" t="str">
        <x:v>Outros</x:v>
      </x:c>
      <x:c r="I860" s="166" t="str">
        <x:v>Poder Público</x:v>
      </x:c>
      <x:c r="J860" s="166" t="str">
        <x:v>CI</x:v>
      </x:c>
      <x:c r="K860" s="172" t="n">
        <x:v>1</x:v>
      </x:c>
      <x:c r="L860" s="185" t="str">
        <x:v>Não classificado</x:v>
      </x:c>
    </x:row>
    <x:row r="861">
      <x:c r="A861" s="175" t="str">
        <x:v>42.462.074/0001-90</x:v>
      </x:c>
      <x:c r="B861" s="166" t="str">
        <x:v>HERA FUNDO DE INVESTIMENTO EM DIREITOS CREDITÓRIOS NÃO-PADRONIZADOS</x:v>
      </x:c>
      <x:c r="C861" s="188" t="n">
        <x:v>146591345.73</x:v>
      </x:c>
      <x:c r="D861" s="166" t="str">
        <x:v>Jus Capital Gestão de Recursos LTDA</x:v>
      </x:c>
      <x:c r="E861" s="166" t="str">
        <x:f>IFERROR(INDEX('Classif Gestoras'!$H$6:$H$462,MATCH(D861,'Classif Gestoras'!$A$6:$A$462,0)),"Não classificada")</x:f>
        <x:v>Independente</x:v>
      </x:c>
      <x:c r="F861" s="166" t="str">
        <x:v>Singulare</x:v>
      </x:c>
      <x:c r="G861" s="166" t="str">
        <x:v>QI CORRETORA DE TÍTULOS E VALORES MOBILIÁRIOS S.A.</x:v>
      </x:c>
      <x:c r="H861" s="166" t="str">
        <x:v>Outros</x:v>
      </x:c>
      <x:c r="I861" s="166" t="str">
        <x:v>Poder Público</x:v>
      </x:c>
      <x:c r="J861" s="166" t="str">
        <x:v>CI</x:v>
      </x:c>
      <x:c r="K861" s="172" t="n">
        <x:v>1</x:v>
      </x:c>
      <x:c r="L861" s="185" t="str">
        <x:v>Não classificado</x:v>
      </x:c>
    </x:row>
    <x:row r="862">
      <x:c r="A862" s="175" t="str">
        <x:v>63.728.565/0001-00</x:v>
      </x:c>
      <x:c r="B862" s="166" t="str">
        <x:v>ALDEBARAN IV FUNDO DE INVESTIMENTO EM DIREITOS CREDITÓRIOS - RESPONSABILIDADE LIMITADA</x:v>
      </x:c>
      <x:c r="C862" s="188" t="n">
        <x:v>146547563.05</x:v>
      </x:c>
      <x:c r="D862" s="166" t="str">
        <x:v>Emerald Gestão de Investimento</x:v>
      </x:c>
      <x:c r="E862" s="166" t="str">
        <x:f>IFERROR(INDEX('Classif Gestoras'!$H$6:$H$462,MATCH(D862,'Classif Gestoras'!$A$6:$A$462,0)),"Não classificada")</x:f>
        <x:v>Independente</x:v>
      </x:c>
      <x:c r="F862" s="166" t="str">
        <x:v>BANCO J. SAFRA S/A</x:v>
      </x:c>
      <x:c r="G862" s="166" t="str">
        <x:v>OLIVEIRA TRUST DTVM S.A.</x:v>
      </x:c>
      <x:c r="H862" s="166" t="str">
        <x:v>Fomento Mercantil</x:v>
      </x:c>
      <x:c r="I862" s="166" t="str">
        <x:v>Multicarteira Outros</x:v>
      </x:c>
      <x:c r="J862" s="166" t="str">
        <x:v>CI</x:v>
      </x:c>
      <x:c r="K862" s="172" t="n">
        <x:v>3</x:v>
      </x:c>
      <x:c r="L862" s="185" t="str">
        <x:v>Não classificado</x:v>
      </x:c>
    </x:row>
    <x:row r="863">
      <x:c r="A863" s="175" t="str">
        <x:v>54.792.266/0001-43</x:v>
      </x:c>
      <x:c r="B863" s="166" t="str">
        <x:v>NORTH FUNDO DE INVESTIMENTO EM DIREITOS CREDITÓRIOS RESPONSABILIDADE LIMITADA</x:v>
      </x:c>
      <x:c r="C863" s="188" t="n">
        <x:v>146439370.62</x:v>
      </x:c>
      <x:c r="D863" s="166" t="str">
        <x:v>BTG PACTUAL GESTAO E CONSULTORIA DE INVESTIMENTOS</x:v>
      </x:c>
      <x:c r="E863" s="166" t="str">
        <x:f>IFERROR(INDEX('Classif Gestoras'!$H$6:$H$462,MATCH(D863,'Classif Gestoras'!$A$6:$A$462,0)),"Não classificada")</x:f>
        <x:v>Ligada a banco</x:v>
      </x:c>
      <x:c r="F863" s="166" t="str">
        <x:v>BTG Pactual Servicos Financeiros S/A DTVM</x:v>
      </x:c>
      <x:c r="G863" s="166" t="str">
        <x:v>Não identificado</x:v>
      </x:c>
      <x:c r="H863" s="166" t="str">
        <x:v>Outros</x:v>
      </x:c>
      <x:c r="I863" s="166" t="str">
        <x:v>Multicarteira Outros</x:v>
      </x:c>
      <x:c r="J863" s="166" t="str">
        <x:v>CI</x:v>
      </x:c>
      <x:c r="K863" s="172" t="n">
        <x:v>1</x:v>
      </x:c>
      <x:c r="L863" s="185" t="str">
        <x:v>Não classificado</x:v>
      </x:c>
    </x:row>
    <x:row r="864">
      <x:c r="A864" s="175" t="str">
        <x:v>61.631.300/0001-63</x:v>
      </x:c>
      <x:c r="B864" s="166" t="str">
        <x:v>ORIZ JUS V FUNDO DE INVESTIMENTO EM DIREITOS CREDITÓRIOS - RESPONSABILIDADE LIMITADA</x:v>
      </x:c>
      <x:c r="C864" s="188" t="n">
        <x:v>146165336.85</x:v>
      </x:c>
      <x:c r="D864" s="166" t="str">
        <x:v>ORIZ ASSET MANAGEMENT LTDA.</x:v>
      </x:c>
      <x:c r="E864" s="166" t="str">
        <x:f>IFERROR(INDEX('Classif Gestoras'!$H$6:$H$462,MATCH(D864,'Classif Gestoras'!$A$6:$A$462,0)),"Não classificada")</x:f>
        <x:v>Independente</x:v>
      </x:c>
      <x:c r="F864" s="166" t="str">
        <x:v>Limine Trust Distribuidora de Titulos e Valores Mobiliá</x:v>
      </x:c>
      <x:c r="G864" s="166" t="str">
        <x:v>LIMINE TRUST DISTRIBUIDORA DE TITULOS E VALORES MOBILIARIOS LTDA.</x:v>
      </x:c>
      <x:c r="H864" s="166" t="str">
        <x:v>Outros</x:v>
      </x:c>
      <x:c r="I864" s="166" t="str">
        <x:v>Multicarteira Outros</x:v>
      </x:c>
      <x:c r="J864" s="166" t="str">
        <x:v>CI</x:v>
      </x:c>
      <x:c r="K864" s="172" t="n">
        <x:v>12</x:v>
      </x:c>
      <x:c r="L864" s="185" t="str">
        <x:v>Não classificado</x:v>
      </x:c>
    </x:row>
    <x:row r="865">
      <x:c r="A865" s="175" t="str">
        <x:v>59.843.866/0001-07</x:v>
      </x:c>
      <x:c r="B865" s="166" t="str">
        <x:v>LEGAL ONE FUNDO DE INVESTIMENTO EM DIREITOS CREDITÓRIOS - RESPONSABILIDADE LIMITADA</x:v>
      </x:c>
      <x:c r="C865" s="188" t="n">
        <x:v>145803147.89788</x:v>
      </x:c>
      <x:c r="D865" s="166" t="str">
        <x:v>HCAM LTDA.</x:v>
      </x:c>
      <x:c r="E865" s="166" t="str">
        <x:f>IFERROR(INDEX('Classif Gestoras'!$H$6:$H$462,MATCH(D865,'Classif Gestoras'!$A$6:$A$462,0)),"Não classificada")</x:f>
        <x:v>Independente</x:v>
      </x:c>
      <x:c r="F865" s="166" t="str">
        <x:v>Singulare</x:v>
      </x:c>
      <x:c r="G865" s="166" t="str">
        <x:v>QI CORRETORA DE TÍTULOS E VALORES MOBILIÁRIOS S.A.</x:v>
      </x:c>
      <x:c r="H865" s="166" t="str">
        <x:v>Outros</x:v>
      </x:c>
      <x:c r="I865" s="166" t="str">
        <x:v>Multicarteira Outros</x:v>
      </x:c>
      <x:c r="J865" s="166" t="str">
        <x:v>CI</x:v>
      </x:c>
      <x:c r="K865" s="172" t="n">
        <x:v>20</x:v>
      </x:c>
      <x:c r="L865" s="185" t="str">
        <x:v>Não classificado</x:v>
      </x:c>
    </x:row>
    <x:row r="866">
      <x:c r="A866" s="175" t="str">
        <x:v>45.207.507/0001-59</x:v>
      </x:c>
      <x:c r="B866" s="166" t="str">
        <x:v>NOVO HORIZONTE FUNDO DE INVESTIMENTO EM DIREITOS CREDITÓRIOS</x:v>
      </x:c>
      <x:c r="C866" s="188" t="n">
        <x:v>145585076.13</x:v>
      </x:c>
      <x:c r="D866" s="166" t="str">
        <x:v>BTG Pactual Asset</x:v>
      </x:c>
      <x:c r="E866" s="166" t="str">
        <x:f>IFERROR(INDEX('Classif Gestoras'!$H$6:$H$462,MATCH(D866,'Classif Gestoras'!$A$6:$A$462,0)),"Não classificada")</x:f>
        <x:v>Ligada a banco</x:v>
      </x:c>
      <x:c r="F866" s="166" t="str">
        <x:v>BTG Pactual Servicos Financeiros S/A DTVM</x:v>
      </x:c>
      <x:c r="G866" s="166" t="str">
        <x:v>BANCO BTG PACTUAL S/A</x:v>
      </x:c>
      <x:c r="H866" s="166" t="str">
        <x:v>Agro, Indústria e Comércio</x:v>
      </x:c>
      <x:c r="I866" s="166" t="str">
        <x:v>Recebíveis Comerciais</x:v>
      </x:c>
      <x:c r="J866" s="166" t="str">
        <x:v>CI</x:v>
      </x:c>
      <x:c r="K866" s="172" t="n">
        <x:v>1</x:v>
      </x:c>
      <x:c r="L866" s="185" t="str">
        <x:v>Não classificado</x:v>
      </x:c>
    </x:row>
    <x:row r="867">
      <x:c r="A867" s="175" t="str">
        <x:v>57.107.628/0001-08</x:v>
      </x:c>
      <x:c r="B867" s="166" t="str">
        <x:v>GTCS FUNDO DE INVESTIMENTO EM DIREITOS CREDITÓRIOS</x:v>
      </x:c>
      <x:c r="C867" s="188" t="n">
        <x:v>145443757.10999995</x:v>
      </x:c>
      <x:c r="D867" s="166" t="str">
        <x:v>H2 CAPITAL</x:v>
      </x:c>
      <x:c r="E867" s="166" t="str">
        <x:f>IFERROR(INDEX('Classif Gestoras'!$H$6:$H$462,MATCH(D867,'Classif Gestoras'!$A$6:$A$462,0)),"Não classificada")</x:f>
        <x:v>Independente</x:v>
      </x:c>
      <x:c r="F867" s="166" t="str">
        <x:v>Singulare</x:v>
      </x:c>
      <x:c r="G867" s="166" t="str">
        <x:v>QI CORRETORA DE TÍTULOS E VALORES MOBILIÁRIOS S.A.</x:v>
      </x:c>
      <x:c r="H867" s="166" t="str">
        <x:v>Financeiro</x:v>
      </x:c>
      <x:c r="I867" s="166" t="str">
        <x:v>Crédito Pessoal</x:v>
      </x:c>
      <x:c r="J867" s="166" t="str">
        <x:v>CI</x:v>
      </x:c>
      <x:c r="K867" s="172" t="n">
        <x:v>10</x:v>
      </x:c>
      <x:c r="L867" s="185" t="str">
        <x:v>Não classificado</x:v>
      </x:c>
    </x:row>
    <x:row r="868">
      <x:c r="A868" s="175" t="str">
        <x:v>14.606.072/0001-91</x:v>
      </x:c>
      <x:c r="B868" s="166" t="str">
        <x:v>MILLE - FUNDO DE INVESTIMENTO EM DIREITOS CREDITÓRIOS MULTISSEGMENTOS</x:v>
      </x:c>
      <x:c r="C868" s="188" t="n">
        <x:v>145360760.4</x:v>
      </x:c>
      <x:c r="D868" s="166" t="str">
        <x:v>Petra Capital</x:v>
      </x:c>
      <x:c r="E868" s="166" t="str">
        <x:f>IFERROR(INDEX('Classif Gestoras'!$H$6:$H$462,MATCH(D868,'Classif Gestoras'!$A$6:$A$462,0)),"Não classificada")</x:f>
        <x:v>Independente</x:v>
      </x:c>
      <x:c r="F868" s="166" t="str">
        <x:v>Banco Finaxis S.A.</x:v>
      </x:c>
      <x:c r="G868" s="166" t="str">
        <x:v>BANCO FINAXIS S.A.</x:v>
      </x:c>
      <x:c r="H868" s="166" t="str">
        <x:v>Fomento Mercantil</x:v>
      </x:c>
      <x:c r="I868" s="166" t="str">
        <x:v>Fomento Mercantil</x:v>
      </x:c>
      <x:c r="J868" s="166" t="str">
        <x:v>CI</x:v>
      </x:c>
      <x:c r="K868" s="172" t="n">
        <x:v>2</x:v>
      </x:c>
      <x:c r="L868" s="185" t="str">
        <x:v>Não classificado</x:v>
      </x:c>
    </x:row>
    <x:row r="869">
      <x:c r="A869" s="175" t="str">
        <x:v>26.489.103/0001-50</x:v>
      </x:c>
      <x:c r="B869" s="166" t="str">
        <x:v>INVISTA III FUNDO DE INVESTIMENTO EM DIREITOS CREDITÓRIOS - RESPONSABILIDADE LIMITADA</x:v>
      </x:c>
      <x:c r="C869" s="188" t="n">
        <x:v>145350738.71</x:v>
      </x:c>
      <x:c r="D869" s="166" t="str">
        <x:v>Solis</x:v>
      </x:c>
      <x:c r="E869" s="166" t="str">
        <x:f>IFERROR(INDEX('Classif Gestoras'!$H$6:$H$462,MATCH(D869,'Classif Gestoras'!$A$6:$A$462,0)),"Não classificada")</x:f>
        <x:v>Independente</x:v>
      </x:c>
      <x:c r="F869" s="166" t="str">
        <x:v>HEMERA DTVM</x:v>
      </x:c>
      <x:c r="G869" s="166" t="str">
        <x:v>HEMERA DISTRIBUIDORA DE TITULOS E VALORES MOBILIARIOS LTDA</x:v>
      </x:c>
      <x:c r="H869" s="166" t="str">
        <x:v>Fomento Mercantil</x:v>
      </x:c>
      <x:c r="I869" s="166" t="str">
        <x:v>Fomento Mercantil</x:v>
      </x:c>
      <x:c r="J869" s="166" t="str">
        <x:v>CI</x:v>
      </x:c>
      <x:c r="K869" s="172" t="n">
        <x:v>1</x:v>
      </x:c>
      <x:c r="L869" s="185" t="str">
        <x:v>Não classificado</x:v>
      </x:c>
    </x:row>
    <x:row r="870">
      <x:c r="A870" s="175" t="str">
        <x:v>22.175.405/0001-01</x:v>
      </x:c>
      <x:c r="B870" s="166" t="str">
        <x:v>MR FUNDO DE INVESTIMENTO EM DIREITOS CREDITÓRIOS</x:v>
      </x:c>
      <x:c r="C870" s="188" t="n">
        <x:v>145214430.67</x:v>
      </x:c>
      <x:c r="D870" s="166" t="str">
        <x:v>TERCON ASSET MANAGEMENT</x:v>
      </x:c>
      <x:c r="E870" s="166" t="str">
        <x:f>IFERROR(INDEX('Classif Gestoras'!$H$6:$H$462,MATCH(D870,'Classif Gestoras'!$A$6:$A$462,0)),"Não classificada")</x:f>
        <x:v>Independente</x:v>
      </x:c>
      <x:c r="F870" s="166" t="str">
        <x:v>Singulare</x:v>
      </x:c>
      <x:c r="G870" s="166" t="str">
        <x:v>QI CORRETORA DE TÍTULOS E VALORES MOBILIÁRIOS S.A.</x:v>
      </x:c>
      <x:c r="H870" s="166" t="str">
        <x:v>Fomento Mercantil</x:v>
      </x:c>
      <x:c r="I870" s="166" t="str">
        <x:v>Fomento Mercantil</x:v>
      </x:c>
      <x:c r="J870" s="166" t="str">
        <x:v>CI</x:v>
      </x:c>
      <x:c r="K870" s="172" t="n">
        <x:v>31</x:v>
      </x:c>
      <x:c r="L870" s="185" t="str">
        <x:v>Não classificado</x:v>
      </x:c>
    </x:row>
    <x:row r="871">
      <x:c r="A871" s="175" t="str">
        <x:v>60.759.253/0001-75</x:v>
      </x:c>
      <x:c r="B871" s="166" t="str">
        <x:v>BRADESCO ATHOS FUNDO DE INVESTIMENTO EM DIREITOS CREDITÓRIOS - RESPONSABILIDADE LIMITADA</x:v>
      </x:c>
      <x:c r="C871" s="188" t="n">
        <x:v>145212080.53</x:v>
      </x:c>
      <x:c r="D871" s="166" t="str">
        <x:v>Banco Bradesco S/A</x:v>
      </x:c>
      <x:c r="E871" s="166" t="str">
        <x:f>IFERROR(INDEX('Classif Gestoras'!$H$6:$H$462,MATCH(D871,'Classif Gestoras'!$A$6:$A$462,0)),"Não classificada")</x:f>
        <x:v>Ligada a banco</x:v>
      </x:c>
      <x:c r="F871" s="166" t="str">
        <x:v>BEM - DIST. DE TÍTUL</x:v>
      </x:c>
      <x:c r="G871" s="166" t="str">
        <x:v>BANCO BRADESCO S.A.</x:v>
      </x:c>
      <x:c r="H871" s="166" t="str">
        <x:v>Outros</x:v>
      </x:c>
      <x:c r="I871" s="166" t="str">
        <x:v>Multicarteira Outros</x:v>
      </x:c>
      <x:c r="J871" s="166" t="str">
        <x:v>CI</x:v>
      </x:c>
      <x:c r="K871" s="172" t="n">
        <x:v>19</x:v>
      </x:c>
      <x:c r="L871" s="185" t="str">
        <x:v>Não classificado</x:v>
      </x:c>
    </x:row>
    <x:row r="872">
      <x:c r="A872" s="175" t="str">
        <x:v>58.038.938/0001-80</x:v>
      </x:c>
      <x:c r="B872" s="166" t="str">
        <x:v>TIVIO ALT CREDITO HIGH YIELD 180 FI EM DIREITOS CREDITÓRIOS - RESPONSABILIDADE LIMITADA</x:v>
      </x:c>
      <x:c r="C872" s="188" t="n">
        <x:v>144602815.32999998</x:v>
      </x:c>
      <x:c r="D872" s="166" t="str">
        <x:v>Tivio Capital</x:v>
      </x:c>
      <x:c r="E872" s="166" t="str">
        <x:f>IFERROR(INDEX('Classif Gestoras'!$H$6:$H$462,MATCH(D872,'Classif Gestoras'!$A$6:$A$462,0)),"Não classificada")</x:f>
        <x:v>Independente</x:v>
      </x:c>
      <x:c r="F872" s="166" t="str">
        <x:v>BNY MELLON SERVICOS</x:v>
      </x:c>
      <x:c r="G872" s="166" t="str">
        <x:v>BNY MELLON BANCO S.A.</x:v>
      </x:c>
      <x:c r="H872" s="166" t="str">
        <x:v>Outros</x:v>
      </x:c>
      <x:c r="I872" s="166" t="str">
        <x:v>Multicarteira Outros</x:v>
      </x:c>
      <x:c r="J872" s="166" t="str">
        <x:v>CI</x:v>
      </x:c>
      <x:c r="K872" s="172" t="n">
        <x:v>705</x:v>
      </x:c>
      <x:c r="L872" s="185" t="str">
        <x:v>Não classificado</x:v>
      </x:c>
    </x:row>
    <x:row r="873">
      <x:c r="A873" s="175" t="str">
        <x:v>46.390.186/0001-33</x:v>
      </x:c>
      <x:c r="B873" s="166" t="str">
        <x:v>SEED FUNDO DE INVESTIMENTO EM DIREITOS CREDITÓRIOS NÃO PADRONIZADOS</x:v>
      </x:c>
      <x:c r="C873" s="188" t="n">
        <x:v>144231525.29</x:v>
      </x:c>
      <x:c r="D873" s="166" t="str">
        <x:v>REAG BERKANA</x:v>
      </x:c>
      <x:c r="E873" s="166" t="str">
        <x:f>IFERROR(INDEX('Classif Gestoras'!$H$6:$H$462,MATCH(D873,'Classif Gestoras'!$A$6:$A$462,0)),"Não classificada")</x:f>
        <x:v>Independente</x:v>
      </x:c>
      <x:c r="F873" s="166" t="str">
        <x:v>Singulare</x:v>
      </x:c>
      <x:c r="G873" s="166" t="str">
        <x:v>QI CORRETORA DE TÍTULOS E VALORES MOBILIÁRIOS S.A.</x:v>
      </x:c>
      <x:c r="H873" s="166" t="str">
        <x:v>Agro, Indústria e Comércio</x:v>
      </x:c>
      <x:c r="I873" s="166" t="str">
        <x:v>Agronegócio</x:v>
      </x:c>
      <x:c r="J873" s="166" t="str">
        <x:v>CI</x:v>
      </x:c>
      <x:c r="K873" s="172" t="n">
        <x:v>1</x:v>
      </x:c>
      <x:c r="L873" s="185" t="str">
        <x:v>Não classificado</x:v>
      </x:c>
    </x:row>
    <x:row r="874">
      <x:c r="A874" s="175" t="str">
        <x:v>51.555.510/0001-66</x:v>
      </x:c>
      <x:c r="B874" s="166" t="str">
        <x:v>BANCOR FUNDO DE INVESTIMENTO EM DIREITOS CREDITÓRIOS</x:v>
      </x:c>
      <x:c r="C874" s="188" t="n">
        <x:v>144215652.53</x:v>
      </x:c>
      <x:c r="D874" s="166" t="str">
        <x:v>TERCON ASSET MANAGEMENT</x:v>
      </x:c>
      <x:c r="E874" s="166" t="str">
        <x:f>IFERROR(INDEX('Classif Gestoras'!$H$6:$H$462,MATCH(D874,'Classif Gestoras'!$A$6:$A$462,0)),"Não classificada")</x:f>
        <x:v>Independente</x:v>
      </x:c>
      <x:c r="F874" s="166" t="str">
        <x:v>Limine Trust Distribuidora de Titulos e Valores Mobiliá</x:v>
      </x:c>
      <x:c r="G874" s="166" t="str">
        <x:v>LIMINE TRUST DISTRIBUIDORA DE TITULOS E VALORES MOBILIARIOS LTDA.</x:v>
      </x:c>
      <x:c r="H874" s="166" t="str">
        <x:v>Fomento Mercantil</x:v>
      </x:c>
      <x:c r="I874" s="166" t="str">
        <x:v>Fomento Mercantil</x:v>
      </x:c>
      <x:c r="J874" s="166" t="str">
        <x:v>CI</x:v>
      </x:c>
      <x:c r="K874" s="172" t="n">
        <x:v>2</x:v>
      </x:c>
      <x:c r="L874" s="185" t="str">
        <x:v>Não classificado</x:v>
      </x:c>
    </x:row>
    <x:row r="875">
      <x:c r="A875" s="175" t="str">
        <x:v>52.049.112/0001-30</x:v>
      </x:c>
      <x:c r="B875" s="166" t="str">
        <x:v>KATETO INVESTIMENTO PRECATÓRIOS FUNDO DE INVESTIMENTO EM DIREITOS CREDITÓRIOS</x:v>
      </x:c>
      <x:c r="C875" s="188" t="n">
        <x:v>144170984.23000002</x:v>
      </x:c>
      <x:c r="D875" s="166" t="str">
        <x:v>Banco BTG Pactual</x:v>
      </x:c>
      <x:c r="E875" s="166" t="str">
        <x:f>IFERROR(INDEX('Classif Gestoras'!$H$6:$H$462,MATCH(D875,'Classif Gestoras'!$A$6:$A$462,0)),"Não classificada")</x:f>
        <x:v>Ligada a banco</x:v>
      </x:c>
      <x:c r="F875" s="166" t="str">
        <x:v>BTG Pactual Servicos Financeiros S/A DTVM</x:v>
      </x:c>
      <x:c r="G875" s="166" t="str">
        <x:v>BANCO BTG PACTUAL S/A</x:v>
      </x:c>
      <x:c r="H875" s="166" t="str">
        <x:v>Outros</x:v>
      </x:c>
      <x:c r="I875" s="166" t="str">
        <x:v>Poder Público</x:v>
      </x:c>
      <x:c r="J875" s="166" t="str">
        <x:v>CI</x:v>
      </x:c>
      <x:c r="K875" s="172" t="n">
        <x:v>1</x:v>
      </x:c>
      <x:c r="L875" s="185" t="str">
        <x:v>Não classificado</x:v>
      </x:c>
    </x:row>
    <x:row r="876">
      <x:c r="A876" s="175" t="str">
        <x:v>48.946.018/0001-07</x:v>
      </x:c>
      <x:c r="B876" s="166" t="str">
        <x:v>MAUÁ SANEAMENTO III FUNDO DE INVESTIMENTO EM DIREITOS CREDITÓRIOS - RESPONSABILIDADE LIMITADA</x:v>
      </x:c>
      <x:c r="C876" s="188" t="n">
        <x:v>143573357.20000002</x:v>
      </x:c>
      <x:c r="D876" s="166" t="str">
        <x:v>Mauá Capital Investimentos Alternativos Ltda.</x:v>
      </x:c>
      <x:c r="E876" s="166" t="str">
        <x:f>IFERROR(INDEX('Classif Gestoras'!$H$6:$H$462,MATCH(D876,'Classif Gestoras'!$A$6:$A$462,0)),"Não classificada")</x:f>
        <x:v>Independente</x:v>
      </x:c>
      <x:c r="F876" s="166" t="str">
        <x:v>MAF Distribuidora de Títulos e Valores Mobiliários S.A.</x:v>
      </x:c>
      <x:c r="G876" s="166" t="str">
        <x:v>MAF DISTRIBUIDORA DE TITULOS E VALORES MOBILIARIOS S.A.</x:v>
      </x:c>
      <x:c r="H876" s="166" t="str">
        <x:v>Agro, Indústria e Comércio</x:v>
      </x:c>
      <x:c r="I876" s="166" t="str">
        <x:v>Infraestrutura</x:v>
      </x:c>
      <x:c r="J876" s="166" t="str">
        <x:v>CI</x:v>
      </x:c>
      <x:c r="K876" s="172" t="n">
        <x:v>8</x:v>
      </x:c>
      <x:c r="L876" s="185" t="str">
        <x:v>Não classificado</x:v>
      </x:c>
    </x:row>
    <x:row r="877">
      <x:c r="A877" s="175" t="str">
        <x:v>55.175.561/0001-13</x:v>
      </x:c>
      <x:c r="B877" s="166" t="str">
        <x:v>FUNDO DE INVESTIMENTO EM DIREITOS CREDITÓRIOS PRATA DIGITAL III FGTS RESPONSABILIDADE LIMITADA</x:v>
      </x:c>
      <x:c r="C877" s="188" t="n">
        <x:v>142431174.18998998</x:v>
      </x:c>
      <x:c r="D877" s="166" t="str">
        <x:v>VERT Gestora de Recursos Financeiros Ltda.</x:v>
      </x:c>
      <x:c r="E877" s="166" t="str">
        <x:f>IFERROR(INDEX('Classif Gestoras'!$H$6:$H$462,MATCH(D877,'Classif Gestoras'!$A$6:$A$462,0)),"Não classificada")</x:f>
        <x:v>Independente</x:v>
      </x:c>
      <x:c r="F877" s="166" t="str">
        <x:v>QI DISTRIBUIDORA DE TITULOS E VALORES MOBILIARIOS LTDA</x:v>
      </x:c>
      <x:c r="G877" s="166" t="str">
        <x:v>QI CORRETORA DE TÍTULOS E VALORES MOBILIÁRIOS S.A.</x:v>
      </x:c>
      <x:c r="H877" s="166" t="str">
        <x:v>Financeiro</x:v>
      </x:c>
      <x:c r="I877" s="166" t="str">
        <x:v>Crédito Pessoal</x:v>
      </x:c>
      <x:c r="J877" s="166" t="str">
        <x:v>CI</x:v>
      </x:c>
      <x:c r="K877" s="172" t="n">
        <x:v>74</x:v>
      </x:c>
      <x:c r="L877" s="185" t="str">
        <x:v>Não classificado</x:v>
      </x:c>
    </x:row>
    <x:row r="878">
      <x:c r="A878" s="175" t="str">
        <x:v>61.973.031/0001-13</x:v>
      </x:c>
      <x:c r="B878" s="166" t="str">
        <x:v>MCPG FUNDO DE INVESTIMENTO EM DIREITOS CREDITÓRIOS - RESPONSABILIDADE LIMITADA</x:v>
      </x:c>
      <x:c r="C878" s="188" t="n">
        <x:v>142288848.56</x:v>
      </x:c>
      <x:c r="D878" s="166" t="str">
        <x:v>Plural Investimentos Gestão de Recursos Ltda.</x:v>
      </x:c>
      <x:c r="E878" s="166" t="str">
        <x:f>IFERROR(INDEX('Classif Gestoras'!$H$6:$H$462,MATCH(D878,'Classif Gestoras'!$A$6:$A$462,0)),"Não classificada")</x:f>
        <x:v>Ligada a banco</x:v>
      </x:c>
      <x:c r="F878" s="166" t="str">
        <x:v>Genial Investimentos Corretora de Valores Mobiliários S.A.</x:v>
      </x:c>
      <x:c r="G878" s="166" t="str">
        <x:v>BANCO GENIAL S.A.</x:v>
      </x:c>
      <x:c r="H878" s="166" t="str">
        <x:v>Outros</x:v>
      </x:c>
      <x:c r="I878" s="166" t="str">
        <x:v>Poder Público</x:v>
      </x:c>
      <x:c r="J878" s="166" t="str">
        <x:v>CI</x:v>
      </x:c>
      <x:c r="K878" s="172" t="n">
        <x:v>1</x:v>
      </x:c>
      <x:c r="L878" s="185" t="str">
        <x:v>Não classificado</x:v>
      </x:c>
    </x:row>
    <x:row r="879">
      <x:c r="A879" s="175" t="str">
        <x:v>60.647.052/0001-86</x:v>
      </x:c>
      <x:c r="B879" s="166" t="str">
        <x:v>NEW TRADE CAPITAL FUNDO DE INVESTIMENTO EM DIREITOS CREDITÓRIOS - RESPONSABILIDADE LIMITADA</x:v>
      </x:c>
      <x:c r="C879" s="188" t="n">
        <x:v>142045825.88</x:v>
      </x:c>
      <x:c r="D879" s="166" t="str">
        <x:v>TERCON ASSET MANAGEMENT</x:v>
      </x:c>
      <x:c r="E879" s="166" t="str">
        <x:f>IFERROR(INDEX('Classif Gestoras'!$H$6:$H$462,MATCH(D879,'Classif Gestoras'!$A$6:$A$462,0)),"Não classificada")</x:f>
        <x:v>Independente</x:v>
      </x:c>
      <x:c r="F879" s="166" t="str">
        <x:v>Singulare</x:v>
      </x:c>
      <x:c r="G879" s="166" t="str">
        <x:v>QI CORRETORA DE TÍTULOS E VALORES MOBILIÁRIOS S.A.</x:v>
      </x:c>
      <x:c r="H879" s="166" t="str">
        <x:v>Fomento Mercantil</x:v>
      </x:c>
      <x:c r="I879" s="166" t="str">
        <x:v>Fomento Mercantil</x:v>
      </x:c>
      <x:c r="J879" s="166" t="str">
        <x:v>CI</x:v>
      </x:c>
      <x:c r="K879" s="172" t="n">
        <x:v>51</x:v>
      </x:c>
      <x:c r="L879" s="185" t="str">
        <x:v>Não classificado</x:v>
      </x:c>
    </x:row>
    <x:row r="880">
      <x:c r="A880" s="175" t="str">
        <x:v>53.979.245/0001-79</x:v>
      </x:c>
      <x:c r="B880" s="166" t="str">
        <x:v>GS3 I FUNDO DE INVESTIMENTO EM DIREITOS CREDITÓRIOS</x:v>
      </x:c>
      <x:c r="C880" s="188" t="n">
        <x:v>142004106.16</x:v>
      </x:c>
      <x:c r="D880" s="166" t="str">
        <x:v>ORRAM GESTÃO DE RECURSOS LTDA.</x:v>
      </x:c>
      <x:c r="E880" s="166" t="str">
        <x:f>IFERROR(INDEX('Classif Gestoras'!$H$6:$H$462,MATCH(D880,'Classif Gestoras'!$A$6:$A$462,0)),"Não classificada")</x:f>
        <x:v>Independente</x:v>
      </x:c>
      <x:c r="F880" s="166" t="str">
        <x:v>FIDD DISTRIBUIDORA DE TITULOS E VALORES MOBILIARIOS LTD</x:v>
      </x:c>
      <x:c r="G880" s="166" t="str">
        <x:v>FIDD DISTRIBUIDORA DE TITULOS E VALORES MOBILIARIOS LTDA.</x:v>
      </x:c>
      <x:c r="H880" s="166" t="str">
        <x:v>Outros</x:v>
      </x:c>
      <x:c r="I880" s="166" t="str">
        <x:v>Multicarteira Outros</x:v>
      </x:c>
      <x:c r="J880" s="166" t="str">
        <x:v>CI</x:v>
      </x:c>
      <x:c r="K880" s="172" t="n">
        <x:v>12</x:v>
      </x:c>
      <x:c r="L880" s="185" t="str">
        <x:v>Não classificado</x:v>
      </x:c>
    </x:row>
    <x:row r="881">
      <x:c r="A881" s="175" t="str">
        <x:v>17.474.548/0001-76</x:v>
      </x:c>
      <x:c r="B881" s="166" t="str">
        <x:v>FUNDO DE INVESTIMENTO EM DIREITOS CREDITÓRIOS LF I - SEGMENTO FINANCEIRO - RESPONSABILIDADE LIMITADA</x:v>
      </x:c>
      <x:c r="C881" s="188" t="n">
        <x:v>141354687.94</x:v>
      </x:c>
      <x:c r="D881" s="166" t="str">
        <x:v>Petra Capital</x:v>
      </x:c>
      <x:c r="E881" s="166" t="str">
        <x:f>IFERROR(INDEX('Classif Gestoras'!$H$6:$H$462,MATCH(D881,'Classif Gestoras'!$A$6:$A$462,0)),"Não classificada")</x:f>
        <x:v>Independente</x:v>
      </x:c>
      <x:c r="F881" s="166" t="str">
        <x:v>Finaxis Corretora de Títulos e Valores Mobiliários S.A.</x:v>
      </x:c>
      <x:c r="G881" s="166" t="str">
        <x:v>BANCO FINAXIS S.A.</x:v>
      </x:c>
      <x:c r="H881" s="166" t="str">
        <x:v>Outros</x:v>
      </x:c>
      <x:c r="I881" s="166" t="str">
        <x:v>Multicarteira Outros</x:v>
      </x:c>
      <x:c r="J881" s="166" t="str">
        <x:v>CI</x:v>
      </x:c>
      <x:c r="K881" s="172" t="n">
        <x:v>45</x:v>
      </x:c>
      <x:c r="L881" s="185" t="str">
        <x:v>Não classificado</x:v>
      </x:c>
    </x:row>
    <x:row r="882">
      <x:c r="A882" s="175" t="str">
        <x:v>48.968.438/0001-94</x:v>
      </x:c>
      <x:c r="B882" s="166" t="str">
        <x:v>LIFT IV FUNDO DE INVESTIMENTO EM DIREITOS CREDITÓRIOS</x:v>
      </x:c>
      <x:c r="C882" s="188" t="n">
        <x:v>141220577.73</x:v>
      </x:c>
      <x:c r="D882" s="166" t="str">
        <x:v>Namari Capital Gestão de Recursos Ltda.</x:v>
      </x:c>
      <x:c r="E882" s="166" t="str">
        <x:f>IFERROR(INDEX('Classif Gestoras'!$H$6:$H$462,MATCH(D882,'Classif Gestoras'!$A$6:$A$462,0)),"Não classificada")</x:f>
        <x:v>Independente</x:v>
      </x:c>
      <x:c r="F882" s="166" t="str">
        <x:v>MAF Distribuidora de Títulos e Valores Mobiliários S.A.</x:v>
      </x:c>
      <x:c r="G882" s="166" t="str">
        <x:v>MAF DISTRIBUIDORA DE TITULOS E VALORES MOBILIARIOS S.A.</x:v>
      </x:c>
      <x:c r="H882" s="166" t="str">
        <x:v>Outros</x:v>
      </x:c>
      <x:c r="I882" s="166" t="str">
        <x:v>Multicarteira Outros</x:v>
      </x:c>
      <x:c r="J882" s="166" t="str">
        <x:v>CI</x:v>
      </x:c>
      <x:c r="K882" s="172" t="n">
        <x:v>1</x:v>
      </x:c>
      <x:c r="L882" s="185" t="str">
        <x:v>Não classificado</x:v>
      </x:c>
    </x:row>
    <x:row r="883">
      <x:c r="A883" s="175" t="str">
        <x:v>57.284.265/0001-86</x:v>
      </x:c>
      <x:c r="B883" s="166" t="str">
        <x:v>METROPOL FUNDO DE INVESTIMENTO EM DIREITOS CREDITÓRIOS</x:v>
      </x:c>
      <x:c r="C883" s="188" t="n">
        <x:v>140940873.82000002</x:v>
      </x:c>
      <x:c r="D883" s="166" t="str">
        <x:v>CERES ASSET</x:v>
      </x:c>
      <x:c r="E883" s="166" t="str">
        <x:f>IFERROR(INDEX('Classif Gestoras'!$H$6:$H$462,MATCH(D883,'Classif Gestoras'!$A$6:$A$462,0)),"Não classificada")</x:f>
        <x:v>Independente</x:v>
      </x:c>
      <x:c r="F883" s="166" t="str">
        <x:v>Singulare</x:v>
      </x:c>
      <x:c r="G883" s="166" t="str">
        <x:v>QI CORRETORA DE TÍTULOS E VALORES MOBILIÁRIOS S.A.</x:v>
      </x:c>
      <x:c r="H883" s="166" t="str">
        <x:v>Agro, Indústria e Comércio</x:v>
      </x:c>
      <x:c r="I883" s="166" t="str">
        <x:v>Multicarteira Agro, Indústria e Comércio</x:v>
      </x:c>
      <x:c r="J883" s="166" t="str">
        <x:v>CI</x:v>
      </x:c>
      <x:c r="K883" s="172" t="n">
        <x:v>12</x:v>
      </x:c>
      <x:c r="L883" s="185" t="str">
        <x:v>Não classificado</x:v>
      </x:c>
    </x:row>
    <x:row r="884">
      <x:c r="A884" s="175" t="str">
        <x:v>32.274.874/0001-23</x:v>
      </x:c>
      <x:c r="B884" s="166" t="str">
        <x:v>CREDIT PARTNERS FUNDO DE INVESTIMENTO EM DIREITO CREDITÓRIOS</x:v>
      </x:c>
      <x:c r="C884" s="188" t="n">
        <x:v>140714837.47</x:v>
      </x:c>
      <x:c r="D884" s="166" t="str">
        <x:v>TERCON ASSET MANAGEMENT</x:v>
      </x:c>
      <x:c r="E884" s="166" t="str">
        <x:f>IFERROR(INDEX('Classif Gestoras'!$H$6:$H$462,MATCH(D884,'Classif Gestoras'!$A$6:$A$462,0)),"Não classificada")</x:f>
        <x:v>Independente</x:v>
      </x:c>
      <x:c r="F884" s="166" t="str">
        <x:v>Limine Trust Distribuidora de Titulos e Valores Mobiliá</x:v>
      </x:c>
      <x:c r="G884" s="166" t="str">
        <x:v>LIMINE TRUST DISTRIBUIDORA DE TITULOS E VALORES MOBILIARIOS LTDA.</x:v>
      </x:c>
      <x:c r="H884" s="166" t="str">
        <x:v>Outros</x:v>
      </x:c>
      <x:c r="I884" s="166" t="str">
        <x:v>Multicarteira Outros</x:v>
      </x:c>
      <x:c r="J884" s="166" t="str">
        <x:v>CI</x:v>
      </x:c>
      <x:c r="K884" s="172" t="n">
        <x:v>15</x:v>
      </x:c>
      <x:c r="L884" s="185" t="str">
        <x:v>Não classificado</x:v>
      </x:c>
    </x:row>
    <x:row r="885">
      <x:c r="A885" s="175" t="str">
        <x:v>13.974.813/0001-24</x:v>
      </x:c>
      <x:c r="B885" s="166" t="str">
        <x:v>G5 BRJUS FUNDO DE INVESTIMENTO EM DIREITOS CREDITÓRIOS NÃO PADRONIZADOS</x:v>
      </x:c>
      <x:c r="C885" s="188" t="n">
        <x:v>140112915.44</x:v>
      </x:c>
      <x:c r="D885" s="166" t="str">
        <x:v>G5 Adm. de Recursos</x:v>
      </x:c>
      <x:c r="E885" s="166" t="str">
        <x:f>IFERROR(INDEX('Classif Gestoras'!$H$6:$H$462,MATCH(D885,'Classif Gestoras'!$A$6:$A$462,0)),"Não classificada")</x:f>
        <x:v>Independente</x:v>
      </x:c>
      <x:c r="F885" s="166" t="str">
        <x:v>Singulare</x:v>
      </x:c>
      <x:c r="G885" s="166" t="str">
        <x:v>QI CORRETORA DE TÍTULOS E VALORES MOBILIÁRIOS S.A.</x:v>
      </x:c>
      <x:c r="H885" s="166" t="str">
        <x:v>Fomento Mercantil</x:v>
      </x:c>
      <x:c r="I885" s="166" t="str">
        <x:v>Fomento Mercantil</x:v>
      </x:c>
      <x:c r="J885" s="166" t="str">
        <x:v>CI</x:v>
      </x:c>
      <x:c r="K885" s="172" t="n">
        <x:v>9</x:v>
      </x:c>
      <x:c r="L885" s="185" t="str">
        <x:v>Não classificado</x:v>
      </x:c>
    </x:row>
    <x:row r="886">
      <x:c r="A886" s="175" t="str">
        <x:v>37.564.538/0001-39</x:v>
      </x:c>
      <x:c r="B886" s="166" t="str">
        <x:v>FUNDO DE INVESTIMENTO EM DIREITOS CREDITÓRIOS CLAIMS</x:v>
      </x:c>
      <x:c r="C886" s="188" t="n">
        <x:v>139670677.6</x:v>
      </x:c>
      <x:c r="D886" s="166" t="str">
        <x:v>Vista Real Estate</x:v>
      </x:c>
      <x:c r="E886" s="166" t="str">
        <x:f>IFERROR(INDEX('Classif Gestoras'!$H$6:$H$462,MATCH(D886,'Classif Gestoras'!$A$6:$A$462,0)),"Não classificada")</x:f>
        <x:v>Independente</x:v>
      </x:c>
      <x:c r="F886" s="166" t="str">
        <x:v>BRL TRUST DTVM</x:v>
      </x:c>
      <x:c r="G886" s="166" t="str">
        <x:v>BRL TRUST DISTRIBUIDORA DE TITULOS E VALORES MOBILIARIOS S.A.</x:v>
      </x:c>
      <x:c r="H886" s="166" t="str">
        <x:v>Outros</x:v>
      </x:c>
      <x:c r="I886" s="166" t="str">
        <x:v>Poder Público</x:v>
      </x:c>
      <x:c r="J886" s="166" t="str">
        <x:v>CI</x:v>
      </x:c>
      <x:c r="K886" s="172" t="n">
        <x:v>2</x:v>
      </x:c>
      <x:c r="L886" s="185" t="str">
        <x:v>Não classificado</x:v>
      </x:c>
    </x:row>
    <x:row r="887">
      <x:c r="A887" s="175" t="str">
        <x:v>63.679.792/0001-92</x:v>
      </x:c>
      <x:c r="B887" s="166" t="str">
        <x:v>BLUE HEALTH FIDC RECEBÍVEIS COMERCIAIS DE RESPONSABILIDADE LIMITADA</x:v>
      </x:c>
      <x:c r="C887" s="188" t="n">
        <x:v>139232738.26999998</x:v>
      </x:c>
      <x:c r="D887" s="166" t="str">
        <x:v>JGP Gestão de Crédito LTDA.</x:v>
      </x:c>
      <x:c r="E887" s="166" t="str">
        <x:f>IFERROR(INDEX('Classif Gestoras'!$H$6:$H$462,MATCH(D887,'Classif Gestoras'!$A$6:$A$462,0)),"Não classificada")</x:f>
        <x:v>Independente</x:v>
      </x:c>
      <x:c r="F887" s="166" t="str">
        <x:v>Oliveira Trust DTVM</x:v>
      </x:c>
      <x:c r="G887" s="166" t="str">
        <x:v>OLIVEIRA TRUST DTVM S.A.</x:v>
      </x:c>
      <x:c r="H887" s="166" t="str">
        <x:v>Agro, Indústria e Comércio</x:v>
      </x:c>
      <x:c r="I887" s="166" t="str">
        <x:v>Recebíveis Comerciais</x:v>
      </x:c>
      <x:c r="J887" s="166" t="str">
        <x:v>CI</x:v>
      </x:c>
      <x:c r="K887" s="172" t="n">
        <x:v>12</x:v>
      </x:c>
      <x:c r="L887" s="185" t="str">
        <x:v>Não classificado</x:v>
      </x:c>
    </x:row>
    <x:row r="888">
      <x:c r="A888" s="175" t="str">
        <x:v>34.408.539/0001-04</x:v>
      </x:c>
      <x:c r="B888" s="166" t="str">
        <x:v>PRAVALER CREDITO UNIVERSITARIO III FUNDO DE INVESTIMENTO EM DIREITOS CREDITÓRIOS - RESP LIMITADA</x:v>
      </x:c>
      <x:c r="C888" s="188" t="n">
        <x:v>138214733.32</x:v>
      </x:c>
      <x:c r="D888" s="166" t="str">
        <x:v>PRAVALER S/A</x:v>
      </x:c>
      <x:c r="E888" s="166" t="str">
        <x:f>IFERROR(INDEX('Classif Gestoras'!$H$6:$H$462,MATCH(D888,'Classif Gestoras'!$A$6:$A$462,0)),"Não classificada")</x:f>
        <x:v>Independente</x:v>
      </x:c>
      <x:c r="F888" s="166" t="str">
        <x:v>Oliveira Trust DTVM</x:v>
      </x:c>
      <x:c r="G888" s="166" t="str">
        <x:v>OLIVEIRA TRUST DTVM S.A.</x:v>
      </x:c>
      <x:c r="H888" s="166" t="str">
        <x:v>Financeiro</x:v>
      </x:c>
      <x:c r="I888" s="166" t="str">
        <x:v>Crédito Pessoal</x:v>
      </x:c>
      <x:c r="J888" s="166" t="str">
        <x:v>CI</x:v>
      </x:c>
      <x:c r="K888" s="172" t="n">
        <x:v>3</x:v>
      </x:c>
      <x:c r="L888" s="185" t="str">
        <x:v>Não classificado</x:v>
      </x:c>
    </x:row>
    <x:row r="889">
      <x:c r="A889" s="175" t="str">
        <x:v>47.758.232/0001-77</x:v>
      </x:c>
      <x:c r="B889" s="166" t="str">
        <x:v>SIMPALA FUNDO DE INVESTIMENTO EM DIREITOS CREDITÓRIOS</x:v>
      </x:c>
      <x:c r="C889" s="188" t="n">
        <x:v>137827813.8</x:v>
      </x:c>
      <x:c r="D889" s="166" t="str">
        <x:v>TERCON ASSET MANAGEMENT</x:v>
      </x:c>
      <x:c r="E889" s="166" t="str">
        <x:f>IFERROR(INDEX('Classif Gestoras'!$H$6:$H$462,MATCH(D889,'Classif Gestoras'!$A$6:$A$462,0)),"Não classificada")</x:f>
        <x:v>Independente</x:v>
      </x:c>
      <x:c r="F889" s="166" t="str">
        <x:v>Singulare</x:v>
      </x:c>
      <x:c r="G889" s="166" t="str">
        <x:v>QI CORRETORA DE TÍTULOS E VALORES MOBILIÁRIOS S.A.</x:v>
      </x:c>
      <x:c r="H889" s="166" t="str">
        <x:v>Fomento Mercantil</x:v>
      </x:c>
      <x:c r="I889" s="166" t="str">
        <x:v>Fomento Mercantil</x:v>
      </x:c>
      <x:c r="J889" s="166" t="str">
        <x:v>CI</x:v>
      </x:c>
      <x:c r="K889" s="172" t="n">
        <x:v>71</x:v>
      </x:c>
      <x:c r="L889" s="185" t="str">
        <x:v>Não classificado</x:v>
      </x:c>
    </x:row>
    <x:row r="890">
      <x:c r="A890" s="175" t="str">
        <x:v>52.273.542/0001-31</x:v>
      </x:c>
      <x:c r="B890" s="166" t="str">
        <x:v>FÊNIX FUNDO DE INVESTIMENTO EM DIREITOS CREDITÓRIOS</x:v>
      </x:c>
      <x:c r="C890" s="188" t="n">
        <x:v>137572861.58999997</x:v>
      </x:c>
      <x:c r="D890" s="166" t="str">
        <x:v>F3 ROCK</x:v>
      </x:c>
      <x:c r="E890" s="166" t="str">
        <x:f>IFERROR(INDEX('Classif Gestoras'!$H$6:$H$462,MATCH(D890,'Classif Gestoras'!$A$6:$A$462,0)),"Não classificada")</x:f>
        <x:v>Independente</x:v>
      </x:c>
      <x:c r="F890" s="166" t="str">
        <x:v>VÓRTX DTVM</x:v>
      </x:c>
      <x:c r="G890" s="166" t="str">
        <x:v>VORTX DISTRIBUIDORA DE TITULOS E VALORES MOBILIARIOS LTDA.</x:v>
      </x:c>
      <x:c r="H890" s="166" t="str">
        <x:v>Financeiro</x:v>
      </x:c>
      <x:c r="I890" s="166" t="str">
        <x:v>Multicarteira Financeiro</x:v>
      </x:c>
      <x:c r="J890" s="166" t="str">
        <x:v>CI</x:v>
      </x:c>
      <x:c r="K890" s="172" t="n">
        <x:v>26</x:v>
      </x:c>
      <x:c r="L890" s="185" t="str">
        <x:v>Não classificado</x:v>
      </x:c>
    </x:row>
    <x:row r="891">
      <x:c r="A891" s="175" t="str">
        <x:v>32.155.992/0001-12</x:v>
      </x:c>
      <x:c r="B891" s="166" t="str">
        <x:v>GOLDEN BIRD FUNDO DE INVESTIMENTO EM DIREITOS CREDITÓRIOS</x:v>
      </x:c>
      <x:c r="C891" s="188" t="n">
        <x:v>137493741.39</x:v>
      </x:c>
      <x:c r="D891" s="166" t="str">
        <x:v>Acura Gestora de Recursos LTDA.</x:v>
      </x:c>
      <x:c r="E891" s="166" t="str">
        <x:f>IFERROR(INDEX('Classif Gestoras'!$H$6:$H$462,MATCH(D891,'Classif Gestoras'!$A$6:$A$462,0)),"Não classificada")</x:f>
        <x:v>Independente</x:v>
      </x:c>
      <x:c r="F891" s="166" t="str">
        <x:v>SEFER DTVM</x:v>
      </x:c>
      <x:c r="G891" s="166" t="str">
        <x:v>PLANNER CORRETORA DE VALORES S.A.</x:v>
      </x:c>
      <x:c r="H891" s="166" t="str">
        <x:v>Outros</x:v>
      </x:c>
      <x:c r="I891" s="166" t="str">
        <x:v>Multicarteira Outros</x:v>
      </x:c>
      <x:c r="J891" s="166" t="str">
        <x:v>CI</x:v>
      </x:c>
      <x:c r="K891" s="172" t="n">
        <x:v>2</x:v>
      </x:c>
      <x:c r="L891" s="185" t="str">
        <x:v>Não classificado</x:v>
      </x:c>
    </x:row>
    <x:row r="892">
      <x:c r="A892" s="175" t="str">
        <x:v>63.672.540/0001-31</x:v>
      </x:c>
      <x:c r="B892" s="166" t="str">
        <x:v>DIRETTO FGTS FUNDO DE INVESTIMENTO EM DIREITOS CREDITÓRIOS RESPONSABILIDADE LIMITADA</x:v>
      </x:c>
      <x:c r="C892" s="188" t="n">
        <x:v>137384789.19</x:v>
      </x:c>
      <x:c r="D892" s="166" t="str">
        <x:v>DAYCOVAL ASSET MANAG</x:v>
      </x:c>
      <x:c r="E892" s="166" t="str">
        <x:f>IFERROR(INDEX('Classif Gestoras'!$H$6:$H$462,MATCH(D892,'Classif Gestoras'!$A$6:$A$462,0)),"Não classificada")</x:f>
        <x:v>Ligada a banco</x:v>
      </x:c>
      <x:c r="F892" s="166" t="str">
        <x:v>BANCO DAYCOVAL S/A</x:v>
      </x:c>
      <x:c r="G892" s="166" t="str">
        <x:v>BANCO DAYCOVAL S.A.</x:v>
      </x:c>
      <x:c r="H892" s="166" t="str">
        <x:v>Financeiro</x:v>
      </x:c>
      <x:c r="I892" s="166" t="str">
        <x:v>Crédito Pessoal</x:v>
      </x:c>
      <x:c r="J892" s="166" t="str">
        <x:v>CI</x:v>
      </x:c>
      <x:c r="K892" s="172" t="n">
        <x:v>4</x:v>
      </x:c>
      <x:c r="L892" s="185" t="str">
        <x:v>Não classificado</x:v>
      </x:c>
    </x:row>
    <x:row r="893">
      <x:c r="A893" s="175" t="str">
        <x:v>31.611.449/0001-10</x:v>
      </x:c>
      <x:c r="B893" s="166" t="str">
        <x:v>TERA YIELD FUNDO DE INVESTIMENTO EM DIREITOS CREDITÓRIOS</x:v>
      </x:c>
      <x:c r="C893" s="188" t="n">
        <x:v>137159403.2029</x:v>
      </x:c>
      <x:c r="D893" s="166" t="str">
        <x:v>TERA CAPITAL</x:v>
      </x:c>
      <x:c r="E893" s="166" t="str">
        <x:f>IFERROR(INDEX('Classif Gestoras'!$H$6:$H$462,MATCH(D893,'Classif Gestoras'!$A$6:$A$462,0)),"Não classificada")</x:f>
        <x:v>Independente</x:v>
      </x:c>
      <x:c r="F893" s="166" t="str">
        <x:v>BTG Pactual Servicos Financeiros S/A DTVM</x:v>
      </x:c>
      <x:c r="G893" s="166" t="str">
        <x:v>BANCO BTG PACTUAL S/A</x:v>
      </x:c>
      <x:c r="H893" s="166" t="str">
        <x:v>Outros</x:v>
      </x:c>
      <x:c r="I893" s="166" t="str">
        <x:v>Multicarteira Outros</x:v>
      </x:c>
      <x:c r="J893" s="166" t="str">
        <x:v>CI</x:v>
      </x:c>
      <x:c r="K893" s="172" t="n">
        <x:v>13</x:v>
      </x:c>
      <x:c r="L893" s="185" t="str">
        <x:v>Não classificado</x:v>
      </x:c>
    </x:row>
    <x:row r="894">
      <x:c r="A894" s="175" t="str">
        <x:v>49.250.454/0001-00</x:v>
      </x:c>
      <x:c r="B894" s="166" t="str">
        <x:v>NINE CAPITAL FUNDO DE INVESTIMENTO EM DIREITOS CREDITÓRIOS</x:v>
      </x:c>
      <x:c r="C894" s="188" t="n">
        <x:v>137143435.98000002</x:v>
      </x:c>
      <x:c r="D894" s="166" t="str">
        <x:v>Catálise Investimentos</x:v>
      </x:c>
      <x:c r="E894" s="166" t="str">
        <x:f>IFERROR(INDEX('Classif Gestoras'!$H$6:$H$462,MATCH(D894,'Classif Gestoras'!$A$6:$A$462,0)),"Não classificada")</x:f>
        <x:v>Independente</x:v>
      </x:c>
      <x:c r="F894" s="166" t="str">
        <x:v>CATÁLISE DTVM</x:v>
      </x:c>
      <x:c r="G894" s="166" t="str">
        <x:v>BANCO DAYCOVAL S.A.</x:v>
      </x:c>
      <x:c r="H894" s="166" t="str">
        <x:v>Agro, Indústria e Comércio</x:v>
      </x:c>
      <x:c r="I894" s="166" t="str">
        <x:v>Recebíveis Comerciais</x:v>
      </x:c>
      <x:c r="J894" s="166" t="str">
        <x:v>CI</x:v>
      </x:c>
      <x:c r="K894" s="172" t="n">
        <x:v>1</x:v>
      </x:c>
      <x:c r="L894" s="185" t="str">
        <x:v>Não classificado</x:v>
      </x:c>
    </x:row>
    <x:row r="895">
      <x:c r="A895" s="175" t="str">
        <x:v>53.451.757/0001-68</x:v>
      </x:c>
      <x:c r="B895" s="166" t="str">
        <x:v>CASHEW II FUNDO DE INVESTIMENTO EM DIREITOS CREDITÓRIOS</x:v>
      </x:c>
      <x:c r="C895" s="188" t="n">
        <x:v>136963120.70000002</x:v>
      </x:c>
      <x:c r="D895" s="166" t="str">
        <x:v>Siguler Guff Gestora de Investimentos (Asset Management</x:v>
      </x:c>
      <x:c r="E895" s="166" t="str">
        <x:f>IFERROR(INDEX('Classif Gestoras'!$H$6:$H$462,MATCH(D895,'Classif Gestoras'!$A$6:$A$462,0)),"Não classificada")</x:f>
        <x:v>Independente</x:v>
      </x:c>
      <x:c r="F895" s="166" t="str">
        <x:v>BTG Pactual Servicos Financeiros S/A DTVM</x:v>
      </x:c>
      <x:c r="G895" s="166" t="str">
        <x:v>BANCO BTG PACTUAL S/A</x:v>
      </x:c>
      <x:c r="H895" s="166" t="str">
        <x:v>Outros</x:v>
      </x:c>
      <x:c r="I895" s="166" t="str">
        <x:v>Multicarteira Outros</x:v>
      </x:c>
      <x:c r="J895" s="166" t="str">
        <x:v>CI</x:v>
      </x:c>
      <x:c r="K895" s="172" t="n">
        <x:v>1</x:v>
      </x:c>
      <x:c r="L895" s="185" t="str">
        <x:v>Não classificado</x:v>
      </x:c>
    </x:row>
    <x:row r="896">
      <x:c r="A896" s="175" t="str">
        <x:v>10.237.131/0001-40</x:v>
      </x:c>
      <x:c r="B896" s="166" t="str">
        <x:v>IAA FUNDO DE INVESTIMENTO EM DIREITOS CREDITÓRIOS NÃO PADRONIZADOS</x:v>
      </x:c>
      <x:c r="C896" s="188" t="n">
        <x:v>136833102.39999998</x:v>
      </x:c>
      <x:c r="D896" s="166" t="str">
        <x:v>Carpa Family Office</x:v>
      </x:c>
      <x:c r="E896" s="166" t="str">
        <x:f>IFERROR(INDEX('Classif Gestoras'!$H$6:$H$462,MATCH(D896,'Classif Gestoras'!$A$6:$A$462,0)),"Não classificada")</x:f>
        <x:v>Independente</x:v>
      </x:c>
      <x:c r="F896" s="166" t="str">
        <x:v>Singulare</x:v>
      </x:c>
      <x:c r="G896" s="166" t="str">
        <x:v>QI CORRETORA DE TÍTULOS E VALORES MOBILIÁRIOS S.A.</x:v>
      </x:c>
      <x:c r="H896" s="166" t="str">
        <x:v>Outros</x:v>
      </x:c>
      <x:c r="I896" s="166" t="str">
        <x:v>Poder Público</x:v>
      </x:c>
      <x:c r="J896" s="166" t="str">
        <x:v>CI</x:v>
      </x:c>
      <x:c r="K896" s="172" t="n">
        <x:v>14</x:v>
      </x:c>
      <x:c r="L896" s="185" t="str">
        <x:v>Não classificado</x:v>
      </x:c>
    </x:row>
    <x:row r="897">
      <x:c r="A897" s="175" t="str">
        <x:v>33.475.501/0001-83</x:v>
      </x:c>
      <x:c r="B897" s="166" t="str">
        <x:v>XPJUS FUNDO DE INVESTIMENTO EM DIREITOS CREDITÓRIOS</x:v>
      </x:c>
      <x:c r="C897" s="188" t="n">
        <x:v>136303724.14</x:v>
      </x:c>
      <x:c r="D897" s="166" t="str">
        <x:v>Vista Real Estate</x:v>
      </x:c>
      <x:c r="E897" s="166" t="str">
        <x:f>IFERROR(INDEX('Classif Gestoras'!$H$6:$H$462,MATCH(D897,'Classif Gestoras'!$A$6:$A$462,0)),"Não classificada")</x:f>
        <x:v>Independente</x:v>
      </x:c>
      <x:c r="F897" s="166" t="str">
        <x:v>BRL TRUST DTVM</x:v>
      </x:c>
      <x:c r="G897" s="166" t="str">
        <x:v>BRL TRUST DISTRIBUIDORA DE TITULOS E VALORES MOBILIARIOS S.A.</x:v>
      </x:c>
      <x:c r="H897" s="166" t="str">
        <x:v>Outros</x:v>
      </x:c>
      <x:c r="I897" s="166" t="str">
        <x:v>Poder Público</x:v>
      </x:c>
      <x:c r="J897" s="166" t="str">
        <x:v>CI</x:v>
      </x:c>
      <x:c r="K897" s="172" t="n">
        <x:v>21</x:v>
      </x:c>
      <x:c r="L897" s="185" t="str">
        <x:v>Não classificado</x:v>
      </x:c>
    </x:row>
    <x:row r="898">
      <x:c r="A898" s="175" t="str">
        <x:v>36.335.689/0001-52</x:v>
      </x:c>
      <x:c r="B898" s="166" t="str">
        <x:v>FUNDO DE INVESTIMENTO EM DIREITOS CREDITÓRIOS SETOR PÚBLICO</x:v>
      </x:c>
      <x:c r="C898" s="188" t="n">
        <x:v>136232960.98</x:v>
      </x:c>
      <x:c r="D898" s="166" t="str">
        <x:v>BRL TRUST DTVM</x:v>
      </x:c>
      <x:c r="E898" s="166" t="str">
        <x:f>IFERROR(INDEX('Classif Gestoras'!$H$6:$H$462,MATCH(D898,'Classif Gestoras'!$A$6:$A$462,0)),"Não classificada")</x:f>
        <x:v>Independente</x:v>
      </x:c>
      <x:c r="F898" s="166" t="str">
        <x:v>BRL TRUST DTVM</x:v>
      </x:c>
      <x:c r="G898" s="166" t="str">
        <x:v>BRL TRUST DISTRIBUIDORA DE TITULOS E VALORES MOBILIARIOS S.A.</x:v>
      </x:c>
      <x:c r="H898" s="166" t="str">
        <x:v>Outros</x:v>
      </x:c>
      <x:c r="I898" s="166" t="str">
        <x:v>Poder Público</x:v>
      </x:c>
      <x:c r="J898" s="166" t="str">
        <x:v>CI</x:v>
      </x:c>
      <x:c r="K898" s="172" t="n">
        <x:v>1</x:v>
      </x:c>
      <x:c r="L898" s="185" t="str">
        <x:v>Não classificado</x:v>
      </x:c>
    </x:row>
    <x:row r="899">
      <x:c r="A899" s="175" t="str">
        <x:v>29.242.926/0001-75</x:v>
      </x:c>
      <x:c r="B899" s="166" t="str">
        <x:v>CONSIGA FUNDO DE INVESTIMENTO EM DIREITOS CREDITÓRIOS - RESPONSABILIDADE LIMITADA</x:v>
      </x:c>
      <x:c r="C899" s="188" t="n">
        <x:v>135867247.79</x:v>
      </x:c>
      <x:c r="D899" s="166" t="str">
        <x:v>ARTESANAL FINANCEIRO</x:v>
      </x:c>
      <x:c r="E899" s="166" t="str">
        <x:f>IFERROR(INDEX('Classif Gestoras'!$H$6:$H$462,MATCH(D899,'Classif Gestoras'!$A$6:$A$462,0)),"Não classificada")</x:f>
        <x:v>Independente</x:v>
      </x:c>
      <x:c r="F899" s="166" t="str">
        <x:v>Singulare</x:v>
      </x:c>
      <x:c r="G899" s="166" t="str">
        <x:v>QI CORRETORA DE TÍTULOS E VALORES MOBILIÁRIOS S.A.</x:v>
      </x:c>
      <x:c r="H899" s="166" t="str">
        <x:v>Outros</x:v>
      </x:c>
      <x:c r="I899" s="166" t="str">
        <x:v>Multicarteira Outros</x:v>
      </x:c>
      <x:c r="J899" s="166" t="str">
        <x:v>CI</x:v>
      </x:c>
      <x:c r="K899" s="172" t="n">
        <x:v>25</x:v>
      </x:c>
      <x:c r="L899" s="185" t="str">
        <x:v>Não classificado</x:v>
      </x:c>
    </x:row>
    <x:row r="900">
      <x:c r="A900" s="175" t="str">
        <x:v>45.963.700/0001-10</x:v>
      </x:c>
      <x:c r="B900" s="166" t="str">
        <x:v>TECNOMYL II FUNDO DE INVESTIMENTO EM DIREITOS CREDITÓRIOS AGRONEGÓCIO</x:v>
      </x:c>
      <x:c r="C900" s="188" t="n">
        <x:v>135744556.44</x:v>
      </x:c>
      <x:c r="D900" s="166" t="str">
        <x:v>ORRAM GESTÃO DE RECURSOS LTDA.</x:v>
      </x:c>
      <x:c r="E900" s="166" t="str">
        <x:f>IFERROR(INDEX('Classif Gestoras'!$H$6:$H$462,MATCH(D900,'Classif Gestoras'!$A$6:$A$462,0)),"Não classificada")</x:f>
        <x:v>Independente</x:v>
      </x:c>
      <x:c r="F900" s="166" t="str">
        <x:v>Banco Genial S.A.</x:v>
      </x:c>
      <x:c r="G900" s="166" t="str">
        <x:v>BANCO GENIAL S.A.</x:v>
      </x:c>
      <x:c r="H900" s="166" t="str">
        <x:v>Agro, Indústria e Comércio</x:v>
      </x:c>
      <x:c r="I900" s="166" t="str">
        <x:v>Recebíveis Comerciais</x:v>
      </x:c>
      <x:c r="J900" s="166" t="str">
        <x:v>CI</x:v>
      </x:c>
      <x:c r="K900" s="172" t="n">
        <x:v>7</x:v>
      </x:c>
      <x:c r="L900" s="185" t="str">
        <x:v>Não classificado</x:v>
      </x:c>
    </x:row>
    <x:row r="901">
      <x:c r="A901" s="175" t="str">
        <x:v>47.466.676/0001-39</x:v>
      </x:c>
      <x:c r="B901" s="166" t="str">
        <x:v>ARTESANAL CDC FUNDO DE INVESTIMENTO EM DIREITOS CREDITÓRIOS - RESPONSABILIDADE LIMITADA</x:v>
      </x:c>
      <x:c r="C901" s="188" t="n">
        <x:v>135481661.44</x:v>
      </x:c>
      <x:c r="D901" s="166" t="str">
        <x:v>ARTESANAL FINANCEIRO</x:v>
      </x:c>
      <x:c r="E901" s="166" t="str">
        <x:f>IFERROR(INDEX('Classif Gestoras'!$H$6:$H$462,MATCH(D901,'Classif Gestoras'!$A$6:$A$462,0)),"Não classificada")</x:f>
        <x:v>Independente</x:v>
      </x:c>
      <x:c r="F901" s="166" t="str">
        <x:v>Singulare</x:v>
      </x:c>
      <x:c r="G901" s="166" t="str">
        <x:v>QI CORRETORA DE TÍTULOS E VALORES MOBILIÁRIOS S.A.</x:v>
      </x:c>
      <x:c r="H901" s="166" t="str">
        <x:v>Outros</x:v>
      </x:c>
      <x:c r="I901" s="166" t="str">
        <x:v>Multicarteira Outros</x:v>
      </x:c>
      <x:c r="J901" s="166" t="str">
        <x:v>CI</x:v>
      </x:c>
      <x:c r="K901" s="172" t="n">
        <x:v>6</x:v>
      </x:c>
      <x:c r="L901" s="185" t="str">
        <x:v>Não classificado</x:v>
      </x:c>
    </x:row>
    <x:row r="902">
      <x:c r="A902" s="175" t="str">
        <x:v>51.401.568/0001-55</x:v>
      </x:c>
      <x:c r="B902" s="166" t="str">
        <x:v>BLUEFIN FUNDO DE INVESTIMENTO EM DIREITOS CREDITÓRIOS</x:v>
      </x:c>
      <x:c r="C902" s="188" t="n">
        <x:v>135468117.40000004</x:v>
      </x:c>
      <x:c r="D902" s="166" t="str">
        <x:v>Redwood Asset Management</x:v>
      </x:c>
      <x:c r="E902" s="166" t="str">
        <x:f>IFERROR(INDEX('Classif Gestoras'!$H$6:$H$462,MATCH(D902,'Classif Gestoras'!$A$6:$A$462,0)),"Não classificada")</x:f>
        <x:v>Independente</x:v>
      </x:c>
      <x:c r="F902" s="166" t="str">
        <x:v>PLANNER CV</x:v>
      </x:c>
      <x:c r="G902" s="166" t="str">
        <x:v>PLANNER CORRETORA DE VALORES S.A.</x:v>
      </x:c>
      <x:c r="H902" s="166" t="str">
        <x:v>Outros</x:v>
      </x:c>
      <x:c r="I902" s="166" t="str">
        <x:v>Multicarteira Outros</x:v>
      </x:c>
      <x:c r="J902" s="166" t="str">
        <x:v>CI</x:v>
      </x:c>
      <x:c r="K902" s="172" t="n">
        <x:v>8</x:v>
      </x:c>
      <x:c r="L902" s="185" t="str">
        <x:v>Não classificado</x:v>
      </x:c>
    </x:row>
    <x:row r="903">
      <x:c r="A903" s="175" t="str">
        <x:v>38.314.663/0001-53</x:v>
      </x:c>
      <x:c r="B903" s="166" t="str">
        <x:v>EMUNAH FUNDO DE INVESTIMENTO EM DIREITOS CREDITÓRIOS</x:v>
      </x:c>
      <x:c r="C903" s="188" t="n">
        <x:v>135364813.33999997</x:v>
      </x:c>
      <x:c r="D903" s="166" t="str">
        <x:v>M8 Partners</x:v>
      </x:c>
      <x:c r="E903" s="166" t="str">
        <x:f>IFERROR(INDEX('Classif Gestoras'!$H$6:$H$462,MATCH(D903,'Classif Gestoras'!$A$6:$A$462,0)),"Não classificada")</x:f>
        <x:v>Independente</x:v>
      </x:c>
      <x:c r="F903" s="166" t="str">
        <x:v>Singulare</x:v>
      </x:c>
      <x:c r="G903" s="166" t="str">
        <x:v>QI CORRETORA DE TÍTULOS E VALORES MOBILIÁRIOS S.A.</x:v>
      </x:c>
      <x:c r="H903" s="166" t="str">
        <x:v>Fomento Mercantil</x:v>
      </x:c>
      <x:c r="I903" s="166" t="str">
        <x:v>Fomento Mercantil</x:v>
      </x:c>
      <x:c r="J903" s="166" t="str">
        <x:v>CI</x:v>
      </x:c>
      <x:c r="K903" s="172" t="n">
        <x:v>43</x:v>
      </x:c>
      <x:c r="L903" s="185" t="str">
        <x:v>Não classificado</x:v>
      </x:c>
    </x:row>
    <x:row r="904">
      <x:c r="A904" s="175" t="str">
        <x:v>47.862.139/0001-08</x:v>
      </x:c>
      <x:c r="B904" s="166" t="str">
        <x:v>BLUE ROCKET FUNDO DE INVESTIMENTO EM DIREITOS CREDITÓRIOS</x:v>
      </x:c>
      <x:c r="C904" s="188" t="n">
        <x:v>135267353.99</x:v>
      </x:c>
      <x:c r="D904" s="166" t="str">
        <x:v>Catálise Investimentos</x:v>
      </x:c>
      <x:c r="E904" s="166" t="str">
        <x:f>IFERROR(INDEX('Classif Gestoras'!$H$6:$H$462,MATCH(D904,'Classif Gestoras'!$A$6:$A$462,0)),"Não classificada")</x:f>
        <x:v>Independente</x:v>
      </x:c>
      <x:c r="F904" s="166" t="str">
        <x:v>CATÁLISE DTVM</x:v>
      </x:c>
      <x:c r="G904" s="166" t="str">
        <x:v>BANCO DAYCOVAL S.A.</x:v>
      </x:c>
      <x:c r="H904" s="166" t="str">
        <x:v>Agro, Indústria e Comércio</x:v>
      </x:c>
      <x:c r="I904" s="166" t="str">
        <x:v>Multicarteira Agro, Indústria e Comércio</x:v>
      </x:c>
      <x:c r="J904" s="166" t="str">
        <x:v>CI</x:v>
      </x:c>
      <x:c r="K904" s="172" t="n">
        <x:v>2</x:v>
      </x:c>
      <x:c r="L904" s="185" t="str">
        <x:v>Não classificado</x:v>
      </x:c>
    </x:row>
    <x:row r="905">
      <x:c r="A905" s="175" t="str">
        <x:v>58.598.420/0001-00</x:v>
      </x:c>
      <x:c r="B905" s="166" t="str">
        <x:v>FUNDO DE INVESTIMENTO EM DIREITOS CREDITÓRIOS BZR IV</x:v>
      </x:c>
      <x:c r="C905" s="188" t="n">
        <x:v>134293033.57</x:v>
      </x:c>
      <x:c r="D905" s="166" t="str">
        <x:v>Vinci SPS Gestão de Recursos Ltda.</x:v>
      </x:c>
      <x:c r="E905" s="166" t="str">
        <x:f>IFERROR(INDEX('Classif Gestoras'!$H$6:$H$462,MATCH(D905,'Classif Gestoras'!$A$6:$A$462,0)),"Não classificada")</x:f>
        <x:v>Independente</x:v>
      </x:c>
      <x:c r="F905" s="166" t="str">
        <x:v>BANCO DAYCOVAL S/A</x:v>
      </x:c>
      <x:c r="G905" s="166" t="str">
        <x:v>BANCO DAYCOVAL S.A.</x:v>
      </x:c>
      <x:c r="H905" s="166" t="str">
        <x:v>Outros</x:v>
      </x:c>
      <x:c r="I905" s="166" t="str">
        <x:v>Multicarteira Outros</x:v>
      </x:c>
      <x:c r="J905" s="166" t="str">
        <x:v>CI</x:v>
      </x:c>
      <x:c r="K905" s="172" t="n">
        <x:v>2</x:v>
      </x:c>
      <x:c r="L905" s="185" t="str">
        <x:v>Não classificado</x:v>
      </x:c>
    </x:row>
    <x:row r="906">
      <x:c r="A906" s="175" t="str">
        <x:v>51.869.340/0001-94</x:v>
      </x:c>
      <x:c r="B906" s="166" t="str">
        <x:v>VFA CONSIGNADO FUNDO DE INVESTIMENTO EM DIREITOS CREDITÓRIOS</x:v>
      </x:c>
      <x:c r="C906" s="188" t="n">
        <x:v>133580548.03</x:v>
      </x:c>
      <x:c r="D906" s="166" t="str">
        <x:v>Vinci Gestora de Recursos LTDA</x:v>
      </x:c>
      <x:c r="E906" s="166" t="str">
        <x:f>IFERROR(INDEX('Classif Gestoras'!$H$6:$H$462,MATCH(D906,'Classif Gestoras'!$A$6:$A$462,0)),"Não classificada")</x:f>
        <x:v>Independente</x:v>
      </x:c>
      <x:c r="F906" s="166" t="str">
        <x:v>VÓRTX DTVM</x:v>
      </x:c>
      <x:c r="G906" s="166" t="str">
        <x:v>VORTX DISTRIBUIDORA DE TITULOS E VALORES MOBILIARIOS LTDA.</x:v>
      </x:c>
      <x:c r="H906" s="166" t="str">
        <x:v>Financeiro</x:v>
      </x:c>
      <x:c r="I906" s="166" t="str">
        <x:v>Crédito Consignado</x:v>
      </x:c>
      <x:c r="J906" s="166" t="str">
        <x:v>CI</x:v>
      </x:c>
      <x:c r="K906" s="172" t="n">
        <x:v>52</x:v>
      </x:c>
      <x:c r="L906" s="185" t="str">
        <x:v>Não classificado</x:v>
      </x:c>
    </x:row>
    <x:row r="907">
      <x:c r="A907" s="175" t="str">
        <x:v>34.736.673/0001-26</x:v>
      </x:c>
      <x:c r="B907" s="166" t="str">
        <x:v>BW GSS FUNDO DE INVESTIMENTO EM DIREITOS CREDITÓRIOS RESPONSABILIDADE LIMITADA</x:v>
      </x:c>
      <x:c r="C907" s="188" t="n">
        <x:v>133561119.55</x:v>
      </x:c>
      <x:c r="D907" s="166" t="str">
        <x:v>BW Gestão de Investimentos Ltd</x:v>
      </x:c>
      <x:c r="E907" s="166" t="str">
        <x:f>IFERROR(INDEX('Classif Gestoras'!$H$6:$H$462,MATCH(D907,'Classif Gestoras'!$A$6:$A$462,0)),"Não classificada")</x:f>
        <x:v>Independente</x:v>
      </x:c>
      <x:c r="F907" s="166" t="str">
        <x:v>LIONS DTVM</x:v>
      </x:c>
      <x:c r="G907" s="166" t="str">
        <x:v>LIONS TRUST DISTRIBUIDORA DE TÍTULOS E VALORES MOBILIÁRIOS LTDA.</x:v>
      </x:c>
      <x:c r="H907" s="166" t="str">
        <x:v>Outros</x:v>
      </x:c>
      <x:c r="I907" s="166" t="str">
        <x:v>Multicarteira Outros</x:v>
      </x:c>
      <x:c r="J907" s="166" t="str">
        <x:v>CI</x:v>
      </x:c>
      <x:c r="K907" s="172" t="n">
        <x:v>1</x:v>
      </x:c>
      <x:c r="L907" s="185" t="str">
        <x:v>Não classificado</x:v>
      </x:c>
    </x:row>
    <x:row r="908">
      <x:c r="A908" s="175" t="str">
        <x:v>61.709.339/0001-56</x:v>
      </x:c>
      <x:c r="B908" s="166" t="str">
        <x:v>FIDC MDR II HIGH GRADE RECEBÍVEIS DE CREDENCIADORAS RESPONSABILIDADE LIMITADA</x:v>
      </x:c>
      <x:c r="C908" s="188" t="n">
        <x:v>133412452.56</x:v>
      </x:c>
      <x:c r="D908" s="166" t="str">
        <x:v>ORIZ ASSET MANAGEMENT LTDA.</x:v>
      </x:c>
      <x:c r="E908" s="166" t="str">
        <x:f>IFERROR(INDEX('Classif Gestoras'!$H$6:$H$462,MATCH(D908,'Classif Gestoras'!$A$6:$A$462,0)),"Não classificada")</x:f>
        <x:v>Independente</x:v>
      </x:c>
      <x:c r="F908" s="166" t="str">
        <x:v>INTRAG DIST. DE TÍTU</x:v>
      </x:c>
      <x:c r="G908" s="166" t="str">
        <x:v>LIMINE TRUST DISTRIBUIDORA DE TITULOS E VALORES MOBILIARIOS LTDA.</x:v>
      </x:c>
      <x:c r="H908" s="166" t="str">
        <x:v>Agro, Indústria e Comércio</x:v>
      </x:c>
      <x:c r="I908" s="166" t="str">
        <x:v>Recebíveis Comerciais</x:v>
      </x:c>
      <x:c r="J908" s="166" t="str">
        <x:v>CI</x:v>
      </x:c>
      <x:c r="K908" s="172" t="n">
        <x:v>9</x:v>
      </x:c>
      <x:c r="L908" s="185" t="str">
        <x:v>Não classificado</x:v>
      </x:c>
    </x:row>
    <x:row r="909">
      <x:c r="A909" s="175" t="str">
        <x:v>56.745.955/0001-22</x:v>
      </x:c>
      <x:c r="B909" s="166" t="str">
        <x:v>SYNERGIE HRV FIDC DE RESPONSABILIDADE LIMITADA DOS SEGMENTOS COMERCIAL, FINANCEIRO E INDUSTRIAL</x:v>
      </x:c>
      <x:c r="C909" s="188" t="n">
        <x:v>132374443.32</x:v>
      </x:c>
      <x:c r="D909" s="166" t="str">
        <x:v>Plural Investimentos Gestão de Recursos Ltda.</x:v>
      </x:c>
      <x:c r="E909" s="166" t="str">
        <x:f>IFERROR(INDEX('Classif Gestoras'!$H$6:$H$462,MATCH(D909,'Classif Gestoras'!$A$6:$A$462,0)),"Não classificada")</x:f>
        <x:v>Ligada a banco</x:v>
      </x:c>
      <x:c r="F909" s="166" t="str">
        <x:v>Banco Genial S.A.</x:v>
      </x:c>
      <x:c r="G909" s="166" t="str">
        <x:v>BANCO GENIAL S.A.</x:v>
      </x:c>
      <x:c r="H909" s="166" t="str">
        <x:v>Agro, Indústria e Comércio</x:v>
      </x:c>
      <x:c r="I909" s="166" t="str">
        <x:v>Multicarteira Agro, Indústria e Comércio</x:v>
      </x:c>
      <x:c r="J909" s="166" t="str">
        <x:v>CI</x:v>
      </x:c>
      <x:c r="K909" s="172" t="n">
        <x:v>1</x:v>
      </x:c>
      <x:c r="L909" s="185" t="str">
        <x:v>Não classificado</x:v>
      </x:c>
    </x:row>
    <x:row r="910">
      <x:c r="A910" s="175" t="str">
        <x:v>32.388.130/0001-30</x:v>
      </x:c>
      <x:c r="B910" s="166" t="str">
        <x:v>PCS II BT FUNDO DE INVESTIMENTO EM DIREITOS CREDITÓRIOS NÃOPADRONIZADOS</x:v>
      </x:c>
      <x:c r="C910" s="188" t="n">
        <x:v>132324371.62</x:v>
      </x:c>
      <x:c r="D910" s="166" t="str">
        <x:v>Prisma Claims Ltda.</x:v>
      </x:c>
      <x:c r="E910" s="166" t="str">
        <x:f>IFERROR(INDEX('Classif Gestoras'!$H$6:$H$462,MATCH(D910,'Classif Gestoras'!$A$6:$A$462,0)),"Não classificada")</x:f>
        <x:v>Independente</x:v>
      </x:c>
      <x:c r="F910" s="166" t="str">
        <x:v>Singulare</x:v>
      </x:c>
      <x:c r="G910" s="166" t="str">
        <x:v>QI CORRETORA DE TÍTULOS E VALORES MOBILIÁRIOS S.A.</x:v>
      </x:c>
      <x:c r="H910" s="166" t="str">
        <x:v>Outros</x:v>
      </x:c>
      <x:c r="I910" s="166" t="str">
        <x:v>Multicarteira Outros</x:v>
      </x:c>
      <x:c r="J910" s="166" t="str">
        <x:v>CIPC</x:v>
      </x:c>
      <x:c r="K910" s="172" t="n">
        <x:v>2</x:v>
      </x:c>
      <x:c r="L910" s="185" t="str">
        <x:v>Não classificado</x:v>
      </x:c>
    </x:row>
    <x:row r="911">
      <x:c r="A911" s="175" t="str">
        <x:v>44.173.493/0001-37</x:v>
      </x:c>
      <x:c r="B911" s="166" t="str">
        <x:v>EXES SPECIAL OPPORTUNITIES FUNDO DE INVESTIMENTO EM DIREITOS CREDITÓRIOS</x:v>
      </x:c>
      <x:c r="C911" s="188" t="n">
        <x:v>132000271.56</x:v>
      </x:c>
      <x:c r="D911" s="166" t="str">
        <x:v>Éxes</x:v>
      </x:c>
      <x:c r="E911" s="166" t="str">
        <x:f>IFERROR(INDEX('Classif Gestoras'!$H$6:$H$462,MATCH(D911,'Classif Gestoras'!$A$6:$A$462,0)),"Não classificada")</x:f>
        <x:v>Independente</x:v>
      </x:c>
      <x:c r="F911" s="166" t="str">
        <x:v>BTG Pactual Servicos Financeiros S/A DTVM</x:v>
      </x:c>
      <x:c r="G911" s="166" t="str">
        <x:v>BANCO BTG PACTUAL S/A</x:v>
      </x:c>
      <x:c r="H911" s="166" t="str">
        <x:v>Outros</x:v>
      </x:c>
      <x:c r="I911" s="166" t="str">
        <x:v>Multicarteira Outros</x:v>
      </x:c>
      <x:c r="J911" s="166" t="str">
        <x:v>CI</x:v>
      </x:c>
      <x:c r="K911" s="172" t="n">
        <x:v>34</x:v>
      </x:c>
      <x:c r="L911" s="185" t="str">
        <x:v>Não classificado</x:v>
      </x:c>
    </x:row>
    <x:row r="912">
      <x:c r="A912" s="175" t="str">
        <x:v>58.291.962/0001-27</x:v>
      </x:c>
      <x:c r="B912" s="166" t="str">
        <x:v>CNPJ 58291962000127</x:v>
      </x:c>
      <x:c r="C912" s="188" t="n">
        <x:v>131483131.9</x:v>
      </x:c>
      <x:c r="D912" s="166" t="str">
        <x:v>OPEA GESTORA DE RECURSOS</x:v>
      </x:c>
      <x:c r="E912" s="166" t="str">
        <x:f>IFERROR(INDEX('Classif Gestoras'!$H$6:$H$462,MATCH(D912,'Classif Gestoras'!$A$6:$A$462,0)),"Não classificada")</x:f>
        <x:v>Independente</x:v>
      </x:c>
      <x:c r="F912" s="166" t="str">
        <x:v>VÓRTX DTVM</x:v>
      </x:c>
      <x:c r="G912" s="166" t="str">
        <x:v>Não identificado</x:v>
      </x:c>
      <x:c r="H912" s="166" t="str">
        <x:v>Agro, Indústria e Comércio</x:v>
      </x:c>
      <x:c r="I912" s="166" t="str">
        <x:v>Multicarteira Agro, Indústria e Comércio</x:v>
      </x:c>
      <x:c r="J912" s="166" t="str">
        <x:v>CI</x:v>
      </x:c>
      <x:c r="K912" s="172"/>
      <x:c r="L912" s="185" t="str">
        <x:v>Não classificado</x:v>
      </x:c>
    </x:row>
    <x:row r="913">
      <x:c r="A913" s="175" t="str">
        <x:v>54.443.741/0001-76</x:v>
      </x:c>
      <x:c r="B913" s="166" t="str">
        <x:v>GARE FUNDO DE INVESTIMENTO EM DIREITOS CREDITÓRIOS</x:v>
      </x:c>
      <x:c r="C913" s="188" t="n">
        <x:v>131467994.97393</x:v>
      </x:c>
      <x:c r="D913" s="166" t="str">
        <x:v>ORRAM GESTÃO DE RECURSOS LTDA.</x:v>
      </x:c>
      <x:c r="E913" s="166" t="str">
        <x:f>IFERROR(INDEX('Classif Gestoras'!$H$6:$H$462,MATCH(D913,'Classif Gestoras'!$A$6:$A$462,0)),"Não classificada")</x:f>
        <x:v>Independente</x:v>
      </x:c>
      <x:c r="F913" s="166" t="str">
        <x:v>Singulare</x:v>
      </x:c>
      <x:c r="G913" s="166" t="str">
        <x:v>QI CORRETORA DE TÍTULOS E VALORES MOBILIÁRIOS S.A.</x:v>
      </x:c>
      <x:c r="H913" s="166" t="str">
        <x:v>Outros</x:v>
      </x:c>
      <x:c r="I913" s="166" t="str">
        <x:v>Multicarteira Outros</x:v>
      </x:c>
      <x:c r="J913" s="166" t="str">
        <x:v>CI</x:v>
      </x:c>
      <x:c r="K913" s="172" t="n">
        <x:v>9</x:v>
      </x:c>
      <x:c r="L913" s="185" t="str">
        <x:v>Não classificado</x:v>
      </x:c>
    </x:row>
    <x:row r="914">
      <x:c r="A914" s="175" t="str">
        <x:v>59.286.643/0001-96</x:v>
      </x:c>
      <x:c r="B914" s="166" t="str">
        <x:v>G5 FUNDO DE INVESTIMENTO EM DIREITOS CREDITÓRIOS TG</x:v>
      </x:c>
      <x:c r="C914" s="188" t="n">
        <x:v>130862163.06000002</x:v>
      </x:c>
      <x:c r="D914" s="166" t="str">
        <x:v>G5 Adm. de Recursos</x:v>
      </x:c>
      <x:c r="E914" s="166" t="str">
        <x:f>IFERROR(INDEX('Classif Gestoras'!$H$6:$H$462,MATCH(D914,'Classif Gestoras'!$A$6:$A$462,0)),"Não classificada")</x:f>
        <x:v>Independente</x:v>
      </x:c>
      <x:c r="F914" s="166" t="str">
        <x:v>BTG Pactual Servicos Financeiros S/A DTVM</x:v>
      </x:c>
      <x:c r="G914" s="166" t="str">
        <x:v>BANCO BTG PACTUAL S/A</x:v>
      </x:c>
      <x:c r="H914" s="166" t="str">
        <x:v>Outros</x:v>
      </x:c>
      <x:c r="I914" s="166" t="str">
        <x:v>Multicarteira Outros</x:v>
      </x:c>
      <x:c r="J914" s="166" t="str">
        <x:v>CI</x:v>
      </x:c>
      <x:c r="K914" s="172" t="n">
        <x:v>15</x:v>
      </x:c>
      <x:c r="L914" s="185" t="str">
        <x:v>Não classificado</x:v>
      </x:c>
    </x:row>
    <x:row r="915">
      <x:c r="A915" s="175" t="str">
        <x:v>44.395.252/0001-32</x:v>
      </x:c>
      <x:c r="B915" s="166" t="str">
        <x:v>B2CYCLE FUNDO DE INVESTIMENTO EM DIREITOS CREDITÓRIOS RESPONSABILIDADE LIMITADA</x:v>
      </x:c>
      <x:c r="C915" s="188" t="n">
        <x:v>130710920.2</x:v>
      </x:c>
      <x:c r="D915" s="166" t="str">
        <x:v>Itau Unibanco</x:v>
      </x:c>
      <x:c r="E915" s="166" t="str">
        <x:f>IFERROR(INDEX('Classif Gestoras'!$H$6:$H$462,MATCH(D915,'Classif Gestoras'!$A$6:$A$462,0)),"Não classificada")</x:f>
        <x:v>Ligada a banco</x:v>
      </x:c>
      <x:c r="F915" s="166" t="str">
        <x:v>INTRAG DIST. DE TÍTU</x:v>
      </x:c>
      <x:c r="G915" s="166" t="str">
        <x:v>ITAU UNIBANCO S.A.</x:v>
      </x:c>
      <x:c r="H915" s="166" t="str">
        <x:v>Outros</x:v>
      </x:c>
      <x:c r="I915" s="166" t="str">
        <x:v>Multicarteira Outros</x:v>
      </x:c>
      <x:c r="J915" s="166" t="str">
        <x:v>CI</x:v>
      </x:c>
      <x:c r="K915" s="172" t="n">
        <x:v>1</x:v>
      </x:c>
      <x:c r="L915" s="185" t="str">
        <x:v>Não classificado</x:v>
      </x:c>
    </x:row>
    <x:row r="916">
      <x:c r="A916" s="175" t="str">
        <x:v>26.690.689/0001-17</x:v>
      </x:c>
      <x:c r="B916" s="166" t="str">
        <x:v>CONTINENTALBANCO FUNDO DE INVESTIMENTO EM DIREITOS CREDITORIOS</x:v>
      </x:c>
      <x:c r="C916" s="188" t="n">
        <x:v>130613841.95</x:v>
      </x:c>
      <x:c r="D916" s="166" t="str">
        <x:v>MAKENA GESTORA DE RECURSOS LTDA.</x:v>
      </x:c>
      <x:c r="E916" s="166" t="str">
        <x:f>IFERROR(INDEX('Classif Gestoras'!$H$6:$H$462,MATCH(D916,'Classif Gestoras'!$A$6:$A$462,0)),"Não classificada")</x:f>
        <x:v>Independente</x:v>
      </x:c>
      <x:c r="F916" s="166" t="str">
        <x:v>Singulare</x:v>
      </x:c>
      <x:c r="G916" s="166" t="str">
        <x:v>QI CORRETORA DE TÍTULOS E VALORES MOBILIÁRIOS S.A.</x:v>
      </x:c>
      <x:c r="H916" s="166" t="str">
        <x:v>Outros</x:v>
      </x:c>
      <x:c r="I916" s="166" t="str">
        <x:v>Multicarteira Outros</x:v>
      </x:c>
      <x:c r="J916" s="166" t="str">
        <x:v>CI</x:v>
      </x:c>
      <x:c r="K916" s="172" t="n">
        <x:v>2</x:v>
      </x:c>
      <x:c r="L916" s="185" t="str">
        <x:v>Não classificado</x:v>
      </x:c>
    </x:row>
    <x:row r="917">
      <x:c r="A917" s="175" t="str">
        <x:v>54.680.998/0001-41</x:v>
      </x:c>
      <x:c r="B917" s="166" t="str">
        <x:v>MONTESE FUNDO DE INVESTIMENTO EM DIREITOS CREDITÓRIOS</x:v>
      </x:c>
      <x:c r="C917" s="188" t="n">
        <x:v>130598812.67</x:v>
      </x:c>
      <x:c r="D917" s="166" t="str">
        <x:v>MONTE BRAVO FAMILY OFFICE</x:v>
      </x:c>
      <x:c r="E917" s="166" t="str">
        <x:f>IFERROR(INDEX('Classif Gestoras'!$H$6:$H$462,MATCH(D917,'Classif Gestoras'!$A$6:$A$462,0)),"Não classificada")</x:f>
        <x:v>Independente</x:v>
      </x:c>
      <x:c r="F917" s="166" t="str">
        <x:v>BTG Pactual Servicos Financeiros S/A DTVM</x:v>
      </x:c>
      <x:c r="G917" s="166" t="str">
        <x:v>BANCO BTG PACTUAL S/A</x:v>
      </x:c>
      <x:c r="H917" s="166" t="str">
        <x:v>Outros</x:v>
      </x:c>
      <x:c r="I917" s="166" t="str">
        <x:v>Multicarteira Outros</x:v>
      </x:c>
      <x:c r="J917" s="166" t="str">
        <x:v>CI</x:v>
      </x:c>
      <x:c r="K917" s="172" t="n">
        <x:v>1</x:v>
      </x:c>
      <x:c r="L917" s="185" t="str">
        <x:v>Não classificado</x:v>
      </x:c>
    </x:row>
    <x:row r="918">
      <x:c r="A918" s="175" t="str">
        <x:v>59.258.058/0001-82</x:v>
      </x:c>
      <x:c r="B918" s="166" t="str">
        <x:v>AUDAX LION FUNDO DE INVESTIMENTO EM DIREITOS CREDITÓRIOS</x:v>
      </x:c>
      <x:c r="C918" s="188" t="n">
        <x:v>130207464.79000002</x:v>
      </x:c>
      <x:c r="D918" s="166" t="str">
        <x:v>TERCON ASSET MANAGEMENT</x:v>
      </x:c>
      <x:c r="E918" s="166" t="str">
        <x:f>IFERROR(INDEX('Classif Gestoras'!$H$6:$H$462,MATCH(D918,'Classif Gestoras'!$A$6:$A$462,0)),"Não classificada")</x:f>
        <x:v>Independente</x:v>
      </x:c>
      <x:c r="F918" s="166" t="str">
        <x:v>Singulare</x:v>
      </x:c>
      <x:c r="G918" s="166" t="str">
        <x:v>QI CORRETORA DE TÍTULOS E VALORES MOBILIÁRIOS S.A.</x:v>
      </x:c>
      <x:c r="H918" s="166" t="str">
        <x:v>Fomento Mercantil</x:v>
      </x:c>
      <x:c r="I918" s="166" t="str">
        <x:v>Fomento Mercantil</x:v>
      </x:c>
      <x:c r="J918" s="166" t="str">
        <x:v>CI</x:v>
      </x:c>
      <x:c r="K918" s="172" t="n">
        <x:v>63</x:v>
      </x:c>
      <x:c r="L918" s="185" t="str">
        <x:v>Não classificado</x:v>
      </x:c>
    </x:row>
    <x:row r="919">
      <x:c r="A919" s="175" t="str">
        <x:v>29.970.181/0001-60</x:v>
      </x:c>
      <x:c r="B919" s="166" t="str">
        <x:v>LINK BANK FUNDO DE INVESTIMENTO EM DIREITOS CREDITORIOS NÃO PADRONIZADOS</x:v>
      </x:c>
      <x:c r="C919" s="188" t="n">
        <x:v>130069773.73</x:v>
      </x:c>
      <x:c r="D919" s="166" t="str">
        <x:v>TERCON ASSET MANAGEMENT</x:v>
      </x:c>
      <x:c r="E919" s="166" t="str">
        <x:f>IFERROR(INDEX('Classif Gestoras'!$H$6:$H$462,MATCH(D919,'Classif Gestoras'!$A$6:$A$462,0)),"Não classificada")</x:f>
        <x:v>Independente</x:v>
      </x:c>
      <x:c r="F919" s="166" t="str">
        <x:v>Singulare</x:v>
      </x:c>
      <x:c r="G919" s="166" t="str">
        <x:v>QI CORRETORA DE TÍTULOS E VALORES MOBILIÁRIOS S.A.</x:v>
      </x:c>
      <x:c r="H919" s="166" t="str">
        <x:v>Fomento Mercantil</x:v>
      </x:c>
      <x:c r="I919" s="166" t="str">
        <x:v>Fomento Mercantil</x:v>
      </x:c>
      <x:c r="J919" s="166" t="str">
        <x:v>CI</x:v>
      </x:c>
      <x:c r="K919" s="172" t="n">
        <x:v>2</x:v>
      </x:c>
      <x:c r="L919" s="185" t="str">
        <x:v>Não classificado</x:v>
      </x:c>
    </x:row>
    <x:row r="920">
      <x:c r="A920" s="175" t="str">
        <x:v>53.872.780/0001-26</x:v>
      </x:c>
      <x:c r="B920" s="166" t="str">
        <x:v>PENÍNSULA AZUL FUNDO DE INVESTIMENTO EM DIREITOS CREDITÓRIOS</x:v>
      </x:c>
      <x:c r="C920" s="188" t="n">
        <x:v>128857107.81</x:v>
      </x:c>
      <x:c r="D920" s="166" t="str">
        <x:v>Multiplica Capital</x:v>
      </x:c>
      <x:c r="E920" s="166" t="str">
        <x:f>IFERROR(INDEX('Classif Gestoras'!$H$6:$H$462,MATCH(D920,'Classif Gestoras'!$A$6:$A$462,0)),"Não classificada")</x:f>
        <x:v>Independente</x:v>
      </x:c>
      <x:c r="F920" s="166" t="str">
        <x:v>PLANNER CV</x:v>
      </x:c>
      <x:c r="G920" s="166" t="str">
        <x:v>PLANNER CORRETORA DE VALORES S.A.</x:v>
      </x:c>
      <x:c r="H920" s="166" t="str">
        <x:v>Outros</x:v>
      </x:c>
      <x:c r="I920" s="166" t="str">
        <x:v>Multicarteira Outros</x:v>
      </x:c>
      <x:c r="J920" s="166" t="str">
        <x:v>CI</x:v>
      </x:c>
      <x:c r="K920" s="172" t="n">
        <x:v>1</x:v>
      </x:c>
      <x:c r="L920" s="185" t="str">
        <x:v>Não classificado</x:v>
      </x:c>
    </x:row>
    <x:row r="921">
      <x:c r="A921" s="175" t="str">
        <x:v>62.543.465/0001-46</x:v>
      </x:c>
      <x:c r="B921" s="166" t="str">
        <x:v>PERNAMBUCANAS FORNECEDORES FUNDO DE INVESTIMENTO EM DIREITOS CREDITÓRIOS COMERCIAIS DE RESP LIMITADA</x:v>
      </x:c>
      <x:c r="C921" s="188" t="n">
        <x:v>128830010.55</x:v>
      </x:c>
      <x:c r="D921" s="166" t="str">
        <x:v>Catálise Investimentos</x:v>
      </x:c>
      <x:c r="E921" s="166" t="str">
        <x:f>IFERROR(INDEX('Classif Gestoras'!$H$6:$H$462,MATCH(D921,'Classif Gestoras'!$A$6:$A$462,0)),"Não classificada")</x:f>
        <x:v>Independente</x:v>
      </x:c>
      <x:c r="F921" s="166" t="str">
        <x:v>BANCO DAYCOVAL S/A</x:v>
      </x:c>
      <x:c r="G921" s="166" t="str">
        <x:v>BANCO DAYCOVAL S.A.</x:v>
      </x:c>
      <x:c r="H921" s="166" t="str">
        <x:v>Agro, Indústria e Comércio</x:v>
      </x:c>
      <x:c r="I921" s="166" t="str">
        <x:v>Recebíveis Comerciais</x:v>
      </x:c>
      <x:c r="J921" s="166" t="str">
        <x:v>CI</x:v>
      </x:c>
      <x:c r="K921" s="172" t="n">
        <x:v>21</x:v>
      </x:c>
      <x:c r="L921" s="185" t="str">
        <x:v>Não classificado</x:v>
      </x:c>
    </x:row>
    <x:row r="922">
      <x:c r="A922" s="175" t="str">
        <x:v>58.829.200/0001-31</x:v>
      </x:c>
      <x:c r="B922" s="166" t="str">
        <x:v>VOX FUNDO DE INVESTIMENTO EM DIREITOS CREDITÓRIOS - RESPONSABILIDADE LIMITADA</x:v>
      </x:c>
      <x:c r="C922" s="188" t="n">
        <x:v>128219196.84504</x:v>
      </x:c>
      <x:c r="D922" s="166" t="str">
        <x:v>H2 CAPITAL</x:v>
      </x:c>
      <x:c r="E922" s="166" t="str">
        <x:f>IFERROR(INDEX('Classif Gestoras'!$H$6:$H$462,MATCH(D922,'Classif Gestoras'!$A$6:$A$462,0)),"Não classificada")</x:f>
        <x:v>Independente</x:v>
      </x:c>
      <x:c r="F922" s="166" t="str">
        <x:v>Singulare</x:v>
      </x:c>
      <x:c r="G922" s="166" t="str">
        <x:v>QI CORRETORA DE TÍTULOS E VALORES MOBILIÁRIOS S.A.</x:v>
      </x:c>
      <x:c r="H922" s="166" t="str">
        <x:v>Outros</x:v>
      </x:c>
      <x:c r="I922" s="166" t="str">
        <x:v>Multicarteira Outros</x:v>
      </x:c>
      <x:c r="J922" s="166" t="str">
        <x:v>CI</x:v>
      </x:c>
      <x:c r="K922" s="172" t="n">
        <x:v>6</x:v>
      </x:c>
      <x:c r="L922" s="185" t="str">
        <x:v>Não classificado</x:v>
      </x:c>
    </x:row>
    <x:row r="923">
      <x:c r="A923" s="175" t="str">
        <x:v>29.236.426/0001-20</x:v>
      </x:c>
      <x:c r="B923" s="166" t="str">
        <x:v>SIGMA CREDIT FUNDO DE INVESTIMENTO EM DIREITOS CREDITORIOS</x:v>
      </x:c>
      <x:c r="C923" s="188" t="n">
        <x:v>128011672.46000002</x:v>
      </x:c>
      <x:c r="D923" s="166" t="str">
        <x:v>M8 Partners</x:v>
      </x:c>
      <x:c r="E923" s="166" t="str">
        <x:f>IFERROR(INDEX('Classif Gestoras'!$H$6:$H$462,MATCH(D923,'Classif Gestoras'!$A$6:$A$462,0)),"Não classificada")</x:f>
        <x:v>Independente</x:v>
      </x:c>
      <x:c r="F923" s="166" t="str">
        <x:v>Singulare</x:v>
      </x:c>
      <x:c r="G923" s="166" t="str">
        <x:v>QI CORRETORA DE TÍTULOS E VALORES MOBILIÁRIOS S.A.</x:v>
      </x:c>
      <x:c r="H923" s="166" t="str">
        <x:v>Fomento Mercantil</x:v>
      </x:c>
      <x:c r="I923" s="166" t="str">
        <x:v>Fomento Mercantil</x:v>
      </x:c>
      <x:c r="J923" s="166" t="str">
        <x:v>CI</x:v>
      </x:c>
      <x:c r="K923" s="172" t="n">
        <x:v>54</x:v>
      </x:c>
      <x:c r="L923" s="185" t="str">
        <x:v>Não classificado</x:v>
      </x:c>
    </x:row>
    <x:row r="924">
      <x:c r="A924" s="175" t="str">
        <x:v>26.758.072/0001-96</x:v>
      </x:c>
      <x:c r="B924" s="166" t="str">
        <x:v>FUNDO DE INVESTIMENTO EM DIREITOS CREDITÓRIOS EMPÍRICA NOVERDE CRÉDITO PESSOAL</x:v>
      </x:c>
      <x:c r="C924" s="188" t="n">
        <x:v>127900282.9</x:v>
      </x:c>
      <x:c r="D924" s="166" t="str">
        <x:v>REAG GESTÃO DE CRÉDITO</x:v>
      </x:c>
      <x:c r="E924" s="166" t="str">
        <x:f>IFERROR(INDEX('Classif Gestoras'!$H$6:$H$462,MATCH(D924,'Classif Gestoras'!$A$6:$A$462,0)),"Não classificada")</x:f>
        <x:v>Independente</x:v>
      </x:c>
      <x:c r="F924" s="166" t="str">
        <x:v>Banvox DTVM</x:v>
      </x:c>
      <x:c r="G924" s="166" t="str">
        <x:v>BANVOX DISTRIBUIDORA DE TITULOS E VALORES MOBILIARIOS LTDA</x:v>
      </x:c>
      <x:c r="H924" s="166" t="str">
        <x:v>Financeiro</x:v>
      </x:c>
      <x:c r="I924" s="166" t="str">
        <x:v>Crédito Pessoal</x:v>
      </x:c>
      <x:c r="J924" s="166" t="str">
        <x:v>CI</x:v>
      </x:c>
      <x:c r="K924" s="172" t="n">
        <x:v>8</x:v>
      </x:c>
      <x:c r="L924" s="185" t="str">
        <x:v>Não classificado</x:v>
      </x:c>
    </x:row>
    <x:row r="925">
      <x:c r="A925" s="175" t="str">
        <x:v>55.653.447/0001-51</x:v>
      </x:c>
      <x:c r="B925" s="166" t="str">
        <x:v>TUNE FUNDO DE INVESTIMENTO EM DIREITOS CREDITÓRIOS RESPONSABILIDADE LIMITADA</x:v>
      </x:c>
      <x:c r="C925" s="188" t="n">
        <x:v>127607665.77</x:v>
      </x:c>
      <x:c r="D925" s="166" t="str">
        <x:v>FIDD Administração de Recursos Ltda.</x:v>
      </x:c>
      <x:c r="E925" s="166" t="str">
        <x:f>IFERROR(INDEX('Classif Gestoras'!$H$6:$H$462,MATCH(D925,'Classif Gestoras'!$A$6:$A$462,0)),"Não classificada")</x:f>
        <x:v>Independente</x:v>
      </x:c>
      <x:c r="F925" s="166" t="str">
        <x:v>FIDD DISTRIBUIDORA DE TITULOS E VALORES MOBILIARIOS LTD</x:v>
      </x:c>
      <x:c r="G925" s="166" t="str">
        <x:v>FIDD DISTRIBUIDORA DE TITULOS E VALORES MOBILIARIOS LTDA.</x:v>
      </x:c>
      <x:c r="H925" s="166" t="str">
        <x:v>Outros</x:v>
      </x:c>
      <x:c r="I925" s="166" t="str">
        <x:v>Multicarteira Outros</x:v>
      </x:c>
      <x:c r="J925" s="166" t="str">
        <x:v>CI</x:v>
      </x:c>
      <x:c r="K925" s="172" t="n">
        <x:v>1</x:v>
      </x:c>
      <x:c r="L925" s="185" t="str">
        <x:v>Não classificado</x:v>
      </x:c>
    </x:row>
    <x:row r="926">
      <x:c r="A926" s="175" t="str">
        <x:v>50.589.310/0001-61</x:v>
      </x:c>
      <x:c r="B926" s="166" t="str">
        <x:v>SUSTINERI GERMINARE FUNDO DE INVESTIMENTO EM DIREITOS CREDITÓRIOS NÃO-PADRONIZADOS</x:v>
      </x:c>
      <x:c r="C926" s="188" t="n">
        <x:v>127531903.46</x:v>
      </x:c>
      <x:c r="D926" s="166" t="str">
        <x:v>ALTINVEST</x:v>
      </x:c>
      <x:c r="E926" s="166" t="str">
        <x:f>IFERROR(INDEX('Classif Gestoras'!$H$6:$H$462,MATCH(D926,'Classif Gestoras'!$A$6:$A$462,0)),"Não classificada")</x:f>
        <x:v>Independente</x:v>
      </x:c>
      <x:c r="F926" s="166" t="str">
        <x:v>AZUMI DISTRIBUIDORA DE TÍTULOS E VALORES MOBILIÁRIOS LT</x:v>
      </x:c>
      <x:c r="G926" s="166" t="str">
        <x:v>TERRA INVESTIMENTOS DISTRIBUIDORA DE TITULOS E VALORES MOBILIARIOS LTDA</x:v>
      </x:c>
      <x:c r="H926" s="166" t="str">
        <x:v>Outros</x:v>
      </x:c>
      <x:c r="I926" s="166" t="str">
        <x:v>Multicarteira Outros</x:v>
      </x:c>
      <x:c r="J926" s="166" t="str">
        <x:v>CI</x:v>
      </x:c>
      <x:c r="K926" s="172" t="n">
        <x:v>2</x:v>
      </x:c>
      <x:c r="L926" s="185" t="str">
        <x:v>Não classificado</x:v>
      </x:c>
    </x:row>
    <x:row r="927">
      <x:c r="A927" s="175" t="str">
        <x:v>40.226.200/0001-81</x:v>
      </x:c>
      <x:c r="B927" s="166" t="str">
        <x:v>BARU FUNDO DE INVESTIMENTO EM DIREITOS CREDITÓRIOS RESPONSABILIDADE LIMITADA</x:v>
      </x:c>
      <x:c r="C927" s="188" t="n">
        <x:v>127501871.17999998</x:v>
      </x:c>
      <x:c r="D927" s="166" t="str">
        <x:v>Harbour Capital</x:v>
      </x:c>
      <x:c r="E927" s="166" t="str">
        <x:f>IFERROR(INDEX('Classif Gestoras'!$H$6:$H$462,MATCH(D927,'Classif Gestoras'!$A$6:$A$462,0)),"Não classificada")</x:f>
        <x:v>Independente</x:v>
      </x:c>
      <x:c r="F927" s="166" t="str">
        <x:v>Singulare</x:v>
      </x:c>
      <x:c r="G927" s="166" t="str">
        <x:v>QI CORRETORA DE TÍTULOS E VALORES MOBILIÁRIOS S.A.</x:v>
      </x:c>
      <x:c r="H927" s="166" t="str">
        <x:v>Fomento Mercantil</x:v>
      </x:c>
      <x:c r="I927" s="166" t="str">
        <x:v>Fomento Mercantil</x:v>
      </x:c>
      <x:c r="J927" s="166" t="str">
        <x:v>CI</x:v>
      </x:c>
      <x:c r="K927" s="172" t="n">
        <x:v>42</x:v>
      </x:c>
      <x:c r="L927" s="185" t="str">
        <x:v>Não classificado</x:v>
      </x:c>
    </x:row>
    <x:row r="928">
      <x:c r="A928" s="175" t="str">
        <x:v>50.115.378/0001-09</x:v>
      </x:c>
      <x:c r="B928" s="166" t="str">
        <x:v>GUARDIAN MULTI CONSIGNADO II FUNDO DE INVESTIMENTO EM DIREITOS CREDITÓRIOS</x:v>
      </x:c>
      <x:c r="C928" s="188" t="n">
        <x:v>127427830.93</x:v>
      </x:c>
      <x:c r="D928" s="166" t="str">
        <x:v>Guardian Gestora</x:v>
      </x:c>
      <x:c r="E928" s="166" t="str">
        <x:f>IFERROR(INDEX('Classif Gestoras'!$H$6:$H$462,MATCH(D928,'Classif Gestoras'!$A$6:$A$462,0)),"Não classificada")</x:f>
        <x:v>Independente</x:v>
      </x:c>
      <x:c r="F928" s="166" t="str">
        <x:v>Banvox DTVM</x:v>
      </x:c>
      <x:c r="G928" s="166" t="str">
        <x:v>BANVOX DISTRIBUIDORA DE TITULOS E VALORES MOBILIARIOS LTDA</x:v>
      </x:c>
      <x:c r="H928" s="166" t="str">
        <x:v>Financeiro</x:v>
      </x:c>
      <x:c r="I928" s="166" t="str">
        <x:v>Crédito Consignado</x:v>
      </x:c>
      <x:c r="J928" s="166" t="str">
        <x:v>CI</x:v>
      </x:c>
      <x:c r="K928" s="172" t="n">
        <x:v>39</x:v>
      </x:c>
      <x:c r="L928" s="185" t="str">
        <x:v>Não classificado</x:v>
      </x:c>
    </x:row>
    <x:row r="929">
      <x:c r="A929" s="175" t="str">
        <x:v>61.085.925/0001-77</x:v>
      </x:c>
      <x:c r="B929" s="166" t="str">
        <x:v>CHIMERA ALTERNATIVE ASSETS VI.2 FUNDO DE INVESTIMENTO EM DIREITOS CREDITÓRIOS RESPONSABILIDADE LTDA</x:v>
      </x:c>
      <x:c r="C929" s="188" t="n">
        <x:v>127238131.19</x:v>
      </x:c>
      <x:c r="D929" s="166" t="str">
        <x:v>Chimera Capital Asset Management Ltda.</x:v>
      </x:c>
      <x:c r="E929" s="166" t="str">
        <x:f>IFERROR(INDEX('Classif Gestoras'!$H$6:$H$462,MATCH(D929,'Classif Gestoras'!$A$6:$A$462,0)),"Não classificada")</x:f>
        <x:v>Independente</x:v>
      </x:c>
      <x:c r="F929" s="166" t="str">
        <x:v>VÓRTX DTVM</x:v>
      </x:c>
      <x:c r="G929" s="166" t="str">
        <x:v>VORTX DISTRIBUIDORA DE TITULOS E VALORES MOBILIARIOS LTDA.</x:v>
      </x:c>
      <x:c r="H929" s="166" t="str">
        <x:v>Outros</x:v>
      </x:c>
      <x:c r="I929" s="166" t="str">
        <x:v>Multicarteira Outros</x:v>
      </x:c>
      <x:c r="J929" s="166" t="str">
        <x:v>CI</x:v>
      </x:c>
      <x:c r="K929" s="172" t="n">
        <x:v>3</x:v>
      </x:c>
      <x:c r="L929" s="185" t="str">
        <x:v>Não classificado</x:v>
      </x:c>
    </x:row>
    <x:row r="930">
      <x:c r="A930" s="175" t="str">
        <x:v>63.516.387/0001-53</x:v>
      </x:c>
      <x:c r="B930" s="166" t="str">
        <x:v>GV CONSIGNADO PRIVADO I FUNDO DE INVESTIMENTO EM DIREITOS CREDITÓRIOS RESPONSABILIDADE LIMITADA</x:v>
      </x:c>
      <x:c r="C930" s="188" t="n">
        <x:v>127054639.22</x:v>
      </x:c>
      <x:c r="D930" s="166" t="str">
        <x:v>GV ATACAMA CAPITAL LTDA.</x:v>
      </x:c>
      <x:c r="E930" s="166" t="str">
        <x:f>IFERROR(INDEX('Classif Gestoras'!$H$6:$H$462,MATCH(D930,'Classif Gestoras'!$A$6:$A$462,0)),"Não classificada")</x:f>
        <x:v>Independente</x:v>
      </x:c>
      <x:c r="F930" s="166" t="str">
        <x:v>Singulare</x:v>
      </x:c>
      <x:c r="G930" s="166" t="str">
        <x:v>QI CORRETORA DE TÍTULOS E VALORES MOBILIÁRIOS S.A.</x:v>
      </x:c>
      <x:c r="H930" s="166" t="str">
        <x:v>Financeiro</x:v>
      </x:c>
      <x:c r="I930" s="166" t="str">
        <x:v>Crédito Consignado</x:v>
      </x:c>
      <x:c r="J930" s="166" t="str">
        <x:v>CI</x:v>
      </x:c>
      <x:c r="K930" s="172" t="n">
        <x:v>2</x:v>
      </x:c>
      <x:c r="L930" s="185" t="str">
        <x:v>Não classificado</x:v>
      </x:c>
    </x:row>
    <x:row r="931">
      <x:c r="A931" s="175" t="str">
        <x:v>44.372.728/0001-10</x:v>
      </x:c>
      <x:c r="B931" s="166" t="str">
        <x:v>AURORA FUNDO DE INVESTIMENTO EM DIREITOS CREDITÓRIOS NÃO PADRONIZADOS - RESPONSABILIDADE LIMITADA</x:v>
      </x:c>
      <x:c r="C931" s="188" t="n">
        <x:v>126990434.6</x:v>
      </x:c>
      <x:c r="D931" s="166" t="str">
        <x:v>Oliveira Trust Servicer</x:v>
      </x:c>
      <x:c r="E931" s="166" t="str">
        <x:f>IFERROR(INDEX('Classif Gestoras'!$H$6:$H$462,MATCH(D931,'Classif Gestoras'!$A$6:$A$462,0)),"Não classificada")</x:f>
        <x:v>Independente</x:v>
      </x:c>
      <x:c r="F931" s="166" t="str">
        <x:v>Oliveira Trust DTVM</x:v>
      </x:c>
      <x:c r="G931" s="166" t="str">
        <x:v>OLIVEIRA TRUST DTVM S.A.</x:v>
      </x:c>
      <x:c r="H931" s="166" t="str">
        <x:v>Financeiro</x:v>
      </x:c>
      <x:c r="I931" s="166" t="str">
        <x:v>Crédito Pessoal</x:v>
      </x:c>
      <x:c r="J931" s="166" t="str">
        <x:v>CI</x:v>
      </x:c>
      <x:c r="K931" s="172" t="n">
        <x:v>1</x:v>
      </x:c>
      <x:c r="L931" s="185" t="str">
        <x:v>Não classificado</x:v>
      </x:c>
    </x:row>
    <x:row r="932">
      <x:c r="A932" s="175" t="str">
        <x:v>46.323.013/0001-00</x:v>
      </x:c>
      <x:c r="B932" s="166" t="str">
        <x:v>VCE 2 FUNDO DE INVESTIMENTO EM DIREITOS CREDITÓRIOS DE RESPONSABILIDADE LIMITADA</x:v>
      </x:c>
      <x:c r="C932" s="188" t="n">
        <x:v>126810234.78</x:v>
      </x:c>
      <x:c r="D932" s="166" t="str">
        <x:v>VALORA RENDA FIXA LTDA.</x:v>
      </x:c>
      <x:c r="E932" s="166" t="str">
        <x:f>IFERROR(INDEX('Classif Gestoras'!$H$6:$H$462,MATCH(D932,'Classif Gestoras'!$A$6:$A$462,0)),"Não classificada")</x:f>
        <x:v>Independente</x:v>
      </x:c>
      <x:c r="F932" s="166" t="str">
        <x:v>BANCO DAYCOVAL S/A</x:v>
      </x:c>
      <x:c r="G932" s="166" t="str">
        <x:v>BANCO DAYCOVAL S.A.</x:v>
      </x:c>
      <x:c r="H932" s="166" t="str">
        <x:v>Outros</x:v>
      </x:c>
      <x:c r="I932" s="166" t="str">
        <x:v>Multicarteira Outros</x:v>
      </x:c>
      <x:c r="J932" s="166" t="str">
        <x:v>CI</x:v>
      </x:c>
      <x:c r="K932" s="172" t="n">
        <x:v>7</x:v>
      </x:c>
      <x:c r="L932" s="185" t="str">
        <x:v>Não classificado</x:v>
      </x:c>
    </x:row>
    <x:row r="933">
      <x:c r="A933" s="175" t="str">
        <x:v>63.588.528/0001-43</x:v>
      </x:c>
      <x:c r="B933" s="166" t="str">
        <x:v>EUGÊNIA FIDC SEGMENTO INFRAESTRUTURA E AGRONEGÓCIO DE RESPONSABILIDADE LIMITADA</x:v>
      </x:c>
      <x:c r="C933" s="188" t="n">
        <x:v>126662893.99</x:v>
      </x:c>
      <x:c r="D933" s="166" t="str">
        <x:v>GENIAL GESTÃO LTDA.</x:v>
      </x:c>
      <x:c r="E933" s="166" t="str">
        <x:f>IFERROR(INDEX('Classif Gestoras'!$H$6:$H$462,MATCH(D933,'Classif Gestoras'!$A$6:$A$462,0)),"Não classificada")</x:f>
        <x:v>Ligada a banco</x:v>
      </x:c>
      <x:c r="F933" s="166" t="str">
        <x:v>Genial Investimentos Corretora de Valores Mobiliários S.A.</x:v>
      </x:c>
      <x:c r="G933" s="166" t="str">
        <x:v>BANCO GENIAL S.A.</x:v>
      </x:c>
      <x:c r="H933" s="166" t="str">
        <x:v>Agro, Indústria e Comércio</x:v>
      </x:c>
      <x:c r="I933" s="166" t="str">
        <x:v>Infraestrutura</x:v>
      </x:c>
      <x:c r="J933" s="166" t="str">
        <x:v>CI</x:v>
      </x:c>
      <x:c r="K933" s="172" t="n">
        <x:v>251</x:v>
      </x:c>
      <x:c r="L933" s="185" t="str">
        <x:v>Não classificado</x:v>
      </x:c>
    </x:row>
    <x:row r="934">
      <x:c r="A934" s="175" t="str">
        <x:v>49.573.227/0001-15</x:v>
      </x:c>
      <x:c r="B934" s="166" t="str">
        <x:v>SCORE I FUNDO DE INVESTIMENTO EM DIREITOS CREDITÓRIOS</x:v>
      </x:c>
      <x:c r="C934" s="188" t="n">
        <x:v>126334423.33</x:v>
      </x:c>
      <x:c r="D934" s="166" t="str">
        <x:v>Strategic Portfolio Advisors</x:v>
      </x:c>
      <x:c r="E934" s="166" t="str">
        <x:f>IFERROR(INDEX('Classif Gestoras'!$H$6:$H$462,MATCH(D934,'Classif Gestoras'!$A$6:$A$462,0)),"Não classificada")</x:f>
        <x:v>Independente</x:v>
      </x:c>
      <x:c r="F934" s="166" t="str">
        <x:v>BTG Pactual Servicos Financeiros S/A DTVM</x:v>
      </x:c>
      <x:c r="G934" s="166" t="str">
        <x:v>BANCO BTG PACTUAL S/A</x:v>
      </x:c>
      <x:c r="H934" s="166" t="str">
        <x:v>Outros</x:v>
      </x:c>
      <x:c r="I934" s="166" t="str">
        <x:v>Multicarteira Outros</x:v>
      </x:c>
      <x:c r="J934" s="166" t="str">
        <x:v>CI</x:v>
      </x:c>
      <x:c r="K934" s="172" t="n">
        <x:v>1</x:v>
      </x:c>
      <x:c r="L934" s="185" t="str">
        <x:v>Não classificado</x:v>
      </x:c>
    </x:row>
    <x:row r="935">
      <x:c r="A935" s="175" t="str">
        <x:v>54.233.539/0001-10</x:v>
      </x:c>
      <x:c r="B935" s="166" t="str">
        <x:v>GARSON CARD FUNDO DE INVESTIMENTO EM DIREITOS CREDITÓRIOS - RESPONSABILIDADE LIMITADA</x:v>
      </x:c>
      <x:c r="C935" s="188" t="n">
        <x:v>126063584.85</x:v>
      </x:c>
      <x:c r="D935" s="166" t="str">
        <x:v>M8 Partners</x:v>
      </x:c>
      <x:c r="E935" s="166" t="str">
        <x:f>IFERROR(INDEX('Classif Gestoras'!$H$6:$H$462,MATCH(D935,'Classif Gestoras'!$A$6:$A$462,0)),"Não classificada")</x:f>
        <x:v>Independente</x:v>
      </x:c>
      <x:c r="F935" s="166" t="str">
        <x:v>HEMERA DTVM</x:v>
      </x:c>
      <x:c r="G935" s="166" t="str">
        <x:v>HEMERA DISTRIBUIDORA DE TITULOS E VALORES MOBILIARIOS LTDA</x:v>
      </x:c>
      <x:c r="H935" s="166" t="str">
        <x:v>Financeiro</x:v>
      </x:c>
      <x:c r="I935" s="166" t="str">
        <x:v>Multicarteira Financeiro</x:v>
      </x:c>
      <x:c r="J935" s="166" t="str">
        <x:v>CI</x:v>
      </x:c>
      <x:c r="K935" s="172" t="n">
        <x:v>16</x:v>
      </x:c>
      <x:c r="L935" s="185" t="str">
        <x:v>Não classificado</x:v>
      </x:c>
    </x:row>
    <x:row r="936">
      <x:c r="A936" s="175" t="str">
        <x:v>30.659.203/0001-55</x:v>
      </x:c>
      <x:c r="B936" s="166" t="str">
        <x:v>APPALOOSA FUNDO DE INVESTIMENTO EM DIREITOS CREDITÓRIOS</x:v>
      </x:c>
      <x:c r="C936" s="188" t="n">
        <x:v>126054776.96</x:v>
      </x:c>
      <x:c r="D936" s="166" t="str">
        <x:v>OURO PRETO INVESTIMENTOS</x:v>
      </x:c>
      <x:c r="E936" s="166" t="str">
        <x:f>IFERROR(INDEX('Classif Gestoras'!$H$6:$H$462,MATCH(D936,'Classif Gestoras'!$A$6:$A$462,0)),"Não classificada")</x:f>
        <x:v>Independente</x:v>
      </x:c>
      <x:c r="F936" s="166" t="str">
        <x:v>Singulare</x:v>
      </x:c>
      <x:c r="G936" s="166" t="str">
        <x:v>QI CORRETORA DE TÍTULOS E VALORES MOBILIÁRIOS S.A.</x:v>
      </x:c>
      <x:c r="H936" s="166" t="str">
        <x:v>Fomento Mercantil</x:v>
      </x:c>
      <x:c r="I936" s="166" t="str">
        <x:v>Fomento Mercantil</x:v>
      </x:c>
      <x:c r="J936" s="166" t="str">
        <x:v>CI</x:v>
      </x:c>
      <x:c r="K936" s="172" t="n">
        <x:v>44</x:v>
      </x:c>
      <x:c r="L936" s="185" t="str">
        <x:v>Não classificado</x:v>
      </x:c>
    </x:row>
    <x:row r="937">
      <x:c r="A937" s="175" t="str">
        <x:v>52.968.533/0001-65</x:v>
      </x:c>
      <x:c r="B937" s="166" t="str">
        <x:v>MCPO FUNDO DE INVESTIMENTO EM DIREITOS CREDITÓRIOS</x:v>
      </x:c>
      <x:c r="C937" s="188" t="n">
        <x:v>125994769.99</x:v>
      </x:c>
      <x:c r="D937" s="166" t="str">
        <x:v>ANGÁ ASSET MANAGEMENT</x:v>
      </x:c>
      <x:c r="E937" s="166" t="str">
        <x:f>IFERROR(INDEX('Classif Gestoras'!$H$6:$H$462,MATCH(D937,'Classif Gestoras'!$A$6:$A$462,0)),"Não classificada")</x:f>
        <x:v>Independente</x:v>
      </x:c>
      <x:c r="F937" s="166" t="str">
        <x:v>Oliveira Trust DTVM</x:v>
      </x:c>
      <x:c r="G937" s="166" t="str">
        <x:v>OLIVEIRA TRUST DTVM S.A.</x:v>
      </x:c>
      <x:c r="H937" s="166" t="str">
        <x:v>Financeiro</x:v>
      </x:c>
      <x:c r="I937" s="166" t="str">
        <x:v>Multicarteira Financeiro</x:v>
      </x:c>
      <x:c r="J937" s="166" t="str">
        <x:v>CI</x:v>
      </x:c>
      <x:c r="K937" s="172" t="n">
        <x:v>6</x:v>
      </x:c>
      <x:c r="L937" s="185" t="str">
        <x:v>Não classificado</x:v>
      </x:c>
    </x:row>
    <x:row r="938">
      <x:c r="A938" s="175" t="str">
        <x:v>55.331.248/0001-27</x:v>
      </x:c>
      <x:c r="B938" s="166" t="str">
        <x:v>DB DRILLING FUNDO DE INVESTIMENTO EM DIREITOS CREDITÓRIOS NÃO PADRONIZADOS</x:v>
      </x:c>
      <x:c r="C938" s="188" t="n">
        <x:v>125580736.15</x:v>
      </x:c>
      <x:c r="D938" s="166" t="str">
        <x:v>Prisma Claims Ltda.</x:v>
      </x:c>
      <x:c r="E938" s="166" t="str">
        <x:f>IFERROR(INDEX('Classif Gestoras'!$H$6:$H$462,MATCH(D938,'Classif Gestoras'!$A$6:$A$462,0)),"Não classificada")</x:f>
        <x:v>Independente</x:v>
      </x:c>
      <x:c r="F938" s="166" t="str">
        <x:v>Singulare</x:v>
      </x:c>
      <x:c r="G938" s="166" t="str">
        <x:v>QI CORRETORA DE TÍTULOS E VALORES MOBILIÁRIOS S.A.</x:v>
      </x:c>
      <x:c r="H938" s="166" t="str">
        <x:v>Outros</x:v>
      </x:c>
      <x:c r="I938" s="166" t="str">
        <x:v>Multicarteira Outros</x:v>
      </x:c>
      <x:c r="J938" s="166" t="str">
        <x:v>CI</x:v>
      </x:c>
      <x:c r="K938" s="172" t="n">
        <x:v>1</x:v>
      </x:c>
      <x:c r="L938" s="185" t="str">
        <x:v>Não classificado</x:v>
      </x:c>
    </x:row>
    <x:row r="939">
      <x:c r="A939" s="175" t="str">
        <x:v>57.074.997/0001-41</x:v>
      </x:c>
      <x:c r="B939" s="166" t="str">
        <x:v>4 ILHAS CAPITAL FUNDO DE INVESTIMENTO EM DIREITOS CREDITÓRIOS</x:v>
      </x:c>
      <x:c r="C939" s="188" t="n">
        <x:v>125473080.60000002</x:v>
      </x:c>
      <x:c r="D939" s="166" t="str">
        <x:v>SOMMA Investimentos</x:v>
      </x:c>
      <x:c r="E939" s="166" t="str">
        <x:f>IFERROR(INDEX('Classif Gestoras'!$H$6:$H$462,MATCH(D939,'Classif Gestoras'!$A$6:$A$462,0)),"Não classificada")</x:f>
        <x:v>Independente</x:v>
      </x:c>
      <x:c r="F939" s="166" t="str">
        <x:v>Singulare</x:v>
      </x:c>
      <x:c r="G939" s="166" t="str">
        <x:v>QI CORRETORA DE TÍTULOS E VALORES MOBILIÁRIOS S.A.</x:v>
      </x:c>
      <x:c r="H939" s="166" t="str">
        <x:v>Fomento Mercantil</x:v>
      </x:c>
      <x:c r="I939" s="166" t="str">
        <x:v>Fomento Mercantil</x:v>
      </x:c>
      <x:c r="J939" s="166" t="str">
        <x:v>CI</x:v>
      </x:c>
      <x:c r="K939" s="172" t="n">
        <x:v>10</x:v>
      </x:c>
      <x:c r="L939" s="185" t="str">
        <x:v>Não classificado</x:v>
      </x:c>
    </x:row>
    <x:row r="940">
      <x:c r="A940" s="175" t="str">
        <x:v>49.260.024/0001-79</x:v>
      </x:c>
      <x:c r="B940" s="166" t="str">
        <x:v>FATOR FUNDO DE INVESTIMENTO EM DIREITOS CREDITÓRIOS</x:v>
      </x:c>
      <x:c r="C940" s="188" t="n">
        <x:v>125416301.55</x:v>
      </x:c>
      <x:c r="D940" s="166" t="str">
        <x:v>FAR - FATOR ADMINIST</x:v>
      </x:c>
      <x:c r="E940" s="166" t="str">
        <x:f>IFERROR(INDEX('Classif Gestoras'!$H$6:$H$462,MATCH(D940,'Classif Gestoras'!$A$6:$A$462,0)),"Não classificada")</x:f>
        <x:v>Independente</x:v>
      </x:c>
      <x:c r="F940" s="166" t="str">
        <x:v>BANCO DAYCOVAL S/A</x:v>
      </x:c>
      <x:c r="G940" s="166" t="str">
        <x:v>BANCO DAYCOVAL S.A.</x:v>
      </x:c>
      <x:c r="H940" s="166" t="str">
        <x:v>Outros</x:v>
      </x:c>
      <x:c r="I940" s="166" t="str">
        <x:v>Multicarteira Outros</x:v>
      </x:c>
      <x:c r="J940" s="166" t="str">
        <x:v>CI</x:v>
      </x:c>
      <x:c r="K940" s="172" t="n">
        <x:v>1</x:v>
      </x:c>
      <x:c r="L940" s="185" t="str">
        <x:v>Não classificado</x:v>
      </x:c>
    </x:row>
    <x:row r="941">
      <x:c r="A941" s="175" t="str">
        <x:v>62.475.708/0001-56</x:v>
      </x:c>
      <x:c r="B941" s="166" t="str">
        <x:v>VAREJO PLUS FUNDO DE INVESTIMENTO EM DIREITOS CREDITÓRIOS FINANCEIROS DE RESPONSABILIDADE LIMITADA</x:v>
      </x:c>
      <x:c r="C941" s="188" t="n">
        <x:v>125163775.87</x:v>
      </x:c>
      <x:c r="D941" s="166" t="str">
        <x:v>Milênio Capital</x:v>
      </x:c>
      <x:c r="E941" s="166" t="str">
        <x:f>IFERROR(INDEX('Classif Gestoras'!$H$6:$H$462,MATCH(D941,'Classif Gestoras'!$A$6:$A$462,0)),"Não classificada")</x:f>
        <x:v>Independente</x:v>
      </x:c>
      <x:c r="F941" s="166" t="str">
        <x:v>VÓRTX DTVM</x:v>
      </x:c>
      <x:c r="G941" s="166" t="str">
        <x:v>VORTX DISTRIBUIDORA DE TITULOS E VALORES MOBILIARIOS LTDA.</x:v>
      </x:c>
      <x:c r="H941" s="166" t="str">
        <x:v>Financeiro</x:v>
      </x:c>
      <x:c r="I941" s="166" t="str">
        <x:v>Crédito Pessoal</x:v>
      </x:c>
      <x:c r="J941" s="166" t="str">
        <x:v>CI</x:v>
      </x:c>
      <x:c r="K941" s="172" t="n">
        <x:v>31</x:v>
      </x:c>
      <x:c r="L941" s="185" t="str">
        <x:v>Não classificado</x:v>
      </x:c>
    </x:row>
    <x:row r="942">
      <x:c r="A942" s="175" t="str">
        <x:v>39.774.081/0001-12</x:v>
      </x:c>
      <x:c r="B942" s="166" t="str">
        <x:v>FUNDO DE INVESTIMENTO EM DIREITOS CREDITÓRIOS TETRA DE RESPONSABILIDADE LIMITADA</x:v>
      </x:c>
      <x:c r="C942" s="188" t="n">
        <x:v>125063485.16</x:v>
      </x:c>
      <x:c r="D942" s="166" t="str">
        <x:v>DAYCOVAL ASSET MANAG</x:v>
      </x:c>
      <x:c r="E942" s="166" t="str">
        <x:f>IFERROR(INDEX('Classif Gestoras'!$H$6:$H$462,MATCH(D942,'Classif Gestoras'!$A$6:$A$462,0)),"Não classificada")</x:f>
        <x:v>Ligada a banco</x:v>
      </x:c>
      <x:c r="F942" s="166" t="str">
        <x:v>BANCO DAYCOVAL S/A</x:v>
      </x:c>
      <x:c r="G942" s="166" t="str">
        <x:v>BANCO DAYCOVAL S.A.</x:v>
      </x:c>
      <x:c r="H942" s="166" t="str">
        <x:v>Agro, Indústria e Comércio</x:v>
      </x:c>
      <x:c r="I942" s="166" t="str">
        <x:v>Recebíveis Comerciais</x:v>
      </x:c>
      <x:c r="J942" s="166" t="str">
        <x:v>CI</x:v>
      </x:c>
      <x:c r="K942" s="172" t="n">
        <x:v>2</x:v>
      </x:c>
      <x:c r="L942" s="185" t="str">
        <x:v>Não classificado</x:v>
      </x:c>
    </x:row>
    <x:row r="943">
      <x:c r="A943" s="175" t="str">
        <x:v>54.349.764/0001-16</x:v>
      </x:c>
      <x:c r="B943" s="166" t="str">
        <x:v>LOGICAL ADVANCE FUNDO DE INVESTIMENTO EM DIREITOS CREDITÓRIOS</x:v>
      </x:c>
      <x:c r="C943" s="188" t="n">
        <x:v>124854403.09</x:v>
      </x:c>
      <x:c r="D943" s="166" t="str">
        <x:v>NEBRASKA CAPITAL</x:v>
      </x:c>
      <x:c r="E943" s="166" t="str">
        <x:f>IFERROR(INDEX('Classif Gestoras'!$H$6:$H$462,MATCH(D943,'Classif Gestoras'!$A$6:$A$462,0)),"Não classificada")</x:f>
        <x:v>Independente</x:v>
      </x:c>
      <x:c r="F943" s="166" t="str">
        <x:v>BTG Pactual Servicos Financeiros S/A DTVM</x:v>
      </x:c>
      <x:c r="G943" s="166" t="str">
        <x:v>BANCO BTG PACTUAL S/A</x:v>
      </x:c>
      <x:c r="H943" s="166" t="str">
        <x:v>Outros</x:v>
      </x:c>
      <x:c r="I943" s="166" t="str">
        <x:v>Multicarteira Outros</x:v>
      </x:c>
      <x:c r="J943" s="166" t="str">
        <x:v>CI</x:v>
      </x:c>
      <x:c r="K943" s="172" t="n">
        <x:v>3</x:v>
      </x:c>
      <x:c r="L943" s="185" t="str">
        <x:v>Não classificado</x:v>
      </x:c>
    </x:row>
    <x:row r="944">
      <x:c r="A944" s="175" t="str">
        <x:v>26.648.770/0001-39</x:v>
      </x:c>
      <x:c r="B944" s="166" t="str">
        <x:v>G5 SPECIAL FUNDO DE INVESTIMENTO EM DIREITOS CREDITÓRIOS NÃO PADRONIZADOS</x:v>
      </x:c>
      <x:c r="C944" s="188" t="n">
        <x:v>124753939.96</x:v>
      </x:c>
      <x:c r="D944" s="166" t="str">
        <x:v>G5 Adm. de Recursos</x:v>
      </x:c>
      <x:c r="E944" s="166" t="str">
        <x:f>IFERROR(INDEX('Classif Gestoras'!$H$6:$H$462,MATCH(D944,'Classif Gestoras'!$A$6:$A$462,0)),"Não classificada")</x:f>
        <x:v>Independente</x:v>
      </x:c>
      <x:c r="F944" s="166" t="str">
        <x:v>Singulare</x:v>
      </x:c>
      <x:c r="G944" s="166" t="str">
        <x:v>QI CORRETORA DE TÍTULOS E VALORES MOBILIÁRIOS S.A.</x:v>
      </x:c>
      <x:c r="H944" s="166" t="str">
        <x:v>Outros</x:v>
      </x:c>
      <x:c r="I944" s="166" t="str">
        <x:v>Multicarteira Outros</x:v>
      </x:c>
      <x:c r="J944" s="166" t="str">
        <x:v>CI</x:v>
      </x:c>
      <x:c r="K944" s="172" t="n">
        <x:v>1</x:v>
      </x:c>
      <x:c r="L944" s="185" t="str">
        <x:v>Não classificado</x:v>
      </x:c>
    </x:row>
    <x:row r="945">
      <x:c r="A945" s="175" t="str">
        <x:v>52.351.153/0001-87</x:v>
      </x:c>
      <x:c r="B945" s="166" t="str">
        <x:v>FBRAS 3 FUNDO DE INVESTIMENTO EM DIREITOS CREDITÓRIOS - RESPONSABILIDADE LIMITADA</x:v>
      </x:c>
      <x:c r="C945" s="188" t="n">
        <x:v>124652194.71</x:v>
      </x:c>
      <x:c r="D945" s="166" t="str">
        <x:v>POLÍGONO CAPITAL LTDA.</x:v>
      </x:c>
      <x:c r="E945" s="166" t="str">
        <x:f>IFERROR(INDEX('Classif Gestoras'!$H$6:$H$462,MATCH(D945,'Classif Gestoras'!$A$6:$A$462,0)),"Não classificada")</x:f>
        <x:v>Independente</x:v>
      </x:c>
      <x:c r="F945" s="166" t="str">
        <x:v>BTG Pactual Servicos Financeiros S/A DTVM</x:v>
      </x:c>
      <x:c r="G945" s="166" t="str">
        <x:v>BANCO BTG PACTUAL S/A</x:v>
      </x:c>
      <x:c r="H945" s="166" t="str">
        <x:v>Fomento Mercantil</x:v>
      </x:c>
      <x:c r="I945" s="166" t="str">
        <x:v>Fomento Mercantil</x:v>
      </x:c>
      <x:c r="J945" s="166" t="str">
        <x:v>CI</x:v>
      </x:c>
      <x:c r="K945" s="172" t="n">
        <x:v>2</x:v>
      </x:c>
      <x:c r="L945" s="185" t="str">
        <x:v>Não classificado</x:v>
      </x:c>
    </x:row>
    <x:row r="946">
      <x:c r="A946" s="175" t="str">
        <x:v>32.287.737/0001-23</x:v>
      </x:c>
      <x:c r="B946" s="166" t="str">
        <x:v>B4 TRUST FUNDO DE INVESTIMENTO EM DIREITOS CREDITÓRIOS</x:v>
      </x:c>
      <x:c r="C946" s="188" t="n">
        <x:v>124565892.78</x:v>
      </x:c>
      <x:c r="D946" s="166" t="str">
        <x:v>OURO PRETO INVESTIMENTOS</x:v>
      </x:c>
      <x:c r="E946" s="166" t="str">
        <x:f>IFERROR(INDEX('Classif Gestoras'!$H$6:$H$462,MATCH(D946,'Classif Gestoras'!$A$6:$A$462,0)),"Não classificada")</x:f>
        <x:v>Independente</x:v>
      </x:c>
      <x:c r="F946" s="166" t="str">
        <x:v>Limine Trust Distribuidora de Titulos e Valores Mobiliá</x:v>
      </x:c>
      <x:c r="G946" s="166" t="str">
        <x:v>LIMINE TRUST DISTRIBUIDORA DE TITULOS E VALORES MOBILIARIOS LTDA.</x:v>
      </x:c>
      <x:c r="H946" s="166" t="str">
        <x:v>Outros</x:v>
      </x:c>
      <x:c r="I946" s="166" t="str">
        <x:v>Multicarteira Outros</x:v>
      </x:c>
      <x:c r="J946" s="166" t="str">
        <x:v>CI</x:v>
      </x:c>
      <x:c r="K946" s="172" t="n">
        <x:v>10</x:v>
      </x:c>
      <x:c r="L946" s="185" t="str">
        <x:v>Não classificado</x:v>
      </x:c>
    </x:row>
    <x:row r="947">
      <x:c r="A947" s="175" t="str">
        <x:v>34.218.936/0001-05</x:v>
      </x:c>
      <x:c r="B947" s="166" t="str">
        <x:v>EDISON FUNDO DE INVESTIMENTO EM DIREITOS CREDITÓRIOS</x:v>
      </x:c>
      <x:c r="C947" s="188" t="n">
        <x:v>124416103.73</x:v>
      </x:c>
      <x:c r="D947" s="166" t="str">
        <x:v>Milênio Capital</x:v>
      </x:c>
      <x:c r="E947" s="166" t="str">
        <x:f>IFERROR(INDEX('Classif Gestoras'!$H$6:$H$462,MATCH(D947,'Classif Gestoras'!$A$6:$A$462,0)),"Não classificada")</x:f>
        <x:v>Independente</x:v>
      </x:c>
      <x:c r="F947" s="166" t="str">
        <x:v>Banvox DTVM</x:v>
      </x:c>
      <x:c r="G947" s="166" t="str">
        <x:v>VORTX DISTRIBUIDORA DE TITULOS E VALORES MOBILIARIOS LTDA.</x:v>
      </x:c>
      <x:c r="H947" s="166" t="str">
        <x:v>Agro, Indústria e Comércio</x:v>
      </x:c>
      <x:c r="I947" s="166" t="str">
        <x:v>Recebíveis Comerciais</x:v>
      </x:c>
      <x:c r="J947" s="166" t="str">
        <x:v>CI</x:v>
      </x:c>
      <x:c r="K947" s="172" t="n">
        <x:v>35</x:v>
      </x:c>
      <x:c r="L947" s="185" t="str">
        <x:v>Não classificado</x:v>
      </x:c>
    </x:row>
    <x:row r="948">
      <x:c r="A948" s="175" t="str">
        <x:v>34.218.953/0001-42</x:v>
      </x:c>
      <x:c r="B948" s="166" t="str">
        <x:v>FUNDO DE INVESTIMENTO EM DIREITOS CREDITÓRIOS CREDITAS TEMPUS II - RESPONSABILIDADE LIMITADA</x:v>
      </x:c>
      <x:c r="C948" s="188" t="n">
        <x:v>124378659</x:v>
      </x:c>
      <x:c r="D948" s="166" t="str">
        <x:v>Kanastra</x:v>
      </x:c>
      <x:c r="E948" s="166" t="str">
        <x:f>IFERROR(INDEX('Classif Gestoras'!$H$6:$H$462,MATCH(D948,'Classif Gestoras'!$A$6:$A$462,0)),"Não classificada")</x:f>
        <x:v>Independente</x:v>
      </x:c>
      <x:c r="F948" s="166" t="str">
        <x:v>Limine Trust Distribuidora de Titulos e Valores Mobiliá</x:v>
      </x:c>
      <x:c r="G948" s="166" t="str">
        <x:v>LIMINE TRUST DISTRIBUIDORA DE TITULOS E VALORES MOBILIARIOS LTDA.</x:v>
      </x:c>
      <x:c r="H948" s="166" t="str">
        <x:v>Outros</x:v>
      </x:c>
      <x:c r="I948" s="166" t="str">
        <x:v>Multicarteira Outros</x:v>
      </x:c>
      <x:c r="J948" s="166" t="str">
        <x:v>CI</x:v>
      </x:c>
      <x:c r="K948" s="172" t="n">
        <x:v>7</x:v>
      </x:c>
      <x:c r="L948" s="185" t="str">
        <x:v>Não classificado</x:v>
      </x:c>
    </x:row>
    <x:row r="949">
      <x:c r="A949" s="175" t="str">
        <x:v>53.783.414/0001-09</x:v>
      </x:c>
      <x:c r="B949" s="166" t="str">
        <x:v>PRIME AGRO FUNDO DE INVESTIMENTO EM DIREITOS CREDITÓRIOS DE RESPONSABILIDADE LIMITADA</x:v>
      </x:c>
      <x:c r="C949" s="188" t="n">
        <x:v>124236472.99</x:v>
      </x:c>
      <x:c r="D949" s="166" t="str">
        <x:v>Catálise Investimentos</x:v>
      </x:c>
      <x:c r="E949" s="166" t="str">
        <x:f>IFERROR(INDEX('Classif Gestoras'!$H$6:$H$462,MATCH(D949,'Classif Gestoras'!$A$6:$A$462,0)),"Não classificada")</x:f>
        <x:v>Independente</x:v>
      </x:c>
      <x:c r="F949" s="166" t="str">
        <x:v>BANCO DAYCOVAL S/A</x:v>
      </x:c>
      <x:c r="G949" s="166" t="str">
        <x:v>BANCO DAYCOVAL S.A.</x:v>
      </x:c>
      <x:c r="H949" s="166" t="str">
        <x:v>Agro, Indústria e Comércio</x:v>
      </x:c>
      <x:c r="I949" s="166" t="str">
        <x:v>Recebíveis Comerciais</x:v>
      </x:c>
      <x:c r="J949" s="166" t="str">
        <x:v>CI</x:v>
      </x:c>
      <x:c r="K949" s="172" t="n">
        <x:v>7</x:v>
      </x:c>
      <x:c r="L949" s="185" t="str">
        <x:v>Não classificado</x:v>
      </x:c>
    </x:row>
    <x:row r="950">
      <x:c r="A950" s="175" t="str">
        <x:v>58.532.245/0001-40</x:v>
      </x:c>
      <x:c r="B950" s="166" t="str">
        <x:v>PETROBRAS BIOECONOMIA FUNDO DE INVESTIMENTO EM DIREITOS CREDITÓRIOS IS DE RESPONSABILIDADE LIMITADA</x:v>
      </x:c>
      <x:c r="C950" s="188" t="n">
        <x:v>124132626.31</x:v>
      </x:c>
      <x:c r="D950" s="166" t="str">
        <x:v>Régia Capital Ltda</x:v>
      </x:c>
      <x:c r="E950" s="166" t="str">
        <x:f>IFERROR(INDEX('Classif Gestoras'!$H$6:$H$462,MATCH(D950,'Classif Gestoras'!$A$6:$A$462,0)),"Não classificada")</x:f>
        <x:v>Independente</x:v>
      </x:c>
      <x:c r="F950" s="166" t="str">
        <x:v>Oliveira Trust DTVM</x:v>
      </x:c>
      <x:c r="G950" s="166" t="str">
        <x:v>OLIVEIRA TRUST DTVM S.A.</x:v>
      </x:c>
      <x:c r="H950" s="166" t="str">
        <x:v>Agro, Indústria e Comércio</x:v>
      </x:c>
      <x:c r="I950" s="166" t="str">
        <x:v>Multicarteira Agro, Indústria e Comércio</x:v>
      </x:c>
      <x:c r="J950" s="166" t="str">
        <x:v>CI</x:v>
      </x:c>
      <x:c r="K950" s="172" t="n">
        <x:v>4</x:v>
      </x:c>
      <x:c r="L950" s="185" t="str">
        <x:v>Não classificado</x:v>
      </x:c>
    </x:row>
    <x:row r="951">
      <x:c r="A951" s="175" t="str">
        <x:v>33.489.701/0001-95</x:v>
      </x:c>
      <x:c r="B951" s="166" t="str">
        <x:v>EXTRA BALANCE TOP SIERRA FUNDO DE INVESTIMENTO EM DIREITOS CREDITÓRIOS SEGMENTO FINANCEIRO</x:v>
      </x:c>
      <x:c r="C951" s="188" t="n">
        <x:v>123899077.37</x:v>
      </x:c>
      <x:c r="D951" s="166" t="str">
        <x:v>Solis</x:v>
      </x:c>
      <x:c r="E951" s="166" t="str">
        <x:f>IFERROR(INDEX('Classif Gestoras'!$H$6:$H$462,MATCH(D951,'Classif Gestoras'!$A$6:$A$462,0)),"Não classificada")</x:f>
        <x:v>Independente</x:v>
      </x:c>
      <x:c r="F951" s="166" t="str">
        <x:v>HEMERA DTVM</x:v>
      </x:c>
      <x:c r="G951" s="166" t="str">
        <x:v>HEMERA DISTRIBUIDORA DE TITULOS E VALORES MOBILIARIOS LTDA</x:v>
      </x:c>
      <x:c r="H951" s="166" t="str">
        <x:v>Financeiro</x:v>
      </x:c>
      <x:c r="I951" s="166" t="str">
        <x:v>Crédito Pessoal</x:v>
      </x:c>
      <x:c r="J951" s="166" t="str">
        <x:v>CI</x:v>
      </x:c>
      <x:c r="K951" s="172" t="n">
        <x:v>19</x:v>
      </x:c>
      <x:c r="L951" s="185" t="str">
        <x:v>Não classificado</x:v>
      </x:c>
    </x:row>
    <x:row r="952">
      <x:c r="A952" s="175" t="str">
        <x:v>46.744.586/0001-08</x:v>
      </x:c>
      <x:c r="B952" s="166" t="str">
        <x:v>BYRON 61 FUNDO DE INVESTIMENTO EM DIREITOS CREDITÓRIOS NAO PADRONIZADOS</x:v>
      </x:c>
      <x:c r="C952" s="188" t="n">
        <x:v>123699877.1</x:v>
      </x:c>
      <x:c r="D952" s="166" t="str">
        <x:v>ASAROCK ASSET MANAGEMENT</x:v>
      </x:c>
      <x:c r="E952" s="166" t="str">
        <x:f>IFERROR(INDEX('Classif Gestoras'!$H$6:$H$462,MATCH(D952,'Classif Gestoras'!$A$6:$A$462,0)),"Não classificada")</x:f>
        <x:v>Independente</x:v>
      </x:c>
      <x:c r="F952" s="166" t="str">
        <x:v>ID Corretora de Títulos e Valores Mobiliários S.A.</x:v>
      </x:c>
      <x:c r="G952" s="166" t="str">
        <x:v>FINVEST DISTRIBUIDORA DE TÍTULOS E VALORES MOBILIÁRIOS LTDA.</x:v>
      </x:c>
      <x:c r="H952" s="166" t="str">
        <x:v>Outros</x:v>
      </x:c>
      <x:c r="I952" s="166" t="str">
        <x:v>Multicarteira Outros</x:v>
      </x:c>
      <x:c r="J952" s="166" t="str">
        <x:v>CI</x:v>
      </x:c>
      <x:c r="K952" s="172" t="n">
        <x:v>2</x:v>
      </x:c>
      <x:c r="L952" s="185" t="str">
        <x:v>Não classificado</x:v>
      </x:c>
    </x:row>
    <x:row r="953">
      <x:c r="A953" s="175" t="str">
        <x:v>53.908.929/0001-80</x:v>
      </x:c>
      <x:c r="B953" s="166" t="str">
        <x:v>CHIMERA ALTERNATIVE ASSETS V FUNDO DE INVESTIMENTO EM DIREITOS CREDITÓRIOS</x:v>
      </x:c>
      <x:c r="C953" s="188" t="n">
        <x:v>123616212.4</x:v>
      </x:c>
      <x:c r="D953" s="166" t="str">
        <x:v>Chimera Capital Asset Management Ltda.</x:v>
      </x:c>
      <x:c r="E953" s="166" t="str">
        <x:f>IFERROR(INDEX('Classif Gestoras'!$H$6:$H$462,MATCH(D953,'Classif Gestoras'!$A$6:$A$462,0)),"Não classificada")</x:f>
        <x:v>Independente</x:v>
      </x:c>
      <x:c r="F953" s="166" t="str">
        <x:v>VÓRTX DTVM</x:v>
      </x:c>
      <x:c r="G953" s="166" t="str">
        <x:v>Não identificado</x:v>
      </x:c>
      <x:c r="H953" s="166" t="str">
        <x:v>Outros</x:v>
      </x:c>
      <x:c r="I953" s="166" t="str">
        <x:v>Multicarteira Outros</x:v>
      </x:c>
      <x:c r="J953" s="166" t="str">
        <x:v>CI</x:v>
      </x:c>
      <x:c r="K953" s="172" t="n">
        <x:v>37</x:v>
      </x:c>
      <x:c r="L953" s="185" t="str">
        <x:v>Não classificado</x:v>
      </x:c>
    </x:row>
    <x:row r="954">
      <x:c r="A954" s="175" t="str">
        <x:v>49.920.326/0001-26</x:v>
      </x:c>
      <x:c r="B954" s="166" t="str">
        <x:v>BDR KYIV FUNDO DE INVESTIMENTO EM DIREITOS CREDITORIOS - FIDC</x:v>
      </x:c>
      <x:c r="C954" s="188" t="n">
        <x:v>123600445.49</x:v>
      </x:c>
      <x:c r="D954" s="166" t="str">
        <x:v>BDR Asset</x:v>
      </x:c>
      <x:c r="E954" s="166" t="str">
        <x:f>IFERROR(INDEX('Classif Gestoras'!$H$6:$H$462,MATCH(D954,'Classif Gestoras'!$A$6:$A$462,0)),"Não classificada")</x:f>
        <x:v>Independente</x:v>
      </x:c>
      <x:c r="F954" s="166" t="str">
        <x:v>ID Corretora de Títulos e Valores Mobiliários S.A.</x:v>
      </x:c>
      <x:c r="G954" s="166" t="str">
        <x:v>ID CORRETORA DE TITULOS E VALORES MOBILIARIOS S.A.</x:v>
      </x:c>
      <x:c r="H954" s="166" t="str">
        <x:v>Financeiro</x:v>
      </x:c>
      <x:c r="I954" s="166" t="str">
        <x:v>Multicarteira Financeiro</x:v>
      </x:c>
      <x:c r="J954" s="166" t="str">
        <x:v>CI</x:v>
      </x:c>
      <x:c r="K954" s="172" t="n">
        <x:v>7</x:v>
      </x:c>
      <x:c r="L954" s="185" t="str">
        <x:v>Não classificado</x:v>
      </x:c>
    </x:row>
    <x:row r="955">
      <x:c r="A955" s="175" t="str">
        <x:v>17.198.676/0001-34</x:v>
      </x:c>
      <x:c r="B955" s="166" t="str">
        <x:v>AZUL FUNDO DE INVESTIMENTO EM DIREITOS CREDITÓRIOS MULTISSETORIAL - RESPONSABILIDADE LIMITADA</x:v>
      </x:c>
      <x:c r="C955" s="188" t="n">
        <x:v>123513797.01</x:v>
      </x:c>
      <x:c r="D955" s="166" t="str">
        <x:v>Solis</x:v>
      </x:c>
      <x:c r="E955" s="166" t="str">
        <x:f>IFERROR(INDEX('Classif Gestoras'!$H$6:$H$462,MATCH(D955,'Classif Gestoras'!$A$6:$A$462,0)),"Não classificada")</x:f>
        <x:v>Independente</x:v>
      </x:c>
      <x:c r="F955" s="166" t="str">
        <x:v>HEMERA DTVM</x:v>
      </x:c>
      <x:c r="G955" s="166" t="str">
        <x:v>HEMERA DISTRIBUIDORA DE TITULOS E VALORES MOBILIARIOS LTDA</x:v>
      </x:c>
      <x:c r="H955" s="166" t="str">
        <x:v>Outros</x:v>
      </x:c>
      <x:c r="I955" s="166" t="str">
        <x:v>Multicarteira Outros</x:v>
      </x:c>
      <x:c r="J955" s="166" t="str">
        <x:v>CI</x:v>
      </x:c>
      <x:c r="K955" s="172" t="n">
        <x:v>1</x:v>
      </x:c>
      <x:c r="L955" s="185" t="str">
        <x:v>Não classificado</x:v>
      </x:c>
    </x:row>
    <x:row r="956">
      <x:c r="A956" s="175" t="str">
        <x:v>57.407.013/0001-05</x:v>
      </x:c>
      <x:c r="B956" s="166" t="str">
        <x:v>VARYAGI I FUNDO DE INVESTIMENTO EM DIREITOS CREDITÓRIOS CONSIGNADO PÚBLICO RESPONSABILIDADE LIMITADA</x:v>
      </x:c>
      <x:c r="C956" s="188" t="n">
        <x:v>123120443.81</x:v>
      </x:c>
      <x:c r="D956" s="166" t="str">
        <x:v>Brave Asset</x:v>
      </x:c>
      <x:c r="E956" s="166" t="str">
        <x:f>IFERROR(INDEX('Classif Gestoras'!$H$6:$H$462,MATCH(D956,'Classif Gestoras'!$A$6:$A$462,0)),"Não classificada")</x:f>
        <x:v>Independente</x:v>
      </x:c>
      <x:c r="F956" s="166" t="str">
        <x:v>Banvox DTVM</x:v>
      </x:c>
      <x:c r="G956" s="166" t="str">
        <x:v>HEMERA DISTRIBUIDORA DE TITULOS E VALORES MOBILIARIOS LTDA</x:v>
      </x:c>
      <x:c r="H956" s="166" t="str">
        <x:v>Financeiro</x:v>
      </x:c>
      <x:c r="I956" s="166" t="str">
        <x:v>Crédito Consignado</x:v>
      </x:c>
      <x:c r="J956" s="166" t="str">
        <x:v>CI</x:v>
      </x:c>
      <x:c r="K956" s="172" t="n">
        <x:v>43</x:v>
      </x:c>
      <x:c r="L956" s="185" t="str">
        <x:v>Não classificado</x:v>
      </x:c>
    </x:row>
    <x:row r="957">
      <x:c r="A957" s="175" t="str">
        <x:v>36.335.649/0001-00</x:v>
      </x:c>
      <x:c r="B957" s="166" t="str">
        <x:v>FUNDO DE INVESTIMENTO EM DIREITOS CREDITÓRIOS SPECIAL SITUATIONS</x:v>
      </x:c>
      <x:c r="C957" s="188" t="n">
        <x:v>123081496.59</x:v>
      </x:c>
      <x:c r="D957" s="166" t="str">
        <x:v>BRL TRUST DTVM</x:v>
      </x:c>
      <x:c r="E957" s="166" t="str">
        <x:f>IFERROR(INDEX('Classif Gestoras'!$H$6:$H$462,MATCH(D957,'Classif Gestoras'!$A$6:$A$462,0)),"Não classificada")</x:f>
        <x:v>Independente</x:v>
      </x:c>
      <x:c r="F957" s="166" t="str">
        <x:v>BRL TRUST DTVM</x:v>
      </x:c>
      <x:c r="G957" s="166" t="str">
        <x:v>BRL TRUST DISTRIBUIDORA DE TITULOS E VALORES MOBILIARIOS S.A.</x:v>
      </x:c>
      <x:c r="H957" s="166" t="str">
        <x:v>Agro, Indústria e Comércio</x:v>
      </x:c>
      <x:c r="I957" s="166" t="str">
        <x:v>Infraestrutura</x:v>
      </x:c>
      <x:c r="J957" s="166" t="str">
        <x:v>CI</x:v>
      </x:c>
      <x:c r="K957" s="172" t="n">
        <x:v>1</x:v>
      </x:c>
      <x:c r="L957" s="185" t="str">
        <x:v>Não classificado</x:v>
      </x:c>
    </x:row>
    <x:row r="958">
      <x:c r="A958" s="175" t="str">
        <x:v>19.187.295/0001-85</x:v>
      </x:c>
      <x:c r="B958" s="166" t="str">
        <x:v>VECTOR FUNDO DE INVESTIMENTO EM DIREITOS CREDITÓRIOS MULTISSETORIAL</x:v>
      </x:c>
      <x:c r="C958" s="188" t="n">
        <x:v>123032081.47</x:v>
      </x:c>
      <x:c r="D958" s="166" t="str">
        <x:v>TERCON ASSET MANAGEMENT</x:v>
      </x:c>
      <x:c r="E958" s="166" t="str">
        <x:f>IFERROR(INDEX('Classif Gestoras'!$H$6:$H$462,MATCH(D958,'Classif Gestoras'!$A$6:$A$462,0)),"Não classificada")</x:f>
        <x:v>Independente</x:v>
      </x:c>
      <x:c r="F958" s="166" t="str">
        <x:v>HEMERA DTVM</x:v>
      </x:c>
      <x:c r="G958" s="166" t="str">
        <x:v>HEMERA DISTRIBUIDORA DE TITULOS E VALORES MOBILIARIOS LTDA</x:v>
      </x:c>
      <x:c r="H958" s="166" t="str">
        <x:v>Financeiro</x:v>
      </x:c>
      <x:c r="I958" s="166" t="str">
        <x:v>Multicarteira Financeiro</x:v>
      </x:c>
      <x:c r="J958" s="166" t="str">
        <x:v>CI</x:v>
      </x:c>
      <x:c r="K958" s="172" t="n">
        <x:v>18</x:v>
      </x:c>
      <x:c r="L958" s="185" t="str">
        <x:v>Não classificado</x:v>
      </x:c>
    </x:row>
    <x:row r="959">
      <x:c r="A959" s="175" t="str">
        <x:v>63.396.234/0001-10</x:v>
      </x:c>
      <x:c r="B959" s="166" t="str">
        <x:v>NEXA FORTIS FUNDO DE INVESTIMENTO EM DIREITOS CREDITÓRIOS</x:v>
      </x:c>
      <x:c r="C959" s="188" t="n">
        <x:v>122503193.27</x:v>
      </x:c>
      <x:c r="D959" s="166" t="str">
        <x:v>Catálise Investimentos</x:v>
      </x:c>
      <x:c r="E959" s="166" t="str">
        <x:f>IFERROR(INDEX('Classif Gestoras'!$H$6:$H$462,MATCH(D959,'Classif Gestoras'!$A$6:$A$462,0)),"Não classificada")</x:f>
        <x:v>Independente</x:v>
      </x:c>
      <x:c r="F959" s="166" t="str">
        <x:v>CATÁLISE DTVM</x:v>
      </x:c>
      <x:c r="G959" s="166" t="str">
        <x:v>BANCO DAYCOVAL S.A.</x:v>
      </x:c>
      <x:c r="H959" s="166" t="str">
        <x:v>Outros</x:v>
      </x:c>
      <x:c r="I959" s="166" t="str">
        <x:v>Multicarteira Outros</x:v>
      </x:c>
      <x:c r="J959" s="166" t="str">
        <x:v>CI</x:v>
      </x:c>
      <x:c r="K959" s="172" t="n">
        <x:v>1</x:v>
      </x:c>
      <x:c r="L959" s="185" t="str">
        <x:v>Não classificado</x:v>
      </x:c>
    </x:row>
    <x:row r="960">
      <x:c r="A960" s="175" t="str">
        <x:v>47.846.883/0001-19</x:v>
      </x:c>
      <x:c r="B960" s="166" t="str">
        <x:v>FMD FUNDO DE INVESTIMENTO EM DIREITOS CREDITÓRIOS</x:v>
      </x:c>
      <x:c r="C960" s="188" t="n">
        <x:v>122439809.05</x:v>
      </x:c>
      <x:c r="D960" s="166" t="str">
        <x:v>TERCON ASSET MANAGEMENT</x:v>
      </x:c>
      <x:c r="E960" s="166" t="str">
        <x:f>IFERROR(INDEX('Classif Gestoras'!$H$6:$H$462,MATCH(D960,'Classif Gestoras'!$A$6:$A$462,0)),"Não classificada")</x:f>
        <x:v>Independente</x:v>
      </x:c>
      <x:c r="F960" s="166" t="str">
        <x:v>Singulare</x:v>
      </x:c>
      <x:c r="G960" s="166" t="str">
        <x:v>QI CORRETORA DE TÍTULOS E VALORES MOBILIÁRIOS S.A.</x:v>
      </x:c>
      <x:c r="H960" s="166" t="str">
        <x:v>Fomento Mercantil</x:v>
      </x:c>
      <x:c r="I960" s="166" t="str">
        <x:v>Fomento Mercantil</x:v>
      </x:c>
      <x:c r="J960" s="166" t="str">
        <x:v>CI</x:v>
      </x:c>
      <x:c r="K960" s="172" t="n">
        <x:v>38</x:v>
      </x:c>
      <x:c r="L960" s="185" t="str">
        <x:v>Não classificado</x:v>
      </x:c>
    </x:row>
    <x:row r="961">
      <x:c r="A961" s="175" t="str">
        <x:v>33.823.944/0001-18</x:v>
      </x:c>
      <x:c r="B961" s="166" t="str">
        <x:v>EXPLORER FUNDO DE INVESTIMENTO EM DIREITOS CREDITÓRIOS</x:v>
      </x:c>
      <x:c r="C961" s="188" t="n">
        <x:v>122192818.73000002</x:v>
      </x:c>
      <x:c r="D961" s="166" t="str">
        <x:v>Multiplica Capital</x:v>
      </x:c>
      <x:c r="E961" s="166" t="str">
        <x:f>IFERROR(INDEX('Classif Gestoras'!$H$6:$H$462,MATCH(D961,'Classif Gestoras'!$A$6:$A$462,0)),"Não classificada")</x:f>
        <x:v>Independente</x:v>
      </x:c>
      <x:c r="F961" s="166" t="str">
        <x:v>PLANNER CV</x:v>
      </x:c>
      <x:c r="G961" s="166" t="str">
        <x:v>PLANNER CORRETORA DE VALORES S.A.</x:v>
      </x:c>
      <x:c r="H961" s="166" t="str">
        <x:v>Outros</x:v>
      </x:c>
      <x:c r="I961" s="166" t="str">
        <x:v>Multicarteira Outros</x:v>
      </x:c>
      <x:c r="J961" s="166" t="str">
        <x:v>CI</x:v>
      </x:c>
      <x:c r="K961" s="172" t="n">
        <x:v>17</x:v>
      </x:c>
      <x:c r="L961" s="185" t="str">
        <x:v>Não classificado</x:v>
      </x:c>
    </x:row>
    <x:row r="962">
      <x:c r="A962" s="175" t="str">
        <x:v>48.965.359/0001-20</x:v>
      </x:c>
      <x:c r="B962" s="166" t="str">
        <x:v>FATTOR FUNDO DE INVESTIMENTO EM DIREITOS CREDITÓRIOS</x:v>
      </x:c>
      <x:c r="C962" s="188" t="n">
        <x:v>121493253.98</x:v>
      </x:c>
      <x:c r="D962" s="166" t="str">
        <x:v>TERCON ASSET MANAGEMENT</x:v>
      </x:c>
      <x:c r="E962" s="166" t="str">
        <x:f>IFERROR(INDEX('Classif Gestoras'!$H$6:$H$462,MATCH(D962,'Classif Gestoras'!$A$6:$A$462,0)),"Não classificada")</x:f>
        <x:v>Independente</x:v>
      </x:c>
      <x:c r="F962" s="166" t="str">
        <x:v>Singulare</x:v>
      </x:c>
      <x:c r="G962" s="166" t="str">
        <x:v>QI CORRETORA DE TÍTULOS E VALORES MOBILIÁRIOS S.A.</x:v>
      </x:c>
      <x:c r="H962" s="166" t="str">
        <x:v>Fomento Mercantil</x:v>
      </x:c>
      <x:c r="I962" s="166" t="str">
        <x:v>Fomento Mercantil</x:v>
      </x:c>
      <x:c r="J962" s="166" t="str">
        <x:v>CI</x:v>
      </x:c>
      <x:c r="K962" s="172" t="n">
        <x:v>36</x:v>
      </x:c>
      <x:c r="L962" s="185" t="str">
        <x:v>Não classificado</x:v>
      </x:c>
    </x:row>
    <x:row r="963">
      <x:c r="A963" s="175" t="str">
        <x:v>52.808.215/0001-37</x:v>
      </x:c>
      <x:c r="B963" s="166" t="str">
        <x:v>LUMUS FUNDO DE INVESTIMENTO EM DIREITOS CREDITÓRIOS - RESPONSABILIDADE LIMITADA</x:v>
      </x:c>
      <x:c r="C963" s="188" t="n">
        <x:v>121422969.99</x:v>
      </x:c>
      <x:c r="D963" s="166" t="str">
        <x:v>SOSU CAPITAL GESTÃO DE INVESTIMENTOS LTDA.</x:v>
      </x:c>
      <x:c r="E963" s="166" t="str">
        <x:f>IFERROR(INDEX('Classif Gestoras'!$H$6:$H$462,MATCH(D963,'Classif Gestoras'!$A$6:$A$462,0)),"Não classificada")</x:f>
        <x:v>Independente</x:v>
      </x:c>
      <x:c r="F963" s="166" t="str">
        <x:v>BRL TRUST DTVM</x:v>
      </x:c>
      <x:c r="G963" s="166" t="str">
        <x:v>BRL TRUST DISTRIBUIDORA DE TITULOS E VALORES MOBILIARIOS S.A.</x:v>
      </x:c>
      <x:c r="H963" s="166" t="str">
        <x:v>Outros</x:v>
      </x:c>
      <x:c r="I963" s="166" t="str">
        <x:v>Poder Público</x:v>
      </x:c>
      <x:c r="J963" s="166" t="str">
        <x:v>CI</x:v>
      </x:c>
      <x:c r="K963" s="172" t="n">
        <x:v>1</x:v>
      </x:c>
      <x:c r="L963" s="185" t="str">
        <x:v>Não classificado</x:v>
      </x:c>
    </x:row>
    <x:row r="964">
      <x:c r="A964" s="175" t="str">
        <x:v>35.689.357/0001-03</x:v>
      </x:c>
      <x:c r="B964" s="166" t="str">
        <x:v>ÁSTER FUNDO DE INVESTIMENTO EM DIREITOS CREDITÓRIOS NÃO-PADRONIZADOS</x:v>
      </x:c>
      <x:c r="C964" s="188" t="n">
        <x:v>121327508.61</x:v>
      </x:c>
      <x:c r="D964" s="166" t="str">
        <x:v>G5 Adm. de Recursos</x:v>
      </x:c>
      <x:c r="E964" s="166" t="str">
        <x:f>IFERROR(INDEX('Classif Gestoras'!$H$6:$H$462,MATCH(D964,'Classif Gestoras'!$A$6:$A$462,0)),"Não classificada")</x:f>
        <x:v>Independente</x:v>
      </x:c>
      <x:c r="F964" s="166" t="str">
        <x:v>Oliveira Trust DTVM</x:v>
      </x:c>
      <x:c r="G964" s="166" t="str">
        <x:v>OLIVEIRA TRUST DTVM S.A.</x:v>
      </x:c>
      <x:c r="H964" s="166" t="str">
        <x:v>Outros</x:v>
      </x:c>
      <x:c r="I964" s="166" t="str">
        <x:v>Poder Público</x:v>
      </x:c>
      <x:c r="J964" s="166" t="str">
        <x:v>CI</x:v>
      </x:c>
      <x:c r="K964" s="172" t="n">
        <x:v>3</x:v>
      </x:c>
      <x:c r="L964" s="185" t="str">
        <x:v>Não classificado</x:v>
      </x:c>
    </x:row>
    <x:row r="965">
      <x:c r="A965" s="175" t="str">
        <x:v>59.560.195/0001-77</x:v>
      </x:c>
      <x:c r="B965" s="166" t="str">
        <x:v>OCCAM PORTFOLIO CRÉDITO FUNDO DE INVESTIMENTO EM DIREITOS CREDITÓRIOS DE RESPONSABILIDADE LIMITADA</x:v>
      </x:c>
      <x:c r="C965" s="188" t="n">
        <x:v>121320111.37</x:v>
      </x:c>
      <x:c r="D965" s="166" t="str">
        <x:v>NOVA OCCAM BRASIL GESTÃO DE RECURSOS LTDA.</x:v>
      </x:c>
      <x:c r="E965" s="166" t="str">
        <x:f>IFERROR(INDEX('Classif Gestoras'!$H$6:$H$462,MATCH(D965,'Classif Gestoras'!$A$6:$A$462,0)),"Não classificada")</x:f>
        <x:v>Independente</x:v>
      </x:c>
      <x:c r="F965" s="166" t="str">
        <x:v>XPI CCTVM S/A</x:v>
      </x:c>
      <x:c r="G965" s="166" t="str">
        <x:v>OLIVEIRA TRUST DTVM S.A.</x:v>
      </x:c>
      <x:c r="H965" s="166" t="str">
        <x:v>Outros</x:v>
      </x:c>
      <x:c r="I965" s="166" t="str">
        <x:v>Multicarteira Outros</x:v>
      </x:c>
      <x:c r="J965" s="166" t="str">
        <x:v>CI</x:v>
      </x:c>
      <x:c r="K965" s="172" t="n">
        <x:v>1682</x:v>
      </x:c>
      <x:c r="L965" s="185" t="str">
        <x:v>Não classificado</x:v>
      </x:c>
    </x:row>
    <x:row r="966">
      <x:c r="A966" s="175" t="str">
        <x:v>61.942.290/0001-87</x:v>
      </x:c>
      <x:c r="B966" s="166" t="str">
        <x:v>MONT BLANC FEDERAL FUNDO DE INVESTIMENTO EM DIREITOS CREDITÓRIOS - RESPONSABILIDADE LIMITADA</x:v>
      </x:c>
      <x:c r="C966" s="188" t="n">
        <x:v>121089954.18</x:v>
      </x:c>
      <x:c r="D966" s="166" t="str">
        <x:v>SUESTE CAPITAL GESTÃO DE RECURSOS LTDA.</x:v>
      </x:c>
      <x:c r="E966" s="166" t="str">
        <x:f>IFERROR(INDEX('Classif Gestoras'!$H$6:$H$462,MATCH(D966,'Classif Gestoras'!$A$6:$A$462,0)),"Não classificada")</x:f>
        <x:v>Independente</x:v>
      </x:c>
      <x:c r="F966" s="166" t="str">
        <x:v>BANCO DAYCOVAL S/A</x:v>
      </x:c>
      <x:c r="G966" s="166" t="str">
        <x:v>BANCO DAYCOVAL S.A.</x:v>
      </x:c>
      <x:c r="H966" s="166" t="str">
        <x:v>Financeiro</x:v>
      </x:c>
      <x:c r="I966" s="166" t="str">
        <x:v>Crédito Consignado</x:v>
      </x:c>
      <x:c r="J966" s="166" t="str">
        <x:v>CI</x:v>
      </x:c>
      <x:c r="K966" s="172" t="n">
        <x:v>8</x:v>
      </x:c>
      <x:c r="L966" s="185" t="str">
        <x:v>Não classificado</x:v>
      </x:c>
    </x:row>
    <x:row r="967">
      <x:c r="A967" s="175" t="str">
        <x:v>33.490.076/0001-00</x:v>
      </x:c>
      <x:c r="B967" s="166" t="str">
        <x:v>ASSET BANK - II FUNDO DE INVESTIMENTO EM DIREITOS CREDITORIOS</x:v>
      </x:c>
      <x:c r="C967" s="188" t="n">
        <x:v>120977547.95</x:v>
      </x:c>
      <x:c r="D967" s="166" t="str">
        <x:v>ASSET MANAGEMENT</x:v>
      </x:c>
      <x:c r="E967" s="166" t="str">
        <x:f>IFERROR(INDEX('Classif Gestoras'!$H$6:$H$462,MATCH(D967,'Classif Gestoras'!$A$6:$A$462,0)),"Não classificada")</x:f>
        <x:v>Independente</x:v>
      </x:c>
      <x:c r="F967" s="166" t="str">
        <x:v>AZUMI DISTRIBUIDORA DE TÍTULOS E VALORES MOBILIÁRIOS LT</x:v>
      </x:c>
      <x:c r="G967" s="166" t="str">
        <x:v>AZUMI DISTRIBUIDORA DE TÍTULOS E VALORES MOBILIÁRIOS LTDA.</x:v>
      </x:c>
      <x:c r="H967" s="166" t="str">
        <x:v>Fomento Mercantil</x:v>
      </x:c>
      <x:c r="I967" s="166" t="str">
        <x:v>Fomento Mercantil</x:v>
      </x:c>
      <x:c r="J967" s="166" t="str">
        <x:v>CI</x:v>
      </x:c>
      <x:c r="K967" s="172" t="n">
        <x:v>165</x:v>
      </x:c>
      <x:c r="L967" s="185" t="str">
        <x:v>Não classificado</x:v>
      </x:c>
    </x:row>
    <x:row r="968">
      <x:c r="A968" s="175" t="str">
        <x:v>63.350.255/0001-02</x:v>
      </x:c>
      <x:c r="B968" s="166" t="str">
        <x:v>MERCADO CRÉDITO ESTRUTURADO FUNDO DE INVESTIMENTO EM DIREITOS CREDITÓRIOS RESPONSABILIDADE LIMITADA</x:v>
      </x:c>
      <x:c r="C968" s="188" t="n">
        <x:v>120857690.56</x:v>
      </x:c>
      <x:c r="D968" s="166" t="str">
        <x:v>POLÍGONO CAPITAL LTDA.</x:v>
      </x:c>
      <x:c r="E968" s="166" t="str">
        <x:f>IFERROR(INDEX('Classif Gestoras'!$H$6:$H$462,MATCH(D968,'Classif Gestoras'!$A$6:$A$462,0)),"Não classificada")</x:f>
        <x:v>Independente</x:v>
      </x:c>
      <x:c r="F968" s="166" t="str">
        <x:v>BTG Pactual Servicos Financeiros S/A DTVM</x:v>
      </x:c>
      <x:c r="G968" s="166" t="str">
        <x:v>BANCO BTG PACTUAL S/A</x:v>
      </x:c>
      <x:c r="H968" s="166" t="str">
        <x:v>Outros</x:v>
      </x:c>
      <x:c r="I968" s="166" t="str">
        <x:v>Recuperação</x:v>
      </x:c>
      <x:c r="J968" s="166" t="str">
        <x:v>CI</x:v>
      </x:c>
      <x:c r="K968" s="172" t="n">
        <x:v>8</x:v>
      </x:c>
      <x:c r="L968" s="185" t="str">
        <x:v>Não classificado</x:v>
      </x:c>
    </x:row>
    <x:row r="969">
      <x:c r="A969" s="175" t="str">
        <x:v>20.905.778/0001-57</x:v>
      </x:c>
      <x:c r="B969" s="166" t="str">
        <x:v>ACCESS FUNDO DE INVESTIMENTO EM DIREITOS CREDITÓRIOS ABERTO MULTISSETORIAL RESPONSABILIDADE LIMITADA</x:v>
      </x:c>
      <x:c r="C969" s="188" t="n">
        <x:v>120484159.13</x:v>
      </x:c>
      <x:c r="D969" s="166" t="str">
        <x:v>Global Gestão e Investimentos</x:v>
      </x:c>
      <x:c r="E969" s="166" t="str">
        <x:f>IFERROR(INDEX('Classif Gestoras'!$H$6:$H$462,MATCH(D969,'Classif Gestoras'!$A$6:$A$462,0)),"Não classificada")</x:f>
        <x:v>Independente</x:v>
      </x:c>
      <x:c r="F969" s="166" t="str">
        <x:v>Singulare</x:v>
      </x:c>
      <x:c r="G969" s="166" t="str">
        <x:v>QI CORRETORA DE TÍTULOS E VALORES MOBILIÁRIOS S.A.</x:v>
      </x:c>
      <x:c r="H969" s="166" t="str">
        <x:v>Outros</x:v>
      </x:c>
      <x:c r="I969" s="166" t="str">
        <x:v>Multicarteira Outros</x:v>
      </x:c>
      <x:c r="J969" s="166" t="str">
        <x:v>CI</x:v>
      </x:c>
      <x:c r="K969" s="172" t="n">
        <x:v>5</x:v>
      </x:c>
      <x:c r="L969" s="185" t="str">
        <x:v>Não classificado</x:v>
      </x:c>
    </x:row>
    <x:row r="970">
      <x:c r="A970" s="175" t="str">
        <x:v>57.624.136/0001-90</x:v>
      </x:c>
      <x:c r="B970" s="166" t="str">
        <x:v>GUARDIAN MULTI CONSIGNADO XI FUNDO DE INVESTIMENTO EM DIREITOS CREDITÓRIOS RESPONSABILIDADE LIMITADA</x:v>
      </x:c>
      <x:c r="C970" s="188" t="n">
        <x:v>120156345.66</x:v>
      </x:c>
      <x:c r="D970" s="166" t="str">
        <x:v>Guardian Gestora</x:v>
      </x:c>
      <x:c r="E970" s="166" t="str">
        <x:f>IFERROR(INDEX('Classif Gestoras'!$H$6:$H$462,MATCH(D970,'Classif Gestoras'!$A$6:$A$462,0)),"Não classificada")</x:f>
        <x:v>Independente</x:v>
      </x:c>
      <x:c r="F970" s="166" t="str">
        <x:v>BANCO DAYCOVAL S/A</x:v>
      </x:c>
      <x:c r="G970" s="166" t="str">
        <x:v>BANCO DAYCOVAL S.A.</x:v>
      </x:c>
      <x:c r="H970" s="166" t="str">
        <x:v>Financeiro</x:v>
      </x:c>
      <x:c r="I970" s="166" t="str">
        <x:v>Crédito Consignado</x:v>
      </x:c>
      <x:c r="J970" s="166" t="str">
        <x:v>CI</x:v>
      </x:c>
      <x:c r="K970" s="172" t="n">
        <x:v>2</x:v>
      </x:c>
      <x:c r="L970" s="185" t="str">
        <x:v>Não classificado</x:v>
      </x:c>
    </x:row>
    <x:row r="971">
      <x:c r="A971" s="175" t="str">
        <x:v>20.093.934/0001-22</x:v>
      </x:c>
      <x:c r="B971" s="166" t="str">
        <x:v>DBS FUNDO DE INVESTIMENTO EM DIREITOS CREDITORIOS</x:v>
      </x:c>
      <x:c r="C971" s="188" t="n">
        <x:v>119716093.32</x:v>
      </x:c>
      <x:c r="D971" s="166" t="str">
        <x:v>Artesanal Investimentos</x:v>
      </x:c>
      <x:c r="E971" s="166" t="str">
        <x:f>IFERROR(INDEX('Classif Gestoras'!$H$6:$H$462,MATCH(D971,'Classif Gestoras'!$A$6:$A$462,0)),"Não classificada")</x:f>
        <x:v>Independente</x:v>
      </x:c>
      <x:c r="F971" s="166" t="str">
        <x:v>Singulare</x:v>
      </x:c>
      <x:c r="G971" s="166" t="str">
        <x:v>Não identificado</x:v>
      </x:c>
      <x:c r="H971" s="166" t="str">
        <x:v>Outros</x:v>
      </x:c>
      <x:c r="I971" s="166" t="str">
        <x:v>Multicarteira Outros</x:v>
      </x:c>
      <x:c r="J971" s="166" t="str">
        <x:v>CI</x:v>
      </x:c>
      <x:c r="K971" s="172" t="n">
        <x:v>0</x:v>
      </x:c>
      <x:c r="L971" s="185" t="str">
        <x:v>Não classificado</x:v>
      </x:c>
    </x:row>
    <x:row r="972">
      <x:c r="A972" s="175" t="str">
        <x:v>47.117.685/0001-14</x:v>
      </x:c>
      <x:c r="B972" s="166" t="str">
        <x:v>SOLIS KEDU FUNDO DE INVESTIMENTO EM DIREITOS CREDITÓRIOS</x:v>
      </x:c>
      <x:c r="C972" s="188" t="n">
        <x:v>119326566.15</x:v>
      </x:c>
      <x:c r="D972" s="166" t="str">
        <x:v>Solis</x:v>
      </x:c>
      <x:c r="E972" s="166" t="str">
        <x:f>IFERROR(INDEX('Classif Gestoras'!$H$6:$H$462,MATCH(D972,'Classif Gestoras'!$A$6:$A$462,0)),"Não classificada")</x:f>
        <x:v>Independente</x:v>
      </x:c>
      <x:c r="F972" s="166" t="str">
        <x:v>HEMERA DTVM</x:v>
      </x:c>
      <x:c r="G972" s="166" t="str">
        <x:v>HEMERA DISTRIBUIDORA DE TITULOS E VALORES MOBILIARIOS LTDA</x:v>
      </x:c>
      <x:c r="H972" s="166" t="str">
        <x:v>Agro, Indústria e Comércio</x:v>
      </x:c>
      <x:c r="I972" s="166" t="str">
        <x:v>Recebíveis Comerciais</x:v>
      </x:c>
      <x:c r="J972" s="166" t="str">
        <x:v>CI</x:v>
      </x:c>
      <x:c r="K972" s="172" t="n">
        <x:v>22</x:v>
      </x:c>
      <x:c r="L972" s="185" t="str">
        <x:v>Não classificado</x:v>
      </x:c>
    </x:row>
    <x:row r="973">
      <x:c r="A973" s="175" t="str">
        <x:v>34.218.918/0001-23</x:v>
      </x:c>
      <x:c r="B973" s="166" t="str">
        <x:v>LGX FUNDO DE INVESTIMENTO EM DIREITOS CREDITÓRIOS - RESPONSABILIDADE LIMITADA</x:v>
      </x:c>
      <x:c r="C973" s="188" t="n">
        <x:v>119305754.66</x:v>
      </x:c>
      <x:c r="D973" s="166" t="str">
        <x:v>ARTESANAL MCMS</x:v>
      </x:c>
      <x:c r="E973" s="166" t="str">
        <x:f>IFERROR(INDEX('Classif Gestoras'!$H$6:$H$462,MATCH(D973,'Classif Gestoras'!$A$6:$A$462,0)),"Não classificada")</x:f>
        <x:v>Independente</x:v>
      </x:c>
      <x:c r="F973" s="166" t="str">
        <x:v>Singulare</x:v>
      </x:c>
      <x:c r="G973" s="166" t="str">
        <x:v>QI CORRETORA DE TÍTULOS E VALORES MOBILIÁRIOS S.A.</x:v>
      </x:c>
      <x:c r="H973" s="166" t="str">
        <x:v>Fomento Mercantil</x:v>
      </x:c>
      <x:c r="I973" s="166" t="str">
        <x:v>Fomento Mercantil</x:v>
      </x:c>
      <x:c r="J973" s="166" t="str">
        <x:v>CI</x:v>
      </x:c>
      <x:c r="K973" s="172" t="n">
        <x:v>14</x:v>
      </x:c>
      <x:c r="L973" s="185" t="str">
        <x:v>Não classificado</x:v>
      </x:c>
    </x:row>
    <x:row r="974">
      <x:c r="A974" s="175" t="str">
        <x:v>45.019.040/0001-13</x:v>
      </x:c>
      <x:c r="B974" s="166" t="str">
        <x:v>AFL INVEST FUNDO DE INVESTIMENTO EM DIREITOS CREDITÓRIOS NÃO-PADRONIZADOS RESP LIMITADA</x:v>
      </x:c>
      <x:c r="C974" s="188" t="n">
        <x:v>119250481.19</x:v>
      </x:c>
      <x:c r="D974" s="166" t="str">
        <x:v>Bless Capital Gestora de Recursos Ltda.</x:v>
      </x:c>
      <x:c r="E974" s="166" t="str">
        <x:f>IFERROR(INDEX('Classif Gestoras'!$H$6:$H$462,MATCH(D974,'Classif Gestoras'!$A$6:$A$462,0)),"Não classificada")</x:f>
        <x:v>Independente</x:v>
      </x:c>
      <x:c r="F974" s="166" t="str">
        <x:v>ID Corretora de Títulos e Valores Mobiliários S.A.</x:v>
      </x:c>
      <x:c r="G974" s="166" t="str">
        <x:v>ID CORRETORA DE TITULOS E VALORES MOBILIARIOS S.A.</x:v>
      </x:c>
      <x:c r="H974" s="166" t="str">
        <x:v>Outros</x:v>
      </x:c>
      <x:c r="I974" s="166" t="str">
        <x:v>Multicarteira Outros</x:v>
      </x:c>
      <x:c r="J974" s="166" t="str">
        <x:v>CI</x:v>
      </x:c>
      <x:c r="K974" s="172" t="n">
        <x:v>4</x:v>
      </x:c>
      <x:c r="L974" s="185" t="str">
        <x:v>Não classificado</x:v>
      </x:c>
    </x:row>
    <x:row r="975">
      <x:c r="A975" s="175" t="str">
        <x:v>31.771.948/0001-74</x:v>
      </x:c>
      <x:c r="B975" s="166" t="str">
        <x:v>VLA FUNDO DE INVESTIMENTO EM DIREITOS CREDITORIOS - RESPONSABILIDADE LIMITADA</x:v>
      </x:c>
      <x:c r="C975" s="188" t="n">
        <x:v>119130794.8</x:v>
      </x:c>
      <x:c r="D975" s="166" t="str">
        <x:v>G5 Adm. de Recursos</x:v>
      </x:c>
      <x:c r="E975" s="166" t="str">
        <x:f>IFERROR(INDEX('Classif Gestoras'!$H$6:$H$462,MATCH(D975,'Classif Gestoras'!$A$6:$A$462,0)),"Não classificada")</x:f>
        <x:v>Independente</x:v>
      </x:c>
      <x:c r="F975" s="166" t="str">
        <x:v>Singulare</x:v>
      </x:c>
      <x:c r="G975" s="166" t="str">
        <x:v>QI CORRETORA DE TÍTULOS E VALORES MOBILIÁRIOS S.A.</x:v>
      </x:c>
      <x:c r="H975" s="166" t="str">
        <x:v>Agro, Indústria e Comércio</x:v>
      </x:c>
      <x:c r="I975" s="166" t="str">
        <x:v>Agronegócio</x:v>
      </x:c>
      <x:c r="J975" s="166" t="str">
        <x:v>CI</x:v>
      </x:c>
      <x:c r="K975" s="172" t="n">
        <x:v>4</x:v>
      </x:c>
      <x:c r="L975" s="185" t="str">
        <x:v>Não classificado</x:v>
      </x:c>
    </x:row>
    <x:row r="976">
      <x:c r="A976" s="175" t="str">
        <x:v>29.284.754/0001-00</x:v>
      </x:c>
      <x:c r="B976" s="166" t="str">
        <x:v>FUNDO DE INVESTIMENTO EM DIREITOS CREDITÓRIOS RIOJA</x:v>
      </x:c>
      <x:c r="C976" s="188" t="n">
        <x:v>119104081.40999998</x:v>
      </x:c>
      <x:c r="D976" s="166" t="str">
        <x:v>PLANNER CV</x:v>
      </x:c>
      <x:c r="E976" s="166" t="str">
        <x:f>IFERROR(INDEX('Classif Gestoras'!$H$6:$H$462,MATCH(D976,'Classif Gestoras'!$A$6:$A$462,0)),"Não classificada")</x:f>
        <x:v>Independente</x:v>
      </x:c>
      <x:c r="F976" s="166" t="str">
        <x:v>PLANNER CV</x:v>
      </x:c>
      <x:c r="G976" s="166" t="str">
        <x:v>PLANNER CORRETORA DE VALORES S.A.</x:v>
      </x:c>
      <x:c r="H976" s="166" t="str">
        <x:v>Outros</x:v>
      </x:c>
      <x:c r="I976" s="166" t="str">
        <x:v>Multicarteira Outros</x:v>
      </x:c>
      <x:c r="J976" s="166" t="str">
        <x:v>CI</x:v>
      </x:c>
      <x:c r="K976" s="172" t="n">
        <x:v>2</x:v>
      </x:c>
      <x:c r="L976" s="185" t="str">
        <x:v>Não classificado</x:v>
      </x:c>
    </x:row>
    <x:row r="977">
      <x:c r="A977" s="175" t="str">
        <x:v>40.698.790/0001-45</x:v>
      </x:c>
      <x:c r="B977" s="166" t="str">
        <x:v>BBA FINANCE FUNDO DE INVESTIMENTO EM DIREITOS CREDITÓRIOS</x:v>
      </x:c>
      <x:c r="C977" s="188" t="n">
        <x:v>119069986.87</x:v>
      </x:c>
      <x:c r="D977" s="166" t="str">
        <x:v>FigTree Capital</x:v>
      </x:c>
      <x:c r="E977" s="166" t="str">
        <x:f>IFERROR(INDEX('Classif Gestoras'!$H$6:$H$462,MATCH(D977,'Classif Gestoras'!$A$6:$A$462,0)),"Não classificada")</x:f>
        <x:v>Independente</x:v>
      </x:c>
      <x:c r="F977" s="166" t="str">
        <x:v>BRL TRUST DTVM</x:v>
      </x:c>
      <x:c r="G977" s="166" t="str">
        <x:v>BRL TRUST DISTRIBUIDORA DE TITULOS E VALORES MOBILIARIOS S.A.</x:v>
      </x:c>
      <x:c r="H977" s="166" t="str">
        <x:v>Outros</x:v>
      </x:c>
      <x:c r="I977" s="166" t="str">
        <x:v>Recuperação</x:v>
      </x:c>
      <x:c r="J977" s="166" t="str">
        <x:v>CI</x:v>
      </x:c>
      <x:c r="K977" s="172" t="n">
        <x:v>3</x:v>
      </x:c>
      <x:c r="L977" s="185" t="str">
        <x:v>Não classificado</x:v>
      </x:c>
    </x:row>
    <x:row r="978">
      <x:c r="A978" s="175" t="str">
        <x:v>63.615.626/0001-22</x:v>
      </x:c>
      <x:c r="B978" s="166" t="str">
        <x:v>GUARDIAN MULTI CONSIGNADO XV FUNDO DE INVESTIMENTO EM DIREITOS CREDITÓRIOS RESPONSABILIDADE LIMITADA</x:v>
      </x:c>
      <x:c r="C978" s="188" t="n">
        <x:v>119048174.1</x:v>
      </x:c>
      <x:c r="D978" s="166" t="str">
        <x:v>Guardian Crédito</x:v>
      </x:c>
      <x:c r="E978" s="166" t="str">
        <x:f>IFERROR(INDEX('Classif Gestoras'!$H$6:$H$462,MATCH(D978,'Classif Gestoras'!$A$6:$A$462,0)),"Não classificada")</x:f>
        <x:v>Independente</x:v>
      </x:c>
      <x:c r="F978" s="166" t="str">
        <x:v>BANCO DAYCOVAL S/A</x:v>
      </x:c>
      <x:c r="G978" s="166" t="str">
        <x:v>BANCO DAYCOVAL S.A.</x:v>
      </x:c>
      <x:c r="H978" s="166" t="str">
        <x:v>Financeiro</x:v>
      </x:c>
      <x:c r="I978" s="166" t="str">
        <x:v>Crédito Consignado</x:v>
      </x:c>
      <x:c r="J978" s="166" t="str">
        <x:v>CI</x:v>
      </x:c>
      <x:c r="K978" s="172" t="n">
        <x:v>4</x:v>
      </x:c>
      <x:c r="L978" s="185" t="str">
        <x:v>Não classificado</x:v>
      </x:c>
    </x:row>
    <x:row r="979">
      <x:c r="A979" s="175" t="str">
        <x:v>60.777.129/0001-32</x:v>
      </x:c>
      <x:c r="B979" s="166" t="str">
        <x:v>DIRECTCON FUNDO DE INVESTIMENTO DIREITOS CREDITÓRIOS DE RESPONSABILIDADE LIMITADA</x:v>
      </x:c>
      <x:c r="C979" s="188" t="n">
        <x:v>118966288.88</x:v>
      </x:c>
      <x:c r="D979" s="166" t="str">
        <x:v>Catálise Investimentos</x:v>
      </x:c>
      <x:c r="E979" s="166" t="str">
        <x:f>IFERROR(INDEX('Classif Gestoras'!$H$6:$H$462,MATCH(D979,'Classif Gestoras'!$A$6:$A$462,0)),"Não classificada")</x:f>
        <x:v>Independente</x:v>
      </x:c>
      <x:c r="F979" s="166" t="str">
        <x:v>BANCO DAYCOVAL S/A</x:v>
      </x:c>
      <x:c r="G979" s="166" t="str">
        <x:v>BANCO DAYCOVAL S.A.</x:v>
      </x:c>
      <x:c r="H979" s="166" t="str">
        <x:v>Outros</x:v>
      </x:c>
      <x:c r="I979" s="166" t="str">
        <x:v>Multicarteira Outros</x:v>
      </x:c>
      <x:c r="J979" s="166" t="str">
        <x:v>CI</x:v>
      </x:c>
      <x:c r="K979" s="172" t="n">
        <x:v>29</x:v>
      </x:c>
      <x:c r="L979" s="185" t="str">
        <x:v>Não classificado</x:v>
      </x:c>
    </x:row>
    <x:row r="980">
      <x:c r="A980" s="175" t="str">
        <x:v>37.036.039/0001-79</x:v>
      </x:c>
      <x:c r="B980" s="166" t="str">
        <x:v>GREEN LIFE ESG FUNDO DE INVESTIMENTO EM DIREITOS CREDITÓRIOS</x:v>
      </x:c>
      <x:c r="C980" s="188" t="n">
        <x:v>118924632.83</x:v>
      </x:c>
      <x:c r="D980" s="166" t="str">
        <x:v>VALORA RENDA FIXA LTDA.</x:v>
      </x:c>
      <x:c r="E980" s="166" t="str">
        <x:f>IFERROR(INDEX('Classif Gestoras'!$H$6:$H$462,MATCH(D980,'Classif Gestoras'!$A$6:$A$462,0)),"Não classificada")</x:f>
        <x:v>Independente</x:v>
      </x:c>
      <x:c r="F980" s="166" t="str">
        <x:v>Singulare</x:v>
      </x:c>
      <x:c r="G980" s="166" t="str">
        <x:v>QI CORRETORA DE TÍTULOS E VALORES MOBILIÁRIOS S.A.</x:v>
      </x:c>
      <x:c r="H980" s="166" t="str">
        <x:v>Agro, Indústria e Comércio</x:v>
      </x:c>
      <x:c r="I980" s="166" t="str">
        <x:v>Agronegócio</x:v>
      </x:c>
      <x:c r="J980" s="166" t="str">
        <x:v>CI</x:v>
      </x:c>
      <x:c r="K980" s="172" t="n">
        <x:v>1</x:v>
      </x:c>
      <x:c r="L980" s="185" t="str">
        <x:v>Não classificado</x:v>
      </x:c>
    </x:row>
    <x:row r="981">
      <x:c r="A981" s="175" t="str">
        <x:v>12.579.631/0001-96</x:v>
      </x:c>
      <x:c r="B981" s="166" t="str">
        <x:v>VINCI CRÉDITO E DESENVOLVIMENTO I - FI EM DIREITOS CREDITÓRIOS RESPONSABILIDADE LIMITADA</x:v>
      </x:c>
      <x:c r="C981" s="188" t="n">
        <x:v>118905866.97</x:v>
      </x:c>
      <x:c r="D981" s="166" t="str">
        <x:v>Vinci Capital</x:v>
      </x:c>
      <x:c r="E981" s="166" t="str">
        <x:f>IFERROR(INDEX('Classif Gestoras'!$H$6:$H$462,MATCH(D981,'Classif Gestoras'!$A$6:$A$462,0)),"Não classificada")</x:f>
        <x:v>Independente</x:v>
      </x:c>
      <x:c r="F981" s="166" t="str">
        <x:v>BTG Pactual Servicos Financeiros S/A DTVM</x:v>
      </x:c>
      <x:c r="G981" s="166" t="str">
        <x:v>BANCO BTG PACTUAL S/A</x:v>
      </x:c>
      <x:c r="H981" s="166" t="str">
        <x:v>Agro, Indústria e Comércio</x:v>
      </x:c>
      <x:c r="I981" s="166" t="str">
        <x:v>Infraestrutura</x:v>
      </x:c>
      <x:c r="J981" s="166" t="str">
        <x:v>CI</x:v>
      </x:c>
      <x:c r="K981" s="172" t="n">
        <x:v>77</x:v>
      </x:c>
      <x:c r="L981" s="185" t="str">
        <x:v>Não classificado</x:v>
      </x:c>
    </x:row>
    <x:row r="982">
      <x:c r="A982" s="175" t="str">
        <x:v>39.663.988/0001-04</x:v>
      </x:c>
      <x:c r="B982" s="166" t="str">
        <x:v>SPARK FUNDO DE INVESTIMENTO EM DIREITOS CREDITÓRIOS DE RESPONSABILIDADE LIMITADA</x:v>
      </x:c>
      <x:c r="C982" s="188" t="n">
        <x:v>118652477.41999996</x:v>
      </x:c>
      <x:c r="D982" s="166" t="str">
        <x:v>Milênio Capital</x:v>
      </x:c>
      <x:c r="E982" s="166" t="str">
        <x:f>IFERROR(INDEX('Classif Gestoras'!$H$6:$H$462,MATCH(D982,'Classif Gestoras'!$A$6:$A$462,0)),"Não classificada")</x:f>
        <x:v>Independente</x:v>
      </x:c>
      <x:c r="F982" s="166" t="str">
        <x:v>Singulare</x:v>
      </x:c>
      <x:c r="G982" s="166" t="str">
        <x:v>QI CORRETORA DE TÍTULOS E VALORES MOBILIÁRIOS S.A.</x:v>
      </x:c>
      <x:c r="H982" s="166" t="str">
        <x:v>Financeiro</x:v>
      </x:c>
      <x:c r="I982" s="166" t="str">
        <x:v>Crédito Consignado</x:v>
      </x:c>
      <x:c r="J982" s="166" t="str">
        <x:v>CI</x:v>
      </x:c>
      <x:c r="K982" s="172" t="n">
        <x:v>26</x:v>
      </x:c>
      <x:c r="L982" s="185" t="str">
        <x:v>Não classificado</x:v>
      </x:c>
    </x:row>
    <x:row r="983">
      <x:c r="A983" s="175" t="str">
        <x:v>46.191.210/0001-05</x:v>
      </x:c>
      <x:c r="B983" s="166" t="str">
        <x:v>SQUARE FUNDO DE INVESTIMENTO EM DIREITOS CREDITÓRIOS</x:v>
      </x:c>
      <x:c r="C983" s="188" t="n">
        <x:v>118481543.1</x:v>
      </x:c>
      <x:c r="D983" s="166" t="str">
        <x:v>TERCON ASSET MANAGEMENT</x:v>
      </x:c>
      <x:c r="E983" s="166" t="str">
        <x:f>IFERROR(INDEX('Classif Gestoras'!$H$6:$H$462,MATCH(D983,'Classif Gestoras'!$A$6:$A$462,0)),"Não classificada")</x:f>
        <x:v>Independente</x:v>
      </x:c>
      <x:c r="F983" s="166" t="str">
        <x:v>Limine Trust Distribuidora de Titulos e Valores Mobiliá</x:v>
      </x:c>
      <x:c r="G983" s="166" t="str">
        <x:v>LIMINE TRUST DISTRIBUIDORA DE TITULOS E VALORES MOBILIARIOS LTDA.</x:v>
      </x:c>
      <x:c r="H983" s="166" t="str">
        <x:v>Outros</x:v>
      </x:c>
      <x:c r="I983" s="166" t="str">
        <x:v>Multicarteira Outros</x:v>
      </x:c>
      <x:c r="J983" s="166" t="str">
        <x:v>CI</x:v>
      </x:c>
      <x:c r="K983" s="172" t="n">
        <x:v>7</x:v>
      </x:c>
      <x:c r="L983" s="185" t="str">
        <x:v>Não classificado</x:v>
      </x:c>
    </x:row>
    <x:row r="984">
      <x:c r="A984" s="175" t="str">
        <x:v>26.405.908/0001-79</x:v>
      </x:c>
      <x:c r="B984" s="166" t="str">
        <x:v>ZONDA - VX FUNDO DE INVESTIMENTO EM DIREITOS CREDITÓRIOS LP</x:v>
      </x:c>
      <x:c r="C984" s="188" t="n">
        <x:v>118442015.1</x:v>
      </x:c>
      <x:c r="D984" s="166" t="str">
        <x:v>AUGME CAPITAL GESTÃO DE RECURSOS LTDA.</x:v>
      </x:c>
      <x:c r="E984" s="166" t="str">
        <x:f>IFERROR(INDEX('Classif Gestoras'!$H$6:$H$462,MATCH(D984,'Classif Gestoras'!$A$6:$A$462,0)),"Não classificada")</x:f>
        <x:v>Independente</x:v>
      </x:c>
      <x:c r="F984" s="166" t="str">
        <x:v>BANCO DAYCOVAL S/A</x:v>
      </x:c>
      <x:c r="G984" s="166" t="str">
        <x:v>BANCO DAYCOVAL S.A.</x:v>
      </x:c>
      <x:c r="H984" s="166" t="str">
        <x:v>Outros</x:v>
      </x:c>
      <x:c r="I984" s="166" t="str">
        <x:v>Multicarteira Outros</x:v>
      </x:c>
      <x:c r="J984" s="166" t="str">
        <x:v>CI</x:v>
      </x:c>
      <x:c r="K984" s="172" t="n">
        <x:v>16</x:v>
      </x:c>
      <x:c r="L984" s="185" t="str">
        <x:v>Não classificado</x:v>
      </x:c>
    </x:row>
    <x:row r="985">
      <x:c r="A985" s="175" t="str">
        <x:v>26.756.123/0001-40</x:v>
      </x:c>
      <x:c r="B985" s="166" t="str">
        <x:v>BERGAMO FUNDO DE INVESTIMENTO EM DIREITOS CREDITÓRIOS</x:v>
      </x:c>
      <x:c r="C985" s="188" t="n">
        <x:v>118106475.73</x:v>
      </x:c>
      <x:c r="D985" s="166" t="str">
        <x:v>G5 Adm. de Recursos</x:v>
      </x:c>
      <x:c r="E985" s="166" t="str">
        <x:f>IFERROR(INDEX('Classif Gestoras'!$H$6:$H$462,MATCH(D985,'Classif Gestoras'!$A$6:$A$462,0)),"Não classificada")</x:f>
        <x:v>Independente</x:v>
      </x:c>
      <x:c r="F985" s="166" t="str">
        <x:v>Singulare</x:v>
      </x:c>
      <x:c r="G985" s="166" t="str">
        <x:v>QI CORRETORA DE TÍTULOS E VALORES MOBILIÁRIOS S.A.</x:v>
      </x:c>
      <x:c r="H985" s="166" t="str">
        <x:v>Fomento Mercantil</x:v>
      </x:c>
      <x:c r="I985" s="166" t="str">
        <x:v>Fomento Mercantil</x:v>
      </x:c>
      <x:c r="J985" s="166" t="str">
        <x:v>CI</x:v>
      </x:c>
      <x:c r="K985" s="172" t="n">
        <x:v>1</x:v>
      </x:c>
      <x:c r="L985" s="185" t="str">
        <x:v>Não classificado</x:v>
      </x:c>
    </x:row>
    <x:row r="986">
      <x:c r="A986" s="175" t="str">
        <x:v>40.366.022/0001-94</x:v>
      </x:c>
      <x:c r="B986" s="166" t="str">
        <x:v>MILLENNIUM FUNDO DE INVESTIMENTO EM DIREITOS CREDITÓRIOS RESPONSABILIDADE LIMITADA</x:v>
      </x:c>
      <x:c r="C986" s="188" t="n">
        <x:v>117926520.93</x:v>
      </x:c>
      <x:c r="D986" s="166" t="str">
        <x:v>BTG Pactual Asset</x:v>
      </x:c>
      <x:c r="E986" s="166" t="str">
        <x:f>IFERROR(INDEX('Classif Gestoras'!$H$6:$H$462,MATCH(D986,'Classif Gestoras'!$A$6:$A$462,0)),"Não classificada")</x:f>
        <x:v>Ligada a banco</x:v>
      </x:c>
      <x:c r="F986" s="166" t="str">
        <x:v>BTG Pactual Servicos Financeiros S/A DTVM</x:v>
      </x:c>
      <x:c r="G986" s="166" t="str">
        <x:v>BANCO BTG PACTUAL S/A</x:v>
      </x:c>
      <x:c r="H986" s="166" t="str">
        <x:v>Agro, Indústria e Comércio</x:v>
      </x:c>
      <x:c r="I986" s="166" t="str">
        <x:v>Recebíveis Comerciais</x:v>
      </x:c>
      <x:c r="J986" s="166" t="str">
        <x:v>CI</x:v>
      </x:c>
      <x:c r="K986" s="172" t="n">
        <x:v>1</x:v>
      </x:c>
      <x:c r="L986" s="185" t="str">
        <x:v>Não classificado</x:v>
      </x:c>
    </x:row>
    <x:row r="987">
      <x:c r="A987" s="175" t="str">
        <x:v>41.287.621/0001-85</x:v>
      </x:c>
      <x:c r="B987" s="166" t="str">
        <x:v>TRIPOLI NPL FUNDO DE INVESTIMENTO EM DIREITOS CREDITÓRIOS</x:v>
      </x:c>
      <x:c r="C987" s="188" t="n">
        <x:v>117588825.97</x:v>
      </x:c>
      <x:c r="D987" s="166" t="str">
        <x:v>F3 ROCK</x:v>
      </x:c>
      <x:c r="E987" s="166" t="str">
        <x:f>IFERROR(INDEX('Classif Gestoras'!$H$6:$H$462,MATCH(D987,'Classif Gestoras'!$A$6:$A$462,0)),"Não classificada")</x:f>
        <x:v>Independente</x:v>
      </x:c>
      <x:c r="F987" s="166" t="str">
        <x:v>VÓRTX DTVM</x:v>
      </x:c>
      <x:c r="G987" s="166" t="str">
        <x:v>VORTX DISTRIBUIDORA DE TITULOS E VALORES MOBILIARIOS LTDA.</x:v>
      </x:c>
      <x:c r="H987" s="166" t="str">
        <x:v>Financeiro</x:v>
      </x:c>
      <x:c r="I987" s="166" t="str">
        <x:v>Multicarteira Financeiro</x:v>
      </x:c>
      <x:c r="J987" s="166" t="str">
        <x:v>CI</x:v>
      </x:c>
      <x:c r="K987" s="172" t="n">
        <x:v>13</x:v>
      </x:c>
      <x:c r="L987" s="185" t="str">
        <x:v>Não classificado</x:v>
      </x:c>
    </x:row>
    <x:row r="988">
      <x:c r="A988" s="175" t="str">
        <x:v>26.545.451/0001-06</x:v>
      </x:c>
      <x:c r="B988" s="166" t="str">
        <x:v>FORNECEDORES BRASIL FUNDO DE INVESTIMENTO EM DIREITOS CREDITÓRIOS NÃO PADRONIZADO</x:v>
      </x:c>
      <x:c r="C988" s="188" t="n">
        <x:v>116909152.76</x:v>
      </x:c>
      <x:c r="D988" s="166" t="str">
        <x:v>Rio das Pedras Investimentos</x:v>
      </x:c>
      <x:c r="E988" s="166" t="str">
        <x:f>IFERROR(INDEX('Classif Gestoras'!$H$6:$H$462,MATCH(D988,'Classif Gestoras'!$A$6:$A$462,0)),"Não classificada")</x:f>
        <x:v>Independente</x:v>
      </x:c>
      <x:c r="F988" s="166" t="str">
        <x:v>Singulare</x:v>
      </x:c>
      <x:c r="G988" s="166" t="str">
        <x:v>QI CORRETORA DE TÍTULOS E VALORES MOBILIÁRIOS S.A.</x:v>
      </x:c>
      <x:c r="H988" s="166" t="str">
        <x:v>Fomento Mercantil</x:v>
      </x:c>
      <x:c r="I988" s="166" t="str">
        <x:v>Fomento Mercantil</x:v>
      </x:c>
      <x:c r="J988" s="166" t="str">
        <x:v>CI</x:v>
      </x:c>
      <x:c r="K988" s="172" t="n">
        <x:v>4</x:v>
      </x:c>
      <x:c r="L988" s="185" t="str">
        <x:v>Não classificado</x:v>
      </x:c>
    </x:row>
    <x:row r="989">
      <x:c r="A989" s="175" t="str">
        <x:v>57.400.405/0001-34</x:v>
      </x:c>
      <x:c r="B989" s="166" t="str">
        <x:v>SPECIAL SITUATIONS IV FUNDO DE INVESTIMENTO EM DIREITOS CREDITÓRIOS - RESPONSABILIDADE LIMITADA</x:v>
      </x:c>
      <x:c r="C989" s="188" t="n">
        <x:v>116575886.02117002</x:v>
      </x:c>
      <x:c r="D989" s="166" t="str">
        <x:v>ROOT CAPITAL</x:v>
      </x:c>
      <x:c r="E989" s="166" t="str">
        <x:f>IFERROR(INDEX('Classif Gestoras'!$H$6:$H$462,MATCH(D989,'Classif Gestoras'!$A$6:$A$462,0)),"Não classificada")</x:f>
        <x:v>Independente</x:v>
      </x:c>
      <x:c r="F989" s="166" t="str">
        <x:v>BNY MELLON SERVICOS</x:v>
      </x:c>
      <x:c r="G989" s="166" t="str">
        <x:v>Não identificado</x:v>
      </x:c>
      <x:c r="H989" s="166" t="str">
        <x:v>Outros</x:v>
      </x:c>
      <x:c r="I989" s="166" t="str">
        <x:v>Multicarteira Outros</x:v>
      </x:c>
      <x:c r="J989" s="166" t="str">
        <x:v>CI</x:v>
      </x:c>
      <x:c r="K989" s="172" t="n">
        <x:v>165</x:v>
      </x:c>
      <x:c r="L989" s="185" t="str">
        <x:v>Não classificado</x:v>
      </x:c>
    </x:row>
    <x:row r="990">
      <x:c r="A990" s="175" t="str">
        <x:v>09.137.729/0001-89</x:v>
      </x:c>
      <x:c r="B990" s="166" t="str">
        <x:v>MULTI RECEBÍVEIS II FUNDO DE INVESTIMENTO EM DIREITOS CREDITÓRIOS MULTISEGMENTOS</x:v>
      </x:c>
      <x:c r="C990" s="188" t="n">
        <x:v>116540338.95</x:v>
      </x:c>
      <x:c r="D990" s="166" t="str">
        <x:v>Petra Capital</x:v>
      </x:c>
      <x:c r="E990" s="166" t="str">
        <x:f>IFERROR(INDEX('Classif Gestoras'!$H$6:$H$462,MATCH(D990,'Classif Gestoras'!$A$6:$A$462,0)),"Não classificada")</x:f>
        <x:v>Independente</x:v>
      </x:c>
      <x:c r="F990" s="166" t="str">
        <x:v>Finaxis Corretora de Títulos e Valores Mobiliários S.A.</x:v>
      </x:c>
      <x:c r="G990" s="166" t="str">
        <x:v>BANCO FINAXIS S.A.</x:v>
      </x:c>
      <x:c r="H990" s="166" t="str">
        <x:v>Fomento Mercantil</x:v>
      </x:c>
      <x:c r="I990" s="166" t="str">
        <x:v>Fomento Mercantil</x:v>
      </x:c>
      <x:c r="J990" s="166" t="str">
        <x:v>CI</x:v>
      </x:c>
      <x:c r="K990" s="172" t="n">
        <x:v>78</x:v>
      </x:c>
      <x:c r="L990" s="185" t="str">
        <x:v>Não classificado</x:v>
      </x:c>
    </x:row>
    <x:row r="991">
      <x:c r="A991" s="175" t="str">
        <x:v>50.653.601/0001-71</x:v>
      </x:c>
      <x:c r="B991" s="166" t="str">
        <x:v>CNPJ 50653601000171</x:v>
      </x:c>
      <x:c r="C991" s="188" t="n">
        <x:v>116440068.45</x:v>
      </x:c>
      <x:c r="D991" s="166" t="str">
        <x:v>Eco Gestão de Ativos LTDA.</x:v>
      </x:c>
      <x:c r="E991" s="166" t="str">
        <x:f>IFERROR(INDEX('Classif Gestoras'!$H$6:$H$462,MATCH(D991,'Classif Gestoras'!$A$6:$A$462,0)),"Não classificada")</x:f>
        <x:v>Independente</x:v>
      </x:c>
      <x:c r="F991" s="166" t="str">
        <x:v>BANCO DAYCOVAL S/A</x:v>
      </x:c>
      <x:c r="G991" s="166" t="str">
        <x:v>Não identificado</x:v>
      </x:c>
      <x:c r="H991" s="166" t="str">
        <x:v>Agro, Indústria e Comércio</x:v>
      </x:c>
      <x:c r="I991" s="166" t="str">
        <x:v>Multicarteira Agro, Indústria e Comércio</x:v>
      </x:c>
      <x:c r="J991" s="166" t="str">
        <x:v>CI</x:v>
      </x:c>
      <x:c r="K991" s="172"/>
      <x:c r="L991" s="185" t="str">
        <x:v>Não classificado</x:v>
      </x:c>
    </x:row>
    <x:row r="992">
      <x:c r="A992" s="175" t="str">
        <x:v>20.764.347/0001-18</x:v>
      </x:c>
      <x:c r="B992" s="166" t="str">
        <x:v>FUNDO DE INVESTIMENTO EM DIREITOS CREDITÓRIOS NÃO PADRONIZADOS CERES</x:v>
      </x:c>
      <x:c r="C992" s="188" t="n">
        <x:v>116297247.07</x:v>
      </x:c>
      <x:c r="D992" s="166" t="str">
        <x:v>Veritas Capital Management</x:v>
      </x:c>
      <x:c r="E992" s="166" t="str">
        <x:f>IFERROR(INDEX('Classif Gestoras'!$H$6:$H$462,MATCH(D992,'Classif Gestoras'!$A$6:$A$462,0)),"Não classificada")</x:f>
        <x:v>Independente</x:v>
      </x:c>
      <x:c r="F992" s="166" t="str">
        <x:v>PLANNER CV</x:v>
      </x:c>
      <x:c r="G992" s="166" t="str">
        <x:v>PLANNER CORRETORA DE VALORES S.A.</x:v>
      </x:c>
      <x:c r="H992" s="166" t="str">
        <x:v>Outros</x:v>
      </x:c>
      <x:c r="I992" s="166" t="str">
        <x:v>Multicarteira Outros</x:v>
      </x:c>
      <x:c r="J992" s="166" t="str">
        <x:v>CI</x:v>
      </x:c>
      <x:c r="K992" s="172" t="n">
        <x:v>1</x:v>
      </x:c>
      <x:c r="L992" s="185" t="str">
        <x:v>Não classificado</x:v>
      </x:c>
    </x:row>
    <x:row r="993">
      <x:c r="A993" s="175" t="str">
        <x:v>40.054.854/0001-75</x:v>
      </x:c>
      <x:c r="B993" s="166" t="str">
        <x:v>SALEM II CRÉDITOS JUDICIAIS FUNDO DE INVESTIMENTO EM DIREITOS CREDITÓRIOS</x:v>
      </x:c>
      <x:c r="C993" s="188" t="n">
        <x:v>116261864.14480002</x:v>
      </x:c>
      <x:c r="D993" s="166" t="str">
        <x:v>LASS CAPITAL</x:v>
      </x:c>
      <x:c r="E993" s="166" t="str">
        <x:f>IFERROR(INDEX('Classif Gestoras'!$H$6:$H$462,MATCH(D993,'Classif Gestoras'!$A$6:$A$462,0)),"Não classificada")</x:f>
        <x:v>Independente</x:v>
      </x:c>
      <x:c r="F993" s="166" t="str">
        <x:v>BTG Pactual Servicos Financeiros S/A DTVM</x:v>
      </x:c>
      <x:c r="G993" s="166" t="str">
        <x:v>BANCO BTG PACTUAL S/A</x:v>
      </x:c>
      <x:c r="H993" s="166" t="str">
        <x:v>Outros</x:v>
      </x:c>
      <x:c r="I993" s="166" t="str">
        <x:v>Multicarteira Outros</x:v>
      </x:c>
      <x:c r="J993" s="166" t="str">
        <x:v>CI</x:v>
      </x:c>
      <x:c r="K993" s="172" t="n">
        <x:v>4</x:v>
      </x:c>
      <x:c r="L993" s="185" t="str">
        <x:v>Não classificado</x:v>
      </x:c>
    </x:row>
    <x:row r="994">
      <x:c r="A994" s="175" t="str">
        <x:v>41.755.684/0001-19</x:v>
      </x:c>
      <x:c r="B994" s="166" t="str">
        <x:v>TRAÇADO FUNDO DE INVESTIMENTO EM DIREITOS CREDITÓRIOS RESPONSABILIDADE LIMITADA</x:v>
      </x:c>
      <x:c r="C994" s="188" t="n">
        <x:v>116052442.65</x:v>
      </x:c>
      <x:c r="D994" s="166" t="str">
        <x:v>KP GESTÃO DE RECURSOS LTDA.</x:v>
      </x:c>
      <x:c r="E994" s="166" t="str">
        <x:f>IFERROR(INDEX('Classif Gestoras'!$H$6:$H$462,MATCH(D994,'Classif Gestoras'!$A$6:$A$462,0)),"Não classificada")</x:f>
        <x:v>Independente</x:v>
      </x:c>
      <x:c r="F994" s="166" t="str">
        <x:v>PLANNER CV</x:v>
      </x:c>
      <x:c r="G994" s="166" t="str">
        <x:v>PLANNER CORRETORA DE VALORES S.A.</x:v>
      </x:c>
      <x:c r="H994" s="166" t="str">
        <x:v>Outros</x:v>
      </x:c>
      <x:c r="I994" s="166" t="str">
        <x:v>Multicarteira Outros</x:v>
      </x:c>
      <x:c r="J994" s="166" t="str">
        <x:v>CI</x:v>
      </x:c>
      <x:c r="K994" s="172" t="n">
        <x:v>7</x:v>
      </x:c>
      <x:c r="L994" s="185" t="str">
        <x:v>Não classificado</x:v>
      </x:c>
    </x:row>
    <x:row r="995">
      <x:c r="A995" s="175" t="str">
        <x:v>56.006.031/0001-04</x:v>
      </x:c>
      <x:c r="B995" s="166" t="str">
        <x:v>HOME EQUITY MULTI FUNDO DE INVESTIMENTO EM DIREITOS CREDITÓRIOS RESPONSABILIDADE LIMITADA</x:v>
      </x:c>
      <x:c r="C995" s="188" t="n">
        <x:v>115974957.46</x:v>
      </x:c>
      <x:c r="D995" s="166" t="str">
        <x:v>HSI Gestora de Ativos Financeiros Ltda.</x:v>
      </x:c>
      <x:c r="E995" s="166" t="str">
        <x:f>IFERROR(INDEX('Classif Gestoras'!$H$6:$H$462,MATCH(D995,'Classif Gestoras'!$A$6:$A$462,0)),"Não classificada")</x:f>
        <x:v>Independente</x:v>
      </x:c>
      <x:c r="F995" s="166" t="str">
        <x:v>Oliveira Trust DTVM</x:v>
      </x:c>
      <x:c r="G995" s="166" t="str">
        <x:v>OLIVEIRA TRUST DTVM S.A.</x:v>
      </x:c>
      <x:c r="H995" s="166" t="str">
        <x:v>Financeiro</x:v>
      </x:c>
      <x:c r="I995" s="166" t="str">
        <x:v>Crédito Imobiliário</x:v>
      </x:c>
      <x:c r="J995" s="166" t="str">
        <x:v>CI</x:v>
      </x:c>
      <x:c r="K995" s="172" t="n">
        <x:v>1</x:v>
      </x:c>
      <x:c r="L995" s="185" t="str">
        <x:v>Não classificado</x:v>
      </x:c>
    </x:row>
    <x:row r="996">
      <x:c r="A996" s="175" t="str">
        <x:v>59.309.090/0001-40</x:v>
      </x:c>
      <x:c r="B996" s="166" t="str">
        <x:v>FIDC MULTISEGMENTOS NPL IPANEMA X RESP LIMITADA</x:v>
      </x:c>
      <x:c r="C996" s="188" t="n">
        <x:v>115840668.44</x:v>
      </x:c>
      <x:c r="D996" s="166" t="str">
        <x:v>BRL TRUST DTVM</x:v>
      </x:c>
      <x:c r="E996" s="166" t="str">
        <x:f>IFERROR(INDEX('Classif Gestoras'!$H$6:$H$462,MATCH(D996,'Classif Gestoras'!$A$6:$A$462,0)),"Não classificada")</x:f>
        <x:v>Independente</x:v>
      </x:c>
      <x:c r="F996" s="166" t="str">
        <x:v>BRL TRUST DTVM</x:v>
      </x:c>
      <x:c r="G996" s="166" t="str">
        <x:v>BRL TRUST DISTRIBUIDORA DE TITULOS E VALORES MOBILIARIOS S.A.</x:v>
      </x:c>
      <x:c r="H996" s="166" t="str">
        <x:v>Outros</x:v>
      </x:c>
      <x:c r="I996" s="166" t="str">
        <x:v>Multicarteira Outros</x:v>
      </x:c>
      <x:c r="J996" s="166" t="str">
        <x:v>CI</x:v>
      </x:c>
      <x:c r="K996" s="172" t="n">
        <x:v>2</x:v>
      </x:c>
      <x:c r="L996" s="185" t="str">
        <x:v>Não classificado</x:v>
      </x:c>
    </x:row>
    <x:row r="997">
      <x:c r="A997" s="175" t="str">
        <x:v>56.028.964/0001-00</x:v>
      </x:c>
      <x:c r="B997" s="166" t="str">
        <x:v>AURÃ FUNDO DE INVESTIMENTO EM DIREITOS CREDITÓRIOS</x:v>
      </x:c>
      <x:c r="C997" s="188" t="n">
        <x:v>115383567.81</x:v>
      </x:c>
      <x:c r="D997" s="166" t="str">
        <x:v>SECURITY ADMINISTRAD</x:v>
      </x:c>
      <x:c r="E997" s="166" t="str">
        <x:f>IFERROR(INDEX('Classif Gestoras'!$H$6:$H$462,MATCH(D997,'Classif Gestoras'!$A$6:$A$462,0)),"Não classificada")</x:f>
        <x:v>Independente</x:v>
      </x:c>
      <x:c r="F997" s="166" t="str">
        <x:v>PLANNER CV</x:v>
      </x:c>
      <x:c r="G997" s="166" t="str">
        <x:v>PLANNER CORRETORA DE VALORES S.A.</x:v>
      </x:c>
      <x:c r="H997" s="166" t="str">
        <x:v>Outros</x:v>
      </x:c>
      <x:c r="I997" s="166" t="str">
        <x:v>Multicarteira Outros</x:v>
      </x:c>
      <x:c r="J997" s="166" t="str">
        <x:v>CI</x:v>
      </x:c>
      <x:c r="K997" s="172" t="n">
        <x:v>1</x:v>
      </x:c>
      <x:c r="L997" s="185" t="str">
        <x:v>Não classificado</x:v>
      </x:c>
    </x:row>
    <x:row r="998">
      <x:c r="A998" s="175" t="str">
        <x:v>53.908.944/0001-28</x:v>
      </x:c>
      <x:c r="B998" s="166" t="str">
        <x:v>CHIMERA ALTERNATIVE ASSETS VI FUNDO DE INVESTIMENTO EM DIREITOS CREDITÓRIOS</x:v>
      </x:c>
      <x:c r="C998" s="188" t="n">
        <x:v>115332444.04</x:v>
      </x:c>
      <x:c r="D998" s="166" t="str">
        <x:v>Chimera Capital Asset Management Ltda.</x:v>
      </x:c>
      <x:c r="E998" s="166" t="str">
        <x:f>IFERROR(INDEX('Classif Gestoras'!$H$6:$H$462,MATCH(D998,'Classif Gestoras'!$A$6:$A$462,0)),"Não classificada")</x:f>
        <x:v>Independente</x:v>
      </x:c>
      <x:c r="F998" s="166" t="str">
        <x:v>VÓRTX DTVM</x:v>
      </x:c>
      <x:c r="G998" s="166" t="str">
        <x:v>VORTX DISTRIBUIDORA DE TITULOS E VALORES MOBILIARIOS LTDA.</x:v>
      </x:c>
      <x:c r="H998" s="166" t="str">
        <x:v>Outros</x:v>
      </x:c>
      <x:c r="I998" s="166" t="str">
        <x:v>Multicarteira Outros</x:v>
      </x:c>
      <x:c r="J998" s="166" t="str">
        <x:v>CI</x:v>
      </x:c>
      <x:c r="K998" s="172" t="n">
        <x:v>70</x:v>
      </x:c>
      <x:c r="L998" s="185" t="str">
        <x:v>Não classificado</x:v>
      </x:c>
    </x:row>
    <x:row r="999">
      <x:c r="A999" s="175" t="str">
        <x:v>43.181.488/0001-03</x:v>
      </x:c>
      <x:c r="B999" s="166" t="str">
        <x:v>TOPCRED FUNDO DE INVESTIMENTO EM DIREITOS CREDITÓRIOS RESPONSABILIDADE LIMITADA</x:v>
      </x:c>
      <x:c r="C999" s="188" t="n">
        <x:v>115142106.85</x:v>
      </x:c>
      <x:c r="D999" s="166" t="str">
        <x:v>Catálise Investimentos</x:v>
      </x:c>
      <x:c r="E999" s="166" t="str">
        <x:f>IFERROR(INDEX('Classif Gestoras'!$H$6:$H$462,MATCH(D999,'Classif Gestoras'!$A$6:$A$462,0)),"Não classificada")</x:f>
        <x:v>Independente</x:v>
      </x:c>
      <x:c r="F999" s="166" t="str">
        <x:v>BANCO DAYCOVAL S/A</x:v>
      </x:c>
      <x:c r="G999" s="166" t="str">
        <x:v>BANCO DAYCOVAL S.A.</x:v>
      </x:c>
      <x:c r="H999" s="166" t="str">
        <x:v>Outros</x:v>
      </x:c>
      <x:c r="I999" s="166" t="str">
        <x:v>Multicarteira Outros</x:v>
      </x:c>
      <x:c r="J999" s="166" t="str">
        <x:v>CI</x:v>
      </x:c>
      <x:c r="K999" s="172" t="n">
        <x:v>40</x:v>
      </x:c>
      <x:c r="L999" s="185" t="str">
        <x:v>Não classificado</x:v>
      </x:c>
    </x:row>
    <x:row r="1000">
      <x:c r="A1000" s="175" t="str">
        <x:v>59.682.007/0001-83</x:v>
      </x:c>
      <x:c r="B1000" s="166" t="str">
        <x:v>HB FUNDO DE INVESTIMENTO EM DIREITOS CREDITÓRIOS DE RESPONSABILIDADE LIMITADA</x:v>
      </x:c>
      <x:c r="C1000" s="188" t="n">
        <x:v>115059990.10999998</x:v>
      </x:c>
      <x:c r="D1000" s="166" t="str">
        <x:v>Catálise Investimentos</x:v>
      </x:c>
      <x:c r="E1000" s="166" t="str">
        <x:f>IFERROR(INDEX('Classif Gestoras'!$H$6:$H$462,MATCH(D1000,'Classif Gestoras'!$A$6:$A$462,0)),"Não classificada")</x:f>
        <x:v>Independente</x:v>
      </x:c>
      <x:c r="F1000" s="166" t="str">
        <x:v>CATÁLISE DTVM</x:v>
      </x:c>
      <x:c r="G1000" s="166" t="str">
        <x:v>BANCO DAYCOVAL S.A.</x:v>
      </x:c>
      <x:c r="H1000" s="166" t="str">
        <x:v>Agro, Indústria e Comércio</x:v>
      </x:c>
      <x:c r="I1000" s="166" t="str">
        <x:v>Multicarteira Agro, Indústria e Comércio</x:v>
      </x:c>
      <x:c r="J1000" s="166" t="str">
        <x:v>CI</x:v>
      </x:c>
      <x:c r="K1000" s="172" t="n">
        <x:v>1</x:v>
      </x:c>
      <x:c r="L1000" s="185" t="str">
        <x:v>Não classificado</x:v>
      </x:c>
    </x:row>
    <x:row r="1001">
      <x:c r="A1001" s="175" t="str">
        <x:v>07.383.363/0001-00</x:v>
      </x:c>
      <x:c r="B1001" s="166" t="str">
        <x:v>RIVO FUNDO DE INVESTIMENTO EM DIREITOS CREDITÓRIOS</x:v>
      </x:c>
      <x:c r="C1001" s="188" t="n">
        <x:v>114994159.63</x:v>
      </x:c>
      <x:c r="D1001" s="166" t="str">
        <x:v>ANTHARUS GESTORA DE RECURSOS LTDA</x:v>
      </x:c>
      <x:c r="E1001" s="166" t="str">
        <x:f>IFERROR(INDEX('Classif Gestoras'!$H$6:$H$462,MATCH(D1001,'Classif Gestoras'!$A$6:$A$462,0)),"Não classificada")</x:f>
        <x:v>Independente</x:v>
      </x:c>
      <x:c r="F1001" s="166" t="str">
        <x:v>HEMERA DTVM</x:v>
      </x:c>
      <x:c r="G1001" s="166" t="str">
        <x:v>HEMERA DISTRIBUIDORA DE TITULOS E VALORES MOBILIARIOS LTDA</x:v>
      </x:c>
      <x:c r="H1001" s="166" t="str">
        <x:v>Outros</x:v>
      </x:c>
      <x:c r="I1001" s="166" t="str">
        <x:v>Multicarteira Outros</x:v>
      </x:c>
      <x:c r="J1001" s="166" t="str">
        <x:v>CI</x:v>
      </x:c>
      <x:c r="K1001" s="172" t="n">
        <x:v>158</x:v>
      </x:c>
      <x:c r="L1001" s="185" t="str">
        <x:v>Não classificado</x:v>
      </x:c>
    </x:row>
    <x:row r="1002">
      <x:c r="A1002" s="175" t="str">
        <x:v>60.006.903/0001-01</x:v>
      </x:c>
      <x:c r="B1002" s="166" t="str">
        <x:v>AGROJIVE I FUNDO DE INVESTIMENTO EM DIREITOS CREDITÓRIOS SEGMENTO AGRONEGÓCIO - RESP LIMITADA</x:v>
      </x:c>
      <x:c r="C1002" s="188" t="n">
        <x:v>114580369.76999998</x:v>
      </x:c>
      <x:c r="D1002" s="166" t="str">
        <x:v>JIVE INVESTMENTS</x:v>
      </x:c>
      <x:c r="E1002" s="166" t="str">
        <x:f>IFERROR(INDEX('Classif Gestoras'!$H$6:$H$462,MATCH(D1002,'Classif Gestoras'!$A$6:$A$462,0)),"Não classificada")</x:f>
        <x:v>Independente</x:v>
      </x:c>
      <x:c r="F1002" s="166" t="str">
        <x:v>BRL TRUST DTVM</x:v>
      </x:c>
      <x:c r="G1002" s="166" t="str">
        <x:v>BRL TRUST DISTRIBUIDORA DE TITULOS E VALORES MOBILIARIOS S.A.</x:v>
      </x:c>
      <x:c r="H1002" s="166" t="str">
        <x:v>Agro, Indústria e Comércio</x:v>
      </x:c>
      <x:c r="I1002" s="166" t="str">
        <x:v>Agronegócio</x:v>
      </x:c>
      <x:c r="J1002" s="166" t="str">
        <x:v>CI</x:v>
      </x:c>
      <x:c r="K1002" s="172" t="n">
        <x:v>346</x:v>
      </x:c>
      <x:c r="L1002" s="185" t="str">
        <x:v>Não classificado</x:v>
      </x:c>
    </x:row>
    <x:row r="1003">
      <x:c r="A1003" s="175" t="str">
        <x:v>46.231.905/0001-73</x:v>
      </x:c>
      <x:c r="B1003" s="166" t="str">
        <x:v>VAIL II PRECATÓRIO FUNDO DE INVESTIMENTO EM DIREITOS CREDITÓRIOS NÃO PADRONIZADO</x:v>
      </x:c>
      <x:c r="C1003" s="188" t="n">
        <x:v>114367794.35</x:v>
      </x:c>
      <x:c r="D1003" s="166" t="str">
        <x:v>Patrimonial Gestão</x:v>
      </x:c>
      <x:c r="E1003" s="166" t="str">
        <x:f>IFERROR(INDEX('Classif Gestoras'!$H$6:$H$462,MATCH(D1003,'Classif Gestoras'!$A$6:$A$462,0)),"Não classificada")</x:f>
        <x:v>Independente</x:v>
      </x:c>
      <x:c r="F1003" s="166" t="str">
        <x:v>Singulare</x:v>
      </x:c>
      <x:c r="G1003" s="166" t="str">
        <x:v>QI CORRETORA DE TÍTULOS E VALORES MOBILIÁRIOS S.A.</x:v>
      </x:c>
      <x:c r="H1003" s="166" t="str">
        <x:v>Outros</x:v>
      </x:c>
      <x:c r="I1003" s="166" t="str">
        <x:v>Poder Público</x:v>
      </x:c>
      <x:c r="J1003" s="166" t="str">
        <x:v>CI</x:v>
      </x:c>
      <x:c r="K1003" s="172" t="n">
        <x:v>97</x:v>
      </x:c>
      <x:c r="L1003" s="185" t="str">
        <x:v>Não classificado</x:v>
      </x:c>
    </x:row>
    <x:row r="1004">
      <x:c r="A1004" s="175" t="str">
        <x:v>36.643.621/0001-30</x:v>
      </x:c>
      <x:c r="B1004" s="166" t="str">
        <x:v>FUNDO DE INVESTIMENTO EM DIREITOS CREDITÓRIOS TRINDADE - RESPONSABILIDADE LIMITADA</x:v>
      </x:c>
      <x:c r="C1004" s="188" t="n">
        <x:v>114291072.93</x:v>
      </x:c>
      <x:c r="D1004" s="166" t="str">
        <x:v>Phronesis Invest.</x:v>
      </x:c>
      <x:c r="E1004" s="166" t="str">
        <x:f>IFERROR(INDEX('Classif Gestoras'!$H$6:$H$462,MATCH(D1004,'Classif Gestoras'!$A$6:$A$462,0)),"Não classificada")</x:f>
        <x:v>Independente</x:v>
      </x:c>
      <x:c r="F1004" s="166" t="str">
        <x:v>BRL TRUST DTVM</x:v>
      </x:c>
      <x:c r="G1004" s="166" t="str">
        <x:v>BRL TRUST DISTRIBUIDORA DE TITULOS E VALORES MOBILIARIOS S.A.</x:v>
      </x:c>
      <x:c r="H1004" s="166" t="str">
        <x:v>Outros</x:v>
      </x:c>
      <x:c r="I1004" s="166" t="str">
        <x:v>Multicarteira Outros</x:v>
      </x:c>
      <x:c r="J1004" s="166" t="str">
        <x:v>CI</x:v>
      </x:c>
      <x:c r="K1004" s="172" t="n">
        <x:v>1</x:v>
      </x:c>
      <x:c r="L1004" s="185" t="str">
        <x:v>Não classificado</x:v>
      </x:c>
    </x:row>
    <x:row r="1005">
      <x:c r="A1005" s="175" t="str">
        <x:v>57.283.589/0001-08</x:v>
      </x:c>
      <x:c r="B1005" s="166" t="str">
        <x:v>AXIOS NPL FUNDO DE INVESTIMENTO EM DIREITOS CREDITÓRIOS RESPONSABILIDADE LIMITADA</x:v>
      </x:c>
      <x:c r="C1005" s="188" t="n">
        <x:v>113986383.5</x:v>
      </x:c>
      <x:c r="D1005" s="166" t="str">
        <x:v>Iron Capital</x:v>
      </x:c>
      <x:c r="E1005" s="166" t="str">
        <x:f>IFERROR(INDEX('Classif Gestoras'!$H$6:$H$462,MATCH(D1005,'Classif Gestoras'!$A$6:$A$462,0)),"Não classificada")</x:f>
        <x:v>Independente</x:v>
      </x:c>
      <x:c r="F1005" s="166" t="str">
        <x:v>VÓRTX DTVM</x:v>
      </x:c>
      <x:c r="G1005" s="166" t="str">
        <x:v>VORTX DISTRIBUIDORA DE TITULOS E VALORES MOBILIARIOS LTDA.</x:v>
      </x:c>
      <x:c r="H1005" s="166" t="str">
        <x:v>Outros</x:v>
      </x:c>
      <x:c r="I1005" s="166" t="str">
        <x:v>Multicarteira Outros</x:v>
      </x:c>
      <x:c r="J1005" s="166" t="str">
        <x:v>CI</x:v>
      </x:c>
      <x:c r="K1005" s="172" t="n">
        <x:v>103</x:v>
      </x:c>
      <x:c r="L1005" s="185" t="str">
        <x:v>Não classificado</x:v>
      </x:c>
    </x:row>
    <x:row r="1006">
      <x:c r="A1006" s="175" t="str">
        <x:v>61.292.200/0001-50</x:v>
      </x:c>
      <x:c r="B1006" s="166" t="str">
        <x:v>FUNDO DE INVESTIMENTO EM DIREITOS CREDITÓRIOS ASAAS III - RESPONSABILIDADE LIMITADA</x:v>
      </x:c>
      <x:c r="C1006" s="188" t="n">
        <x:v>113915167.19</x:v>
      </x:c>
      <x:c r="D1006" s="166" t="str">
        <x:v>Kanastra</x:v>
      </x:c>
      <x:c r="E1006" s="166" t="str">
        <x:f>IFERROR(INDEX('Classif Gestoras'!$H$6:$H$462,MATCH(D1006,'Classif Gestoras'!$A$6:$A$462,0)),"Não classificada")</x:f>
        <x:v>Independente</x:v>
      </x:c>
      <x:c r="F1006" s="166" t="str">
        <x:v>Limine Trust Distribuidora de Titulos e Valores Mobiliá</x:v>
      </x:c>
      <x:c r="G1006" s="166" t="str">
        <x:v>LIMINE TRUST DISTRIBUIDORA DE TITULOS E VALORES MOBILIARIOS LTDA.</x:v>
      </x:c>
      <x:c r="H1006" s="166" t="str">
        <x:v>Agro, Indústria e Comércio</x:v>
      </x:c>
      <x:c r="I1006" s="166" t="str">
        <x:v>Recebíveis Comerciais</x:v>
      </x:c>
      <x:c r="J1006" s="166" t="str">
        <x:v>CI</x:v>
      </x:c>
      <x:c r="K1006" s="172" t="n">
        <x:v>27</x:v>
      </x:c>
      <x:c r="L1006" s="185" t="str">
        <x:v>Não classificado</x:v>
      </x:c>
    </x:row>
    <x:row r="1007">
      <x:c r="A1007" s="175" t="str">
        <x:v>31.216.568/0001-78</x:v>
      </x:c>
      <x:c r="B1007" s="166" t="str">
        <x:v>FUNDO DE INVESTIMENTO EM DIREITOS CREDITÓRIOS XPCE SECURITIZAÇÃO</x:v>
      </x:c>
      <x:c r="C1007" s="188" t="n">
        <x:v>113577531.35</x:v>
      </x:c>
      <x:c r="D1007" s="166" t="str">
        <x:v>Vista Real Estate</x:v>
      </x:c>
      <x:c r="E1007" s="166" t="str">
        <x:f>IFERROR(INDEX('Classif Gestoras'!$H$6:$H$462,MATCH(D1007,'Classif Gestoras'!$A$6:$A$462,0)),"Não classificada")</x:f>
        <x:v>Independente</x:v>
      </x:c>
      <x:c r="F1007" s="166" t="str">
        <x:v>XPI CCTVM S/A</x:v>
      </x:c>
      <x:c r="G1007" s="166" t="str">
        <x:v>OLIVEIRA TRUST DTVM S.A.</x:v>
      </x:c>
      <x:c r="H1007" s="166" t="str">
        <x:v>Outros</x:v>
      </x:c>
      <x:c r="I1007" s="166" t="str">
        <x:v>Multicarteira Outros</x:v>
      </x:c>
      <x:c r="J1007" s="166" t="str">
        <x:v>CI</x:v>
      </x:c>
      <x:c r="K1007" s="172" t="n">
        <x:v>3</x:v>
      </x:c>
      <x:c r="L1007" s="185" t="str">
        <x:v>Não classificado</x:v>
      </x:c>
    </x:row>
    <x:row r="1008">
      <x:c r="A1008" s="175" t="str">
        <x:v>36.553.528/0001-35</x:v>
      </x:c>
      <x:c r="B1008" s="166" t="str">
        <x:v>BANCRED FUNDO DE INVESTIMENTO EM DIREITOS CREDITÓRIOS NÃO PADRONIZADOS</x:v>
      </x:c>
      <x:c r="C1008" s="188" t="n">
        <x:v>113575422.23</x:v>
      </x:c>
      <x:c r="D1008" s="166" t="str">
        <x:v>TERCON ASSET MANAGEMENT</x:v>
      </x:c>
      <x:c r="E1008" s="166" t="str">
        <x:f>IFERROR(INDEX('Classif Gestoras'!$H$6:$H$462,MATCH(D1008,'Classif Gestoras'!$A$6:$A$462,0)),"Não classificada")</x:f>
        <x:v>Independente</x:v>
      </x:c>
      <x:c r="F1008" s="166" t="str">
        <x:v>Singulare</x:v>
      </x:c>
      <x:c r="G1008" s="166" t="str">
        <x:v>QI CORRETORA DE TÍTULOS E VALORES MOBILIÁRIOS S.A.</x:v>
      </x:c>
      <x:c r="H1008" s="166" t="str">
        <x:v>Fomento Mercantil</x:v>
      </x:c>
      <x:c r="I1008" s="166" t="str">
        <x:v>Fomento Mercantil</x:v>
      </x:c>
      <x:c r="J1008" s="166" t="str">
        <x:v>CI</x:v>
      </x:c>
      <x:c r="K1008" s="172" t="n">
        <x:v>12</x:v>
      </x:c>
      <x:c r="L1008" s="185" t="str">
        <x:v>Não classificado</x:v>
      </x:c>
    </x:row>
    <x:row r="1009">
      <x:c r="A1009" s="175" t="str">
        <x:v>21.888.857/0001-60</x:v>
      </x:c>
      <x:c r="B1009" s="166" t="str">
        <x:v>OS FUNDO DE INVESTIMENTO EM DIREITOS CREDITÓRIOS MULTISETORIAL - RESPONSABILIDADE LIMITADA</x:v>
      </x:c>
      <x:c r="C1009" s="188" t="n">
        <x:v>113545287.63</x:v>
      </x:c>
      <x:c r="D1009" s="166" t="str">
        <x:v>Solis</x:v>
      </x:c>
      <x:c r="E1009" s="166" t="str">
        <x:f>IFERROR(INDEX('Classif Gestoras'!$H$6:$H$462,MATCH(D1009,'Classif Gestoras'!$A$6:$A$462,0)),"Não classificada")</x:f>
        <x:v>Independente</x:v>
      </x:c>
      <x:c r="F1009" s="166" t="str">
        <x:v>HEMERA DTVM</x:v>
      </x:c>
      <x:c r="G1009" s="166" t="str">
        <x:v>HEMERA DISTRIBUIDORA DE TITULOS E VALORES MOBILIARIOS LTDA</x:v>
      </x:c>
      <x:c r="H1009" s="166" t="str">
        <x:v>Outros</x:v>
      </x:c>
      <x:c r="I1009" s="166" t="str">
        <x:v>Multicarteira Outros</x:v>
      </x:c>
      <x:c r="J1009" s="166" t="str">
        <x:v>CI</x:v>
      </x:c>
      <x:c r="K1009" s="172" t="n">
        <x:v>25</x:v>
      </x:c>
      <x:c r="L1009" s="185" t="str">
        <x:v>Não classificado</x:v>
      </x:c>
    </x:row>
    <x:row r="1010">
      <x:c r="A1010" s="175" t="str">
        <x:v>33.475.421/0001-28</x:v>
      </x:c>
      <x:c r="B1010" s="166" t="str">
        <x:v>FUNDO DE INVESTIMENTO EM DIREITOS CREDITÓRIOS AZQ ALL CREDIT HY DE RESPONSABILIDADE ILIMITADA</x:v>
      </x:c>
      <x:c r="C1010" s="188" t="n">
        <x:v>113541021.37</x:v>
      </x:c>
      <x:c r="D1010" s="166" t="str">
        <x:v>AZ Quest MZK Investimentos Macro e Crédito Ltda.</x:v>
      </x:c>
      <x:c r="E1010" s="166" t="str">
        <x:f>IFERROR(INDEX('Classif Gestoras'!$H$6:$H$462,MATCH(D1010,'Classif Gestoras'!$A$6:$A$462,0)),"Não classificada")</x:f>
        <x:v>Independente</x:v>
      </x:c>
      <x:c r="F1010" s="166" t="str">
        <x:v>BANCO DAYCOVAL S/A</x:v>
      </x:c>
      <x:c r="G1010" s="166" t="str">
        <x:v>BANCO DAYCOVAL S.A.</x:v>
      </x:c>
      <x:c r="H1010" s="166" t="str">
        <x:v>Financeiro</x:v>
      </x:c>
      <x:c r="I1010" s="166" t="str">
        <x:v>Multicarteira Financeiro</x:v>
      </x:c>
      <x:c r="J1010" s="166" t="str">
        <x:v>CI</x:v>
      </x:c>
      <x:c r="K1010" s="172" t="n">
        <x:v>8</x:v>
      </x:c>
      <x:c r="L1010" s="185" t="str">
        <x:v>Não classificado</x:v>
      </x:c>
    </x:row>
    <x:row r="1011">
      <x:c r="A1011" s="175" t="str">
        <x:v>46.230.862/0001-01</x:v>
      </x:c>
      <x:c r="B1011" s="166" t="str">
        <x:v>BIO-STARS FUNDO DE INVESTIMENTO EM DIREITOS CREDITÓRIOS NÃO PADRONIZADO</x:v>
      </x:c>
      <x:c r="C1011" s="188" t="n">
        <x:v>113503650.58</x:v>
      </x:c>
      <x:c r="D1011" s="166" t="str">
        <x:v>Solis</x:v>
      </x:c>
      <x:c r="E1011" s="166" t="str">
        <x:f>IFERROR(INDEX('Classif Gestoras'!$H$6:$H$462,MATCH(D1011,'Classif Gestoras'!$A$6:$A$462,0)),"Não classificada")</x:f>
        <x:v>Independente</x:v>
      </x:c>
      <x:c r="F1011" s="166" t="str">
        <x:v>Singulare</x:v>
      </x:c>
      <x:c r="G1011" s="166" t="str">
        <x:v>QI CORRETORA DE TÍTULOS E VALORES MOBILIÁRIOS S.A.</x:v>
      </x:c>
      <x:c r="H1011" s="166" t="str">
        <x:v>Fomento Mercantil</x:v>
      </x:c>
      <x:c r="I1011" s="166" t="str">
        <x:v>Fomento Mercantil</x:v>
      </x:c>
      <x:c r="J1011" s="166" t="str">
        <x:v>CI</x:v>
      </x:c>
      <x:c r="K1011" s="172" t="n">
        <x:v>1</x:v>
      </x:c>
      <x:c r="L1011" s="185" t="str">
        <x:v>Não classificado</x:v>
      </x:c>
    </x:row>
    <x:row r="1012">
      <x:c r="A1012" s="175" t="str">
        <x:v>41.195.764/0001-67</x:v>
      </x:c>
      <x:c r="B1012" s="166" t="str">
        <x:v>PRISMA INFRATELCO VD FUNDO DE INVESTIMENTO EM DIREITOS CREDITÓRIOS</x:v>
      </x:c>
      <x:c r="C1012" s="188" t="n">
        <x:v>113433085.17</x:v>
      </x:c>
      <x:c r="D1012" s="166" t="str">
        <x:v>PRISMA PRIVATE CREDIT</x:v>
      </x:c>
      <x:c r="E1012" s="166" t="str">
        <x:f>IFERROR(INDEX('Classif Gestoras'!$H$6:$H$462,MATCH(D1012,'Classif Gestoras'!$A$6:$A$462,0)),"Não classificada")</x:f>
        <x:v>Independente</x:v>
      </x:c>
      <x:c r="F1012" s="166" t="str">
        <x:v>Singulare</x:v>
      </x:c>
      <x:c r="G1012" s="166" t="str">
        <x:v>QI CORRETORA DE TÍTULOS E VALORES MOBILIÁRIOS S.A.</x:v>
      </x:c>
      <x:c r="H1012" s="166" t="str">
        <x:v>Outros</x:v>
      </x:c>
      <x:c r="I1012" s="166" t="str">
        <x:v>Multicarteira Outros</x:v>
      </x:c>
      <x:c r="J1012" s="166" t="str">
        <x:v>CI</x:v>
      </x:c>
      <x:c r="K1012" s="172" t="n">
        <x:v>20</x:v>
      </x:c>
      <x:c r="L1012" s="185" t="str">
        <x:v>Não classificado</x:v>
      </x:c>
    </x:row>
    <x:row r="1013">
      <x:c r="A1013" s="175" t="str">
        <x:v>55.728.426/0001-58</x:v>
      </x:c>
      <x:c r="B1013" s="166" t="str">
        <x:v>ISAAC CREDITO FUNDO DE INVESTIMENTO EM DIREITOS CREDITORIOS FINANCEIROS DE RESPONSABILIDADE LIMITADA</x:v>
      </x:c>
      <x:c r="C1013" s="188" t="n">
        <x:v>113394649.89</x:v>
      </x:c>
      <x:c r="D1013" s="166" t="str">
        <x:v>AUGME CAPITAL GESTÃO DE RECURSOS LTDA.</x:v>
      </x:c>
      <x:c r="E1013" s="166" t="str">
        <x:f>IFERROR(INDEX('Classif Gestoras'!$H$6:$H$462,MATCH(D1013,'Classif Gestoras'!$A$6:$A$462,0)),"Não classificada")</x:f>
        <x:v>Independente</x:v>
      </x:c>
      <x:c r="F1013" s="166" t="str">
        <x:v>Genial Investimentos Corretora de Valores Mobiliários S.A.</x:v>
      </x:c>
      <x:c r="G1013" s="166" t="str">
        <x:v>BANCO GENIAL S.A.</x:v>
      </x:c>
      <x:c r="H1013" s="166" t="str">
        <x:v>Outros</x:v>
      </x:c>
      <x:c r="I1013" s="166" t="str">
        <x:v>Multicarteira Outros</x:v>
      </x:c>
      <x:c r="J1013" s="166" t="str">
        <x:v>CI</x:v>
      </x:c>
      <x:c r="K1013" s="172" t="n">
        <x:v>15</x:v>
      </x:c>
      <x:c r="L1013" s="185" t="str">
        <x:v>Não classificado</x:v>
      </x:c>
    </x:row>
    <x:row r="1014">
      <x:c r="A1014" s="175" t="str">
        <x:v>47.410.102/0001-49</x:v>
      </x:c>
      <x:c r="B1014" s="166" t="str">
        <x:v>MÖBIUS TOTAL RETURN 1 - FUNDO DE INVESTIMENTO EM DIREITOS CREDITÓRIOS RESPONSABILIDADE LIMITADA</x:v>
      </x:c>
      <x:c r="C1014" s="188" t="n">
        <x:v>113292827.16</x:v>
      </x:c>
      <x:c r="D1014" s="166" t="str">
        <x:v>Möbius Capital</x:v>
      </x:c>
      <x:c r="E1014" s="166" t="str">
        <x:f>IFERROR(INDEX('Classif Gestoras'!$H$6:$H$462,MATCH(D1014,'Classif Gestoras'!$A$6:$A$462,0)),"Não classificada")</x:f>
        <x:v>Independente</x:v>
      </x:c>
      <x:c r="F1014" s="166" t="str">
        <x:v>BANCO DAYCOVAL S/A</x:v>
      </x:c>
      <x:c r="G1014" s="166" t="str">
        <x:v>BANCO DAYCOVAL S.A.</x:v>
      </x:c>
      <x:c r="H1014" s="166" t="str">
        <x:v>Outros</x:v>
      </x:c>
      <x:c r="I1014" s="166" t="str">
        <x:v>Multicarteira Outros</x:v>
      </x:c>
      <x:c r="J1014" s="166" t="str">
        <x:v>CI</x:v>
      </x:c>
      <x:c r="K1014" s="172" t="n">
        <x:v>1</x:v>
      </x:c>
      <x:c r="L1014" s="185" t="str">
        <x:v>Não classificado</x:v>
      </x:c>
    </x:row>
    <x:row r="1015">
      <x:c r="A1015" s="175" t="str">
        <x:v>34.218.960/0001-44</x:v>
      </x:c>
      <x:c r="B1015" s="166" t="str">
        <x:v>FUNDO DE INVESTIMENTO EM DIREITOS CREDITÓRIOS ALION CONSIGNADOS</x:v>
      </x:c>
      <x:c r="C1015" s="188" t="n">
        <x:v>113134374.06</x:v>
      </x:c>
      <x:c r="D1015" s="166" t="str">
        <x:v>VALORA RENDA FIXA ESTRUTURADOS LTDA.</x:v>
      </x:c>
      <x:c r="E1015" s="166" t="str">
        <x:f>IFERROR(INDEX('Classif Gestoras'!$H$6:$H$462,MATCH(D1015,'Classif Gestoras'!$A$6:$A$462,0)),"Não classificada")</x:f>
        <x:v>Independente</x:v>
      </x:c>
      <x:c r="F1015" s="166" t="str">
        <x:v>Singulare</x:v>
      </x:c>
      <x:c r="G1015" s="166" t="str">
        <x:v>QI CORRETORA DE TÍTULOS E VALORES MOBILIÁRIOS S.A.</x:v>
      </x:c>
      <x:c r="H1015" s="166" t="str">
        <x:v>Financeiro</x:v>
      </x:c>
      <x:c r="I1015" s="166" t="str">
        <x:v>Crédito Consignado</x:v>
      </x:c>
      <x:c r="J1015" s="166" t="str">
        <x:v>CI</x:v>
      </x:c>
      <x:c r="K1015" s="172" t="n">
        <x:v>34</x:v>
      </x:c>
      <x:c r="L1015" s="185" t="str">
        <x:v>Não classificado</x:v>
      </x:c>
    </x:row>
    <x:row r="1016">
      <x:c r="A1016" s="175" t="str">
        <x:v>52.984.899/0001-28</x:v>
      </x:c>
      <x:c r="B1016" s="166" t="str">
        <x:v>BANCOR FIDC DE RESPONSABILIDADE LIMITADA RECEBÍVEIS COMERCIAIS</x:v>
      </x:c>
      <x:c r="C1016" s="188" t="n">
        <x:v>113001877.94</x:v>
      </x:c>
      <x:c r="D1016" s="166" t="str">
        <x:v>Kanastra</x:v>
      </x:c>
      <x:c r="E1016" s="166" t="str">
        <x:f>IFERROR(INDEX('Classif Gestoras'!$H$6:$H$462,MATCH(D1016,'Classif Gestoras'!$A$6:$A$462,0)),"Não classificada")</x:f>
        <x:v>Independente</x:v>
      </x:c>
      <x:c r="F1016" s="166" t="str">
        <x:v>Banco Genial S.A.</x:v>
      </x:c>
      <x:c r="G1016" s="166" t="str">
        <x:v>Não identificado</x:v>
      </x:c>
      <x:c r="H1016" s="166" t="str">
        <x:v>Agro, Indústria e Comércio</x:v>
      </x:c>
      <x:c r="I1016" s="166" t="str">
        <x:v>Recebíveis Comerciais</x:v>
      </x:c>
      <x:c r="J1016" s="166" t="str">
        <x:v>CI</x:v>
      </x:c>
      <x:c r="K1016" s="172" t="n">
        <x:v>3</x:v>
      </x:c>
      <x:c r="L1016" s="185" t="str">
        <x:v>Não classificado</x:v>
      </x:c>
    </x:row>
    <x:row r="1017">
      <x:c r="A1017" s="175" t="str">
        <x:v>51.864.349/0001-02</x:v>
      </x:c>
      <x:c r="B1017" s="166" t="str">
        <x:v>CVPAR EDUC FUNDO DE INVESTIMENTO EM DIREITOS CREDITÓRIOS</x:v>
      </x:c>
      <x:c r="C1017" s="188" t="n">
        <x:v>112987395.68</x:v>
      </x:c>
      <x:c r="D1017" s="166" t="str">
        <x:v>CVPAR Investimentos ltda</x:v>
      </x:c>
      <x:c r="E1017" s="166" t="str">
        <x:f>IFERROR(INDEX('Classif Gestoras'!$H$6:$H$462,MATCH(D1017,'Classif Gestoras'!$A$6:$A$462,0)),"Não classificada")</x:f>
        <x:v>Independente</x:v>
      </x:c>
      <x:c r="F1017" s="166" t="str">
        <x:v>Singulare</x:v>
      </x:c>
      <x:c r="G1017" s="166" t="str">
        <x:v>QI CORRETORA DE TÍTULOS E VALORES MOBILIÁRIOS S.A.</x:v>
      </x:c>
      <x:c r="H1017" s="166" t="str">
        <x:v>Outros</x:v>
      </x:c>
      <x:c r="I1017" s="166" t="str">
        <x:v>Multicarteira Outros</x:v>
      </x:c>
      <x:c r="J1017" s="166" t="str">
        <x:v>CI</x:v>
      </x:c>
      <x:c r="K1017" s="172" t="n">
        <x:v>6</x:v>
      </x:c>
      <x:c r="L1017" s="185" t="str">
        <x:v>Não classificado</x:v>
      </x:c>
    </x:row>
    <x:row r="1018">
      <x:c r="A1018" s="175" t="str">
        <x:v>29.665.263/0001-00</x:v>
      </x:c>
      <x:c r="B1018" s="166" t="str">
        <x:v>FUNDO DE INVESTIMENTO EM DIREITOS CREDITÓRIOS COMERCIAIS DE RESPONSABILIDADE LIMITADA FORTBRASIL</x:v>
      </x:c>
      <x:c r="C1018" s="188" t="n">
        <x:v>112830086.18</x:v>
      </x:c>
      <x:c r="D1018" s="166" t="str">
        <x:v>Vista Real Estate</x:v>
      </x:c>
      <x:c r="E1018" s="166" t="str">
        <x:f>IFERROR(INDEX('Classif Gestoras'!$H$6:$H$462,MATCH(D1018,'Classif Gestoras'!$A$6:$A$462,0)),"Não classificada")</x:f>
        <x:v>Independente</x:v>
      </x:c>
      <x:c r="F1018" s="166" t="str">
        <x:v>Oliveira Trust DTVM</x:v>
      </x:c>
      <x:c r="G1018" s="166" t="str">
        <x:v>OLIVEIRA TRUST DTVM S.A.</x:v>
      </x:c>
      <x:c r="H1018" s="166" t="str">
        <x:v>Agro, Indústria e Comércio</x:v>
      </x:c>
      <x:c r="I1018" s="166" t="str">
        <x:v>Recebíveis Comerciais</x:v>
      </x:c>
      <x:c r="J1018" s="166" t="str">
        <x:v>CI</x:v>
      </x:c>
      <x:c r="K1018" s="172" t="n">
        <x:v>60</x:v>
      </x:c>
      <x:c r="L1018" s="185" t="str">
        <x:v>Não classificado</x:v>
      </x:c>
    </x:row>
    <x:row r="1019">
      <x:c r="A1019" s="175" t="str">
        <x:v>58.033.772/0001-00</x:v>
      </x:c>
      <x:c r="B1019" s="166" t="str">
        <x:v>AGROFORTE FUNDO DE INVESTIMENTO EM DIREITOS CREDITÓRIOS</x:v>
      </x:c>
      <x:c r="C1019" s="188" t="n">
        <x:v>112782217.08</x:v>
      </x:c>
      <x:c r="D1019" s="166" t="str">
        <x:v>VALORA RENDA FIXA ESTRUTURADOS LTDA.</x:v>
      </x:c>
      <x:c r="E1019" s="166" t="str">
        <x:f>IFERROR(INDEX('Classif Gestoras'!$H$6:$H$462,MATCH(D1019,'Classif Gestoras'!$A$6:$A$462,0)),"Não classificada")</x:f>
        <x:v>Independente</x:v>
      </x:c>
      <x:c r="F1019" s="166" t="str">
        <x:v>BANCO DAYCOVAL S/A</x:v>
      </x:c>
      <x:c r="G1019" s="166" t="str">
        <x:v>BANCO DAYCOVAL S.A.</x:v>
      </x:c>
      <x:c r="H1019" s="166" t="str">
        <x:v>Agro, Indústria e Comércio</x:v>
      </x:c>
      <x:c r="I1019" s="166" t="str">
        <x:v>Agronegócio</x:v>
      </x:c>
      <x:c r="J1019" s="166" t="str">
        <x:v>CI</x:v>
      </x:c>
      <x:c r="K1019" s="172" t="n">
        <x:v>17</x:v>
      </x:c>
      <x:c r="L1019" s="185" t="str">
        <x:v>Não classificado</x:v>
      </x:c>
    </x:row>
    <x:row r="1020">
      <x:c r="A1020" s="175" t="str">
        <x:v>12.764.295/0001-51</x:v>
      </x:c>
      <x:c r="B1020" s="166" t="str">
        <x:v>FUNDO DE INVESTIMENTO EM DIREITOS CREDITÓRIOS ARM</x:v>
      </x:c>
      <x:c r="C1020" s="188" t="n">
        <x:v>112693293.85</x:v>
      </x:c>
      <x:c r="D1020" s="166" t="str">
        <x:v>TERCON ASSET MANAGEMENT</x:v>
      </x:c>
      <x:c r="E1020" s="166" t="str">
        <x:f>IFERROR(INDEX('Classif Gestoras'!$H$6:$H$462,MATCH(D1020,'Classif Gestoras'!$A$6:$A$462,0)),"Não classificada")</x:f>
        <x:v>Independente</x:v>
      </x:c>
      <x:c r="F1020" s="166" t="str">
        <x:v>HEMERA DTVM</x:v>
      </x:c>
      <x:c r="G1020" s="166" t="str">
        <x:v>HEMERA DISTRIBUIDORA DE TITULOS E VALORES MOBILIARIOS LTDA</x:v>
      </x:c>
      <x:c r="H1020" s="166" t="str">
        <x:v>Fomento Mercantil</x:v>
      </x:c>
      <x:c r="I1020" s="166" t="str">
        <x:v>Fomento Mercantil</x:v>
      </x:c>
      <x:c r="J1020" s="166" t="str">
        <x:v>CI</x:v>
      </x:c>
      <x:c r="K1020" s="172" t="n">
        <x:v>1</x:v>
      </x:c>
      <x:c r="L1020" s="185" t="str">
        <x:v>Não classificado</x:v>
      </x:c>
    </x:row>
    <x:row r="1021">
      <x:c r="A1021" s="175" t="str">
        <x:v>59.914.252/0001-79</x:v>
      </x:c>
      <x:c r="B1021" s="166" t="str">
        <x:v>RIZA IMOBILIÁRIO FUNDO DE INVESTIMENTO EM DIREITOS CREDITÓRIOS</x:v>
      </x:c>
      <x:c r="C1021" s="188" t="n">
        <x:v>112658942.68</x:v>
      </x:c>
      <x:c r="D1021" s="166" t="str">
        <x:v>Riza Securitização e Carteiras</x:v>
      </x:c>
      <x:c r="E1021" s="166" t="str">
        <x:f>IFERROR(INDEX('Classif Gestoras'!$H$6:$H$462,MATCH(D1021,'Classif Gestoras'!$A$6:$A$462,0)),"Não classificada")</x:f>
        <x:v>Independente</x:v>
      </x:c>
      <x:c r="F1021" s="166" t="str">
        <x:v>BTG Pactual Servicos Financeiros S/A DTVM</x:v>
      </x:c>
      <x:c r="G1021" s="166" t="str">
        <x:v>BANCO BTG PACTUAL S/A</x:v>
      </x:c>
      <x:c r="H1021" s="166" t="str">
        <x:v>Outros</x:v>
      </x:c>
      <x:c r="I1021" s="166" t="str">
        <x:v>Multicarteira Outros</x:v>
      </x:c>
      <x:c r="J1021" s="166" t="str">
        <x:v>CI</x:v>
      </x:c>
      <x:c r="K1021" s="172" t="n">
        <x:v>4</x:v>
      </x:c>
      <x:c r="L1021" s="185" t="str">
        <x:v>Não classificado</x:v>
      </x:c>
    </x:row>
    <x:row r="1022">
      <x:c r="A1022" s="175" t="str">
        <x:v>57.354.123/0001-48</x:v>
      </x:c>
      <x:c r="B1022" s="166" t="str">
        <x:v>BLIPAY FUNDO DE INVESTIMENTO EM DIREITOS CREDITÓRIOS FINANCEIRO - RESPONSABILIDADE LIMITADA</x:v>
      </x:c>
      <x:c r="C1022" s="188" t="n">
        <x:v>112081223.01000002</x:v>
      </x:c>
      <x:c r="D1022" s="166" t="str">
        <x:v>NOVA S R M</x:v>
      </x:c>
      <x:c r="E1022" s="166" t="str">
        <x:f>IFERROR(INDEX('Classif Gestoras'!$H$6:$H$462,MATCH(D1022,'Classif Gestoras'!$A$6:$A$462,0)),"Não classificada")</x:f>
        <x:v>Independente</x:v>
      </x:c>
      <x:c r="F1022" s="166" t="str">
        <x:v>Singulare</x:v>
      </x:c>
      <x:c r="G1022" s="166" t="str">
        <x:v>QI CORRETORA DE TÍTULOS E VALORES MOBILIÁRIOS S.A.</x:v>
      </x:c>
      <x:c r="H1022" s="166" t="str">
        <x:v>Financeiro</x:v>
      </x:c>
      <x:c r="I1022" s="166" t="str">
        <x:v>Crédito Pessoal</x:v>
      </x:c>
      <x:c r="J1022" s="166" t="str">
        <x:v>CI</x:v>
      </x:c>
      <x:c r="K1022" s="172" t="n">
        <x:v>16</x:v>
      </x:c>
      <x:c r="L1022" s="185" t="str">
        <x:v>Não classificado</x:v>
      </x:c>
    </x:row>
    <x:row r="1023">
      <x:c r="A1023" s="175" t="str">
        <x:v>58.561.243/0001-89</x:v>
      </x:c>
      <x:c r="B1023" s="166" t="str">
        <x:v>F3 FALCON FUNDO DE INVESTIMENTO EM DIREITOS CREDITÓRIOS RESPONSABILIDADE LIMITADA</x:v>
      </x:c>
      <x:c r="C1023" s="188" t="n">
        <x:v>111957619.58</x:v>
      </x:c>
      <x:c r="D1023" s="166" t="str">
        <x:v>F3 ROCK</x:v>
      </x:c>
      <x:c r="E1023" s="166" t="str">
        <x:f>IFERROR(INDEX('Classif Gestoras'!$H$6:$H$462,MATCH(D1023,'Classif Gestoras'!$A$6:$A$462,0)),"Não classificada")</x:f>
        <x:v>Independente</x:v>
      </x:c>
      <x:c r="F1023" s="166" t="str">
        <x:v>VÓRTX DTVM</x:v>
      </x:c>
      <x:c r="G1023" s="166" t="str">
        <x:v>VORTX DISTRIBUIDORA DE TITULOS E VALORES MOBILIARIOS LTDA.</x:v>
      </x:c>
      <x:c r="H1023" s="166" t="str">
        <x:v>Financeiro</x:v>
      </x:c>
      <x:c r="I1023" s="166" t="str">
        <x:v>Crédito Consignado</x:v>
      </x:c>
      <x:c r="J1023" s="166" t="str">
        <x:v>CI</x:v>
      </x:c>
      <x:c r="K1023" s="172" t="n">
        <x:v>31</x:v>
      </x:c>
      <x:c r="L1023" s="185" t="str">
        <x:v>Não classificado</x:v>
      </x:c>
    </x:row>
    <x:row r="1024">
      <x:c r="A1024" s="175" t="str">
        <x:v>33.512.746/0001-33</x:v>
      </x:c>
      <x:c r="B1024" s="166" t="str">
        <x:v>FUNDO DE INVESTIMENTO EM DIREITOS CREDITÓRIOS BRZ CAPITAL CONSIG I RESPONSABILIDADE LIMITADA</x:v>
      </x:c>
      <x:c r="C1024" s="188" t="n">
        <x:v>111832076.79</x:v>
      </x:c>
      <x:c r="D1024" s="166" t="str">
        <x:v>BRZ Investimentos</x:v>
      </x:c>
      <x:c r="E1024" s="166" t="str">
        <x:f>IFERROR(INDEX('Classif Gestoras'!$H$6:$H$462,MATCH(D1024,'Classif Gestoras'!$A$6:$A$462,0)),"Não classificada")</x:f>
        <x:v>Independente</x:v>
      </x:c>
      <x:c r="F1024" s="166" t="str">
        <x:v>Banvox DTVM</x:v>
      </x:c>
      <x:c r="G1024" s="166" t="str">
        <x:v>BANVOX DISTRIBUIDORA DE TITULOS E VALORES MOBILIARIOS LTDA</x:v>
      </x:c>
      <x:c r="H1024" s="166" t="str">
        <x:v>Financeiro</x:v>
      </x:c>
      <x:c r="I1024" s="166" t="str">
        <x:v>Crédito Consignado</x:v>
      </x:c>
      <x:c r="J1024" s="166" t="str">
        <x:v>CI</x:v>
      </x:c>
      <x:c r="K1024" s="172" t="n">
        <x:v>76</x:v>
      </x:c>
      <x:c r="L1024" s="185" t="str">
        <x:v>Não classificado</x:v>
      </x:c>
    </x:row>
    <x:row r="1025">
      <x:c r="A1025" s="175" t="str">
        <x:v>42.888.478/0001-40</x:v>
      </x:c>
      <x:c r="B1025" s="166" t="str">
        <x:v>FUNDO DE INVESTIMENTO EM DIREITOS CREDITÓRIOS JUVO - RESPONSABILIDADE LIMITADA</x:v>
      </x:c>
      <x:c r="C1025" s="188" t="n">
        <x:v>111434117.29999998</x:v>
      </x:c>
      <x:c r="D1025" s="166" t="str">
        <x:v>NOVA S R M</x:v>
      </x:c>
      <x:c r="E1025" s="166" t="str">
        <x:f>IFERROR(INDEX('Classif Gestoras'!$H$6:$H$462,MATCH(D1025,'Classif Gestoras'!$A$6:$A$462,0)),"Não classificada")</x:f>
        <x:v>Independente</x:v>
      </x:c>
      <x:c r="F1025" s="166" t="str">
        <x:v>Singulare</x:v>
      </x:c>
      <x:c r="G1025" s="166" t="str">
        <x:v>QI CORRETORA DE TÍTULOS E VALORES MOBILIÁRIOS S.A.</x:v>
      </x:c>
      <x:c r="H1025" s="166" t="str">
        <x:v>Financeiro</x:v>
      </x:c>
      <x:c r="I1025" s="166" t="str">
        <x:v>Crédito Pessoal</x:v>
      </x:c>
      <x:c r="J1025" s="166" t="str">
        <x:v>CI</x:v>
      </x:c>
      <x:c r="K1025" s="172" t="n">
        <x:v>68</x:v>
      </x:c>
      <x:c r="L1025" s="185" t="str">
        <x:v>Não classificado</x:v>
      </x:c>
    </x:row>
    <x:row r="1026">
      <x:c r="A1026" s="175" t="str">
        <x:v>58.845.757/0001-66</x:v>
      </x:c>
      <x:c r="B1026" s="166" t="str">
        <x:v>051 CRÉDITO 180 FUNDO DE EM DIREITOS CREDITÓRIOS RESPONSABILIDADE LIMITADA</x:v>
      </x:c>
      <x:c r="C1026" s="188" t="n">
        <x:v>111418125.4</x:v>
      </x:c>
      <x:c r="D1026" s="166" t="str">
        <x:v>051 Capital</x:v>
      </x:c>
      <x:c r="E1026" s="166" t="str">
        <x:f>IFERROR(INDEX('Classif Gestoras'!$H$6:$H$462,MATCH(D1026,'Classif Gestoras'!$A$6:$A$462,0)),"Não classificada")</x:f>
        <x:v>Independente</x:v>
      </x:c>
      <x:c r="F1026" s="166" t="str">
        <x:v>BTG Pactual Servicos Financeiros S/A DTVM</x:v>
      </x:c>
      <x:c r="G1026" s="166" t="str">
        <x:v>BANCO BTG PACTUAL S/A</x:v>
      </x:c>
      <x:c r="H1026" s="166" t="str">
        <x:v>Outros</x:v>
      </x:c>
      <x:c r="I1026" s="166" t="str">
        <x:v>Multicarteira Outros</x:v>
      </x:c>
      <x:c r="J1026" s="166" t="str">
        <x:v>CI</x:v>
      </x:c>
      <x:c r="K1026" s="172" t="n">
        <x:v>1</x:v>
      </x:c>
      <x:c r="L1026" s="185" t="str">
        <x:v>Não classificado</x:v>
      </x:c>
    </x:row>
    <x:row r="1027">
      <x:c r="A1027" s="175" t="str">
        <x:v>54.955.983/0001-49</x:v>
      </x:c>
      <x:c r="B1027" s="166" t="str">
        <x:v>VK MASTER FUNDO DE INVESTIMENTO EM DIREITOS CREDITÓRIOS RESPONSABILIDADE LIMITADA</x:v>
      </x:c>
      <x:c r="C1027" s="188" t="n">
        <x:v>111363879.39</x:v>
      </x:c>
      <x:c r="D1027" s="166" t="str">
        <x:v>VINLAND CAPITAL MANAGEMENT CREDITO PRIVADO GESTORA DE R</x:v>
      </x:c>
      <x:c r="E1027" s="166" t="str">
        <x:f>IFERROR(INDEX('Classif Gestoras'!$H$6:$H$462,MATCH(D1027,'Classif Gestoras'!$A$6:$A$462,0)),"Não classificada")</x:f>
        <x:v>Independente</x:v>
      </x:c>
      <x:c r="F1027" s="166" t="str">
        <x:v>BTG Pactual Servicos Financeiros S/A DTVM</x:v>
      </x:c>
      <x:c r="G1027" s="166" t="str">
        <x:v>BANCO BTG PACTUAL S/A</x:v>
      </x:c>
      <x:c r="H1027" s="166" t="str">
        <x:v>Outros</x:v>
      </x:c>
      <x:c r="I1027" s="166" t="str">
        <x:v>Multicarteira Outros</x:v>
      </x:c>
      <x:c r="J1027" s="166" t="str">
        <x:v>CI</x:v>
      </x:c>
      <x:c r="K1027" s="172" t="n">
        <x:v>1</x:v>
      </x:c>
      <x:c r="L1027" s="185" t="str">
        <x:v>Não classificado</x:v>
      </x:c>
    </x:row>
    <x:row r="1028">
      <x:c r="A1028" s="175" t="str">
        <x:v>61.194.816/0001-98</x:v>
      </x:c>
      <x:c r="B1028" s="166" t="str">
        <x:v>B100 FUNDO DE INVESTIMENTO EM DIREITOS CREDITÓRIOS</x:v>
      </x:c>
      <x:c r="C1028" s="188" t="n">
        <x:v>111173705.8</x:v>
      </x:c>
      <x:c r="D1028" s="166" t="str">
        <x:v>Redwood Asset Management</x:v>
      </x:c>
      <x:c r="E1028" s="166" t="str">
        <x:f>IFERROR(INDEX('Classif Gestoras'!$H$6:$H$462,MATCH(D1028,'Classif Gestoras'!$A$6:$A$462,0)),"Não classificada")</x:f>
        <x:v>Independente</x:v>
      </x:c>
      <x:c r="F1028" s="166" t="str">
        <x:v>PLANNER CV</x:v>
      </x:c>
      <x:c r="G1028" s="166" t="str">
        <x:v>PLANNER CORRETORA DE VALORES S.A.</x:v>
      </x:c>
      <x:c r="H1028" s="166" t="str">
        <x:v>Outros</x:v>
      </x:c>
      <x:c r="I1028" s="166" t="str">
        <x:v>Multicarteira Outros</x:v>
      </x:c>
      <x:c r="J1028" s="166" t="str">
        <x:v>CI</x:v>
      </x:c>
      <x:c r="K1028" s="172" t="n">
        <x:v>2</x:v>
      </x:c>
      <x:c r="L1028" s="185" t="str">
        <x:v>Não classificado</x:v>
      </x:c>
    </x:row>
    <x:row r="1029">
      <x:c r="A1029" s="175" t="str">
        <x:v>53.962.432/0001-40</x:v>
      </x:c>
      <x:c r="B1029" s="166" t="str">
        <x:v>BASÃ FUNDO DE INVESTIMENTO EM DIREITOS CREDITÓRIOS DE RESPONSABILIDADE LIMITADA</x:v>
      </x:c>
      <x:c r="C1029" s="188" t="n">
        <x:v>111100500.73</x:v>
      </x:c>
      <x:c r="D1029" s="166" t="str">
        <x:v>Catálise Investimentos</x:v>
      </x:c>
      <x:c r="E1029" s="166" t="str">
        <x:f>IFERROR(INDEX('Classif Gestoras'!$H$6:$H$462,MATCH(D1029,'Classif Gestoras'!$A$6:$A$462,0)),"Não classificada")</x:f>
        <x:v>Independente</x:v>
      </x:c>
      <x:c r="F1029" s="166" t="str">
        <x:v>CATÁLISE DTVM</x:v>
      </x:c>
      <x:c r="G1029" s="166" t="str">
        <x:v>BANCO DAYCOVAL S.A.</x:v>
      </x:c>
      <x:c r="H1029" s="166" t="str">
        <x:v>Agro, Indústria e Comércio</x:v>
      </x:c>
      <x:c r="I1029" s="166" t="str">
        <x:v>Multicarteira Agro, Indústria e Comércio</x:v>
      </x:c>
      <x:c r="J1029" s="166" t="str">
        <x:v>CI</x:v>
      </x:c>
      <x:c r="K1029" s="172" t="n">
        <x:v>1</x:v>
      </x:c>
      <x:c r="L1029" s="185" t="str">
        <x:v>Não classificado</x:v>
      </x:c>
    </x:row>
    <x:row r="1030">
      <x:c r="A1030" s="175" t="str">
        <x:v>29.970.251/0001-80</x:v>
      </x:c>
      <x:c r="B1030" s="166" t="str">
        <x:v>SOLAR FUNDO DE INVESTIMENTO EM DIREITOS CREDITÓRIOS MULTISSETORIAL</x:v>
      </x:c>
      <x:c r="C1030" s="188" t="n">
        <x:v>111100385.51000002</x:v>
      </x:c>
      <x:c r="D1030" s="166" t="str">
        <x:v>Iggy Investimentos</x:v>
      </x:c>
      <x:c r="E1030" s="166" t="str">
        <x:f>IFERROR(INDEX('Classif Gestoras'!$H$6:$H$462,MATCH(D1030,'Classif Gestoras'!$A$6:$A$462,0)),"Não classificada")</x:f>
        <x:v>Independente</x:v>
      </x:c>
      <x:c r="F1030" s="166" t="str">
        <x:v>Singulare</x:v>
      </x:c>
      <x:c r="G1030" s="166" t="str">
        <x:v>QI CORRETORA DE TÍTULOS E VALORES MOBILIÁRIOS S.A.</x:v>
      </x:c>
      <x:c r="H1030" s="166" t="str">
        <x:v>Fomento Mercantil</x:v>
      </x:c>
      <x:c r="I1030" s="166" t="str">
        <x:v>Fomento Mercantil</x:v>
      </x:c>
      <x:c r="J1030" s="166" t="str">
        <x:v>CI</x:v>
      </x:c>
      <x:c r="K1030" s="172" t="n">
        <x:v>32</x:v>
      </x:c>
      <x:c r="L1030" s="185" t="str">
        <x:v>Não classificado</x:v>
      </x:c>
    </x:row>
    <x:row r="1031">
      <x:c r="A1031" s="175" t="str">
        <x:v>27.974.792/0001-51</x:v>
      </x:c>
      <x:c r="B1031" s="166" t="str">
        <x:v>ÓREAS FUNDO DE INVESTIMENTO EM DIREITOS CREDITÓRIOS NÃO-PADRONIZADO</x:v>
      </x:c>
      <x:c r="C1031" s="188" t="n">
        <x:v>111095756.59000002</x:v>
      </x:c>
      <x:c r="D1031" s="166" t="str">
        <x:v>Jus Capital Gestão de Recursos LTDA</x:v>
      </x:c>
      <x:c r="E1031" s="166" t="str">
        <x:f>IFERROR(INDEX('Classif Gestoras'!$H$6:$H$462,MATCH(D1031,'Classif Gestoras'!$A$6:$A$462,0)),"Não classificada")</x:f>
        <x:v>Independente</x:v>
      </x:c>
      <x:c r="F1031" s="166" t="str">
        <x:v>Singulare</x:v>
      </x:c>
      <x:c r="G1031" s="166" t="str">
        <x:v>QI CORRETORA DE TÍTULOS E VALORES MOBILIÁRIOS S.A.</x:v>
      </x:c>
      <x:c r="H1031" s="166" t="str">
        <x:v>Outros</x:v>
      </x:c>
      <x:c r="I1031" s="166" t="str">
        <x:v>Poder Público</x:v>
      </x:c>
      <x:c r="J1031" s="166" t="str">
        <x:v>CI</x:v>
      </x:c>
      <x:c r="K1031" s="172" t="n">
        <x:v>2</x:v>
      </x:c>
      <x:c r="L1031" s="185" t="str">
        <x:v>Não classificado</x:v>
      </x:c>
    </x:row>
    <x:row r="1032">
      <x:c r="A1032" s="175" t="str">
        <x:v>23.773.276/0001-08</x:v>
      </x:c>
      <x:c r="B1032" s="166" t="str">
        <x:v>URBANO FUNDO DE INVESTIMENTO EM DIREITOS CREDITÓRIOS MULTISETORIAL</x:v>
      </x:c>
      <x:c r="C1032" s="188" t="n">
        <x:v>110906490.53</x:v>
      </x:c>
      <x:c r="D1032" s="166" t="str">
        <x:v>URBANO ADMINISTRAÇÃO DE RECURSOS LTDA</x:v>
      </x:c>
      <x:c r="E1032" s="166" t="str">
        <x:f>IFERROR(INDEX('Classif Gestoras'!$H$6:$H$462,MATCH(D1032,'Classif Gestoras'!$A$6:$A$462,0)),"Não classificada")</x:f>
        <x:v>Independente</x:v>
      </x:c>
      <x:c r="F1032" s="166" t="str">
        <x:v>Limine Trust Distribuidora de Titulos e Valores Mobiliá</x:v>
      </x:c>
      <x:c r="G1032" s="166" t="str">
        <x:v>LIMINE TRUST DISTRIBUIDORA DE TITULOS E VALORES MOBILIARIOS LTDA.</x:v>
      </x:c>
      <x:c r="H1032" s="166" t="str">
        <x:v>Outros</x:v>
      </x:c>
      <x:c r="I1032" s="166" t="str">
        <x:v>Multicarteira Outros</x:v>
      </x:c>
      <x:c r="J1032" s="166" t="str">
        <x:v>CI</x:v>
      </x:c>
      <x:c r="K1032" s="172" t="n">
        <x:v>18</x:v>
      </x:c>
      <x:c r="L1032" s="185" t="str">
        <x:v>Não classificado</x:v>
      </x:c>
    </x:row>
    <x:row r="1033">
      <x:c r="A1033" s="175" t="str">
        <x:v>12.778.706/0001-68</x:v>
      </x:c>
      <x:c r="B1033" s="166" t="str">
        <x:v>FUNDO DE INVESTIMENTO EM DIREITOS CREDITÓRIOS - BRASILFACTORS CRÉDITO CORPORATIVO</x:v>
      </x:c>
      <x:c r="C1033" s="188" t="n">
        <x:v>110900869.19</x:v>
      </x:c>
      <x:c r="D1033" s="166" t="str">
        <x:v>Petra Capital</x:v>
      </x:c>
      <x:c r="E1033" s="166" t="str">
        <x:f>IFERROR(INDEX('Classif Gestoras'!$H$6:$H$462,MATCH(D1033,'Classif Gestoras'!$A$6:$A$462,0)),"Não classificada")</x:f>
        <x:v>Independente</x:v>
      </x:c>
      <x:c r="F1033" s="166" t="str">
        <x:v>Banco Finaxis S.A.</x:v>
      </x:c>
      <x:c r="G1033" s="166" t="str">
        <x:v>BANCO FINAXIS S.A.</x:v>
      </x:c>
      <x:c r="H1033" s="166" t="str">
        <x:v>Fomento Mercantil</x:v>
      </x:c>
      <x:c r="I1033" s="166" t="str">
        <x:v>Fomento Mercantil</x:v>
      </x:c>
      <x:c r="J1033" s="166" t="str">
        <x:v>CI</x:v>
      </x:c>
      <x:c r="K1033" s="172" t="n">
        <x:v>3</x:v>
      </x:c>
      <x:c r="L1033" s="185" t="str">
        <x:v>Não classificado</x:v>
      </x:c>
    </x:row>
    <x:row r="1034">
      <x:c r="A1034" s="175" t="str">
        <x:v>62.082.503/0001-00</x:v>
      </x:c>
      <x:c r="B1034" s="166" t="str">
        <x:v>AUGME 360 FUNDO DE INVESTIMENTO EM DIREITOS CREDITÓRIOS - RESP LIMITADA</x:v>
      </x:c>
      <x:c r="C1034" s="188" t="n">
        <x:v>110857383.12</x:v>
      </x:c>
      <x:c r="D1034" s="166" t="str">
        <x:v>AUGME CAPITAL GESTÃO DE RECURSOS LTDA.</x:v>
      </x:c>
      <x:c r="E1034" s="166" t="str">
        <x:f>IFERROR(INDEX('Classif Gestoras'!$H$6:$H$462,MATCH(D1034,'Classif Gestoras'!$A$6:$A$462,0)),"Não classificada")</x:f>
        <x:v>Independente</x:v>
      </x:c>
      <x:c r="F1034" s="166" t="str">
        <x:v>BTG Pactual Servicos Financeiros S/A DTVM</x:v>
      </x:c>
      <x:c r="G1034" s="166" t="str">
        <x:v>BANCO BTG PACTUAL S/A</x:v>
      </x:c>
      <x:c r="H1034" s="166" t="str">
        <x:v>Outros</x:v>
      </x:c>
      <x:c r="I1034" s="166" t="str">
        <x:v>Multicarteira Outros</x:v>
      </x:c>
      <x:c r="J1034" s="166" t="str">
        <x:v>CI</x:v>
      </x:c>
      <x:c r="K1034" s="172" t="n">
        <x:v>6</x:v>
      </x:c>
      <x:c r="L1034" s="185" t="str">
        <x:v>Não classificado</x:v>
      </x:c>
    </x:row>
    <x:row r="1035">
      <x:c r="A1035" s="175" t="str">
        <x:v>41.755.934/0001-10</x:v>
      </x:c>
      <x:c r="B1035" s="166" t="str">
        <x:v>FIDEM BANK FUNDO DE INVESTIMENTO EM DIREITOS CREDITÓRIOS</x:v>
      </x:c>
      <x:c r="C1035" s="188" t="n">
        <x:v>110784749.21</x:v>
      </x:c>
      <x:c r="D1035" s="166" t="str">
        <x:v>TERCON ASSET MANAGEMENT</x:v>
      </x:c>
      <x:c r="E1035" s="166" t="str">
        <x:f>IFERROR(INDEX('Classif Gestoras'!$H$6:$H$462,MATCH(D1035,'Classif Gestoras'!$A$6:$A$462,0)),"Não classificada")</x:f>
        <x:v>Independente</x:v>
      </x:c>
      <x:c r="F1035" s="166" t="str">
        <x:v>Singulare</x:v>
      </x:c>
      <x:c r="G1035" s="166" t="str">
        <x:v>QI CORRETORA DE TÍTULOS E VALORES MOBILIÁRIOS S.A.</x:v>
      </x:c>
      <x:c r="H1035" s="166" t="str">
        <x:v>Fomento Mercantil</x:v>
      </x:c>
      <x:c r="I1035" s="166" t="str">
        <x:v>Fomento Mercantil</x:v>
      </x:c>
      <x:c r="J1035" s="166" t="str">
        <x:v>CI</x:v>
      </x:c>
      <x:c r="K1035" s="172" t="n">
        <x:v>44</x:v>
      </x:c>
      <x:c r="L1035" s="185" t="str">
        <x:v>Não classificado</x:v>
      </x:c>
    </x:row>
    <x:row r="1036">
      <x:c r="A1036" s="175" t="str">
        <x:v>46.442.274/0001-31</x:v>
      </x:c>
      <x:c r="B1036" s="166" t="str">
        <x:v>FARM III FUNDO DE INVESTIMENTO EM DIREITOS CREDITÓRIOS RESPONSABILIDADE LIMITADA</x:v>
      </x:c>
      <x:c r="C1036" s="188" t="n">
        <x:v>110621524.2</x:v>
      </x:c>
      <x:c r="D1036" s="166" t="str">
        <x:v>Farmtech Gestão de Recursos Ltda.</x:v>
      </x:c>
      <x:c r="E1036" s="166" t="str">
        <x:f>IFERROR(INDEX('Classif Gestoras'!$H$6:$H$462,MATCH(D1036,'Classif Gestoras'!$A$6:$A$462,0)),"Não classificada")</x:f>
        <x:v>Independente</x:v>
      </x:c>
      <x:c r="F1036" s="166" t="str">
        <x:v>BTG Pactual Servicos Financeiros S/A DTVM</x:v>
      </x:c>
      <x:c r="G1036" s="166" t="str">
        <x:v>BANCO BTG PACTUAL S/A</x:v>
      </x:c>
      <x:c r="H1036" s="166" t="str">
        <x:v>Agro, Indústria e Comércio</x:v>
      </x:c>
      <x:c r="I1036" s="166" t="str">
        <x:v>Agronegócio</x:v>
      </x:c>
      <x:c r="J1036" s="166" t="str">
        <x:v>CI</x:v>
      </x:c>
      <x:c r="K1036" s="172" t="n">
        <x:v>107</x:v>
      </x:c>
      <x:c r="L1036" s="185" t="str">
        <x:v>Não classificado</x:v>
      </x:c>
    </x:row>
    <x:row r="1037">
      <x:c r="A1037" s="175" t="str">
        <x:v>50.118.274/0001-58</x:v>
      </x:c>
      <x:c r="B1037" s="166" t="str">
        <x:v>ATIVA FUNDO DE INVESTIMENTO EM DIREITOS CREDITÓRIOS NÃO PADRONIZADO</x:v>
      </x:c>
      <x:c r="C1037" s="188" t="n">
        <x:v>110336059.27</x:v>
      </x:c>
      <x:c r="D1037" s="166" t="str">
        <x:v>TERCON ASSET MANAGEMENT</x:v>
      </x:c>
      <x:c r="E1037" s="166" t="str">
        <x:f>IFERROR(INDEX('Classif Gestoras'!$H$6:$H$462,MATCH(D1037,'Classif Gestoras'!$A$6:$A$462,0)),"Não classificada")</x:f>
        <x:v>Independente</x:v>
      </x:c>
      <x:c r="F1037" s="166" t="str">
        <x:v>Limine Trust Distribuidora de Titulos e Valores Mobiliá</x:v>
      </x:c>
      <x:c r="G1037" s="166" t="str">
        <x:v>LIMINE TRUST DISTRIBUIDORA DE TITULOS E VALORES MOBILIARIOS LTDA.</x:v>
      </x:c>
      <x:c r="H1037" s="166" t="str">
        <x:v>Outros</x:v>
      </x:c>
      <x:c r="I1037" s="166" t="str">
        <x:v>Multicarteira Outros</x:v>
      </x:c>
      <x:c r="J1037" s="166" t="str">
        <x:v>CI</x:v>
      </x:c>
      <x:c r="K1037" s="172" t="n">
        <x:v>1</x:v>
      </x:c>
      <x:c r="L1037" s="185" t="str">
        <x:v>Não classificado</x:v>
      </x:c>
    </x:row>
    <x:row r="1038">
      <x:c r="A1038" s="175" t="str">
        <x:v>58.594.205/0001-22</x:v>
      </x:c>
      <x:c r="B1038" s="166" t="str">
        <x:v>EXA AGCN USD FUNDO DE INVESTIMENTO EM DIREITOS CREDITÓRIOS RESPONSABILIDADE LIMITADA</x:v>
      </x:c>
      <x:c r="C1038" s="188" t="n">
        <x:v>110240272.76</x:v>
      </x:c>
      <x:c r="D1038" s="166" t="str">
        <x:v>EXA CAPITAL ASSET</x:v>
      </x:c>
      <x:c r="E1038" s="166" t="str">
        <x:f>IFERROR(INDEX('Classif Gestoras'!$H$6:$H$462,MATCH(D1038,'Classif Gestoras'!$A$6:$A$462,0)),"Não classificada")</x:f>
        <x:v>Independente</x:v>
      </x:c>
      <x:c r="F1038" s="166" t="str">
        <x:v>BANCO DAYCOVAL S/A</x:v>
      </x:c>
      <x:c r="G1038" s="166" t="str">
        <x:v>BANCO DAYCOVAL S.A.</x:v>
      </x:c>
      <x:c r="H1038" s="166" t="str">
        <x:v>Agro, Indústria e Comércio</x:v>
      </x:c>
      <x:c r="I1038" s="166" t="str">
        <x:v>Multicarteira Agro, Indústria e Comércio</x:v>
      </x:c>
      <x:c r="J1038" s="166" t="str">
        <x:v>CI</x:v>
      </x:c>
      <x:c r="K1038" s="172" t="n">
        <x:v>7</x:v>
      </x:c>
      <x:c r="L1038" s="185" t="str">
        <x:v>Não classificado</x:v>
      </x:c>
    </x:row>
    <x:row r="1039">
      <x:c r="A1039" s="175" t="str">
        <x:v>51.628.065/0001-17</x:v>
      </x:c>
      <x:c r="B1039" s="166" t="str">
        <x:v>KYOMI RENDA FUNDO DE INVESTIMENTO EM DIREITOS CREDITÓRIOS</x:v>
      </x:c>
      <x:c r="C1039" s="188" t="n">
        <x:v>110218923.93999998</x:v>
      </x:c>
      <x:c r="D1039" s="166" t="str">
        <x:v>SUESTE CAPITAL GESTÃO DE RECURSOS LTDA.</x:v>
      </x:c>
      <x:c r="E1039" s="166" t="str">
        <x:f>IFERROR(INDEX('Classif Gestoras'!$H$6:$H$462,MATCH(D1039,'Classif Gestoras'!$A$6:$A$462,0)),"Não classificada")</x:f>
        <x:v>Independente</x:v>
      </x:c>
      <x:c r="F1039" s="166" t="str">
        <x:v>BANCO DAYCOVAL S/A</x:v>
      </x:c>
      <x:c r="G1039" s="166" t="str">
        <x:v>BANCO DAYCOVAL S.A.</x:v>
      </x:c>
      <x:c r="H1039" s="166" t="str">
        <x:v>Outros</x:v>
      </x:c>
      <x:c r="I1039" s="166" t="str">
        <x:v>Multicarteira Outros</x:v>
      </x:c>
      <x:c r="J1039" s="166" t="str">
        <x:v>CI</x:v>
      </x:c>
      <x:c r="K1039" s="172" t="n">
        <x:v>34</x:v>
      </x:c>
      <x:c r="L1039" s="185" t="str">
        <x:v>Não classificado</x:v>
      </x:c>
    </x:row>
    <x:row r="1040">
      <x:c r="A1040" s="175" t="str">
        <x:v>62.488.983/0001-04</x:v>
      </x:c>
      <x:c r="B1040" s="166" t="str">
        <x:v>CNPJ 62488983000104</x:v>
      </x:c>
      <x:c r="C1040" s="188" t="n">
        <x:v>110160636.84</x:v>
      </x:c>
      <x:c r="D1040" s="166" t="str">
        <x:v>4i Capital Ltda</x:v>
      </x:c>
      <x:c r="E1040" s="166" t="str">
        <x:f>IFERROR(INDEX('Classif Gestoras'!$H$6:$H$462,MATCH(D1040,'Classif Gestoras'!$A$6:$A$462,0)),"Não classificada")</x:f>
        <x:v>Independente</x:v>
      </x:c>
      <x:c r="F1040" s="166" t="str">
        <x:v>PLANNER CV</x:v>
      </x:c>
      <x:c r="G1040" s="166" t="str">
        <x:v>Não identificado</x:v>
      </x:c>
      <x:c r="H1040" s="166" t="str">
        <x:v>Outros</x:v>
      </x:c>
      <x:c r="I1040" s="166" t="str">
        <x:v>Multicarteira Outros</x:v>
      </x:c>
      <x:c r="J1040" s="166" t="str">
        <x:v>CI</x:v>
      </x:c>
      <x:c r="K1040" s="172"/>
      <x:c r="L1040" s="185" t="str">
        <x:v>Não classificado</x:v>
      </x:c>
    </x:row>
    <x:row r="1041">
      <x:c r="A1041" s="175" t="str">
        <x:v>55.013.574/0001-96</x:v>
      </x:c>
      <x:c r="B1041" s="166" t="str">
        <x:v>FUNDO DE INVESTIMENTO EM DIREITOS CREDITÓRIOS DE CONSÓRCIOS YELLOWSTONE - RESPONSABILIDADE LIMITADA</x:v>
      </x:c>
      <x:c r="C1041" s="188" t="n">
        <x:v>110076204.39</x:v>
      </x:c>
      <x:c r="D1041" s="166" t="str">
        <x:v>TERA CAPITAL</x:v>
      </x:c>
      <x:c r="E1041" s="166" t="str">
        <x:f>IFERROR(INDEX('Classif Gestoras'!$H$6:$H$462,MATCH(D1041,'Classif Gestoras'!$A$6:$A$462,0)),"Não classificada")</x:f>
        <x:v>Independente</x:v>
      </x:c>
      <x:c r="F1041" s="166" t="str">
        <x:v>BANCO DAYCOVAL S/A</x:v>
      </x:c>
      <x:c r="G1041" s="166" t="str">
        <x:v>BANCO DAYCOVAL S.A.</x:v>
      </x:c>
      <x:c r="H1041" s="166" t="str">
        <x:v>Financeiro</x:v>
      </x:c>
      <x:c r="I1041" s="166" t="str">
        <x:v>Multicarteira Financeiro</x:v>
      </x:c>
      <x:c r="J1041" s="166" t="str">
        <x:v>CI</x:v>
      </x:c>
      <x:c r="K1041" s="172" t="n">
        <x:v>13</x:v>
      </x:c>
      <x:c r="L1041" s="185" t="str">
        <x:v>Não classificado</x:v>
      </x:c>
    </x:row>
    <x:row r="1042">
      <x:c r="A1042" s="175" t="str">
        <x:v>17.013.985/0001-92</x:v>
      </x:c>
      <x:c r="B1042" s="166" t="str">
        <x:v>CNPJ 17013985000192</x:v>
      </x:c>
      <x:c r="C1042" s="188" t="n">
        <x:v>109898422.5</x:v>
      </x:c>
      <x:c r="D1042" s="166" t="str">
        <x:v>GRAPHEN INVESTIMENTOS</x:v>
      </x:c>
      <x:c r="E1042" s="166" t="str">
        <x:f>IFERROR(INDEX('Classif Gestoras'!$H$6:$H$462,MATCH(D1042,'Classif Gestoras'!$A$6:$A$462,0)),"Não classificada")</x:f>
        <x:v>Independente</x:v>
      </x:c>
      <x:c r="F1042" s="166" t="str">
        <x:v>Banvox DTVM</x:v>
      </x:c>
      <x:c r="G1042" s="166" t="str">
        <x:v>Não identificado</x:v>
      </x:c>
      <x:c r="H1042" s="166" t="str">
        <x:v>Outros</x:v>
      </x:c>
      <x:c r="I1042" s="166" t="str">
        <x:v>Multicarteira Outros</x:v>
      </x:c>
      <x:c r="J1042" s="166" t="str">
        <x:v>CI</x:v>
      </x:c>
      <x:c r="K1042" s="172"/>
      <x:c r="L1042" s="185" t="str">
        <x:v>Não classificado</x:v>
      </x:c>
    </x:row>
    <x:row r="1043">
      <x:c r="A1043" s="175" t="str">
        <x:v>62.800.819/0001-90</x:v>
      </x:c>
      <x:c r="B1043" s="166" t="str">
        <x:v>HOVERLA FUNDO DE INVESTIMENTO EM DIREITOS CREDITÓRIOS DE RECEBÍVEIS DE CARTÕES - RESP LIMITADA</x:v>
      </x:c>
      <x:c r="C1043" s="188" t="n">
        <x:v>109778358.65</x:v>
      </x:c>
      <x:c r="D1043" s="166" t="str">
        <x:v>BDR Asset</x:v>
      </x:c>
      <x:c r="E1043" s="166" t="str">
        <x:f>IFERROR(INDEX('Classif Gestoras'!$H$6:$H$462,MATCH(D1043,'Classif Gestoras'!$A$6:$A$462,0)),"Não classificada")</x:f>
        <x:v>Independente</x:v>
      </x:c>
      <x:c r="F1043" s="166" t="str">
        <x:v>BANCO DAYCOVAL S/A</x:v>
      </x:c>
      <x:c r="G1043" s="166" t="str">
        <x:v>BANCO DAYCOVAL S.A.</x:v>
      </x:c>
      <x:c r="H1043" s="166" t="str">
        <x:v>Outros</x:v>
      </x:c>
      <x:c r="I1043" s="166" t="str">
        <x:v>Multicarteira Outros</x:v>
      </x:c>
      <x:c r="J1043" s="166" t="str">
        <x:v>CI</x:v>
      </x:c>
      <x:c r="K1043" s="172" t="n">
        <x:v>11</x:v>
      </x:c>
      <x:c r="L1043" s="185" t="str">
        <x:v>Não classificado</x:v>
      </x:c>
    </x:row>
    <x:row r="1044">
      <x:c r="A1044" s="175" t="str">
        <x:v>53.270.792/0001-80</x:v>
      </x:c>
      <x:c r="B1044" s="166" t="str">
        <x:v>FUNDO DE INVESTIMENTO DIREITOS CREDITÓRIOS POUPACRED RESPONSABILIDADE ILIMITADA</x:v>
      </x:c>
      <x:c r="C1044" s="188" t="n">
        <x:v>109580357.92</x:v>
      </x:c>
      <x:c r="D1044" s="166" t="str">
        <x:v>Cultinvest Asset</x:v>
      </x:c>
      <x:c r="E1044" s="166" t="str">
        <x:f>IFERROR(INDEX('Classif Gestoras'!$H$6:$H$462,MATCH(D1044,'Classif Gestoras'!$A$6:$A$462,0)),"Não classificada")</x:f>
        <x:v>Independente</x:v>
      </x:c>
      <x:c r="F1044" s="166" t="str">
        <x:v>BANCO DAYCOVAL S/A</x:v>
      </x:c>
      <x:c r="G1044" s="166" t="str">
        <x:v>BANCO DAYCOVAL S.A.</x:v>
      </x:c>
      <x:c r="H1044" s="166" t="str">
        <x:v>Financeiro</x:v>
      </x:c>
      <x:c r="I1044" s="166" t="str">
        <x:v>Crédito Pessoal</x:v>
      </x:c>
      <x:c r="J1044" s="166" t="str">
        <x:v>CI</x:v>
      </x:c>
      <x:c r="K1044" s="172" t="n">
        <x:v>32</x:v>
      </x:c>
      <x:c r="L1044" s="185" t="str">
        <x:v>Não classificado</x:v>
      </x:c>
    </x:row>
    <x:row r="1045">
      <x:c r="A1045" s="175" t="str">
        <x:v>21.397.569/0001-02</x:v>
      </x:c>
      <x:c r="B1045" s="166" t="str">
        <x:v>FS FUNDO DE INVESTIMENTO EM DIREITOS CREDITÓRIOS NÃO PADRONIZADOS</x:v>
      </x:c>
      <x:c r="C1045" s="188" t="n">
        <x:v>109441144.36</x:v>
      </x:c>
      <x:c r="D1045" s="166" t="str">
        <x:v>TERCON ASSET MANAGEMENT</x:v>
      </x:c>
      <x:c r="E1045" s="166" t="str">
        <x:f>IFERROR(INDEX('Classif Gestoras'!$H$6:$H$462,MATCH(D1045,'Classif Gestoras'!$A$6:$A$462,0)),"Não classificada")</x:f>
        <x:v>Independente</x:v>
      </x:c>
      <x:c r="F1045" s="166" t="str">
        <x:v>Singulare</x:v>
      </x:c>
      <x:c r="G1045" s="166" t="str">
        <x:v>QI CORRETORA DE TÍTULOS E VALORES MOBILIÁRIOS S.A.</x:v>
      </x:c>
      <x:c r="H1045" s="166" t="str">
        <x:v>Fomento Mercantil</x:v>
      </x:c>
      <x:c r="I1045" s="166" t="str">
        <x:v>Fomento Mercantil</x:v>
      </x:c>
      <x:c r="J1045" s="166" t="str">
        <x:v>CI</x:v>
      </x:c>
      <x:c r="K1045" s="172" t="n">
        <x:v>2</x:v>
      </x:c>
      <x:c r="L1045" s="185" t="str">
        <x:v>Não classificado</x:v>
      </x:c>
    </x:row>
    <x:row r="1046">
      <x:c r="A1046" s="175" t="str">
        <x:v>54.794.448/0001-53</x:v>
      </x:c>
      <x:c r="B1046" s="166" t="str">
        <x:v>FUJI FUNDO DE INVESTIMENTO EM DIREITOS CREDITÓRIOS</x:v>
      </x:c>
      <x:c r="C1046" s="188" t="n">
        <x:v>109279719.59</x:v>
      </x:c>
      <x:c r="D1046" s="166" t="str">
        <x:v>Redwood Asset Management</x:v>
      </x:c>
      <x:c r="E1046" s="166" t="str">
        <x:f>IFERROR(INDEX('Classif Gestoras'!$H$6:$H$462,MATCH(D1046,'Classif Gestoras'!$A$6:$A$462,0)),"Não classificada")</x:f>
        <x:v>Independente</x:v>
      </x:c>
      <x:c r="F1046" s="166" t="str">
        <x:v>PLANNER CV</x:v>
      </x:c>
      <x:c r="G1046" s="166" t="str">
        <x:v>PLANNER CORRETORA DE VALORES S.A.</x:v>
      </x:c>
      <x:c r="H1046" s="166" t="str">
        <x:v>Outros</x:v>
      </x:c>
      <x:c r="I1046" s="166" t="str">
        <x:v>Multicarteira Outros</x:v>
      </x:c>
      <x:c r="J1046" s="166" t="str">
        <x:v>CI</x:v>
      </x:c>
      <x:c r="K1046" s="172" t="n">
        <x:v>4</x:v>
      </x:c>
      <x:c r="L1046" s="185" t="str">
        <x:v>Não classificado</x:v>
      </x:c>
    </x:row>
    <x:row r="1047">
      <x:c r="A1047" s="175" t="str">
        <x:v>53.210.273/0001-27</x:v>
      </x:c>
      <x:c r="B1047" s="166" t="str">
        <x:v>MARIS FUNDO DE INVESTIMENTO EM DIREITOS CREDITÓRIOS RESPONSABILIDADE LIMITADA</x:v>
      </x:c>
      <x:c r="C1047" s="188" t="n">
        <x:v>108895509.38</x:v>
      </x:c>
      <x:c r="D1047" s="166" t="str">
        <x:v>Lumina</x:v>
      </x:c>
      <x:c r="E1047" s="166" t="str">
        <x:f>IFERROR(INDEX('Classif Gestoras'!$H$6:$H$462,MATCH(D1047,'Classif Gestoras'!$A$6:$A$462,0)),"Não classificada")</x:f>
        <x:v>Independente</x:v>
      </x:c>
      <x:c r="F1047" s="166" t="str">
        <x:v>Singulare</x:v>
      </x:c>
      <x:c r="G1047" s="166" t="str">
        <x:v>QI CORRETORA DE TÍTULOS E VALORES MOBILIÁRIOS S.A.</x:v>
      </x:c>
      <x:c r="H1047" s="166" t="str">
        <x:v>Fomento Mercantil</x:v>
      </x:c>
      <x:c r="I1047" s="166" t="str">
        <x:v>Fomento Mercantil</x:v>
      </x:c>
      <x:c r="J1047" s="166" t="str">
        <x:v>CI</x:v>
      </x:c>
      <x:c r="K1047" s="172" t="n">
        <x:v>6</x:v>
      </x:c>
      <x:c r="L1047" s="185" t="str">
        <x:v>Não classificado</x:v>
      </x:c>
    </x:row>
    <x:row r="1048">
      <x:c r="A1048" s="175" t="str">
        <x:v>35.705.695/0001-91</x:v>
      </x:c>
      <x:c r="B1048" s="166" t="str">
        <x:v>PRECATO I FUNDO DE INVESTIMENTO EM DIREITOS CREDITORIOS DE RESPONSABILIDADE LIMITADA</x:v>
      </x:c>
      <x:c r="C1048" s="188" t="n">
        <x:v>108873731.45999998</x:v>
      </x:c>
      <x:c r="D1048" s="166" t="str">
        <x:v>TAG Investimentos</x:v>
      </x:c>
      <x:c r="E1048" s="166" t="str">
        <x:f>IFERROR(INDEX('Classif Gestoras'!$H$6:$H$462,MATCH(D1048,'Classif Gestoras'!$A$6:$A$462,0)),"Não classificada")</x:f>
        <x:v>Independente</x:v>
      </x:c>
      <x:c r="F1048" s="166" t="str">
        <x:v>VÓRTX DTVM</x:v>
      </x:c>
      <x:c r="G1048" s="166" t="str">
        <x:v>VORTX DISTRIBUIDORA DE TITULOS E VALORES MOBILIARIOS LTDA.</x:v>
      </x:c>
      <x:c r="H1048" s="166" t="str">
        <x:v>Outros</x:v>
      </x:c>
      <x:c r="I1048" s="166" t="str">
        <x:v>Poder Público</x:v>
      </x:c>
      <x:c r="J1048" s="166" t="str">
        <x:v>CI</x:v>
      </x:c>
      <x:c r="K1048" s="172" t="n">
        <x:v>9</x:v>
      </x:c>
      <x:c r="L1048" s="185" t="str">
        <x:v>Não classificado</x:v>
      </x:c>
    </x:row>
    <x:row r="1049">
      <x:c r="A1049" s="175" t="str">
        <x:v>53.109.835/0001-40</x:v>
      </x:c>
      <x:c r="B1049" s="166" t="str">
        <x:v>ALGARVE COFFEE II FUNDO DE INVESTIMENTO EM DIREITOS CREDITÓRIOS RESPONSABILIDADE LIMITADA</x:v>
      </x:c>
      <x:c r="C1049" s="188" t="n">
        <x:v>108865070.81</x:v>
      </x:c>
      <x:c r="D1049" s="166" t="str">
        <x:v>Algarve Capital</x:v>
      </x:c>
      <x:c r="E1049" s="166" t="str">
        <x:f>IFERROR(INDEX('Classif Gestoras'!$H$6:$H$462,MATCH(D1049,'Classif Gestoras'!$A$6:$A$462,0)),"Não classificada")</x:f>
        <x:v>Independente</x:v>
      </x:c>
      <x:c r="F1049" s="166" t="str">
        <x:v>BANCO DAYCOVAL S/A</x:v>
      </x:c>
      <x:c r="G1049" s="166" t="str">
        <x:v>BANCO DAYCOVAL S.A.</x:v>
      </x:c>
      <x:c r="H1049" s="166" t="str">
        <x:v>Outros</x:v>
      </x:c>
      <x:c r="I1049" s="166" t="str">
        <x:v>Multicarteira Outros</x:v>
      </x:c>
      <x:c r="J1049" s="166" t="str">
        <x:v>CI</x:v>
      </x:c>
      <x:c r="K1049" s="172" t="n">
        <x:v>3</x:v>
      </x:c>
      <x:c r="L1049" s="185" t="str">
        <x:v>Não classificado</x:v>
      </x:c>
    </x:row>
    <x:row r="1050">
      <x:c r="A1050" s="175" t="str">
        <x:v>28.065.416/0001-07</x:v>
      </x:c>
      <x:c r="B1050" s="166" t="str">
        <x:v>SERRANA FUNDO DE INVESTIMENTO EM DIREITOS CREDITÓRIOS</x:v>
      </x:c>
      <x:c r="C1050" s="188" t="n">
        <x:v>108763764.48</x:v>
      </x:c>
      <x:c r="D1050" s="166" t="str">
        <x:v>TERCON ASSET MANAGEMENT</x:v>
      </x:c>
      <x:c r="E1050" s="166" t="str">
        <x:f>IFERROR(INDEX('Classif Gestoras'!$H$6:$H$462,MATCH(D1050,'Classif Gestoras'!$A$6:$A$462,0)),"Não classificada")</x:f>
        <x:v>Independente</x:v>
      </x:c>
      <x:c r="F1050" s="166" t="str">
        <x:v>Qore DTVM</x:v>
      </x:c>
      <x:c r="G1050" s="166" t="str">
        <x:v>QORE DISTRIBUIDORA DE TÍTULOS E VALORES MOBILIÁRIOS LTDA.</x:v>
      </x:c>
      <x:c r="H1050" s="166" t="str">
        <x:v>Agro, Indústria e Comércio</x:v>
      </x:c>
      <x:c r="I1050" s="166" t="str">
        <x:v>Multicarteira Agro, Indústria e Comércio</x:v>
      </x:c>
      <x:c r="J1050" s="166" t="str">
        <x:v>CI</x:v>
      </x:c>
      <x:c r="K1050" s="172" t="n">
        <x:v>1</x:v>
      </x:c>
      <x:c r="L1050" s="185" t="str">
        <x:v>Não classificado</x:v>
      </x:c>
    </x:row>
    <x:row r="1051">
      <x:c r="A1051" s="175" t="str">
        <x:v>50.120.355/0001-92</x:v>
      </x:c>
      <x:c r="B1051" s="166" t="str">
        <x:v>GRIF ADVANCED FUNDO DE INVESTIMENTO EM DIREITOS CREDITÓRIOS DE RESPONSABILIDADE LIMITDA</x:v>
      </x:c>
      <x:c r="C1051" s="188" t="n">
        <x:v>108513980.3</x:v>
      </x:c>
      <x:c r="D1051" s="166" t="str">
        <x:v>GRIF CAPITAL</x:v>
      </x:c>
      <x:c r="E1051" s="166" t="str">
        <x:f>IFERROR(INDEX('Classif Gestoras'!$H$6:$H$462,MATCH(D1051,'Classif Gestoras'!$A$6:$A$462,0)),"Não classificada")</x:f>
        <x:v>Independente</x:v>
      </x:c>
      <x:c r="F1051" s="166" t="str">
        <x:v>VÓRTX DTVM</x:v>
      </x:c>
      <x:c r="G1051" s="166" t="str">
        <x:v>VORTX DISTRIBUIDORA DE TITULOS E VALORES MOBILIARIOS LTDA.</x:v>
      </x:c>
      <x:c r="H1051" s="166" t="str">
        <x:v>Outros</x:v>
      </x:c>
      <x:c r="I1051" s="166" t="str">
        <x:v>Multicarteira Outros</x:v>
      </x:c>
      <x:c r="J1051" s="166" t="str">
        <x:v>CI</x:v>
      </x:c>
      <x:c r="K1051" s="172" t="n">
        <x:v>4</x:v>
      </x:c>
      <x:c r="L1051" s="185" t="str">
        <x:v>Não classificado</x:v>
      </x:c>
    </x:row>
    <x:row r="1052">
      <x:c r="A1052" s="175" t="str">
        <x:v>52.549.758/0001-87</x:v>
      </x:c>
      <x:c r="B1052" s="166" t="str">
        <x:v>BOAZ FUNDO DE INVESTIMENTO EM DIREITOS CREDITÓRIOS DE RESPONSABILIDADE LIMITADA</x:v>
      </x:c>
      <x:c r="C1052" s="188" t="n">
        <x:v>108476037.3</x:v>
      </x:c>
      <x:c r="D1052" s="166" t="str">
        <x:v>Catálise Investimentos</x:v>
      </x:c>
      <x:c r="E1052" s="166" t="str">
        <x:f>IFERROR(INDEX('Classif Gestoras'!$H$6:$H$462,MATCH(D1052,'Classif Gestoras'!$A$6:$A$462,0)),"Não classificada")</x:f>
        <x:v>Independente</x:v>
      </x:c>
      <x:c r="F1052" s="166" t="str">
        <x:v>CATÁLISE DTVM</x:v>
      </x:c>
      <x:c r="G1052" s="166" t="str">
        <x:v>BANCO DAYCOVAL S.A.</x:v>
      </x:c>
      <x:c r="H1052" s="166" t="str">
        <x:v>Agro, Indústria e Comércio</x:v>
      </x:c>
      <x:c r="I1052" s="166" t="str">
        <x:v>Recebíveis Comerciais</x:v>
      </x:c>
      <x:c r="J1052" s="166" t="str">
        <x:v>CI</x:v>
      </x:c>
      <x:c r="K1052" s="172" t="n">
        <x:v>1</x:v>
      </x:c>
      <x:c r="L1052" s="185" t="str">
        <x:v>Não classificado</x:v>
      </x:c>
    </x:row>
    <x:row r="1053">
      <x:c r="A1053" s="175" t="str">
        <x:v>64.009.180/0001-55</x:v>
      </x:c>
      <x:c r="B1053" s="166" t="str">
        <x:v>ZILI CONSIG CLT - FUNDO DE INVESTIMENTO EM DIREITOS CREDITÓRIOS</x:v>
      </x:c>
      <x:c r="C1053" s="188" t="n">
        <x:v>108433686.23</x:v>
      </x:c>
      <x:c r="D1053" s="166" t="str">
        <x:v>POLÍGONO CAPITAL LTDA.</x:v>
      </x:c>
      <x:c r="E1053" s="166" t="str">
        <x:f>IFERROR(INDEX('Classif Gestoras'!$H$6:$H$462,MATCH(D1053,'Classif Gestoras'!$A$6:$A$462,0)),"Não classificada")</x:f>
        <x:v>Independente</x:v>
      </x:c>
      <x:c r="F1053" s="166" t="str">
        <x:v>Genial Investimentos Corretora de Valores Mobiliários S.A.</x:v>
      </x:c>
      <x:c r="G1053" s="166" t="str">
        <x:v>BANCO GENIAL S.A.</x:v>
      </x:c>
      <x:c r="H1053" s="166" t="str">
        <x:v>Financeiro</x:v>
      </x:c>
      <x:c r="I1053" s="166" t="str">
        <x:v>Crédito Consignado</x:v>
      </x:c>
      <x:c r="J1053" s="166" t="str">
        <x:v>CI</x:v>
      </x:c>
      <x:c r="K1053" s="172" t="n">
        <x:v>18</x:v>
      </x:c>
      <x:c r="L1053" s="185" t="str">
        <x:v>Não classificado</x:v>
      </x:c>
    </x:row>
    <x:row r="1054">
      <x:c r="A1054" s="175" t="str">
        <x:v>51.660.048/0001-67</x:v>
      </x:c>
      <x:c r="B1054" s="166" t="str">
        <x:v>APG FUNDO DE INVESTIMENTO EM DIREITOS CREDITÓRIOS DE RESPONSABILIDADE LIMITADA</x:v>
      </x:c>
      <x:c r="C1054" s="188" t="n">
        <x:v>108336279.95</x:v>
      </x:c>
      <x:c r="D1054" s="166" t="str">
        <x:v>ORRAM GESTÃO DE RECURSOS LTDA.</x:v>
      </x:c>
      <x:c r="E1054" s="166" t="str">
        <x:f>IFERROR(INDEX('Classif Gestoras'!$H$6:$H$462,MATCH(D1054,'Classif Gestoras'!$A$6:$A$462,0)),"Não classificada")</x:f>
        <x:v>Independente</x:v>
      </x:c>
      <x:c r="F1054" s="166" t="str">
        <x:v>Singulare</x:v>
      </x:c>
      <x:c r="G1054" s="166" t="str">
        <x:v>QI CORRETORA DE TÍTULOS E VALORES MOBILIÁRIOS S.A.</x:v>
      </x:c>
      <x:c r="H1054" s="166" t="str">
        <x:v>Fomento Mercantil</x:v>
      </x:c>
      <x:c r="I1054" s="166" t="str">
        <x:v>Fomento Mercantil</x:v>
      </x:c>
      <x:c r="J1054" s="166" t="str">
        <x:v>CI</x:v>
      </x:c>
      <x:c r="K1054" s="172" t="n">
        <x:v>40</x:v>
      </x:c>
      <x:c r="L1054" s="185" t="str">
        <x:v>Não classificado</x:v>
      </x:c>
    </x:row>
    <x:row r="1055">
      <x:c r="A1055" s="175" t="str">
        <x:v>50.790.524/0001-00</x:v>
      </x:c>
      <x:c r="B1055" s="166" t="str">
        <x:v>911 MULTIESTRATÉGIA FUNDO DE INVESTIMENTO EM DIREITOS CREDITÓRIOS</x:v>
      </x:c>
      <x:c r="C1055" s="188" t="n">
        <x:v>108165836.83999996</x:v>
      </x:c>
      <x:c r="D1055" s="166" t="str">
        <x:v>Menestys</x:v>
      </x:c>
      <x:c r="E1055" s="166" t="str">
        <x:f>IFERROR(INDEX('Classif Gestoras'!$H$6:$H$462,MATCH(D1055,'Classif Gestoras'!$A$6:$A$462,0)),"Não classificada")</x:f>
        <x:v>Independente</x:v>
      </x:c>
      <x:c r="F1055" s="166" t="str">
        <x:v>Limine Trust Distribuidora de Titulos e Valores Mobiliá</x:v>
      </x:c>
      <x:c r="G1055" s="166" t="str">
        <x:v>LIMINE TRUST DISTRIBUIDORA DE TITULOS E VALORES MOBILIARIOS LTDA.</x:v>
      </x:c>
      <x:c r="H1055" s="166" t="str">
        <x:v>Fomento Mercantil</x:v>
      </x:c>
      <x:c r="I1055" s="166" t="str">
        <x:v>Fomento Mercantil</x:v>
      </x:c>
      <x:c r="J1055" s="166" t="str">
        <x:v>CI</x:v>
      </x:c>
      <x:c r="K1055" s="172" t="n">
        <x:v>26</x:v>
      </x:c>
      <x:c r="L1055" s="185" t="str">
        <x:v>Não classificado</x:v>
      </x:c>
    </x:row>
    <x:row r="1056">
      <x:c r="A1056" s="175" t="str">
        <x:v>37.608.798/0001-69</x:v>
      </x:c>
      <x:c r="B1056" s="166" t="str">
        <x:v>OG CRED FUNDO DE INVESTIMENTO EM DIREITOS CREDITORIOS</x:v>
      </x:c>
      <x:c r="C1056" s="188" t="n">
        <x:v>107898567.15</x:v>
      </x:c>
      <x:c r="D1056" s="166" t="str">
        <x:v>Libertas Asset</x:v>
      </x:c>
      <x:c r="E1056" s="166" t="str">
        <x:f>IFERROR(INDEX('Classif Gestoras'!$H$6:$H$462,MATCH(D1056,'Classif Gestoras'!$A$6:$A$462,0)),"Não classificada")</x:f>
        <x:v>Independente</x:v>
      </x:c>
      <x:c r="F1056" s="166" t="str">
        <x:v>ACTUAL DTVM</x:v>
      </x:c>
      <x:c r="G1056" s="166" t="str">
        <x:v>LASTRO RDV DTVM LTDA</x:v>
      </x:c>
      <x:c r="H1056" s="166" t="str">
        <x:v>Fomento Mercantil</x:v>
      </x:c>
      <x:c r="I1056" s="166" t="str">
        <x:v>Fomento Mercantil</x:v>
      </x:c>
      <x:c r="J1056" s="166" t="str">
        <x:v>CI</x:v>
      </x:c>
      <x:c r="K1056" s="172" t="n">
        <x:v>4</x:v>
      </x:c>
      <x:c r="L1056" s="185" t="str">
        <x:v>Não classificado</x:v>
      </x:c>
    </x:row>
    <x:row r="1057">
      <x:c r="A1057" s="175" t="str">
        <x:v>61.868.687/0001-76</x:v>
      </x:c>
      <x:c r="B1057" s="166" t="str">
        <x:v>TNB FUNDO DE INVESTIMENTO EM DIREITOS CREDITÓRIOS RESPONSABILIDADE LIMITADA</x:v>
      </x:c>
      <x:c r="C1057" s="188" t="n">
        <x:v>107891389.04</x:v>
      </x:c>
      <x:c r="D1057" s="166" t="str">
        <x:v>POLÍGONO CAPITAL LTDA.</x:v>
      </x:c>
      <x:c r="E1057" s="166" t="str">
        <x:f>IFERROR(INDEX('Classif Gestoras'!$H$6:$H$462,MATCH(D1057,'Classif Gestoras'!$A$6:$A$462,0)),"Não classificada")</x:f>
        <x:v>Independente</x:v>
      </x:c>
      <x:c r="F1057" s="166" t="str">
        <x:v>BTG Pactual Servicos Financeiros S/A DTVM</x:v>
      </x:c>
      <x:c r="G1057" s="166" t="str">
        <x:v>BANCO BTG PACTUAL S/A</x:v>
      </x:c>
      <x:c r="H1057" s="166" t="str">
        <x:v>Financeiro</x:v>
      </x:c>
      <x:c r="I1057" s="166" t="str">
        <x:v>Crédito Consignado</x:v>
      </x:c>
      <x:c r="J1057" s="166" t="str">
        <x:v>CI</x:v>
      </x:c>
      <x:c r="K1057" s="172" t="n">
        <x:v>22</x:v>
      </x:c>
      <x:c r="L1057" s="185" t="str">
        <x:v>Não classificado</x:v>
      </x:c>
    </x:row>
    <x:row r="1058">
      <x:c r="A1058" s="175" t="str">
        <x:v>10.842.374/0001-08</x:v>
      </x:c>
      <x:c r="B1058" s="166" t="str">
        <x:v>MÚLTIPLO - FUNDO DE INVESTIMENTO EM DIREITOS CREDITÓRIOS NÃO-PADRONIZADOS MULTISSETORIAL</x:v>
      </x:c>
      <x:c r="C1058" s="188" t="n">
        <x:v>107805998.28</x:v>
      </x:c>
      <x:c r="D1058" s="166" t="str">
        <x:v>Real Capital Partners Ltda</x:v>
      </x:c>
      <x:c r="E1058" s="166" t="str">
        <x:f>IFERROR(INDEX('Classif Gestoras'!$H$6:$H$462,MATCH(D1058,'Classif Gestoras'!$A$6:$A$462,0)),"Não classificada")</x:f>
        <x:v>Independente</x:v>
      </x:c>
      <x:c r="F1058" s="166" t="str">
        <x:v>Singulare</x:v>
      </x:c>
      <x:c r="G1058" s="166" t="str">
        <x:v>QI CORRETORA DE TÍTULOS E VALORES MOBILIÁRIOS S.A.</x:v>
      </x:c>
      <x:c r="H1058" s="166" t="str">
        <x:v>Fomento Mercantil</x:v>
      </x:c>
      <x:c r="I1058" s="166" t="str">
        <x:v>Fomento Mercantil</x:v>
      </x:c>
      <x:c r="J1058" s="166" t="str">
        <x:v>CI</x:v>
      </x:c>
      <x:c r="K1058" s="172" t="n">
        <x:v>4</x:v>
      </x:c>
      <x:c r="L1058" s="185" t="str">
        <x:v>Não classificado</x:v>
      </x:c>
    </x:row>
    <x:row r="1059">
      <x:c r="A1059" s="175" t="str">
        <x:v>24.290.695/0001-51</x:v>
      </x:c>
      <x:c r="B1059" s="166" t="str">
        <x:v>VALECRED FUNDO DE INVESTIMENTO EM DIREITOS CREDITÓRIOS</x:v>
      </x:c>
      <x:c r="C1059" s="188" t="n">
        <x:v>107677888.41</x:v>
      </x:c>
      <x:c r="D1059" s="166" t="str">
        <x:v>TERCON ASSET MANAGEMENT</x:v>
      </x:c>
      <x:c r="E1059" s="166" t="str">
        <x:f>IFERROR(INDEX('Classif Gestoras'!$H$6:$H$462,MATCH(D1059,'Classif Gestoras'!$A$6:$A$462,0)),"Não classificada")</x:f>
        <x:v>Independente</x:v>
      </x:c>
      <x:c r="F1059" s="166" t="str">
        <x:v>Singulare</x:v>
      </x:c>
      <x:c r="G1059" s="166" t="str">
        <x:v>QI CORRETORA DE TÍTULOS E VALORES MOBILIÁRIOS S.A.</x:v>
      </x:c>
      <x:c r="H1059" s="166" t="str">
        <x:v>Fomento Mercantil</x:v>
      </x:c>
      <x:c r="I1059" s="166" t="str">
        <x:v>Fomento Mercantil</x:v>
      </x:c>
      <x:c r="J1059" s="166" t="str">
        <x:v>CI</x:v>
      </x:c>
      <x:c r="K1059" s="172" t="n">
        <x:v>25</x:v>
      </x:c>
      <x:c r="L1059" s="185" t="str">
        <x:v>Não classificado</x:v>
      </x:c>
    </x:row>
    <x:row r="1060">
      <x:c r="A1060" s="175" t="str">
        <x:v>51.269.670/0001-49</x:v>
      </x:c>
      <x:c r="B1060" s="166" t="str">
        <x:v>BRAM HIGH YIELD FUNDO DE INVESTIMENTO EM DIREITOS CREDITÓRIOS III - RESP LIMITADA</x:v>
      </x:c>
      <x:c r="C1060" s="188" t="n">
        <x:v>107656145.16999996</x:v>
      </x:c>
      <x:c r="D1060" s="166" t="str">
        <x:v>Banco Bradesco S/A</x:v>
      </x:c>
      <x:c r="E1060" s="166" t="str">
        <x:f>IFERROR(INDEX('Classif Gestoras'!$H$6:$H$462,MATCH(D1060,'Classif Gestoras'!$A$6:$A$462,0)),"Não classificada")</x:f>
        <x:v>Ligada a banco</x:v>
      </x:c>
      <x:c r="F1060" s="166" t="str">
        <x:v>BEM - DIST. DE TÍTUL</x:v>
      </x:c>
      <x:c r="G1060" s="166" t="str">
        <x:v>BANCO BRADESCO S.A.</x:v>
      </x:c>
      <x:c r="H1060" s="166" t="str">
        <x:v>Outros</x:v>
      </x:c>
      <x:c r="I1060" s="166" t="str">
        <x:v>Multicarteira Outros</x:v>
      </x:c>
      <x:c r="J1060" s="166" t="str">
        <x:v>CI</x:v>
      </x:c>
      <x:c r="K1060" s="172" t="n">
        <x:v>2</x:v>
      </x:c>
      <x:c r="L1060" s="185" t="str">
        <x:v>Não classificado</x:v>
      </x:c>
    </x:row>
    <x:row r="1061">
      <x:c r="A1061" s="175" t="str">
        <x:v>52.203.615/0001-19</x:v>
      </x:c>
      <x:c r="B1061" s="166" t="str">
        <x:v>AMETISTA CONSIGNADO II FUNDO DE INVESTIMENTO EM DIREITOS CREDITÓRIOS RESPONSABILIDADE LIMITADA</x:v>
      </x:c>
      <x:c r="C1061" s="188" t="n">
        <x:v>107434694.16</x:v>
      </x:c>
      <x:c r="D1061" s="166" t="str">
        <x:v>FICTOR ASSET</x:v>
      </x:c>
      <x:c r="E1061" s="166" t="str">
        <x:f>IFERROR(INDEX('Classif Gestoras'!$H$6:$H$462,MATCH(D1061,'Classif Gestoras'!$A$6:$A$462,0)),"Não classificada")</x:f>
        <x:v>Independente</x:v>
      </x:c>
      <x:c r="F1061" s="166" t="str">
        <x:v>VÓRTX DTVM</x:v>
      </x:c>
      <x:c r="G1061" s="166" t="str">
        <x:v>QORE DISTRIBUIDORA DE TÍTULOS E VALORES MOBILIÁRIOS LTDA.</x:v>
      </x:c>
      <x:c r="H1061" s="166" t="str">
        <x:v>Outros</x:v>
      </x:c>
      <x:c r="I1061" s="166" t="str">
        <x:v>Multicarteira Outros</x:v>
      </x:c>
      <x:c r="J1061" s="166" t="str">
        <x:v>CI</x:v>
      </x:c>
      <x:c r="K1061" s="172" t="n">
        <x:v>3</x:v>
      </x:c>
      <x:c r="L1061" s="185" t="str">
        <x:v>Não classificado</x:v>
      </x:c>
    </x:row>
    <x:row r="1062">
      <x:c r="A1062" s="175" t="str">
        <x:v>57.690.544/0001-40</x:v>
      </x:c>
      <x:c r="B1062" s="166" t="str">
        <x:v>RED NPL FUNDO DE INVESTIMENTO EM DIREITOS CREDITÓRIOS MULTISEGMENTOS - RESPONSABILIDADE LIMITADA</x:v>
      </x:c>
      <x:c r="C1062" s="188" t="n">
        <x:v>107093323.17</x:v>
      </x:c>
      <x:c r="D1062" s="166" t="str">
        <x:v>Solis</x:v>
      </x:c>
      <x:c r="E1062" s="166" t="str">
        <x:f>IFERROR(INDEX('Classif Gestoras'!$H$6:$H$462,MATCH(D1062,'Classif Gestoras'!$A$6:$A$462,0)),"Não classificada")</x:f>
        <x:v>Independente</x:v>
      </x:c>
      <x:c r="F1062" s="166" t="str">
        <x:v>HEMERA DTVM</x:v>
      </x:c>
      <x:c r="G1062" s="166" t="str">
        <x:v>HEMERA DISTRIBUIDORA DE TITULOS E VALORES MOBILIARIOS LTDA</x:v>
      </x:c>
      <x:c r="H1062" s="166" t="str">
        <x:v>Outros</x:v>
      </x:c>
      <x:c r="I1062" s="166" t="str">
        <x:v>Multicarteira Outros</x:v>
      </x:c>
      <x:c r="J1062" s="166" t="str">
        <x:v>CI</x:v>
      </x:c>
      <x:c r="K1062" s="172" t="n">
        <x:v>3</x:v>
      </x:c>
      <x:c r="L1062" s="185" t="str">
        <x:v>Não classificado</x:v>
      </x:c>
    </x:row>
    <x:row r="1063">
      <x:c r="A1063" s="175" t="str">
        <x:v>47.410.075/0001-04</x:v>
      </x:c>
      <x:c r="B1063" s="166" t="str">
        <x:v>COMPASS HIGH YIELD ESTRATÉGIAS FI EM DIREITOS CREDITÓRIOS RESPONSABILIDADE LIMITADA</x:v>
      </x:c>
      <x:c r="C1063" s="188" t="n">
        <x:v>106987897.62</x:v>
      </x:c>
      <x:c r="D1063" s="166" t="str">
        <x:v>Vinci CG Gestora de Recursos Ltda</x:v>
      </x:c>
      <x:c r="E1063" s="166" t="str">
        <x:f>IFERROR(INDEX('Classif Gestoras'!$H$6:$H$462,MATCH(D1063,'Classif Gestoras'!$A$6:$A$462,0)),"Não classificada")</x:f>
        <x:v>Independente</x:v>
      </x:c>
      <x:c r="F1063" s="166" t="str">
        <x:v>BTG Pactual Servicos Financeiros S/A DTVM</x:v>
      </x:c>
      <x:c r="G1063" s="166" t="str">
        <x:v>BANCO BTG PACTUAL S/A</x:v>
      </x:c>
      <x:c r="H1063" s="166" t="str">
        <x:v>Outros</x:v>
      </x:c>
      <x:c r="I1063" s="166" t="str">
        <x:v>Multicarteira Outros</x:v>
      </x:c>
      <x:c r="J1063" s="166" t="str">
        <x:v>CIPC</x:v>
      </x:c>
      <x:c r="K1063" s="172" t="n">
        <x:v>1</x:v>
      </x:c>
      <x:c r="L1063" s="185" t="str">
        <x:v>Não classificado</x:v>
      </x:c>
    </x:row>
    <x:row r="1064">
      <x:c r="A1064" s="175" t="str">
        <x:v>44.674.270/0001-53</x:v>
      </x:c>
      <x:c r="B1064" s="166" t="str">
        <x:v>ALUME FUNDO DE INVESTIMENTO EM DIREITOS CREDITÓRIOS - RESPONSABILIDADE LIMITADA</x:v>
      </x:c>
      <x:c r="C1064" s="188" t="n">
        <x:v>106467174.37</x:v>
      </x:c>
      <x:c r="D1064" s="166" t="str">
        <x:v>Quatá Investimentos</x:v>
      </x:c>
      <x:c r="E1064" s="166" t="str">
        <x:f>IFERROR(INDEX('Classif Gestoras'!$H$6:$H$462,MATCH(D1064,'Classif Gestoras'!$A$6:$A$462,0)),"Não classificada")</x:f>
        <x:v>Independente</x:v>
      </x:c>
      <x:c r="F1064" s="166" t="str">
        <x:v>Oliveira Trust DTVM</x:v>
      </x:c>
      <x:c r="G1064" s="166" t="str">
        <x:v>OLIVEIRA TRUST DTVM S.A.</x:v>
      </x:c>
      <x:c r="H1064" s="166" t="str">
        <x:v>Financeiro</x:v>
      </x:c>
      <x:c r="I1064" s="166" t="str">
        <x:v>Crédito Pessoal</x:v>
      </x:c>
      <x:c r="J1064" s="166" t="str">
        <x:v>CI</x:v>
      </x:c>
      <x:c r="K1064" s="172" t="n">
        <x:v>85</x:v>
      </x:c>
      <x:c r="L1064" s="185" t="str">
        <x:v>Não classificado</x:v>
      </x:c>
    </x:row>
    <x:row r="1065">
      <x:c r="A1065" s="175" t="str">
        <x:v>54.008.688/0001-85</x:v>
      </x:c>
      <x:c r="B1065" s="166" t="str">
        <x:v>MARAJÓ FIDC - SEGMENTO FINANCEIRO E COMERCIAL - RESPONSABILIDADE LIMITADA</x:v>
      </x:c>
      <x:c r="C1065" s="188" t="n">
        <x:v>106295291.28</x:v>
      </x:c>
      <x:c r="D1065" s="166" t="str">
        <x:v>DAYCOVAL ASSET MANAG</x:v>
      </x:c>
      <x:c r="E1065" s="166" t="str">
        <x:f>IFERROR(INDEX('Classif Gestoras'!$H$6:$H$462,MATCH(D1065,'Classif Gestoras'!$A$6:$A$462,0)),"Não classificada")</x:f>
        <x:v>Ligada a banco</x:v>
      </x:c>
      <x:c r="F1065" s="166" t="str">
        <x:v>BANCO DAYCOVAL S/A</x:v>
      </x:c>
      <x:c r="G1065" s="166" t="str">
        <x:v>BANCO DAYCOVAL S.A.</x:v>
      </x:c>
      <x:c r="H1065" s="166" t="str">
        <x:v>Agro, Indústria e Comércio</x:v>
      </x:c>
      <x:c r="I1065" s="166" t="str">
        <x:v>Recebíveis Comerciais</x:v>
      </x:c>
      <x:c r="J1065" s="166" t="str">
        <x:v>CI</x:v>
      </x:c>
      <x:c r="K1065" s="172" t="n">
        <x:v>6</x:v>
      </x:c>
      <x:c r="L1065" s="185" t="str">
        <x:v>Não classificado</x:v>
      </x:c>
    </x:row>
    <x:row r="1066">
      <x:c r="A1066" s="175" t="str">
        <x:v>64.989.111/0001-55</x:v>
      </x:c>
      <x:c r="B1066" s="166" t="str">
        <x:v>ITAÚ APALACHES SPECIALE PRIVATE MARKETS FIDC RESPONSABILIDADE LIMITADA</x:v>
      </x:c>
      <x:c r="C1066" s="188" t="n">
        <x:v>106266326.07</x:v>
      </x:c>
      <x:c r="D1066" s="166" t="str">
        <x:v>ITAU ASSET</x:v>
      </x:c>
      <x:c r="E1066" s="166" t="str">
        <x:f>IFERROR(INDEX('Classif Gestoras'!$H$6:$H$462,MATCH(D1066,'Classif Gestoras'!$A$6:$A$462,0)),"Não classificada")</x:f>
        <x:v>Ligada a banco</x:v>
      </x:c>
      <x:c r="F1066" s="166" t="str">
        <x:v>INTRAG DIST. DE TÍTU</x:v>
      </x:c>
      <x:c r="G1066" s="166" t="str">
        <x:v>ITAU UNIBANCO S.A.</x:v>
      </x:c>
      <x:c r="H1066" s="166" t="str">
        <x:v>Outros</x:v>
      </x:c>
      <x:c r="I1066" s="166" t="str">
        <x:v>Multicarteira Outros</x:v>
      </x:c>
      <x:c r="J1066" s="166" t="str">
        <x:v>CIPC</x:v>
      </x:c>
      <x:c r="K1066" s="172" t="n">
        <x:v>1</x:v>
      </x:c>
      <x:c r="L1066" s="185" t="str">
        <x:v>Não classificado</x:v>
      </x:c>
    </x:row>
    <x:row r="1067">
      <x:c r="A1067" s="175" t="str">
        <x:v>53.164.551/0001-57</x:v>
      </x:c>
      <x:c r="B1067" s="166" t="str">
        <x:v>PRIME PLUS FUNDO DE INVESTIMENTO EM DIREITOS CREDITÓRIOS RESPONSABILIDADE LIMITADA</x:v>
      </x:c>
      <x:c r="C1067" s="188" t="n">
        <x:v>106158622.82999998</x:v>
      </x:c>
      <x:c r="D1067" s="166" t="str">
        <x:v>Veritas Capital Management</x:v>
      </x:c>
      <x:c r="E1067" s="166" t="str">
        <x:f>IFERROR(INDEX('Classif Gestoras'!$H$6:$H$462,MATCH(D1067,'Classif Gestoras'!$A$6:$A$462,0)),"Não classificada")</x:f>
        <x:v>Independente</x:v>
      </x:c>
      <x:c r="F1067" s="166" t="str">
        <x:v>Singulare</x:v>
      </x:c>
      <x:c r="G1067" s="166" t="str">
        <x:v>QI CORRETORA DE TÍTULOS E VALORES MOBILIÁRIOS S.A.</x:v>
      </x:c>
      <x:c r="H1067" s="166" t="str">
        <x:v>Fomento Mercantil</x:v>
      </x:c>
      <x:c r="I1067" s="166" t="str">
        <x:v>Fomento Mercantil</x:v>
      </x:c>
      <x:c r="J1067" s="166" t="str">
        <x:v>CI</x:v>
      </x:c>
      <x:c r="K1067" s="172" t="n">
        <x:v>29</x:v>
      </x:c>
      <x:c r="L1067" s="185" t="str">
        <x:v>Não classificado</x:v>
      </x:c>
    </x:row>
    <x:row r="1068">
      <x:c r="A1068" s="175" t="str">
        <x:v>49.815.454/0001-00</x:v>
      </x:c>
      <x:c r="B1068" s="166" t="str">
        <x:v>AMADEUS FUNDO DE INVESTIMENTO EM DIREITOS CREDITÓRIOS</x:v>
      </x:c>
      <x:c r="C1068" s="188" t="n">
        <x:v>106120513.73</x:v>
      </x:c>
      <x:c r="D1068" s="166" t="str">
        <x:v>Multiplica Capital</x:v>
      </x:c>
      <x:c r="E1068" s="166" t="str">
        <x:f>IFERROR(INDEX('Classif Gestoras'!$H$6:$H$462,MATCH(D1068,'Classif Gestoras'!$A$6:$A$462,0)),"Não classificada")</x:f>
        <x:v>Independente</x:v>
      </x:c>
      <x:c r="F1068" s="166" t="str">
        <x:v>Singulare</x:v>
      </x:c>
      <x:c r="G1068" s="166" t="str">
        <x:v>QI CORRETORA DE TÍTULOS E VALORES MOBILIÁRIOS S.A.</x:v>
      </x:c>
      <x:c r="H1068" s="166" t="str">
        <x:v>Fomento Mercantil</x:v>
      </x:c>
      <x:c r="I1068" s="166" t="str">
        <x:v>Fomento Mercantil</x:v>
      </x:c>
      <x:c r="J1068" s="166" t="str">
        <x:v>CI</x:v>
      </x:c>
      <x:c r="K1068" s="172" t="n">
        <x:v>39</x:v>
      </x:c>
      <x:c r="L1068" s="185" t="str">
        <x:v>Não classificado</x:v>
      </x:c>
    </x:row>
    <x:row r="1069">
      <x:c r="A1069" s="175" t="str">
        <x:v>55.847.499/0001-69</x:v>
      </x:c>
      <x:c r="B1069" s="166" t="str">
        <x:v>SIZE FÁCIL FUNDO DE INVESTIMENTO EM DIREITOS CREDITÓRIOS - RESPONSABILIDADE LIMITADA</x:v>
      </x:c>
      <x:c r="C1069" s="188" t="n">
        <x:v>106105197.01</x:v>
      </x:c>
      <x:c r="D1069" s="166" t="str">
        <x:v>Solis</x:v>
      </x:c>
      <x:c r="E1069" s="166" t="str">
        <x:f>IFERROR(INDEX('Classif Gestoras'!$H$6:$H$462,MATCH(D1069,'Classif Gestoras'!$A$6:$A$462,0)),"Não classificada")</x:f>
        <x:v>Independente</x:v>
      </x:c>
      <x:c r="F1069" s="166" t="str">
        <x:v>HEMERA DTVM</x:v>
      </x:c>
      <x:c r="G1069" s="166" t="str">
        <x:v>HEMERA DISTRIBUIDORA DE TITULOS E VALORES MOBILIARIOS LTDA</x:v>
      </x:c>
      <x:c r="H1069" s="166" t="str">
        <x:v>Outros</x:v>
      </x:c>
      <x:c r="I1069" s="166" t="str">
        <x:v>Multicarteira Outros</x:v>
      </x:c>
      <x:c r="J1069" s="166" t="str">
        <x:v>CI</x:v>
      </x:c>
      <x:c r="K1069" s="172" t="n">
        <x:v>3</x:v>
      </x:c>
      <x:c r="L1069" s="185" t="str">
        <x:v>Não classificado</x:v>
      </x:c>
    </x:row>
    <x:row r="1070">
      <x:c r="A1070" s="175" t="str">
        <x:v>10.996.108/0001-30</x:v>
      </x:c>
      <x:c r="B1070" s="166" t="str">
        <x:v>FUNDO DE INVESTIMENTO EM DIREITOS CREDITÓRIOS NÃO-PADRONIZADOS - RECUPERARE</x:v>
      </x:c>
      <x:c r="C1070" s="188" t="n">
        <x:v>106079693.74</x:v>
      </x:c>
      <x:c r="D1070" s="166" t="str">
        <x:v>G5 Adm. de Recursos</x:v>
      </x:c>
      <x:c r="E1070" s="166" t="str">
        <x:f>IFERROR(INDEX('Classif Gestoras'!$H$6:$H$462,MATCH(D1070,'Classif Gestoras'!$A$6:$A$462,0)),"Não classificada")</x:f>
        <x:v>Independente</x:v>
      </x:c>
      <x:c r="F1070" s="166" t="str">
        <x:v>Singulare</x:v>
      </x:c>
      <x:c r="G1070" s="166" t="str">
        <x:v>QI CORRETORA DE TÍTULOS E VALORES MOBILIÁRIOS S.A.</x:v>
      </x:c>
      <x:c r="H1070" s="166" t="str">
        <x:v>Outros</x:v>
      </x:c>
      <x:c r="I1070" s="166" t="str">
        <x:v>Multicarteira Outros</x:v>
      </x:c>
      <x:c r="J1070" s="166" t="str">
        <x:v>CI</x:v>
      </x:c>
      <x:c r="K1070" s="172" t="n">
        <x:v>3</x:v>
      </x:c>
      <x:c r="L1070" s="185" t="str">
        <x:v>Não classificado</x:v>
      </x:c>
    </x:row>
    <x:row r="1071">
      <x:c r="A1071" s="175" t="str">
        <x:v>17.198.452/0001-22</x:v>
      </x:c>
      <x:c r="B1071" s="166" t="str">
        <x:v>REAL TIME PADRONIZADO FUNDO DE INVESTIMENTO EM DIREITOS CREDITÓRIOS MULTISEGMENTOS</x:v>
      </x:c>
      <x:c r="C1071" s="188" t="n">
        <x:v>106032166.68</x:v>
      </x:c>
      <x:c r="D1071" s="166" t="str">
        <x:v>M8 Partners</x:v>
      </x:c>
      <x:c r="E1071" s="166" t="str">
        <x:f>IFERROR(INDEX('Classif Gestoras'!$H$6:$H$462,MATCH(D1071,'Classif Gestoras'!$A$6:$A$462,0)),"Não classificada")</x:f>
        <x:v>Independente</x:v>
      </x:c>
      <x:c r="F1071" s="166" t="str">
        <x:v>Finaxis Corretora de Títulos e Valores Mobiliários S.A.</x:v>
      </x:c>
      <x:c r="G1071" s="166" t="str">
        <x:v>BANCO FINAXIS S.A.</x:v>
      </x:c>
      <x:c r="H1071" s="166" t="str">
        <x:v>Fomento Mercantil</x:v>
      </x:c>
      <x:c r="I1071" s="166" t="str">
        <x:v>Fomento Mercantil</x:v>
      </x:c>
      <x:c r="J1071" s="166" t="str">
        <x:v>CI</x:v>
      </x:c>
      <x:c r="K1071" s="172" t="n">
        <x:v>21</x:v>
      </x:c>
      <x:c r="L1071" s="185" t="str">
        <x:v>Não classificado</x:v>
      </x:c>
    </x:row>
    <x:row r="1072">
      <x:c r="A1072" s="175" t="str">
        <x:v>34.599.321/0001-76</x:v>
      </x:c>
      <x:c r="B1072" s="166" t="str">
        <x:v>ALL RISCKS FUNDO DE INVESTIMENTO EM DIREITOS CREDITÓRIOS NÃO PADRONIZADO</x:v>
      </x:c>
      <x:c r="C1072" s="188" t="n">
        <x:v>106011176.9</x:v>
      </x:c>
      <x:c r="D1072" s="166" t="str">
        <x:v>GESTORA DE RECURSOS ID - GRID LTDA.</x:v>
      </x:c>
      <x:c r="E1072" s="166" t="str">
        <x:f>IFERROR(INDEX('Classif Gestoras'!$H$6:$H$462,MATCH(D1072,'Classif Gestoras'!$A$6:$A$462,0)),"Não classificada")</x:f>
        <x:v>Independente</x:v>
      </x:c>
      <x:c r="F1072" s="166" t="str">
        <x:v>ID Corretora de Títulos e Valores Mobiliários S.A.</x:v>
      </x:c>
      <x:c r="G1072" s="166" t="str">
        <x:v>ID CORRETORA DE TITULOS E VALORES MOBILIARIOS S.A.</x:v>
      </x:c>
      <x:c r="H1072" s="166" t="str">
        <x:v>Outros</x:v>
      </x:c>
      <x:c r="I1072" s="166" t="str">
        <x:v>Poder Público</x:v>
      </x:c>
      <x:c r="J1072" s="166" t="str">
        <x:v>CI</x:v>
      </x:c>
      <x:c r="K1072" s="172" t="n">
        <x:v>1</x:v>
      </x:c>
      <x:c r="L1072" s="185" t="str">
        <x:v>Não classificado</x:v>
      </x:c>
    </x:row>
    <x:row r="1073">
      <x:c r="A1073" s="175" t="str">
        <x:v>46.098.560/0001-21</x:v>
      </x:c>
      <x:c r="B1073" s="166" t="str">
        <x:v>AVANTE FUNDO DE INVESTIMENTO EM DIREITOS CREDITÓRIOS NÃO-PADRONIZADOS</x:v>
      </x:c>
      <x:c r="C1073" s="188" t="n">
        <x:v>105718646.11</x:v>
      </x:c>
      <x:c r="D1073" s="166" t="str">
        <x:v>AZUMI ASSET</x:v>
      </x:c>
      <x:c r="E1073" s="166" t="str">
        <x:f>IFERROR(INDEX('Classif Gestoras'!$H$6:$H$462,MATCH(D1073,'Classif Gestoras'!$A$6:$A$462,0)),"Não classificada")</x:f>
        <x:v>Independente</x:v>
      </x:c>
      <x:c r="F1073" s="166" t="str">
        <x:v>AZUMI DISTRIBUIDORA DE TÍTULOS E VALORES MOBILIÁRIOS LT</x:v>
      </x:c>
      <x:c r="G1073" s="166" t="str">
        <x:v>AZUMI DISTRIBUIDORA DE TÍTULOS E VALORES MOBILIÁRIOS LTDA.</x:v>
      </x:c>
      <x:c r="H1073" s="166" t="str">
        <x:v>Outros</x:v>
      </x:c>
      <x:c r="I1073" s="166" t="str">
        <x:v>Multicarteira Outros</x:v>
      </x:c>
      <x:c r="J1073" s="166" t="str">
        <x:v>CI</x:v>
      </x:c>
      <x:c r="K1073" s="172" t="n">
        <x:v>15</x:v>
      </x:c>
      <x:c r="L1073" s="185" t="str">
        <x:v>Não classificado</x:v>
      </x:c>
    </x:row>
    <x:row r="1074">
      <x:c r="A1074" s="175" t="str">
        <x:v>57.378.463/0001-09</x:v>
      </x:c>
      <x:c r="B1074" s="166" t="str">
        <x:v>SOLFARMA FUNDO DE INVESTIMENTO EM DIREITOS CREDITÓRIOS COMERCIAIS - RESPONSABILIDADE LIMITADA</x:v>
      </x:c>
      <x:c r="C1074" s="188" t="n">
        <x:v>105696965.81</x:v>
      </x:c>
      <x:c r="D1074" s="166" t="str">
        <x:v>Kanastra</x:v>
      </x:c>
      <x:c r="E1074" s="166" t="str">
        <x:f>IFERROR(INDEX('Classif Gestoras'!$H$6:$H$462,MATCH(D1074,'Classif Gestoras'!$A$6:$A$462,0)),"Não classificada")</x:f>
        <x:v>Independente</x:v>
      </x:c>
      <x:c r="F1074" s="166" t="str">
        <x:v>Limine Trust Distribuidora de Titulos e Valores Mobiliá</x:v>
      </x:c>
      <x:c r="G1074" s="166" t="str">
        <x:v>LIMINE TRUST DISTRIBUIDORA DE TITULOS E VALORES MOBILIARIOS LTDA.</x:v>
      </x:c>
      <x:c r="H1074" s="166" t="str">
        <x:v>Agro, Indústria e Comércio</x:v>
      </x:c>
      <x:c r="I1074" s="166" t="str">
        <x:v>Recebíveis Comerciais</x:v>
      </x:c>
      <x:c r="J1074" s="166" t="str">
        <x:v>CI</x:v>
      </x:c>
      <x:c r="K1074" s="172" t="n">
        <x:v>3</x:v>
      </x:c>
      <x:c r="L1074" s="185" t="str">
        <x:v>Não classificado</x:v>
      </x:c>
    </x:row>
    <x:row r="1075">
      <x:c r="A1075" s="175" t="str">
        <x:v>52.511.329/0001-10</x:v>
      </x:c>
      <x:c r="B1075" s="166" t="str">
        <x:v>FUNDO DE INVESTIMENTO EM DIREITOS CREDITÓRIOS CONCRÉDITO DE RESPONSABILIDADE ILIMITADA</x:v>
      </x:c>
      <x:c r="C1075" s="188" t="n">
        <x:v>105612835.77</x:v>
      </x:c>
      <x:c r="D1075" s="166" t="str">
        <x:v>Cultinvest Asset</x:v>
      </x:c>
      <x:c r="E1075" s="166" t="str">
        <x:f>IFERROR(INDEX('Classif Gestoras'!$H$6:$H$462,MATCH(D1075,'Classif Gestoras'!$A$6:$A$462,0)),"Não classificada")</x:f>
        <x:v>Independente</x:v>
      </x:c>
      <x:c r="F1075" s="166" t="str">
        <x:v>BANCO DAYCOVAL S/A</x:v>
      </x:c>
      <x:c r="G1075" s="166" t="str">
        <x:v>BANCO DAYCOVAL S.A.</x:v>
      </x:c>
      <x:c r="H1075" s="166" t="str">
        <x:v>Financeiro</x:v>
      </x:c>
      <x:c r="I1075" s="166" t="str">
        <x:v>Crédito Pessoal</x:v>
      </x:c>
      <x:c r="J1075" s="166" t="str">
        <x:v>CI</x:v>
      </x:c>
      <x:c r="K1075" s="172" t="n">
        <x:v>55</x:v>
      </x:c>
      <x:c r="L1075" s="185" t="str">
        <x:v>Não classificado</x:v>
      </x:c>
    </x:row>
    <x:row r="1076">
      <x:c r="A1076" s="175" t="str">
        <x:v>55.635.126/0001-24</x:v>
      </x:c>
      <x:c r="B1076" s="166" t="str">
        <x:v>VAIL III FUNDO DE INVESTIMENTO EM DIREITOS CREDITÓRIOS - RESPONSABILIDADE LIMITADA</x:v>
      </x:c>
      <x:c r="C1076" s="188" t="n">
        <x:v>105601919.64</x:v>
      </x:c>
      <x:c r="D1076" s="166" t="str">
        <x:v>Patrimonial Gestão</x:v>
      </x:c>
      <x:c r="E1076" s="166" t="str">
        <x:f>IFERROR(INDEX('Classif Gestoras'!$H$6:$H$462,MATCH(D1076,'Classif Gestoras'!$A$6:$A$462,0)),"Não classificada")</x:f>
        <x:v>Independente</x:v>
      </x:c>
      <x:c r="F1076" s="166" t="str">
        <x:v>Singulare</x:v>
      </x:c>
      <x:c r="G1076" s="166" t="str">
        <x:v>QI CORRETORA DE TÍTULOS E VALORES MOBILIÁRIOS S.A.</x:v>
      </x:c>
      <x:c r="H1076" s="166" t="str">
        <x:v>Outros</x:v>
      </x:c>
      <x:c r="I1076" s="166" t="str">
        <x:v>Poder Público</x:v>
      </x:c>
      <x:c r="J1076" s="166" t="str">
        <x:v>CI</x:v>
      </x:c>
      <x:c r="K1076" s="172" t="n">
        <x:v>88</x:v>
      </x:c>
      <x:c r="L1076" s="185" t="str">
        <x:v>Não classificado</x:v>
      </x:c>
    </x:row>
    <x:row r="1077">
      <x:c r="A1077" s="175" t="str">
        <x:v>61.604.072/0001-32</x:v>
      </x:c>
      <x:c r="B1077" s="166" t="str">
        <x:v>NTZ EMPORIUM FUNDO DE INVESTIMENTO EM DIREITOS CREDITÓRIOS RESPONSABILIDADE LIMITADA</x:v>
      </x:c>
      <x:c r="C1077" s="188" t="n">
        <x:v>105593617.97</x:v>
      </x:c>
      <x:c r="D1077" s="166" t="str">
        <x:v>Netz Asset</x:v>
      </x:c>
      <x:c r="E1077" s="166" t="str">
        <x:f>IFERROR(INDEX('Classif Gestoras'!$H$6:$H$462,MATCH(D1077,'Classif Gestoras'!$A$6:$A$462,0)),"Não classificada")</x:f>
        <x:v>Independente</x:v>
      </x:c>
      <x:c r="F1077" s="166" t="str">
        <x:v>MONETAR DISTRIBUIDORA DE TITUL</x:v>
      </x:c>
      <x:c r="G1077" s="166" t="str">
        <x:v>TERRA INVESTIMENTOS DISTRIBUIDORA DE TITULOS E VALORES MOBILIARIOS LTDA</x:v>
      </x:c>
      <x:c r="H1077" s="166" t="str">
        <x:v>Outros</x:v>
      </x:c>
      <x:c r="I1077" s="166" t="str">
        <x:v>Multicarteira Outros</x:v>
      </x:c>
      <x:c r="J1077" s="166" t="str">
        <x:v>CI</x:v>
      </x:c>
      <x:c r="K1077" s="172" t="n">
        <x:v>10</x:v>
      </x:c>
      <x:c r="L1077" s="185" t="str">
        <x:v>Não classificado</x:v>
      </x:c>
    </x:row>
    <x:row r="1078">
      <x:c r="A1078" s="175" t="str">
        <x:v>63.867.299/0001-04</x:v>
      </x:c>
      <x:c r="B1078" s="166" t="str">
        <x:v>VDP FUNDO DE INVESTIMENTO EM DIREITOS CREDITÓRIOS CRÉDITO PRIVADO - RESPONSABILIDADE LIMITADA</x:v>
      </x:c>
      <x:c r="C1078" s="188" t="n">
        <x:v>105499156.1</x:v>
      </x:c>
      <x:c r="D1078" s="166" t="str">
        <x:v>Oliveira Trust Servicer</x:v>
      </x:c>
      <x:c r="E1078" s="166" t="str">
        <x:f>IFERROR(INDEX('Classif Gestoras'!$H$6:$H$462,MATCH(D1078,'Classif Gestoras'!$A$6:$A$462,0)),"Não classificada")</x:f>
        <x:v>Independente</x:v>
      </x:c>
      <x:c r="F1078" s="166" t="str">
        <x:v>Oliveira Trust DTVM</x:v>
      </x:c>
      <x:c r="G1078" s="166" t="str">
        <x:v>OLIVEIRA TRUST DTVM S.A.</x:v>
      </x:c>
      <x:c r="H1078" s="166" t="str">
        <x:v>Agro, Indústria e Comércio</x:v>
      </x:c>
      <x:c r="I1078" s="166" t="str">
        <x:v>Crédito Corporativo</x:v>
      </x:c>
      <x:c r="J1078" s="166" t="str">
        <x:v>CI</x:v>
      </x:c>
      <x:c r="K1078" s="172" t="n">
        <x:v>7</x:v>
      </x:c>
      <x:c r="L1078" s="185" t="str">
        <x:v>Não classificado</x:v>
      </x:c>
    </x:row>
    <x:row r="1079">
      <x:c r="A1079" s="175" t="str">
        <x:v>17.334.148/0001-65</x:v>
      </x:c>
      <x:c r="B1079" s="166" t="str">
        <x:v>FUNDO DE INVESTIMENTO EM DIREITOS CREDITÓRIOS EMPIRICA HOME EQUITY</x:v>
      </x:c>
      <x:c r="C1079" s="188" t="n">
        <x:v>105475158.53000002</x:v>
      </x:c>
      <x:c r="D1079" s="166" t="str">
        <x:v>REAG GESTÃO DE CRÉDITO</x:v>
      </x:c>
      <x:c r="E1079" s="166" t="str">
        <x:f>IFERROR(INDEX('Classif Gestoras'!$H$6:$H$462,MATCH(D1079,'Classif Gestoras'!$A$6:$A$462,0)),"Não classificada")</x:f>
        <x:v>Independente</x:v>
      </x:c>
      <x:c r="F1079" s="166" t="str">
        <x:v>Oliveira Trust DTVM</x:v>
      </x:c>
      <x:c r="G1079" s="166" t="str">
        <x:v>OLIVEIRA TRUST DTVM S.A.</x:v>
      </x:c>
      <x:c r="H1079" s="166" t="str">
        <x:v>Financeiro</x:v>
      </x:c>
      <x:c r="I1079" s="166" t="str">
        <x:v>Crédito Imobiliário</x:v>
      </x:c>
      <x:c r="J1079" s="166" t="str">
        <x:v>CI</x:v>
      </x:c>
      <x:c r="K1079" s="172" t="n">
        <x:v>69</x:v>
      </x:c>
      <x:c r="L1079" s="185" t="str">
        <x:v>Não classificado</x:v>
      </x:c>
    </x:row>
    <x:row r="1080">
      <x:c r="A1080" s="175" t="str">
        <x:v>27.984.240/0001-24</x:v>
      </x:c>
      <x:c r="B1080" s="166" t="str">
        <x:v>ALLCON PRIME FUNDO DE INVESTIMENTO EM DIREITOS CREDITÓRIOS NÃO PADRONIZADOS-RESP LIMITADA</x:v>
      </x:c>
      <x:c r="C1080" s="188" t="n">
        <x:v>105335082.5</x:v>
      </x:c>
      <x:c r="D1080" s="166" t="str">
        <x:v>EAGLE CAPITAL</x:v>
      </x:c>
      <x:c r="E1080" s="166" t="str">
        <x:f>IFERROR(INDEX('Classif Gestoras'!$H$6:$H$462,MATCH(D1080,'Classif Gestoras'!$A$6:$A$462,0)),"Não classificada")</x:f>
        <x:v>Independente</x:v>
      </x:c>
      <x:c r="F1080" s="166" t="str">
        <x:v>LASTRO RDV DIST. DE</x:v>
      </x:c>
      <x:c r="G1080" s="166" t="str">
        <x:v>LASTRO RDV DTVM LTDA</x:v>
      </x:c>
      <x:c r="H1080" s="166" t="str">
        <x:v>Outros</x:v>
      </x:c>
      <x:c r="I1080" s="166" t="str">
        <x:v>Multicarteira Outros</x:v>
      </x:c>
      <x:c r="J1080" s="166" t="str">
        <x:v>CI</x:v>
      </x:c>
      <x:c r="K1080" s="172" t="n">
        <x:v>1</x:v>
      </x:c>
      <x:c r="L1080" s="185" t="str">
        <x:v>Não classificado</x:v>
      </x:c>
    </x:row>
    <x:row r="1081">
      <x:c r="A1081" s="175" t="str">
        <x:v>64.756.643/0001-42</x:v>
      </x:c>
      <x:c r="B1081" s="166" t="str">
        <x:v>ARVIN CAPITAL FUNDO DE INVESTIMENTO EM DIREITOS CREDITÓRIOS RECEBÍVEIS COMERCIAIS RESP LIMITADA</x:v>
      </x:c>
      <x:c r="C1081" s="188" t="n">
        <x:v>105286796.46</x:v>
      </x:c>
      <x:c r="D1081" s="166" t="str">
        <x:v>VERT Gestora de Recursos Financeiros Ltda.</x:v>
      </x:c>
      <x:c r="E1081" s="166" t="str">
        <x:f>IFERROR(INDEX('Classif Gestoras'!$H$6:$H$462,MATCH(D1081,'Classif Gestoras'!$A$6:$A$462,0)),"Não classificada")</x:f>
        <x:v>Independente</x:v>
      </x:c>
      <x:c r="F1081" s="166" t="str">
        <x:v>VERT Distribuidora de Títulos e Valores Mobiliários Ltd</x:v>
      </x:c>
      <x:c r="G1081" s="166" t="str">
        <x:v>VERT DISTRIBUIDORA DE TÍTULOS E VALORES MOBILIÁRIOS LTDA.</x:v>
      </x:c>
      <x:c r="H1081" s="166" t="str">
        <x:v>Agro, Indústria e Comércio</x:v>
      </x:c>
      <x:c r="I1081" s="166" t="str">
        <x:v>Recebíveis Comerciais</x:v>
      </x:c>
      <x:c r="J1081" s="166" t="str">
        <x:v>CI</x:v>
      </x:c>
      <x:c r="K1081" s="172" t="n">
        <x:v>2</x:v>
      </x:c>
      <x:c r="L1081" s="185" t="str">
        <x:v>Não classificado</x:v>
      </x:c>
    </x:row>
    <x:row r="1082">
      <x:c r="A1082" s="175" t="str">
        <x:v>52.746.497/0001-95</x:v>
      </x:c>
      <x:c r="B1082" s="166" t="str">
        <x:v>SCORE EQI PREC FUNDO DE INVESTIMENTO EM DIREITOS CREDITÓRIOS - RESPONSABILIDADE LIMITADA</x:v>
      </x:c>
      <x:c r="C1082" s="188" t="n">
        <x:v>105251233.96</x:v>
      </x:c>
      <x:c r="D1082" s="166" t="str">
        <x:v>Score Capital</x:v>
      </x:c>
      <x:c r="E1082" s="166" t="str">
        <x:f>IFERROR(INDEX('Classif Gestoras'!$H$6:$H$462,MATCH(D1082,'Classif Gestoras'!$A$6:$A$462,0)),"Não classificada")</x:f>
        <x:v>Independente</x:v>
      </x:c>
      <x:c r="F1082" s="166" t="str">
        <x:v>BTG Pactual Servicos Financeiros S/A DTVM</x:v>
      </x:c>
      <x:c r="G1082" s="166" t="str">
        <x:v>BANCO BTG PACTUAL S/A</x:v>
      </x:c>
      <x:c r="H1082" s="166" t="str">
        <x:v>Outros</x:v>
      </x:c>
      <x:c r="I1082" s="166" t="str">
        <x:v>Poder Público</x:v>
      </x:c>
      <x:c r="J1082" s="166" t="str">
        <x:v>CI</x:v>
      </x:c>
      <x:c r="K1082" s="172" t="n">
        <x:v>510</x:v>
      </x:c>
      <x:c r="L1082" s="185" t="str">
        <x:v>Não classificado</x:v>
      </x:c>
    </x:row>
    <x:row r="1083">
      <x:c r="A1083" s="175" t="str">
        <x:v>42.299.401/0001-34</x:v>
      </x:c>
      <x:c r="B1083" s="166" t="str">
        <x:v>FIDC FUNTTEL PADTEC FUNDO DE INVESTIMENTO EM DIREITOS CREDITORIOS</x:v>
      </x:c>
      <x:c r="C1083" s="188" t="n">
        <x:v>105248638.04999998</x:v>
      </x:c>
      <x:c r="D1083" s="166" t="str">
        <x:v>BLUEWAVE ASSET LTDA</x:v>
      </x:c>
      <x:c r="E1083" s="166" t="str">
        <x:f>IFERROR(INDEX('Classif Gestoras'!$H$6:$H$462,MATCH(D1083,'Classif Gestoras'!$A$6:$A$462,0)),"Não classificada")</x:f>
        <x:v>Independente</x:v>
      </x:c>
      <x:c r="F1083" s="166" t="str">
        <x:v>Finvest Digital</x:v>
      </x:c>
      <x:c r="G1083" s="166" t="str">
        <x:v>FINVEST DISTRIBUIDORA DE TÍTULOS E VALORES MOBILIÁRIOS LTDA.</x:v>
      </x:c>
      <x:c r="H1083" s="166" t="str">
        <x:v>Agro, Indústria e Comércio</x:v>
      </x:c>
      <x:c r="I1083" s="166" t="str">
        <x:v>Infraestrutura</x:v>
      </x:c>
      <x:c r="J1083" s="166" t="str">
        <x:v>CI</x:v>
      </x:c>
      <x:c r="K1083" s="172" t="n">
        <x:v>2</x:v>
      </x:c>
      <x:c r="L1083" s="185" t="str">
        <x:v>Não classificado</x:v>
      </x:c>
    </x:row>
    <x:row r="1084">
      <x:c r="A1084" s="175" t="str">
        <x:v>37.406.818/0001-19</x:v>
      </x:c>
      <x:c r="B1084" s="166" t="str">
        <x:v>ARTESANAL REAL ESTATE FUNDO DE INVESTIMENTO EM DIREITOS CREDITÓRIOS</x:v>
      </x:c>
      <x:c r="C1084" s="188" t="n">
        <x:v>105041567.53</x:v>
      </x:c>
      <x:c r="D1084" s="166" t="str">
        <x:v>Artesanal Investimentos</x:v>
      </x:c>
      <x:c r="E1084" s="166" t="str">
        <x:f>IFERROR(INDEX('Classif Gestoras'!$H$6:$H$462,MATCH(D1084,'Classif Gestoras'!$A$6:$A$462,0)),"Não classificada")</x:f>
        <x:v>Independente</x:v>
      </x:c>
      <x:c r="F1084" s="166" t="str">
        <x:v>Banco Genial S.A.</x:v>
      </x:c>
      <x:c r="G1084" s="166" t="str">
        <x:v>BANCO B3 S.A.</x:v>
      </x:c>
      <x:c r="H1084" s="166" t="str">
        <x:v>Outros</x:v>
      </x:c>
      <x:c r="I1084" s="166" t="str">
        <x:v>Multicarteira Outros</x:v>
      </x:c>
      <x:c r="J1084" s="166" t="str">
        <x:v>CI</x:v>
      </x:c>
      <x:c r="K1084" s="172" t="n">
        <x:v>29</x:v>
      </x:c>
      <x:c r="L1084" s="185" t="str">
        <x:v>Não classificado</x:v>
      </x:c>
    </x:row>
    <x:row r="1085">
      <x:c r="A1085" s="175" t="str">
        <x:v>63.848.380/0001-39</x:v>
      </x:c>
      <x:c r="B1085" s="166" t="str">
        <x:v>FUNDO DE INVESTIMENTO EM DIREITOS CREDITÓRIOS DAYCOVAL FGTS I RESPONSABILIDADE LIMITADA</x:v>
      </x:c>
      <x:c r="C1085" s="188" t="n">
        <x:v>104854581.91</x:v>
      </x:c>
      <x:c r="D1085" s="166" t="str">
        <x:v>DAYCOVAL ASSET MANAG</x:v>
      </x:c>
      <x:c r="E1085" s="166" t="str">
        <x:f>IFERROR(INDEX('Classif Gestoras'!$H$6:$H$462,MATCH(D1085,'Classif Gestoras'!$A$6:$A$462,0)),"Não classificada")</x:f>
        <x:v>Ligada a banco</x:v>
      </x:c>
      <x:c r="F1085" s="166" t="str">
        <x:v>BANCO DAYCOVAL S/A</x:v>
      </x:c>
      <x:c r="G1085" s="166" t="str">
        <x:v>BANCO DAYCOVAL S.A.</x:v>
      </x:c>
      <x:c r="H1085" s="166" t="str">
        <x:v>Financeiro</x:v>
      </x:c>
      <x:c r="I1085" s="166" t="str">
        <x:v>Crédito Consignado</x:v>
      </x:c>
      <x:c r="J1085" s="166" t="str">
        <x:v>CI</x:v>
      </x:c>
      <x:c r="K1085" s="172" t="n">
        <x:v>17</x:v>
      </x:c>
      <x:c r="L1085" s="185" t="str">
        <x:v>Não classificado</x:v>
      </x:c>
    </x:row>
    <x:row r="1086">
      <x:c r="A1086" s="175" t="str">
        <x:v>32.156.052/0001-48</x:v>
      </x:c>
      <x:c r="B1086" s="166" t="str">
        <x:v>RONEPAR FUNDO DE INVESTIMENTO EM DIREITOS CREDITÓRIOS</x:v>
      </x:c>
      <x:c r="C1086" s="188" t="n">
        <x:v>104815239.35999998</x:v>
      </x:c>
      <x:c r="D1086" s="166" t="str">
        <x:v>DAYCOVAL ASSET MANAG</x:v>
      </x:c>
      <x:c r="E1086" s="166" t="str">
        <x:f>IFERROR(INDEX('Classif Gestoras'!$H$6:$H$462,MATCH(D1086,'Classif Gestoras'!$A$6:$A$462,0)),"Não classificada")</x:f>
        <x:v>Ligada a banco</x:v>
      </x:c>
      <x:c r="F1086" s="166" t="str">
        <x:v>BANCO DAYCOVAL S/A</x:v>
      </x:c>
      <x:c r="G1086" s="166" t="str">
        <x:v>BANCO DAYCOVAL S.A.</x:v>
      </x:c>
      <x:c r="H1086" s="166" t="str">
        <x:v>Outros</x:v>
      </x:c>
      <x:c r="I1086" s="166" t="str">
        <x:v>Multicarteira Outros</x:v>
      </x:c>
      <x:c r="J1086" s="166" t="str">
        <x:v>CI</x:v>
      </x:c>
      <x:c r="K1086" s="172" t="n">
        <x:v>11</x:v>
      </x:c>
      <x:c r="L1086" s="185" t="str">
        <x:v>Não classificado</x:v>
      </x:c>
    </x:row>
    <x:row r="1087">
      <x:c r="A1087" s="175" t="str">
        <x:v>54.559.035/0001-94</x:v>
      </x:c>
      <x:c r="B1087" s="166" t="str">
        <x:v>ESTRATÉGIA VINCULADA I FUNDO DE INVESTIMENTO EM DIREITOS CREDITÓRIOS - RESPONSABILIDADE LIMITADA</x:v>
      </x:c>
      <x:c r="C1087" s="188" t="n">
        <x:v>104694657.89</x:v>
      </x:c>
      <x:c r="D1087" s="166" t="str">
        <x:v>Oliveira Trust Servicer</x:v>
      </x:c>
      <x:c r="E1087" s="166" t="str">
        <x:f>IFERROR(INDEX('Classif Gestoras'!$H$6:$H$462,MATCH(D1087,'Classif Gestoras'!$A$6:$A$462,0)),"Não classificada")</x:f>
        <x:v>Independente</x:v>
      </x:c>
      <x:c r="F1087" s="166" t="str">
        <x:v>Oliveira Trust DTVM</x:v>
      </x:c>
      <x:c r="G1087" s="166" t="str">
        <x:v>OLIVEIRA TRUST DTVM S.A.</x:v>
      </x:c>
      <x:c r="H1087" s="166" t="str">
        <x:v>Financeiro</x:v>
      </x:c>
      <x:c r="I1087" s="166" t="str">
        <x:v>Multicarteira Financeiro</x:v>
      </x:c>
      <x:c r="J1087" s="166" t="str">
        <x:v>CI</x:v>
      </x:c>
      <x:c r="K1087" s="172" t="n">
        <x:v>17</x:v>
      </x:c>
      <x:c r="L1087" s="185" t="str">
        <x:v>Não classificado</x:v>
      </x:c>
    </x:row>
    <x:row r="1088">
      <x:c r="A1088" s="175" t="str">
        <x:v>50.536.324/0001-17</x:v>
      </x:c>
      <x:c r="B1088" s="166" t="str">
        <x:v>MAQNELSON FUNDO DE INVESTIMENTO EM DIREITOS CREDITÓRIOS - RESPONSABILIDADE LIMITADA</x:v>
      </x:c>
      <x:c r="C1088" s="188" t="n">
        <x:v>104622182.87</x:v>
      </x:c>
      <x:c r="D1088" s="166" t="str">
        <x:v>Oliveira Trust Servicer</x:v>
      </x:c>
      <x:c r="E1088" s="166" t="str">
        <x:f>IFERROR(INDEX('Classif Gestoras'!$H$6:$H$462,MATCH(D1088,'Classif Gestoras'!$A$6:$A$462,0)),"Não classificada")</x:f>
        <x:v>Independente</x:v>
      </x:c>
      <x:c r="F1088" s="166" t="str">
        <x:v>Oliveira Trust DTVM</x:v>
      </x:c>
      <x:c r="G1088" s="166" t="str">
        <x:v>OLIVEIRA TRUST DTVM S.A.</x:v>
      </x:c>
      <x:c r="H1088" s="166" t="str">
        <x:v>Agro, Indústria e Comércio</x:v>
      </x:c>
      <x:c r="I1088" s="166" t="str">
        <x:v>Recebíveis Comerciais</x:v>
      </x:c>
      <x:c r="J1088" s="166" t="str">
        <x:v>CI</x:v>
      </x:c>
      <x:c r="K1088" s="172" t="n">
        <x:v>3</x:v>
      </x:c>
      <x:c r="L1088" s="185" t="str">
        <x:v>Não classificado</x:v>
      </x:c>
    </x:row>
    <x:row r="1089">
      <x:c r="A1089" s="175" t="str">
        <x:v>56.780.297/0001-00</x:v>
      </x:c>
      <x:c r="B1089" s="166" t="str">
        <x:v>ST 1015.A FUNDO DE INVESTIMENTO EM DIREITOS CREDITÓRIOS RESPONSABILIDADE LIMITADA</x:v>
      </x:c>
      <x:c r="C1089" s="188" t="n">
        <x:v>104545982.73</x:v>
      </x:c>
      <x:c r="D1089" s="166" t="str">
        <x:v>Strata Capital</x:v>
      </x:c>
      <x:c r="E1089" s="166" t="str">
        <x:f>IFERROR(INDEX('Classif Gestoras'!$H$6:$H$462,MATCH(D1089,'Classif Gestoras'!$A$6:$A$462,0)),"Não classificada")</x:f>
        <x:v>Independente</x:v>
      </x:c>
      <x:c r="F1089" s="166" t="str">
        <x:v>BANCO DAYCOVAL S/A</x:v>
      </x:c>
      <x:c r="G1089" s="166" t="str">
        <x:v>BANCO DAYCOVAL S.A.</x:v>
      </x:c>
      <x:c r="H1089" s="166" t="str">
        <x:v>Outros</x:v>
      </x:c>
      <x:c r="I1089" s="166" t="str">
        <x:v>Multicarteira Outros</x:v>
      </x:c>
      <x:c r="J1089" s="166" t="str">
        <x:v>CI</x:v>
      </x:c>
      <x:c r="K1089" s="172" t="n">
        <x:v>2</x:v>
      </x:c>
      <x:c r="L1089" s="185" t="str">
        <x:v>Não classificado</x:v>
      </x:c>
    </x:row>
    <x:row r="1090">
      <x:c r="A1090" s="175" t="str">
        <x:v>07.742.454/0001-87</x:v>
      </x:c>
      <x:c r="B1090" s="166" t="str">
        <x:v>GP - FIDC FCVS 2</x:v>
      </x:c>
      <x:c r="C1090" s="188" t="n">
        <x:v>104447981.69</x:v>
      </x:c>
      <x:c r="D1090" s="166" t="str">
        <x:v>BRZ Investimentos</x:v>
      </x:c>
      <x:c r="E1090" s="166" t="str">
        <x:f>IFERROR(INDEX('Classif Gestoras'!$H$6:$H$462,MATCH(D1090,'Classif Gestoras'!$A$6:$A$462,0)),"Não classificada")</x:f>
        <x:v>Independente</x:v>
      </x:c>
      <x:c r="F1090" s="166" t="str">
        <x:v>Oliveira Trust DTVM</x:v>
      </x:c>
      <x:c r="G1090" s="166" t="str">
        <x:v>OLIVEIRA TRUST DTVM S.A.</x:v>
      </x:c>
      <x:c r="H1090" s="166" t="str">
        <x:v>Financeiro</x:v>
      </x:c>
      <x:c r="I1090" s="166" t="str">
        <x:v>Crédito Imobiliário</x:v>
      </x:c>
      <x:c r="J1090" s="166" t="str">
        <x:v>CI</x:v>
      </x:c>
      <x:c r="K1090" s="172" t="n">
        <x:v>11</x:v>
      </x:c>
      <x:c r="L1090" s="185" t="str">
        <x:v>Não classificado</x:v>
      </x:c>
    </x:row>
    <x:row r="1091">
      <x:c r="A1091" s="175" t="str">
        <x:v>56.963.951/0001-10</x:v>
      </x:c>
      <x:c r="B1091" s="166" t="str">
        <x:v>AGRO DEFENDER FUNDO DE INVESTIMENTO EM DIREITOS CREDITÓRIOS - RESPONSABILIDADE LIMITADA</x:v>
      </x:c>
      <x:c r="C1091" s="188" t="n">
        <x:v>104307279.82</x:v>
      </x:c>
      <x:c r="D1091" s="166" t="str">
        <x:v>Brave Asset</x:v>
      </x:c>
      <x:c r="E1091" s="166" t="str">
        <x:f>IFERROR(INDEX('Classif Gestoras'!$H$6:$H$462,MATCH(D1091,'Classif Gestoras'!$A$6:$A$462,0)),"Não classificada")</x:f>
        <x:v>Independente</x:v>
      </x:c>
      <x:c r="F1091" s="166" t="str">
        <x:v>FIDD DISTRIBUIDORA DE TITULOS E VALORES MOBILIARIOS LTD</x:v>
      </x:c>
      <x:c r="G1091" s="166" t="str">
        <x:v>FIDD DISTRIBUIDORA DE TITULOS E VALORES MOBILIARIOS LTDA.</x:v>
      </x:c>
      <x:c r="H1091" s="166" t="str">
        <x:v>Outros</x:v>
      </x:c>
      <x:c r="I1091" s="166" t="str">
        <x:v>Multicarteira Outros</x:v>
      </x:c>
      <x:c r="J1091" s="166" t="str">
        <x:v>CI</x:v>
      </x:c>
      <x:c r="K1091" s="172" t="n">
        <x:v>36</x:v>
      </x:c>
      <x:c r="L1091" s="185" t="str">
        <x:v>Não classificado</x:v>
      </x:c>
    </x:row>
    <x:row r="1092">
      <x:c r="A1092" s="175" t="str">
        <x:v>54.565.372/0001-94</x:v>
      </x:c>
      <x:c r="B1092" s="166" t="str">
        <x:v>CRÉDITO PLUS I FUNDO DE INVESTIMENTO EM DIREITOS CREDITÓRIOS FINANCEIROS DE RESPONSABILIDADE LIMITAD</x:v>
      </x:c>
      <x:c r="C1092" s="188" t="n">
        <x:v>104219621.64000002</x:v>
      </x:c>
      <x:c r="D1092" s="166" t="str">
        <x:v>Milênio Capital</x:v>
      </x:c>
      <x:c r="E1092" s="166" t="str">
        <x:f>IFERROR(INDEX('Classif Gestoras'!$H$6:$H$462,MATCH(D1092,'Classif Gestoras'!$A$6:$A$462,0)),"Não classificada")</x:f>
        <x:v>Independente</x:v>
      </x:c>
      <x:c r="F1092" s="166" t="str">
        <x:v>Singulare</x:v>
      </x:c>
      <x:c r="G1092" s="166" t="str">
        <x:v>QI CORRETORA DE TÍTULOS E VALORES MOBILIÁRIOS S.A.</x:v>
      </x:c>
      <x:c r="H1092" s="166" t="str">
        <x:v>Financeiro</x:v>
      </x:c>
      <x:c r="I1092" s="166" t="str">
        <x:v>Crédito Pessoal</x:v>
      </x:c>
      <x:c r="J1092" s="166" t="str">
        <x:v>CI</x:v>
      </x:c>
      <x:c r="K1092" s="172" t="n">
        <x:v>29</x:v>
      </x:c>
      <x:c r="L1092" s="185" t="str">
        <x:v>Não classificado</x:v>
      </x:c>
    </x:row>
    <x:row r="1093">
      <x:c r="A1093" s="175" t="str">
        <x:v>43.444.545/0001-08</x:v>
      </x:c>
      <x:c r="B1093" s="166" t="str">
        <x:v>OMEGA FUNDO DE INVESTIMENTO EM DIREITOS CREDITÓRIOS NP RESPONSABILIDADE LIMITADA</x:v>
      </x:c>
      <x:c r="C1093" s="188" t="n">
        <x:v>104196811.3</x:v>
      </x:c>
      <x:c r="D1093" s="166" t="str">
        <x:v>SUESTE CAPITAL GESTÃO DE RECURSOS LTDA.</x:v>
      </x:c>
      <x:c r="E1093" s="166" t="str">
        <x:f>IFERROR(INDEX('Classif Gestoras'!$H$6:$H$462,MATCH(D1093,'Classif Gestoras'!$A$6:$A$462,0)),"Não classificada")</x:f>
        <x:v>Independente</x:v>
      </x:c>
      <x:c r="F1093" s="166" t="str">
        <x:v>Banvox DTVM</x:v>
      </x:c>
      <x:c r="G1093" s="166" t="str">
        <x:v>BANVOX DISTRIBUIDORA DE TITULOS E VALORES MOBILIARIOS LTDA</x:v>
      </x:c>
      <x:c r="H1093" s="166" t="str">
        <x:v>Outros</x:v>
      </x:c>
      <x:c r="I1093" s="166" t="str">
        <x:v>Multicarteira Outros</x:v>
      </x:c>
      <x:c r="J1093" s="166" t="str">
        <x:v>CI</x:v>
      </x:c>
      <x:c r="K1093" s="172" t="n">
        <x:v>1</x:v>
      </x:c>
      <x:c r="L1093" s="185" t="str">
        <x:v>Não classificado</x:v>
      </x:c>
    </x:row>
    <x:row r="1094">
      <x:c r="A1094" s="175" t="str">
        <x:v>60.354.694/0001-97</x:v>
      </x:c>
      <x:c r="B1094" s="166" t="str">
        <x:v>FLIP FUNDO DE INVESTIMENTO EM DIREITOS CREDITÓRIOS MULTISEGMENTOS - RESPONSABILIDADE LIMITADA</x:v>
      </x:c>
      <x:c r="C1094" s="188" t="n">
        <x:v>104195255.74</x:v>
      </x:c>
      <x:c r="D1094" s="166" t="str">
        <x:v>M8 Partners</x:v>
      </x:c>
      <x:c r="E1094" s="166" t="str">
        <x:f>IFERROR(INDEX('Classif Gestoras'!$H$6:$H$462,MATCH(D1094,'Classif Gestoras'!$A$6:$A$462,0)),"Não classificada")</x:f>
        <x:v>Independente</x:v>
      </x:c>
      <x:c r="F1094" s="166" t="str">
        <x:v>Finaxis Corretora de Títulos e Valores Mobiliários S.A.</x:v>
      </x:c>
      <x:c r="G1094" s="166" t="str">
        <x:v>BANCO FINAXIS S.A.</x:v>
      </x:c>
      <x:c r="H1094" s="166" t="str">
        <x:v>Fomento Mercantil</x:v>
      </x:c>
      <x:c r="I1094" s="166" t="str">
        <x:v>Fomento Mercantil</x:v>
      </x:c>
      <x:c r="J1094" s="166" t="str">
        <x:v>CI</x:v>
      </x:c>
      <x:c r="K1094" s="172" t="n">
        <x:v>38</x:v>
      </x:c>
      <x:c r="L1094" s="185" t="str">
        <x:v>Não classificado</x:v>
      </x:c>
    </x:row>
    <x:row r="1095">
      <x:c r="A1095" s="175" t="str">
        <x:v>44.395.590/0001-74</x:v>
      </x:c>
      <x:c r="B1095" s="166" t="str">
        <x:v>ELITE FUNDO DE INVESTIMENTO EM DIREITOS CREDITÓRIOS - NÃO PADRONIZADOS</x:v>
      </x:c>
      <x:c r="C1095" s="188" t="n">
        <x:v>104155942.64</x:v>
      </x:c>
      <x:c r="D1095" s="166" t="str">
        <x:v>GV ATACAMA CAPITAL LTDA.</x:v>
      </x:c>
      <x:c r="E1095" s="166" t="str">
        <x:f>IFERROR(INDEX('Classif Gestoras'!$H$6:$H$462,MATCH(D1095,'Classif Gestoras'!$A$6:$A$462,0)),"Não classificada")</x:f>
        <x:v>Independente</x:v>
      </x:c>
      <x:c r="F1095" s="166" t="str">
        <x:v>Singulare</x:v>
      </x:c>
      <x:c r="G1095" s="166" t="str">
        <x:v>QI CORRETORA DE TÍTULOS E VALORES MOBILIÁRIOS S.A.</x:v>
      </x:c>
      <x:c r="H1095" s="166" t="str">
        <x:v>Outros</x:v>
      </x:c>
      <x:c r="I1095" s="166" t="str">
        <x:v>Multicarteira Outros</x:v>
      </x:c>
      <x:c r="J1095" s="166" t="str">
        <x:v>CI</x:v>
      </x:c>
      <x:c r="K1095" s="172" t="n">
        <x:v>1</x:v>
      </x:c>
      <x:c r="L1095" s="185" t="str">
        <x:v>Não classificado</x:v>
      </x:c>
    </x:row>
    <x:row r="1096">
      <x:c r="A1096" s="175" t="str">
        <x:v>38.447.838/0001-09</x:v>
      </x:c>
      <x:c r="B1096" s="166" t="str">
        <x:v>ARTEB FUNDO DE INVESTIMENTO EM DIREITOS CREDITÓRIOS</x:v>
      </x:c>
      <x:c r="C1096" s="188" t="n">
        <x:v>104133925.04</x:v>
      </x:c>
      <x:c r="D1096" s="166" t="str">
        <x:v>Multiplica Capital</x:v>
      </x:c>
      <x:c r="E1096" s="166" t="str">
        <x:f>IFERROR(INDEX('Classif Gestoras'!$H$6:$H$462,MATCH(D1096,'Classif Gestoras'!$A$6:$A$462,0)),"Não classificada")</x:f>
        <x:v>Independente</x:v>
      </x:c>
      <x:c r="F1096" s="166" t="str">
        <x:v>PLANNER CV</x:v>
      </x:c>
      <x:c r="G1096" s="166" t="str">
        <x:v>PLANNER CORRETORA DE VALORES S.A.</x:v>
      </x:c>
      <x:c r="H1096" s="166" t="str">
        <x:v>Fomento Mercantil</x:v>
      </x:c>
      <x:c r="I1096" s="166" t="str">
        <x:v>Fomento Mercantil</x:v>
      </x:c>
      <x:c r="J1096" s="166" t="str">
        <x:v>CI</x:v>
      </x:c>
      <x:c r="K1096" s="172" t="n">
        <x:v>2</x:v>
      </x:c>
      <x:c r="L1096" s="185" t="str">
        <x:v>Não classificado</x:v>
      </x:c>
    </x:row>
    <x:row r="1097">
      <x:c r="A1097" s="175" t="str">
        <x:v>63.938.673/0001-07</x:v>
      </x:c>
      <x:c r="B1097" s="166" t="str">
        <x:v>GV CONSIGNADO PÚBLICO FUNDO DE INVESTIMENTO EM DIREITOS CREDITÓRIOS RESPONSABILIDADE LIMITADA</x:v>
      </x:c>
      <x:c r="C1097" s="188" t="n">
        <x:v>103985289.45</x:v>
      </x:c>
      <x:c r="D1097" s="166" t="str">
        <x:v>GV ATACAMA CAPITAL LTDA.</x:v>
      </x:c>
      <x:c r="E1097" s="166" t="str">
        <x:f>IFERROR(INDEX('Classif Gestoras'!$H$6:$H$462,MATCH(D1097,'Classif Gestoras'!$A$6:$A$462,0)),"Não classificada")</x:f>
        <x:v>Independente</x:v>
      </x:c>
      <x:c r="F1097" s="166" t="str">
        <x:v>Singulare</x:v>
      </x:c>
      <x:c r="G1097" s="166" t="str">
        <x:v>QI CORRETORA DE TÍTULOS E VALORES MOBILIÁRIOS S.A.</x:v>
      </x:c>
      <x:c r="H1097" s="166" t="str">
        <x:v>Financeiro</x:v>
      </x:c>
      <x:c r="I1097" s="166" t="str">
        <x:v>Crédito Consignado</x:v>
      </x:c>
      <x:c r="J1097" s="166" t="str">
        <x:v>CI</x:v>
      </x:c>
      <x:c r="K1097" s="172" t="n">
        <x:v>2</x:v>
      </x:c>
      <x:c r="L1097" s="185" t="str">
        <x:v>Não classificado</x:v>
      </x:c>
    </x:row>
    <x:row r="1098">
      <x:c r="A1098" s="175" t="str">
        <x:v>37.054.545/0001-90</x:v>
      </x:c>
      <x:c r="B1098" s="166" t="str">
        <x:v>AGROHUB FUNDO DE INVESTIMENTO EM DIREITOS CREDITÓRIOS RESPONSABILIDADE LIMITADA</x:v>
      </x:c>
      <x:c r="C1098" s="188" t="n">
        <x:v>103599209.77</x:v>
      </x:c>
      <x:c r="D1098" s="166" t="str">
        <x:v>Artesanal Investimentos</x:v>
      </x:c>
      <x:c r="E1098" s="166" t="str">
        <x:f>IFERROR(INDEX('Classif Gestoras'!$H$6:$H$462,MATCH(D1098,'Classif Gestoras'!$A$6:$A$462,0)),"Não classificada")</x:f>
        <x:v>Independente</x:v>
      </x:c>
      <x:c r="F1098" s="166" t="str">
        <x:v>Singulare</x:v>
      </x:c>
      <x:c r="G1098" s="166" t="str">
        <x:v>QI CORRETORA DE TÍTULOS E VALORES MOBILIÁRIOS S.A.</x:v>
      </x:c>
      <x:c r="H1098" s="166" t="str">
        <x:v>Fomento Mercantil</x:v>
      </x:c>
      <x:c r="I1098" s="166" t="str">
        <x:v>Fomento Mercantil</x:v>
      </x:c>
      <x:c r="J1098" s="166" t="str">
        <x:v>CI</x:v>
      </x:c>
      <x:c r="K1098" s="172" t="n">
        <x:v>10</x:v>
      </x:c>
      <x:c r="L1098" s="185" t="str">
        <x:v>Não classificado</x:v>
      </x:c>
    </x:row>
    <x:row r="1099">
      <x:c r="A1099" s="175" t="str">
        <x:v>53.960.578/0001-56</x:v>
      </x:c>
      <x:c r="B1099" s="166" t="str">
        <x:v>PÉROLA FUNDO DE INVESTIMENTO EM DIREITOS CREDITÓRIOS DE RESPONSABILIDADE LIMITADA</x:v>
      </x:c>
      <x:c r="C1099" s="188" t="n">
        <x:v>103211367.67</x:v>
      </x:c>
      <x:c r="D1099" s="166" t="str">
        <x:v>Catálise Investimentos</x:v>
      </x:c>
      <x:c r="E1099" s="166" t="str">
        <x:f>IFERROR(INDEX('Classif Gestoras'!$H$6:$H$462,MATCH(D1099,'Classif Gestoras'!$A$6:$A$462,0)),"Não classificada")</x:f>
        <x:v>Independente</x:v>
      </x:c>
      <x:c r="F1099" s="166" t="str">
        <x:v>CATÁLISE DTVM</x:v>
      </x:c>
      <x:c r="G1099" s="166" t="str">
        <x:v>FIDD DISTRIBUIDORA DE TITULOS E VALORES MOBILIARIOS LTDA.</x:v>
      </x:c>
      <x:c r="H1099" s="166" t="str">
        <x:v>Agro, Indústria e Comércio</x:v>
      </x:c>
      <x:c r="I1099" s="166" t="str">
        <x:v>Multicarteira Agro, Indústria e Comércio</x:v>
      </x:c>
      <x:c r="J1099" s="166" t="str">
        <x:v>CI</x:v>
      </x:c>
      <x:c r="K1099" s="172" t="n">
        <x:v>2</x:v>
      </x:c>
      <x:c r="L1099" s="185" t="str">
        <x:v>Não classificado</x:v>
      </x:c>
    </x:row>
    <x:row r="1100">
      <x:c r="A1100" s="175" t="str">
        <x:v>24.506.241/0001-75</x:v>
      </x:c>
      <x:c r="B1100" s="166" t="str">
        <x:v>ACL NP FUNDO DE INVESTIMENTO EM DIREITOS CREDITÓRIOS NÃO PADRONIZADOS</x:v>
      </x:c>
      <x:c r="C1100" s="188" t="n">
        <x:v>103161190.05</x:v>
      </x:c>
      <x:c r="D1100" s="166" t="str">
        <x:v>TERCON ASSET MANAGEMENT</x:v>
      </x:c>
      <x:c r="E1100" s="166" t="str">
        <x:f>IFERROR(INDEX('Classif Gestoras'!$H$6:$H$462,MATCH(D1100,'Classif Gestoras'!$A$6:$A$462,0)),"Não classificada")</x:f>
        <x:v>Independente</x:v>
      </x:c>
      <x:c r="F1100" s="166" t="str">
        <x:v>Singulare</x:v>
      </x:c>
      <x:c r="G1100" s="166" t="str">
        <x:v>QI CORRETORA DE TÍTULOS E VALORES MOBILIÁRIOS S.A.</x:v>
      </x:c>
      <x:c r="H1100" s="166" t="str">
        <x:v>Fomento Mercantil</x:v>
      </x:c>
      <x:c r="I1100" s="166" t="str">
        <x:v>Fomento Mercantil</x:v>
      </x:c>
      <x:c r="J1100" s="166" t="str">
        <x:v>CI</x:v>
      </x:c>
      <x:c r="K1100" s="172" t="n">
        <x:v>2</x:v>
      </x:c>
      <x:c r="L1100" s="185" t="str">
        <x:v>Não classificado</x:v>
      </x:c>
    </x:row>
    <x:row r="1101">
      <x:c r="A1101" s="175" t="str">
        <x:v>63.831.177/0001-50</x:v>
      </x:c>
      <x:c r="B1101" s="166" t="str">
        <x:v>MIATA FUNDO DE INVESTIMENTO EM DIREITOS CREDITÓRIOS - RESPONSABILIDADE LIMITADA</x:v>
      </x:c>
      <x:c r="C1101" s="188" t="n">
        <x:v>102826298.72</x:v>
      </x:c>
      <x:c r="D1101" s="166" t="str">
        <x:v>VERT Gestora de Recursos Financeiros Ltda.</x:v>
      </x:c>
      <x:c r="E1101" s="166" t="str">
        <x:f>IFERROR(INDEX('Classif Gestoras'!$H$6:$H$462,MATCH(D1101,'Classif Gestoras'!$A$6:$A$462,0)),"Não classificada")</x:f>
        <x:v>Independente</x:v>
      </x:c>
      <x:c r="F1101" s="166" t="str">
        <x:v>VERT Distribuidora de Títulos e Valores Mobiliários Ltd</x:v>
      </x:c>
      <x:c r="G1101" s="166" t="str">
        <x:v>VERT DISTRIBUIDORA DE TÍTULOS E VALORES MOBILIÁRIOS LTDA.</x:v>
      </x:c>
      <x:c r="H1101" s="166" t="str">
        <x:v>Agro, Indústria e Comércio</x:v>
      </x:c>
      <x:c r="I1101" s="166" t="str">
        <x:v>Recebíveis Comerciais</x:v>
      </x:c>
      <x:c r="J1101" s="166" t="str">
        <x:v>CI</x:v>
      </x:c>
      <x:c r="K1101" s="172" t="n">
        <x:v>1</x:v>
      </x:c>
      <x:c r="L1101" s="185" t="str">
        <x:v>Não classificado</x:v>
      </x:c>
    </x:row>
    <x:row r="1102">
      <x:c r="A1102" s="175" t="str">
        <x:v>58.236.968/0001-00</x:v>
      </x:c>
      <x:c r="B1102" s="166" t="str">
        <x:v>PLGN ARTON FUNDO DE INVESTIMENTO EM DIREITOS CREDITÓRIOS</x:v>
      </x:c>
      <x:c r="C1102" s="188" t="n">
        <x:v>102710719.05</x:v>
      </x:c>
      <x:c r="D1102" s="166" t="str">
        <x:v>POLÍGONO CAPITAL LTDA.</x:v>
      </x:c>
      <x:c r="E1102" s="166" t="str">
        <x:f>IFERROR(INDEX('Classif Gestoras'!$H$6:$H$462,MATCH(D1102,'Classif Gestoras'!$A$6:$A$462,0)),"Não classificada")</x:f>
        <x:v>Independente</x:v>
      </x:c>
      <x:c r="F1102" s="166" t="str">
        <x:v>BTG Pactual Servicos Financeiros S/A DTVM</x:v>
      </x:c>
      <x:c r="G1102" s="166" t="str">
        <x:v>BANCO BTG PACTUAL S/A</x:v>
      </x:c>
      <x:c r="H1102" s="166" t="str">
        <x:v>Outros</x:v>
      </x:c>
      <x:c r="I1102" s="166" t="str">
        <x:v>Multicarteira Outros</x:v>
      </x:c>
      <x:c r="J1102" s="166" t="str">
        <x:v>CI</x:v>
      </x:c>
      <x:c r="K1102" s="172" t="n">
        <x:v>291</x:v>
      </x:c>
      <x:c r="L1102" s="185" t="str">
        <x:v>Não classificado</x:v>
      </x:c>
    </x:row>
    <x:row r="1103">
      <x:c r="A1103" s="175" t="str">
        <x:v>44.076.714/0001-59</x:v>
      </x:c>
      <x:c r="B1103" s="166" t="str">
        <x:v>STRATEGI SINGLE NAME NPL FUNDO DE INVESTIMENTO EM DIREITOS CREDITÓRIOS - RESPONSABILIDADE LIMITADA</x:v>
      </x:c>
      <x:c r="C1103" s="188" t="n">
        <x:v>102647299.39</x:v>
      </x:c>
      <x:c r="D1103" s="166" t="str">
        <x:v>STRATEGI CAPITAL ASSET MANAGEMENT</x:v>
      </x:c>
      <x:c r="E1103" s="166" t="str">
        <x:f>IFERROR(INDEX('Classif Gestoras'!$H$6:$H$462,MATCH(D1103,'Classif Gestoras'!$A$6:$A$462,0)),"Não classificada")</x:f>
        <x:v>Independente</x:v>
      </x:c>
      <x:c r="F1103" s="166" t="str">
        <x:v>VÓRTX DTVM</x:v>
      </x:c>
      <x:c r="G1103" s="166" t="str">
        <x:v>VORTX DISTRIBUIDORA DE TITULOS E VALORES MOBILIARIOS LTDA.</x:v>
      </x:c>
      <x:c r="H1103" s="166" t="str">
        <x:v>Outros</x:v>
      </x:c>
      <x:c r="I1103" s="166" t="str">
        <x:v>Multicarteira Outros</x:v>
      </x:c>
      <x:c r="J1103" s="166" t="str">
        <x:v>CI</x:v>
      </x:c>
      <x:c r="K1103" s="172" t="n">
        <x:v>104</x:v>
      </x:c>
      <x:c r="L1103" s="185" t="str">
        <x:v>Não classificado</x:v>
      </x:c>
    </x:row>
    <x:row r="1104">
      <x:c r="A1104" s="175" t="str">
        <x:v>63.032.712/0001-02</x:v>
      </x:c>
      <x:c r="B1104" s="166" t="str">
        <x:v>IORQ FREDERIC FUNDO DE INVESTIMENTO EM DIREITOS CREDITÓRIOS - RESPONSABILIDADE LIMITADA</x:v>
      </x:c>
      <x:c r="C1104" s="188" t="n">
        <x:v>102641874.52</x:v>
      </x:c>
      <x:c r="D1104" s="166" t="str">
        <x:v>Quatá Investimentos</x:v>
      </x:c>
      <x:c r="E1104" s="166" t="str">
        <x:f>IFERROR(INDEX('Classif Gestoras'!$H$6:$H$462,MATCH(D1104,'Classif Gestoras'!$A$6:$A$462,0)),"Não classificada")</x:f>
        <x:v>Independente</x:v>
      </x:c>
      <x:c r="F1104" s="166" t="str">
        <x:v>BRL TRUST DTVM</x:v>
      </x:c>
      <x:c r="G1104" s="166" t="str">
        <x:v>BRL TRUST DISTRIBUIDORA DE TITULOS E VALORES MOBILIARIOS S.A.</x:v>
      </x:c>
      <x:c r="H1104" s="166" t="str">
        <x:v>Outros</x:v>
      </x:c>
      <x:c r="I1104" s="166" t="str">
        <x:v>Multicarteira Outros</x:v>
      </x:c>
      <x:c r="J1104" s="166" t="str">
        <x:v>CI</x:v>
      </x:c>
      <x:c r="K1104" s="172" t="n">
        <x:v>31</x:v>
      </x:c>
      <x:c r="L1104" s="185" t="str">
        <x:v>Não classificado</x:v>
      </x:c>
    </x:row>
    <x:row r="1105">
      <x:c r="A1105" s="175" t="str">
        <x:v>60.019.532/0001-00</x:v>
      </x:c>
      <x:c r="B1105" s="166" t="str">
        <x:v>ISAAC CRÉDITO FLEX FIDC FINANCEIROS DE RESPONSABILIDADE LIMITADA</x:v>
      </x:c>
      <x:c r="C1105" s="188" t="n">
        <x:v>102487021.08</x:v>
      </x:c>
      <x:c r="D1105" s="166" t="str">
        <x:v>AUGME CAPITAL GESTÃO DE RECURSOS LTDA.</x:v>
      </x:c>
      <x:c r="E1105" s="166" t="str">
        <x:f>IFERROR(INDEX('Classif Gestoras'!$H$6:$H$462,MATCH(D1105,'Classif Gestoras'!$A$6:$A$462,0)),"Não classificada")</x:f>
        <x:v>Independente</x:v>
      </x:c>
      <x:c r="F1105" s="166" t="str">
        <x:v>Genial Investimentos Corretora de Valores Mobiliários S.A.</x:v>
      </x:c>
      <x:c r="G1105" s="166" t="str">
        <x:v>BANCO GENIAL S.A.</x:v>
      </x:c>
      <x:c r="H1105" s="166" t="str">
        <x:v>Agro, Indústria e Comércio</x:v>
      </x:c>
      <x:c r="I1105" s="166" t="str">
        <x:v>Crédito Corporativo</x:v>
      </x:c>
      <x:c r="J1105" s="166" t="str">
        <x:v>CI</x:v>
      </x:c>
      <x:c r="K1105" s="172" t="n">
        <x:v>1</x:v>
      </x:c>
      <x:c r="L1105" s="185" t="str">
        <x:v>Não classificado</x:v>
      </x:c>
    </x:row>
    <x:row r="1106">
      <x:c r="A1106" s="175" t="str">
        <x:v>54.857.414/0001-60</x:v>
      </x:c>
      <x:c r="B1106" s="166" t="str">
        <x:v>INDIE MERX RAIZ I CRÉDITO AGRO FIDC DO AGRONEGÓCIO - RESPONSABILIDADE LIMITADA</x:v>
      </x:c>
      <x:c r="C1106" s="188" t="n">
        <x:v>102410512.1</x:v>
      </x:c>
      <x:c r="D1106" s="166" t="str">
        <x:v>INDIE CAPITAL INVESTIMENTOS LT</x:v>
      </x:c>
      <x:c r="E1106" s="166" t="str">
        <x:f>IFERROR(INDEX('Classif Gestoras'!$H$6:$H$462,MATCH(D1106,'Classif Gestoras'!$A$6:$A$462,0)),"Não classificada")</x:f>
        <x:v>Independente</x:v>
      </x:c>
      <x:c r="F1106" s="166" t="str">
        <x:v>Limine Trust Distribuidora de Titulos e Valores Mobiliá</x:v>
      </x:c>
      <x:c r="G1106" s="166" t="str">
        <x:v>LIMINE TRUST DISTRIBUIDORA DE TITULOS E VALORES MOBILIARIOS LTDA.</x:v>
      </x:c>
      <x:c r="H1106" s="166" t="str">
        <x:v>Agro, Indústria e Comércio</x:v>
      </x:c>
      <x:c r="I1106" s="166" t="str">
        <x:v>Agronegócio</x:v>
      </x:c>
      <x:c r="J1106" s="166" t="str">
        <x:v>CI</x:v>
      </x:c>
      <x:c r="K1106" s="172" t="n">
        <x:v>40</x:v>
      </x:c>
      <x:c r="L1106" s="185" t="str">
        <x:v>Não classificado</x:v>
      </x:c>
    </x:row>
    <x:row r="1107">
      <x:c r="A1107" s="175" t="str">
        <x:v>19.153.705/0001-77</x:v>
      </x:c>
      <x:c r="B1107" s="166" t="str">
        <x:v>CREDERE FUNDO DE INVESTIMENTO EM DIREITOS CREDITÓRIOS</x:v>
      </x:c>
      <x:c r="C1107" s="188" t="n">
        <x:v>102341821.91</x:v>
      </x:c>
      <x:c r="D1107" s="166" t="str">
        <x:v>TERCON ASSET MANAGEMENT</x:v>
      </x:c>
      <x:c r="E1107" s="166" t="str">
        <x:f>IFERROR(INDEX('Classif Gestoras'!$H$6:$H$462,MATCH(D1107,'Classif Gestoras'!$A$6:$A$462,0)),"Não classificada")</x:f>
        <x:v>Independente</x:v>
      </x:c>
      <x:c r="F1107" s="166" t="str">
        <x:v>Singulare</x:v>
      </x:c>
      <x:c r="G1107" s="166" t="str">
        <x:v>QI CORRETORA DE TÍTULOS E VALORES MOBILIÁRIOS S.A.</x:v>
      </x:c>
      <x:c r="H1107" s="166" t="str">
        <x:v>Fomento Mercantil</x:v>
      </x:c>
      <x:c r="I1107" s="166" t="str">
        <x:v>Fomento Mercantil</x:v>
      </x:c>
      <x:c r="J1107" s="166" t="str">
        <x:v>CI</x:v>
      </x:c>
      <x:c r="K1107" s="172" t="n">
        <x:v>15</x:v>
      </x:c>
      <x:c r="L1107" s="185" t="str">
        <x:v>Não classificado</x:v>
      </x:c>
    </x:row>
    <x:row r="1108">
      <x:c r="A1108" s="175" t="str">
        <x:v>54.904.072/0001-92</x:v>
      </x:c>
      <x:c r="B1108" s="166" t="str">
        <x:v>COLISEU FUNDO DE INVESTIMENTO EM DIREITOS CREDITÓRIOS</x:v>
      </x:c>
      <x:c r="C1108" s="188" t="n">
        <x:v>102190360.88</x:v>
      </x:c>
      <x:c r="D1108" s="166" t="str">
        <x:v>Acura Gestora de Recursos LTDA.</x:v>
      </x:c>
      <x:c r="E1108" s="166" t="str">
        <x:f>IFERROR(INDEX('Classif Gestoras'!$H$6:$H$462,MATCH(D1108,'Classif Gestoras'!$A$6:$A$462,0)),"Não classificada")</x:f>
        <x:v>Independente</x:v>
      </x:c>
      <x:c r="F1108" s="166" t="str">
        <x:v>Qore DTVM</x:v>
      </x:c>
      <x:c r="G1108" s="166" t="str">
        <x:v>QORE DISTRIBUIDORA DE TÍTULOS E VALORES MOBILIÁRIOS LTDA.</x:v>
      </x:c>
      <x:c r="H1108" s="166" t="str">
        <x:v>Outros</x:v>
      </x:c>
      <x:c r="I1108" s="166" t="str">
        <x:v>Poder Público</x:v>
      </x:c>
      <x:c r="J1108" s="166" t="str">
        <x:v>CI</x:v>
      </x:c>
      <x:c r="K1108" s="172" t="n">
        <x:v>1</x:v>
      </x:c>
      <x:c r="L1108" s="185" t="str">
        <x:v>Não classificado</x:v>
      </x:c>
    </x:row>
    <x:row r="1109">
      <x:c r="A1109" s="175" t="str">
        <x:v>63.709.161/0001-79</x:v>
      </x:c>
      <x:c r="B1109" s="166" t="str">
        <x:v>BW CAPITAL FUNDO DE INVESTIMENTO EM DIREITOS CREDITÓRIOS - CRÉDITO CORPORATIVO</x:v>
      </x:c>
      <x:c r="C1109" s="188" t="n">
        <x:v>102032389.34</x:v>
      </x:c>
      <x:c r="D1109" s="166" t="str">
        <x:v>Harbour Capital</x:v>
      </x:c>
      <x:c r="E1109" s="166" t="str">
        <x:f>IFERROR(INDEX('Classif Gestoras'!$H$6:$H$462,MATCH(D1109,'Classif Gestoras'!$A$6:$A$462,0)),"Não classificada")</x:f>
        <x:v>Independente</x:v>
      </x:c>
      <x:c r="F1109" s="166" t="str">
        <x:v>AZUMI DISTRIBUIDORA DE TÍTULOS E VALORES MOBILIÁRIOS LT</x:v>
      </x:c>
      <x:c r="G1109" s="166" t="str">
        <x:v>AZUMI DISTRIBUIDORA DE TÍTULOS E VALORES MOBILIÁRIOS LTDA.</x:v>
      </x:c>
      <x:c r="H1109" s="166" t="str">
        <x:v>Fomento Mercantil</x:v>
      </x:c>
      <x:c r="I1109" s="166" t="str">
        <x:v>Fomento Mercantil</x:v>
      </x:c>
      <x:c r="J1109" s="166" t="str">
        <x:v>CI</x:v>
      </x:c>
      <x:c r="K1109" s="172" t="n">
        <x:v>4</x:v>
      </x:c>
      <x:c r="L1109" s="185" t="str">
        <x:v>Não classificado</x:v>
      </x:c>
    </x:row>
    <x:row r="1110">
      <x:c r="A1110" s="175" t="str">
        <x:v>54.134.587/0001-50</x:v>
      </x:c>
      <x:c r="B1110" s="166" t="str">
        <x:v>KATETO II FUNDO DE INVESTIMENTO EM DIREITOS CREDITÓRIOS</x:v>
      </x:c>
      <x:c r="C1110" s="188" t="n">
        <x:v>101953568.31</x:v>
      </x:c>
      <x:c r="D1110" s="166" t="str">
        <x:v>Banco BTG Pactual</x:v>
      </x:c>
      <x:c r="E1110" s="166" t="str">
        <x:f>IFERROR(INDEX('Classif Gestoras'!$H$6:$H$462,MATCH(D1110,'Classif Gestoras'!$A$6:$A$462,0)),"Não classificada")</x:f>
        <x:v>Ligada a banco</x:v>
      </x:c>
      <x:c r="F1110" s="166" t="str">
        <x:v>BTG Pactual Servicos Financeiros S/A DTVM</x:v>
      </x:c>
      <x:c r="G1110" s="166" t="str">
        <x:v>BANCO BTG PACTUAL S/A</x:v>
      </x:c>
      <x:c r="H1110" s="166" t="str">
        <x:v>Outros</x:v>
      </x:c>
      <x:c r="I1110" s="166" t="str">
        <x:v>Poder Público</x:v>
      </x:c>
      <x:c r="J1110" s="166" t="str">
        <x:v>CI</x:v>
      </x:c>
      <x:c r="K1110" s="172" t="n">
        <x:v>1</x:v>
      </x:c>
      <x:c r="L1110" s="185" t="str">
        <x:v>Não classificado</x:v>
      </x:c>
    </x:row>
    <x:row r="1111">
      <x:c r="A1111" s="175" t="str">
        <x:v>63.395.725/0001-46</x:v>
      </x:c>
      <x:c r="B1111" s="166" t="str">
        <x:v>FUNDO DE INVESTIMENTO EM DIREITOS CREDITÓRIOS DOTZ NOVERDE - RESPONSABILIDADE LIMITADA</x:v>
      </x:c>
      <x:c r="C1111" s="188" t="n">
        <x:v>101878656.83</x:v>
      </x:c>
      <x:c r="D1111" s="166" t="str">
        <x:v>POLÍGONO CAPITAL LTDA.</x:v>
      </x:c>
      <x:c r="E1111" s="166" t="str">
        <x:f>IFERROR(INDEX('Classif Gestoras'!$H$6:$H$462,MATCH(D1111,'Classif Gestoras'!$A$6:$A$462,0)),"Não classificada")</x:f>
        <x:v>Independente</x:v>
      </x:c>
      <x:c r="F1111" s="166" t="str">
        <x:v>Genial Investimentos Corretora de Valores Mobiliários S.A.</x:v>
      </x:c>
      <x:c r="G1111" s="166" t="str">
        <x:v>BANCO GENIAL S.A.</x:v>
      </x:c>
      <x:c r="H1111" s="166" t="str">
        <x:v>Outros</x:v>
      </x:c>
      <x:c r="I1111" s="166" t="str">
        <x:v>Multicarteira Outros</x:v>
      </x:c>
      <x:c r="J1111" s="166" t="str">
        <x:v>CI</x:v>
      </x:c>
      <x:c r="K1111" s="172" t="n">
        <x:v>19</x:v>
      </x:c>
      <x:c r="L1111" s="185" t="str">
        <x:v>Não classificado</x:v>
      </x:c>
    </x:row>
    <x:row r="1112">
      <x:c r="A1112" s="175" t="str">
        <x:v>62.913.515/0001-30</x:v>
      </x:c>
      <x:c r="B1112" s="166" t="str">
        <x:v>FUNDO DE INVESTIMENTO EM DIREITOS CREDITÓRIOS SERRAMBI RECEBÍVEIS COMERCIAIS RESP. LIMITADA</x:v>
      </x:c>
      <x:c r="C1112" s="188" t="n">
        <x:v>101733867.98</x:v>
      </x:c>
      <x:c r="D1112" s="166" t="str">
        <x:v>VERT Gestora de Recursos Financeiros Ltda.</x:v>
      </x:c>
      <x:c r="E1112" s="166" t="str">
        <x:f>IFERROR(INDEX('Classif Gestoras'!$H$6:$H$462,MATCH(D1112,'Classif Gestoras'!$A$6:$A$462,0)),"Não classificada")</x:f>
        <x:v>Independente</x:v>
      </x:c>
      <x:c r="F1112" s="166" t="str">
        <x:v>VERT Distribuidora de Títulos e Valores Mobiliários Ltd</x:v>
      </x:c>
      <x:c r="G1112" s="166" t="str">
        <x:v>VERT DISTRIBUIDORA DE TÍTULOS E VALORES MOBILIÁRIOS LTDA.</x:v>
      </x:c>
      <x:c r="H1112" s="166" t="str">
        <x:v>Agro, Indústria e Comércio</x:v>
      </x:c>
      <x:c r="I1112" s="166" t="str">
        <x:v>Recebíveis Comerciais</x:v>
      </x:c>
      <x:c r="J1112" s="166" t="str">
        <x:v>CI</x:v>
      </x:c>
      <x:c r="K1112" s="172" t="n">
        <x:v>3</x:v>
      </x:c>
      <x:c r="L1112" s="185" t="str">
        <x:v>Não classificado</x:v>
      </x:c>
    </x:row>
    <x:row r="1113">
      <x:c r="A1113" s="175" t="str">
        <x:v>54.019.802/0001-72</x:v>
      </x:c>
      <x:c r="B1113" s="166" t="str">
        <x:v>LOTTE WORD FUNDO DE INVESTIMENTO EM DIREITOS CREDITÓRIOS</x:v>
      </x:c>
      <x:c r="C1113" s="188" t="n">
        <x:v>101530249.72</x:v>
      </x:c>
      <x:c r="D1113" s="166" t="str">
        <x:v>Acura Gestora de Recursos LTDA.</x:v>
      </x:c>
      <x:c r="E1113" s="166" t="str">
        <x:f>IFERROR(INDEX('Classif Gestoras'!$H$6:$H$462,MATCH(D1113,'Classif Gestoras'!$A$6:$A$462,0)),"Não classificada")</x:f>
        <x:v>Independente</x:v>
      </x:c>
      <x:c r="F1113" s="166" t="str">
        <x:v>Qore DTVM</x:v>
      </x:c>
      <x:c r="G1113" s="166" t="str">
        <x:v>QORE DISTRIBUIDORA DE TÍTULOS E VALORES MOBILIÁRIOS LTDA.</x:v>
      </x:c>
      <x:c r="H1113" s="166" t="str">
        <x:v>Outros</x:v>
      </x:c>
      <x:c r="I1113" s="166" t="str">
        <x:v>Poder Público</x:v>
      </x:c>
      <x:c r="J1113" s="166" t="str">
        <x:v>CI</x:v>
      </x:c>
      <x:c r="K1113" s="172" t="n">
        <x:v>1</x:v>
      </x:c>
      <x:c r="L1113" s="185" t="str">
        <x:v>Não classificado</x:v>
      </x:c>
    </x:row>
    <x:row r="1114">
      <x:c r="A1114" s="175" t="str">
        <x:v>57.224.939/0001-57</x:v>
      </x:c>
      <x:c r="B1114" s="166" t="str">
        <x:v>VCTEX CL I FUNDO DE INVESTIMENTO EM DIREITOS CREDITÓRIOS RESPONSABILIDADE LIMITADA</x:v>
      </x:c>
      <x:c r="C1114" s="188" t="n">
        <x:v>101469780.56</x:v>
      </x:c>
      <x:c r="D1114" s="166" t="str">
        <x:v>BTG Pactual Asset</x:v>
      </x:c>
      <x:c r="E1114" s="166" t="str">
        <x:f>IFERROR(INDEX('Classif Gestoras'!$H$6:$H$462,MATCH(D1114,'Classif Gestoras'!$A$6:$A$462,0)),"Não classificada")</x:f>
        <x:v>Ligada a banco</x:v>
      </x:c>
      <x:c r="F1114" s="166" t="str">
        <x:v>QI DISTRIBUIDORA DE TITULOS E VALORES MOBILIARIOS LTDA</x:v>
      </x:c>
      <x:c r="G1114" s="166" t="str">
        <x:v>QI CORRETORA DE TÍTULOS E VALORES MOBILIÁRIOS S.A.</x:v>
      </x:c>
      <x:c r="H1114" s="166" t="str">
        <x:v>Financeiro</x:v>
      </x:c>
      <x:c r="I1114" s="166" t="str">
        <x:v>Crédito Consignado</x:v>
      </x:c>
      <x:c r="J1114" s="166" t="str">
        <x:v>CI</x:v>
      </x:c>
      <x:c r="K1114" s="172" t="n">
        <x:v>35</x:v>
      </x:c>
      <x:c r="L1114" s="185" t="str">
        <x:v>Não classificado</x:v>
      </x:c>
    </x:row>
    <x:row r="1115">
      <x:c r="A1115" s="175" t="str">
        <x:v>36.500.339/0001-02</x:v>
      </x:c>
      <x:c r="B1115" s="166" t="str">
        <x:v>BMA KRONOS FUNDO DE INVESTIMENTO EM DIREITOS CREDITÓRIOS MULTISSETORIAL RESPONSABILIDADE LIMITADA</x:v>
      </x:c>
      <x:c r="C1115" s="188" t="n">
        <x:v>101211041.33</x:v>
      </x:c>
      <x:c r="D1115" s="166" t="str">
        <x:v>TERCON ASSET MANAGEMENT</x:v>
      </x:c>
      <x:c r="E1115" s="166" t="str">
        <x:f>IFERROR(INDEX('Classif Gestoras'!$H$6:$H$462,MATCH(D1115,'Classif Gestoras'!$A$6:$A$462,0)),"Não classificada")</x:f>
        <x:v>Independente</x:v>
      </x:c>
      <x:c r="F1115" s="166" t="str">
        <x:v>Singulare</x:v>
      </x:c>
      <x:c r="G1115" s="166" t="str">
        <x:v>QI CORRETORA DE TÍTULOS E VALORES MOBILIÁRIOS S.A.</x:v>
      </x:c>
      <x:c r="H1115" s="166" t="str">
        <x:v>Fomento Mercantil</x:v>
      </x:c>
      <x:c r="I1115" s="166" t="str">
        <x:v>Fomento Mercantil</x:v>
      </x:c>
      <x:c r="J1115" s="166" t="str">
        <x:v>CI</x:v>
      </x:c>
      <x:c r="K1115" s="172" t="n">
        <x:v>1</x:v>
      </x:c>
      <x:c r="L1115" s="185" t="str">
        <x:v>Não classificado</x:v>
      </x:c>
    </x:row>
    <x:row r="1116">
      <x:c r="A1116" s="175" t="str">
        <x:v>63.573.472/0001-53</x:v>
      </x:c>
      <x:c r="B1116" s="166" t="str">
        <x:v>MARISA FUNDO DE INVESTIMENTO EM DIREITOS CREDITÓRIOS COMERCIAIS RESPONSABILIDADE LIMITADA</x:v>
      </x:c>
      <x:c r="C1116" s="188" t="n">
        <x:v>101183345.05</x:v>
      </x:c>
      <x:c r="D1116" s="166" t="str">
        <x:v>EuQueroInvestir Gestão de Recursos Ltda.</x:v>
      </x:c>
      <x:c r="E1116" s="166" t="str">
        <x:f>IFERROR(INDEX('Classif Gestoras'!$H$6:$H$462,MATCH(D1116,'Classif Gestoras'!$A$6:$A$462,0)),"Não classificada")</x:f>
        <x:v>Independente</x:v>
      </x:c>
      <x:c r="F1116" s="166" t="str">
        <x:v>BTG Pactual Servicos Financeiros S/A DTVM</x:v>
      </x:c>
      <x:c r="G1116" s="166" t="str">
        <x:v>BANCO BTG PACTUAL S/A</x:v>
      </x:c>
      <x:c r="H1116" s="166" t="str">
        <x:v>Agro, Indústria e Comércio</x:v>
      </x:c>
      <x:c r="I1116" s="166" t="str">
        <x:v>Crédito Corporativo</x:v>
      </x:c>
      <x:c r="J1116" s="166" t="str">
        <x:v>CI</x:v>
      </x:c>
      <x:c r="K1116" s="172" t="n">
        <x:v>8</x:v>
      </x:c>
      <x:c r="L1116" s="185" t="str">
        <x:v>Não classificado</x:v>
      </x:c>
    </x:row>
    <x:row r="1117">
      <x:c r="A1117" s="175" t="str">
        <x:v>51.862.553/0001-94</x:v>
      </x:c>
      <x:c r="B1117" s="166" t="str">
        <x:v>EVERBLUE I FUNDO DE INVESTIMENTO EM DIREITOS CREDITÓRIOS MULTISETORIAL</x:v>
      </x:c>
      <x:c r="C1117" s="188" t="n">
        <x:v>101023699.25</x:v>
      </x:c>
      <x:c r="D1117" s="166" t="str">
        <x:v>ORRAM GESTÃO DE RECURSOS LTDA.</x:v>
      </x:c>
      <x:c r="E1117" s="166" t="str">
        <x:f>IFERROR(INDEX('Classif Gestoras'!$H$6:$H$462,MATCH(D1117,'Classif Gestoras'!$A$6:$A$462,0)),"Não classificada")</x:f>
        <x:v>Independente</x:v>
      </x:c>
      <x:c r="F1117" s="166" t="str">
        <x:v>Singulare</x:v>
      </x:c>
      <x:c r="G1117" s="166" t="str">
        <x:v>QI CORRETORA DE TÍTULOS E VALORES MOBILIÁRIOS S.A.</x:v>
      </x:c>
      <x:c r="H1117" s="166" t="str">
        <x:v>Fomento Mercantil</x:v>
      </x:c>
      <x:c r="I1117" s="166" t="str">
        <x:v>Fomento Mercantil</x:v>
      </x:c>
      <x:c r="J1117" s="166" t="str">
        <x:v>CI</x:v>
      </x:c>
      <x:c r="K1117" s="172" t="n">
        <x:v>16</x:v>
      </x:c>
      <x:c r="L1117" s="185" t="str">
        <x:v>Não classificado</x:v>
      </x:c>
    </x:row>
    <x:row r="1118">
      <x:c r="A1118" s="175" t="str">
        <x:v>64.012.744/0001-09</x:v>
      </x:c>
      <x:c r="B1118" s="166" t="str">
        <x:v>GUARDIAN FUTURO VI FUNDO DE INVESTIMENTO EM DIREITOS CREDITÓRIOS RESPONSABILIDADE LIMITADA</x:v>
      </x:c>
      <x:c r="C1118" s="188" t="n">
        <x:v>101013336.04</x:v>
      </x:c>
      <x:c r="D1118" s="166" t="str">
        <x:v>Guardian Crédito</x:v>
      </x:c>
      <x:c r="E1118" s="166" t="str">
        <x:f>IFERROR(INDEX('Classif Gestoras'!$H$6:$H$462,MATCH(D1118,'Classif Gestoras'!$A$6:$A$462,0)),"Não classificada")</x:f>
        <x:v>Independente</x:v>
      </x:c>
      <x:c r="F1118" s="166" t="str">
        <x:v>Oliveira Trust DTVM</x:v>
      </x:c>
      <x:c r="G1118" s="166" t="str">
        <x:v>OLIVEIRA TRUST DTVM S.A.</x:v>
      </x:c>
      <x:c r="H1118" s="166" t="str">
        <x:v>Financeiro</x:v>
      </x:c>
      <x:c r="I1118" s="166" t="str">
        <x:v>Crédito Consignado</x:v>
      </x:c>
      <x:c r="J1118" s="166" t="str">
        <x:v>CI</x:v>
      </x:c>
      <x:c r="K1118" s="172" t="n">
        <x:v>6</x:v>
      </x:c>
      <x:c r="L1118" s="185" t="str">
        <x:v>Não classificado</x:v>
      </x:c>
    </x:row>
    <x:row r="1119">
      <x:c r="A1119" s="175" t="str">
        <x:v>53.959.749/0001-27</x:v>
      </x:c>
      <x:c r="B1119" s="166" t="str">
        <x:v>GM FUNDO DE INVESTIMENTO EM DIREITOS CREDITÓRIOS DE RESPONSABILIDADE LIMITADA</x:v>
      </x:c>
      <x:c r="C1119" s="188" t="n">
        <x:v>101000631.13</x:v>
      </x:c>
      <x:c r="D1119" s="166" t="str">
        <x:v>Multinvest Capital</x:v>
      </x:c>
      <x:c r="E1119" s="166" t="str">
        <x:f>IFERROR(INDEX('Classif Gestoras'!$H$6:$H$462,MATCH(D1119,'Classif Gestoras'!$A$6:$A$462,0)),"Não classificada")</x:f>
        <x:v>Independente</x:v>
      </x:c>
      <x:c r="F1119" s="166" t="str">
        <x:v>BANCO DAYCOVAL S/A</x:v>
      </x:c>
      <x:c r="G1119" s="166" t="str">
        <x:v>BANCO DAYCOVAL S.A.</x:v>
      </x:c>
      <x:c r="H1119" s="166" t="str">
        <x:v>Outros</x:v>
      </x:c>
      <x:c r="I1119" s="166" t="str">
        <x:v>Multicarteira Outros</x:v>
      </x:c>
      <x:c r="J1119" s="166" t="str">
        <x:v>CI</x:v>
      </x:c>
      <x:c r="K1119" s="172" t="n">
        <x:v>5</x:v>
      </x:c>
      <x:c r="L1119" s="185" t="str">
        <x:v>Não classificado</x:v>
      </x:c>
    </x:row>
    <x:row r="1120">
      <x:c r="A1120" s="175" t="str">
        <x:v>56.973.257/0001-84</x:v>
      </x:c>
      <x:c r="B1120" s="166" t="str">
        <x:v>DOMUS OCTANTE I FUNDO DE INVESTIMENTO EM DIREITOS CREDITÓRIOS DE RESPONSABILIDADE LIMITADA</x:v>
      </x:c>
      <x:c r="C1120" s="188" t="n">
        <x:v>100762740.99</x:v>
      </x:c>
      <x:c r="D1120" s="166" t="str">
        <x:v>Octante Capital</x:v>
      </x:c>
      <x:c r="E1120" s="166" t="str">
        <x:f>IFERROR(INDEX('Classif Gestoras'!$H$6:$H$462,MATCH(D1120,'Classif Gestoras'!$A$6:$A$462,0)),"Não classificada")</x:f>
        <x:v>Independente</x:v>
      </x:c>
      <x:c r="F1120" s="166" t="str">
        <x:v>BANCO DAYCOVAL S/A</x:v>
      </x:c>
      <x:c r="G1120" s="166" t="str">
        <x:v>BANCO DAYCOVAL S.A.</x:v>
      </x:c>
      <x:c r="H1120" s="166" t="str">
        <x:v>Outros</x:v>
      </x:c>
      <x:c r="I1120" s="166" t="str">
        <x:v>Multicarteira Outros</x:v>
      </x:c>
      <x:c r="J1120" s="166" t="str">
        <x:v>CI</x:v>
      </x:c>
      <x:c r="K1120" s="172" t="n">
        <x:v>37</x:v>
      </x:c>
      <x:c r="L1120" s="185" t="str">
        <x:v>Não classificado</x:v>
      </x:c>
    </x:row>
    <x:row r="1121">
      <x:c r="A1121" s="175" t="str">
        <x:v>35.654.917/0001-94</x:v>
      </x:c>
      <x:c r="B1121" s="166" t="str">
        <x:v>MS OPEN FUNDO DE INVESTIMENTO EM DIREITOS CREDITÓRIOS</x:v>
      </x:c>
      <x:c r="C1121" s="188" t="n">
        <x:v>100652820.2</x:v>
      </x:c>
      <x:c r="D1121" s="166" t="str">
        <x:v>M8 Partners</x:v>
      </x:c>
      <x:c r="E1121" s="166" t="str">
        <x:f>IFERROR(INDEX('Classif Gestoras'!$H$6:$H$462,MATCH(D1121,'Classif Gestoras'!$A$6:$A$462,0)),"Não classificada")</x:f>
        <x:v>Independente</x:v>
      </x:c>
      <x:c r="F1121" s="166" t="str">
        <x:v>Singulare</x:v>
      </x:c>
      <x:c r="G1121" s="166" t="str">
        <x:v>QI CORRETORA DE TÍTULOS E VALORES MOBILIÁRIOS S.A.</x:v>
      </x:c>
      <x:c r="H1121" s="166" t="str">
        <x:v>Fomento Mercantil</x:v>
      </x:c>
      <x:c r="I1121" s="166" t="str">
        <x:v>Fomento Mercantil</x:v>
      </x:c>
      <x:c r="J1121" s="166" t="str">
        <x:v>CI</x:v>
      </x:c>
      <x:c r="K1121" s="172" t="n">
        <x:v>31</x:v>
      </x:c>
      <x:c r="L1121" s="185" t="str">
        <x:v>Não classificado</x:v>
      </x:c>
    </x:row>
    <x:row r="1122">
      <x:c r="A1122" s="175" t="str">
        <x:v>10.338.491/0001-39</x:v>
      </x:c>
      <x:c r="B1122" s="166" t="str">
        <x:v>BELLUNO PAGAMENTOS FUNDO DE INVESTIMENTO EM DIREITOS CREDITÓRIOS MULTISSETORIAL</x:v>
      </x:c>
      <x:c r="C1122" s="188" t="n">
        <x:v>100157547.34</x:v>
      </x:c>
      <x:c r="D1122" s="166" t="str">
        <x:v>OURO PRETO INVESTIMENTOS</x:v>
      </x:c>
      <x:c r="E1122" s="166" t="str">
        <x:f>IFERROR(INDEX('Classif Gestoras'!$H$6:$H$462,MATCH(D1122,'Classif Gestoras'!$A$6:$A$462,0)),"Não classificada")</x:f>
        <x:v>Independente</x:v>
      </x:c>
      <x:c r="F1122" s="166" t="str">
        <x:v>Singulare</x:v>
      </x:c>
      <x:c r="G1122" s="166" t="str">
        <x:v>QI CORRETORA DE TÍTULOS E VALORES MOBILIÁRIOS S.A.</x:v>
      </x:c>
      <x:c r="H1122" s="166" t="str">
        <x:v>Fomento Mercantil</x:v>
      </x:c>
      <x:c r="I1122" s="166" t="str">
        <x:v>Fomento Mercantil</x:v>
      </x:c>
      <x:c r="J1122" s="166" t="str">
        <x:v>CI</x:v>
      </x:c>
      <x:c r="K1122" s="172" t="n">
        <x:v>9</x:v>
      </x:c>
      <x:c r="L1122" s="185" t="str">
        <x:v>Não classificado</x:v>
      </x:c>
    </x:row>
    <x:row r="1123">
      <x:c r="A1123" s="175" t="str">
        <x:v>42.462.306/0001-00</x:v>
      </x:c>
      <x:c r="B1123" s="166" t="str">
        <x:v>IS GREEN SOLFÁCIL II FUNDO DE INVESTIMENTO EM DIREITOS CREDITÓRIOS DE RESPONSABILIDADE LIMITADA</x:v>
      </x:c>
      <x:c r="C1123" s="188" t="n">
        <x:v>100117341.4</x:v>
      </x:c>
      <x:c r="D1123" s="166" t="str">
        <x:v>ANGÁ ASSET MANAGEMENT</x:v>
      </x:c>
      <x:c r="E1123" s="166" t="str">
        <x:f>IFERROR(INDEX('Classif Gestoras'!$H$6:$H$462,MATCH(D1123,'Classif Gestoras'!$A$6:$A$462,0)),"Não classificada")</x:f>
        <x:v>Independente</x:v>
      </x:c>
      <x:c r="F1123" s="166" t="str">
        <x:v>Banco Genial S.A.</x:v>
      </x:c>
      <x:c r="G1123" s="166" t="str">
        <x:v>BANCO GENIAL S.A.</x:v>
      </x:c>
      <x:c r="H1123" s="166" t="str">
        <x:v>Financeiro</x:v>
      </x:c>
      <x:c r="I1123" s="166" t="str">
        <x:v>Crédito Pessoal</x:v>
      </x:c>
      <x:c r="J1123" s="166" t="str">
        <x:v>CI</x:v>
      </x:c>
      <x:c r="K1123" s="172" t="n">
        <x:v>31</x:v>
      </x:c>
      <x:c r="L1123" s="185" t="str">
        <x:v>Não classificado</x:v>
      </x:c>
    </x:row>
    <x:row r="1124">
      <x:c r="A1124" s="175" t="str">
        <x:v>61.289.587/0001-95</x:v>
      </x:c>
      <x:c r="B1124" s="166" t="str">
        <x:v>ITAÚ POOL FUNDO DE INVESTIMENTO EM DIREITOS CREDITÓRIOS RESPONSABILIDADE LIMITADA</x:v>
      </x:c>
      <x:c r="C1124" s="188" t="n">
        <x:v>100038100.68</x:v>
      </x:c>
      <x:c r="D1124" s="166" t="str">
        <x:v>ITAU ASSET</x:v>
      </x:c>
      <x:c r="E1124" s="166" t="str">
        <x:f>IFERROR(INDEX('Classif Gestoras'!$H$6:$H$462,MATCH(D1124,'Classif Gestoras'!$A$6:$A$462,0)),"Não classificada")</x:f>
        <x:v>Ligada a banco</x:v>
      </x:c>
      <x:c r="F1124" s="166" t="str">
        <x:v>INTRAG DIST. DE TÍTU</x:v>
      </x:c>
      <x:c r="G1124" s="166" t="str">
        <x:v>ITAU UNIBANCO S.A.</x:v>
      </x:c>
      <x:c r="H1124" s="166" t="str">
        <x:v>Outros</x:v>
      </x:c>
      <x:c r="I1124" s="166" t="str">
        <x:v>Multicarteira Outros</x:v>
      </x:c>
      <x:c r="J1124" s="166" t="str">
        <x:v>CI</x:v>
      </x:c>
      <x:c r="K1124" s="172" t="n">
        <x:v>1</x:v>
      </x:c>
      <x:c r="L1124" s="185" t="str">
        <x:v>Não classificado</x:v>
      </x:c>
    </x:row>
    <x:row r="1125">
      <x:c r="A1125" s="175" t="str">
        <x:v>13.776.087/0001-35</x:v>
      </x:c>
      <x:c r="B1125" s="166" t="str">
        <x:v>V4 FIDC NP - AÇÕES JUDICIAIS</x:v>
      </x:c>
      <x:c r="C1125" s="188" t="n">
        <x:v>100012465.85</x:v>
      </x:c>
      <x:c r="D1125" s="166" t="str">
        <x:v>Vision Brazil</x:v>
      </x:c>
      <x:c r="E1125" s="166" t="str">
        <x:f>IFERROR(INDEX('Classif Gestoras'!$H$6:$H$462,MATCH(D1125,'Classif Gestoras'!$A$6:$A$462,0)),"Não classificada")</x:f>
        <x:v>Independente</x:v>
      </x:c>
      <x:c r="F1125" s="166" t="str">
        <x:v>Singulare</x:v>
      </x:c>
      <x:c r="G1125" s="166" t="str">
        <x:v>QI CORRETORA DE TÍTULOS E VALORES MOBILIÁRIOS S.A.</x:v>
      </x:c>
      <x:c r="H1125" s="166" t="str">
        <x:v>Outros</x:v>
      </x:c>
      <x:c r="I1125" s="166" t="str">
        <x:v>Poder Público</x:v>
      </x:c>
      <x:c r="J1125" s="166" t="str">
        <x:v>CI</x:v>
      </x:c>
      <x:c r="K1125" s="172" t="n">
        <x:v>1</x:v>
      </x:c>
      <x:c r="L1125" s="185" t="str">
        <x:v>Não classificado</x:v>
      </x:c>
    </x:row>
    <x:row r="1126">
      <x:c r="A1126" s="175" t="str">
        <x:v>12.910.463/0001-70</x:v>
      </x:c>
      <x:c r="B1126" s="166" t="str">
        <x:v>CAPITAL RS NP FUNDO DE INVESTIMENTO EM DIREITOS CREDITÓRIOS NÃO PADRONIZADOS MULTISSETORIAL</x:v>
      </x:c>
      <x:c r="C1126" s="188" t="n">
        <x:v>100008339.59</x:v>
      </x:c>
      <x:c r="D1126" s="166" t="str">
        <x:v>TERCON ASSET MANAGEMENT</x:v>
      </x:c>
      <x:c r="E1126" s="166" t="str">
        <x:f>IFERROR(INDEX('Classif Gestoras'!$H$6:$H$462,MATCH(D1126,'Classif Gestoras'!$A$6:$A$462,0)),"Não classificada")</x:f>
        <x:v>Independente</x:v>
      </x:c>
      <x:c r="F1126" s="166" t="str">
        <x:v>Singulare</x:v>
      </x:c>
      <x:c r="G1126" s="166" t="str">
        <x:v>QI CORRETORA DE TÍTULOS E VALORES MOBILIÁRIOS S.A.</x:v>
      </x:c>
      <x:c r="H1126" s="166" t="str">
        <x:v>Fomento Mercantil</x:v>
      </x:c>
      <x:c r="I1126" s="166" t="str">
        <x:v>Fomento Mercantil</x:v>
      </x:c>
      <x:c r="J1126" s="166" t="str">
        <x:v>CI</x:v>
      </x:c>
      <x:c r="K1126" s="172" t="n">
        <x:v>1</x:v>
      </x:c>
      <x:c r="L1126" s="185" t="str">
        <x:v>Não classificado</x:v>
      </x:c>
    </x:row>
    <x:row r="1127">
      <x:c r="A1127" s="175" t="str">
        <x:v>37.298.599/0001-00</x:v>
      </x:c>
      <x:c r="B1127" s="166" t="str">
        <x:v>QUARTER PRECATÓRIOS FUNDO DE INVESTIMENTO EM DIREITOS CREDITÓRIOS NÃO PADRONIZADOS</x:v>
      </x:c>
      <x:c r="C1127" s="188" t="n">
        <x:v>99869662.01</x:v>
      </x:c>
      <x:c r="D1127" s="166" t="str">
        <x:v>BURITI INVESTIMENTOS</x:v>
      </x:c>
      <x:c r="E1127" s="166" t="str">
        <x:f>IFERROR(INDEX('Classif Gestoras'!$H$6:$H$462,MATCH(D1127,'Classif Gestoras'!$A$6:$A$462,0)),"Não classificada")</x:f>
        <x:v>Independente</x:v>
      </x:c>
      <x:c r="F1127" s="166" t="str">
        <x:v>Singulare</x:v>
      </x:c>
      <x:c r="G1127" s="166" t="str">
        <x:v>BARU DISTRIBUIDORA DE TÍTULOS E VALORES MOBILIÁRIOS LTDA.</x:v>
      </x:c>
      <x:c r="H1127" s="166" t="str">
        <x:v>Outros</x:v>
      </x:c>
      <x:c r="I1127" s="166" t="str">
        <x:v>Poder Público</x:v>
      </x:c>
      <x:c r="J1127" s="166" t="str">
        <x:v>CI</x:v>
      </x:c>
      <x:c r="K1127" s="172" t="n">
        <x:v>5</x:v>
      </x:c>
      <x:c r="L1127" s="185" t="str">
        <x:v>Não classificado</x:v>
      </x:c>
    </x:row>
    <x:row r="1128">
      <x:c r="A1128" s="175" t="str">
        <x:v>57.088.363/0001-48</x:v>
      </x:c>
      <x:c r="B1128" s="166" t="str">
        <x:v>NORTE SANEAMENTO FUNDO DE INVESTIMENTO EM DIREITOS CREDITÓRIOS DE RESPONSABILIDADE LIMITADA</x:v>
      </x:c>
      <x:c r="C1128" s="188" t="n">
        <x:v>99754096.25</x:v>
      </x:c>
      <x:c r="D1128" s="166" t="str">
        <x:v>Bocaina Capital</x:v>
      </x:c>
      <x:c r="E1128" s="166" t="str">
        <x:f>IFERROR(INDEX('Classif Gestoras'!$H$6:$H$462,MATCH(D1128,'Classif Gestoras'!$A$6:$A$462,0)),"Não classificada")</x:f>
        <x:v>Independente</x:v>
      </x:c>
      <x:c r="F1128" s="166" t="str">
        <x:v>BANCO DAYCOVAL S/A</x:v>
      </x:c>
      <x:c r="G1128" s="166" t="str">
        <x:v>BANCO DAYCOVAL S.A.</x:v>
      </x:c>
      <x:c r="H1128" s="166" t="str">
        <x:v>Outros</x:v>
      </x:c>
      <x:c r="I1128" s="166" t="str">
        <x:v>Multicarteira Outros</x:v>
      </x:c>
      <x:c r="J1128" s="166" t="str">
        <x:v>CI</x:v>
      </x:c>
      <x:c r="K1128" s="172" t="n">
        <x:v>18</x:v>
      </x:c>
      <x:c r="L1128" s="185" t="str">
        <x:v>Não classificado</x:v>
      </x:c>
    </x:row>
    <x:row r="1129">
      <x:c r="A1129" s="175" t="str">
        <x:v>57.661.848/0001-89</x:v>
      </x:c>
      <x:c r="B1129" s="166" t="str">
        <x:v>FUNDO DE INVESTIMENTO EM DIREITOS CREDITÓRIOS VJP CONSIGNADO - RESPONSABILIDADE LIMITADA</x:v>
      </x:c>
      <x:c r="C1129" s="188" t="n">
        <x:v>99557874.79</x:v>
      </x:c>
      <x:c r="D1129" s="166" t="str">
        <x:v>Vinci Gestora de Recursos LTDA</x:v>
      </x:c>
      <x:c r="E1129" s="166" t="str">
        <x:f>IFERROR(INDEX('Classif Gestoras'!$H$6:$H$462,MATCH(D1129,'Classif Gestoras'!$A$6:$A$462,0)),"Não classificada")</x:f>
        <x:v>Independente</x:v>
      </x:c>
      <x:c r="F1129" s="166" t="str">
        <x:v>Singulare</x:v>
      </x:c>
      <x:c r="G1129" s="166" t="str">
        <x:v>QI CORRETORA DE TÍTULOS E VALORES MOBILIÁRIOS S.A.</x:v>
      </x:c>
      <x:c r="H1129" s="166" t="str">
        <x:v>Financeiro</x:v>
      </x:c>
      <x:c r="I1129" s="166" t="str">
        <x:v>Crédito Consignado</x:v>
      </x:c>
      <x:c r="J1129" s="166" t="str">
        <x:v>CI</x:v>
      </x:c>
      <x:c r="K1129" s="172" t="n">
        <x:v>16</x:v>
      </x:c>
      <x:c r="L1129" s="185" t="str">
        <x:v>Não classificado</x:v>
      </x:c>
    </x:row>
    <x:row r="1130">
      <x:c r="A1130" s="175" t="str">
        <x:v>58.723.201/0001-05</x:v>
      </x:c>
      <x:c r="B1130" s="166" t="str">
        <x:v>MATTEH FUNDO DE INVESTIMENTO EM DIREITOS CREDITÓRIOS</x:v>
      </x:c>
      <x:c r="C1130" s="188" t="n">
        <x:v>99442688.03</x:v>
      </x:c>
      <x:c r="D1130" s="166" t="str">
        <x:v>H2 CAPITAL</x:v>
      </x:c>
      <x:c r="E1130" s="166" t="str">
        <x:f>IFERROR(INDEX('Classif Gestoras'!$H$6:$H$462,MATCH(D1130,'Classif Gestoras'!$A$6:$A$462,0)),"Não classificada")</x:f>
        <x:v>Independente</x:v>
      </x:c>
      <x:c r="F1130" s="166" t="str">
        <x:v>PLANNER CV</x:v>
      </x:c>
      <x:c r="G1130" s="166" t="str">
        <x:v>PLANNER CORRETORA DE VALORES S.A.</x:v>
      </x:c>
      <x:c r="H1130" s="166" t="str">
        <x:v>Outros</x:v>
      </x:c>
      <x:c r="I1130" s="166" t="str">
        <x:v>Multicarteira Outros</x:v>
      </x:c>
      <x:c r="J1130" s="166" t="str">
        <x:v>CI</x:v>
      </x:c>
      <x:c r="K1130" s="172" t="n">
        <x:v>2</x:v>
      </x:c>
      <x:c r="L1130" s="185" t="str">
        <x:v>Não classificado</x:v>
      </x:c>
    </x:row>
    <x:row r="1131">
      <x:c r="A1131" s="175" t="str">
        <x:v>27.984.265/0001-28</x:v>
      </x:c>
      <x:c r="B1131" s="166" t="str">
        <x:v>MUNDO FUNDO DE INVESTIMENTO EM DIREITOS CREDITÓRIOS NÃO PADRONIZADOS-RESPONSABILIDADE LIMITADA</x:v>
      </x:c>
      <x:c r="C1131" s="188" t="n">
        <x:v>99348985.62</x:v>
      </x:c>
      <x:c r="D1131" s="166" t="str">
        <x:v>EAGLE CAPITAL</x:v>
      </x:c>
      <x:c r="E1131" s="166" t="str">
        <x:f>IFERROR(INDEX('Classif Gestoras'!$H$6:$H$462,MATCH(D1131,'Classif Gestoras'!$A$6:$A$462,0)),"Não classificada")</x:f>
        <x:v>Independente</x:v>
      </x:c>
      <x:c r="F1131" s="166" t="str">
        <x:v>LASTRO RDV DIST. DE</x:v>
      </x:c>
      <x:c r="G1131" s="166" t="str">
        <x:v>LASTRO RDV DTVM LTDA</x:v>
      </x:c>
      <x:c r="H1131" s="166" t="str">
        <x:v>Outros</x:v>
      </x:c>
      <x:c r="I1131" s="166" t="str">
        <x:v>Multicarteira Outros</x:v>
      </x:c>
      <x:c r="J1131" s="166" t="str">
        <x:v>CI</x:v>
      </x:c>
      <x:c r="K1131" s="172" t="n">
        <x:v>1</x:v>
      </x:c>
      <x:c r="L1131" s="185" t="str">
        <x:v>Não classificado</x:v>
      </x:c>
    </x:row>
    <x:row r="1132">
      <x:c r="A1132" s="175" t="str">
        <x:v>59.818.474/0001-98</x:v>
      </x:c>
      <x:c r="B1132" s="166" t="str">
        <x:v>IGNIS FUNDO DE INVESTIMENTO EM DIREITOS CREDITÓRIOS DE RESPONSABILIDADE LIMITADA</x:v>
      </x:c>
      <x:c r="C1132" s="188" t="n">
        <x:v>99345412.98</x:v>
      </x:c>
      <x:c r="D1132" s="166" t="str">
        <x:v>RedAsset Gestão de Recursos Ltda.</x:v>
      </x:c>
      <x:c r="E1132" s="166" t="str">
        <x:f>IFERROR(INDEX('Classif Gestoras'!$H$6:$H$462,MATCH(D1132,'Classif Gestoras'!$A$6:$A$462,0)),"Não classificada")</x:f>
        <x:v>Independente</x:v>
      </x:c>
      <x:c r="F1132" s="166" t="str">
        <x:v>HEMERA DTVM</x:v>
      </x:c>
      <x:c r="G1132" s="166" t="str">
        <x:v>HEMERA DISTRIBUIDORA DE TITULOS E VALORES MOBILIARIOS LTDA</x:v>
      </x:c>
      <x:c r="H1132" s="166" t="str">
        <x:v>Agro, Indústria e Comércio</x:v>
      </x:c>
      <x:c r="I1132" s="166" t="str">
        <x:v>Recebíveis Comerciais</x:v>
      </x:c>
      <x:c r="J1132" s="166" t="str">
        <x:v>CI</x:v>
      </x:c>
      <x:c r="K1132" s="172" t="n">
        <x:v>1</x:v>
      </x:c>
      <x:c r="L1132" s="185" t="str">
        <x:v>Não classificado</x:v>
      </x:c>
    </x:row>
    <x:row r="1133">
      <x:c r="A1133" s="175" t="str">
        <x:v>50.706.970/0001-85</x:v>
      </x:c>
      <x:c r="B1133" s="166" t="str">
        <x:v>MONTBLANC FUNDO DE INVESTIMENTO EM DIREITOS CREDITÓRIOS</x:v>
      </x:c>
      <x:c r="C1133" s="188" t="n">
        <x:v>99170509.37</x:v>
      </x:c>
      <x:c r="D1133" s="166" t="str">
        <x:v>Renova Gestora</x:v>
      </x:c>
      <x:c r="E1133" s="166" t="str">
        <x:f>IFERROR(INDEX('Classif Gestoras'!$H$6:$H$462,MATCH(D1133,'Classif Gestoras'!$A$6:$A$462,0)),"Não classificada")</x:f>
        <x:v>Independente</x:v>
      </x:c>
      <x:c r="F1133" s="166" t="str">
        <x:v>MONETAR DISTRIBUIDORA DE TITUL</x:v>
      </x:c>
      <x:c r="G1133" s="166" t="str">
        <x:v>TERRA INVESTIMENTOS DISTRIBUIDORA DE TITULOS E VALORES MOBILIARIOS LTDA</x:v>
      </x:c>
      <x:c r="H1133" s="166" t="str">
        <x:v>Outros</x:v>
      </x:c>
      <x:c r="I1133" s="166" t="str">
        <x:v>Multicarteira Outros</x:v>
      </x:c>
      <x:c r="J1133" s="166" t="str">
        <x:v>CI</x:v>
      </x:c>
      <x:c r="K1133" s="172" t="n">
        <x:v>1</x:v>
      </x:c>
      <x:c r="L1133" s="185" t="str">
        <x:v>Não classificado</x:v>
      </x:c>
    </x:row>
    <x:row r="1134">
      <x:c r="A1134" s="175" t="str">
        <x:v>46.879.430/0001-26</x:v>
      </x:c>
      <x:c r="B1134" s="166" t="str">
        <x:v>MULTIPLIER FUNDO DE INVESTIMENTO EM DIREITOS CREDITÓRIOS NÃO-PADRONIZADO</x:v>
      </x:c>
      <x:c r="C1134" s="188" t="n">
        <x:v>99150821.3</x:v>
      </x:c>
      <x:c r="D1134" s="166" t="str">
        <x:v>ASAROCK ASSET MANAGEMENT</x:v>
      </x:c>
      <x:c r="E1134" s="166" t="str">
        <x:f>IFERROR(INDEX('Classif Gestoras'!$H$6:$H$462,MATCH(D1134,'Classif Gestoras'!$A$6:$A$462,0)),"Não classificada")</x:f>
        <x:v>Independente</x:v>
      </x:c>
      <x:c r="F1134" s="166" t="str">
        <x:v>ID Corretora de Títulos e Valores Mobiliários S.A.</x:v>
      </x:c>
      <x:c r="G1134" s="166" t="str">
        <x:v>ID CORRETORA DE TITULOS E VALORES MOBILIARIOS S.A.</x:v>
      </x:c>
      <x:c r="H1134" s="166" t="str">
        <x:v>Fomento Mercantil</x:v>
      </x:c>
      <x:c r="I1134" s="166" t="str">
        <x:v>Fomento Mercantil</x:v>
      </x:c>
      <x:c r="J1134" s="166" t="str">
        <x:v>CI</x:v>
      </x:c>
      <x:c r="K1134" s="172" t="n">
        <x:v>5</x:v>
      </x:c>
      <x:c r="L1134" s="185" t="str">
        <x:v>Não classificado</x:v>
      </x:c>
    </x:row>
    <x:row r="1135">
      <x:c r="A1135" s="175" t="str">
        <x:v>44.395.262/0001-78</x:v>
      </x:c>
      <x:c r="B1135" s="166" t="str">
        <x:v>SAN PRECA FEDERAL I FUNDO DE INVESTIMENTO EM DIREITOS CREDITÓRIOS - RESPONSABILIDADE LIMITADA</x:v>
      </x:c>
      <x:c r="C1135" s="188" t="n">
        <x:v>99038298.67</x:v>
      </x:c>
      <x:c r="D1135" s="166" t="str">
        <x:v>Algarve Capital</x:v>
      </x:c>
      <x:c r="E1135" s="166" t="str">
        <x:f>IFERROR(INDEX('Classif Gestoras'!$H$6:$H$462,MATCH(D1135,'Classif Gestoras'!$A$6:$A$462,0)),"Não classificada")</x:f>
        <x:v>Independente</x:v>
      </x:c>
      <x:c r="F1135" s="166" t="str">
        <x:v>MAF Distribuidora de Títulos e Valores Mobiliários S.A.</x:v>
      </x:c>
      <x:c r="G1135" s="166" t="str">
        <x:v>MAF DISTRIBUIDORA DE TITULOS E VALORES MOBILIARIOS S.A.</x:v>
      </x:c>
      <x:c r="H1135" s="166" t="str">
        <x:v>Outros</x:v>
      </x:c>
      <x:c r="I1135" s="166" t="str">
        <x:v>Multicarteira Outros</x:v>
      </x:c>
      <x:c r="J1135" s="166" t="str">
        <x:v>CI</x:v>
      </x:c>
      <x:c r="K1135" s="172" t="n">
        <x:v>2</x:v>
      </x:c>
      <x:c r="L1135" s="185" t="str">
        <x:v>Não classificado</x:v>
      </x:c>
    </x:row>
    <x:row r="1136">
      <x:c r="A1136" s="175" t="str">
        <x:v>53.121.758/0001-44</x:v>
      </x:c>
      <x:c r="B1136" s="166" t="str">
        <x:v>FUNDO DE INVESTIMENTO EM DIREITOS CREDITÓRIOS PRATA DIGITAL II RESPONSABILIDADE LIMITADA</x:v>
      </x:c>
      <x:c r="C1136" s="188" t="n">
        <x:v>99017450.94</x:v>
      </x:c>
      <x:c r="D1136" s="166" t="str">
        <x:v>QI GESTAO DE RECURSOS LTDA</x:v>
      </x:c>
      <x:c r="E1136" s="166" t="str">
        <x:f>IFERROR(INDEX('Classif Gestoras'!$H$6:$H$462,MATCH(D1136,'Classif Gestoras'!$A$6:$A$462,0)),"Não classificada")</x:f>
        <x:v>Independente</x:v>
      </x:c>
      <x:c r="F1136" s="166" t="str">
        <x:v>QI DISTRIBUIDORA DE TITULOS E VALORES MOBILIARIOS LTDA</x:v>
      </x:c>
      <x:c r="G1136" s="166" t="str">
        <x:v>LASTRO RDV DTVM LTDA</x:v>
      </x:c>
      <x:c r="H1136" s="166" t="str">
        <x:v>Financeiro</x:v>
      </x:c>
      <x:c r="I1136" s="166" t="str">
        <x:v>Crédito Pessoal</x:v>
      </x:c>
      <x:c r="J1136" s="166" t="str">
        <x:v>CI</x:v>
      </x:c>
      <x:c r="K1136" s="172" t="n">
        <x:v>3</x:v>
      </x:c>
      <x:c r="L1136" s="185" t="str">
        <x:v>Não classificado</x:v>
      </x:c>
    </x:row>
    <x:row r="1137">
      <x:c r="A1137" s="175" t="str">
        <x:v>32.969.565/0001-78</x:v>
      </x:c>
      <x:c r="B1137" s="166" t="str">
        <x:v>SANTIAGO HOME EQUITY FUNDO DE INVESTIMENTO EM DIREITOS CREDITÓRIOS</x:v>
      </x:c>
      <x:c r="C1137" s="188" t="n">
        <x:v>99012281.42</x:v>
      </x:c>
      <x:c r="D1137" s="166" t="str">
        <x:v>Galápagos</x:v>
      </x:c>
      <x:c r="E1137" s="166" t="str">
        <x:f>IFERROR(INDEX('Classif Gestoras'!$H$6:$H$462,MATCH(D1137,'Classif Gestoras'!$A$6:$A$462,0)),"Não classificada")</x:f>
        <x:v>Independente</x:v>
      </x:c>
      <x:c r="F1137" s="166" t="str">
        <x:v>Singulare</x:v>
      </x:c>
      <x:c r="G1137" s="166" t="str">
        <x:v>QI CORRETORA DE TÍTULOS E VALORES MOBILIÁRIOS S.A.</x:v>
      </x:c>
      <x:c r="H1137" s="166" t="str">
        <x:v>Outros</x:v>
      </x:c>
      <x:c r="I1137" s="166" t="str">
        <x:v>Multicarteira Outros</x:v>
      </x:c>
      <x:c r="J1137" s="166" t="str">
        <x:v>CI</x:v>
      </x:c>
      <x:c r="K1137" s="172" t="n">
        <x:v>20</x:v>
      </x:c>
      <x:c r="L1137" s="185" t="str">
        <x:v>Não classificado</x:v>
      </x:c>
    </x:row>
    <x:row r="1138">
      <x:c r="A1138" s="175" t="str">
        <x:v>63.630.763/0001-36</x:v>
      </x:c>
      <x:c r="B1138" s="166" t="str">
        <x:v>GRUPO WINE FUNDO DE INVESTIMENTO EM DIREITOS CREDITÓRIOS RECEBÍVEIS COMERCIAIS DE RESP LIMITADA</x:v>
      </x:c>
      <x:c r="C1138" s="188" t="n">
        <x:v>99008681.06</x:v>
      </x:c>
      <x:c r="D1138" s="166" t="str">
        <x:v>VERT Gestora de Recursos Financeiros Ltda.</x:v>
      </x:c>
      <x:c r="E1138" s="166" t="str">
        <x:f>IFERROR(INDEX('Classif Gestoras'!$H$6:$H$462,MATCH(D1138,'Classif Gestoras'!$A$6:$A$462,0)),"Não classificada")</x:f>
        <x:v>Independente</x:v>
      </x:c>
      <x:c r="F1138" s="166" t="str">
        <x:v>VERT Distribuidora de Títulos e Valores Mobiliários Ltd</x:v>
      </x:c>
      <x:c r="G1138" s="166" t="str">
        <x:v>VERT DISTRIBUIDORA DE TÍTULOS E VALORES MOBILIÁRIOS LTDA.</x:v>
      </x:c>
      <x:c r="H1138" s="166" t="str">
        <x:v>Agro, Indústria e Comércio</x:v>
      </x:c>
      <x:c r="I1138" s="166" t="str">
        <x:v>Recebíveis Comerciais</x:v>
      </x:c>
      <x:c r="J1138" s="166" t="str">
        <x:v>CI</x:v>
      </x:c>
      <x:c r="K1138" s="172" t="n">
        <x:v>3</x:v>
      </x:c>
      <x:c r="L1138" s="185" t="str">
        <x:v>Não classificado</x:v>
      </x:c>
    </x:row>
    <x:row r="1139">
      <x:c r="A1139" s="175" t="str">
        <x:v>56.125.110/0001-34</x:v>
      </x:c>
      <x:c r="B1139" s="166" t="str">
        <x:v>FUNDO DE INVESTIMENTO EM DIREITOS CREDITÓRIOS NXCO - RESPONSABILIDADE LIMITADA</x:v>
      </x:c>
      <x:c r="C1139" s="188" t="n">
        <x:v>98925586.78</x:v>
      </x:c>
      <x:c r="D1139" s="166" t="str">
        <x:v>Nexa</x:v>
      </x:c>
      <x:c r="E1139" s="166" t="str">
        <x:f>IFERROR(INDEX('Classif Gestoras'!$H$6:$H$462,MATCH(D1139,'Classif Gestoras'!$A$6:$A$462,0)),"Não classificada")</x:f>
        <x:v>Independente</x:v>
      </x:c>
      <x:c r="F1139" s="166" t="str">
        <x:v>BANCO DAYCOVAL S/A</x:v>
      </x:c>
      <x:c r="G1139" s="166" t="str">
        <x:v>BANCO DAYCOVAL S.A.</x:v>
      </x:c>
      <x:c r="H1139" s="166" t="str">
        <x:v>Outros</x:v>
      </x:c>
      <x:c r="I1139" s="166" t="str">
        <x:v>Multicarteira Outros</x:v>
      </x:c>
      <x:c r="J1139" s="166" t="str">
        <x:v>CI</x:v>
      </x:c>
      <x:c r="K1139" s="172" t="n">
        <x:v>82</x:v>
      </x:c>
      <x:c r="L1139" s="185" t="str">
        <x:v>Não classificado</x:v>
      </x:c>
    </x:row>
    <x:row r="1140">
      <x:c r="A1140" s="175" t="str">
        <x:v>11.203.571/0001-40</x:v>
      </x:c>
      <x:c r="B1140" s="166" t="str">
        <x:v>CRESCER FUNDO DE INVESTIMENTO EM DIREITOS CREDITÓRIOS MULTISEGMENTOS</x:v>
      </x:c>
      <x:c r="C1140" s="188" t="n">
        <x:v>98767483.62</x:v>
      </x:c>
      <x:c r="D1140" s="166" t="str">
        <x:v>Petra Capital</x:v>
      </x:c>
      <x:c r="E1140" s="166" t="str">
        <x:f>IFERROR(INDEX('Classif Gestoras'!$H$6:$H$462,MATCH(D1140,'Classif Gestoras'!$A$6:$A$462,0)),"Não classificada")</x:f>
        <x:v>Independente</x:v>
      </x:c>
      <x:c r="F1140" s="166" t="str">
        <x:v>Banco Finaxis S.A.</x:v>
      </x:c>
      <x:c r="G1140" s="166" t="str">
        <x:v>BANCO FINAXIS S.A.</x:v>
      </x:c>
      <x:c r="H1140" s="166" t="str">
        <x:v>Fomento Mercantil</x:v>
      </x:c>
      <x:c r="I1140" s="166" t="str">
        <x:v>Fomento Mercantil</x:v>
      </x:c>
      <x:c r="J1140" s="166" t="str">
        <x:v>CI</x:v>
      </x:c>
      <x:c r="K1140" s="172" t="n">
        <x:v>5</x:v>
      </x:c>
      <x:c r="L1140" s="185" t="str">
        <x:v>Não classificado</x:v>
      </x:c>
    </x:row>
    <x:row r="1141">
      <x:c r="A1141" s="175" t="str">
        <x:v>09.057.948/0001-58</x:v>
      </x:c>
      <x:c r="B1141" s="166" t="str">
        <x:v>FIDC MULTISETORIAL EXICON I</x:v>
      </x:c>
      <x:c r="C1141" s="188" t="n">
        <x:v>98629616.23</x:v>
      </x:c>
      <x:c r="D1141" s="166" t="str">
        <x:v>TERCON ASSET MANAGEMENT</x:v>
      </x:c>
      <x:c r="E1141" s="166" t="str">
        <x:f>IFERROR(INDEX('Classif Gestoras'!$H$6:$H$462,MATCH(D1141,'Classif Gestoras'!$A$6:$A$462,0)),"Não classificada")</x:f>
        <x:v>Independente</x:v>
      </x:c>
      <x:c r="F1141" s="166" t="str">
        <x:v>Singulare</x:v>
      </x:c>
      <x:c r="G1141" s="166" t="str">
        <x:v>QI CORRETORA DE TÍTULOS E VALORES MOBILIÁRIOS S.A.</x:v>
      </x:c>
      <x:c r="H1141" s="166" t="str">
        <x:v>Fomento Mercantil</x:v>
      </x:c>
      <x:c r="I1141" s="166" t="str">
        <x:v>Fomento Mercantil</x:v>
      </x:c>
      <x:c r="J1141" s="166" t="str">
        <x:v>CI</x:v>
      </x:c>
      <x:c r="K1141" s="172" t="n">
        <x:v>18</x:v>
      </x:c>
      <x:c r="L1141" s="185" t="str">
        <x:v>Não classificado</x:v>
      </x:c>
    </x:row>
    <x:row r="1142">
      <x:c r="A1142" s="175" t="str">
        <x:v>63.849.932/0001-23</x:v>
      </x:c>
      <x:c r="B1142" s="166" t="str">
        <x:v>GALAPAGOS ATLAS FUNDO DE INVESTIMENTO EM DIREITOS CREDITÓRIOS - RESPONSABILIDADE LIMITADA</x:v>
      </x:c>
      <x:c r="C1142" s="188" t="n">
        <x:v>98525719.58</x:v>
      </x:c>
      <x:c r="D1142" s="166" t="str">
        <x:v>Galápagos</x:v>
      </x:c>
      <x:c r="E1142" s="166" t="str">
        <x:f>IFERROR(INDEX('Classif Gestoras'!$H$6:$H$462,MATCH(D1142,'Classif Gestoras'!$A$6:$A$462,0)),"Não classificada")</x:f>
        <x:v>Independente</x:v>
      </x:c>
      <x:c r="F1142" s="166" t="str">
        <x:v>VÓRTX DTVM</x:v>
      </x:c>
      <x:c r="G1142" s="166" t="str">
        <x:v>VORTX DISTRIBUIDORA DE TITULOS E VALORES MOBILIARIOS LTDA.</x:v>
      </x:c>
      <x:c r="H1142" s="166" t="str">
        <x:v>Financeiro</x:v>
      </x:c>
      <x:c r="I1142" s="166" t="str">
        <x:v>Crédito Consignado</x:v>
      </x:c>
      <x:c r="J1142" s="166" t="str">
        <x:v>CI</x:v>
      </x:c>
      <x:c r="K1142" s="172" t="n">
        <x:v>1132</x:v>
      </x:c>
      <x:c r="L1142" s="185" t="str">
        <x:v>Não classificado</x:v>
      </x:c>
    </x:row>
    <x:row r="1143">
      <x:c r="A1143" s="175" t="str">
        <x:v>59.510.243/0001-12</x:v>
      </x:c>
      <x:c r="B1143" s="166" t="str">
        <x:v>ADEMICON FUNDO DE INVESTIMENTO EM DIREITOS CREDITÓRIOS</x:v>
      </x:c>
      <x:c r="C1143" s="188" t="n">
        <x:v>98479266.2</x:v>
      </x:c>
      <x:c r="D1143" s="166" t="str">
        <x:v>GENIAL GESTÃO LTDA.</x:v>
      </x:c>
      <x:c r="E1143" s="166" t="str">
        <x:f>IFERROR(INDEX('Classif Gestoras'!$H$6:$H$462,MATCH(D1143,'Classif Gestoras'!$A$6:$A$462,0)),"Não classificada")</x:f>
        <x:v>Ligada a banco</x:v>
      </x:c>
      <x:c r="F1143" s="166" t="str">
        <x:v>Genial Investimentos Corretora de Valores Mobiliários S.A.</x:v>
      </x:c>
      <x:c r="G1143" s="166" t="str">
        <x:v>BANCO GENIAL S.A.</x:v>
      </x:c>
      <x:c r="H1143" s="166" t="str">
        <x:v>Agro, Indústria e Comércio</x:v>
      </x:c>
      <x:c r="I1143" s="166" t="str">
        <x:v>Recebíveis Comerciais</x:v>
      </x:c>
      <x:c r="J1143" s="166" t="str">
        <x:v>CI</x:v>
      </x:c>
      <x:c r="K1143" s="172" t="n">
        <x:v>13</x:v>
      </x:c>
      <x:c r="L1143" s="185" t="str">
        <x:v>Não classificado</x:v>
      </x:c>
    </x:row>
    <x:row r="1144">
      <x:c r="A1144" s="175" t="str">
        <x:v>17.031.327/0001-23</x:v>
      </x:c>
      <x:c r="B1144" s="166" t="str">
        <x:v>BRASFOR CONSOLIDADOR FUNDO DE INVESTIMENTO EM DIREITOS CREDITÓRIOS MULTISEGMENTOS</x:v>
      </x:c>
      <x:c r="C1144" s="188" t="n">
        <x:v>98324725.69</x:v>
      </x:c>
      <x:c r="D1144" s="166" t="str">
        <x:v>BRASFOR CAPITAL</x:v>
      </x:c>
      <x:c r="E1144" s="166" t="str">
        <x:f>IFERROR(INDEX('Classif Gestoras'!$H$6:$H$462,MATCH(D1144,'Classif Gestoras'!$A$6:$A$462,0)),"Não classificada")</x:f>
        <x:v>Independente</x:v>
      </x:c>
      <x:c r="F1144" s="166" t="str">
        <x:v>Banco Finaxis S.A.</x:v>
      </x:c>
      <x:c r="G1144" s="166" t="str">
        <x:v>BANCO FINAXIS S.A.</x:v>
      </x:c>
      <x:c r="H1144" s="166" t="str">
        <x:v>Outros</x:v>
      </x:c>
      <x:c r="I1144" s="166" t="str">
        <x:v>Multicarteira Outros</x:v>
      </x:c>
      <x:c r="J1144" s="166" t="str">
        <x:v>CI</x:v>
      </x:c>
      <x:c r="K1144" s="172" t="n">
        <x:v>7</x:v>
      </x:c>
      <x:c r="L1144" s="185" t="str">
        <x:v>Não classificado</x:v>
      </x:c>
    </x:row>
    <x:row r="1145">
      <x:c r="A1145" s="175" t="str">
        <x:v>62.169.240/0001-71</x:v>
      </x:c>
      <x:c r="B1145" s="166" t="str">
        <x:v>BNVT ORIGEM FUNDO DE INVESTIMENTO EM DIREITOS CREDITÓRIOS RESPONSABILIDADE LIMITADA</x:v>
      </x:c>
      <x:c r="C1145" s="188" t="n">
        <x:v>98253669.6</x:v>
      </x:c>
      <x:c r="D1145" s="166" t="str">
        <x:v>BENAVENT ASSET LTDA</x:v>
      </x:c>
      <x:c r="E1145" s="166" t="str">
        <x:f>IFERROR(INDEX('Classif Gestoras'!$H$6:$H$462,MATCH(D1145,'Classif Gestoras'!$A$6:$A$462,0)),"Não classificada")</x:f>
        <x:v>Independente</x:v>
      </x:c>
      <x:c r="F1145" s="166" t="str">
        <x:v>PLANNER CV</x:v>
      </x:c>
      <x:c r="G1145" s="166" t="str">
        <x:v>PLANNER CORRETORA DE VALORES S.A.</x:v>
      </x:c>
      <x:c r="H1145" s="166" t="str">
        <x:v>Outros</x:v>
      </x:c>
      <x:c r="I1145" s="166" t="str">
        <x:v>Multicarteira Outros</x:v>
      </x:c>
      <x:c r="J1145" s="166" t="str">
        <x:v>CI</x:v>
      </x:c>
      <x:c r="K1145" s="172" t="n">
        <x:v>15</x:v>
      </x:c>
      <x:c r="L1145" s="185" t="str">
        <x:v>Não classificado</x:v>
      </x:c>
    </x:row>
    <x:row r="1146">
      <x:c r="A1146" s="175" t="str">
        <x:v>46.073.195/0001-09</x:v>
      </x:c>
      <x:c r="B1146" s="166" t="str">
        <x:v>FUNDO DE INVESTIMENTO EM DIREITOS CREDITÓRIOS AGRO CITI-SYNGENTA RESPONSABILIDADE LIMITADA</x:v>
      </x:c>
      <x:c r="C1146" s="188" t="n">
        <x:v>97439268.93</x:v>
      </x:c>
      <x:c r="D1146" s="166" t="str">
        <x:v>Integral Investimentos</x:v>
      </x:c>
      <x:c r="E1146" s="166" t="str">
        <x:f>IFERROR(INDEX('Classif Gestoras'!$H$6:$H$462,MATCH(D1146,'Classif Gestoras'!$A$6:$A$462,0)),"Não classificada")</x:f>
        <x:v>Independente</x:v>
      </x:c>
      <x:c r="F1146" s="166" t="str">
        <x:v>VÓRTX DTVM</x:v>
      </x:c>
      <x:c r="G1146" s="166" t="str">
        <x:v>VORTX DISTRIBUIDORA DE TITULOS E VALORES MOBILIARIOS LTDA.</x:v>
      </x:c>
      <x:c r="H1146" s="166" t="str">
        <x:v>Agro, Indústria e Comércio</x:v>
      </x:c>
      <x:c r="I1146" s="166" t="str">
        <x:v>Agronegócio</x:v>
      </x:c>
      <x:c r="J1146" s="166" t="str">
        <x:v>CI</x:v>
      </x:c>
      <x:c r="K1146" s="172" t="n">
        <x:v>5</x:v>
      </x:c>
      <x:c r="L1146" s="185" t="str">
        <x:v>Não classificado</x:v>
      </x:c>
    </x:row>
    <x:row r="1147">
      <x:c r="A1147" s="175" t="str">
        <x:v>56.844.622/0001-50</x:v>
      </x:c>
      <x:c r="B1147" s="166" t="str">
        <x:v>TITANIUM FUNDO DE INVESTIMENTO EM DIREITOS CREDITÓRIOS - RESPONSABILIDADE LIMITADA</x:v>
      </x:c>
      <x:c r="C1147" s="188" t="n">
        <x:v>97437318.46</x:v>
      </x:c>
      <x:c r="D1147" s="166" t="str">
        <x:v>Solis</x:v>
      </x:c>
      <x:c r="E1147" s="166" t="str">
        <x:f>IFERROR(INDEX('Classif Gestoras'!$H$6:$H$462,MATCH(D1147,'Classif Gestoras'!$A$6:$A$462,0)),"Não classificada")</x:f>
        <x:v>Independente</x:v>
      </x:c>
      <x:c r="F1147" s="166" t="str">
        <x:v>HEMERA DTVM</x:v>
      </x:c>
      <x:c r="G1147" s="166" t="str">
        <x:v>HEMERA DISTRIBUIDORA DE TITULOS E VALORES MOBILIARIOS LTDA</x:v>
      </x:c>
      <x:c r="H1147" s="166" t="str">
        <x:v>Outros</x:v>
      </x:c>
      <x:c r="I1147" s="166" t="str">
        <x:v>Multicarteira Outros</x:v>
      </x:c>
      <x:c r="J1147" s="166" t="str">
        <x:v>CI</x:v>
      </x:c>
      <x:c r="K1147" s="172" t="n">
        <x:v>56</x:v>
      </x:c>
      <x:c r="L1147" s="185" t="str">
        <x:v>Não classificado</x:v>
      </x:c>
    </x:row>
    <x:row r="1148">
      <x:c r="A1148" s="175" t="str">
        <x:v>27.217.664/0001-63</x:v>
      </x:c>
      <x:c r="B1148" s="166" t="str">
        <x:v>JPI FUNDO DE INVESTIMENTO EM DIREITOS CREDITÓRIOS</x:v>
      </x:c>
      <x:c r="C1148" s="188" t="n">
        <x:v>97270888.7</x:v>
      </x:c>
      <x:c r="D1148" s="166" t="str">
        <x:v>TERCON ASSET MANAGEMENT</x:v>
      </x:c>
      <x:c r="E1148" s="166" t="str">
        <x:f>IFERROR(INDEX('Classif Gestoras'!$H$6:$H$462,MATCH(D1148,'Classif Gestoras'!$A$6:$A$462,0)),"Não classificada")</x:f>
        <x:v>Independente</x:v>
      </x:c>
      <x:c r="F1148" s="166" t="str">
        <x:v>Singulare</x:v>
      </x:c>
      <x:c r="G1148" s="166" t="str">
        <x:v>QI CORRETORA DE TÍTULOS E VALORES MOBILIÁRIOS S.A.</x:v>
      </x:c>
      <x:c r="H1148" s="166" t="str">
        <x:v>Fomento Mercantil</x:v>
      </x:c>
      <x:c r="I1148" s="166" t="str">
        <x:v>Fomento Mercantil</x:v>
      </x:c>
      <x:c r="J1148" s="166" t="str">
        <x:v>CI</x:v>
      </x:c>
      <x:c r="K1148" s="172" t="n">
        <x:v>24</x:v>
      </x:c>
      <x:c r="L1148" s="185" t="str">
        <x:v>Não classificado</x:v>
      </x:c>
    </x:row>
    <x:row r="1149">
      <x:c r="A1149" s="175" t="str">
        <x:v>41.195.699/0001-70</x:v>
      </x:c>
      <x:c r="B1149" s="166" t="str">
        <x:v>MILENIO WAREHOUSE FUNDO DE INVESTIMENTO EM DIREITOS CREDITÓRIOS</x:v>
      </x:c>
      <x:c r="C1149" s="188" t="n">
        <x:v>97175834.81</x:v>
      </x:c>
      <x:c r="D1149" s="166" t="str">
        <x:v>Milênio Capital</x:v>
      </x:c>
      <x:c r="E1149" s="166" t="str">
        <x:f>IFERROR(INDEX('Classif Gestoras'!$H$6:$H$462,MATCH(D1149,'Classif Gestoras'!$A$6:$A$462,0)),"Não classificada")</x:f>
        <x:v>Independente</x:v>
      </x:c>
      <x:c r="F1149" s="166" t="str">
        <x:v>Singulare</x:v>
      </x:c>
      <x:c r="G1149" s="166" t="str">
        <x:v>QI CORRETORA DE TÍTULOS E VALORES MOBILIÁRIOS S.A.</x:v>
      </x:c>
      <x:c r="H1149" s="166" t="str">
        <x:v>Outros</x:v>
      </x:c>
      <x:c r="I1149" s="166" t="str">
        <x:v>Multicarteira Outros</x:v>
      </x:c>
      <x:c r="J1149" s="166" t="str">
        <x:v>CI</x:v>
      </x:c>
      <x:c r="K1149" s="172" t="n">
        <x:v>8</x:v>
      </x:c>
      <x:c r="L1149" s="185" t="str">
        <x:v>Não classificado</x:v>
      </x:c>
    </x:row>
    <x:row r="1150">
      <x:c r="A1150" s="175" t="str">
        <x:v>63.034.209/0001-96</x:v>
      </x:c>
      <x:c r="B1150" s="166" t="str">
        <x:v>OCEANO II FUNDO DE INVESTIMENTO EM DIREITOS CREDITÓRIOS</x:v>
      </x:c>
      <x:c r="C1150" s="188" t="n">
        <x:v>96923013.74</x:v>
      </x:c>
      <x:c r="D1150" s="166" t="str">
        <x:v>ROOT CAPITAL</x:v>
      </x:c>
      <x:c r="E1150" s="166" t="str">
        <x:f>IFERROR(INDEX('Classif Gestoras'!$H$6:$H$462,MATCH(D1150,'Classif Gestoras'!$A$6:$A$462,0)),"Não classificada")</x:f>
        <x:v>Independente</x:v>
      </x:c>
      <x:c r="F1150" s="166" t="str">
        <x:v>Singulare</x:v>
      </x:c>
      <x:c r="G1150" s="166" t="str">
        <x:v>QI CORRETORA DE TÍTULOS E VALORES MOBILIÁRIOS S.A.</x:v>
      </x:c>
      <x:c r="H1150" s="166" t="str">
        <x:v>Outros</x:v>
      </x:c>
      <x:c r="I1150" s="166" t="str">
        <x:v>Poder Público</x:v>
      </x:c>
      <x:c r="J1150" s="166" t="str">
        <x:v>CI</x:v>
      </x:c>
      <x:c r="K1150" s="172" t="n">
        <x:v>7</x:v>
      </x:c>
      <x:c r="L1150" s="185" t="str">
        <x:v>Não classificado</x:v>
      </x:c>
    </x:row>
    <x:row r="1151">
      <x:c r="A1151" s="175" t="str">
        <x:v>49.113.994/0001-41</x:v>
      </x:c>
      <x:c r="B1151" s="166" t="str">
        <x:v>FUNDO DE INVESTIMENTO EM DIREITOS CREDITÓRIOS CAP - RESPONSABILIDADE LIMITADA</x:v>
      </x:c>
      <x:c r="C1151" s="188" t="n">
        <x:v>96608683.23</x:v>
      </x:c>
      <x:c r="D1151" s="166" t="str">
        <x:v>VERT Gestora de Recursos Financeiros Ltda.</x:v>
      </x:c>
      <x:c r="E1151" s="166" t="str">
        <x:f>IFERROR(INDEX('Classif Gestoras'!$H$6:$H$462,MATCH(D1151,'Classif Gestoras'!$A$6:$A$462,0)),"Não classificada")</x:f>
        <x:v>Independente</x:v>
      </x:c>
      <x:c r="F1151" s="166" t="str">
        <x:v>Oliveira Trust DTVM</x:v>
      </x:c>
      <x:c r="G1151" s="166" t="str">
        <x:v>OLIVEIRA TRUST DTVM S.A.</x:v>
      </x:c>
      <x:c r="H1151" s="166" t="str">
        <x:v>Financeiro</x:v>
      </x:c>
      <x:c r="I1151" s="166" t="str">
        <x:v>Crédito Pessoal</x:v>
      </x:c>
      <x:c r="J1151" s="166" t="str">
        <x:v>CI</x:v>
      </x:c>
      <x:c r="K1151" s="172" t="n">
        <x:v>70</x:v>
      </x:c>
      <x:c r="L1151" s="185" t="str">
        <x:v>Não classificado</x:v>
      </x:c>
    </x:row>
    <x:row r="1152">
      <x:c r="A1152" s="175" t="str">
        <x:v>28.796.986/0001-77</x:v>
      </x:c>
      <x:c r="B1152" s="166" t="str">
        <x:v>KINERET FUNDO DE INVESTIMENTO EM DIREITOS CREDITÓRIOS</x:v>
      </x:c>
      <x:c r="C1152" s="188" t="n">
        <x:v>96603274.35</x:v>
      </x:c>
      <x:c r="D1152" s="166" t="str">
        <x:v>Golden Asset Gestora de Recursos</x:v>
      </x:c>
      <x:c r="E1152" s="166" t="str">
        <x:f>IFERROR(INDEX('Classif Gestoras'!$H$6:$H$462,MATCH(D1152,'Classif Gestoras'!$A$6:$A$462,0)),"Não classificada")</x:f>
        <x:v>Independente</x:v>
      </x:c>
      <x:c r="F1152" s="166" t="str">
        <x:v>ID Corretora de Títulos e Valores Mobiliários S.A.</x:v>
      </x:c>
      <x:c r="G1152" s="166" t="str">
        <x:v>ID CORRETORA DE TITULOS E VALORES MOBILIARIOS S.A.</x:v>
      </x:c>
      <x:c r="H1152" s="166" t="str">
        <x:v>Outros</x:v>
      </x:c>
      <x:c r="I1152" s="166" t="str">
        <x:v>Multicarteira Outros</x:v>
      </x:c>
      <x:c r="J1152" s="166" t="str">
        <x:v>CI</x:v>
      </x:c>
      <x:c r="K1152" s="172" t="n">
        <x:v>3</x:v>
      </x:c>
      <x:c r="L1152" s="185" t="str">
        <x:v>Não classificado</x:v>
      </x:c>
    </x:row>
    <x:row r="1153">
      <x:c r="A1153" s="175" t="str">
        <x:v>53.465.254/0001-41</x:v>
      </x:c>
      <x:c r="B1153" s="166" t="str">
        <x:v>CORAM DEO FUNDO DE INVESTIMENTO EM DIREITOS CREDITÓRIOS RESPONSABILIDADE LIMITADA</x:v>
      </x:c>
      <x:c r="C1153" s="188" t="n">
        <x:v>96511607.2</x:v>
      </x:c>
      <x:c r="D1153" s="166" t="str">
        <x:v>Renova Gestora</x:v>
      </x:c>
      <x:c r="E1153" s="166" t="str">
        <x:f>IFERROR(INDEX('Classif Gestoras'!$H$6:$H$462,MATCH(D1153,'Classif Gestoras'!$A$6:$A$462,0)),"Não classificada")</x:f>
        <x:v>Independente</x:v>
      </x:c>
      <x:c r="F1153" s="166" t="str">
        <x:v>MONETAR DISTRIBUIDORA DE TITUL</x:v>
      </x:c>
      <x:c r="G1153" s="166" t="str">
        <x:v>TERRA INVESTIMENTOS DISTRIBUIDORA DE TITULOS E VALORES MOBILIARIOS LTDA</x:v>
      </x:c>
      <x:c r="H1153" s="166" t="str">
        <x:v>Outros</x:v>
      </x:c>
      <x:c r="I1153" s="166" t="str">
        <x:v>Multicarteira Outros</x:v>
      </x:c>
      <x:c r="J1153" s="166" t="str">
        <x:v>CI</x:v>
      </x:c>
      <x:c r="K1153" s="172" t="n">
        <x:v>5</x:v>
      </x:c>
      <x:c r="L1153" s="185" t="str">
        <x:v>Não classificado</x:v>
      </x:c>
    </x:row>
    <x:row r="1154">
      <x:c r="A1154" s="175" t="str">
        <x:v>63.985.990/0001-84</x:v>
      </x:c>
      <x:c r="B1154" s="166" t="str">
        <x:v>BANDEIRANTES FUNDO DE INVESTIMENTO EM DIREITOS CREDITÓRIOS DO AGRONEGÓCIO DE RESP LIMITADA</x:v>
      </x:c>
      <x:c r="C1154" s="188" t="n">
        <x:v>96379119.05</x:v>
      </x:c>
      <x:c r="D1154" s="166" t="str">
        <x:v>Riza Asset Management</x:v>
      </x:c>
      <x:c r="E1154" s="166" t="str">
        <x:f>IFERROR(INDEX('Classif Gestoras'!$H$6:$H$462,MATCH(D1154,'Classif Gestoras'!$A$6:$A$462,0)),"Não classificada")</x:f>
        <x:v>Independente</x:v>
      </x:c>
      <x:c r="F1154" s="166" t="str">
        <x:v>Genial Investimentos Corretora de Valores Mobiliários S.A.</x:v>
      </x:c>
      <x:c r="G1154" s="166" t="str">
        <x:v>BANCO GENIAL S.A.</x:v>
      </x:c>
      <x:c r="H1154" s="166" t="str">
        <x:v>Agro, Indústria e Comércio</x:v>
      </x:c>
      <x:c r="I1154" s="166" t="str">
        <x:v>Agronegócio</x:v>
      </x:c>
      <x:c r="J1154" s="166" t="str">
        <x:v>CI</x:v>
      </x:c>
      <x:c r="K1154" s="172" t="n">
        <x:v>8</x:v>
      </x:c>
      <x:c r="L1154" s="185" t="str">
        <x:v>Não classificado</x:v>
      </x:c>
    </x:row>
    <x:row r="1155">
      <x:c r="A1155" s="175" t="str">
        <x:v>32.528.203/0001-41</x:v>
      </x:c>
      <x:c r="B1155" s="166" t="str">
        <x:v>FUNDO DE INVESTIMENTO EM DIREITOS CREDITÓRIOS EV CONSIGNADO FEDERAL II (F2)</x:v>
      </x:c>
      <x:c r="C1155" s="188" t="n">
        <x:v>96218579.72</x:v>
      </x:c>
      <x:c r="D1155" s="166" t="str">
        <x:v>Everest Capital</x:v>
      </x:c>
      <x:c r="E1155" s="166" t="str">
        <x:f>IFERROR(INDEX('Classif Gestoras'!$H$6:$H$462,MATCH(D1155,'Classif Gestoras'!$A$6:$A$462,0)),"Não classificada")</x:f>
        <x:v>Independente</x:v>
      </x:c>
      <x:c r="F1155" s="166" t="str">
        <x:v>Banvox DTVM</x:v>
      </x:c>
      <x:c r="G1155" s="166" t="str">
        <x:v>BANVOX DISTRIBUIDORA DE TITULOS E VALORES MOBILIARIOS LTDA</x:v>
      </x:c>
      <x:c r="H1155" s="166" t="str">
        <x:v>Financeiro</x:v>
      </x:c>
      <x:c r="I1155" s="166" t="str">
        <x:v>Crédito Consignado</x:v>
      </x:c>
      <x:c r="J1155" s="166" t="str">
        <x:v>CI</x:v>
      </x:c>
      <x:c r="K1155" s="172" t="n">
        <x:v>293</x:v>
      </x:c>
      <x:c r="L1155" s="185" t="str">
        <x:v>Não classificado</x:v>
      </x:c>
    </x:row>
    <x:row r="1156">
      <x:c r="A1156" s="175" t="str">
        <x:v>58.032.774/0001-84</x:v>
      </x:c>
      <x:c r="B1156" s="166" t="str">
        <x:v>AUGME K 2 FUNDO DE INVESTIMENTO EM DIREITOS CREDITÓRIOS DE RESPONSABILIDADE LIMITADA</x:v>
      </x:c>
      <x:c r="C1156" s="188" t="n">
        <x:v>96048578.01</x:v>
      </x:c>
      <x:c r="D1156" s="166" t="str">
        <x:v>AUGME CAPITAL GESTÃO DE RECURSOS LTDA.</x:v>
      </x:c>
      <x:c r="E1156" s="166" t="str">
        <x:f>IFERROR(INDEX('Classif Gestoras'!$H$6:$H$462,MATCH(D1156,'Classif Gestoras'!$A$6:$A$462,0)),"Não classificada")</x:f>
        <x:v>Independente</x:v>
      </x:c>
      <x:c r="F1156" s="166" t="str">
        <x:v>BANCO DAYCOVAL S/A</x:v>
      </x:c>
      <x:c r="G1156" s="166" t="str">
        <x:v>BANCO DAYCOVAL S.A.</x:v>
      </x:c>
      <x:c r="H1156" s="166" t="str">
        <x:v>Outros</x:v>
      </x:c>
      <x:c r="I1156" s="166" t="str">
        <x:v>Multicarteira Outros</x:v>
      </x:c>
      <x:c r="J1156" s="166" t="str">
        <x:v>CI</x:v>
      </x:c>
      <x:c r="K1156" s="172" t="n">
        <x:v>1</x:v>
      </x:c>
      <x:c r="L1156" s="185" t="str">
        <x:v>Não classificado</x:v>
      </x:c>
    </x:row>
    <x:row r="1157">
      <x:c r="A1157" s="175" t="str">
        <x:v>40.989.809/0001-02</x:v>
      </x:c>
      <x:c r="B1157" s="166" t="str">
        <x:v>REALIZE CAP I FUNDO DE INVESTIMENTO EM DIREITOS CREDITÓRIOS</x:v>
      </x:c>
      <x:c r="C1157" s="188" t="n">
        <x:v>96016392.22</x:v>
      </x:c>
      <x:c r="D1157" s="166" t="str">
        <x:v>Strivo Gestora de Recursos S/A</x:v>
      </x:c>
      <x:c r="E1157" s="166" t="str">
        <x:f>IFERROR(INDEX('Classif Gestoras'!$H$6:$H$462,MATCH(D1157,'Classif Gestoras'!$A$6:$A$462,0)),"Não classificada")</x:f>
        <x:v>Independente</x:v>
      </x:c>
      <x:c r="F1157" s="166" t="str">
        <x:v>VÓRTX DTVM</x:v>
      </x:c>
      <x:c r="G1157" s="166" t="str">
        <x:v>VORTX DISTRIBUIDORA DE TITULOS E VALORES MOBILIARIOS LTDA.</x:v>
      </x:c>
      <x:c r="H1157" s="166" t="str">
        <x:v>Outros</x:v>
      </x:c>
      <x:c r="I1157" s="166" t="str">
        <x:v>Multicarteira Outros</x:v>
      </x:c>
      <x:c r="J1157" s="166" t="str">
        <x:v>CI</x:v>
      </x:c>
      <x:c r="K1157" s="172" t="n">
        <x:v>28</x:v>
      </x:c>
      <x:c r="L1157" s="185" t="str">
        <x:v>Não classificado</x:v>
      </x:c>
    </x:row>
    <x:row r="1158">
      <x:c r="A1158" s="175" t="str">
        <x:v>36.771.685/0001-17</x:v>
      </x:c>
      <x:c r="B1158" s="166" t="str">
        <x:v>FUNDO DE INVESTIMENTO EM DIREITOS CREDITÓRIOS IS GREEN SOLFÁCIL I DE RESPONSABILIDADE LIMITADA</x:v>
      </x:c>
      <x:c r="C1158" s="188" t="n">
        <x:v>95724653.64</x:v>
      </x:c>
      <x:c r="D1158" s="166" t="str">
        <x:v>ANGÁ ASSET MANAGEMENT</x:v>
      </x:c>
      <x:c r="E1158" s="166" t="str">
        <x:f>IFERROR(INDEX('Classif Gestoras'!$H$6:$H$462,MATCH(D1158,'Classif Gestoras'!$A$6:$A$462,0)),"Não classificada")</x:f>
        <x:v>Independente</x:v>
      </x:c>
      <x:c r="F1158" s="166" t="str">
        <x:v>BANCO DAYCOVAL S/A</x:v>
      </x:c>
      <x:c r="G1158" s="166" t="str">
        <x:v>BANCO DAYCOVAL S.A.</x:v>
      </x:c>
      <x:c r="H1158" s="166" t="str">
        <x:v>Financeiro</x:v>
      </x:c>
      <x:c r="I1158" s="166" t="str">
        <x:v>Multicarteira Financeiro</x:v>
      </x:c>
      <x:c r="J1158" s="166" t="str">
        <x:v>CI</x:v>
      </x:c>
      <x:c r="K1158" s="172" t="n">
        <x:v>184</x:v>
      </x:c>
      <x:c r="L1158" s="185" t="str">
        <x:v>Não classificado</x:v>
      </x:c>
    </x:row>
    <x:row r="1159">
      <x:c r="A1159" s="175" t="str">
        <x:v>51.863.647/0001-88</x:v>
      </x:c>
      <x:c r="B1159" s="166" t="str">
        <x:v>SOLUMA FUNDO DE INVESTIMENTO EM DIREITOS CREDITÓRIOS</x:v>
      </x:c>
      <x:c r="C1159" s="188" t="n">
        <x:v>95580638.35</x:v>
      </x:c>
      <x:c r="D1159" s="166" t="str">
        <x:v>Redwood Asset Management</x:v>
      </x:c>
      <x:c r="E1159" s="166" t="str">
        <x:f>IFERROR(INDEX('Classif Gestoras'!$H$6:$H$462,MATCH(D1159,'Classif Gestoras'!$A$6:$A$462,0)),"Não classificada")</x:f>
        <x:v>Independente</x:v>
      </x:c>
      <x:c r="F1159" s="166" t="str">
        <x:v>PLANNER CV</x:v>
      </x:c>
      <x:c r="G1159" s="166" t="str">
        <x:v>PLANNER CORRETORA DE VALORES S.A.</x:v>
      </x:c>
      <x:c r="H1159" s="166" t="str">
        <x:v>Outros</x:v>
      </x:c>
      <x:c r="I1159" s="166" t="str">
        <x:v>Multicarteira Outros</x:v>
      </x:c>
      <x:c r="J1159" s="166" t="str">
        <x:v>CI</x:v>
      </x:c>
      <x:c r="K1159" s="172" t="n">
        <x:v>1</x:v>
      </x:c>
      <x:c r="L1159" s="185" t="str">
        <x:v>Não classificado</x:v>
      </x:c>
    </x:row>
    <x:row r="1160">
      <x:c r="A1160" s="175" t="str">
        <x:v>63.296.865/0001-67</x:v>
      </x:c>
      <x:c r="B1160" s="166" t="str">
        <x:v>ICRED FGTS 2 FUNDO DE INVESTIMENTO EM DIREITOS CREDITÓRIOS RESPONSABILIDADE LIMITADA</x:v>
      </x:c>
      <x:c r="C1160" s="188" t="n">
        <x:v>95527505.75</x:v>
      </x:c>
      <x:c r="D1160" s="166" t="str">
        <x:v>Oliveira Trust Servicer</x:v>
      </x:c>
      <x:c r="E1160" s="166" t="str">
        <x:f>IFERROR(INDEX('Classif Gestoras'!$H$6:$H$462,MATCH(D1160,'Classif Gestoras'!$A$6:$A$462,0)),"Não classificada")</x:f>
        <x:v>Independente</x:v>
      </x:c>
      <x:c r="F1160" s="166" t="str">
        <x:v>Oliveira Trust DTVM</x:v>
      </x:c>
      <x:c r="G1160" s="166" t="str">
        <x:v>OLIVEIRA TRUST DTVM S.A.</x:v>
      </x:c>
      <x:c r="H1160" s="166" t="str">
        <x:v>Financeiro</x:v>
      </x:c>
      <x:c r="I1160" s="166" t="str">
        <x:v>Crédito Pessoal</x:v>
      </x:c>
      <x:c r="J1160" s="166" t="str">
        <x:v>CI</x:v>
      </x:c>
      <x:c r="K1160" s="172" t="n">
        <x:v>20</x:v>
      </x:c>
      <x:c r="L1160" s="185" t="str">
        <x:v>Não classificado</x:v>
      </x:c>
    </x:row>
    <x:row r="1161">
      <x:c r="A1161" s="175" t="str">
        <x:v>61.802.352/0001-55</x:v>
      </x:c>
      <x:c r="B1161" s="166" t="str">
        <x:v>XP CRÉDITO ESTRUTURADO 90 FUNDO DE INVESTIMENTO EM DIREITOS CREDITÓRIOS - RESPONSABILIDADE LIMITADA</x:v>
      </x:c>
      <x:c r="C1161" s="188" t="n">
        <x:v>95251910.3</x:v>
      </x:c>
      <x:c r="D1161" s="166" t="str">
        <x:v>Vista Real Estate</x:v>
      </x:c>
      <x:c r="E1161" s="166" t="str">
        <x:f>IFERROR(INDEX('Classif Gestoras'!$H$6:$H$462,MATCH(D1161,'Classif Gestoras'!$A$6:$A$462,0)),"Não classificada")</x:f>
        <x:v>Independente</x:v>
      </x:c>
      <x:c r="F1161" s="166" t="str">
        <x:v>XPI CCTVM S/A</x:v>
      </x:c>
      <x:c r="G1161" s="166" t="str">
        <x:v>OLIVEIRA TRUST DTVM S.A.</x:v>
      </x:c>
      <x:c r="H1161" s="166" t="str">
        <x:v>Outros</x:v>
      </x:c>
      <x:c r="I1161" s="166" t="str">
        <x:v>Multicarteira Outros</x:v>
      </x:c>
      <x:c r="J1161" s="166" t="str">
        <x:v>CI</x:v>
      </x:c>
      <x:c r="K1161" s="172" t="n">
        <x:v>390</x:v>
      </x:c>
      <x:c r="L1161" s="185" t="str">
        <x:v>Não classificado</x:v>
      </x:c>
    </x:row>
    <x:row r="1162">
      <x:c r="A1162" s="175" t="str">
        <x:v>37.036.410/0001-00</x:v>
      </x:c>
      <x:c r="B1162" s="166" t="str">
        <x:v>PRECATÓRIO OURO 35 FUNDO DE INVESTIMENTO EM DIREITOS CREDITÓRIOS</x:v>
      </x:c>
      <x:c r="C1162" s="188" t="n">
        <x:v>94821083.52</x:v>
      </x:c>
      <x:c r="D1162" s="166" t="str">
        <x:v>BURITI INVESTIMENTOS</x:v>
      </x:c>
      <x:c r="E1162" s="166" t="str">
        <x:f>IFERROR(INDEX('Classif Gestoras'!$H$6:$H$462,MATCH(D1162,'Classif Gestoras'!$A$6:$A$462,0)),"Não classificada")</x:f>
        <x:v>Independente</x:v>
      </x:c>
      <x:c r="F1162" s="166" t="str">
        <x:v>BTG Pactual Servicos Financeiros S/A DTVM</x:v>
      </x:c>
      <x:c r="G1162" s="166" t="str">
        <x:v>BANCO BTG PACTUAL S/A</x:v>
      </x:c>
      <x:c r="H1162" s="166" t="str">
        <x:v>Outros</x:v>
      </x:c>
      <x:c r="I1162" s="166" t="str">
        <x:v>Poder Público</x:v>
      </x:c>
      <x:c r="J1162" s="166" t="str">
        <x:v>CI</x:v>
      </x:c>
      <x:c r="K1162" s="172" t="n">
        <x:v>5</x:v>
      </x:c>
      <x:c r="L1162" s="185" t="str">
        <x:v>Não classificado</x:v>
      </x:c>
    </x:row>
    <x:row r="1163">
      <x:c r="A1163" s="175" t="str">
        <x:v>19.686.540/0001-07</x:v>
      </x:c>
      <x:c r="B1163" s="166" t="str">
        <x:v>SG 4870 III FUNDO DE INVESTIMENTO EM DIREITOS CREDITÓRIOS NÃO PADRONIZADOS</x:v>
      </x:c>
      <x:c r="C1163" s="188" t="n">
        <x:v>94804592.38</x:v>
      </x:c>
      <x:c r="D1163" s="166" t="str">
        <x:v>Jus Capital Gestão de Recursos LTDA</x:v>
      </x:c>
      <x:c r="E1163" s="166" t="str">
        <x:f>IFERROR(INDEX('Classif Gestoras'!$H$6:$H$462,MATCH(D1163,'Classif Gestoras'!$A$6:$A$462,0)),"Não classificada")</x:f>
        <x:v>Independente</x:v>
      </x:c>
      <x:c r="F1163" s="166" t="str">
        <x:v>BTG Pactual Servicos Financeiros S/A DTVM</x:v>
      </x:c>
      <x:c r="G1163" s="166" t="str">
        <x:v>BANCO BTG PACTUAL S/A</x:v>
      </x:c>
      <x:c r="H1163" s="166" t="str">
        <x:v>Outros</x:v>
      </x:c>
      <x:c r="I1163" s="166" t="str">
        <x:v>Poder Público</x:v>
      </x:c>
      <x:c r="J1163" s="166" t="str">
        <x:v>CI</x:v>
      </x:c>
      <x:c r="K1163" s="172" t="n">
        <x:v>2</x:v>
      </x:c>
      <x:c r="L1163" s="185" t="str">
        <x:v>Não classificado</x:v>
      </x:c>
    </x:row>
    <x:row r="1164">
      <x:c r="A1164" s="175" t="str">
        <x:v>62.159.526/0001-76</x:v>
      </x:c>
      <x:c r="B1164" s="166" t="str">
        <x:v>SIMPLIX CONSIGNADO PRIVADO I FUNDO DE INVESTIMENTO EM DIREITOS CREDITÓRIOS RESP LIMITADA</x:v>
      </x:c>
      <x:c r="C1164" s="188" t="n">
        <x:v>94681948.01</x:v>
      </x:c>
      <x:c r="D1164" s="166" t="str">
        <x:v>SIMPLIX ASSET MANAGEMENT LTDA.</x:v>
      </x:c>
      <x:c r="E1164" s="166" t="str">
        <x:f>IFERROR(INDEX('Classif Gestoras'!$H$6:$H$462,MATCH(D1164,'Classif Gestoras'!$A$6:$A$462,0)),"Não classificada")</x:f>
        <x:v>Independente</x:v>
      </x:c>
      <x:c r="F1164" s="166" t="str">
        <x:v>BANCO DAYCOVAL S/A</x:v>
      </x:c>
      <x:c r="G1164" s="166" t="str">
        <x:v>BANCO DAYCOVAL S.A.</x:v>
      </x:c>
      <x:c r="H1164" s="166" t="str">
        <x:v>Financeiro</x:v>
      </x:c>
      <x:c r="I1164" s="166" t="str">
        <x:v>Crédito Consignado</x:v>
      </x:c>
      <x:c r="J1164" s="166" t="str">
        <x:v>CI</x:v>
      </x:c>
      <x:c r="K1164" s="172" t="n">
        <x:v>18</x:v>
      </x:c>
      <x:c r="L1164" s="185" t="str">
        <x:v>Não classificado</x:v>
      </x:c>
    </x:row>
    <x:row r="1165">
      <x:c r="A1165" s="175" t="str">
        <x:v>47.239.759/0001-95</x:v>
      </x:c>
      <x:c r="B1165" s="166" t="str">
        <x:v>FUNDO DE INVESTIMENTO EM DIREITOS CREDITÓRIOS FRV23 RESPONSABILIDADE LIMITADA</x:v>
      </x:c>
      <x:c r="C1165" s="188" t="n">
        <x:v>94182635.38</x:v>
      </x:c>
      <x:c r="D1165" s="166" t="str">
        <x:v>Bless Capital Gestora de Recursos Ltda.</x:v>
      </x:c>
      <x:c r="E1165" s="166" t="str">
        <x:f>IFERROR(INDEX('Classif Gestoras'!$H$6:$H$462,MATCH(D1165,'Classif Gestoras'!$A$6:$A$462,0)),"Não classificada")</x:f>
        <x:v>Independente</x:v>
      </x:c>
      <x:c r="F1165" s="166" t="str">
        <x:v>ID Corretora de Títulos e Valores Mobiliários S.A.</x:v>
      </x:c>
      <x:c r="G1165" s="166" t="str">
        <x:v>ID CORRETORA DE TITULOS E VALORES MOBILIARIOS S.A.</x:v>
      </x:c>
      <x:c r="H1165" s="166" t="str">
        <x:v>Financeiro</x:v>
      </x:c>
      <x:c r="I1165" s="166" t="str">
        <x:v>Multicarteira Financeiro</x:v>
      </x:c>
      <x:c r="J1165" s="166" t="str">
        <x:v>CI</x:v>
      </x:c>
      <x:c r="K1165" s="172" t="n">
        <x:v>3</x:v>
      </x:c>
      <x:c r="L1165" s="185" t="str">
        <x:v>Não classificado</x:v>
      </x:c>
    </x:row>
    <x:row r="1166">
      <x:c r="A1166" s="175" t="str">
        <x:v>53.257.790/0001-51</x:v>
      </x:c>
      <x:c r="B1166" s="166" t="str">
        <x:v>FARM M III FUNDO DE INVESTIMENTO EM DIREITOS CREDITÓRIOS RESPONSABILIDADE LIMITADA</x:v>
      </x:c>
      <x:c r="C1166" s="188" t="n">
        <x:v>94030889.5736</x:v>
      </x:c>
      <x:c r="D1166" s="166" t="str">
        <x:v>Farmtech Gestão de Recursos Ltda.</x:v>
      </x:c>
      <x:c r="E1166" s="166" t="str">
        <x:f>IFERROR(INDEX('Classif Gestoras'!$H$6:$H$462,MATCH(D1166,'Classif Gestoras'!$A$6:$A$462,0)),"Não classificada")</x:f>
        <x:v>Independente</x:v>
      </x:c>
      <x:c r="F1166" s="166" t="str">
        <x:v>BTG Pactual Servicos Financeiros S/A DTVM</x:v>
      </x:c>
      <x:c r="G1166" s="166" t="str">
        <x:v>BANCO BTG PACTUAL S/A</x:v>
      </x:c>
      <x:c r="H1166" s="166" t="str">
        <x:v>Agro, Indústria e Comércio</x:v>
      </x:c>
      <x:c r="I1166" s="166" t="str">
        <x:v>Agronegócio</x:v>
      </x:c>
      <x:c r="J1166" s="166" t="str">
        <x:v>CI</x:v>
      </x:c>
      <x:c r="K1166" s="172" t="n">
        <x:v>3</x:v>
      </x:c>
      <x:c r="L1166" s="185" t="str">
        <x:v>Não classificado</x:v>
      </x:c>
    </x:row>
    <x:row r="1167">
      <x:c r="A1167" s="175" t="str">
        <x:v>13.598.246/0001-59</x:v>
      </x:c>
      <x:c r="B1167" s="166" t="str">
        <x:v>DUAS RODAS FUNDO DE INVESTIMENTO EM DIREITOS CREDITÓRIOS NÃO-PADRONIZADO</x:v>
      </x:c>
      <x:c r="C1167" s="188" t="n">
        <x:v>93862070.07</x:v>
      </x:c>
      <x:c r="D1167" s="166" t="str">
        <x:v>GFS INVESTIMENTOS</x:v>
      </x:c>
      <x:c r="E1167" s="166" t="str">
        <x:f>IFERROR(INDEX('Classif Gestoras'!$H$6:$H$462,MATCH(D1167,'Classif Gestoras'!$A$6:$A$462,0)),"Não classificada")</x:f>
        <x:v>Independente</x:v>
      </x:c>
      <x:c r="F1167" s="166" t="str">
        <x:v>MONETAR DISTRIBUIDORA DE TITUL</x:v>
      </x:c>
      <x:c r="G1167" s="166" t="str">
        <x:v>TERRA INVESTIMENTOS DISTRIBUIDORA DE TITULOS E VALORES MOBILIARIOS LTDA</x:v>
      </x:c>
      <x:c r="H1167" s="166" t="str">
        <x:v>Fomento Mercantil</x:v>
      </x:c>
      <x:c r="I1167" s="166" t="str">
        <x:v>Fomento Mercantil</x:v>
      </x:c>
      <x:c r="J1167" s="166" t="str">
        <x:v>CI</x:v>
      </x:c>
      <x:c r="K1167" s="172" t="n">
        <x:v>3</x:v>
      </x:c>
      <x:c r="L1167" s="185" t="str">
        <x:v>Não classificado</x:v>
      </x:c>
    </x:row>
    <x:row r="1168">
      <x:c r="A1168" s="175" t="str">
        <x:v>52.649.689/0001-83</x:v>
      </x:c>
      <x:c r="B1168" s="166" t="str">
        <x:v>CITRINO TEMPO CAPTOR (CTC) FUNDO DE INVESTIMENTO EM DIREITOS CREDITÓRIOS RESPONSABILIDADE LIMITADA</x:v>
      </x:c>
      <x:c r="C1168" s="188" t="n">
        <x:v>93706530.16</x:v>
      </x:c>
      <x:c r="D1168" s="166" t="str">
        <x:v>Citrino Gestão de Recursos LTD</x:v>
      </x:c>
      <x:c r="E1168" s="166" t="str">
        <x:f>IFERROR(INDEX('Classif Gestoras'!$H$6:$H$462,MATCH(D1168,'Classif Gestoras'!$A$6:$A$462,0)),"Não classificada")</x:f>
        <x:v>Independente</x:v>
      </x:c>
      <x:c r="F1168" s="166" t="str">
        <x:v>Limine Trust Distribuidora de Titulos e Valores Mobiliá</x:v>
      </x:c>
      <x:c r="G1168" s="166" t="str">
        <x:v>LIMINE TRUST DISTRIBUIDORA DE TITULOS E VALORES MOBILIARIOS LTDA.</x:v>
      </x:c>
      <x:c r="H1168" s="166" t="str">
        <x:v>Outros</x:v>
      </x:c>
      <x:c r="I1168" s="166" t="str">
        <x:v>Multicarteira Outros</x:v>
      </x:c>
      <x:c r="J1168" s="166" t="str">
        <x:v>CI</x:v>
      </x:c>
      <x:c r="K1168" s="172" t="n">
        <x:v>38</x:v>
      </x:c>
      <x:c r="L1168" s="185" t="str">
        <x:v>Não classificado</x:v>
      </x:c>
    </x:row>
    <x:row r="1169">
      <x:c r="A1169" s="175" t="str">
        <x:v>50.835.592/0001-30</x:v>
      </x:c>
      <x:c r="B1169" s="166" t="str">
        <x:v>CELETI IAAS FUNDO DE INVESTIMENTO EM DIREITOS CREDITÓRIOS</x:v>
      </x:c>
      <x:c r="C1169" s="188" t="n">
        <x:v>93661992.04</x:v>
      </x:c>
      <x:c r="D1169" s="166" t="str">
        <x:v>Milênio Capital</x:v>
      </x:c>
      <x:c r="E1169" s="166" t="str">
        <x:f>IFERROR(INDEX('Classif Gestoras'!$H$6:$H$462,MATCH(D1169,'Classif Gestoras'!$A$6:$A$462,0)),"Não classificada")</x:f>
        <x:v>Independente</x:v>
      </x:c>
      <x:c r="F1169" s="166" t="str">
        <x:v>Singulare</x:v>
      </x:c>
      <x:c r="G1169" s="166" t="str">
        <x:v>QI CORRETORA DE TÍTULOS E VALORES MOBILIÁRIOS S.A.</x:v>
      </x:c>
      <x:c r="H1169" s="166" t="str">
        <x:v>Outros</x:v>
      </x:c>
      <x:c r="I1169" s="166" t="str">
        <x:v>Multicarteira Outros</x:v>
      </x:c>
      <x:c r="J1169" s="166" t="str">
        <x:v>CI</x:v>
      </x:c>
      <x:c r="K1169" s="172" t="n">
        <x:v>91</x:v>
      </x:c>
      <x:c r="L1169" s="185" t="str">
        <x:v>Não classificado</x:v>
      </x:c>
    </x:row>
    <x:row r="1170">
      <x:c r="A1170" s="175" t="str">
        <x:v>47.117.653/0001-19</x:v>
      </x:c>
      <x:c r="B1170" s="166" t="str">
        <x:v>CERUS FUNDO DE INVESTIMENTO EM DIREITOS CREDITÓRIOS</x:v>
      </x:c>
      <x:c r="C1170" s="188" t="n">
        <x:v>93434229.67</x:v>
      </x:c>
      <x:c r="D1170" s="166" t="str">
        <x:v>TERCON ASSET MANAGEMENT</x:v>
      </x:c>
      <x:c r="E1170" s="166" t="str">
        <x:f>IFERROR(INDEX('Classif Gestoras'!$H$6:$H$462,MATCH(D1170,'Classif Gestoras'!$A$6:$A$462,0)),"Não classificada")</x:f>
        <x:v>Independente</x:v>
      </x:c>
      <x:c r="F1170" s="166" t="str">
        <x:v>HEMERA DTVM</x:v>
      </x:c>
      <x:c r="G1170" s="166" t="str">
        <x:v>HEMERA DISTRIBUIDORA DE TITULOS E VALORES MOBILIARIOS LTDA</x:v>
      </x:c>
      <x:c r="H1170" s="166" t="str">
        <x:v>Fomento Mercantil</x:v>
      </x:c>
      <x:c r="I1170" s="166" t="str">
        <x:v>Fomento Mercantil</x:v>
      </x:c>
      <x:c r="J1170" s="166" t="str">
        <x:v>CI</x:v>
      </x:c>
      <x:c r="K1170" s="172" t="n">
        <x:v>20</x:v>
      </x:c>
      <x:c r="L1170" s="185" t="str">
        <x:v>Não classificado</x:v>
      </x:c>
    </x:row>
    <x:row r="1171">
      <x:c r="A1171" s="175" t="str">
        <x:v>62.107.005/0001-75</x:v>
      </x:c>
      <x:c r="B1171" s="166" t="str">
        <x:v>MARIS II FUNDO DE INVESTIMENTO EM DIREITOS CREDITÓRIOS RESPONSABILIDADE LIMITADA</x:v>
      </x:c>
      <x:c r="C1171" s="188" t="n">
        <x:v>93192282.77</x:v>
      </x:c>
      <x:c r="D1171" s="166" t="str">
        <x:v>Lumina</x:v>
      </x:c>
      <x:c r="E1171" s="166" t="str">
        <x:f>IFERROR(INDEX('Classif Gestoras'!$H$6:$H$462,MATCH(D1171,'Classif Gestoras'!$A$6:$A$462,0)),"Não classificada")</x:f>
        <x:v>Independente</x:v>
      </x:c>
      <x:c r="F1171" s="166" t="str">
        <x:v>Singulare</x:v>
      </x:c>
      <x:c r="G1171" s="166" t="str">
        <x:v>QI CORRETORA DE TÍTULOS E VALORES MOBILIÁRIOS S.A.</x:v>
      </x:c>
      <x:c r="H1171" s="166" t="str">
        <x:v>Fomento Mercantil</x:v>
      </x:c>
      <x:c r="I1171" s="166" t="str">
        <x:v>Fomento Mercantil</x:v>
      </x:c>
      <x:c r="J1171" s="166" t="str">
        <x:v>CI</x:v>
      </x:c>
      <x:c r="K1171" s="172" t="n">
        <x:v>6</x:v>
      </x:c>
      <x:c r="L1171" s="185" t="str">
        <x:v>Não classificado</x:v>
      </x:c>
    </x:row>
    <x:row r="1172">
      <x:c r="A1172" s="175" t="str">
        <x:v>51.137.980/0001-00</x:v>
      </x:c>
      <x:c r="B1172" s="166" t="str">
        <x:v>SALTRI AGRO - FUNDO DE INVESTIMENTO EM DIREITOS CREDITÓRIOS</x:v>
      </x:c>
      <x:c r="C1172" s="188" t="n">
        <x:v>93074617.51</x:v>
      </x:c>
      <x:c r="D1172" s="166" t="str">
        <x:v>OURO PRETO INVESTIMENTOS</x:v>
      </x:c>
      <x:c r="E1172" s="166" t="str">
        <x:f>IFERROR(INDEX('Classif Gestoras'!$H$6:$H$462,MATCH(D1172,'Classif Gestoras'!$A$6:$A$462,0)),"Não classificada")</x:f>
        <x:v>Independente</x:v>
      </x:c>
      <x:c r="F1172" s="166" t="str">
        <x:v>Singulare</x:v>
      </x:c>
      <x:c r="G1172" s="166" t="str">
        <x:v>QI CORRETORA DE TÍTULOS E VALORES MOBILIÁRIOS S.A.</x:v>
      </x:c>
      <x:c r="H1172" s="166" t="str">
        <x:v>Fomento Mercantil</x:v>
      </x:c>
      <x:c r="I1172" s="166" t="str">
        <x:v>Fomento Mercantil</x:v>
      </x:c>
      <x:c r="J1172" s="166" t="str">
        <x:v>CI</x:v>
      </x:c>
      <x:c r="K1172" s="172" t="n">
        <x:v>4</x:v>
      </x:c>
      <x:c r="L1172" s="185" t="str">
        <x:v>Não classificado</x:v>
      </x:c>
    </x:row>
    <x:row r="1173">
      <x:c r="A1173" s="175" t="str">
        <x:v>52.307.401/0001-92</x:v>
      </x:c>
      <x:c r="B1173" s="166" t="str">
        <x:v>FUNDO DE INVESTIMENTO EM DIREITOS CREDITÓRIOS HNDI FORNECEDORES - RESPONSABILIDADE LIMITADA</x:v>
      </x:c>
      <x:c r="C1173" s="188" t="n">
        <x:v>93072731.51</x:v>
      </x:c>
      <x:c r="D1173" s="166" t="str">
        <x:v>CVPAR Investimentos ltda</x:v>
      </x:c>
      <x:c r="E1173" s="166" t="str">
        <x:f>IFERROR(INDEX('Classif Gestoras'!$H$6:$H$462,MATCH(D1173,'Classif Gestoras'!$A$6:$A$462,0)),"Não classificada")</x:f>
        <x:v>Independente</x:v>
      </x:c>
      <x:c r="F1173" s="166" t="str">
        <x:v>Singulare</x:v>
      </x:c>
      <x:c r="G1173" s="166" t="str">
        <x:v>QI CORRETORA DE TÍTULOS E VALORES MOBILIÁRIOS S.A.</x:v>
      </x:c>
      <x:c r="H1173" s="166" t="str">
        <x:v>Outros</x:v>
      </x:c>
      <x:c r="I1173" s="166" t="str">
        <x:v>Multicarteira Outros</x:v>
      </x:c>
      <x:c r="J1173" s="166" t="str">
        <x:v>CI</x:v>
      </x:c>
      <x:c r="K1173" s="172" t="n">
        <x:v>2</x:v>
      </x:c>
      <x:c r="L1173" s="185" t="str">
        <x:v>Não classificado</x:v>
      </x:c>
    </x:row>
    <x:row r="1174">
      <x:c r="A1174" s="175" t="str">
        <x:v>12.803.721/0001-19</x:v>
      </x:c>
      <x:c r="B1174" s="166" t="str">
        <x:v>FUNDO DE INVESTIMENTO EM DIREITOS CREDITÓRIOS FRATTO</x:v>
      </x:c>
      <x:c r="C1174" s="188" t="n">
        <x:v>93060004.37</x:v>
      </x:c>
      <x:c r="D1174" s="166" t="str">
        <x:v>Redwood Asset Management</x:v>
      </x:c>
      <x:c r="E1174" s="166" t="str">
        <x:f>IFERROR(INDEX('Classif Gestoras'!$H$6:$H$462,MATCH(D1174,'Classif Gestoras'!$A$6:$A$462,0)),"Não classificada")</x:f>
        <x:v>Independente</x:v>
      </x:c>
      <x:c r="F1174" s="166" t="str">
        <x:v>PLANNER CV</x:v>
      </x:c>
      <x:c r="G1174" s="166" t="str">
        <x:v>PLANNER CORRETORA DE VALORES S.A.</x:v>
      </x:c>
      <x:c r="H1174" s="166" t="str">
        <x:v>Fomento Mercantil</x:v>
      </x:c>
      <x:c r="I1174" s="166" t="str">
        <x:v>Fomento Mercantil</x:v>
      </x:c>
      <x:c r="J1174" s="166" t="str">
        <x:v>CI</x:v>
      </x:c>
      <x:c r="K1174" s="172" t="n">
        <x:v>1</x:v>
      </x:c>
      <x:c r="L1174" s="185" t="str">
        <x:v>Não classificado</x:v>
      </x:c>
    </x:row>
    <x:row r="1175">
      <x:c r="A1175" s="175" t="str">
        <x:v>35.138.041/0001-23</x:v>
      </x:c>
      <x:c r="B1175" s="166" t="str">
        <x:v>BC CONSÓRCIO FUNDO DE INVESTIMENTO EM DIREITOS CREDITÓRIOS</x:v>
      </x:c>
      <x:c r="C1175" s="188" t="n">
        <x:v>92932338.34</x:v>
      </x:c>
      <x:c r="D1175" s="166" t="str">
        <x:v>Milênio Capital</x:v>
      </x:c>
      <x:c r="E1175" s="166" t="str">
        <x:f>IFERROR(INDEX('Classif Gestoras'!$H$6:$H$462,MATCH(D1175,'Classif Gestoras'!$A$6:$A$462,0)),"Não classificada")</x:f>
        <x:v>Independente</x:v>
      </x:c>
      <x:c r="F1175" s="166" t="str">
        <x:v>BRL TRUST DTVM</x:v>
      </x:c>
      <x:c r="G1175" s="166" t="str">
        <x:v>BRL TRUST DISTRIBUIDORA DE TITULOS E VALORES MOBILIARIOS S.A.</x:v>
      </x:c>
      <x:c r="H1175" s="166" t="str">
        <x:v>Financeiro</x:v>
      </x:c>
      <x:c r="I1175" s="166" t="str">
        <x:v>Multicarteira Financeiro</x:v>
      </x:c>
      <x:c r="J1175" s="166" t="str">
        <x:v>CI</x:v>
      </x:c>
      <x:c r="K1175" s="172" t="n">
        <x:v>71</x:v>
      </x:c>
      <x:c r="L1175" s="185" t="str">
        <x:v>Não classificado</x:v>
      </x:c>
    </x:row>
    <x:row r="1176">
      <x:c r="A1176" s="175" t="str">
        <x:v>23.104.455/0001-52</x:v>
      </x:c>
      <x:c r="B1176" s="166" t="str">
        <x:v>SATURNO FUNDO DE INVESTIMENTO EM DIREITOS CREDITÓRIOS</x:v>
      </x:c>
      <x:c r="C1176" s="188" t="n">
        <x:v>92754620.4</x:v>
      </x:c>
      <x:c r="D1176" s="166" t="str">
        <x:v>TERCON ASSET MANAGEMENT</x:v>
      </x:c>
      <x:c r="E1176" s="166" t="str">
        <x:f>IFERROR(INDEX('Classif Gestoras'!$H$6:$H$462,MATCH(D1176,'Classif Gestoras'!$A$6:$A$462,0)),"Não classificada")</x:f>
        <x:v>Independente</x:v>
      </x:c>
      <x:c r="F1176" s="166" t="str">
        <x:v>Singulare</x:v>
      </x:c>
      <x:c r="G1176" s="166" t="str">
        <x:v>QI CORRETORA DE TÍTULOS E VALORES MOBILIÁRIOS S.A.</x:v>
      </x:c>
      <x:c r="H1176" s="166" t="str">
        <x:v>Fomento Mercantil</x:v>
      </x:c>
      <x:c r="I1176" s="166" t="str">
        <x:v>Fomento Mercantil</x:v>
      </x:c>
      <x:c r="J1176" s="166" t="str">
        <x:v>CI</x:v>
      </x:c>
      <x:c r="K1176" s="172" t="n">
        <x:v>25</x:v>
      </x:c>
      <x:c r="L1176" s="185" t="str">
        <x:v>Não classificado</x:v>
      </x:c>
    </x:row>
    <x:row r="1177">
      <x:c r="A1177" s="175" t="str">
        <x:v>34.691.203/0001-93</x:v>
      </x:c>
      <x:c r="B1177" s="166" t="str">
        <x:v>CNPJ 34691203000193</x:v>
      </x:c>
      <x:c r="C1177" s="188" t="n">
        <x:v>92407118.86</x:v>
      </x:c>
      <x:c r="D1177" s="166" t="str">
        <x:v>Eco Gestão de Ativos LTDA.</x:v>
      </x:c>
      <x:c r="E1177" s="166" t="str">
        <x:f>IFERROR(INDEX('Classif Gestoras'!$H$6:$H$462,MATCH(D1177,'Classif Gestoras'!$A$6:$A$462,0)),"Não classificada")</x:f>
        <x:v>Independente</x:v>
      </x:c>
      <x:c r="F1177" s="166" t="str">
        <x:v>BANCO DAYCOVAL S/A</x:v>
      </x:c>
      <x:c r="G1177" s="166" t="str">
        <x:v>Não identificado</x:v>
      </x:c>
      <x:c r="H1177" s="166" t="str">
        <x:v>Agro, Indústria e Comércio</x:v>
      </x:c>
      <x:c r="I1177" s="166" t="str">
        <x:v>Agronegócio</x:v>
      </x:c>
      <x:c r="J1177" s="166" t="str">
        <x:v>CI</x:v>
      </x:c>
      <x:c r="K1177" s="172"/>
      <x:c r="L1177" s="185" t="str">
        <x:v>Não classificado</x:v>
      </x:c>
    </x:row>
    <x:row r="1178">
      <x:c r="A1178" s="175" t="str">
        <x:v>34.508.357/0001-05</x:v>
      </x:c>
      <x:c r="B1178" s="166" t="str">
        <x:v>FUNDO DE INVESTIMENTO EM DIREITOS CREDITÓRIOS - MEUCASHCARD</x:v>
      </x:c>
      <x:c r="C1178" s="188" t="n">
        <x:v>92195571.38</x:v>
      </x:c>
      <x:c r="D1178" s="166" t="str">
        <x:v>Iron Capital</x:v>
      </x:c>
      <x:c r="E1178" s="166" t="str">
        <x:f>IFERROR(INDEX('Classif Gestoras'!$H$6:$H$462,MATCH(D1178,'Classif Gestoras'!$A$6:$A$462,0)),"Não classificada")</x:f>
        <x:v>Independente</x:v>
      </x:c>
      <x:c r="F1178" s="166" t="str">
        <x:v>VÓRTX DTVM</x:v>
      </x:c>
      <x:c r="G1178" s="166" t="str">
        <x:v>VORTX DISTRIBUIDORA DE TITULOS E VALORES MOBILIARIOS LTDA.</x:v>
      </x:c>
      <x:c r="H1178" s="166" t="str">
        <x:v>Fomento Mercantil</x:v>
      </x:c>
      <x:c r="I1178" s="166" t="str">
        <x:v>Multicarteira Outros</x:v>
      </x:c>
      <x:c r="J1178" s="166" t="str">
        <x:v>CI</x:v>
      </x:c>
      <x:c r="K1178" s="172" t="n">
        <x:v>8</x:v>
      </x:c>
      <x:c r="L1178" s="185" t="str">
        <x:v>Não classificado</x:v>
      </x:c>
    </x:row>
    <x:row r="1179">
      <x:c r="A1179" s="175" t="str">
        <x:v>51.645.270/0001-90</x:v>
      </x:c>
      <x:c r="B1179" s="166" t="str">
        <x:v>LUTÈCE FUNDO DE INVESTIMENTO EM DIREITOS CREDITÓRIOS</x:v>
      </x:c>
      <x:c r="C1179" s="188" t="n">
        <x:v>91853472.38</x:v>
      </x:c>
      <x:c r="D1179" s="166" t="str">
        <x:v>Redwood Asset Management</x:v>
      </x:c>
      <x:c r="E1179" s="166" t="str">
        <x:f>IFERROR(INDEX('Classif Gestoras'!$H$6:$H$462,MATCH(D1179,'Classif Gestoras'!$A$6:$A$462,0)),"Não classificada")</x:f>
        <x:v>Independente</x:v>
      </x:c>
      <x:c r="F1179" s="166" t="str">
        <x:v>PLANNER CV</x:v>
      </x:c>
      <x:c r="G1179" s="166" t="str">
        <x:v>PLANNER CORRETORA DE VALORES S.A.</x:v>
      </x:c>
      <x:c r="H1179" s="166" t="str">
        <x:v>Fomento Mercantil</x:v>
      </x:c>
      <x:c r="I1179" s="166" t="str">
        <x:v>Fomento Mercantil</x:v>
      </x:c>
      <x:c r="J1179" s="166" t="str">
        <x:v>CI</x:v>
      </x:c>
      <x:c r="K1179" s="172" t="n">
        <x:v>10</x:v>
      </x:c>
      <x:c r="L1179" s="185" t="str">
        <x:v>Não classificado</x:v>
      </x:c>
    </x:row>
    <x:row r="1180">
      <x:c r="A1180" s="175" t="str">
        <x:v>45.207.408/0001-77</x:v>
      </x:c>
      <x:c r="B1180" s="166" t="str">
        <x:v>FITZ ROY SPECIAL SITUATIONS FIDC DE RESP LIMITADA</x:v>
      </x:c>
      <x:c r="C1180" s="188" t="n">
        <x:v>91652052.94</x:v>
      </x:c>
      <x:c r="D1180" s="166" t="str">
        <x:v>Laplace Capital</x:v>
      </x:c>
      <x:c r="E1180" s="166" t="str">
        <x:f>IFERROR(INDEX('Classif Gestoras'!$H$6:$H$462,MATCH(D1180,'Classif Gestoras'!$A$6:$A$462,0)),"Não classificada")</x:f>
        <x:v>Independente</x:v>
      </x:c>
      <x:c r="F1180" s="166" t="str">
        <x:v>BANCO DAYCOVAL S/A</x:v>
      </x:c>
      <x:c r="G1180" s="166" t="str">
        <x:v>BANCO DAYCOVAL S.A.</x:v>
      </x:c>
      <x:c r="H1180" s="166" t="str">
        <x:v>Outros</x:v>
      </x:c>
      <x:c r="I1180" s="166" t="str">
        <x:v>Multicarteira Outros</x:v>
      </x:c>
      <x:c r="J1180" s="166" t="str">
        <x:v>CI</x:v>
      </x:c>
      <x:c r="K1180" s="172" t="n">
        <x:v>52</x:v>
      </x:c>
      <x:c r="L1180" s="185" t="str">
        <x:v>Não classificado</x:v>
      </x:c>
    </x:row>
    <x:row r="1181">
      <x:c r="A1181" s="175" t="str">
        <x:v>45.829.624/0001-54</x:v>
      </x:c>
      <x:c r="B1181" s="166" t="str">
        <x:v>FUNDO DE INVESTIMENTO EM DIREITOS CREDITÓRIOS SALES FINANCE - RESPONSABILIDADE LIMITADA</x:v>
      </x:c>
      <x:c r="C1181" s="188" t="n">
        <x:v>91507817.01</x:v>
      </x:c>
      <x:c r="D1181" s="166" t="str">
        <x:v>Cultinvest Asset</x:v>
      </x:c>
      <x:c r="E1181" s="166" t="str">
        <x:f>IFERROR(INDEX('Classif Gestoras'!$H$6:$H$462,MATCH(D1181,'Classif Gestoras'!$A$6:$A$462,0)),"Não classificada")</x:f>
        <x:v>Independente</x:v>
      </x:c>
      <x:c r="F1181" s="166" t="str">
        <x:v>BRL TRUST DTVM</x:v>
      </x:c>
      <x:c r="G1181" s="166" t="str">
        <x:v>BRL TRUST DISTRIBUIDORA DE TITULOS E VALORES MOBILIARIOS S.A.</x:v>
      </x:c>
      <x:c r="H1181" s="166" t="str">
        <x:v>Agro, Indústria e Comércio</x:v>
      </x:c>
      <x:c r="I1181" s="166" t="str">
        <x:v>Recebíveis Comerciais</x:v>
      </x:c>
      <x:c r="J1181" s="166" t="str">
        <x:v>CI</x:v>
      </x:c>
      <x:c r="K1181" s="172" t="n">
        <x:v>3</x:v>
      </x:c>
      <x:c r="L1181" s="185" t="str">
        <x:v>Não classificado</x:v>
      </x:c>
    </x:row>
    <x:row r="1182">
      <x:c r="A1182" s="175" t="str">
        <x:v>65.530.283/0001-29</x:v>
      </x:c>
      <x:c r="B1182" s="166" t="str">
        <x:v>VKTECH FUNDO DE INVESTIMENTO EM DIREITOS CREDITÓRIOS - RESPONSABILIDADE LIMITADA</x:v>
      </x:c>
      <x:c r="C1182" s="188" t="n">
        <x:v>91491211.54</x:v>
      </x:c>
      <x:c r="D1182" s="166" t="str">
        <x:v>JIVE INVESTMENTS</x:v>
      </x:c>
      <x:c r="E1182" s="166" t="str">
        <x:f>IFERROR(INDEX('Classif Gestoras'!$H$6:$H$462,MATCH(D1182,'Classif Gestoras'!$A$6:$A$462,0)),"Não classificada")</x:f>
        <x:v>Independente</x:v>
      </x:c>
      <x:c r="F1182" s="166" t="str">
        <x:v>BRL TRUST DTVM</x:v>
      </x:c>
      <x:c r="G1182" s="166" t="str">
        <x:v>BRL TRUST DISTRIBUIDORA DE TITULOS E VALORES MOBILIARIOS S.A.</x:v>
      </x:c>
      <x:c r="H1182" s="166" t="str">
        <x:v>Agro, Indústria e Comércio</x:v>
      </x:c>
      <x:c r="I1182" s="166" t="str">
        <x:v>Crédito Corporativo</x:v>
      </x:c>
      <x:c r="J1182" s="166" t="str">
        <x:v>CI</x:v>
      </x:c>
      <x:c r="K1182" s="172" t="n">
        <x:v>22</x:v>
      </x:c>
      <x:c r="L1182" s="185" t="str">
        <x:v>Não classificado</x:v>
      </x:c>
    </x:row>
    <x:row r="1183">
      <x:c r="A1183" s="175" t="str">
        <x:v>31.933.790/0001-91</x:v>
      </x:c>
      <x:c r="B1183" s="166" t="str">
        <x:v>INVISTA ATIVOS ALTERNATIVOS I FUNDO DE INVESTIMENTO EM DIREITOS CREDITÓRIOS</x:v>
      </x:c>
      <x:c r="C1183" s="188" t="n">
        <x:v>91274014.04999998</x:v>
      </x:c>
      <x:c r="D1183" s="166" t="str">
        <x:v>Invista Asset</x:v>
      </x:c>
      <x:c r="E1183" s="166" t="str">
        <x:f>IFERROR(INDEX('Classif Gestoras'!$H$6:$H$462,MATCH(D1183,'Classif Gestoras'!$A$6:$A$462,0)),"Não classificada")</x:f>
        <x:v>Independente</x:v>
      </x:c>
      <x:c r="F1183" s="166" t="str">
        <x:v>Singulare</x:v>
      </x:c>
      <x:c r="G1183" s="166" t="str">
        <x:v>QI CORRETORA DE TÍTULOS E VALORES MOBILIÁRIOS S.A.</x:v>
      </x:c>
      <x:c r="H1183" s="166" t="str">
        <x:v>Fomento Mercantil</x:v>
      </x:c>
      <x:c r="I1183" s="166" t="str">
        <x:v>Fomento Mercantil</x:v>
      </x:c>
      <x:c r="J1183" s="166" t="str">
        <x:v>CI</x:v>
      </x:c>
      <x:c r="K1183" s="172" t="n">
        <x:v>7</x:v>
      </x:c>
      <x:c r="L1183" s="185" t="str">
        <x:v>Não classificado</x:v>
      </x:c>
    </x:row>
    <x:row r="1184">
      <x:c r="A1184" s="175" t="str">
        <x:v>62.222.488/0001-59</x:v>
      </x:c>
      <x:c r="B1184" s="166" t="str">
        <x:v>GONN III FUNDO DE INVESTIMENTO EM DIREITOS CREDITÓRIOS DE RESPONSABILIDADE LIMITADA</x:v>
      </x:c>
      <x:c r="C1184" s="188" t="n">
        <x:v>91192301.68</x:v>
      </x:c>
      <x:c r="D1184" s="166" t="str">
        <x:v>GENIAL GESTÃO LTDA.</x:v>
      </x:c>
      <x:c r="E1184" s="166" t="str">
        <x:f>IFERROR(INDEX('Classif Gestoras'!$H$6:$H$462,MATCH(D1184,'Classif Gestoras'!$A$6:$A$462,0)),"Não classificada")</x:f>
        <x:v>Ligada a banco</x:v>
      </x:c>
      <x:c r="F1184" s="166" t="str">
        <x:v>Genial Investimentos Corretora de Valores Mobiliários S.A.</x:v>
      </x:c>
      <x:c r="G1184" s="166" t="str">
        <x:v>BANCO GENIAL S.A.</x:v>
      </x:c>
      <x:c r="H1184" s="166" t="str">
        <x:v>Financeiro</x:v>
      </x:c>
      <x:c r="I1184" s="166" t="str">
        <x:v>Crédito Pessoal</x:v>
      </x:c>
      <x:c r="J1184" s="166" t="str">
        <x:v>CI</x:v>
      </x:c>
      <x:c r="K1184" s="172" t="n">
        <x:v>2</x:v>
      </x:c>
      <x:c r="L1184" s="185" t="str">
        <x:v>Não classificado</x:v>
      </x:c>
    </x:row>
    <x:row r="1185">
      <x:c r="A1185" s="175" t="str">
        <x:v>53.315.640/0001-57</x:v>
      </x:c>
      <x:c r="B1185" s="166" t="str">
        <x:v>FLORENÇA FUNDO DE INVESTIMENTO EM DIREITOS CREDITÓRIOS</x:v>
      </x:c>
      <x:c r="C1185" s="188" t="n">
        <x:v>91070007.18</x:v>
      </x:c>
      <x:c r="D1185" s="166" t="str">
        <x:v>Blue Solutions</x:v>
      </x:c>
      <x:c r="E1185" s="166" t="str">
        <x:f>IFERROR(INDEX('Classif Gestoras'!$H$6:$H$462,MATCH(D1185,'Classif Gestoras'!$A$6:$A$462,0)),"Não classificada")</x:f>
        <x:v>Independente</x:v>
      </x:c>
      <x:c r="F1185" s="166" t="str">
        <x:v>TRUSTEE DTVM</x:v>
      </x:c>
      <x:c r="G1185" s="166" t="str">
        <x:v>TRUSTEE DISTRIBUIDORA DE TITULOS E VALORES MOBILIARIOS LTDA.</x:v>
      </x:c>
      <x:c r="H1185" s="166" t="str">
        <x:v>Outros</x:v>
      </x:c>
      <x:c r="I1185" s="166" t="str">
        <x:v>Multicarteira Outros</x:v>
      </x:c>
      <x:c r="J1185" s="166" t="str">
        <x:v>CI</x:v>
      </x:c>
      <x:c r="K1185" s="172" t="n">
        <x:v>5</x:v>
      </x:c>
      <x:c r="L1185" s="185" t="str">
        <x:v>Não classificado</x:v>
      </x:c>
    </x:row>
    <x:row r="1186">
      <x:c r="A1186" s="175" t="str">
        <x:v>42.462.558/0001-39</x:v>
      </x:c>
      <x:c r="B1186" s="166" t="str">
        <x:v>KÉRDOS - FUNDO DE INVESTIMENTO EM DIREITOS CREDITÓRIOS</x:v>
      </x:c>
      <x:c r="C1186" s="188" t="n">
        <x:v>90811612.2</x:v>
      </x:c>
      <x:c r="D1186" s="166" t="str">
        <x:v>Catálise Investimentos</x:v>
      </x:c>
      <x:c r="E1186" s="166" t="str">
        <x:f>IFERROR(INDEX('Classif Gestoras'!$H$6:$H$462,MATCH(D1186,'Classif Gestoras'!$A$6:$A$462,0)),"Não classificada")</x:f>
        <x:v>Independente</x:v>
      </x:c>
      <x:c r="F1186" s="166" t="str">
        <x:v>CATÁLISE DTVM</x:v>
      </x:c>
      <x:c r="G1186" s="166" t="str">
        <x:v>BANCO DAYCOVAL S.A.</x:v>
      </x:c>
      <x:c r="H1186" s="166" t="str">
        <x:v>Agro, Indústria e Comércio</x:v>
      </x:c>
      <x:c r="I1186" s="166" t="str">
        <x:v>Multicarteira Agro, Indústria e Comércio</x:v>
      </x:c>
      <x:c r="J1186" s="166" t="str">
        <x:v>CI</x:v>
      </x:c>
      <x:c r="K1186" s="172" t="n">
        <x:v>1</x:v>
      </x:c>
      <x:c r="L1186" s="185" t="str">
        <x:v>Não classificado</x:v>
      </x:c>
    </x:row>
    <x:row r="1187">
      <x:c r="A1187" s="175" t="str">
        <x:v>53.374.563/0001-06</x:v>
      </x:c>
      <x:c r="B1187" s="166" t="str">
        <x:v>PRIMO CAPITAL II FUNDO DE INVESTIMENTO EM DIREITOS CREDITÓRIOS DE RESPONSABILIDADE LIMITADA</x:v>
      </x:c>
      <x:c r="C1187" s="188" t="n">
        <x:v>90698474.65000002</x:v>
      </x:c>
      <x:c r="D1187" s="166" t="str">
        <x:v>Multinvest Capital</x:v>
      </x:c>
      <x:c r="E1187" s="166" t="str">
        <x:f>IFERROR(INDEX('Classif Gestoras'!$H$6:$H$462,MATCH(D1187,'Classif Gestoras'!$A$6:$A$462,0)),"Não classificada")</x:f>
        <x:v>Independente</x:v>
      </x:c>
      <x:c r="F1187" s="166" t="str">
        <x:v>BANCO DAYCOVAL S/A</x:v>
      </x:c>
      <x:c r="G1187" s="166" t="str">
        <x:v>BANCO DAYCOVAL S.A.</x:v>
      </x:c>
      <x:c r="H1187" s="166" t="str">
        <x:v>Outros</x:v>
      </x:c>
      <x:c r="I1187" s="166" t="str">
        <x:v>Multicarteira Outros</x:v>
      </x:c>
      <x:c r="J1187" s="166" t="str">
        <x:v>CI</x:v>
      </x:c>
      <x:c r="K1187" s="172" t="n">
        <x:v>181</x:v>
      </x:c>
      <x:c r="L1187" s="185" t="str">
        <x:v>Não classificado</x:v>
      </x:c>
    </x:row>
    <x:row r="1188">
      <x:c r="A1188" s="175" t="str">
        <x:v>19.599.487/0001-07</x:v>
      </x:c>
      <x:c r="B1188" s="166" t="str">
        <x:v>FUNDO DE INVESTIMENTO EM DIREITOS CREDITÓRIOS ZIPDIN I</x:v>
      </x:c>
      <x:c r="C1188" s="188" t="n">
        <x:v>90622249.78</x:v>
      </x:c>
      <x:c r="D1188" s="166" t="str">
        <x:v>VALORA RENDA FIXA ESTRUTURADOS LTDA.</x:v>
      </x:c>
      <x:c r="E1188" s="166" t="str">
        <x:f>IFERROR(INDEX('Classif Gestoras'!$H$6:$H$462,MATCH(D1188,'Classif Gestoras'!$A$6:$A$462,0)),"Não classificada")</x:f>
        <x:v>Independente</x:v>
      </x:c>
      <x:c r="F1188" s="166" t="str">
        <x:v>Singulare</x:v>
      </x:c>
      <x:c r="G1188" s="166" t="str">
        <x:v>QI CORRETORA DE TÍTULOS E VALORES MOBILIÁRIOS S.A.</x:v>
      </x:c>
      <x:c r="H1188" s="166" t="str">
        <x:v>Financeiro</x:v>
      </x:c>
      <x:c r="I1188" s="166" t="str">
        <x:v>Crédito Consignado</x:v>
      </x:c>
      <x:c r="J1188" s="166" t="str">
        <x:v>CI</x:v>
      </x:c>
      <x:c r="K1188" s="172" t="n">
        <x:v>72</x:v>
      </x:c>
      <x:c r="L1188" s="185" t="str">
        <x:v>Não classificado</x:v>
      </x:c>
    </x:row>
    <x:row r="1189">
      <x:c r="A1189" s="175" t="str">
        <x:v>34.691.362/0001-98</x:v>
      </x:c>
      <x:c r="B1189" s="166" t="str">
        <x:v>ZEUS FUNDO DE INVESTIMENTO EM DIREITOS CREDITÓRIOS</x:v>
      </x:c>
      <x:c r="C1189" s="188" t="n">
        <x:v>90520373.56</x:v>
      </x:c>
      <x:c r="D1189" s="166" t="str">
        <x:v>ELLO ASSET MANAGEMENT</x:v>
      </x:c>
      <x:c r="E1189" s="166" t="str">
        <x:f>IFERROR(INDEX('Classif Gestoras'!$H$6:$H$462,MATCH(D1189,'Classif Gestoras'!$A$6:$A$462,0)),"Não classificada")</x:f>
        <x:v>Independente</x:v>
      </x:c>
      <x:c r="F1189" s="166" t="str">
        <x:v>ACTUAL DTVM</x:v>
      </x:c>
      <x:c r="G1189" s="166" t="str">
        <x:v>TRUSTEE DISTRIBUIDORA DE TITULOS E VALORES MOBILIARIOS LTDA.</x:v>
      </x:c>
      <x:c r="H1189" s="166" t="str">
        <x:v>Fomento Mercantil</x:v>
      </x:c>
      <x:c r="I1189" s="166" t="str">
        <x:v>Fomento Mercantil</x:v>
      </x:c>
      <x:c r="J1189" s="166" t="str">
        <x:v>CI</x:v>
      </x:c>
      <x:c r="K1189" s="172" t="n">
        <x:v>4</x:v>
      </x:c>
      <x:c r="L1189" s="185" t="str">
        <x:v>Não classificado</x:v>
      </x:c>
    </x:row>
    <x:row r="1190">
      <x:c r="A1190" s="175" t="str">
        <x:v>59.714.095/0001-58</x:v>
      </x:c>
      <x:c r="B1190" s="166" t="str">
        <x:v>PETROCASH FUNDO DE INVESTIMENTO EM DIREITOS CREDITÓRIOS RESPONSABILIDADE LIMITADA</x:v>
      </x:c>
      <x:c r="C1190" s="188" t="n">
        <x:v>90460038.15</x:v>
      </x:c>
      <x:c r="D1190" s="166" t="str">
        <x:v>Redwood Asset Management</x:v>
      </x:c>
      <x:c r="E1190" s="166" t="str">
        <x:f>IFERROR(INDEX('Classif Gestoras'!$H$6:$H$462,MATCH(D1190,'Classif Gestoras'!$A$6:$A$462,0)),"Não classificada")</x:f>
        <x:v>Independente</x:v>
      </x:c>
      <x:c r="F1190" s="166" t="str">
        <x:v>PLANNER CV</x:v>
      </x:c>
      <x:c r="G1190" s="166" t="str">
        <x:v>PLANNER CORRETORA DE VALORES S.A.</x:v>
      </x:c>
      <x:c r="H1190" s="166" t="str">
        <x:v>Agro, Indústria e Comércio</x:v>
      </x:c>
      <x:c r="I1190" s="166" t="str">
        <x:v>Multicarteira Agro, Indústria e Comércio</x:v>
      </x:c>
      <x:c r="J1190" s="166" t="str">
        <x:v>CI</x:v>
      </x:c>
      <x:c r="K1190" s="172" t="n">
        <x:v>1</x:v>
      </x:c>
      <x:c r="L1190" s="185" t="str">
        <x:v>Não classificado</x:v>
      </x:c>
    </x:row>
    <x:row r="1191">
      <x:c r="A1191" s="175" t="str">
        <x:v>56.986.018/0001-69</x:v>
      </x:c>
      <x:c r="B1191" s="166" t="str">
        <x:v>FUNDO DE INVESTIMENTO EM DIREITOS CREDITÓRIOS KANAL</x:v>
      </x:c>
      <x:c r="C1191" s="188" t="n">
        <x:v>89576792.98</x:v>
      </x:c>
      <x:c r="D1191" s="166" t="str">
        <x:v>WNT Gestora de Recursos Ltda.</x:v>
      </x:c>
      <x:c r="E1191" s="166" t="str">
        <x:f>IFERROR(INDEX('Classif Gestoras'!$H$6:$H$462,MATCH(D1191,'Classif Gestoras'!$A$6:$A$462,0)),"Não classificada")</x:f>
        <x:v>Independente</x:v>
      </x:c>
      <x:c r="F1191" s="166" t="str">
        <x:v>WNT DTVM</x:v>
      </x:c>
      <x:c r="G1191" s="166" t="str">
        <x:v>WNT CAPITAL DISTRIBUIDORA DE TITULOS E VALORES MOBILIARIOS S.A.</x:v>
      </x:c>
      <x:c r="H1191" s="166" t="str">
        <x:v>Outros</x:v>
      </x:c>
      <x:c r="I1191" s="166" t="str">
        <x:v>Multicarteira Outros</x:v>
      </x:c>
      <x:c r="J1191" s="166" t="str">
        <x:v>CI</x:v>
      </x:c>
      <x:c r="K1191" s="172" t="n">
        <x:v>7</x:v>
      </x:c>
      <x:c r="L1191" s="185" t="str">
        <x:v>Não classificado</x:v>
      </x:c>
    </x:row>
    <x:row r="1192">
      <x:c r="A1192" s="175" t="str">
        <x:v>55.657.825/0001-75</x:v>
      </x:c>
      <x:c r="B1192" s="166" t="str">
        <x:v>APOGE FUNDO DE INVESTIMENTO EM DIREITOS CREDITÓRIOS MULTISSETORIAL</x:v>
      </x:c>
      <x:c r="C1192" s="188" t="n">
        <x:v>89363374.69</x:v>
      </x:c>
      <x:c r="D1192" s="166" t="str">
        <x:v>OURO PRETO INVESTIMENTOS</x:v>
      </x:c>
      <x:c r="E1192" s="166" t="str">
        <x:f>IFERROR(INDEX('Classif Gestoras'!$H$6:$H$462,MATCH(D1192,'Classif Gestoras'!$A$6:$A$462,0)),"Não classificada")</x:f>
        <x:v>Independente</x:v>
      </x:c>
      <x:c r="F1192" s="166" t="str">
        <x:v>Singulare</x:v>
      </x:c>
      <x:c r="G1192" s="166" t="str">
        <x:v>QI CORRETORA DE TÍTULOS E VALORES MOBILIÁRIOS S.A.</x:v>
      </x:c>
      <x:c r="H1192" s="166" t="str">
        <x:v>Fomento Mercantil</x:v>
      </x:c>
      <x:c r="I1192" s="166" t="str">
        <x:v>Fomento Mercantil</x:v>
      </x:c>
      <x:c r="J1192" s="166" t="str">
        <x:v>CI</x:v>
      </x:c>
      <x:c r="K1192" s="172" t="n">
        <x:v>24</x:v>
      </x:c>
      <x:c r="L1192" s="185" t="str">
        <x:v>Não classificado</x:v>
      </x:c>
    </x:row>
    <x:row r="1193">
      <x:c r="A1193" s="175" t="str">
        <x:v>59.602.002/0001-01</x:v>
      </x:c>
      <x:c r="B1193" s="166" t="str">
        <x:v>LARCA CONSIGNADO III FUNDO DE INVESTIMENTO EM DIREITOS CREDITORIOS - RESPONSABILIDADE LIMITADA</x:v>
      </x:c>
      <x:c r="C1193" s="188" t="n">
        <x:v>89083766.68999998</x:v>
      </x:c>
      <x:c r="D1193" s="166" t="str">
        <x:v>KP GESTÃO DE RECURSOS LTDA.</x:v>
      </x:c>
      <x:c r="E1193" s="166" t="str">
        <x:f>IFERROR(INDEX('Classif Gestoras'!$H$6:$H$462,MATCH(D1193,'Classif Gestoras'!$A$6:$A$462,0)),"Não classificada")</x:f>
        <x:v>Independente</x:v>
      </x:c>
      <x:c r="F1193" s="166" t="str">
        <x:v>Oliveira Trust DTVM</x:v>
      </x:c>
      <x:c r="G1193" s="166" t="str">
        <x:v>OLIVEIRA TRUST DTVM S.A.</x:v>
      </x:c>
      <x:c r="H1193" s="166" t="str">
        <x:v>Financeiro</x:v>
      </x:c>
      <x:c r="I1193" s="166" t="str">
        <x:v>Crédito Consignado</x:v>
      </x:c>
      <x:c r="J1193" s="166" t="str">
        <x:v>CI</x:v>
      </x:c>
      <x:c r="K1193" s="172" t="n">
        <x:v>45</x:v>
      </x:c>
      <x:c r="L1193" s="185" t="str">
        <x:v>Não classificado</x:v>
      </x:c>
    </x:row>
    <x:row r="1194">
      <x:c r="A1194" s="175" t="str">
        <x:v>52.325.895/0001-38</x:v>
      </x:c>
      <x:c r="B1194" s="166" t="str">
        <x:v>LCPF I FUNDO DE INVESTIMENTO EM DIREITOS CREDITÓRIOS RESPONSABILIDADE LIMITADA</x:v>
      </x:c>
      <x:c r="C1194" s="188" t="n">
        <x:v>89068789.54</x:v>
      </x:c>
      <x:c r="D1194" s="166" t="str">
        <x:v>VM Consultoria Empresarial Ltd</x:v>
      </x:c>
      <x:c r="E1194" s="166" t="str">
        <x:f>IFERROR(INDEX('Classif Gestoras'!$H$6:$H$462,MATCH(D1194,'Classif Gestoras'!$A$6:$A$462,0)),"Não classificada")</x:f>
        <x:v>Independente</x:v>
      </x:c>
      <x:c r="F1194" s="166" t="str">
        <x:v>Banco Genial S.A.</x:v>
      </x:c>
      <x:c r="G1194" s="166" t="str">
        <x:v>BANCO GENIAL S.A.</x:v>
      </x:c>
      <x:c r="H1194" s="166" t="str">
        <x:v>Fomento Mercantil</x:v>
      </x:c>
      <x:c r="I1194" s="166" t="str">
        <x:v>Fomento Mercantil</x:v>
      </x:c>
      <x:c r="J1194" s="166" t="str">
        <x:v>CI</x:v>
      </x:c>
      <x:c r="K1194" s="172" t="n">
        <x:v>6</x:v>
      </x:c>
      <x:c r="L1194" s="185" t="str">
        <x:v>Não classificado</x:v>
      </x:c>
    </x:row>
    <x:row r="1195">
      <x:c r="A1195" s="175" t="str">
        <x:v>42.933.402/0001-99</x:v>
      </x:c>
      <x:c r="B1195" s="166" t="str">
        <x:v>FUNDO DE INVESTIMENTO EM DIREITOS CREDITÓRIOS FUTURO PREVIDÊNCIA CONSIGNADO PÚBLICO I</x:v>
      </x:c>
      <x:c r="C1195" s="188" t="n">
        <x:v>88986006.51</x:v>
      </x:c>
      <x:c r="D1195" s="166" t="str">
        <x:v>REAG GESTÃO DE CRÉDITO</x:v>
      </x:c>
      <x:c r="E1195" s="166" t="str">
        <x:f>IFERROR(INDEX('Classif Gestoras'!$H$6:$H$462,MATCH(D1195,'Classif Gestoras'!$A$6:$A$462,0)),"Não classificada")</x:f>
        <x:v>Independente</x:v>
      </x:c>
      <x:c r="F1195" s="166" t="str">
        <x:v>Oliveira Trust DTVM</x:v>
      </x:c>
      <x:c r="G1195" s="166" t="str">
        <x:v>OLIVEIRA TRUST DTVM S.A.</x:v>
      </x:c>
      <x:c r="H1195" s="166" t="str">
        <x:v>Financeiro</x:v>
      </x:c>
      <x:c r="I1195" s="166" t="str">
        <x:v>Crédito Consignado</x:v>
      </x:c>
      <x:c r="J1195" s="166" t="str">
        <x:v>CI</x:v>
      </x:c>
      <x:c r="K1195" s="172" t="n">
        <x:v>42</x:v>
      </x:c>
      <x:c r="L1195" s="185" t="str">
        <x:v>Não classificado</x:v>
      </x:c>
    </x:row>
    <x:row r="1196">
      <x:c r="A1196" s="175" t="str">
        <x:v>36.875.515/0001-82</x:v>
      </x:c>
      <x:c r="B1196" s="166" t="str">
        <x:v>BS INTER FUNDO DE INVESTIMENTO EM DIREITOS CREDITÓRIOS NÃO- PADRONIZADOS MULTISSETORIAL</x:v>
      </x:c>
      <x:c r="C1196" s="188" t="n">
        <x:v>88947657.15</x:v>
      </x:c>
      <x:c r="D1196" s="166" t="str">
        <x:v>V8 Capital</x:v>
      </x:c>
      <x:c r="E1196" s="166" t="str">
        <x:f>IFERROR(INDEX('Classif Gestoras'!$H$6:$H$462,MATCH(D1196,'Classif Gestoras'!$A$6:$A$462,0)),"Não classificada")</x:f>
        <x:v>Independente</x:v>
      </x:c>
      <x:c r="F1196" s="166" t="str">
        <x:v>S3 Caceis Brasil Distribuidora de Títulos e Valores Mob</x:v>
      </x:c>
      <x:c r="G1196" s="166" t="str">
        <x:v>S3 CACEIS BRASIL DISTRIBUIDORA DE TITULOS E VALORES MOBILIARIOS S.A</x:v>
      </x:c>
      <x:c r="H1196" s="166" t="str">
        <x:v>Outros</x:v>
      </x:c>
      <x:c r="I1196" s="166" t="str">
        <x:v>Multicarteira Outros</x:v>
      </x:c>
      <x:c r="J1196" s="166" t="str">
        <x:v>CI</x:v>
      </x:c>
      <x:c r="K1196" s="172" t="n">
        <x:v>1</x:v>
      </x:c>
      <x:c r="L1196" s="185" t="str">
        <x:v>Não classificado</x:v>
      </x:c>
    </x:row>
    <x:row r="1197">
      <x:c r="A1197" s="175" t="str">
        <x:v>45.121.220/0001-01</x:v>
      </x:c>
      <x:c r="B1197" s="166" t="str">
        <x:v>MAIS TODOS FUNDO DE INVESTIMENTO EM DIREITOS CREDITÓRIOS RESPONSABILIDADE LIMITADA</x:v>
      </x:c>
      <x:c r="C1197" s="188" t="n">
        <x:v>88915948.49</x:v>
      </x:c>
      <x:c r="D1197" s="166" t="str">
        <x:v>VALORA RENDA FIXA ESTRUTURADOS LTDA.</x:v>
      </x:c>
      <x:c r="E1197" s="166" t="str">
        <x:f>IFERROR(INDEX('Classif Gestoras'!$H$6:$H$462,MATCH(D1197,'Classif Gestoras'!$A$6:$A$462,0)),"Não classificada")</x:f>
        <x:v>Independente</x:v>
      </x:c>
      <x:c r="F1197" s="166" t="str">
        <x:v>BANCO DAYCOVAL S/A</x:v>
      </x:c>
      <x:c r="G1197" s="166" t="str">
        <x:v>BANCO DAYCOVAL S.A.</x:v>
      </x:c>
      <x:c r="H1197" s="166" t="str">
        <x:v>Outros</x:v>
      </x:c>
      <x:c r="I1197" s="166" t="str">
        <x:v>Multicarteira Outros</x:v>
      </x:c>
      <x:c r="J1197" s="166" t="str">
        <x:v>CI</x:v>
      </x:c>
      <x:c r="K1197" s="172" t="n">
        <x:v>75</x:v>
      </x:c>
      <x:c r="L1197" s="185" t="str">
        <x:v>Não classificado</x:v>
      </x:c>
    </x:row>
    <x:row r="1198">
      <x:c r="A1198" s="175" t="str">
        <x:v>51.889.748/0001-28</x:v>
      </x:c>
      <x:c r="B1198" s="166" t="str">
        <x:v>AZZAM FUNDO DE INVESTIMENTO EM DIREITOS CREDITÓRIOS - RESPONSABILIDADE LIMITADA</x:v>
      </x:c>
      <x:c r="C1198" s="188" t="n">
        <x:v>88857029.75</x:v>
      </x:c>
      <x:c r="D1198" s="166" t="str">
        <x:v>UC Gestora de Recursos</x:v>
      </x:c>
      <x:c r="E1198" s="166" t="str">
        <x:f>IFERROR(INDEX('Classif Gestoras'!$H$6:$H$462,MATCH(D1198,'Classif Gestoras'!$A$6:$A$462,0)),"Não classificada")</x:f>
        <x:v>Independente</x:v>
      </x:c>
      <x:c r="F1198" s="166" t="str">
        <x:v>BANCO DAYCOVAL S/A</x:v>
      </x:c>
      <x:c r="G1198" s="166" t="str">
        <x:v>BANCO DAYCOVAL S.A.</x:v>
      </x:c>
      <x:c r="H1198" s="166" t="str">
        <x:v>Outros</x:v>
      </x:c>
      <x:c r="I1198" s="166" t="str">
        <x:v>Poder Público</x:v>
      </x:c>
      <x:c r="J1198" s="166" t="str">
        <x:v>CI</x:v>
      </x:c>
      <x:c r="K1198" s="172" t="n">
        <x:v>4</x:v>
      </x:c>
      <x:c r="L1198" s="185" t="str">
        <x:v>Não classificado</x:v>
      </x:c>
    </x:row>
    <x:row r="1199">
      <x:c r="A1199" s="175" t="str">
        <x:v>64.039.922/0001-95</x:v>
      </x:c>
      <x:c r="B1199" s="166" t="str">
        <x:v>GV CONSIGNADO PRIVADO II FUNDO DE INVESTIMENTO EM DIREITOS CREDITÓRIOS RESPONSABILIDADE LIMITADA</x:v>
      </x:c>
      <x:c r="C1199" s="188" t="n">
        <x:v>88850308.47999999</x:v>
      </x:c>
      <x:c r="D1199" s="166" t="str">
        <x:v>GV ATACAMA CAPITAL LTDA.</x:v>
      </x:c>
      <x:c r="E1199" s="166" t="str">
        <x:f>IFERROR(INDEX('Classif Gestoras'!$H$6:$H$462,MATCH(D1199,'Classif Gestoras'!$A$6:$A$462,0)),"Não classificada")</x:f>
        <x:v>Independente</x:v>
      </x:c>
      <x:c r="F1199" s="166" t="str">
        <x:v>Singulare</x:v>
      </x:c>
      <x:c r="G1199" s="166" t="str">
        <x:v>QI CORRETORA DE TÍTULOS E VALORES MOBILIÁRIOS S.A.</x:v>
      </x:c>
      <x:c r="H1199" s="166" t="str">
        <x:v>Financeiro</x:v>
      </x:c>
      <x:c r="I1199" s="166" t="str">
        <x:v>Crédito Consignado</x:v>
      </x:c>
      <x:c r="J1199" s="166" t="str">
        <x:v>CI</x:v>
      </x:c>
      <x:c r="K1199" s="172" t="n">
        <x:v>2</x:v>
      </x:c>
      <x:c r="L1199" s="185" t="str">
        <x:v>Não classificado</x:v>
      </x:c>
    </x:row>
    <x:row r="1200">
      <x:c r="A1200" s="175" t="str">
        <x:v>38.421.626/0001-44</x:v>
      </x:c>
      <x:c r="B1200" s="166" t="str">
        <x:v>CRONOS FUNDO DE INVESTIMENTO EM DIREITOS CREDITÓRIOS NÃO PADRONIZADO</x:v>
      </x:c>
      <x:c r="C1200" s="188" t="n">
        <x:v>88838470.28</x:v>
      </x:c>
      <x:c r="D1200" s="166" t="str">
        <x:v>Jus Capital Gestão de Recursos LTDA</x:v>
      </x:c>
      <x:c r="E1200" s="166" t="str">
        <x:f>IFERROR(INDEX('Classif Gestoras'!$H$6:$H$462,MATCH(D1200,'Classif Gestoras'!$A$6:$A$462,0)),"Não classificada")</x:f>
        <x:v>Independente</x:v>
      </x:c>
      <x:c r="F1200" s="166" t="str">
        <x:v>Singulare</x:v>
      </x:c>
      <x:c r="G1200" s="166" t="str">
        <x:v>QI CORRETORA DE TÍTULOS E VALORES MOBILIÁRIOS S.A.</x:v>
      </x:c>
      <x:c r="H1200" s="166" t="str">
        <x:v>Outros</x:v>
      </x:c>
      <x:c r="I1200" s="166" t="str">
        <x:v>Multicarteira Outros</x:v>
      </x:c>
      <x:c r="J1200" s="166" t="str">
        <x:v>CI</x:v>
      </x:c>
      <x:c r="K1200" s="172" t="n">
        <x:v>3</x:v>
      </x:c>
      <x:c r="L1200" s="185" t="str">
        <x:v>Não classificado</x:v>
      </x:c>
    </x:row>
    <x:row r="1201">
      <x:c r="A1201" s="175" t="str">
        <x:v>23.274.015/0001-43</x:v>
      </x:c>
      <x:c r="B1201" s="166" t="str">
        <x:v>KREDITARE FUNDO DE INVESTIMENTO EM DIREITOS CREDITÓRIOS</x:v>
      </x:c>
      <x:c r="C1201" s="188" t="n">
        <x:v>88278023.83999999</x:v>
      </x:c>
      <x:c r="D1201" s="166" t="str">
        <x:v>TERCON ASSET MANAGEMENT</x:v>
      </x:c>
      <x:c r="E1201" s="166" t="str">
        <x:f>IFERROR(INDEX('Classif Gestoras'!$H$6:$H$462,MATCH(D1201,'Classif Gestoras'!$A$6:$A$462,0)),"Não classificada")</x:f>
        <x:v>Independente</x:v>
      </x:c>
      <x:c r="F1201" s="166" t="str">
        <x:v>Singulare</x:v>
      </x:c>
      <x:c r="G1201" s="166" t="str">
        <x:v>QI CORRETORA DE TÍTULOS E VALORES MOBILIÁRIOS S.A.</x:v>
      </x:c>
      <x:c r="H1201" s="166" t="str">
        <x:v>Fomento Mercantil</x:v>
      </x:c>
      <x:c r="I1201" s="166" t="str">
        <x:v>Fomento Mercantil</x:v>
      </x:c>
      <x:c r="J1201" s="166" t="str">
        <x:v>CI</x:v>
      </x:c>
      <x:c r="K1201" s="172" t="n">
        <x:v>32</x:v>
      </x:c>
      <x:c r="L1201" s="185" t="str">
        <x:v>Não classificado</x:v>
      </x:c>
    </x:row>
    <x:row r="1202">
      <x:c r="A1202" s="175" t="str">
        <x:v>61.922.025/0001-37</x:v>
      </x:c>
      <x:c r="B1202" s="166" t="str">
        <x:v>IPO III FUNDO DE INVESTIMENTO EM DIREITOS CREDITÓRIOS - RESPONSABILIDADE LIMITADA</x:v>
      </x:c>
      <x:c r="C1202" s="188" t="n">
        <x:v>88172198.07</x:v>
      </x:c>
      <x:c r="D1202" s="166" t="str">
        <x:v>QI GESTAO DE RECURSOS LTDA</x:v>
      </x:c>
      <x:c r="E1202" s="166" t="str">
        <x:f>IFERROR(INDEX('Classif Gestoras'!$H$6:$H$462,MATCH(D1202,'Classif Gestoras'!$A$6:$A$462,0)),"Não classificada")</x:f>
        <x:v>Independente</x:v>
      </x:c>
      <x:c r="F1202" s="166" t="str">
        <x:v>Singulare</x:v>
      </x:c>
      <x:c r="G1202" s="166" t="str">
        <x:v>QI CORRETORA DE TÍTULOS E VALORES MOBILIÁRIOS S.A.</x:v>
      </x:c>
      <x:c r="H1202" s="166" t="str">
        <x:v>Financeiro</x:v>
      </x:c>
      <x:c r="I1202" s="166" t="str">
        <x:v>Crédito Pessoal</x:v>
      </x:c>
      <x:c r="J1202" s="166" t="str">
        <x:v>CI</x:v>
      </x:c>
      <x:c r="K1202" s="172" t="n">
        <x:v>3</x:v>
      </x:c>
      <x:c r="L1202" s="185" t="str">
        <x:v>Não classificado</x:v>
      </x:c>
    </x:row>
    <x:row r="1203">
      <x:c r="A1203" s="175" t="str">
        <x:v>57.185.833/0001-91</x:v>
      </x:c>
      <x:c r="B1203" s="166" t="str">
        <x:v>PLGN LGCY FUNDO DE INVESTIMENTO EM DIREITOS CREDITÓRIOS</x:v>
      </x:c>
      <x:c r="C1203" s="188" t="n">
        <x:v>88142192.5387</x:v>
      </x:c>
      <x:c r="D1203" s="166" t="str">
        <x:v>POLÍGONO CAPITAL LTDA.</x:v>
      </x:c>
      <x:c r="E1203" s="166" t="str">
        <x:f>IFERROR(INDEX('Classif Gestoras'!$H$6:$H$462,MATCH(D1203,'Classif Gestoras'!$A$6:$A$462,0)),"Não classificada")</x:f>
        <x:v>Independente</x:v>
      </x:c>
      <x:c r="F1203" s="166" t="str">
        <x:v>BTG Pactual Servicos Financeiros S/A DTVM</x:v>
      </x:c>
      <x:c r="G1203" s="166" t="str">
        <x:v>BANCO BTG PACTUAL S/A</x:v>
      </x:c>
      <x:c r="H1203" s="166" t="str">
        <x:v>Outros</x:v>
      </x:c>
      <x:c r="I1203" s="166" t="str">
        <x:v>Multicarteira Outros</x:v>
      </x:c>
      <x:c r="J1203" s="166" t="str">
        <x:v>CIPC</x:v>
      </x:c>
      <x:c r="K1203" s="172" t="n">
        <x:v>2</x:v>
      </x:c>
      <x:c r="L1203" s="185" t="str">
        <x:v>Não classificado</x:v>
      </x:c>
    </x:row>
    <x:row r="1204">
      <x:c r="A1204" s="175" t="str">
        <x:v>46.929.959/0001-07</x:v>
      </x:c>
      <x:c r="B1204" s="166" t="str">
        <x:v>BUCAREST BANCO FUNDO DE INVESTIMENTO EM DIREITOS CREDITÓRIOS INDUSTRIAL - RESPONSABILIDADE LIMITADA</x:v>
      </x:c>
      <x:c r="C1204" s="188" t="n">
        <x:v>88126776.11999999</x:v>
      </x:c>
      <x:c r="D1204" s="166" t="str">
        <x:v>OURO PRETO INVESTIMENTOS</x:v>
      </x:c>
      <x:c r="E1204" s="166" t="str">
        <x:f>IFERROR(INDEX('Classif Gestoras'!$H$6:$H$462,MATCH(D1204,'Classif Gestoras'!$A$6:$A$462,0)),"Não classificada")</x:f>
        <x:v>Independente</x:v>
      </x:c>
      <x:c r="F1204" s="166" t="str">
        <x:v>ID Corretora de Títulos e Valores Mobiliários S.A.</x:v>
      </x:c>
      <x:c r="G1204" s="166" t="str">
        <x:v>ID CORRETORA DE TITULOS E VALORES MOBILIARIOS S.A.</x:v>
      </x:c>
      <x:c r="H1204" s="166" t="str">
        <x:v>Outros</x:v>
      </x:c>
      <x:c r="I1204" s="166" t="str">
        <x:v>Multicarteira Outros</x:v>
      </x:c>
      <x:c r="J1204" s="166" t="str">
        <x:v>CI</x:v>
      </x:c>
      <x:c r="K1204" s="172" t="n">
        <x:v>3</x:v>
      </x:c>
      <x:c r="L1204" s="185" t="str">
        <x:v>Não classificado</x:v>
      </x:c>
    </x:row>
    <x:row r="1205">
      <x:c r="A1205" s="175" t="str">
        <x:v>55.406.636/0001-20</x:v>
      </x:c>
      <x:c r="B1205" s="166" t="str">
        <x:v>AERO FUNDO DE INVESTIMENTO EM DIREITOS CREDITÓRIOS</x:v>
      </x:c>
      <x:c r="C1205" s="188" t="n">
        <x:v>87899123.17</x:v>
      </x:c>
      <x:c r="D1205" s="166" t="str">
        <x:v>ROOT CAPITAL</x:v>
      </x:c>
      <x:c r="E1205" s="166" t="str">
        <x:f>IFERROR(INDEX('Classif Gestoras'!$H$6:$H$462,MATCH(D1205,'Classif Gestoras'!$A$6:$A$462,0)),"Não classificada")</x:f>
        <x:v>Independente</x:v>
      </x:c>
      <x:c r="F1205" s="166" t="str">
        <x:v>Singulare</x:v>
      </x:c>
      <x:c r="G1205" s="166" t="str">
        <x:v>QI CORRETORA DE TÍTULOS E VALORES MOBILIÁRIOS S.A.</x:v>
      </x:c>
      <x:c r="H1205" s="166" t="str">
        <x:v>Outros</x:v>
      </x:c>
      <x:c r="I1205" s="166" t="str">
        <x:v>Poder Público</x:v>
      </x:c>
      <x:c r="J1205" s="166" t="str">
        <x:v>CI</x:v>
      </x:c>
      <x:c r="K1205" s="172" t="n">
        <x:v>7</x:v>
      </x:c>
      <x:c r="L1205" s="185" t="str">
        <x:v>Não classificado</x:v>
      </x:c>
    </x:row>
    <x:row r="1206">
      <x:c r="A1206" s="175" t="str">
        <x:v>55.847.813/0001-03</x:v>
      </x:c>
      <x:c r="B1206" s="166" t="str">
        <x:v>SIZE PROSP FUNDO DE INVESTIMENTO EM DIREITOS CREDITÓRIOS - RESPONSABILIDADE LIMITADA</x:v>
      </x:c>
      <x:c r="C1206" s="188" t="n">
        <x:v>87615650.76</x:v>
      </x:c>
      <x:c r="D1206" s="166" t="str">
        <x:v>Solis</x:v>
      </x:c>
      <x:c r="E1206" s="166" t="str">
        <x:f>IFERROR(INDEX('Classif Gestoras'!$H$6:$H$462,MATCH(D1206,'Classif Gestoras'!$A$6:$A$462,0)),"Não classificada")</x:f>
        <x:v>Independente</x:v>
      </x:c>
      <x:c r="F1206" s="166" t="str">
        <x:v>HEMERA DTVM</x:v>
      </x:c>
      <x:c r="G1206" s="166" t="str">
        <x:v>HEMERA DISTRIBUIDORA DE TITULOS E VALORES MOBILIARIOS LTDA</x:v>
      </x:c>
      <x:c r="H1206" s="166" t="str">
        <x:v>Outros</x:v>
      </x:c>
      <x:c r="I1206" s="166" t="str">
        <x:v>Multicarteira Outros</x:v>
      </x:c>
      <x:c r="J1206" s="166" t="str">
        <x:v>CI</x:v>
      </x:c>
      <x:c r="K1206" s="172" t="n">
        <x:v>3</x:v>
      </x:c>
      <x:c r="L1206" s="185" t="str">
        <x:v>Não classificado</x:v>
      </x:c>
    </x:row>
    <x:row r="1207">
      <x:c r="A1207" s="175" t="str">
        <x:v>41.755.753/0001-94</x:v>
      </x:c>
      <x:c r="B1207" s="166" t="str">
        <x:v>ZEFIRO FUNDO DE INVESTIMENTO EM DIREITOS CREDITÓRIOS</x:v>
      </x:c>
      <x:c r="C1207" s="188" t="n">
        <x:v>87590751.39</x:v>
      </x:c>
      <x:c r="D1207" s="166" t="str">
        <x:v>Redwood Asset Management</x:v>
      </x:c>
      <x:c r="E1207" s="166" t="str">
        <x:f>IFERROR(INDEX('Classif Gestoras'!$H$6:$H$462,MATCH(D1207,'Classif Gestoras'!$A$6:$A$462,0)),"Não classificada")</x:f>
        <x:v>Independente</x:v>
      </x:c>
      <x:c r="F1207" s="166" t="str">
        <x:v>PLANNER CV</x:v>
      </x:c>
      <x:c r="G1207" s="166" t="str">
        <x:v>LASTRO RDV DTVM LTDA</x:v>
      </x:c>
      <x:c r="H1207" s="166" t="str">
        <x:v>Outros</x:v>
      </x:c>
      <x:c r="I1207" s="166" t="str">
        <x:v>Multicarteira Outros</x:v>
      </x:c>
      <x:c r="J1207" s="166" t="str">
        <x:v>CI</x:v>
      </x:c>
      <x:c r="K1207" s="172" t="n">
        <x:v>1</x:v>
      </x:c>
      <x:c r="L1207" s="185" t="str">
        <x:v>Não classificado</x:v>
      </x:c>
    </x:row>
    <x:row r="1208">
      <x:c r="A1208" s="175" t="str">
        <x:v>26.631.527/0001-08</x:v>
      </x:c>
      <x:c r="B1208" s="166" t="str">
        <x:v>FÊNIX FUNDO DE INVESTIMENTO EM DIREITOS CREDITÓRIOS NÃO-PADRONIZADOS RESPONSABILIDADE LIMITADA</x:v>
      </x:c>
      <x:c r="C1208" s="188" t="n">
        <x:v>87404142.86999999</x:v>
      </x:c>
      <x:c r="D1208" s="166" t="str">
        <x:v>IDGR</x:v>
      </x:c>
      <x:c r="E1208" s="166" t="str">
        <x:f>IFERROR(INDEX('Classif Gestoras'!$H$6:$H$462,MATCH(D1208,'Classif Gestoras'!$A$6:$A$462,0)),"Não classificada")</x:f>
        <x:v>Independente</x:v>
      </x:c>
      <x:c r="F1208" s="166" t="str">
        <x:v>ID Corretora de Títulos e Valores Mobiliários S.A.</x:v>
      </x:c>
      <x:c r="G1208" s="166" t="str">
        <x:v>Não identificado</x:v>
      </x:c>
      <x:c r="H1208" s="166" t="str">
        <x:v>Fomento Mercantil</x:v>
      </x:c>
      <x:c r="I1208" s="166" t="str">
        <x:v>Fomento Mercantil</x:v>
      </x:c>
      <x:c r="J1208" s="166" t="str">
        <x:v>CI</x:v>
      </x:c>
      <x:c r="K1208" s="172" t="n">
        <x:v>0</x:v>
      </x:c>
      <x:c r="L1208" s="185" t="str">
        <x:v>Não classificado</x:v>
      </x:c>
    </x:row>
    <x:row r="1209">
      <x:c r="A1209" s="175" t="str">
        <x:v>62.918.704/0001-03</x:v>
      </x:c>
      <x:c r="B1209" s="166" t="str">
        <x:v>ATLÂNTICO MASTER FUNDO DE INVESTIMENTO EM DIREITOS CREDITÓRIOS - RESPONSABILIDADE LIMITADA</x:v>
      </x:c>
      <x:c r="C1209" s="188" t="n">
        <x:v>87253275.72</x:v>
      </x:c>
      <x:c r="D1209" s="166" t="str">
        <x:v>Galápagos</x:v>
      </x:c>
      <x:c r="E1209" s="166" t="str">
        <x:f>IFERROR(INDEX('Classif Gestoras'!$H$6:$H$462,MATCH(D1209,'Classif Gestoras'!$A$6:$A$462,0)),"Não classificada")</x:f>
        <x:v>Independente</x:v>
      </x:c>
      <x:c r="F1209" s="166" t="str">
        <x:v>VÓRTX DTVM</x:v>
      </x:c>
      <x:c r="G1209" s="166" t="str">
        <x:v>VORTX DISTRIBUIDORA DE TITULOS E VALORES MOBILIARIOS LTDA.</x:v>
      </x:c>
      <x:c r="H1209" s="166" t="str">
        <x:v>Outros</x:v>
      </x:c>
      <x:c r="I1209" s="166" t="str">
        <x:v>Multicarteira Outros</x:v>
      </x:c>
      <x:c r="J1209" s="166" t="str">
        <x:v>CI</x:v>
      </x:c>
      <x:c r="K1209" s="172" t="n">
        <x:v>1</x:v>
      </x:c>
      <x:c r="L1209" s="185" t="str">
        <x:v>Não classificado</x:v>
      </x:c>
    </x:row>
    <x:row r="1210">
      <x:c r="A1210" s="175" t="str">
        <x:v>59.700.632/0001-00</x:v>
      </x:c>
      <x:c r="B1210" s="166" t="str">
        <x:v>HALFDOME II FUNDO DE INVESTIMENTO EM DIREITOS CREDITÓRIOS</x:v>
      </x:c>
      <x:c r="C1210" s="188" t="n">
        <x:v>86969684.78</x:v>
      </x:c>
      <x:c r="D1210" s="166" t="str">
        <x:v>Redwood Asset Management</x:v>
      </x:c>
      <x:c r="E1210" s="166" t="str">
        <x:f>IFERROR(INDEX('Classif Gestoras'!$H$6:$H$462,MATCH(D1210,'Classif Gestoras'!$A$6:$A$462,0)),"Não classificada")</x:f>
        <x:v>Independente</x:v>
      </x:c>
      <x:c r="F1210" s="166" t="str">
        <x:v>PLANNER CV</x:v>
      </x:c>
      <x:c r="G1210" s="166" t="str">
        <x:v>PLANNER CORRETORA DE VALORES S.A.</x:v>
      </x:c>
      <x:c r="H1210" s="166" t="str">
        <x:v>Outros</x:v>
      </x:c>
      <x:c r="I1210" s="166" t="str">
        <x:v>Multicarteira Outros</x:v>
      </x:c>
      <x:c r="J1210" s="166" t="str">
        <x:v>CI</x:v>
      </x:c>
      <x:c r="K1210" s="172" t="n">
        <x:v>2</x:v>
      </x:c>
      <x:c r="L1210" s="185" t="str">
        <x:v>Não classificado</x:v>
      </x:c>
    </x:row>
    <x:row r="1211">
      <x:c r="A1211" s="175" t="str">
        <x:v>32.321.312/0001-93</x:v>
      </x:c>
      <x:c r="B1211" s="166" t="str">
        <x:v>211 FUNDO DE INVESTIMENTO EM DIREITOS CREDITÓRIOS DE RESPONSABILIDADE LIMITADA</x:v>
      </x:c>
      <x:c r="C1211" s="188" t="n">
        <x:v>86822361.82</x:v>
      </x:c>
      <x:c r="D1211" s="166" t="str">
        <x:v>MAKALU</x:v>
      </x:c>
      <x:c r="E1211" s="166" t="str">
        <x:f>IFERROR(INDEX('Classif Gestoras'!$H$6:$H$462,MATCH(D1211,'Classif Gestoras'!$A$6:$A$462,0)),"Não classificada")</x:f>
        <x:v>Independente</x:v>
      </x:c>
      <x:c r="F1211" s="166" t="str">
        <x:v>BANCO DAYCOVAL S/A</x:v>
      </x:c>
      <x:c r="G1211" s="166" t="str">
        <x:v>BANCO DAYCOVAL S.A.</x:v>
      </x:c>
      <x:c r="H1211" s="166" t="str">
        <x:v>Outros</x:v>
      </x:c>
      <x:c r="I1211" s="166" t="str">
        <x:v>Multicarteira Outros</x:v>
      </x:c>
      <x:c r="J1211" s="166" t="str">
        <x:v>CI</x:v>
      </x:c>
      <x:c r="K1211" s="172" t="n">
        <x:v>1</x:v>
      </x:c>
      <x:c r="L1211" s="185" t="str">
        <x:v>Não classificado</x:v>
      </x:c>
    </x:row>
    <x:row r="1212">
      <x:c r="A1212" s="175" t="str">
        <x:v>58.288.437/0001-52</x:v>
      </x:c>
      <x:c r="B1212" s="166" t="str">
        <x:v>ALTOMAX FUNDO DE INVESTIMENTO EM DIREITOS CREDITÓRIOS SEGMENTO RECEBÍVEIS COMERCIAIS DE RESP LTDA</x:v>
      </x:c>
      <x:c r="C1212" s="188" t="n">
        <x:v>86703238.78</x:v>
      </x:c>
      <x:c r="D1212" s="166" t="str">
        <x:v>Kanastra</x:v>
      </x:c>
      <x:c r="E1212" s="166" t="str">
        <x:f>IFERROR(INDEX('Classif Gestoras'!$H$6:$H$462,MATCH(D1212,'Classif Gestoras'!$A$6:$A$462,0)),"Não classificada")</x:f>
        <x:v>Independente</x:v>
      </x:c>
      <x:c r="F1212" s="166" t="str">
        <x:v>Oliveira Trust DTVM</x:v>
      </x:c>
      <x:c r="G1212" s="166" t="str">
        <x:v>OLIVEIRA TRUST DTVM S.A.</x:v>
      </x:c>
      <x:c r="H1212" s="166" t="str">
        <x:v>Agro, Indústria e Comércio</x:v>
      </x:c>
      <x:c r="I1212" s="166" t="str">
        <x:v>Recebíveis Comerciais</x:v>
      </x:c>
      <x:c r="J1212" s="166" t="str">
        <x:v>CI</x:v>
      </x:c>
      <x:c r="K1212" s="172" t="n">
        <x:v>4</x:v>
      </x:c>
      <x:c r="L1212" s="185" t="str">
        <x:v>Não classificado</x:v>
      </x:c>
    </x:row>
    <x:row r="1213">
      <x:c r="A1213" s="175" t="str">
        <x:v>53.991.455/0001-82</x:v>
      </x:c>
      <x:c r="B1213" s="166" t="str">
        <x:v>SHETLAND FUNDO DE INVESTIMENTO EM DIREITOS CREDITÓRIOS</x:v>
      </x:c>
      <x:c r="C1213" s="188" t="n">
        <x:v>86656491.55</x:v>
      </x:c>
      <x:c r="D1213" s="166" t="str">
        <x:v>LASS CAPITAL</x:v>
      </x:c>
      <x:c r="E1213" s="166" t="str">
        <x:f>IFERROR(INDEX('Classif Gestoras'!$H$6:$H$462,MATCH(D1213,'Classif Gestoras'!$A$6:$A$462,0)),"Não classificada")</x:f>
        <x:v>Independente</x:v>
      </x:c>
      <x:c r="F1213" s="166" t="str">
        <x:v>BTG Pactual Servicos Financeiros S/A DTVM</x:v>
      </x:c>
      <x:c r="G1213" s="166" t="str">
        <x:v>BANCO BTG PACTUAL S/A</x:v>
      </x:c>
      <x:c r="H1213" s="166" t="str">
        <x:v>Outros</x:v>
      </x:c>
      <x:c r="I1213" s="166" t="str">
        <x:v>Poder Público</x:v>
      </x:c>
      <x:c r="J1213" s="166" t="str">
        <x:v>CI</x:v>
      </x:c>
      <x:c r="K1213" s="172" t="n">
        <x:v>1</x:v>
      </x:c>
      <x:c r="L1213" s="185" t="str">
        <x:v>Não classificado</x:v>
      </x:c>
    </x:row>
    <x:row r="1214">
      <x:c r="A1214" s="175" t="str">
        <x:v>42.606.211/0001-12</x:v>
      </x:c>
      <x:c r="B1214" s="166" t="str">
        <x:v>PORTOSEG VEÍCULOS FUNDO DE INVESTIMENTO EM DIREITOS CREDITÓRIOS DE RESPONSABILIDADE LIMITADA</x:v>
      </x:c>
      <x:c r="C1214" s="188" t="n">
        <x:v>86475217.47000001</x:v>
      </x:c>
      <x:c r="D1214" s="166" t="str">
        <x:v>Integral Investimentos</x:v>
      </x:c>
      <x:c r="E1214" s="166" t="str">
        <x:f>IFERROR(INDEX('Classif Gestoras'!$H$6:$H$462,MATCH(D1214,'Classif Gestoras'!$A$6:$A$462,0)),"Não classificada")</x:f>
        <x:v>Independente</x:v>
      </x:c>
      <x:c r="F1214" s="166" t="str">
        <x:v>BANCO DAYCOVAL S/A</x:v>
      </x:c>
      <x:c r="G1214" s="166" t="str">
        <x:v>BANCO DAYCOVAL S.A.</x:v>
      </x:c>
      <x:c r="H1214" s="166" t="str">
        <x:v>Financeiro</x:v>
      </x:c>
      <x:c r="I1214" s="166" t="str">
        <x:v>Financiamento de Veículos</x:v>
      </x:c>
      <x:c r="J1214" s="166" t="str">
        <x:v>CI</x:v>
      </x:c>
      <x:c r="K1214" s="172" t="n">
        <x:v>1</x:v>
      </x:c>
      <x:c r="L1214" s="185" t="str">
        <x:v>Não classificado</x:v>
      </x:c>
    </x:row>
    <x:row r="1215">
      <x:c r="A1215" s="175" t="str">
        <x:v>59.148.481/0001-20</x:v>
      </x:c>
      <x:c r="B1215" s="166" t="str">
        <x:v>GALAPAGOS SPECIAL OPPORTUNITIES RG FUNDO DE INVESTIMENTO EM DIREITOS CREDITÓRIOS - RESP LIMITADA</x:v>
      </x:c>
      <x:c r="C1215" s="188" t="n">
        <x:v>86303590.51</x:v>
      </x:c>
      <x:c r="D1215" s="166" t="str">
        <x:v>Galápagos</x:v>
      </x:c>
      <x:c r="E1215" s="166" t="str">
        <x:f>IFERROR(INDEX('Classif Gestoras'!$H$6:$H$462,MATCH(D1215,'Classif Gestoras'!$A$6:$A$462,0)),"Não classificada")</x:f>
        <x:v>Independente</x:v>
      </x:c>
      <x:c r="F1215" s="166" t="str">
        <x:v>VÓRTX DTVM</x:v>
      </x:c>
      <x:c r="G1215" s="166" t="str">
        <x:v>VORTX DISTRIBUIDORA DE TITULOS E VALORES MOBILIARIOS LTDA.</x:v>
      </x:c>
      <x:c r="H1215" s="166" t="str">
        <x:v>Outros</x:v>
      </x:c>
      <x:c r="I1215" s="166" t="str">
        <x:v>Multicarteira Outros</x:v>
      </x:c>
      <x:c r="J1215" s="166" t="str">
        <x:v>CI</x:v>
      </x:c>
      <x:c r="K1215" s="172" t="n">
        <x:v>5</x:v>
      </x:c>
      <x:c r="L1215" s="185" t="str">
        <x:v>Não classificado</x:v>
      </x:c>
    </x:row>
    <x:row r="1216">
      <x:c r="A1216" s="175" t="str">
        <x:v>59.927.305/0001-96</x:v>
      </x:c>
      <x:c r="B1216" s="166" t="str">
        <x:v>VGR CONSIGNADO FUNDO DE INVESTIMENTO EM DIREITOS CREDITÓRIOS - RESP LIMITADA</x:v>
      </x:c>
      <x:c r="C1216" s="188" t="n">
        <x:v>86121374.10000001</x:v>
      </x:c>
      <x:c r="D1216" s="166" t="str">
        <x:v>VGR - VERONA GESTORA DE RECURSOS LTDA</x:v>
      </x:c>
      <x:c r="E1216" s="166" t="str">
        <x:f>IFERROR(INDEX('Classif Gestoras'!$H$6:$H$462,MATCH(D1216,'Classif Gestoras'!$A$6:$A$462,0)),"Não classificada")</x:f>
        <x:v>Independente</x:v>
      </x:c>
      <x:c r="F1216" s="166" t="str">
        <x:v>HEMERA DTVM</x:v>
      </x:c>
      <x:c r="G1216" s="166" t="str">
        <x:v>HEMERA DISTRIBUIDORA DE TITULOS E VALORES MOBILIARIOS LTDA</x:v>
      </x:c>
      <x:c r="H1216" s="166" t="str">
        <x:v>Financeiro</x:v>
      </x:c>
      <x:c r="I1216" s="166" t="str">
        <x:v>Crédito Consignado</x:v>
      </x:c>
      <x:c r="J1216" s="166" t="str">
        <x:v>CI</x:v>
      </x:c>
      <x:c r="K1216" s="172" t="n">
        <x:v>9</x:v>
      </x:c>
      <x:c r="L1216" s="185" t="str">
        <x:v>Não classificado</x:v>
      </x:c>
    </x:row>
    <x:row r="1217">
      <x:c r="A1217" s="175" t="str">
        <x:v>57.609.282/0001-46</x:v>
      </x:c>
      <x:c r="B1217" s="166" t="str">
        <x:v>CLOUDWALK A.I. FUNDO DE INVESTIMENTO EM DIREITOS CREDITÓRIOS SEGMENTO MEIOS DE PAGAMENTO</x:v>
      </x:c>
      <x:c r="C1217" s="188" t="n">
        <x:v>85760061.59</x:v>
      </x:c>
      <x:c r="D1217" s="166" t="str">
        <x:v>BTG Pactual Asset</x:v>
      </x:c>
      <x:c r="E1217" s="166" t="str">
        <x:f>IFERROR(INDEX('Classif Gestoras'!$H$6:$H$462,MATCH(D1217,'Classif Gestoras'!$A$6:$A$462,0)),"Não classificada")</x:f>
        <x:v>Ligada a banco</x:v>
      </x:c>
      <x:c r="F1217" s="166" t="str">
        <x:v>BTG Pactual Servicos Financeiros S/A DTVM</x:v>
      </x:c>
      <x:c r="G1217" s="166" t="str">
        <x:v>BANCO BTG PACTUAL S/A</x:v>
      </x:c>
      <x:c r="H1217" s="166" t="str">
        <x:v>Agro, Indústria e Comércio</x:v>
      </x:c>
      <x:c r="I1217" s="166" t="str">
        <x:v>Recebíveis Comerciais</x:v>
      </x:c>
      <x:c r="J1217" s="166" t="str">
        <x:v>CI</x:v>
      </x:c>
      <x:c r="K1217" s="172" t="n">
        <x:v>15</x:v>
      </x:c>
      <x:c r="L1217" s="185" t="str">
        <x:v>Não classificado</x:v>
      </x:c>
    </x:row>
    <x:row r="1218">
      <x:c r="A1218" s="175" t="str">
        <x:v>62.627.243/0001-01</x:v>
      </x:c>
      <x:c r="B1218" s="166" t="str">
        <x:v>LEVER I FGTS FUNDO DE INVESTIMENTO EM DIREITOS CREDITÓRIOS</x:v>
      </x:c>
      <x:c r="C1218" s="188" t="n">
        <x:v>85570334.15000002</x:v>
      </x:c>
      <x:c r="D1218" s="166" t="str">
        <x:v>QI GESTAO DE RECURSOS LTDA</x:v>
      </x:c>
      <x:c r="E1218" s="166" t="str">
        <x:f>IFERROR(INDEX('Classif Gestoras'!$H$6:$H$462,MATCH(D1218,'Classif Gestoras'!$A$6:$A$462,0)),"Não classificada")</x:f>
        <x:v>Independente</x:v>
      </x:c>
      <x:c r="F1218" s="166" t="str">
        <x:v>Singulare</x:v>
      </x:c>
      <x:c r="G1218" s="166" t="str">
        <x:v>QI CORRETORA DE TÍTULOS E VALORES MOBILIÁRIOS S.A.</x:v>
      </x:c>
      <x:c r="H1218" s="166" t="str">
        <x:v>Outros</x:v>
      </x:c>
      <x:c r="I1218" s="166" t="str">
        <x:v>Multicarteira Outros</x:v>
      </x:c>
      <x:c r="J1218" s="166" t="str">
        <x:v>CI</x:v>
      </x:c>
      <x:c r="K1218" s="172" t="n">
        <x:v>20</x:v>
      </x:c>
      <x:c r="L1218" s="185" t="str">
        <x:v>Não classificado</x:v>
      </x:c>
    </x:row>
    <x:row r="1219">
      <x:c r="A1219" s="175" t="str">
        <x:v>61.927.592/0001-86</x:v>
      </x:c>
      <x:c r="B1219" s="166" t="str">
        <x:v>WELLGROW FUNDO DE INVESTIMENTO EM DIREITOS CREDITÓRIOS - RESPONSABILIDADE LIMITADA</x:v>
      </x:c>
      <x:c r="C1219" s="188" t="n">
        <x:v>85543950.64</x:v>
      </x:c>
      <x:c r="D1219" s="166" t="str">
        <x:v>Galápagos</x:v>
      </x:c>
      <x:c r="E1219" s="166" t="str">
        <x:f>IFERROR(INDEX('Classif Gestoras'!$H$6:$H$462,MATCH(D1219,'Classif Gestoras'!$A$6:$A$462,0)),"Não classificada")</x:f>
        <x:v>Independente</x:v>
      </x:c>
      <x:c r="F1219" s="166" t="str">
        <x:v>Singulare</x:v>
      </x:c>
      <x:c r="G1219" s="166" t="str">
        <x:v>QI CORRETORA DE TÍTULOS E VALORES MOBILIÁRIOS S.A.</x:v>
      </x:c>
      <x:c r="H1219" s="166" t="str">
        <x:v>Fomento Mercantil</x:v>
      </x:c>
      <x:c r="I1219" s="166" t="str">
        <x:v>Fomento Mercantil</x:v>
      </x:c>
      <x:c r="J1219" s="166" t="str">
        <x:v>CI</x:v>
      </x:c>
      <x:c r="K1219" s="172" t="n">
        <x:v>22</x:v>
      </x:c>
      <x:c r="L1219" s="185" t="str">
        <x:v>Não classificado</x:v>
      </x:c>
    </x:row>
    <x:row r="1220">
      <x:c r="A1220" s="175" t="str">
        <x:v>47.117.716/0001-37</x:v>
      </x:c>
      <x:c r="B1220" s="166" t="str">
        <x:v>MCC FUNDO DE INVESTIMENTO EM DIREITOS CREDITÓRIOS - RESPONSABILIDADE LIMITADA</x:v>
      </x:c>
      <x:c r="C1220" s="188" t="n">
        <x:v>85496158.71</x:v>
      </x:c>
      <x:c r="D1220" s="166" t="str">
        <x:v>Solis</x:v>
      </x:c>
      <x:c r="E1220" s="166" t="str">
        <x:f>IFERROR(INDEX('Classif Gestoras'!$H$6:$H$462,MATCH(D1220,'Classif Gestoras'!$A$6:$A$462,0)),"Não classificada")</x:f>
        <x:v>Independente</x:v>
      </x:c>
      <x:c r="F1220" s="166" t="str">
        <x:v>HEMERA DTVM</x:v>
      </x:c>
      <x:c r="G1220" s="166" t="str">
        <x:v>HEMERA DISTRIBUIDORA DE TITULOS E VALORES MOBILIARIOS LTDA</x:v>
      </x:c>
      <x:c r="H1220" s="166" t="str">
        <x:v>Financeiro</x:v>
      </x:c>
      <x:c r="I1220" s="166" t="str">
        <x:v>Crédito Consignado</x:v>
      </x:c>
      <x:c r="J1220" s="166" t="str">
        <x:v>CI</x:v>
      </x:c>
      <x:c r="K1220" s="172" t="n">
        <x:v>19</x:v>
      </x:c>
      <x:c r="L1220" s="185" t="str">
        <x:v>Não classificado</x:v>
      </x:c>
    </x:row>
    <x:row r="1221">
      <x:c r="A1221" s="175" t="str">
        <x:v>59.175.559/0001-03</x:v>
      </x:c>
      <x:c r="B1221" s="166" t="str">
        <x:v>SCAN FUNDO DE INVESTIMENTO EM DIREITOS CREDITÓRIOS - RESPONSABILIDADE LIMITADA</x:v>
      </x:c>
      <x:c r="C1221" s="188" t="n">
        <x:v>85467959.39999999</x:v>
      </x:c>
      <x:c r="D1221" s="166" t="str">
        <x:v>Brave Asset</x:v>
      </x:c>
      <x:c r="E1221" s="166" t="str">
        <x:f>IFERROR(INDEX('Classif Gestoras'!$H$6:$H$462,MATCH(D1221,'Classif Gestoras'!$A$6:$A$462,0)),"Não classificada")</x:f>
        <x:v>Independente</x:v>
      </x:c>
      <x:c r="F1221" s="166" t="str">
        <x:v>VÓRTX DTVM</x:v>
      </x:c>
      <x:c r="G1221" s="166" t="str">
        <x:v>VORTX DISTRIBUIDORA DE TITULOS E VALORES MOBILIARIOS LTDA.</x:v>
      </x:c>
      <x:c r="H1221" s="166" t="str">
        <x:v>Financeiro</x:v>
      </x:c>
      <x:c r="I1221" s="166" t="str">
        <x:v>Multicarteira Financeiro</x:v>
      </x:c>
      <x:c r="J1221" s="166" t="str">
        <x:v>CI</x:v>
      </x:c>
      <x:c r="K1221" s="172" t="n">
        <x:v>8</x:v>
      </x:c>
      <x:c r="L1221" s="185" t="str">
        <x:v>Não classificado</x:v>
      </x:c>
    </x:row>
    <x:row r="1222">
      <x:c r="A1222" s="175" t="str">
        <x:v>54.422.066/0001-07</x:v>
      </x:c>
      <x:c r="B1222" s="166" t="str">
        <x:v>MULTINVEST ALOCAÇÃO FIC FIDC DE RESPONSABILIDADE LIMITADA</x:v>
      </x:c>
      <x:c r="C1222" s="188" t="n">
        <x:v>85020321.42</x:v>
      </x:c>
      <x:c r="D1222" s="166" t="str">
        <x:v>Multinvest Capital</x:v>
      </x:c>
      <x:c r="E1222" s="166" t="str">
        <x:f>IFERROR(INDEX('Classif Gestoras'!$H$6:$H$462,MATCH(D1222,'Classif Gestoras'!$A$6:$A$462,0)),"Não classificada")</x:f>
        <x:v>Independente</x:v>
      </x:c>
      <x:c r="F1222" s="166" t="str">
        <x:v>BANCO DAYCOVAL S/A</x:v>
      </x:c>
      <x:c r="G1222" s="166" t="str">
        <x:v>BANCO DAYCOVAL S.A.</x:v>
      </x:c>
      <x:c r="H1222" s="166" t="str">
        <x:v>Outros</x:v>
      </x:c>
      <x:c r="I1222" s="166" t="str">
        <x:v>Multicarteira Outros</x:v>
      </x:c>
      <x:c r="J1222" s="166" t="str">
        <x:v>CI</x:v>
      </x:c>
      <x:c r="K1222" s="172" t="n">
        <x:v>564</x:v>
      </x:c>
      <x:c r="L1222" s="185" t="str">
        <x:v>Não classificado</x:v>
      </x:c>
    </x:row>
    <x:row r="1223">
      <x:c r="A1223" s="175" t="str">
        <x:v>47.847.106/0001-99</x:v>
      </x:c>
      <x:c r="B1223" s="166" t="str">
        <x:v>MOBI FUNDO DE INVESTIMENTO EM DIREITOS CREDITÓRIOS</x:v>
      </x:c>
      <x:c r="C1223" s="188" t="n">
        <x:v>84800505.63</x:v>
      </x:c>
      <x:c r="D1223" s="166" t="str">
        <x:v>TERCON ASSET MANAGEMENT</x:v>
      </x:c>
      <x:c r="E1223" s="166" t="str">
        <x:f>IFERROR(INDEX('Classif Gestoras'!$H$6:$H$462,MATCH(D1223,'Classif Gestoras'!$A$6:$A$462,0)),"Não classificada")</x:f>
        <x:v>Independente</x:v>
      </x:c>
      <x:c r="F1223" s="166" t="str">
        <x:v>Singulare</x:v>
      </x:c>
      <x:c r="G1223" s="166" t="str">
        <x:v>QI CORRETORA DE TÍTULOS E VALORES MOBILIÁRIOS S.A.</x:v>
      </x:c>
      <x:c r="H1223" s="166" t="str">
        <x:v>Fomento Mercantil</x:v>
      </x:c>
      <x:c r="I1223" s="166" t="str">
        <x:v>Fomento Mercantil</x:v>
      </x:c>
      <x:c r="J1223" s="166" t="str">
        <x:v>CI</x:v>
      </x:c>
      <x:c r="K1223" s="172" t="n">
        <x:v>39</x:v>
      </x:c>
      <x:c r="L1223" s="185" t="str">
        <x:v>Não classificado</x:v>
      </x:c>
    </x:row>
    <x:row r="1224">
      <x:c r="A1224" s="175" t="str">
        <x:v>62.084.270/0001-85</x:v>
      </x:c>
      <x:c r="B1224" s="166" t="str">
        <x:v>SORACHI FUNDO DE INVESTIMENTO EM DIREITOS CREDITÓRIOS</x:v>
      </x:c>
      <x:c r="C1224" s="188" t="n">
        <x:v>84630978.47999999</x:v>
      </x:c>
      <x:c r="D1224" s="166" t="str">
        <x:v>Trius Capital</x:v>
      </x:c>
      <x:c r="E1224" s="166" t="str">
        <x:f>IFERROR(INDEX('Classif Gestoras'!$H$6:$H$462,MATCH(D1224,'Classif Gestoras'!$A$6:$A$462,0)),"Não classificada")</x:f>
        <x:v>Independente</x:v>
      </x:c>
      <x:c r="F1224" s="166" t="str">
        <x:v>BTG Pactual Servicos Financeiros S/A DTVM</x:v>
      </x:c>
      <x:c r="G1224" s="166" t="str">
        <x:v>BANCO BTG PACTUAL S/A</x:v>
      </x:c>
      <x:c r="H1224" s="166" t="str">
        <x:v>Outros</x:v>
      </x:c>
      <x:c r="I1224" s="166" t="str">
        <x:v>Multicarteira Outros</x:v>
      </x:c>
      <x:c r="J1224" s="166" t="str">
        <x:v>CI</x:v>
      </x:c>
      <x:c r="K1224" s="172" t="n">
        <x:v>1</x:v>
      </x:c>
      <x:c r="L1224" s="185" t="str">
        <x:v>Não classificado</x:v>
      </x:c>
    </x:row>
    <x:row r="1225">
      <x:c r="A1225" s="175" t="str">
        <x:v>28.240.255/0001-40</x:v>
      </x:c>
      <x:c r="B1225" s="166" t="str">
        <x:v>MARINO INVEST FUNDO DE INVESTIMENTO EM DIREITOS CREDITÓRIOS NÃO-PADRONIZADOS RESP LIMITADA</x:v>
      </x:c>
      <x:c r="C1225" s="188" t="n">
        <x:v>83973856.03</x:v>
      </x:c>
      <x:c r="D1225" s="166" t="str">
        <x:v>Tyr Gestao de Recursos Ltda</x:v>
      </x:c>
      <x:c r="E1225" s="166" t="str">
        <x:f>IFERROR(INDEX('Classif Gestoras'!$H$6:$H$462,MATCH(D1225,'Classif Gestoras'!$A$6:$A$462,0)),"Não classificada")</x:f>
        <x:v>Independente</x:v>
      </x:c>
      <x:c r="F1225" s="166" t="str">
        <x:v>ID Corretora de Títulos e Valores Mobiliários S.A.</x:v>
      </x:c>
      <x:c r="G1225" s="166" t="str">
        <x:v>ID CORRETORA DE TITULOS E VALORES MOBILIARIOS S.A.</x:v>
      </x:c>
      <x:c r="H1225" s="166" t="str">
        <x:v>Fomento Mercantil</x:v>
      </x:c>
      <x:c r="I1225" s="166" t="str">
        <x:v>Fomento Mercantil</x:v>
      </x:c>
      <x:c r="J1225" s="166" t="str">
        <x:v>CI</x:v>
      </x:c>
      <x:c r="K1225" s="172" t="n">
        <x:v>1</x:v>
      </x:c>
      <x:c r="L1225" s="185" t="str">
        <x:v>Não classificado</x:v>
      </x:c>
    </x:row>
    <x:row r="1226">
      <x:c r="A1226" s="175" t="str">
        <x:v>57.624.406/0001-62</x:v>
      </x:c>
      <x:c r="B1226" s="166" t="str">
        <x:v>FUNDO DE INVESTIMENTO EM DIREITOS CREDITÓRIOS CONSÓRCIOS EXTERNOS - RESPONSABILIDADE LIMITADA</x:v>
      </x:c>
      <x:c r="C1226" s="188" t="n">
        <x:v>83880986.64999999</x:v>
      </x:c>
      <x:c r="D1226" s="166" t="str">
        <x:v>TERA CAPITAL</x:v>
      </x:c>
      <x:c r="E1226" s="166" t="str">
        <x:f>IFERROR(INDEX('Classif Gestoras'!$H$6:$H$462,MATCH(D1226,'Classif Gestoras'!$A$6:$A$462,0)),"Não classificada")</x:f>
        <x:v>Independente</x:v>
      </x:c>
      <x:c r="F1226" s="166" t="str">
        <x:v>BANCO DAYCOVAL S/A</x:v>
      </x:c>
      <x:c r="G1226" s="166" t="str">
        <x:v>BANCO DAYCOVAL S.A.</x:v>
      </x:c>
      <x:c r="H1226" s="166" t="str">
        <x:v>Outros</x:v>
      </x:c>
      <x:c r="I1226" s="166" t="str">
        <x:v>Multicarteira Outros</x:v>
      </x:c>
      <x:c r="J1226" s="166" t="str">
        <x:v>CI</x:v>
      </x:c>
      <x:c r="K1226" s="172" t="n">
        <x:v>1</x:v>
      </x:c>
      <x:c r="L1226" s="185" t="str">
        <x:v>Não classificado</x:v>
      </x:c>
    </x:row>
    <x:row r="1227">
      <x:c r="A1227" s="175" t="str">
        <x:v>39.794.865/0001-02</x:v>
      </x:c>
      <x:c r="B1227" s="166" t="str">
        <x:v>APTA INVEST FUNDO DE INVESTIMENTO EM DIREITOS CREDITÓRIOS</x:v>
      </x:c>
      <x:c r="C1227" s="188" t="n">
        <x:v>83820043.72000001</x:v>
      </x:c>
      <x:c r="D1227" s="166" t="str">
        <x:v>TERCON ASSET MANAGEMENT</x:v>
      </x:c>
      <x:c r="E1227" s="166" t="str">
        <x:f>IFERROR(INDEX('Classif Gestoras'!$H$6:$H$462,MATCH(D1227,'Classif Gestoras'!$A$6:$A$462,0)),"Não classificada")</x:f>
        <x:v>Independente</x:v>
      </x:c>
      <x:c r="F1227" s="166" t="str">
        <x:v>Singulare</x:v>
      </x:c>
      <x:c r="G1227" s="166" t="str">
        <x:v>QI CORRETORA DE TÍTULOS E VALORES MOBILIÁRIOS S.A.</x:v>
      </x:c>
      <x:c r="H1227" s="166" t="str">
        <x:v>Fomento Mercantil</x:v>
      </x:c>
      <x:c r="I1227" s="166" t="str">
        <x:v>Fomento Mercantil</x:v>
      </x:c>
      <x:c r="J1227" s="166" t="str">
        <x:v>CI</x:v>
      </x:c>
      <x:c r="K1227" s="172" t="n">
        <x:v>7</x:v>
      </x:c>
      <x:c r="L1227" s="185" t="str">
        <x:v>Não classificado</x:v>
      </x:c>
    </x:row>
    <x:row r="1228">
      <x:c r="A1228" s="175" t="str">
        <x:v>47.463.397/0001-11</x:v>
      </x:c>
      <x:c r="B1228" s="166" t="str">
        <x:v>ARTESANAL CONSIGNADO PRIVADO FUNDO DE INVESTIMENTO EM DIREITOS CREDITÓRIOS - RESPONSABILIDADE LIMITA</x:v>
      </x:c>
      <x:c r="C1228" s="188" t="n">
        <x:v>83741022.18</x:v>
      </x:c>
      <x:c r="D1228" s="166" t="str">
        <x:v>ARTESANAL FINANCEIRO</x:v>
      </x:c>
      <x:c r="E1228" s="166" t="str">
        <x:f>IFERROR(INDEX('Classif Gestoras'!$H$6:$H$462,MATCH(D1228,'Classif Gestoras'!$A$6:$A$462,0)),"Não classificada")</x:f>
        <x:v>Independente</x:v>
      </x:c>
      <x:c r="F1228" s="166" t="str">
        <x:v>Singulare</x:v>
      </x:c>
      <x:c r="G1228" s="166" t="str">
        <x:v>QI CORRETORA DE TÍTULOS E VALORES MOBILIÁRIOS S.A.</x:v>
      </x:c>
      <x:c r="H1228" s="166" t="str">
        <x:v>Outros</x:v>
      </x:c>
      <x:c r="I1228" s="166" t="str">
        <x:v>Multicarteira Outros</x:v>
      </x:c>
      <x:c r="J1228" s="166" t="str">
        <x:v>CI</x:v>
      </x:c>
      <x:c r="K1228" s="172" t="n">
        <x:v>6</x:v>
      </x:c>
      <x:c r="L1228" s="185" t="str">
        <x:v>Não classificado</x:v>
      </x:c>
    </x:row>
    <x:row r="1229">
      <x:c r="A1229" s="175" t="str">
        <x:v>37.720.508/0001-74</x:v>
      </x:c>
      <x:c r="B1229" s="166" t="str">
        <x:v>PEREGRINE BRAZIL - FUNDO DE INVESTIMENTO EM DIREITOS CREDITÓRIOS</x:v>
      </x:c>
      <x:c r="C1229" s="188" t="n">
        <x:v>83703554.35000001</x:v>
      </x:c>
      <x:c r="D1229" s="166" t="str">
        <x:v>Journey Capital Administração</x:v>
      </x:c>
      <x:c r="E1229" s="166" t="str">
        <x:f>IFERROR(INDEX('Classif Gestoras'!$H$6:$H$462,MATCH(D1229,'Classif Gestoras'!$A$6:$A$462,0)),"Não classificada")</x:f>
        <x:v>Independente</x:v>
      </x:c>
      <x:c r="F1229" s="166" t="str">
        <x:v>MAF Distribuidora de Títulos e Valores Mobiliários S.A.</x:v>
      </x:c>
      <x:c r="G1229" s="166" t="str">
        <x:v>MAF DISTRIBUIDORA DE TITULOS E VALORES MOBILIARIOS S.A.</x:v>
      </x:c>
      <x:c r="H1229" s="166" t="str">
        <x:v>Outros</x:v>
      </x:c>
      <x:c r="I1229" s="166" t="str">
        <x:v>Poder Público</x:v>
      </x:c>
      <x:c r="J1229" s="166" t="str">
        <x:v>CI</x:v>
      </x:c>
      <x:c r="K1229" s="172" t="n">
        <x:v>1</x:v>
      </x:c>
      <x:c r="L1229" s="185" t="str">
        <x:v>Não classificado</x:v>
      </x:c>
    </x:row>
    <x:row r="1230">
      <x:c r="A1230" s="175" t="str">
        <x:v>60.058.603/0001-76</x:v>
      </x:c>
      <x:c r="B1230" s="166" t="str">
        <x:v>IATROS FUNDO DE INVESTIMENTO EM DIREITOS CREDITÓRIOS - RESPONSABILIDADE LIMITADA</x:v>
      </x:c>
      <x:c r="C1230" s="188" t="n">
        <x:v>83545944.01545</x:v>
      </x:c>
      <x:c r="D1230" s="166" t="str">
        <x:v>ARTESANAL MCMS</x:v>
      </x:c>
      <x:c r="E1230" s="166" t="str">
        <x:f>IFERROR(INDEX('Classif Gestoras'!$H$6:$H$462,MATCH(D1230,'Classif Gestoras'!$A$6:$A$462,0)),"Não classificada")</x:f>
        <x:v>Independente</x:v>
      </x:c>
      <x:c r="F1230" s="166" t="str">
        <x:v>Singulare</x:v>
      </x:c>
      <x:c r="G1230" s="166" t="str">
        <x:v>QI CORRETORA DE TÍTULOS E VALORES MOBILIÁRIOS S.A.</x:v>
      </x:c>
      <x:c r="H1230" s="166" t="str">
        <x:v>Fomento Mercantil</x:v>
      </x:c>
      <x:c r="I1230" s="166" t="str">
        <x:v>Fomento Mercantil</x:v>
      </x:c>
      <x:c r="J1230" s="166" t="str">
        <x:v>CI</x:v>
      </x:c>
      <x:c r="K1230" s="172" t="n">
        <x:v>4</x:v>
      </x:c>
      <x:c r="L1230" s="185" t="str">
        <x:v>Não classificado</x:v>
      </x:c>
    </x:row>
    <x:row r="1231">
      <x:c r="A1231" s="175" t="str">
        <x:v>11.122.821/0001-17</x:v>
      </x:c>
      <x:c r="B1231" s="166" t="str">
        <x:v>SL FUNDO DE INVESTIMENTO EM DIREITOS CREDITORIOS MULTISSETORIAL</x:v>
      </x:c>
      <x:c r="C1231" s="188" t="n">
        <x:v>83537604.57</x:v>
      </x:c>
      <x:c r="D1231" s="166" t="str">
        <x:v>Solis</x:v>
      </x:c>
      <x:c r="E1231" s="166" t="str">
        <x:f>IFERROR(INDEX('Classif Gestoras'!$H$6:$H$462,MATCH(D1231,'Classif Gestoras'!$A$6:$A$462,0)),"Não classificada")</x:f>
        <x:v>Independente</x:v>
      </x:c>
      <x:c r="F1231" s="166" t="str">
        <x:v>Singulare</x:v>
      </x:c>
      <x:c r="G1231" s="166" t="str">
        <x:v>QI CORRETORA DE TÍTULOS E VALORES MOBILIÁRIOS S.A.</x:v>
      </x:c>
      <x:c r="H1231" s="166" t="str">
        <x:v>Fomento Mercantil</x:v>
      </x:c>
      <x:c r="I1231" s="166" t="str">
        <x:v>Fomento Mercantil</x:v>
      </x:c>
      <x:c r="J1231" s="166" t="str">
        <x:v>CI</x:v>
      </x:c>
      <x:c r="K1231" s="172" t="n">
        <x:v>35</x:v>
      </x:c>
      <x:c r="L1231" s="185" t="str">
        <x:v>Não classificado</x:v>
      </x:c>
    </x:row>
    <x:row r="1232">
      <x:c r="A1232" s="175" t="str">
        <x:v>61.621.980/0001-34</x:v>
      </x:c>
      <x:c r="B1232" s="166" t="str">
        <x:v>SARFATY PRIVATE CREDIT FUNDO DE INVESTIMENTO EM DIREITOS CREDITÓRIOS - RESPONSABILIDADE LIMITADA</x:v>
      </x:c>
      <x:c r="C1232" s="188" t="n">
        <x:v>83169929.21</x:v>
      </x:c>
      <x:c r="D1232" s="166" t="str">
        <x:v>SARFATY ASSET</x:v>
      </x:c>
      <x:c r="E1232" s="166" t="str">
        <x:f>IFERROR(INDEX('Classif Gestoras'!$H$6:$H$462,MATCH(D1232,'Classif Gestoras'!$A$6:$A$462,0)),"Não classificada")</x:f>
        <x:v>Independente</x:v>
      </x:c>
      <x:c r="F1232" s="166" t="str">
        <x:v>HEMERA DTVM</x:v>
      </x:c>
      <x:c r="G1232" s="166" t="str">
        <x:v>HEMERA DISTRIBUIDORA DE TITULOS E VALORES MOBILIARIOS LTDA</x:v>
      </x:c>
      <x:c r="H1232" s="166" t="str">
        <x:v>Fomento Mercantil</x:v>
      </x:c>
      <x:c r="I1232" s="166" t="str">
        <x:v>Fomento Mercantil</x:v>
      </x:c>
      <x:c r="J1232" s="166" t="str">
        <x:v>CI</x:v>
      </x:c>
      <x:c r="K1232" s="172" t="n">
        <x:v>30</x:v>
      </x:c>
      <x:c r="L1232" s="185" t="str">
        <x:v>Não classificado</x:v>
      </x:c>
    </x:row>
    <x:row r="1233">
      <x:c r="A1233" s="175" t="str">
        <x:v>31.772.157/0001-69</x:v>
      </x:c>
      <x:c r="B1233" s="166" t="str">
        <x:v>SERRA DO MAR FUNDO DE INVESTIMENTO EM DIREITOS CREDITÓRIOS</x:v>
      </x:c>
      <x:c r="C1233" s="188" t="n">
        <x:v>83115804.66000001</x:v>
      </x:c>
      <x:c r="D1233" s="166" t="str">
        <x:v>Redwood Asset Management</x:v>
      </x:c>
      <x:c r="E1233" s="166" t="str">
        <x:f>IFERROR(INDEX('Classif Gestoras'!$H$6:$H$462,MATCH(D1233,'Classif Gestoras'!$A$6:$A$462,0)),"Não classificada")</x:f>
        <x:v>Independente</x:v>
      </x:c>
      <x:c r="F1233" s="166" t="str">
        <x:v>PLANNER CV</x:v>
      </x:c>
      <x:c r="G1233" s="166" t="str">
        <x:v>PLANNER CORRETORA DE VALORES S.A.</x:v>
      </x:c>
      <x:c r="H1233" s="166" t="str">
        <x:v>Outros</x:v>
      </x:c>
      <x:c r="I1233" s="166" t="str">
        <x:v>Multicarteira Outros</x:v>
      </x:c>
      <x:c r="J1233" s="166" t="str">
        <x:v>CI</x:v>
      </x:c>
      <x:c r="K1233" s="172" t="n">
        <x:v>1</x:v>
      </x:c>
      <x:c r="L1233" s="185" t="str">
        <x:v>Não classificado</x:v>
      </x:c>
    </x:row>
    <x:row r="1234">
      <x:c r="A1234" s="175" t="str">
        <x:v>10.810.396/0001-96</x:v>
      </x:c>
      <x:c r="B1234" s="166" t="str">
        <x:v>CORPORE FUNDO DE INVESTIMENTO EM DIREITOS CREDITÓRIOS MULTISSETORIAL</x:v>
      </x:c>
      <x:c r="C1234" s="188" t="n">
        <x:v>83013127.63</x:v>
      </x:c>
      <x:c r="D1234" s="166" t="str">
        <x:v>TERCON ASSET MANAGEMENT</x:v>
      </x:c>
      <x:c r="E1234" s="166" t="str">
        <x:f>IFERROR(INDEX('Classif Gestoras'!$H$6:$H$462,MATCH(D1234,'Classif Gestoras'!$A$6:$A$462,0)),"Não classificada")</x:f>
        <x:v>Independente</x:v>
      </x:c>
      <x:c r="F1234" s="166" t="str">
        <x:v>Singulare</x:v>
      </x:c>
      <x:c r="G1234" s="166" t="str">
        <x:v>QI CORRETORA DE TÍTULOS E VALORES MOBILIÁRIOS S.A.</x:v>
      </x:c>
      <x:c r="H1234" s="166" t="str">
        <x:v>Fomento Mercantil</x:v>
      </x:c>
      <x:c r="I1234" s="166" t="str">
        <x:v>Fomento Mercantil</x:v>
      </x:c>
      <x:c r="J1234" s="166" t="str">
        <x:v>CI</x:v>
      </x:c>
      <x:c r="K1234" s="172" t="n">
        <x:v>6</x:v>
      </x:c>
      <x:c r="L1234" s="185" t="str">
        <x:v>Não classificado</x:v>
      </x:c>
    </x:row>
    <x:row r="1235">
      <x:c r="A1235" s="175" t="str">
        <x:v>54.681.307/0001-24</x:v>
      </x:c>
      <x:c r="B1235" s="166" t="str">
        <x:v>QUATTUOR FUNDO DE INVESTIMENTO EM DIREITOS CREDITÓRIOS</x:v>
      </x:c>
      <x:c r="C1235" s="188" t="n">
        <x:v>82999291.44999999</x:v>
      </x:c>
      <x:c r="D1235" s="166" t="str">
        <x:v>ORRAM GESTÃO DE RECURSOS LTDA.</x:v>
      </x:c>
      <x:c r="E1235" s="166" t="str">
        <x:f>IFERROR(INDEX('Classif Gestoras'!$H$6:$H$462,MATCH(D1235,'Classif Gestoras'!$A$6:$A$462,0)),"Não classificada")</x:f>
        <x:v>Independente</x:v>
      </x:c>
      <x:c r="F1235" s="166" t="str">
        <x:v>Singulare</x:v>
      </x:c>
      <x:c r="G1235" s="166" t="str">
        <x:v>QI CORRETORA DE TÍTULOS E VALORES MOBILIÁRIOS S.A.</x:v>
      </x:c>
      <x:c r="H1235" s="166" t="str">
        <x:v>Agro, Indústria e Comércio</x:v>
      </x:c>
      <x:c r="I1235" s="166" t="str">
        <x:v>Multicarteira Agro, Indústria e Comércio</x:v>
      </x:c>
      <x:c r="J1235" s="166" t="str">
        <x:v>CI</x:v>
      </x:c>
      <x:c r="K1235" s="172" t="n">
        <x:v>10</x:v>
      </x:c>
      <x:c r="L1235" s="185" t="str">
        <x:v>Não classificado</x:v>
      </x:c>
    </x:row>
    <x:row r="1236">
      <x:c r="A1236" s="175" t="str">
        <x:v>28.879.551/0001-96</x:v>
      </x:c>
      <x:c r="B1236" s="166" t="str">
        <x:v>NOVAX FUNDO DE INVESTIMENTO EM DIREITOS CREDITORIOS NÃO PADRONIZADOS</x:v>
      </x:c>
      <x:c r="C1236" s="188" t="n">
        <x:v>82970976.02</x:v>
      </x:c>
      <x:c r="D1236" s="166" t="str">
        <x:v>TERCON ASSET MANAGEMENT</x:v>
      </x:c>
      <x:c r="E1236" s="166" t="str">
        <x:f>IFERROR(INDEX('Classif Gestoras'!$H$6:$H$462,MATCH(D1236,'Classif Gestoras'!$A$6:$A$462,0)),"Não classificada")</x:f>
        <x:v>Independente</x:v>
      </x:c>
      <x:c r="F1236" s="166" t="str">
        <x:v>Singulare</x:v>
      </x:c>
      <x:c r="G1236" s="166" t="str">
        <x:v>QI CORRETORA DE TÍTULOS E VALORES MOBILIÁRIOS S.A.</x:v>
      </x:c>
      <x:c r="H1236" s="166" t="str">
        <x:v>Fomento Mercantil</x:v>
      </x:c>
      <x:c r="I1236" s="166" t="str">
        <x:v>Fomento Mercantil</x:v>
      </x:c>
      <x:c r="J1236" s="166" t="str">
        <x:v>CI</x:v>
      </x:c>
      <x:c r="K1236" s="172" t="n">
        <x:v>1</x:v>
      </x:c>
      <x:c r="L1236" s="185" t="str">
        <x:v>Não classificado</x:v>
      </x:c>
    </x:row>
    <x:row r="1237">
      <x:c r="A1237" s="175" t="str">
        <x:v>39.722.215/0001-51</x:v>
      </x:c>
      <x:c r="B1237" s="166" t="str">
        <x:v>FIRMA FUNDO DE INVESTIMENTO EM DIREITOS CREDITÓRIOS PADRONIZADOS I</x:v>
      </x:c>
      <x:c r="C1237" s="188" t="n">
        <x:v>82915470.44</x:v>
      </x:c>
      <x:c r="D1237" s="166" t="str">
        <x:v>V8 Capital</x:v>
      </x:c>
      <x:c r="E1237" s="166" t="str">
        <x:f>IFERROR(INDEX('Classif Gestoras'!$H$6:$H$462,MATCH(D1237,'Classif Gestoras'!$A$6:$A$462,0)),"Não classificada")</x:f>
        <x:v>Independente</x:v>
      </x:c>
      <x:c r="F1237" s="166" t="str">
        <x:v>Singulare</x:v>
      </x:c>
      <x:c r="G1237" s="166" t="str">
        <x:v>QI CORRETORA DE TÍTULOS E VALORES MOBILIÁRIOS S.A.</x:v>
      </x:c>
      <x:c r="H1237" s="166" t="str">
        <x:v>Fomento Mercantil</x:v>
      </x:c>
      <x:c r="I1237" s="166" t="str">
        <x:v>Fomento Mercantil</x:v>
      </x:c>
      <x:c r="J1237" s="166" t="str">
        <x:v>CI</x:v>
      </x:c>
      <x:c r="K1237" s="172" t="n">
        <x:v>31</x:v>
      </x:c>
      <x:c r="L1237" s="185" t="str">
        <x:v>Não classificado</x:v>
      </x:c>
    </x:row>
    <x:row r="1238">
      <x:c r="A1238" s="175" t="str">
        <x:v>13.895.002/0001-38</x:v>
      </x:c>
      <x:c r="B1238" s="166" t="str">
        <x:v>POLICARD II FUNDO DE INVESTIMENTO EM DIREITOS CREDITÓRIOS RESPONSABILIDADE LIMITADA</x:v>
      </x:c>
      <x:c r="C1238" s="188" t="n">
        <x:v>82825505.4</x:v>
      </x:c>
      <x:c r="D1238" s="166" t="str">
        <x:v>WNT Gestora de Recursos Ltda.</x:v>
      </x:c>
      <x:c r="E1238" s="166" t="str">
        <x:f>IFERROR(INDEX('Classif Gestoras'!$H$6:$H$462,MATCH(D1238,'Classif Gestoras'!$A$6:$A$462,0)),"Não classificada")</x:f>
        <x:v>Independente</x:v>
      </x:c>
      <x:c r="F1238" s="166" t="str">
        <x:v>Oliveira Trust DTVM</x:v>
      </x:c>
      <x:c r="G1238" s="166" t="str">
        <x:v>OLIVEIRA TRUST DTVM S.A.</x:v>
      </x:c>
      <x:c r="H1238" s="166" t="str">
        <x:v>Financeiro</x:v>
      </x:c>
      <x:c r="I1238" s="166" t="str">
        <x:v>Crédito Consignado</x:v>
      </x:c>
      <x:c r="J1238" s="166" t="str">
        <x:v>CI</x:v>
      </x:c>
      <x:c r="K1238" s="172" t="n">
        <x:v>1</x:v>
      </x:c>
      <x:c r="L1238" s="185" t="str">
        <x:v>Não classificado</x:v>
      </x:c>
    </x:row>
    <x:row r="1239">
      <x:c r="A1239" s="175" t="str">
        <x:v>22.003.546/0001-39</x:v>
      </x:c>
      <x:c r="B1239" s="166" t="str">
        <x:v>CNPJ 22003546000139</x:v>
      </x:c>
      <x:c r="C1239" s="188" t="n">
        <x:v>82761439.57</x:v>
      </x:c>
      <x:c r="D1239" s="166" t="str">
        <x:v>Blue Solutions</x:v>
      </x:c>
      <x:c r="E1239" s="166" t="str">
        <x:f>IFERROR(INDEX('Classif Gestoras'!$H$6:$H$462,MATCH(D1239,'Classif Gestoras'!$A$6:$A$462,0)),"Não classificada")</x:f>
        <x:v>Independente</x:v>
      </x:c>
      <x:c r="F1239" s="166" t="str">
        <x:v>Banvox DTVM</x:v>
      </x:c>
      <x:c r="G1239" s="166" t="str">
        <x:v>Não identificado</x:v>
      </x:c>
      <x:c r="H1239" s="166" t="str">
        <x:v>Outros</x:v>
      </x:c>
      <x:c r="I1239" s="166" t="str">
        <x:v>Multicarteira Outros</x:v>
      </x:c>
      <x:c r="J1239" s="166" t="str">
        <x:v>CI</x:v>
      </x:c>
      <x:c r="K1239" s="172"/>
      <x:c r="L1239" s="185" t="str">
        <x:v>Não classificado</x:v>
      </x:c>
    </x:row>
    <x:row r="1240">
      <x:c r="A1240" s="175" t="str">
        <x:v>52.923.834/0001-72</x:v>
      </x:c>
      <x:c r="B1240" s="166" t="str">
        <x:v>FUNDO DE INVESTIMENTO EM DIREITOS CREDITÓRIOS COOPER CARD II - CRÉDITOS FINANCEIROS</x:v>
      </x:c>
      <x:c r="C1240" s="188" t="n">
        <x:v>82686281.44</x:v>
      </x:c>
      <x:c r="D1240" s="166" t="str">
        <x:v>BLUEWAVE ASSET LTDA</x:v>
      </x:c>
      <x:c r="E1240" s="166" t="str">
        <x:f>IFERROR(INDEX('Classif Gestoras'!$H$6:$H$462,MATCH(D1240,'Classif Gestoras'!$A$6:$A$462,0)),"Não classificada")</x:f>
        <x:v>Independente</x:v>
      </x:c>
      <x:c r="F1240" s="166" t="str">
        <x:v>Oliveira Trust DTVM</x:v>
      </x:c>
      <x:c r="G1240" s="166" t="str">
        <x:v>OLIVEIRA TRUST DTVM S.A.</x:v>
      </x:c>
      <x:c r="H1240" s="166" t="str">
        <x:v>Financeiro</x:v>
      </x:c>
      <x:c r="I1240" s="166" t="str">
        <x:v>Multicarteira Financeiro</x:v>
      </x:c>
      <x:c r="J1240" s="166" t="str">
        <x:v>CI</x:v>
      </x:c>
      <x:c r="K1240" s="172" t="n">
        <x:v>3</x:v>
      </x:c>
      <x:c r="L1240" s="185" t="str">
        <x:v>Não classificado</x:v>
      </x:c>
    </x:row>
    <x:row r="1241">
      <x:c r="A1241" s="175" t="str">
        <x:v>45.018.852/0001-44</x:v>
      </x:c>
      <x:c r="B1241" s="166" t="str">
        <x:v>BANKAP FUNDO DE INVESTIMENTO EM DIREITOS CREDITO´RIOS MULTISSETORIAL - RESPONSABILIDADE LIMITADA</x:v>
      </x:c>
      <x:c r="C1241" s="188" t="n">
        <x:v>82542218.72</x:v>
      </x:c>
      <x:c r="D1241" s="166" t="str">
        <x:v>TERCON ASSET MANAGEMENT</x:v>
      </x:c>
      <x:c r="E1241" s="166" t="str">
        <x:f>IFERROR(INDEX('Classif Gestoras'!$H$6:$H$462,MATCH(D1241,'Classif Gestoras'!$A$6:$A$462,0)),"Não classificada")</x:f>
        <x:v>Independente</x:v>
      </x:c>
      <x:c r="F1241" s="166" t="str">
        <x:v>Singulare</x:v>
      </x:c>
      <x:c r="G1241" s="166" t="str">
        <x:v>QI CORRETORA DE TÍTULOS E VALORES MOBILIÁRIOS S.A.</x:v>
      </x:c>
      <x:c r="H1241" s="166" t="str">
        <x:v>Fomento Mercantil</x:v>
      </x:c>
      <x:c r="I1241" s="166" t="str">
        <x:v>Fomento Mercantil</x:v>
      </x:c>
      <x:c r="J1241" s="166" t="str">
        <x:v>CI</x:v>
      </x:c>
      <x:c r="K1241" s="172" t="n">
        <x:v>21</x:v>
      </x:c>
      <x:c r="L1241" s="185" t="str">
        <x:v>Não classificado</x:v>
      </x:c>
    </x:row>
    <x:row r="1242">
      <x:c r="A1242" s="175" t="str">
        <x:v>20.103.394/0001-10</x:v>
      </x:c>
      <x:c r="B1242" s="166" t="str">
        <x:v>BULLSEYE MASTER I FUNDO DE INVESTIMENTO EM DIREITOS CREDITÓRIOS</x:v>
      </x:c>
      <x:c r="C1242" s="188" t="n">
        <x:v>82488152.55</x:v>
      </x:c>
      <x:c r="D1242" s="166" t="str">
        <x:v>ROOT CAPITAL</x:v>
      </x:c>
      <x:c r="E1242" s="166" t="str">
        <x:f>IFERROR(INDEX('Classif Gestoras'!$H$6:$H$462,MATCH(D1242,'Classif Gestoras'!$A$6:$A$462,0)),"Não classificada")</x:f>
        <x:v>Independente</x:v>
      </x:c>
      <x:c r="F1242" s="166" t="str">
        <x:v>BNY MELLON SERVICOS</x:v>
      </x:c>
      <x:c r="G1242" s="166" t="str">
        <x:v>BNY MELLON BANCO S.A.</x:v>
      </x:c>
      <x:c r="H1242" s="166" t="str">
        <x:v>Outros</x:v>
      </x:c>
      <x:c r="I1242" s="166" t="str">
        <x:v>Recuperação</x:v>
      </x:c>
      <x:c r="J1242" s="166" t="str">
        <x:v>CI</x:v>
      </x:c>
      <x:c r="K1242" s="172" t="n">
        <x:v>1</x:v>
      </x:c>
      <x:c r="L1242" s="185" t="str">
        <x:v>Não classificado</x:v>
      </x:c>
    </x:row>
    <x:row r="1243">
      <x:c r="A1243" s="175" t="str">
        <x:v>56.057.697/0001-91</x:v>
      </x:c>
      <x:c r="B1243" s="166" t="str">
        <x:v>PRAIA INVESTMENTS FUNDO DE INVESTIMENTO EM DIREITOS CREDITÓRIOS</x:v>
      </x:c>
      <x:c r="C1243" s="188" t="n">
        <x:v>82455042.16</x:v>
      </x:c>
      <x:c r="D1243" s="166" t="str">
        <x:v>Score Capital</x:v>
      </x:c>
      <x:c r="E1243" s="166" t="str">
        <x:f>IFERROR(INDEX('Classif Gestoras'!$H$6:$H$462,MATCH(D1243,'Classif Gestoras'!$A$6:$A$462,0)),"Não classificada")</x:f>
        <x:v>Independente</x:v>
      </x:c>
      <x:c r="F1243" s="166" t="str">
        <x:v>BTG Pactual Servicos Financeiros S/A DTVM</x:v>
      </x:c>
      <x:c r="G1243" s="166" t="str">
        <x:v>BANCO BTG PACTUAL S/A</x:v>
      </x:c>
      <x:c r="H1243" s="166" t="str">
        <x:v>Outros</x:v>
      </x:c>
      <x:c r="I1243" s="166" t="str">
        <x:v>Multicarteira Outros</x:v>
      </x:c>
      <x:c r="J1243" s="166" t="str">
        <x:v>CI</x:v>
      </x:c>
      <x:c r="K1243" s="172" t="n">
        <x:v>1</x:v>
      </x:c>
      <x:c r="L1243" s="185" t="str">
        <x:v>Não classificado</x:v>
      </x:c>
    </x:row>
    <x:row r="1244">
      <x:c r="A1244" s="175" t="str">
        <x:v>11.629.795/0001-18</x:v>
      </x:c>
      <x:c r="B1244" s="166" t="str">
        <x:v>FUNDO DE INVESTIMENTO EM DIREITOS CREDITÓRIOS NP EXODUS INSTITUCIONAL - RESPONSABILIDADE LIMITADA</x:v>
      </x:c>
      <x:c r="C1244" s="188" t="n">
        <x:v>82397760.96</x:v>
      </x:c>
      <x:c r="D1244" s="166" t="str">
        <x:v>NOVA S R M</x:v>
      </x:c>
      <x:c r="E1244" s="166" t="str">
        <x:f>IFERROR(INDEX('Classif Gestoras'!$H$6:$H$462,MATCH(D1244,'Classif Gestoras'!$A$6:$A$462,0)),"Não classificada")</x:f>
        <x:v>Independente</x:v>
      </x:c>
      <x:c r="F1244" s="166" t="str">
        <x:v>Singulare</x:v>
      </x:c>
      <x:c r="G1244" s="166" t="str">
        <x:v>QI CORRETORA DE TÍTULOS E VALORES MOBILIÁRIOS S.A.</x:v>
      </x:c>
      <x:c r="H1244" s="166" t="str">
        <x:v>Outros</x:v>
      </x:c>
      <x:c r="I1244" s="166" t="str">
        <x:v>Multicarteira Outros</x:v>
      </x:c>
      <x:c r="J1244" s="166" t="str">
        <x:v>CI</x:v>
      </x:c>
      <x:c r="K1244" s="172" t="n">
        <x:v>4</x:v>
      </x:c>
      <x:c r="L1244" s="185" t="str">
        <x:v>Não classificado</x:v>
      </x:c>
    </x:row>
    <x:row r="1245">
      <x:c r="A1245" s="175" t="str">
        <x:v>53.030.845/0001-96</x:v>
      </x:c>
      <x:c r="B1245" s="166" t="str">
        <x:v>FUNDO DE INVESTIMENTO EM DIREITOS CREDITÓRIOS COMERCIAIS SKYFALL DE RESPONSABILIDADE LIMITADA</x:v>
      </x:c>
      <x:c r="C1245" s="188" t="n">
        <x:v>82263857.25999999</x:v>
      </x:c>
      <x:c r="D1245" s="166" t="str">
        <x:v>Kanastra</x:v>
      </x:c>
      <x:c r="E1245" s="166" t="str">
        <x:f>IFERROR(INDEX('Classif Gestoras'!$H$6:$H$462,MATCH(D1245,'Classif Gestoras'!$A$6:$A$462,0)),"Não classificada")</x:f>
        <x:v>Independente</x:v>
      </x:c>
      <x:c r="F1245" s="166" t="str">
        <x:v>VÓRTX DTVM</x:v>
      </x:c>
      <x:c r="G1245" s="166" t="str">
        <x:v>VORTX DISTRIBUIDORA DE TITULOS E VALORES MOBILIARIOS LTDA.</x:v>
      </x:c>
      <x:c r="H1245" s="166" t="str">
        <x:v>Agro, Indústria e Comércio</x:v>
      </x:c>
      <x:c r="I1245" s="166" t="str">
        <x:v>Recebíveis Comerciais</x:v>
      </x:c>
      <x:c r="J1245" s="166" t="str">
        <x:v>CI</x:v>
      </x:c>
      <x:c r="K1245" s="172" t="n">
        <x:v>4</x:v>
      </x:c>
      <x:c r="L1245" s="185" t="str">
        <x:v>Não classificado</x:v>
      </x:c>
    </x:row>
    <x:row r="1246">
      <x:c r="A1246" s="175" t="str">
        <x:v>46.231.870/0001-72</x:v>
      </x:c>
      <x:c r="B1246" s="166" t="str">
        <x:v>DAVOS FUNDO DE INVESTIMENTO EM DIREITOS CREDITÓRIOS NÃO PADRONIZADOS - RESPONSABILIDADE LIMITADA</x:v>
      </x:c>
      <x:c r="C1246" s="188" t="n">
        <x:v>82250878.45000002</x:v>
      </x:c>
      <x:c r="D1246" s="166" t="str">
        <x:v>Patrimonial Gestão</x:v>
      </x:c>
      <x:c r="E1246" s="166" t="str">
        <x:f>IFERROR(INDEX('Classif Gestoras'!$H$6:$H$462,MATCH(D1246,'Classif Gestoras'!$A$6:$A$462,0)),"Não classificada")</x:f>
        <x:v>Independente</x:v>
      </x:c>
      <x:c r="F1246" s="166" t="str">
        <x:v>Singulare</x:v>
      </x:c>
      <x:c r="G1246" s="166" t="str">
        <x:v>QI CORRETORA DE TÍTULOS E VALORES MOBILIÁRIOS S.A.</x:v>
      </x:c>
      <x:c r="H1246" s="166" t="str">
        <x:v>Outros</x:v>
      </x:c>
      <x:c r="I1246" s="166" t="str">
        <x:v>Poder Público</x:v>
      </x:c>
      <x:c r="J1246" s="166" t="str">
        <x:v>CI</x:v>
      </x:c>
      <x:c r="K1246" s="172" t="n">
        <x:v>73</x:v>
      </x:c>
      <x:c r="L1246" s="185" t="str">
        <x:v>Não classificado</x:v>
      </x:c>
    </x:row>
    <x:row r="1247">
      <x:c r="A1247" s="175" t="str">
        <x:v>41.673.514/0001-95</x:v>
      </x:c>
      <x:c r="B1247" s="166" t="str">
        <x:v>CENTAURO FUNDO DE INVESTIMENTO EM DIREITOS CREDITÓRIOS RESPONSABILIDADE LIMITADA</x:v>
      </x:c>
      <x:c r="C1247" s="188" t="n">
        <x:v>82197969.3</x:v>
      </x:c>
      <x:c r="D1247" s="166" t="str">
        <x:v>Libertas Asset</x:v>
      </x:c>
      <x:c r="E1247" s="166" t="str">
        <x:f>IFERROR(INDEX('Classif Gestoras'!$H$6:$H$462,MATCH(D1247,'Classif Gestoras'!$A$6:$A$462,0)),"Não classificada")</x:f>
        <x:v>Independente</x:v>
      </x:c>
      <x:c r="F1247" s="166" t="str">
        <x:v>ACTUAL DTVM</x:v>
      </x:c>
      <x:c r="G1247" s="166" t="str">
        <x:v>LASTRO RDV DTVM LTDA</x:v>
      </x:c>
      <x:c r="H1247" s="166" t="str">
        <x:v>Fomento Mercantil</x:v>
      </x:c>
      <x:c r="I1247" s="166" t="str">
        <x:v>Fomento Mercantil</x:v>
      </x:c>
      <x:c r="J1247" s="166" t="str">
        <x:v>CI</x:v>
      </x:c>
      <x:c r="K1247" s="172" t="n">
        <x:v>2</x:v>
      </x:c>
      <x:c r="L1247" s="185" t="str">
        <x:v>Não classificado</x:v>
      </x:c>
    </x:row>
    <x:row r="1248">
      <x:c r="A1248" s="175" t="str">
        <x:v>62.347.912/0001-91</x:v>
      </x:c>
      <x:c r="B1248" s="166" t="str">
        <x:v>ZENON HIGH YIELD DISTRESSED FUNDO DE INVESTIMENTO EM DIREITOS CREDITÓRIOS NÃO - PADRONIZADOS - RL</x:v>
      </x:c>
      <x:c r="C1248" s="188" t="n">
        <x:v>82030232.84</x:v>
      </x:c>
      <x:c r="D1248" s="166" t="str">
        <x:v>Yards Asset Gestão de Recursos Ltda.</x:v>
      </x:c>
      <x:c r="E1248" s="166" t="str">
        <x:f>IFERROR(INDEX('Classif Gestoras'!$H$6:$H$462,MATCH(D1248,'Classif Gestoras'!$A$6:$A$462,0)),"Não classificada")</x:f>
        <x:v>Independente</x:v>
      </x:c>
      <x:c r="F1248" s="166" t="str">
        <x:v>Qore DTVM</x:v>
      </x:c>
      <x:c r="G1248" s="166" t="str">
        <x:v>QORE DISTRIBUIDORA DE TÍTULOS E VALORES MOBILIÁRIOS LTDA.</x:v>
      </x:c>
      <x:c r="H1248" s="166" t="str">
        <x:v>Outros</x:v>
      </x:c>
      <x:c r="I1248" s="166" t="str">
        <x:v>Multicarteira Outros</x:v>
      </x:c>
      <x:c r="J1248" s="166" t="str">
        <x:v>CI</x:v>
      </x:c>
      <x:c r="K1248" s="172" t="n">
        <x:v>2</x:v>
      </x:c>
      <x:c r="L1248" s="185" t="str">
        <x:v>Não classificado</x:v>
      </x:c>
    </x:row>
    <x:row r="1249">
      <x:c r="A1249" s="175" t="str">
        <x:v>49.319.863/0001-15</x:v>
      </x:c>
      <x:c r="B1249" s="166" t="str">
        <x:v>CHIMERA ALTERNATIVE ASSETS I FUNDO DE INVESTIMENTO EM DIREITOS CREDITÓRIOS NP DE RESP. LIMITADA</x:v>
      </x:c>
      <x:c r="C1249" s="188" t="n">
        <x:v>81573458.03</x:v>
      </x:c>
      <x:c r="D1249" s="166" t="str">
        <x:v>Terra Asset Management</x:v>
      </x:c>
      <x:c r="E1249" s="166" t="str">
        <x:f>IFERROR(INDEX('Classif Gestoras'!$H$6:$H$462,MATCH(D1249,'Classif Gestoras'!$A$6:$A$462,0)),"Não classificada")</x:f>
        <x:v>Independente</x:v>
      </x:c>
      <x:c r="F1249" s="166" t="str">
        <x:v>MONETAR DISTRIBUIDORA DE TITUL</x:v>
      </x:c>
      <x:c r="G1249" s="166" t="str">
        <x:v>TERRA INVESTIMENTOS DISTRIBUIDORA DE TITULOS E VALORES MOBILIARIOS LTDA</x:v>
      </x:c>
      <x:c r="H1249" s="166" t="str">
        <x:v>Outros</x:v>
      </x:c>
      <x:c r="I1249" s="166" t="str">
        <x:v>Recuperação</x:v>
      </x:c>
      <x:c r="J1249" s="166" t="str">
        <x:v>CI</x:v>
      </x:c>
      <x:c r="K1249" s="172" t="n">
        <x:v>1</x:v>
      </x:c>
      <x:c r="L1249" s="185" t="str">
        <x:v>Não classificado</x:v>
      </x:c>
    </x:row>
    <x:row r="1250">
      <x:c r="A1250" s="175" t="str">
        <x:v>54.697.682/0001-62</x:v>
      </x:c>
      <x:c r="B1250" s="166" t="str">
        <x:v>FUNDO DE INVESTIMENTO EM DIREITOS CREDITÓRIOS SOMACRED SABEMI CONSIGNADO PÚBLICO III</x:v>
      </x:c>
      <x:c r="C1250" s="188" t="n">
        <x:v>81310451.73</x:v>
      </x:c>
      <x:c r="D1250" s="166" t="str">
        <x:v>BTG Pactual Asset</x:v>
      </x:c>
      <x:c r="E1250" s="166" t="str">
        <x:f>IFERROR(INDEX('Classif Gestoras'!$H$6:$H$462,MATCH(D1250,'Classif Gestoras'!$A$6:$A$462,0)),"Não classificada")</x:f>
        <x:v>Ligada a banco</x:v>
      </x:c>
      <x:c r="F1250" s="166" t="str">
        <x:v>BTG Pactual Servicos Financeiros S/A DTVM</x:v>
      </x:c>
      <x:c r="G1250" s="166" t="str">
        <x:v>BANCO BTG PACTUAL S/A</x:v>
      </x:c>
      <x:c r="H1250" s="166" t="str">
        <x:v>Financeiro</x:v>
      </x:c>
      <x:c r="I1250" s="166" t="str">
        <x:v>Crédito Consignado</x:v>
      </x:c>
      <x:c r="J1250" s="166" t="str">
        <x:v>CI</x:v>
      </x:c>
      <x:c r="K1250" s="172" t="n">
        <x:v>60</x:v>
      </x:c>
      <x:c r="L1250" s="185" t="str">
        <x:v>Não classificado</x:v>
      </x:c>
    </x:row>
    <x:row r="1251">
      <x:c r="A1251" s="175" t="str">
        <x:v>51.051.312/0001-65</x:v>
      </x:c>
      <x:c r="B1251" s="166" t="str">
        <x:v>SSG FUNDO DE INVESTIMENTO EM DIREITOS CREDITÓRIOS</x:v>
      </x:c>
      <x:c r="C1251" s="188" t="n">
        <x:v>80799962.36</x:v>
      </x:c>
      <x:c r="D1251" s="166" t="str">
        <x:v>DAYCOVAL ASSET MANAG</x:v>
      </x:c>
      <x:c r="E1251" s="166" t="str">
        <x:f>IFERROR(INDEX('Classif Gestoras'!$H$6:$H$462,MATCH(D1251,'Classif Gestoras'!$A$6:$A$462,0)),"Não classificada")</x:f>
        <x:v>Ligada a banco</x:v>
      </x:c>
      <x:c r="F1251" s="166" t="str">
        <x:v>BANCO DAYCOVAL S/A</x:v>
      </x:c>
      <x:c r="G1251" s="166" t="str">
        <x:v>BANCO DAYCOVAL S.A.</x:v>
      </x:c>
      <x:c r="H1251" s="166" t="str">
        <x:v>Outros</x:v>
      </x:c>
      <x:c r="I1251" s="166" t="str">
        <x:v>Multicarteira Outros</x:v>
      </x:c>
      <x:c r="J1251" s="166" t="str">
        <x:v>CI</x:v>
      </x:c>
      <x:c r="K1251" s="172" t="n">
        <x:v>1</x:v>
      </x:c>
      <x:c r="L1251" s="185" t="str">
        <x:v>Não classificado</x:v>
      </x:c>
    </x:row>
    <x:row r="1252">
      <x:c r="A1252" s="175" t="str">
        <x:v>09.163.026/0001-25</x:v>
      </x:c>
      <x:c r="B1252" s="166" t="str">
        <x:v>MERIDIANO FUNDO DE INVESTIMENTO EM DIREITOS CREDITÓRIOS MULTISEGMENTOS</x:v>
      </x:c>
      <x:c r="C1252" s="188" t="n">
        <x:v>80788392.6</x:v>
      </x:c>
      <x:c r="D1252" s="166" t="str">
        <x:v>Polo Capital Internacional</x:v>
      </x:c>
      <x:c r="E1252" s="166" t="str">
        <x:f>IFERROR(INDEX('Classif Gestoras'!$H$6:$H$462,MATCH(D1252,'Classif Gestoras'!$A$6:$A$462,0)),"Não classificada")</x:f>
        <x:v>Independente</x:v>
      </x:c>
      <x:c r="F1252" s="166" t="str">
        <x:v>Singulare</x:v>
      </x:c>
      <x:c r="G1252" s="166" t="str">
        <x:v>QI CORRETORA DE TÍTULOS E VALORES MOBILIÁRIOS S.A.</x:v>
      </x:c>
      <x:c r="H1252" s="166" t="str">
        <x:v>Outros</x:v>
      </x:c>
      <x:c r="I1252" s="166" t="str">
        <x:v>Multicarteira Outros</x:v>
      </x:c>
      <x:c r="J1252" s="166" t="str">
        <x:v>CI</x:v>
      </x:c>
      <x:c r="K1252" s="172" t="n">
        <x:v>3</x:v>
      </x:c>
      <x:c r="L1252" s="185" t="str">
        <x:v>Não classificado</x:v>
      </x:c>
    </x:row>
    <x:row r="1253">
      <x:c r="A1253" s="175" t="str">
        <x:v>15.336.665/0001-48</x:v>
      </x:c>
      <x:c r="B1253" s="166" t="str">
        <x:v>SIGULER GUFF (JUS BLC) 2C FUNDO DE INVESTIMENTO EM DIREITOS CREDITÓRIOS NÃO-PADRONIZADOS</x:v>
      </x:c>
      <x:c r="C1253" s="188" t="n">
        <x:v>80597862.17570001</x:v>
      </x:c>
      <x:c r="D1253" s="166" t="str">
        <x:v>Jus Capital Gestão de Recursos LTDA</x:v>
      </x:c>
      <x:c r="E1253" s="166" t="str">
        <x:f>IFERROR(INDEX('Classif Gestoras'!$H$6:$H$462,MATCH(D1253,'Classif Gestoras'!$A$6:$A$462,0)),"Não classificada")</x:f>
        <x:v>Independente</x:v>
      </x:c>
      <x:c r="F1253" s="166" t="str">
        <x:v>BTG Pactual Servicos Financeiros S/A DTVM</x:v>
      </x:c>
      <x:c r="G1253" s="166" t="str">
        <x:v>BANCO BTG PACTUAL S/A</x:v>
      </x:c>
      <x:c r="H1253" s="166" t="str">
        <x:v>Outros</x:v>
      </x:c>
      <x:c r="I1253" s="166" t="str">
        <x:v>Poder Público</x:v>
      </x:c>
      <x:c r="J1253" s="166" t="str">
        <x:v>CI</x:v>
      </x:c>
      <x:c r="K1253" s="172" t="n">
        <x:v>1</x:v>
      </x:c>
      <x:c r="L1253" s="185" t="str">
        <x:v>Não classificado</x:v>
      </x:c>
    </x:row>
    <x:row r="1254">
      <x:c r="A1254" s="175" t="str">
        <x:v>61.427.502/0001-98</x:v>
      </x:c>
      <x:c r="B1254" s="166" t="str">
        <x:v>JC ODIN FUNDO DE INVESTIMENTO EM DIREITOS CREDITÓRIOS</x:v>
      </x:c>
      <x:c r="C1254" s="188" t="n">
        <x:v>80291613.06000002</x:v>
      </x:c>
      <x:c r="D1254" s="166" t="str">
        <x:v>Jus Capital Gestão de Recursos LTDA</x:v>
      </x:c>
      <x:c r="E1254" s="166" t="str">
        <x:f>IFERROR(INDEX('Classif Gestoras'!$H$6:$H$462,MATCH(D1254,'Classif Gestoras'!$A$6:$A$462,0)),"Não classificada")</x:f>
        <x:v>Independente</x:v>
      </x:c>
      <x:c r="F1254" s="166" t="str">
        <x:v>Singulare</x:v>
      </x:c>
      <x:c r="G1254" s="166" t="str">
        <x:v>QI CORRETORA DE TÍTULOS E VALORES MOBILIÁRIOS S.A.</x:v>
      </x:c>
      <x:c r="H1254" s="166" t="str">
        <x:v>Outros</x:v>
      </x:c>
      <x:c r="I1254" s="166" t="str">
        <x:v>Poder Público</x:v>
      </x:c>
      <x:c r="J1254" s="166" t="str">
        <x:v>CI</x:v>
      </x:c>
      <x:c r="K1254" s="172" t="n">
        <x:v>2</x:v>
      </x:c>
      <x:c r="L1254" s="185" t="str">
        <x:v>Não classificado</x:v>
      </x:c>
    </x:row>
    <x:row r="1255">
      <x:c r="A1255" s="175" t="str">
        <x:v>41.184.960/0001-36</x:v>
      </x:c>
      <x:c r="B1255" s="166" t="str">
        <x:v>CIMARRON CRÉDITOS JUDICIAIS FUNDO DE INVESTIMENTO EM DIREITOS CREDITÓRIOS</x:v>
      </x:c>
      <x:c r="C1255" s="188" t="n">
        <x:v>80206411.28</x:v>
      </x:c>
      <x:c r="D1255" s="166" t="str">
        <x:v>Siguler Guff Gestora de Investimentos (Asset Management</x:v>
      </x:c>
      <x:c r="E1255" s="166" t="str">
        <x:f>IFERROR(INDEX('Classif Gestoras'!$H$6:$H$462,MATCH(D1255,'Classif Gestoras'!$A$6:$A$462,0)),"Não classificada")</x:f>
        <x:v>Independente</x:v>
      </x:c>
      <x:c r="F1255" s="166" t="str">
        <x:v>BTG Pactual Servicos Financeiros S/A DTVM</x:v>
      </x:c>
      <x:c r="G1255" s="166" t="str">
        <x:v>BANCO BTG PACTUAL S/A</x:v>
      </x:c>
      <x:c r="H1255" s="166" t="str">
        <x:v>Outros</x:v>
      </x:c>
      <x:c r="I1255" s="166" t="str">
        <x:v>Multicarteira Outros</x:v>
      </x:c>
      <x:c r="J1255" s="166" t="str">
        <x:v>CI</x:v>
      </x:c>
      <x:c r="K1255" s="172" t="n">
        <x:v>3</x:v>
      </x:c>
      <x:c r="L1255" s="185" t="str">
        <x:v>Não classificado</x:v>
      </x:c>
    </x:row>
    <x:row r="1256">
      <x:c r="A1256" s="175" t="str">
        <x:v>32.510.444/0001-63</x:v>
      </x:c>
      <x:c r="B1256" s="166" t="str">
        <x:v>G5 EO FUNDO DE INVESTIMENTO EM DIREITOS CREDITÓRIOS NÃO PADRONIZADOS</x:v>
      </x:c>
      <x:c r="C1256" s="188" t="n">
        <x:v>80077002.81</x:v>
      </x:c>
      <x:c r="D1256" s="166" t="str">
        <x:v>G5 Adm. de Recursos</x:v>
      </x:c>
      <x:c r="E1256" s="166" t="str">
        <x:f>IFERROR(INDEX('Classif Gestoras'!$H$6:$H$462,MATCH(D1256,'Classif Gestoras'!$A$6:$A$462,0)),"Não classificada")</x:f>
        <x:v>Independente</x:v>
      </x:c>
      <x:c r="F1256" s="166" t="str">
        <x:v>Singulare</x:v>
      </x:c>
      <x:c r="G1256" s="166" t="str">
        <x:v>QI CORRETORA DE TÍTULOS E VALORES MOBILIÁRIOS S.A.</x:v>
      </x:c>
      <x:c r="H1256" s="166" t="str">
        <x:v>Outros</x:v>
      </x:c>
      <x:c r="I1256" s="166" t="str">
        <x:v>Multicarteira Outros</x:v>
      </x:c>
      <x:c r="J1256" s="166" t="str">
        <x:v>CI</x:v>
      </x:c>
      <x:c r="K1256" s="172" t="n">
        <x:v>1</x:v>
      </x:c>
      <x:c r="L1256" s="185" t="str">
        <x:v>Não classificado</x:v>
      </x:c>
    </x:row>
    <x:row r="1257">
      <x:c r="A1257" s="175" t="str">
        <x:v>44.230.592/0001-03</x:v>
      </x:c>
      <x:c r="B1257" s="166" t="str">
        <x:v>BRAM HIGH YIELD FIDC II - RESP LIMITADA</x:v>
      </x:c>
      <x:c r="C1257" s="188" t="n">
        <x:v>79971515.71</x:v>
      </x:c>
      <x:c r="D1257" s="166" t="str">
        <x:v>Banco Bradesco S/A</x:v>
      </x:c>
      <x:c r="E1257" s="166" t="str">
        <x:f>IFERROR(INDEX('Classif Gestoras'!$H$6:$H$462,MATCH(D1257,'Classif Gestoras'!$A$6:$A$462,0)),"Não classificada")</x:f>
        <x:v>Ligada a banco</x:v>
      </x:c>
      <x:c r="F1257" s="166" t="str">
        <x:v>BEM - DIST. DE TÍTUL</x:v>
      </x:c>
      <x:c r="G1257" s="166" t="str">
        <x:v>BANCO BRADESCO S.A.</x:v>
      </x:c>
      <x:c r="H1257" s="166" t="str">
        <x:v>Outros</x:v>
      </x:c>
      <x:c r="I1257" s="166" t="str">
        <x:v>Multicarteira Outros</x:v>
      </x:c>
      <x:c r="J1257" s="166" t="str">
        <x:v>CIPC</x:v>
      </x:c>
      <x:c r="K1257" s="172" t="n">
        <x:v>2</x:v>
      </x:c>
      <x:c r="L1257" s="185" t="str">
        <x:v>Não classificado</x:v>
      </x:c>
    </x:row>
    <x:row r="1258">
      <x:c r="A1258" s="175" t="str">
        <x:v>59.550.943/0001-30</x:v>
      </x:c>
      <x:c r="B1258" s="166" t="str">
        <x:v>ORIZ JUS IV FUNDO DE INVESTIMENTO EM DIREITOS CREDITÓRIOS</x:v>
      </x:c>
      <x:c r="C1258" s="188" t="n">
        <x:v>79824579.03</x:v>
      </x:c>
      <x:c r="D1258" s="166" t="str">
        <x:v>ORIZ ASSET MANAGEMENT LTDA.</x:v>
      </x:c>
      <x:c r="E1258" s="166" t="str">
        <x:f>IFERROR(INDEX('Classif Gestoras'!$H$6:$H$462,MATCH(D1258,'Classif Gestoras'!$A$6:$A$462,0)),"Não classificada")</x:f>
        <x:v>Independente</x:v>
      </x:c>
      <x:c r="F1258" s="166" t="str">
        <x:v>BANCO DAYCOVAL S/A</x:v>
      </x:c>
      <x:c r="G1258" s="166" t="str">
        <x:v>BANCO DAYCOVAL S.A.</x:v>
      </x:c>
      <x:c r="H1258" s="166" t="str">
        <x:v>Outros</x:v>
      </x:c>
      <x:c r="I1258" s="166" t="str">
        <x:v>Poder Público</x:v>
      </x:c>
      <x:c r="J1258" s="166" t="str">
        <x:v>CI</x:v>
      </x:c>
      <x:c r="K1258" s="172" t="n">
        <x:v>33</x:v>
      </x:c>
      <x:c r="L1258" s="185" t="str">
        <x:v>Não classificado</x:v>
      </x:c>
    </x:row>
    <x:row r="1259">
      <x:c r="A1259" s="175" t="str">
        <x:v>37.529.228/0001-83</x:v>
      </x:c>
      <x:c r="B1259" s="166" t="str">
        <x:v>ACTIUM FUNDO DE INVESTIMENTO EM DIREITOS CREDITÓRIOS NÃO PADRONIZADO</x:v>
      </x:c>
      <x:c r="C1259" s="188" t="n">
        <x:v>79779193.97999999</x:v>
      </x:c>
      <x:c r="D1259" s="166" t="str">
        <x:v>BURITI INVESTIMENTOS</x:v>
      </x:c>
      <x:c r="E1259" s="166" t="str">
        <x:f>IFERROR(INDEX('Classif Gestoras'!$H$6:$H$462,MATCH(D1259,'Classif Gestoras'!$A$6:$A$462,0)),"Não classificada")</x:f>
        <x:v>Independente</x:v>
      </x:c>
      <x:c r="F1259" s="166" t="str">
        <x:v>Baru DTVM</x:v>
      </x:c>
      <x:c r="G1259" s="166" t="str">
        <x:v>BARU DISTRIBUIDORA DE TÍTULOS E VALORES MOBILIÁRIOS LTDA.</x:v>
      </x:c>
      <x:c r="H1259" s="166" t="str">
        <x:v>Outros</x:v>
      </x:c>
      <x:c r="I1259" s="166" t="str">
        <x:v>Multicarteira Outros</x:v>
      </x:c>
      <x:c r="J1259" s="166" t="str">
        <x:v>CI</x:v>
      </x:c>
      <x:c r="K1259" s="172" t="n">
        <x:v>2</x:v>
      </x:c>
      <x:c r="L1259" s="185" t="str">
        <x:v>Não classificado</x:v>
      </x:c>
    </x:row>
    <x:row r="1260">
      <x:c r="A1260" s="175" t="str">
        <x:v>57.186.320/0001-03</x:v>
      </x:c>
      <x:c r="B1260" s="166" t="str">
        <x:v>JC LOKI FUNDO DE INVESTIMENTO EM DIREITOS CREDITÓRIOS</x:v>
      </x:c>
      <x:c r="C1260" s="188" t="n">
        <x:v>79686106.85</x:v>
      </x:c>
      <x:c r="D1260" s="166" t="str">
        <x:v>Jus Capital Gestão de Recursos LTDA</x:v>
      </x:c>
      <x:c r="E1260" s="166" t="str">
        <x:f>IFERROR(INDEX('Classif Gestoras'!$H$6:$H$462,MATCH(D1260,'Classif Gestoras'!$A$6:$A$462,0)),"Não classificada")</x:f>
        <x:v>Independente</x:v>
      </x:c>
      <x:c r="F1260" s="166" t="str">
        <x:v>Singulare</x:v>
      </x:c>
      <x:c r="G1260" s="166" t="str">
        <x:v>QI CORRETORA DE TÍTULOS E VALORES MOBILIÁRIOS S.A.</x:v>
      </x:c>
      <x:c r="H1260" s="166" t="str">
        <x:v>Outros</x:v>
      </x:c>
      <x:c r="I1260" s="166" t="str">
        <x:v>Poder Público</x:v>
      </x:c>
      <x:c r="J1260" s="166" t="str">
        <x:v>CIPC</x:v>
      </x:c>
      <x:c r="K1260" s="172" t="n">
        <x:v>2</x:v>
      </x:c>
      <x:c r="L1260" s="185" t="str">
        <x:v>Não classificado</x:v>
      </x:c>
    </x:row>
    <x:row r="1261">
      <x:c r="A1261" s="175" t="str">
        <x:v>56.264.671/0001-14</x:v>
      </x:c>
      <x:c r="B1261" s="166" t="str">
        <x:v>ORIZ ALBRIGHT FUNDO DE INVESTIMENTO EM DIREITOS CREDITÓRIOS DE RESPONSABILIDADE LIMITADA</x:v>
      </x:c>
      <x:c r="C1261" s="188" t="n">
        <x:v>79547349.82</x:v>
      </x:c>
      <x:c r="D1261" s="166" t="str">
        <x:v>ORIZ ASSET MANAGEMENT LTDA.</x:v>
      </x:c>
      <x:c r="E1261" s="166" t="str">
        <x:f>IFERROR(INDEX('Classif Gestoras'!$H$6:$H$462,MATCH(D1261,'Classif Gestoras'!$A$6:$A$462,0)),"Não classificada")</x:f>
        <x:v>Independente</x:v>
      </x:c>
      <x:c r="F1261" s="166" t="str">
        <x:v>BANCO DAYCOVAL S/A</x:v>
      </x:c>
      <x:c r="G1261" s="166" t="str">
        <x:v>BANCO DAYCOVAL S.A.</x:v>
      </x:c>
      <x:c r="H1261" s="166" t="str">
        <x:v>Outros</x:v>
      </x:c>
      <x:c r="I1261" s="166" t="str">
        <x:v>Multicarteira Outros</x:v>
      </x:c>
      <x:c r="J1261" s="166" t="str">
        <x:v>CI</x:v>
      </x:c>
      <x:c r="K1261" s="172" t="n">
        <x:v>1</x:v>
      </x:c>
      <x:c r="L1261" s="185" t="str">
        <x:v>Não classificado</x:v>
      </x:c>
    </x:row>
    <x:row r="1262">
      <x:c r="A1262" s="175" t="str">
        <x:v>59.678.384/0001-49</x:v>
      </x:c>
      <x:c r="B1262" s="166" t="str">
        <x:v>NTZ CONSIGNADO PÚBLICO FUNDO DE INVESTIMENTO EM DIREITOS CREDITÓRIOS - RESPONSABILIDADE LIMITADA</x:v>
      </x:c>
      <x:c r="C1262" s="188" t="n">
        <x:v>79517290.03</x:v>
      </x:c>
      <x:c r="D1262" s="166" t="str">
        <x:v>Netz Asset</x:v>
      </x:c>
      <x:c r="E1262" s="166" t="str">
        <x:f>IFERROR(INDEX('Classif Gestoras'!$H$6:$H$462,MATCH(D1262,'Classif Gestoras'!$A$6:$A$462,0)),"Não classificada")</x:f>
        <x:v>Independente</x:v>
      </x:c>
      <x:c r="F1262" s="166" t="str">
        <x:v>VÓRTX DTVM</x:v>
      </x:c>
      <x:c r="G1262" s="166" t="str">
        <x:v>VORTX DISTRIBUIDORA DE TITULOS E VALORES MOBILIARIOS LTDA.</x:v>
      </x:c>
      <x:c r="H1262" s="166" t="str">
        <x:v>Financeiro</x:v>
      </x:c>
      <x:c r="I1262" s="166" t="str">
        <x:v>Crédito Consignado</x:v>
      </x:c>
      <x:c r="J1262" s="166" t="str">
        <x:v>CI</x:v>
      </x:c>
      <x:c r="K1262" s="172" t="n">
        <x:v>11</x:v>
      </x:c>
      <x:c r="L1262" s="185" t="str">
        <x:v>Não classificado</x:v>
      </x:c>
    </x:row>
    <x:row r="1263">
      <x:c r="A1263" s="175" t="str">
        <x:v>30.142.432/0001-06</x:v>
      </x:c>
      <x:c r="B1263" s="166" t="str">
        <x:v>IPÊ - FUNDO DE INVESTIMENTO EM DIREITOS CREDITÓRIOS NÃO-PADRONIZADOS</x:v>
      </x:c>
      <x:c r="C1263" s="188" t="n">
        <x:v>79484986.73</x:v>
      </x:c>
      <x:c r="D1263" s="166" t="str">
        <x:v>Catálise Investimentos</x:v>
      </x:c>
      <x:c r="E1263" s="166" t="str">
        <x:f>IFERROR(INDEX('Classif Gestoras'!$H$6:$H$462,MATCH(D1263,'Classif Gestoras'!$A$6:$A$462,0)),"Não classificada")</x:f>
        <x:v>Independente</x:v>
      </x:c>
      <x:c r="F1263" s="166" t="str">
        <x:v>CATÁLISE DTVM</x:v>
      </x:c>
      <x:c r="G1263" s="166" t="str">
        <x:v>BANCO DAYCOVAL S.A.</x:v>
      </x:c>
      <x:c r="H1263" s="166" t="str">
        <x:v>Outros</x:v>
      </x:c>
      <x:c r="I1263" s="166" t="str">
        <x:v>Multicarteira Outros</x:v>
      </x:c>
      <x:c r="J1263" s="166" t="str">
        <x:v>CI</x:v>
      </x:c>
      <x:c r="K1263" s="172" t="n">
        <x:v>2</x:v>
      </x:c>
      <x:c r="L1263" s="185" t="str">
        <x:v>Não classificado</x:v>
      </x:c>
    </x:row>
    <x:row r="1264">
      <x:c r="A1264" s="175" t="str">
        <x:v>62.335.320/0001-50</x:v>
      </x:c>
      <x:c r="B1264" s="166" t="str">
        <x:v>ISTAMBUL FUNDO DE INVESTIMENTO EM DIREITOS CREDITÓRIOS</x:v>
      </x:c>
      <x:c r="C1264" s="188" t="n">
        <x:v>79478769.05000001</x:v>
      </x:c>
      <x:c r="D1264" s="166" t="str">
        <x:v>Catálise Investimentos</x:v>
      </x:c>
      <x:c r="E1264" s="166" t="str">
        <x:f>IFERROR(INDEX('Classif Gestoras'!$H$6:$H$462,MATCH(D1264,'Classif Gestoras'!$A$6:$A$462,0)),"Não classificada")</x:f>
        <x:v>Independente</x:v>
      </x:c>
      <x:c r="F1264" s="166" t="str">
        <x:v>CATÁLISE DTVM</x:v>
      </x:c>
      <x:c r="G1264" s="166" t="str">
        <x:v>BANCO DAYCOVAL S.A.</x:v>
      </x:c>
      <x:c r="H1264" s="166" t="str">
        <x:v>Outros</x:v>
      </x:c>
      <x:c r="I1264" s="166" t="str">
        <x:v>Multicarteira Outros</x:v>
      </x:c>
      <x:c r="J1264" s="166" t="str">
        <x:v>CI</x:v>
      </x:c>
      <x:c r="K1264" s="172" t="n">
        <x:v>1</x:v>
      </x:c>
      <x:c r="L1264" s="185" t="str">
        <x:v>Não classificado</x:v>
      </x:c>
    </x:row>
    <x:row r="1265">
      <x:c r="A1265" s="175" t="str">
        <x:v>42.627.599/0001-38</x:v>
      </x:c>
      <x:c r="B1265" s="166" t="str">
        <x:v>COOPERA FUNDO DE INVESTIMENTO EM DIREITOS CREDITÓRIOS - RESPONSABILIDADE LIMITADA</x:v>
      </x:c>
      <x:c r="C1265" s="188" t="n">
        <x:v>79377413.38</x:v>
      </x:c>
      <x:c r="D1265" s="166" t="str">
        <x:v>VALORA RENDA FIXA ESTRUTURADOS LTDA.</x:v>
      </x:c>
      <x:c r="E1265" s="166" t="str">
        <x:f>IFERROR(INDEX('Classif Gestoras'!$H$6:$H$462,MATCH(D1265,'Classif Gestoras'!$A$6:$A$462,0)),"Não classificada")</x:f>
        <x:v>Independente</x:v>
      </x:c>
      <x:c r="F1265" s="166" t="str">
        <x:v>Singulare</x:v>
      </x:c>
      <x:c r="G1265" s="166" t="str">
        <x:v>QI CORRETORA DE TÍTULOS E VALORES MOBILIÁRIOS S.A.</x:v>
      </x:c>
      <x:c r="H1265" s="166" t="str">
        <x:v>Financeiro</x:v>
      </x:c>
      <x:c r="I1265" s="166" t="str">
        <x:v>Financiamento de Veículos</x:v>
      </x:c>
      <x:c r="J1265" s="166" t="str">
        <x:v>CI</x:v>
      </x:c>
      <x:c r="K1265" s="172" t="n">
        <x:v>22</x:v>
      </x:c>
      <x:c r="L1265" s="185" t="str">
        <x:v>Não classificado</x:v>
      </x:c>
    </x:row>
    <x:row r="1266">
      <x:c r="A1266" s="175" t="str">
        <x:v>52.804.600/0001-06</x:v>
      </x:c>
      <x:c r="B1266" s="166" t="str">
        <x:v>FUNDO DE INVESTIMENTO EM DIREITOS CREDITÓRIOS AGRO OPEN GROWTH SILOS RESPONSABILIDADE LIMITADA</x:v>
      </x:c>
      <x:c r="C1266" s="188" t="n">
        <x:v>79348991.39</x:v>
      </x:c>
      <x:c r="D1266" s="166" t="str">
        <x:v>OPEA GESTORA DE RECURSOS</x:v>
      </x:c>
      <x:c r="E1266" s="166" t="str">
        <x:f>IFERROR(INDEX('Classif Gestoras'!$H$6:$H$462,MATCH(D1266,'Classif Gestoras'!$A$6:$A$462,0)),"Não classificada")</x:f>
        <x:v>Independente</x:v>
      </x:c>
      <x:c r="F1266" s="166" t="str">
        <x:v>Singulare</x:v>
      </x:c>
      <x:c r="G1266" s="166" t="str">
        <x:v>QI CORRETORA DE TÍTULOS E VALORES MOBILIÁRIOS S.A.</x:v>
      </x:c>
      <x:c r="H1266" s="166" t="str">
        <x:v>Agro, Indústria e Comércio</x:v>
      </x:c>
      <x:c r="I1266" s="166" t="str">
        <x:v>Agronegócio</x:v>
      </x:c>
      <x:c r="J1266" s="166" t="str">
        <x:v>CI</x:v>
      </x:c>
      <x:c r="K1266" s="172" t="n">
        <x:v>3</x:v>
      </x:c>
      <x:c r="L1266" s="185" t="str">
        <x:v>Não classificado</x:v>
      </x:c>
    </x:row>
    <x:row r="1267">
      <x:c r="A1267" s="175" t="str">
        <x:v>45.880.936/0001-92</x:v>
      </x:c>
      <x:c r="B1267" s="166" t="str">
        <x:v>ABC I FUNDO DE INVESTIMENTO EM DIREITOS CREDITÓRIOS</x:v>
      </x:c>
      <x:c r="C1267" s="188" t="n">
        <x:v>79222381.48</x:v>
      </x:c>
      <x:c r="D1267" s="166" t="str">
        <x:v>BRL TRUST DTVM</x:v>
      </x:c>
      <x:c r="E1267" s="166" t="str">
        <x:f>IFERROR(INDEX('Classif Gestoras'!$H$6:$H$462,MATCH(D1267,'Classif Gestoras'!$A$6:$A$462,0)),"Não classificada")</x:f>
        <x:v>Independente</x:v>
      </x:c>
      <x:c r="F1267" s="166" t="str">
        <x:v>BRL TRUST DTVM</x:v>
      </x:c>
      <x:c r="G1267" s="166" t="str">
        <x:v>OSLO CAPITAL DISTRIBUIDORA DE TITULOS E VALORES MOBILIARIOS S.A.</x:v>
      </x:c>
      <x:c r="H1267" s="166" t="str">
        <x:v>Outros</x:v>
      </x:c>
      <x:c r="I1267" s="166" t="str">
        <x:v>Multicarteira Outros</x:v>
      </x:c>
      <x:c r="J1267" s="166" t="str">
        <x:v>CI</x:v>
      </x:c>
      <x:c r="K1267" s="172" t="n">
        <x:v>1</x:v>
      </x:c>
      <x:c r="L1267" s="185" t="str">
        <x:v>Não classificado</x:v>
      </x:c>
    </x:row>
    <x:row r="1268">
      <x:c r="A1268" s="175" t="str">
        <x:v>15.558.603/0001-80</x:v>
      </x:c>
      <x:c r="B1268" s="166" t="str">
        <x:v>PORTO NP - FUNDO DE INVESTIMENTO EM DIREITOS CREDITÓRIOS NÃO PADRONIZADOS MULTISSETORIAL</x:v>
      </x:c>
      <x:c r="C1268" s="188" t="n">
        <x:v>79018208.88</x:v>
      </x:c>
      <x:c r="D1268" s="166" t="str">
        <x:v>TERCON ASSET MANAGEMENT</x:v>
      </x:c>
      <x:c r="E1268" s="166" t="str">
        <x:f>IFERROR(INDEX('Classif Gestoras'!$H$6:$H$462,MATCH(D1268,'Classif Gestoras'!$A$6:$A$462,0)),"Não classificada")</x:f>
        <x:v>Independente</x:v>
      </x:c>
      <x:c r="F1268" s="166" t="str">
        <x:v>Qore DTVM</x:v>
      </x:c>
      <x:c r="G1268" s="166" t="str">
        <x:v>QORE DISTRIBUIDORA DE TÍTULOS E VALORES MOBILIÁRIOS LTDA.</x:v>
      </x:c>
      <x:c r="H1268" s="166" t="str">
        <x:v>Fomento Mercantil</x:v>
      </x:c>
      <x:c r="I1268" s="166" t="str">
        <x:v>Fomento Mercantil</x:v>
      </x:c>
      <x:c r="J1268" s="166" t="str">
        <x:v>CI</x:v>
      </x:c>
      <x:c r="K1268" s="172" t="n">
        <x:v>2</x:v>
      </x:c>
      <x:c r="L1268" s="185" t="str">
        <x:v>Não classificado</x:v>
      </x:c>
    </x:row>
    <x:row r="1269">
      <x:c r="A1269" s="175" t="str">
        <x:v>57.213.492/0001-10</x:v>
      </x:c>
      <x:c r="B1269" s="166" t="str">
        <x:v>FUNDO DE INVESTIMENTO EM DIREITOS CREDITÓRIOS DE CONSÓRCIOS CONSORCIEI III RESPONSABILIDADE LIMITADA</x:v>
      </x:c>
      <x:c r="C1269" s="188" t="n">
        <x:v>78839897.99</x:v>
      </x:c>
      <x:c r="D1269" s="166" t="str">
        <x:v>TERA CAPITAL</x:v>
      </x:c>
      <x:c r="E1269" s="166" t="str">
        <x:f>IFERROR(INDEX('Classif Gestoras'!$H$6:$H$462,MATCH(D1269,'Classif Gestoras'!$A$6:$A$462,0)),"Não classificada")</x:f>
        <x:v>Independente</x:v>
      </x:c>
      <x:c r="F1269" s="166" t="str">
        <x:v>BANCO DAYCOVAL S/A</x:v>
      </x:c>
      <x:c r="G1269" s="166" t="str">
        <x:v>BANCO DAYCOVAL S.A.</x:v>
      </x:c>
      <x:c r="H1269" s="166" t="str">
        <x:v>Outros</x:v>
      </x:c>
      <x:c r="I1269" s="166" t="str">
        <x:v>Multicarteira Outros</x:v>
      </x:c>
      <x:c r="J1269" s="166" t="str">
        <x:v>CI</x:v>
      </x:c>
      <x:c r="K1269" s="172" t="n">
        <x:v>33</x:v>
      </x:c>
      <x:c r="L1269" s="185" t="str">
        <x:v>Não classificado</x:v>
      </x:c>
    </x:row>
    <x:row r="1270">
      <x:c r="A1270" s="175" t="str">
        <x:v>46.799.305/0001-06</x:v>
      </x:c>
      <x:c r="B1270" s="166" t="str">
        <x:v>INTER BASE FUNDO DE INVESTIMENTO EM DIREITOS CREDITÓRIOS MULTISSETORIAL - RESPONSABILIDADE LIMITADA</x:v>
      </x:c>
      <x:c r="C1270" s="188" t="n">
        <x:v>78669747.54</x:v>
      </x:c>
      <x:c r="D1270" s="166" t="str">
        <x:v>TERCON ASSET MANAGEMENT</x:v>
      </x:c>
      <x:c r="E1270" s="166" t="str">
        <x:f>IFERROR(INDEX('Classif Gestoras'!$H$6:$H$462,MATCH(D1270,'Classif Gestoras'!$A$6:$A$462,0)),"Não classificada")</x:f>
        <x:v>Independente</x:v>
      </x:c>
      <x:c r="F1270" s="166" t="str">
        <x:v>Singulare</x:v>
      </x:c>
      <x:c r="G1270" s="166" t="str">
        <x:v>QI CORRETORA DE TÍTULOS E VALORES MOBILIÁRIOS S.A.</x:v>
      </x:c>
      <x:c r="H1270" s="166" t="str">
        <x:v>Fomento Mercantil</x:v>
      </x:c>
      <x:c r="I1270" s="166" t="str">
        <x:v>Fomento Mercantil</x:v>
      </x:c>
      <x:c r="J1270" s="166" t="str">
        <x:v>CI</x:v>
      </x:c>
      <x:c r="K1270" s="172" t="n">
        <x:v>6</x:v>
      </x:c>
      <x:c r="L1270" s="185" t="str">
        <x:v>Não classificado</x:v>
      </x:c>
    </x:row>
    <x:row r="1271">
      <x:c r="A1271" s="175" t="str">
        <x:v>45.207.108/0001-98</x:v>
      </x:c>
      <x:c r="B1271" s="166" t="str">
        <x:v>KUARÁ SPECIAL SITUATIONS I FUNDO DE INVESTIMENTO EM DIREITOS CREDITÓRIOS NP RESPONSABILIDADE LIMITAD</x:v>
      </x:c>
      <x:c r="C1271" s="188" t="n">
        <x:v>78667659.09999998</x:v>
      </x:c>
      <x:c r="D1271" s="166" t="str">
        <x:v>Kuará Capital</x:v>
      </x:c>
      <x:c r="E1271" s="166" t="str">
        <x:f>IFERROR(INDEX('Classif Gestoras'!$H$6:$H$462,MATCH(D1271,'Classif Gestoras'!$A$6:$A$462,0)),"Não classificada")</x:f>
        <x:v>Independente</x:v>
      </x:c>
      <x:c r="F1271" s="166" t="str">
        <x:v>MONETAR DISTRIBUIDORA DE TITUL</x:v>
      </x:c>
      <x:c r="G1271" s="166" t="str">
        <x:v>TERRA INVESTIMENTOS DISTRIBUIDORA DE TITULOS E VALORES MOBILIARIOS LTDA</x:v>
      </x:c>
      <x:c r="H1271" s="166" t="str">
        <x:v>Outros</x:v>
      </x:c>
      <x:c r="I1271" s="166" t="str">
        <x:v>Multicarteira Outros</x:v>
      </x:c>
      <x:c r="J1271" s="166" t="str">
        <x:v>CI</x:v>
      </x:c>
      <x:c r="K1271" s="172" t="n">
        <x:v>32</x:v>
      </x:c>
      <x:c r="L1271" s="185" t="str">
        <x:v>Não classificado</x:v>
      </x:c>
    </x:row>
    <x:row r="1272">
      <x:c r="A1272" s="175" t="str">
        <x:v>63.882.747/0001-30</x:v>
      </x:c>
      <x:c r="B1272" s="166" t="str">
        <x:v>IFOOD PAGO CRÉDITO IV FUNDO DE INVESTIMENTO EM DIREITOS CREDITÓRIOS DE RESPONSABILIDADE LIMITADA</x:v>
      </x:c>
      <x:c r="C1272" s="188" t="n">
        <x:v>78657379.12</x:v>
      </x:c>
      <x:c r="D1272" s="166" t="str">
        <x:v>GENIAL GESTÃO LTDA.</x:v>
      </x:c>
      <x:c r="E1272" s="166" t="str">
        <x:f>IFERROR(INDEX('Classif Gestoras'!$H$6:$H$462,MATCH(D1272,'Classif Gestoras'!$A$6:$A$462,0)),"Não classificada")</x:f>
        <x:v>Ligada a banco</x:v>
      </x:c>
      <x:c r="F1272" s="166" t="str">
        <x:v>Genial Investimentos Corretora de Valores Mobiliários S.A.</x:v>
      </x:c>
      <x:c r="G1272" s="166" t="str">
        <x:v>BANCO GENIAL S.A.</x:v>
      </x:c>
      <x:c r="H1272" s="166" t="str">
        <x:v>Financeiro</x:v>
      </x:c>
      <x:c r="I1272" s="166" t="str">
        <x:v>Crédito Pessoal</x:v>
      </x:c>
      <x:c r="J1272" s="166" t="str">
        <x:v>CI</x:v>
      </x:c>
      <x:c r="K1272" s="172" t="n">
        <x:v>1</x:v>
      </x:c>
      <x:c r="L1272" s="185" t="str">
        <x:v>Não classificado</x:v>
      </x:c>
    </x:row>
    <x:row r="1273">
      <x:c r="A1273" s="175" t="str">
        <x:v>57.750.780/0001-04</x:v>
      </x:c>
      <x:c r="B1273" s="166" t="str">
        <x:v>CAPITÂNIA PORTFOLIO FUNDO DE INVESTIMENTO EM DIREITOS CREDITÓRIOS RESPONSABILIDADE LIMITADA</x:v>
      </x:c>
      <x:c r="C1273" s="188" t="n">
        <x:v>78640943.91999999</x:v>
      </x:c>
      <x:c r="D1273" s="166" t="str">
        <x:v>Capitânia Alternatives S/A</x:v>
      </x:c>
      <x:c r="E1273" s="166" t="str">
        <x:f>IFERROR(INDEX('Classif Gestoras'!$H$6:$H$462,MATCH(D1273,'Classif Gestoras'!$A$6:$A$462,0)),"Não classificada")</x:f>
        <x:v>Independente</x:v>
      </x:c>
      <x:c r="F1273" s="166" t="str">
        <x:v>BTG Pactual Servicos Financeiros S/A DTVM</x:v>
      </x:c>
      <x:c r="G1273" s="166" t="str">
        <x:v>BANCO BTG PACTUAL S/A</x:v>
      </x:c>
      <x:c r="H1273" s="166" t="str">
        <x:v>Outros</x:v>
      </x:c>
      <x:c r="I1273" s="166" t="str">
        <x:v>Multicarteira Outros</x:v>
      </x:c>
      <x:c r="J1273" s="166" t="str">
        <x:v>CI</x:v>
      </x:c>
      <x:c r="K1273" s="172" t="n">
        <x:v>13</x:v>
      </x:c>
      <x:c r="L1273" s="185" t="str">
        <x:v>Não classificado</x:v>
      </x:c>
    </x:row>
    <x:row r="1274">
      <x:c r="A1274" s="175" t="str">
        <x:v>63.947.144/0001-70</x:v>
      </x:c>
      <x:c r="B1274" s="166" t="str">
        <x:v>ST2 MASTER FUNDO DE INVESTIMENTO EM DIREITOS CREDITÓRIOS</x:v>
      </x:c>
      <x:c r="C1274" s="188" t="n">
        <x:v>78291944.38</x:v>
      </x:c>
      <x:c r="D1274" s="166" t="str">
        <x:v>Strata Capital</x:v>
      </x:c>
      <x:c r="E1274" s="166" t="str">
        <x:f>IFERROR(INDEX('Classif Gestoras'!$H$6:$H$462,MATCH(D1274,'Classif Gestoras'!$A$6:$A$462,0)),"Não classificada")</x:f>
        <x:v>Independente</x:v>
      </x:c>
      <x:c r="F1274" s="166" t="str">
        <x:v>BANCO DAYCOVAL S/A</x:v>
      </x:c>
      <x:c r="G1274" s="166" t="str">
        <x:v>BANCO DAYCOVAL S.A.</x:v>
      </x:c>
      <x:c r="H1274" s="166" t="str">
        <x:v>Outros</x:v>
      </x:c>
      <x:c r="I1274" s="166" t="str">
        <x:v>Multicarteira Outros</x:v>
      </x:c>
      <x:c r="J1274" s="166" t="str">
        <x:v>CI</x:v>
      </x:c>
      <x:c r="K1274" s="172" t="n">
        <x:v>3</x:v>
      </x:c>
      <x:c r="L1274" s="185" t="str">
        <x:v>Não classificado</x:v>
      </x:c>
    </x:row>
    <x:row r="1275">
      <x:c r="A1275" s="175" t="str">
        <x:v>31.368.761/0001-24</x:v>
      </x:c>
      <x:c r="B1275" s="166" t="str">
        <x:v>FUNDO DE INVESTIMENTO EM DIREITOS CREDITÓRIOS PAGBEM</x:v>
      </x:c>
      <x:c r="C1275" s="188" t="n">
        <x:v>78245274.16</x:v>
      </x:c>
      <x:c r="D1275" s="166" t="str">
        <x:v>REAG GESTÃO DE CRÉDITO</x:v>
      </x:c>
      <x:c r="E1275" s="166" t="str">
        <x:f>IFERROR(INDEX('Classif Gestoras'!$H$6:$H$462,MATCH(D1275,'Classif Gestoras'!$A$6:$A$462,0)),"Não classificada")</x:f>
        <x:v>Independente</x:v>
      </x:c>
      <x:c r="F1275" s="166" t="str">
        <x:v>Banvox DTVM</x:v>
      </x:c>
      <x:c r="G1275" s="166" t="str">
        <x:v>BANVOX DISTRIBUIDORA DE TITULOS E VALORES MOBILIARIOS LTDA</x:v>
      </x:c>
      <x:c r="H1275" s="166" t="str">
        <x:v>Agro, Indústria e Comércio</x:v>
      </x:c>
      <x:c r="I1275" s="166" t="str">
        <x:v>Recebíveis Comerciais</x:v>
      </x:c>
      <x:c r="J1275" s="166" t="str">
        <x:v>CI</x:v>
      </x:c>
      <x:c r="K1275" s="172" t="n">
        <x:v>29</x:v>
      </x:c>
      <x:c r="L1275" s="185" t="str">
        <x:v>Não classificado</x:v>
      </x:c>
    </x:row>
    <x:row r="1276">
      <x:c r="A1276" s="175" t="str">
        <x:v>48.967.719/0001-22</x:v>
      </x:c>
      <x:c r="B1276" s="166" t="str">
        <x:v>SOULPAY FUNDO DE INVESTIMENTO EM DIREITOS CREDITÓRIOS</x:v>
      </x:c>
      <x:c r="C1276" s="188" t="n">
        <x:v>78165366.93</x:v>
      </x:c>
      <x:c r="D1276" s="166" t="str">
        <x:v>Bless Capital Gestora de Recursos Ltda.</x:v>
      </x:c>
      <x:c r="E1276" s="166" t="str">
        <x:f>IFERROR(INDEX('Classif Gestoras'!$H$6:$H$462,MATCH(D1276,'Classif Gestoras'!$A$6:$A$462,0)),"Não classificada")</x:f>
        <x:v>Independente</x:v>
      </x:c>
      <x:c r="F1276" s="166" t="str">
        <x:v>Singulare</x:v>
      </x:c>
      <x:c r="G1276" s="166" t="str">
        <x:v>QI CORRETORA DE TÍTULOS E VALORES MOBILIÁRIOS S.A.</x:v>
      </x:c>
      <x:c r="H1276" s="166" t="str">
        <x:v>Agro, Indústria e Comércio</x:v>
      </x:c>
      <x:c r="I1276" s="166" t="str">
        <x:v>Recebíveis Comerciais</x:v>
      </x:c>
      <x:c r="J1276" s="166" t="str">
        <x:v>CI</x:v>
      </x:c>
      <x:c r="K1276" s="172" t="n">
        <x:v>3</x:v>
      </x:c>
      <x:c r="L1276" s="185" t="str">
        <x:v>Não classificado</x:v>
      </x:c>
    </x:row>
    <x:row r="1277">
      <x:c r="A1277" s="175" t="str">
        <x:v>57.584.003/0001-37</x:v>
      </x:c>
      <x:c r="B1277" s="166" t="str">
        <x:v>CACO3 II FUNDO DE INVESTIMENTO EM DIREITOS CREDITÓRIOS DE RESPONSABILIDADE LIMITADA</x:v>
      </x:c>
      <x:c r="C1277" s="188" t="n">
        <x:v>78160705.91000001</x:v>
      </x:c>
      <x:c r="D1277" s="166" t="str">
        <x:v>ORIZ ASSET MANAGEMENT LTDA.</x:v>
      </x:c>
      <x:c r="E1277" s="166" t="str">
        <x:f>IFERROR(INDEX('Classif Gestoras'!$H$6:$H$462,MATCH(D1277,'Classif Gestoras'!$A$6:$A$462,0)),"Não classificada")</x:f>
        <x:v>Independente</x:v>
      </x:c>
      <x:c r="F1277" s="166" t="str">
        <x:v>BANCO DAYCOVAL S/A</x:v>
      </x:c>
      <x:c r="G1277" s="166" t="str">
        <x:v>BANCO DAYCOVAL S.A.</x:v>
      </x:c>
      <x:c r="H1277" s="166" t="str">
        <x:v>Outros</x:v>
      </x:c>
      <x:c r="I1277" s="166" t="str">
        <x:v>Recuperação</x:v>
      </x:c>
      <x:c r="J1277" s="166" t="str">
        <x:v>CI</x:v>
      </x:c>
      <x:c r="K1277" s="172" t="n">
        <x:v>1</x:v>
      </x:c>
      <x:c r="L1277" s="185" t="str">
        <x:v>Não classificado</x:v>
      </x:c>
    </x:row>
    <x:row r="1278">
      <x:c r="A1278" s="175" t="str">
        <x:v>54.326.983/0001-80</x:v>
      </x:c>
      <x:c r="B1278" s="166" t="str">
        <x:v>ST 1007 FUNDO DE INVESTIMENTO EM DIREITOS CREDITÓRIOS RESPONSABILIDADE LIMITADA</x:v>
      </x:c>
      <x:c r="C1278" s="188" t="n">
        <x:v>78019593.68</x:v>
      </x:c>
      <x:c r="D1278" s="166" t="str">
        <x:v>Strata Capital</x:v>
      </x:c>
      <x:c r="E1278" s="166" t="str">
        <x:f>IFERROR(INDEX('Classif Gestoras'!$H$6:$H$462,MATCH(D1278,'Classif Gestoras'!$A$6:$A$462,0)),"Não classificada")</x:f>
        <x:v>Independente</x:v>
      </x:c>
      <x:c r="F1278" s="166" t="str">
        <x:v>BANCO DAYCOVAL S/A</x:v>
      </x:c>
      <x:c r="G1278" s="166" t="str">
        <x:v>BANCO DAYCOVAL S.A.</x:v>
      </x:c>
      <x:c r="H1278" s="166" t="str">
        <x:v>Financeiro</x:v>
      </x:c>
      <x:c r="I1278" s="166" t="str">
        <x:v>Multicarteira Financeiro</x:v>
      </x:c>
      <x:c r="J1278" s="166" t="str">
        <x:v>CI</x:v>
      </x:c>
      <x:c r="K1278" s="172" t="n">
        <x:v>2</x:v>
      </x:c>
      <x:c r="L1278" s="185" t="str">
        <x:v>Não classificado</x:v>
      </x:c>
    </x:row>
    <x:row r="1279">
      <x:c r="A1279" s="175" t="str">
        <x:v>64.156.127/0001-87</x:v>
      </x:c>
      <x:c r="B1279" s="166" t="str">
        <x:v>MEZZUS OPORTUNIDADES PRECATÓRIOS FUNDO DE INVESTIMENTO EM DIREITOS CREDITÓRIOS</x:v>
      </x:c>
      <x:c r="C1279" s="188" t="n">
        <x:v>77882390.71</x:v>
      </x:c>
      <x:c r="D1279" s="166" t="str">
        <x:v>Mezzus Capital</x:v>
      </x:c>
      <x:c r="E1279" s="166" t="str">
        <x:f>IFERROR(INDEX('Classif Gestoras'!$H$6:$H$462,MATCH(D1279,'Classif Gestoras'!$A$6:$A$462,0)),"Não classificada")</x:f>
        <x:v>Independente</x:v>
      </x:c>
      <x:c r="F1279" s="166" t="str">
        <x:v>BRL TRUST DTVM</x:v>
      </x:c>
      <x:c r="G1279" s="166" t="str">
        <x:v>BRL TRUST DISTRIBUIDORA DE TITULOS E VALORES MOBILIARIOS S.A.</x:v>
      </x:c>
      <x:c r="H1279" s="166" t="str">
        <x:v>Outros</x:v>
      </x:c>
      <x:c r="I1279" s="166" t="str">
        <x:v>Multicarteira Outros</x:v>
      </x:c>
      <x:c r="J1279" s="166" t="str">
        <x:v>CI</x:v>
      </x:c>
      <x:c r="K1279" s="172" t="n">
        <x:v>10</x:v>
      </x:c>
      <x:c r="L1279" s="185" t="str">
        <x:v>Não classificado</x:v>
      </x:c>
    </x:row>
    <x:row r="1280">
      <x:c r="A1280" s="175" t="str">
        <x:v>52.259.540/0001-98</x:v>
      </x:c>
      <x:c r="B1280" s="166" t="str">
        <x:v>SFT CI FUNDO DE INVESTIMENTO EM DIREITOS CREDITÓRIOS</x:v>
      </x:c>
      <x:c r="C1280" s="188" t="n">
        <x:v>77873847.02</x:v>
      </x:c>
      <x:c r="D1280" s="166" t="str">
        <x:v>M8 Partners</x:v>
      </x:c>
      <x:c r="E1280" s="166" t="str">
        <x:f>IFERROR(INDEX('Classif Gestoras'!$H$6:$H$462,MATCH(D1280,'Classif Gestoras'!$A$6:$A$462,0)),"Não classificada")</x:f>
        <x:v>Independente</x:v>
      </x:c>
      <x:c r="F1280" s="166" t="str">
        <x:v>Singulare</x:v>
      </x:c>
      <x:c r="G1280" s="166" t="str">
        <x:v>Não identificado</x:v>
      </x:c>
      <x:c r="H1280" s="166" t="str">
        <x:v>Fomento Mercantil</x:v>
      </x:c>
      <x:c r="I1280" s="166" t="str">
        <x:v>Fomento Mercantil</x:v>
      </x:c>
      <x:c r="J1280" s="166" t="str">
        <x:v>CI</x:v>
      </x:c>
      <x:c r="K1280" s="172" t="n">
        <x:v>14</x:v>
      </x:c>
      <x:c r="L1280" s="185" t="str">
        <x:v>Não classificado</x:v>
      </x:c>
    </x:row>
    <x:row r="1281">
      <x:c r="A1281" s="175" t="str">
        <x:v>13.004.286/0001-25</x:v>
      </x:c>
      <x:c r="B1281" s="166" t="str">
        <x:v>APOLO - FUNDO DE INVESTIMENTO EM DIREITOS CREDITÓRIOS MULTISEGMENTOS</x:v>
      </x:c>
      <x:c r="C1281" s="188" t="n">
        <x:v>77680766.63</x:v>
      </x:c>
      <x:c r="D1281" s="166" t="str">
        <x:v>Solis</x:v>
      </x:c>
      <x:c r="E1281" s="166" t="str">
        <x:f>IFERROR(INDEX('Classif Gestoras'!$H$6:$H$462,MATCH(D1281,'Classif Gestoras'!$A$6:$A$462,0)),"Não classificada")</x:f>
        <x:v>Independente</x:v>
      </x:c>
      <x:c r="F1281" s="166" t="str">
        <x:v>HEMERA DTVM</x:v>
      </x:c>
      <x:c r="G1281" s="166" t="str">
        <x:v>HEMERA DISTRIBUIDORA DE TITULOS E VALORES MOBILIARIOS LTDA</x:v>
      </x:c>
      <x:c r="H1281" s="166" t="str">
        <x:v>Fomento Mercantil</x:v>
      </x:c>
      <x:c r="I1281" s="166" t="str">
        <x:v>Fomento Mercantil</x:v>
      </x:c>
      <x:c r="J1281" s="166" t="str">
        <x:v>CI</x:v>
      </x:c>
      <x:c r="K1281" s="172" t="n">
        <x:v>5</x:v>
      </x:c>
      <x:c r="L1281" s="185" t="str">
        <x:v>Não classificado</x:v>
      </x:c>
    </x:row>
    <x:row r="1282">
      <x:c r="A1282" s="175" t="str">
        <x:v>49.815.200/0001-91</x:v>
      </x:c>
      <x:c r="B1282" s="166" t="str">
        <x:v>MSB LONGO PRAZO FUNDO DE INVESTIMENTO EM DIREITOS CREDITÓRIOS NÃO PADRONIZADOS</x:v>
      </x:c>
      <x:c r="C1282" s="188" t="n">
        <x:v>77421312.62</x:v>
      </x:c>
      <x:c r="D1282" s="166" t="str">
        <x:v>Multiplica Capital</x:v>
      </x:c>
      <x:c r="E1282" s="166" t="str">
        <x:f>IFERROR(INDEX('Classif Gestoras'!$H$6:$H$462,MATCH(D1282,'Classif Gestoras'!$A$6:$A$462,0)),"Não classificada")</x:f>
        <x:v>Independente</x:v>
      </x:c>
      <x:c r="F1282" s="166" t="str">
        <x:v>PLANNER CV</x:v>
      </x:c>
      <x:c r="G1282" s="166" t="str">
        <x:v>PLANNER CORRETORA DE VALORES S.A.</x:v>
      </x:c>
      <x:c r="H1282" s="166" t="str">
        <x:v>Fomento Mercantil</x:v>
      </x:c>
      <x:c r="I1282" s="166" t="str">
        <x:v>Fomento Mercantil</x:v>
      </x:c>
      <x:c r="J1282" s="166" t="str">
        <x:v>CI</x:v>
      </x:c>
      <x:c r="K1282" s="172" t="n">
        <x:v>2</x:v>
      </x:c>
      <x:c r="L1282" s="185" t="str">
        <x:v>Não classificado</x:v>
      </x:c>
    </x:row>
    <x:row r="1283">
      <x:c r="A1283" s="175" t="str">
        <x:v>55.304.169/0001-27</x:v>
      </x:c>
      <x:c r="B1283" s="166" t="str">
        <x:v>DIAMANTE 44 CRÉDITOS JUDICIAIS FUNDO DE INVESTIMENTO EM DIREITOS CREDITÓRIOS</x:v>
      </x:c>
      <x:c r="C1283" s="188" t="n">
        <x:v>77169816.22</x:v>
      </x:c>
      <x:c r="D1283" s="166" t="str">
        <x:v>BURITI INVESTIMENTOS</x:v>
      </x:c>
      <x:c r="E1283" s="166" t="str">
        <x:f>IFERROR(INDEX('Classif Gestoras'!$H$6:$H$462,MATCH(D1283,'Classif Gestoras'!$A$6:$A$462,0)),"Não classificada")</x:f>
        <x:v>Independente</x:v>
      </x:c>
      <x:c r="F1283" s="166" t="str">
        <x:v>BTG Pactual Servicos Financeiros S/A DTVM</x:v>
      </x:c>
      <x:c r="G1283" s="166" t="str">
        <x:v>BANCO BTG PACTUAL S/A</x:v>
      </x:c>
      <x:c r="H1283" s="166" t="str">
        <x:v>Outros</x:v>
      </x:c>
      <x:c r="I1283" s="166" t="str">
        <x:v>Poder Público</x:v>
      </x:c>
      <x:c r="J1283" s="166" t="str">
        <x:v>CI</x:v>
      </x:c>
      <x:c r="K1283" s="172" t="n">
        <x:v>4</x:v>
      </x:c>
      <x:c r="L1283" s="185" t="str">
        <x:v>Não classificado</x:v>
      </x:c>
    </x:row>
    <x:row r="1284">
      <x:c r="A1284" s="175" t="str">
        <x:v>63.482.686/0001-14</x:v>
      </x:c>
      <x:c r="B1284" s="166" t="str">
        <x:v>RESOLVE CAPITAL FIDC MULTICARTEIRA FINANCEIRO - RESP LIMITADA</x:v>
      </x:c>
      <x:c r="C1284" s="188" t="n">
        <x:v>76971168.61</x:v>
      </x:c>
      <x:c r="D1284" s="166" t="str">
        <x:v>ARTESANAL FINANCEIRO</x:v>
      </x:c>
      <x:c r="E1284" s="166" t="str">
        <x:f>IFERROR(INDEX('Classif Gestoras'!$H$6:$H$462,MATCH(D1284,'Classif Gestoras'!$A$6:$A$462,0)),"Não classificada")</x:f>
        <x:v>Independente</x:v>
      </x:c>
      <x:c r="F1284" s="166" t="str">
        <x:v>Genial Investimentos Corretora de Valores Mobiliários S.A.</x:v>
      </x:c>
      <x:c r="G1284" s="166" t="str">
        <x:v>BANCO GENIAL S.A.</x:v>
      </x:c>
      <x:c r="H1284" s="166" t="str">
        <x:v>Financeiro</x:v>
      </x:c>
      <x:c r="I1284" s="166" t="str">
        <x:v>Multicarteira Financeiro</x:v>
      </x:c>
      <x:c r="J1284" s="166" t="str">
        <x:v>CI</x:v>
      </x:c>
      <x:c r="K1284" s="172" t="n">
        <x:v>11</x:v>
      </x:c>
      <x:c r="L1284" s="185" t="str">
        <x:v>Não classificado</x:v>
      </x:c>
    </x:row>
    <x:row r="1285">
      <x:c r="A1285" s="175" t="str">
        <x:v>46.285.154/0001-78</x:v>
      </x:c>
      <x:c r="B1285" s="166" t="str">
        <x:v>AZURE CONSIGNADOS FUNDO DE INVESTIMENTO EM DIREITOS CREDITÓRIOS - RESPONSABILIDADE LIMITADA</x:v>
      </x:c>
      <x:c r="C1285" s="188" t="n">
        <x:v>76953288.83999999</x:v>
      </x:c>
      <x:c r="D1285" s="166" t="str">
        <x:v>Apuama Capital</x:v>
      </x:c>
      <x:c r="E1285" s="166" t="str">
        <x:f>IFERROR(INDEX('Classif Gestoras'!$H$6:$H$462,MATCH(D1285,'Classif Gestoras'!$A$6:$A$462,0)),"Não classificada")</x:f>
        <x:v>Independente</x:v>
      </x:c>
      <x:c r="F1285" s="166" t="str">
        <x:v>BANCO DAYCOVAL S/A</x:v>
      </x:c>
      <x:c r="G1285" s="166" t="str">
        <x:v>BANCO DAYCOVAL S.A.</x:v>
      </x:c>
      <x:c r="H1285" s="166" t="str">
        <x:v>Financeiro</x:v>
      </x:c>
      <x:c r="I1285" s="166" t="str">
        <x:v>Crédito Consignado</x:v>
      </x:c>
      <x:c r="J1285" s="166" t="str">
        <x:v>CI</x:v>
      </x:c>
      <x:c r="K1285" s="172" t="n">
        <x:v>48</x:v>
      </x:c>
      <x:c r="L1285" s="185" t="str">
        <x:v>Não classificado</x:v>
      </x:c>
    </x:row>
    <x:row r="1286">
      <x:c r="A1286" s="175" t="str">
        <x:v>32.948.668/0001-51</x:v>
      </x:c>
      <x:c r="B1286" s="166" t="str">
        <x:v>G5 CRÉDITOS CONDOMINIAIS FUNDO DE INVESTIMENTO EM DIREITOS CREDITÓRIOS - NÃO PADRONIZADOS</x:v>
      </x:c>
      <x:c r="C1286" s="188" t="n">
        <x:v>76827853.83</x:v>
      </x:c>
      <x:c r="D1286" s="166" t="str">
        <x:v>G5 Adm. de Recursos</x:v>
      </x:c>
      <x:c r="E1286" s="166" t="str">
        <x:f>IFERROR(INDEX('Classif Gestoras'!$H$6:$H$462,MATCH(D1286,'Classif Gestoras'!$A$6:$A$462,0)),"Não classificada")</x:f>
        <x:v>Independente</x:v>
      </x:c>
      <x:c r="F1286" s="166" t="str">
        <x:v>Singulare</x:v>
      </x:c>
      <x:c r="G1286" s="166" t="str">
        <x:v>QI CORRETORA DE TÍTULOS E VALORES MOBILIÁRIOS S.A.</x:v>
      </x:c>
      <x:c r="H1286" s="166" t="str">
        <x:v>Outros</x:v>
      </x:c>
      <x:c r="I1286" s="166" t="str">
        <x:v>Recuperação</x:v>
      </x:c>
      <x:c r="J1286" s="166" t="str">
        <x:v>CI</x:v>
      </x:c>
      <x:c r="K1286" s="172" t="n">
        <x:v>1</x:v>
      </x:c>
      <x:c r="L1286" s="185" t="str">
        <x:v>Não classificado</x:v>
      </x:c>
    </x:row>
    <x:row r="1287">
      <x:c r="A1287" s="175" t="str">
        <x:v>62.546.276/0001-27</x:v>
      </x:c>
      <x:c r="B1287" s="166" t="str">
        <x:v>ASHER CONSIGNADO FUNDO DE INVESTIMENTOS EM DIREITOS CREDITÓRIOS RESPONSABILIDADE LIMITADA</x:v>
      </x:c>
      <x:c r="C1287" s="188" t="n">
        <x:v>76456754.28</x:v>
      </x:c>
      <x:c r="D1287" s="166" t="str">
        <x:v>EXA CAPITAL ASSET</x:v>
      </x:c>
      <x:c r="E1287" s="166" t="str">
        <x:f>IFERROR(INDEX('Classif Gestoras'!$H$6:$H$462,MATCH(D1287,'Classif Gestoras'!$A$6:$A$462,0)),"Não classificada")</x:f>
        <x:v>Independente</x:v>
      </x:c>
      <x:c r="F1287" s="166" t="str">
        <x:v>BRL TRUST DTVM</x:v>
      </x:c>
      <x:c r="G1287" s="166" t="str">
        <x:v>BRL TRUST DISTRIBUIDORA DE TITULOS E VALORES MOBILIARIOS S.A.</x:v>
      </x:c>
      <x:c r="H1287" s="166" t="str">
        <x:v>Financeiro</x:v>
      </x:c>
      <x:c r="I1287" s="166" t="str">
        <x:v>Crédito Consignado</x:v>
      </x:c>
      <x:c r="J1287" s="166" t="str">
        <x:v>CI</x:v>
      </x:c>
      <x:c r="K1287" s="172" t="n">
        <x:v>24</x:v>
      </x:c>
      <x:c r="L1287" s="185" t="str">
        <x:v>Não classificado</x:v>
      </x:c>
    </x:row>
    <x:row r="1288">
      <x:c r="A1288" s="175" t="str">
        <x:v>61.163.933/0001-94</x:v>
      </x:c>
      <x:c r="B1288" s="166" t="str">
        <x:v>PÁTRIA - G5 CRÉDITO ESTRUTURADO FUNDO DE INVESTIMENTO EM DIREITOS CREDITÓRIOS</x:v>
      </x:c>
      <x:c r="C1288" s="188" t="n">
        <x:v>76324703.86</x:v>
      </x:c>
      <x:c r="D1288" s="166" t="str">
        <x:v>Pátria Investimentos Ltda.</x:v>
      </x:c>
      <x:c r="E1288" s="166" t="str">
        <x:f>IFERROR(INDEX('Classif Gestoras'!$H$6:$H$462,MATCH(D1288,'Classif Gestoras'!$A$6:$A$462,0)),"Não classificada")</x:f>
        <x:v>Independente</x:v>
      </x:c>
      <x:c r="F1288" s="166" t="str">
        <x:v>BTG Pactual Servicos Financeiros S/A DTVM</x:v>
      </x:c>
      <x:c r="G1288" s="166" t="str">
        <x:v>BANCO BTG PACTUAL S/A</x:v>
      </x:c>
      <x:c r="H1288" s="166" t="str">
        <x:v>Outros</x:v>
      </x:c>
      <x:c r="I1288" s="166" t="str">
        <x:v>Multicarteira Outros</x:v>
      </x:c>
      <x:c r="J1288" s="166" t="str">
        <x:v>CI</x:v>
      </x:c>
      <x:c r="K1288" s="172" t="n">
        <x:v>6</x:v>
      </x:c>
      <x:c r="L1288" s="185" t="str">
        <x:v>Não classificado</x:v>
      </x:c>
    </x:row>
    <x:row r="1289">
      <x:c r="A1289" s="175" t="str">
        <x:v>52.322.327/0001-83</x:v>
      </x:c>
      <x:c r="B1289" s="166" t="str">
        <x:v>GOLDEN STONE II FUNDO DE INVESTIMENTO EM DIREITOS CREDITÓRIOS MULTISSETORIAL</x:v>
      </x:c>
      <x:c r="C1289" s="188" t="n">
        <x:v>76315993.38000001</x:v>
      </x:c>
      <x:c r="D1289" s="166" t="str">
        <x:v>NOVA OCCAM BRASIL GESTÃO DE RECURSOS LTDA.</x:v>
      </x:c>
      <x:c r="E1289" s="166" t="str">
        <x:f>IFERROR(INDEX('Classif Gestoras'!$H$6:$H$462,MATCH(D1289,'Classif Gestoras'!$A$6:$A$462,0)),"Não classificada")</x:f>
        <x:v>Independente</x:v>
      </x:c>
      <x:c r="F1289" s="166" t="str">
        <x:v>Singulare</x:v>
      </x:c>
      <x:c r="G1289" s="166" t="str">
        <x:v>QI CORRETORA DE TÍTULOS E VALORES MOBILIÁRIOS S.A.</x:v>
      </x:c>
      <x:c r="H1289" s="166" t="str">
        <x:v>Fomento Mercantil</x:v>
      </x:c>
      <x:c r="I1289" s="166" t="str">
        <x:v>Fomento Mercantil</x:v>
      </x:c>
      <x:c r="J1289" s="166" t="str">
        <x:v>CI</x:v>
      </x:c>
      <x:c r="K1289" s="172" t="n">
        <x:v>1</x:v>
      </x:c>
      <x:c r="L1289" s="185" t="str">
        <x:v>Não classificado</x:v>
      </x:c>
    </x:row>
    <x:row r="1290">
      <x:c r="A1290" s="175" t="str">
        <x:v>57.053.395/0001-08</x:v>
      </x:c>
      <x:c r="B1290" s="166" t="str">
        <x:v>AGROCANA FUNDO DE INVESTIMENTO EM DIREITOS CREDITÓRIOS - RESPONSABILIDADE LIMITADA</x:v>
      </x:c>
      <x:c r="C1290" s="188" t="n">
        <x:v>76315846.62</x:v>
      </x:c>
      <x:c r="D1290" s="166" t="str">
        <x:v>VALORA IMOBILIÁRIO E INFRAESTRUTURA LTDA</x:v>
      </x:c>
      <x:c r="E1290" s="166" t="str">
        <x:f>IFERROR(INDEX('Classif Gestoras'!$H$6:$H$462,MATCH(D1290,'Classif Gestoras'!$A$6:$A$462,0)),"Não classificada")</x:f>
        <x:v>Independente</x:v>
      </x:c>
      <x:c r="F1290" s="166" t="str">
        <x:v>Limine Trust Distribuidora de Titulos e Valores Mobiliá</x:v>
      </x:c>
      <x:c r="G1290" s="166" t="str">
        <x:v>LIMINE TRUST DISTRIBUIDORA DE TITULOS E VALORES MOBILIARIOS LTDA.</x:v>
      </x:c>
      <x:c r="H1290" s="166" t="str">
        <x:v>Agro, Indústria e Comércio</x:v>
      </x:c>
      <x:c r="I1290" s="166" t="str">
        <x:v>Agronegócio</x:v>
      </x:c>
      <x:c r="J1290" s="166" t="str">
        <x:v>CI</x:v>
      </x:c>
      <x:c r="K1290" s="172" t="n">
        <x:v>5</x:v>
      </x:c>
      <x:c r="L1290" s="185" t="str">
        <x:v>Não classificado</x:v>
      </x:c>
    </x:row>
    <x:row r="1291">
      <x:c r="A1291" s="175" t="str">
        <x:v>38.168.015/0001-36</x:v>
      </x:c>
      <x:c r="B1291" s="166" t="str">
        <x:v>AVANTI FUNDO DE INVESTIMENTO EM DIREITOS CREDITÓRIOS</x:v>
      </x:c>
      <x:c r="C1291" s="188" t="n">
        <x:v>76219667.21</x:v>
      </x:c>
      <x:c r="D1291" s="166" t="str">
        <x:v>Milênio Capital</x:v>
      </x:c>
      <x:c r="E1291" s="166" t="str">
        <x:f>IFERROR(INDEX('Classif Gestoras'!$H$6:$H$462,MATCH(D1291,'Classif Gestoras'!$A$6:$A$462,0)),"Não classificada")</x:f>
        <x:v>Independente</x:v>
      </x:c>
      <x:c r="F1291" s="166" t="str">
        <x:v>Singulare</x:v>
      </x:c>
      <x:c r="G1291" s="166" t="str">
        <x:v>QI CORRETORA DE TÍTULOS E VALORES MOBILIÁRIOS S.A.</x:v>
      </x:c>
      <x:c r="H1291" s="166" t="str">
        <x:v>Outros</x:v>
      </x:c>
      <x:c r="I1291" s="166" t="str">
        <x:v>Multicarteira Outros</x:v>
      </x:c>
      <x:c r="J1291" s="166" t="str">
        <x:v>CI</x:v>
      </x:c>
      <x:c r="K1291" s="172" t="n">
        <x:v>13</x:v>
      </x:c>
      <x:c r="L1291" s="185" t="str">
        <x:v>Não classificado</x:v>
      </x:c>
    </x:row>
    <x:row r="1292">
      <x:c r="A1292" s="175" t="str">
        <x:v>48.946.335/0001-23</x:v>
      </x:c>
      <x:c r="B1292" s="166" t="str">
        <x:v>CNPJ 48946335000123</x:v>
      </x:c>
      <x:c r="C1292" s="188" t="n">
        <x:v>76200738.78</x:v>
      </x:c>
      <x:c r="D1292" s="166" t="str">
        <x:v>Oikos Capital</x:v>
      </x:c>
      <x:c r="E1292" s="166" t="str">
        <x:f>IFERROR(INDEX('Classif Gestoras'!$H$6:$H$462,MATCH(D1292,'Classif Gestoras'!$A$6:$A$462,0)),"Não classificada")</x:f>
        <x:v>Independente</x:v>
      </x:c>
      <x:c r="F1292" s="166" t="str">
        <x:v>VÓRTX DTVM</x:v>
      </x:c>
      <x:c r="G1292" s="166" t="str">
        <x:v>Não identificado</x:v>
      </x:c>
      <x:c r="H1292" s="166" t="str">
        <x:v>Agro, Indústria e Comércio</x:v>
      </x:c>
      <x:c r="I1292" s="166" t="str">
        <x:v>Recebíveis Comerciais</x:v>
      </x:c>
      <x:c r="J1292" s="166" t="str">
        <x:v>CI</x:v>
      </x:c>
      <x:c r="K1292" s="172"/>
      <x:c r="L1292" s="185" t="str">
        <x:v>Não classificado</x:v>
      </x:c>
    </x:row>
    <x:row r="1293">
      <x:c r="A1293" s="175" t="str">
        <x:v>39.809.526/0001-52</x:v>
      </x:c>
      <x:c r="B1293" s="166" t="str">
        <x:v>FEGIK FOZ FUNDO DE INVESTIMENTO EM DIREITOS CREDITÓRIOS - RESPONSABILIDADE LIMITADA</x:v>
      </x:c>
      <x:c r="C1293" s="188" t="n">
        <x:v>76144373.1</x:v>
      </x:c>
      <x:c r="D1293" s="166" t="str">
        <x:v>Evolve Capital Gestão de Recursos LTDA</x:v>
      </x:c>
      <x:c r="E1293" s="166" t="str">
        <x:f>IFERROR(INDEX('Classif Gestoras'!$H$6:$H$462,MATCH(D1293,'Classif Gestoras'!$A$6:$A$462,0)),"Não classificada")</x:f>
        <x:v>Independente</x:v>
      </x:c>
      <x:c r="F1293" s="166" t="str">
        <x:v>BANCO DAYCOVAL S/A</x:v>
      </x:c>
      <x:c r="G1293" s="166" t="str">
        <x:v>BANCO DAYCOVAL S.A.</x:v>
      </x:c>
      <x:c r="H1293" s="166" t="str">
        <x:v>Financeiro</x:v>
      </x:c>
      <x:c r="I1293" s="166" t="str">
        <x:v>Crédito Imobiliário</x:v>
      </x:c>
      <x:c r="J1293" s="166" t="str">
        <x:v>CI</x:v>
      </x:c>
      <x:c r="K1293" s="172" t="n">
        <x:v>1</x:v>
      </x:c>
      <x:c r="L1293" s="185" t="str">
        <x:v>Não classificado</x:v>
      </x:c>
    </x:row>
    <x:row r="1294">
      <x:c r="A1294" s="175" t="str">
        <x:v>29.236.389/0001-50</x:v>
      </x:c>
      <x:c r="B1294" s="166" t="str">
        <x:v>TREVYS FUNDO DE INVESTIMENTO EM DIREITOS CREDITORIOS</x:v>
      </x:c>
      <x:c r="C1294" s="188" t="n">
        <x:v>76048020.49999999</x:v>
      </x:c>
      <x:c r="D1294" s="166" t="str">
        <x:v>TERCON ASSET MANAGEMENT</x:v>
      </x:c>
      <x:c r="E1294" s="166" t="str">
        <x:f>IFERROR(INDEX('Classif Gestoras'!$H$6:$H$462,MATCH(D1294,'Classif Gestoras'!$A$6:$A$462,0)),"Não classificada")</x:f>
        <x:v>Independente</x:v>
      </x:c>
      <x:c r="F1294" s="166" t="str">
        <x:v>Singulare</x:v>
      </x:c>
      <x:c r="G1294" s="166" t="str">
        <x:v>QI CORRETORA DE TÍTULOS E VALORES MOBILIÁRIOS S.A.</x:v>
      </x:c>
      <x:c r="H1294" s="166" t="str">
        <x:v>Fomento Mercantil</x:v>
      </x:c>
      <x:c r="I1294" s="166" t="str">
        <x:v>Fomento Mercantil</x:v>
      </x:c>
      <x:c r="J1294" s="166" t="str">
        <x:v>CI</x:v>
      </x:c>
      <x:c r="K1294" s="172" t="n">
        <x:v>19</x:v>
      </x:c>
      <x:c r="L1294" s="185" t="str">
        <x:v>Não classificado</x:v>
      </x:c>
    </x:row>
    <x:row r="1295">
      <x:c r="A1295" s="175" t="str">
        <x:v>28.880.400/0001-58</x:v>
      </x:c>
      <x:c r="B1295" s="166" t="str">
        <x:v>GRAN CAPITAL FUNDO DE INVESTIMENTO EM DIREITOS CREDITÓRIOS RESPONSABILIDADE LIMITADA</x:v>
      </x:c>
      <x:c r="C1295" s="188" t="n">
        <x:v>75924450.69000001</x:v>
      </x:c>
      <x:c r="D1295" s="166" t="str">
        <x:v>Libertas Asset</x:v>
      </x:c>
      <x:c r="E1295" s="166" t="str">
        <x:f>IFERROR(INDEX('Classif Gestoras'!$H$6:$H$462,MATCH(D1295,'Classif Gestoras'!$A$6:$A$462,0)),"Não classificada")</x:f>
        <x:v>Independente</x:v>
      </x:c>
      <x:c r="F1295" s="166" t="str">
        <x:v>ACTUAL DTVM</x:v>
      </x:c>
      <x:c r="G1295" s="166" t="str">
        <x:v>TRUSTEE DISTRIBUIDORA DE TITULOS E VALORES MOBILIARIOS LTDA.</x:v>
      </x:c>
      <x:c r="H1295" s="166" t="str">
        <x:v>Fomento Mercantil</x:v>
      </x:c>
      <x:c r="I1295" s="166" t="str">
        <x:v>Fomento Mercantil</x:v>
      </x:c>
      <x:c r="J1295" s="166" t="str">
        <x:v>CI</x:v>
      </x:c>
      <x:c r="K1295" s="172" t="n">
        <x:v>1</x:v>
      </x:c>
      <x:c r="L1295" s="185" t="str">
        <x:v>Não classificado</x:v>
      </x:c>
    </x:row>
    <x:row r="1296">
      <x:c r="A1296" s="175" t="str">
        <x:v>45.880.965/0001-54</x:v>
      </x:c>
      <x:c r="B1296" s="166" t="str">
        <x:v>FUNDO DE INVESTIMENTO EM DIREITOS CREDITÓRIOS SANTAFUSVE RESPONSABILIDADE LIMITADA</x:v>
      </x:c>
      <x:c r="C1296" s="188" t="n">
        <x:v>75854880.97999999</x:v>
      </x:c>
      <x:c r="D1296" s="166" t="str">
        <x:v>VERT Gestora de Recursos Financeiros Ltda.</x:v>
      </x:c>
      <x:c r="E1296" s="166" t="str">
        <x:f>IFERROR(INDEX('Classif Gestoras'!$H$6:$H$462,MATCH(D1296,'Classif Gestoras'!$A$6:$A$462,0)),"Não classificada")</x:f>
        <x:v>Independente</x:v>
      </x:c>
      <x:c r="F1296" s="166" t="str">
        <x:v>Oliveira Trust DTVM</x:v>
      </x:c>
      <x:c r="G1296" s="166" t="str">
        <x:v>OLIVEIRA TRUST DTVM S.A.</x:v>
      </x:c>
      <x:c r="H1296" s="166" t="str">
        <x:v>Financeiro</x:v>
      </x:c>
      <x:c r="I1296" s="166" t="str">
        <x:v>Crédito Pessoal</x:v>
      </x:c>
      <x:c r="J1296" s="166" t="str">
        <x:v>CI</x:v>
      </x:c>
      <x:c r="K1296" s="172" t="n">
        <x:v>2</x:v>
      </x:c>
      <x:c r="L1296" s="185" t="str">
        <x:v>Não classificado</x:v>
      </x:c>
    </x:row>
    <x:row r="1297">
      <x:c r="A1297" s="175" t="str">
        <x:v>41.196.339/0001-92</x:v>
      </x:c>
      <x:c r="B1297" s="166" t="str">
        <x:v>SYNGENTA TECH I FUNDO DE INVESTIMENTO EM DIREITOS CREDITÓRIOS DE RESPONSABILIDADE ILIMITADA</x:v>
      </x:c>
      <x:c r="C1297" s="188" t="n">
        <x:v>75847096.33999999</x:v>
      </x:c>
      <x:c r="D1297" s="166" t="str">
        <x:v>Eco Gestão de Ativos LTDA.</x:v>
      </x:c>
      <x:c r="E1297" s="166" t="str">
        <x:f>IFERROR(INDEX('Classif Gestoras'!$H$6:$H$462,MATCH(D1297,'Classif Gestoras'!$A$6:$A$462,0)),"Não classificada")</x:f>
        <x:v>Independente</x:v>
      </x:c>
      <x:c r="F1297" s="166" t="str">
        <x:v>BANCO DAYCOVAL S/A</x:v>
      </x:c>
      <x:c r="G1297" s="166" t="str">
        <x:v>BANCO DAYCOVAL S.A.</x:v>
      </x:c>
      <x:c r="H1297" s="166" t="str">
        <x:v>Agro, Indústria e Comércio</x:v>
      </x:c>
      <x:c r="I1297" s="166" t="str">
        <x:v>Agronegócio</x:v>
      </x:c>
      <x:c r="J1297" s="166" t="str">
        <x:v>CI</x:v>
      </x:c>
      <x:c r="K1297" s="172" t="n">
        <x:v>4</x:v>
      </x:c>
      <x:c r="L1297" s="185" t="str">
        <x:v>Não classificado</x:v>
      </x:c>
    </x:row>
    <x:row r="1298">
      <x:c r="A1298" s="175" t="str">
        <x:v>18.387.112/0001-02</x:v>
      </x:c>
      <x:c r="B1298" s="166" t="str">
        <x:v>FUNDO DE INVESTIMENTO EM DIREITOS CREDITORIOS ONIX PRIME</x:v>
      </x:c>
      <x:c r="C1298" s="188" t="n">
        <x:v>75807656.49</x:v>
      </x:c>
      <x:c r="D1298" s="166" t="str">
        <x:v>TERCON ASSET MANAGEMENT</x:v>
      </x:c>
      <x:c r="E1298" s="166" t="str">
        <x:f>IFERROR(INDEX('Classif Gestoras'!$H$6:$H$462,MATCH(D1298,'Classif Gestoras'!$A$6:$A$462,0)),"Não classificada")</x:f>
        <x:v>Independente</x:v>
      </x:c>
      <x:c r="F1298" s="166" t="str">
        <x:v>Singulare</x:v>
      </x:c>
      <x:c r="G1298" s="166" t="str">
        <x:v>QI CORRETORA DE TÍTULOS E VALORES MOBILIÁRIOS S.A.</x:v>
      </x:c>
      <x:c r="H1298" s="166" t="str">
        <x:v>Fomento Mercantil</x:v>
      </x:c>
      <x:c r="I1298" s="166" t="str">
        <x:v>Fomento Mercantil</x:v>
      </x:c>
      <x:c r="J1298" s="166" t="str">
        <x:v>CI</x:v>
      </x:c>
      <x:c r="K1298" s="172" t="n">
        <x:v>58</x:v>
      </x:c>
      <x:c r="L1298" s="185" t="str">
        <x:v>Não classificado</x:v>
      </x:c>
    </x:row>
    <x:row r="1299">
      <x:c r="A1299" s="175" t="str">
        <x:v>42.404.812/0001-42</x:v>
      </x:c>
      <x:c r="B1299" s="166" t="str">
        <x:v>GRUPO H FUNDO DE INVESTIMENTO EM DIREITOS CREDITÓRIOS</x:v>
      </x:c>
      <x:c r="C1299" s="188" t="n">
        <x:v>75688522.36</x:v>
      </x:c>
      <x:c r="D1299" s="166" t="str">
        <x:v>F3 ROCK</x:v>
      </x:c>
      <x:c r="E1299" s="166" t="str">
        <x:f>IFERROR(INDEX('Classif Gestoras'!$H$6:$H$462,MATCH(D1299,'Classif Gestoras'!$A$6:$A$462,0)),"Não classificada")</x:f>
        <x:v>Independente</x:v>
      </x:c>
      <x:c r="F1299" s="166" t="str">
        <x:v>VÓRTX DTVM</x:v>
      </x:c>
      <x:c r="G1299" s="166" t="str">
        <x:v>VORTX DISTRIBUIDORA DE TITULOS E VALORES MOBILIARIOS LTDA.</x:v>
      </x:c>
      <x:c r="H1299" s="166" t="str">
        <x:v>Outros</x:v>
      </x:c>
      <x:c r="I1299" s="166" t="str">
        <x:v>Multicarteira Outros</x:v>
      </x:c>
      <x:c r="J1299" s="166" t="str">
        <x:v>CI</x:v>
      </x:c>
      <x:c r="K1299" s="172" t="n">
        <x:v>5</x:v>
      </x:c>
      <x:c r="L1299" s="185" t="str">
        <x:v>Não classificado</x:v>
      </x:c>
    </x:row>
    <x:row r="1300">
      <x:c r="A1300" s="175" t="str">
        <x:v>53.167.853/0001-89</x:v>
      </x:c>
      <x:c r="B1300" s="166" t="str">
        <x:v>AMENDOEIRA FUNDO DE INVESTIMENTO EM DIREITOS CREDITÓRIOS - RESPONSABILIDADE LIMITADA</x:v>
      </x:c>
      <x:c r="C1300" s="188" t="n">
        <x:v>75399914.99</x:v>
      </x:c>
      <x:c r="D1300" s="166" t="str">
        <x:v>BURITI INVESTIMENTOS</x:v>
      </x:c>
      <x:c r="E1300" s="166" t="str">
        <x:f>IFERROR(INDEX('Classif Gestoras'!$H$6:$H$462,MATCH(D1300,'Classif Gestoras'!$A$6:$A$462,0)),"Não classificada")</x:f>
        <x:v>Independente</x:v>
      </x:c>
      <x:c r="F1300" s="166" t="str">
        <x:v>Singulare</x:v>
      </x:c>
      <x:c r="G1300" s="166" t="str">
        <x:v>QI CORRETORA DE TÍTULOS E VALORES MOBILIÁRIOS S.A.</x:v>
      </x:c>
      <x:c r="H1300" s="166" t="str">
        <x:v>Outros</x:v>
      </x:c>
      <x:c r="I1300" s="166" t="str">
        <x:v>Multicarteira Outros</x:v>
      </x:c>
      <x:c r="J1300" s="166" t="str">
        <x:v>CI</x:v>
      </x:c>
      <x:c r="K1300" s="172" t="n">
        <x:v>7</x:v>
      </x:c>
      <x:c r="L1300" s="185" t="str">
        <x:v>Não classificado</x:v>
      </x:c>
    </x:row>
    <x:row r="1301">
      <x:c r="A1301" s="175" t="str">
        <x:v>37.021.468/0001-72</x:v>
      </x:c>
      <x:c r="B1301" s="166" t="str">
        <x:v>PORTLAND CRÉDITOS JUDICIAIS FUNDO DE INVESTIMENTO EM DIREITOS CREDITÓRIOS</x:v>
      </x:c>
      <x:c r="C1301" s="188" t="n">
        <x:v>75324426.05039999</x:v>
      </x:c>
      <x:c r="D1301" s="166" t="str">
        <x:v>Quadra Gestão de Recursos S.A.</x:v>
      </x:c>
      <x:c r="E1301" s="166" t="str">
        <x:f>IFERROR(INDEX('Classif Gestoras'!$H$6:$H$462,MATCH(D1301,'Classif Gestoras'!$A$6:$A$462,0)),"Não classificada")</x:f>
        <x:v>Independente</x:v>
      </x:c>
      <x:c r="F1301" s="166" t="str">
        <x:v>BTG Pactual Servicos Financeiros S/A DTVM</x:v>
      </x:c>
      <x:c r="G1301" s="166" t="str">
        <x:v>BANCO BTG PACTUAL S/A</x:v>
      </x:c>
      <x:c r="H1301" s="166" t="str">
        <x:v>Outros</x:v>
      </x:c>
      <x:c r="I1301" s="166" t="str">
        <x:v>Multicarteira Outros</x:v>
      </x:c>
      <x:c r="J1301" s="166" t="str">
        <x:v>CI</x:v>
      </x:c>
      <x:c r="K1301" s="172" t="n">
        <x:v>4</x:v>
      </x:c>
      <x:c r="L1301" s="185" t="str">
        <x:v>Não classificado</x:v>
      </x:c>
    </x:row>
    <x:row r="1302">
      <x:c r="A1302" s="175" t="str">
        <x:v>42.273.967/0001-97</x:v>
      </x:c>
      <x:c r="B1302" s="166" t="str">
        <x:v>PLETORA FUNDO DE INVESTIMENTO EM DIREITOS CREDITORIOS</x:v>
      </x:c>
      <x:c r="C1302" s="188" t="n">
        <x:v>75282908.4</x:v>
      </x:c>
      <x:c r="D1302" s="166" t="str">
        <x:v>Renova Gestora</x:v>
      </x:c>
      <x:c r="E1302" s="166" t="str">
        <x:f>IFERROR(INDEX('Classif Gestoras'!$H$6:$H$462,MATCH(D1302,'Classif Gestoras'!$A$6:$A$462,0)),"Não classificada")</x:f>
        <x:v>Independente</x:v>
      </x:c>
      <x:c r="F1302" s="166" t="str">
        <x:v>Limine Trust Distribuidora de Titulos e Valores Mobiliá</x:v>
      </x:c>
      <x:c r="G1302" s="166" t="str">
        <x:v>LIMINE TRUST DISTRIBUIDORA DE TITULOS E VALORES MOBILIARIOS LTDA.</x:v>
      </x:c>
      <x:c r="H1302" s="166" t="str">
        <x:v>Financeiro</x:v>
      </x:c>
      <x:c r="I1302" s="166" t="str">
        <x:v>Multicarteira Financeiro</x:v>
      </x:c>
      <x:c r="J1302" s="166" t="str">
        <x:v>CI</x:v>
      </x:c>
      <x:c r="K1302" s="172" t="n">
        <x:v>28</x:v>
      </x:c>
      <x:c r="L1302" s="185" t="str">
        <x:v>Não classificado</x:v>
      </x:c>
    </x:row>
    <x:row r="1303">
      <x:c r="A1303" s="175" t="str">
        <x:v>57.056.989/0001-72</x:v>
      </x:c>
      <x:c r="B1303" s="166" t="str">
        <x:v>LIFT SO II FUNDO DE INVESTIMENTO EM DIREITOS CREDITÓRIOS</x:v>
      </x:c>
      <x:c r="C1303" s="188" t="n">
        <x:v>74973027.47000001</x:v>
      </x:c>
      <x:c r="D1303" s="166" t="str">
        <x:v>Namari Capital Gestão de Recursos Ltda.</x:v>
      </x:c>
      <x:c r="E1303" s="166" t="str">
        <x:f>IFERROR(INDEX('Classif Gestoras'!$H$6:$H$462,MATCH(D1303,'Classif Gestoras'!$A$6:$A$462,0)),"Não classificada")</x:f>
        <x:v>Independente</x:v>
      </x:c>
      <x:c r="F1303" s="166" t="str">
        <x:v>BRL TRUST DTVM</x:v>
      </x:c>
      <x:c r="G1303" s="166" t="str">
        <x:v>BRL TRUST DISTRIBUIDORA DE TITULOS E VALORES MOBILIARIOS S.A.</x:v>
      </x:c>
      <x:c r="H1303" s="166" t="str">
        <x:v>Outros</x:v>
      </x:c>
      <x:c r="I1303" s="166" t="str">
        <x:v>Multicarteira Outros</x:v>
      </x:c>
      <x:c r="J1303" s="166" t="str">
        <x:v>CI</x:v>
      </x:c>
      <x:c r="K1303" s="172" t="n">
        <x:v>15</x:v>
      </x:c>
      <x:c r="L1303" s="185" t="str">
        <x:v>Não classificado</x:v>
      </x:c>
    </x:row>
    <x:row r="1304">
      <x:c r="A1304" s="175" t="str">
        <x:v>55.932.544/0001-83</x:v>
      </x:c>
      <x:c r="B1304" s="166" t="str">
        <x:v>KIN FUNDO DE INVESTIMENTO EM DIREITOS CREDITÓRIOS RESPONSABILIDADE LIMITADA</x:v>
      </x:c>
      <x:c r="C1304" s="188" t="n">
        <x:v>74862876.59</x:v>
      </x:c>
      <x:c r="D1304" s="166" t="str">
        <x:v>Tyr Gestao de Recursos Ltda</x:v>
      </x:c>
      <x:c r="E1304" s="166" t="str">
        <x:f>IFERROR(INDEX('Classif Gestoras'!$H$6:$H$462,MATCH(D1304,'Classif Gestoras'!$A$6:$A$462,0)),"Não classificada")</x:f>
        <x:v>Independente</x:v>
      </x:c>
      <x:c r="F1304" s="166" t="str">
        <x:v>ID Corretora de Títulos e Valores Mobiliários S.A.</x:v>
      </x:c>
      <x:c r="G1304" s="166" t="str">
        <x:v>ID CORRETORA DE TITULOS E VALORES MOBILIARIOS S.A.</x:v>
      </x:c>
      <x:c r="H1304" s="166" t="str">
        <x:v>Agro, Indústria e Comércio</x:v>
      </x:c>
      <x:c r="I1304" s="166" t="str">
        <x:v>Recebíveis Comerciais</x:v>
      </x:c>
      <x:c r="J1304" s="166" t="str">
        <x:v>CI</x:v>
      </x:c>
      <x:c r="K1304" s="172" t="n">
        <x:v>75</x:v>
      </x:c>
      <x:c r="L1304" s="185" t="str">
        <x:v>Não classificado</x:v>
      </x:c>
    </x:row>
    <x:row r="1305">
      <x:c r="A1305" s="175" t="str">
        <x:v>58.739.374/0001-03</x:v>
      </x:c>
      <x:c r="B1305" s="166" t="str">
        <x:v>SAGEL BANK FUNDO DE INVESTIMENTO DIREITOS CREDITÓRIOS DE RESPONSABILIDADE LIMITADA</x:v>
      </x:c>
      <x:c r="C1305" s="188" t="n">
        <x:v>74772654.57</x:v>
      </x:c>
      <x:c r="D1305" s="166" t="str">
        <x:v>Catálise Investimentos</x:v>
      </x:c>
      <x:c r="E1305" s="166" t="str">
        <x:f>IFERROR(INDEX('Classif Gestoras'!$H$6:$H$462,MATCH(D1305,'Classif Gestoras'!$A$6:$A$462,0)),"Não classificada")</x:f>
        <x:v>Independente</x:v>
      </x:c>
      <x:c r="F1305" s="166" t="str">
        <x:v>CATÁLISE DTVM</x:v>
      </x:c>
      <x:c r="G1305" s="166" t="str">
        <x:v>BANCO DAYCOVAL S.A.</x:v>
      </x:c>
      <x:c r="H1305" s="166" t="str">
        <x:v>Agro, Indústria e Comércio</x:v>
      </x:c>
      <x:c r="I1305" s="166" t="str">
        <x:v>Multicarteira Agro, Indústria e Comércio</x:v>
      </x:c>
      <x:c r="J1305" s="166" t="str">
        <x:v>CI</x:v>
      </x:c>
      <x:c r="K1305" s="172" t="n">
        <x:v>1</x:v>
      </x:c>
      <x:c r="L1305" s="185" t="str">
        <x:v>Não classificado</x:v>
      </x:c>
    </x:row>
    <x:row r="1306">
      <x:c r="A1306" s="175" t="str">
        <x:v>11.823.118/0001-36</x:v>
      </x:c>
      <x:c r="B1306" s="166" t="str">
        <x:v>FUNDO DE INVESTIMENTO EM DIREITOS CREDITÓRIOS MULTISSETORIAL PREVIA</x:v>
      </x:c>
      <x:c r="C1306" s="188" t="n">
        <x:v>74641537.64999999</x:v>
      </x:c>
      <x:c r="D1306" s="166" t="str">
        <x:v>Solis</x:v>
      </x:c>
      <x:c r="E1306" s="166" t="str">
        <x:f>IFERROR(INDEX('Classif Gestoras'!$H$6:$H$462,MATCH(D1306,'Classif Gestoras'!$A$6:$A$462,0)),"Não classificada")</x:f>
        <x:v>Independente</x:v>
      </x:c>
      <x:c r="F1306" s="166" t="str">
        <x:v>HEMERA DTVM</x:v>
      </x:c>
      <x:c r="G1306" s="166" t="str">
        <x:v>HEMERA DISTRIBUIDORA DE TITULOS E VALORES MOBILIARIOS LTDA</x:v>
      </x:c>
      <x:c r="H1306" s="166" t="str">
        <x:v>Fomento Mercantil</x:v>
      </x:c>
      <x:c r="I1306" s="166" t="str">
        <x:v>Fomento Mercantil</x:v>
      </x:c>
      <x:c r="J1306" s="166" t="str">
        <x:v>CI</x:v>
      </x:c>
      <x:c r="K1306" s="172" t="n">
        <x:v>24</x:v>
      </x:c>
      <x:c r="L1306" s="185" t="str">
        <x:v>Não classificado</x:v>
      </x:c>
    </x:row>
    <x:row r="1307">
      <x:c r="A1307" s="175" t="str">
        <x:v>51.655.558/0001-46</x:v>
      </x:c>
      <x:c r="B1307" s="166" t="str">
        <x:v>CREDILOG II FUNDO DE INVESTIMENTO EM DIREITOS CREDITÓRIOS</x:v>
      </x:c>
      <x:c r="C1307" s="188" t="n">
        <x:v>74172237.84</x:v>
      </x:c>
      <x:c r="D1307" s="166" t="str">
        <x:v>Catálise Investimentos</x:v>
      </x:c>
      <x:c r="E1307" s="166" t="str">
        <x:f>IFERROR(INDEX('Classif Gestoras'!$H$6:$H$462,MATCH(D1307,'Classif Gestoras'!$A$6:$A$462,0)),"Não classificada")</x:f>
        <x:v>Independente</x:v>
      </x:c>
      <x:c r="F1307" s="166" t="str">
        <x:v>CATÁLISE DTVM</x:v>
      </x:c>
      <x:c r="G1307" s="166" t="str">
        <x:v>BANCO DAYCOVAL S.A.</x:v>
      </x:c>
      <x:c r="H1307" s="166" t="str">
        <x:v>Outros</x:v>
      </x:c>
      <x:c r="I1307" s="166" t="str">
        <x:v>Multicarteira Outros</x:v>
      </x:c>
      <x:c r="J1307" s="166" t="str">
        <x:v>CI</x:v>
      </x:c>
      <x:c r="K1307" s="172" t="n">
        <x:v>2</x:v>
      </x:c>
      <x:c r="L1307" s="185" t="str">
        <x:v>Não classificado</x:v>
      </x:c>
    </x:row>
    <x:row r="1308">
      <x:c r="A1308" s="175" t="str">
        <x:v>13.416.131/0001-04</x:v>
      </x:c>
      <x:c r="B1308" s="166" t="str">
        <x:v>EGM NP FUNDO DE INVESTIMENTO EM DIREITOS CREDITÓRIOS NÃO PADRONIZADOS MULTISSETORIAL</x:v>
      </x:c>
      <x:c r="C1308" s="188" t="n">
        <x:v>74086143.45</x:v>
      </x:c>
      <x:c r="D1308" s="166" t="str">
        <x:v>TERCON ASSET MANAGEMENT</x:v>
      </x:c>
      <x:c r="E1308" s="166" t="str">
        <x:f>IFERROR(INDEX('Classif Gestoras'!$H$6:$H$462,MATCH(D1308,'Classif Gestoras'!$A$6:$A$462,0)),"Não classificada")</x:f>
        <x:v>Independente</x:v>
      </x:c>
      <x:c r="F1308" s="166" t="str">
        <x:v>Singulare</x:v>
      </x:c>
      <x:c r="G1308" s="166" t="str">
        <x:v>QI CORRETORA DE TÍTULOS E VALORES MOBILIÁRIOS S.A.</x:v>
      </x:c>
      <x:c r="H1308" s="166" t="str">
        <x:v>Fomento Mercantil</x:v>
      </x:c>
      <x:c r="I1308" s="166" t="str">
        <x:v>Fomento Mercantil</x:v>
      </x:c>
      <x:c r="J1308" s="166" t="str">
        <x:v>CI</x:v>
      </x:c>
      <x:c r="K1308" s="172" t="n">
        <x:v>1</x:v>
      </x:c>
      <x:c r="L1308" s="185" t="str">
        <x:v>Não classificado</x:v>
      </x:c>
    </x:row>
    <x:row r="1309">
      <x:c r="A1309" s="175" t="str">
        <x:v>55.234.274/0001-37</x:v>
      </x:c>
      <x:c r="B1309" s="166" t="str">
        <x:v>AZURE CONSIGNADOS II FUNDO DE INVESTIMENTO EM DIREITOS CREDITÓRIOS - RESPONSABILIDADE LIMITADA</x:v>
      </x:c>
      <x:c r="C1309" s="188" t="n">
        <x:v>74061673.93</x:v>
      </x:c>
      <x:c r="D1309" s="166" t="str">
        <x:v>Apuama Capital</x:v>
      </x:c>
      <x:c r="E1309" s="166" t="str">
        <x:f>IFERROR(INDEX('Classif Gestoras'!$H$6:$H$462,MATCH(D1309,'Classif Gestoras'!$A$6:$A$462,0)),"Não classificada")</x:f>
        <x:v>Independente</x:v>
      </x:c>
      <x:c r="F1309" s="166" t="str">
        <x:v>BANCO DAYCOVAL S/A</x:v>
      </x:c>
      <x:c r="G1309" s="166" t="str">
        <x:v>BANCO DAYCOVAL S.A.</x:v>
      </x:c>
      <x:c r="H1309" s="166" t="str">
        <x:v>Financeiro</x:v>
      </x:c>
      <x:c r="I1309" s="166" t="str">
        <x:v>Crédito Consignado</x:v>
      </x:c>
      <x:c r="J1309" s="166" t="str">
        <x:v>CI</x:v>
      </x:c>
      <x:c r="K1309" s="172" t="n">
        <x:v>50</x:v>
      </x:c>
      <x:c r="L1309" s="185" t="str">
        <x:v>Não classificado</x:v>
      </x:c>
    </x:row>
    <x:row r="1310">
      <x:c r="A1310" s="175" t="str">
        <x:v>57.691.429/0001-90</x:v>
      </x:c>
      <x:c r="B1310" s="166" t="str">
        <x:v>VERTIS CAPITAL FUNDO DE INVESTIMENTO EM DIREITOS CREDITÓRIOS - RESPONSABILIDADE LIMITADA</x:v>
      </x:c>
      <x:c r="C1310" s="188" t="n">
        <x:v>73737238.51</x:v>
      </x:c>
      <x:c r="D1310" s="166" t="str">
        <x:v>Solis</x:v>
      </x:c>
      <x:c r="E1310" s="166" t="str">
        <x:f>IFERROR(INDEX('Classif Gestoras'!$H$6:$H$462,MATCH(D1310,'Classif Gestoras'!$A$6:$A$462,0)),"Não classificada")</x:f>
        <x:v>Independente</x:v>
      </x:c>
      <x:c r="F1310" s="166" t="str">
        <x:v>HEMERA DTVM</x:v>
      </x:c>
      <x:c r="G1310" s="166" t="str">
        <x:v>HEMERA DISTRIBUIDORA DE TITULOS E VALORES MOBILIARIOS LTDA</x:v>
      </x:c>
      <x:c r="H1310" s="166" t="str">
        <x:v>Outros</x:v>
      </x:c>
      <x:c r="I1310" s="166" t="str">
        <x:v>Multicarteira Outros</x:v>
      </x:c>
      <x:c r="J1310" s="166" t="str">
        <x:v>CI</x:v>
      </x:c>
      <x:c r="K1310" s="172" t="n">
        <x:v>21</x:v>
      </x:c>
      <x:c r="L1310" s="185" t="str">
        <x:v>Não classificado</x:v>
      </x:c>
    </x:row>
    <x:row r="1311">
      <x:c r="A1311" s="175" t="str">
        <x:v>32.274.415/0001-40</x:v>
      </x:c>
      <x:c r="B1311" s="166" t="str">
        <x:v>DELTA ENERGIA STRATEGY - FUNDO DE INVESTIMENTO EM DIREITOS CREDITÓRIOS</x:v>
      </x:c>
      <x:c r="C1311" s="188" t="n">
        <x:v>73734430.02</x:v>
      </x:c>
      <x:c r="D1311" s="166" t="str">
        <x:v>MODAL ASSET</x:v>
      </x:c>
      <x:c r="E1311" s="166" t="str">
        <x:f>IFERROR(INDEX('Classif Gestoras'!$H$6:$H$462,MATCH(D1311,'Classif Gestoras'!$A$6:$A$462,0)),"Não classificada")</x:f>
        <x:v>Ligada a banco</x:v>
      </x:c>
      <x:c r="F1311" s="166" t="str">
        <x:v>MAF Distribuidora de Títulos e Valores Mobiliários S.A.</x:v>
      </x:c>
      <x:c r="G1311" s="166" t="str">
        <x:v>MAF DISTRIBUIDORA DE TITULOS E VALORES MOBILIARIOS S.A.</x:v>
      </x:c>
      <x:c r="H1311" s="166" t="str">
        <x:v>Agro, Indústria e Comércio</x:v>
      </x:c>
      <x:c r="I1311" s="166" t="str">
        <x:v>Infraestrutura</x:v>
      </x:c>
      <x:c r="J1311" s="166" t="str">
        <x:v>CI</x:v>
      </x:c>
      <x:c r="K1311" s="172" t="n">
        <x:v>1</x:v>
      </x:c>
      <x:c r="L1311" s="185" t="str">
        <x:v>Não classificado</x:v>
      </x:c>
    </x:row>
    <x:row r="1312">
      <x:c r="A1312" s="175" t="str">
        <x:v>64.655.445/0001-92</x:v>
      </x:c>
      <x:c r="B1312" s="166" t="str">
        <x:v>ST 2002 FUNDO DE INVESTIMENTO EM DIREITOS CREDITÓRIOS RESPONSABILIDADE LIMITADA</x:v>
      </x:c>
      <x:c r="C1312" s="188" t="n">
        <x:v>73426583.1</x:v>
      </x:c>
      <x:c r="D1312" s="166" t="str">
        <x:v>Strata Capital</x:v>
      </x:c>
      <x:c r="E1312" s="166" t="str">
        <x:f>IFERROR(INDEX('Classif Gestoras'!$H$6:$H$462,MATCH(D1312,'Classif Gestoras'!$A$6:$A$462,0)),"Não classificada")</x:f>
        <x:v>Independente</x:v>
      </x:c>
      <x:c r="F1312" s="166" t="str">
        <x:v>BANCO DAYCOVAL S/A</x:v>
      </x:c>
      <x:c r="G1312" s="166" t="str">
        <x:v>BANCO DAYCOVAL S.A.</x:v>
      </x:c>
      <x:c r="H1312" s="166" t="str">
        <x:v>Outros</x:v>
      </x:c>
      <x:c r="I1312" s="166" t="str">
        <x:v>Multicarteira Outros</x:v>
      </x:c>
      <x:c r="J1312" s="166" t="str">
        <x:v>CI</x:v>
      </x:c>
      <x:c r="K1312" s="172" t="n">
        <x:v>6</x:v>
      </x:c>
      <x:c r="L1312" s="185" t="str">
        <x:v>Não classificado</x:v>
      </x:c>
    </x:row>
    <x:row r="1313">
      <x:c r="A1313" s="175" t="str">
        <x:v>32.302.296/0001-91</x:v>
      </x:c>
      <x:c r="B1313" s="166" t="str">
        <x:v>FUNDO DE INVESTIMENTO EM DIREITOS CREDITÓRIOS SOLIS EXT CAPITAL</x:v>
      </x:c>
      <x:c r="C1313" s="188" t="n">
        <x:v>73343220.52999999</x:v>
      </x:c>
      <x:c r="D1313" s="166" t="str">
        <x:v>Solis</x:v>
      </x:c>
      <x:c r="E1313" s="166" t="str">
        <x:f>IFERROR(INDEX('Classif Gestoras'!$H$6:$H$462,MATCH(D1313,'Classif Gestoras'!$A$6:$A$462,0)),"Não classificada")</x:f>
        <x:v>Independente</x:v>
      </x:c>
      <x:c r="F1313" s="166" t="str">
        <x:v>HEMERA DTVM</x:v>
      </x:c>
      <x:c r="G1313" s="166" t="str">
        <x:v>HEMERA DISTRIBUIDORA DE TITULOS E VALORES MOBILIARIOS LTDA</x:v>
      </x:c>
      <x:c r="H1313" s="166" t="str">
        <x:v>Financeiro</x:v>
      </x:c>
      <x:c r="I1313" s="166" t="str">
        <x:v>Multicarteira Financeiro</x:v>
      </x:c>
      <x:c r="J1313" s="166" t="str">
        <x:v>CI</x:v>
      </x:c>
      <x:c r="K1313" s="172" t="n">
        <x:v>9</x:v>
      </x:c>
      <x:c r="L1313" s="185" t="str">
        <x:v>Não classificado</x:v>
      </x:c>
    </x:row>
    <x:row r="1314">
      <x:c r="A1314" s="175" t="str">
        <x:v>53.337.453/0001-74</x:v>
      </x:c>
      <x:c r="B1314" s="166" t="str">
        <x:v>CM ESTADUAL II FUNDO DE INVESTIMENTO EM DIREITOS CREDITÓRIOS - RESPONSABILIDADE LIMITADA</x:v>
      </x:c>
      <x:c r="C1314" s="188" t="n">
        <x:v>73339535.55</x:v>
      </x:c>
      <x:c r="D1314" s="166" t="str">
        <x:v>BURITI INVESTIMENTOS</x:v>
      </x:c>
      <x:c r="E1314" s="166" t="str">
        <x:f>IFERROR(INDEX('Classif Gestoras'!$H$6:$H$462,MATCH(D1314,'Classif Gestoras'!$A$6:$A$462,0)),"Não classificada")</x:f>
        <x:v>Independente</x:v>
      </x:c>
      <x:c r="F1314" s="166" t="str">
        <x:v>Singulare</x:v>
      </x:c>
      <x:c r="G1314" s="166" t="str">
        <x:v>QI CORRETORA DE TÍTULOS E VALORES MOBILIÁRIOS S.A.</x:v>
      </x:c>
      <x:c r="H1314" s="166" t="str">
        <x:v>Outros</x:v>
      </x:c>
      <x:c r="I1314" s="166" t="str">
        <x:v>Poder Público</x:v>
      </x:c>
      <x:c r="J1314" s="166" t="str">
        <x:v>CI</x:v>
      </x:c>
      <x:c r="K1314" s="172" t="n">
        <x:v>5</x:v>
      </x:c>
      <x:c r="L1314" s="185" t="str">
        <x:v>Não classificado</x:v>
      </x:c>
    </x:row>
    <x:row r="1315">
      <x:c r="A1315" s="175" t="str">
        <x:v>61.302.922/0001-48</x:v>
      </x:c>
      <x:c r="B1315" s="166" t="str">
        <x:v>NTZ LEVE SAUDE FUNDO DE INVESTIMENTO EM DIREITOS CREDITÓRIOS COMERCIAIS - RESPONSABILIDADE LIMITADA</x:v>
      </x:c>
      <x:c r="C1315" s="188" t="n">
        <x:v>73262591.64999999</x:v>
      </x:c>
      <x:c r="D1315" s="166" t="str">
        <x:v>Netz Asset</x:v>
      </x:c>
      <x:c r="E1315" s="166" t="str">
        <x:f>IFERROR(INDEX('Classif Gestoras'!$H$6:$H$462,MATCH(D1315,'Classif Gestoras'!$A$6:$A$462,0)),"Não classificada")</x:f>
        <x:v>Independente</x:v>
      </x:c>
      <x:c r="F1315" s="166" t="str">
        <x:v>VÓRTX DTVM</x:v>
      </x:c>
      <x:c r="G1315" s="166" t="str">
        <x:v>VORTX DISTRIBUIDORA DE TITULOS E VALORES MOBILIARIOS LTDA.</x:v>
      </x:c>
      <x:c r="H1315" s="166" t="str">
        <x:v>Agro, Indústria e Comércio</x:v>
      </x:c>
      <x:c r="I1315" s="166" t="str">
        <x:v>Recebíveis Comerciais</x:v>
      </x:c>
      <x:c r="J1315" s="166" t="str">
        <x:v>CI</x:v>
      </x:c>
      <x:c r="K1315" s="172" t="n">
        <x:v>680</x:v>
      </x:c>
      <x:c r="L1315" s="185" t="str">
        <x:v>Não classificado</x:v>
      </x:c>
    </x:row>
    <x:row r="1316">
      <x:c r="A1316" s="175" t="str">
        <x:v>63.507.342/0001-12</x:v>
      </x:c>
      <x:c r="B1316" s="166" t="str">
        <x:v>H3 CAPITAL FUNDO DE INVESTIMENTO EM DIREITOS CREDITÓRIOS RESPONSABILIDADE LIMITADA</x:v>
      </x:c>
      <x:c r="C1316" s="188" t="n">
        <x:v>73146914.61</x:v>
      </x:c>
      <x:c r="D1316" s="166" t="str">
        <x:v>GENIAL GESTÃO LTDA.</x:v>
      </x:c>
      <x:c r="E1316" s="166" t="str">
        <x:f>IFERROR(INDEX('Classif Gestoras'!$H$6:$H$462,MATCH(D1316,'Classif Gestoras'!$A$6:$A$462,0)),"Não classificada")</x:f>
        <x:v>Ligada a banco</x:v>
      </x:c>
      <x:c r="F1316" s="166" t="str">
        <x:v>Genial Investimentos Corretora de Valores Mobiliários S.A.</x:v>
      </x:c>
      <x:c r="G1316" s="166" t="str">
        <x:v>BANCO GENIAL S.A.</x:v>
      </x:c>
      <x:c r="H1316" s="166" t="str">
        <x:v>Agro, Indústria e Comércio</x:v>
      </x:c>
      <x:c r="I1316" s="166" t="str">
        <x:v>Recebíveis Comerciais</x:v>
      </x:c>
      <x:c r="J1316" s="166" t="str">
        <x:v>CI</x:v>
      </x:c>
      <x:c r="K1316" s="172" t="n">
        <x:v>2</x:v>
      </x:c>
      <x:c r="L1316" s="185" t="str">
        <x:v>Não classificado</x:v>
      </x:c>
    </x:row>
    <x:row r="1317">
      <x:c r="A1317" s="175" t="str">
        <x:v>17.030.517/0001-26</x:v>
      </x:c>
      <x:c r="B1317" s="166" t="str">
        <x:v>PLATA II FUNDO DE INVESTIMENTO EM DIREITOS CREDITÓRIOS MULTISSEGMENTOS</x:v>
      </x:c>
      <x:c r="C1317" s="188" t="n">
        <x:v>73006593.67</x:v>
      </x:c>
      <x:c r="D1317" s="166" t="str">
        <x:v>Solis</x:v>
      </x:c>
      <x:c r="E1317" s="166" t="str">
        <x:f>IFERROR(INDEX('Classif Gestoras'!$H$6:$H$462,MATCH(D1317,'Classif Gestoras'!$A$6:$A$462,0)),"Não classificada")</x:f>
        <x:v>Independente</x:v>
      </x:c>
      <x:c r="F1317" s="166" t="str">
        <x:v>HEMERA DTVM</x:v>
      </x:c>
      <x:c r="G1317" s="166" t="str">
        <x:v>HEMERA DISTRIBUIDORA DE TITULOS E VALORES MOBILIARIOS LTDA</x:v>
      </x:c>
      <x:c r="H1317" s="166" t="str">
        <x:v>Fomento Mercantil</x:v>
      </x:c>
      <x:c r="I1317" s="166" t="str">
        <x:v>Fomento Mercantil</x:v>
      </x:c>
      <x:c r="J1317" s="166" t="str">
        <x:v>CI</x:v>
      </x:c>
      <x:c r="K1317" s="172" t="n">
        <x:v>15</x:v>
      </x:c>
      <x:c r="L1317" s="185" t="str">
        <x:v>Não classificado</x:v>
      </x:c>
    </x:row>
    <x:row r="1318">
      <x:c r="A1318" s="175" t="str">
        <x:v>40.319.383/0001-80</x:v>
      </x:c>
      <x:c r="B1318" s="166" t="str">
        <x:v>WONEBANK FUNDO DE INVESTIMENTO EM DIREITOS CREDITORIOS NAO-PADRONIZADOS</x:v>
      </x:c>
      <x:c r="C1318" s="188" t="n">
        <x:v>72917101.33</x:v>
      </x:c>
      <x:c r="D1318" s="166" t="str">
        <x:v>FigTree Capital</x:v>
      </x:c>
      <x:c r="E1318" s="166" t="str">
        <x:f>IFERROR(INDEX('Classif Gestoras'!$H$6:$H$462,MATCH(D1318,'Classif Gestoras'!$A$6:$A$462,0)),"Não classificada")</x:f>
        <x:v>Independente</x:v>
      </x:c>
      <x:c r="F1318" s="166" t="str">
        <x:v>BRL TRUST DTVM</x:v>
      </x:c>
      <x:c r="G1318" s="166" t="str">
        <x:v>BRL TRUST DISTRIBUIDORA DE TITULOS E VALORES MOBILIARIOS S.A.</x:v>
      </x:c>
      <x:c r="H1318" s="166" t="str">
        <x:v>Outros</x:v>
      </x:c>
      <x:c r="I1318" s="166" t="str">
        <x:v>Multicarteira Outros</x:v>
      </x:c>
      <x:c r="J1318" s="166" t="str">
        <x:v>CI</x:v>
      </x:c>
      <x:c r="K1318" s="172" t="n">
        <x:v>1</x:v>
      </x:c>
      <x:c r="L1318" s="185" t="str">
        <x:v>Não classificado</x:v>
      </x:c>
    </x:row>
    <x:row r="1319">
      <x:c r="A1319" s="175" t="str">
        <x:v>21.360.609/0001-41</x:v>
      </x:c>
      <x:c r="B1319" s="166" t="str">
        <x:v>ITAÚNA FUNDO DE INVESTIMENTO EM DIREITOS CREDITÓRIOS - RESPONSABILIDADE LIMITADA</x:v>
      </x:c>
      <x:c r="C1319" s="188" t="n">
        <x:v>72816780.28</x:v>
      </x:c>
      <x:c r="D1319" s="166" t="str">
        <x:v>Artesanal Investimentos</x:v>
      </x:c>
      <x:c r="E1319" s="166" t="str">
        <x:f>IFERROR(INDEX('Classif Gestoras'!$H$6:$H$462,MATCH(D1319,'Classif Gestoras'!$A$6:$A$462,0)),"Não classificada")</x:f>
        <x:v>Independente</x:v>
      </x:c>
      <x:c r="F1319" s="166" t="str">
        <x:v>Banco Genial S.A.</x:v>
      </x:c>
      <x:c r="G1319" s="166" t="str">
        <x:v>BANCO B3 S.A.</x:v>
      </x:c>
      <x:c r="H1319" s="166" t="str">
        <x:v>Outros</x:v>
      </x:c>
      <x:c r="I1319" s="166" t="str">
        <x:v>Multicarteira Outros</x:v>
      </x:c>
      <x:c r="J1319" s="166" t="str">
        <x:v>CI</x:v>
      </x:c>
      <x:c r="K1319" s="172" t="n">
        <x:v>63</x:v>
      </x:c>
      <x:c r="L1319" s="185" t="str">
        <x:v>Não classificado</x:v>
      </x:c>
    </x:row>
    <x:row r="1320">
      <x:c r="A1320" s="175" t="str">
        <x:v>54.272.451/0001-07</x:v>
      </x:c>
      <x:c r="B1320" s="166" t="str">
        <x:v>ARP CRÉDITO FUNDO DE INVESTIMENTO EM DIREITOS CREDITÓRIOS RESPONSABILIDADE LIMITADA</x:v>
      </x:c>
      <x:c r="C1320" s="188" t="n">
        <x:v>72810577.56</x:v>
      </x:c>
      <x:c r="D1320" s="166" t="str">
        <x:v>Redwood Asset Management</x:v>
      </x:c>
      <x:c r="E1320" s="166" t="str">
        <x:f>IFERROR(INDEX('Classif Gestoras'!$H$6:$H$462,MATCH(D1320,'Classif Gestoras'!$A$6:$A$462,0)),"Não classificada")</x:f>
        <x:v>Independente</x:v>
      </x:c>
      <x:c r="F1320" s="166" t="str">
        <x:v>PLANNER CV</x:v>
      </x:c>
      <x:c r="G1320" s="166" t="str">
        <x:v>PLANNER CORRETORA DE VALORES S.A.</x:v>
      </x:c>
      <x:c r="H1320" s="166" t="str">
        <x:v>Outros</x:v>
      </x:c>
      <x:c r="I1320" s="166" t="str">
        <x:v>Multicarteira Outros</x:v>
      </x:c>
      <x:c r="J1320" s="166" t="str">
        <x:v>CI</x:v>
      </x:c>
      <x:c r="K1320" s="172" t="n">
        <x:v>2</x:v>
      </x:c>
      <x:c r="L1320" s="185" t="str">
        <x:v>Não classificado</x:v>
      </x:c>
    </x:row>
    <x:row r="1321">
      <x:c r="A1321" s="175" t="str">
        <x:v>40.634.940/0001-57</x:v>
      </x:c>
      <x:c r="B1321" s="166" t="str">
        <x:v>CANAL 86 FUNDO DE INVESTIMENTO EM DIREITOS CREDITÓRIOS NÃO-PADRONIZADOS</x:v>
      </x:c>
      <x:c r="C1321" s="188" t="n">
        <x:v>72794366.72</x:v>
      </x:c>
      <x:c r="D1321" s="166" t="str">
        <x:v>Prisma Claims Ltda.</x:v>
      </x:c>
      <x:c r="E1321" s="166" t="str">
        <x:f>IFERROR(INDEX('Classif Gestoras'!$H$6:$H$462,MATCH(D1321,'Classif Gestoras'!$A$6:$A$462,0)),"Não classificada")</x:f>
        <x:v>Independente</x:v>
      </x:c>
      <x:c r="F1321" s="166" t="str">
        <x:v>Singulare</x:v>
      </x:c>
      <x:c r="G1321" s="166" t="str">
        <x:v>QI CORRETORA DE TÍTULOS E VALORES MOBILIÁRIOS S.A.</x:v>
      </x:c>
      <x:c r="H1321" s="166" t="str">
        <x:v>Outros</x:v>
      </x:c>
      <x:c r="I1321" s="166" t="str">
        <x:v>Multicarteira Outros</x:v>
      </x:c>
      <x:c r="J1321" s="166" t="str">
        <x:v>CI</x:v>
      </x:c>
      <x:c r="K1321" s="172" t="n">
        <x:v>15</x:v>
      </x:c>
      <x:c r="L1321" s="185" t="str">
        <x:v>Não classificado</x:v>
      </x:c>
    </x:row>
    <x:row r="1322">
      <x:c r="A1322" s="175" t="str">
        <x:v>53.270.983/0001-42</x:v>
      </x:c>
      <x:c r="B1322" s="166" t="str">
        <x:v>ANGÁ FGTS +AG FUNDO DE INVESTIMENTO EM DIREITOS CREDITÓRIOS - RESPONSABILIDADE LIMITADA</x:v>
      </x:c>
      <x:c r="C1322" s="188" t="n">
        <x:v>72706039.41</x:v>
      </x:c>
      <x:c r="D1322" s="166" t="str">
        <x:v>ANGÁ ASSET MANAGEMENT</x:v>
      </x:c>
      <x:c r="E1322" s="166" t="str">
        <x:f>IFERROR(INDEX('Classif Gestoras'!$H$6:$H$462,MATCH(D1322,'Classif Gestoras'!$A$6:$A$462,0)),"Não classificada")</x:f>
        <x:v>Independente</x:v>
      </x:c>
      <x:c r="F1322" s="166" t="str">
        <x:v>BANCO DAYCOVAL S/A</x:v>
      </x:c>
      <x:c r="G1322" s="166" t="str">
        <x:v>BANCO DAYCOVAL S.A.</x:v>
      </x:c>
      <x:c r="H1322" s="166" t="str">
        <x:v>Financeiro</x:v>
      </x:c>
      <x:c r="I1322" s="166" t="str">
        <x:v>Crédito Pessoal</x:v>
      </x:c>
      <x:c r="J1322" s="166" t="str">
        <x:v>CI</x:v>
      </x:c>
      <x:c r="K1322" s="172" t="n">
        <x:v>6</x:v>
      </x:c>
      <x:c r="L1322" s="185" t="str">
        <x:v>Não classificado</x:v>
      </x:c>
    </x:row>
    <x:row r="1323">
      <x:c r="A1323" s="175" t="str">
        <x:v>55.122.381/0001-73</x:v>
      </x:c>
      <x:c r="B1323" s="166" t="str">
        <x:v>FUTURO CAPITAL FUNDO DE INVESTIMENTO EM DIREITOS CREDITÓRIOS DE RESPONSABILIDADE LIMITADA</x:v>
      </x:c>
      <x:c r="C1323" s="188" t="n">
        <x:v>72503322.81</x:v>
      </x:c>
      <x:c r="D1323" s="166" t="str">
        <x:v>Catálise Investimentos</x:v>
      </x:c>
      <x:c r="E1323" s="166" t="str">
        <x:f>IFERROR(INDEX('Classif Gestoras'!$H$6:$H$462,MATCH(D1323,'Classif Gestoras'!$A$6:$A$462,0)),"Não classificada")</x:f>
        <x:v>Independente</x:v>
      </x:c>
      <x:c r="F1323" s="166" t="str">
        <x:v>CATÁLISE DTVM</x:v>
      </x:c>
      <x:c r="G1323" s="166" t="str">
        <x:v>BANCO DAYCOVAL S.A.</x:v>
      </x:c>
      <x:c r="H1323" s="166" t="str">
        <x:v>Agro, Indústria e Comércio</x:v>
      </x:c>
      <x:c r="I1323" s="166" t="str">
        <x:v>Recebíveis Comerciais</x:v>
      </x:c>
      <x:c r="J1323" s="166" t="str">
        <x:v>CI</x:v>
      </x:c>
      <x:c r="K1323" s="172" t="n">
        <x:v>4</x:v>
      </x:c>
      <x:c r="L1323" s="185" t="str">
        <x:v>Não classificado</x:v>
      </x:c>
    </x:row>
    <x:row r="1324">
      <x:c r="A1324" s="175" t="str">
        <x:v>61.921.850/0001-17</x:v>
      </x:c>
      <x:c r="B1324" s="166" t="str">
        <x:v>IPO II FUNDO DE INVESTIMENTO EM DIREITOS CREDITÓRIOS - RESPONSABILIDADE LIMITADA</x:v>
      </x:c>
      <x:c r="C1324" s="188" t="n">
        <x:v>72143240.99000001</x:v>
      </x:c>
      <x:c r="D1324" s="166" t="str">
        <x:v>QI GESTAO DE RECURSOS LTDA</x:v>
      </x:c>
      <x:c r="E1324" s="166" t="str">
        <x:f>IFERROR(INDEX('Classif Gestoras'!$H$6:$H$462,MATCH(D1324,'Classif Gestoras'!$A$6:$A$462,0)),"Não classificada")</x:f>
        <x:v>Independente</x:v>
      </x:c>
      <x:c r="F1324" s="166" t="str">
        <x:v>Singulare</x:v>
      </x:c>
      <x:c r="G1324" s="166" t="str">
        <x:v>QI CORRETORA DE TÍTULOS E VALORES MOBILIÁRIOS S.A.</x:v>
      </x:c>
      <x:c r="H1324" s="166" t="str">
        <x:v>Financeiro</x:v>
      </x:c>
      <x:c r="I1324" s="166" t="str">
        <x:v>Crédito Pessoal</x:v>
      </x:c>
      <x:c r="J1324" s="166" t="str">
        <x:v>CI</x:v>
      </x:c>
      <x:c r="K1324" s="172" t="n">
        <x:v>5</x:v>
      </x:c>
      <x:c r="L1324" s="185" t="str">
        <x:v>Não classificado</x:v>
      </x:c>
    </x:row>
    <x:row r="1325">
      <x:c r="A1325" s="175" t="str">
        <x:v>51.852.080/0001-44</x:v>
      </x:c>
      <x:c r="B1325" s="166" t="str">
        <x:v>ANTARES FUNDO DE INVESTIMENTO EM DIREITOS CREDITORIOS - RESPONSABILIDADE LIMITADA</x:v>
      </x:c>
      <x:c r="C1325" s="188" t="n">
        <x:v>72118519.41</x:v>
      </x:c>
      <x:c r="D1325" s="166" t="str">
        <x:v>SOSU CAPITAL GESTÃO DE INVESTIMENTOS LTDA.</x:v>
      </x:c>
      <x:c r="E1325" s="166" t="str">
        <x:f>IFERROR(INDEX('Classif Gestoras'!$H$6:$H$462,MATCH(D1325,'Classif Gestoras'!$A$6:$A$462,0)),"Não classificada")</x:f>
        <x:v>Independente</x:v>
      </x:c>
      <x:c r="F1325" s="166" t="str">
        <x:v>BRL TRUST DTVM</x:v>
      </x:c>
      <x:c r="G1325" s="166" t="str">
        <x:v>BRL TRUST DISTRIBUIDORA DE TITULOS E VALORES MOBILIARIOS S.A.</x:v>
      </x:c>
      <x:c r="H1325" s="166" t="str">
        <x:v>Outros</x:v>
      </x:c>
      <x:c r="I1325" s="166" t="str">
        <x:v>Recuperação</x:v>
      </x:c>
      <x:c r="J1325" s="166" t="str">
        <x:v>CI</x:v>
      </x:c>
      <x:c r="K1325" s="172" t="n">
        <x:v>1</x:v>
      </x:c>
      <x:c r="L1325" s="185" t="str">
        <x:v>Não classificado</x:v>
      </x:c>
    </x:row>
    <x:row r="1326">
      <x:c r="A1326" s="175" t="str">
        <x:v>63.309.002/0001-87</x:v>
      </x:c>
      <x:c r="B1326" s="166" t="str">
        <x:v>KINEA AROEIRA FUNDO DE INVESTIMENTO EM DIREITOS CREDITÓRIOS ABERTO RESPONSABILIDADE LIMITADA</x:v>
      </x:c>
      <x:c r="C1326" s="188" t="n">
        <x:v>71996283.69</x:v>
      </x:c>
      <x:c r="D1326" s="166" t="str">
        <x:v>KINEA INVESTIMENTOS</x:v>
      </x:c>
      <x:c r="E1326" s="166" t="str">
        <x:f>IFERROR(INDEX('Classif Gestoras'!$H$6:$H$462,MATCH(D1326,'Classif Gestoras'!$A$6:$A$462,0)),"Não classificada")</x:f>
        <x:v>Ligada a banco</x:v>
      </x:c>
      <x:c r="F1326" s="166" t="str">
        <x:v>INTRAG DIST. DE TÍTU</x:v>
      </x:c>
      <x:c r="G1326" s="166" t="str">
        <x:v>ITAU UNIBANCO S.A.</x:v>
      </x:c>
      <x:c r="H1326" s="166" t="str">
        <x:v>Outros</x:v>
      </x:c>
      <x:c r="I1326" s="166" t="str">
        <x:v>Multicarteira Outros</x:v>
      </x:c>
      <x:c r="J1326" s="166" t="str">
        <x:v>CIPC</x:v>
      </x:c>
      <x:c r="K1326" s="172" t="n">
        <x:v>1</x:v>
      </x:c>
      <x:c r="L1326" s="185" t="str">
        <x:v>Não classificado</x:v>
      </x:c>
    </x:row>
    <x:row r="1327">
      <x:c r="A1327" s="175" t="str">
        <x:v>55.595.705/0001-90</x:v>
      </x:c>
      <x:c r="B1327" s="166" t="str">
        <x:v>NN FUNDO DE INVESTIMENTO EM DIREITOS CREDITÓRIOS CRÉDITO CORPORATIVO - RESPONSABILIDADE LIMITADA</x:v>
      </x:c>
      <x:c r="C1327" s="188" t="n">
        <x:v>71933974.74</x:v>
      </x:c>
      <x:c r="D1327" s="166" t="str">
        <x:v>Möbius Capital</x:v>
      </x:c>
      <x:c r="E1327" s="166" t="str">
        <x:f>IFERROR(INDEX('Classif Gestoras'!$H$6:$H$462,MATCH(D1327,'Classif Gestoras'!$A$6:$A$462,0)),"Não classificada")</x:f>
        <x:v>Independente</x:v>
      </x:c>
      <x:c r="F1327" s="166" t="str">
        <x:v>BANCO DAYCOVAL S/A</x:v>
      </x:c>
      <x:c r="G1327" s="166" t="str">
        <x:v>BANCO DAYCOVAL S.A.</x:v>
      </x:c>
      <x:c r="H1327" s="166" t="str">
        <x:v>Fomento Mercantil</x:v>
      </x:c>
      <x:c r="I1327" s="166" t="str">
        <x:v>Fomento Mercantil</x:v>
      </x:c>
      <x:c r="J1327" s="166" t="str">
        <x:v>CI</x:v>
      </x:c>
      <x:c r="K1327" s="172" t="n">
        <x:v>15</x:v>
      </x:c>
      <x:c r="L1327" s="185" t="str">
        <x:v>Não classificado</x:v>
      </x:c>
    </x:row>
    <x:row r="1328">
      <x:c r="A1328" s="175" t="str">
        <x:v>42.336.359/0001-84</x:v>
      </x:c>
      <x:c r="B1328" s="166" t="str">
        <x:v>ESTÍMULO BRASIL FUNDO DE INVESTIMENTO EM DIREITOS CREDITORIOS IS DE RESPONSABILIDADE LIMITADA</x:v>
      </x:c>
      <x:c r="C1328" s="188" t="n">
        <x:v>71917854.89999999</x:v>
      </x:c>
      <x:c r="D1328" s="166" t="str">
        <x:v>Galápagos</x:v>
      </x:c>
      <x:c r="E1328" s="166" t="str">
        <x:f>IFERROR(INDEX('Classif Gestoras'!$H$6:$H$462,MATCH(D1328,'Classif Gestoras'!$A$6:$A$462,0)),"Não classificada")</x:f>
        <x:v>Independente</x:v>
      </x:c>
      <x:c r="F1328" s="166" t="str">
        <x:v>Singulare</x:v>
      </x:c>
      <x:c r="G1328" s="166" t="str">
        <x:v>QI CORRETORA DE TÍTULOS E VALORES MOBILIÁRIOS S.A.</x:v>
      </x:c>
      <x:c r="H1328" s="166" t="str">
        <x:v>Outros</x:v>
      </x:c>
      <x:c r="I1328" s="166" t="str">
        <x:v>Multicarteira Outros</x:v>
      </x:c>
      <x:c r="J1328" s="166" t="str">
        <x:v>CI</x:v>
      </x:c>
      <x:c r="K1328" s="172" t="n">
        <x:v>119</x:v>
      </x:c>
      <x:c r="L1328" s="185" t="str">
        <x:v>Não classificado</x:v>
      </x:c>
    </x:row>
    <x:row r="1329">
      <x:c r="A1329" s="175" t="str">
        <x:v>42.462.162/0001-91</x:v>
      </x:c>
      <x:c r="B1329" s="166" t="str">
        <x:v>EXES MÁQUINAS FUNDO DE INVESTIMENTO EM DIREITOS CREDITÓRIOS</x:v>
      </x:c>
      <x:c r="C1329" s="188" t="n">
        <x:v>71885200.24000001</x:v>
      </x:c>
      <x:c r="D1329" s="166" t="str">
        <x:v>Éxes</x:v>
      </x:c>
      <x:c r="E1329" s="166" t="str">
        <x:f>IFERROR(INDEX('Classif Gestoras'!$H$6:$H$462,MATCH(D1329,'Classif Gestoras'!$A$6:$A$462,0)),"Não classificada")</x:f>
        <x:v>Independente</x:v>
      </x:c>
      <x:c r="F1329" s="166" t="str">
        <x:v>Oliveira Trust DTVM</x:v>
      </x:c>
      <x:c r="G1329" s="166" t="str">
        <x:v>OLIVEIRA TRUST DTVM S.A.</x:v>
      </x:c>
      <x:c r="H1329" s="166" t="str">
        <x:v>Outros</x:v>
      </x:c>
      <x:c r="I1329" s="166" t="str">
        <x:v>Multicarteira Outros</x:v>
      </x:c>
      <x:c r="J1329" s="166" t="str">
        <x:v>CI</x:v>
      </x:c>
      <x:c r="K1329" s="172" t="n">
        <x:v>15</x:v>
      </x:c>
      <x:c r="L1329" s="185" t="str">
        <x:v>Não classificado</x:v>
      </x:c>
    </x:row>
    <x:row r="1330">
      <x:c r="A1330" s="175" t="str">
        <x:v>42.888.490/0001-54</x:v>
      </x:c>
      <x:c r="B1330" s="166" t="str">
        <x:v>ICRED OPARÁ FIDC NÃO-PADRONIZADOS - SEGMENTO FINANCEIRO - DE RESPONSABILIDADE LIMITADA</x:v>
      </x:c>
      <x:c r="C1330" s="188" t="n">
        <x:v>71718336.65</x:v>
      </x:c>
      <x:c r="D1330" s="166" t="str">
        <x:v>QI GESTAO DE RECURSOS LTDA</x:v>
      </x:c>
      <x:c r="E1330" s="166" t="str">
        <x:f>IFERROR(INDEX('Classif Gestoras'!$H$6:$H$462,MATCH(D1330,'Classif Gestoras'!$A$6:$A$462,0)),"Não classificada")</x:f>
        <x:v>Independente</x:v>
      </x:c>
      <x:c r="F1330" s="166" t="str">
        <x:v>Singulare</x:v>
      </x:c>
      <x:c r="G1330" s="166" t="str">
        <x:v>QI CORRETORA DE TÍTULOS E VALORES MOBILIÁRIOS S.A.</x:v>
      </x:c>
      <x:c r="H1330" s="166" t="str">
        <x:v>Financeiro</x:v>
      </x:c>
      <x:c r="I1330" s="166" t="str">
        <x:v>Crédito Pessoal</x:v>
      </x:c>
      <x:c r="J1330" s="166" t="str">
        <x:v>CI</x:v>
      </x:c>
      <x:c r="K1330" s="172" t="n">
        <x:v>2</x:v>
      </x:c>
      <x:c r="L1330" s="185" t="str">
        <x:v>Não classificado</x:v>
      </x:c>
    </x:row>
    <x:row r="1331">
      <x:c r="A1331" s="175" t="str">
        <x:v>47.463.389/0001-75</x:v>
      </x:c>
      <x:c r="B1331" s="166" t="str">
        <x:v>LEXIS II FUNDO DE INVESTIMENTO EM DIREITOS CREDITÓRIOS</x:v>
      </x:c>
      <x:c r="C1331" s="188" t="n">
        <x:v>71623074.75</x:v>
      </x:c>
      <x:c r="D1331" s="166" t="str">
        <x:v>Lexis Capital</x:v>
      </x:c>
      <x:c r="E1331" s="166" t="str">
        <x:f>IFERROR(INDEX('Classif Gestoras'!$H$6:$H$462,MATCH(D1331,'Classif Gestoras'!$A$6:$A$462,0)),"Não classificada")</x:f>
        <x:v>Independente</x:v>
      </x:c>
      <x:c r="F1331" s="166" t="str">
        <x:v>Singulare</x:v>
      </x:c>
      <x:c r="G1331" s="166" t="str">
        <x:v>QI CORRETORA DE TÍTULOS E VALORES MOBILIÁRIOS S.A.</x:v>
      </x:c>
      <x:c r="H1331" s="166" t="str">
        <x:v>Outros</x:v>
      </x:c>
      <x:c r="I1331" s="166" t="str">
        <x:v>Poder Público</x:v>
      </x:c>
      <x:c r="J1331" s="166" t="str">
        <x:v>CI</x:v>
      </x:c>
      <x:c r="K1331" s="172" t="n">
        <x:v>1</x:v>
      </x:c>
      <x:c r="L1331" s="185" t="str">
        <x:v>Não classificado</x:v>
      </x:c>
    </x:row>
    <x:row r="1332">
      <x:c r="A1332" s="175" t="str">
        <x:v>44.395.279/0001-25</x:v>
      </x:c>
      <x:c r="B1332" s="166" t="str">
        <x:v>JUGIS FUNDO DE INVESTIMENTO EM DIREITOS CREDITÓRIOS</x:v>
      </x:c>
      <x:c r="C1332" s="188" t="n">
        <x:v>71603011.4</x:v>
      </x:c>
      <x:c r="D1332" s="166" t="str">
        <x:v>JUGIS CAPITAL GESTÃO DE RECURSOS LTDA.</x:v>
      </x:c>
      <x:c r="E1332" s="166" t="str">
        <x:f>IFERROR(INDEX('Classif Gestoras'!$H$6:$H$462,MATCH(D1332,'Classif Gestoras'!$A$6:$A$462,0)),"Não classificada")</x:f>
        <x:v>Independente</x:v>
      </x:c>
      <x:c r="F1332" s="166" t="str">
        <x:v>MAF Distribuidora de Títulos e Valores Mobiliários S.A.</x:v>
      </x:c>
      <x:c r="G1332" s="166" t="str">
        <x:v>MAF DISTRIBUIDORA DE TITULOS E VALORES MOBILIARIOS S.A.</x:v>
      </x:c>
      <x:c r="H1332" s="166" t="str">
        <x:v>Outros</x:v>
      </x:c>
      <x:c r="I1332" s="166" t="str">
        <x:v>Multicarteira Outros</x:v>
      </x:c>
      <x:c r="J1332" s="166" t="str">
        <x:v>CI</x:v>
      </x:c>
      <x:c r="K1332" s="172" t="n">
        <x:v>1</x:v>
      </x:c>
      <x:c r="L1332" s="185" t="str">
        <x:v>Não classificado</x:v>
      </x:c>
    </x:row>
    <x:row r="1333">
      <x:c r="A1333" s="175" t="str">
        <x:v>31.544.287/0001-44</x:v>
      </x:c>
      <x:c r="B1333" s="166" t="str">
        <x:v>DUBLIN FUNDO DE INVESTIMENTO EM DIREITOS CREDITÓRIOS NÃO-PADRONIZADOS</x:v>
      </x:c>
      <x:c r="C1333" s="188" t="n">
        <x:v>71553704.34</x:v>
      </x:c>
      <x:c r="D1333" s="166" t="str">
        <x:v>Acura Gestora de Recursos LTDA.</x:v>
      </x:c>
      <x:c r="E1333" s="166" t="str">
        <x:f>IFERROR(INDEX('Classif Gestoras'!$H$6:$H$462,MATCH(D1333,'Classif Gestoras'!$A$6:$A$462,0)),"Não classificada")</x:f>
        <x:v>Independente</x:v>
      </x:c>
      <x:c r="F1333" s="166" t="str">
        <x:v>SEFER DTVM</x:v>
      </x:c>
      <x:c r="G1333" s="166" t="str">
        <x:v>SEFER INVESTIMENTOS DISTRIBUIDORA DE TÍTULOS E VALORES MOBILIÁRIOS LTDA.</x:v>
      </x:c>
      <x:c r="H1333" s="166" t="str">
        <x:v>Agro, Indústria e Comércio</x:v>
      </x:c>
      <x:c r="I1333" s="166" t="str">
        <x:v>Recebíveis Comerciais</x:v>
      </x:c>
      <x:c r="J1333" s="166" t="str">
        <x:v>CI</x:v>
      </x:c>
      <x:c r="K1333" s="172" t="n">
        <x:v>1</x:v>
      </x:c>
      <x:c r="L1333" s="185" t="str">
        <x:v>Não classificado</x:v>
      </x:c>
    </x:row>
    <x:row r="1334">
      <x:c r="A1334" s="175" t="str">
        <x:v>55.676.289/0001-55</x:v>
      </x:c>
      <x:c r="B1334" s="166" t="str">
        <x:v>MIDCARD FUNDO DE INVESTIMENTO EM DIREITOS CREDITÓRIOS RESPONSABILIDADE LIMITADA</x:v>
      </x:c>
      <x:c r="C1334" s="188" t="n">
        <x:v>71433613.28</x:v>
      </x:c>
      <x:c r="D1334" s="166" t="str">
        <x:v>Brave Asset</x:v>
      </x:c>
      <x:c r="E1334" s="166" t="str">
        <x:f>IFERROR(INDEX('Classif Gestoras'!$H$6:$H$462,MATCH(D1334,'Classif Gestoras'!$A$6:$A$462,0)),"Não classificada")</x:f>
        <x:v>Independente</x:v>
      </x:c>
      <x:c r="F1334" s="166" t="str">
        <x:v>FIDD DISTRIBUIDORA DE TITULOS E VALORES MOBILIARIOS LTD</x:v>
      </x:c>
      <x:c r="G1334" s="166" t="str">
        <x:v>FIDD DISTRIBUIDORA DE TITULOS E VALORES MOBILIARIOS LTDA.</x:v>
      </x:c>
      <x:c r="H1334" s="166" t="str">
        <x:v>Agro, Indústria e Comércio</x:v>
      </x:c>
      <x:c r="I1334" s="166" t="str">
        <x:v>Recebíveis Comerciais</x:v>
      </x:c>
      <x:c r="J1334" s="166" t="str">
        <x:v>CI</x:v>
      </x:c>
      <x:c r="K1334" s="172" t="n">
        <x:v>15</x:v>
      </x:c>
      <x:c r="L1334" s="185" t="str">
        <x:v>Não classificado</x:v>
      </x:c>
    </x:row>
    <x:row r="1335">
      <x:c r="A1335" s="175" t="str">
        <x:v>41.557.655/0001-42</x:v>
      </x:c>
      <x:c r="B1335" s="166" t="str">
        <x:v>PROSPEROUS FUNDO DE INVESTIMENTO EM DIREITOS CREDITÓRIOS NÃO PADRONIZADO</x:v>
      </x:c>
      <x:c r="C1335" s="188" t="n">
        <x:v>71252635.67999999</x:v>
      </x:c>
      <x:c r="D1335" s="166" t="str">
        <x:v>BURITI INVESTIMENTOS</x:v>
      </x:c>
      <x:c r="E1335" s="166" t="str">
        <x:f>IFERROR(INDEX('Classif Gestoras'!$H$6:$H$462,MATCH(D1335,'Classif Gestoras'!$A$6:$A$462,0)),"Não classificada")</x:f>
        <x:v>Independente</x:v>
      </x:c>
      <x:c r="F1335" s="166" t="str">
        <x:v>Singulare</x:v>
      </x:c>
      <x:c r="G1335" s="166" t="str">
        <x:v>BARU DISTRIBUIDORA DE TÍTULOS E VALORES MOBILIÁRIOS LTDA.</x:v>
      </x:c>
      <x:c r="H1335" s="166" t="str">
        <x:v>Outros</x:v>
      </x:c>
      <x:c r="I1335" s="166" t="str">
        <x:v>Poder Público</x:v>
      </x:c>
      <x:c r="J1335" s="166" t="str">
        <x:v>CI</x:v>
      </x:c>
      <x:c r="K1335" s="172" t="n">
        <x:v>1</x:v>
      </x:c>
      <x:c r="L1335" s="185" t="str">
        <x:v>Não classificado</x:v>
      </x:c>
    </x:row>
    <x:row r="1336">
      <x:c r="A1336" s="175" t="str">
        <x:v>64.637.478/0001-00</x:v>
      </x:c>
      <x:c r="B1336" s="166" t="str">
        <x:v>STRUCTURE II FUNDO DE INVESTIMENTO EM DIREITOS CREDITÓRIOS MULTISSETORIAL LP</x:v>
      </x:c>
      <x:c r="C1336" s="188" t="n">
        <x:v>71202879.34</x:v>
      </x:c>
      <x:c r="D1336" s="166" t="str">
        <x:v>Multiplica Capital</x:v>
      </x:c>
      <x:c r="E1336" s="166" t="str">
        <x:f>IFERROR(INDEX('Classif Gestoras'!$H$6:$H$462,MATCH(D1336,'Classif Gestoras'!$A$6:$A$462,0)),"Não classificada")</x:f>
        <x:v>Independente</x:v>
      </x:c>
      <x:c r="F1336" s="166" t="str">
        <x:v>PLANNER CV</x:v>
      </x:c>
      <x:c r="G1336" s="166" t="str">
        <x:v>PLANNER CORRETORA DE VALORES S.A.</x:v>
      </x:c>
      <x:c r="H1336" s="166" t="str">
        <x:v>Fomento Mercantil</x:v>
      </x:c>
      <x:c r="I1336" s="166" t="str">
        <x:v>Fomento Mercantil</x:v>
      </x:c>
      <x:c r="J1336" s="166" t="str">
        <x:v>CI</x:v>
      </x:c>
      <x:c r="K1336" s="172" t="n">
        <x:v>13</x:v>
      </x:c>
      <x:c r="L1336" s="185" t="str">
        <x:v>Não classificado</x:v>
      </x:c>
    </x:row>
    <x:row r="1337">
      <x:c r="A1337" s="175" t="str">
        <x:v>42.583.959/0001-47</x:v>
      </x:c>
      <x:c r="B1337" s="166" t="str">
        <x:v>ISS VII FUNDO DE INVESTIMENTO EM DIREITOS CREDITÓRIOS</x:v>
      </x:c>
      <x:c r="C1337" s="188" t="n">
        <x:v>71192912.39</x:v>
      </x:c>
      <x:c r="D1337" s="166" t="str">
        <x:v>Intrabank Asset</x:v>
      </x:c>
      <x:c r="E1337" s="166" t="str">
        <x:f>IFERROR(INDEX('Classif Gestoras'!$H$6:$H$462,MATCH(D1337,'Classif Gestoras'!$A$6:$A$462,0)),"Não classificada")</x:f>
        <x:v>Independente</x:v>
      </x:c>
      <x:c r="F1337" s="166" t="str">
        <x:v>Finvest Digital</x:v>
      </x:c>
      <x:c r="G1337" s="166" t="str">
        <x:v>FINVEST DISTRIBUIDORA DE TÍTULOS E VALORES MOBILIÁRIOS LTDA.</x:v>
      </x:c>
      <x:c r="H1337" s="166" t="str">
        <x:v>Outros</x:v>
      </x:c>
      <x:c r="I1337" s="166" t="str">
        <x:v>Multicarteira Outros</x:v>
      </x:c>
      <x:c r="J1337" s="166" t="str">
        <x:v>CI</x:v>
      </x:c>
      <x:c r="K1337" s="172" t="n">
        <x:v>1</x:v>
      </x:c>
      <x:c r="L1337" s="185" t="str">
        <x:v>Não classificado</x:v>
      </x:c>
    </x:row>
    <x:row r="1338">
      <x:c r="A1338" s="175" t="str">
        <x:v>51.902.751/0001-34</x:v>
      </x:c>
      <x:c r="B1338" s="166" t="str">
        <x:v>MFDH2 FUNDO DE INVESTIMENTO EM DIREITOS CREDITÓRIOS</x:v>
      </x:c>
      <x:c r="C1338" s="188" t="n">
        <x:v>71175403.81</x:v>
      </x:c>
      <x:c r="D1338" s="166" t="str">
        <x:v>Redwood Asset Management</x:v>
      </x:c>
      <x:c r="E1338" s="166" t="str">
        <x:f>IFERROR(INDEX('Classif Gestoras'!$H$6:$H$462,MATCH(D1338,'Classif Gestoras'!$A$6:$A$462,0)),"Não classificada")</x:f>
        <x:v>Independente</x:v>
      </x:c>
      <x:c r="F1338" s="166" t="str">
        <x:v>PLANNER CV</x:v>
      </x:c>
      <x:c r="G1338" s="166" t="str">
        <x:v>PLANNER CORRETORA DE VALORES S.A.</x:v>
      </x:c>
      <x:c r="H1338" s="166" t="str">
        <x:v>Outros</x:v>
      </x:c>
      <x:c r="I1338" s="166" t="str">
        <x:v>Multicarteira Outros</x:v>
      </x:c>
      <x:c r="J1338" s="166" t="str">
        <x:v>CI</x:v>
      </x:c>
      <x:c r="K1338" s="172" t="n">
        <x:v>3</x:v>
      </x:c>
      <x:c r="L1338" s="185" t="str">
        <x:v>Não classificado</x:v>
      </x:c>
    </x:row>
    <x:row r="1339">
      <x:c r="A1339" s="175" t="str">
        <x:v>51.550.112/0001-57</x:v>
      </x:c>
      <x:c r="B1339" s="166" t="str">
        <x:v>CNPJ 51550112000157</x:v>
      </x:c>
      <x:c r="C1339" s="188" t="n">
        <x:v>71174885.02000001</x:v>
      </x:c>
      <x:c r="D1339" s="166" t="str">
        <x:v>Eco Gestão de Ativos LTDA.</x:v>
      </x:c>
      <x:c r="E1339" s="166" t="str">
        <x:f>IFERROR(INDEX('Classif Gestoras'!$H$6:$H$462,MATCH(D1339,'Classif Gestoras'!$A$6:$A$462,0)),"Não classificada")</x:f>
        <x:v>Independente</x:v>
      </x:c>
      <x:c r="F1339" s="166" t="str">
        <x:v>BANCO DAYCOVAL S/A</x:v>
      </x:c>
      <x:c r="G1339" s="166" t="str">
        <x:v>Não identificado</x:v>
      </x:c>
      <x:c r="H1339" s="166" t="str">
        <x:v>Agro, Indústria e Comércio</x:v>
      </x:c>
      <x:c r="I1339" s="166" t="str">
        <x:v>Agronegócio</x:v>
      </x:c>
      <x:c r="J1339" s="166" t="str">
        <x:v>CI</x:v>
      </x:c>
      <x:c r="K1339" s="172"/>
      <x:c r="L1339" s="185" t="str">
        <x:v>Não classificado</x:v>
      </x:c>
    </x:row>
    <x:row r="1340">
      <x:c r="A1340" s="175" t="str">
        <x:v>66.148.387/0001-36</x:v>
      </x:c>
      <x:c r="B1340" s="166" t="str">
        <x:v>VEGA SPECIAL OPPORTUNITIES GLOBAL FI EM DIREITOS CREDITÓRIOS NÃO PADRONIZADOS RESP LIMITADA</x:v>
      </x:c>
      <x:c r="C1340" s="188" t="n">
        <x:v>71174153.27</x:v>
      </x:c>
      <x:c r="D1340" s="166" t="str">
        <x:v>Vega</x:v>
      </x:c>
      <x:c r="E1340" s="166" t="str">
        <x:f>IFERROR(INDEX('Classif Gestoras'!$H$6:$H$462,MATCH(D1340,'Classif Gestoras'!$A$6:$A$462,0)),"Não classificada")</x:f>
        <x:v>Independente</x:v>
      </x:c>
      <x:c r="F1340" s="166" t="str">
        <x:v>BTG Pactual Servicos Financeiros S/A DTVM</x:v>
      </x:c>
      <x:c r="G1340" s="166" t="str">
        <x:v>BANCO BTG PACTUAL S/A</x:v>
      </x:c>
      <x:c r="H1340" s="166" t="str">
        <x:v>Outros</x:v>
      </x:c>
      <x:c r="I1340" s="166" t="str">
        <x:v>Multicarteira Outros</x:v>
      </x:c>
      <x:c r="J1340" s="166" t="str">
        <x:v>CI</x:v>
      </x:c>
      <x:c r="K1340" s="172" t="n">
        <x:v>1</x:v>
      </x:c>
      <x:c r="L1340" s="185" t="str">
        <x:v>Não classificado</x:v>
      </x:c>
    </x:row>
    <x:row r="1341">
      <x:c r="A1341" s="175" t="str">
        <x:v>18.676.987/0001-24</x:v>
      </x:c>
      <x:c r="B1341" s="166" t="str">
        <x:v>CLM FUNDO DE INVESTIMENTO EM DIREITOS CREDITÓRIOS MULTISSETORIAL</x:v>
      </x:c>
      <x:c r="C1341" s="188" t="n">
        <x:v>71115957.14</x:v>
      </x:c>
      <x:c r="D1341" s="166" t="str">
        <x:v>OURO PRETO INVESTIMENTOS</x:v>
      </x:c>
      <x:c r="E1341" s="166" t="str">
        <x:f>IFERROR(INDEX('Classif Gestoras'!$H$6:$H$462,MATCH(D1341,'Classif Gestoras'!$A$6:$A$462,0)),"Não classificada")</x:f>
        <x:v>Independente</x:v>
      </x:c>
      <x:c r="F1341" s="166" t="str">
        <x:v>Limine Trust Distribuidora de Titulos e Valores Mobiliá</x:v>
      </x:c>
      <x:c r="G1341" s="166" t="str">
        <x:v>LIMINE TRUST DISTRIBUIDORA DE TITULOS E VALORES MOBILIARIOS LTDA.</x:v>
      </x:c>
      <x:c r="H1341" s="166" t="str">
        <x:v>Fomento Mercantil</x:v>
      </x:c>
      <x:c r="I1341" s="166" t="str">
        <x:v>Fomento Mercantil</x:v>
      </x:c>
      <x:c r="J1341" s="166" t="str">
        <x:v>CI</x:v>
      </x:c>
      <x:c r="K1341" s="172" t="n">
        <x:v>10</x:v>
      </x:c>
      <x:c r="L1341" s="185" t="str">
        <x:v>Não classificado</x:v>
      </x:c>
    </x:row>
    <x:row r="1342">
      <x:c r="A1342" s="175" t="str">
        <x:v>45.217.948/0001-31</x:v>
      </x:c>
      <x:c r="B1342" s="166" t="str">
        <x:v>VANGUARD I FUNDO DE INVESTIMENTO EM DIREITOS CREDITÓRIOS</x:v>
      </x:c>
      <x:c r="C1342" s="188" t="n">
        <x:v>71102999.30999999</x:v>
      </x:c>
      <x:c r="D1342" s="166" t="str">
        <x:v>Hinov Capital</x:v>
      </x:c>
      <x:c r="E1342" s="166" t="str">
        <x:f>IFERROR(INDEX('Classif Gestoras'!$H$6:$H$462,MATCH(D1342,'Classif Gestoras'!$A$6:$A$462,0)),"Não classificada")</x:f>
        <x:v>Independente</x:v>
      </x:c>
      <x:c r="F1342" s="166" t="str">
        <x:v>ACTUAL DTVM</x:v>
      </x:c>
      <x:c r="G1342" s="166" t="str">
        <x:v>TRUSTEE DISTRIBUIDORA DE TITULOS E VALORES MOBILIARIOS LTDA.</x:v>
      </x:c>
      <x:c r="H1342" s="166" t="str">
        <x:v>Fomento Mercantil</x:v>
      </x:c>
      <x:c r="I1342" s="166" t="str">
        <x:v>Fomento Mercantil</x:v>
      </x:c>
      <x:c r="J1342" s="166" t="str">
        <x:v>CI</x:v>
      </x:c>
      <x:c r="K1342" s="172" t="n">
        <x:v>70</x:v>
      </x:c>
      <x:c r="L1342" s="185" t="str">
        <x:v>Não classificado</x:v>
      </x:c>
    </x:row>
    <x:row r="1343">
      <x:c r="A1343" s="175" t="str">
        <x:v>57.566.020/0001-41</x:v>
      </x:c>
      <x:c r="B1343" s="166" t="str">
        <x:v>REDEFLEX FUNDO DE INVESTIMENTO EM DIREITOS CREDITÓRIOS RECEBÍVEIS COMERCIAIS RESP. LIMITADA</x:v>
      </x:c>
      <x:c r="C1343" s="188" t="n">
        <x:v>70909381.84</x:v>
      </x:c>
      <x:c r="D1343" s="166" t="str">
        <x:v>Aventis Asset</x:v>
      </x:c>
      <x:c r="E1343" s="166" t="str">
        <x:f>IFERROR(INDEX('Classif Gestoras'!$H$6:$H$462,MATCH(D1343,'Classif Gestoras'!$A$6:$A$462,0)),"Não classificada")</x:f>
        <x:v>Independente</x:v>
      </x:c>
      <x:c r="F1343" s="166" t="str">
        <x:v>Banvox DTVM</x:v>
      </x:c>
      <x:c r="G1343" s="166" t="str">
        <x:v>MERITO DISTRIBUIDORA DE TITULOS E VALORES MOBILIARIOS LTDA.</x:v>
      </x:c>
      <x:c r="H1343" s="166" t="str">
        <x:v>Agro, Indústria e Comércio</x:v>
      </x:c>
      <x:c r="I1343" s="166" t="str">
        <x:v>Recebíveis Comerciais</x:v>
      </x:c>
      <x:c r="J1343" s="166" t="str">
        <x:v>CI</x:v>
      </x:c>
      <x:c r="K1343" s="172" t="n">
        <x:v>12</x:v>
      </x:c>
      <x:c r="L1343" s="185" t="str">
        <x:v>Não classificado</x:v>
      </x:c>
    </x:row>
    <x:row r="1344">
      <x:c r="A1344" s="175" t="str">
        <x:v>41.755.875/0001-80</x:v>
      </x:c>
      <x:c r="B1344" s="166" t="str">
        <x:v>BTZ FUNDO DE INVESTIMENTO EM DIREITOS CREDITÓRIOS RESPONSABILIDADE LIMITADA</x:v>
      </x:c>
      <x:c r="C1344" s="188" t="n">
        <x:v>70858259.88999999</x:v>
      </x:c>
      <x:c r="D1344" s="166" t="str">
        <x:v>Libertas Asset</x:v>
      </x:c>
      <x:c r="E1344" s="166" t="str">
        <x:f>IFERROR(INDEX('Classif Gestoras'!$H$6:$H$462,MATCH(D1344,'Classif Gestoras'!$A$6:$A$462,0)),"Não classificada")</x:f>
        <x:v>Independente</x:v>
      </x:c>
      <x:c r="F1344" s="166" t="str">
        <x:v>ACTUAL DTVM</x:v>
      </x:c>
      <x:c r="G1344" s="166" t="str">
        <x:v>LASTRO RDV DTVM LTDA</x:v>
      </x:c>
      <x:c r="H1344" s="166" t="str">
        <x:v>Fomento Mercantil</x:v>
      </x:c>
      <x:c r="I1344" s="166" t="str">
        <x:v>Fomento Mercantil</x:v>
      </x:c>
      <x:c r="J1344" s="166" t="str">
        <x:v>CI</x:v>
      </x:c>
      <x:c r="K1344" s="172" t="n">
        <x:v>2</x:v>
      </x:c>
      <x:c r="L1344" s="185" t="str">
        <x:v>Não classificado</x:v>
      </x:c>
    </x:row>
    <x:row r="1345">
      <x:c r="A1345" s="175" t="str">
        <x:v>49.409.950/0001-63</x:v>
      </x:c>
      <x:c r="B1345" s="166" t="str">
        <x:v>VERDE AM II FUNDO DE INVESTIMENTO EM DIREITOS CREDITÓRIOS DE RESPONSABILIDADE LIMITADA</x:v>
      </x:c>
      <x:c r="C1345" s="188" t="n">
        <x:v>70756018.47</x:v>
      </x:c>
      <x:c r="D1345" s="166" t="str">
        <x:v>Verde Asset Management S.A.</x:v>
      </x:c>
      <x:c r="E1345" s="166" t="str">
        <x:f>IFERROR(INDEX('Classif Gestoras'!$H$6:$H$462,MATCH(D1345,'Classif Gestoras'!$A$6:$A$462,0)),"Não classificada")</x:f>
        <x:v>Independente</x:v>
      </x:c>
      <x:c r="F1345" s="166" t="str">
        <x:v>BANCO DAYCOVAL S/A</x:v>
      </x:c>
      <x:c r="G1345" s="166" t="str">
        <x:v>BANCO DAYCOVAL S.A.</x:v>
      </x:c>
      <x:c r="H1345" s="166" t="str">
        <x:v>Outros</x:v>
      </x:c>
      <x:c r="I1345" s="166" t="str">
        <x:v>Multicarteira Outros</x:v>
      </x:c>
      <x:c r="J1345" s="166" t="str">
        <x:v>CI</x:v>
      </x:c>
      <x:c r="K1345" s="172" t="n">
        <x:v>1</x:v>
      </x:c>
      <x:c r="L1345" s="185" t="str">
        <x:v>Não classificado</x:v>
      </x:c>
    </x:row>
    <x:row r="1346">
      <x:c r="A1346" s="175" t="str">
        <x:v>58.376.702/0001-54</x:v>
      </x:c>
      <x:c r="B1346" s="166" t="str">
        <x:v>MEDSYSTEMS B24 II FIDC SEGMENTO RECEBÍVEIS COMERCIAIS DE RESPONSABILIDADE LIMITADA</x:v>
      </x:c>
      <x:c r="C1346" s="188" t="n">
        <x:v>70708691.53999999</x:v>
      </x:c>
      <x:c r="D1346" s="166" t="str">
        <x:v>Kanastra</x:v>
      </x:c>
      <x:c r="E1346" s="166" t="str">
        <x:f>IFERROR(INDEX('Classif Gestoras'!$H$6:$H$462,MATCH(D1346,'Classif Gestoras'!$A$6:$A$462,0)),"Não classificada")</x:f>
        <x:v>Independente</x:v>
      </x:c>
      <x:c r="F1346" s="166" t="str">
        <x:v>Genial Investimentos Corretora de Valores Mobiliários S.A.</x:v>
      </x:c>
      <x:c r="G1346" s="166" t="str">
        <x:v>BANCO GENIAL S.A.</x:v>
      </x:c>
      <x:c r="H1346" s="166" t="str">
        <x:v>Agro, Indústria e Comércio</x:v>
      </x:c>
      <x:c r="I1346" s="166" t="str">
        <x:v>Recebíveis Comerciais</x:v>
      </x:c>
      <x:c r="J1346" s="166" t="str">
        <x:v>CI</x:v>
      </x:c>
      <x:c r="K1346" s="172" t="n">
        <x:v>2</x:v>
      </x:c>
      <x:c r="L1346" s="185" t="str">
        <x:v>Não classificado</x:v>
      </x:c>
    </x:row>
    <x:row r="1347">
      <x:c r="A1347" s="175" t="str">
        <x:v>27.326.119/0001-05</x:v>
      </x:c>
      <x:c r="B1347" s="166" t="str">
        <x:v>EVOLUT FUNDO DE INVESTIMENTO EM DIREITOS CREDITÓRIOS MULTISSETORIAL</x:v>
      </x:c>
      <x:c r="C1347" s="188" t="n">
        <x:v>70542358.77000001</x:v>
      </x:c>
      <x:c r="D1347" s="166" t="str">
        <x:v>OURO PRETO INVESTIMENTOS</x:v>
      </x:c>
      <x:c r="E1347" s="166" t="str">
        <x:f>IFERROR(INDEX('Classif Gestoras'!$H$6:$H$462,MATCH(D1347,'Classif Gestoras'!$A$6:$A$462,0)),"Não classificada")</x:f>
        <x:v>Independente</x:v>
      </x:c>
      <x:c r="F1347" s="166" t="str">
        <x:v>Singulare</x:v>
      </x:c>
      <x:c r="G1347" s="166" t="str">
        <x:v>QI CORRETORA DE TÍTULOS E VALORES MOBILIÁRIOS S.A.</x:v>
      </x:c>
      <x:c r="H1347" s="166" t="str">
        <x:v>Fomento Mercantil</x:v>
      </x:c>
      <x:c r="I1347" s="166" t="str">
        <x:v>Fomento Mercantil</x:v>
      </x:c>
      <x:c r="J1347" s="166" t="str">
        <x:v>CI</x:v>
      </x:c>
      <x:c r="K1347" s="172" t="n">
        <x:v>16</x:v>
      </x:c>
      <x:c r="L1347" s="185" t="str">
        <x:v>Não classificado</x:v>
      </x:c>
    </x:row>
    <x:row r="1348">
      <x:c r="A1348" s="175" t="str">
        <x:v>28.549.910/0001-47</x:v>
      </x:c>
      <x:c r="B1348" s="166" t="str">
        <x:v>SGC UT FUNDO DE INVESTIMENTO EM DIREITOS CREDITÓRIOS NÃO-PADRONIZADOS</x:v>
      </x:c>
      <x:c r="C1348" s="188" t="n">
        <x:v>70424784.05</x:v>
      </x:c>
      <x:c r="D1348" s="166" t="str">
        <x:v>Quadra Gestão de Recursos S.A.</x:v>
      </x:c>
      <x:c r="E1348" s="166" t="str">
        <x:f>IFERROR(INDEX('Classif Gestoras'!$H$6:$H$462,MATCH(D1348,'Classif Gestoras'!$A$6:$A$462,0)),"Não classificada")</x:f>
        <x:v>Independente</x:v>
      </x:c>
      <x:c r="F1348" s="166" t="str">
        <x:v>BTG Pactual Servicos Financeiros S/A DTVM</x:v>
      </x:c>
      <x:c r="G1348" s="166" t="str">
        <x:v>BANCO BTG PACTUAL S/A</x:v>
      </x:c>
      <x:c r="H1348" s="166" t="str">
        <x:v>Outros</x:v>
      </x:c>
      <x:c r="I1348" s="166" t="str">
        <x:v>Multicarteira Outros</x:v>
      </x:c>
      <x:c r="J1348" s="166" t="str">
        <x:v>CI</x:v>
      </x:c>
      <x:c r="K1348" s="172" t="n">
        <x:v>2</x:v>
      </x:c>
      <x:c r="L1348" s="185" t="str">
        <x:v>Não classificado</x:v>
      </x:c>
    </x:row>
    <x:row r="1349">
      <x:c r="A1349" s="175" t="str">
        <x:v>51.776.829/0001-11</x:v>
      </x:c>
      <x:c r="B1349" s="166" t="str">
        <x:v>ARKAD MULTIESTRATÉGIA FUNDO DE INVESTIMENTO EM DIREITOS CREDITÓRIOS</x:v>
      </x:c>
      <x:c r="C1349" s="188" t="n">
        <x:v>70420471.92</x:v>
      </x:c>
      <x:c r="D1349" s="166" t="str">
        <x:v>Menestys</x:v>
      </x:c>
      <x:c r="E1349" s="166" t="str">
        <x:f>IFERROR(INDEX('Classif Gestoras'!$H$6:$H$462,MATCH(D1349,'Classif Gestoras'!$A$6:$A$462,0)),"Não classificada")</x:f>
        <x:v>Independente</x:v>
      </x:c>
      <x:c r="F1349" s="166" t="str">
        <x:v>Qore DTVM</x:v>
      </x:c>
      <x:c r="G1349" s="166" t="str">
        <x:v>QORE DISTRIBUIDORA DE TÍTULOS E VALORES MOBILIÁRIOS LTDA.</x:v>
      </x:c>
      <x:c r="H1349" s="166" t="str">
        <x:v>Outros</x:v>
      </x:c>
      <x:c r="I1349" s="166" t="str">
        <x:v>Multicarteira Outros</x:v>
      </x:c>
      <x:c r="J1349" s="166" t="str">
        <x:v>CI</x:v>
      </x:c>
      <x:c r="K1349" s="172" t="n">
        <x:v>16</x:v>
      </x:c>
      <x:c r="L1349" s="185" t="str">
        <x:v>Não classificado</x:v>
      </x:c>
    </x:row>
    <x:row r="1350">
      <x:c r="A1350" s="175" t="str">
        <x:v>50.824.837/0001-23</x:v>
      </x:c>
      <x:c r="B1350" s="166" t="str">
        <x:v>RM FUNDO DE INVESTIMENTO EM DIREITOS CREDITORIOS NAO PADRONIZADO</x:v>
      </x:c>
      <x:c r="C1350" s="188" t="n">
        <x:v>70383191.7</x:v>
      </x:c>
      <x:c r="D1350" s="166" t="str">
        <x:v>Multiplica Capital</x:v>
      </x:c>
      <x:c r="E1350" s="166" t="str">
        <x:f>IFERROR(INDEX('Classif Gestoras'!$H$6:$H$462,MATCH(D1350,'Classif Gestoras'!$A$6:$A$462,0)),"Não classificada")</x:f>
        <x:v>Independente</x:v>
      </x:c>
      <x:c r="F1350" s="166" t="str">
        <x:v>PLANNER CV</x:v>
      </x:c>
      <x:c r="G1350" s="166" t="str">
        <x:v>VORTX DISTRIBUIDORA DE TITULOS E VALORES MOBILIARIOS LTDA.</x:v>
      </x:c>
      <x:c r="H1350" s="166" t="str">
        <x:v>Outros</x:v>
      </x:c>
      <x:c r="I1350" s="166" t="str">
        <x:v>Multicarteira Outros</x:v>
      </x:c>
      <x:c r="J1350" s="166" t="str">
        <x:v>CI</x:v>
      </x:c>
      <x:c r="K1350" s="172" t="n">
        <x:v>1</x:v>
      </x:c>
      <x:c r="L1350" s="185" t="str">
        <x:v>Não classificado</x:v>
      </x:c>
    </x:row>
    <x:row r="1351">
      <x:c r="A1351" s="175" t="str">
        <x:v>42.922.157/0001-14</x:v>
      </x:c>
      <x:c r="B1351" s="166" t="str">
        <x:v>CNPJ 42922157000114</x:v>
      </x:c>
      <x:c r="C1351" s="188" t="n">
        <x:v>70352937.84</x:v>
      </x:c>
      <x:c r="D1351" s="166" t="str">
        <x:v>GENIAL GESTÃO LTDA.</x:v>
      </x:c>
      <x:c r="E1351" s="166" t="str">
        <x:f>IFERROR(INDEX('Classif Gestoras'!$H$6:$H$462,MATCH(D1351,'Classif Gestoras'!$A$6:$A$462,0)),"Não classificada")</x:f>
        <x:v>Ligada a banco</x:v>
      </x:c>
      <x:c r="F1351" s="166" t="str">
        <x:v>BANCO DAYCOVAL S/A</x:v>
      </x:c>
      <x:c r="G1351" s="166" t="str">
        <x:v>Não identificado</x:v>
      </x:c>
      <x:c r="H1351" s="166" t="str">
        <x:v>Agro, Indústria e Comércio</x:v>
      </x:c>
      <x:c r="I1351" s="166" t="str">
        <x:v>Recebíveis Comerciais</x:v>
      </x:c>
      <x:c r="J1351" s="166" t="str">
        <x:v>CI</x:v>
      </x:c>
      <x:c r="K1351" s="172"/>
      <x:c r="L1351" s="185" t="str">
        <x:v>Não classificado</x:v>
      </x:c>
    </x:row>
    <x:row r="1352">
      <x:c r="A1352" s="175" t="str">
        <x:v>52.319.921/0001-15</x:v>
      </x:c>
      <x:c r="B1352" s="166" t="str">
        <x:v>ESTAIADA ÉXES FUNDO DE INVESTIMENTO EM DIREITOS CREDITÓRIOS RESPONSABILIDADE LIMITADA</x:v>
      </x:c>
      <x:c r="C1352" s="188" t="n">
        <x:v>70310403.08999999</x:v>
      </x:c>
      <x:c r="D1352" s="166" t="str">
        <x:v>Éxes</x:v>
      </x:c>
      <x:c r="E1352" s="166" t="str">
        <x:f>IFERROR(INDEX('Classif Gestoras'!$H$6:$H$462,MATCH(D1352,'Classif Gestoras'!$A$6:$A$462,0)),"Não classificada")</x:f>
        <x:v>Independente</x:v>
      </x:c>
      <x:c r="F1352" s="166" t="str">
        <x:v>Oliveira Trust DTVM</x:v>
      </x:c>
      <x:c r="G1352" s="166" t="str">
        <x:v>OLIVEIRA TRUST DTVM S.A.</x:v>
      </x:c>
      <x:c r="H1352" s="166" t="str">
        <x:v>Outros</x:v>
      </x:c>
      <x:c r="I1352" s="166" t="str">
        <x:v>Multicarteira Outros</x:v>
      </x:c>
      <x:c r="J1352" s="166" t="str">
        <x:v>CI</x:v>
      </x:c>
      <x:c r="K1352" s="172" t="n">
        <x:v>25</x:v>
      </x:c>
      <x:c r="L1352" s="185" t="str">
        <x:v>Não classificado</x:v>
      </x:c>
    </x:row>
    <x:row r="1353">
      <x:c r="A1353" s="175" t="str">
        <x:v>42.605.189/0001-96</x:v>
      </x:c>
      <x:c r="B1353" s="166" t="str">
        <x:v>MINASVERDE FUNDO DE INVESTIMENTO EM DIREITOS CREDITÓRIOS</x:v>
      </x:c>
      <x:c r="C1353" s="188" t="n">
        <x:v>70252340.58</x:v>
      </x:c>
      <x:c r="D1353" s="166" t="str">
        <x:v>StoneX Investimentos</x:v>
      </x:c>
      <x:c r="E1353" s="166" t="str">
        <x:f>IFERROR(INDEX('Classif Gestoras'!$H$6:$H$462,MATCH(D1353,'Classif Gestoras'!$A$6:$A$462,0)),"Não classificada")</x:f>
        <x:v>Independente</x:v>
      </x:c>
      <x:c r="F1353" s="166" t="str">
        <x:v>Singulare</x:v>
      </x:c>
      <x:c r="G1353" s="166" t="str">
        <x:v>QI CORRETORA DE TÍTULOS E VALORES MOBILIÁRIOS S.A.</x:v>
      </x:c>
      <x:c r="H1353" s="166" t="str">
        <x:v>Outros</x:v>
      </x:c>
      <x:c r="I1353" s="166" t="str">
        <x:v>Multicarteira Outros</x:v>
      </x:c>
      <x:c r="J1353" s="166" t="str">
        <x:v>CI</x:v>
      </x:c>
      <x:c r="K1353" s="172" t="n">
        <x:v>1</x:v>
      </x:c>
      <x:c r="L1353" s="185" t="str">
        <x:v>Não classificado</x:v>
      </x:c>
    </x:row>
    <x:row r="1354">
      <x:c r="A1354" s="175" t="str">
        <x:v>54.994.993/0001-93</x:v>
      </x:c>
      <x:c r="B1354" s="166" t="str">
        <x:v>DAYCOVAL BOX FUNDO DE INVESTIMENTO EM DIREITOS CREDITÓRIOS DE RESPONSABILIDADE LIMITADA</x:v>
      </x:c>
      <x:c r="C1354" s="188" t="n">
        <x:v>70247093.06</x:v>
      </x:c>
      <x:c r="D1354" s="166" t="str">
        <x:v>DAYCOVAL ASSET MANAG</x:v>
      </x:c>
      <x:c r="E1354" s="166" t="str">
        <x:f>IFERROR(INDEX('Classif Gestoras'!$H$6:$H$462,MATCH(D1354,'Classif Gestoras'!$A$6:$A$462,0)),"Não classificada")</x:f>
        <x:v>Ligada a banco</x:v>
      </x:c>
      <x:c r="F1354" s="166" t="str">
        <x:v>BANCO DAYCOVAL S/A</x:v>
      </x:c>
      <x:c r="G1354" s="166" t="str">
        <x:v>BANCO DAYCOVAL S.A.</x:v>
      </x:c>
      <x:c r="H1354" s="166" t="str">
        <x:v>Outros</x:v>
      </x:c>
      <x:c r="I1354" s="166" t="str">
        <x:v>Multicarteira Outros</x:v>
      </x:c>
      <x:c r="J1354" s="166" t="str">
        <x:v>CI</x:v>
      </x:c>
      <x:c r="K1354" s="172" t="n">
        <x:v>14</x:v>
      </x:c>
      <x:c r="L1354" s="185" t="str">
        <x:v>Não classificado</x:v>
      </x:c>
    </x:row>
    <x:row r="1355">
      <x:c r="A1355" s="175" t="str">
        <x:v>60.292.446/0001-69</x:v>
      </x:c>
      <x:c r="B1355" s="166" t="str">
        <x:v>XP FUNDO DE INVESTIMENTO EM DIREITOS CREDITÓRIOS CRÉDITO IMOBILIÁRIO RESPONSABILIDADE LIMITADA</x:v>
      </x:c>
      <x:c r="C1355" s="188" t="n">
        <x:v>70231480.3</x:v>
      </x:c>
      <x:c r="D1355" s="166" t="str">
        <x:v>Vista Real Estate</x:v>
      </x:c>
      <x:c r="E1355" s="166" t="str">
        <x:f>IFERROR(INDEX('Classif Gestoras'!$H$6:$H$462,MATCH(D1355,'Classif Gestoras'!$A$6:$A$462,0)),"Não classificada")</x:f>
        <x:v>Independente</x:v>
      </x:c>
      <x:c r="F1355" s="166" t="str">
        <x:v>XPI CCTVM S/A</x:v>
      </x:c>
      <x:c r="G1355" s="166" t="str">
        <x:v>OLIVEIRA TRUST DTVM S.A.</x:v>
      </x:c>
      <x:c r="H1355" s="166" t="str">
        <x:v>Outros</x:v>
      </x:c>
      <x:c r="I1355" s="166" t="str">
        <x:v>Multicarteira Outros</x:v>
      </x:c>
      <x:c r="J1355" s="166" t="str">
        <x:v>CI</x:v>
      </x:c>
      <x:c r="K1355" s="172" t="n">
        <x:v>7</x:v>
      </x:c>
      <x:c r="L1355" s="185" t="str">
        <x:v>Não classificado</x:v>
      </x:c>
    </x:row>
    <x:row r="1356">
      <x:c r="A1356" s="175" t="str">
        <x:v>26.984.508/0001-65</x:v>
      </x:c>
      <x:c r="B1356" s="166" t="str">
        <x:v>OCEAN ASSET FUNDO DE INVESTIMENTO EM DIREITOS CREDITORIOS</x:v>
      </x:c>
      <x:c r="C1356" s="188" t="n">
        <x:v>70216194.37</x:v>
      </x:c>
      <x:c r="D1356" s="166" t="str">
        <x:v>TERCON ASSET MANAGEMENT</x:v>
      </x:c>
      <x:c r="E1356" s="166" t="str">
        <x:f>IFERROR(INDEX('Classif Gestoras'!$H$6:$H$462,MATCH(D1356,'Classif Gestoras'!$A$6:$A$462,0)),"Não classificada")</x:f>
        <x:v>Independente</x:v>
      </x:c>
      <x:c r="F1356" s="166" t="str">
        <x:v>Singulare</x:v>
      </x:c>
      <x:c r="G1356" s="166" t="str">
        <x:v>QI CORRETORA DE TÍTULOS E VALORES MOBILIÁRIOS S.A.</x:v>
      </x:c>
      <x:c r="H1356" s="166" t="str">
        <x:v>Fomento Mercantil</x:v>
      </x:c>
      <x:c r="I1356" s="166" t="str">
        <x:v>Fomento Mercantil</x:v>
      </x:c>
      <x:c r="J1356" s="166" t="str">
        <x:v>CI</x:v>
      </x:c>
      <x:c r="K1356" s="172" t="n">
        <x:v>5</x:v>
      </x:c>
      <x:c r="L1356" s="185" t="str">
        <x:v>Não classificado</x:v>
      </x:c>
    </x:row>
    <x:row r="1357">
      <x:c r="A1357" s="175" t="str">
        <x:v>58.486.398/0001-06</x:v>
      </x:c>
      <x:c r="B1357" s="166" t="str">
        <x:v>FUNDO DE INVESTIMENTO EM DIREITOS CREDITÓRIOS BB CONSÓRCIOS RESPONSABILIDADE LIMITADA</x:v>
      </x:c>
      <x:c r="C1357" s="188" t="n">
        <x:v>70187703.17</x:v>
      </x:c>
      <x:c r="D1357" s="166" t="str">
        <x:v>JGP Gestão de Crédito LTDA.</x:v>
      </x:c>
      <x:c r="E1357" s="166" t="str">
        <x:f>IFERROR(INDEX('Classif Gestoras'!$H$6:$H$462,MATCH(D1357,'Classif Gestoras'!$A$6:$A$462,0)),"Não classificada")</x:f>
        <x:v>Independente</x:v>
      </x:c>
      <x:c r="F1357" s="166" t="str">
        <x:v>Genial Investimentos Corretora de Valores Mobiliários S.A.</x:v>
      </x:c>
      <x:c r="G1357" s="166" t="str">
        <x:v>BANCO GENIAL S.A.</x:v>
      </x:c>
      <x:c r="H1357" s="166" t="str">
        <x:v>Financeiro</x:v>
      </x:c>
      <x:c r="I1357" s="166" t="str">
        <x:v>Crédito Consignado</x:v>
      </x:c>
      <x:c r="J1357" s="166" t="str">
        <x:v>CI</x:v>
      </x:c>
      <x:c r="K1357" s="172" t="n">
        <x:v>14</x:v>
      </x:c>
      <x:c r="L1357" s="185" t="str">
        <x:v>Não classificado</x:v>
      </x:c>
    </x:row>
    <x:row r="1358">
      <x:c r="A1358" s="175" t="str">
        <x:v>62.135.992/0001-11</x:v>
      </x:c>
      <x:c r="B1358" s="166" t="str">
        <x:v>FRUCTUS FUNDO DE INVESTIMENTO EM DIREITOS CREDITÓRIOS - RESPONSABILIDADE LIMITADA</x:v>
      </x:c>
      <x:c r="C1358" s="188" t="n">
        <x:v>70013520.55999999</x:v>
      </x:c>
      <x:c r="D1358" s="166" t="str">
        <x:v>RedAsset Gestão de Recursos Ltda.</x:v>
      </x:c>
      <x:c r="E1358" s="166" t="str">
        <x:f>IFERROR(INDEX('Classif Gestoras'!$H$6:$H$462,MATCH(D1358,'Classif Gestoras'!$A$6:$A$462,0)),"Não classificada")</x:f>
        <x:v>Independente</x:v>
      </x:c>
      <x:c r="F1358" s="166" t="str">
        <x:v>HEMERA DTVM</x:v>
      </x:c>
      <x:c r="G1358" s="166" t="str">
        <x:v>HEMERA DISTRIBUIDORA DE TITULOS E VALORES MOBILIARIOS LTDA</x:v>
      </x:c>
      <x:c r="H1358" s="166" t="str">
        <x:v>Fomento Mercantil</x:v>
      </x:c>
      <x:c r="I1358" s="166" t="str">
        <x:v>Fomento Mercantil</x:v>
      </x:c>
      <x:c r="J1358" s="166" t="str">
        <x:v>CI</x:v>
      </x:c>
      <x:c r="K1358" s="172" t="n">
        <x:v>26</x:v>
      </x:c>
      <x:c r="L1358" s="185" t="str">
        <x:v>Não classificado</x:v>
      </x:c>
    </x:row>
    <x:row r="1359">
      <x:c r="A1359" s="175" t="str">
        <x:v>18.114.024/0001-37</x:v>
      </x:c>
      <x:c r="B1359" s="166" t="str">
        <x:v>METROPOLITANA ATIVOS FUNDO DE INVESTIMENTO EM DIREITOS CREDITÓRIOS MULTISSETORIAL</x:v>
      </x:c>
      <x:c r="C1359" s="188" t="n">
        <x:v>69882391.27</x:v>
      </x:c>
      <x:c r="D1359" s="166" t="str">
        <x:v>OURO PRETO INVESTIMENTOS</x:v>
      </x:c>
      <x:c r="E1359" s="166" t="str">
        <x:f>IFERROR(INDEX('Classif Gestoras'!$H$6:$H$462,MATCH(D1359,'Classif Gestoras'!$A$6:$A$462,0)),"Não classificada")</x:f>
        <x:v>Independente</x:v>
      </x:c>
      <x:c r="F1359" s="166" t="str">
        <x:v>Limine Trust Distribuidora de Titulos e Valores Mobiliá</x:v>
      </x:c>
      <x:c r="G1359" s="166" t="str">
        <x:v>LIMINE TRUST DISTRIBUIDORA DE TITULOS E VALORES MOBILIARIOS LTDA.</x:v>
      </x:c>
      <x:c r="H1359" s="166" t="str">
        <x:v>Fomento Mercantil</x:v>
      </x:c>
      <x:c r="I1359" s="166" t="str">
        <x:v>Fomento Mercantil</x:v>
      </x:c>
      <x:c r="J1359" s="166" t="str">
        <x:v>CI</x:v>
      </x:c>
      <x:c r="K1359" s="172" t="n">
        <x:v>1</x:v>
      </x:c>
      <x:c r="L1359" s="185" t="str">
        <x:v>Não classificado</x:v>
      </x:c>
    </x:row>
    <x:row r="1360">
      <x:c r="A1360" s="175" t="str">
        <x:v>58.546.382/0001-33</x:v>
      </x:c>
      <x:c r="B1360" s="166" t="str">
        <x:v>TEXAS FUNDO DE INVESTIMENTO EM DIREITOS CREDITÓRIOS RESPONSABILIDADE LIMITADA</x:v>
      </x:c>
      <x:c r="C1360" s="188" t="n">
        <x:v>69584552.63</x:v>
      </x:c>
      <x:c r="D1360" s="166" t="str">
        <x:v>SH Asset</x:v>
      </x:c>
      <x:c r="E1360" s="166" t="str">
        <x:f>IFERROR(INDEX('Classif Gestoras'!$H$6:$H$462,MATCH(D1360,'Classif Gestoras'!$A$6:$A$462,0)),"Não classificada")</x:f>
        <x:v>Independente</x:v>
      </x:c>
      <x:c r="F1360" s="166" t="str">
        <x:v>Singulare</x:v>
      </x:c>
      <x:c r="G1360" s="166" t="str">
        <x:v>QI CORRETORA DE TÍTULOS E VALORES MOBILIÁRIOS S.A.</x:v>
      </x:c>
      <x:c r="H1360" s="166" t="str">
        <x:v>Outros</x:v>
      </x:c>
      <x:c r="I1360" s="166" t="str">
        <x:v>Poder Público</x:v>
      </x:c>
      <x:c r="J1360" s="166" t="str">
        <x:v>CI</x:v>
      </x:c>
      <x:c r="K1360" s="172" t="n">
        <x:v>9</x:v>
      </x:c>
      <x:c r="L1360" s="185" t="str">
        <x:v>Não classificado</x:v>
      </x:c>
    </x:row>
    <x:row r="1361">
      <x:c r="A1361" s="175" t="str">
        <x:v>16.873.285/0001-05</x:v>
      </x:c>
      <x:c r="B1361" s="166" t="str">
        <x:v>CAUÊ GS FUNDO DE INVESTIMENTO EM DIREITOS CREDITÓRIOS RESPONSABILIDADE LIMITADA</x:v>
      </x:c>
      <x:c r="C1361" s="188" t="n">
        <x:v>69484945.4035</x:v>
      </x:c>
      <x:c r="D1361" s="166" t="str">
        <x:v>TAG Investimentos</x:v>
      </x:c>
      <x:c r="E1361" s="166" t="str">
        <x:f>IFERROR(INDEX('Classif Gestoras'!$H$6:$H$462,MATCH(D1361,'Classif Gestoras'!$A$6:$A$462,0)),"Não classificada")</x:f>
        <x:v>Independente</x:v>
      </x:c>
      <x:c r="F1361" s="166" t="str">
        <x:v>BTG Pactual Servicos Financeiros S/A DTVM</x:v>
      </x:c>
      <x:c r="G1361" s="166" t="str">
        <x:v>BANCO BTG PACTUAL S/A</x:v>
      </x:c>
      <x:c r="H1361" s="166" t="str">
        <x:v>Outros</x:v>
      </x:c>
      <x:c r="I1361" s="166" t="str">
        <x:v>Multicarteira Outros</x:v>
      </x:c>
      <x:c r="J1361" s="166" t="str">
        <x:v>CI</x:v>
      </x:c>
      <x:c r="K1361" s="172" t="n">
        <x:v>2</x:v>
      </x:c>
      <x:c r="L1361" s="185" t="str">
        <x:v>Não classificado</x:v>
      </x:c>
    </x:row>
    <x:row r="1362">
      <x:c r="A1362" s="175" t="str">
        <x:v>53.018.439/0001-08</x:v>
      </x:c>
      <x:c r="B1362" s="166" t="str">
        <x:v>DIAMANTE FUNDO DE INVESTIMENTO EM DIREITOS CREDITÓRIOS RESPONSABILIDADE LIMITADA</x:v>
      </x:c>
      <x:c r="C1362" s="188" t="n">
        <x:v>69441911</x:v>
      </x:c>
      <x:c r="D1362" s="166" t="str">
        <x:v>SOMMA Investimentos</x:v>
      </x:c>
      <x:c r="E1362" s="166" t="str">
        <x:f>IFERROR(INDEX('Classif Gestoras'!$H$6:$H$462,MATCH(D1362,'Classif Gestoras'!$A$6:$A$462,0)),"Não classificada")</x:f>
        <x:v>Independente</x:v>
      </x:c>
      <x:c r="F1362" s="166" t="str">
        <x:v>Singulare</x:v>
      </x:c>
      <x:c r="G1362" s="166" t="str">
        <x:v>QI CORRETORA DE TÍTULOS E VALORES MOBILIÁRIOS S.A.</x:v>
      </x:c>
      <x:c r="H1362" s="166" t="str">
        <x:v>Fomento Mercantil</x:v>
      </x:c>
      <x:c r="I1362" s="166" t="str">
        <x:v>Fomento Mercantil</x:v>
      </x:c>
      <x:c r="J1362" s="166" t="str">
        <x:v>CI</x:v>
      </x:c>
      <x:c r="K1362" s="172" t="n">
        <x:v>1</x:v>
      </x:c>
      <x:c r="L1362" s="185" t="str">
        <x:v>Não classificado</x:v>
      </x:c>
    </x:row>
    <x:row r="1363">
      <x:c r="A1363" s="175" t="str">
        <x:v>59.699.204/0001-05</x:v>
      </x:c>
      <x:c r="B1363" s="166" t="str">
        <x:v>LINK CAPITAL FUNDO DE INVESTIMENTO EM DIREITOS CREDITÓRIOS DE RESPONSABILIDADE LIMITADA</x:v>
      </x:c>
      <x:c r="C1363" s="188" t="n">
        <x:v>69353137.74</x:v>
      </x:c>
      <x:c r="D1363" s="166" t="str">
        <x:v>Catálise Investimentos</x:v>
      </x:c>
      <x:c r="E1363" s="166" t="str">
        <x:f>IFERROR(INDEX('Classif Gestoras'!$H$6:$H$462,MATCH(D1363,'Classif Gestoras'!$A$6:$A$462,0)),"Não classificada")</x:f>
        <x:v>Independente</x:v>
      </x:c>
      <x:c r="F1363" s="166" t="str">
        <x:v>CATÁLISE DTVM</x:v>
      </x:c>
      <x:c r="G1363" s="166" t="str">
        <x:v>BANCO DAYCOVAL S.A.</x:v>
      </x:c>
      <x:c r="H1363" s="166" t="str">
        <x:v>Agro, Indústria e Comércio</x:v>
      </x:c>
      <x:c r="I1363" s="166" t="str">
        <x:v>Multicarteira Agro, Indústria e Comércio</x:v>
      </x:c>
      <x:c r="J1363" s="166" t="str">
        <x:v>CI</x:v>
      </x:c>
      <x:c r="K1363" s="172" t="n">
        <x:v>1</x:v>
      </x:c>
      <x:c r="L1363" s="185" t="str">
        <x:v>Não classificado</x:v>
      </x:c>
    </x:row>
    <x:row r="1364">
      <x:c r="A1364" s="175" t="str">
        <x:v>38.948.969/0001-61</x:v>
      </x:c>
      <x:c r="B1364" s="166" t="str">
        <x:v>FUNDO DE INVESTIMENTO EM DIREITOS CREDITÓRIOS EMPÍRICA RECEBÍVEIS IMOBILIÁRIOS</x:v>
      </x:c>
      <x:c r="C1364" s="188" t="n">
        <x:v>69277633.28</x:v>
      </x:c>
      <x:c r="D1364" s="166" t="str">
        <x:v>REAG GESTÃO DE CRÉDITO</x:v>
      </x:c>
      <x:c r="E1364" s="166" t="str">
        <x:f>IFERROR(INDEX('Classif Gestoras'!$H$6:$H$462,MATCH(D1364,'Classif Gestoras'!$A$6:$A$462,0)),"Não classificada")</x:f>
        <x:v>Independente</x:v>
      </x:c>
      <x:c r="F1364" s="166" t="str">
        <x:v>REAG DTVM</x:v>
      </x:c>
      <x:c r="G1364" s="166" t="str">
        <x:v>FIDD DISTRIBUIDORA DE TITULOS E VALORES MOBILIARIOS LTDA.</x:v>
      </x:c>
      <x:c r="H1364" s="166" t="str">
        <x:v>Financeiro</x:v>
      </x:c>
      <x:c r="I1364" s="166" t="str">
        <x:v>Crédito Imobiliário</x:v>
      </x:c>
      <x:c r="J1364" s="166" t="str">
        <x:v>CI</x:v>
      </x:c>
      <x:c r="K1364" s="172" t="n">
        <x:v>2</x:v>
      </x:c>
      <x:c r="L1364" s="185" t="str">
        <x:v>Não classificado</x:v>
      </x:c>
    </x:row>
    <x:row r="1365">
      <x:c r="A1365" s="175" t="str">
        <x:v>20.403.406/0001-22</x:v>
      </x:c>
      <x:c r="B1365" s="166" t="str">
        <x:v>SG II A FUNDO DE INVESTIMENTO EM DIREITOS CREDITÓRIOS NÃO-PADRONIZADOS</x:v>
      </x:c>
      <x:c r="C1365" s="188" t="n">
        <x:v>69215170.1254</x:v>
      </x:c>
      <x:c r="D1365" s="166" t="str">
        <x:v>PACTUAL CAPITAL PART</x:v>
      </x:c>
      <x:c r="E1365" s="166" t="str">
        <x:f>IFERROR(INDEX('Classif Gestoras'!$H$6:$H$462,MATCH(D1365,'Classif Gestoras'!$A$6:$A$462,0)),"Não classificada")</x:f>
        <x:v>Independente</x:v>
      </x:c>
      <x:c r="F1365" s="166" t="str">
        <x:v>BTG Pactual Servicos Financeiros S/A DTVM</x:v>
      </x:c>
      <x:c r="G1365" s="166" t="str">
        <x:v>BANCO BTG PACTUAL S/A</x:v>
      </x:c>
      <x:c r="H1365" s="166" t="str">
        <x:v>Outros</x:v>
      </x:c>
      <x:c r="I1365" s="166" t="str">
        <x:v>Poder Público</x:v>
      </x:c>
      <x:c r="J1365" s="166" t="str">
        <x:v>CI</x:v>
      </x:c>
      <x:c r="K1365" s="172" t="n">
        <x:v>1</x:v>
      </x:c>
      <x:c r="L1365" s="185" t="str">
        <x:v>Não classificado</x:v>
      </x:c>
    </x:row>
    <x:row r="1366">
      <x:c r="A1366" s="175" t="str">
        <x:v>48.313.744/0001-92</x:v>
      </x:c>
      <x:c r="B1366" s="166" t="str">
        <x:v>CREDX FUNDO DE INVESTIMENTO EM DIREITOS CREDITÓRIOS</x:v>
      </x:c>
      <x:c r="C1366" s="188" t="n">
        <x:v>69206020.34</x:v>
      </x:c>
      <x:c r="D1366" s="166" t="str">
        <x:v>KÖLI CAPITAL</x:v>
      </x:c>
      <x:c r="E1366" s="166" t="str">
        <x:f>IFERROR(INDEX('Classif Gestoras'!$H$6:$H$462,MATCH(D1366,'Classif Gestoras'!$A$6:$A$462,0)),"Não classificada")</x:f>
        <x:v>Independente</x:v>
      </x:c>
      <x:c r="F1366" s="166" t="str">
        <x:v>Singulare</x:v>
      </x:c>
      <x:c r="G1366" s="166" t="str">
        <x:v>QI CORRETORA DE TÍTULOS E VALORES MOBILIÁRIOS S.A.</x:v>
      </x:c>
      <x:c r="H1366" s="166" t="str">
        <x:v>Fomento Mercantil</x:v>
      </x:c>
      <x:c r="I1366" s="166" t="str">
        <x:v>Fomento Mercantil</x:v>
      </x:c>
      <x:c r="J1366" s="166" t="str">
        <x:v>CI</x:v>
      </x:c>
      <x:c r="K1366" s="172" t="n">
        <x:v>7</x:v>
      </x:c>
      <x:c r="L1366" s="185" t="str">
        <x:v>Não classificado</x:v>
      </x:c>
    </x:row>
    <x:row r="1367">
      <x:c r="A1367" s="175" t="str">
        <x:v>51.311.858/0001-08</x:v>
      </x:c>
      <x:c r="B1367" s="166" t="str">
        <x:v>SPECTRA SPECIAL BOX FUNDO DE INVESTIMENTO EM DIREITOS CREDITÓRIOS DE RESPONSABILIDADE LIMITADA</x:v>
      </x:c>
      <x:c r="C1367" s="188" t="n">
        <x:v>69077053.56</x:v>
      </x:c>
      <x:c r="D1367" s="166" t="str">
        <x:v>DAYCOVAL ASSET MANAG</x:v>
      </x:c>
      <x:c r="E1367" s="166" t="str">
        <x:f>IFERROR(INDEX('Classif Gestoras'!$H$6:$H$462,MATCH(D1367,'Classif Gestoras'!$A$6:$A$462,0)),"Não classificada")</x:f>
        <x:v>Ligada a banco</x:v>
      </x:c>
      <x:c r="F1367" s="166" t="str">
        <x:v>BANCO DAYCOVAL S/A</x:v>
      </x:c>
      <x:c r="G1367" s="166" t="str">
        <x:v>BANCO DAYCOVAL S.A.</x:v>
      </x:c>
      <x:c r="H1367" s="166" t="str">
        <x:v>Financeiro</x:v>
      </x:c>
      <x:c r="I1367" s="166" t="str">
        <x:v>Multicarteira Financeiro</x:v>
      </x:c>
      <x:c r="J1367" s="166" t="str">
        <x:v>CI</x:v>
      </x:c>
      <x:c r="K1367" s="172" t="n">
        <x:v>2</x:v>
      </x:c>
      <x:c r="L1367" s="185" t="str">
        <x:v>Não classificado</x:v>
      </x:c>
    </x:row>
    <x:row r="1368">
      <x:c r="A1368" s="175" t="str">
        <x:v>28.912.351/0001-98</x:v>
      </x:c>
      <x:c r="B1368" s="166" t="str">
        <x:v>SADESUL FUNDO DE INVESTIMENTO EM DIREITOS CREDITÓRIOS RESPONSABILIDADE LIMITADA</x:v>
      </x:c>
      <x:c r="C1368" s="188" t="n">
        <x:v>68972918.13000001</x:v>
      </x:c>
      <x:c r="D1368" s="166" t="str">
        <x:v>Redwood Asset Management</x:v>
      </x:c>
      <x:c r="E1368" s="166" t="str">
        <x:f>IFERROR(INDEX('Classif Gestoras'!$H$6:$H$462,MATCH(D1368,'Classif Gestoras'!$A$6:$A$462,0)),"Não classificada")</x:f>
        <x:v>Independente</x:v>
      </x:c>
      <x:c r="F1368" s="166" t="str">
        <x:v>PLANNER CV</x:v>
      </x:c>
      <x:c r="G1368" s="166" t="str">
        <x:v>PLANNER CORRETORA DE VALORES S.A.</x:v>
      </x:c>
      <x:c r="H1368" s="166" t="str">
        <x:v>Outros</x:v>
      </x:c>
      <x:c r="I1368" s="166" t="str">
        <x:v>Multicarteira Outros</x:v>
      </x:c>
      <x:c r="J1368" s="166" t="str">
        <x:v>CI</x:v>
      </x:c>
      <x:c r="K1368" s="172" t="n">
        <x:v>1</x:v>
      </x:c>
      <x:c r="L1368" s="185" t="str">
        <x:v>Não classificado</x:v>
      </x:c>
    </x:row>
    <x:row r="1369">
      <x:c r="A1369" s="175" t="str">
        <x:v>61.669.748/0001-76</x:v>
      </x:c>
      <x:c r="B1369" s="166" t="str">
        <x:v>LAVORO FORNECEDORES FUNDO DE INVESTIMENTO EM DIREITOS CREDITÓRIOS DO AGRONEGÓCIO - RESP LTDA</x:v>
      </x:c>
      <x:c r="C1369" s="188" t="n">
        <x:v>68966191.17</x:v>
      </x:c>
      <x:c r="D1369" s="166" t="str">
        <x:v>Farmtech Gestão de Recursos Ltda.</x:v>
      </x:c>
      <x:c r="E1369" s="166" t="str">
        <x:f>IFERROR(INDEX('Classif Gestoras'!$H$6:$H$462,MATCH(D1369,'Classif Gestoras'!$A$6:$A$462,0)),"Não classificada")</x:f>
        <x:v>Independente</x:v>
      </x:c>
      <x:c r="F1369" s="166" t="str">
        <x:v>Oliveira Trust DTVM</x:v>
      </x:c>
      <x:c r="G1369" s="166" t="str">
        <x:v>OLIVEIRA TRUST DTVM S.A.</x:v>
      </x:c>
      <x:c r="H1369" s="166" t="str">
        <x:v>Agro, Indústria e Comércio</x:v>
      </x:c>
      <x:c r="I1369" s="166" t="str">
        <x:v>Agronegócio</x:v>
      </x:c>
      <x:c r="J1369" s="166" t="str">
        <x:v>CI</x:v>
      </x:c>
      <x:c r="K1369" s="172" t="n">
        <x:v>3</x:v>
      </x:c>
      <x:c r="L1369" s="185" t="str">
        <x:v>Não classificado</x:v>
      </x:c>
    </x:row>
    <x:row r="1370">
      <x:c r="A1370" s="175" t="str">
        <x:v>45.145.657/0001-85</x:v>
      </x:c>
      <x:c r="B1370" s="166" t="str">
        <x:v>LESTE CREDIT PRECATÓRIOS II FUNDO DE INVESTIMENTO EM DIREITOS CREDITÓRIOS RESPONSABILIDADE LIMITADA</x:v>
      </x:c>
      <x:c r="C1370" s="188" t="n">
        <x:v>68965791.97</x:v>
      </x:c>
      <x:c r="D1370" s="166" t="str">
        <x:v>VM Consultoria Empresarial Ltd</x:v>
      </x:c>
      <x:c r="E1370" s="166" t="str">
        <x:f>IFERROR(INDEX('Classif Gestoras'!$H$6:$H$462,MATCH(D1370,'Classif Gestoras'!$A$6:$A$462,0)),"Não classificada")</x:f>
        <x:v>Independente</x:v>
      </x:c>
      <x:c r="F1370" s="166" t="str">
        <x:v>PLANNER CV</x:v>
      </x:c>
      <x:c r="G1370" s="166" t="str">
        <x:v>PLANNER CORRETORA DE VALORES S.A.</x:v>
      </x:c>
      <x:c r="H1370" s="166" t="str">
        <x:v>Outros</x:v>
      </x:c>
      <x:c r="I1370" s="166" t="str">
        <x:v>Poder Público</x:v>
      </x:c>
      <x:c r="J1370" s="166" t="str">
        <x:v>CI</x:v>
      </x:c>
      <x:c r="K1370" s="172" t="n">
        <x:v>80</x:v>
      </x:c>
      <x:c r="L1370" s="185" t="str">
        <x:v>Não classificado</x:v>
      </x:c>
    </x:row>
    <x:row r="1371">
      <x:c r="A1371" s="175" t="str">
        <x:v>52.287.219/0001-17</x:v>
      </x:c>
      <x:c r="B1371" s="166" t="str">
        <x:v>SC CRÉDITOS I FUNDO DE INVESTIMENTO EM DIREITOS CREDITORIOS RESPONSABILIDADE LIMITADA</x:v>
      </x:c>
      <x:c r="C1371" s="188" t="n">
        <x:v>68876439.41</x:v>
      </x:c>
      <x:c r="D1371" s="166" t="str">
        <x:v>Score Capital</x:v>
      </x:c>
      <x:c r="E1371" s="166" t="str">
        <x:f>IFERROR(INDEX('Classif Gestoras'!$H$6:$H$462,MATCH(D1371,'Classif Gestoras'!$A$6:$A$462,0)),"Não classificada")</x:f>
        <x:v>Independente</x:v>
      </x:c>
      <x:c r="F1371" s="166" t="str">
        <x:v>PLANNER CV</x:v>
      </x:c>
      <x:c r="G1371" s="166" t="str">
        <x:v>PLANNER CORRETORA DE VALORES S.A.</x:v>
      </x:c>
      <x:c r="H1371" s="166" t="str">
        <x:v>Outros</x:v>
      </x:c>
      <x:c r="I1371" s="166" t="str">
        <x:v>Multicarteira Outros</x:v>
      </x:c>
      <x:c r="J1371" s="166" t="str">
        <x:v>CI</x:v>
      </x:c>
      <x:c r="K1371" s="172" t="n">
        <x:v>1</x:v>
      </x:c>
      <x:c r="L1371" s="185" t="str">
        <x:v>Não classificado</x:v>
      </x:c>
    </x:row>
    <x:row r="1372">
      <x:c r="A1372" s="175" t="str">
        <x:v>41.332.977/0001-93</x:v>
      </x:c>
      <x:c r="B1372" s="166" t="str">
        <x:v>UP.P CRÉDITO PESSOAL FUNDO DE INVESTIMENTO EM DIREITOS CREDITÓRIOS - RESPONSABILIDADE LIMITADA</x:v>
      </x:c>
      <x:c r="C1372" s="188" t="n">
        <x:v>68760564.91999999</x:v>
      </x:c>
      <x:c r="D1372" s="166" t="str">
        <x:v>ANGÁ ASSET MANAGEMENT</x:v>
      </x:c>
      <x:c r="E1372" s="166" t="str">
        <x:f>IFERROR(INDEX('Classif Gestoras'!$H$6:$H$462,MATCH(D1372,'Classif Gestoras'!$A$6:$A$462,0)),"Não classificada")</x:f>
        <x:v>Independente</x:v>
      </x:c>
      <x:c r="F1372" s="166" t="str">
        <x:v>BANCO DAYCOVAL S/A</x:v>
      </x:c>
      <x:c r="G1372" s="166" t="str">
        <x:v>BANCO DAYCOVAL S.A.</x:v>
      </x:c>
      <x:c r="H1372" s="166" t="str">
        <x:v>Financeiro</x:v>
      </x:c>
      <x:c r="I1372" s="166" t="str">
        <x:v>Multicarteira Financeiro</x:v>
      </x:c>
      <x:c r="J1372" s="166" t="str">
        <x:v>CI</x:v>
      </x:c>
      <x:c r="K1372" s="172" t="n">
        <x:v>117</x:v>
      </x:c>
      <x:c r="L1372" s="185" t="str">
        <x:v>Não classificado</x:v>
      </x:c>
    </x:row>
    <x:row r="1373">
      <x:c r="A1373" s="175" t="str">
        <x:v>38.267.680/0001-87</x:v>
      </x:c>
      <x:c r="B1373" s="166" t="str">
        <x:v>V051 FUNDO DE INVESTIMENTO EM DIREITOS CREDITÓRIOS - RESPONSABILIDADE LIMITADA</x:v>
      </x:c>
      <x:c r="C1373" s="188" t="n">
        <x:v>68693278.08</x:v>
      </x:c>
      <x:c r="D1373" s="166" t="str">
        <x:v>VALORA IMOBILIÁRIO E INFRAESTRUTURA LTDA</x:v>
      </x:c>
      <x:c r="E1373" s="166" t="str">
        <x:f>IFERROR(INDEX('Classif Gestoras'!$H$6:$H$462,MATCH(D1373,'Classif Gestoras'!$A$6:$A$462,0)),"Não classificada")</x:f>
        <x:v>Independente</x:v>
      </x:c>
      <x:c r="F1373" s="166" t="str">
        <x:v>BNY MELLON SERVICOS</x:v>
      </x:c>
      <x:c r="G1373" s="166" t="str">
        <x:v>Não identificado</x:v>
      </x:c>
      <x:c r="H1373" s="166" t="str">
        <x:v>Outros</x:v>
      </x:c>
      <x:c r="I1373" s="166" t="str">
        <x:v>Multicarteira Outros</x:v>
      </x:c>
      <x:c r="J1373" s="166" t="str">
        <x:v>CI</x:v>
      </x:c>
      <x:c r="K1373" s="172" t="n">
        <x:v>1</x:v>
      </x:c>
      <x:c r="L1373" s="185" t="str">
        <x:v>Não classificado</x:v>
      </x:c>
    </x:row>
    <x:row r="1374">
      <x:c r="A1374" s="175" t="str">
        <x:v>20.717.010/0001-50</x:v>
      </x:c>
      <x:c r="B1374" s="166" t="str">
        <x:v>SOLITUDE PRECATÓRIO FUNDO DE INVESTIMENTO EM DIREITOS CREDITÓRIOS NÃO PADRONIZADO</x:v>
      </x:c>
      <x:c r="C1374" s="188" t="n">
        <x:v>68668321.92</x:v>
      </x:c>
      <x:c r="D1374" s="166" t="str">
        <x:v>Patrimonial Gestão</x:v>
      </x:c>
      <x:c r="E1374" s="166" t="str">
        <x:f>IFERROR(INDEX('Classif Gestoras'!$H$6:$H$462,MATCH(D1374,'Classif Gestoras'!$A$6:$A$462,0)),"Não classificada")</x:f>
        <x:v>Independente</x:v>
      </x:c>
      <x:c r="F1374" s="166" t="str">
        <x:v>Singulare</x:v>
      </x:c>
      <x:c r="G1374" s="166" t="str">
        <x:v>QI CORRETORA DE TÍTULOS E VALORES MOBILIÁRIOS S.A.</x:v>
      </x:c>
      <x:c r="H1374" s="166" t="str">
        <x:v>Outros</x:v>
      </x:c>
      <x:c r="I1374" s="166" t="str">
        <x:v>Poder Público</x:v>
      </x:c>
      <x:c r="J1374" s="166" t="str">
        <x:v>CI</x:v>
      </x:c>
      <x:c r="K1374" s="172" t="n">
        <x:v>9</x:v>
      </x:c>
      <x:c r="L1374" s="185" t="str">
        <x:v>Não classificado</x:v>
      </x:c>
    </x:row>
    <x:row r="1375">
      <x:c r="A1375" s="175" t="str">
        <x:v>58.033.643/0001-11</x:v>
      </x:c>
      <x:c r="B1375" s="166" t="str">
        <x:v>RIO BRAVO AGRO RECEBÍVEIS FUNDO DE INVESTIMENTO EM DIREITOS CREDITÓRIOS DE RESPONSABILIDADE LIMITADA</x:v>
      </x:c>
      <x:c r="C1375" s="188" t="n">
        <x:v>68350024.37</x:v>
      </x:c>
      <x:c r="D1375" s="166" t="str">
        <x:v>Rio Bravo</x:v>
      </x:c>
      <x:c r="E1375" s="166" t="str">
        <x:f>IFERROR(INDEX('Classif Gestoras'!$H$6:$H$462,MATCH(D1375,'Classif Gestoras'!$A$6:$A$462,0)),"Não classificada")</x:f>
        <x:v>Independente</x:v>
      </x:c>
      <x:c r="F1375" s="166" t="str">
        <x:v>BANCO DAYCOVAL S/A</x:v>
      </x:c>
      <x:c r="G1375" s="166" t="str">
        <x:v>BANCO DAYCOVAL S.A.</x:v>
      </x:c>
      <x:c r="H1375" s="166" t="str">
        <x:v>Agro, Indústria e Comércio</x:v>
      </x:c>
      <x:c r="I1375" s="166" t="str">
        <x:v>Agronegócio</x:v>
      </x:c>
      <x:c r="J1375" s="166" t="str">
        <x:v>CI</x:v>
      </x:c>
      <x:c r="K1375" s="172" t="n">
        <x:v>8</x:v>
      </x:c>
      <x:c r="L1375" s="185" t="str">
        <x:v>Não classificado</x:v>
      </x:c>
    </x:row>
    <x:row r="1376">
      <x:c r="A1376" s="175" t="str">
        <x:v>32.101.535/0001-45</x:v>
      </x:c>
      <x:c r="B1376" s="166" t="str">
        <x:v>FUNDO DE INVESTIMENTO EM DIREITOS CREDITÓRIOS FINANCEIROS DE RESPONSABILIDADE LIMITADA DMCARD</x:v>
      </x:c>
      <x:c r="C1376" s="188" t="n">
        <x:v>68324510.32</x:v>
      </x:c>
      <x:c r="D1376" s="166" t="str">
        <x:v>Vista Real Estate</x:v>
      </x:c>
      <x:c r="E1376" s="166" t="str">
        <x:f>IFERROR(INDEX('Classif Gestoras'!$H$6:$H$462,MATCH(D1376,'Classif Gestoras'!$A$6:$A$462,0)),"Não classificada")</x:f>
        <x:v>Independente</x:v>
      </x:c>
      <x:c r="F1376" s="166" t="str">
        <x:v>Oliveira Trust DTVM</x:v>
      </x:c>
      <x:c r="G1376" s="166" t="str">
        <x:v>OLIVEIRA TRUST DTVM S.A.</x:v>
      </x:c>
      <x:c r="H1376" s="166" t="str">
        <x:v>Agro, Indústria e Comércio</x:v>
      </x:c>
      <x:c r="I1376" s="166" t="str">
        <x:v>Recebíveis Comerciais</x:v>
      </x:c>
      <x:c r="J1376" s="166" t="str">
        <x:v>CI</x:v>
      </x:c>
      <x:c r="K1376" s="172" t="n">
        <x:v>64</x:v>
      </x:c>
      <x:c r="L1376" s="185" t="str">
        <x:v>Não classificado</x:v>
      </x:c>
    </x:row>
    <x:row r="1377">
      <x:c r="A1377" s="175" t="str">
        <x:v>28.194.790/0001-02</x:v>
      </x:c>
      <x:c r="B1377" s="166" t="str">
        <x:v>ATICCA FUNDO DE INVESTIMENTO EM DIREITOS CREDITORIOS MULTISSETORIAL</x:v>
      </x:c>
      <x:c r="C1377" s="188" t="n">
        <x:v>68037398.36000001</x:v>
      </x:c>
      <x:c r="D1377" s="166" t="str">
        <x:v>OURO PRETO INVESTIMENTOS</x:v>
      </x:c>
      <x:c r="E1377" s="166" t="str">
        <x:f>IFERROR(INDEX('Classif Gestoras'!$H$6:$H$462,MATCH(D1377,'Classif Gestoras'!$A$6:$A$462,0)),"Não classificada")</x:f>
        <x:v>Independente</x:v>
      </x:c>
      <x:c r="F1377" s="166" t="str">
        <x:v>Singulare</x:v>
      </x:c>
      <x:c r="G1377" s="166" t="str">
        <x:v>QI CORRETORA DE TÍTULOS E VALORES MOBILIÁRIOS S.A.</x:v>
      </x:c>
      <x:c r="H1377" s="166" t="str">
        <x:v>Fomento Mercantil</x:v>
      </x:c>
      <x:c r="I1377" s="166" t="str">
        <x:v>Fomento Mercantil</x:v>
      </x:c>
      <x:c r="J1377" s="166" t="str">
        <x:v>CI</x:v>
      </x:c>
      <x:c r="K1377" s="172" t="n">
        <x:v>12</x:v>
      </x:c>
      <x:c r="L1377" s="185" t="str">
        <x:v>Não classificado</x:v>
      </x:c>
    </x:row>
    <x:row r="1378">
      <x:c r="A1378" s="175" t="str">
        <x:v>34.082.112/0001-50</x:v>
      </x:c>
      <x:c r="B1378" s="166" t="str">
        <x:v>NOBEL FUNDO DE INVESTIMENTO EM DIREITOS CREDITORIOS</x:v>
      </x:c>
      <x:c r="C1378" s="188" t="n">
        <x:v>68010550.99</x:v>
      </x:c>
      <x:c r="D1378" s="166" t="str">
        <x:v>OURO PRETO INVESTIMENTOS</x:v>
      </x:c>
      <x:c r="E1378" s="166" t="str">
        <x:f>IFERROR(INDEX('Classif Gestoras'!$H$6:$H$462,MATCH(D1378,'Classif Gestoras'!$A$6:$A$462,0)),"Não classificada")</x:f>
        <x:v>Independente</x:v>
      </x:c>
      <x:c r="F1378" s="166" t="str">
        <x:v>Singulare</x:v>
      </x:c>
      <x:c r="G1378" s="166" t="str">
        <x:v>QI CORRETORA DE TÍTULOS E VALORES MOBILIÁRIOS S.A.</x:v>
      </x:c>
      <x:c r="H1378" s="166" t="str">
        <x:v>Fomento Mercantil</x:v>
      </x:c>
      <x:c r="I1378" s="166" t="str">
        <x:v>Fomento Mercantil</x:v>
      </x:c>
      <x:c r="J1378" s="166" t="str">
        <x:v>CI</x:v>
      </x:c>
      <x:c r="K1378" s="172" t="n">
        <x:v>19</x:v>
      </x:c>
      <x:c r="L1378" s="185" t="str">
        <x:v>Não classificado</x:v>
      </x:c>
    </x:row>
    <x:row r="1379">
      <x:c r="A1379" s="175" t="str">
        <x:v>57.140.603/0001-06</x:v>
      </x:c>
      <x:c r="B1379" s="166" t="str">
        <x:v>CORUJA I FUNDO DE INVESTIMENTO EM DIREITOS CREDITÓRIOS - RESPONSABILIDADE LIMITADA</x:v>
      </x:c>
      <x:c r="C1379" s="188" t="n">
        <x:v>67924976.54</x:v>
      </x:c>
      <x:c r="D1379" s="166" t="str">
        <x:v>Kanastra</x:v>
      </x:c>
      <x:c r="E1379" s="166" t="str">
        <x:f>IFERROR(INDEX('Classif Gestoras'!$H$6:$H$462,MATCH(D1379,'Classif Gestoras'!$A$6:$A$462,0)),"Não classificada")</x:f>
        <x:v>Independente</x:v>
      </x:c>
      <x:c r="F1379" s="166" t="str">
        <x:v>Limine Trust Distribuidora de Titulos e Valores Mobiliá</x:v>
      </x:c>
      <x:c r="G1379" s="166" t="str">
        <x:v>LIMINE TRUST DISTRIBUIDORA DE TITULOS E VALORES MOBILIARIOS LTDA.</x:v>
      </x:c>
      <x:c r="H1379" s="166" t="str">
        <x:v>Outros</x:v>
      </x:c>
      <x:c r="I1379" s="166" t="str">
        <x:v>Multicarteira Outros</x:v>
      </x:c>
      <x:c r="J1379" s="166" t="str">
        <x:v>CI</x:v>
      </x:c>
      <x:c r="K1379" s="172" t="n">
        <x:v>28</x:v>
      </x:c>
      <x:c r="L1379" s="185" t="str">
        <x:v>Não classificado</x:v>
      </x:c>
    </x:row>
    <x:row r="1380">
      <x:c r="A1380" s="175" t="str">
        <x:v>58.568.550/0001-91</x:v>
      </x:c>
      <x:c r="B1380" s="166" t="str">
        <x:v>MENESTYS EDIFICA FUNDO DE INVESTIMENTOS EM DIREITOS CREDITÓRIOS</x:v>
      </x:c>
      <x:c r="C1380" s="188" t="n">
        <x:v>67768739.03999999</x:v>
      </x:c>
      <x:c r="D1380" s="166" t="str">
        <x:v>Menestys</x:v>
      </x:c>
      <x:c r="E1380" s="166" t="str">
        <x:f>IFERROR(INDEX('Classif Gestoras'!$H$6:$H$462,MATCH(D1380,'Classif Gestoras'!$A$6:$A$462,0)),"Não classificada")</x:f>
        <x:v>Independente</x:v>
      </x:c>
      <x:c r="F1380" s="166" t="str">
        <x:v>Qore DTVM</x:v>
      </x:c>
      <x:c r="G1380" s="166" t="str">
        <x:v>QORE DISTRIBUIDORA DE TÍTULOS E VALORES MOBILIÁRIOS LTDA.</x:v>
      </x:c>
      <x:c r="H1380" s="166" t="str">
        <x:v>Outros</x:v>
      </x:c>
      <x:c r="I1380" s="166" t="str">
        <x:v>Multicarteira Outros</x:v>
      </x:c>
      <x:c r="J1380" s="166" t="str">
        <x:v>CI</x:v>
      </x:c>
      <x:c r="K1380" s="172" t="n">
        <x:v>13</x:v>
      </x:c>
      <x:c r="L1380" s="185" t="str">
        <x:v>Não classificado</x:v>
      </x:c>
    </x:row>
    <x:row r="1381">
      <x:c r="A1381" s="175" t="str">
        <x:v>62.637.894/0001-82</x:v>
      </x:c>
      <x:c r="B1381" s="166" t="str">
        <x:v>VERDES CAMPOS FUNDO DE INVESTIMENTO EM DIREITOS CREDITÓRIOS DE RESPONSABILIDADE LIMITADA</x:v>
      </x:c>
      <x:c r="C1381" s="188" t="n">
        <x:v>67754538.58</x:v>
      </x:c>
      <x:c r="D1381" s="166" t="str">
        <x:v>Catálise Investimentos</x:v>
      </x:c>
      <x:c r="E1381" s="166" t="str">
        <x:f>IFERROR(INDEX('Classif Gestoras'!$H$6:$H$462,MATCH(D1381,'Classif Gestoras'!$A$6:$A$462,0)),"Não classificada")</x:f>
        <x:v>Independente</x:v>
      </x:c>
      <x:c r="F1381" s="166" t="str">
        <x:v>CATÁLISE DTVM</x:v>
      </x:c>
      <x:c r="G1381" s="166" t="str">
        <x:v>BANCO DAYCOVAL S.A.</x:v>
      </x:c>
      <x:c r="H1381" s="166" t="str">
        <x:v>Outros</x:v>
      </x:c>
      <x:c r="I1381" s="166" t="str">
        <x:v>Multicarteira Outros</x:v>
      </x:c>
      <x:c r="J1381" s="166" t="str">
        <x:v>CI</x:v>
      </x:c>
      <x:c r="K1381" s="172" t="n">
        <x:v>1</x:v>
      </x:c>
      <x:c r="L1381" s="185" t="str">
        <x:v>Não classificado</x:v>
      </x:c>
    </x:row>
    <x:row r="1382">
      <x:c r="A1382" s="175" t="str">
        <x:v>55.327.697/0001-00</x:v>
      </x:c>
      <x:c r="B1382" s="166" t="str">
        <x:v>POLÍGONO MASTER QUALI FUNDO DE INVESTIMENTO EM DIREITOS CREDITÓRIOS</x:v>
      </x:c>
      <x:c r="C1382" s="188" t="n">
        <x:v>67752225.42</x:v>
      </x:c>
      <x:c r="D1382" s="166" t="str">
        <x:v>POLÍGONO CAPITAL LTDA.</x:v>
      </x:c>
      <x:c r="E1382" s="166" t="str">
        <x:f>IFERROR(INDEX('Classif Gestoras'!$H$6:$H$462,MATCH(D1382,'Classif Gestoras'!$A$6:$A$462,0)),"Não classificada")</x:f>
        <x:v>Independente</x:v>
      </x:c>
      <x:c r="F1382" s="166" t="str">
        <x:v>BTG Pactual Servicos Financeiros S/A DTVM</x:v>
      </x:c>
      <x:c r="G1382" s="166" t="str">
        <x:v>BANCO BTG PACTUAL S/A</x:v>
      </x:c>
      <x:c r="H1382" s="166" t="str">
        <x:v>Outros</x:v>
      </x:c>
      <x:c r="I1382" s="166" t="str">
        <x:v>Multicarteira Outros</x:v>
      </x:c>
      <x:c r="J1382" s="166" t="str">
        <x:v>CI</x:v>
      </x:c>
      <x:c r="K1382" s="172" t="n">
        <x:v>1</x:v>
      </x:c>
      <x:c r="L1382" s="185" t="str">
        <x:v>Não classificado</x:v>
      </x:c>
    </x:row>
    <x:row r="1383">
      <x:c r="A1383" s="175" t="str">
        <x:v>58.188.881/0001-04</x:v>
      </x:c>
      <x:c r="B1383" s="166" t="str">
        <x:v>FUNDO DE INVESTIMENTO EM DIREITOS CREDITÓRIOS MT CARTÃO CONSIGNADO I</x:v>
      </x:c>
      <x:c r="C1383" s="188" t="n">
        <x:v>67519074.60000001</x:v>
      </x:c>
      <x:c r="D1383" s="166" t="str">
        <x:v>BTG Pactual Asset</x:v>
      </x:c>
      <x:c r="E1383" s="166" t="str">
        <x:f>IFERROR(INDEX('Classif Gestoras'!$H$6:$H$462,MATCH(D1383,'Classif Gestoras'!$A$6:$A$462,0)),"Não classificada")</x:f>
        <x:v>Ligada a banco</x:v>
      </x:c>
      <x:c r="F1383" s="166" t="str">
        <x:v>BTG Pactual Servicos Financeiros S/A DTVM</x:v>
      </x:c>
      <x:c r="G1383" s="166" t="str">
        <x:v>BANCO BTG PACTUAL S/A</x:v>
      </x:c>
      <x:c r="H1383" s="166" t="str">
        <x:v>Financeiro</x:v>
      </x:c>
      <x:c r="I1383" s="166" t="str">
        <x:v>Crédito Consignado</x:v>
      </x:c>
      <x:c r="J1383" s="166" t="str">
        <x:v>CI</x:v>
      </x:c>
      <x:c r="K1383" s="172" t="n">
        <x:v>3</x:v>
      </x:c>
      <x:c r="L1383" s="185" t="str">
        <x:v>Não classificado</x:v>
      </x:c>
    </x:row>
    <x:row r="1384">
      <x:c r="A1384" s="175" t="str">
        <x:v>48.359.929/0001-38</x:v>
      </x:c>
      <x:c r="B1384" s="166" t="str">
        <x:v>KYOMI FUNDO DE INVESTIMENTO EM DIREITOS CREDITÓRIOS RESPONSABILIDADE LIMITADA</x:v>
      </x:c>
      <x:c r="C1384" s="188" t="n">
        <x:v>67213961.9239</x:v>
      </x:c>
      <x:c r="D1384" s="166" t="str">
        <x:v>Mainú Investimentos</x:v>
      </x:c>
      <x:c r="E1384" s="166" t="str">
        <x:f>IFERROR(INDEX('Classif Gestoras'!$H$6:$H$462,MATCH(D1384,'Classif Gestoras'!$A$6:$A$462,0)),"Não classificada")</x:f>
        <x:v>Independente</x:v>
      </x:c>
      <x:c r="F1384" s="166" t="str">
        <x:v>BTG Pactual Servicos Financeiros S/A DTVM</x:v>
      </x:c>
      <x:c r="G1384" s="166" t="str">
        <x:v>BANCO BTG PACTUAL S/A</x:v>
      </x:c>
      <x:c r="H1384" s="166" t="str">
        <x:v>Outros</x:v>
      </x:c>
      <x:c r="I1384" s="166" t="str">
        <x:v>Multicarteira Outros</x:v>
      </x:c>
      <x:c r="J1384" s="166" t="str">
        <x:v>CI</x:v>
      </x:c>
      <x:c r="K1384" s="172" t="n">
        <x:v>2</x:v>
      </x:c>
      <x:c r="L1384" s="185" t="str">
        <x:v>Não classificado</x:v>
      </x:c>
    </x:row>
    <x:row r="1385">
      <x:c r="A1385" s="175" t="str">
        <x:v>58.442.027/0001-14</x:v>
      </x:c>
      <x:c r="B1385" s="166" t="str">
        <x:v>BANQI II FUNDO DE INVESTIMENTO EM DIREITOS CREDITÓRIOS</x:v>
      </x:c>
      <x:c r="C1385" s="188" t="n">
        <x:v>67171401.06</x:v>
      </x:c>
      <x:c r="D1385" s="166" t="str">
        <x:v>GENIAL GESTÃO LTDA.</x:v>
      </x:c>
      <x:c r="E1385" s="166" t="str">
        <x:f>IFERROR(INDEX('Classif Gestoras'!$H$6:$H$462,MATCH(D1385,'Classif Gestoras'!$A$6:$A$462,0)),"Não classificada")</x:f>
        <x:v>Ligada a banco</x:v>
      </x:c>
      <x:c r="F1385" s="166" t="str">
        <x:v>Genial Investimentos Corretora de Valores Mobiliários S.A.</x:v>
      </x:c>
      <x:c r="G1385" s="166" t="str">
        <x:v>BANCO GENIAL S.A.</x:v>
      </x:c>
      <x:c r="H1385" s="166" t="str">
        <x:v>Financeiro</x:v>
      </x:c>
      <x:c r="I1385" s="166" t="str">
        <x:v>Crédito Pessoal</x:v>
      </x:c>
      <x:c r="J1385" s="166" t="str">
        <x:v>CI</x:v>
      </x:c>
      <x:c r="K1385" s="172" t="n">
        <x:v>3</x:v>
      </x:c>
      <x:c r="L1385" s="185" t="str">
        <x:v>Não classificado</x:v>
      </x:c>
    </x:row>
    <x:row r="1386">
      <x:c r="A1386" s="175" t="str">
        <x:v>50.640.401/0001-84</x:v>
      </x:c>
      <x:c r="B1386" s="166" t="str">
        <x:v>BELA VISTA FUNDO DE INVESTIMENTO EM DIREITOS CREDITÓRIOS - RESPONSABILIDADE LIMITADA</x:v>
      </x:c>
      <x:c r="C1386" s="188" t="n">
        <x:v>67018032.92</x:v>
      </x:c>
      <x:c r="D1386" s="166" t="str">
        <x:v>Apuama Capital</x:v>
      </x:c>
      <x:c r="E1386" s="166" t="str">
        <x:f>IFERROR(INDEX('Classif Gestoras'!$H$6:$H$462,MATCH(D1386,'Classif Gestoras'!$A$6:$A$462,0)),"Não classificada")</x:f>
        <x:v>Independente</x:v>
      </x:c>
      <x:c r="F1386" s="166" t="str">
        <x:v>Singulare</x:v>
      </x:c>
      <x:c r="G1386" s="166" t="str">
        <x:v>QI CORRETORA DE TÍTULOS E VALORES MOBILIÁRIOS S.A.</x:v>
      </x:c>
      <x:c r="H1386" s="166" t="str">
        <x:v>Fomento Mercantil</x:v>
      </x:c>
      <x:c r="I1386" s="166" t="str">
        <x:v>Fomento Mercantil</x:v>
      </x:c>
      <x:c r="J1386" s="166" t="str">
        <x:v>CI</x:v>
      </x:c>
      <x:c r="K1386" s="172" t="n">
        <x:v>7</x:v>
      </x:c>
      <x:c r="L1386" s="185" t="str">
        <x:v>Não classificado</x:v>
      </x:c>
    </x:row>
    <x:row r="1387">
      <x:c r="A1387" s="175" t="str">
        <x:v>54.775.576/0001-50</x:v>
      </x:c>
      <x:c r="B1387" s="166" t="str">
        <x:v>CHRONOS FUNDO DE INVESTIMENTO EM DIREITOS CREDITÓRIOS</x:v>
      </x:c>
      <x:c r="C1387" s="188" t="n">
        <x:v>66905479.96</x:v>
      </x:c>
      <x:c r="D1387" s="166" t="str">
        <x:v>Redwood Asset Management</x:v>
      </x:c>
      <x:c r="E1387" s="166" t="str">
        <x:f>IFERROR(INDEX('Classif Gestoras'!$H$6:$H$462,MATCH(D1387,'Classif Gestoras'!$A$6:$A$462,0)),"Não classificada")</x:f>
        <x:v>Independente</x:v>
      </x:c>
      <x:c r="F1387" s="166" t="str">
        <x:v>PLANNER CV</x:v>
      </x:c>
      <x:c r="G1387" s="166" t="str">
        <x:v>PLANNER CORRETORA DE VALORES S.A.</x:v>
      </x:c>
      <x:c r="H1387" s="166" t="str">
        <x:v>Outros</x:v>
      </x:c>
      <x:c r="I1387" s="166" t="str">
        <x:v>Multicarteira Outros</x:v>
      </x:c>
      <x:c r="J1387" s="166" t="str">
        <x:v>CI</x:v>
      </x:c>
      <x:c r="K1387" s="172" t="n">
        <x:v>1</x:v>
      </x:c>
      <x:c r="L1387" s="185" t="str">
        <x:v>Não classificado</x:v>
      </x:c>
    </x:row>
    <x:row r="1388">
      <x:c r="A1388" s="175" t="str">
        <x:v>59.060.877/0001-10</x:v>
      </x:c>
      <x:c r="B1388" s="166" t="str">
        <x:v>FIDC HOPE CONSIGNADO I DE RESP LIMITADA</x:v>
      </x:c>
      <x:c r="C1388" s="188" t="n">
        <x:v>66783556.17000001</x:v>
      </x:c>
      <x:c r="D1388" s="166" t="str">
        <x:v>HOPE ASSET</x:v>
      </x:c>
      <x:c r="E1388" s="166" t="str">
        <x:f>IFERROR(INDEX('Classif Gestoras'!$H$6:$H$462,MATCH(D1388,'Classif Gestoras'!$A$6:$A$462,0)),"Não classificada")</x:f>
        <x:v>Independente</x:v>
      </x:c>
      <x:c r="F1388" s="166" t="str">
        <x:v>BANCO DAYCOVAL S/A</x:v>
      </x:c>
      <x:c r="G1388" s="166" t="str">
        <x:v>BANCO DAYCOVAL S.A.</x:v>
      </x:c>
      <x:c r="H1388" s="166" t="str">
        <x:v>Financeiro</x:v>
      </x:c>
      <x:c r="I1388" s="166" t="str">
        <x:v>Crédito Consignado</x:v>
      </x:c>
      <x:c r="J1388" s="166" t="str">
        <x:v>CI</x:v>
      </x:c>
      <x:c r="K1388" s="172" t="n">
        <x:v>16</x:v>
      </x:c>
      <x:c r="L1388" s="185" t="str">
        <x:v>Não classificado</x:v>
      </x:c>
    </x:row>
    <x:row r="1389">
      <x:c r="A1389" s="175" t="str">
        <x:v>22.753.713/0001-69</x:v>
      </x:c>
      <x:c r="B1389" s="166" t="str">
        <x:v>VENTURA FUNDO DE INVESTIMENTO EM DIREITOS CREDITÓRIOS</x:v>
      </x:c>
      <x:c r="C1389" s="188" t="n">
        <x:v>66777516.28999999</x:v>
      </x:c>
      <x:c r="D1389" s="166" t="str">
        <x:v>TERCON ASSET MANAGEMENT</x:v>
      </x:c>
      <x:c r="E1389" s="166" t="str">
        <x:f>IFERROR(INDEX('Classif Gestoras'!$H$6:$H$462,MATCH(D1389,'Classif Gestoras'!$A$6:$A$462,0)),"Não classificada")</x:f>
        <x:v>Independente</x:v>
      </x:c>
      <x:c r="F1389" s="166" t="str">
        <x:v>Singulare</x:v>
      </x:c>
      <x:c r="G1389" s="166" t="str">
        <x:v>QI CORRETORA DE TÍTULOS E VALORES MOBILIÁRIOS S.A.</x:v>
      </x:c>
      <x:c r="H1389" s="166" t="str">
        <x:v>Fomento Mercantil</x:v>
      </x:c>
      <x:c r="I1389" s="166" t="str">
        <x:v>Fomento Mercantil</x:v>
      </x:c>
      <x:c r="J1389" s="166" t="str">
        <x:v>CI</x:v>
      </x:c>
      <x:c r="K1389" s="172" t="n">
        <x:v>56</x:v>
      </x:c>
      <x:c r="L1389" s="185" t="str">
        <x:v>Não classificado</x:v>
      </x:c>
    </x:row>
    <x:row r="1390">
      <x:c r="A1390" s="175" t="str">
        <x:v>59.356.952/0001-95</x:v>
      </x:c>
      <x:c r="B1390" s="166" t="str">
        <x:v>BEFLY FUNDO DE INVESTIMENTO EM DIREITOS CREDITÓRIOS RESPONSABILIDADE LIMITADA</x:v>
      </x:c>
      <x:c r="C1390" s="188" t="n">
        <x:v>66735278.54</x:v>
      </x:c>
      <x:c r="D1390" s="166" t="str">
        <x:v>REAG GESTÃO DE CRÉDITO</x:v>
      </x:c>
      <x:c r="E1390" s="166" t="str">
        <x:f>IFERROR(INDEX('Classif Gestoras'!$H$6:$H$462,MATCH(D1390,'Classif Gestoras'!$A$6:$A$462,0)),"Não classificada")</x:f>
        <x:v>Independente</x:v>
      </x:c>
      <x:c r="F1390" s="166" t="str">
        <x:v>Banvox DTVM</x:v>
      </x:c>
      <x:c r="G1390" s="166" t="str">
        <x:v>BANVOX DISTRIBUIDORA DE TITULOS E VALORES MOBILIARIOS LTDA</x:v>
      </x:c>
      <x:c r="H1390" s="166" t="str">
        <x:v>Outros</x:v>
      </x:c>
      <x:c r="I1390" s="166" t="str">
        <x:v>Multicarteira Outros</x:v>
      </x:c>
      <x:c r="J1390" s="166" t="str">
        <x:v>CI</x:v>
      </x:c>
      <x:c r="K1390" s="172" t="n">
        <x:v>13</x:v>
      </x:c>
      <x:c r="L1390" s="185" t="str">
        <x:v>Não classificado</x:v>
      </x:c>
    </x:row>
    <x:row r="1391">
      <x:c r="A1391" s="175" t="str">
        <x:v>53.328.690/0001-79</x:v>
      </x:c>
      <x:c r="B1391" s="166" t="str">
        <x:v>LATACHE 1962 FUNDO DE INVESTIMENTO EM DIREITOS CREDITÓRIOS</x:v>
      </x:c>
      <x:c r="C1391" s="188" t="n">
        <x:v>66703970</x:v>
      </x:c>
      <x:c r="D1391" s="166" t="str">
        <x:v>Latache Capital</x:v>
      </x:c>
      <x:c r="E1391" s="166" t="str">
        <x:f>IFERROR(INDEX('Classif Gestoras'!$H$6:$H$462,MATCH(D1391,'Classif Gestoras'!$A$6:$A$462,0)),"Não classificada")</x:f>
        <x:v>Independente</x:v>
      </x:c>
      <x:c r="F1391" s="166" t="str">
        <x:v>BRL TRUST DTVM</x:v>
      </x:c>
      <x:c r="G1391" s="166" t="str">
        <x:v>BRL TRUST DISTRIBUIDORA DE TITULOS E VALORES MOBILIARIOS S.A.</x:v>
      </x:c>
      <x:c r="H1391" s="166" t="str">
        <x:v>Outros</x:v>
      </x:c>
      <x:c r="I1391" s="166" t="str">
        <x:v>Multicarteira Outros</x:v>
      </x:c>
      <x:c r="J1391" s="166" t="str">
        <x:v>CI</x:v>
      </x:c>
      <x:c r="K1391" s="172" t="n">
        <x:v>2</x:v>
      </x:c>
      <x:c r="L1391" s="185" t="str">
        <x:v>Não classificado</x:v>
      </x:c>
    </x:row>
    <x:row r="1392">
      <x:c r="A1392" s="175" t="str">
        <x:v>33.512.447/0001-07</x:v>
      </x:c>
      <x:c r="B1392" s="166" t="str">
        <x:v>DESKONT FUNDO DE INVESTIMENTO EM DIREITOS CREDITÓRIOS</x:v>
      </x:c>
      <x:c r="C1392" s="188" t="n">
        <x:v>66677129.72</x:v>
      </x:c>
      <x:c r="D1392" s="166" t="str">
        <x:v>SUESTE CAPITAL GESTÃO DE RECURSOS LTDA.</x:v>
      </x:c>
      <x:c r="E1392" s="166" t="str">
        <x:f>IFERROR(INDEX('Classif Gestoras'!$H$6:$H$462,MATCH(D1392,'Classif Gestoras'!$A$6:$A$462,0)),"Não classificada")</x:f>
        <x:v>Independente</x:v>
      </x:c>
      <x:c r="F1392" s="166" t="str">
        <x:v>Banvox DTVM</x:v>
      </x:c>
      <x:c r="G1392" s="166" t="str">
        <x:v>BANVOX DISTRIBUIDORA DE TITULOS E VALORES MOBILIARIOS LTDA</x:v>
      </x:c>
      <x:c r="H1392" s="166" t="str">
        <x:v>Outros</x:v>
      </x:c>
      <x:c r="I1392" s="166" t="str">
        <x:v>Multicarteira Outros</x:v>
      </x:c>
      <x:c r="J1392" s="166" t="str">
        <x:v>CI</x:v>
      </x:c>
      <x:c r="K1392" s="172" t="n">
        <x:v>1</x:v>
      </x:c>
      <x:c r="L1392" s="185" t="str">
        <x:v>Não classificado</x:v>
      </x:c>
    </x:row>
    <x:row r="1393">
      <x:c r="A1393" s="175" t="str">
        <x:v>13.606.266/0001-24</x:v>
      </x:c>
      <x:c r="B1393" s="166" t="str">
        <x:v>TERRAS RARAS FIDC MULTISETORIAL DE RESPONSABILIDADE ILIMITADA</x:v>
      </x:c>
      <x:c r="C1393" s="188" t="n">
        <x:v>66588906.78</x:v>
      </x:c>
      <x:c r="D1393" s="166" t="str">
        <x:v>Multinvest Capital</x:v>
      </x:c>
      <x:c r="E1393" s="166" t="str">
        <x:f>IFERROR(INDEX('Classif Gestoras'!$H$6:$H$462,MATCH(D1393,'Classif Gestoras'!$A$6:$A$462,0)),"Não classificada")</x:f>
        <x:v>Independente</x:v>
      </x:c>
      <x:c r="F1393" s="166" t="str">
        <x:v>BANCO DAYCOVAL S/A</x:v>
      </x:c>
      <x:c r="G1393" s="166" t="str">
        <x:v>BANCO DAYCOVAL S.A.</x:v>
      </x:c>
      <x:c r="H1393" s="166" t="str">
        <x:v>Outros</x:v>
      </x:c>
      <x:c r="I1393" s="166" t="str">
        <x:v>Multicarteira Outros</x:v>
      </x:c>
      <x:c r="J1393" s="166" t="str">
        <x:v>CI</x:v>
      </x:c>
      <x:c r="K1393" s="172" t="n">
        <x:v>10</x:v>
      </x:c>
      <x:c r="L1393" s="185" t="str">
        <x:v>Não classificado</x:v>
      </x:c>
    </x:row>
    <x:row r="1394">
      <x:c r="A1394" s="175" t="str">
        <x:v>53.405.628/0001-33</x:v>
      </x:c>
      <x:c r="B1394" s="166" t="str">
        <x:v>XP ADDEBITARE FUNDO DE INVESTIMENTO EM DIREITOS CREDITÓRIOS</x:v>
      </x:c>
      <x:c r="C1394" s="188" t="n">
        <x:v>66548986.17999999</x:v>
      </x:c>
      <x:c r="D1394" s="166" t="str">
        <x:v>Vista Real Estate</x:v>
      </x:c>
      <x:c r="E1394" s="166" t="str">
        <x:f>IFERROR(INDEX('Classif Gestoras'!$H$6:$H$462,MATCH(D1394,'Classif Gestoras'!$A$6:$A$462,0)),"Não classificada")</x:f>
        <x:v>Independente</x:v>
      </x:c>
      <x:c r="F1394" s="166" t="str">
        <x:v>BRL TRUST DTVM</x:v>
      </x:c>
      <x:c r="G1394" s="166" t="str">
        <x:v>BRL TRUST DISTRIBUIDORA DE TITULOS E VALORES MOBILIARIOS S.A.</x:v>
      </x:c>
      <x:c r="H1394" s="166" t="str">
        <x:v>Outros</x:v>
      </x:c>
      <x:c r="I1394" s="166" t="str">
        <x:v>Poder Público</x:v>
      </x:c>
      <x:c r="J1394" s="166" t="str">
        <x:v>CI</x:v>
      </x:c>
      <x:c r="K1394" s="172" t="n">
        <x:v>15</x:v>
      </x:c>
      <x:c r="L1394" s="185" t="str">
        <x:v>Não classificado</x:v>
      </x:c>
    </x:row>
    <x:row r="1395">
      <x:c r="A1395" s="175" t="str">
        <x:v>38.455.434/0001-59</x:v>
      </x:c>
      <x:c r="B1395" s="166" t="str">
        <x:v>CAPITÂNIA CORPORATE FUNDO DE INVESTIMENTO EM DIREITOS CREDITÓRIOS RESPONSABILIDADE LIMITADA</x:v>
      </x:c>
      <x:c r="C1395" s="188" t="n">
        <x:v>66454119.8</x:v>
      </x:c>
      <x:c r="D1395" s="166" t="str">
        <x:v>CAPITANIA CAPITAL</x:v>
      </x:c>
      <x:c r="E1395" s="166" t="str">
        <x:f>IFERROR(INDEX('Classif Gestoras'!$H$6:$H$462,MATCH(D1395,'Classif Gestoras'!$A$6:$A$462,0)),"Não classificada")</x:f>
        <x:v>Independente</x:v>
      </x:c>
      <x:c r="F1395" s="166" t="str">
        <x:v>BTG Pactual Servicos Financeiros S/A DTVM</x:v>
      </x:c>
      <x:c r="G1395" s="166" t="str">
        <x:v>BANCO BTG PACTUAL S/A</x:v>
      </x:c>
      <x:c r="H1395" s="166" t="str">
        <x:v>Outros</x:v>
      </x:c>
      <x:c r="I1395" s="166" t="str">
        <x:v>Multicarteira Outros</x:v>
      </x:c>
      <x:c r="J1395" s="166" t="str">
        <x:v>CI</x:v>
      </x:c>
      <x:c r="K1395" s="172" t="n">
        <x:v>10</x:v>
      </x:c>
      <x:c r="L1395" s="185" t="str">
        <x:v>Não classificado</x:v>
      </x:c>
    </x:row>
    <x:row r="1396">
      <x:c r="A1396" s="175" t="str">
        <x:v>63.604.811/0001-11</x:v>
      </x:c>
      <x:c r="B1396" s="166" t="str">
        <x:v>SETE QUATTRO FUNDO DE INVESTIMENTO EM DIREITOS CREDITÓRIOS CRÉDITO CORPORATIVO</x:v>
      </x:c>
      <x:c r="C1396" s="188" t="n">
        <x:v>66330815.24</x:v>
      </x:c>
      <x:c r="D1396" s="166" t="str">
        <x:v>Harbour Capital</x:v>
      </x:c>
      <x:c r="E1396" s="166" t="str">
        <x:f>IFERROR(INDEX('Classif Gestoras'!$H$6:$H$462,MATCH(D1396,'Classif Gestoras'!$A$6:$A$462,0)),"Não classificada")</x:f>
        <x:v>Independente</x:v>
      </x:c>
      <x:c r="F1396" s="166" t="str">
        <x:v>AZUMI DISTRIBUIDORA DE TÍTULOS E VALORES MOBILIÁRIOS LT</x:v>
      </x:c>
      <x:c r="G1396" s="166" t="str">
        <x:v>AZUMI DISTRIBUIDORA DE TÍTULOS E VALORES MOBILIÁRIOS LTDA.</x:v>
      </x:c>
      <x:c r="H1396" s="166" t="str">
        <x:v>Fomento Mercantil</x:v>
      </x:c>
      <x:c r="I1396" s="166" t="str">
        <x:v>Fomento Mercantil</x:v>
      </x:c>
      <x:c r="J1396" s="166" t="str">
        <x:v>CI</x:v>
      </x:c>
      <x:c r="K1396" s="172" t="n">
        <x:v>4</x:v>
      </x:c>
      <x:c r="L1396" s="185" t="str">
        <x:v>Não classificado</x:v>
      </x:c>
    </x:row>
    <x:row r="1397">
      <x:c r="A1397" s="175" t="str">
        <x:v>46.473.452/0001-91</x:v>
      </x:c>
      <x:c r="B1397" s="166" t="str">
        <x:v>MILENIO ATIVY FUNDO DE INVESTIMENTO EM DIREITOS CREDITÓRIOS</x:v>
      </x:c>
      <x:c r="C1397" s="188" t="n">
        <x:v>66072093.36999999</x:v>
      </x:c>
      <x:c r="D1397" s="166" t="str">
        <x:v>Milênio Capital</x:v>
      </x:c>
      <x:c r="E1397" s="166" t="str">
        <x:f>IFERROR(INDEX('Classif Gestoras'!$H$6:$H$462,MATCH(D1397,'Classif Gestoras'!$A$6:$A$462,0)),"Não classificada")</x:f>
        <x:v>Independente</x:v>
      </x:c>
      <x:c r="F1397" s="166" t="str">
        <x:v>BTG Pactual Servicos Financeiros S/A DTVM</x:v>
      </x:c>
      <x:c r="G1397" s="166" t="str">
        <x:v>BANCO BTG PACTUAL S/A</x:v>
      </x:c>
      <x:c r="H1397" s="166" t="str">
        <x:v>Agro, Indústria e Comércio</x:v>
      </x:c>
      <x:c r="I1397" s="166" t="str">
        <x:v>Infraestrutura</x:v>
      </x:c>
      <x:c r="J1397" s="166" t="str">
        <x:v>CI</x:v>
      </x:c>
      <x:c r="K1397" s="172" t="n">
        <x:v>10</x:v>
      </x:c>
      <x:c r="L1397" s="185" t="str">
        <x:v>Não classificado</x:v>
      </x:c>
    </x:row>
    <x:row r="1398">
      <x:c r="A1398" s="175" t="str">
        <x:v>58.211.468/0001-05</x:v>
      </x:c>
      <x:c r="B1398" s="166" t="str">
        <x:v>CREDIPAY FUNDO DE INVESTIMENTO EM DIREITOS CREDITÓRIOS COMERCIAIS DE RESPONSABILIDADE LIMITADA</x:v>
      </x:c>
      <x:c r="C1398" s="188" t="n">
        <x:v>66064053.059999995</x:v>
      </x:c>
      <x:c r="D1398" s="166" t="str">
        <x:v>BTG Pactual Asset</x:v>
      </x:c>
      <x:c r="E1398" s="166" t="str">
        <x:f>IFERROR(INDEX('Classif Gestoras'!$H$6:$H$462,MATCH(D1398,'Classif Gestoras'!$A$6:$A$462,0)),"Não classificada")</x:f>
        <x:v>Ligada a banco</x:v>
      </x:c>
      <x:c r="F1398" s="166" t="str">
        <x:v>BTG Pactual Servicos Financeiros S/A DTVM</x:v>
      </x:c>
      <x:c r="G1398" s="166" t="str">
        <x:v>BANCO BTG PACTUAL S/A</x:v>
      </x:c>
      <x:c r="H1398" s="166" t="str">
        <x:v>Fomento Mercantil</x:v>
      </x:c>
      <x:c r="I1398" s="166" t="str">
        <x:v>Fomento Mercantil</x:v>
      </x:c>
      <x:c r="J1398" s="166" t="str">
        <x:v>CI</x:v>
      </x:c>
      <x:c r="K1398" s="172" t="n">
        <x:v>16</x:v>
      </x:c>
      <x:c r="L1398" s="185" t="str">
        <x:v>Não classificado</x:v>
      </x:c>
    </x:row>
    <x:row r="1399">
      <x:c r="A1399" s="175" t="str">
        <x:v>54.634.742/0001-06</x:v>
      </x:c>
      <x:c r="B1399" s="166" t="str">
        <x:v>LARCA CONSIGNADO II FUNDO DE INVESTIMENTO EM DIREITOS CREDITÓRIOS - RESPONSABILIDADE LIMITADA</x:v>
      </x:c>
      <x:c r="C1399" s="188" t="n">
        <x:v>65913778.55000002</x:v>
      </x:c>
      <x:c r="D1399" s="166" t="str">
        <x:v>KP GESTÃO DE RECURSOS LTDA.</x:v>
      </x:c>
      <x:c r="E1399" s="166" t="str">
        <x:f>IFERROR(INDEX('Classif Gestoras'!$H$6:$H$462,MATCH(D1399,'Classif Gestoras'!$A$6:$A$462,0)),"Não classificada")</x:f>
        <x:v>Independente</x:v>
      </x:c>
      <x:c r="F1399" s="166" t="str">
        <x:v>BANCO DAYCOVAL S/A</x:v>
      </x:c>
      <x:c r="G1399" s="166" t="str">
        <x:v>BANCO DAYCOVAL S.A.</x:v>
      </x:c>
      <x:c r="H1399" s="166" t="str">
        <x:v>Financeiro</x:v>
      </x:c>
      <x:c r="I1399" s="166" t="str">
        <x:v>Multicarteira Financeiro</x:v>
      </x:c>
      <x:c r="J1399" s="166" t="str">
        <x:v>CI</x:v>
      </x:c>
      <x:c r="K1399" s="172" t="n">
        <x:v>36</x:v>
      </x:c>
      <x:c r="L1399" s="185" t="str">
        <x:v>Não classificado</x:v>
      </x:c>
    </x:row>
    <x:row r="1400">
      <x:c r="A1400" s="175" t="str">
        <x:v>65.343.721/0001-40</x:v>
      </x:c>
      <x:c r="B1400" s="166" t="str">
        <x:v>ST 2004 FUNDO DE INVESTIMENTO EM DIREITOS CREDITÓRIOS RESPONSABILIDADE LIMITADA</x:v>
      </x:c>
      <x:c r="C1400" s="188" t="n">
        <x:v>65770616.5</x:v>
      </x:c>
      <x:c r="D1400" s="166" t="str">
        <x:v>Strata Capital</x:v>
      </x:c>
      <x:c r="E1400" s="166" t="str">
        <x:f>IFERROR(INDEX('Classif Gestoras'!$H$6:$H$462,MATCH(D1400,'Classif Gestoras'!$A$6:$A$462,0)),"Não classificada")</x:f>
        <x:v>Independente</x:v>
      </x:c>
      <x:c r="F1400" s="166" t="str">
        <x:v>BANCO DAYCOVAL S/A</x:v>
      </x:c>
      <x:c r="G1400" s="166" t="str">
        <x:v>BANCO DAYCOVAL S.A.</x:v>
      </x:c>
      <x:c r="H1400" s="166" t="str">
        <x:v>Outros</x:v>
      </x:c>
      <x:c r="I1400" s="166" t="str">
        <x:v>Multicarteira Outros</x:v>
      </x:c>
      <x:c r="J1400" s="166" t="str">
        <x:v>CI</x:v>
      </x:c>
      <x:c r="K1400" s="172" t="n">
        <x:v>14</x:v>
      </x:c>
      <x:c r="L1400" s="185" t="str">
        <x:v>Não classificado</x:v>
      </x:c>
    </x:row>
    <x:row r="1401">
      <x:c r="A1401" s="175" t="str">
        <x:v>58.495.913/0001-06</x:v>
      </x:c>
      <x:c r="B1401" s="166" t="str">
        <x:v>ZAB LEGACY FUNDO DE INVESTIMENTO EM DIREITOS CREDITÓRIOS DE RESPONSABILIDADE LIMITADA</x:v>
      </x:c>
      <x:c r="C1401" s="188" t="n">
        <x:v>65639675.04</x:v>
      </x:c>
      <x:c r="D1401" s="166" t="str">
        <x:v>Catálise Investimentos</x:v>
      </x:c>
      <x:c r="E1401" s="166" t="str">
        <x:f>IFERROR(INDEX('Classif Gestoras'!$H$6:$H$462,MATCH(D1401,'Classif Gestoras'!$A$6:$A$462,0)),"Não classificada")</x:f>
        <x:v>Independente</x:v>
      </x:c>
      <x:c r="F1401" s="166" t="str">
        <x:v>CATÁLISE DTVM</x:v>
      </x:c>
      <x:c r="G1401" s="166" t="str">
        <x:v>BANCO DAYCOVAL S.A.</x:v>
      </x:c>
      <x:c r="H1401" s="166" t="str">
        <x:v>Agro, Indústria e Comércio</x:v>
      </x:c>
      <x:c r="I1401" s="166" t="str">
        <x:v>Recebíveis Comerciais</x:v>
      </x:c>
      <x:c r="J1401" s="166" t="str">
        <x:v>CI</x:v>
      </x:c>
      <x:c r="K1401" s="172" t="n">
        <x:v>1</x:v>
      </x:c>
      <x:c r="L1401" s="185" t="str">
        <x:v>Não classificado</x:v>
      </x:c>
    </x:row>
    <x:row r="1402">
      <x:c r="A1402" s="175" t="str">
        <x:v>19.424.674/0001-41</x:v>
      </x:c>
      <x:c r="B1402" s="166" t="str">
        <x:v>MB FUNDO DE INVESTIMENTO EM DIREITOS CREDITORIOS MULTISEGMENTOS</x:v>
      </x:c>
      <x:c r="C1402" s="188" t="n">
        <x:v>65458834.23</x:v>
      </x:c>
      <x:c r="D1402" s="166" t="str">
        <x:v>Petra Capital</x:v>
      </x:c>
      <x:c r="E1402" s="166" t="str">
        <x:f>IFERROR(INDEX('Classif Gestoras'!$H$6:$H$462,MATCH(D1402,'Classif Gestoras'!$A$6:$A$462,0)),"Não classificada")</x:f>
        <x:v>Independente</x:v>
      </x:c>
      <x:c r="F1402" s="166" t="str">
        <x:v>Finaxis Corretora de Títulos e Valores Mobiliários S.A.</x:v>
      </x:c>
      <x:c r="G1402" s="166" t="str">
        <x:v>BANCO FINAXIS S.A.</x:v>
      </x:c>
      <x:c r="H1402" s="166" t="str">
        <x:v>Outros</x:v>
      </x:c>
      <x:c r="I1402" s="166" t="str">
        <x:v>Multicarteira Outros</x:v>
      </x:c>
      <x:c r="J1402" s="166" t="str">
        <x:v>CI</x:v>
      </x:c>
      <x:c r="K1402" s="172" t="n">
        <x:v>1</x:v>
      </x:c>
      <x:c r="L1402" s="185" t="str">
        <x:v>Não classificado</x:v>
      </x:c>
    </x:row>
    <x:row r="1403">
      <x:c r="A1403" s="175" t="str">
        <x:v>07.084.253/0001-30</x:v>
      </x:c>
      <x:c r="B1403" s="166" t="str">
        <x:v>MULTI INFRA FUNDO DE INVESTIMENTO EM DIREITOS CREDITÓRIOS NÃO-PADRONIZADOS</x:v>
      </x:c>
      <x:c r="C1403" s="188" t="n">
        <x:v>65440462.58</x:v>
      </x:c>
      <x:c r="D1403" s="166" t="str">
        <x:v>LAV ASSET MANAGEMENT GESTÃO DE RECURSOS LTDA.</x:v>
      </x:c>
      <x:c r="E1403" s="166" t="str">
        <x:f>IFERROR(INDEX('Classif Gestoras'!$H$6:$H$462,MATCH(D1403,'Classif Gestoras'!$A$6:$A$462,0)),"Não classificada")</x:f>
        <x:v>Independente</x:v>
      </x:c>
      <x:c r="F1403" s="166" t="str">
        <x:v>Singulare</x:v>
      </x:c>
      <x:c r="G1403" s="166" t="str">
        <x:v>QI CORRETORA DE TÍTULOS E VALORES MOBILIÁRIOS S.A.</x:v>
      </x:c>
      <x:c r="H1403" s="166" t="str">
        <x:v>Fomento Mercantil</x:v>
      </x:c>
      <x:c r="I1403" s="166" t="str">
        <x:v>Fomento Mercantil</x:v>
      </x:c>
      <x:c r="J1403" s="166" t="str">
        <x:v>CI</x:v>
      </x:c>
      <x:c r="K1403" s="172" t="n">
        <x:v>5</x:v>
      </x:c>
      <x:c r="L1403" s="185" t="str">
        <x:v>Não classificado</x:v>
      </x:c>
    </x:row>
    <x:row r="1404">
      <x:c r="A1404" s="175" t="str">
        <x:v>54.111.764/0001-83</x:v>
      </x:c>
      <x:c r="B1404" s="166" t="str">
        <x:v>FUNDO DE INVESTIMENTO EM DIREITOS CREDITÓRIOS MULTICRED CONSIGNADO</x:v>
      </x:c>
      <x:c r="C1404" s="188" t="n">
        <x:v>65105763.53</x:v>
      </x:c>
      <x:c r="D1404" s="166" t="str">
        <x:v>Integral Investimentos</x:v>
      </x:c>
      <x:c r="E1404" s="166" t="str">
        <x:f>IFERROR(INDEX('Classif Gestoras'!$H$6:$H$462,MATCH(D1404,'Classif Gestoras'!$A$6:$A$462,0)),"Não classificada")</x:f>
        <x:v>Independente</x:v>
      </x:c>
      <x:c r="F1404" s="166" t="str">
        <x:v>Singulare</x:v>
      </x:c>
      <x:c r="G1404" s="166" t="str">
        <x:v>QI CORRETORA DE TÍTULOS E VALORES MOBILIÁRIOS S.A.</x:v>
      </x:c>
      <x:c r="H1404" s="166" t="str">
        <x:v>Financeiro</x:v>
      </x:c>
      <x:c r="I1404" s="166" t="str">
        <x:v>Crédito Consignado</x:v>
      </x:c>
      <x:c r="J1404" s="166" t="str">
        <x:v>CI</x:v>
      </x:c>
      <x:c r="K1404" s="172" t="n">
        <x:v>1</x:v>
      </x:c>
      <x:c r="L1404" s="185" t="str">
        <x:v>Não classificado</x:v>
      </x:c>
    </x:row>
    <x:row r="1405">
      <x:c r="A1405" s="175" t="str">
        <x:v>64.415.486/0001-01</x:v>
      </x:c>
      <x:c r="B1405" s="166" t="str">
        <x:v>MURALE FUNDO DE INVESTIMENTO EM DIREITOS CREDITÓRIOS</x:v>
      </x:c>
      <x:c r="C1405" s="188" t="n">
        <x:v>65016040.56000001</x:v>
      </x:c>
      <x:c r="D1405" s="166" t="str">
        <x:v>Multiplica Capital</x:v>
      </x:c>
      <x:c r="E1405" s="166" t="str">
        <x:f>IFERROR(INDEX('Classif Gestoras'!$H$6:$H$462,MATCH(D1405,'Classif Gestoras'!$A$6:$A$462,0)),"Não classificada")</x:f>
        <x:v>Independente</x:v>
      </x:c>
      <x:c r="F1405" s="166" t="str">
        <x:v>Singulare</x:v>
      </x:c>
      <x:c r="G1405" s="166" t="str">
        <x:v>QI CORRETORA DE TÍTULOS E VALORES MOBILIÁRIOS S.A.</x:v>
      </x:c>
      <x:c r="H1405" s="166" t="str">
        <x:v>Fomento Mercantil</x:v>
      </x:c>
      <x:c r="I1405" s="166" t="str">
        <x:v>Fomento Mercantil</x:v>
      </x:c>
      <x:c r="J1405" s="166" t="str">
        <x:v>CI</x:v>
      </x:c>
      <x:c r="K1405" s="172" t="n">
        <x:v>9</x:v>
      </x:c>
      <x:c r="L1405" s="185" t="str">
        <x:v>Não classificado</x:v>
      </x:c>
    </x:row>
    <x:row r="1406">
      <x:c r="A1406" s="175" t="str">
        <x:v>39.680.495/0001-82</x:v>
      </x:c>
      <x:c r="B1406" s="166" t="str">
        <x:v>SOLAR VIALOC FUNDO DE INVESTIMENTO EM DIREITOS CREDITÓRIOS</x:v>
      </x:c>
      <x:c r="C1406" s="188" t="n">
        <x:v>64984742.99</x:v>
      </x:c>
      <x:c r="D1406" s="166" t="str">
        <x:v>Iggy Investimentos</x:v>
      </x:c>
      <x:c r="E1406" s="166" t="str">
        <x:f>IFERROR(INDEX('Classif Gestoras'!$H$6:$H$462,MATCH(D1406,'Classif Gestoras'!$A$6:$A$462,0)),"Não classificada")</x:f>
        <x:v>Independente</x:v>
      </x:c>
      <x:c r="F1406" s="166" t="str">
        <x:v>Singulare</x:v>
      </x:c>
      <x:c r="G1406" s="166" t="str">
        <x:v>QI CORRETORA DE TÍTULOS E VALORES MOBILIÁRIOS S.A.</x:v>
      </x:c>
      <x:c r="H1406" s="166" t="str">
        <x:v>Fomento Mercantil</x:v>
      </x:c>
      <x:c r="I1406" s="166" t="str">
        <x:v>Fomento Mercantil</x:v>
      </x:c>
      <x:c r="J1406" s="166" t="str">
        <x:v>CI</x:v>
      </x:c>
      <x:c r="K1406" s="172" t="n">
        <x:v>13</x:v>
      </x:c>
      <x:c r="L1406" s="185" t="str">
        <x:v>Não classificado</x:v>
      </x:c>
    </x:row>
    <x:row r="1407">
      <x:c r="A1407" s="175" t="str">
        <x:v>63.812.908/0001-10</x:v>
      </x:c>
      <x:c r="B1407" s="166" t="str">
        <x:v>SETTE FUNDO DE INVESTIMENTO EM DIREITOS CREDITÓRIOS DE RESPONSABILIDADE LIMITADA</x:v>
      </x:c>
      <x:c r="C1407" s="188" t="n">
        <x:v>64883674.1</x:v>
      </x:c>
      <x:c r="D1407" s="166" t="str">
        <x:v>SVN Gestora de Recursos Ltda.</x:v>
      </x:c>
      <x:c r="E1407" s="166" t="str">
        <x:f>IFERROR(INDEX('Classif Gestoras'!$H$6:$H$462,MATCH(D1407,'Classif Gestoras'!$A$6:$A$462,0)),"Não classificada")</x:f>
        <x:v>Independente</x:v>
      </x:c>
      <x:c r="F1407" s="166" t="str">
        <x:v>Baru DTVM</x:v>
      </x:c>
      <x:c r="G1407" s="166" t="str">
        <x:v>BANCO DAYCOVAL S.A.</x:v>
      </x:c>
      <x:c r="H1407" s="166" t="str">
        <x:v>Outros</x:v>
      </x:c>
      <x:c r="I1407" s="166" t="str">
        <x:v>Multicarteira Outros</x:v>
      </x:c>
      <x:c r="J1407" s="166" t="str">
        <x:v>CI</x:v>
      </x:c>
      <x:c r="K1407" s="172" t="n">
        <x:v>12</x:v>
      </x:c>
      <x:c r="L1407" s="185" t="str">
        <x:v>Não classificado</x:v>
      </x:c>
    </x:row>
    <x:row r="1408">
      <x:c r="A1408" s="175" t="str">
        <x:v>50.637.204/0001-06</x:v>
      </x:c>
      <x:c r="B1408" s="166" t="str">
        <x:v>ALMOUROL FUNDO DE INVESTIMENTO EM DIREITOS CREDITÓRIOS</x:v>
      </x:c>
      <x:c r="C1408" s="188" t="n">
        <x:v>64723721.99</x:v>
      </x:c>
      <x:c r="D1408" s="166" t="str">
        <x:v>MAM ASSET MANAGEMENT</x:v>
      </x:c>
      <x:c r="E1408" s="166" t="str">
        <x:f>IFERROR(INDEX('Classif Gestoras'!$H$6:$H$462,MATCH(D1408,'Classif Gestoras'!$A$6:$A$462,0)),"Não classificada")</x:f>
        <x:v>Independente</x:v>
      </x:c>
      <x:c r="F1408" s="166" t="str">
        <x:v>TRUSTEE DTVM</x:v>
      </x:c>
      <x:c r="G1408" s="166" t="str">
        <x:v>TRUSTEE DISTRIBUIDORA DE TITULOS E VALORES MOBILIARIOS LTDA.</x:v>
      </x:c>
      <x:c r="H1408" s="166" t="str">
        <x:v>Outros</x:v>
      </x:c>
      <x:c r="I1408" s="166" t="str">
        <x:v>Multicarteira Outros</x:v>
      </x:c>
      <x:c r="J1408" s="166" t="str">
        <x:v>CI</x:v>
      </x:c>
      <x:c r="K1408" s="172" t="n">
        <x:v>1</x:v>
      </x:c>
      <x:c r="L1408" s="185" t="str">
        <x:v>Não classificado</x:v>
      </x:c>
    </x:row>
    <x:row r="1409">
      <x:c r="A1409" s="175" t="str">
        <x:v>11.702.303/0001-72</x:v>
      </x:c>
      <x:c r="B1409" s="166" t="str">
        <x:v>CAPITAL ONE FUNDO DE INVESTIMENTO EM COTAS DE FUNDOS DE INVESTIMENTO DIREITOS CREDITÓRIOS</x:v>
      </x:c>
      <x:c r="C1409" s="188" t="n">
        <x:v>64700007.88999999</x:v>
      </x:c>
      <x:c r="D1409" s="166" t="str">
        <x:v>M8 Partners</x:v>
      </x:c>
      <x:c r="E1409" s="166" t="str">
        <x:f>IFERROR(INDEX('Classif Gestoras'!$H$6:$H$462,MATCH(D1409,'Classif Gestoras'!$A$6:$A$462,0)),"Não classificada")</x:f>
        <x:v>Independente</x:v>
      </x:c>
      <x:c r="F1409" s="166" t="str">
        <x:v>BTG Pactual Servicos Financeiros S/A DTVM</x:v>
      </x:c>
      <x:c r="G1409" s="166" t="str">
        <x:v>BANCO BTG PACTUAL S/A</x:v>
      </x:c>
      <x:c r="H1409" s="166" t="str">
        <x:v>Outros</x:v>
      </x:c>
      <x:c r="I1409" s="166" t="str">
        <x:v>Multicarteira Outros</x:v>
      </x:c>
      <x:c r="J1409" s="166" t="str">
        <x:v>CI</x:v>
      </x:c>
      <x:c r="K1409" s="172" t="n">
        <x:v>1</x:v>
      </x:c>
      <x:c r="L1409" s="185" t="str">
        <x:v>Não classificado</x:v>
      </x:c>
    </x:row>
    <x:row r="1410">
      <x:c r="A1410" s="175" t="str">
        <x:v>37.980.187/0001-47</x:v>
      </x:c>
      <x:c r="B1410" s="166" t="str">
        <x:v>QUINTO ANDAR FUNDO DE INVESTIMENTO EM DIREITOS CREDITÓRIOS DE RESPONSABILIDADE LIMITADA</x:v>
      </x:c>
      <x:c r="C1410" s="188" t="n">
        <x:v>64620826.32</x:v>
      </x:c>
      <x:c r="D1410" s="166" t="str">
        <x:v>Oliveira Trust Servicer</x:v>
      </x:c>
      <x:c r="E1410" s="166" t="str">
        <x:f>IFERROR(INDEX('Classif Gestoras'!$H$6:$H$462,MATCH(D1410,'Classif Gestoras'!$A$6:$A$462,0)),"Não classificada")</x:f>
        <x:v>Independente</x:v>
      </x:c>
      <x:c r="F1410" s="166" t="str">
        <x:v>Oliveira Trust DTVM</x:v>
      </x:c>
      <x:c r="G1410" s="166" t="str">
        <x:v>OLIVEIRA TRUST DTVM S.A.</x:v>
      </x:c>
      <x:c r="H1410" s="166" t="str">
        <x:v>Financeiro</x:v>
      </x:c>
      <x:c r="I1410" s="166" t="str">
        <x:v>Multicarteira Financeiro</x:v>
      </x:c>
      <x:c r="J1410" s="166" t="str">
        <x:v>CI</x:v>
      </x:c>
      <x:c r="K1410" s="172" t="n">
        <x:v>1</x:v>
      </x:c>
      <x:c r="L1410" s="185" t="str">
        <x:v>Não classificado</x:v>
      </x:c>
    </x:row>
    <x:row r="1411">
      <x:c r="A1411" s="175" t="str">
        <x:v>47.410.134/0001-44</x:v>
      </x:c>
      <x:c r="B1411" s="166" t="str">
        <x:v>FUNDO DE INVESTIMENTO EM DIREITOS CREDITÓRIOS ALTERNATIVE ASSETS IV - E</x:v>
      </x:c>
      <x:c r="C1411" s="188" t="n">
        <x:v>64579923.989999995</x:v>
      </x:c>
      <x:c r="D1411" s="166" t="str">
        <x:v>PACTUAL CAPITAL PART</x:v>
      </x:c>
      <x:c r="E1411" s="166" t="str">
        <x:f>IFERROR(INDEX('Classif Gestoras'!$H$6:$H$462,MATCH(D1411,'Classif Gestoras'!$A$6:$A$462,0)),"Não classificada")</x:f>
        <x:v>Independente</x:v>
      </x:c>
      <x:c r="F1411" s="166" t="str">
        <x:v>BTG Pactual Servicos Financeiros S/A DTVM</x:v>
      </x:c>
      <x:c r="G1411" s="166" t="str">
        <x:v>BANCO BTG PACTUAL S/A</x:v>
      </x:c>
      <x:c r="H1411" s="166" t="str">
        <x:v>Outros</x:v>
      </x:c>
      <x:c r="I1411" s="166" t="str">
        <x:v>Multicarteira Outros</x:v>
      </x:c>
      <x:c r="J1411" s="166" t="str">
        <x:v>CI</x:v>
      </x:c>
      <x:c r="K1411" s="172" t="n">
        <x:v>1</x:v>
      </x:c>
      <x:c r="L1411" s="185" t="str">
        <x:v>Não classificado</x:v>
      </x:c>
    </x:row>
    <x:row r="1412">
      <x:c r="A1412" s="175" t="str">
        <x:v>57.810.758/0001-02</x:v>
      </x:c>
      <x:c r="B1412" s="166" t="str">
        <x:v>YELLOW CAPITAL FUNDO DE INVESTIMENTO EM DIREITOS CREDITÓRIOS DE RESPONSABILIDADE LIMITADA</x:v>
      </x:c>
      <x:c r="C1412" s="188" t="n">
        <x:v>64555746.1</x:v>
      </x:c>
      <x:c r="D1412" s="166" t="str">
        <x:v>Catálise Investimentos</x:v>
      </x:c>
      <x:c r="E1412" s="166" t="str">
        <x:f>IFERROR(INDEX('Classif Gestoras'!$H$6:$H$462,MATCH(D1412,'Classif Gestoras'!$A$6:$A$462,0)),"Não classificada")</x:f>
        <x:v>Independente</x:v>
      </x:c>
      <x:c r="F1412" s="166" t="str">
        <x:v>FIDD DISTRIBUIDORA DE TITULOS E VALORES MOBILIARIOS LTD</x:v>
      </x:c>
      <x:c r="G1412" s="166" t="str">
        <x:v>FIDD DISTRIBUIDORA DE TITULOS E VALORES MOBILIARIOS LTDA.</x:v>
      </x:c>
      <x:c r="H1412" s="166" t="str">
        <x:v>Agro, Indústria e Comércio</x:v>
      </x:c>
      <x:c r="I1412" s="166" t="str">
        <x:v>Recebíveis Comerciais</x:v>
      </x:c>
      <x:c r="J1412" s="166" t="str">
        <x:v>CI</x:v>
      </x:c>
      <x:c r="K1412" s="172" t="n">
        <x:v>5</x:v>
      </x:c>
      <x:c r="L1412" s="185" t="str">
        <x:v>Não classificado</x:v>
      </x:c>
    </x:row>
    <x:row r="1413">
      <x:c r="A1413" s="175" t="str">
        <x:v>61.975.703/0001-20</x:v>
      </x:c>
      <x:c r="B1413" s="166" t="str">
        <x:v>MOUSTACHE RAPPI FUNDO DE INVESTIMENTO EM DIREITOS CREDITÓRIOS - RESPONSABILIDADE LIMITADA</x:v>
      </x:c>
      <x:c r="C1413" s="188" t="n">
        <x:v>64521318.39</x:v>
      </x:c>
      <x:c r="D1413" s="166" t="str">
        <x:v>OURO PRETO INVESTIMENTOS</x:v>
      </x:c>
      <x:c r="E1413" s="166" t="str">
        <x:f>IFERROR(INDEX('Classif Gestoras'!$H$6:$H$462,MATCH(D1413,'Classif Gestoras'!$A$6:$A$462,0)),"Não classificada")</x:f>
        <x:v>Independente</x:v>
      </x:c>
      <x:c r="F1413" s="166" t="str">
        <x:v>Limine Trust Distribuidora de Titulos e Valores Mobiliá</x:v>
      </x:c>
      <x:c r="G1413" s="166" t="str">
        <x:v>LIMINE TRUST DISTRIBUIDORA DE TITULOS E VALORES MOBILIARIOS LTDA.</x:v>
      </x:c>
      <x:c r="H1413" s="166" t="str">
        <x:v>Outros</x:v>
      </x:c>
      <x:c r="I1413" s="166" t="str">
        <x:v>Multicarteira Outros</x:v>
      </x:c>
      <x:c r="J1413" s="166" t="str">
        <x:v>CI</x:v>
      </x:c>
      <x:c r="K1413" s="172" t="n">
        <x:v>22</x:v>
      </x:c>
      <x:c r="L1413" s="185" t="str">
        <x:v>Não classificado</x:v>
      </x:c>
    </x:row>
    <x:row r="1414">
      <x:c r="A1414" s="175" t="str">
        <x:v>61.753.889/0001-72</x:v>
      </x:c>
      <x:c r="B1414" s="166" t="str">
        <x:v>NACIONAL 2 FUNDO DE INVESTIMENTO EM DIREITOS CREDITORIOS DE RESPONSABILIDADE LIMITADA</x:v>
      </x:c>
      <x:c r="C1414" s="188" t="n">
        <x:v>64359190.989999995</x:v>
      </x:c>
      <x:c r="D1414" s="166" t="str">
        <x:v>Oliveira Trust Servicer</x:v>
      </x:c>
      <x:c r="E1414" s="166" t="str">
        <x:f>IFERROR(INDEX('Classif Gestoras'!$H$6:$H$462,MATCH(D1414,'Classif Gestoras'!$A$6:$A$462,0)),"Não classificada")</x:f>
        <x:v>Independente</x:v>
      </x:c>
      <x:c r="F1414" s="166" t="str">
        <x:v>Oliveira Trust DTVM</x:v>
      </x:c>
      <x:c r="G1414" s="166" t="str">
        <x:v>OLIVEIRA TRUST DTVM S.A.</x:v>
      </x:c>
      <x:c r="H1414" s="166" t="str">
        <x:v>Outros</x:v>
      </x:c>
      <x:c r="I1414" s="166" t="str">
        <x:v>Poder Público</x:v>
      </x:c>
      <x:c r="J1414" s="166" t="str">
        <x:v>CI</x:v>
      </x:c>
      <x:c r="K1414" s="172" t="n">
        <x:v>5</x:v>
      </x:c>
      <x:c r="L1414" s="185" t="str">
        <x:v>Não classificado</x:v>
      </x:c>
    </x:row>
    <x:row r="1415">
      <x:c r="A1415" s="175" t="str">
        <x:v>29.078.652/0001-20</x:v>
      </x:c>
      <x:c r="B1415" s="166" t="str">
        <x:v>XP CRÉDITO ESTRUTURADO DOMINUS FUNDO DE INVESTIMENTO EM DIREITOS CREDITÓRIOS RESPONSABILIDADE LIMITA</x:v>
      </x:c>
      <x:c r="C1415" s="188" t="n">
        <x:v>64318708.06</x:v>
      </x:c>
      <x:c r="D1415" s="166" t="str">
        <x:v>Vista Real Estate</x:v>
      </x:c>
      <x:c r="E1415" s="166" t="str">
        <x:f>IFERROR(INDEX('Classif Gestoras'!$H$6:$H$462,MATCH(D1415,'Classif Gestoras'!$A$6:$A$462,0)),"Não classificada")</x:f>
        <x:v>Independente</x:v>
      </x:c>
      <x:c r="F1415" s="166" t="str">
        <x:v>BNY MELLON SERVICOS</x:v>
      </x:c>
      <x:c r="G1415" s="166" t="str">
        <x:v>BNY MELLON BANCO S.A.</x:v>
      </x:c>
      <x:c r="H1415" s="166" t="str">
        <x:v>Outros</x:v>
      </x:c>
      <x:c r="I1415" s="166" t="str">
        <x:v>Multicarteira Outros</x:v>
      </x:c>
      <x:c r="J1415" s="166" t="str">
        <x:v>CI</x:v>
      </x:c>
      <x:c r="K1415" s="172" t="n">
        <x:v>325</x:v>
      </x:c>
      <x:c r="L1415" s="185" t="str">
        <x:v>Não classificado</x:v>
      </x:c>
    </x:row>
    <x:row r="1416">
      <x:c r="A1416" s="175" t="str">
        <x:v>61.652.960/0001-20</x:v>
      </x:c>
      <x:c r="B1416" s="166" t="str">
        <x:v>HCS VELA I FUNDO DE INVESTIMENTO EM DIREITOS CREDITÓRIOS RESPONSABILIDADE LIMITADA</x:v>
      </x:c>
      <x:c r="C1416" s="188" t="n">
        <x:v>64318510.16</x:v>
      </x:c>
      <x:c r="D1416" s="166" t="str">
        <x:v>HCS</x:v>
      </x:c>
      <x:c r="E1416" s="166" t="str">
        <x:f>IFERROR(INDEX('Classif Gestoras'!$H$6:$H$462,MATCH(D1416,'Classif Gestoras'!$A$6:$A$462,0)),"Não classificada")</x:f>
        <x:v>Independente</x:v>
      </x:c>
      <x:c r="F1416" s="166" t="str">
        <x:v>VÓRTX DTVM</x:v>
      </x:c>
      <x:c r="G1416" s="166" t="str">
        <x:v>VORTX DISTRIBUIDORA DE TITULOS E VALORES MOBILIARIOS LTDA.</x:v>
      </x:c>
      <x:c r="H1416" s="166" t="str">
        <x:v>Outros</x:v>
      </x:c>
      <x:c r="I1416" s="166" t="str">
        <x:v>Multicarteira Outros</x:v>
      </x:c>
      <x:c r="J1416" s="166" t="str">
        <x:v>CI</x:v>
      </x:c>
      <x:c r="K1416" s="172" t="n">
        <x:v>1</x:v>
      </x:c>
      <x:c r="L1416" s="185" t="str">
        <x:v>Não classificado</x:v>
      </x:c>
    </x:row>
    <x:row r="1417">
      <x:c r="A1417" s="175" t="str">
        <x:v>56.822.910/0001-04</x:v>
      </x:c>
      <x:c r="B1417" s="166" t="str">
        <x:v>FUNDO DE INVESTIMENTO EM DIREITOS CREDITÓRIOS CONCRÉDITO II RESPONSABILIDADE LIMITADA</x:v>
      </x:c>
      <x:c r="C1417" s="188" t="n">
        <x:v>64262759.650000006</x:v>
      </x:c>
      <x:c r="D1417" s="166" t="str">
        <x:v>Cultinvest Asset</x:v>
      </x:c>
      <x:c r="E1417" s="166" t="str">
        <x:f>IFERROR(INDEX('Classif Gestoras'!$H$6:$H$462,MATCH(D1417,'Classif Gestoras'!$A$6:$A$462,0)),"Não classificada")</x:f>
        <x:v>Independente</x:v>
      </x:c>
      <x:c r="F1417" s="166" t="str">
        <x:v>BANCO DAYCOVAL S/A</x:v>
      </x:c>
      <x:c r="G1417" s="166" t="str">
        <x:v>BANCO DAYCOVAL S.A.</x:v>
      </x:c>
      <x:c r="H1417" s="166" t="str">
        <x:v>Financeiro</x:v>
      </x:c>
      <x:c r="I1417" s="166" t="str">
        <x:v>Crédito Pessoal</x:v>
      </x:c>
      <x:c r="J1417" s="166" t="str">
        <x:v>CI</x:v>
      </x:c>
      <x:c r="K1417" s="172" t="n">
        <x:v>38</x:v>
      </x:c>
      <x:c r="L1417" s="185" t="str">
        <x:v>Não classificado</x:v>
      </x:c>
    </x:row>
    <x:row r="1418">
      <x:c r="A1418" s="175" t="str">
        <x:v>61.289.317/0001-84</x:v>
      </x:c>
      <x:c r="B1418" s="166" t="str">
        <x:v>CNPJ 61289317000184</x:v>
      </x:c>
      <x:c r="C1418" s="188" t="n">
        <x:v>64239528.77</x:v>
      </x:c>
      <x:c r="D1418" s="166" t="str">
        <x:v>REAG SPECIAL SITUATIONS</x:v>
      </x:c>
      <x:c r="E1418" s="166" t="str">
        <x:f>IFERROR(INDEX('Classif Gestoras'!$H$6:$H$462,MATCH(D1418,'Classif Gestoras'!$A$6:$A$462,0)),"Não classificada")</x:f>
        <x:v>Independente</x:v>
      </x:c>
      <x:c r="F1418" s="166" t="str">
        <x:v>PLANNER CV</x:v>
      </x:c>
      <x:c r="G1418" s="166" t="str">
        <x:v>Não identificado</x:v>
      </x:c>
      <x:c r="H1418" s="166" t="str">
        <x:v>Outros</x:v>
      </x:c>
      <x:c r="I1418" s="166" t="str">
        <x:v>Multicarteira Outros</x:v>
      </x:c>
      <x:c r="J1418" s="166" t="str">
        <x:v>CI</x:v>
      </x:c>
      <x:c r="K1418" s="172"/>
      <x:c r="L1418" s="185" t="str">
        <x:v>Não classificado</x:v>
      </x:c>
    </x:row>
    <x:row r="1419">
      <x:c r="A1419" s="175" t="str">
        <x:v>35.688.072/0001-58</x:v>
      </x:c>
      <x:c r="B1419" s="166" t="str">
        <x:v>VINCI ANTECIPE PLUS FUNDO DE INVESTIMENTO EM DIREITOS CREDITÓRIOS - RESPONSABILIDADE LIMITADA</x:v>
      </x:c>
      <x:c r="C1419" s="188" t="n">
        <x:v>64125770.73</x:v>
      </x:c>
      <x:c r="D1419" s="166" t="str">
        <x:v>Vinci Gestora de Recursos LTDA</x:v>
      </x:c>
      <x:c r="E1419" s="166" t="str">
        <x:f>IFERROR(INDEX('Classif Gestoras'!$H$6:$H$462,MATCH(D1419,'Classif Gestoras'!$A$6:$A$462,0)),"Não classificada")</x:f>
        <x:v>Independente</x:v>
      </x:c>
      <x:c r="F1419" s="166" t="str">
        <x:v>BRL TRUST DTVM</x:v>
      </x:c>
      <x:c r="G1419" s="166" t="str">
        <x:v>BRL TRUST DISTRIBUIDORA DE TITULOS E VALORES MOBILIARIOS S.A.</x:v>
      </x:c>
      <x:c r="H1419" s="166" t="str">
        <x:v>Outros</x:v>
      </x:c>
      <x:c r="I1419" s="166" t="str">
        <x:v>Multicarteira Outros</x:v>
      </x:c>
      <x:c r="J1419" s="166" t="str">
        <x:v>CI</x:v>
      </x:c>
      <x:c r="K1419" s="172" t="n">
        <x:v>1</x:v>
      </x:c>
      <x:c r="L1419" s="185" t="str">
        <x:v>Não classificado</x:v>
      </x:c>
    </x:row>
    <x:row r="1420">
      <x:c r="A1420" s="175" t="str">
        <x:v>42.067.134/0001-70</x:v>
      </x:c>
      <x:c r="B1420" s="166" t="str">
        <x:v>BANQI EP FUNDO DE INVESTIMENTO EM DIREITOS CREDITÓRIOS RESPONSABILIDADE LIMITADA</x:v>
      </x:c>
      <x:c r="C1420" s="188" t="n">
        <x:v>64100630.440000005</x:v>
      </x:c>
      <x:c r="D1420" s="166" t="str">
        <x:v>GENIAL GESTÃO LTDA.</x:v>
      </x:c>
      <x:c r="E1420" s="166" t="str">
        <x:f>IFERROR(INDEX('Classif Gestoras'!$H$6:$H$462,MATCH(D1420,'Classif Gestoras'!$A$6:$A$462,0)),"Não classificada")</x:f>
        <x:v>Ligada a banco</x:v>
      </x:c>
      <x:c r="F1420" s="166" t="str">
        <x:v>Banco Genial S.A.</x:v>
      </x:c>
      <x:c r="G1420" s="166" t="str">
        <x:v>BANCO GENIAL S.A.</x:v>
      </x:c>
      <x:c r="H1420" s="166" t="str">
        <x:v>Financeiro</x:v>
      </x:c>
      <x:c r="I1420" s="166" t="str">
        <x:v>Crédito Pessoal</x:v>
      </x:c>
      <x:c r="J1420" s="166" t="str">
        <x:v>CI</x:v>
      </x:c>
      <x:c r="K1420" s="172" t="n">
        <x:v>17</x:v>
      </x:c>
      <x:c r="L1420" s="185" t="str">
        <x:v>Não classificado</x:v>
      </x:c>
    </x:row>
    <x:row r="1421">
      <x:c r="A1421" s="175" t="str">
        <x:v>41.197.105/0001-60</x:v>
      </x:c>
      <x:c r="B1421" s="166" t="str">
        <x:v>CNPJ 41197105000160</x:v>
      </x:c>
      <x:c r="C1421" s="188" t="n">
        <x:v>64097846.62</x:v>
      </x:c>
      <x:c r="D1421" s="166" t="str">
        <x:v>MAV CAPITAL GESTORA DE RECURSOS SS LTDA</x:v>
      </x:c>
      <x:c r="E1421" s="166" t="str">
        <x:f>IFERROR(INDEX('Classif Gestoras'!$H$6:$H$462,MATCH(D1421,'Classif Gestoras'!$A$6:$A$462,0)),"Não classificada")</x:f>
        <x:v>Independente</x:v>
      </x:c>
      <x:c r="F1421" s="166" t="str">
        <x:v>Banco Genial S.A.</x:v>
      </x:c>
      <x:c r="G1421" s="166" t="str">
        <x:v>Não identificado</x:v>
      </x:c>
      <x:c r="H1421" s="166" t="str">
        <x:v>Agro, Indústria e Comércio</x:v>
      </x:c>
      <x:c r="I1421" s="166" t="str">
        <x:v>Agronegócio</x:v>
      </x:c>
      <x:c r="J1421" s="166" t="str">
        <x:v>CI</x:v>
      </x:c>
      <x:c r="K1421" s="172"/>
      <x:c r="L1421" s="185" t="str">
        <x:v>Não classificado</x:v>
      </x:c>
    </x:row>
    <x:row r="1422">
      <x:c r="A1422" s="175" t="str">
        <x:v>55.658.832/0001-91</x:v>
      </x:c>
      <x:c r="B1422" s="166" t="str">
        <x:v>MOOREA FUNDO DE INVESTIMENTO EM DIREITOS CREDITÓRIOS</x:v>
      </x:c>
      <x:c r="C1422" s="188" t="n">
        <x:v>64075700.83</x:v>
      </x:c>
      <x:c r="D1422" s="166" t="str">
        <x:v>Multiplica Capital</x:v>
      </x:c>
      <x:c r="E1422" s="166" t="str">
        <x:f>IFERROR(INDEX('Classif Gestoras'!$H$6:$H$462,MATCH(D1422,'Classif Gestoras'!$A$6:$A$462,0)),"Não classificada")</x:f>
        <x:v>Independente</x:v>
      </x:c>
      <x:c r="F1422" s="166" t="str">
        <x:v>Singulare</x:v>
      </x:c>
      <x:c r="G1422" s="166" t="str">
        <x:v>QI CORRETORA DE TÍTULOS E VALORES MOBILIÁRIOS S.A.</x:v>
      </x:c>
      <x:c r="H1422" s="166" t="str">
        <x:v>Fomento Mercantil</x:v>
      </x:c>
      <x:c r="I1422" s="166" t="str">
        <x:v>Fomento Mercantil</x:v>
      </x:c>
      <x:c r="J1422" s="166" t="str">
        <x:v>CI</x:v>
      </x:c>
      <x:c r="K1422" s="172" t="n">
        <x:v>1</x:v>
      </x:c>
      <x:c r="L1422" s="185" t="str">
        <x:v>Não classificado</x:v>
      </x:c>
    </x:row>
    <x:row r="1423">
      <x:c r="A1423" s="175" t="str">
        <x:v>52.910.525/0001-68</x:v>
      </x:c>
      <x:c r="B1423" s="166" t="str">
        <x:v>KMRBANK FUNDO DE INVESTIMENTO EM DIREITOS CREDITÓRIOS RESPONSABILIDADE LIMITADA</x:v>
      </x:c>
      <x:c r="C1423" s="188" t="n">
        <x:v>64043534.32</x:v>
      </x:c>
      <x:c r="D1423" s="166" t="str">
        <x:v>Bless Capital Gestora de Recursos Ltda.</x:v>
      </x:c>
      <x:c r="E1423" s="166" t="str">
        <x:f>IFERROR(INDEX('Classif Gestoras'!$H$6:$H$462,MATCH(D1423,'Classif Gestoras'!$A$6:$A$462,0)),"Não classificada")</x:f>
        <x:v>Independente</x:v>
      </x:c>
      <x:c r="F1423" s="166" t="str">
        <x:v>ID Corretora de Títulos e Valores Mobiliários S.A.</x:v>
      </x:c>
      <x:c r="G1423" s="166" t="str">
        <x:v>ID CORRETORA DE TITULOS E VALORES MOBILIARIOS S.A.</x:v>
      </x:c>
      <x:c r="H1423" s="166" t="str">
        <x:v>Outros</x:v>
      </x:c>
      <x:c r="I1423" s="166" t="str">
        <x:v>Multicarteira Outros</x:v>
      </x:c>
      <x:c r="J1423" s="166" t="str">
        <x:v>CI</x:v>
      </x:c>
      <x:c r="K1423" s="172" t="n">
        <x:v>3</x:v>
      </x:c>
      <x:c r="L1423" s="185" t="str">
        <x:v>Não classificado</x:v>
      </x:c>
    </x:row>
    <x:row r="1424">
      <x:c r="A1424" s="175" t="str">
        <x:v>56.660.547/0001-78</x:v>
      </x:c>
      <x:c r="B1424" s="166" t="str">
        <x:v>JC7 FUNDO DE INVESTIMENTO EM DIREITOS CREDITÓRIOS</x:v>
      </x:c>
      <x:c r="C1424" s="188" t="n">
        <x:v>64008907.24999999</x:v>
      </x:c>
      <x:c r="D1424" s="166" t="str">
        <x:v>Patrimonial Gestão</x:v>
      </x:c>
      <x:c r="E1424" s="166" t="str">
        <x:f>IFERROR(INDEX('Classif Gestoras'!$H$6:$H$462,MATCH(D1424,'Classif Gestoras'!$A$6:$A$462,0)),"Não classificada")</x:f>
        <x:v>Independente</x:v>
      </x:c>
      <x:c r="F1424" s="166" t="str">
        <x:v>BTG Pactual Servicos Financeiros S/A DTVM</x:v>
      </x:c>
      <x:c r="G1424" s="166" t="str">
        <x:v>BANCO BTG PACTUAL S/A</x:v>
      </x:c>
      <x:c r="H1424" s="166" t="str">
        <x:v>Outros</x:v>
      </x:c>
      <x:c r="I1424" s="166" t="str">
        <x:v>Poder Público</x:v>
      </x:c>
      <x:c r="J1424" s="166" t="str">
        <x:v>CI</x:v>
      </x:c>
      <x:c r="K1424" s="172" t="n">
        <x:v>38</x:v>
      </x:c>
      <x:c r="L1424" s="185" t="str">
        <x:v>Não classificado</x:v>
      </x:c>
    </x:row>
    <x:row r="1425">
      <x:c r="A1425" s="175" t="str">
        <x:v>58.223.324/0001-79</x:v>
      </x:c>
      <x:c r="B1425" s="166" t="str">
        <x:v>SV FUNDO DE INVESTIMENTO EM DIREITOS CREDITÓRIOS</x:v>
      </x:c>
      <x:c r="C1425" s="188" t="n">
        <x:v>63791137.28999999</x:v>
      </x:c>
      <x:c r="D1425" s="166" t="str">
        <x:v>Veritas Capital Management</x:v>
      </x:c>
      <x:c r="E1425" s="166" t="str">
        <x:f>IFERROR(INDEX('Classif Gestoras'!$H$6:$H$462,MATCH(D1425,'Classif Gestoras'!$A$6:$A$462,0)),"Não classificada")</x:f>
        <x:v>Independente</x:v>
      </x:c>
      <x:c r="F1425" s="166" t="str">
        <x:v>Singulare</x:v>
      </x:c>
      <x:c r="G1425" s="166" t="str">
        <x:v>QI CORRETORA DE TÍTULOS E VALORES MOBILIÁRIOS S.A.</x:v>
      </x:c>
      <x:c r="H1425" s="166" t="str">
        <x:v>Fomento Mercantil</x:v>
      </x:c>
      <x:c r="I1425" s="166" t="str">
        <x:v>Fomento Mercantil</x:v>
      </x:c>
      <x:c r="J1425" s="166" t="str">
        <x:v>CI</x:v>
      </x:c>
      <x:c r="K1425" s="172" t="n">
        <x:v>2</x:v>
      </x:c>
      <x:c r="L1425" s="185" t="str">
        <x:v>Não classificado</x:v>
      </x:c>
    </x:row>
    <x:row r="1426">
      <x:c r="A1426" s="175" t="str">
        <x:v>11.439.669/0001-09</x:v>
      </x:c>
      <x:c r="B1426" s="166" t="str">
        <x:v>CNPJ 11439669000109</x:v>
      </x:c>
      <x:c r="C1426" s="188" t="n">
        <x:v>63756554.83</x:v>
      </x:c>
      <x:c r="D1426" s="166" t="str">
        <x:v>Emerald Gestão de Investimento</x:v>
      </x:c>
      <x:c r="E1426" s="166" t="str">
        <x:f>IFERROR(INDEX('Classif Gestoras'!$H$6:$H$462,MATCH(D1426,'Classif Gestoras'!$A$6:$A$462,0)),"Não classificada")</x:f>
        <x:v>Independente</x:v>
      </x:c>
      <x:c r="F1426" s="166" t="str">
        <x:v>BANCO J. SAFRA S/A</x:v>
      </x:c>
      <x:c r="G1426" s="166" t="str">
        <x:v>Não identificado</x:v>
      </x:c>
      <x:c r="H1426" s="166" t="str">
        <x:v>Outros</x:v>
      </x:c>
      <x:c r="I1426" s="166" t="str">
        <x:v>Multicarteira Outros</x:v>
      </x:c>
      <x:c r="J1426" s="166" t="str">
        <x:v>CI</x:v>
      </x:c>
      <x:c r="K1426" s="172"/>
      <x:c r="L1426" s="185" t="str">
        <x:v>Não classificado</x:v>
      </x:c>
    </x:row>
    <x:row r="1427">
      <x:c r="A1427" s="175" t="str">
        <x:v>51.554.551/0001-38</x:v>
      </x:c>
      <x:c r="B1427" s="166" t="str">
        <x:v>CLASSE ÚNICA DO FIDC CRÉDITO NITRO AGRO - RESPONSABILIDADE LIMITADA</x:v>
      </x:c>
      <x:c r="C1427" s="188" t="n">
        <x:v>63753001.86</x:v>
      </x:c>
      <x:c r="D1427" s="166" t="str">
        <x:v>OPEA GESTORA DE RECURSOS</x:v>
      </x:c>
      <x:c r="E1427" s="166" t="str">
        <x:f>IFERROR(INDEX('Classif Gestoras'!$H$6:$H$462,MATCH(D1427,'Classif Gestoras'!$A$6:$A$462,0)),"Não classificada")</x:f>
        <x:v>Independente</x:v>
      </x:c>
      <x:c r="F1427" s="166" t="str">
        <x:v>VÓRTX DTVM</x:v>
      </x:c>
      <x:c r="G1427" s="166" t="str">
        <x:v>VORTX DISTRIBUIDORA DE TITULOS E VALORES MOBILIARIOS LTDA.</x:v>
      </x:c>
      <x:c r="H1427" s="166" t="str">
        <x:v>Agro, Indústria e Comércio</x:v>
      </x:c>
      <x:c r="I1427" s="166" t="str">
        <x:v>Agronegócio</x:v>
      </x:c>
      <x:c r="J1427" s="166" t="str">
        <x:v>CI</x:v>
      </x:c>
      <x:c r="K1427" s="172" t="n">
        <x:v>19</x:v>
      </x:c>
      <x:c r="L1427" s="185" t="str">
        <x:v>Não classificado</x:v>
      </x:c>
    </x:row>
    <x:row r="1428">
      <x:c r="A1428" s="175" t="str">
        <x:v>62.968.483/0001-70</x:v>
      </x:c>
      <x:c r="B1428" s="166" t="str">
        <x:v>QUATTRO CAPITAL FUNDO DE INVESTIMENTO EM DIREITOS CREDITÓRIOS CRÉDITO CORPORATIVO</x:v>
      </x:c>
      <x:c r="C1428" s="188" t="n">
        <x:v>63740092.38999999</x:v>
      </x:c>
      <x:c r="D1428" s="166" t="str">
        <x:v>Harbour Capital</x:v>
      </x:c>
      <x:c r="E1428" s="166" t="str">
        <x:f>IFERROR(INDEX('Classif Gestoras'!$H$6:$H$462,MATCH(D1428,'Classif Gestoras'!$A$6:$A$462,0)),"Não classificada")</x:f>
        <x:v>Independente</x:v>
      </x:c>
      <x:c r="F1428" s="166" t="str">
        <x:v>AZUMI DISTRIBUIDORA DE TÍTULOS E VALORES MOBILIÁRIOS LT</x:v>
      </x:c>
      <x:c r="G1428" s="166" t="str">
        <x:v>AZUMI DISTRIBUIDORA DE TÍTULOS E VALORES MOBILIÁRIOS LTDA.</x:v>
      </x:c>
      <x:c r="H1428" s="166" t="str">
        <x:v>Fomento Mercantil</x:v>
      </x:c>
      <x:c r="I1428" s="166" t="str">
        <x:v>Fomento Mercantil</x:v>
      </x:c>
      <x:c r="J1428" s="166" t="str">
        <x:v>CI</x:v>
      </x:c>
      <x:c r="K1428" s="172" t="n">
        <x:v>4</x:v>
      </x:c>
      <x:c r="L1428" s="185" t="str">
        <x:v>Não classificado</x:v>
      </x:c>
    </x:row>
    <x:row r="1429">
      <x:c r="A1429" s="175" t="str">
        <x:v>51.475.474/0001-20</x:v>
      </x:c>
      <x:c r="B1429" s="166" t="str">
        <x:v>FIDARA FUNDO DE INVESTIMENTO EM DIREITOS CREDITÓRIOS DE CLASSE ÚNICA FECHADA</x:v>
      </x:c>
      <x:c r="C1429" s="188" t="n">
        <x:v>63732691.5</x:v>
      </x:c>
      <x:c r="D1429" s="166" t="str">
        <x:v>CARMEL GESTORA DE ATIVOS LTDA</x:v>
      </x:c>
      <x:c r="E1429" s="166" t="str">
        <x:f>IFERROR(INDEX('Classif Gestoras'!$H$6:$H$462,MATCH(D1429,'Classif Gestoras'!$A$6:$A$462,0)),"Não classificada")</x:f>
        <x:v>Independente</x:v>
      </x:c>
      <x:c r="F1429" s="166" t="str">
        <x:v>Singulare</x:v>
      </x:c>
      <x:c r="G1429" s="166" t="str">
        <x:v>BRL TRUST DISTRIBUIDORA DE TITULOS E VALORES MOBILIARIOS S.A.</x:v>
      </x:c>
      <x:c r="H1429" s="166" t="str">
        <x:v>Agro, Indústria e Comércio</x:v>
      </x:c>
      <x:c r="I1429" s="166" t="str">
        <x:v>Recebíveis Comerciais</x:v>
      </x:c>
      <x:c r="J1429" s="166" t="str">
        <x:v>CI</x:v>
      </x:c>
      <x:c r="K1429" s="172" t="n">
        <x:v>4</x:v>
      </x:c>
      <x:c r="L1429" s="185" t="str">
        <x:v>Não classificado</x:v>
      </x:c>
    </x:row>
    <x:row r="1430">
      <x:c r="A1430" s="175" t="str">
        <x:v>63.812.703/0001-34</x:v>
      </x:c>
      <x:c r="B1430" s="166" t="str">
        <x:v>RIVELLO FUNDO DE INVESTIMENTO EM DIREITOS CREDITÓRIOS RESPONSABILIDADE LIMITADA</x:v>
      </x:c>
      <x:c r="C1430" s="188" t="n">
        <x:v>63583041.65</x:v>
      </x:c>
      <x:c r="D1430" s="166" t="str">
        <x:v>Quadra Gestão de Recursos S.A.</x:v>
      </x:c>
      <x:c r="E1430" s="166" t="str">
        <x:f>IFERROR(INDEX('Classif Gestoras'!$H$6:$H$462,MATCH(D1430,'Classif Gestoras'!$A$6:$A$462,0)),"Não classificada")</x:f>
        <x:v>Independente</x:v>
      </x:c>
      <x:c r="F1430" s="166" t="str">
        <x:v>BTG Pactual Servicos Financeiros S/A DTVM</x:v>
      </x:c>
      <x:c r="G1430" s="166" t="str">
        <x:v>BANCO BTG PACTUAL S/A</x:v>
      </x:c>
      <x:c r="H1430" s="166" t="str">
        <x:v>Outros</x:v>
      </x:c>
      <x:c r="I1430" s="166" t="str">
        <x:v>Multicarteira Outros</x:v>
      </x:c>
      <x:c r="J1430" s="166" t="str">
        <x:v>CI</x:v>
      </x:c>
      <x:c r="K1430" s="172" t="n">
        <x:v>1</x:v>
      </x:c>
      <x:c r="L1430" s="185" t="str">
        <x:v>Não classificado</x:v>
      </x:c>
    </x:row>
    <x:row r="1431">
      <x:c r="A1431" s="175" t="str">
        <x:v>63.864.746/0001-63</x:v>
      </x:c>
      <x:c r="B1431" s="166" t="str">
        <x:v>PRISMA CAPITAL FUNDO DE INVESTIMENTO EM DIREITOS CREDITORIOS</x:v>
      </x:c>
      <x:c r="C1431" s="188" t="n">
        <x:v>63513860.91</x:v>
      </x:c>
      <x:c r="D1431" s="166" t="str">
        <x:v>EVEREST CAPITAL OFFICE LTDA</x:v>
      </x:c>
      <x:c r="E1431" s="166" t="str">
        <x:f>IFERROR(INDEX('Classif Gestoras'!$H$6:$H$462,MATCH(D1431,'Classif Gestoras'!$A$6:$A$462,0)),"Não classificada")</x:f>
        <x:v>Independente</x:v>
      </x:c>
      <x:c r="F1431" s="166" t="str">
        <x:v>ACTUAL DTVM</x:v>
      </x:c>
      <x:c r="G1431" s="166" t="str">
        <x:v>TRUSTEE DISTRIBUIDORA DE TITULOS E VALORES MOBILIARIOS LTDA.</x:v>
      </x:c>
      <x:c r="H1431" s="166" t="str">
        <x:v>Outros</x:v>
      </x:c>
      <x:c r="I1431" s="166" t="str">
        <x:v>Multicarteira Outros</x:v>
      </x:c>
      <x:c r="J1431" s="166" t="str">
        <x:v>CI</x:v>
      </x:c>
      <x:c r="K1431" s="172" t="n">
        <x:v>7</x:v>
      </x:c>
      <x:c r="L1431" s="185" t="str">
        <x:v>Não classificado</x:v>
      </x:c>
    </x:row>
    <x:row r="1432">
      <x:c r="A1432" s="175" t="str">
        <x:v>36.335.723/0001-99</x:v>
      </x:c>
      <x:c r="B1432" s="166" t="str">
        <x:v>FUNDO DE INVESTIMENTO EM DIREITOS CREDITÓRIOS COMERCIAIS</x:v>
      </x:c>
      <x:c r="C1432" s="188" t="n">
        <x:v>63429738.830000006</x:v>
      </x:c>
      <x:c r="D1432" s="166" t="str">
        <x:v>BRL TRUST DTVM</x:v>
      </x:c>
      <x:c r="E1432" s="166" t="str">
        <x:f>IFERROR(INDEX('Classif Gestoras'!$H$6:$H$462,MATCH(D1432,'Classif Gestoras'!$A$6:$A$462,0)),"Não classificada")</x:f>
        <x:v>Independente</x:v>
      </x:c>
      <x:c r="F1432" s="166" t="str">
        <x:v>BRL TRUST DTVM</x:v>
      </x:c>
      <x:c r="G1432" s="166" t="str">
        <x:v>BRL TRUST DISTRIBUIDORA DE TITULOS E VALORES MOBILIARIOS S.A.</x:v>
      </x:c>
      <x:c r="H1432" s="166" t="str">
        <x:v>Outros</x:v>
      </x:c>
      <x:c r="I1432" s="166" t="str">
        <x:v>Recuperação</x:v>
      </x:c>
      <x:c r="J1432" s="166" t="str">
        <x:v>CIPC</x:v>
      </x:c>
      <x:c r="K1432" s="172" t="n">
        <x:v>1</x:v>
      </x:c>
      <x:c r="L1432" s="185" t="str">
        <x:v>Não classificado</x:v>
      </x:c>
    </x:row>
    <x:row r="1433">
      <x:c r="A1433" s="175" t="str">
        <x:v>30.576.238/0001-20</x:v>
      </x:c>
      <x:c r="B1433" s="166" t="str">
        <x:v>FLORES DO BRASIL FUNDO DE INVESTIMENTO EM DIREITOS CREDITÓRIOS</x:v>
      </x:c>
      <x:c r="C1433" s="188" t="n">
        <x:v>63389310.42</x:v>
      </x:c>
      <x:c r="D1433" s="166" t="str">
        <x:v>Artesanal Investimentos</x:v>
      </x:c>
      <x:c r="E1433" s="166" t="str">
        <x:f>IFERROR(INDEX('Classif Gestoras'!$H$6:$H$462,MATCH(D1433,'Classif Gestoras'!$A$6:$A$462,0)),"Não classificada")</x:f>
        <x:v>Independente</x:v>
      </x:c>
      <x:c r="F1433" s="166" t="str">
        <x:v>Banco Genial S.A.</x:v>
      </x:c>
      <x:c r="G1433" s="166" t="str">
        <x:v>BANCO B3 S.A.</x:v>
      </x:c>
      <x:c r="H1433" s="166" t="str">
        <x:v>Outros</x:v>
      </x:c>
      <x:c r="I1433" s="166" t="str">
        <x:v>Multicarteira Outros</x:v>
      </x:c>
      <x:c r="J1433" s="166" t="str">
        <x:v>CI</x:v>
      </x:c>
      <x:c r="K1433" s="172" t="n">
        <x:v>4</x:v>
      </x:c>
      <x:c r="L1433" s="185" t="str">
        <x:v>Não classificado</x:v>
      </x:c>
    </x:row>
    <x:row r="1434">
      <x:c r="A1434" s="175" t="str">
        <x:v>64.919.562/0001-16</x:v>
      </x:c>
      <x:c r="B1434" s="166" t="str">
        <x:v>BS2 PRECATÓRIOS FUNDO DE INVESTIMENTO EM DIREITOS CREDITÓRIOS</x:v>
      </x:c>
      <x:c r="C1434" s="188" t="n">
        <x:v>63378747.15</x:v>
      </x:c>
      <x:c r="D1434" s="166" t="str">
        <x:v>BS2 ASSET MANAGEMENT – ADMINISTRADORA DE RECURSOS LTDA.</x:v>
      </x:c>
      <x:c r="E1434" s="166" t="str">
        <x:f>IFERROR(INDEX('Classif Gestoras'!$H$6:$H$462,MATCH(D1434,'Classif Gestoras'!$A$6:$A$462,0)),"Não classificada")</x:f>
        <x:v>Independente</x:v>
      </x:c>
      <x:c r="F1434" s="166" t="str">
        <x:v>FIDD DISTRIBUIDORA DE TITULOS E VALORES MOBILIARIOS LTD</x:v>
      </x:c>
      <x:c r="G1434" s="166" t="str">
        <x:v>FIDD DISTRIBUIDORA DE TITULOS E VALORES MOBILIARIOS LTDA.</x:v>
      </x:c>
      <x:c r="H1434" s="166" t="str">
        <x:v>Outros</x:v>
      </x:c>
      <x:c r="I1434" s="166" t="str">
        <x:v>Poder Público</x:v>
      </x:c>
      <x:c r="J1434" s="166" t="str">
        <x:v>CI</x:v>
      </x:c>
      <x:c r="K1434" s="172" t="n">
        <x:v>1</x:v>
      </x:c>
      <x:c r="L1434" s="185" t="str">
        <x:v>Não classificado</x:v>
      </x:c>
    </x:row>
    <x:row r="1435">
      <x:c r="A1435" s="175" t="str">
        <x:v>56.021.813/0001-12</x:v>
      </x:c>
      <x:c r="B1435" s="166" t="str">
        <x:v>RAVENS FUNDO DE INVESTIMENTO EM DIREITOS CREDITÓRIOS</x:v>
      </x:c>
      <x:c r="C1435" s="188" t="n">
        <x:v>63147436.74</x:v>
      </x:c>
      <x:c r="D1435" s="166" t="str">
        <x:v>Perenne Investimentos</x:v>
      </x:c>
      <x:c r="E1435" s="166" t="str">
        <x:f>IFERROR(INDEX('Classif Gestoras'!$H$6:$H$462,MATCH(D1435,'Classif Gestoras'!$A$6:$A$462,0)),"Não classificada")</x:f>
        <x:v>Independente</x:v>
      </x:c>
      <x:c r="F1435" s="166" t="str">
        <x:v>BTG Pactual Servicos Financeiros S/A DTVM</x:v>
      </x:c>
      <x:c r="G1435" s="166" t="str">
        <x:v>BANCO BTG PACTUAL S/A</x:v>
      </x:c>
      <x:c r="H1435" s="166" t="str">
        <x:v>Outros</x:v>
      </x:c>
      <x:c r="I1435" s="166" t="str">
        <x:v>Multicarteira Outros</x:v>
      </x:c>
      <x:c r="J1435" s="166" t="str">
        <x:v>CI</x:v>
      </x:c>
      <x:c r="K1435" s="172" t="n">
        <x:v>1</x:v>
      </x:c>
      <x:c r="L1435" s="185" t="str">
        <x:v>Não classificado</x:v>
      </x:c>
    </x:row>
    <x:row r="1436">
      <x:c r="A1436" s="175" t="str">
        <x:v>60.010.893/0001-88</x:v>
      </x:c>
      <x:c r="B1436" s="166" t="str">
        <x:v>SIMPALA ÁRTICO FEDERAL FIDC FINANCEIRO RESPONSABILIDADE LIMITADA</x:v>
      </x:c>
      <x:c r="C1436" s="188" t="n">
        <x:v>62917684.29</x:v>
      </x:c>
      <x:c r="D1436" s="166" t="str">
        <x:v>VALORA RENDA FIXA ESTRUTURADOS LTDA.</x:v>
      </x:c>
      <x:c r="E1436" s="166" t="str">
        <x:f>IFERROR(INDEX('Classif Gestoras'!$H$6:$H$462,MATCH(D1436,'Classif Gestoras'!$A$6:$A$462,0)),"Não classificada")</x:f>
        <x:v>Independente</x:v>
      </x:c>
      <x:c r="F1436" s="166" t="str">
        <x:v>VERT Distribuidora de Títulos e Valores Mobiliários Ltd</x:v>
      </x:c>
      <x:c r="G1436" s="166" t="str">
        <x:v>VERT DISTRIBUIDORA DE TÍTULOS E VALORES MOBILIÁRIOS LTDA.</x:v>
      </x:c>
      <x:c r="H1436" s="166" t="str">
        <x:v>Financeiro</x:v>
      </x:c>
      <x:c r="I1436" s="166" t="str">
        <x:v>Crédito Consignado</x:v>
      </x:c>
      <x:c r="J1436" s="166" t="str">
        <x:v>CI</x:v>
      </x:c>
      <x:c r="K1436" s="172" t="n">
        <x:v>5</x:v>
      </x:c>
      <x:c r="L1436" s="185" t="str">
        <x:v>Não classificado</x:v>
      </x:c>
    </x:row>
    <x:row r="1437">
      <x:c r="A1437" s="175" t="str">
        <x:v>49.921.110/0001-85</x:v>
      </x:c>
      <x:c r="B1437" s="166" t="str">
        <x:v>VERDE AM I FUNDO DE INVESTIMENTO EM DIREITOS CREDITÓRIOS RESPONSABILIDADE LIMITADA</x:v>
      </x:c>
      <x:c r="C1437" s="188" t="n">
        <x:v>62861636.1083</x:v>
      </x:c>
      <x:c r="D1437" s="166" t="str">
        <x:v>Verde Asset Management S.A.</x:v>
      </x:c>
      <x:c r="E1437" s="166" t="str">
        <x:f>IFERROR(INDEX('Classif Gestoras'!$H$6:$H$462,MATCH(D1437,'Classif Gestoras'!$A$6:$A$462,0)),"Não classificada")</x:f>
        <x:v>Independente</x:v>
      </x:c>
      <x:c r="F1437" s="166" t="str">
        <x:v>BTG Pactual Servicos Financeiros S/A DTVM</x:v>
      </x:c>
      <x:c r="G1437" s="166" t="str">
        <x:v>BANCO BTG PACTUAL S/A</x:v>
      </x:c>
      <x:c r="H1437" s="166" t="str">
        <x:v>Outros</x:v>
      </x:c>
      <x:c r="I1437" s="166" t="str">
        <x:v>Multicarteira Outros</x:v>
      </x:c>
      <x:c r="J1437" s="166" t="str">
        <x:v>CI</x:v>
      </x:c>
      <x:c r="K1437" s="172" t="n">
        <x:v>1</x:v>
      </x:c>
      <x:c r="L1437" s="185" t="str">
        <x:v>Não classificado</x:v>
      </x:c>
    </x:row>
    <x:row r="1438">
      <x:c r="A1438" s="175" t="str">
        <x:v>46.231.978/0001-65</x:v>
      </x:c>
      <x:c r="B1438" s="166" t="str">
        <x:v>CASA DO PRECATÓRIO I FUNDO DE INVESTIMENTO EM DIREITOS CREDITÓRIOS NÃO-PADRONIZADOS</x:v>
      </x:c>
      <x:c r="C1438" s="188" t="n">
        <x:v>62734912.98</x:v>
      </x:c>
      <x:c r="D1438" s="166" t="str">
        <x:v>Lumina</x:v>
      </x:c>
      <x:c r="E1438" s="166" t="str">
        <x:f>IFERROR(INDEX('Classif Gestoras'!$H$6:$H$462,MATCH(D1438,'Classif Gestoras'!$A$6:$A$462,0)),"Não classificada")</x:f>
        <x:v>Independente</x:v>
      </x:c>
      <x:c r="F1438" s="166" t="str">
        <x:v>Singulare</x:v>
      </x:c>
      <x:c r="G1438" s="166" t="str">
        <x:v>QI CORRETORA DE TÍTULOS E VALORES MOBILIÁRIOS S.A.</x:v>
      </x:c>
      <x:c r="H1438" s="166" t="str">
        <x:v>Outros</x:v>
      </x:c>
      <x:c r="I1438" s="166" t="str">
        <x:v>Poder Público</x:v>
      </x:c>
      <x:c r="J1438" s="166" t="str">
        <x:v>CI</x:v>
      </x:c>
      <x:c r="K1438" s="172" t="n">
        <x:v>7</x:v>
      </x:c>
      <x:c r="L1438" s="185" t="str">
        <x:v>Não classificado</x:v>
      </x:c>
    </x:row>
    <x:row r="1439">
      <x:c r="A1439" s="175" t="str">
        <x:v>61.832.072/0001-90</x:v>
      </x:c>
      <x:c r="B1439" s="166" t="str">
        <x:v>FICTOR INVEST FUNDO DE INVESTIMENTO EM DIREITOS CREDITÓRIOS</x:v>
      </x:c>
      <x:c r="C1439" s="188" t="n">
        <x:v>62704228.43</x:v>
      </x:c>
      <x:c r="D1439" s="166" t="str">
        <x:v>FICTOR ASSET</x:v>
      </x:c>
      <x:c r="E1439" s="166" t="str">
        <x:f>IFERROR(INDEX('Classif Gestoras'!$H$6:$H$462,MATCH(D1439,'Classif Gestoras'!$A$6:$A$462,0)),"Não classificada")</x:f>
        <x:v>Independente</x:v>
      </x:c>
      <x:c r="F1439" s="166" t="str">
        <x:v>BRL TRUST DTVM</x:v>
      </x:c>
      <x:c r="G1439" s="166" t="str">
        <x:v>BRL TRUST DISTRIBUIDORA DE TITULOS E VALORES MOBILIARIOS S.A.</x:v>
      </x:c>
      <x:c r="H1439" s="166" t="str">
        <x:v>Outros</x:v>
      </x:c>
      <x:c r="I1439" s="166" t="str">
        <x:v>Multicarteira Outros</x:v>
      </x:c>
      <x:c r="J1439" s="166" t="str">
        <x:v>CI</x:v>
      </x:c>
      <x:c r="K1439" s="172" t="n">
        <x:v>893</x:v>
      </x:c>
      <x:c r="L1439" s="185" t="str">
        <x:v>Não classificado</x:v>
      </x:c>
    </x:row>
    <x:row r="1440">
      <x:c r="A1440" s="175" t="str">
        <x:v>34.644.098/0001-31</x:v>
      </x:c>
      <x:c r="B1440" s="166" t="str">
        <x:v>DELTA ENERGIA PRÉ-PAGAMENTO I - FIDC DE RESPONSABILIDADE LIMITADA</x:v>
      </x:c>
      <x:c r="C1440" s="188" t="n">
        <x:v>62573944.57999999</x:v>
      </x:c>
      <x:c r="D1440" s="166" t="str">
        <x:v>DAYCOVAL ASSET MANAG</x:v>
      </x:c>
      <x:c r="E1440" s="166" t="str">
        <x:f>IFERROR(INDEX('Classif Gestoras'!$H$6:$H$462,MATCH(D1440,'Classif Gestoras'!$A$6:$A$462,0)),"Não classificada")</x:f>
        <x:v>Ligada a banco</x:v>
      </x:c>
      <x:c r="F1440" s="166" t="str">
        <x:v>BANCO DAYCOVAL S/A</x:v>
      </x:c>
      <x:c r="G1440" s="166" t="str">
        <x:v>BANCO DAYCOVAL S.A.</x:v>
      </x:c>
      <x:c r="H1440" s="166" t="str">
        <x:v>Agro, Indústria e Comércio</x:v>
      </x:c>
      <x:c r="I1440" s="166" t="str">
        <x:v>Infraestrutura</x:v>
      </x:c>
      <x:c r="J1440" s="166" t="str">
        <x:v>CI</x:v>
      </x:c>
      <x:c r="K1440" s="172" t="n">
        <x:v>213</x:v>
      </x:c>
      <x:c r="L1440" s="185" t="str">
        <x:v>Não classificado</x:v>
      </x:c>
    </x:row>
    <x:row r="1441">
      <x:c r="A1441" s="175" t="str">
        <x:v>61.794.035/0001-34</x:v>
      </x:c>
      <x:c r="B1441" s="166" t="str">
        <x:v>CRÉDITO IMOBILIÁRIO BL FUNDO DE INVESTIMENTO EM DIREITOS CREDITÓRIOS DE RESPONSABILIDADE LIMITADA</x:v>
      </x:c>
      <x:c r="C1441" s="188" t="n">
        <x:v>62535085.349999994</x:v>
      </x:c>
      <x:c r="D1441" s="166" t="str">
        <x:v>Blue Asset</x:v>
      </x:c>
      <x:c r="E1441" s="166" t="str">
        <x:f>IFERROR(INDEX('Classif Gestoras'!$H$6:$H$462,MATCH(D1441,'Classif Gestoras'!$A$6:$A$462,0)),"Não classificada")</x:f>
        <x:v>Independente</x:v>
      </x:c>
      <x:c r="F1441" s="166" t="str">
        <x:v>VERT Distribuidora de Títulos e Valores Mobiliários Ltd</x:v>
      </x:c>
      <x:c r="G1441" s="166" t="str">
        <x:v>VERT DISTRIBUIDORA DE TÍTULOS E VALORES MOBILIÁRIOS LTDA.</x:v>
      </x:c>
      <x:c r="H1441" s="166" t="str">
        <x:v>Financeiro</x:v>
      </x:c>
      <x:c r="I1441" s="166" t="str">
        <x:v>Crédito Imobiliário</x:v>
      </x:c>
      <x:c r="J1441" s="166" t="str">
        <x:v>CI</x:v>
      </x:c>
      <x:c r="K1441" s="172" t="n">
        <x:v>3</x:v>
      </x:c>
      <x:c r="L1441" s="185" t="str">
        <x:v>Não classificado</x:v>
      </x:c>
    </x:row>
    <x:row r="1442">
      <x:c r="A1442" s="175" t="str">
        <x:v>35.138.000/0001-37</x:v>
      </x:c>
      <x:c r="B1442" s="166" t="str">
        <x:v>HUMACRED FUNDO DE INVESTIMENTO EM DIREITOS CREDITÓRIOS - RESPONSABILIDADE LIMITADA</x:v>
      </x:c>
      <x:c r="C1442" s="188" t="n">
        <x:v>62271914.29</x:v>
      </x:c>
      <x:c r="D1442" s="166" t="str">
        <x:v>ARTESANAL FINANCEIRO</x:v>
      </x:c>
      <x:c r="E1442" s="166" t="str">
        <x:f>IFERROR(INDEX('Classif Gestoras'!$H$6:$H$462,MATCH(D1442,'Classif Gestoras'!$A$6:$A$462,0)),"Não classificada")</x:f>
        <x:v>Independente</x:v>
      </x:c>
      <x:c r="F1442" s="166" t="str">
        <x:v>Singulare</x:v>
      </x:c>
      <x:c r="G1442" s="166" t="str">
        <x:v>QI CORRETORA DE TÍTULOS E VALORES MOBILIÁRIOS S.A.</x:v>
      </x:c>
      <x:c r="H1442" s="166" t="str">
        <x:v>Outros</x:v>
      </x:c>
      <x:c r="I1442" s="166" t="str">
        <x:v>Multicarteira Outros</x:v>
      </x:c>
      <x:c r="J1442" s="166" t="str">
        <x:v>CI</x:v>
      </x:c>
      <x:c r="K1442" s="172" t="n">
        <x:v>7</x:v>
      </x:c>
      <x:c r="L1442" s="185" t="str">
        <x:v>Não classificado</x:v>
      </x:c>
    </x:row>
    <x:row r="1443">
      <x:c r="A1443" s="175" t="str">
        <x:v>41.957.418/0001-79</x:v>
      </x:c>
      <x:c r="B1443" s="166" t="str">
        <x:v>MILENIO MAGENTA FUNDO DE INVESTIMENTO EM DIREITOS CREDITÓRIOS DE RESPONSABILIDADE LIMITADA</x:v>
      </x:c>
      <x:c r="C1443" s="188" t="n">
        <x:v>62210605.690000005</x:v>
      </x:c>
      <x:c r="D1443" s="166" t="str">
        <x:v>Milênio Capital</x:v>
      </x:c>
      <x:c r="E1443" s="166" t="str">
        <x:f>IFERROR(INDEX('Classif Gestoras'!$H$6:$H$462,MATCH(D1443,'Classif Gestoras'!$A$6:$A$462,0)),"Não classificada")</x:f>
        <x:v>Independente</x:v>
      </x:c>
      <x:c r="F1443" s="166" t="str">
        <x:v>Singulare</x:v>
      </x:c>
      <x:c r="G1443" s="166" t="str">
        <x:v>QI CORRETORA DE TÍTULOS E VALORES MOBILIÁRIOS S.A.</x:v>
      </x:c>
      <x:c r="H1443" s="166" t="str">
        <x:v>Outros</x:v>
      </x:c>
      <x:c r="I1443" s="166" t="str">
        <x:v>Multicarteira Outros</x:v>
      </x:c>
      <x:c r="J1443" s="166" t="str">
        <x:v>CI</x:v>
      </x:c>
      <x:c r="K1443" s="172" t="n">
        <x:v>1</x:v>
      </x:c>
      <x:c r="L1443" s="185" t="str">
        <x:v>Não classificado</x:v>
      </x:c>
    </x:row>
    <x:row r="1444">
      <x:c r="A1444" s="175" t="str">
        <x:v>60.851.421/0001-58</x:v>
      </x:c>
      <x:c r="B1444" s="166" t="str">
        <x:v>ARTESANAL CP 90 ION FUNDO DE INVESTIMENTO EM DIREITOS CREDITÓRIOS - RESPONSABILIDADE LIMITADA</x:v>
      </x:c>
      <x:c r="C1444" s="188" t="n">
        <x:v>62123530.66</x:v>
      </x:c>
      <x:c r="D1444" s="166" t="str">
        <x:v>Artesanal Investimentos</x:v>
      </x:c>
      <x:c r="E1444" s="166" t="str">
        <x:f>IFERROR(INDEX('Classif Gestoras'!$H$6:$H$462,MATCH(D1444,'Classif Gestoras'!$A$6:$A$462,0)),"Não classificada")</x:f>
        <x:v>Independente</x:v>
      </x:c>
      <x:c r="F1444" s="166" t="str">
        <x:v>BNY MELLON SERVICOS</x:v>
      </x:c>
      <x:c r="G1444" s="166" t="str">
        <x:v>BNY MELLON BANCO S.A.</x:v>
      </x:c>
      <x:c r="H1444" s="166" t="str">
        <x:v>Outros</x:v>
      </x:c>
      <x:c r="I1444" s="166" t="str">
        <x:v>Multicarteira Outros</x:v>
      </x:c>
      <x:c r="J1444" s="166" t="str">
        <x:v>CI</x:v>
      </x:c>
      <x:c r="K1444" s="172" t="n">
        <x:v>257</x:v>
      </x:c>
      <x:c r="L1444" s="185" t="str">
        <x:v>Não classificado</x:v>
      </x:c>
    </x:row>
    <x:row r="1445">
      <x:c r="A1445" s="175" t="str">
        <x:v>63.735.087/0001-65</x:v>
      </x:c>
      <x:c r="B1445" s="166" t="str">
        <x:v>CALLIS FUNDO DE INVESTIMENTO EM DIREITOS CREDITÓRIOS</x:v>
      </x:c>
      <x:c r="C1445" s="188" t="n">
        <x:v>62119437.66</x:v>
      </x:c>
      <x:c r="D1445" s="166" t="str">
        <x:v>Catálise Investimentos</x:v>
      </x:c>
      <x:c r="E1445" s="166" t="str">
        <x:f>IFERROR(INDEX('Classif Gestoras'!$H$6:$H$462,MATCH(D1445,'Classif Gestoras'!$A$6:$A$462,0)),"Não classificada")</x:f>
        <x:v>Independente</x:v>
      </x:c>
      <x:c r="F1445" s="166" t="str">
        <x:v>CATÁLISE DTVM</x:v>
      </x:c>
      <x:c r="G1445" s="166" t="str">
        <x:v>BANCO DAYCOVAL S.A.</x:v>
      </x:c>
      <x:c r="H1445" s="166" t="str">
        <x:v>Fomento Mercantil</x:v>
      </x:c>
      <x:c r="I1445" s="166" t="str">
        <x:v>Fomento Mercantil</x:v>
      </x:c>
      <x:c r="J1445" s="166" t="str">
        <x:v>CI</x:v>
      </x:c>
      <x:c r="K1445" s="172" t="n">
        <x:v>1</x:v>
      </x:c>
      <x:c r="L1445" s="185" t="str">
        <x:v>Não classificado</x:v>
      </x:c>
    </x:row>
    <x:row r="1446">
      <x:c r="A1446" s="175" t="str">
        <x:v>59.061.264/0001-06</x:v>
      </x:c>
      <x:c r="B1446" s="166" t="str">
        <x:v>ATIVOS ESPECIAIS IV B FUNDO DE INVESTIMENTO EM DIREITOS CREDITÓRIOS</x:v>
      </x:c>
      <x:c r="C1446" s="188" t="n">
        <x:v>62115855.86</x:v>
      </x:c>
      <x:c r="D1446" s="166" t="str">
        <x:v>Vinci SPS Gestão de Recursos Ltda.</x:v>
      </x:c>
      <x:c r="E1446" s="166" t="str">
        <x:f>IFERROR(INDEX('Classif Gestoras'!$H$6:$H$462,MATCH(D1446,'Classif Gestoras'!$A$6:$A$462,0)),"Não classificada")</x:f>
        <x:v>Independente</x:v>
      </x:c>
      <x:c r="F1446" s="166" t="str">
        <x:v>BANCO DAYCOVAL S/A</x:v>
      </x:c>
      <x:c r="G1446" s="166" t="str">
        <x:v>BANCO DAYCOVAL S.A.</x:v>
      </x:c>
      <x:c r="H1446" s="166" t="str">
        <x:v>Outros</x:v>
      </x:c>
      <x:c r="I1446" s="166" t="str">
        <x:v>Multicarteira Outros</x:v>
      </x:c>
      <x:c r="J1446" s="166" t="str">
        <x:v>CI</x:v>
      </x:c>
      <x:c r="K1446" s="172" t="n">
        <x:v>1</x:v>
      </x:c>
      <x:c r="L1446" s="185" t="str">
        <x:v>Não classificado</x:v>
      </x:c>
    </x:row>
    <x:row r="1447">
      <x:c r="A1447" s="175" t="str">
        <x:v>63.079.862/0001-71</x:v>
      </x:c>
      <x:c r="B1447" s="166" t="str">
        <x:v>SB CRÉDITO MULTIESTRATÉGIA II FUNDO DE INVESTIMENTO EM DIREITOS CREDITÓRIOS DE CLASSE ÚNICA FECHADA</x:v>
      </x:c>
      <x:c r="C1447" s="188" t="n">
        <x:v>62105877.129999995</x:v>
      </x:c>
      <x:c r="D1447" s="166" t="str">
        <x:v>CARMEL GESTORA DE ATIVOS LTDA</x:v>
      </x:c>
      <x:c r="E1447" s="166" t="str">
        <x:f>IFERROR(INDEX('Classif Gestoras'!$H$6:$H$462,MATCH(D1447,'Classif Gestoras'!$A$6:$A$462,0)),"Não classificada")</x:f>
        <x:v>Independente</x:v>
      </x:c>
      <x:c r="F1447" s="166" t="str">
        <x:v>BRL TRUST DTVM</x:v>
      </x:c>
      <x:c r="G1447" s="166" t="str">
        <x:v>BRL TRUST DISTRIBUIDORA DE TITULOS E VALORES MOBILIARIOS S.A.</x:v>
      </x:c>
      <x:c r="H1447" s="166" t="str">
        <x:v>Fomento Mercantil</x:v>
      </x:c>
      <x:c r="I1447" s="166" t="str">
        <x:v>Fomento Mercantil</x:v>
      </x:c>
      <x:c r="J1447" s="166" t="str">
        <x:v>CI</x:v>
      </x:c>
      <x:c r="K1447" s="172" t="n">
        <x:v>4</x:v>
      </x:c>
      <x:c r="L1447" s="185" t="str">
        <x:v>Não classificado</x:v>
      </x:c>
    </x:row>
    <x:row r="1448">
      <x:c r="A1448" s="175" t="str">
        <x:v>23.033.778/0001-00</x:v>
      </x:c>
      <x:c r="B1448" s="166" t="str">
        <x:v>ITUPEVA FUNDO DE INVESTIMENTO EM DIREITOS CREDITÓRIOS</x:v>
      </x:c>
      <x:c r="C1448" s="188" t="n">
        <x:v>62000584.25000001</x:v>
      </x:c>
      <x:c r="D1448" s="166" t="str">
        <x:v>Alameda Gestora de Investimentos Ltda</x:v>
      </x:c>
      <x:c r="E1448" s="166" t="str">
        <x:f>IFERROR(INDEX('Classif Gestoras'!$H$6:$H$462,MATCH(D1448,'Classif Gestoras'!$A$6:$A$462,0)),"Não classificada")</x:f>
        <x:v>Independente</x:v>
      </x:c>
      <x:c r="F1448" s="166" t="str">
        <x:v>SEFER DTVM</x:v>
      </x:c>
      <x:c r="G1448" s="166" t="str">
        <x:v>SEFER INVESTIMENTOS DISTRIBUIDORA DE TÍTULOS E VALORES MOBILIÁRIOS LTDA.</x:v>
      </x:c>
      <x:c r="H1448" s="166" t="str">
        <x:v>Outros</x:v>
      </x:c>
      <x:c r="I1448" s="166" t="str">
        <x:v>Multicarteira Outros</x:v>
      </x:c>
      <x:c r="J1448" s="166" t="str">
        <x:v>CI</x:v>
      </x:c>
      <x:c r="K1448" s="172" t="n">
        <x:v>1</x:v>
      </x:c>
      <x:c r="L1448" s="185" t="str">
        <x:v>Não classificado</x:v>
      </x:c>
    </x:row>
    <x:row r="1449">
      <x:c r="A1449" s="175" t="str">
        <x:v>55.469.182/0001-36</x:v>
      </x:c>
      <x:c r="B1449" s="166" t="str">
        <x:v>SC1 FUNDO DE INVESTIMENTO EM DIREITOS CREDITÓRIOS NÃO PADRONIZADOS</x:v>
      </x:c>
      <x:c r="C1449" s="188" t="n">
        <x:v>61889400.96999999</x:v>
      </x:c>
      <x:c r="D1449" s="166" t="str">
        <x:v>SH Asset</x:v>
      </x:c>
      <x:c r="E1449" s="166" t="str">
        <x:f>IFERROR(INDEX('Classif Gestoras'!$H$6:$H$462,MATCH(D1449,'Classif Gestoras'!$A$6:$A$462,0)),"Não classificada")</x:f>
        <x:v>Independente</x:v>
      </x:c>
      <x:c r="F1449" s="166" t="str">
        <x:v>Finvest Digital</x:v>
      </x:c>
      <x:c r="G1449" s="166" t="str">
        <x:v>FINVEST DISTRIBUIDORA DE TÍTULOS E VALORES MOBILIÁRIOS LTDA.</x:v>
      </x:c>
      <x:c r="H1449" s="166" t="str">
        <x:v>Outros</x:v>
      </x:c>
      <x:c r="I1449" s="166" t="str">
        <x:v>Multicarteira Outros</x:v>
      </x:c>
      <x:c r="J1449" s="166" t="str">
        <x:v>CI</x:v>
      </x:c>
      <x:c r="K1449" s="172" t="n">
        <x:v>26</x:v>
      </x:c>
      <x:c r="L1449" s="185" t="str">
        <x:v>Não classificado</x:v>
      </x:c>
    </x:row>
    <x:row r="1450">
      <x:c r="A1450" s="175" t="str">
        <x:v>12.440.789/0001-80</x:v>
      </x:c>
      <x:c r="B1450" s="166" t="str">
        <x:v>LME REC MULTISETORIAL IPCA - FUNDO DE INVESTIMENTO EM DIREITOS CREDITORIOS</x:v>
      </x:c>
      <x:c r="C1450" s="188" t="n">
        <x:v>61880951.07999999</x:v>
      </x:c>
      <x:c r="D1450" s="166" t="str">
        <x:v>GRAPHEN INVESTIMENTOS</x:v>
      </x:c>
      <x:c r="E1450" s="166" t="str">
        <x:f>IFERROR(INDEX('Classif Gestoras'!$H$6:$H$462,MATCH(D1450,'Classif Gestoras'!$A$6:$A$462,0)),"Não classificada")</x:f>
        <x:v>Independente</x:v>
      </x:c>
      <x:c r="F1450" s="166" t="str">
        <x:v>RJI Investimentos</x:v>
      </x:c>
      <x:c r="G1450" s="166" t="str">
        <x:v>RJI CORRETORA DE TÍTULOS E VALORES MOBILIÁRIOS LTDA.</x:v>
      </x:c>
      <x:c r="H1450" s="166" t="str">
        <x:v>Financeiro</x:v>
      </x:c>
      <x:c r="I1450" s="166" t="str">
        <x:v>Multicarteira Financeiro</x:v>
      </x:c>
      <x:c r="J1450" s="166" t="str">
        <x:v>CI</x:v>
      </x:c>
      <x:c r="K1450" s="172" t="n">
        <x:v>71</x:v>
      </x:c>
      <x:c r="L1450" s="185" t="str">
        <x:v>Não classificado</x:v>
      </x:c>
    </x:row>
    <x:row r="1451">
      <x:c r="A1451" s="175" t="str">
        <x:v>60.290.928/0001-80</x:v>
      </x:c>
      <x:c r="B1451" s="166" t="str">
        <x:v>WH CONSIGNADO PÚBLICO FUNDO DE INVESTIMENTO EM DIREITOS CREDITÓRIOS - RESPONSABILIDADE LIMITADA</x:v>
      </x:c>
      <x:c r="C1451" s="188" t="n">
        <x:v>61714474.93000001</x:v>
      </x:c>
      <x:c r="D1451" s="166" t="str">
        <x:v>Apuama Capital</x:v>
      </x:c>
      <x:c r="E1451" s="166" t="str">
        <x:f>IFERROR(INDEX('Classif Gestoras'!$H$6:$H$462,MATCH(D1451,'Classif Gestoras'!$A$6:$A$462,0)),"Não classificada")</x:f>
        <x:v>Independente</x:v>
      </x:c>
      <x:c r="F1451" s="166" t="str">
        <x:v>Singulare</x:v>
      </x:c>
      <x:c r="G1451" s="166" t="str">
        <x:v>QI CORRETORA DE TÍTULOS E VALORES MOBILIÁRIOS S.A.</x:v>
      </x:c>
      <x:c r="H1451" s="166" t="str">
        <x:v>Financeiro</x:v>
      </x:c>
      <x:c r="I1451" s="166" t="str">
        <x:v>Crédito Consignado</x:v>
      </x:c>
      <x:c r="J1451" s="166" t="str">
        <x:v>CI</x:v>
      </x:c>
      <x:c r="K1451" s="172" t="n">
        <x:v>7</x:v>
      </x:c>
      <x:c r="L1451" s="185" t="str">
        <x:v>Não classificado</x:v>
      </x:c>
    </x:row>
    <x:row r="1452">
      <x:c r="A1452" s="175" t="str">
        <x:v>51.045.717/0001-90</x:v>
      </x:c>
      <x:c r="B1452" s="166" t="str">
        <x:v>SOLAR BR FUNDO DE INVESTIMENTO EM DIREITOS CREDITÓRIOS</x:v>
      </x:c>
      <x:c r="C1452" s="188" t="n">
        <x:v>61637408.629999995</x:v>
      </x:c>
      <x:c r="D1452" s="166" t="str">
        <x:v>Fram Capital Gestão de Ativos Ltda</x:v>
      </x:c>
      <x:c r="E1452" s="166" t="str">
        <x:f>IFERROR(INDEX('Classif Gestoras'!$H$6:$H$462,MATCH(D1452,'Classif Gestoras'!$A$6:$A$462,0)),"Não classificada")</x:f>
        <x:v>Independente</x:v>
      </x:c>
      <x:c r="F1452" s="166" t="str">
        <x:v>Singulare</x:v>
      </x:c>
      <x:c r="G1452" s="166" t="str">
        <x:v>QI CORRETORA DE TÍTULOS E VALORES MOBILIÁRIOS S.A.</x:v>
      </x:c>
      <x:c r="H1452" s="166" t="str">
        <x:v>Fomento Mercantil</x:v>
      </x:c>
      <x:c r="I1452" s="166" t="str">
        <x:v>Fomento Mercantil</x:v>
      </x:c>
      <x:c r="J1452" s="166" t="str">
        <x:v>CI</x:v>
      </x:c>
      <x:c r="K1452" s="172" t="n">
        <x:v>4</x:v>
      </x:c>
      <x:c r="L1452" s="185" t="str">
        <x:v>Não classificado</x:v>
      </x:c>
    </x:row>
    <x:row r="1453">
      <x:c r="A1453" s="175" t="str">
        <x:v>08.611.414/0001-69</x:v>
      </x:c>
      <x:c r="B1453" s="166" t="str">
        <x:v>V3 FIDC MULTICARTEIRA - NP</x:v>
      </x:c>
      <x:c r="C1453" s="188" t="n">
        <x:v>61569172.3</x:v>
      </x:c>
      <x:c r="D1453" s="166" t="str">
        <x:v>Vision Brazil</x:v>
      </x:c>
      <x:c r="E1453" s="166" t="str">
        <x:f>IFERROR(INDEX('Classif Gestoras'!$H$6:$H$462,MATCH(D1453,'Classif Gestoras'!$A$6:$A$462,0)),"Não classificada")</x:f>
        <x:v>Independente</x:v>
      </x:c>
      <x:c r="F1453" s="166" t="str">
        <x:v>Singulare</x:v>
      </x:c>
      <x:c r="G1453" s="166" t="str">
        <x:v>QI CORRETORA DE TÍTULOS E VALORES MOBILIÁRIOS S.A.</x:v>
      </x:c>
      <x:c r="H1453" s="166" t="str">
        <x:v>Outros</x:v>
      </x:c>
      <x:c r="I1453" s="166" t="str">
        <x:v>Multicarteira Outros</x:v>
      </x:c>
      <x:c r="J1453" s="166" t="str">
        <x:v>CI</x:v>
      </x:c>
      <x:c r="K1453" s="172" t="n">
        <x:v>1</x:v>
      </x:c>
      <x:c r="L1453" s="185" t="str">
        <x:v>Não classificado</x:v>
      </x:c>
    </x:row>
    <x:row r="1454">
      <x:c r="A1454" s="175" t="str">
        <x:v>63.515.403/0001-93</x:v>
      </x:c>
      <x:c r="B1454" s="166" t="str">
        <x:v>PRECAVIDA EQI FUNDO DE INVESTIMENTO EM DIREITOS CREDITÓRIOS</x:v>
      </x:c>
      <x:c r="C1454" s="188" t="n">
        <x:v>61478353.25000001</x:v>
      </x:c>
      <x:c r="D1454" s="166" t="str">
        <x:v>EuQueroInvestir Gestão de Recursos Ltda.</x:v>
      </x:c>
      <x:c r="E1454" s="166" t="str">
        <x:f>IFERROR(INDEX('Classif Gestoras'!$H$6:$H$462,MATCH(D1454,'Classif Gestoras'!$A$6:$A$462,0)),"Não classificada")</x:f>
        <x:v>Independente</x:v>
      </x:c>
      <x:c r="F1454" s="166" t="str">
        <x:v>BTG Pactual Servicos Financeiros S/A DTVM</x:v>
      </x:c>
      <x:c r="G1454" s="166" t="str">
        <x:v>BANCO BTG PACTUAL S/A</x:v>
      </x:c>
      <x:c r="H1454" s="166" t="str">
        <x:v>Outros</x:v>
      </x:c>
      <x:c r="I1454" s="166" t="str">
        <x:v>Poder Público</x:v>
      </x:c>
      <x:c r="J1454" s="166" t="str">
        <x:v>CI</x:v>
      </x:c>
      <x:c r="K1454" s="172" t="n">
        <x:v>306</x:v>
      </x:c>
      <x:c r="L1454" s="185" t="str">
        <x:v>Não classificado</x:v>
      </x:c>
    </x:row>
    <x:row r="1455">
      <x:c r="A1455" s="175" t="str">
        <x:v>42.793.689/0001-07</x:v>
      </x:c>
      <x:c r="B1455" s="166" t="str">
        <x:v>FUNDO DE INVESTIMENTO EM DIREITOS CREDITÓRIOS SIGA ENERGIA DE RESPONSABILIDADE LIMITADA</x:v>
      </x:c>
      <x:c r="C1455" s="188" t="n">
        <x:v>61454000.57000001</x:v>
      </x:c>
      <x:c r="D1455" s="166" t="str">
        <x:v>SIGA GESTORA DE RECURSOS LTDA</x:v>
      </x:c>
      <x:c r="E1455" s="166" t="str">
        <x:f>IFERROR(INDEX('Classif Gestoras'!$H$6:$H$462,MATCH(D1455,'Classif Gestoras'!$A$6:$A$462,0)),"Não classificada")</x:f>
        <x:v>Independente</x:v>
      </x:c>
      <x:c r="F1455" s="166" t="str">
        <x:v>BANCO DAYCOVAL S/A</x:v>
      </x:c>
      <x:c r="G1455" s="166" t="str">
        <x:v>BANCO DAYCOVAL S.A.</x:v>
      </x:c>
      <x:c r="H1455" s="166" t="str">
        <x:v>Agro, Indústria e Comércio</x:v>
      </x:c>
      <x:c r="I1455" s="166" t="str">
        <x:v>Infraestrutura</x:v>
      </x:c>
      <x:c r="J1455" s="166" t="str">
        <x:v>CI</x:v>
      </x:c>
      <x:c r="K1455" s="172" t="n">
        <x:v>133</x:v>
      </x:c>
      <x:c r="L1455" s="185" t="str">
        <x:v>Não classificado</x:v>
      </x:c>
    </x:row>
    <x:row r="1456">
      <x:c r="A1456" s="175" t="str">
        <x:v>57.752.893/0001-49</x:v>
      </x:c>
      <x:c r="B1456" s="166" t="str">
        <x:v>MINEO FIDC RESPONSABILIDADE LIMITADA</x:v>
      </x:c>
      <x:c r="C1456" s="188" t="n">
        <x:v>61446815.989999995</x:v>
      </x:c>
      <x:c r="D1456" s="166" t="str">
        <x:v>Quadra Gestão de Recursos S.A.</x:v>
      </x:c>
      <x:c r="E1456" s="166" t="str">
        <x:f>IFERROR(INDEX('Classif Gestoras'!$H$6:$H$462,MATCH(D1456,'Classif Gestoras'!$A$6:$A$462,0)),"Não classificada")</x:f>
        <x:v>Independente</x:v>
      </x:c>
      <x:c r="F1456" s="166" t="str">
        <x:v>FIDD DISTRIBUIDORA DE TITULOS E VALORES MOBILIARIOS LTD</x:v>
      </x:c>
      <x:c r="G1456" s="166" t="str">
        <x:v>FIDD DISTRIBUIDORA DE TITULOS E VALORES MOBILIARIOS LTDA.</x:v>
      </x:c>
      <x:c r="H1456" s="166" t="str">
        <x:v>Outros</x:v>
      </x:c>
      <x:c r="I1456" s="166" t="str">
        <x:v>Multicarteira Outros</x:v>
      </x:c>
      <x:c r="J1456" s="166" t="str">
        <x:v>CI</x:v>
      </x:c>
      <x:c r="K1456" s="172" t="n">
        <x:v>1</x:v>
      </x:c>
      <x:c r="L1456" s="185" t="str">
        <x:v>Não classificado</x:v>
      </x:c>
    </x:row>
    <x:row r="1457">
      <x:c r="A1457" s="175" t="str">
        <x:v>40.975.325/0001-04</x:v>
      </x:c>
      <x:c r="B1457" s="166" t="str">
        <x:v>3RD - FUNDO DE INVESTIMENTO EM DIREITOS CREDITÓRIOS</x:v>
      </x:c>
      <x:c r="C1457" s="188" t="n">
        <x:v>61286175.3</x:v>
      </x:c>
      <x:c r="D1457" s="166" t="str">
        <x:v>Catálise Investimentos</x:v>
      </x:c>
      <x:c r="E1457" s="166" t="str">
        <x:f>IFERROR(INDEX('Classif Gestoras'!$H$6:$H$462,MATCH(D1457,'Classif Gestoras'!$A$6:$A$462,0)),"Não classificada")</x:f>
        <x:v>Independente</x:v>
      </x:c>
      <x:c r="F1457" s="166" t="str">
        <x:v>CATÁLISE DTVM</x:v>
      </x:c>
      <x:c r="G1457" s="166" t="str">
        <x:v>BANCO DAYCOVAL S.A.</x:v>
      </x:c>
      <x:c r="H1457" s="166" t="str">
        <x:v>Agro, Indústria e Comércio</x:v>
      </x:c>
      <x:c r="I1457" s="166" t="str">
        <x:v>Recebíveis Comerciais</x:v>
      </x:c>
      <x:c r="J1457" s="166" t="str">
        <x:v>CI</x:v>
      </x:c>
      <x:c r="K1457" s="172" t="n">
        <x:v>3</x:v>
      </x:c>
      <x:c r="L1457" s="185" t="str">
        <x:v>Não classificado</x:v>
      </x:c>
    </x:row>
    <x:row r="1458">
      <x:c r="A1458" s="175" t="str">
        <x:v>27.643.856/0001-31</x:v>
      </x:c>
      <x:c r="B1458" s="166" t="str">
        <x:v>BLACK BELT FUNDO DE INVESTIMENTO EM DIREITOS CREDITÓRIOS RESPONSABILIDADE LIMITADA</x:v>
      </x:c>
      <x:c r="C1458" s="188" t="n">
        <x:v>61176149.11999999</x:v>
      </x:c>
      <x:c r="D1458" s="166" t="str">
        <x:v>Cupertino Capital</x:v>
      </x:c>
      <x:c r="E1458" s="166" t="str">
        <x:f>IFERROR(INDEX('Classif Gestoras'!$H$6:$H$462,MATCH(D1458,'Classif Gestoras'!$A$6:$A$462,0)),"Não classificada")</x:f>
        <x:v>Independente</x:v>
      </x:c>
      <x:c r="F1458" s="166" t="str">
        <x:v>BTG Pactual Servicos Financeiros S/A DTVM</x:v>
      </x:c>
      <x:c r="G1458" s="166" t="str">
        <x:v>BANCO BTG PACTUAL S/A</x:v>
      </x:c>
      <x:c r="H1458" s="166" t="str">
        <x:v>Outros</x:v>
      </x:c>
      <x:c r="I1458" s="166" t="str">
        <x:v>Multicarteira Outros</x:v>
      </x:c>
      <x:c r="J1458" s="166" t="str">
        <x:v>CI</x:v>
      </x:c>
      <x:c r="K1458" s="172" t="n">
        <x:v>1</x:v>
      </x:c>
      <x:c r="L1458" s="185" t="str">
        <x:v>Não classificado</x:v>
      </x:c>
    </x:row>
    <x:row r="1459">
      <x:c r="A1459" s="175" t="str">
        <x:v>32.510.527/0001-52</x:v>
      </x:c>
      <x:c r="B1459" s="166" t="str">
        <x:v>CANAL 56 FUNDO DE INVESTIMENTO EM DIREITOS CREDITORIOS NAO PADRONIZADOS</x:v>
      </x:c>
      <x:c r="C1459" s="188" t="n">
        <x:v>61145127.13</x:v>
      </x:c>
      <x:c r="D1459" s="166" t="str">
        <x:v>Prisma Claims Ltda.</x:v>
      </x:c>
      <x:c r="E1459" s="166" t="str">
        <x:f>IFERROR(INDEX('Classif Gestoras'!$H$6:$H$462,MATCH(D1459,'Classif Gestoras'!$A$6:$A$462,0)),"Não classificada")</x:f>
        <x:v>Independente</x:v>
      </x:c>
      <x:c r="F1459" s="166" t="str">
        <x:v>Singulare</x:v>
      </x:c>
      <x:c r="G1459" s="166" t="str">
        <x:v>QI CORRETORA DE TÍTULOS E VALORES MOBILIÁRIOS S.A.</x:v>
      </x:c>
      <x:c r="H1459" s="166" t="str">
        <x:v>Outros</x:v>
      </x:c>
      <x:c r="I1459" s="166" t="str">
        <x:v>Multicarteira Outros</x:v>
      </x:c>
      <x:c r="J1459" s="166" t="str">
        <x:v>CI</x:v>
      </x:c>
      <x:c r="K1459" s="172" t="n">
        <x:v>1</x:v>
      </x:c>
      <x:c r="L1459" s="185" t="str">
        <x:v>Não classificado</x:v>
      </x:c>
    </x:row>
    <x:row r="1460">
      <x:c r="A1460" s="175" t="str">
        <x:v>55.984.759/0001-48</x:v>
      </x:c>
      <x:c r="B1460" s="166" t="str">
        <x:v>EUCATEX FUNDO DE INVESTIMENTO EM DIREITOS CREDITÓRIOS INDUSTRIAIS DE RESPONSABILIDADE ILIMITADA</x:v>
      </x:c>
      <x:c r="C1460" s="188" t="n">
        <x:v>61139613.75</x:v>
      </x:c>
      <x:c r="D1460" s="166" t="str">
        <x:v>EuQueroInvestir Gestão de Recursos Ltda.</x:v>
      </x:c>
      <x:c r="E1460" s="166" t="str">
        <x:f>IFERROR(INDEX('Classif Gestoras'!$H$6:$H$462,MATCH(D1460,'Classif Gestoras'!$A$6:$A$462,0)),"Não classificada")</x:f>
        <x:v>Independente</x:v>
      </x:c>
      <x:c r="F1460" s="166" t="str">
        <x:v>BANCO DAYCOVAL S/A</x:v>
      </x:c>
      <x:c r="G1460" s="166" t="str">
        <x:v>BANCO DAYCOVAL S.A.</x:v>
      </x:c>
      <x:c r="H1460" s="166" t="str">
        <x:v>Outros</x:v>
      </x:c>
      <x:c r="I1460" s="166" t="str">
        <x:v>Multicarteira Outros</x:v>
      </x:c>
      <x:c r="J1460" s="166" t="str">
        <x:v>CI</x:v>
      </x:c>
      <x:c r="K1460" s="172" t="n">
        <x:v>1</x:v>
      </x:c>
      <x:c r="L1460" s="185" t="str">
        <x:v>Não classificado</x:v>
      </x:c>
    </x:row>
    <x:row r="1461">
      <x:c r="A1461" s="175" t="str">
        <x:v>55.521.594/0001-78</x:v>
      </x:c>
      <x:c r="B1461" s="166" t="str">
        <x:v>BTG EMPRESAS FUNDO DE INVESTIMENTO EM DIREITOS CREDITÓRIOS</x:v>
      </x:c>
      <x:c r="C1461" s="188" t="n">
        <x:v>61038873.49</x:v>
      </x:c>
      <x:c r="D1461" s="166" t="str">
        <x:v>Banco BTG Pactual</x:v>
      </x:c>
      <x:c r="E1461" s="166" t="str">
        <x:f>IFERROR(INDEX('Classif Gestoras'!$H$6:$H$462,MATCH(D1461,'Classif Gestoras'!$A$6:$A$462,0)),"Não classificada")</x:f>
        <x:v>Ligada a banco</x:v>
      </x:c>
      <x:c r="F1461" s="166" t="str">
        <x:v>BTG Pactual Servicos Financeiros S/A DTVM</x:v>
      </x:c>
      <x:c r="G1461" s="166" t="str">
        <x:v>BANCO BTG PACTUAL S/A</x:v>
      </x:c>
      <x:c r="H1461" s="166" t="str">
        <x:v>Outros</x:v>
      </x:c>
      <x:c r="I1461" s="166" t="str">
        <x:v>Multicarteira Outros</x:v>
      </x:c>
      <x:c r="J1461" s="166" t="str">
        <x:v>CI</x:v>
      </x:c>
      <x:c r="K1461" s="172" t="n">
        <x:v>1</x:v>
      </x:c>
      <x:c r="L1461" s="185" t="str">
        <x:v>Não classificado</x:v>
      </x:c>
    </x:row>
    <x:row r="1462">
      <x:c r="A1462" s="175" t="str">
        <x:v>58.944.590/0001-90</x:v>
      </x:c>
      <x:c r="B1462" s="166" t="str">
        <x:v>BONA FIDE - FUNDO DE INVESTIMENTO EM DIREITOS CREDITÓRIOS NÃO PADRONIZADOS RESPONSABILIDADE LIMITADA</x:v>
      </x:c>
      <x:c r="C1462" s="188" t="n">
        <x:v>60962351.51999998</x:v>
      </x:c>
      <x:c r="D1462" s="166" t="str">
        <x:v>Tivio Capital</x:v>
      </x:c>
      <x:c r="E1462" s="166" t="str">
        <x:f>IFERROR(INDEX('Classif Gestoras'!$H$6:$H$462,MATCH(D1462,'Classif Gestoras'!$A$6:$A$462,0)),"Não classificada")</x:f>
        <x:v>Independente</x:v>
      </x:c>
      <x:c r="F1462" s="166" t="str">
        <x:v>Inter Distribuidora de Títulos e Valores Mobiliários Lt</x:v>
      </x:c>
      <x:c r="G1462" s="166" t="str">
        <x:v>INTER DISTRIBUIDORA DE TÍTULOS E VALORES MOBILIÁRIOS</x:v>
      </x:c>
      <x:c r="H1462" s="166" t="str">
        <x:v>Fomento Mercantil</x:v>
      </x:c>
      <x:c r="I1462" s="166" t="str">
        <x:v>Fomento Mercantil</x:v>
      </x:c>
      <x:c r="J1462" s="166" t="str">
        <x:v>CI</x:v>
      </x:c>
      <x:c r="K1462" s="172" t="n">
        <x:v>33</x:v>
      </x:c>
      <x:c r="L1462" s="185" t="str">
        <x:v>Não classificado</x:v>
      </x:c>
    </x:row>
    <x:row r="1463">
      <x:c r="A1463" s="175" t="str">
        <x:v>53.145.978/0001-08</x:v>
      </x:c>
      <x:c r="B1463" s="166" t="str">
        <x:v>CREDI PLUS FUNDO DE INVESTIMENTO EM DIREITOS CREDITÓRIOS</x:v>
      </x:c>
      <x:c r="C1463" s="188" t="n">
        <x:v>60939643</x:v>
      </x:c>
      <x:c r="D1463" s="166" t="str">
        <x:v>Catálise Investimentos</x:v>
      </x:c>
      <x:c r="E1463" s="166" t="str">
        <x:f>IFERROR(INDEX('Classif Gestoras'!$H$6:$H$462,MATCH(D1463,'Classif Gestoras'!$A$6:$A$462,0)),"Não classificada")</x:f>
        <x:v>Independente</x:v>
      </x:c>
      <x:c r="F1463" s="166" t="str">
        <x:v>FIDD DISTRIBUIDORA DE TITULOS E VALORES MOBILIARIOS LTD</x:v>
      </x:c>
      <x:c r="G1463" s="166" t="str">
        <x:v>FIDD DISTRIBUIDORA DE TITULOS E VALORES MOBILIARIOS LTDA.</x:v>
      </x:c>
      <x:c r="H1463" s="166" t="str">
        <x:v>Agro, Indústria e Comércio</x:v>
      </x:c>
      <x:c r="I1463" s="166" t="str">
        <x:v>Multicarteira Agro, Indústria e Comércio</x:v>
      </x:c>
      <x:c r="J1463" s="166" t="str">
        <x:v>CI</x:v>
      </x:c>
      <x:c r="K1463" s="172" t="n">
        <x:v>1</x:v>
      </x:c>
      <x:c r="L1463" s="185" t="str">
        <x:v>Não classificado</x:v>
      </x:c>
    </x:row>
    <x:row r="1464">
      <x:c r="A1464" s="175" t="str">
        <x:v>58.545.400/0001-62</x:v>
      </x:c>
      <x:c r="B1464" s="166" t="str">
        <x:v>AIRA FUNDO DE INVESTIMENTO EM DIREITOS CREDITÓRIOS RESPONSABILIDADE LIMITADA - CRÉDITO CORPORATIVO</x:v>
      </x:c>
      <x:c r="C1464" s="188" t="n">
        <x:v>60857263.07000001</x:v>
      </x:c>
      <x:c r="D1464" s="166" t="str">
        <x:v>Harbour Capital</x:v>
      </x:c>
      <x:c r="E1464" s="166" t="str">
        <x:f>IFERROR(INDEX('Classif Gestoras'!$H$6:$H$462,MATCH(D1464,'Classif Gestoras'!$A$6:$A$462,0)),"Não classificada")</x:f>
        <x:v>Independente</x:v>
      </x:c>
      <x:c r="F1464" s="166" t="str">
        <x:v>AZUMI DISTRIBUIDORA DE TÍTULOS E VALORES MOBILIÁRIOS LT</x:v>
      </x:c>
      <x:c r="G1464" s="166" t="str">
        <x:v>AZUMI DISTRIBUIDORA DE TÍTULOS E VALORES MOBILIÁRIOS LTDA.</x:v>
      </x:c>
      <x:c r="H1464" s="166" t="str">
        <x:v>Fomento Mercantil</x:v>
      </x:c>
      <x:c r="I1464" s="166" t="str">
        <x:v>Fomento Mercantil</x:v>
      </x:c>
      <x:c r="J1464" s="166" t="str">
        <x:v>CI</x:v>
      </x:c>
      <x:c r="K1464" s="172" t="n">
        <x:v>25</x:v>
      </x:c>
      <x:c r="L1464" s="185" t="str">
        <x:v>Não classificado</x:v>
      </x:c>
    </x:row>
    <x:row r="1465">
      <x:c r="A1465" s="175" t="str">
        <x:v>56.197.290/0001-60</x:v>
      </x:c>
      <x:c r="B1465" s="166" t="str">
        <x:v>SMT AGRO FUNDO DE INVESTIMENTO EM DIREITOS CREDITÓRIOS DE RESPONSABILIDADE LIMITADA</x:v>
      </x:c>
      <x:c r="C1465" s="188" t="n">
        <x:v>60849158.94</x:v>
      </x:c>
      <x:c r="D1465" s="166" t="str">
        <x:v>Catálise Investimentos</x:v>
      </x:c>
      <x:c r="E1465" s="166" t="str">
        <x:f>IFERROR(INDEX('Classif Gestoras'!$H$6:$H$462,MATCH(D1465,'Classif Gestoras'!$A$6:$A$462,0)),"Não classificada")</x:f>
        <x:v>Independente</x:v>
      </x:c>
      <x:c r="F1465" s="166" t="str">
        <x:v>CATÁLISE DTVM</x:v>
      </x:c>
      <x:c r="G1465" s="166" t="str">
        <x:v>BANCO DAYCOVAL S.A.</x:v>
      </x:c>
      <x:c r="H1465" s="166" t="str">
        <x:v>Agro, Indústria e Comércio</x:v>
      </x:c>
      <x:c r="I1465" s="166" t="str">
        <x:v>Recebíveis Comerciais</x:v>
      </x:c>
      <x:c r="J1465" s="166" t="str">
        <x:v>CI</x:v>
      </x:c>
      <x:c r="K1465" s="172" t="n">
        <x:v>1</x:v>
      </x:c>
      <x:c r="L1465" s="185" t="str">
        <x:v>Não classificado</x:v>
      </x:c>
    </x:row>
    <x:row r="1466">
      <x:c r="A1466" s="175" t="str">
        <x:v>42.556.229/0001-57</x:v>
      </x:c>
      <x:c r="B1466" s="166" t="str">
        <x:v>SIMONETTI FUNDO DE INVESTIMENTO EM DIREITOS CREDITÓRIOS</x:v>
      </x:c>
      <x:c r="C1466" s="188" t="n">
        <x:v>60820809.16</x:v>
      </x:c>
      <x:c r="D1466" s="166" t="str">
        <x:v>TERCON ASSET MANAGEMENT</x:v>
      </x:c>
      <x:c r="E1466" s="166" t="str">
        <x:f>IFERROR(INDEX('Classif Gestoras'!$H$6:$H$462,MATCH(D1466,'Classif Gestoras'!$A$6:$A$462,0)),"Não classificada")</x:f>
        <x:v>Independente</x:v>
      </x:c>
      <x:c r="F1466" s="166" t="str">
        <x:v>Singulare</x:v>
      </x:c>
      <x:c r="G1466" s="166" t="str">
        <x:v>QI CORRETORA DE TÍTULOS E VALORES MOBILIÁRIOS S.A.</x:v>
      </x:c>
      <x:c r="H1466" s="166" t="str">
        <x:v>Fomento Mercantil</x:v>
      </x:c>
      <x:c r="I1466" s="166" t="str">
        <x:v>Fomento Mercantil</x:v>
      </x:c>
      <x:c r="J1466" s="166" t="str">
        <x:v>CI</x:v>
      </x:c>
      <x:c r="K1466" s="172" t="n">
        <x:v>3</x:v>
      </x:c>
      <x:c r="L1466" s="185" t="str">
        <x:v>Não classificado</x:v>
      </x:c>
    </x:row>
    <x:row r="1467">
      <x:c r="A1467" s="175" t="str">
        <x:v>42.739.077/0001-28</x:v>
      </x:c>
      <x:c r="B1467" s="166" t="str">
        <x:v>FUNDO DE INVESTIMENTO EM DIREITOS CREDITÓRIOS EMPÍRICA LAUNCHPAD</x:v>
      </x:c>
      <x:c r="C1467" s="188" t="n">
        <x:v>60805813.07</x:v>
      </x:c>
      <x:c r="D1467" s="166" t="str">
        <x:v>REAG GESTÃO DE CRÉDITO</x:v>
      </x:c>
      <x:c r="E1467" s="166" t="str">
        <x:f>IFERROR(INDEX('Classif Gestoras'!$H$6:$H$462,MATCH(D1467,'Classif Gestoras'!$A$6:$A$462,0)),"Não classificada")</x:f>
        <x:v>Independente</x:v>
      </x:c>
      <x:c r="F1467" s="166" t="str">
        <x:v>Banvox DTVM</x:v>
      </x:c>
      <x:c r="G1467" s="166" t="str">
        <x:v>MERITO DISTRIBUIDORA DE TITULOS E VALORES MOBILIARIOS LTDA.</x:v>
      </x:c>
      <x:c r="H1467" s="166" t="str">
        <x:v>Outros</x:v>
      </x:c>
      <x:c r="I1467" s="166" t="str">
        <x:v>Multicarteira Outros</x:v>
      </x:c>
      <x:c r="J1467" s="166" t="str">
        <x:v>CI</x:v>
      </x:c>
      <x:c r="K1467" s="172" t="n">
        <x:v>2</x:v>
      </x:c>
      <x:c r="L1467" s="185" t="str">
        <x:v>Não classificado</x:v>
      </x:c>
    </x:row>
    <x:row r="1468">
      <x:c r="A1468" s="175" t="str">
        <x:v>13.039.712/0001-66</x:v>
      </x:c>
      <x:c r="B1468" s="166" t="str">
        <x:v>FUNDO DE INVESTIMENTO EM DIREITOS CREDITÓRIOS PREMIUM SOLIS - RESPONSABILIDADE LIMITADA</x:v>
      </x:c>
      <x:c r="C1468" s="188" t="n">
        <x:v>60665605.77</x:v>
      </x:c>
      <x:c r="D1468" s="166" t="str">
        <x:v>Solis</x:v>
      </x:c>
      <x:c r="E1468" s="166" t="str">
        <x:f>IFERROR(INDEX('Classif Gestoras'!$H$6:$H$462,MATCH(D1468,'Classif Gestoras'!$A$6:$A$462,0)),"Não classificada")</x:f>
        <x:v>Independente</x:v>
      </x:c>
      <x:c r="F1468" s="166" t="str">
        <x:v>HEMERA DTVM</x:v>
      </x:c>
      <x:c r="G1468" s="166" t="str">
        <x:v>HEMERA DISTRIBUIDORA DE TITULOS E VALORES MOBILIARIOS LTDA</x:v>
      </x:c>
      <x:c r="H1468" s="166" t="str">
        <x:v>Outros</x:v>
      </x:c>
      <x:c r="I1468" s="166" t="str">
        <x:v>Multicarteira Outros</x:v>
      </x:c>
      <x:c r="J1468" s="166" t="str">
        <x:v>CI</x:v>
      </x:c>
      <x:c r="K1468" s="172" t="n">
        <x:v>9</x:v>
      </x:c>
      <x:c r="L1468" s="185" t="str">
        <x:v>Não classificado</x:v>
      </x:c>
    </x:row>
    <x:row r="1469">
      <x:c r="A1469" s="175" t="str">
        <x:v>32.933.119/0001-03</x:v>
      </x:c>
      <x:c r="B1469" s="166" t="str">
        <x:v>AMPLIC FUNDO DE INVESTIMENTO EM DIREITOS CREDITÓRIOS</x:v>
      </x:c>
      <x:c r="C1469" s="188" t="n">
        <x:v>60578886.46999999</x:v>
      </x:c>
      <x:c r="D1469" s="166" t="str">
        <x:v>TERCON ASSET MANAGEMENT</x:v>
      </x:c>
      <x:c r="E1469" s="166" t="str">
        <x:f>IFERROR(INDEX('Classif Gestoras'!$H$6:$H$462,MATCH(D1469,'Classif Gestoras'!$A$6:$A$462,0)),"Não classificada")</x:f>
        <x:v>Independente</x:v>
      </x:c>
      <x:c r="F1469" s="166" t="str">
        <x:v>Limine Trust Distribuidora de Titulos e Valores Mobiliá</x:v>
      </x:c>
      <x:c r="G1469" s="166" t="str">
        <x:v>LIMINE TRUST DISTRIBUIDORA DE TITULOS E VALORES MOBILIARIOS LTDA.</x:v>
      </x:c>
      <x:c r="H1469" s="166" t="str">
        <x:v>Fomento Mercantil</x:v>
      </x:c>
      <x:c r="I1469" s="166" t="str">
        <x:v>Fomento Mercantil</x:v>
      </x:c>
      <x:c r="J1469" s="166" t="str">
        <x:v>CI</x:v>
      </x:c>
      <x:c r="K1469" s="172" t="n">
        <x:v>21</x:v>
      </x:c>
      <x:c r="L1469" s="185" t="str">
        <x:v>Não classificado</x:v>
      </x:c>
    </x:row>
    <x:row r="1470">
      <x:c r="A1470" s="175" t="str">
        <x:v>51.774.918/0001-29</x:v>
      </x:c>
      <x:c r="B1470" s="166" t="str">
        <x:v>AF6 FUNDO DE INVESTIMENTO EM DIREITOS CREDITÓRIOS NÃO-PADRONIZADO</x:v>
      </x:c>
      <x:c r="C1470" s="188" t="n">
        <x:v>60562069.84</x:v>
      </x:c>
      <x:c r="D1470" s="166" t="str">
        <x:v>Catálise Investimentos</x:v>
      </x:c>
      <x:c r="E1470" s="166" t="str">
        <x:f>IFERROR(INDEX('Classif Gestoras'!$H$6:$H$462,MATCH(D1470,'Classif Gestoras'!$A$6:$A$462,0)),"Não classificada")</x:f>
        <x:v>Independente</x:v>
      </x:c>
      <x:c r="F1470" s="166" t="str">
        <x:v>CATÁLISE DTVM</x:v>
      </x:c>
      <x:c r="G1470" s="166" t="str">
        <x:v>BANCO DAYCOVAL S.A.</x:v>
      </x:c>
      <x:c r="H1470" s="166" t="str">
        <x:v>Outros</x:v>
      </x:c>
      <x:c r="I1470" s="166" t="str">
        <x:v>Multicarteira Outros</x:v>
      </x:c>
      <x:c r="J1470" s="166" t="str">
        <x:v>CI</x:v>
      </x:c>
      <x:c r="K1470" s="172" t="n">
        <x:v>1</x:v>
      </x:c>
      <x:c r="L1470" s="185" t="str">
        <x:v>Não classificado</x:v>
      </x:c>
    </x:row>
    <x:row r="1471">
      <x:c r="A1471" s="175" t="str">
        <x:v>13.401.155/0001-81</x:v>
      </x:c>
      <x:c r="B1471" s="166" t="str">
        <x:v>IRON FUND II TWC FUNDO DE INVESTIMENTO EM DIREITOS CREDITÓRIOS</x:v>
      </x:c>
      <x:c r="C1471" s="188" t="n">
        <x:v>60510781.756</x:v>
      </x:c>
      <x:c r="D1471" s="166" t="str">
        <x:v>BTG PACTUAL GESTAO E CONSULTORIA DE INVESTIMENTOS</x:v>
      </x:c>
      <x:c r="E1471" s="166" t="str">
        <x:f>IFERROR(INDEX('Classif Gestoras'!$H$6:$H$462,MATCH(D1471,'Classif Gestoras'!$A$6:$A$462,0)),"Não classificada")</x:f>
        <x:v>Ligada a banco</x:v>
      </x:c>
      <x:c r="F1471" s="166" t="str">
        <x:v>BTG Pactual Servicos Financeiros S/A DTVM</x:v>
      </x:c>
      <x:c r="G1471" s="166" t="str">
        <x:v>BANCO BTG PACTUAL S/A</x:v>
      </x:c>
      <x:c r="H1471" s="166" t="str">
        <x:v>Outros</x:v>
      </x:c>
      <x:c r="I1471" s="166" t="str">
        <x:v>Multicarteira Outros</x:v>
      </x:c>
      <x:c r="J1471" s="166" t="str">
        <x:v>CI</x:v>
      </x:c>
      <x:c r="K1471" s="172" t="n">
        <x:v>2</x:v>
      </x:c>
      <x:c r="L1471" s="185" t="str">
        <x:v>Não classificado</x:v>
      </x:c>
    </x:row>
    <x:row r="1472">
      <x:c r="A1472" s="175" t="str">
        <x:v>09.236.210/0001-58</x:v>
      </x:c>
      <x:c r="B1472" s="166" t="str">
        <x:v>FUNDO DE INVESTIMENTO EM DIREITOS CREDITÓRIOS PRECATÓRIOS SELECIONADOS I</x:v>
      </x:c>
      <x:c r="C1472" s="188" t="n">
        <x:v>60465401.4641</x:v>
      </x:c>
      <x:c r="D1472" s="166" t="str">
        <x:v>JIVE INVESTMENTS</x:v>
      </x:c>
      <x:c r="E1472" s="166" t="str">
        <x:f>IFERROR(INDEX('Classif Gestoras'!$H$6:$H$462,MATCH(D1472,'Classif Gestoras'!$A$6:$A$462,0)),"Não classificada")</x:f>
        <x:v>Independente</x:v>
      </x:c>
      <x:c r="F1472" s="166" t="str">
        <x:v>BTG Pactual Servicos Financeiros S/A DTVM</x:v>
      </x:c>
      <x:c r="G1472" s="166" t="str">
        <x:v>BANCO BTG PACTUAL S/A</x:v>
      </x:c>
      <x:c r="H1472" s="166" t="str">
        <x:v>Outros</x:v>
      </x:c>
      <x:c r="I1472" s="166" t="str">
        <x:v>Multicarteira Outros</x:v>
      </x:c>
      <x:c r="J1472" s="166" t="str">
        <x:v>CI</x:v>
      </x:c>
      <x:c r="K1472" s="172" t="n">
        <x:v>2</x:v>
      </x:c>
      <x:c r="L1472" s="185" t="str">
        <x:v>Não classificado</x:v>
      </x:c>
    </x:row>
    <x:row r="1473">
      <x:c r="A1473" s="175" t="str">
        <x:v>42.867.116/0001-72</x:v>
      </x:c>
      <x:c r="B1473" s="166" t="str">
        <x:v>DUBLIN FUNDO INVESTIMENTO EM DIREITOS CREDITÓRIOS</x:v>
      </x:c>
      <x:c r="C1473" s="188" t="n">
        <x:v>60341818.77</x:v>
      </x:c>
      <x:c r="D1473" s="166" t="str">
        <x:v>Redwood Asset Management</x:v>
      </x:c>
      <x:c r="E1473" s="166" t="str">
        <x:f>IFERROR(INDEX('Classif Gestoras'!$H$6:$H$462,MATCH(D1473,'Classif Gestoras'!$A$6:$A$462,0)),"Não classificada")</x:f>
        <x:v>Independente</x:v>
      </x:c>
      <x:c r="F1473" s="166" t="str">
        <x:v>PLANNER CV</x:v>
      </x:c>
      <x:c r="G1473" s="166" t="str">
        <x:v>PLANNER CORRETORA DE VALORES S.A.</x:v>
      </x:c>
      <x:c r="H1473" s="166" t="str">
        <x:v>Outros</x:v>
      </x:c>
      <x:c r="I1473" s="166" t="str">
        <x:v>Multicarteira Outros</x:v>
      </x:c>
      <x:c r="J1473" s="166" t="str">
        <x:v>CI</x:v>
      </x:c>
      <x:c r="K1473" s="172" t="n">
        <x:v>3</x:v>
      </x:c>
      <x:c r="L1473" s="185" t="str">
        <x:v>Não classificado</x:v>
      </x:c>
    </x:row>
    <x:row r="1474">
      <x:c r="A1474" s="175" t="str">
        <x:v>09.221.411/0001-81</x:v>
      </x:c>
      <x:c r="B1474" s="166" t="str">
        <x:v>VERTIGO FUNDO DE INVESTIMENTO EM DIREITOS CREDITÓRIOS MULTISEGMENTOS</x:v>
      </x:c>
      <x:c r="C1474" s="188" t="n">
        <x:v>60321170.29000001</x:v>
      </x:c>
      <x:c r="D1474" s="166" t="str">
        <x:v>Petra Capital</x:v>
      </x:c>
      <x:c r="E1474" s="166" t="str">
        <x:f>IFERROR(INDEX('Classif Gestoras'!$H$6:$H$462,MATCH(D1474,'Classif Gestoras'!$A$6:$A$462,0)),"Não classificada")</x:f>
        <x:v>Independente</x:v>
      </x:c>
      <x:c r="F1474" s="166" t="str">
        <x:v>Banco Finaxis S.A.</x:v>
      </x:c>
      <x:c r="G1474" s="166" t="str">
        <x:v>BANCO FINAXIS S.A.</x:v>
      </x:c>
      <x:c r="H1474" s="166" t="str">
        <x:v>Fomento Mercantil</x:v>
      </x:c>
      <x:c r="I1474" s="166" t="str">
        <x:v>Fomento Mercantil</x:v>
      </x:c>
      <x:c r="J1474" s="166" t="str">
        <x:v>CI</x:v>
      </x:c>
      <x:c r="K1474" s="172" t="n">
        <x:v>7</x:v>
      </x:c>
      <x:c r="L1474" s="185" t="str">
        <x:v>Não classificado</x:v>
      </x:c>
    </x:row>
    <x:row r="1475">
      <x:c r="A1475" s="175" t="str">
        <x:v>28.796.939/0001-23</x:v>
      </x:c>
      <x:c r="B1475" s="166" t="str">
        <x:v>FUNDO DE INVESTIMENTO EM DIREITOS CREDITÓRIOS ANGÁ MULTIESTRATÉGIA I DE RESPONSABILIDADE LIMITADA</x:v>
      </x:c>
      <x:c r="C1475" s="188" t="n">
        <x:v>60226781.34</x:v>
      </x:c>
      <x:c r="D1475" s="166" t="str">
        <x:v>ANGÁ ASSET MANAGEMENT</x:v>
      </x:c>
      <x:c r="E1475" s="166" t="str">
        <x:f>IFERROR(INDEX('Classif Gestoras'!$H$6:$H$462,MATCH(D1475,'Classif Gestoras'!$A$6:$A$462,0)),"Não classificada")</x:f>
        <x:v>Independente</x:v>
      </x:c>
      <x:c r="F1475" s="166" t="str">
        <x:v>BANCO DAYCOVAL S/A</x:v>
      </x:c>
      <x:c r="G1475" s="166" t="str">
        <x:v>BANCO DAYCOVAL S.A.</x:v>
      </x:c>
      <x:c r="H1475" s="166" t="str">
        <x:v>Outros</x:v>
      </x:c>
      <x:c r="I1475" s="166" t="str">
        <x:v>Multicarteira Outros</x:v>
      </x:c>
      <x:c r="J1475" s="166" t="str">
        <x:v>CI</x:v>
      </x:c>
      <x:c r="K1475" s="172" t="n">
        <x:v>36</x:v>
      </x:c>
      <x:c r="L1475" s="185" t="str">
        <x:v>Não classificado</x:v>
      </x:c>
    </x:row>
    <x:row r="1476">
      <x:c r="A1476" s="175" t="str">
        <x:v>46.268.360/0001-70</x:v>
      </x:c>
      <x:c r="B1476" s="166" t="str">
        <x:v>CEDAR OCTANTE FUNDO DE INVESTIMENTO EM DIREITOS CREDITÓRIOS</x:v>
      </x:c>
      <x:c r="C1476" s="188" t="n">
        <x:v>60194833.36</x:v>
      </x:c>
      <x:c r="D1476" s="166" t="str">
        <x:v>Octante Capital</x:v>
      </x:c>
      <x:c r="E1476" s="166" t="str">
        <x:f>IFERROR(INDEX('Classif Gestoras'!$H$6:$H$462,MATCH(D1476,'Classif Gestoras'!$A$6:$A$462,0)),"Não classificada")</x:f>
        <x:v>Independente</x:v>
      </x:c>
      <x:c r="F1476" s="166" t="str">
        <x:v>VÓRTX DTVM</x:v>
      </x:c>
      <x:c r="G1476" s="166" t="str">
        <x:v>VORTX DISTRIBUIDORA DE TITULOS E VALORES MOBILIARIOS LTDA.</x:v>
      </x:c>
      <x:c r="H1476" s="166" t="str">
        <x:v>Agro, Indústria e Comércio</x:v>
      </x:c>
      <x:c r="I1476" s="166" t="str">
        <x:v>Multicarteira Agro, Indústria e Comércio</x:v>
      </x:c>
      <x:c r="J1476" s="166" t="str">
        <x:v>CI</x:v>
      </x:c>
      <x:c r="K1476" s="172" t="n">
        <x:v>66</x:v>
      </x:c>
      <x:c r="L1476" s="185" t="str">
        <x:v>Não classificado</x:v>
      </x:c>
    </x:row>
    <x:row r="1477">
      <x:c r="A1477" s="175" t="str">
        <x:v>54.618.084/0001-50</x:v>
      </x:c>
      <x:c r="B1477" s="166" t="str">
        <x:v>BONTEMPO FUNDO DE INVESTIMENTO EM DIREITOS CREDITÓRIOS DE RESPONSABILIDADE LIMITADA</x:v>
      </x:c>
      <x:c r="C1477" s="188" t="n">
        <x:v>60160312.55</x:v>
      </x:c>
      <x:c r="D1477" s="166" t="str">
        <x:v>Catálise Investimentos</x:v>
      </x:c>
      <x:c r="E1477" s="166" t="str">
        <x:f>IFERROR(INDEX('Classif Gestoras'!$H$6:$H$462,MATCH(D1477,'Classif Gestoras'!$A$6:$A$462,0)),"Não classificada")</x:f>
        <x:v>Independente</x:v>
      </x:c>
      <x:c r="F1477" s="166" t="str">
        <x:v>CATÁLISE DTVM</x:v>
      </x:c>
      <x:c r="G1477" s="166" t="str">
        <x:v>BANCO DAYCOVAL S.A.</x:v>
      </x:c>
      <x:c r="H1477" s="166" t="str">
        <x:v>Agro, Indústria e Comércio</x:v>
      </x:c>
      <x:c r="I1477" s="166" t="str">
        <x:v>Recebíveis Comerciais</x:v>
      </x:c>
      <x:c r="J1477" s="166" t="str">
        <x:v>CI</x:v>
      </x:c>
      <x:c r="K1477" s="172" t="n">
        <x:v>1</x:v>
      </x:c>
      <x:c r="L1477" s="185" t="str">
        <x:v>Não classificado</x:v>
      </x:c>
    </x:row>
    <x:row r="1478">
      <x:c r="A1478" s="175" t="str">
        <x:v>43.143.355/0001-42</x:v>
      </x:c>
      <x:c r="B1478" s="166" t="str">
        <x:v>VLTZ I FUNDO DE INVESTIMENTO EM DIREITOS CREDITÓRIOS NÃO PADRONIZADO</x:v>
      </x:c>
      <x:c r="C1478" s="188" t="n">
        <x:v>60131234.57</x:v>
      </x:c>
      <x:c r="D1478" s="166" t="str">
        <x:v>POLÍGONO CAPITAL LTDA.</x:v>
      </x:c>
      <x:c r="E1478" s="166" t="str">
        <x:f>IFERROR(INDEX('Classif Gestoras'!$H$6:$H$462,MATCH(D1478,'Classif Gestoras'!$A$6:$A$462,0)),"Não classificada")</x:f>
        <x:v>Independente</x:v>
      </x:c>
      <x:c r="F1478" s="166" t="str">
        <x:v>Finvest Digital</x:v>
      </x:c>
      <x:c r="G1478" s="166" t="str">
        <x:v>FINVEST DISTRIBUIDORA DE TÍTULOS E VALORES MOBILIÁRIOS LTDA.</x:v>
      </x:c>
      <x:c r="H1478" s="166" t="str">
        <x:v>Financeiro</x:v>
      </x:c>
      <x:c r="I1478" s="166" t="str">
        <x:v>Multicarteira Financeiro</x:v>
      </x:c>
      <x:c r="J1478" s="166" t="str">
        <x:v>CI</x:v>
      </x:c>
      <x:c r="K1478" s="172" t="n">
        <x:v>2</x:v>
      </x:c>
      <x:c r="L1478" s="185" t="str">
        <x:v>Não classificado</x:v>
      </x:c>
    </x:row>
    <x:row r="1479">
      <x:c r="A1479" s="175" t="str">
        <x:v>61.068.908/0001-21</x:v>
      </x:c>
      <x:c r="B1479" s="166" t="str">
        <x:v>TAXATION MIND FUNDO DE INVESTIMENTO EM DIREITOS CREDITÓRIOS</x:v>
      </x:c>
      <x:c r="C1479" s="188" t="n">
        <x:v>60070621.07</x:v>
      </x:c>
      <x:c r="D1479" s="166" t="str">
        <x:v>Redwood Asset Management</x:v>
      </x:c>
      <x:c r="E1479" s="166" t="str">
        <x:f>IFERROR(INDEX('Classif Gestoras'!$H$6:$H$462,MATCH(D1479,'Classif Gestoras'!$A$6:$A$462,0)),"Não classificada")</x:f>
        <x:v>Independente</x:v>
      </x:c>
      <x:c r="F1479" s="166" t="str">
        <x:v>PLANNER CV</x:v>
      </x:c>
      <x:c r="G1479" s="166" t="str">
        <x:v>PLANNER CORRETORA DE VALORES S.A.</x:v>
      </x:c>
      <x:c r="H1479" s="166" t="str">
        <x:v>Outros</x:v>
      </x:c>
      <x:c r="I1479" s="166" t="str">
        <x:v>Multicarteira Outros</x:v>
      </x:c>
      <x:c r="J1479" s="166" t="str">
        <x:v>CI</x:v>
      </x:c>
      <x:c r="K1479" s="172" t="n">
        <x:v>5</x:v>
      </x:c>
      <x:c r="L1479" s="185" t="str">
        <x:v>Não classificado</x:v>
      </x:c>
    </x:row>
    <x:row r="1480">
      <x:c r="A1480" s="175" t="str">
        <x:v>38.612.809/0001-47</x:v>
      </x:c>
      <x:c r="B1480" s="166" t="str">
        <x:v>GETNET FUNDO DE INVESTIMENTO EM DIREITOS CREDITÓRIOS RESPONSABILIDADE LIMITADA</x:v>
      </x:c>
      <x:c r="C1480" s="188" t="n">
        <x:v>60059733.580000006</x:v>
      </x:c>
      <x:c r="D1480" s="166" t="str">
        <x:v>VERT Gestora de Recursos Financeiros Ltda.</x:v>
      </x:c>
      <x:c r="E1480" s="166" t="str">
        <x:f>IFERROR(INDEX('Classif Gestoras'!$H$6:$H$462,MATCH(D1480,'Classif Gestoras'!$A$6:$A$462,0)),"Não classificada")</x:f>
        <x:v>Independente</x:v>
      </x:c>
      <x:c r="F1480" s="166" t="str">
        <x:v>BRL TRUST DTVM</x:v>
      </x:c>
      <x:c r="G1480" s="166" t="str">
        <x:v>BRL TRUST DISTRIBUIDORA DE TITULOS E VALORES MOBILIARIOS S.A.</x:v>
      </x:c>
      <x:c r="H1480" s="166" t="str">
        <x:v>Agro, Indústria e Comércio</x:v>
      </x:c>
      <x:c r="I1480" s="166" t="str">
        <x:v>Recebíveis Comerciais</x:v>
      </x:c>
      <x:c r="J1480" s="166" t="str">
        <x:v>CI</x:v>
      </x:c>
      <x:c r="K1480" s="172" t="n">
        <x:v>1</x:v>
      </x:c>
      <x:c r="L1480" s="185" t="str">
        <x:v>Não classificado</x:v>
      </x:c>
    </x:row>
    <x:row r="1481">
      <x:c r="A1481" s="175" t="str">
        <x:v>40.155.056/0001-30</x:v>
      </x:c>
      <x:c r="B1481" s="166" t="str">
        <x:v>TERA PERFORMANCE FUNDO DE INVESTIMENTO EM DIREITOS CREDITÓRIOS MULTISSETORIAL LP</x:v>
      </x:c>
      <x:c r="C1481" s="188" t="n">
        <x:v>60033849.41999999</x:v>
      </x:c>
      <x:c r="D1481" s="166" t="str">
        <x:v>TERCON ASSET MANAGEMENT</x:v>
      </x:c>
      <x:c r="E1481" s="166" t="str">
        <x:f>IFERROR(INDEX('Classif Gestoras'!$H$6:$H$462,MATCH(D1481,'Classif Gestoras'!$A$6:$A$462,0)),"Não classificada")</x:f>
        <x:v>Independente</x:v>
      </x:c>
      <x:c r="F1481" s="166" t="str">
        <x:v>Singulare</x:v>
      </x:c>
      <x:c r="G1481" s="166" t="str">
        <x:v>QI CORRETORA DE TÍTULOS E VALORES MOBILIÁRIOS S.A.</x:v>
      </x:c>
      <x:c r="H1481" s="166" t="str">
        <x:v>Fomento Mercantil</x:v>
      </x:c>
      <x:c r="I1481" s="166" t="str">
        <x:v>Fomento Mercantil</x:v>
      </x:c>
      <x:c r="J1481" s="166" t="str">
        <x:v>CI</x:v>
      </x:c>
      <x:c r="K1481" s="172" t="n">
        <x:v>33</x:v>
      </x:c>
      <x:c r="L1481" s="185" t="str">
        <x:v>Não classificado</x:v>
      </x:c>
    </x:row>
    <x:row r="1482">
      <x:c r="A1482" s="175" t="str">
        <x:v>66.282.853/0001-71</x:v>
      </x:c>
      <x:c r="B1482" s="166" t="str">
        <x:v>BTG LEGATO CW II FUNDO DE INVESTIMENTO EM DIREITOS CREDITÓRIOS</x:v>
      </x:c>
      <x:c r="C1482" s="188" t="n">
        <x:v>59933941</x:v>
      </x:c>
      <x:c r="D1482" s="166" t="str">
        <x:v>BTG Pactual Asset</x:v>
      </x:c>
      <x:c r="E1482" s="166" t="str">
        <x:f>IFERROR(INDEX('Classif Gestoras'!$H$6:$H$462,MATCH(D1482,'Classif Gestoras'!$A$6:$A$462,0)),"Não classificada")</x:f>
        <x:v>Ligada a banco</x:v>
      </x:c>
      <x:c r="F1482" s="166" t="str">
        <x:v>BTG Pactual Servicos Financeiros S/A DTVM</x:v>
      </x:c>
      <x:c r="G1482" s="166" t="str">
        <x:v>BANCO BTG PACTUAL S/A</x:v>
      </x:c>
      <x:c r="H1482" s="166" t="str">
        <x:v>Outros</x:v>
      </x:c>
      <x:c r="I1482" s="166" t="str">
        <x:v>Multicarteira Outros</x:v>
      </x:c>
      <x:c r="J1482" s="166" t="str">
        <x:v>CI</x:v>
      </x:c>
      <x:c r="K1482" s="172" t="n">
        <x:v>2</x:v>
      </x:c>
      <x:c r="L1482" s="185" t="str">
        <x:v>Não classificado</x:v>
      </x:c>
    </x:row>
    <x:row r="1483">
      <x:c r="A1483" s="175" t="str">
        <x:v>42.500.440/0001-58</x:v>
      </x:c>
      <x:c r="B1483" s="166" t="str">
        <x:v>CNPJ 42500440000158</x:v>
      </x:c>
      <x:c r="C1483" s="188" t="n">
        <x:v>59789007.96</x:v>
      </x:c>
      <x:c r="D1483" s="166" t="str">
        <x:v>Emerald Gestão de Investimento</x:v>
      </x:c>
      <x:c r="E1483" s="166" t="str">
        <x:f>IFERROR(INDEX('Classif Gestoras'!$H$6:$H$462,MATCH(D1483,'Classif Gestoras'!$A$6:$A$462,0)),"Não classificada")</x:f>
        <x:v>Independente</x:v>
      </x:c>
      <x:c r="F1483" s="166" t="str">
        <x:v>BANCO J. SAFRA S/A</x:v>
      </x:c>
      <x:c r="G1483" s="166" t="str">
        <x:v>Não identificado</x:v>
      </x:c>
      <x:c r="H1483" s="166" t="str">
        <x:v>Outros</x:v>
      </x:c>
      <x:c r="I1483" s="166" t="str">
        <x:v>Poder Público</x:v>
      </x:c>
      <x:c r="J1483" s="166" t="str">
        <x:v>CI</x:v>
      </x:c>
      <x:c r="K1483" s="172"/>
      <x:c r="L1483" s="185" t="str">
        <x:v>Não classificado</x:v>
      </x:c>
    </x:row>
    <x:row r="1484">
      <x:c r="A1484" s="175" t="str">
        <x:v>56.075.525/0001-40</x:v>
      </x:c>
      <x:c r="B1484" s="166" t="str">
        <x:v>RESPLENDOR FUNDO DE INVESTIMENTO EM DIREITOS CREDITÓRIOS - RESPONSABILIDADE LIMITADA</x:v>
      </x:c>
      <x:c r="C1484" s="188" t="n">
        <x:v>59720139.05</x:v>
      </x:c>
      <x:c r="D1484" s="166" t="str">
        <x:v>OURO PRETO INVESTIMENTOS</x:v>
      </x:c>
      <x:c r="E1484" s="166" t="str">
        <x:f>IFERROR(INDEX('Classif Gestoras'!$H$6:$H$462,MATCH(D1484,'Classif Gestoras'!$A$6:$A$462,0)),"Não classificada")</x:f>
        <x:v>Independente</x:v>
      </x:c>
      <x:c r="F1484" s="166" t="str">
        <x:v>Limine Trust Distribuidora de Titulos e Valores Mobiliá</x:v>
      </x:c>
      <x:c r="G1484" s="166" t="str">
        <x:v>LIMINE TRUST DISTRIBUIDORA DE TITULOS E VALORES MOBILIARIOS LTDA.</x:v>
      </x:c>
      <x:c r="H1484" s="166" t="str">
        <x:v>Outros</x:v>
      </x:c>
      <x:c r="I1484" s="166" t="str">
        <x:v>Multicarteira Outros</x:v>
      </x:c>
      <x:c r="J1484" s="166" t="str">
        <x:v>CI</x:v>
      </x:c>
      <x:c r="K1484" s="172" t="n">
        <x:v>1</x:v>
      </x:c>
      <x:c r="L1484" s="185" t="str">
        <x:v>Não classificado</x:v>
      </x:c>
    </x:row>
    <x:row r="1485">
      <x:c r="A1485" s="175" t="str">
        <x:v>58.583.926/0001-37</x:v>
      </x:c>
      <x:c r="B1485" s="166" t="str">
        <x:v>FUNDO DE INVESTIMENTO EM DIREITOS CREDITÓRIOS AMETISTA RESPONSABILIDADE LIMITADA</x:v>
      </x:c>
      <x:c r="C1485" s="188" t="n">
        <x:v>59718035.16</x:v>
      </x:c>
      <x:c r="D1485" s="166" t="str">
        <x:v>PATAGÔNIA CAPITAL</x:v>
      </x:c>
      <x:c r="E1485" s="166" t="str">
        <x:f>IFERROR(INDEX('Classif Gestoras'!$H$6:$H$462,MATCH(D1485,'Classif Gestoras'!$A$6:$A$462,0)),"Não classificada")</x:f>
        <x:v>Independente</x:v>
      </x:c>
      <x:c r="F1485" s="166" t="str">
        <x:v>VÓRTX DTVM</x:v>
      </x:c>
      <x:c r="G1485" s="166" t="str">
        <x:v>VORTX DISTRIBUIDORA DE TITULOS E VALORES MOBILIARIOS LTDA.</x:v>
      </x:c>
      <x:c r="H1485" s="166" t="str">
        <x:v>Outros</x:v>
      </x:c>
      <x:c r="I1485" s="166" t="str">
        <x:v>Multicarteira Outros</x:v>
      </x:c>
      <x:c r="J1485" s="166" t="str">
        <x:v>CI</x:v>
      </x:c>
      <x:c r="K1485" s="172" t="n">
        <x:v>1</x:v>
      </x:c>
      <x:c r="L1485" s="185" t="str">
        <x:v>Não classificado</x:v>
      </x:c>
    </x:row>
    <x:row r="1486">
      <x:c r="A1486" s="175" t="str">
        <x:v>25.248.974/0001-10</x:v>
      </x:c>
      <x:c r="B1486" s="166" t="str">
        <x:v>FUNDO DE INVESTIMENTO EM DIREITOS CREDITÓRIOS ANGÁ SABEMI CONSIGNADOS VI - RESPONSABILIDADE LIMITADA</x:v>
      </x:c>
      <x:c r="C1486" s="188" t="n">
        <x:v>59563305.59</x:v>
      </x:c>
      <x:c r="D1486" s="166" t="str">
        <x:v>ANGÁ ASSET MANAGEMENT</x:v>
      </x:c>
      <x:c r="E1486" s="166" t="str">
        <x:f>IFERROR(INDEX('Classif Gestoras'!$H$6:$H$462,MATCH(D1486,'Classif Gestoras'!$A$6:$A$462,0)),"Não classificada")</x:f>
        <x:v>Independente</x:v>
      </x:c>
      <x:c r="F1486" s="166" t="str">
        <x:v>Oliveira Trust DTVM</x:v>
      </x:c>
      <x:c r="G1486" s="166" t="str">
        <x:v>OLIVEIRA TRUST DTVM S.A.</x:v>
      </x:c>
      <x:c r="H1486" s="166" t="str">
        <x:v>Financeiro</x:v>
      </x:c>
      <x:c r="I1486" s="166" t="str">
        <x:v>Crédito Consignado</x:v>
      </x:c>
      <x:c r="J1486" s="166" t="str">
        <x:v>CI</x:v>
      </x:c>
      <x:c r="K1486" s="172" t="n">
        <x:v>60</x:v>
      </x:c>
      <x:c r="L1486" s="185" t="str">
        <x:v>Não classificado</x:v>
      </x:c>
    </x:row>
    <x:row r="1487">
      <x:c r="A1487" s="175" t="str">
        <x:v>45.963.673/0001-85</x:v>
      </x:c>
      <x:c r="B1487" s="166" t="str">
        <x:v>K-FUNDO DE INVESTIMENTO EM DIREITOS CREDITÓRIOS - RESP LIMITADA CRÉDITO PESSOAL</x:v>
      </x:c>
      <x:c r="C1487" s="188" t="n">
        <x:v>59551338.64</x:v>
      </x:c>
      <x:c r="D1487" s="166" t="str">
        <x:v>VERT Gestora de Recursos Financeiros Ltda.</x:v>
      </x:c>
      <x:c r="E1487" s="166" t="str">
        <x:f>IFERROR(INDEX('Classif Gestoras'!$H$6:$H$462,MATCH(D1487,'Classif Gestoras'!$A$6:$A$462,0)),"Não classificada")</x:f>
        <x:v>Independente</x:v>
      </x:c>
      <x:c r="F1487" s="166" t="str">
        <x:v>Banco Genial S.A.</x:v>
      </x:c>
      <x:c r="G1487" s="166" t="str">
        <x:v>BANCO GENIAL S.A.</x:v>
      </x:c>
      <x:c r="H1487" s="166" t="str">
        <x:v>Financeiro</x:v>
      </x:c>
      <x:c r="I1487" s="166" t="str">
        <x:v>Crédito Pessoal</x:v>
      </x:c>
      <x:c r="J1487" s="166" t="str">
        <x:v>CI</x:v>
      </x:c>
      <x:c r="K1487" s="172" t="n">
        <x:v>27</x:v>
      </x:c>
      <x:c r="L1487" s="185" t="str">
        <x:v>Não classificado</x:v>
      </x:c>
    </x:row>
    <x:row r="1488">
      <x:c r="A1488" s="175" t="str">
        <x:v>59.870.750/0001-67</x:v>
      </x:c>
      <x:c r="B1488" s="166" t="str">
        <x:v>ALOHA FUNDO DE INVESTIMENTO EM DIREITOS CREDITÓRIOS</x:v>
      </x:c>
      <x:c r="C1488" s="188" t="n">
        <x:v>59475743.169999994</x:v>
      </x:c>
      <x:c r="D1488" s="166" t="str">
        <x:v>ASSET MANAGEMENT</x:v>
      </x:c>
      <x:c r="E1488" s="166" t="str">
        <x:f>IFERROR(INDEX('Classif Gestoras'!$H$6:$H$462,MATCH(D1488,'Classif Gestoras'!$A$6:$A$462,0)),"Não classificada")</x:f>
        <x:v>Independente</x:v>
      </x:c>
      <x:c r="F1488" s="166" t="str">
        <x:v>AZUMI DISTRIBUIDORA DE TÍTULOS E VALORES MOBILIÁRIOS LT</x:v>
      </x:c>
      <x:c r="G1488" s="166" t="str">
        <x:v>AZUMI DISTRIBUIDORA DE TÍTULOS E VALORES MOBILIÁRIOS LTDA.</x:v>
      </x:c>
      <x:c r="H1488" s="166" t="str">
        <x:v>Outros</x:v>
      </x:c>
      <x:c r="I1488" s="166" t="str">
        <x:v>Multicarteira Outros</x:v>
      </x:c>
      <x:c r="J1488" s="166" t="str">
        <x:v>CI</x:v>
      </x:c>
      <x:c r="K1488" s="172" t="n">
        <x:v>3</x:v>
      </x:c>
      <x:c r="L1488" s="185" t="str">
        <x:v>Não classificado</x:v>
      </x:c>
    </x:row>
    <x:row r="1489">
      <x:c r="A1489" s="175" t="str">
        <x:v>32.311.976/0001-71</x:v>
      </x:c>
      <x:c r="B1489" s="166" t="str">
        <x:v>FUNDO DE INVESTIMENTO EM DIREITOS CREDITÓRIOS CREDIBLUE-GENIAL</x:v>
      </x:c>
      <x:c r="C1489" s="188" t="n">
        <x:v>59461675.44</x:v>
      </x:c>
      <x:c r="D1489" s="166" t="str">
        <x:v>GENIAL GESTÃO LTDA.</x:v>
      </x:c>
      <x:c r="E1489" s="166" t="str">
        <x:f>IFERROR(INDEX('Classif Gestoras'!$H$6:$H$462,MATCH(D1489,'Classif Gestoras'!$A$6:$A$462,0)),"Não classificada")</x:f>
        <x:v>Ligada a banco</x:v>
      </x:c>
      <x:c r="F1489" s="166" t="str">
        <x:v>Banco Genial S.A.</x:v>
      </x:c>
      <x:c r="G1489" s="166" t="str">
        <x:v>BANCO GENIAL S.A.</x:v>
      </x:c>
      <x:c r="H1489" s="166" t="str">
        <x:v>Financeiro</x:v>
      </x:c>
      <x:c r="I1489" s="166" t="str">
        <x:v>Crédito Imobiliário</x:v>
      </x:c>
      <x:c r="J1489" s="166" t="str">
        <x:v>CI</x:v>
      </x:c>
      <x:c r="K1489" s="172" t="n">
        <x:v>3</x:v>
      </x:c>
      <x:c r="L1489" s="185" t="str">
        <x:v>Não classificado</x:v>
      </x:c>
    </x:row>
    <x:row r="1490">
      <x:c r="A1490" s="175" t="str">
        <x:v>42.479.713/0001-20</x:v>
      </x:c>
      <x:c r="B1490" s="166" t="str">
        <x:v>VELSO FUNDO DE INVESTIMENTO EM DIREITOS CREDITÓRIOS DE RESPONSABILIDADE LIMITADA</x:v>
      </x:c>
      <x:c r="C1490" s="188" t="n">
        <x:v>59403825.2</x:v>
      </x:c>
      <x:c r="D1490" s="166" t="str">
        <x:v>Catálise Investimentos</x:v>
      </x:c>
      <x:c r="E1490" s="166" t="str">
        <x:f>IFERROR(INDEX('Classif Gestoras'!$H$6:$H$462,MATCH(D1490,'Classif Gestoras'!$A$6:$A$462,0)),"Não classificada")</x:f>
        <x:v>Independente</x:v>
      </x:c>
      <x:c r="F1490" s="166" t="str">
        <x:v>CATÁLISE DTVM</x:v>
      </x:c>
      <x:c r="G1490" s="166" t="str">
        <x:v>BANCO DAYCOVAL S.A.</x:v>
      </x:c>
      <x:c r="H1490" s="166" t="str">
        <x:v>Agro, Indústria e Comércio</x:v>
      </x:c>
      <x:c r="I1490" s="166" t="str">
        <x:v>Multicarteira Agro, Indústria e Comércio</x:v>
      </x:c>
      <x:c r="J1490" s="166" t="str">
        <x:v>CI</x:v>
      </x:c>
      <x:c r="K1490" s="172" t="n">
        <x:v>1</x:v>
      </x:c>
      <x:c r="L1490" s="185" t="str">
        <x:v>Não classificado</x:v>
      </x:c>
    </x:row>
    <x:row r="1491">
      <x:c r="A1491" s="175" t="str">
        <x:v>57.506.211/0001-18</x:v>
      </x:c>
      <x:c r="B1491" s="166" t="str">
        <x:v>NOVA FUNDO DE INVESTIMENTO EM DIREITOS CREDITÓRIOS SERVIÇOS RESPONSABILIDADE LIMITADA</x:v>
      </x:c>
      <x:c r="C1491" s="188" t="n">
        <x:v>59281583.669999994</x:v>
      </x:c>
      <x:c r="D1491" s="166" t="str">
        <x:v>VALORA RENDA FIXA ESTRUTURADOS LTDA.</x:v>
      </x:c>
      <x:c r="E1491" s="166" t="str">
        <x:f>IFERROR(INDEX('Classif Gestoras'!$H$6:$H$462,MATCH(D1491,'Classif Gestoras'!$A$6:$A$462,0)),"Não classificada")</x:f>
        <x:v>Independente</x:v>
      </x:c>
      <x:c r="F1491" s="166" t="str">
        <x:v>ID Corretora de Títulos e Valores Mobiliários S.A.</x:v>
      </x:c>
      <x:c r="G1491" s="166" t="str">
        <x:v>BANCO DAYCOVAL S.A.</x:v>
      </x:c>
      <x:c r="H1491" s="166" t="str">
        <x:v>Financeiro</x:v>
      </x:c>
      <x:c r="I1491" s="166" t="str">
        <x:v>Financiamento de Veículos</x:v>
      </x:c>
      <x:c r="J1491" s="166" t="str">
        <x:v>CI</x:v>
      </x:c>
      <x:c r="K1491" s="172" t="n">
        <x:v>16</x:v>
      </x:c>
      <x:c r="L1491" s="185" t="str">
        <x:v>Não classificado</x:v>
      </x:c>
    </x:row>
    <x:row r="1492">
      <x:c r="A1492" s="175" t="str">
        <x:v>43.140.980/0001-30</x:v>
      </x:c>
      <x:c r="B1492" s="166" t="str">
        <x:v>SERRAMBI FUNDO DE INVESTIMENTO EM DIREITOS CREDITÓRIOS RESPONSABILIDADE LIMITADA</x:v>
      </x:c>
      <x:c r="C1492" s="188" t="n">
        <x:v>59166591.19</x:v>
      </x:c>
      <x:c r="D1492" s="166" t="str">
        <x:v>Portofino Multi Family Office</x:v>
      </x:c>
      <x:c r="E1492" s="166" t="str">
        <x:f>IFERROR(INDEX('Classif Gestoras'!$H$6:$H$462,MATCH(D1492,'Classif Gestoras'!$A$6:$A$462,0)),"Não classificada")</x:f>
        <x:v>Independente</x:v>
      </x:c>
      <x:c r="F1492" s="166" t="str">
        <x:v>BANCO DAYCOVAL S/A</x:v>
      </x:c>
      <x:c r="G1492" s="166" t="str">
        <x:v>BANCO DAYCOVAL S.A.</x:v>
      </x:c>
      <x:c r="H1492" s="166" t="str">
        <x:v>Outros</x:v>
      </x:c>
      <x:c r="I1492" s="166" t="str">
        <x:v>Multicarteira Outros</x:v>
      </x:c>
      <x:c r="J1492" s="166" t="str">
        <x:v>CI</x:v>
      </x:c>
      <x:c r="K1492" s="172" t="n">
        <x:v>1</x:v>
      </x:c>
      <x:c r="L1492" s="185" t="str">
        <x:v>Não classificado</x:v>
      </x:c>
    </x:row>
    <x:row r="1493">
      <x:c r="A1493" s="175" t="str">
        <x:v>55.106.451/0001-08</x:v>
      </x:c>
      <x:c r="B1493" s="166" t="str">
        <x:v>CAPITALIZA FUNDO DE INVESTIMENTO EM DIREITOS CREDITÓRIOS DE RESPONSABILIDADE LIMITADA</x:v>
      </x:c>
      <x:c r="C1493" s="188" t="n">
        <x:v>59051359.25</x:v>
      </x:c>
      <x:c r="D1493" s="166" t="str">
        <x:v>Catálise Investimentos</x:v>
      </x:c>
      <x:c r="E1493" s="166" t="str">
        <x:f>IFERROR(INDEX('Classif Gestoras'!$H$6:$H$462,MATCH(D1493,'Classif Gestoras'!$A$6:$A$462,0)),"Não classificada")</x:f>
        <x:v>Independente</x:v>
      </x:c>
      <x:c r="F1493" s="166" t="str">
        <x:v>CATÁLISE DTVM</x:v>
      </x:c>
      <x:c r="G1493" s="166" t="str">
        <x:v>BANCO DAYCOVAL S.A.</x:v>
      </x:c>
      <x:c r="H1493" s="166" t="str">
        <x:v>Agro, Indústria e Comércio</x:v>
      </x:c>
      <x:c r="I1493" s="166" t="str">
        <x:v>Recebíveis Comerciais</x:v>
      </x:c>
      <x:c r="J1493" s="166" t="str">
        <x:v>CI</x:v>
      </x:c>
      <x:c r="K1493" s="172" t="n">
        <x:v>2</x:v>
      </x:c>
      <x:c r="L1493" s="185" t="str">
        <x:v>Não classificado</x:v>
      </x:c>
    </x:row>
    <x:row r="1494">
      <x:c r="A1494" s="175" t="str">
        <x:v>52.766.910/0001-83</x:v>
      </x:c>
      <x:c r="B1494" s="166" t="str">
        <x:v>BELL FUNDO DE INVESTIMENTO EM DIREITOS CREDITÓRIOS</x:v>
      </x:c>
      <x:c r="C1494" s="188" t="n">
        <x:v>58931629.669999994</x:v>
      </x:c>
      <x:c r="D1494" s="166" t="str">
        <x:v>Catálise Investimentos</x:v>
      </x:c>
      <x:c r="E1494" s="166" t="str">
        <x:f>IFERROR(INDEX('Classif Gestoras'!$H$6:$H$462,MATCH(D1494,'Classif Gestoras'!$A$6:$A$462,0)),"Não classificada")</x:f>
        <x:v>Independente</x:v>
      </x:c>
      <x:c r="F1494" s="166" t="str">
        <x:v>CATÁLISE DTVM</x:v>
      </x:c>
      <x:c r="G1494" s="166" t="str">
        <x:v>BANCO DAYCOVAL S.A.</x:v>
      </x:c>
      <x:c r="H1494" s="166" t="str">
        <x:v>Agro, Indústria e Comércio</x:v>
      </x:c>
      <x:c r="I1494" s="166" t="str">
        <x:v>Recebíveis Comerciais</x:v>
      </x:c>
      <x:c r="J1494" s="166" t="str">
        <x:v>CI</x:v>
      </x:c>
      <x:c r="K1494" s="172" t="n">
        <x:v>1</x:v>
      </x:c>
      <x:c r="L1494" s="185" t="str">
        <x:v>Não classificado</x:v>
      </x:c>
    </x:row>
    <x:row r="1495">
      <x:c r="A1495" s="175" t="str">
        <x:v>28.549.975/0001-92</x:v>
      </x:c>
      <x:c r="B1495" s="166" t="str">
        <x:v>AGHI FUNDO DE INVESTIMENTO EM DIREITOS CREDITÓRIOS NÃO-PADRONIZADOS</x:v>
      </x:c>
      <x:c r="C1495" s="188" t="n">
        <x:v>58862523.74999999</x:v>
      </x:c>
      <x:c r="D1495" s="166" t="str">
        <x:v>Quadra Gestão de Recursos S.A.</x:v>
      </x:c>
      <x:c r="E1495" s="166" t="str">
        <x:f>IFERROR(INDEX('Classif Gestoras'!$H$6:$H$462,MATCH(D1495,'Classif Gestoras'!$A$6:$A$462,0)),"Não classificada")</x:f>
        <x:v>Independente</x:v>
      </x:c>
      <x:c r="F1495" s="166" t="str">
        <x:v>BTG Pactual Servicos Financeiros S/A DTVM</x:v>
      </x:c>
      <x:c r="G1495" s="166" t="str">
        <x:v>BANCO BTG PACTUAL S/A</x:v>
      </x:c>
      <x:c r="H1495" s="166" t="str">
        <x:v>Outros</x:v>
      </x:c>
      <x:c r="I1495" s="166" t="str">
        <x:v>Multicarteira Outros</x:v>
      </x:c>
      <x:c r="J1495" s="166" t="str">
        <x:v>CI</x:v>
      </x:c>
      <x:c r="K1495" s="172" t="n">
        <x:v>2</x:v>
      </x:c>
      <x:c r="L1495" s="185" t="str">
        <x:v>Não classificado</x:v>
      </x:c>
    </x:row>
    <x:row r="1496">
      <x:c r="A1496" s="175" t="str">
        <x:v>63.453.304/0001-24</x:v>
      </x:c>
      <x:c r="B1496" s="166" t="str">
        <x:v>GPC FUNDO DE INVESTIMENTO EM DIREITOS CREDITÓRIOS RESPONSABILIDADE LIMITADA</x:v>
      </x:c>
      <x:c r="C1496" s="188" t="n">
        <x:v>58857338.43</x:v>
      </x:c>
      <x:c r="D1496" s="166" t="str">
        <x:v>Guardian Crédito</x:v>
      </x:c>
      <x:c r="E1496" s="166" t="str">
        <x:f>IFERROR(INDEX('Classif Gestoras'!$H$6:$H$462,MATCH(D1496,'Classif Gestoras'!$A$6:$A$462,0)),"Não classificada")</x:f>
        <x:v>Independente</x:v>
      </x:c>
      <x:c r="F1496" s="166" t="str">
        <x:v>BANCO DAYCOVAL S/A</x:v>
      </x:c>
      <x:c r="G1496" s="166" t="str">
        <x:v>BANCO DAYCOVAL S.A.</x:v>
      </x:c>
      <x:c r="H1496" s="166" t="str">
        <x:v>Financeiro</x:v>
      </x:c>
      <x:c r="I1496" s="166" t="str">
        <x:v>Crédito Consignado</x:v>
      </x:c>
      <x:c r="J1496" s="166" t="str">
        <x:v>CI</x:v>
      </x:c>
      <x:c r="K1496" s="172" t="n">
        <x:v>40</x:v>
      </x:c>
      <x:c r="L1496" s="185" t="str">
        <x:v>Não classificado</x:v>
      </x:c>
    </x:row>
    <x:row r="1497">
      <x:c r="A1497" s="175" t="str">
        <x:v>30.144.093/0001-99</x:v>
      </x:c>
      <x:c r="B1497" s="166" t="str">
        <x:v>UTILITY CREDIT FUNDO DE INVESTIMENTO EM DIREITOS CREDITÓRIOS</x:v>
      </x:c>
      <x:c r="C1497" s="188" t="n">
        <x:v>58632775.48000002</x:v>
      </x:c>
      <x:c r="D1497" s="166" t="str">
        <x:v>UC Gestora de Recursos</x:v>
      </x:c>
      <x:c r="E1497" s="166" t="str">
        <x:f>IFERROR(INDEX('Classif Gestoras'!$H$6:$H$462,MATCH(D1497,'Classif Gestoras'!$A$6:$A$462,0)),"Não classificada")</x:f>
        <x:v>Independente</x:v>
      </x:c>
      <x:c r="F1497" s="166" t="str">
        <x:v>Singulare</x:v>
      </x:c>
      <x:c r="G1497" s="166" t="str">
        <x:v>QI CORRETORA DE TÍTULOS E VALORES MOBILIÁRIOS S.A.</x:v>
      </x:c>
      <x:c r="H1497" s="166" t="str">
        <x:v>Fomento Mercantil</x:v>
      </x:c>
      <x:c r="I1497" s="166" t="str">
        <x:v>Fomento Mercantil</x:v>
      </x:c>
      <x:c r="J1497" s="166" t="str">
        <x:v>CI</x:v>
      </x:c>
      <x:c r="K1497" s="172" t="n">
        <x:v>2</x:v>
      </x:c>
      <x:c r="L1497" s="185" t="str">
        <x:v>Não classificado</x:v>
      </x:c>
    </x:row>
    <x:row r="1498">
      <x:c r="A1498" s="175" t="str">
        <x:v>49.460.350/0001-20</x:v>
      </x:c>
      <x:c r="B1498" s="166" t="str">
        <x:v>WCAPITAL FUNDO DE INVESTIMENTO EM DIREITOS CREDITÓRIOS</x:v>
      </x:c>
      <x:c r="C1498" s="188" t="n">
        <x:v>58568051.99</x:v>
      </x:c>
      <x:c r="D1498" s="166" t="str">
        <x:v>Real Investor Asset Management</x:v>
      </x:c>
      <x:c r="E1498" s="166" t="str">
        <x:f>IFERROR(INDEX('Classif Gestoras'!$H$6:$H$462,MATCH(D1498,'Classif Gestoras'!$A$6:$A$462,0)),"Não classificada")</x:f>
        <x:v>Independente</x:v>
      </x:c>
      <x:c r="F1498" s="166" t="str">
        <x:v>Limine Trust Distribuidora de Titulos e Valores Mobiliá</x:v>
      </x:c>
      <x:c r="G1498" s="166" t="str">
        <x:v>LIMINE TRUST DISTRIBUIDORA DE TITULOS E VALORES MOBILIARIOS LTDA.</x:v>
      </x:c>
      <x:c r="H1498" s="166" t="str">
        <x:v>Outros</x:v>
      </x:c>
      <x:c r="I1498" s="166" t="str">
        <x:v>Multicarteira Outros</x:v>
      </x:c>
      <x:c r="J1498" s="166" t="str">
        <x:v>CI</x:v>
      </x:c>
      <x:c r="K1498" s="172" t="n">
        <x:v>3</x:v>
      </x:c>
      <x:c r="L1498" s="185" t="str">
        <x:v>Não classificado</x:v>
      </x:c>
    </x:row>
    <x:row r="1499">
      <x:c r="A1499" s="175" t="str">
        <x:v>46.098.515/0001-77</x:v>
      </x:c>
      <x:c r="B1499" s="166" t="str">
        <x:v>RVC FUNDO DE INVESTIMENTO EM DIREITOS CREDITÓRIOS NÃO-PADRONIZADOS</x:v>
      </x:c>
      <x:c r="C1499" s="188" t="n">
        <x:v>58397998.43</x:v>
      </x:c>
      <x:c r="D1499" s="166" t="str">
        <x:v>Positiva Investimentos Ltda</x:v>
      </x:c>
      <x:c r="E1499" s="166" t="str">
        <x:f>IFERROR(INDEX('Classif Gestoras'!$H$6:$H$462,MATCH(D1499,'Classif Gestoras'!$A$6:$A$462,0)),"Não classificada")</x:f>
        <x:v>Independente</x:v>
      </x:c>
      <x:c r="F1499" s="166" t="str">
        <x:v>AZUMI DISTRIBUIDORA DE TÍTULOS E VALORES MOBILIÁRIOS LT</x:v>
      </x:c>
      <x:c r="G1499" s="166" t="str">
        <x:v>AZUMI DISTRIBUIDORA DE TÍTULOS E VALORES MOBILIÁRIOS LTDA.</x:v>
      </x:c>
      <x:c r="H1499" s="166" t="str">
        <x:v>Outros</x:v>
      </x:c>
      <x:c r="I1499" s="166" t="str">
        <x:v>Poder Público</x:v>
      </x:c>
      <x:c r="J1499" s="166" t="str">
        <x:v>CI</x:v>
      </x:c>
      <x:c r="K1499" s="172" t="n">
        <x:v>1</x:v>
      </x:c>
      <x:c r="L1499" s="185" t="str">
        <x:v>Não classificado</x:v>
      </x:c>
    </x:row>
    <x:row r="1500">
      <x:c r="A1500" s="175" t="str">
        <x:v>59.224.026/0001-66</x:v>
      </x:c>
      <x:c r="B1500" s="166" t="str">
        <x:v>SALUS - FUNDO DE INVESTIMENTO EM DIREITOS CREDITÓRIOS RESPONSABILIDADE LIMITADA</x:v>
      </x:c>
      <x:c r="C1500" s="188" t="n">
        <x:v>58389769.34</x:v>
      </x:c>
      <x:c r="D1500" s="166" t="str">
        <x:v>Milênio Capital</x:v>
      </x:c>
      <x:c r="E1500" s="166" t="str">
        <x:f>IFERROR(INDEX('Classif Gestoras'!$H$6:$H$462,MATCH(D1500,'Classif Gestoras'!$A$6:$A$462,0)),"Não classificada")</x:f>
        <x:v>Independente</x:v>
      </x:c>
      <x:c r="F1500" s="166" t="str">
        <x:v>VÓRTX DTVM</x:v>
      </x:c>
      <x:c r="G1500" s="166" t="str">
        <x:v>VORTX DISTRIBUIDORA DE TITULOS E VALORES MOBILIARIOS LTDA.</x:v>
      </x:c>
      <x:c r="H1500" s="166" t="str">
        <x:v>Agro, Indústria e Comércio</x:v>
      </x:c>
      <x:c r="I1500" s="166" t="str">
        <x:v>Crédito Corporativo</x:v>
      </x:c>
      <x:c r="J1500" s="166" t="str">
        <x:v>CI</x:v>
      </x:c>
      <x:c r="K1500" s="172" t="n">
        <x:v>16</x:v>
      </x:c>
      <x:c r="L1500" s="185" t="str">
        <x:v>Não classificado</x:v>
      </x:c>
    </x:row>
    <x:row r="1501">
      <x:c r="A1501" s="175" t="str">
        <x:v>51.388.629/0001-91</x:v>
      </x:c>
      <x:c r="B1501" s="166" t="str">
        <x:v>GRUPOSC - FUNDO DE INVESTIMENTO EM DIREITOS CREDITÓRIOS</x:v>
      </x:c>
      <x:c r="C1501" s="188" t="n">
        <x:v>58246128.23</x:v>
      </x:c>
      <x:c r="D1501" s="166" t="str">
        <x:v>GV ATACAMA CAPITAL LTDA.</x:v>
      </x:c>
      <x:c r="E1501" s="166" t="str">
        <x:f>IFERROR(INDEX('Classif Gestoras'!$H$6:$H$462,MATCH(D1501,'Classif Gestoras'!$A$6:$A$462,0)),"Não classificada")</x:f>
        <x:v>Independente</x:v>
      </x:c>
      <x:c r="F1501" s="166" t="str">
        <x:v>Singulare</x:v>
      </x:c>
      <x:c r="G1501" s="166" t="str">
        <x:v>QI CORRETORA DE TÍTULOS E VALORES MOBILIÁRIOS S.A.</x:v>
      </x:c>
      <x:c r="H1501" s="166" t="str">
        <x:v>Fomento Mercantil</x:v>
      </x:c>
      <x:c r="I1501" s="166" t="str">
        <x:v>Fomento Mercantil</x:v>
      </x:c>
      <x:c r="J1501" s="166" t="str">
        <x:v>CI</x:v>
      </x:c>
      <x:c r="K1501" s="172" t="n">
        <x:v>1</x:v>
      </x:c>
      <x:c r="L1501" s="185" t="str">
        <x:v>Não classificado</x:v>
      </x:c>
    </x:row>
    <x:row r="1502">
      <x:c r="A1502" s="175" t="str">
        <x:v>33.447.973/0001-22</x:v>
      </x:c>
      <x:c r="B1502" s="166" t="str">
        <x:v>LEGACY A FUNDO DE INVESTIMENTO EM DIREITOS CREDITÓRIOS</x:v>
      </x:c>
      <x:c r="C1502" s="188" t="n">
        <x:v>57951196.92</x:v>
      </x:c>
      <x:c r="D1502" s="166" t="str">
        <x:v>Multiplica Capital</x:v>
      </x:c>
      <x:c r="E1502" s="166" t="str">
        <x:f>IFERROR(INDEX('Classif Gestoras'!$H$6:$H$462,MATCH(D1502,'Classif Gestoras'!$A$6:$A$462,0)),"Não classificada")</x:f>
        <x:v>Independente</x:v>
      </x:c>
      <x:c r="F1502" s="166" t="str">
        <x:v>PLANNER CV</x:v>
      </x:c>
      <x:c r="G1502" s="166" t="str">
        <x:v>PLANNER CORRETORA DE VALORES S.A.</x:v>
      </x:c>
      <x:c r="H1502" s="166" t="str">
        <x:v>Outros</x:v>
      </x:c>
      <x:c r="I1502" s="166" t="str">
        <x:v>Multicarteira Outros</x:v>
      </x:c>
      <x:c r="J1502" s="166" t="str">
        <x:v>CI</x:v>
      </x:c>
      <x:c r="K1502" s="172" t="n">
        <x:v>1</x:v>
      </x:c>
      <x:c r="L1502" s="185" t="str">
        <x:v>Não classificado</x:v>
      </x:c>
    </x:row>
    <x:row r="1503">
      <x:c r="A1503" s="175" t="str">
        <x:v>57.660.765/0001-75</x:v>
      </x:c>
      <x:c r="B1503" s="166" t="str">
        <x:v>ORIGINAL FUNDO DE INVESTIMENTO EM DIREITOS CREDITÓRIOS</x:v>
      </x:c>
      <x:c r="C1503" s="188" t="n">
        <x:v>57749891.92</x:v>
      </x:c>
      <x:c r="D1503" s="166" t="str">
        <x:v>M8 Partners</x:v>
      </x:c>
      <x:c r="E1503" s="166" t="str">
        <x:f>IFERROR(INDEX('Classif Gestoras'!$H$6:$H$462,MATCH(D1503,'Classif Gestoras'!$A$6:$A$462,0)),"Não classificada")</x:f>
        <x:v>Independente</x:v>
      </x:c>
      <x:c r="F1503" s="166" t="str">
        <x:v>HEMERA DTVM</x:v>
      </x:c>
      <x:c r="G1503" s="166" t="str">
        <x:v>HEMERA DISTRIBUIDORA DE TITULOS E VALORES MOBILIARIOS LTDA</x:v>
      </x:c>
      <x:c r="H1503" s="166" t="str">
        <x:v>Fomento Mercantil</x:v>
      </x:c>
      <x:c r="I1503" s="166" t="str">
        <x:v>Fomento Mercantil</x:v>
      </x:c>
      <x:c r="J1503" s="166" t="str">
        <x:v>CI</x:v>
      </x:c>
      <x:c r="K1503" s="172" t="n">
        <x:v>1</x:v>
      </x:c>
      <x:c r="L1503" s="185" t="str">
        <x:v>Não classificado</x:v>
      </x:c>
    </x:row>
    <x:row r="1504">
      <x:c r="A1504" s="175" t="str">
        <x:v>60.373.177/0001-65</x:v>
      </x:c>
      <x:c r="B1504" s="166" t="str">
        <x:v>PLGN K FUNDO DE INVESTIMENTO EM DIREITOS CREDITÓRIOS</x:v>
      </x:c>
      <x:c r="C1504" s="188" t="n">
        <x:v>57688614.86</x:v>
      </x:c>
      <x:c r="D1504" s="166" t="str">
        <x:v>POLÍGONO CAPITAL LTDA.</x:v>
      </x:c>
      <x:c r="E1504" s="166" t="str">
        <x:f>IFERROR(INDEX('Classif Gestoras'!$H$6:$H$462,MATCH(D1504,'Classif Gestoras'!$A$6:$A$462,0)),"Não classificada")</x:f>
        <x:v>Independente</x:v>
      </x:c>
      <x:c r="F1504" s="166" t="str">
        <x:v>BTG Pactual Servicos Financeiros S/A DTVM</x:v>
      </x:c>
      <x:c r="G1504" s="166" t="str">
        <x:v>BANCO BTG PACTUAL S/A</x:v>
      </x:c>
      <x:c r="H1504" s="166" t="str">
        <x:v>Outros</x:v>
      </x:c>
      <x:c r="I1504" s="166" t="str">
        <x:v>Multicarteira Outros</x:v>
      </x:c>
      <x:c r="J1504" s="166" t="str">
        <x:v>CI</x:v>
      </x:c>
      <x:c r="K1504" s="172" t="n">
        <x:v>1</x:v>
      </x:c>
      <x:c r="L1504" s="185" t="str">
        <x:v>Não classificado</x:v>
      </x:c>
    </x:row>
    <x:row r="1505">
      <x:c r="A1505" s="175" t="str">
        <x:v>60.315.519/0001-90</x:v>
      </x:c>
      <x:c r="B1505" s="166" t="str">
        <x:v>CUPERTINO KAYA PRECATÓRIOS FIDC DE RESPONSABILIDADE LIMITADA</x:v>
      </x:c>
      <x:c r="C1505" s="188" t="n">
        <x:v>57672044.45</x:v>
      </x:c>
      <x:c r="D1505" s="166" t="str">
        <x:v>Cupertino Capital</x:v>
      </x:c>
      <x:c r="E1505" s="166" t="str">
        <x:f>IFERROR(INDEX('Classif Gestoras'!$H$6:$H$462,MATCH(D1505,'Classif Gestoras'!$A$6:$A$462,0)),"Não classificada")</x:f>
        <x:v>Independente</x:v>
      </x:c>
      <x:c r="F1505" s="166" t="str">
        <x:v>BANCO DAYCOVAL S/A</x:v>
      </x:c>
      <x:c r="G1505" s="166" t="str">
        <x:v>BANCO DAYCOVAL S.A.</x:v>
      </x:c>
      <x:c r="H1505" s="166" t="str">
        <x:v>Outros</x:v>
      </x:c>
      <x:c r="I1505" s="166" t="str">
        <x:v>Poder Público</x:v>
      </x:c>
      <x:c r="J1505" s="166" t="str">
        <x:v>CI</x:v>
      </x:c>
      <x:c r="K1505" s="172" t="n">
        <x:v>25</x:v>
      </x:c>
      <x:c r="L1505" s="185" t="str">
        <x:v>Não classificado</x:v>
      </x:c>
    </x:row>
    <x:row r="1506">
      <x:c r="A1506" s="175" t="str">
        <x:v>53.073.677/0001-16</x:v>
      </x:c>
      <x:c r="B1506" s="166" t="str">
        <x:v>ALBAREDO FUNDO DE INVESTIMENTO EM DIREITOS CREDITÓRIOS RESPONSABILIDADE ILIMITADA</x:v>
      </x:c>
      <x:c r="C1506" s="188" t="n">
        <x:v>57658174.63999999</x:v>
      </x:c>
      <x:c r="D1506" s="166" t="str">
        <x:v>Catálise Investimentos</x:v>
      </x:c>
      <x:c r="E1506" s="166" t="str">
        <x:f>IFERROR(INDEX('Classif Gestoras'!$H$6:$H$462,MATCH(D1506,'Classif Gestoras'!$A$6:$A$462,0)),"Não classificada")</x:f>
        <x:v>Independente</x:v>
      </x:c>
      <x:c r="F1506" s="166" t="str">
        <x:v>CATÁLISE DTVM</x:v>
      </x:c>
      <x:c r="G1506" s="166" t="str">
        <x:v>BANCO DAYCOVAL S.A.</x:v>
      </x:c>
      <x:c r="H1506" s="166" t="str">
        <x:v>Agro, Indústria e Comércio</x:v>
      </x:c>
      <x:c r="I1506" s="166" t="str">
        <x:v>Recebíveis Comerciais</x:v>
      </x:c>
      <x:c r="J1506" s="166" t="str">
        <x:v>CI</x:v>
      </x:c>
      <x:c r="K1506" s="172" t="n">
        <x:v>1</x:v>
      </x:c>
      <x:c r="L1506" s="185" t="str">
        <x:v>Não classificado</x:v>
      </x:c>
    </x:row>
    <x:row r="1507">
      <x:c r="A1507" s="175" t="str">
        <x:v>57.204.749/0001-78</x:v>
      </x:c>
      <x:c r="B1507" s="166" t="str">
        <x:v>MULTIMAX FUNDO DE INVESTIMENTO EM DIREITOS CREDITÓRIOS - RESPONSABILIDADE LIMITADA</x:v>
      </x:c>
      <x:c r="C1507" s="188" t="n">
        <x:v>57547338.58662</x:v>
      </x:c>
      <x:c r="D1507" s="166" t="str">
        <x:v>Paraguaçu Investimentos</x:v>
      </x:c>
      <x:c r="E1507" s="166" t="str">
        <x:f>IFERROR(INDEX('Classif Gestoras'!$H$6:$H$462,MATCH(D1507,'Classif Gestoras'!$A$6:$A$462,0)),"Não classificada")</x:f>
        <x:v>Independente</x:v>
      </x:c>
      <x:c r="F1507" s="166" t="str">
        <x:v>Singulare</x:v>
      </x:c>
      <x:c r="G1507" s="166" t="str">
        <x:v>QI CORRETORA DE TÍTULOS E VALORES MOBILIÁRIOS S.A.</x:v>
      </x:c>
      <x:c r="H1507" s="166" t="str">
        <x:v>Fomento Mercantil</x:v>
      </x:c>
      <x:c r="I1507" s="166" t="str">
        <x:v>Fomento Mercantil</x:v>
      </x:c>
      <x:c r="J1507" s="166" t="str">
        <x:v>CI</x:v>
      </x:c>
      <x:c r="K1507" s="172" t="n">
        <x:v>13</x:v>
      </x:c>
      <x:c r="L1507" s="185" t="str">
        <x:v>Não classificado</x:v>
      </x:c>
    </x:row>
    <x:row r="1508">
      <x:c r="A1508" s="175" t="str">
        <x:v>57.326.317/0001-30</x:v>
      </x:c>
      <x:c r="B1508" s="166" t="str">
        <x:v>LCM ODYSSEY M2 FUNDO DE INVESTIMENTO EM DIREITOS CREDITÓRIOS RESPONSABILIDADE LIMITADA</x:v>
      </x:c>
      <x:c r="C1508" s="188" t="n">
        <x:v>57450465.93</x:v>
      </x:c>
      <x:c r="D1508" s="166" t="str">
        <x:v>Lumina</x:v>
      </x:c>
      <x:c r="E1508" s="166" t="str">
        <x:f>IFERROR(INDEX('Classif Gestoras'!$H$6:$H$462,MATCH(D1508,'Classif Gestoras'!$A$6:$A$462,0)),"Não classificada")</x:f>
        <x:v>Independente</x:v>
      </x:c>
      <x:c r="F1508" s="166" t="str">
        <x:v>BTG Pactual Servicos Financeiros S/A DTVM</x:v>
      </x:c>
      <x:c r="G1508" s="166" t="str">
        <x:v>BANCO BTG PACTUAL S/A</x:v>
      </x:c>
      <x:c r="H1508" s="166" t="str">
        <x:v>Outros</x:v>
      </x:c>
      <x:c r="I1508" s="166" t="str">
        <x:v>Multicarteira Outros</x:v>
      </x:c>
      <x:c r="J1508" s="166" t="str">
        <x:v>CI</x:v>
      </x:c>
      <x:c r="K1508" s="172" t="n">
        <x:v>1</x:v>
      </x:c>
      <x:c r="L1508" s="185" t="str">
        <x:v>Não classificado</x:v>
      </x:c>
    </x:row>
    <x:row r="1509">
      <x:c r="A1509" s="175" t="str">
        <x:v>60.026.040/0001-34</x:v>
      </x:c>
      <x:c r="B1509" s="166" t="str">
        <x:v>VIP II FGTS FUNDO DE INVESTIMENTO EM DIREITOS CREDITORIOS DE RESPONSABILIDADE LIMITADA</x:v>
      </x:c>
      <x:c r="C1509" s="188" t="n">
        <x:v>57449682.49</x:v>
      </x:c>
      <x:c r="D1509" s="166" t="str">
        <x:v>Oliveira Trust Servicer</x:v>
      </x:c>
      <x:c r="E1509" s="166" t="str">
        <x:f>IFERROR(INDEX('Classif Gestoras'!$H$6:$H$462,MATCH(D1509,'Classif Gestoras'!$A$6:$A$462,0)),"Não classificada")</x:f>
        <x:v>Independente</x:v>
      </x:c>
      <x:c r="F1509" s="166" t="str">
        <x:v>Oliveira Trust DTVM</x:v>
      </x:c>
      <x:c r="G1509" s="166" t="str">
        <x:v>OLIVEIRA TRUST DTVM S.A.</x:v>
      </x:c>
      <x:c r="H1509" s="166" t="str">
        <x:v>Financeiro</x:v>
      </x:c>
      <x:c r="I1509" s="166" t="str">
        <x:v>Crédito Pessoal</x:v>
      </x:c>
      <x:c r="J1509" s="166" t="str">
        <x:v>CI</x:v>
      </x:c>
      <x:c r="K1509" s="172" t="n">
        <x:v>4</x:v>
      </x:c>
      <x:c r="L1509" s="185" t="str">
        <x:v>Não classificado</x:v>
      </x:c>
    </x:row>
    <x:row r="1510">
      <x:c r="A1510" s="175" t="str">
        <x:v>40.063.188/0001-31</x:v>
      </x:c>
      <x:c r="B1510" s="166" t="str">
        <x:v>ASA DISTRESSED FUNDO DE INVESTIMENTO EM DIREITOS CREDITÓRIOS NÃO-PADRONIZADOS</x:v>
      </x:c>
      <x:c r="C1510" s="188" t="n">
        <x:v>57386815.09000001</x:v>
      </x:c>
      <x:c r="D1510" s="166" t="str">
        <x:v>ASA Investments</x:v>
      </x:c>
      <x:c r="E1510" s="166" t="str">
        <x:f>IFERROR(INDEX('Classif Gestoras'!$H$6:$H$462,MATCH(D1510,'Classif Gestoras'!$A$6:$A$462,0)),"Não classificada")</x:f>
        <x:v>Independente</x:v>
      </x:c>
      <x:c r="F1510" s="166" t="str">
        <x:v>MAF Distribuidora de Títulos e Valores Mobiliários S.A.</x:v>
      </x:c>
      <x:c r="G1510" s="166" t="str">
        <x:v>MAF DISTRIBUIDORA DE TITULOS E VALORES MOBILIARIOS S.A.</x:v>
      </x:c>
      <x:c r="H1510" s="166" t="str">
        <x:v>Outros</x:v>
      </x:c>
      <x:c r="I1510" s="166" t="str">
        <x:v>Recuperação</x:v>
      </x:c>
      <x:c r="J1510" s="166" t="str">
        <x:v>CI</x:v>
      </x:c>
      <x:c r="K1510" s="172" t="n">
        <x:v>19</x:v>
      </x:c>
      <x:c r="L1510" s="185" t="str">
        <x:v>Não classificado</x:v>
      </x:c>
    </x:row>
    <x:row r="1511">
      <x:c r="A1511" s="175" t="str">
        <x:v>55.064.095/0001-07</x:v>
      </x:c>
      <x:c r="B1511" s="166" t="str">
        <x:v>PACKERS FUNDO DE INVESTIMENTO EM DIREITOS CREDITÓRIOS</x:v>
      </x:c>
      <x:c r="C1511" s="188" t="n">
        <x:v>57371879.96000001</x:v>
      </x:c>
      <x:c r="D1511" s="166" t="str">
        <x:v>PACTUAL CAPITAL PART</x:v>
      </x:c>
      <x:c r="E1511" s="166" t="str">
        <x:f>IFERROR(INDEX('Classif Gestoras'!$H$6:$H$462,MATCH(D1511,'Classif Gestoras'!$A$6:$A$462,0)),"Não classificada")</x:f>
        <x:v>Independente</x:v>
      </x:c>
      <x:c r="F1511" s="166" t="str">
        <x:v>BTG Pactual Servicos Financeiros S/A DTVM</x:v>
      </x:c>
      <x:c r="G1511" s="166" t="str">
        <x:v>BANCO BTG PACTUAL S/A</x:v>
      </x:c>
      <x:c r="H1511" s="166" t="str">
        <x:v>Outros</x:v>
      </x:c>
      <x:c r="I1511" s="166" t="str">
        <x:v>Multicarteira Outros</x:v>
      </x:c>
      <x:c r="J1511" s="166" t="str">
        <x:v>CI</x:v>
      </x:c>
      <x:c r="K1511" s="172" t="n">
        <x:v>1</x:v>
      </x:c>
      <x:c r="L1511" s="185" t="str">
        <x:v>Não classificado</x:v>
      </x:c>
    </x:row>
    <x:row r="1512">
      <x:c r="A1512" s="175" t="str">
        <x:v>55.051.705/0001-20</x:v>
      </x:c>
      <x:c r="B1512" s="166" t="str">
        <x:v>REASON X FUNDO DE INVESTIMENTO EM DIREITOS CREDITÓRIOS - RESPONSABILIDADE LIMITADA</x:v>
      </x:c>
      <x:c r="C1512" s="188" t="n">
        <x:v>57318373.12</x:v>
      </x:c>
      <x:c r="D1512" s="166" t="str">
        <x:v>BURITI INVESTIMENTOS</x:v>
      </x:c>
      <x:c r="E1512" s="166" t="str">
        <x:f>IFERROR(INDEX('Classif Gestoras'!$H$6:$H$462,MATCH(D1512,'Classif Gestoras'!$A$6:$A$462,0)),"Não classificada")</x:f>
        <x:v>Independente</x:v>
      </x:c>
      <x:c r="F1512" s="166" t="str">
        <x:v>Baru DTVM</x:v>
      </x:c>
      <x:c r="G1512" s="166" t="str">
        <x:v>BARU DISTRIBUIDORA DE TÍTULOS E VALORES MOBILIÁRIOS LTDA.</x:v>
      </x:c>
      <x:c r="H1512" s="166" t="str">
        <x:v>Outros</x:v>
      </x:c>
      <x:c r="I1512" s="166" t="str">
        <x:v>Poder Público</x:v>
      </x:c>
      <x:c r="J1512" s="166" t="str">
        <x:v>CI</x:v>
      </x:c>
      <x:c r="K1512" s="172" t="n">
        <x:v>3</x:v>
      </x:c>
      <x:c r="L1512" s="185" t="str">
        <x:v>Não classificado</x:v>
      </x:c>
    </x:row>
    <x:row r="1513">
      <x:c r="A1513" s="175" t="str">
        <x:v>59.473.971/0001-00</x:v>
      </x:c>
      <x:c r="B1513" s="166" t="str">
        <x:v>4P FUNDO DE INVESTIMENTO EM DIREITOS CREDITÓRIOS RESPONSABILIDADE LIMITADA</x:v>
      </x:c>
      <x:c r="C1513" s="188" t="n">
        <x:v>57310678.809999995</x:v>
      </x:c>
      <x:c r="D1513" s="166" t="str">
        <x:v>Bless Capital Gestora de Recursos Ltda.</x:v>
      </x:c>
      <x:c r="E1513" s="166" t="str">
        <x:f>IFERROR(INDEX('Classif Gestoras'!$H$6:$H$462,MATCH(D1513,'Classif Gestoras'!$A$6:$A$462,0)),"Não classificada")</x:f>
        <x:v>Independente</x:v>
      </x:c>
      <x:c r="F1513" s="166" t="str">
        <x:v>ID Corretora de Títulos e Valores Mobiliários S.A.</x:v>
      </x:c>
      <x:c r="G1513" s="166" t="str">
        <x:v>ID CORRETORA DE TITULOS E VALORES MOBILIARIOS S.A.</x:v>
      </x:c>
      <x:c r="H1513" s="166" t="str">
        <x:v>Outros</x:v>
      </x:c>
      <x:c r="I1513" s="166" t="str">
        <x:v>Multicarteira Outros</x:v>
      </x:c>
      <x:c r="J1513" s="166" t="str">
        <x:v>CI</x:v>
      </x:c>
      <x:c r="K1513" s="172" t="n">
        <x:v>3</x:v>
      </x:c>
      <x:c r="L1513" s="185" t="str">
        <x:v>Não classificado</x:v>
      </x:c>
    </x:row>
    <x:row r="1514">
      <x:c r="A1514" s="175" t="str">
        <x:v>63.637.082/0001-08</x:v>
      </x:c>
      <x:c r="B1514" s="166" t="str">
        <x:v>KIJANI DESENVOLVE SP FUNDO DE INVESTIMENTO EM DIREITOS CREDITÓRIOS DE RESPONSABILIDADE LIMITADA</x:v>
      </x:c>
      <x:c r="C1514" s="188" t="n">
        <x:v>57300890.46</x:v>
      </x:c>
      <x:c r="D1514" s="166" t="str">
        <x:v>KIJANI GESTORA DE RECURSOS LTDA.</x:v>
      </x:c>
      <x:c r="E1514" s="166" t="str">
        <x:f>IFERROR(INDEX('Classif Gestoras'!$H$6:$H$462,MATCH(D1514,'Classif Gestoras'!$A$6:$A$462,0)),"Não classificada")</x:f>
        <x:v>Independente</x:v>
      </x:c>
      <x:c r="F1514" s="166" t="str">
        <x:v>BANCO DAYCOVAL S/A</x:v>
      </x:c>
      <x:c r="G1514" s="166" t="str">
        <x:v>BANCO DAYCOVAL S.A.</x:v>
      </x:c>
      <x:c r="H1514" s="166" t="str">
        <x:v>Agro, Indústria e Comércio</x:v>
      </x:c>
      <x:c r="I1514" s="166" t="str">
        <x:v>Agronegócio</x:v>
      </x:c>
      <x:c r="J1514" s="166" t="str">
        <x:v>CI</x:v>
      </x:c>
      <x:c r="K1514" s="172" t="n">
        <x:v>3</x:v>
      </x:c>
      <x:c r="L1514" s="185" t="str">
        <x:v>Não classificado</x:v>
      </x:c>
    </x:row>
    <x:row r="1515">
      <x:c r="A1515" s="175" t="str">
        <x:v>52.259.591/0001-10</x:v>
      </x:c>
      <x:c r="B1515" s="166" t="str">
        <x:v>F18 FUNDO DE INVESTIMENTO EM DIREITOS CREDITÓRIOS</x:v>
      </x:c>
      <x:c r="C1515" s="188" t="n">
        <x:v>57286382.74</x:v>
      </x:c>
      <x:c r="D1515" s="166" t="str">
        <x:v>M8 Partners</x:v>
      </x:c>
      <x:c r="E1515" s="166" t="str">
        <x:f>IFERROR(INDEX('Classif Gestoras'!$H$6:$H$462,MATCH(D1515,'Classif Gestoras'!$A$6:$A$462,0)),"Não classificada")</x:f>
        <x:v>Independente</x:v>
      </x:c>
      <x:c r="F1515" s="166" t="str">
        <x:v>Singulare</x:v>
      </x:c>
      <x:c r="G1515" s="166" t="str">
        <x:v>QI CORRETORA DE TÍTULOS E VALORES MOBILIÁRIOS S.A.</x:v>
      </x:c>
      <x:c r="H1515" s="166" t="str">
        <x:v>Fomento Mercantil</x:v>
      </x:c>
      <x:c r="I1515" s="166" t="str">
        <x:v>Fomento Mercantil</x:v>
      </x:c>
      <x:c r="J1515" s="166" t="str">
        <x:v>CI</x:v>
      </x:c>
      <x:c r="K1515" s="172" t="n">
        <x:v>22</x:v>
      </x:c>
      <x:c r="L1515" s="185" t="str">
        <x:v>Não classificado</x:v>
      </x:c>
    </x:row>
    <x:row r="1516">
      <x:c r="A1516" s="175" t="str">
        <x:v>64.447.553/0001-70</x:v>
      </x:c>
      <x:c r="B1516" s="166" t="str">
        <x:v>FUNDO DE INVESTIMENTOS EM DIREITOS CREDITÓRIOS GCB CRÉDITO MULTIESTRATÉGIA II RESP LIMITADA</x:v>
      </x:c>
      <x:c r="C1516" s="188" t="n">
        <x:v>57284828.34</x:v>
      </x:c>
      <x:c r="D1516" s="166" t="str">
        <x:v>GCB Capital</x:v>
      </x:c>
      <x:c r="E1516" s="166" t="str">
        <x:f>IFERROR(INDEX('Classif Gestoras'!$H$6:$H$462,MATCH(D1516,'Classif Gestoras'!$A$6:$A$462,0)),"Não classificada")</x:f>
        <x:v>Independente</x:v>
      </x:c>
      <x:c r="F1516" s="166" t="str">
        <x:v>BANCO DAYCOVAL S/A</x:v>
      </x:c>
      <x:c r="G1516" s="166" t="str">
        <x:v>BANCO DAYCOVAL S.A.</x:v>
      </x:c>
      <x:c r="H1516" s="166" t="str">
        <x:v>Outros</x:v>
      </x:c>
      <x:c r="I1516" s="166" t="str">
        <x:v>Multicarteira Outros</x:v>
      </x:c>
      <x:c r="J1516" s="166" t="str">
        <x:v>CI</x:v>
      </x:c>
      <x:c r="K1516" s="172" t="n">
        <x:v>2</x:v>
      </x:c>
      <x:c r="L1516" s="185" t="str">
        <x:v>Não classificado</x:v>
      </x:c>
    </x:row>
    <x:row r="1517">
      <x:c r="A1517" s="175" t="str">
        <x:v>58.533.096/0001-33</x:v>
      </x:c>
      <x:c r="B1517" s="166" t="str">
        <x:v>RAYO FUNDO DE INVESTIMENTO EM DIREITOS CREDITÓRIOS</x:v>
      </x:c>
      <x:c r="C1517" s="188" t="n">
        <x:v>57278542.77</x:v>
      </x:c>
      <x:c r="D1517" s="166" t="str">
        <x:v>BRZ Gestão de Recursos</x:v>
      </x:c>
      <x:c r="E1517" s="166" t="str">
        <x:f>IFERROR(INDEX('Classif Gestoras'!$H$6:$H$462,MATCH(D1517,'Classif Gestoras'!$A$6:$A$462,0)),"Não classificada")</x:f>
        <x:v>Independente</x:v>
      </x:c>
      <x:c r="F1517" s="166" t="str">
        <x:v>Singulare</x:v>
      </x:c>
      <x:c r="G1517" s="166" t="str">
        <x:v>QI CORRETORA DE TÍTULOS E VALORES MOBILIÁRIOS S.A.</x:v>
      </x:c>
      <x:c r="H1517" s="166" t="str">
        <x:v>Financeiro</x:v>
      </x:c>
      <x:c r="I1517" s="166" t="str">
        <x:v>Crédito Imobiliário</x:v>
      </x:c>
      <x:c r="J1517" s="166" t="str">
        <x:v>CI</x:v>
      </x:c>
      <x:c r="K1517" s="172" t="n">
        <x:v>18</x:v>
      </x:c>
      <x:c r="L1517" s="185" t="str">
        <x:v>Não classificado</x:v>
      </x:c>
    </x:row>
    <x:row r="1518">
      <x:c r="A1518" s="175" t="str">
        <x:v>61.753.072/0001-02</x:v>
      </x:c>
      <x:c r="B1518" s="166" t="str">
        <x:v>SOSU OPPORTUNITIES III FUNDO DE INVESTIMENTO EM DIREITOS CREDITÓRIOS RESPONSABILIDADE LIMITADA</x:v>
      </x:c>
      <x:c r="C1518" s="188" t="n">
        <x:v>57218476.72999999</x:v>
      </x:c>
      <x:c r="D1518" s="166" t="str">
        <x:v>SOSU CAPITAL GESTÃO DE INVESTIMENTOS LTDA.</x:v>
      </x:c>
      <x:c r="E1518" s="166" t="str">
        <x:f>IFERROR(INDEX('Classif Gestoras'!$H$6:$H$462,MATCH(D1518,'Classif Gestoras'!$A$6:$A$462,0)),"Não classificada")</x:f>
        <x:v>Independente</x:v>
      </x:c>
      <x:c r="F1518" s="166" t="str">
        <x:v>BRL TRUST DTVM</x:v>
      </x:c>
      <x:c r="G1518" s="166" t="str">
        <x:v>BRL TRUST DISTRIBUIDORA DE TITULOS E VALORES MOBILIARIOS S.A.</x:v>
      </x:c>
      <x:c r="H1518" s="166" t="str">
        <x:v>Outros</x:v>
      </x:c>
      <x:c r="I1518" s="166" t="str">
        <x:v>Multicarteira Outros</x:v>
      </x:c>
      <x:c r="J1518" s="166" t="str">
        <x:v>CI</x:v>
      </x:c>
      <x:c r="K1518" s="172" t="n">
        <x:v>47</x:v>
      </x:c>
      <x:c r="L1518" s="185" t="str">
        <x:v>Não classificado</x:v>
      </x:c>
    </x:row>
    <x:row r="1519">
      <x:c r="A1519" s="175" t="str">
        <x:v>11.261.368/0001-20</x:v>
      </x:c>
      <x:c r="B1519" s="166" t="str">
        <x:v>FLUXASSET FUNDO DE INVESTIMENTO EM DIREITOS CREDITÓRIOS MULTISSETORIAL</x:v>
      </x:c>
      <x:c r="C1519" s="188" t="n">
        <x:v>57065947.849999994</x:v>
      </x:c>
      <x:c r="D1519" s="166" t="str">
        <x:v>Solis</x:v>
      </x:c>
      <x:c r="E1519" s="166" t="str">
        <x:f>IFERROR(INDEX('Classif Gestoras'!$H$6:$H$462,MATCH(D1519,'Classif Gestoras'!$A$6:$A$462,0)),"Não classificada")</x:f>
        <x:v>Independente</x:v>
      </x:c>
      <x:c r="F1519" s="166" t="str">
        <x:v>Singulare</x:v>
      </x:c>
      <x:c r="G1519" s="166" t="str">
        <x:v>QI CORRETORA DE TÍTULOS E VALORES MOBILIÁRIOS S.A.</x:v>
      </x:c>
      <x:c r="H1519" s="166" t="str">
        <x:v>Fomento Mercantil</x:v>
      </x:c>
      <x:c r="I1519" s="166" t="str">
        <x:v>Fomento Mercantil</x:v>
      </x:c>
      <x:c r="J1519" s="166" t="str">
        <x:v>CI</x:v>
      </x:c>
      <x:c r="K1519" s="172" t="n">
        <x:v>18</x:v>
      </x:c>
      <x:c r="L1519" s="185" t="str">
        <x:v>Não classificado</x:v>
      </x:c>
    </x:row>
    <x:row r="1520">
      <x:c r="A1520" s="175" t="str">
        <x:v>08.270.249/0001-29</x:v>
      </x:c>
      <x:c r="B1520" s="166" t="str">
        <x:v>MACCRED FUNDO DE INVESTIMENTO EM DIREITOS CREDITÓRIOS</x:v>
      </x:c>
      <x:c r="C1520" s="188" t="n">
        <x:v>56994881.57</x:v>
      </x:c>
      <x:c r="D1520" s="166" t="str">
        <x:v>TERCON ASSET MANAGEMENT</x:v>
      </x:c>
      <x:c r="E1520" s="166" t="str">
        <x:f>IFERROR(INDEX('Classif Gestoras'!$H$6:$H$462,MATCH(D1520,'Classif Gestoras'!$A$6:$A$462,0)),"Não classificada")</x:f>
        <x:v>Independente</x:v>
      </x:c>
      <x:c r="F1520" s="166" t="str">
        <x:v>Singulare</x:v>
      </x:c>
      <x:c r="G1520" s="166" t="str">
        <x:v>QI CORRETORA DE TÍTULOS E VALORES MOBILIÁRIOS S.A.</x:v>
      </x:c>
      <x:c r="H1520" s="166" t="str">
        <x:v>Fomento Mercantil</x:v>
      </x:c>
      <x:c r="I1520" s="166" t="str">
        <x:v>Fomento Mercantil</x:v>
      </x:c>
      <x:c r="J1520" s="166" t="str">
        <x:v>CI</x:v>
      </x:c>
      <x:c r="K1520" s="172" t="n">
        <x:v>1</x:v>
      </x:c>
      <x:c r="L1520" s="185" t="str">
        <x:v>Não classificado</x:v>
      </x:c>
    </x:row>
    <x:row r="1521">
      <x:c r="A1521" s="175" t="str">
        <x:v>42.085.799/0001-06</x:v>
      </x:c>
      <x:c r="B1521" s="166" t="str">
        <x:v>LESTE HIGH YIELD FIDC DE RESPONSABILIDADE LIMITADA</x:v>
      </x:c>
      <x:c r="C1521" s="188" t="n">
        <x:v>56911348.080000006</x:v>
      </x:c>
      <x:c r="D1521" s="166" t="str">
        <x:v>Leste Credit Gestão de Recursos LTDA.</x:v>
      </x:c>
      <x:c r="E1521" s="166" t="str">
        <x:f>IFERROR(INDEX('Classif Gestoras'!$H$6:$H$462,MATCH(D1521,'Classif Gestoras'!$A$6:$A$462,0)),"Não classificada")</x:f>
        <x:v>Independente</x:v>
      </x:c>
      <x:c r="F1521" s="166" t="str">
        <x:v>Banco Genial S.A.</x:v>
      </x:c>
      <x:c r="G1521" s="166" t="str">
        <x:v>BANCO GENIAL S.A.</x:v>
      </x:c>
      <x:c r="H1521" s="166" t="str">
        <x:v>Agro, Indústria e Comércio</x:v>
      </x:c>
      <x:c r="I1521" s="166" t="str">
        <x:v>Multicarteira Agro, Indústria e Comércio</x:v>
      </x:c>
      <x:c r="J1521" s="166" t="str">
        <x:v>CI</x:v>
      </x:c>
      <x:c r="K1521" s="172" t="n">
        <x:v>1</x:v>
      </x:c>
      <x:c r="L1521" s="185" t="str">
        <x:v>Não classificado</x:v>
      </x:c>
    </x:row>
    <x:row r="1522">
      <x:c r="A1522" s="175" t="str">
        <x:v>34.850.033/0001-42</x:v>
      </x:c>
      <x:c r="B1522" s="166" t="str">
        <x:v>AGROCRED FUNDO DE INVESTIMENTO EM DIREITOS CREDITÓRIOS</x:v>
      </x:c>
      <x:c r="C1522" s="188" t="n">
        <x:v>56827244.09</x:v>
      </x:c>
      <x:c r="D1522" s="166" t="str">
        <x:v>Brave Asset</x:v>
      </x:c>
      <x:c r="E1522" s="166" t="str">
        <x:f>IFERROR(INDEX('Classif Gestoras'!$H$6:$H$462,MATCH(D1522,'Classif Gestoras'!$A$6:$A$462,0)),"Não classificada")</x:f>
        <x:v>Independente</x:v>
      </x:c>
      <x:c r="F1522" s="166" t="str">
        <x:v>Singulare</x:v>
      </x:c>
      <x:c r="G1522" s="166" t="str">
        <x:v>QI CORRETORA DE TÍTULOS E VALORES MOBILIÁRIOS S.A.</x:v>
      </x:c>
      <x:c r="H1522" s="166" t="str">
        <x:v>Agro, Indústria e Comércio</x:v>
      </x:c>
      <x:c r="I1522" s="166" t="str">
        <x:v>Recebíveis Comerciais</x:v>
      </x:c>
      <x:c r="J1522" s="166" t="str">
        <x:v>CI</x:v>
      </x:c>
      <x:c r="K1522" s="172" t="n">
        <x:v>27</x:v>
      </x:c>
      <x:c r="L1522" s="185" t="str">
        <x:v>Não classificado</x:v>
      </x:c>
    </x:row>
    <x:row r="1523">
      <x:c r="A1523" s="175" t="str">
        <x:v>34.691.408/0001-79</x:v>
      </x:c>
      <x:c r="B1523" s="166" t="str">
        <x:v>BRIT FUNDO DE INVESTIMENTO EM DIREITOS CREDITÓRIOS</x:v>
      </x:c>
      <x:c r="C1523" s="188" t="n">
        <x:v>56680915.6</x:v>
      </x:c>
      <x:c r="D1523" s="166" t="str">
        <x:v>Multiplica Capital</x:v>
      </x:c>
      <x:c r="E1523" s="166" t="str">
        <x:f>IFERROR(INDEX('Classif Gestoras'!$H$6:$H$462,MATCH(D1523,'Classif Gestoras'!$A$6:$A$462,0)),"Não classificada")</x:f>
        <x:v>Independente</x:v>
      </x:c>
      <x:c r="F1523" s="166" t="str">
        <x:v>PLANNER CV</x:v>
      </x:c>
      <x:c r="G1523" s="166" t="str">
        <x:v>PLANNER CORRETORA DE VALORES S.A.</x:v>
      </x:c>
      <x:c r="H1523" s="166" t="str">
        <x:v>Outros</x:v>
      </x:c>
      <x:c r="I1523" s="166" t="str">
        <x:v>Multicarteira Outros</x:v>
      </x:c>
      <x:c r="J1523" s="166" t="str">
        <x:v>CI</x:v>
      </x:c>
      <x:c r="K1523" s="172" t="n">
        <x:v>3</x:v>
      </x:c>
      <x:c r="L1523" s="185" t="str">
        <x:v>Não classificado</x:v>
      </x:c>
    </x:row>
    <x:row r="1524">
      <x:c r="A1524" s="175" t="str">
        <x:v>53.358.983/0001-07</x:v>
      </x:c>
      <x:c r="B1524" s="166" t="str">
        <x:v>TRAPP FUNDO DE INVESTIMENTO EM DIREITOS CREDITÓRIOS INDUSTRIAIS DE RESPONSABILIDADE ILIMITADA</x:v>
      </x:c>
      <x:c r="C1524" s="188" t="n">
        <x:v>56519504.01</x:v>
      </x:c>
      <x:c r="D1524" s="166" t="str">
        <x:v>EuQueroInvestir Gestão de Recursos Ltda.</x:v>
      </x:c>
      <x:c r="E1524" s="166" t="str">
        <x:f>IFERROR(INDEX('Classif Gestoras'!$H$6:$H$462,MATCH(D1524,'Classif Gestoras'!$A$6:$A$462,0)),"Não classificada")</x:f>
        <x:v>Independente</x:v>
      </x:c>
      <x:c r="F1524" s="166" t="str">
        <x:v>BANCO DAYCOVAL S/A</x:v>
      </x:c>
      <x:c r="G1524" s="166" t="str">
        <x:v>BANCO DAYCOVAL S.A.</x:v>
      </x:c>
      <x:c r="H1524" s="166" t="str">
        <x:v>Agro, Indústria e Comércio</x:v>
      </x:c>
      <x:c r="I1524" s="166" t="str">
        <x:v>Recebíveis Comerciais</x:v>
      </x:c>
      <x:c r="J1524" s="166" t="str">
        <x:v>CI</x:v>
      </x:c>
      <x:c r="K1524" s="172" t="n">
        <x:v>5</x:v>
      </x:c>
      <x:c r="L1524" s="185" t="str">
        <x:v>Não classificado</x:v>
      </x:c>
    </x:row>
    <x:row r="1525">
      <x:c r="A1525" s="175" t="str">
        <x:v>08.930.397/0001-22</x:v>
      </x:c>
      <x:c r="B1525" s="166" t="str">
        <x:v>FUNDO DE INVESTIMENTO EM DIREITOS CREDITORIOS MULTISETORIAL PROSPECTA LP</x:v>
      </x:c>
      <x:c r="C1525" s="188" t="n">
        <x:v>56491907.30000002</x:v>
      </x:c>
      <x:c r="D1525" s="166" t="str">
        <x:v>Everest Capital</x:v>
      </x:c>
      <x:c r="E1525" s="166" t="str">
        <x:f>IFERROR(INDEX('Classif Gestoras'!$H$6:$H$462,MATCH(D1525,'Classif Gestoras'!$A$6:$A$462,0)),"Não classificada")</x:f>
        <x:v>Independente</x:v>
      </x:c>
      <x:c r="F1525" s="166" t="str">
        <x:v>Singulare</x:v>
      </x:c>
      <x:c r="G1525" s="166" t="str">
        <x:v>QI CORRETORA DE TÍTULOS E VALORES MOBILIÁRIOS S.A.</x:v>
      </x:c>
      <x:c r="H1525" s="166" t="str">
        <x:v>Fomento Mercantil</x:v>
      </x:c>
      <x:c r="I1525" s="166" t="str">
        <x:v>Fomento Mercantil</x:v>
      </x:c>
      <x:c r="J1525" s="166" t="str">
        <x:v>CI</x:v>
      </x:c>
      <x:c r="K1525" s="172" t="n">
        <x:v>10</x:v>
      </x:c>
      <x:c r="L1525" s="185" t="str">
        <x:v>Não classificado</x:v>
      </x:c>
    </x:row>
    <x:row r="1526">
      <x:c r="A1526" s="175" t="str">
        <x:v>36.566.311/0001-60</x:v>
      </x:c>
      <x:c r="B1526" s="166" t="str">
        <x:v>OBSIDE FUNDO DE INVESTIMENTO EM DIREITOS CREDITORIOS</x:v>
      </x:c>
      <x:c r="C1526" s="188" t="n">
        <x:v>56325648.96</x:v>
      </x:c>
      <x:c r="D1526" s="166" t="str">
        <x:v>PLANNER CV</x:v>
      </x:c>
      <x:c r="E1526" s="166" t="str">
        <x:f>IFERROR(INDEX('Classif Gestoras'!$H$6:$H$462,MATCH(D1526,'Classif Gestoras'!$A$6:$A$462,0)),"Não classificada")</x:f>
        <x:v>Independente</x:v>
      </x:c>
      <x:c r="F1526" s="166" t="str">
        <x:v>PLANNER CV</x:v>
      </x:c>
      <x:c r="G1526" s="166" t="str">
        <x:v>PLANNER CORRETORA DE VALORES S.A.</x:v>
      </x:c>
      <x:c r="H1526" s="166" t="str">
        <x:v>Outros</x:v>
      </x:c>
      <x:c r="I1526" s="166" t="str">
        <x:v>Multicarteira Outros</x:v>
      </x:c>
      <x:c r="J1526" s="166" t="str">
        <x:v>CI</x:v>
      </x:c>
      <x:c r="K1526" s="172" t="n">
        <x:v>1</x:v>
      </x:c>
      <x:c r="L1526" s="185" t="str">
        <x:v>Não classificado</x:v>
      </x:c>
    </x:row>
    <x:row r="1527">
      <x:c r="A1527" s="175" t="str">
        <x:v>30.332.581/0001-20</x:v>
      </x:c>
      <x:c r="B1527" s="166" t="str">
        <x:v>QUATA ARCEL NPL I FUNDO DE INVESTIMENTO EM DIREITOS CREDITORIOS NÃO PADRONIZADOS</x:v>
      </x:c>
      <x:c r="C1527" s="188" t="n">
        <x:v>56267422.38</x:v>
      </x:c>
      <x:c r="D1527" s="166" t="str">
        <x:v>Quatá Investimentos</x:v>
      </x:c>
      <x:c r="E1527" s="166" t="str">
        <x:f>IFERROR(INDEX('Classif Gestoras'!$H$6:$H$462,MATCH(D1527,'Classif Gestoras'!$A$6:$A$462,0)),"Não classificada")</x:f>
        <x:v>Independente</x:v>
      </x:c>
      <x:c r="F1527" s="166" t="str">
        <x:v>Singulare</x:v>
      </x:c>
      <x:c r="G1527" s="166" t="str">
        <x:v>QI CORRETORA DE TÍTULOS E VALORES MOBILIÁRIOS S.A.</x:v>
      </x:c>
      <x:c r="H1527" s="166" t="str">
        <x:v>Outros</x:v>
      </x:c>
      <x:c r="I1527" s="166" t="str">
        <x:v>Multicarteira Outros</x:v>
      </x:c>
      <x:c r="J1527" s="166" t="str">
        <x:v>CI</x:v>
      </x:c>
      <x:c r="K1527" s="172" t="n">
        <x:v>2</x:v>
      </x:c>
      <x:c r="L1527" s="185" t="str">
        <x:v>Não classificado</x:v>
      </x:c>
    </x:row>
    <x:row r="1528">
      <x:c r="A1528" s="175" t="str">
        <x:v>41.575.962/0001-56</x:v>
      </x:c>
      <x:c r="B1528" s="166" t="str">
        <x:v>HAWK FUNDO DE INVESTIMENTO EM DIREITOS CREDITÓRIOS NÃO PADRONIZADOS</x:v>
      </x:c>
      <x:c r="C1528" s="188" t="n">
        <x:v>56255595.58999999</x:v>
      </x:c>
      <x:c r="D1528" s="166" t="str">
        <x:v>Everest Capital</x:v>
      </x:c>
      <x:c r="E1528" s="166" t="str">
        <x:f>IFERROR(INDEX('Classif Gestoras'!$H$6:$H$462,MATCH(D1528,'Classif Gestoras'!$A$6:$A$462,0)),"Não classificada")</x:f>
        <x:v>Independente</x:v>
      </x:c>
      <x:c r="F1528" s="166" t="str">
        <x:v>Singulare</x:v>
      </x:c>
      <x:c r="G1528" s="166" t="str">
        <x:v>TERRA INVESTIMENTOS DISTRIBUIDORA DE TITULOS E VALORES MOBILIARIOS LTDA</x:v>
      </x:c>
      <x:c r="H1528" s="166" t="str">
        <x:v>Outros</x:v>
      </x:c>
      <x:c r="I1528" s="166" t="str">
        <x:v>Multicarteira Outros</x:v>
      </x:c>
      <x:c r="J1528" s="166" t="str">
        <x:v>CI</x:v>
      </x:c>
      <x:c r="K1528" s="172" t="n">
        <x:v>24</x:v>
      </x:c>
      <x:c r="L1528" s="185" t="str">
        <x:v>Não classificado</x:v>
      </x:c>
    </x:row>
    <x:row r="1529">
      <x:c r="A1529" s="175" t="str">
        <x:v>41.575.924/0001-01</x:v>
      </x:c>
      <x:c r="B1529" s="166" t="str">
        <x:v>FINANCE ASSET FUNDO DE INVESTIMENTO EM DIREITOS CREDITÓRIOS NÃO PADRONIZADOS</x:v>
      </x:c>
      <x:c r="C1529" s="188" t="n">
        <x:v>56051032.080000006</x:v>
      </x:c>
      <x:c r="D1529" s="166" t="str">
        <x:v>ASSET MANAGEMENT</x:v>
      </x:c>
      <x:c r="E1529" s="166" t="str">
        <x:f>IFERROR(INDEX('Classif Gestoras'!$H$6:$H$462,MATCH(D1529,'Classif Gestoras'!$A$6:$A$462,0)),"Não classificada")</x:f>
        <x:v>Independente</x:v>
      </x:c>
      <x:c r="F1529" s="166" t="str">
        <x:v>AZUMI DISTRIBUIDORA DE TÍTULOS E VALORES MOBILIÁRIOS LT</x:v>
      </x:c>
      <x:c r="G1529" s="166" t="str">
        <x:v>AZUMI DISTRIBUIDORA DE TÍTULOS E VALORES MOBILIÁRIOS LTDA.</x:v>
      </x:c>
      <x:c r="H1529" s="166" t="str">
        <x:v>Outros</x:v>
      </x:c>
      <x:c r="I1529" s="166" t="str">
        <x:v>Multicarteira Outros</x:v>
      </x:c>
      <x:c r="J1529" s="166" t="str">
        <x:v>CI</x:v>
      </x:c>
      <x:c r="K1529" s="172" t="n">
        <x:v>4</x:v>
      </x:c>
      <x:c r="L1529" s="185" t="str">
        <x:v>Não classificado</x:v>
      </x:c>
    </x:row>
    <x:row r="1530">
      <x:c r="A1530" s="175" t="str">
        <x:v>47.293.897/0001-52</x:v>
      </x:c>
      <x:c r="B1530" s="166" t="str">
        <x:v>SPECIALE MILENIO MASTER FUNDO DE INVESTIMENTO EM DIREITOS CREDITÓRIOS RESPONSABILIDADE LIMITADA</x:v>
      </x:c>
      <x:c r="C1530" s="188" t="n">
        <x:v>55945725.5536</x:v>
      </x:c>
      <x:c r="D1530" s="166" t="str">
        <x:v>Milênio Capital</x:v>
      </x:c>
      <x:c r="E1530" s="166" t="str">
        <x:f>IFERROR(INDEX('Classif Gestoras'!$H$6:$H$462,MATCH(D1530,'Classif Gestoras'!$A$6:$A$462,0)),"Não classificada")</x:f>
        <x:v>Independente</x:v>
      </x:c>
      <x:c r="F1530" s="166" t="str">
        <x:v>BTG Pactual Servicos Financeiros S/A DTVM</x:v>
      </x:c>
      <x:c r="G1530" s="166" t="str">
        <x:v>BANCO BTG PACTUAL S/A</x:v>
      </x:c>
      <x:c r="H1530" s="166" t="str">
        <x:v>Outros</x:v>
      </x:c>
      <x:c r="I1530" s="166" t="str">
        <x:v>Multicarteira Outros</x:v>
      </x:c>
      <x:c r="J1530" s="166" t="str">
        <x:v>CI</x:v>
      </x:c>
      <x:c r="K1530" s="172" t="n">
        <x:v>1</x:v>
      </x:c>
      <x:c r="L1530" s="185" t="str">
        <x:v>Não classificado</x:v>
      </x:c>
    </x:row>
    <x:row r="1531">
      <x:c r="A1531" s="175" t="str">
        <x:v>61.134.294/0001-39</x:v>
      </x:c>
      <x:c r="B1531" s="166" t="str">
        <x:v>SANTA CLARA FUNDO DE INVESTIMENTO EM DIREITOS CREDITÓRIOS DE RESPONSABILIDADE LIMITADA</x:v>
      </x:c>
      <x:c r="C1531" s="188" t="n">
        <x:v>55840087.22</x:v>
      </x:c>
      <x:c r="D1531" s="166" t="str">
        <x:v>Plural Investimentos Gestão de Recursos Ltda.</x:v>
      </x:c>
      <x:c r="E1531" s="166" t="str">
        <x:f>IFERROR(INDEX('Classif Gestoras'!$H$6:$H$462,MATCH(D1531,'Classif Gestoras'!$A$6:$A$462,0)),"Não classificada")</x:f>
        <x:v>Ligada a banco</x:v>
      </x:c>
      <x:c r="F1531" s="166" t="str">
        <x:v>Genial Investimentos Corretora de Valores Mobiliários S.A.</x:v>
      </x:c>
      <x:c r="G1531" s="166" t="str">
        <x:v>BANCO GENIAL S.A.</x:v>
      </x:c>
      <x:c r="H1531" s="166" t="str">
        <x:v>Outros</x:v>
      </x:c>
      <x:c r="I1531" s="166" t="str">
        <x:v>Multicarteira Outros</x:v>
      </x:c>
      <x:c r="J1531" s="166" t="str">
        <x:v>CI</x:v>
      </x:c>
      <x:c r="K1531" s="172" t="n">
        <x:v>36</x:v>
      </x:c>
      <x:c r="L1531" s="185" t="str">
        <x:v>Não classificado</x:v>
      </x:c>
    </x:row>
    <x:row r="1532">
      <x:c r="A1532" s="175" t="str">
        <x:v>57.340.272/0001-58</x:v>
      </x:c>
      <x:c r="B1532" s="166" t="str">
        <x:v>ESTÍMULO RETOMADA RIO GRANDE DO SUL FIDC IS DE RESPONSABILIDADE LIMITADA</x:v>
      </x:c>
      <x:c r="C1532" s="188" t="n">
        <x:v>55685715.48</x:v>
      </x:c>
      <x:c r="D1532" s="166" t="str">
        <x:v>Galápagos</x:v>
      </x:c>
      <x:c r="E1532" s="166" t="str">
        <x:f>IFERROR(INDEX('Classif Gestoras'!$H$6:$H$462,MATCH(D1532,'Classif Gestoras'!$A$6:$A$462,0)),"Não classificada")</x:f>
        <x:v>Independente</x:v>
      </x:c>
      <x:c r="F1532" s="166" t="str">
        <x:v>Singulare</x:v>
      </x:c>
      <x:c r="G1532" s="166" t="str">
        <x:v>QI CORRETORA DE TÍTULOS E VALORES MOBILIÁRIOS S.A.</x:v>
      </x:c>
      <x:c r="H1532" s="166" t="str">
        <x:v>Outros</x:v>
      </x:c>
      <x:c r="I1532" s="166" t="str">
        <x:v>Multicarteira Outros</x:v>
      </x:c>
      <x:c r="J1532" s="166" t="str">
        <x:v>CI</x:v>
      </x:c>
      <x:c r="K1532" s="172" t="n">
        <x:v>8</x:v>
      </x:c>
      <x:c r="L1532" s="185" t="str">
        <x:v>Não classificado</x:v>
      </x:c>
    </x:row>
    <x:row r="1533">
      <x:c r="A1533" s="175" t="str">
        <x:v>40.676.423/0001-40</x:v>
      </x:c>
      <x:c r="B1533" s="166" t="str">
        <x:v>ADJUD I FUNDO DE INVESTIMENTOS EM DIREITOS CREDITÓRIOS</x:v>
      </x:c>
      <x:c r="C1533" s="188" t="n">
        <x:v>55663843.13</x:v>
      </x:c>
      <x:c r="D1533" s="166" t="str">
        <x:v>Vista Real Estate</x:v>
      </x:c>
      <x:c r="E1533" s="166" t="str">
        <x:f>IFERROR(INDEX('Classif Gestoras'!$H$6:$H$462,MATCH(D1533,'Classif Gestoras'!$A$6:$A$462,0)),"Não classificada")</x:f>
        <x:v>Independente</x:v>
      </x:c>
      <x:c r="F1533" s="166" t="str">
        <x:v>BRL TRUST DTVM</x:v>
      </x:c>
      <x:c r="G1533" s="166" t="str">
        <x:v>BRL TRUST DISTRIBUIDORA DE TITULOS E VALORES MOBILIARIOS S.A.</x:v>
      </x:c>
      <x:c r="H1533" s="166" t="str">
        <x:v>Outros</x:v>
      </x:c>
      <x:c r="I1533" s="166" t="str">
        <x:v>Poder Público</x:v>
      </x:c>
      <x:c r="J1533" s="166" t="str">
        <x:v>CI</x:v>
      </x:c>
      <x:c r="K1533" s="172" t="n">
        <x:v>29</x:v>
      </x:c>
      <x:c r="L1533" s="185" t="str">
        <x:v>Não classificado</x:v>
      </x:c>
    </x:row>
    <x:row r="1534">
      <x:c r="A1534" s="175" t="str">
        <x:v>54.994.858/0001-48</x:v>
      </x:c>
      <x:c r="B1534" s="166" t="str">
        <x:v>MILÊNIO PFN FUNDO DE INVESTIMENTO EM DIREITOS CREDITÓRIOS DE RESPONSABILIDADE LIMITADA</x:v>
      </x:c>
      <x:c r="C1534" s="188" t="n">
        <x:v>55624360.29000001</x:v>
      </x:c>
      <x:c r="D1534" s="166" t="str">
        <x:v>Milênio Capital</x:v>
      </x:c>
      <x:c r="E1534" s="166" t="str">
        <x:f>IFERROR(INDEX('Classif Gestoras'!$H$6:$H$462,MATCH(D1534,'Classif Gestoras'!$A$6:$A$462,0)),"Não classificada")</x:f>
        <x:v>Independente</x:v>
      </x:c>
      <x:c r="F1534" s="166" t="str">
        <x:v>BANCO DAYCOVAL S/A</x:v>
      </x:c>
      <x:c r="G1534" s="166" t="str">
        <x:v>BANCO DAYCOVAL S.A.</x:v>
      </x:c>
      <x:c r="H1534" s="166" t="str">
        <x:v>Outros</x:v>
      </x:c>
      <x:c r="I1534" s="166" t="str">
        <x:v>Multicarteira Outros</x:v>
      </x:c>
      <x:c r="J1534" s="166" t="str">
        <x:v>CI</x:v>
      </x:c>
      <x:c r="K1534" s="172" t="n">
        <x:v>2</x:v>
      </x:c>
      <x:c r="L1534" s="185" t="str">
        <x:v>Não classificado</x:v>
      </x:c>
    </x:row>
    <x:row r="1535">
      <x:c r="A1535" s="175" t="str">
        <x:v>63.492.452/0001-58</x:v>
      </x:c>
      <x:c r="B1535" s="166" t="str">
        <x:v>CERUS NP FUNDO DE INVESTIMENTO EM DIREITOS CREDITÓRIOS</x:v>
      </x:c>
      <x:c r="C1535" s="188" t="n">
        <x:v>55619443.67999999</x:v>
      </x:c>
      <x:c r="D1535" s="166" t="str">
        <x:v>POLÍGONO CAPITAL LTDA.</x:v>
      </x:c>
      <x:c r="E1535" s="166" t="str">
        <x:f>IFERROR(INDEX('Classif Gestoras'!$H$6:$H$462,MATCH(D1535,'Classif Gestoras'!$A$6:$A$462,0)),"Não classificada")</x:f>
        <x:v>Independente</x:v>
      </x:c>
      <x:c r="F1535" s="166" t="str">
        <x:v>FIDD DISTRIBUIDORA DE TITULOS E VALORES MOBILIARIOS LTD</x:v>
      </x:c>
      <x:c r="G1535" s="166" t="str">
        <x:v>FIDD DISTRIBUIDORA DE TITULOS E VALORES MOBILIARIOS LTDA.</x:v>
      </x:c>
      <x:c r="H1535" s="166" t="str">
        <x:v>Agro, Indústria e Comércio</x:v>
      </x:c>
      <x:c r="I1535" s="166" t="str">
        <x:v>Recebíveis Comerciais</x:v>
      </x:c>
      <x:c r="J1535" s="166" t="str">
        <x:v>CI</x:v>
      </x:c>
      <x:c r="K1535" s="172" t="n">
        <x:v>16</x:v>
      </x:c>
      <x:c r="L1535" s="185" t="str">
        <x:v>Não classificado</x:v>
      </x:c>
    </x:row>
    <x:row r="1536">
      <x:c r="A1536" s="175" t="str">
        <x:v>40.782.833/0001-76</x:v>
      </x:c>
      <x:c r="B1536" s="166" t="str">
        <x:v>FUNDO DE INVESTIMENTO EM DIREITOS CREDITORIOS GO KENERSON RESPONSABILIDADE LIMITADA</x:v>
      </x:c>
      <x:c r="C1536" s="188" t="n">
        <x:v>55608463.91826999</x:v>
      </x:c>
      <x:c r="D1536" s="166" t="str">
        <x:v>Multiplica Capital</x:v>
      </x:c>
      <x:c r="E1536" s="166" t="str">
        <x:f>IFERROR(INDEX('Classif Gestoras'!$H$6:$H$462,MATCH(D1536,'Classif Gestoras'!$A$6:$A$462,0)),"Não classificada")</x:f>
        <x:v>Independente</x:v>
      </x:c>
      <x:c r="F1536" s="166" t="str">
        <x:v>Singulare</x:v>
      </x:c>
      <x:c r="G1536" s="166" t="str">
        <x:v>QI CORRETORA DE TÍTULOS E VALORES MOBILIÁRIOS S.A.</x:v>
      </x:c>
      <x:c r="H1536" s="166" t="str">
        <x:v>Fomento Mercantil</x:v>
      </x:c>
      <x:c r="I1536" s="166" t="str">
        <x:v>Fomento Mercantil</x:v>
      </x:c>
      <x:c r="J1536" s="166" t="str">
        <x:v>CI</x:v>
      </x:c>
      <x:c r="K1536" s="172" t="n">
        <x:v>12</x:v>
      </x:c>
      <x:c r="L1536" s="185" t="str">
        <x:v>Não classificado</x:v>
      </x:c>
    </x:row>
    <x:row r="1537">
      <x:c r="A1537" s="175" t="str">
        <x:v>45.953.246/0001-16</x:v>
      </x:c>
      <x:c r="B1537" s="166" t="str">
        <x:v>RUMOS DISTRIBUIDORA DE PETRÓLEO FUNDO DE INVESTIMENTO EM DIREITOS CREDITÓRIOS</x:v>
      </x:c>
      <x:c r="C1537" s="188" t="n">
        <x:v>55579531.4</x:v>
      </x:c>
      <x:c r="D1537" s="166" t="str">
        <x:v>VALORA RENDA FIXA LTDA.</x:v>
      </x:c>
      <x:c r="E1537" s="166" t="str">
        <x:f>IFERROR(INDEX('Classif Gestoras'!$H$6:$H$462,MATCH(D1537,'Classif Gestoras'!$A$6:$A$462,0)),"Não classificada")</x:f>
        <x:v>Independente</x:v>
      </x:c>
      <x:c r="F1537" s="166" t="str">
        <x:v>Banco Genial S.A.</x:v>
      </x:c>
      <x:c r="G1537" s="166" t="str">
        <x:v>BANCO GENIAL S.A.</x:v>
      </x:c>
      <x:c r="H1537" s="166" t="str">
        <x:v>Agro, Indústria e Comércio</x:v>
      </x:c>
      <x:c r="I1537" s="166" t="str">
        <x:v>Recebíveis Comerciais</x:v>
      </x:c>
      <x:c r="J1537" s="166" t="str">
        <x:v>CI</x:v>
      </x:c>
      <x:c r="K1537" s="172" t="n">
        <x:v>1</x:v>
      </x:c>
      <x:c r="L1537" s="185" t="str">
        <x:v>Não classificado</x:v>
      </x:c>
    </x:row>
    <x:row r="1538">
      <x:c r="A1538" s="175" t="str">
        <x:v>47.629.727/0001-04</x:v>
      </x:c>
      <x:c r="B1538" s="166" t="str">
        <x:v>CORES I FUNDO DE INVESTIMENTO EM DIREITOS CREDITÓRIOS</x:v>
      </x:c>
      <x:c r="C1538" s="188" t="n">
        <x:v>55550221.620000005</x:v>
      </x:c>
      <x:c r="D1538" s="166" t="str">
        <x:v>SUESTE CAPITAL GESTÃO DE RECURSOS LTDA.</x:v>
      </x:c>
      <x:c r="E1538" s="166" t="str">
        <x:f>IFERROR(INDEX('Classif Gestoras'!$H$6:$H$462,MATCH(D1538,'Classif Gestoras'!$A$6:$A$462,0)),"Não classificada")</x:f>
        <x:v>Independente</x:v>
      </x:c>
      <x:c r="F1538" s="166" t="str">
        <x:v>XPI CCTVM S/A</x:v>
      </x:c>
      <x:c r="G1538" s="166" t="str">
        <x:v>OLIVEIRA TRUST DTVM S.A.</x:v>
      </x:c>
      <x:c r="H1538" s="166" t="str">
        <x:v>Financeiro</x:v>
      </x:c>
      <x:c r="I1538" s="166" t="str">
        <x:v>Crédito Pessoal</x:v>
      </x:c>
      <x:c r="J1538" s="166" t="str">
        <x:v>CI</x:v>
      </x:c>
      <x:c r="K1538" s="172" t="n">
        <x:v>1</x:v>
      </x:c>
      <x:c r="L1538" s="185" t="str">
        <x:v>Não classificado</x:v>
      </x:c>
    </x:row>
    <x:row r="1539">
      <x:c r="A1539" s="175" t="str">
        <x:v>55.586.406/0001-90</x:v>
      </x:c>
      <x:c r="B1539" s="166" t="str">
        <x:v>LEPTA SPECIAL FUNDO DE INVESTIMENTO EM DIREITOS CREDITÓRIOS</x:v>
      </x:c>
      <x:c r="C1539" s="188" t="n">
        <x:v>55536169.17</x:v>
      </x:c>
      <x:c r="D1539" s="166" t="str">
        <x:v>M8 Partners</x:v>
      </x:c>
      <x:c r="E1539" s="166" t="str">
        <x:f>IFERROR(INDEX('Classif Gestoras'!$H$6:$H$462,MATCH(D1539,'Classif Gestoras'!$A$6:$A$462,0)),"Não classificada")</x:f>
        <x:v>Independente</x:v>
      </x:c>
      <x:c r="F1539" s="166" t="str">
        <x:v>HEMERA DTVM</x:v>
      </x:c>
      <x:c r="G1539" s="166" t="str">
        <x:v>HEMERA DISTRIBUIDORA DE TITULOS E VALORES MOBILIARIOS LTDA</x:v>
      </x:c>
      <x:c r="H1539" s="166" t="str">
        <x:v>Financeiro</x:v>
      </x:c>
      <x:c r="I1539" s="166" t="str">
        <x:v>Multicarteira Financeiro</x:v>
      </x:c>
      <x:c r="J1539" s="166" t="str">
        <x:v>CI</x:v>
      </x:c>
      <x:c r="K1539" s="172" t="n">
        <x:v>21</x:v>
      </x:c>
      <x:c r="L1539" s="185" t="str">
        <x:v>Não classificado</x:v>
      </x:c>
    </x:row>
    <x:row r="1540">
      <x:c r="A1540" s="175" t="str">
        <x:v>63.677.254/0001-69</x:v>
      </x:c>
      <x:c r="B1540" s="166" t="str">
        <x:v>LC2M FUNDO DE INVESTIMENTO EM DIREITOS CREDITÓRIOS - DE RESPONSABILIDADE LIMITADA</x:v>
      </x:c>
      <x:c r="C1540" s="188" t="n">
        <x:v>55440887.54</x:v>
      </x:c>
      <x:c r="D1540" s="166" t="str">
        <x:v>Éxes</x:v>
      </x:c>
      <x:c r="E1540" s="166" t="str">
        <x:f>IFERROR(INDEX('Classif Gestoras'!$H$6:$H$462,MATCH(D1540,'Classif Gestoras'!$A$6:$A$462,0)),"Não classificada")</x:f>
        <x:v>Independente</x:v>
      </x:c>
      <x:c r="F1540" s="166" t="str">
        <x:v>Oliveira Trust DTVM</x:v>
      </x:c>
      <x:c r="G1540" s="166" t="str">
        <x:v>OLIVEIRA TRUST DTVM S.A.</x:v>
      </x:c>
      <x:c r="H1540" s="166" t="str">
        <x:v>Agro, Indústria e Comércio</x:v>
      </x:c>
      <x:c r="I1540" s="166" t="str">
        <x:v>Crédito Corporativo</x:v>
      </x:c>
      <x:c r="J1540" s="166" t="str">
        <x:v>CI</x:v>
      </x:c>
      <x:c r="K1540" s="172" t="n">
        <x:v>5</x:v>
      </x:c>
      <x:c r="L1540" s="185" t="str">
        <x:v>Não classificado</x:v>
      </x:c>
    </x:row>
    <x:row r="1541">
      <x:c r="A1541" s="175" t="str">
        <x:v>55.074.368/0001-96</x:v>
      </x:c>
      <x:c r="B1541" s="166" t="str">
        <x:v>PRIMATO FUNDO DE INVESTIMENTO EM DIREITOS CREDITÓRIOS DO AGRONEGÓCIO DE RESPONSABILIDADE LIMITADA</x:v>
      </x:c>
      <x:c r="C1541" s="188" t="n">
        <x:v>55391761.23</x:v>
      </x:c>
      <x:c r="D1541" s="166" t="str">
        <x:v>Kanastra</x:v>
      </x:c>
      <x:c r="E1541" s="166" t="str">
        <x:f>IFERROR(INDEX('Classif Gestoras'!$H$6:$H$462,MATCH(D1541,'Classif Gestoras'!$A$6:$A$462,0)),"Não classificada")</x:f>
        <x:v>Independente</x:v>
      </x:c>
      <x:c r="F1541" s="166" t="str">
        <x:v>Limine Trust Distribuidora de Titulos e Valores Mobiliá</x:v>
      </x:c>
      <x:c r="G1541" s="166" t="str">
        <x:v>LIMINE TRUST DISTRIBUIDORA DE TITULOS E VALORES MOBILIARIOS LTDA.</x:v>
      </x:c>
      <x:c r="H1541" s="166" t="str">
        <x:v>Agro, Indústria e Comércio</x:v>
      </x:c>
      <x:c r="I1541" s="166" t="str">
        <x:v>Recebíveis Comerciais</x:v>
      </x:c>
      <x:c r="J1541" s="166" t="str">
        <x:v>CI</x:v>
      </x:c>
      <x:c r="K1541" s="172" t="n">
        <x:v>2</x:v>
      </x:c>
      <x:c r="L1541" s="185" t="str">
        <x:v>Não classificado</x:v>
      </x:c>
    </x:row>
    <x:row r="1542">
      <x:c r="A1542" s="175" t="str">
        <x:v>57.334.752/0001-06</x:v>
      </x:c>
      <x:c r="B1542" s="166" t="str">
        <x:v>DOLPHIN FUNDO DE INVESTIMENTO EM DIREITOS CREDITÓRIOS - RESPONSABILIDADE LIMITADA</x:v>
      </x:c>
      <x:c r="C1542" s="188" t="n">
        <x:v>55199761.08</x:v>
      </x:c>
      <x:c r="D1542" s="166" t="str">
        <x:v>JIVE INVESTMENTS</x:v>
      </x:c>
      <x:c r="E1542" s="166" t="str">
        <x:f>IFERROR(INDEX('Classif Gestoras'!$H$6:$H$462,MATCH(D1542,'Classif Gestoras'!$A$6:$A$462,0)),"Não classificada")</x:f>
        <x:v>Independente</x:v>
      </x:c>
      <x:c r="F1542" s="166" t="str">
        <x:v>MAF Distribuidora de Títulos e Valores Mobiliários S.A.</x:v>
      </x:c>
      <x:c r="G1542" s="166" t="str">
        <x:v>MAF DISTRIBUIDORA DE TITULOS E VALORES MOBILIARIOS S.A.</x:v>
      </x:c>
      <x:c r="H1542" s="166" t="str">
        <x:v>Outros</x:v>
      </x:c>
      <x:c r="I1542" s="166" t="str">
        <x:v>Recuperação</x:v>
      </x:c>
      <x:c r="J1542" s="166" t="str">
        <x:v>CI</x:v>
      </x:c>
      <x:c r="K1542" s="172" t="n">
        <x:v>4</x:v>
      </x:c>
      <x:c r="L1542" s="185" t="str">
        <x:v>Não classificado</x:v>
      </x:c>
    </x:row>
    <x:row r="1543">
      <x:c r="A1543" s="175" t="str">
        <x:v>66.886.906/0001-63</x:v>
      </x:c>
      <x:c r="B1543" s="166" t="str">
        <x:v>CNPJ 66886906000163</x:v>
      </x:c>
      <x:c r="C1543" s="188" t="n">
        <x:v>55170314.650000006</x:v>
      </x:c>
      <x:c r="D1543" s="166" t="str">
        <x:v>CVPAR Investimentos ltda</x:v>
      </x:c>
      <x:c r="E1543" s="166" t="str">
        <x:f>IFERROR(INDEX('Classif Gestoras'!$H$6:$H$462,MATCH(D1543,'Classif Gestoras'!$A$6:$A$462,0)),"Não classificada")</x:f>
        <x:v>Independente</x:v>
      </x:c>
      <x:c r="F1543" s="166" t="str">
        <x:v>Singulare</x:v>
      </x:c>
      <x:c r="G1543" s="166" t="str">
        <x:v>Não identificado</x:v>
      </x:c>
      <x:c r="H1543" s="166" t="str">
        <x:v>Outros</x:v>
      </x:c>
      <x:c r="I1543" s="166" t="str">
        <x:v>Multicarteira Outros</x:v>
      </x:c>
      <x:c r="J1543" s="166" t="str">
        <x:v>CI</x:v>
      </x:c>
      <x:c r="K1543" s="172"/>
      <x:c r="L1543" s="185" t="str">
        <x:v>Não classificado</x:v>
      </x:c>
    </x:row>
    <x:row r="1544">
      <x:c r="A1544" s="175" t="str">
        <x:v>50.434.429/0001-65</x:v>
      </x:c>
      <x:c r="B1544" s="166" t="str">
        <x:v>ALVORADA I FUNDO DE INVESTIMENTO EM DIREITOS CREDITÓRIOS</x:v>
      </x:c>
      <x:c r="C1544" s="188" t="n">
        <x:v>55154535.67</x:v>
      </x:c>
      <x:c r="D1544" s="166" t="str">
        <x:v>BS2 ASSET MANAGEMENT – ADMINISTRADORA DE RECURSOS LTDA.</x:v>
      </x:c>
      <x:c r="E1544" s="166" t="str">
        <x:f>IFERROR(INDEX('Classif Gestoras'!$H$6:$H$462,MATCH(D1544,'Classif Gestoras'!$A$6:$A$462,0)),"Não classificada")</x:f>
        <x:v>Independente</x:v>
      </x:c>
      <x:c r="F1544" s="166" t="str">
        <x:v>Singulare</x:v>
      </x:c>
      <x:c r="G1544" s="166" t="str">
        <x:v>QI CORRETORA DE TÍTULOS E VALORES MOBILIÁRIOS S.A.</x:v>
      </x:c>
      <x:c r="H1544" s="166" t="str">
        <x:v>Fomento Mercantil</x:v>
      </x:c>
      <x:c r="I1544" s="166" t="str">
        <x:v>Fomento Mercantil</x:v>
      </x:c>
      <x:c r="J1544" s="166" t="str">
        <x:v>CI</x:v>
      </x:c>
      <x:c r="K1544" s="172" t="n">
        <x:v>16</x:v>
      </x:c>
      <x:c r="L1544" s="185" t="str">
        <x:v>Não classificado</x:v>
      </x:c>
    </x:row>
    <x:row r="1545">
      <x:c r="A1545" s="175" t="str">
        <x:v>58.114.311/0001-61</x:v>
      </x:c>
      <x:c r="B1545" s="166" t="str">
        <x:v>CORAL FUNDO DE INVESTIMENTO EM DIREITOS CREDITÓRIOS</x:v>
      </x:c>
      <x:c r="C1545" s="188" t="n">
        <x:v>54986740.489999995</x:v>
      </x:c>
      <x:c r="D1545" s="166" t="str">
        <x:v>Kanastra</x:v>
      </x:c>
      <x:c r="E1545" s="166" t="str">
        <x:f>IFERROR(INDEX('Classif Gestoras'!$H$6:$H$462,MATCH(D1545,'Classif Gestoras'!$A$6:$A$462,0)),"Não classificada")</x:f>
        <x:v>Independente</x:v>
      </x:c>
      <x:c r="F1545" s="166" t="str">
        <x:v>Limine Trust Distribuidora de Titulos e Valores Mobiliá</x:v>
      </x:c>
      <x:c r="G1545" s="166" t="str">
        <x:v>LIMINE TRUST DISTRIBUIDORA DE TITULOS E VALORES MOBILIARIOS LTDA.</x:v>
      </x:c>
      <x:c r="H1545" s="166" t="str">
        <x:v>Outros</x:v>
      </x:c>
      <x:c r="I1545" s="166" t="str">
        <x:v>Multicarteira Outros</x:v>
      </x:c>
      <x:c r="J1545" s="166" t="str">
        <x:v>CI</x:v>
      </x:c>
      <x:c r="K1545" s="172" t="n">
        <x:v>1</x:v>
      </x:c>
      <x:c r="L1545" s="185" t="str">
        <x:v>Não classificado</x:v>
      </x:c>
    </x:row>
    <x:row r="1546">
      <x:c r="A1546" s="175" t="str">
        <x:v>12.712.606/0001-39</x:v>
      </x:c>
      <x:c r="B1546" s="166" t="str">
        <x:v>IGUANA FUNDO DE INVESTIMENTO EM DIREITOS CREDITÓRIOS</x:v>
      </x:c>
      <x:c r="C1546" s="188" t="n">
        <x:v>54977630.18</x:v>
      </x:c>
      <x:c r="D1546" s="166" t="str">
        <x:v>TERCON ASSET MANAGEMENT</x:v>
      </x:c>
      <x:c r="E1546" s="166" t="str">
        <x:f>IFERROR(INDEX('Classif Gestoras'!$H$6:$H$462,MATCH(D1546,'Classif Gestoras'!$A$6:$A$462,0)),"Não classificada")</x:f>
        <x:v>Independente</x:v>
      </x:c>
      <x:c r="F1546" s="166" t="str">
        <x:v>Singulare</x:v>
      </x:c>
      <x:c r="G1546" s="166" t="str">
        <x:v>QI CORRETORA DE TÍTULOS E VALORES MOBILIÁRIOS S.A.</x:v>
      </x:c>
      <x:c r="H1546" s="166" t="str">
        <x:v>Fomento Mercantil</x:v>
      </x:c>
      <x:c r="I1546" s="166" t="str">
        <x:v>Fomento Mercantil</x:v>
      </x:c>
      <x:c r="J1546" s="166" t="str">
        <x:v>CI</x:v>
      </x:c>
      <x:c r="K1546" s="172" t="n">
        <x:v>1</x:v>
      </x:c>
      <x:c r="L1546" s="185" t="str">
        <x:v>Não classificado</x:v>
      </x:c>
    </x:row>
    <x:row r="1547">
      <x:c r="A1547" s="175" t="str">
        <x:v>53.205.572/0001-73</x:v>
      </x:c>
      <x:c r="B1547" s="166" t="str">
        <x:v>PEDRA AZUL FUNDO DE INVESTIMENTO EM DIREITOS CREDITÓRIOS</x:v>
      </x:c>
      <x:c r="C1547" s="188" t="n">
        <x:v>54890368.39</x:v>
      </x:c>
      <x:c r="D1547" s="166" t="str">
        <x:v>REAG LEGAL CLAIMS GESTÃO DE ATIVOS</x:v>
      </x:c>
      <x:c r="E1547" s="166" t="str">
        <x:f>IFERROR(INDEX('Classif Gestoras'!$H$6:$H$462,MATCH(D1547,'Classif Gestoras'!$A$6:$A$462,0)),"Não classificada")</x:f>
        <x:v>Independente</x:v>
      </x:c>
      <x:c r="F1547" s="166" t="str">
        <x:v>PLANNER CV</x:v>
      </x:c>
      <x:c r="G1547" s="166" t="str">
        <x:v>PLANNER CORRETORA DE VALORES S.A.</x:v>
      </x:c>
      <x:c r="H1547" s="166" t="str">
        <x:v>Outros</x:v>
      </x:c>
      <x:c r="I1547" s="166" t="str">
        <x:v>Multicarteira Outros</x:v>
      </x:c>
      <x:c r="J1547" s="166" t="str">
        <x:v>CI</x:v>
      </x:c>
      <x:c r="K1547" s="172" t="n">
        <x:v>26</x:v>
      </x:c>
      <x:c r="L1547" s="185" t="str">
        <x:v>Não classificado</x:v>
      </x:c>
    </x:row>
    <x:row r="1548">
      <x:c r="A1548" s="175" t="str">
        <x:v>31.772.126/0001-08</x:v>
      </x:c>
      <x:c r="B1548" s="166" t="str">
        <x:v>IRLA FUNDO DE INVESTIMENTO EM DIREITOS CREDITORIOS MULTISSETORIAL</x:v>
      </x:c>
      <x:c r="C1548" s="188" t="n">
        <x:v>54820486.37</x:v>
      </x:c>
      <x:c r="D1548" s="166" t="str">
        <x:v>OURO PRETO INVESTIMENTOS</x:v>
      </x:c>
      <x:c r="E1548" s="166" t="str">
        <x:f>IFERROR(INDEX('Classif Gestoras'!$H$6:$H$462,MATCH(D1548,'Classif Gestoras'!$A$6:$A$462,0)),"Não classificada")</x:f>
        <x:v>Independente</x:v>
      </x:c>
      <x:c r="F1548" s="166" t="str">
        <x:v>Singulare</x:v>
      </x:c>
      <x:c r="G1548" s="166" t="str">
        <x:v>QI CORRETORA DE TÍTULOS E VALORES MOBILIÁRIOS S.A.</x:v>
      </x:c>
      <x:c r="H1548" s="166" t="str">
        <x:v>Fomento Mercantil</x:v>
      </x:c>
      <x:c r="I1548" s="166" t="str">
        <x:v>Fomento Mercantil</x:v>
      </x:c>
      <x:c r="J1548" s="166" t="str">
        <x:v>CI</x:v>
      </x:c>
      <x:c r="K1548" s="172" t="n">
        <x:v>7</x:v>
      </x:c>
      <x:c r="L1548" s="185" t="str">
        <x:v>Não classificado</x:v>
      </x:c>
    </x:row>
    <x:row r="1549">
      <x:c r="A1549" s="175" t="str">
        <x:v>57.456.281/0001-09</x:v>
      </x:c>
      <x:c r="B1549" s="166" t="str">
        <x:v>MPA FUNDO DE INVESTIMENTO EM DIREITOS CREDITÓRIOS NÃO PADRONIZADOS</x:v>
      </x:c>
      <x:c r="C1549" s="188" t="n">
        <x:v>54814046.2</x:v>
      </x:c>
      <x:c r="D1549" s="166" t="str">
        <x:v>Sabrina Ribeiro Molina</x:v>
      </x:c>
      <x:c r="E1549" s="166" t="str">
        <x:f>IFERROR(INDEX('Classif Gestoras'!$H$6:$H$462,MATCH(D1549,'Classif Gestoras'!$A$6:$A$462,0)),"Não classificada")</x:f>
        <x:v>Independente</x:v>
      </x:c>
      <x:c r="F1549" s="166" t="str">
        <x:v>Singulare</x:v>
      </x:c>
      <x:c r="G1549" s="166" t="str">
        <x:v>QI CORRETORA DE TÍTULOS E VALORES MOBILIÁRIOS S.A.</x:v>
      </x:c>
      <x:c r="H1549" s="166" t="str">
        <x:v>Outros</x:v>
      </x:c>
      <x:c r="I1549" s="166" t="str">
        <x:v>Multicarteira Outros</x:v>
      </x:c>
      <x:c r="J1549" s="166" t="str">
        <x:v>CI</x:v>
      </x:c>
      <x:c r="K1549" s="172" t="n">
        <x:v>1</x:v>
      </x:c>
      <x:c r="L1549" s="185" t="str">
        <x:v>Não classificado</x:v>
      </x:c>
    </x:row>
    <x:row r="1550">
      <x:c r="A1550" s="175" t="str">
        <x:v>47.425.691/0001-39</x:v>
      </x:c>
      <x:c r="B1550" s="166" t="str">
        <x:v>INUIT FUNDO DE INVESTIMENTO EM DIREITOS CREDITÓRIOS</x:v>
      </x:c>
      <x:c r="C1550" s="188" t="n">
        <x:v>54779110.59</x:v>
      </x:c>
      <x:c r="D1550" s="166" t="str">
        <x:v>SOSU CAPITAL GESTÃO DE INVESTIMENTOS LTDA.</x:v>
      </x:c>
      <x:c r="E1550" s="166" t="str">
        <x:f>IFERROR(INDEX('Classif Gestoras'!$H$6:$H$462,MATCH(D1550,'Classif Gestoras'!$A$6:$A$462,0)),"Não classificada")</x:f>
        <x:v>Independente</x:v>
      </x:c>
      <x:c r="F1550" s="166" t="str">
        <x:v>BTG Pactual Servicos Financeiros S/A DTVM</x:v>
      </x:c>
      <x:c r="G1550" s="166" t="str">
        <x:v>BANCO BTG PACTUAL S/A</x:v>
      </x:c>
      <x:c r="H1550" s="166" t="str">
        <x:v>Outros</x:v>
      </x:c>
      <x:c r="I1550" s="166" t="str">
        <x:v>Poder Público</x:v>
      </x:c>
      <x:c r="J1550" s="166" t="str">
        <x:v>CI</x:v>
      </x:c>
      <x:c r="K1550" s="172" t="n">
        <x:v>3</x:v>
      </x:c>
      <x:c r="L1550" s="185" t="str">
        <x:v>Não classificado</x:v>
      </x:c>
    </x:row>
    <x:row r="1551">
      <x:c r="A1551" s="175" t="str">
        <x:v>44.900.271/0001-79</x:v>
      </x:c>
      <x:c r="B1551" s="166" t="str">
        <x:v>DVNP FUNDO DE INVESTIMENTO EM DIREITOS CREDITÓRIOS NÃO PADRONIZADOS DE RESPONSABILIDADE ILIMITADA</x:v>
      </x:c>
      <x:c r="C1551" s="188" t="n">
        <x:v>54718081.85</x:v>
      </x:c>
      <x:c r="D1551" s="166" t="str">
        <x:v>G5 Adm. de Recursos</x:v>
      </x:c>
      <x:c r="E1551" s="166" t="str">
        <x:f>IFERROR(INDEX('Classif Gestoras'!$H$6:$H$462,MATCH(D1551,'Classif Gestoras'!$A$6:$A$462,0)),"Não classificada")</x:f>
        <x:v>Independente</x:v>
      </x:c>
      <x:c r="F1551" s="166" t="str">
        <x:v>Oliveira Trust DTVM</x:v>
      </x:c>
      <x:c r="G1551" s="166" t="str">
        <x:v>OLIVEIRA TRUST DTVM S.A.</x:v>
      </x:c>
      <x:c r="H1551" s="166" t="str">
        <x:v>Outros</x:v>
      </x:c>
      <x:c r="I1551" s="166" t="str">
        <x:v>Multicarteira Outros</x:v>
      </x:c>
      <x:c r="J1551" s="166" t="str">
        <x:v>CI</x:v>
      </x:c>
      <x:c r="K1551" s="172" t="n">
        <x:v>1</x:v>
      </x:c>
      <x:c r="L1551" s="185" t="str">
        <x:v>Não classificado</x:v>
      </x:c>
    </x:row>
    <x:row r="1552">
      <x:c r="A1552" s="175" t="str">
        <x:v>63.442.029/0001-43</x:v>
      </x:c>
      <x:c r="B1552" s="166" t="str">
        <x:v>FIDELIS FUNDO DE INVESTIMENTO EM DIREITOS CREDITÓRIOS</x:v>
      </x:c>
      <x:c r="C1552" s="188" t="n">
        <x:v>54704209.14</x:v>
      </x:c>
      <x:c r="D1552" s="166" t="str">
        <x:v>Catálise Investimentos</x:v>
      </x:c>
      <x:c r="E1552" s="166" t="str">
        <x:f>IFERROR(INDEX('Classif Gestoras'!$H$6:$H$462,MATCH(D1552,'Classif Gestoras'!$A$6:$A$462,0)),"Não classificada")</x:f>
        <x:v>Independente</x:v>
      </x:c>
      <x:c r="F1552" s="166" t="str">
        <x:v>CATÁLISE DTVM</x:v>
      </x:c>
      <x:c r="G1552" s="166" t="str">
        <x:v>BANCO DAYCOVAL S.A.</x:v>
      </x:c>
      <x:c r="H1552" s="166" t="str">
        <x:v>Outros</x:v>
      </x:c>
      <x:c r="I1552" s="166" t="str">
        <x:v>Multicarteira Outros</x:v>
      </x:c>
      <x:c r="J1552" s="166" t="str">
        <x:v>CI</x:v>
      </x:c>
      <x:c r="K1552" s="172" t="n">
        <x:v>1</x:v>
      </x:c>
      <x:c r="L1552" s="185" t="str">
        <x:v>Não classificado</x:v>
      </x:c>
    </x:row>
    <x:row r="1553">
      <x:c r="A1553" s="175" t="str">
        <x:v>35.946.113/0001-69</x:v>
      </x:c>
      <x:c r="B1553" s="166" t="str">
        <x:v>FIDC FINANCEIROS FACTA CONSIGNADO INSS DE RESPONSABILIDADE LIMITADA</x:v>
      </x:c>
      <x:c r="C1553" s="188" t="n">
        <x:v>54684415.18</x:v>
      </x:c>
      <x:c r="D1553" s="166" t="str">
        <x:v>Integral Investimentos</x:v>
      </x:c>
      <x:c r="E1553" s="166" t="str">
        <x:f>IFERROR(INDEX('Classif Gestoras'!$H$6:$H$462,MATCH(D1553,'Classif Gestoras'!$A$6:$A$462,0)),"Não classificada")</x:f>
        <x:v>Independente</x:v>
      </x:c>
      <x:c r="F1553" s="166" t="str">
        <x:v>Oliveira Trust DTVM</x:v>
      </x:c>
      <x:c r="G1553" s="166" t="str">
        <x:v>OLIVEIRA TRUST DTVM S.A.</x:v>
      </x:c>
      <x:c r="H1553" s="166" t="str">
        <x:v>Financeiro</x:v>
      </x:c>
      <x:c r="I1553" s="166" t="str">
        <x:v>Crédito Consignado</x:v>
      </x:c>
      <x:c r="J1553" s="166" t="str">
        <x:v>CI</x:v>
      </x:c>
      <x:c r="K1553" s="172" t="n">
        <x:v>73</x:v>
      </x:c>
      <x:c r="L1553" s="185" t="str">
        <x:v>Não classificado</x:v>
      </x:c>
    </x:row>
    <x:row r="1554">
      <x:c r="A1554" s="175" t="str">
        <x:v>42.867.211/0001-76</x:v>
      </x:c>
      <x:c r="B1554" s="166" t="str">
        <x:v>CW FUNDO DE INVESTIMENTO EM DIREITOS CREDITORIOS NAO PADRONIZADO</x:v>
      </x:c>
      <x:c r="C1554" s="188" t="n">
        <x:v>54658836.16</x:v>
      </x:c>
      <x:c r="D1554" s="166" t="str">
        <x:v>BPS CAPITAL</x:v>
      </x:c>
      <x:c r="E1554" s="166" t="str">
        <x:f>IFERROR(INDEX('Classif Gestoras'!$H$6:$H$462,MATCH(D1554,'Classif Gestoras'!$A$6:$A$462,0)),"Não classificada")</x:f>
        <x:v>Independente</x:v>
      </x:c>
      <x:c r="F1554" s="166" t="str">
        <x:v>ID Corretora de Títulos e Valores Mobiliários S.A.</x:v>
      </x:c>
      <x:c r="G1554" s="166" t="str">
        <x:v>Não identificado</x:v>
      </x:c>
      <x:c r="H1554" s="166" t="str">
        <x:v>Outros</x:v>
      </x:c>
      <x:c r="I1554" s="166" t="str">
        <x:v>Multicarteira Outros</x:v>
      </x:c>
      <x:c r="J1554" s="166" t="str">
        <x:v>CI</x:v>
      </x:c>
      <x:c r="K1554" s="172" t="n">
        <x:v>0</x:v>
      </x:c>
      <x:c r="L1554" s="185" t="str">
        <x:v>Não classificado</x:v>
      </x:c>
    </x:row>
    <x:row r="1555">
      <x:c r="A1555" s="175" t="str">
        <x:v>15.578.550/0001-60</x:v>
      </x:c>
      <x:c r="B1555" s="166" t="str">
        <x:v>FUNDO DE INVESTIMENTO EM DIREITOS CREDITÓRIOS MULTISSETORIAL MILÊNIO RECEBÍVEIS LP</x:v>
      </x:c>
      <x:c r="C1555" s="188" t="n">
        <x:v>54564985.93</x:v>
      </x:c>
      <x:c r="D1555" s="166" t="str">
        <x:v>Solis</x:v>
      </x:c>
      <x:c r="E1555" s="166" t="str">
        <x:f>IFERROR(INDEX('Classif Gestoras'!$H$6:$H$462,MATCH(D1555,'Classif Gestoras'!$A$6:$A$462,0)),"Não classificada")</x:f>
        <x:v>Independente</x:v>
      </x:c>
      <x:c r="F1555" s="166" t="str">
        <x:v>HEMERA DTVM</x:v>
      </x:c>
      <x:c r="G1555" s="166" t="str">
        <x:v>HEMERA DISTRIBUIDORA DE TITULOS E VALORES MOBILIARIOS LTDA</x:v>
      </x:c>
      <x:c r="H1555" s="166" t="str">
        <x:v>Fomento Mercantil</x:v>
      </x:c>
      <x:c r="I1555" s="166" t="str">
        <x:v>Fomento Mercantil</x:v>
      </x:c>
      <x:c r="J1555" s="166" t="str">
        <x:v>CI</x:v>
      </x:c>
      <x:c r="K1555" s="172" t="n">
        <x:v>33</x:v>
      </x:c>
      <x:c r="L1555" s="185" t="str">
        <x:v>Não classificado</x:v>
      </x:c>
    </x:row>
    <x:row r="1556">
      <x:c r="A1556" s="175" t="str">
        <x:v>56.938.161/0001-85</x:v>
      </x:c>
      <x:c r="B1556" s="166" t="str">
        <x:v>PODIUM FUNDO DE INVESTIMENTO EM DIREITOS CREDITÓRIOS RESPONSABILIDADE LIMITADA</x:v>
      </x:c>
      <x:c r="C1556" s="188" t="n">
        <x:v>54433751.73</x:v>
      </x:c>
      <x:c r="D1556" s="166" t="str">
        <x:v>Bless Capital Gestora de Recursos Ltda.</x:v>
      </x:c>
      <x:c r="E1556" s="166" t="str">
        <x:f>IFERROR(INDEX('Classif Gestoras'!$H$6:$H$462,MATCH(D1556,'Classif Gestoras'!$A$6:$A$462,0)),"Não classificada")</x:f>
        <x:v>Independente</x:v>
      </x:c>
      <x:c r="F1556" s="166" t="str">
        <x:v>ID Corretora de Títulos e Valores Mobiliários S.A.</x:v>
      </x:c>
      <x:c r="G1556" s="166" t="str">
        <x:v>ID CORRETORA DE TITULOS E VALORES MOBILIARIOS S.A.</x:v>
      </x:c>
      <x:c r="H1556" s="166" t="str">
        <x:v>Outros</x:v>
      </x:c>
      <x:c r="I1556" s="166" t="str">
        <x:v>Multicarteira Outros</x:v>
      </x:c>
      <x:c r="J1556" s="166" t="str">
        <x:v>CI</x:v>
      </x:c>
      <x:c r="K1556" s="172" t="n">
        <x:v>1</x:v>
      </x:c>
      <x:c r="L1556" s="185" t="str">
        <x:v>Não classificado</x:v>
      </x:c>
    </x:row>
    <x:row r="1557">
      <x:c r="A1557" s="175" t="str">
        <x:v>54.083.491/0001-00</x:v>
      </x:c>
      <x:c r="B1557" s="166" t="str">
        <x:v>FUNDO DE INVESTIMENTOS EM DIREITOS CREDITÓRIOS GCB CRÉDITO MULTIESTRATÉGIA RESPONSABILIDADE LIMITADA</x:v>
      </x:c>
      <x:c r="C1557" s="188" t="n">
        <x:v>54410149.58</x:v>
      </x:c>
      <x:c r="D1557" s="166" t="str">
        <x:v>GBM BRASIL DTVM S.A.</x:v>
      </x:c>
      <x:c r="E1557" s="166" t="str">
        <x:f>IFERROR(INDEX('Classif Gestoras'!$H$6:$H$462,MATCH(D1557,'Classif Gestoras'!$A$6:$A$462,0)),"Não classificada")</x:f>
        <x:v>Independente</x:v>
      </x:c>
      <x:c r="F1557" s="166" t="str">
        <x:v>BANCO DAYCOVAL S/A</x:v>
      </x:c>
      <x:c r="G1557" s="166" t="str">
        <x:v>BANCO DAYCOVAL S.A.</x:v>
      </x:c>
      <x:c r="H1557" s="166" t="str">
        <x:v>Outros</x:v>
      </x:c>
      <x:c r="I1557" s="166" t="str">
        <x:v>Multicarteira Outros</x:v>
      </x:c>
      <x:c r="J1557" s="166" t="str">
        <x:v>CI</x:v>
      </x:c>
      <x:c r="K1557" s="172" t="n">
        <x:v>23</x:v>
      </x:c>
      <x:c r="L1557" s="185" t="str">
        <x:v>Não classificado</x:v>
      </x:c>
    </x:row>
    <x:row r="1558">
      <x:c r="A1558" s="175" t="str">
        <x:v>64.352.617/0001-59</x:v>
      </x:c>
      <x:c r="B1558" s="166" t="str">
        <x:v>COBUCCIO FUNDO DE INVESTIMENTO EM DIREITOS CREDITÓRIOS CONSIGNADO PRIVADO - RESP LIMITADA</x:v>
      </x:c>
      <x:c r="C1558" s="188" t="n">
        <x:v>54314560.08</x:v>
      </x:c>
      <x:c r="D1558" s="166" t="str">
        <x:v>ANGÁ ASSET MANAGEMENT</x:v>
      </x:c>
      <x:c r="E1558" s="166" t="str">
        <x:f>IFERROR(INDEX('Classif Gestoras'!$H$6:$H$462,MATCH(D1558,'Classif Gestoras'!$A$6:$A$462,0)),"Não classificada")</x:f>
        <x:v>Independente</x:v>
      </x:c>
      <x:c r="F1558" s="166" t="str">
        <x:v>BANCO DAYCOVAL S/A</x:v>
      </x:c>
      <x:c r="G1558" s="166" t="str">
        <x:v>BANCO DAYCOVAL S.A.</x:v>
      </x:c>
      <x:c r="H1558" s="166" t="str">
        <x:v>Financeiro</x:v>
      </x:c>
      <x:c r="I1558" s="166" t="str">
        <x:v>Crédito Consignado</x:v>
      </x:c>
      <x:c r="J1558" s="166" t="str">
        <x:v>CI</x:v>
      </x:c>
      <x:c r="K1558" s="172" t="n">
        <x:v>36</x:v>
      </x:c>
      <x:c r="L1558" s="185" t="str">
        <x:v>Não classificado</x:v>
      </x:c>
    </x:row>
    <x:row r="1559">
      <x:c r="A1559" s="175" t="str">
        <x:v>31.405.473/0001-00</x:v>
      </x:c>
      <x:c r="B1559" s="166" t="str">
        <x:v>BDI NPL FUNDO DE INVESTIMENTO EM DIREITOS CREDITÓRIOS DE RESPONSABILIDADE LIMITADA</x:v>
      </x:c>
      <x:c r="C1559" s="188" t="n">
        <x:v>54284521.559999995</x:v>
      </x:c>
      <x:c r="D1559" s="166" t="str">
        <x:v>VM Consultoria Empresarial Ltd</x:v>
      </x:c>
      <x:c r="E1559" s="166" t="str">
        <x:f>IFERROR(INDEX('Classif Gestoras'!$H$6:$H$462,MATCH(D1559,'Classif Gestoras'!$A$6:$A$462,0)),"Não classificada")</x:f>
        <x:v>Independente</x:v>
      </x:c>
      <x:c r="F1559" s="166" t="str">
        <x:v>Banco Genial S.A.</x:v>
      </x:c>
      <x:c r="G1559" s="166" t="str">
        <x:v>BANCO GENIAL S.A.</x:v>
      </x:c>
      <x:c r="H1559" s="166" t="str">
        <x:v>Outros</x:v>
      </x:c>
      <x:c r="I1559" s="166" t="str">
        <x:v>Recuperação</x:v>
      </x:c>
      <x:c r="J1559" s="166" t="str">
        <x:v>CI</x:v>
      </x:c>
      <x:c r="K1559" s="172" t="n">
        <x:v>1</x:v>
      </x:c>
      <x:c r="L1559" s="185" t="str">
        <x:v>Não classificado</x:v>
      </x:c>
    </x:row>
    <x:row r="1560">
      <x:c r="A1560" s="175" t="str">
        <x:v>62.309.202/0001-77</x:v>
      </x:c>
      <x:c r="B1560" s="166" t="str">
        <x:v>ROOT CAPITAL HIGH YIELD RADICE T180 FUNDO DE INVESTIMENTO EM DIREITOS CREDITÓRIOS</x:v>
      </x:c>
      <x:c r="C1560" s="188" t="n">
        <x:v>54146253.11</x:v>
      </x:c>
      <x:c r="D1560" s="166" t="str">
        <x:v>ROOT CAPITAL</x:v>
      </x:c>
      <x:c r="E1560" s="166" t="str">
        <x:f>IFERROR(INDEX('Classif Gestoras'!$H$6:$H$462,MATCH(D1560,'Classif Gestoras'!$A$6:$A$462,0)),"Não classificada")</x:f>
        <x:v>Independente</x:v>
      </x:c>
      <x:c r="F1560" s="166" t="str">
        <x:v>BTG Pactual Servicos Financeiros S/A DTVM</x:v>
      </x:c>
      <x:c r="G1560" s="166" t="str">
        <x:v>BANCO BTG PACTUAL S/A</x:v>
      </x:c>
      <x:c r="H1560" s="166" t="str">
        <x:v>Outros</x:v>
      </x:c>
      <x:c r="I1560" s="166" t="str">
        <x:v>Multicarteira Outros</x:v>
      </x:c>
      <x:c r="J1560" s="166" t="str">
        <x:v>CI</x:v>
      </x:c>
      <x:c r="K1560" s="172" t="n">
        <x:v>2</x:v>
      </x:c>
      <x:c r="L1560" s="185" t="str">
        <x:v>Não classificado</x:v>
      </x:c>
    </x:row>
    <x:row r="1561">
      <x:c r="A1561" s="175" t="str">
        <x:v>33.823.914/0001-01</x:v>
      </x:c>
      <x:c r="B1561" s="166" t="str">
        <x:v>CROWN FUNDO DE INVESTIMENTO EM DIREITOS CREDITÓRIOS NÃO PADRONIZADOS</x:v>
      </x:c>
      <x:c r="C1561" s="188" t="n">
        <x:v>54136497.260000005</x:v>
      </x:c>
      <x:c r="D1561" s="166" t="str">
        <x:v>Multiplica Capital</x:v>
      </x:c>
      <x:c r="E1561" s="166" t="str">
        <x:f>IFERROR(INDEX('Classif Gestoras'!$H$6:$H$462,MATCH(D1561,'Classif Gestoras'!$A$6:$A$462,0)),"Não classificada")</x:f>
        <x:v>Independente</x:v>
      </x:c>
      <x:c r="F1561" s="166" t="str">
        <x:v>Singulare</x:v>
      </x:c>
      <x:c r="G1561" s="166" t="str">
        <x:v>QI CORRETORA DE TÍTULOS E VALORES MOBILIÁRIOS S.A.</x:v>
      </x:c>
      <x:c r="H1561" s="166" t="str">
        <x:v>Fomento Mercantil</x:v>
      </x:c>
      <x:c r="I1561" s="166" t="str">
        <x:v>Fomento Mercantil</x:v>
      </x:c>
      <x:c r="J1561" s="166" t="str">
        <x:v>CI</x:v>
      </x:c>
      <x:c r="K1561" s="172" t="n">
        <x:v>1</x:v>
      </x:c>
      <x:c r="L1561" s="185" t="str">
        <x:v>Não classificado</x:v>
      </x:c>
    </x:row>
    <x:row r="1562">
      <x:c r="A1562" s="175" t="str">
        <x:v>50.041.229/0001-42</x:v>
      </x:c>
      <x:c r="B1562" s="166" t="str">
        <x:v>MOMENTO PRECATÓRIOS I FUNDO DE INVESTIMENTO EM DIREITOS CREDITÓRIOS DE RESPONSABILIDADE LIMITADA</x:v>
      </x:c>
      <x:c r="C1562" s="188" t="n">
        <x:v>54089079.57</x:v>
      </x:c>
      <x:c r="D1562" s="166" t="str">
        <x:v>Aventis Asset</x:v>
      </x:c>
      <x:c r="E1562" s="166" t="str">
        <x:f>IFERROR(INDEX('Classif Gestoras'!$H$6:$H$462,MATCH(D1562,'Classif Gestoras'!$A$6:$A$462,0)),"Não classificada")</x:f>
        <x:v>Independente</x:v>
      </x:c>
      <x:c r="F1562" s="166" t="str">
        <x:v>BANCO DAYCOVAL S/A</x:v>
      </x:c>
      <x:c r="G1562" s="166" t="str">
        <x:v>BANCO DAYCOVAL S.A.</x:v>
      </x:c>
      <x:c r="H1562" s="166" t="str">
        <x:v>Outros</x:v>
      </x:c>
      <x:c r="I1562" s="166" t="str">
        <x:v>Poder Público</x:v>
      </x:c>
      <x:c r="J1562" s="166" t="str">
        <x:v>CI</x:v>
      </x:c>
      <x:c r="K1562" s="172" t="n">
        <x:v>48</x:v>
      </x:c>
      <x:c r="L1562" s="185" t="str">
        <x:v>Não classificado</x:v>
      </x:c>
    </x:row>
    <x:row r="1563">
      <x:c r="A1563" s="175" t="str">
        <x:v>56.973.948/0001-88</x:v>
      </x:c>
      <x:c r="B1563" s="166" t="str">
        <x:v>TORONTO FUNDO DE INVESTIMENTO DIREITOS CREDITÓRIOS DE RESPONSABILIDADE LIMITADA</x:v>
      </x:c>
      <x:c r="C1563" s="188" t="n">
        <x:v>53940591.26</x:v>
      </x:c>
      <x:c r="D1563" s="166" t="str">
        <x:v>Catálise Investimentos</x:v>
      </x:c>
      <x:c r="E1563" s="166" t="str">
        <x:f>IFERROR(INDEX('Classif Gestoras'!$H$6:$H$462,MATCH(D1563,'Classif Gestoras'!$A$6:$A$462,0)),"Não classificada")</x:f>
        <x:v>Independente</x:v>
      </x:c>
      <x:c r="F1563" s="166" t="str">
        <x:v>FIDD DISTRIBUIDORA DE TITULOS E VALORES MOBILIARIOS LTD</x:v>
      </x:c>
      <x:c r="G1563" s="166" t="str">
        <x:v>FIDD DISTRIBUIDORA DE TITULOS E VALORES MOBILIARIOS LTDA.</x:v>
      </x:c>
      <x:c r="H1563" s="166" t="str">
        <x:v>Agro, Indústria e Comércio</x:v>
      </x:c>
      <x:c r="I1563" s="166" t="str">
        <x:v>Recebíveis Comerciais</x:v>
      </x:c>
      <x:c r="J1563" s="166" t="str">
        <x:v>CI</x:v>
      </x:c>
      <x:c r="K1563" s="172" t="n">
        <x:v>6</x:v>
      </x:c>
      <x:c r="L1563" s="185" t="str">
        <x:v>Não classificado</x:v>
      </x:c>
    </x:row>
    <x:row r="1564">
      <x:c r="A1564" s="175" t="str">
        <x:v>21.053.720/0001-95</x:v>
      </x:c>
      <x:c r="B1564" s="166" t="str">
        <x:v>GLOBALCASH FUNDO DE INVESTIMENTO EM DIREITOS CREDITORIOS MULTISSETORIAL - RESPONSABILIDADE LIMITA</x:v>
      </x:c>
      <x:c r="C1564" s="188" t="n">
        <x:v>53667901.791729994</x:v>
      </x:c>
      <x:c r="D1564" s="166" t="str">
        <x:v>TERCON ASSET MANAGEMENT</x:v>
      </x:c>
      <x:c r="E1564" s="166" t="str">
        <x:f>IFERROR(INDEX('Classif Gestoras'!$H$6:$H$462,MATCH(D1564,'Classif Gestoras'!$A$6:$A$462,0)),"Não classificada")</x:f>
        <x:v>Independente</x:v>
      </x:c>
      <x:c r="F1564" s="166" t="str">
        <x:v>Singulare</x:v>
      </x:c>
      <x:c r="G1564" s="166" t="str">
        <x:v>QI CORRETORA DE TÍTULOS E VALORES MOBILIÁRIOS S.A.</x:v>
      </x:c>
      <x:c r="H1564" s="166" t="str">
        <x:v>Fomento Mercantil</x:v>
      </x:c>
      <x:c r="I1564" s="166" t="str">
        <x:v>Fomento Mercantil</x:v>
      </x:c>
      <x:c r="J1564" s="166" t="str">
        <x:v>CI</x:v>
      </x:c>
      <x:c r="K1564" s="172" t="n">
        <x:v>38</x:v>
      </x:c>
      <x:c r="L1564" s="185" t="str">
        <x:v>Não classificado</x:v>
      </x:c>
    </x:row>
    <x:row r="1565">
      <x:c r="A1565" s="175" t="str">
        <x:v>58.506.369/0001-50</x:v>
      </x:c>
      <x:c r="B1565" s="166" t="str">
        <x:v>ESTALEIRO I FUNDO DE INVESTIMENTO EM DIREITOS CREDITÓRIOS</x:v>
      </x:c>
      <x:c r="C1565" s="188" t="n">
        <x:v>53612317.65</x:v>
      </x:c>
      <x:c r="D1565" s="166" t="str">
        <x:v>EuQueroInvestir Gestão de Recursos Ltda.</x:v>
      </x:c>
      <x:c r="E1565" s="166" t="str">
        <x:f>IFERROR(INDEX('Classif Gestoras'!$H$6:$H$462,MATCH(D1565,'Classif Gestoras'!$A$6:$A$462,0)),"Não classificada")</x:f>
        <x:v>Independente</x:v>
      </x:c>
      <x:c r="F1565" s="166" t="str">
        <x:v>BTG Pactual Servicos Financeiros S/A DTVM</x:v>
      </x:c>
      <x:c r="G1565" s="166" t="str">
        <x:v>BANCO BTG PACTUAL S/A</x:v>
      </x:c>
      <x:c r="H1565" s="166" t="str">
        <x:v>Outros</x:v>
      </x:c>
      <x:c r="I1565" s="166" t="str">
        <x:v>Multicarteira Outros</x:v>
      </x:c>
      <x:c r="J1565" s="166" t="str">
        <x:v>CI</x:v>
      </x:c>
      <x:c r="K1565" s="172" t="n">
        <x:v>64</x:v>
      </x:c>
      <x:c r="L1565" s="185" t="str">
        <x:v>Não classificado</x:v>
      </x:c>
    </x:row>
    <x:row r="1566">
      <x:c r="A1566" s="175" t="str">
        <x:v>58.507.210/0001-50</x:v>
      </x:c>
      <x:c r="B1566" s="166" t="str">
        <x:v>ESTALEIRO II FUNDO DE INVESTIMENTO EM DIREITOS CREDITÓRIOS</x:v>
      </x:c>
      <x:c r="C1566" s="188" t="n">
        <x:v>53611701.77</x:v>
      </x:c>
      <x:c r="D1566" s="166" t="str">
        <x:v>EuQueroInvestir Gestão de Recursos Ltda.</x:v>
      </x:c>
      <x:c r="E1566" s="166" t="str">
        <x:f>IFERROR(INDEX('Classif Gestoras'!$H$6:$H$462,MATCH(D1566,'Classif Gestoras'!$A$6:$A$462,0)),"Não classificada")</x:f>
        <x:v>Independente</x:v>
      </x:c>
      <x:c r="F1566" s="166" t="str">
        <x:v>BTG Pactual Servicos Financeiros S/A DTVM</x:v>
      </x:c>
      <x:c r="G1566" s="166" t="str">
        <x:v>BANCO BTG PACTUAL S/A</x:v>
      </x:c>
      <x:c r="H1566" s="166" t="str">
        <x:v>Outros</x:v>
      </x:c>
      <x:c r="I1566" s="166" t="str">
        <x:v>Multicarteira Outros</x:v>
      </x:c>
      <x:c r="J1566" s="166" t="str">
        <x:v>CI</x:v>
      </x:c>
      <x:c r="K1566" s="172" t="n">
        <x:v>64</x:v>
      </x:c>
      <x:c r="L1566" s="185" t="str">
        <x:v>Não classificado</x:v>
      </x:c>
    </x:row>
    <x:row r="1567">
      <x:c r="A1567" s="175" t="str">
        <x:v>63.673.464/0001-89</x:v>
      </x:c>
      <x:c r="B1567" s="166" t="str">
        <x:v>BEB (BEM ESTAR BRASIL) FUNDO DE INVESTIMENTO EM DIREITOS CREDITÓRIOS DE RESPONSABILIDADE LIMITADA</x:v>
      </x:c>
      <x:c r="C1567" s="188" t="n">
        <x:v>53462514.84</x:v>
      </x:c>
      <x:c r="D1567" s="166" t="str">
        <x:v>DAYCOVAL ASSET MANAG</x:v>
      </x:c>
      <x:c r="E1567" s="166" t="str">
        <x:f>IFERROR(INDEX('Classif Gestoras'!$H$6:$H$462,MATCH(D1567,'Classif Gestoras'!$A$6:$A$462,0)),"Não classificada")</x:f>
        <x:v>Ligada a banco</x:v>
      </x:c>
      <x:c r="F1567" s="166" t="str">
        <x:v>BANCO DAYCOVAL S/A</x:v>
      </x:c>
      <x:c r="G1567" s="166" t="str">
        <x:v>BANCO DAYCOVAL S.A.</x:v>
      </x:c>
      <x:c r="H1567" s="166" t="str">
        <x:v>Agro, Indústria e Comércio</x:v>
      </x:c>
      <x:c r="I1567" s="166" t="str">
        <x:v>Recebíveis Comerciais</x:v>
      </x:c>
      <x:c r="J1567" s="166" t="str">
        <x:v>CI</x:v>
      </x:c>
      <x:c r="K1567" s="172" t="n">
        <x:v>2</x:v>
      </x:c>
      <x:c r="L1567" s="185" t="str">
        <x:v>Não classificado</x:v>
      </x:c>
    </x:row>
    <x:row r="1568">
      <x:c r="A1568" s="175" t="str">
        <x:v>62.351.597/0001-76</x:v>
      </x:c>
      <x:c r="B1568" s="166" t="str">
        <x:v>LIVRAMENTO FUNDO DE INVESTIMENTO EM DIREITOS CREDITÓRIOS RESPONSABILIDADE LIMITADA</x:v>
      </x:c>
      <x:c r="C1568" s="188" t="n">
        <x:v>53438554.03</x:v>
      </x:c>
      <x:c r="D1568" s="166" t="str">
        <x:v>SUESTE CAPITAL GESTÃO DE RECURSOS LTDA.</x:v>
      </x:c>
      <x:c r="E1568" s="166" t="str">
        <x:f>IFERROR(INDEX('Classif Gestoras'!$H$6:$H$462,MATCH(D1568,'Classif Gestoras'!$A$6:$A$462,0)),"Não classificada")</x:f>
        <x:v>Independente</x:v>
      </x:c>
      <x:c r="F1568" s="166" t="str">
        <x:v>BTG Pactual Servicos Financeiros S/A DTVM</x:v>
      </x:c>
      <x:c r="G1568" s="166" t="str">
        <x:v>BANCO BTG PACTUAL S/A</x:v>
      </x:c>
      <x:c r="H1568" s="166" t="str">
        <x:v>Outros</x:v>
      </x:c>
      <x:c r="I1568" s="166" t="str">
        <x:v>Multicarteira Outros</x:v>
      </x:c>
      <x:c r="J1568" s="166" t="str">
        <x:v>CI</x:v>
      </x:c>
      <x:c r="K1568" s="172" t="n">
        <x:v>1</x:v>
      </x:c>
      <x:c r="L1568" s="185" t="str">
        <x:v>Não classificado</x:v>
      </x:c>
    </x:row>
    <x:row r="1569">
      <x:c r="A1569" s="175" t="str">
        <x:v>63.884.724/0001-65</x:v>
      </x:c>
      <x:c r="B1569" s="166" t="str">
        <x:v>3HM FUNDO DE INVESTIMENTO EM DIREITOS CREDITÓRIOS</x:v>
      </x:c>
      <x:c r="C1569" s="188" t="n">
        <x:v>53391421.84</x:v>
      </x:c>
      <x:c r="D1569" s="166" t="str">
        <x:v>NEBRASKA CAPITAL</x:v>
      </x:c>
      <x:c r="E1569" s="166" t="str">
        <x:f>IFERROR(INDEX('Classif Gestoras'!$H$6:$H$462,MATCH(D1569,'Classif Gestoras'!$A$6:$A$462,0)),"Não classificada")</x:f>
        <x:v>Independente</x:v>
      </x:c>
      <x:c r="F1569" s="166" t="str">
        <x:v>BTG Pactual Servicos Financeiros S/A DTVM</x:v>
      </x:c>
      <x:c r="G1569" s="166" t="str">
        <x:v>BANCO BTG PACTUAL S/A</x:v>
      </x:c>
      <x:c r="H1569" s="166" t="str">
        <x:v>Outros</x:v>
      </x:c>
      <x:c r="I1569" s="166" t="str">
        <x:v>Multicarteira Outros</x:v>
      </x:c>
      <x:c r="J1569" s="166" t="str">
        <x:v>CI</x:v>
      </x:c>
      <x:c r="K1569" s="172" t="n">
        <x:v>9</x:v>
      </x:c>
      <x:c r="L1569" s="185" t="str">
        <x:v>Não classificado</x:v>
      </x:c>
    </x:row>
    <x:row r="1570">
      <x:c r="A1570" s="175" t="str">
        <x:v>55.559.261/0001-38</x:v>
      </x:c>
      <x:c r="B1570" s="166" t="str">
        <x:v>ITAPIRA FUNDO DE INVESTIMENTO EM DIREITOS CREDITÓRIOS</x:v>
      </x:c>
      <x:c r="C1570" s="188" t="n">
        <x:v>53339777.63</x:v>
      </x:c>
      <x:c r="D1570" s="166" t="str">
        <x:v>SOSU CAPITAL GESTÃO DE INVESTIMENTOS LTDA.</x:v>
      </x:c>
      <x:c r="E1570" s="166" t="str">
        <x:f>IFERROR(INDEX('Classif Gestoras'!$H$6:$H$462,MATCH(D1570,'Classif Gestoras'!$A$6:$A$462,0)),"Não classificada")</x:f>
        <x:v>Independente</x:v>
      </x:c>
      <x:c r="F1570" s="166" t="str">
        <x:v>BTG Pactual Servicos Financeiros S/A DTVM</x:v>
      </x:c>
      <x:c r="G1570" s="166" t="str">
        <x:v>BANCO BTG PACTUAL S/A</x:v>
      </x:c>
      <x:c r="H1570" s="166" t="str">
        <x:v>Outros</x:v>
      </x:c>
      <x:c r="I1570" s="166" t="str">
        <x:v>Multicarteira Outros</x:v>
      </x:c>
      <x:c r="J1570" s="166" t="str">
        <x:v>CI</x:v>
      </x:c>
      <x:c r="K1570" s="172" t="n">
        <x:v>27</x:v>
      </x:c>
      <x:c r="L1570" s="185" t="str">
        <x:v>Não classificado</x:v>
      </x:c>
    </x:row>
    <x:row r="1571">
      <x:c r="A1571" s="175" t="str">
        <x:v>57.270.666/0001-87</x:v>
      </x:c>
      <x:c r="B1571" s="166" t="str">
        <x:v>MOBILITAS FUNDO DE INVESTIMENTO EM DIREITOS CREDITÓRIOS - RESPONSABILIDADE LIMITADA</x:v>
      </x:c>
      <x:c r="C1571" s="188" t="n">
        <x:v>53325266.75999999</x:v>
      </x:c>
      <x:c r="D1571" s="166" t="str">
        <x:v>Kanastra</x:v>
      </x:c>
      <x:c r="E1571" s="166" t="str">
        <x:f>IFERROR(INDEX('Classif Gestoras'!$H$6:$H$462,MATCH(D1571,'Classif Gestoras'!$A$6:$A$462,0)),"Não classificada")</x:f>
        <x:v>Independente</x:v>
      </x:c>
      <x:c r="F1571" s="166" t="str">
        <x:v>Limine Trust Distribuidora de Titulos e Valores Mobiliá</x:v>
      </x:c>
      <x:c r="G1571" s="166" t="str">
        <x:v>LIMINE TRUST DISTRIBUIDORA DE TITULOS E VALORES MOBILIARIOS LTDA.</x:v>
      </x:c>
      <x:c r="H1571" s="166" t="str">
        <x:v>Agro, Indústria e Comércio</x:v>
      </x:c>
      <x:c r="I1571" s="166" t="str">
        <x:v>Recebíveis Comerciais</x:v>
      </x:c>
      <x:c r="J1571" s="166" t="str">
        <x:v>CI</x:v>
      </x:c>
      <x:c r="K1571" s="172" t="n">
        <x:v>2</x:v>
      </x:c>
      <x:c r="L1571" s="185" t="str">
        <x:v>Não classificado</x:v>
      </x:c>
    </x:row>
    <x:row r="1572">
      <x:c r="A1572" s="175" t="str">
        <x:v>57.584.525/0001-39</x:v>
      </x:c>
      <x:c r="B1572" s="166" t="str">
        <x:v>ST 1015 FUNDO DE INVESTIMENTO EM DIREITOS CREDITÓRIOS RESPONSABILIDADE LIMITADA</x:v>
      </x:c>
      <x:c r="C1572" s="188" t="n">
        <x:v>53224488.349999994</x:v>
      </x:c>
      <x:c r="D1572" s="166" t="str">
        <x:v>Strata Capital</x:v>
      </x:c>
      <x:c r="E1572" s="166" t="str">
        <x:f>IFERROR(INDEX('Classif Gestoras'!$H$6:$H$462,MATCH(D1572,'Classif Gestoras'!$A$6:$A$462,0)),"Não classificada")</x:f>
        <x:v>Independente</x:v>
      </x:c>
      <x:c r="F1572" s="166" t="str">
        <x:v>BANCO DAYCOVAL S/A</x:v>
      </x:c>
      <x:c r="G1572" s="166" t="str">
        <x:v>BANCO DAYCOVAL S.A.</x:v>
      </x:c>
      <x:c r="H1572" s="166" t="str">
        <x:v>Outros</x:v>
      </x:c>
      <x:c r="I1572" s="166" t="str">
        <x:v>Multicarteira Outros</x:v>
      </x:c>
      <x:c r="J1572" s="166" t="str">
        <x:v>CI</x:v>
      </x:c>
      <x:c r="K1572" s="172" t="n">
        <x:v>9</x:v>
      </x:c>
      <x:c r="L1572" s="185" t="str">
        <x:v>Não classificado</x:v>
      </x:c>
    </x:row>
    <x:row r="1573">
      <x:c r="A1573" s="175" t="str">
        <x:v>34.081.563/0001-73</x:v>
      </x:c>
      <x:c r="B1573" s="166" t="str">
        <x:v>HECTARE II - FUNDO DE INVESTIMENTO EM DIREITOS CREDITÓRIOS</x:v>
      </x:c>
      <x:c r="C1573" s="188" t="n">
        <x:v>53118459.34</x:v>
      </x:c>
      <x:c r="D1573" s="166" t="str">
        <x:v>Hectare Capital Gestora de Recursos Ltda</x:v>
      </x:c>
      <x:c r="E1573" s="166" t="str">
        <x:f>IFERROR(INDEX('Classif Gestoras'!$H$6:$H$462,MATCH(D1573,'Classif Gestoras'!$A$6:$A$462,0)),"Não classificada")</x:f>
        <x:v>Independente</x:v>
      </x:c>
      <x:c r="F1573" s="166" t="str">
        <x:v>VÓRTX DTVM</x:v>
      </x:c>
      <x:c r="G1573" s="166" t="str">
        <x:v>VORTX DISTRIBUIDORA DE TITULOS E VALORES MOBILIARIOS LTDA.</x:v>
      </x:c>
      <x:c r="H1573" s="166" t="str">
        <x:v>Financeiro</x:v>
      </x:c>
      <x:c r="I1573" s="166" t="str">
        <x:v>Crédito Imobiliário</x:v>
      </x:c>
      <x:c r="J1573" s="166" t="str">
        <x:v>CI</x:v>
      </x:c>
      <x:c r="K1573" s="172" t="n">
        <x:v>1</x:v>
      </x:c>
      <x:c r="L1573" s="185" t="str">
        <x:v>Não classificado</x:v>
      </x:c>
    </x:row>
    <x:row r="1574">
      <x:c r="A1574" s="175" t="str">
        <x:v>41.609.394/0001-67</x:v>
      </x:c>
      <x:c r="B1574" s="166" t="str">
        <x:v>VERSATILE FUNDO DE INVESTIMENTO EM DIREITOS CREDITÓRIOS RESPONSABILIDADE LIMITADA</x:v>
      </x:c>
      <x:c r="C1574" s="188" t="n">
        <x:v>53100029.82000002</x:v>
      </x:c>
      <x:c r="D1574" s="166" t="str">
        <x:v>CONTEA CAPITAL</x:v>
      </x:c>
      <x:c r="E1574" s="166" t="str">
        <x:f>IFERROR(INDEX('Classif Gestoras'!$H$6:$H$462,MATCH(D1574,'Classif Gestoras'!$A$6:$A$462,0)),"Não classificada")</x:f>
        <x:v>Independente</x:v>
      </x:c>
      <x:c r="F1574" s="166" t="str">
        <x:v>VÓRTX DTVM</x:v>
      </x:c>
      <x:c r="G1574" s="166" t="str">
        <x:v>VORTX DISTRIBUIDORA DE TITULOS E VALORES MOBILIARIOS LTDA.</x:v>
      </x:c>
      <x:c r="H1574" s="166" t="str">
        <x:v>Financeiro</x:v>
      </x:c>
      <x:c r="I1574" s="166" t="str">
        <x:v>Crédito Consignado</x:v>
      </x:c>
      <x:c r="J1574" s="166" t="str">
        <x:v>CI</x:v>
      </x:c>
      <x:c r="K1574" s="172" t="n">
        <x:v>51</x:v>
      </x:c>
      <x:c r="L1574" s="185" t="str">
        <x:v>Não classificado</x:v>
      </x:c>
    </x:row>
    <x:row r="1575">
      <x:c r="A1575" s="175" t="str">
        <x:v>55.466.785/0001-84</x:v>
      </x:c>
      <x:c r="B1575" s="166" t="str">
        <x:v>RM 2 FUNDO DE INVESTIMENTO EM DIREITOS CREDITÓRIOS NÃO PADRONIZADO</x:v>
      </x:c>
      <x:c r="C1575" s="188" t="n">
        <x:v>53075034.35</x:v>
      </x:c>
      <x:c r="D1575" s="166" t="str">
        <x:v>Redwood Asset Management</x:v>
      </x:c>
      <x:c r="E1575" s="166" t="str">
        <x:f>IFERROR(INDEX('Classif Gestoras'!$H$6:$H$462,MATCH(D1575,'Classif Gestoras'!$A$6:$A$462,0)),"Não classificada")</x:f>
        <x:v>Independente</x:v>
      </x:c>
      <x:c r="F1575" s="166" t="str">
        <x:v>PLANNER CV</x:v>
      </x:c>
      <x:c r="G1575" s="166" t="str">
        <x:v>PLANNER CORRETORA DE VALORES S.A.</x:v>
      </x:c>
      <x:c r="H1575" s="166" t="str">
        <x:v>Outros</x:v>
      </x:c>
      <x:c r="I1575" s="166" t="str">
        <x:v>Multicarteira Outros</x:v>
      </x:c>
      <x:c r="J1575" s="166" t="str">
        <x:v>CI</x:v>
      </x:c>
      <x:c r="K1575" s="172" t="n">
        <x:v>1</x:v>
      </x:c>
      <x:c r="L1575" s="185" t="str">
        <x:v>Não classificado</x:v>
      </x:c>
    </x:row>
    <x:row r="1576">
      <x:c r="A1576" s="175" t="str">
        <x:v>52.997.828/0001-60</x:v>
      </x:c>
      <x:c r="B1576" s="166" t="str">
        <x:v>USECORP CATÁLISE FUNDO DE INVESTIMENTO EM DIREITOS CREDITÓRIOS SEGMENTO COMERCIAL DE RESP LIMITADA</x:v>
      </x:c>
      <x:c r="C1576" s="188" t="n">
        <x:v>53070267.12</x:v>
      </x:c>
      <x:c r="D1576" s="166" t="str">
        <x:v>Catálise Investimentos</x:v>
      </x:c>
      <x:c r="E1576" s="166" t="str">
        <x:f>IFERROR(INDEX('Classif Gestoras'!$H$6:$H$462,MATCH(D1576,'Classif Gestoras'!$A$6:$A$462,0)),"Não classificada")</x:f>
        <x:v>Independente</x:v>
      </x:c>
      <x:c r="F1576" s="166" t="str">
        <x:v>BANCO DAYCOVAL S/A</x:v>
      </x:c>
      <x:c r="G1576" s="166" t="str">
        <x:v>BANCO DAYCOVAL S.A.</x:v>
      </x:c>
      <x:c r="H1576" s="166" t="str">
        <x:v>Agro, Indústria e Comércio</x:v>
      </x:c>
      <x:c r="I1576" s="166" t="str">
        <x:v>Recebíveis Comerciais</x:v>
      </x:c>
      <x:c r="J1576" s="166" t="str">
        <x:v>CI</x:v>
      </x:c>
      <x:c r="K1576" s="172" t="n">
        <x:v>20</x:v>
      </x:c>
      <x:c r="L1576" s="185" t="str">
        <x:v>Não classificado</x:v>
      </x:c>
    </x:row>
    <x:row r="1577">
      <x:c r="A1577" s="175" t="str">
        <x:v>60.871.114/0001-39</x:v>
      </x:c>
      <x:c r="B1577" s="166" t="str">
        <x:v>COBUCCIO I FIDC - SEGMENTO MEIOS DE PAGAMENTO RESPONSABILIDADE LIMITADA.</x:v>
      </x:c>
      <x:c r="C1577" s="188" t="n">
        <x:v>53001889.22</x:v>
      </x:c>
      <x:c r="D1577" s="166" t="str">
        <x:v>GENIAL GESTÃO LTDA.</x:v>
      </x:c>
      <x:c r="E1577" s="166" t="str">
        <x:f>IFERROR(INDEX('Classif Gestoras'!$H$6:$H$462,MATCH(D1577,'Classif Gestoras'!$A$6:$A$462,0)),"Não classificada")</x:f>
        <x:v>Ligada a banco</x:v>
      </x:c>
      <x:c r="F1577" s="166" t="str">
        <x:v>Genial Investimentos Corretora de Valores Mobiliários S.A.</x:v>
      </x:c>
      <x:c r="G1577" s="166" t="str">
        <x:v>BANCO GENIAL S.A.</x:v>
      </x:c>
      <x:c r="H1577" s="166" t="str">
        <x:v>Agro, Indústria e Comércio</x:v>
      </x:c>
      <x:c r="I1577" s="166" t="str">
        <x:v>Recebíveis Comerciais</x:v>
      </x:c>
      <x:c r="J1577" s="166" t="str">
        <x:v>CI</x:v>
      </x:c>
      <x:c r="K1577" s="172" t="n">
        <x:v>1</x:v>
      </x:c>
      <x:c r="L1577" s="185" t="str">
        <x:v>Não classificado</x:v>
      </x:c>
    </x:row>
    <x:row r="1578">
      <x:c r="A1578" s="175" t="str">
        <x:v>40.211.648/0001-21</x:v>
      </x:c>
      <x:c r="B1578" s="166" t="str">
        <x:v>CRÉDITO ENERGIA FUNDO DE INVESTIMENTO EM DIREITOS CREDITÓRIOS RESPONSABILIDADE LIMITADA</x:v>
      </x:c>
      <x:c r="C1578" s="188" t="n">
        <x:v>52793121.79</x:v>
      </x:c>
      <x:c r="D1578" s="166" t="str">
        <x:v>Capitânia Invest</x:v>
      </x:c>
      <x:c r="E1578" s="166" t="str">
        <x:f>IFERROR(INDEX('Classif Gestoras'!$H$6:$H$462,MATCH(D1578,'Classif Gestoras'!$A$6:$A$462,0)),"Não classificada")</x:f>
        <x:v>Independente</x:v>
      </x:c>
      <x:c r="F1578" s="166" t="str">
        <x:v>Singulare</x:v>
      </x:c>
      <x:c r="G1578" s="166" t="str">
        <x:v>QI CORRETORA DE TÍTULOS E VALORES MOBILIÁRIOS S.A.</x:v>
      </x:c>
      <x:c r="H1578" s="166" t="str">
        <x:v>Outros</x:v>
      </x:c>
      <x:c r="I1578" s="166" t="str">
        <x:v>Multicarteira Outros</x:v>
      </x:c>
      <x:c r="J1578" s="166" t="str">
        <x:v>CI</x:v>
      </x:c>
      <x:c r="K1578" s="172" t="n">
        <x:v>16</x:v>
      </x:c>
      <x:c r="L1578" s="185" t="str">
        <x:v>Não classificado</x:v>
      </x:c>
    </x:row>
    <x:row r="1579">
      <x:c r="A1579" s="175" t="str">
        <x:v>54.105.228/0001-75</x:v>
      </x:c>
      <x:c r="B1579" s="166" t="str">
        <x:v>ERGA OMNES II FUNDO DE INVESTIMENTO EM DIREITOS CREDITÓRIOS NÃO-PADRONIZADO</x:v>
      </x:c>
      <x:c r="C1579" s="188" t="n">
        <x:v>52734384.17999999</x:v>
      </x:c>
      <x:c r="D1579" s="166" t="str">
        <x:v>REAG LEGAL CLAIMS GESTÃO DE ATIVOS</x:v>
      </x:c>
      <x:c r="E1579" s="166" t="str">
        <x:f>IFERROR(INDEX('Classif Gestoras'!$H$6:$H$462,MATCH(D1579,'Classif Gestoras'!$A$6:$A$462,0)),"Não classificada")</x:f>
        <x:v>Independente</x:v>
      </x:c>
      <x:c r="F1579" s="166" t="str">
        <x:v>PLANNER CV</x:v>
      </x:c>
      <x:c r="G1579" s="166" t="str">
        <x:v>PLANNER CORRETORA DE VALORES S.A.</x:v>
      </x:c>
      <x:c r="H1579" s="166" t="str">
        <x:v>Outros</x:v>
      </x:c>
      <x:c r="I1579" s="166" t="str">
        <x:v>Poder Público</x:v>
      </x:c>
      <x:c r="J1579" s="166" t="str">
        <x:v>CI</x:v>
      </x:c>
      <x:c r="K1579" s="172" t="n">
        <x:v>34</x:v>
      </x:c>
      <x:c r="L1579" s="185" t="str">
        <x:v>Não classificado</x:v>
      </x:c>
    </x:row>
    <x:row r="1580">
      <x:c r="A1580" s="175" t="str">
        <x:v>47.167.977/0001-61</x:v>
      </x:c>
      <x:c r="B1580" s="166" t="str">
        <x:v>FMD INVESTIMENTOS FUNDO DE INVESTIMENTO EM DIREITOS CREDITÓRIOS</x:v>
      </x:c>
      <x:c r="C1580" s="188" t="n">
        <x:v>52693715.83</x:v>
      </x:c>
      <x:c r="D1580" s="166" t="str">
        <x:v>TERCON ASSET MANAGEMENT</x:v>
      </x:c>
      <x:c r="E1580" s="166" t="str">
        <x:f>IFERROR(INDEX('Classif Gestoras'!$H$6:$H$462,MATCH(D1580,'Classif Gestoras'!$A$6:$A$462,0)),"Não classificada")</x:f>
        <x:v>Independente</x:v>
      </x:c>
      <x:c r="F1580" s="166" t="str">
        <x:v>Singulare</x:v>
      </x:c>
      <x:c r="G1580" s="166" t="str">
        <x:v>QI CORRETORA DE TÍTULOS E VALORES MOBILIÁRIOS S.A.</x:v>
      </x:c>
      <x:c r="H1580" s="166" t="str">
        <x:v>Outros</x:v>
      </x:c>
      <x:c r="I1580" s="166" t="str">
        <x:v>Multicarteira Outros</x:v>
      </x:c>
      <x:c r="J1580" s="166" t="str">
        <x:v>CI</x:v>
      </x:c>
      <x:c r="K1580" s="172" t="n">
        <x:v>4</x:v>
      </x:c>
      <x:c r="L1580" s="185" t="str">
        <x:v>Não classificado</x:v>
      </x:c>
    </x:row>
    <x:row r="1581">
      <x:c r="A1581" s="175" t="str">
        <x:v>52.511.479/0001-24</x:v>
      </x:c>
      <x:c r="B1581" s="166" t="str">
        <x:v>ALGARVE BETA FUNDO DE INVESTIMENTO EM DIREITOS CREDITÓRIOS</x:v>
      </x:c>
      <x:c r="C1581" s="188" t="n">
        <x:v>52687605.43</x:v>
      </x:c>
      <x:c r="D1581" s="166" t="str">
        <x:v>Algarve Capital</x:v>
      </x:c>
      <x:c r="E1581" s="166" t="str">
        <x:f>IFERROR(INDEX('Classif Gestoras'!$H$6:$H$462,MATCH(D1581,'Classif Gestoras'!$A$6:$A$462,0)),"Não classificada")</x:f>
        <x:v>Independente</x:v>
      </x:c>
      <x:c r="F1581" s="166" t="str">
        <x:v>BANCO DAYCOVAL S/A</x:v>
      </x:c>
      <x:c r="G1581" s="166" t="str">
        <x:v>BANCO DAYCOVAL S.A.</x:v>
      </x:c>
      <x:c r="H1581" s="166" t="str">
        <x:v>Outros</x:v>
      </x:c>
      <x:c r="I1581" s="166" t="str">
        <x:v>Multicarteira Outros</x:v>
      </x:c>
      <x:c r="J1581" s="166" t="str">
        <x:v>CI</x:v>
      </x:c>
      <x:c r="K1581" s="172" t="n">
        <x:v>2</x:v>
      </x:c>
      <x:c r="L1581" s="185" t="str">
        <x:v>Não classificado</x:v>
      </x:c>
    </x:row>
    <x:row r="1582">
      <x:c r="A1582" s="175" t="str">
        <x:v>54.048.775/0001-66</x:v>
      </x:c>
      <x:c r="B1582" s="166" t="str">
        <x:v>LOGIC FUNDO DE INVESTIMENTO EM DIREITOS CREDITÓRIOS</x:v>
      </x:c>
      <x:c r="C1582" s="188" t="n">
        <x:v>52518721.65</x:v>
      </x:c>
      <x:c r="D1582" s="166" t="str">
        <x:v>Multiplica Capital</x:v>
      </x:c>
      <x:c r="E1582" s="166" t="str">
        <x:f>IFERROR(INDEX('Classif Gestoras'!$H$6:$H$462,MATCH(D1582,'Classif Gestoras'!$A$6:$A$462,0)),"Não classificada")</x:f>
        <x:v>Independente</x:v>
      </x:c>
      <x:c r="F1582" s="166" t="str">
        <x:v>PLANNER CV</x:v>
      </x:c>
      <x:c r="G1582" s="166" t="str">
        <x:v>PLANNER CORRETORA DE VALORES S.A.</x:v>
      </x:c>
      <x:c r="H1582" s="166" t="str">
        <x:v>Outros</x:v>
      </x:c>
      <x:c r="I1582" s="166" t="str">
        <x:v>Multicarteira Outros</x:v>
      </x:c>
      <x:c r="J1582" s="166" t="str">
        <x:v>CI</x:v>
      </x:c>
      <x:c r="K1582" s="172" t="n">
        <x:v>1</x:v>
      </x:c>
      <x:c r="L1582" s="185" t="str">
        <x:v>Não classificado</x:v>
      </x:c>
    </x:row>
    <x:row r="1583">
      <x:c r="A1583" s="175" t="str">
        <x:v>57.704.202/0001-31</x:v>
      </x:c>
      <x:c r="B1583" s="166" t="str">
        <x:v>KRONOS PERFORMANCE FUNDO DE INVESTIMENTO EM DIREITOS CREDITÓRIOS DE RESPONSABILIDADE LIMITADA</x:v>
      </x:c>
      <x:c r="C1583" s="188" t="n">
        <x:v>52461475.77</x:v>
      </x:c>
      <x:c r="D1583" s="166" t="str">
        <x:v>Catálise Investimentos</x:v>
      </x:c>
      <x:c r="E1583" s="166" t="str">
        <x:f>IFERROR(INDEX('Classif Gestoras'!$H$6:$H$462,MATCH(D1583,'Classif Gestoras'!$A$6:$A$462,0)),"Não classificada")</x:f>
        <x:v>Independente</x:v>
      </x:c>
      <x:c r="F1583" s="166" t="str">
        <x:v>CATÁLISE DTVM</x:v>
      </x:c>
      <x:c r="G1583" s="166" t="str">
        <x:v>BANCO DAYCOVAL S.A.</x:v>
      </x:c>
      <x:c r="H1583" s="166" t="str">
        <x:v>Agro, Indústria e Comércio</x:v>
      </x:c>
      <x:c r="I1583" s="166" t="str">
        <x:v>Multicarteira Agro, Indústria e Comércio</x:v>
      </x:c>
      <x:c r="J1583" s="166" t="str">
        <x:v>CI</x:v>
      </x:c>
      <x:c r="K1583" s="172" t="n">
        <x:v>1</x:v>
      </x:c>
      <x:c r="L1583" s="185" t="str">
        <x:v>Não classificado</x:v>
      </x:c>
    </x:row>
    <x:row r="1584">
      <x:c r="A1584" s="175" t="str">
        <x:v>54.875.483/0001-05</x:v>
      </x:c>
      <x:c r="B1584" s="166" t="str">
        <x:v>CHIMERA ALTERNATIVE ASSETS VIII FUNDO DE INVESTIMENTO EM DIREITOS CREDITÓRIOS NP DE RESP LIMITADA</x:v>
      </x:c>
      <x:c r="C1584" s="188" t="n">
        <x:v>52316511.06</x:v>
      </x:c>
      <x:c r="D1584" s="166" t="str">
        <x:v>Chimera Capital Asset Management Ltda.</x:v>
      </x:c>
      <x:c r="E1584" s="166" t="str">
        <x:f>IFERROR(INDEX('Classif Gestoras'!$H$6:$H$462,MATCH(D1584,'Classif Gestoras'!$A$6:$A$462,0)),"Não classificada")</x:f>
        <x:v>Independente</x:v>
      </x:c>
      <x:c r="F1584" s="166" t="str">
        <x:v>MONETAR DISTRIBUIDORA DE TITUL</x:v>
      </x:c>
      <x:c r="G1584" s="166" t="str">
        <x:v>TERRA INVESTIMENTOS DISTRIBUIDORA DE TITULOS E VALORES MOBILIARIOS LTDA</x:v>
      </x:c>
      <x:c r="H1584" s="166" t="str">
        <x:v>Outros</x:v>
      </x:c>
      <x:c r="I1584" s="166" t="str">
        <x:v>Multicarteira Outros</x:v>
      </x:c>
      <x:c r="J1584" s="166" t="str">
        <x:v>CI</x:v>
      </x:c>
      <x:c r="K1584" s="172" t="n">
        <x:v>1</x:v>
      </x:c>
      <x:c r="L1584" s="185" t="str">
        <x:v>Não classificado</x:v>
      </x:c>
    </x:row>
    <x:row r="1585">
      <x:c r="A1585" s="175" t="str">
        <x:v>47.410.122/0001-10</x:v>
      </x:c>
      <x:c r="B1585" s="166" t="str">
        <x:v>MÖBIUS VD TOTAL RETURN 1 - FIDC MULTICARTEIRA OUTROS - RESP LIMITADA</x:v>
      </x:c>
      <x:c r="C1585" s="188" t="n">
        <x:v>52162642.11</x:v>
      </x:c>
      <x:c r="D1585" s="166" t="str">
        <x:v>Möbius Capital</x:v>
      </x:c>
      <x:c r="E1585" s="166" t="str">
        <x:f>IFERROR(INDEX('Classif Gestoras'!$H$6:$H$462,MATCH(D1585,'Classif Gestoras'!$A$6:$A$462,0)),"Não classificada")</x:f>
        <x:v>Independente</x:v>
      </x:c>
      <x:c r="F1585" s="166" t="str">
        <x:v>BANCO DAYCOVAL S/A</x:v>
      </x:c>
      <x:c r="G1585" s="166" t="str">
        <x:v>BANCO DAYCOVAL S.A.</x:v>
      </x:c>
      <x:c r="H1585" s="166" t="str">
        <x:v>Outros</x:v>
      </x:c>
      <x:c r="I1585" s="166" t="str">
        <x:v>Multicarteira Outros</x:v>
      </x:c>
      <x:c r="J1585" s="166" t="str">
        <x:v>CI</x:v>
      </x:c>
      <x:c r="K1585" s="172" t="n">
        <x:v>1</x:v>
      </x:c>
      <x:c r="L1585" s="185" t="str">
        <x:v>Não classificado</x:v>
      </x:c>
    </x:row>
    <x:row r="1586">
      <x:c r="A1586" s="175" t="str">
        <x:v>53.622.208/0001-09</x:v>
      </x:c>
      <x:c r="B1586" s="166" t="str">
        <x:v>IC PRECATÓRIOS ESTADUAIS II FUNDO DE INVESTIMENTO EM DIREITOS CREDITÓRIOS - DE RESP LTDA</x:v>
      </x:c>
      <x:c r="C1586" s="188" t="n">
        <x:v>52133855.24</x:v>
      </x:c>
      <x:c r="D1586" s="166" t="str">
        <x:v>Iron Capital</x:v>
      </x:c>
      <x:c r="E1586" s="166" t="str">
        <x:f>IFERROR(INDEX('Classif Gestoras'!$H$6:$H$462,MATCH(D1586,'Classif Gestoras'!$A$6:$A$462,0)),"Não classificada")</x:f>
        <x:v>Independente</x:v>
      </x:c>
      <x:c r="F1586" s="166" t="str">
        <x:v>Oliveira Trust DTVM</x:v>
      </x:c>
      <x:c r="G1586" s="166" t="str">
        <x:v>OLIVEIRA TRUST DTVM S.A.</x:v>
      </x:c>
      <x:c r="H1586" s="166" t="str">
        <x:v>Outros</x:v>
      </x:c>
      <x:c r="I1586" s="166" t="str">
        <x:v>Poder Público</x:v>
      </x:c>
      <x:c r="J1586" s="166" t="str">
        <x:v>CI</x:v>
      </x:c>
      <x:c r="K1586" s="172" t="n">
        <x:v>20</x:v>
      </x:c>
      <x:c r="L1586" s="185" t="str">
        <x:v>Não classificado</x:v>
      </x:c>
    </x:row>
    <x:row r="1587">
      <x:c r="A1587" s="175" t="str">
        <x:v>60.736.775/0001-51</x:v>
      </x:c>
      <x:c r="B1587" s="166" t="str">
        <x:v>FACIO 3 FUNDO DE INVESTIMENTO EM DIREITOS CREDITÓRIOS RESPONSABILIDADE LIMITADA</x:v>
      </x:c>
      <x:c r="C1587" s="188" t="n">
        <x:v>52120538.31</x:v>
      </x:c>
      <x:c r="D1587" s="166" t="str">
        <x:v>CONTEA CAPITAL</x:v>
      </x:c>
      <x:c r="E1587" s="166" t="str">
        <x:f>IFERROR(INDEX('Classif Gestoras'!$H$6:$H$462,MATCH(D1587,'Classif Gestoras'!$A$6:$A$462,0)),"Não classificada")</x:f>
        <x:v>Independente</x:v>
      </x:c>
      <x:c r="F1587" s="166" t="str">
        <x:v>Singulare</x:v>
      </x:c>
      <x:c r="G1587" s="166" t="str">
        <x:v>QI CORRETORA DE TÍTULOS E VALORES MOBILIÁRIOS S.A.</x:v>
      </x:c>
      <x:c r="H1587" s="166" t="str">
        <x:v>Outros</x:v>
      </x:c>
      <x:c r="I1587" s="166" t="str">
        <x:v>Multicarteira Outros</x:v>
      </x:c>
      <x:c r="J1587" s="166" t="str">
        <x:v>CI</x:v>
      </x:c>
      <x:c r="K1587" s="172" t="n">
        <x:v>90</x:v>
      </x:c>
      <x:c r="L1587" s="185" t="str">
        <x:v>Não classificado</x:v>
      </x:c>
    </x:row>
    <x:row r="1588">
      <x:c r="A1588" s="175" t="str">
        <x:v>21.397.791/0001-05</x:v>
      </x:c>
      <x:c r="B1588" s="166" t="str">
        <x:v>FP POLO PETROS 2 RECUPERAÇÃO DE CRÉDITO FUNDO DE INVESTIMENTO EM DIREITOS CREDITÓRIOS</x:v>
      </x:c>
      <x:c r="C1588" s="188" t="n">
        <x:v>52059904.15</x:v>
      </x:c>
      <x:c r="D1588" s="166" t="str">
        <x:v>Polo Capital Gestão de Recurso</x:v>
      </x:c>
      <x:c r="E1588" s="166" t="str">
        <x:f>IFERROR(INDEX('Classif Gestoras'!$H$6:$H$462,MATCH(D1588,'Classif Gestoras'!$A$6:$A$462,0)),"Não classificada")</x:f>
        <x:v>Independente</x:v>
      </x:c>
      <x:c r="F1588" s="166" t="str">
        <x:v>Singulare</x:v>
      </x:c>
      <x:c r="G1588" s="166" t="str">
        <x:v>QI CORRETORA DE TÍTULOS E VALORES MOBILIÁRIOS S.A.</x:v>
      </x:c>
      <x:c r="H1588" s="166" t="str">
        <x:v>Outros</x:v>
      </x:c>
      <x:c r="I1588" s="166" t="str">
        <x:v>Poder Público</x:v>
      </x:c>
      <x:c r="J1588" s="166" t="str">
        <x:v>CI</x:v>
      </x:c>
      <x:c r="K1588" s="172" t="n">
        <x:v>10</x:v>
      </x:c>
      <x:c r="L1588" s="185" t="str">
        <x:v>Não classificado</x:v>
      </x:c>
    </x:row>
    <x:row r="1589">
      <x:c r="A1589" s="175" t="str">
        <x:v>53.996.774/0001-80</x:v>
      </x:c>
      <x:c r="B1589" s="166" t="str">
        <x:v>FICRED FUNDO DE INVESTIMENTO EM DIREITOS CREDITÓRIOS</x:v>
      </x:c>
      <x:c r="C1589" s="188" t="n">
        <x:v>52058377.58</x:v>
      </x:c>
      <x:c r="D1589" s="166" t="str">
        <x:v>Integral Investimentos</x:v>
      </x:c>
      <x:c r="E1589" s="166" t="str">
        <x:f>IFERROR(INDEX('Classif Gestoras'!$H$6:$H$462,MATCH(D1589,'Classif Gestoras'!$A$6:$A$462,0)),"Não classificada")</x:f>
        <x:v>Independente</x:v>
      </x:c>
      <x:c r="F1589" s="166" t="str">
        <x:v>INTEGRAL ACCESS DTVM</x:v>
      </x:c>
      <x:c r="G1589" s="166" t="str">
        <x:v>OLIVEIRA TRUST DTVM S.A.</x:v>
      </x:c>
      <x:c r="H1589" s="166" t="str">
        <x:v>Outros</x:v>
      </x:c>
      <x:c r="I1589" s="166" t="str">
        <x:v>Multicarteira Outros</x:v>
      </x:c>
      <x:c r="J1589" s="166" t="str">
        <x:v>CI</x:v>
      </x:c>
      <x:c r="K1589" s="172" t="n">
        <x:v>4</x:v>
      </x:c>
      <x:c r="L1589" s="185" t="str">
        <x:v>Não classificado</x:v>
      </x:c>
    </x:row>
    <x:row r="1590">
      <x:c r="A1590" s="175" t="str">
        <x:v>38.137.153/0001-58</x:v>
      </x:c>
      <x:c r="B1590" s="166" t="str">
        <x:v>FIDC DE LOCAÇÃO DE VEÍCULOS KOVI I RESPONSABILIDADE LIMITADA</x:v>
      </x:c>
      <x:c r="C1590" s="188" t="n">
        <x:v>51995372.37</x:v>
      </x:c>
      <x:c r="D1590" s="166" t="str">
        <x:v>Integral Investimentos</x:v>
      </x:c>
      <x:c r="E1590" s="166" t="str">
        <x:f>IFERROR(INDEX('Classif Gestoras'!$H$6:$H$462,MATCH(D1590,'Classif Gestoras'!$A$6:$A$462,0)),"Não classificada")</x:f>
        <x:v>Independente</x:v>
      </x:c>
      <x:c r="F1590" s="166" t="str">
        <x:v>BANCO DAYCOVAL S/A</x:v>
      </x:c>
      <x:c r="G1590" s="166" t="str">
        <x:v>BANCO DAYCOVAL S.A.</x:v>
      </x:c>
      <x:c r="H1590" s="166" t="str">
        <x:v>Agro, Indústria e Comércio</x:v>
      </x:c>
      <x:c r="I1590" s="166" t="str">
        <x:v>Recebíveis Comerciais</x:v>
      </x:c>
      <x:c r="J1590" s="166" t="str">
        <x:v>CI</x:v>
      </x:c>
      <x:c r="K1590" s="172" t="n">
        <x:v>85</x:v>
      </x:c>
      <x:c r="L1590" s="185" t="str">
        <x:v>Não classificado</x:v>
      </x:c>
    </x:row>
    <x:row r="1591">
      <x:c r="A1591" s="175" t="str">
        <x:v>64.168.221/0001-56</x:v>
      </x:c>
      <x:c r="B1591" s="166" t="str">
        <x:v>PAIOL FUNDO DE INVESTIMENTO EM DIREITOS CREDITÓRIOS</x:v>
      </x:c>
      <x:c r="C1591" s="188" t="n">
        <x:v>51629148.71</x:v>
      </x:c>
      <x:c r="D1591" s="166" t="str">
        <x:v>CERES ASSET</x:v>
      </x:c>
      <x:c r="E1591" s="166" t="str">
        <x:f>IFERROR(INDEX('Classif Gestoras'!$H$6:$H$462,MATCH(D1591,'Classif Gestoras'!$A$6:$A$462,0)),"Não classificada")</x:f>
        <x:v>Independente</x:v>
      </x:c>
      <x:c r="F1591" s="166" t="str">
        <x:v>Singulare</x:v>
      </x:c>
      <x:c r="G1591" s="166" t="str">
        <x:v>QI CORRETORA DE TÍTULOS E VALORES MOBILIÁRIOS S.A.</x:v>
      </x:c>
      <x:c r="H1591" s="166" t="str">
        <x:v>Agro, Indústria e Comércio</x:v>
      </x:c>
      <x:c r="I1591" s="166" t="str">
        <x:v>Multicarteira Agro, Indústria e Comércio</x:v>
      </x:c>
      <x:c r="J1591" s="166" t="str">
        <x:v>CI</x:v>
      </x:c>
      <x:c r="K1591" s="172" t="n">
        <x:v>1</x:v>
      </x:c>
      <x:c r="L1591" s="185" t="str">
        <x:v>Não classificado</x:v>
      </x:c>
    </x:row>
    <x:row r="1592">
      <x:c r="A1592" s="175" t="str">
        <x:v>64.113.643/0001-24</x:v>
      </x:c>
      <x:c r="B1592" s="166" t="str">
        <x:v>PLANNER FUNDO DE INVESTIMENTO EM DIREITOS CREDITÓRIOS</x:v>
      </x:c>
      <x:c r="C1592" s="188" t="n">
        <x:v>51621156.94</x:v>
      </x:c>
      <x:c r="D1592" s="166" t="str">
        <x:v>Redwood Asset Management</x:v>
      </x:c>
      <x:c r="E1592" s="166" t="str">
        <x:f>IFERROR(INDEX('Classif Gestoras'!$H$6:$H$462,MATCH(D1592,'Classif Gestoras'!$A$6:$A$462,0)),"Não classificada")</x:f>
        <x:v>Independente</x:v>
      </x:c>
      <x:c r="F1592" s="166" t="str">
        <x:v>PLANNER CV</x:v>
      </x:c>
      <x:c r="G1592" s="166" t="str">
        <x:v>PLANNER CORRETORA DE VALORES S.A.</x:v>
      </x:c>
      <x:c r="H1592" s="166" t="str">
        <x:v>Outros</x:v>
      </x:c>
      <x:c r="I1592" s="166" t="str">
        <x:v>Multicarteira Outros</x:v>
      </x:c>
      <x:c r="J1592" s="166" t="str">
        <x:v>CI</x:v>
      </x:c>
      <x:c r="K1592" s="172" t="n">
        <x:v>3</x:v>
      </x:c>
      <x:c r="L1592" s="185" t="str">
        <x:v>Não classificado</x:v>
      </x:c>
    </x:row>
    <x:row r="1593">
      <x:c r="A1593" s="175" t="str">
        <x:v>41.579.637/0001-61</x:v>
      </x:c>
      <x:c r="B1593" s="166" t="str">
        <x:v>MGW ATIVOS FUNDO DE INVESTIMENTO EM DIREITOS CREDITÓRIOS RESPONSABILIDADE LIMITADA</x:v>
      </x:c>
      <x:c r="C1593" s="188" t="n">
        <x:v>51576158.52</x:v>
      </x:c>
      <x:c r="D1593" s="166" t="str">
        <x:v>Hyperion</x:v>
      </x:c>
      <x:c r="E1593" s="166" t="str">
        <x:f>IFERROR(INDEX('Classif Gestoras'!$H$6:$H$462,MATCH(D1593,'Classif Gestoras'!$A$6:$A$462,0)),"Não classificada")</x:f>
        <x:v>Independente</x:v>
      </x:c>
      <x:c r="F1593" s="166" t="str">
        <x:v>ID Corretora de Títulos e Valores Mobiliários S.A.</x:v>
      </x:c>
      <x:c r="G1593" s="166" t="str">
        <x:v>ID CORRETORA DE TITULOS E VALORES MOBILIARIOS S.A.</x:v>
      </x:c>
      <x:c r="H1593" s="166" t="str">
        <x:v>Outros</x:v>
      </x:c>
      <x:c r="I1593" s="166" t="str">
        <x:v>Multicarteira Outros</x:v>
      </x:c>
      <x:c r="J1593" s="166" t="str">
        <x:v>CI</x:v>
      </x:c>
      <x:c r="K1593" s="172" t="n">
        <x:v>7</x:v>
      </x:c>
      <x:c r="L1593" s="185" t="str">
        <x:v>Não classificado</x:v>
      </x:c>
    </x:row>
    <x:row r="1594">
      <x:c r="A1594" s="175" t="str">
        <x:v>33.003.417/0001-67</x:v>
      </x:c>
      <x:c r="B1594" s="166" t="str">
        <x:v>VASTA FUNDO DE INVESTIMENTO EM DIREITOS CREDITÓRIOS</x:v>
      </x:c>
      <x:c r="C1594" s="188" t="n">
        <x:v>51460408.190000005</x:v>
      </x:c>
      <x:c r="D1594" s="166" t="str">
        <x:v>TERCON ASSET MANAGEMENT</x:v>
      </x:c>
      <x:c r="E1594" s="166" t="str">
        <x:f>IFERROR(INDEX('Classif Gestoras'!$H$6:$H$462,MATCH(D1594,'Classif Gestoras'!$A$6:$A$462,0)),"Não classificada")</x:f>
        <x:v>Independente</x:v>
      </x:c>
      <x:c r="F1594" s="166" t="str">
        <x:v>Singulare</x:v>
      </x:c>
      <x:c r="G1594" s="166" t="str">
        <x:v>QI CORRETORA DE TÍTULOS E VALORES MOBILIÁRIOS S.A.</x:v>
      </x:c>
      <x:c r="H1594" s="166" t="str">
        <x:v>Fomento Mercantil</x:v>
      </x:c>
      <x:c r="I1594" s="166" t="str">
        <x:v>Fomento Mercantil</x:v>
      </x:c>
      <x:c r="J1594" s="166" t="str">
        <x:v>CI</x:v>
      </x:c>
      <x:c r="K1594" s="172" t="n">
        <x:v>4</x:v>
      </x:c>
      <x:c r="L1594" s="185" t="str">
        <x:v>Não classificado</x:v>
      </x:c>
    </x:row>
    <x:row r="1595">
      <x:c r="A1595" s="175" t="str">
        <x:v>54.049.164/0001-32</x:v>
      </x:c>
      <x:c r="B1595" s="166" t="str">
        <x:v>FUNDO DE INVESTIMENTO EM DIREITOS CREDITÓRIOS TAG SSI RESPONSABILIDADE LIMITADA</x:v>
      </x:c>
      <x:c r="C1595" s="188" t="n">
        <x:v>51447025.989999995</x:v>
      </x:c>
      <x:c r="D1595" s="166" t="str">
        <x:v>TAG Investimentos</x:v>
      </x:c>
      <x:c r="E1595" s="166" t="str">
        <x:f>IFERROR(INDEX('Classif Gestoras'!$H$6:$H$462,MATCH(D1595,'Classif Gestoras'!$A$6:$A$462,0)),"Não classificada")</x:f>
        <x:v>Independente</x:v>
      </x:c>
      <x:c r="F1595" s="166" t="str">
        <x:v>VÓRTX DTVM</x:v>
      </x:c>
      <x:c r="G1595" s="166" t="str">
        <x:v>VORTX DISTRIBUIDORA DE TITULOS E VALORES MOBILIARIOS LTDA.</x:v>
      </x:c>
      <x:c r="H1595" s="166" t="str">
        <x:v>Outros</x:v>
      </x:c>
      <x:c r="I1595" s="166" t="str">
        <x:v>Multicarteira Outros</x:v>
      </x:c>
      <x:c r="J1595" s="166" t="str">
        <x:v>CI</x:v>
      </x:c>
      <x:c r="K1595" s="172" t="n">
        <x:v>1</x:v>
      </x:c>
      <x:c r="L1595" s="185" t="str">
        <x:v>Não classificado</x:v>
      </x:c>
    </x:row>
    <x:row r="1596">
      <x:c r="A1596" s="175" t="str">
        <x:v>64.125.992/0001-66</x:v>
      </x:c>
      <x:c r="B1596" s="166" t="str">
        <x:v>FBS FUNDO DE INVESTIMENTO EM DIREITOS CREDITÓRIOS RESPONSABILIDADE LIMITADA</x:v>
      </x:c>
      <x:c r="C1596" s="188" t="n">
        <x:v>51405399.36</x:v>
      </x:c>
      <x:c r="D1596" s="166" t="str">
        <x:v>FigTree Capital</x:v>
      </x:c>
      <x:c r="E1596" s="166" t="str">
        <x:f>IFERROR(INDEX('Classif Gestoras'!$H$6:$H$462,MATCH(D1596,'Classif Gestoras'!$A$6:$A$462,0)),"Não classificada")</x:f>
        <x:v>Independente</x:v>
      </x:c>
      <x:c r="F1596" s="166" t="str">
        <x:v>BRL TRUST DTVM</x:v>
      </x:c>
      <x:c r="G1596" s="166" t="str">
        <x:v>BRL TRUST DISTRIBUIDORA DE TITULOS E VALORES MOBILIARIOS S.A.</x:v>
      </x:c>
      <x:c r="H1596" s="166" t="str">
        <x:v>Outros</x:v>
      </x:c>
      <x:c r="I1596" s="166" t="str">
        <x:v>Multicarteira Outros</x:v>
      </x:c>
      <x:c r="J1596" s="166" t="str">
        <x:v>CI</x:v>
      </x:c>
      <x:c r="K1596" s="172" t="n">
        <x:v>4</x:v>
      </x:c>
      <x:c r="L1596" s="185" t="str">
        <x:v>Não classificado</x:v>
      </x:c>
    </x:row>
    <x:row r="1597">
      <x:c r="A1597" s="175" t="str">
        <x:v>53.160.371/0001-05</x:v>
      </x:c>
      <x:c r="B1597" s="166" t="str">
        <x:v>Z INVEST FUNDO DE INVESTIMENTO EM DIREITOS CREDITÓRIOS RESPONSABILIDADE ILIMITADA</x:v>
      </x:c>
      <x:c r="C1597" s="188" t="n">
        <x:v>51271529.5</x:v>
      </x:c>
      <x:c r="D1597" s="166" t="str">
        <x:v>Catálise Investimentos</x:v>
      </x:c>
      <x:c r="E1597" s="166" t="str">
        <x:f>IFERROR(INDEX('Classif Gestoras'!$H$6:$H$462,MATCH(D1597,'Classif Gestoras'!$A$6:$A$462,0)),"Não classificada")</x:f>
        <x:v>Independente</x:v>
      </x:c>
      <x:c r="F1597" s="166" t="str">
        <x:v>BANCO DAYCOVAL S/A</x:v>
      </x:c>
      <x:c r="G1597" s="166" t="str">
        <x:v>BANCO DAYCOVAL S.A.</x:v>
      </x:c>
      <x:c r="H1597" s="166" t="str">
        <x:v>Agro, Indústria e Comércio</x:v>
      </x:c>
      <x:c r="I1597" s="166" t="str">
        <x:v>Recebíveis Comerciais</x:v>
      </x:c>
      <x:c r="J1597" s="166" t="str">
        <x:v>CI</x:v>
      </x:c>
      <x:c r="K1597" s="172" t="n">
        <x:v>1</x:v>
      </x:c>
      <x:c r="L1597" s="185" t="str">
        <x:v>Não classificado</x:v>
      </x:c>
    </x:row>
    <x:row r="1598">
      <x:c r="A1598" s="175" t="str">
        <x:v>54.996.578/0001-79</x:v>
      </x:c>
      <x:c r="B1598" s="166" t="str">
        <x:v>SANREMO FUNDO DE INVESTIMENTO EM DIREITOS CREDITÓRIOS</x:v>
      </x:c>
      <x:c r="C1598" s="188" t="n">
        <x:v>51266648.3</x:v>
      </x:c>
      <x:c r="D1598" s="166" t="str">
        <x:v>H2 CAPITAL</x:v>
      </x:c>
      <x:c r="E1598" s="166" t="str">
        <x:f>IFERROR(INDEX('Classif Gestoras'!$H$6:$H$462,MATCH(D1598,'Classif Gestoras'!$A$6:$A$462,0)),"Não classificada")</x:f>
        <x:v>Independente</x:v>
      </x:c>
      <x:c r="F1598" s="166" t="str">
        <x:v>Singulare</x:v>
      </x:c>
      <x:c r="G1598" s="166" t="str">
        <x:v>QI CORRETORA DE TÍTULOS E VALORES MOBILIÁRIOS S.A.</x:v>
      </x:c>
      <x:c r="H1598" s="166" t="str">
        <x:v>Agro, Indústria e Comércio</x:v>
      </x:c>
      <x:c r="I1598" s="166" t="str">
        <x:v>Recebíveis Comerciais</x:v>
      </x:c>
      <x:c r="J1598" s="166" t="str">
        <x:v>CI</x:v>
      </x:c>
      <x:c r="K1598" s="172" t="n">
        <x:v>1</x:v>
      </x:c>
      <x:c r="L1598" s="185" t="str">
        <x:v>Não classificado</x:v>
      </x:c>
    </x:row>
    <x:row r="1599">
      <x:c r="A1599" s="175" t="str">
        <x:v>52.258.572/0001-79</x:v>
      </x:c>
      <x:c r="B1599" s="166" t="str">
        <x:v>ALGARVE TETRA FUNDO DE INVESTIMENTO EM DIREITOS CREDITÓRIOS</x:v>
      </x:c>
      <x:c r="C1599" s="188" t="n">
        <x:v>51255889.83</x:v>
      </x:c>
      <x:c r="D1599" s="166" t="str">
        <x:v>Algarve Capital</x:v>
      </x:c>
      <x:c r="E1599" s="166" t="str">
        <x:f>IFERROR(INDEX('Classif Gestoras'!$H$6:$H$462,MATCH(D1599,'Classif Gestoras'!$A$6:$A$462,0)),"Não classificada")</x:f>
        <x:v>Independente</x:v>
      </x:c>
      <x:c r="F1599" s="166" t="str">
        <x:v>BANCO DAYCOVAL S/A</x:v>
      </x:c>
      <x:c r="G1599" s="166" t="str">
        <x:v>BANCO DAYCOVAL S.A.</x:v>
      </x:c>
      <x:c r="H1599" s="166" t="str">
        <x:v>Outros</x:v>
      </x:c>
      <x:c r="I1599" s="166" t="str">
        <x:v>Multicarteira Outros</x:v>
      </x:c>
      <x:c r="J1599" s="166" t="str">
        <x:v>CI</x:v>
      </x:c>
      <x:c r="K1599" s="172" t="n">
        <x:v>5</x:v>
      </x:c>
      <x:c r="L1599" s="185" t="str">
        <x:v>Não classificado</x:v>
      </x:c>
    </x:row>
    <x:row r="1600">
      <x:c r="A1600" s="175" t="str">
        <x:v>52.680.835/0001-33</x:v>
      </x:c>
      <x:c r="B1600" s="166" t="str">
        <x:v>ATVOS ENERGIA FUNDO DE INVESTIMENTO EM DIREITOS CREDITÓRIOS RESPONSABILIDADE LIMITADA</x:v>
      </x:c>
      <x:c r="C1600" s="188" t="n">
        <x:v>51231488.64</x:v>
      </x:c>
      <x:c r="D1600" s="166" t="str">
        <x:v>Eco Gestão de Ativos LTDA.</x:v>
      </x:c>
      <x:c r="E1600" s="166" t="str">
        <x:f>IFERROR(INDEX('Classif Gestoras'!$H$6:$H$462,MATCH(D1600,'Classif Gestoras'!$A$6:$A$462,0)),"Não classificada")</x:f>
        <x:v>Independente</x:v>
      </x:c>
      <x:c r="F1600" s="166" t="str">
        <x:v>BANCO DAYCOVAL S/A</x:v>
      </x:c>
      <x:c r="G1600" s="166" t="str">
        <x:v>BANCO DAYCOVAL S.A.</x:v>
      </x:c>
      <x:c r="H1600" s="166" t="str">
        <x:v>Agro, Indústria e Comércio</x:v>
      </x:c>
      <x:c r="I1600" s="166" t="str">
        <x:v>Agronegócio</x:v>
      </x:c>
      <x:c r="J1600" s="166" t="str">
        <x:v>CI</x:v>
      </x:c>
      <x:c r="K1600" s="172" t="n">
        <x:v>1</x:v>
      </x:c>
      <x:c r="L1600" s="185" t="str">
        <x:v>Não classificado</x:v>
      </x:c>
    </x:row>
    <x:row r="1601">
      <x:c r="A1601" s="175" t="str">
        <x:v>34.661.403/0001-01</x:v>
      </x:c>
      <x:c r="B1601" s="166" t="str">
        <x:v>FUNDO DE INVESTIMENTO EM DIREITOS CREDITÓRIOS FISERV - RESPONSABILIDADE LIMITADA</x:v>
      </x:c>
      <x:c r="C1601" s="188" t="n">
        <x:v>51230143.89</x:v>
      </x:c>
      <x:c r="D1601" s="166" t="str">
        <x:v>Oliveira Trust Servicer</x:v>
      </x:c>
      <x:c r="E1601" s="166" t="str">
        <x:f>IFERROR(INDEX('Classif Gestoras'!$H$6:$H$462,MATCH(D1601,'Classif Gestoras'!$A$6:$A$462,0)),"Não classificada")</x:f>
        <x:v>Independente</x:v>
      </x:c>
      <x:c r="F1601" s="166" t="str">
        <x:v>Oliveira Trust DTVM</x:v>
      </x:c>
      <x:c r="G1601" s="166" t="str">
        <x:v>OLIVEIRA TRUST DTVM S.A.</x:v>
      </x:c>
      <x:c r="H1601" s="166" t="str">
        <x:v>Fomento Mercantil</x:v>
      </x:c>
      <x:c r="I1601" s="166" t="str">
        <x:v>Fomento Mercantil</x:v>
      </x:c>
      <x:c r="J1601" s="166" t="str">
        <x:v>CI</x:v>
      </x:c>
      <x:c r="K1601" s="172" t="n">
        <x:v>1</x:v>
      </x:c>
      <x:c r="L1601" s="185" t="str">
        <x:v>Não classificado</x:v>
      </x:c>
    </x:row>
    <x:row r="1602">
      <x:c r="A1602" s="175" t="str">
        <x:v>58.426.775/0001-03</x:v>
      </x:c>
      <x:c r="B1602" s="166" t="str">
        <x:v>CVPAR NC FUNDO DE INVESTIMENTO EM DIREITOS CREDITÓRIOS RESPONSABILIDADE LIMITADA</x:v>
      </x:c>
      <x:c r="C1602" s="188" t="n">
        <x:v>51122458.8</x:v>
      </x:c>
      <x:c r="D1602" s="166" t="str">
        <x:v>CVPAR Investimentos ltda</x:v>
      </x:c>
      <x:c r="E1602" s="166" t="str">
        <x:f>IFERROR(INDEX('Classif Gestoras'!$H$6:$H$462,MATCH(D1602,'Classif Gestoras'!$A$6:$A$462,0)),"Não classificada")</x:f>
        <x:v>Independente</x:v>
      </x:c>
      <x:c r="F1602" s="166" t="str">
        <x:v>Singulare</x:v>
      </x:c>
      <x:c r="G1602" s="166" t="str">
        <x:v>QI CORRETORA DE TÍTULOS E VALORES MOBILIÁRIOS S.A.</x:v>
      </x:c>
      <x:c r="H1602" s="166" t="str">
        <x:v>Outros</x:v>
      </x:c>
      <x:c r="I1602" s="166" t="str">
        <x:v>Multicarteira Outros</x:v>
      </x:c>
      <x:c r="J1602" s="166" t="str">
        <x:v>CI</x:v>
      </x:c>
      <x:c r="K1602" s="172" t="n">
        <x:v>6</x:v>
      </x:c>
      <x:c r="L1602" s="185" t="str">
        <x:v>Não classificado</x:v>
      </x:c>
    </x:row>
    <x:row r="1603">
      <x:c r="A1603" s="175" t="str">
        <x:v>51.769.350/0001-58</x:v>
      </x:c>
      <x:c r="B1603" s="166" t="str">
        <x:v>WBL FUNDO DE INVESTIMENTO EM DIREITOS CREDITÓRIOS MULTISEGMENTOS</x:v>
      </x:c>
      <x:c r="C1603" s="188" t="n">
        <x:v>51083132.92</x:v>
      </x:c>
      <x:c r="D1603" s="166" t="str">
        <x:v>Petra Capital</x:v>
      </x:c>
      <x:c r="E1603" s="166" t="str">
        <x:f>IFERROR(INDEX('Classif Gestoras'!$H$6:$H$462,MATCH(D1603,'Classif Gestoras'!$A$6:$A$462,0)),"Não classificada")</x:f>
        <x:v>Independente</x:v>
      </x:c>
      <x:c r="F1603" s="166" t="str">
        <x:v>Finaxis Corretora de Títulos e Valores Mobiliários S.A.</x:v>
      </x:c>
      <x:c r="G1603" s="166" t="str">
        <x:v>BANCO FINAXIS S.A.</x:v>
      </x:c>
      <x:c r="H1603" s="166" t="str">
        <x:v>Outros</x:v>
      </x:c>
      <x:c r="I1603" s="166" t="str">
        <x:v>Multicarteira Outros</x:v>
      </x:c>
      <x:c r="J1603" s="166" t="str">
        <x:v>CI</x:v>
      </x:c>
      <x:c r="K1603" s="172" t="n">
        <x:v>1</x:v>
      </x:c>
      <x:c r="L1603" s="185" t="str">
        <x:v>Não classificado</x:v>
      </x:c>
    </x:row>
    <x:row r="1604">
      <x:c r="A1604" s="175" t="str">
        <x:v>29.492.868/0001-38</x:v>
      </x:c>
      <x:c r="B1604" s="166" t="str">
        <x:v>MULTI RECEBÍVEIS III FUNDO DE INVESTIMENTO EM DIREITOS CREDITÓRIOS MULTISEGMENTOS</x:v>
      </x:c>
      <x:c r="C1604" s="188" t="n">
        <x:v>51007243.28</x:v>
      </x:c>
      <x:c r="D1604" s="166" t="str">
        <x:v>Petra Capital</x:v>
      </x:c>
      <x:c r="E1604" s="166" t="str">
        <x:f>IFERROR(INDEX('Classif Gestoras'!$H$6:$H$462,MATCH(D1604,'Classif Gestoras'!$A$6:$A$462,0)),"Não classificada")</x:f>
        <x:v>Independente</x:v>
      </x:c>
      <x:c r="F1604" s="166" t="str">
        <x:v>Finaxis Corretora de Títulos e Valores Mobiliários S.A.</x:v>
      </x:c>
      <x:c r="G1604" s="166" t="str">
        <x:v>BANCO FINAXIS S.A.</x:v>
      </x:c>
      <x:c r="H1604" s="166" t="str">
        <x:v>Fomento Mercantil</x:v>
      </x:c>
      <x:c r="I1604" s="166" t="str">
        <x:v>Fomento Mercantil</x:v>
      </x:c>
      <x:c r="J1604" s="166" t="str">
        <x:v>CI</x:v>
      </x:c>
      <x:c r="K1604" s="172" t="n">
        <x:v>24</x:v>
      </x:c>
      <x:c r="L1604" s="185" t="str">
        <x:v>Não classificado</x:v>
      </x:c>
    </x:row>
    <x:row r="1605">
      <x:c r="A1605" s="175" t="str">
        <x:v>51.254.064/0001-50</x:v>
      </x:c>
      <x:c r="B1605" s="166" t="str">
        <x:v>GRANA TECH CRÉDITO POPULAR FUNDO DE INVESTIMENTO EM DIREITOS CREDITÓRIOS FINANCEIRO - RESP LIMITADA</x:v>
      </x:c>
      <x:c r="C1605" s="188" t="n">
        <x:v>51005841.55</x:v>
      </x:c>
      <x:c r="D1605" s="166" t="str">
        <x:v>Limine Trust Distribuidora de Titulos e Valores Mobiliá</x:v>
      </x:c>
      <x:c r="E1605" s="166" t="str">
        <x:f>IFERROR(INDEX('Classif Gestoras'!$H$6:$H$462,MATCH(D1605,'Classif Gestoras'!$A$6:$A$462,0)),"Não classificada")</x:f>
        <x:v>Independente</x:v>
      </x:c>
      <x:c r="F1605" s="166" t="str">
        <x:v>Limine Trust Distribuidora de Titulos e Valores Mobiliá</x:v>
      </x:c>
      <x:c r="G1605" s="166" t="str">
        <x:v>LIMINE TRUST DISTRIBUIDORA DE TITULOS E VALORES MOBILIARIOS LTDA.</x:v>
      </x:c>
      <x:c r="H1605" s="166" t="str">
        <x:v>Financeiro</x:v>
      </x:c>
      <x:c r="I1605" s="166" t="str">
        <x:v>Crédito Consignado</x:v>
      </x:c>
      <x:c r="J1605" s="166" t="str">
        <x:v>CI</x:v>
      </x:c>
      <x:c r="K1605" s="172" t="n">
        <x:v>35</x:v>
      </x:c>
      <x:c r="L1605" s="185" t="str">
        <x:v>Não classificado</x:v>
      </x:c>
    </x:row>
    <x:row r="1606">
      <x:c r="A1606" s="175" t="str">
        <x:v>39.617.894/0001-07</x:v>
      </x:c>
      <x:c r="B1606" s="166" t="str">
        <x:v>CANAL 78 FUNDO DE INVESTIMENTO EM DIREITOS CREDITÓRIOS NÃO PADRONIZADOS</x:v>
      </x:c>
      <x:c r="C1606" s="188" t="n">
        <x:v>50934851.02</x:v>
      </x:c>
      <x:c r="D1606" s="166" t="str">
        <x:v>G5 Adm. de Recursos</x:v>
      </x:c>
      <x:c r="E1606" s="166" t="str">
        <x:f>IFERROR(INDEX('Classif Gestoras'!$H$6:$H$462,MATCH(D1606,'Classif Gestoras'!$A$6:$A$462,0)),"Não classificada")</x:f>
        <x:v>Independente</x:v>
      </x:c>
      <x:c r="F1606" s="166" t="str">
        <x:v>Singulare</x:v>
      </x:c>
      <x:c r="G1606" s="166" t="str">
        <x:v>QI CORRETORA DE TÍTULOS E VALORES MOBILIÁRIOS S.A.</x:v>
      </x:c>
      <x:c r="H1606" s="166" t="str">
        <x:v>Outros</x:v>
      </x:c>
      <x:c r="I1606" s="166" t="str">
        <x:v>Multicarteira Outros</x:v>
      </x:c>
      <x:c r="J1606" s="166" t="str">
        <x:v>CI</x:v>
      </x:c>
      <x:c r="K1606" s="172" t="n">
        <x:v>2</x:v>
      </x:c>
      <x:c r="L1606" s="185" t="str">
        <x:v>Não classificado</x:v>
      </x:c>
    </x:row>
    <x:row r="1607">
      <x:c r="A1607" s="175" t="str">
        <x:v>17.047.287/0001-08</x:v>
      </x:c>
      <x:c r="B1607" s="166" t="str">
        <x:v>COMPROCRED FUNDO DE INVESTIMENTO EM DIREITOS CREDITÓRIOS MULTISEGMENTOS</x:v>
      </x:c>
      <x:c r="C1607" s="188" t="n">
        <x:v>50910539.6</x:v>
      </x:c>
      <x:c r="D1607" s="166" t="str">
        <x:v>Petra Capital</x:v>
      </x:c>
      <x:c r="E1607" s="166" t="str">
        <x:f>IFERROR(INDEX('Classif Gestoras'!$H$6:$H$462,MATCH(D1607,'Classif Gestoras'!$A$6:$A$462,0)),"Não classificada")</x:f>
        <x:v>Independente</x:v>
      </x:c>
      <x:c r="F1607" s="166" t="str">
        <x:v>Banco Finaxis S.A.</x:v>
      </x:c>
      <x:c r="G1607" s="166" t="str">
        <x:v>BANCO FINAXIS S.A.</x:v>
      </x:c>
      <x:c r="H1607" s="166" t="str">
        <x:v>Fomento Mercantil</x:v>
      </x:c>
      <x:c r="I1607" s="166" t="str">
        <x:v>Fomento Mercantil</x:v>
      </x:c>
      <x:c r="J1607" s="166" t="str">
        <x:v>CI</x:v>
      </x:c>
      <x:c r="K1607" s="172" t="n">
        <x:v>3</x:v>
      </x:c>
      <x:c r="L1607" s="185" t="str">
        <x:v>Não classificado</x:v>
      </x:c>
    </x:row>
    <x:row r="1608">
      <x:c r="A1608" s="175" t="str">
        <x:v>61.135.235/0001-85</x:v>
      </x:c>
      <x:c r="B1608" s="166" t="str">
        <x:v>AURA FUNDO DE INVESTIMENTO EM DIREITOS CREDITÓRIOS - RESPONSABILIDADE LIMITADA</x:v>
      </x:c>
      <x:c r="C1608" s="188" t="n">
        <x:v>50794328.86</x:v>
      </x:c>
      <x:c r="D1608" s="166" t="str">
        <x:v>SOSU CAPITAL GESTÃO DE INVESTIMENTOS LTDA.</x:v>
      </x:c>
      <x:c r="E1608" s="166" t="str">
        <x:f>IFERROR(INDEX('Classif Gestoras'!$H$6:$H$462,MATCH(D1608,'Classif Gestoras'!$A$6:$A$462,0)),"Não classificada")</x:f>
        <x:v>Independente</x:v>
      </x:c>
      <x:c r="F1608" s="166" t="str">
        <x:v>BRL TRUST DTVM</x:v>
      </x:c>
      <x:c r="G1608" s="166" t="str">
        <x:v>BRL TRUST DISTRIBUIDORA DE TITULOS E VALORES MOBILIARIOS S.A.</x:v>
      </x:c>
      <x:c r="H1608" s="166" t="str">
        <x:v>Outros</x:v>
      </x:c>
      <x:c r="I1608" s="166" t="str">
        <x:v>Poder Público</x:v>
      </x:c>
      <x:c r="J1608" s="166" t="str">
        <x:v>CI</x:v>
      </x:c>
      <x:c r="K1608" s="172" t="n">
        <x:v>1</x:v>
      </x:c>
      <x:c r="L1608" s="185" t="str">
        <x:v>Não classificado</x:v>
      </x:c>
    </x:row>
    <x:row r="1609">
      <x:c r="A1609" s="175" t="str">
        <x:v>55.634.707/0001-41</x:v>
      </x:c>
      <x:c r="B1609" s="166" t="str">
        <x:v>CORPORATE VENTURE CAPITAL EVOLUTION FUNDO DE INVESTIMENTO EM DIREITOS CREDITÓRIOS</x:v>
      </x:c>
      <x:c r="C1609" s="188" t="n">
        <x:v>50700693.629999995</x:v>
      </x:c>
      <x:c r="D1609" s="166" t="str">
        <x:v>QUAESTUS GESTÃO DE INVESTIMENTOS LTDA.</x:v>
      </x:c>
      <x:c r="E1609" s="166" t="str">
        <x:f>IFERROR(INDEX('Classif Gestoras'!$H$6:$H$462,MATCH(D1609,'Classif Gestoras'!$A$6:$A$462,0)),"Não classificada")</x:f>
        <x:v>Independente</x:v>
      </x:c>
      <x:c r="F1609" s="166" t="str">
        <x:v>MONETAR DISTRIBUIDORA DE TITUL</x:v>
      </x:c>
      <x:c r="G1609" s="166" t="str">
        <x:v>TERRA INVESTIMENTOS DISTRIBUIDORA DE TITULOS E VALORES MOBILIARIOS LTDA</x:v>
      </x:c>
      <x:c r="H1609" s="166" t="str">
        <x:v>Fomento Mercantil</x:v>
      </x:c>
      <x:c r="I1609" s="166" t="str">
        <x:v>Fomento Mercantil</x:v>
      </x:c>
      <x:c r="J1609" s="166" t="str">
        <x:v>CI</x:v>
      </x:c>
      <x:c r="K1609" s="172" t="n">
        <x:v>4</x:v>
      </x:c>
      <x:c r="L1609" s="185" t="str">
        <x:v>Não classificado</x:v>
      </x:c>
    </x:row>
    <x:row r="1610">
      <x:c r="A1610" s="175" t="str">
        <x:v>51.139.857/0001-28</x:v>
      </x:c>
      <x:c r="B1610" s="166" t="str">
        <x:v>ZEFIROS I FUNDO DE INVESTIMENTO EM DIREITOS CREDITÓRIOS NÃO PADRONIZADOS</x:v>
      </x:c>
      <x:c r="C1610" s="188" t="n">
        <x:v>50672044.64</x:v>
      </x:c>
      <x:c r="D1610" s="166" t="str">
        <x:v>Corcovado Investimentos</x:v>
      </x:c>
      <x:c r="E1610" s="166" t="str">
        <x:f>IFERROR(INDEX('Classif Gestoras'!$H$6:$H$462,MATCH(D1610,'Classif Gestoras'!$A$6:$A$462,0)),"Não classificada")</x:f>
        <x:v>Independente</x:v>
      </x:c>
      <x:c r="F1610" s="166" t="str">
        <x:v>PLANNER CV</x:v>
      </x:c>
      <x:c r="G1610" s="166" t="str">
        <x:v>PLANNER CORRETORA DE VALORES S.A.</x:v>
      </x:c>
      <x:c r="H1610" s="166" t="str">
        <x:v>Outros</x:v>
      </x:c>
      <x:c r="I1610" s="166" t="str">
        <x:v>Multicarteira Outros</x:v>
      </x:c>
      <x:c r="J1610" s="166" t="str">
        <x:v>CI</x:v>
      </x:c>
      <x:c r="K1610" s="172" t="n">
        <x:v>1</x:v>
      </x:c>
      <x:c r="L1610" s="185" t="str">
        <x:v>Não classificado</x:v>
      </x:c>
    </x:row>
    <x:row r="1611">
      <x:c r="A1611" s="175" t="str">
        <x:v>65.534.981/0001-00</x:v>
      </x:c>
      <x:c r="B1611" s="166" t="str">
        <x:v>FUNDO DE INVESTIMENTO EM DIREITOS CREDITÓRIOS NPL - ATIVOS I</x:v>
      </x:c>
      <x:c r="C1611" s="188" t="n">
        <x:v>50627525.38999999</x:v>
      </x:c>
      <x:c r="D1611" s="166" t="str">
        <x:v>BB Asset Management</x:v>
      </x:c>
      <x:c r="E1611" s="166" t="str">
        <x:f>IFERROR(INDEX('Classif Gestoras'!$H$6:$H$462,MATCH(D1611,'Classif Gestoras'!$A$6:$A$462,0)),"Não classificada")</x:f>
        <x:v>Ligada a banco</x:v>
      </x:c>
      <x:c r="F1611" s="166" t="str">
        <x:v>BB Asset Management</x:v>
      </x:c>
      <x:c r="G1611" s="166" t="str">
        <x:v>OSLO CAPITAL DISTRIBUIDORA DE TITULOS E VALORES MOBILIARIOS S.A.</x:v>
      </x:c>
      <x:c r="H1611" s="166" t="str">
        <x:v>Outros</x:v>
      </x:c>
      <x:c r="I1611" s="166" t="str">
        <x:v>Recuperação</x:v>
      </x:c>
      <x:c r="J1611" s="166" t="str">
        <x:v>CI</x:v>
      </x:c>
      <x:c r="K1611" s="172" t="n">
        <x:v>1</x:v>
      </x:c>
      <x:c r="L1611" s="185" t="str">
        <x:v>Não classificado</x:v>
      </x:c>
    </x:row>
    <x:row r="1612">
      <x:c r="A1612" s="175" t="str">
        <x:v>58.407.746/0001-02</x:v>
      </x:c>
      <x:c r="B1612" s="166" t="str">
        <x:v>VIER K FUNDO DE INVESTIMENTO EM DIREITOS CREDITÓRIOS</x:v>
      </x:c>
      <x:c r="C1612" s="188" t="n">
        <x:v>50366612.38</x:v>
      </x:c>
      <x:c r="D1612" s="166" t="str">
        <x:v>ICON CAPITAL</x:v>
      </x:c>
      <x:c r="E1612" s="166" t="str">
        <x:f>IFERROR(INDEX('Classif Gestoras'!$H$6:$H$462,MATCH(D1612,'Classif Gestoras'!$A$6:$A$462,0)),"Não classificada")</x:f>
        <x:v>Independente</x:v>
      </x:c>
      <x:c r="F1612" s="166" t="str">
        <x:v>BTG Pactual Servicos Financeiros S/A DTVM</x:v>
      </x:c>
      <x:c r="G1612" s="166" t="str">
        <x:v>BANCO BTG PACTUAL S/A</x:v>
      </x:c>
      <x:c r="H1612" s="166" t="str">
        <x:v>Outros</x:v>
      </x:c>
      <x:c r="I1612" s="166" t="str">
        <x:v>Multicarteira Outros</x:v>
      </x:c>
      <x:c r="J1612" s="166" t="str">
        <x:v>CI</x:v>
      </x:c>
      <x:c r="K1612" s="172" t="n">
        <x:v>4</x:v>
      </x:c>
      <x:c r="L1612" s="185" t="str">
        <x:v>Não classificado</x:v>
      </x:c>
    </x:row>
    <x:row r="1613">
      <x:c r="A1613" s="175" t="str">
        <x:v>64.897.169/0001-79</x:v>
      </x:c>
      <x:c r="B1613" s="166" t="str">
        <x:v>FUNDO DE INVESTIMENTO EM DIREITOS CREDITÓRIOS - RECEBÍVEIS COMERCIAIS TOP PARTNERS - RESP LIMITADA</x:v>
      </x:c>
      <x:c r="C1613" s="188" t="n">
        <x:v>50358512.7</x:v>
      </x:c>
      <x:c r="D1613" s="166" t="str">
        <x:v>Integral Investimentos</x:v>
      </x:c>
      <x:c r="E1613" s="166" t="str">
        <x:f>IFERROR(INDEX('Classif Gestoras'!$H$6:$H$462,MATCH(D1613,'Classif Gestoras'!$A$6:$A$462,0)),"Não classificada")</x:f>
        <x:v>Independente</x:v>
      </x:c>
      <x:c r="F1613" s="166" t="str">
        <x:v>BEM - DIST. DE TÍTUL</x:v>
      </x:c>
      <x:c r="G1613" s="166" t="str">
        <x:v>BANCO BRADESCO S.A.</x:v>
      </x:c>
      <x:c r="H1613" s="166" t="str">
        <x:v>Agro, Indústria e Comércio</x:v>
      </x:c>
      <x:c r="I1613" s="166" t="str">
        <x:v>Recebíveis Comerciais</x:v>
      </x:c>
      <x:c r="J1613" s="166" t="str">
        <x:v>CI</x:v>
      </x:c>
      <x:c r="K1613" s="172" t="n">
        <x:v>1</x:v>
      </x:c>
      <x:c r="L1613" s="185" t="str">
        <x:v>Não classificado</x:v>
      </x:c>
    </x:row>
    <x:row r="1614">
      <x:c r="A1614" s="175" t="str">
        <x:v>61.430.639/0001-00</x:v>
      </x:c>
      <x:c r="B1614" s="166" t="str">
        <x:v>NX BOATS FUNDO DE INVESTIMENTO EM DIREITOS CREDITÓRIOS - RESPONSABILIDADE LIMITADA</x:v>
      </x:c>
      <x:c r="C1614" s="188" t="n">
        <x:v>50317772.02</x:v>
      </x:c>
      <x:c r="D1614" s="166" t="str">
        <x:v>SETE ASSET MANAGEMENT LTDA</x:v>
      </x:c>
      <x:c r="E1614" s="166" t="str">
        <x:f>IFERROR(INDEX('Classif Gestoras'!$H$6:$H$462,MATCH(D1614,'Classif Gestoras'!$A$6:$A$462,0)),"Não classificada")</x:f>
        <x:v>Independente</x:v>
      </x:c>
      <x:c r="F1614" s="166" t="str">
        <x:v>Limine Trust Distribuidora de Titulos e Valores Mobiliá</x:v>
      </x:c>
      <x:c r="G1614" s="166" t="str">
        <x:v>LIMINE TRUST DISTRIBUIDORA DE TITULOS E VALORES MOBILIARIOS LTDA.</x:v>
      </x:c>
      <x:c r="H1614" s="166" t="str">
        <x:v>Fomento Mercantil</x:v>
      </x:c>
      <x:c r="I1614" s="166" t="str">
        <x:v>Fomento Mercantil</x:v>
      </x:c>
      <x:c r="J1614" s="166" t="str">
        <x:v>CI</x:v>
      </x:c>
      <x:c r="K1614" s="172" t="n">
        <x:v>18</x:v>
      </x:c>
      <x:c r="L1614" s="185" t="str">
        <x:v>Não classificado</x:v>
      </x:c>
    </x:row>
    <x:row r="1615">
      <x:c r="A1615" s="175" t="str">
        <x:v>58.479.412/0001-36</x:v>
      </x:c>
      <x:c r="B1615" s="166" t="str">
        <x:v>VARYAGI II FUNDO DE INVESTIMENTO EM DIREITOS CREDITÓRIOS CONSIGNADO PÚBLICO RESP LIMITADA</x:v>
      </x:c>
      <x:c r="C1615" s="188" t="n">
        <x:v>50242431.69</x:v>
      </x:c>
      <x:c r="D1615" s="166" t="str">
        <x:v>Brave Asset</x:v>
      </x:c>
      <x:c r="E1615" s="166" t="str">
        <x:f>IFERROR(INDEX('Classif Gestoras'!$H$6:$H$462,MATCH(D1615,'Classif Gestoras'!$A$6:$A$462,0)),"Não classificada")</x:f>
        <x:v>Independente</x:v>
      </x:c>
      <x:c r="F1615" s="166" t="str">
        <x:v>HEMERA DTVM</x:v>
      </x:c>
      <x:c r="G1615" s="166" t="str">
        <x:v>HEMERA DISTRIBUIDORA DE TITULOS E VALORES MOBILIARIOS LTDA</x:v>
      </x:c>
      <x:c r="H1615" s="166" t="str">
        <x:v>Financeiro</x:v>
      </x:c>
      <x:c r="I1615" s="166" t="str">
        <x:v>Crédito Consignado</x:v>
      </x:c>
      <x:c r="J1615" s="166" t="str">
        <x:v>CI</x:v>
      </x:c>
      <x:c r="K1615" s="172" t="n">
        <x:v>15</x:v>
      </x:c>
      <x:c r="L1615" s="185" t="str">
        <x:v>Não classificado</x:v>
      </x:c>
    </x:row>
    <x:row r="1616">
      <x:c r="A1616" s="175" t="str">
        <x:v>42.513.856/0001-00</x:v>
      </x:c>
      <x:c r="B1616" s="166" t="str">
        <x:v>CNPJ 42513856000100</x:v>
      </x:c>
      <x:c r="C1616" s="188" t="n">
        <x:v>50241642.669999994</x:v>
      </x:c>
      <x:c r="D1616" s="166" t="str">
        <x:v>Emerald Gestão de Investimento</x:v>
      </x:c>
      <x:c r="E1616" s="166" t="str">
        <x:f>IFERROR(INDEX('Classif Gestoras'!$H$6:$H$462,MATCH(D1616,'Classif Gestoras'!$A$6:$A$462,0)),"Não classificada")</x:f>
        <x:v>Independente</x:v>
      </x:c>
      <x:c r="F1616" s="166" t="str">
        <x:v>BANCO J. SAFRA S/A</x:v>
      </x:c>
      <x:c r="G1616" s="166" t="str">
        <x:v>Não identificado</x:v>
      </x:c>
      <x:c r="H1616" s="166" t="str">
        <x:v>Outros</x:v>
      </x:c>
      <x:c r="I1616" s="166" t="str">
        <x:v>Poder Público</x:v>
      </x:c>
      <x:c r="J1616" s="166" t="str">
        <x:v>CI</x:v>
      </x:c>
      <x:c r="K1616" s="172"/>
      <x:c r="L1616" s="185" t="str">
        <x:v>Não classificado</x:v>
      </x:c>
    </x:row>
    <x:row r="1617">
      <x:c r="A1617" s="175" t="str">
        <x:v>57.547.806/0001-11</x:v>
      </x:c>
      <x:c r="B1617" s="166" t="str">
        <x:v>PLGN PFN FUNDO DE INVESTIMENTO EM DIREITOS CREDITÓRIOS</x:v>
      </x:c>
      <x:c r="C1617" s="188" t="n">
        <x:v>50027556.239999995</x:v>
      </x:c>
      <x:c r="D1617" s="166" t="str">
        <x:v>POLÍGONO CAPITAL LTDA.</x:v>
      </x:c>
      <x:c r="E1617" s="166" t="str">
        <x:f>IFERROR(INDEX('Classif Gestoras'!$H$6:$H$462,MATCH(D1617,'Classif Gestoras'!$A$6:$A$462,0)),"Não classificada")</x:f>
        <x:v>Independente</x:v>
      </x:c>
      <x:c r="F1617" s="166" t="str">
        <x:v>BANCO DAYCOVAL S/A</x:v>
      </x:c>
      <x:c r="G1617" s="166" t="str">
        <x:v>BANCO DAYCOVAL S.A.</x:v>
      </x:c>
      <x:c r="H1617" s="166" t="str">
        <x:v>Outros</x:v>
      </x:c>
      <x:c r="I1617" s="166" t="str">
        <x:v>Multicarteira Outros</x:v>
      </x:c>
      <x:c r="J1617" s="166" t="str">
        <x:v>CI</x:v>
      </x:c>
      <x:c r="K1617" s="172" t="n">
        <x:v>2</x:v>
      </x:c>
      <x:c r="L1617" s="185" t="str">
        <x:v>Não classificado</x:v>
      </x:c>
    </x:row>
    <x:row r="1618">
      <x:c r="A1618" s="175" t="str">
        <x:v>21.254.441/0001-90</x:v>
      </x:c>
      <x:c r="B1618" s="166" t="str">
        <x:v>FUNDO DE INVESTIMENTO EM DIREITOS CREDITÓRIOS CAPITAL 5</x:v>
      </x:c>
      <x:c r="C1618" s="188" t="n">
        <x:v>50013719.1</x:v>
      </x:c>
      <x:c r="D1618" s="166" t="str">
        <x:v>KÖLI CAPITAL</x:v>
      </x:c>
      <x:c r="E1618" s="166" t="str">
        <x:f>IFERROR(INDEX('Classif Gestoras'!$H$6:$H$462,MATCH(D1618,'Classif Gestoras'!$A$6:$A$462,0)),"Não classificada")</x:f>
        <x:v>Independente</x:v>
      </x:c>
      <x:c r="F1618" s="166" t="str">
        <x:v>Singulare</x:v>
      </x:c>
      <x:c r="G1618" s="166" t="str">
        <x:v>QI CORRETORA DE TÍTULOS E VALORES MOBILIÁRIOS S.A.</x:v>
      </x:c>
      <x:c r="H1618" s="166" t="str">
        <x:v>Fomento Mercantil</x:v>
      </x:c>
      <x:c r="I1618" s="166" t="str">
        <x:v>Fomento Mercantil</x:v>
      </x:c>
      <x:c r="J1618" s="166" t="str">
        <x:v>CI</x:v>
      </x:c>
      <x:c r="K1618" s="172" t="n">
        <x:v>8</x:v>
      </x:c>
      <x:c r="L1618" s="185" t="str">
        <x:v>Não classificado</x:v>
      </x:c>
    </x:row>
    <x:row r="1619">
      <x:c r="A1619" s="175" t="str">
        <x:v>46.322.902/0001-45</x:v>
      </x:c>
      <x:c r="B1619" s="166" t="str">
        <x:v>BOCAINA VD FUNDO DE INVESTIMENTO EM DIREITOS CREDITÓRIOS DE RESPONSABILIDADE LIMITADA</x:v>
      </x:c>
      <x:c r="C1619" s="188" t="n">
        <x:v>49721323.36</x:v>
      </x:c>
      <x:c r="D1619" s="166" t="str">
        <x:v>Bocaina Capital</x:v>
      </x:c>
      <x:c r="E1619" s="166" t="str">
        <x:f>IFERROR(INDEX('Classif Gestoras'!$H$6:$H$462,MATCH(D1619,'Classif Gestoras'!$A$6:$A$462,0)),"Não classificada")</x:f>
        <x:v>Independente</x:v>
      </x:c>
      <x:c r="F1619" s="166" t="str">
        <x:v>BANCO DAYCOVAL S/A</x:v>
      </x:c>
      <x:c r="G1619" s="166" t="str">
        <x:v>BANCO DAYCOVAL S.A.</x:v>
      </x:c>
      <x:c r="H1619" s="166" t="str">
        <x:v>Outros</x:v>
      </x:c>
      <x:c r="I1619" s="166" t="str">
        <x:v>Multicarteira Outros</x:v>
      </x:c>
      <x:c r="J1619" s="166" t="str">
        <x:v>CI</x:v>
      </x:c>
      <x:c r="K1619" s="172" t="n">
        <x:v>1</x:v>
      </x:c>
      <x:c r="L1619" s="185" t="str">
        <x:v>Não classificado</x:v>
      </x:c>
    </x:row>
    <x:row r="1620">
      <x:c r="A1620" s="175" t="str">
        <x:v>45.899.745/0001-72</x:v>
      </x:c>
      <x:c r="B1620" s="166" t="str">
        <x:v>ID 112 FUNDO DE INVESTIMENTO EM DIREITOS CREDITÓRIOS NÃO-PADRONIZADOS</x:v>
      </x:c>
      <x:c r="C1620" s="188" t="n">
        <x:v>49645836.37</x:v>
      </x:c>
      <x:c r="D1620" s="166" t="str">
        <x:v>Bless Capital Gestora de Recursos Ltda.</x:v>
      </x:c>
      <x:c r="E1620" s="166" t="str">
        <x:f>IFERROR(INDEX('Classif Gestoras'!$H$6:$H$462,MATCH(D1620,'Classif Gestoras'!$A$6:$A$462,0)),"Não classificada")</x:f>
        <x:v>Independente</x:v>
      </x:c>
      <x:c r="F1620" s="166" t="str">
        <x:v>ID Corretora de Títulos e Valores Mobiliários S.A.</x:v>
      </x:c>
      <x:c r="G1620" s="166" t="str">
        <x:v>ID CORRETORA DE TITULOS E VALORES MOBILIARIOS S.A.</x:v>
      </x:c>
      <x:c r="H1620" s="166" t="str">
        <x:v>Outros</x:v>
      </x:c>
      <x:c r="I1620" s="166" t="str">
        <x:v>Multicarteira Outros</x:v>
      </x:c>
      <x:c r="J1620" s="166" t="str">
        <x:v>CI</x:v>
      </x:c>
      <x:c r="K1620" s="172" t="n">
        <x:v>3</x:v>
      </x:c>
      <x:c r="L1620" s="185" t="str">
        <x:v>Não classificado</x:v>
      </x:c>
    </x:row>
    <x:row r="1621">
      <x:c r="A1621" s="175" t="str">
        <x:v>47.227.461/0001-65</x:v>
      </x:c>
      <x:c r="B1621" s="166" t="str">
        <x:v>FUNDO DE INVESTIMENTO EM DIREITOS CREDITÓRIOS CV 01 RESPONSABILIDADE LIMITADA</x:v>
      </x:c>
      <x:c r="C1621" s="188" t="n">
        <x:v>49582230.02</x:v>
      </x:c>
      <x:c r="D1621" s="166" t="str">
        <x:v>Cultinvest Asset</x:v>
      </x:c>
      <x:c r="E1621" s="166" t="str">
        <x:f>IFERROR(INDEX('Classif Gestoras'!$H$6:$H$462,MATCH(D1621,'Classif Gestoras'!$A$6:$A$462,0)),"Não classificada")</x:f>
        <x:v>Independente</x:v>
      </x:c>
      <x:c r="F1621" s="166" t="str">
        <x:v>BANCO DAYCOVAL S/A</x:v>
      </x:c>
      <x:c r="G1621" s="166" t="str">
        <x:v>BANCO DAYCOVAL S.A.</x:v>
      </x:c>
      <x:c r="H1621" s="166" t="str">
        <x:v>Financeiro</x:v>
      </x:c>
      <x:c r="I1621" s="166" t="str">
        <x:v>Crédito Pessoal</x:v>
      </x:c>
      <x:c r="J1621" s="166" t="str">
        <x:v>CI</x:v>
      </x:c>
      <x:c r="K1621" s="172" t="n">
        <x:v>20</x:v>
      </x:c>
      <x:c r="L1621" s="185" t="str">
        <x:v>Não classificado</x:v>
      </x:c>
    </x:row>
    <x:row r="1622">
      <x:c r="A1622" s="175" t="str">
        <x:v>58.055.646/0001-56</x:v>
      </x:c>
      <x:c r="B1622" s="166" t="str">
        <x:v>ORUMAS I FUNDO DE INVESTIMENTO EM DIREITOS CREDITÓRIOS</x:v>
      </x:c>
      <x:c r="C1622" s="188" t="n">
        <x:v>49522019.5</x:v>
      </x:c>
      <x:c r="D1622" s="166" t="str">
        <x:v>SH Asset</x:v>
      </x:c>
      <x:c r="E1622" s="166" t="str">
        <x:f>IFERROR(INDEX('Classif Gestoras'!$H$6:$H$462,MATCH(D1622,'Classif Gestoras'!$A$6:$A$462,0)),"Não classificada")</x:f>
        <x:v>Independente</x:v>
      </x:c>
      <x:c r="F1622" s="166" t="str">
        <x:v>FIDD DISTRIBUIDORA DE TITULOS E VALORES MOBILIARIOS LTD</x:v>
      </x:c>
      <x:c r="G1622" s="166" t="str">
        <x:v>FIDD DISTRIBUIDORA DE TITULOS E VALORES MOBILIARIOS LTDA.</x:v>
      </x:c>
      <x:c r="H1622" s="166" t="str">
        <x:v>Financeiro</x:v>
      </x:c>
      <x:c r="I1622" s="166" t="str">
        <x:v>Multicarteira Financeiro</x:v>
      </x:c>
      <x:c r="J1622" s="166" t="str">
        <x:v>CI</x:v>
      </x:c>
      <x:c r="K1622" s="172" t="n">
        <x:v>5</x:v>
      </x:c>
      <x:c r="L1622" s="185" t="str">
        <x:v>Não classificado</x:v>
      </x:c>
    </x:row>
    <x:row r="1623">
      <x:c r="A1623" s="175" t="str">
        <x:v>26.913.809/0001-06</x:v>
      </x:c>
      <x:c r="B1623" s="166" t="str">
        <x:v>PROA FUNDO DE INVESTIMENTO EM DIREITOS CREDITÓRIOS MULTISSETORIAL</x:v>
      </x:c>
      <x:c r="C1623" s="188" t="n">
        <x:v>49382433.88</x:v>
      </x:c>
      <x:c r="D1623" s="166" t="str">
        <x:v>BURITI INVESTIMENTOS</x:v>
      </x:c>
      <x:c r="E1623" s="166" t="str">
        <x:f>IFERROR(INDEX('Classif Gestoras'!$H$6:$H$462,MATCH(D1623,'Classif Gestoras'!$A$6:$A$462,0)),"Não classificada")</x:f>
        <x:v>Independente</x:v>
      </x:c>
      <x:c r="F1623" s="166" t="str">
        <x:v>Singulare</x:v>
      </x:c>
      <x:c r="G1623" s="166" t="str">
        <x:v>QI CORRETORA DE TÍTULOS E VALORES MOBILIÁRIOS S.A.</x:v>
      </x:c>
      <x:c r="H1623" s="166" t="str">
        <x:v>Fomento Mercantil</x:v>
      </x:c>
      <x:c r="I1623" s="166" t="str">
        <x:v>Fomento Mercantil</x:v>
      </x:c>
      <x:c r="J1623" s="166" t="str">
        <x:v>CI</x:v>
      </x:c>
      <x:c r="K1623" s="172" t="n">
        <x:v>25</x:v>
      </x:c>
      <x:c r="L1623" s="185" t="str">
        <x:v>Não classificado</x:v>
      </x:c>
    </x:row>
    <x:row r="1624">
      <x:c r="A1624" s="175" t="str">
        <x:v>55.508.226/0001-90</x:v>
      </x:c>
      <x:c r="B1624" s="166" t="str">
        <x:v>THE ONE FUNDO DE INVESTIMENTO EM DIREITOS CREDITÓRIOS - RESPONSABILIDADE LIMITADA</x:v>
      </x:c>
      <x:c r="C1624" s="188" t="n">
        <x:v>49152319.96223</x:v>
      </x:c>
      <x:c r="D1624" s="166" t="str">
        <x:v>Brave Asset</x:v>
      </x:c>
      <x:c r="E1624" s="166" t="str">
        <x:f>IFERROR(INDEX('Classif Gestoras'!$H$6:$H$462,MATCH(D1624,'Classif Gestoras'!$A$6:$A$462,0)),"Não classificada")</x:f>
        <x:v>Independente</x:v>
      </x:c>
      <x:c r="F1624" s="166" t="str">
        <x:v>QI DISTRIBUIDORA DE TITULOS E VALORES MOBILIARIOS LTDA</x:v>
      </x:c>
      <x:c r="G1624" s="166" t="str">
        <x:v>QI CORRETORA DE TÍTULOS E VALORES MOBILIÁRIOS S.A.</x:v>
      </x:c>
      <x:c r="H1624" s="166" t="str">
        <x:v>Financeiro</x:v>
      </x:c>
      <x:c r="I1624" s="166" t="str">
        <x:v>Crédito Pessoal</x:v>
      </x:c>
      <x:c r="J1624" s="166" t="str">
        <x:v>CI</x:v>
      </x:c>
      <x:c r="K1624" s="172" t="n">
        <x:v>37</x:v>
      </x:c>
      <x:c r="L1624" s="185" t="str">
        <x:v>Não classificado</x:v>
      </x:c>
    </x:row>
    <x:row r="1625">
      <x:c r="A1625" s="175" t="str">
        <x:v>63.547.404/0001-10</x:v>
      </x:c>
      <x:c r="B1625" s="166" t="str">
        <x:v>FUNDO DE INVESTIMENTO EM DIREITOS CREDITÓRIOS VEXOR - RESPONSABILIDADE LIMITADA</x:v>
      </x:c>
      <x:c r="C1625" s="188" t="n">
        <x:v>48825160.05</x:v>
      </x:c>
      <x:c r="D1625" s="166" t="str">
        <x:v>Blue Solutions</x:v>
      </x:c>
      <x:c r="E1625" s="166" t="str">
        <x:f>IFERROR(INDEX('Classif Gestoras'!$H$6:$H$462,MATCH(D1625,'Classif Gestoras'!$A$6:$A$462,0)),"Não classificada")</x:f>
        <x:v>Independente</x:v>
      </x:c>
      <x:c r="F1625" s="166" t="str">
        <x:v>Banvox DTVM</x:v>
      </x:c>
      <x:c r="G1625" s="166" t="str">
        <x:v>BANVOX DISTRIBUIDORA DE TITULOS E VALORES MOBILIARIOS LTDA</x:v>
      </x:c>
      <x:c r="H1625" s="166" t="str">
        <x:v>Outros</x:v>
      </x:c>
      <x:c r="I1625" s="166" t="str">
        <x:v>Multicarteira Outros</x:v>
      </x:c>
      <x:c r="J1625" s="166" t="str">
        <x:v>CI</x:v>
      </x:c>
      <x:c r="K1625" s="172" t="n">
        <x:v>1</x:v>
      </x:c>
      <x:c r="L1625" s="185" t="str">
        <x:v>Não classificado</x:v>
      </x:c>
    </x:row>
    <x:row r="1626">
      <x:c r="A1626" s="175" t="str">
        <x:v>43.809.937/0001-15</x:v>
      </x:c>
      <x:c r="B1626" s="166" t="str">
        <x:v>AKRON FUNDO DE INVESTIMENTO EM DIREITOS CREDITÓRIOS NÃO- PADRONIZADOS RESPONSABILIDADE LIMITADA</x:v>
      </x:c>
      <x:c r="C1626" s="188" t="n">
        <x:v>48807381.21</x:v>
      </x:c>
      <x:c r="D1626" s="166" t="str">
        <x:v>LORINVEST GESTÃO DE RECURSOS LTDA</x:v>
      </x:c>
      <x:c r="E1626" s="166" t="str">
        <x:f>IFERROR(INDEX('Classif Gestoras'!$H$6:$H$462,MATCH(D1626,'Classif Gestoras'!$A$6:$A$462,0)),"Não classificada")</x:f>
        <x:v>Independente</x:v>
      </x:c>
      <x:c r="F1626" s="166" t="str">
        <x:v>BTG Pactual Servicos Financeiros S/A DTVM</x:v>
      </x:c>
      <x:c r="G1626" s="166" t="str">
        <x:v>BANCO BTG PACTUAL S/A</x:v>
      </x:c>
      <x:c r="H1626" s="166" t="str">
        <x:v>Outros</x:v>
      </x:c>
      <x:c r="I1626" s="166" t="str">
        <x:v>Multicarteira Outros</x:v>
      </x:c>
      <x:c r="J1626" s="166" t="str">
        <x:v>CI</x:v>
      </x:c>
      <x:c r="K1626" s="172" t="n">
        <x:v>1</x:v>
      </x:c>
      <x:c r="L1626" s="185" t="str">
        <x:v>Não classificado</x:v>
      </x:c>
    </x:row>
    <x:row r="1627">
      <x:c r="A1627" s="175" t="str">
        <x:v>62.088.020/0001-13</x:v>
      </x:c>
      <x:c r="B1627" s="166" t="str">
        <x:v>NEO SÃO RAFAEL FUNDO DE INVESTIMENTO EM DIREITOS CREDITÓRIOS - RESPONSABILIDADE LIMITADA</x:v>
      </x:c>
      <x:c r="C1627" s="188" t="n">
        <x:v>48718039.04</x:v>
      </x:c>
      <x:c r="D1627" s="166" t="str">
        <x:v>SPECIAL SITUATIONS NEO GESTAO DE RECURSOS LTDA</x:v>
      </x:c>
      <x:c r="E1627" s="166" t="str">
        <x:f>IFERROR(INDEX('Classif Gestoras'!$H$6:$H$462,MATCH(D1627,'Classif Gestoras'!$A$6:$A$462,0)),"Não classificada")</x:f>
        <x:v>Independente</x:v>
      </x:c>
      <x:c r="F1627" s="166" t="str">
        <x:v>BTG Pactual Servicos Financeiros S/A DTVM</x:v>
      </x:c>
      <x:c r="G1627" s="166" t="str">
        <x:v>BANCO BTG PACTUAL S/A</x:v>
      </x:c>
      <x:c r="H1627" s="166" t="str">
        <x:v>Outros</x:v>
      </x:c>
      <x:c r="I1627" s="166" t="str">
        <x:v>Poder Público</x:v>
      </x:c>
      <x:c r="J1627" s="166" t="str">
        <x:v>CI</x:v>
      </x:c>
      <x:c r="K1627" s="172" t="n">
        <x:v>3</x:v>
      </x:c>
      <x:c r="L1627" s="185" t="str">
        <x:v>Não classificado</x:v>
      </x:c>
    </x:row>
    <x:row r="1628">
      <x:c r="A1628" s="175" t="str">
        <x:v>30.868.828/0001-27</x:v>
      </x:c>
      <x:c r="B1628" s="166" t="str">
        <x:v>ARC CRÉDITO I FUNDO DE INVESTIMENTO EM DIREITOS CREDITÓRIOS</x:v>
      </x:c>
      <x:c r="C1628" s="188" t="n">
        <x:v>48658785.93</x:v>
      </x:c>
      <x:c r="D1628" s="166" t="str">
        <x:v>ARC Capital</x:v>
      </x:c>
      <x:c r="E1628" s="166" t="str">
        <x:f>IFERROR(INDEX('Classif Gestoras'!$H$6:$H$462,MATCH(D1628,'Classif Gestoras'!$A$6:$A$462,0)),"Não classificada")</x:f>
        <x:v>Independente</x:v>
      </x:c>
      <x:c r="F1628" s="166" t="str">
        <x:v>BANCO DAYCOVAL S/A</x:v>
      </x:c>
      <x:c r="G1628" s="166" t="str">
        <x:v>BANCO DAYCOVAL S.A.</x:v>
      </x:c>
      <x:c r="H1628" s="166" t="str">
        <x:v>Outros</x:v>
      </x:c>
      <x:c r="I1628" s="166" t="str">
        <x:v>Multicarteira Outros</x:v>
      </x:c>
      <x:c r="J1628" s="166" t="str">
        <x:v>CI</x:v>
      </x:c>
      <x:c r="K1628" s="172" t="n">
        <x:v>1</x:v>
      </x:c>
      <x:c r="L1628" s="185" t="str">
        <x:v>Não classificado</x:v>
      </x:c>
    </x:row>
    <x:row r="1629">
      <x:c r="A1629" s="175" t="str">
        <x:v>53.823.009/0001-69</x:v>
      </x:c>
      <x:c r="B1629" s="166" t="str">
        <x:v>POLO SPECIAL SITUATIONS VII FUNDO DE INVESTIMENTO EM DIREITOS CREDITÓRIOS - NÃO PADRONIZADO - RESPON</x:v>
      </x:c>
      <x:c r="C1629" s="188" t="n">
        <x:v>48627432.96</x:v>
      </x:c>
      <x:c r="D1629" s="166" t="str">
        <x:v>Polo Capital Gestão de Recurso</x:v>
      </x:c>
      <x:c r="E1629" s="166" t="str">
        <x:f>IFERROR(INDEX('Classif Gestoras'!$H$6:$H$462,MATCH(D1629,'Classif Gestoras'!$A$6:$A$462,0)),"Não classificada")</x:f>
        <x:v>Independente</x:v>
      </x:c>
      <x:c r="F1629" s="166" t="str">
        <x:v>Singulare</x:v>
      </x:c>
      <x:c r="G1629" s="166" t="str">
        <x:v>QI CORRETORA DE TÍTULOS E VALORES MOBILIÁRIOS S.A.</x:v>
      </x:c>
      <x:c r="H1629" s="166" t="str">
        <x:v>Outros</x:v>
      </x:c>
      <x:c r="I1629" s="166" t="str">
        <x:v>Multicarteira Outros</x:v>
      </x:c>
      <x:c r="J1629" s="166" t="str">
        <x:v>CI</x:v>
      </x:c>
      <x:c r="K1629" s="172" t="n">
        <x:v>2</x:v>
      </x:c>
      <x:c r="L1629" s="185" t="str">
        <x:v>Não classificado</x:v>
      </x:c>
    </x:row>
    <x:row r="1630">
      <x:c r="A1630" s="175" t="str">
        <x:v>63.894.672/0001-08</x:v>
      </x:c>
      <x:c r="B1630" s="166" t="str">
        <x:v>REVESTPAY FUNDO DE INVESTIMENTO EM DIREITOS CREDITÓRIOS RESPONSABILIDADE LIMITADA</x:v>
      </x:c>
      <x:c r="C1630" s="188" t="n">
        <x:v>48556506.95</x:v>
      </x:c>
      <x:c r="D1630" s="166" t="str">
        <x:v>PATAGÔNIA CAPITAL</x:v>
      </x:c>
      <x:c r="E1630" s="166" t="str">
        <x:f>IFERROR(INDEX('Classif Gestoras'!$H$6:$H$462,MATCH(D1630,'Classif Gestoras'!$A$6:$A$462,0)),"Não classificada")</x:f>
        <x:v>Independente</x:v>
      </x:c>
      <x:c r="F1630" s="166" t="str">
        <x:v>ID Corretora de Títulos e Valores Mobiliários S.A.</x:v>
      </x:c>
      <x:c r="G1630" s="166" t="str">
        <x:v>ID CORRETORA DE TITULOS E VALORES MOBILIARIOS S.A.</x:v>
      </x:c>
      <x:c r="H1630" s="166" t="str">
        <x:v>Outros</x:v>
      </x:c>
      <x:c r="I1630" s="166" t="str">
        <x:v>Multicarteira Outros</x:v>
      </x:c>
      <x:c r="J1630" s="166" t="str">
        <x:v>CI</x:v>
      </x:c>
      <x:c r="K1630" s="172" t="n">
        <x:v>1</x:v>
      </x:c>
      <x:c r="L1630" s="185" t="str">
        <x:v>Não classificado</x:v>
      </x:c>
    </x:row>
    <x:row r="1631">
      <x:c r="A1631" s="175" t="str">
        <x:v>45.899.460/0001-31</x:v>
      </x:c>
      <x:c r="B1631" s="166" t="str">
        <x:v>VOLUS FUNDO DE INVESTIMENTO EM DIREITOS CREDITÓRIOS NÃO-PADRONIZADOS RESPONSABILIDADE LIMITADA</x:v>
      </x:c>
      <x:c r="C1631" s="188" t="n">
        <x:v>48164560.57000001</x:v>
      </x:c>
      <x:c r="D1631" s="166" t="str">
        <x:v>Bless Capital Gestora de Recursos Ltda.</x:v>
      </x:c>
      <x:c r="E1631" s="166" t="str">
        <x:f>IFERROR(INDEX('Classif Gestoras'!$H$6:$H$462,MATCH(D1631,'Classif Gestoras'!$A$6:$A$462,0)),"Não classificada")</x:f>
        <x:v>Independente</x:v>
      </x:c>
      <x:c r="F1631" s="166" t="str">
        <x:v>ID Corretora de Títulos e Valores Mobiliários S.A.</x:v>
      </x:c>
      <x:c r="G1631" s="166" t="str">
        <x:v>ID CORRETORA DE TITULOS E VALORES MOBILIARIOS S.A.</x:v>
      </x:c>
      <x:c r="H1631" s="166" t="str">
        <x:v>Outros</x:v>
      </x:c>
      <x:c r="I1631" s="166" t="str">
        <x:v>Multicarteira Outros</x:v>
      </x:c>
      <x:c r="J1631" s="166" t="str">
        <x:v>CI</x:v>
      </x:c>
      <x:c r="K1631" s="172" t="n">
        <x:v>12</x:v>
      </x:c>
      <x:c r="L1631" s="185" t="str">
        <x:v>Não classificado</x:v>
      </x:c>
    </x:row>
    <x:row r="1632">
      <x:c r="A1632" s="175" t="str">
        <x:v>35.179.032/0001-80</x:v>
      </x:c>
      <x:c r="B1632" s="166" t="str">
        <x:v>SEQUOIA CAPITAL FUNDO DE INVESTIMENTO EM DIREITOS CREDITORIOS</x:v>
      </x:c>
      <x:c r="C1632" s="188" t="n">
        <x:v>48155364.7</x:v>
      </x:c>
      <x:c r="D1632" s="166" t="str">
        <x:v>TRUSTEE DTVM</x:v>
      </x:c>
      <x:c r="E1632" s="166" t="str">
        <x:f>IFERROR(INDEX('Classif Gestoras'!$H$6:$H$462,MATCH(D1632,'Classif Gestoras'!$A$6:$A$462,0)),"Não classificada")</x:f>
        <x:v>Independente</x:v>
      </x:c>
      <x:c r="F1632" s="166" t="str">
        <x:v>TRUSTEE DTVM</x:v>
      </x:c>
      <x:c r="G1632" s="166" t="str">
        <x:v>TRUSTEE DISTRIBUIDORA DE TITULOS E VALORES MOBILIARIOS LTDA.</x:v>
      </x:c>
      <x:c r="H1632" s="166" t="str">
        <x:v>Outros</x:v>
      </x:c>
      <x:c r="I1632" s="166" t="str">
        <x:v>Multicarteira Outros</x:v>
      </x:c>
      <x:c r="J1632" s="166" t="str">
        <x:v>CI</x:v>
      </x:c>
      <x:c r="K1632" s="172" t="n">
        <x:v>1</x:v>
      </x:c>
      <x:c r="L1632" s="185" t="str">
        <x:v>Não classificado</x:v>
      </x:c>
    </x:row>
    <x:row r="1633">
      <x:c r="A1633" s="175" t="str">
        <x:v>65.084.272/0001-62</x:v>
      </x:c>
      <x:c r="B1633" s="166" t="str">
        <x:v>KINEA SPECIAL OPPORTUNITIES FUNDO DE INVESTIMENTO EM DIREITOS CREDITÓRIOS RESPONSABILIDADE LIMITADA</x:v>
      </x:c>
      <x:c r="C1633" s="188" t="n">
        <x:v>48116295.83</x:v>
      </x:c>
      <x:c r="D1633" s="166" t="str">
        <x:v>KINEA INVESTIMENTOS</x:v>
      </x:c>
      <x:c r="E1633" s="166" t="str">
        <x:f>IFERROR(INDEX('Classif Gestoras'!$H$6:$H$462,MATCH(D1633,'Classif Gestoras'!$A$6:$A$462,0)),"Não classificada")</x:f>
        <x:v>Ligada a banco</x:v>
      </x:c>
      <x:c r="F1633" s="166" t="str">
        <x:v>INTRAG DIST. DE TÍTU</x:v>
      </x:c>
      <x:c r="G1633" s="166" t="str">
        <x:v>ITAU UNIBANCO S.A.</x:v>
      </x:c>
      <x:c r="H1633" s="166" t="str">
        <x:v>Outros</x:v>
      </x:c>
      <x:c r="I1633" s="166" t="str">
        <x:v>Multicarteira Outros</x:v>
      </x:c>
      <x:c r="J1633" s="166" t="str">
        <x:v>CI</x:v>
      </x:c>
      <x:c r="K1633" s="172" t="n">
        <x:v>1</x:v>
      </x:c>
      <x:c r="L1633" s="185" t="str">
        <x:v>Não classificado</x:v>
      </x:c>
    </x:row>
    <x:row r="1634">
      <x:c r="A1634" s="175" t="str">
        <x:v>41.184.889/0001-91</x:v>
      </x:c>
      <x:c r="B1634" s="166" t="str">
        <x:v>GREENBUSH FUNDO DE INVESTIMENTO EM DIREITOS CREDITÓRIOS</x:v>
      </x:c>
      <x:c r="C1634" s="188" t="n">
        <x:v>47870025.330000006</x:v>
      </x:c>
      <x:c r="D1634" s="166" t="str">
        <x:v>BTG Pactual Asset</x:v>
      </x:c>
      <x:c r="E1634" s="166" t="str">
        <x:f>IFERROR(INDEX('Classif Gestoras'!$H$6:$H$462,MATCH(D1634,'Classif Gestoras'!$A$6:$A$462,0)),"Não classificada")</x:f>
        <x:v>Ligada a banco</x:v>
      </x:c>
      <x:c r="F1634" s="166" t="str">
        <x:v>BTG Pactual Servicos Financeiros S/A DTVM</x:v>
      </x:c>
      <x:c r="G1634" s="166" t="str">
        <x:v>BANCO BTG PACTUAL S/A</x:v>
      </x:c>
      <x:c r="H1634" s="166" t="str">
        <x:v>Outros</x:v>
      </x:c>
      <x:c r="I1634" s="166" t="str">
        <x:v>Multicarteira Outros</x:v>
      </x:c>
      <x:c r="J1634" s="166" t="str">
        <x:v>CI</x:v>
      </x:c>
      <x:c r="K1634" s="172" t="n">
        <x:v>1</x:v>
      </x:c>
      <x:c r="L1634" s="185" t="str">
        <x:v>Não classificado</x:v>
      </x:c>
    </x:row>
    <x:row r="1635">
      <x:c r="A1635" s="175" t="str">
        <x:v>34.475.959/0001-03</x:v>
      </x:c>
      <x:c r="B1635" s="166" t="str">
        <x:v>PACIFIC FUNDO DE INVESTIMENTO EM DIREITOS CREDITÓRIOS - RESPONSABILIDADE LIMITADA</x:v>
      </x:c>
      <x:c r="C1635" s="188" t="n">
        <x:v>47849794.76999998</x:v>
      </x:c>
      <x:c r="D1635" s="166" t="str">
        <x:v>Blue Solutions</x:v>
      </x:c>
      <x:c r="E1635" s="166" t="str">
        <x:f>IFERROR(INDEX('Classif Gestoras'!$H$6:$H$462,MATCH(D1635,'Classif Gestoras'!$A$6:$A$462,0)),"Não classificada")</x:f>
        <x:v>Independente</x:v>
      </x:c>
      <x:c r="F1635" s="166" t="str">
        <x:v>Banvox DTVM</x:v>
      </x:c>
      <x:c r="G1635" s="166" t="str">
        <x:v>VORTX DISTRIBUIDORA DE TITULOS E VALORES MOBILIARIOS LTDA.</x:v>
      </x:c>
      <x:c r="H1635" s="166" t="str">
        <x:v>Financeiro</x:v>
      </x:c>
      <x:c r="I1635" s="166" t="str">
        <x:v>Multicarteira Financeiro</x:v>
      </x:c>
      <x:c r="J1635" s="166" t="str">
        <x:v>CI</x:v>
      </x:c>
      <x:c r="K1635" s="172" t="n">
        <x:v>99</x:v>
      </x:c>
      <x:c r="L1635" s="185" t="str">
        <x:v>Não classificado</x:v>
      </x:c>
    </x:row>
    <x:row r="1636">
      <x:c r="A1636" s="175" t="str">
        <x:v>47.847.076/0001-10</x:v>
      </x:c>
      <x:c r="B1636" s="166" t="str">
        <x:v>IGNIS CAPITAL FUNDO DE INVESTIMENTO EM DIREITOS CREDITÓRIOS</x:v>
      </x:c>
      <x:c r="C1636" s="188" t="n">
        <x:v>47713034.99</x:v>
      </x:c>
      <x:c r="D1636" s="166" t="str">
        <x:v>TERCON ASSET MANAGEMENT</x:v>
      </x:c>
      <x:c r="E1636" s="166" t="str">
        <x:f>IFERROR(INDEX('Classif Gestoras'!$H$6:$H$462,MATCH(D1636,'Classif Gestoras'!$A$6:$A$462,0)),"Não classificada")</x:f>
        <x:v>Independente</x:v>
      </x:c>
      <x:c r="F1636" s="166" t="str">
        <x:v>Singulare</x:v>
      </x:c>
      <x:c r="G1636" s="166" t="str">
        <x:v>QI CORRETORA DE TÍTULOS E VALORES MOBILIÁRIOS S.A.</x:v>
      </x:c>
      <x:c r="H1636" s="166" t="str">
        <x:v>Agro, Indústria e Comércio</x:v>
      </x:c>
      <x:c r="I1636" s="166" t="str">
        <x:v>Multicarteira Agro, Indústria e Comércio</x:v>
      </x:c>
      <x:c r="J1636" s="166" t="str">
        <x:v>CI</x:v>
      </x:c>
      <x:c r="K1636" s="172" t="n">
        <x:v>18</x:v>
      </x:c>
      <x:c r="L1636" s="185" t="str">
        <x:v>Não classificado</x:v>
      </x:c>
    </x:row>
    <x:row r="1637">
      <x:c r="A1637" s="175" t="str">
        <x:v>29.800.237/0001-39</x:v>
      </x:c>
      <x:c r="B1637" s="166" t="str">
        <x:v>ROOT GENERAL FUNDO DE INVESTIMENTO EM DIREITOS CREDITÓRIOS</x:v>
      </x:c>
      <x:c r="C1637" s="188" t="n">
        <x:v>47711736.71</x:v>
      </x:c>
      <x:c r="D1637" s="166" t="str">
        <x:v>ROOT CAPITAL</x:v>
      </x:c>
      <x:c r="E1637" s="166" t="str">
        <x:f>IFERROR(INDEX('Classif Gestoras'!$H$6:$H$462,MATCH(D1637,'Classif Gestoras'!$A$6:$A$462,0)),"Não classificada")</x:f>
        <x:v>Independente</x:v>
      </x:c>
      <x:c r="F1637" s="166" t="str">
        <x:v>BNY MELLON SERVICOS</x:v>
      </x:c>
      <x:c r="G1637" s="166" t="str">
        <x:v>BNY MELLON BANCO S.A.</x:v>
      </x:c>
      <x:c r="H1637" s="166" t="str">
        <x:v>Outros</x:v>
      </x:c>
      <x:c r="I1637" s="166" t="str">
        <x:v>Recuperação</x:v>
      </x:c>
      <x:c r="J1637" s="166" t="str">
        <x:v>CI</x:v>
      </x:c>
      <x:c r="K1637" s="172" t="n">
        <x:v>1</x:v>
      </x:c>
      <x:c r="L1637" s="185" t="str">
        <x:v>Não classificado</x:v>
      </x:c>
    </x:row>
    <x:row r="1638">
      <x:c r="A1638" s="175" t="str">
        <x:v>49.508.860/0001-20</x:v>
      </x:c>
      <x:c r="B1638" s="166" t="str">
        <x:v>LAVORO MULTICRÉDITO II FUNDO DE INVESTIMENTO EM DIREITOS CREDITÓRIOS MULTISEGMENTOS</x:v>
      </x:c>
      <x:c r="C1638" s="188" t="n">
        <x:v>47708505.400000006</x:v>
      </x:c>
      <x:c r="D1638" s="166" t="str">
        <x:v>TERCON ASSET MANAGEMENT</x:v>
      </x:c>
      <x:c r="E1638" s="166" t="str">
        <x:f>IFERROR(INDEX('Classif Gestoras'!$H$6:$H$462,MATCH(D1638,'Classif Gestoras'!$A$6:$A$462,0)),"Não classificada")</x:f>
        <x:v>Independente</x:v>
      </x:c>
      <x:c r="F1638" s="166" t="str">
        <x:v>Finaxis Corretora de Títulos e Valores Mobiliários S.A.</x:v>
      </x:c>
      <x:c r="G1638" s="166" t="str">
        <x:v>HEMERA DISTRIBUIDORA DE TITULOS E VALORES MOBILIARIOS LTDA</x:v>
      </x:c>
      <x:c r="H1638" s="166" t="str">
        <x:v>Fomento Mercantil</x:v>
      </x:c>
      <x:c r="I1638" s="166" t="str">
        <x:v>Fomento Mercantil</x:v>
      </x:c>
      <x:c r="J1638" s="166" t="str">
        <x:v>CI</x:v>
      </x:c>
      <x:c r="K1638" s="172" t="n">
        <x:v>18</x:v>
      </x:c>
      <x:c r="L1638" s="185" t="str">
        <x:v>Não classificado</x:v>
      </x:c>
    </x:row>
    <x:row r="1639">
      <x:c r="A1639" s="175" t="str">
        <x:v>59.056.669/0001-48</x:v>
      </x:c>
      <x:c r="B1639" s="166" t="str">
        <x:v>BLUECAPITAL FUNDO DE INVESTIMENTO EM DIREITOS CREDITÓRIOS DE RESPONSABILIDADE LIMITADA</x:v>
      </x:c>
      <x:c r="C1639" s="188" t="n">
        <x:v>47673946.82</x:v>
      </x:c>
      <x:c r="D1639" s="166" t="str">
        <x:v>DAYCOVAL ASSET MANAG</x:v>
      </x:c>
      <x:c r="E1639" s="166" t="str">
        <x:f>IFERROR(INDEX('Classif Gestoras'!$H$6:$H$462,MATCH(D1639,'Classif Gestoras'!$A$6:$A$462,0)),"Não classificada")</x:f>
        <x:v>Ligada a banco</x:v>
      </x:c>
      <x:c r="F1639" s="166" t="str">
        <x:v>BANCO DAYCOVAL S/A</x:v>
      </x:c>
      <x:c r="G1639" s="166" t="str">
        <x:v>BANCO DAYCOVAL S.A.</x:v>
      </x:c>
      <x:c r="H1639" s="166" t="str">
        <x:v>Agro, Indústria e Comércio</x:v>
      </x:c>
      <x:c r="I1639" s="166" t="str">
        <x:v>Multicarteira Agro, Indústria e Comércio</x:v>
      </x:c>
      <x:c r="J1639" s="166" t="str">
        <x:v>CI</x:v>
      </x:c>
      <x:c r="K1639" s="172" t="n">
        <x:v>5</x:v>
      </x:c>
      <x:c r="L1639" s="185" t="str">
        <x:v>Não classificado</x:v>
      </x:c>
    </x:row>
    <x:row r="1640">
      <x:c r="A1640" s="175" t="str">
        <x:v>29.109.383/0001-12</x:v>
      </x:c>
      <x:c r="B1640" s="166" t="str">
        <x:v>CAPITAL FINANÇAS FUNDO DE INVESTIMENTO EM DIREITOS CREDITORIOS MULTISSETORIAL</x:v>
      </x:c>
      <x:c r="C1640" s="188" t="n">
        <x:v>47636777.78</x:v>
      </x:c>
      <x:c r="D1640" s="166" t="str">
        <x:v>TERCON ASSET MANAGEMENT</x:v>
      </x:c>
      <x:c r="E1640" s="166" t="str">
        <x:f>IFERROR(INDEX('Classif Gestoras'!$H$6:$H$462,MATCH(D1640,'Classif Gestoras'!$A$6:$A$462,0)),"Não classificada")</x:f>
        <x:v>Independente</x:v>
      </x:c>
      <x:c r="F1640" s="166" t="str">
        <x:v>Singulare</x:v>
      </x:c>
      <x:c r="G1640" s="166" t="str">
        <x:v>QI CORRETORA DE TÍTULOS E VALORES MOBILIÁRIOS S.A.</x:v>
      </x:c>
      <x:c r="H1640" s="166" t="str">
        <x:v>Fomento Mercantil</x:v>
      </x:c>
      <x:c r="I1640" s="166" t="str">
        <x:v>Fomento Mercantil</x:v>
      </x:c>
      <x:c r="J1640" s="166" t="str">
        <x:v>CI</x:v>
      </x:c>
      <x:c r="K1640" s="172" t="n">
        <x:v>26</x:v>
      </x:c>
      <x:c r="L1640" s="185" t="str">
        <x:v>Não classificado</x:v>
      </x:c>
    </x:row>
    <x:row r="1641">
      <x:c r="A1641" s="175" t="str">
        <x:v>36.741.161/0001-83</x:v>
      </x:c>
      <x:c r="B1641" s="166" t="str">
        <x:v>NANBAN FUNDO DE INVESTIMENTO EM DIREITOS CREDITÓRIOS NÃO PADRONIZADOS RESPONSABILIDADE LIMITADA</x:v>
      </x:c>
      <x:c r="C1641" s="188" t="n">
        <x:v>47583050.419999994</x:v>
      </x:c>
      <x:c r="D1641" s="166" t="str">
        <x:v>GESTORA DE RECURSOS ID - GRID LTDA.</x:v>
      </x:c>
      <x:c r="E1641" s="166" t="str">
        <x:f>IFERROR(INDEX('Classif Gestoras'!$H$6:$H$462,MATCH(D1641,'Classif Gestoras'!$A$6:$A$462,0)),"Não classificada")</x:f>
        <x:v>Independente</x:v>
      </x:c>
      <x:c r="F1641" s="166" t="str">
        <x:v>ID Corretora de Títulos e Valores Mobiliários S.A.</x:v>
      </x:c>
      <x:c r="G1641" s="166" t="str">
        <x:v>ID CORRETORA DE TITULOS E VALORES MOBILIARIOS S.A.</x:v>
      </x:c>
      <x:c r="H1641" s="166" t="str">
        <x:v>Outros</x:v>
      </x:c>
      <x:c r="I1641" s="166" t="str">
        <x:v>Multicarteira Outros</x:v>
      </x:c>
      <x:c r="J1641" s="166" t="str">
        <x:v>CI</x:v>
      </x:c>
      <x:c r="K1641" s="172" t="n">
        <x:v>1</x:v>
      </x:c>
      <x:c r="L1641" s="185" t="str">
        <x:v>Não classificado</x:v>
      </x:c>
    </x:row>
    <x:row r="1642">
      <x:c r="A1642" s="175" t="str">
        <x:v>57.333.077/0001-09</x:v>
      </x:c>
      <x:c r="B1642" s="166" t="str">
        <x:v>STORRBERG FUNDO DE INVESTIMENTO EM DIREITOS CREDITÓRIOS DE RESPONSABILIDADE LIMITADA</x:v>
      </x:c>
      <x:c r="C1642" s="188" t="n">
        <x:v>47532324.03</x:v>
      </x:c>
      <x:c r="D1642" s="166" t="str">
        <x:v>Brave Asset</x:v>
      </x:c>
      <x:c r="E1642" s="166" t="str">
        <x:f>IFERROR(INDEX('Classif Gestoras'!$H$6:$H$462,MATCH(D1642,'Classif Gestoras'!$A$6:$A$462,0)),"Não classificada")</x:f>
        <x:v>Independente</x:v>
      </x:c>
      <x:c r="F1642" s="166" t="str">
        <x:v>BANCO DAYCOVAL S/A</x:v>
      </x:c>
      <x:c r="G1642" s="166" t="str">
        <x:v>BANCO DAYCOVAL S.A.</x:v>
      </x:c>
      <x:c r="H1642" s="166" t="str">
        <x:v>Financeiro</x:v>
      </x:c>
      <x:c r="I1642" s="166" t="str">
        <x:v>Multicarteira Financeiro</x:v>
      </x:c>
      <x:c r="J1642" s="166" t="str">
        <x:v>CI</x:v>
      </x:c>
      <x:c r="K1642" s="172" t="n">
        <x:v>9</x:v>
      </x:c>
      <x:c r="L1642" s="185" t="str">
        <x:v>Não classificado</x:v>
      </x:c>
    </x:row>
    <x:row r="1643">
      <x:c r="A1643" s="175" t="str">
        <x:v>57.752.597/0001-48</x:v>
      </x:c>
      <x:c r="B1643" s="166" t="str">
        <x:v>AGROMERCANTIL CRÉDITO AGRO FUNDO DE INVESTIMENTO EM DIREITOS CREDITÓRIOS - RESPONSABILIDADE LIMITADA</x:v>
      </x:c>
      <x:c r="C1643" s="188" t="n">
        <x:v>47513015.75</x:v>
      </x:c>
      <x:c r="D1643" s="166" t="str">
        <x:v>ORIZ ASSET MANAGEMENT LTDA.</x:v>
      </x:c>
      <x:c r="E1643" s="166" t="str">
        <x:f>IFERROR(INDEX('Classif Gestoras'!$H$6:$H$462,MATCH(D1643,'Classif Gestoras'!$A$6:$A$462,0)),"Não classificada")</x:f>
        <x:v>Independente</x:v>
      </x:c>
      <x:c r="F1643" s="166" t="str">
        <x:v>Limine Trust Distribuidora de Titulos e Valores Mobiliá</x:v>
      </x:c>
      <x:c r="G1643" s="166" t="str">
        <x:v>LIMINE TRUST DISTRIBUIDORA DE TITULOS E VALORES MOBILIARIOS LTDA.</x:v>
      </x:c>
      <x:c r="H1643" s="166" t="str">
        <x:v>Agro, Indústria e Comércio</x:v>
      </x:c>
      <x:c r="I1643" s="166" t="str">
        <x:v>Multicarteira Agro, Indústria e Comércio</x:v>
      </x:c>
      <x:c r="J1643" s="166" t="str">
        <x:v>CI</x:v>
      </x:c>
      <x:c r="K1643" s="172" t="n">
        <x:v>5</x:v>
      </x:c>
      <x:c r="L1643" s="185" t="str">
        <x:v>Não classificado</x:v>
      </x:c>
    </x:row>
    <x:row r="1644">
      <x:c r="A1644" s="175" t="str">
        <x:v>62.390.047/0001-66</x:v>
      </x:c>
      <x:c r="B1644" s="166" t="str">
        <x:v>GROW FUNDO DE INVESTIMENTO EM DIREITOS CREDITÓRIOS</x:v>
      </x:c>
      <x:c r="C1644" s="188" t="n">
        <x:v>47460821.52</x:v>
      </x:c>
      <x:c r="D1644" s="166" t="str">
        <x:v>Catálise Investimentos</x:v>
      </x:c>
      <x:c r="E1644" s="166" t="str">
        <x:f>IFERROR(INDEX('Classif Gestoras'!$H$6:$H$462,MATCH(D1644,'Classif Gestoras'!$A$6:$A$462,0)),"Não classificada")</x:f>
        <x:v>Independente</x:v>
      </x:c>
      <x:c r="F1644" s="166" t="str">
        <x:v>CATÁLISE DTVM</x:v>
      </x:c>
      <x:c r="G1644" s="166" t="str">
        <x:v>BANCO DAYCOVAL S.A.</x:v>
      </x:c>
      <x:c r="H1644" s="166" t="str">
        <x:v>Agro, Indústria e Comércio</x:v>
      </x:c>
      <x:c r="I1644" s="166" t="str">
        <x:v>Recebíveis Comerciais</x:v>
      </x:c>
      <x:c r="J1644" s="166" t="str">
        <x:v>CI</x:v>
      </x:c>
      <x:c r="K1644" s="172" t="n">
        <x:v>1</x:v>
      </x:c>
      <x:c r="L1644" s="185" t="str">
        <x:v>Não classificado</x:v>
      </x:c>
    </x:row>
    <x:row r="1645">
      <x:c r="A1645" s="175" t="str">
        <x:v>36.399.603/0001-55</x:v>
      </x:c>
      <x:c r="B1645" s="166" t="str">
        <x:v>GREENWOOD FUNDO DE INVESTIMENTO EM DIREITOS CREDITÓRIOS NÃO PADRONIZADOS</x:v>
      </x:c>
      <x:c r="C1645" s="188" t="n">
        <x:v>47427902.25000001</x:v>
      </x:c>
      <x:c r="D1645" s="166" t="str">
        <x:v>Catálise Investimentos</x:v>
      </x:c>
      <x:c r="E1645" s="166" t="str">
        <x:f>IFERROR(INDEX('Classif Gestoras'!$H$6:$H$462,MATCH(D1645,'Classif Gestoras'!$A$6:$A$462,0)),"Não classificada")</x:f>
        <x:v>Independente</x:v>
      </x:c>
      <x:c r="F1645" s="166" t="str">
        <x:v>CATÁLISE DTVM</x:v>
      </x:c>
      <x:c r="G1645" s="166" t="str">
        <x:v>BANCO DAYCOVAL S.A.</x:v>
      </x:c>
      <x:c r="H1645" s="166" t="str">
        <x:v>Agro, Indústria e Comércio</x:v>
      </x:c>
      <x:c r="I1645" s="166" t="str">
        <x:v>Recebíveis Comerciais</x:v>
      </x:c>
      <x:c r="J1645" s="166" t="str">
        <x:v>CI</x:v>
      </x:c>
      <x:c r="K1645" s="172" t="n">
        <x:v>1</x:v>
      </x:c>
      <x:c r="L1645" s="185" t="str">
        <x:v>Não classificado</x:v>
      </x:c>
    </x:row>
    <x:row r="1646">
      <x:c r="A1646" s="175" t="str">
        <x:v>51.027.087/0001-21</x:v>
      </x:c>
      <x:c r="B1646" s="166" t="str">
        <x:v>NAVESA FUNDO DE INVESTIMENTO EM DIREITOS CREDITÓRIOS</x:v>
      </x:c>
      <x:c r="C1646" s="188" t="n">
        <x:v>47296327.1</x:v>
      </x:c>
      <x:c r="D1646" s="166" t="str">
        <x:v>CPV ASSET</x:v>
      </x:c>
      <x:c r="E1646" s="166" t="str">
        <x:f>IFERROR(INDEX('Classif Gestoras'!$H$6:$H$462,MATCH(D1646,'Classif Gestoras'!$A$6:$A$462,0)),"Não classificada")</x:f>
        <x:v>Independente</x:v>
      </x:c>
      <x:c r="F1646" s="166" t="str">
        <x:v>Singulare</x:v>
      </x:c>
      <x:c r="G1646" s="166" t="str">
        <x:v>QI CORRETORA DE TÍTULOS E VALORES MOBILIÁRIOS S.A.</x:v>
      </x:c>
      <x:c r="H1646" s="166" t="str">
        <x:v>Outros</x:v>
      </x:c>
      <x:c r="I1646" s="166" t="str">
        <x:v>Multicarteira Outros</x:v>
      </x:c>
      <x:c r="J1646" s="166" t="str">
        <x:v>CI</x:v>
      </x:c>
      <x:c r="K1646" s="172" t="n">
        <x:v>14</x:v>
      </x:c>
      <x:c r="L1646" s="185" t="str">
        <x:v>Não classificado</x:v>
      </x:c>
    </x:row>
    <x:row r="1647">
      <x:c r="A1647" s="175" t="str">
        <x:v>24.774.059/0001-03</x:v>
      </x:c>
      <x:c r="B1647" s="166" t="str">
        <x:v>PROSPER FUNDO DE INVESTIMENTO EM DIREITOS CREDITÓRIOS</x:v>
      </x:c>
      <x:c r="C1647" s="188" t="n">
        <x:v>47283674.24</x:v>
      </x:c>
      <x:c r="D1647" s="166" t="str">
        <x:v>Libertas Asset</x:v>
      </x:c>
      <x:c r="E1647" s="166" t="str">
        <x:f>IFERROR(INDEX('Classif Gestoras'!$H$6:$H$462,MATCH(D1647,'Classif Gestoras'!$A$6:$A$462,0)),"Não classificada")</x:f>
        <x:v>Independente</x:v>
      </x:c>
      <x:c r="F1647" s="166" t="str">
        <x:v>ACTUAL DTVM</x:v>
      </x:c>
      <x:c r="G1647" s="166" t="str">
        <x:v>TRUSTEE DISTRIBUIDORA DE TITULOS E VALORES MOBILIARIOS LTDA.</x:v>
      </x:c>
      <x:c r="H1647" s="166" t="str">
        <x:v>Fomento Mercantil</x:v>
      </x:c>
      <x:c r="I1647" s="166" t="str">
        <x:v>Fomento Mercantil</x:v>
      </x:c>
      <x:c r="J1647" s="166" t="str">
        <x:v>CI</x:v>
      </x:c>
      <x:c r="K1647" s="172" t="n">
        <x:v>1</x:v>
      </x:c>
      <x:c r="L1647" s="185" t="str">
        <x:v>Não classificado</x:v>
      </x:c>
    </x:row>
    <x:row r="1648">
      <x:c r="A1648" s="175" t="str">
        <x:v>59.092.306/0001-68</x:v>
      </x:c>
      <x:c r="B1648" s="166" t="str">
        <x:v>AMYX FUNDO DE INVESTIMENTO EM DIREITOS CREDITÓRIOS</x:v>
      </x:c>
      <x:c r="C1648" s="188" t="n">
        <x:v>47216430.530000016</x:v>
      </x:c>
      <x:c r="D1648" s="166" t="str">
        <x:v>Menestys</x:v>
      </x:c>
      <x:c r="E1648" s="166" t="str">
        <x:f>IFERROR(INDEX('Classif Gestoras'!$H$6:$H$462,MATCH(D1648,'Classif Gestoras'!$A$6:$A$462,0)),"Não classificada")</x:f>
        <x:v>Independente</x:v>
      </x:c>
      <x:c r="F1648" s="166" t="str">
        <x:v>Oliveira Trust DTVM</x:v>
      </x:c>
      <x:c r="G1648" s="166" t="str">
        <x:v>OLIVEIRA TRUST DTVM S.A.</x:v>
      </x:c>
      <x:c r="H1648" s="166" t="str">
        <x:v>Fomento Mercantil</x:v>
      </x:c>
      <x:c r="I1648" s="166" t="str">
        <x:v>Fomento Mercantil</x:v>
      </x:c>
      <x:c r="J1648" s="166" t="str">
        <x:v>CI</x:v>
      </x:c>
      <x:c r="K1648" s="172" t="n">
        <x:v>1</x:v>
      </x:c>
      <x:c r="L1648" s="185" t="str">
        <x:v>Não classificado</x:v>
      </x:c>
    </x:row>
    <x:row r="1649">
      <x:c r="A1649" s="175" t="str">
        <x:v>58.458.737/0001-32</x:v>
      </x:c>
      <x:c r="B1649" s="166" t="str">
        <x:v>FUNDO DE INVESTIMENTO EM DIREITOS CREDITÓRIOS PEGCARD DE RESPONSABILIDADE LIMITADA</x:v>
      </x:c>
      <x:c r="C1649" s="188" t="n">
        <x:v>47170054.49</x:v>
      </x:c>
      <x:c r="D1649" s="166" t="str">
        <x:v>Iron Capital</x:v>
      </x:c>
      <x:c r="E1649" s="166" t="str">
        <x:f>IFERROR(INDEX('Classif Gestoras'!$H$6:$H$462,MATCH(D1649,'Classif Gestoras'!$A$6:$A$462,0)),"Não classificada")</x:f>
        <x:v>Independente</x:v>
      </x:c>
      <x:c r="F1649" s="166" t="str">
        <x:v>VÓRTX DTVM</x:v>
      </x:c>
      <x:c r="G1649" s="166" t="str">
        <x:v>VORTX DISTRIBUIDORA DE TITULOS E VALORES MOBILIARIOS LTDA.</x:v>
      </x:c>
      <x:c r="H1649" s="166" t="str">
        <x:v>Financeiro</x:v>
      </x:c>
      <x:c r="I1649" s="166" t="str">
        <x:v>Crédito Consignado</x:v>
      </x:c>
      <x:c r="J1649" s="166" t="str">
        <x:v>CI</x:v>
      </x:c>
      <x:c r="K1649" s="172" t="n">
        <x:v>22</x:v>
      </x:c>
      <x:c r="L1649" s="185" t="str">
        <x:v>Não classificado</x:v>
      </x:c>
    </x:row>
    <x:row r="1650">
      <x:c r="A1650" s="175" t="str">
        <x:v>21.081.879/0001-13</x:v>
      </x:c>
      <x:c r="B1650" s="166" t="str">
        <x:v>CMF FUNDO DE INVESTIMENTOS EM DIREITOS CREDITÓRIOS NÃO PADRONIZADOS MULTISSETORIAL LP</x:v>
      </x:c>
      <x:c r="C1650" s="188" t="n">
        <x:v>47004920.43</x:v>
      </x:c>
      <x:c r="D1650" s="166" t="str">
        <x:v>OURO PRETO INVESTIMENTOS</x:v>
      </x:c>
      <x:c r="E1650" s="166" t="str">
        <x:f>IFERROR(INDEX('Classif Gestoras'!$H$6:$H$462,MATCH(D1650,'Classif Gestoras'!$A$6:$A$462,0)),"Não classificada")</x:f>
        <x:v>Independente</x:v>
      </x:c>
      <x:c r="F1650" s="166" t="str">
        <x:v>Singulare</x:v>
      </x:c>
      <x:c r="G1650" s="166" t="str">
        <x:v>QI CORRETORA DE TÍTULOS E VALORES MOBILIÁRIOS S.A.</x:v>
      </x:c>
      <x:c r="H1650" s="166" t="str">
        <x:v>Fomento Mercantil</x:v>
      </x:c>
      <x:c r="I1650" s="166" t="str">
        <x:v>Fomento Mercantil</x:v>
      </x:c>
      <x:c r="J1650" s="166" t="str">
        <x:v>CI</x:v>
      </x:c>
      <x:c r="K1650" s="172" t="n">
        <x:v>1</x:v>
      </x:c>
      <x:c r="L1650" s="185" t="str">
        <x:v>Não classificado</x:v>
      </x:c>
    </x:row>
    <x:row r="1651">
      <x:c r="A1651" s="175" t="str">
        <x:v>35.688.153/0001-58</x:v>
      </x:c>
      <x:c r="B1651" s="166" t="str">
        <x:v>MAGALU I FUNDO DE INVESTIMENTOS EM DIREITOS CREDITÓRIOS - RESPONSABILIDADE LIMITADA</x:v>
      </x:c>
      <x:c r="C1651" s="188" t="n">
        <x:v>46921629.74</x:v>
      </x:c>
      <x:c r="D1651" s="166" t="str">
        <x:v>BRL TRUST DTVM</x:v>
      </x:c>
      <x:c r="E1651" s="166" t="str">
        <x:f>IFERROR(INDEX('Classif Gestoras'!$H$6:$H$462,MATCH(D1651,'Classif Gestoras'!$A$6:$A$462,0)),"Não classificada")</x:f>
        <x:v>Independente</x:v>
      </x:c>
      <x:c r="F1651" s="166" t="str">
        <x:v>BRL TRUST DTVM</x:v>
      </x:c>
      <x:c r="G1651" s="166" t="str">
        <x:v>BRL TRUST DISTRIBUIDORA DE TITULOS E VALORES MOBILIARIOS S.A.</x:v>
      </x:c>
      <x:c r="H1651" s="166" t="str">
        <x:v>Outros</x:v>
      </x:c>
      <x:c r="I1651" s="166" t="str">
        <x:v>Multicarteira Outros</x:v>
      </x:c>
      <x:c r="J1651" s="166" t="str">
        <x:v>CI</x:v>
      </x:c>
      <x:c r="K1651" s="172" t="n">
        <x:v>1</x:v>
      </x:c>
      <x:c r="L1651" s="185" t="str">
        <x:v>Não classificado</x:v>
      </x:c>
    </x:row>
    <x:row r="1652">
      <x:c r="A1652" s="175" t="str">
        <x:v>63.094.209/0001-81</x:v>
      </x:c>
      <x:c r="B1652" s="166" t="str">
        <x:v>BERTOLUCCI II FUNDO DE INVESTIMENTO EM DIREITOS CREDITÓRIOS RESPONSABILIDADE LIMITADA</x:v>
      </x:c>
      <x:c r="C1652" s="188" t="n">
        <x:v>46743526.39</x:v>
      </x:c>
      <x:c r="D1652" s="166" t="str">
        <x:v>Portofino Multi Family Office</x:v>
      </x:c>
      <x:c r="E1652" s="166" t="str">
        <x:f>IFERROR(INDEX('Classif Gestoras'!$H$6:$H$462,MATCH(D1652,'Classif Gestoras'!$A$6:$A$462,0)),"Não classificada")</x:f>
        <x:v>Independente</x:v>
      </x:c>
      <x:c r="F1652" s="166" t="str">
        <x:v>BTG Pactual Servicos Financeiros S/A DTVM</x:v>
      </x:c>
      <x:c r="G1652" s="166" t="str">
        <x:v>BANCO BTG PACTUAL S/A</x:v>
      </x:c>
      <x:c r="H1652" s="166" t="str">
        <x:v>Outros</x:v>
      </x:c>
      <x:c r="I1652" s="166" t="str">
        <x:v>Multicarteira Outros</x:v>
      </x:c>
      <x:c r="J1652" s="166" t="str">
        <x:v>CI</x:v>
      </x:c>
      <x:c r="K1652" s="172" t="n">
        <x:v>1</x:v>
      </x:c>
      <x:c r="L1652" s="185" t="str">
        <x:v>Não classificado</x:v>
      </x:c>
    </x:row>
    <x:row r="1653">
      <x:c r="A1653" s="175" t="str">
        <x:v>56.147.999/0001-50</x:v>
      </x:c>
      <x:c r="B1653" s="166" t="str">
        <x:v>PRIORITY FUNDO DE INVESTIMENTO EM DIREITOS CREDITÓRIOS</x:v>
      </x:c>
      <x:c r="C1653" s="188" t="n">
        <x:v>46663391.83</x:v>
      </x:c>
      <x:c r="D1653" s="166" t="str">
        <x:v>BURITI INVESTIMENTOS</x:v>
      </x:c>
      <x:c r="E1653" s="166" t="str">
        <x:f>IFERROR(INDEX('Classif Gestoras'!$H$6:$H$462,MATCH(D1653,'Classif Gestoras'!$A$6:$A$462,0)),"Não classificada")</x:f>
        <x:v>Independente</x:v>
      </x:c>
      <x:c r="F1653" s="166" t="str">
        <x:v>Singulare</x:v>
      </x:c>
      <x:c r="G1653" s="166" t="str">
        <x:v>QI CORRETORA DE TÍTULOS E VALORES MOBILIÁRIOS S.A.</x:v>
      </x:c>
      <x:c r="H1653" s="166" t="str">
        <x:v>Fomento Mercantil</x:v>
      </x:c>
      <x:c r="I1653" s="166" t="str">
        <x:v>Fomento Mercantil</x:v>
      </x:c>
      <x:c r="J1653" s="166" t="str">
        <x:v>CI</x:v>
      </x:c>
      <x:c r="K1653" s="172" t="n">
        <x:v>28</x:v>
      </x:c>
      <x:c r="L1653" s="185" t="str">
        <x:v>Não classificado</x:v>
      </x:c>
    </x:row>
    <x:row r="1654">
      <x:c r="A1654" s="175" t="str">
        <x:v>56.661.864/0001-09</x:v>
      </x:c>
      <x:c r="B1654" s="166" t="str">
        <x:v>CAPIA FUNDO DE INVESTIMENTO EM DIREITOS CREDITÓRIOS</x:v>
      </x:c>
      <x:c r="C1654" s="188" t="n">
        <x:v>46647257.95</x:v>
      </x:c>
      <x:c r="D1654" s="166" t="str">
        <x:v>PROPRIO CAPITAL</x:v>
      </x:c>
      <x:c r="E1654" s="166" t="str">
        <x:f>IFERROR(INDEX('Classif Gestoras'!$H$6:$H$462,MATCH(D1654,'Classif Gestoras'!$A$6:$A$462,0)),"Não classificada")</x:f>
        <x:v>Independente</x:v>
      </x:c>
      <x:c r="F1654" s="166" t="str">
        <x:v>Limine Trust Distribuidora de Titulos e Valores Mobiliá</x:v>
      </x:c>
      <x:c r="G1654" s="166" t="str">
        <x:v>LIMINE TRUST DISTRIBUIDORA DE TITULOS E VALORES MOBILIARIOS LTDA.</x:v>
      </x:c>
      <x:c r="H1654" s="166" t="str">
        <x:v>Fomento Mercantil</x:v>
      </x:c>
      <x:c r="I1654" s="166" t="str">
        <x:v>Fomento Mercantil</x:v>
      </x:c>
      <x:c r="J1654" s="166" t="str">
        <x:v>CI</x:v>
      </x:c>
      <x:c r="K1654" s="172" t="n">
        <x:v>3</x:v>
      </x:c>
      <x:c r="L1654" s="185" t="str">
        <x:v>Não classificado</x:v>
      </x:c>
    </x:row>
    <x:row r="1655">
      <x:c r="A1655" s="175" t="str">
        <x:v>56.780.221/0001-84</x:v>
      </x:c>
      <x:c r="B1655" s="166" t="str">
        <x:v>CLASSE ÚNICA DE COTAS DO ST 1014 FIDC RESPONSABILIDADE LIMITADA</x:v>
      </x:c>
      <x:c r="C1655" s="188" t="n">
        <x:v>46540430.11</x:v>
      </x:c>
      <x:c r="D1655" s="166" t="str">
        <x:v>Strata Capital</x:v>
      </x:c>
      <x:c r="E1655" s="166" t="str">
        <x:f>IFERROR(INDEX('Classif Gestoras'!$H$6:$H$462,MATCH(D1655,'Classif Gestoras'!$A$6:$A$462,0)),"Não classificada")</x:f>
        <x:v>Independente</x:v>
      </x:c>
      <x:c r="F1655" s="166" t="str">
        <x:v>BANCO DAYCOVAL S/A</x:v>
      </x:c>
      <x:c r="G1655" s="166" t="str">
        <x:v>BANCO DAYCOVAL S.A.</x:v>
      </x:c>
      <x:c r="H1655" s="166" t="str">
        <x:v>Outros</x:v>
      </x:c>
      <x:c r="I1655" s="166" t="str">
        <x:v>Multicarteira Outros</x:v>
      </x:c>
      <x:c r="J1655" s="166" t="str">
        <x:v>CI</x:v>
      </x:c>
      <x:c r="K1655" s="172" t="n">
        <x:v>6</x:v>
      </x:c>
      <x:c r="L1655" s="185" t="str">
        <x:v>Não classificado</x:v>
      </x:c>
    </x:row>
    <x:row r="1656">
      <x:c r="A1656" s="175" t="str">
        <x:v>20.589.460/0001-04</x:v>
      </x:c>
      <x:c r="B1656" s="166" t="str">
        <x:v>CAPELLA - FUNDO DE INVESTIMENTO EM DIREITOS CREDITÓRIOS DE RESPONSABILIDADE LIMITADA</x:v>
      </x:c>
      <x:c r="C1656" s="188" t="n">
        <x:v>46534480.05</x:v>
      </x:c>
      <x:c r="D1656" s="166" t="str">
        <x:v>VM Consultoria Empresarial Ltd</x:v>
      </x:c>
      <x:c r="E1656" s="166" t="str">
        <x:f>IFERROR(INDEX('Classif Gestoras'!$H$6:$H$462,MATCH(D1656,'Classif Gestoras'!$A$6:$A$462,0)),"Não classificada")</x:f>
        <x:v>Independente</x:v>
      </x:c>
      <x:c r="F1656" s="166" t="str">
        <x:v>Banco Genial S.A.</x:v>
      </x:c>
      <x:c r="G1656" s="166" t="str">
        <x:v>BANCO GENIAL S.A.</x:v>
      </x:c>
      <x:c r="H1656" s="166" t="str">
        <x:v>Outros</x:v>
      </x:c>
      <x:c r="I1656" s="166" t="str">
        <x:v>Multicarteira Outros</x:v>
      </x:c>
      <x:c r="J1656" s="166" t="str">
        <x:v>CI</x:v>
      </x:c>
      <x:c r="K1656" s="172" t="n">
        <x:v>3</x:v>
      </x:c>
      <x:c r="L1656" s="185" t="str">
        <x:v>Não classificado</x:v>
      </x:c>
    </x:row>
    <x:row r="1657">
      <x:c r="A1657" s="175" t="str">
        <x:v>31.238.162/0001-96</x:v>
      </x:c>
      <x:c r="B1657" s="166" t="str">
        <x:v>MINASFAC FUNDO DE INVESTIMENTO EM DIREITOS CREDITÓRIOS</x:v>
      </x:c>
      <x:c r="C1657" s="188" t="n">
        <x:v>46527520.41</x:v>
      </x:c>
      <x:c r="D1657" s="166" t="str">
        <x:v>MACAM ASSET</x:v>
      </x:c>
      <x:c r="E1657" s="166" t="str">
        <x:f>IFERROR(INDEX('Classif Gestoras'!$H$6:$H$462,MATCH(D1657,'Classif Gestoras'!$A$6:$A$462,0)),"Não classificada")</x:f>
        <x:v>Independente</x:v>
      </x:c>
      <x:c r="F1657" s="166" t="str">
        <x:v>TRUSTEE DTVM</x:v>
      </x:c>
      <x:c r="G1657" s="166" t="str">
        <x:v>TRUSTEE DISTRIBUIDORA DE TITULOS E VALORES MOBILIARIOS LTDA.</x:v>
      </x:c>
      <x:c r="H1657" s="166" t="str">
        <x:v>Outros</x:v>
      </x:c>
      <x:c r="I1657" s="166" t="str">
        <x:v>Multicarteira Outros</x:v>
      </x:c>
      <x:c r="J1657" s="166" t="str">
        <x:v>CI</x:v>
      </x:c>
      <x:c r="K1657" s="172" t="n">
        <x:v>1</x:v>
      </x:c>
      <x:c r="L1657" s="185" t="str">
        <x:v>Não classificado</x:v>
      </x:c>
    </x:row>
    <x:row r="1658">
      <x:c r="A1658" s="175" t="str">
        <x:v>52.098.409/0001-96</x:v>
      </x:c>
      <x:c r="B1658" s="166" t="str">
        <x:v>STV1 FUNDO DE INVESTIMENTO EM DIREITOS CREDITÓRIOS</x:v>
      </x:c>
      <x:c r="C1658" s="188" t="n">
        <x:v>46470803.59</x:v>
      </x:c>
      <x:c r="D1658" s="166" t="str">
        <x:v>Strata Capital</x:v>
      </x:c>
      <x:c r="E1658" s="166" t="str">
        <x:f>IFERROR(INDEX('Classif Gestoras'!$H$6:$H$462,MATCH(D1658,'Classif Gestoras'!$A$6:$A$462,0)),"Não classificada")</x:f>
        <x:v>Independente</x:v>
      </x:c>
      <x:c r="F1658" s="166" t="str">
        <x:v>BANCO DAYCOVAL S/A</x:v>
      </x:c>
      <x:c r="G1658" s="166" t="str">
        <x:v>BANCO DAYCOVAL S.A.</x:v>
      </x:c>
      <x:c r="H1658" s="166" t="str">
        <x:v>Financeiro</x:v>
      </x:c>
      <x:c r="I1658" s="166" t="str">
        <x:v>Multicarteira Financeiro</x:v>
      </x:c>
      <x:c r="J1658" s="166" t="str">
        <x:v>CI</x:v>
      </x:c>
      <x:c r="K1658" s="172" t="n">
        <x:v>1</x:v>
      </x:c>
      <x:c r="L1658" s="185" t="str">
        <x:v>Não classificado</x:v>
      </x:c>
    </x:row>
    <x:row r="1659">
      <x:c r="A1659" s="175" t="str">
        <x:v>64.276.709/0001-05</x:v>
      </x:c>
      <x:c r="B1659" s="166" t="str">
        <x:v>DTB TOWERS INFRA FUNDO DE INVESTIMENTO EM DIREITOS CREDITÓRIOS RESPONSABILIDADE LIMITADA</x:v>
      </x:c>
      <x:c r="C1659" s="188" t="n">
        <x:v>46398781.24</x:v>
      </x:c>
      <x:c r="D1659" s="166" t="str">
        <x:v>UC Gestora de Recursos</x:v>
      </x:c>
      <x:c r="E1659" s="166" t="str">
        <x:f>IFERROR(INDEX('Classif Gestoras'!$H$6:$H$462,MATCH(D1659,'Classif Gestoras'!$A$6:$A$462,0)),"Não classificada")</x:f>
        <x:v>Independente</x:v>
      </x:c>
      <x:c r="F1659" s="166" t="str">
        <x:v>Limine Trust Distribuidora de Titulos e Valores Mobiliá</x:v>
      </x:c>
      <x:c r="G1659" s="166" t="str">
        <x:v>LIMINE TRUST DISTRIBUIDORA DE TITULOS E VALORES MOBILIARIOS LTDA.</x:v>
      </x:c>
      <x:c r="H1659" s="166" t="str">
        <x:v>Agro, Indústria e Comércio</x:v>
      </x:c>
      <x:c r="I1659" s="166" t="str">
        <x:v>Recebíveis Comerciais</x:v>
      </x:c>
      <x:c r="J1659" s="166" t="str">
        <x:v>CI</x:v>
      </x:c>
      <x:c r="K1659" s="172" t="n">
        <x:v>4</x:v>
      </x:c>
      <x:c r="L1659" s="185" t="str">
        <x:v>Não classificado</x:v>
      </x:c>
    </x:row>
    <x:row r="1660">
      <x:c r="A1660" s="175" t="str">
        <x:v>47.463.370/0001-29</x:v>
      </x:c>
      <x:c r="B1660" s="166" t="str">
        <x:v>ÍMPAR II FUNDO DE INVESTIMENTO EM DIREITOS CREDITÓRIOS NÃO PADRONIZADO</x:v>
      </x:c>
      <x:c r="C1660" s="188" t="n">
        <x:v>46149294.49</x:v>
      </x:c>
      <x:c r="D1660" s="166" t="str">
        <x:v>Patrimonial Gestão</x:v>
      </x:c>
      <x:c r="E1660" s="166" t="str">
        <x:f>IFERROR(INDEX('Classif Gestoras'!$H$6:$H$462,MATCH(D1660,'Classif Gestoras'!$A$6:$A$462,0)),"Não classificada")</x:f>
        <x:v>Independente</x:v>
      </x:c>
      <x:c r="F1660" s="166" t="str">
        <x:v>Singulare</x:v>
      </x:c>
      <x:c r="G1660" s="166" t="str">
        <x:v>QI CORRETORA DE TÍTULOS E VALORES MOBILIÁRIOS S.A.</x:v>
      </x:c>
      <x:c r="H1660" s="166" t="str">
        <x:v>Outros</x:v>
      </x:c>
      <x:c r="I1660" s="166" t="str">
        <x:v>Poder Público</x:v>
      </x:c>
      <x:c r="J1660" s="166" t="str">
        <x:v>CI</x:v>
      </x:c>
      <x:c r="K1660" s="172" t="n">
        <x:v>1</x:v>
      </x:c>
      <x:c r="L1660" s="185" t="str">
        <x:v>Não classificado</x:v>
      </x:c>
    </x:row>
    <x:row r="1661">
      <x:c r="A1661" s="175" t="str">
        <x:v>53.165.872/0001-76</x:v>
      </x:c>
      <x:c r="B1661" s="166" t="str">
        <x:v>FUNDO DE INVESTIMENTO EM DIREITOS CREDITÓRIOS BRASIL CONSIG</x:v>
      </x:c>
      <x:c r="C1661" s="188" t="n">
        <x:v>46144408.65999999</x:v>
      </x:c>
      <x:c r="D1661" s="166" t="str">
        <x:v>VGR - VERONA GESTORA DE RECURSOS LTDA</x:v>
      </x:c>
      <x:c r="E1661" s="166" t="str">
        <x:f>IFERROR(INDEX('Classif Gestoras'!$H$6:$H$462,MATCH(D1661,'Classif Gestoras'!$A$6:$A$462,0)),"Não classificada")</x:f>
        <x:v>Independente</x:v>
      </x:c>
      <x:c r="F1661" s="166" t="str">
        <x:v>Intra Investimentos Distribuidora de Títulos e Valores Mobiliários LTDA.</x:v>
      </x:c>
      <x:c r="G1661" s="166" t="str">
        <x:v>INTRA INVESTIMENTOS DTVM LTDA</x:v>
      </x:c>
      <x:c r="H1661" s="166" t="str">
        <x:v>Outros</x:v>
      </x:c>
      <x:c r="I1661" s="166" t="str">
        <x:v>Multicarteira Outros</x:v>
      </x:c>
      <x:c r="J1661" s="166" t="str">
        <x:v>CI</x:v>
      </x:c>
      <x:c r="K1661" s="172" t="n">
        <x:v>10</x:v>
      </x:c>
      <x:c r="L1661" s="185" t="str">
        <x:v>Não classificado</x:v>
      </x:c>
    </x:row>
    <x:row r="1662">
      <x:c r="A1662" s="175" t="str">
        <x:v>09.009.924/0001-23</x:v>
      </x:c>
      <x:c r="B1662" s="166" t="str">
        <x:v>ECO MULTI COMMODITIES FIDC AGROPECUARIOS</x:v>
      </x:c>
      <x:c r="C1662" s="188" t="n">
        <x:v>46089128.32</x:v>
      </x:c>
      <x:c r="D1662" s="166" t="str">
        <x:v>Eco Gestão de Ativos LTDA.</x:v>
      </x:c>
      <x:c r="E1662" s="166" t="str">
        <x:f>IFERROR(INDEX('Classif Gestoras'!$H$6:$H$462,MATCH(D1662,'Classif Gestoras'!$A$6:$A$462,0)),"Não classificada")</x:f>
        <x:v>Independente</x:v>
      </x:c>
      <x:c r="F1662" s="166" t="str">
        <x:v>Oliveira Trust DTVM</x:v>
      </x:c>
      <x:c r="G1662" s="166" t="str">
        <x:v>OLIVEIRA TRUST DTVM S.A.</x:v>
      </x:c>
      <x:c r="H1662" s="166" t="str">
        <x:v>Agro, Indústria e Comércio</x:v>
      </x:c>
      <x:c r="I1662" s="166" t="str">
        <x:v>Agronegócio</x:v>
      </x:c>
      <x:c r="J1662" s="166" t="str">
        <x:v>CI</x:v>
      </x:c>
      <x:c r="K1662" s="172" t="n">
        <x:v>0</x:v>
      </x:c>
      <x:c r="L1662" s="185" t="str">
        <x:v>Não classificado</x:v>
      </x:c>
    </x:row>
    <x:row r="1663">
      <x:c r="A1663" s="175" t="str">
        <x:v>56.886.293/0001-00</x:v>
      </x:c>
      <x:c r="B1663" s="166" t="str">
        <x:v>ATHENAS FUNDO DE INVESTIMENTO EM DIREITOS CREDITÓRIOS</x:v>
      </x:c>
      <x:c r="C1663" s="188" t="n">
        <x:v>46013141.61</x:v>
      </x:c>
      <x:c r="D1663" s="166" t="str">
        <x:v>Libertas Asset</x:v>
      </x:c>
      <x:c r="E1663" s="166" t="str">
        <x:f>IFERROR(INDEX('Classif Gestoras'!$H$6:$H$462,MATCH(D1663,'Classif Gestoras'!$A$6:$A$462,0)),"Não classificada")</x:f>
        <x:v>Independente</x:v>
      </x:c>
      <x:c r="F1663" s="166" t="str">
        <x:v>ACTUAL DTVM</x:v>
      </x:c>
      <x:c r="G1663" s="166" t="str">
        <x:v>TRUSTEE DISTRIBUIDORA DE TITULOS E VALORES MOBILIARIOS LTDA.</x:v>
      </x:c>
      <x:c r="H1663" s="166" t="str">
        <x:v>Fomento Mercantil</x:v>
      </x:c>
      <x:c r="I1663" s="166" t="str">
        <x:v>Fomento Mercantil</x:v>
      </x:c>
      <x:c r="J1663" s="166" t="str">
        <x:v>CI</x:v>
      </x:c>
      <x:c r="K1663" s="172" t="n">
        <x:v>5</x:v>
      </x:c>
      <x:c r="L1663" s="185" t="str">
        <x:v>Não classificado</x:v>
      </x:c>
    </x:row>
    <x:row r="1664">
      <x:c r="A1664" s="175" t="str">
        <x:v>63.615.453/0001-42</x:v>
      </x:c>
      <x:c r="B1664" s="166" t="str">
        <x:v>UDA FUNDO DE INVESTIMENTO EM DIREITOS CREDITÓRIOS DE RESPONSABILIDADE LIMITADA</x:v>
      </x:c>
      <x:c r="C1664" s="188" t="n">
        <x:v>45975136.03</x:v>
      </x:c>
      <x:c r="D1664" s="166" t="str">
        <x:v>Bocaina Capital</x:v>
      </x:c>
      <x:c r="E1664" s="166" t="str">
        <x:f>IFERROR(INDEX('Classif Gestoras'!$H$6:$H$462,MATCH(D1664,'Classif Gestoras'!$A$6:$A$462,0)),"Não classificada")</x:f>
        <x:v>Independente</x:v>
      </x:c>
      <x:c r="F1664" s="166" t="str">
        <x:v>BANCO DAYCOVAL S/A</x:v>
      </x:c>
      <x:c r="G1664" s="166" t="str">
        <x:v>BANCO DAYCOVAL S.A.</x:v>
      </x:c>
      <x:c r="H1664" s="166" t="str">
        <x:v>Agro, Indústria e Comércio</x:v>
      </x:c>
      <x:c r="I1664" s="166" t="str">
        <x:v>Infraestrutura</x:v>
      </x:c>
      <x:c r="J1664" s="166" t="str">
        <x:v>CI</x:v>
      </x:c>
      <x:c r="K1664" s="172" t="n">
        <x:v>20</x:v>
      </x:c>
      <x:c r="L1664" s="185" t="str">
        <x:v>Não classificado</x:v>
      </x:c>
    </x:row>
    <x:row r="1665">
      <x:c r="A1665" s="175" t="str">
        <x:v>50.115.649/0001-26</x:v>
      </x:c>
      <x:c r="B1665" s="166" t="str">
        <x:v>FUNDO DE INVESTIMENTO EM DIREITOS CREDITÓRIOS GARANTIDO TÊXTIL</x:v>
      </x:c>
      <x:c r="C1665" s="188" t="n">
        <x:v>45969692.45</x:v>
      </x:c>
      <x:c r="D1665" s="166" t="str">
        <x:v>KMT ASSET MANAGEMENT</x:v>
      </x:c>
      <x:c r="E1665" s="166" t="str">
        <x:f>IFERROR(INDEX('Classif Gestoras'!$H$6:$H$462,MATCH(D1665,'Classif Gestoras'!$A$6:$A$462,0)),"Não classificada")</x:f>
        <x:v>Independente</x:v>
      </x:c>
      <x:c r="F1665" s="166" t="str">
        <x:v>BANCO DAYCOVAL S/A</x:v>
      </x:c>
      <x:c r="G1665" s="166" t="str">
        <x:v>BANCO DAYCOVAL S.A.</x:v>
      </x:c>
      <x:c r="H1665" s="166" t="str">
        <x:v>Fomento Mercantil</x:v>
      </x:c>
      <x:c r="I1665" s="166" t="str">
        <x:v>Fomento Mercantil</x:v>
      </x:c>
      <x:c r="J1665" s="166" t="str">
        <x:v>CI</x:v>
      </x:c>
      <x:c r="K1665" s="172" t="n">
        <x:v>1</x:v>
      </x:c>
      <x:c r="L1665" s="185" t="str">
        <x:v>Não classificado</x:v>
      </x:c>
    </x:row>
    <x:row r="1666">
      <x:c r="A1666" s="175" t="str">
        <x:v>41.778.453/0001-20</x:v>
      </x:c>
      <x:c r="B1666" s="166" t="str">
        <x:v>FUNDO DE INVESTIMENTO EM DIREITOS CREDITÓRIOS DE RESPONSABILIDADE LIMITADA INCLUSÃO FINANCEIRA</x:v>
      </x:c>
      <x:c r="C1666" s="188" t="n">
        <x:v>45941220.27</x:v>
      </x:c>
      <x:c r="D1666" s="166" t="str">
        <x:v>Milênio Capital</x:v>
      </x:c>
      <x:c r="E1666" s="166" t="str">
        <x:f>IFERROR(INDEX('Classif Gestoras'!$H$6:$H$462,MATCH(D1666,'Classif Gestoras'!$A$6:$A$462,0)),"Não classificada")</x:f>
        <x:v>Independente</x:v>
      </x:c>
      <x:c r="F1666" s="166" t="str">
        <x:v>VÓRTX DTVM</x:v>
      </x:c>
      <x:c r="G1666" s="166" t="str">
        <x:v>VORTX DISTRIBUIDORA DE TITULOS E VALORES MOBILIARIOS LTDA.</x:v>
      </x:c>
      <x:c r="H1666" s="166" t="str">
        <x:v>Financeiro</x:v>
      </x:c>
      <x:c r="I1666" s="166" t="str">
        <x:v>Crédito Pessoal</x:v>
      </x:c>
      <x:c r="J1666" s="166" t="str">
        <x:v>CI</x:v>
      </x:c>
      <x:c r="K1666" s="172" t="n">
        <x:v>119</x:v>
      </x:c>
      <x:c r="L1666" s="185" t="str">
        <x:v>Não classificado</x:v>
      </x:c>
    </x:row>
    <x:row r="1667">
      <x:c r="A1667" s="175" t="str">
        <x:v>35.654.828/0001-48</x:v>
      </x:c>
      <x:c r="B1667" s="166" t="str">
        <x:v>MACCABI FUNDO DE INVESTIMENTO EM DIREITOS CREDITÓRIOS DE RESPONSABILIDADE LIMITADA</x:v>
      </x:c>
      <x:c r="C1667" s="188" t="n">
        <x:v>45830595.35</x:v>
      </x:c>
      <x:c r="D1667" s="166" t="str">
        <x:v>DAYCOVAL ASSET MANAG</x:v>
      </x:c>
      <x:c r="E1667" s="166" t="str">
        <x:f>IFERROR(INDEX('Classif Gestoras'!$H$6:$H$462,MATCH(D1667,'Classif Gestoras'!$A$6:$A$462,0)),"Não classificada")</x:f>
        <x:v>Ligada a banco</x:v>
      </x:c>
      <x:c r="F1667" s="166" t="str">
        <x:v>BANCO DAYCOVAL S/A</x:v>
      </x:c>
      <x:c r="G1667" s="166" t="str">
        <x:v>BANCO DAYCOVAL S.A.</x:v>
      </x:c>
      <x:c r="H1667" s="166" t="str">
        <x:v>Outros</x:v>
      </x:c>
      <x:c r="I1667" s="166" t="str">
        <x:v>Multicarteira Outros</x:v>
      </x:c>
      <x:c r="J1667" s="166" t="str">
        <x:v>CI</x:v>
      </x:c>
      <x:c r="K1667" s="172" t="n">
        <x:v>3</x:v>
      </x:c>
      <x:c r="L1667" s="185" t="str">
        <x:v>Não classificado</x:v>
      </x:c>
    </x:row>
    <x:row r="1668">
      <x:c r="A1668" s="175" t="str">
        <x:v>55.395.204/0001-60</x:v>
      </x:c>
      <x:c r="B1668" s="166" t="str">
        <x:v>MATRI INFINITY FUNDO DE INVESTIMENTO EM DIREITOS CREDITÓRIOS</x:v>
      </x:c>
      <x:c r="C1668" s="188" t="n">
        <x:v>45810968.79000001</x:v>
      </x:c>
      <x:c r="D1668" s="166" t="str">
        <x:v>BURITI INVESTIMENTOS</x:v>
      </x:c>
      <x:c r="E1668" s="166" t="str">
        <x:f>IFERROR(INDEX('Classif Gestoras'!$H$6:$H$462,MATCH(D1668,'Classif Gestoras'!$A$6:$A$462,0)),"Não classificada")</x:f>
        <x:v>Independente</x:v>
      </x:c>
      <x:c r="F1668" s="166" t="str">
        <x:v>Singulare</x:v>
      </x:c>
      <x:c r="G1668" s="166" t="str">
        <x:v>QI CORRETORA DE TÍTULOS E VALORES MOBILIÁRIOS S.A.</x:v>
      </x:c>
      <x:c r="H1668" s="166" t="str">
        <x:v>Outros</x:v>
      </x:c>
      <x:c r="I1668" s="166" t="str">
        <x:v>Poder Público</x:v>
      </x:c>
      <x:c r="J1668" s="166" t="str">
        <x:v>CI</x:v>
      </x:c>
      <x:c r="K1668" s="172" t="n">
        <x:v>7</x:v>
      </x:c>
      <x:c r="L1668" s="185" t="str">
        <x:v>Não classificado</x:v>
      </x:c>
    </x:row>
    <x:row r="1669">
      <x:c r="A1669" s="175" t="str">
        <x:v>34.475.955/0001-17</x:v>
      </x:c>
      <x:c r="B1669" s="166" t="str">
        <x:v>FUNDO DE INVESTIMENTO EM DIREITOS CREDITÓRIOS EMPÍRICA MEZZO SAÚDE</x:v>
      </x:c>
      <x:c r="C1669" s="188" t="n">
        <x:v>45801185.650000006</x:v>
      </x:c>
      <x:c r="D1669" s="166" t="str">
        <x:v>REAG GESTÃO DE CRÉDITO</x:v>
      </x:c>
      <x:c r="E1669" s="166" t="str">
        <x:f>IFERROR(INDEX('Classif Gestoras'!$H$6:$H$462,MATCH(D1669,'Classif Gestoras'!$A$6:$A$462,0)),"Não classificada")</x:f>
        <x:v>Independente</x:v>
      </x:c>
      <x:c r="F1669" s="166" t="str">
        <x:v>Banvox DTVM</x:v>
      </x:c>
      <x:c r="G1669" s="166" t="str">
        <x:v>BANVOX DISTRIBUIDORA DE TITULOS E VALORES MOBILIARIOS LTDA</x:v>
      </x:c>
      <x:c r="H1669" s="166" t="str">
        <x:v>Agro, Indústria e Comércio</x:v>
      </x:c>
      <x:c r="I1669" s="166" t="str">
        <x:v>Recebíveis Comerciais</x:v>
      </x:c>
      <x:c r="J1669" s="166" t="str">
        <x:v>CI</x:v>
      </x:c>
      <x:c r="K1669" s="172" t="n">
        <x:v>21</x:v>
      </x:c>
      <x:c r="L1669" s="185" t="str">
        <x:v>Não classificado</x:v>
      </x:c>
    </x:row>
    <x:row r="1670">
      <x:c r="A1670" s="175" t="str">
        <x:v>61.061.838/0001-80</x:v>
      </x:c>
      <x:c r="B1670" s="166" t="str">
        <x:v>ST 1019 FIDC RESPONSABILIDADE LIMITADA</x:v>
      </x:c>
      <x:c r="C1670" s="188" t="n">
        <x:v>45796958.190000005</x:v>
      </x:c>
      <x:c r="D1670" s="166" t="str">
        <x:v>Strata Capital</x:v>
      </x:c>
      <x:c r="E1670" s="166" t="str">
        <x:f>IFERROR(INDEX('Classif Gestoras'!$H$6:$H$462,MATCH(D1670,'Classif Gestoras'!$A$6:$A$462,0)),"Não classificada")</x:f>
        <x:v>Independente</x:v>
      </x:c>
      <x:c r="F1670" s="166" t="str">
        <x:v>BANCO DAYCOVAL S/A</x:v>
      </x:c>
      <x:c r="G1670" s="166" t="str">
        <x:v>BANCO DAYCOVAL S.A.</x:v>
      </x:c>
      <x:c r="H1670" s="166" t="str">
        <x:v>Outros</x:v>
      </x:c>
      <x:c r="I1670" s="166" t="str">
        <x:v>Multicarteira Outros</x:v>
      </x:c>
      <x:c r="J1670" s="166" t="str">
        <x:v>CI</x:v>
      </x:c>
      <x:c r="K1670" s="172" t="n">
        <x:v>3</x:v>
      </x:c>
      <x:c r="L1670" s="185" t="str">
        <x:v>Não classificado</x:v>
      </x:c>
    </x:row>
    <x:row r="1671">
      <x:c r="A1671" s="175" t="str">
        <x:v>45.207.458/0001-54</x:v>
      </x:c>
      <x:c r="B1671" s="166" t="str">
        <x:v>SOUTO FUNDO DE INVESTIMENTO EM DIREITOS CREDITÓRIOS</x:v>
      </x:c>
      <x:c r="C1671" s="188" t="n">
        <x:v>45726593.28</x:v>
      </x:c>
      <x:c r="D1671" s="166" t="str">
        <x:v>BTG Pactual Asset</x:v>
      </x:c>
      <x:c r="E1671" s="166" t="str">
        <x:f>IFERROR(INDEX('Classif Gestoras'!$H$6:$H$462,MATCH(D1671,'Classif Gestoras'!$A$6:$A$462,0)),"Não classificada")</x:f>
        <x:v>Ligada a banco</x:v>
      </x:c>
      <x:c r="F1671" s="166" t="str">
        <x:v>BTG Pactual Servicos Financeiros S/A DTVM</x:v>
      </x:c>
      <x:c r="G1671" s="166" t="str">
        <x:v>BANCO BTG PACTUAL S/A</x:v>
      </x:c>
      <x:c r="H1671" s="166" t="str">
        <x:v>Agro, Indústria e Comércio</x:v>
      </x:c>
      <x:c r="I1671" s="166" t="str">
        <x:v>Recebíveis Comerciais</x:v>
      </x:c>
      <x:c r="J1671" s="166" t="str">
        <x:v>CI</x:v>
      </x:c>
      <x:c r="K1671" s="172" t="n">
        <x:v>1</x:v>
      </x:c>
      <x:c r="L1671" s="185" t="str">
        <x:v>Não classificado</x:v>
      </x:c>
    </x:row>
    <x:row r="1672">
      <x:c r="A1672" s="175" t="str">
        <x:v>46.082.740/0001-15</x:v>
      </x:c>
      <x:c r="B1672" s="166" t="str">
        <x:v>MUNDIAL FUNDO DE INVESTIMENTO EM DIREITOS CREDITÓRIOS</x:v>
      </x:c>
      <x:c r="C1672" s="188" t="n">
        <x:v>45679423.52</x:v>
      </x:c>
      <x:c r="D1672" s="166" t="str">
        <x:v>ORIZ ASSET MANAGEMENT LTDA.</x:v>
      </x:c>
      <x:c r="E1672" s="166" t="str">
        <x:f>IFERROR(INDEX('Classif Gestoras'!$H$6:$H$462,MATCH(D1672,'Classif Gestoras'!$A$6:$A$462,0)),"Não classificada")</x:f>
        <x:v>Independente</x:v>
      </x:c>
      <x:c r="F1672" s="166" t="str">
        <x:v>HEMERA DTVM</x:v>
      </x:c>
      <x:c r="G1672" s="166" t="str">
        <x:v>HEMERA DISTRIBUIDORA DE TITULOS E VALORES MOBILIARIOS LTDA</x:v>
      </x:c>
      <x:c r="H1672" s="166" t="str">
        <x:v>Outros</x:v>
      </x:c>
      <x:c r="I1672" s="166" t="str">
        <x:v>Multicarteira Outros</x:v>
      </x:c>
      <x:c r="J1672" s="166" t="str">
        <x:v>CI</x:v>
      </x:c>
      <x:c r="K1672" s="172" t="n">
        <x:v>1</x:v>
      </x:c>
      <x:c r="L1672" s="185" t="str">
        <x:v>Não classificado</x:v>
      </x:c>
    </x:row>
    <x:row r="1673">
      <x:c r="A1673" s="175" t="str">
        <x:v>54.773.936/0001-84</x:v>
      </x:c>
      <x:c r="B1673" s="166" t="str">
        <x:v>TALÓ II FUNDO DE INVESTIMENTO EM DIREITOS CREDITÓRIOS RESPONSABILIDADE LIMITADA</x:v>
      </x:c>
      <x:c r="C1673" s="188" t="n">
        <x:v>45668038.17</x:v>
      </x:c>
      <x:c r="D1673" s="166" t="str">
        <x:v>Eco Gestão de Ativos LTDA.</x:v>
      </x:c>
      <x:c r="E1673" s="166" t="str">
        <x:f>IFERROR(INDEX('Classif Gestoras'!$H$6:$H$462,MATCH(D1673,'Classif Gestoras'!$A$6:$A$462,0)),"Não classificada")</x:f>
        <x:v>Independente</x:v>
      </x:c>
      <x:c r="F1673" s="166" t="str">
        <x:v>VÓRTX DTVM</x:v>
      </x:c>
      <x:c r="G1673" s="166" t="str">
        <x:v>VORTX DISTRIBUIDORA DE TITULOS E VALORES MOBILIARIOS LTDA.</x:v>
      </x:c>
      <x:c r="H1673" s="166" t="str">
        <x:v>Agro, Indústria e Comércio</x:v>
      </x:c>
      <x:c r="I1673" s="166" t="str">
        <x:v>Agronegócio</x:v>
      </x:c>
      <x:c r="J1673" s="166" t="str">
        <x:v>CI</x:v>
      </x:c>
      <x:c r="K1673" s="172" t="n">
        <x:v>5</x:v>
      </x:c>
      <x:c r="L1673" s="185" t="str">
        <x:v>Não classificado</x:v>
      </x:c>
    </x:row>
    <x:row r="1674">
      <x:c r="A1674" s="175" t="str">
        <x:v>62.497.772/0001-38</x:v>
      </x:c>
      <x:c r="B1674" s="166" t="str">
        <x:v>CLASSE A DO GAMA FUNDO DE INVESTIMENTO EM DIREITOS CREDITÓRIOS NÃO PADRONIZADOS - MULTICLASSE</x:v>
      </x:c>
      <x:c r="C1674" s="188" t="n">
        <x:v>45611846.38999999</x:v>
      </x:c>
      <x:c r="D1674" s="166" t="str">
        <x:v>Terra Asset Management</x:v>
      </x:c>
      <x:c r="E1674" s="166" t="str">
        <x:f>IFERROR(INDEX('Classif Gestoras'!$H$6:$H$462,MATCH(D1674,'Classif Gestoras'!$A$6:$A$462,0)),"Não classificada")</x:f>
        <x:v>Independente</x:v>
      </x:c>
      <x:c r="F1674" s="166" t="str">
        <x:v>MONETAR DISTRIBUIDORA DE TITUL</x:v>
      </x:c>
      <x:c r="G1674" s="166" t="str">
        <x:v>TERRA INVESTIMENTOS DISTRIBUIDORA DE TITULOS E VALORES MOBILIARIOS LTDA</x:v>
      </x:c>
      <x:c r="H1674" s="166" t="str">
        <x:v>Financeiro</x:v>
      </x:c>
      <x:c r="I1674" s="166" t="str">
        <x:v>Multicarteira Financeiro</x:v>
      </x:c>
      <x:c r="J1674" s="166" t="str">
        <x:v>CI</x:v>
      </x:c>
      <x:c r="K1674" s="172" t="n">
        <x:v>2</x:v>
      </x:c>
      <x:c r="L1674" s="185" t="str">
        <x:v>Não classificado</x:v>
      </x:c>
    </x:row>
    <x:row r="1675">
      <x:c r="A1675" s="175" t="str">
        <x:v>52.112.338/0001-39</x:v>
      </x:c>
      <x:c r="B1675" s="166" t="str">
        <x:v>FIZZ CARD FUNDO DE INVESTIMENTO EM DIREITOS CREDITÓRIOS NÃO-PADRONIZADOS RESPONSABILIDADE LIMITADA</x:v>
      </x:c>
      <x:c r="C1675" s="188" t="n">
        <x:v>45599564.70999999</x:v>
      </x:c>
      <x:c r="D1675" s="166" t="str">
        <x:v>Bless Capital Gestora de Recursos Ltda.</x:v>
      </x:c>
      <x:c r="E1675" s="166" t="str">
        <x:f>IFERROR(INDEX('Classif Gestoras'!$H$6:$H$462,MATCH(D1675,'Classif Gestoras'!$A$6:$A$462,0)),"Não classificada")</x:f>
        <x:v>Independente</x:v>
      </x:c>
      <x:c r="F1675" s="166" t="str">
        <x:v>ID Corretora de Títulos e Valores Mobiliários S.A.</x:v>
      </x:c>
      <x:c r="G1675" s="166" t="str">
        <x:v>Não identificado</x:v>
      </x:c>
      <x:c r="H1675" s="166" t="str">
        <x:v>Outros</x:v>
      </x:c>
      <x:c r="I1675" s="166" t="str">
        <x:v>Multicarteira Outros</x:v>
      </x:c>
      <x:c r="J1675" s="166" t="str">
        <x:v>CI</x:v>
      </x:c>
      <x:c r="K1675" s="172" t="n">
        <x:v>5</x:v>
      </x:c>
      <x:c r="L1675" s="185" t="str">
        <x:v>Não classificado</x:v>
      </x:c>
    </x:row>
    <x:row r="1676">
      <x:c r="A1676" s="175" t="str">
        <x:v>42.462.120/0001-50</x:v>
      </x:c>
      <x:c r="B1676" s="166" t="str">
        <x:v>SIFRA ENERGY PODIUM FUNDO DE INVESTIMENTO EM DIREITOS CREDITÓRIOS</x:v>
      </x:c>
      <x:c r="C1676" s="188" t="n">
        <x:v>45588034.7</x:v>
      </x:c>
      <x:c r="D1676" s="166" t="str">
        <x:v>ORRAM GESTÃO DE RECURSOS LTDA.</x:v>
      </x:c>
      <x:c r="E1676" s="166" t="str">
        <x:f>IFERROR(INDEX('Classif Gestoras'!$H$6:$H$462,MATCH(D1676,'Classif Gestoras'!$A$6:$A$462,0)),"Não classificada")</x:f>
        <x:v>Independente</x:v>
      </x:c>
      <x:c r="F1676" s="166" t="str">
        <x:v>Singulare</x:v>
      </x:c>
      <x:c r="G1676" s="166" t="str">
        <x:v>QI CORRETORA DE TÍTULOS E VALORES MOBILIÁRIOS S.A.</x:v>
      </x:c>
      <x:c r="H1676" s="166" t="str">
        <x:v>Agro, Indústria e Comércio</x:v>
      </x:c>
      <x:c r="I1676" s="166" t="str">
        <x:v>Multicarteira Agro, Indústria e Comércio</x:v>
      </x:c>
      <x:c r="J1676" s="166" t="str">
        <x:v>CI</x:v>
      </x:c>
      <x:c r="K1676" s="172" t="n">
        <x:v>10</x:v>
      </x:c>
      <x:c r="L1676" s="185" t="str">
        <x:v>Não classificado</x:v>
      </x:c>
    </x:row>
    <x:row r="1677">
      <x:c r="A1677" s="175" t="str">
        <x:v>40.265.649/0001-59</x:v>
      </x:c>
      <x:c r="B1677" s="166" t="str">
        <x:v>BPD CONSIGNADO FUNDO DE INVESTIMENTO EM DIREITOS CREDITÓRIOS</x:v>
      </x:c>
      <x:c r="C1677" s="188" t="n">
        <x:v>45544136.05</x:v>
      </x:c>
      <x:c r="D1677" s="166" t="str">
        <x:v>GV ATACAMA CAPITAL LTDA.</x:v>
      </x:c>
      <x:c r="E1677" s="166" t="str">
        <x:f>IFERROR(INDEX('Classif Gestoras'!$H$6:$H$462,MATCH(D1677,'Classif Gestoras'!$A$6:$A$462,0)),"Não classificada")</x:f>
        <x:v>Independente</x:v>
      </x:c>
      <x:c r="F1677" s="166" t="str">
        <x:v>Singulare</x:v>
      </x:c>
      <x:c r="G1677" s="166" t="str">
        <x:v>QI CORRETORA DE TÍTULOS E VALORES MOBILIÁRIOS S.A.</x:v>
      </x:c>
      <x:c r="H1677" s="166" t="str">
        <x:v>Outros</x:v>
      </x:c>
      <x:c r="I1677" s="166" t="str">
        <x:v>Multicarteira Outros</x:v>
      </x:c>
      <x:c r="J1677" s="166" t="str">
        <x:v>CI</x:v>
      </x:c>
      <x:c r="K1677" s="172" t="n">
        <x:v>62</x:v>
      </x:c>
      <x:c r="L1677" s="185" t="str">
        <x:v>Não classificado</x:v>
      </x:c>
    </x:row>
    <x:row r="1678">
      <x:c r="A1678" s="175" t="str">
        <x:v>55.374.251/0001-28</x:v>
      </x:c>
      <x:c r="B1678" s="166" t="str">
        <x:v>FUNDO DE INVESTIMENTO EM DIREITOS CREDITÓRIOS BLUE II SEGMENTO CRÉDITO CORPORATIVO DE RESP LTDA</x:v>
      </x:c>
      <x:c r="C1678" s="188" t="n">
        <x:v>45540872.66</x:v>
      </x:c>
      <x:c r="D1678" s="166" t="str">
        <x:v>Oliveira Trust Servicer</x:v>
      </x:c>
      <x:c r="E1678" s="166" t="str">
        <x:f>IFERROR(INDEX('Classif Gestoras'!$H$6:$H$462,MATCH(D1678,'Classif Gestoras'!$A$6:$A$462,0)),"Não classificada")</x:f>
        <x:v>Independente</x:v>
      </x:c>
      <x:c r="F1678" s="166" t="str">
        <x:v>Oliveira Trust DTVM</x:v>
      </x:c>
      <x:c r="G1678" s="166" t="str">
        <x:v>OLIVEIRA TRUST DTVM S.A.</x:v>
      </x:c>
      <x:c r="H1678" s="166" t="str">
        <x:v>Agro, Indústria e Comércio</x:v>
      </x:c>
      <x:c r="I1678" s="166" t="str">
        <x:v>Crédito Corporativo</x:v>
      </x:c>
      <x:c r="J1678" s="166" t="str">
        <x:v>CI</x:v>
      </x:c>
      <x:c r="K1678" s="172" t="n">
        <x:v>11</x:v>
      </x:c>
      <x:c r="L1678" s="185" t="str">
        <x:v>Não classificado</x:v>
      </x:c>
    </x:row>
    <x:row r="1679">
      <x:c r="A1679" s="175" t="str">
        <x:v>61.289.833/0001-09</x:v>
      </x:c>
      <x:c r="B1679" s="166" t="str">
        <x:v>FUNDO DE INVESTIMENTO EM DIREITOS CREDITÓRIOS GENIAL MULTI CONSIGNADOS II RESPONSABILIDADE LIMITADA</x:v>
      </x:c>
      <x:c r="C1679" s="188" t="n">
        <x:v>45410203.41</x:v>
      </x:c>
      <x:c r="D1679" s="166" t="str">
        <x:v>GENIAL GESTÃO LTDA.</x:v>
      </x:c>
      <x:c r="E1679" s="166" t="str">
        <x:f>IFERROR(INDEX('Classif Gestoras'!$H$6:$H$462,MATCH(D1679,'Classif Gestoras'!$A$6:$A$462,0)),"Não classificada")</x:f>
        <x:v>Ligada a banco</x:v>
      </x:c>
      <x:c r="F1679" s="166" t="str">
        <x:v>Genial Investimentos Corretora de Valores Mobiliários S.A.</x:v>
      </x:c>
      <x:c r="G1679" s="166" t="str">
        <x:v>BANCO GENIAL S.A.</x:v>
      </x:c>
      <x:c r="H1679" s="166" t="str">
        <x:v>Outros</x:v>
      </x:c>
      <x:c r="I1679" s="166" t="str">
        <x:v>Multicarteira Outros</x:v>
      </x:c>
      <x:c r="J1679" s="166" t="str">
        <x:v>CI</x:v>
      </x:c>
      <x:c r="K1679" s="172" t="n">
        <x:v>18</x:v>
      </x:c>
      <x:c r="L1679" s="185" t="str">
        <x:v>Não classificado</x:v>
      </x:c>
    </x:row>
    <x:row r="1680">
      <x:c r="A1680" s="175" t="str">
        <x:v>51.292.131/0001-20</x:v>
      </x:c>
      <x:c r="B1680" s="166" t="str">
        <x:v>SPESI I FUNDO DE INVESTIMENTO EM DIREITOS CREDITÓRIOS NÃO-PADRONIZADOS MULTISSETORIAL RESP LIMITADA</x:v>
      </x:c>
      <x:c r="C1680" s="188" t="n">
        <x:v>45151080.23</x:v>
      </x:c>
      <x:c r="D1680" s="166" t="str">
        <x:v>IDGR</x:v>
      </x:c>
      <x:c r="E1680" s="166" t="str">
        <x:f>IFERROR(INDEX('Classif Gestoras'!$H$6:$H$462,MATCH(D1680,'Classif Gestoras'!$A$6:$A$462,0)),"Não classificada")</x:f>
        <x:v>Independente</x:v>
      </x:c>
      <x:c r="F1680" s="166" t="str">
        <x:v>ID Corretora de Títulos e Valores Mobiliários S.A.</x:v>
      </x:c>
      <x:c r="G1680" s="166" t="str">
        <x:v>ID CORRETORA DE TITULOS E VALORES MOBILIARIOS S.A.</x:v>
      </x:c>
      <x:c r="H1680" s="166" t="str">
        <x:v>Outros</x:v>
      </x:c>
      <x:c r="I1680" s="166" t="str">
        <x:v>Multicarteira Outros</x:v>
      </x:c>
      <x:c r="J1680" s="166" t="str">
        <x:v>CI</x:v>
      </x:c>
      <x:c r="K1680" s="172" t="n">
        <x:v>3</x:v>
      </x:c>
      <x:c r="L1680" s="185" t="str">
        <x:v>Não classificado</x:v>
      </x:c>
    </x:row>
    <x:row r="1681">
      <x:c r="A1681" s="175" t="str">
        <x:v>20.953.316/0001-05</x:v>
      </x:c>
      <x:c r="B1681" s="166" t="str">
        <x:v>PANGU FUNDO DE INVESTIMENTO EM DIREITOS CREDITÓRIOS MULTISSETORIAL - NÃO PADRONIZADOS</x:v>
      </x:c>
      <x:c r="C1681" s="188" t="n">
        <x:v>45057763.169999994</x:v>
      </x:c>
      <x:c r="D1681" s="166" t="str">
        <x:v>Iggy Investimentos</x:v>
      </x:c>
      <x:c r="E1681" s="166" t="str">
        <x:f>IFERROR(INDEX('Classif Gestoras'!$H$6:$H$462,MATCH(D1681,'Classif Gestoras'!$A$6:$A$462,0)),"Não classificada")</x:f>
        <x:v>Independente</x:v>
      </x:c>
      <x:c r="F1681" s="166" t="str">
        <x:v>Singulare</x:v>
      </x:c>
      <x:c r="G1681" s="166" t="str">
        <x:v>QI CORRETORA DE TÍTULOS E VALORES MOBILIÁRIOS S.A.</x:v>
      </x:c>
      <x:c r="H1681" s="166" t="str">
        <x:v>Fomento Mercantil</x:v>
      </x:c>
      <x:c r="I1681" s="166" t="str">
        <x:v>Fomento Mercantil</x:v>
      </x:c>
      <x:c r="J1681" s="166" t="str">
        <x:v>CI</x:v>
      </x:c>
      <x:c r="K1681" s="172" t="n">
        <x:v>22</x:v>
      </x:c>
      <x:c r="L1681" s="185" t="str">
        <x:v>Não classificado</x:v>
      </x:c>
    </x:row>
    <x:row r="1682">
      <x:c r="A1682" s="175" t="str">
        <x:v>13.762.574/0001-49</x:v>
      </x:c>
      <x:c r="B1682" s="166" t="str">
        <x:v>SIGULER GUFF (JUS BLC) 2A FUNDO DE INVESTIMENTO EM DIREITOS CREDITÓRIOS NÃO-PADRONIZADOS</x:v>
      </x:c>
      <x:c r="C1682" s="188" t="n">
        <x:v>44971528.0965</x:v>
      </x:c>
      <x:c r="D1682" s="166" t="str">
        <x:v>Jus Capital Gestão de Recursos LTDA</x:v>
      </x:c>
      <x:c r="E1682" s="166" t="str">
        <x:f>IFERROR(INDEX('Classif Gestoras'!$H$6:$H$462,MATCH(D1682,'Classif Gestoras'!$A$6:$A$462,0)),"Não classificada")</x:f>
        <x:v>Independente</x:v>
      </x:c>
      <x:c r="F1682" s="166" t="str">
        <x:v>BTG Pactual Servicos Financeiros S/A DTVM</x:v>
      </x:c>
      <x:c r="G1682" s="166" t="str">
        <x:v>BANCO BTG PACTUAL S/A</x:v>
      </x:c>
      <x:c r="H1682" s="166" t="str">
        <x:v>Outros</x:v>
      </x:c>
      <x:c r="I1682" s="166" t="str">
        <x:v>Multicarteira Outros</x:v>
      </x:c>
      <x:c r="J1682" s="166" t="str">
        <x:v>CI</x:v>
      </x:c>
      <x:c r="K1682" s="172" t="n">
        <x:v>1</x:v>
      </x:c>
      <x:c r="L1682" s="185" t="str">
        <x:v>Não classificado</x:v>
      </x:c>
    </x:row>
    <x:row r="1683">
      <x:c r="A1683" s="175" t="str">
        <x:v>44.395.545/0001-10</x:v>
      </x:c>
      <x:c r="B1683" s="166" t="str">
        <x:v>CONDOCONTA FUNDO DE INVESTIMENTO EM DIREITOS CREDITÓRIOS</x:v>
      </x:c>
      <x:c r="C1683" s="188" t="n">
        <x:v>44890197.13999999</x:v>
      </x:c>
      <x:c r="D1683" s="166" t="str">
        <x:v>AUGME CAPITAL GESTÃO DE RECURSOS LTDA.</x:v>
      </x:c>
      <x:c r="E1683" s="166" t="str">
        <x:f>IFERROR(INDEX('Classif Gestoras'!$H$6:$H$462,MATCH(D1683,'Classif Gestoras'!$A$6:$A$462,0)),"Não classificada")</x:f>
        <x:v>Independente</x:v>
      </x:c>
      <x:c r="F1683" s="166" t="str">
        <x:v>FIDD DISTRIBUIDORA DE TITULOS E VALORES MOBILIARIOS LTD</x:v>
      </x:c>
      <x:c r="G1683" s="166" t="str">
        <x:v>FIDD DISTRIBUIDORA DE TITULOS E VALORES MOBILIARIOS LTDA.</x:v>
      </x:c>
      <x:c r="H1683" s="166" t="str">
        <x:v>Outros</x:v>
      </x:c>
      <x:c r="I1683" s="166" t="str">
        <x:v>Multicarteira Outros</x:v>
      </x:c>
      <x:c r="J1683" s="166" t="str">
        <x:v>CI</x:v>
      </x:c>
      <x:c r="K1683" s="172" t="n">
        <x:v>13</x:v>
      </x:c>
      <x:c r="L1683" s="185" t="str">
        <x:v>Não classificado</x:v>
      </x:c>
    </x:row>
    <x:row r="1684">
      <x:c r="A1684" s="175" t="str">
        <x:v>34.964.344/0001-32</x:v>
      </x:c>
      <x:c r="B1684" s="166" t="str">
        <x:v>JC CRÉDITOS JUDICIAIS FUNDO DE INVESTIMENTO EM DIREITOS CREDITÓRIOS NÃO-PADRONIZADOS</x:v>
      </x:c>
      <x:c r="C1684" s="188" t="n">
        <x:v>44834851.15749999</x:v>
      </x:c>
      <x:c r="D1684" s="166" t="str">
        <x:v>Jus Capital Gestão de Recursos LTDA</x:v>
      </x:c>
      <x:c r="E1684" s="166" t="str">
        <x:f>IFERROR(INDEX('Classif Gestoras'!$H$6:$H$462,MATCH(D1684,'Classif Gestoras'!$A$6:$A$462,0)),"Não classificada")</x:f>
        <x:v>Independente</x:v>
      </x:c>
      <x:c r="F1684" s="166" t="str">
        <x:v>BTG Pactual Servicos Financeiros S/A DTVM</x:v>
      </x:c>
      <x:c r="G1684" s="166" t="str">
        <x:v>BANCO BTG PACTUAL S/A</x:v>
      </x:c>
      <x:c r="H1684" s="166" t="str">
        <x:v>Outros</x:v>
      </x:c>
      <x:c r="I1684" s="166" t="str">
        <x:v>Poder Público</x:v>
      </x:c>
      <x:c r="J1684" s="166" t="str">
        <x:v>CI</x:v>
      </x:c>
      <x:c r="K1684" s="172" t="n">
        <x:v>3</x:v>
      </x:c>
      <x:c r="L1684" s="185" t="str">
        <x:v>Não classificado</x:v>
      </x:c>
    </x:row>
    <x:row r="1685">
      <x:c r="A1685" s="175" t="str">
        <x:v>55.948.310/0001-24</x:v>
      </x:c>
      <x:c r="B1685" s="166" t="str">
        <x:v>NR11 FUNDO DE INVESTIMENTO EM DIREITOS CREDITÓRIOS DE RESPONSABILIDADE LIMITADA</x:v>
      </x:c>
      <x:c r="C1685" s="188" t="n">
        <x:v>44821475.29</x:v>
      </x:c>
      <x:c r="D1685" s="166" t="str">
        <x:v>Catálise Investimentos</x:v>
      </x:c>
      <x:c r="E1685" s="166" t="str">
        <x:f>IFERROR(INDEX('Classif Gestoras'!$H$6:$H$462,MATCH(D1685,'Classif Gestoras'!$A$6:$A$462,0)),"Não classificada")</x:f>
        <x:v>Independente</x:v>
      </x:c>
      <x:c r="F1685" s="166" t="str">
        <x:v>CATÁLISE DTVM</x:v>
      </x:c>
      <x:c r="G1685" s="166" t="str">
        <x:v>BANCO DAYCOVAL S.A.</x:v>
      </x:c>
      <x:c r="H1685" s="166" t="str">
        <x:v>Agro, Indústria e Comércio</x:v>
      </x:c>
      <x:c r="I1685" s="166" t="str">
        <x:v>Recebíveis Comerciais</x:v>
      </x:c>
      <x:c r="J1685" s="166" t="str">
        <x:v>CI</x:v>
      </x:c>
      <x:c r="K1685" s="172" t="n">
        <x:v>1</x:v>
      </x:c>
      <x:c r="L1685" s="185" t="str">
        <x:v>Não classificado</x:v>
      </x:c>
    </x:row>
    <x:row r="1686">
      <x:c r="A1686" s="175" t="str">
        <x:v>63.823.304/0001-79</x:v>
      </x:c>
      <x:c r="B1686" s="166" t="str">
        <x:v>NTZ FINANCIAMENTOS LONGO PRAZO FUNDO DE INVESTIMENTO EM DIREITOS CREDITÓRIOS RESP LIMITADA</x:v>
      </x:c>
      <x:c r="C1686" s="188" t="n">
        <x:v>44606055.06</x:v>
      </x:c>
      <x:c r="D1686" s="166" t="str">
        <x:v>Netz Asset</x:v>
      </x:c>
      <x:c r="E1686" s="166" t="str">
        <x:f>IFERROR(INDEX('Classif Gestoras'!$H$6:$H$462,MATCH(D1686,'Classif Gestoras'!$A$6:$A$462,0)),"Não classificada")</x:f>
        <x:v>Independente</x:v>
      </x:c>
      <x:c r="F1686" s="166" t="str">
        <x:v>BRL TRUST DTVM</x:v>
      </x:c>
      <x:c r="G1686" s="166" t="str">
        <x:v>BRL TRUST DISTRIBUIDORA DE TITULOS E VALORES MOBILIARIOS S.A.</x:v>
      </x:c>
      <x:c r="H1686" s="166" t="str">
        <x:v>Outros</x:v>
      </x:c>
      <x:c r="I1686" s="166" t="str">
        <x:v>Multicarteira Outros</x:v>
      </x:c>
      <x:c r="J1686" s="166" t="str">
        <x:v>CI</x:v>
      </x:c>
      <x:c r="K1686" s="172" t="n">
        <x:v>9</x:v>
      </x:c>
      <x:c r="L1686" s="185" t="str">
        <x:v>Não classificado</x:v>
      </x:c>
    </x:row>
    <x:row r="1687">
      <x:c r="A1687" s="175" t="str">
        <x:v>50.462.226/0001-82</x:v>
      </x:c>
      <x:c r="B1687" s="166" t="str">
        <x:v>PENSILVANIA FUNDO DE INVESTIMENTO EM DIREITOS CREDITÓRIOS NÃO-PADRONIZADOS RESPONSABILIDADE LIMITADA</x:v>
      </x:c>
      <x:c r="C1687" s="188" t="n">
        <x:v>44603427.03</x:v>
      </x:c>
      <x:c r="D1687" s="166" t="str">
        <x:v>IDGR</x:v>
      </x:c>
      <x:c r="E1687" s="166" t="str">
        <x:f>IFERROR(INDEX('Classif Gestoras'!$H$6:$H$462,MATCH(D1687,'Classif Gestoras'!$A$6:$A$462,0)),"Não classificada")</x:f>
        <x:v>Independente</x:v>
      </x:c>
      <x:c r="F1687" s="166" t="str">
        <x:v>ID Corretora de Títulos e Valores Mobiliários S.A.</x:v>
      </x:c>
      <x:c r="G1687" s="166" t="str">
        <x:v>ID CORRETORA DE TITULOS E VALORES MOBILIARIOS S.A.</x:v>
      </x:c>
      <x:c r="H1687" s="166" t="str">
        <x:v>Outros</x:v>
      </x:c>
      <x:c r="I1687" s="166" t="str">
        <x:v>Multicarteira Outros</x:v>
      </x:c>
      <x:c r="J1687" s="166" t="str">
        <x:v>CI</x:v>
      </x:c>
      <x:c r="K1687" s="172" t="n">
        <x:v>1</x:v>
      </x:c>
      <x:c r="L1687" s="185" t="str">
        <x:v>Não classificado</x:v>
      </x:c>
    </x:row>
    <x:row r="1688">
      <x:c r="A1688" s="175" t="str">
        <x:v>52.327.272/0001-02</x:v>
      </x:c>
      <x:c r="B1688" s="166" t="str">
        <x:v>MEDSYSTEMS B24 FIDC SEGMENTO RECEBIVEIS COMECIAIS DE RESPONSABILIDADE LIMITADA</x:v>
      </x:c>
      <x:c r="C1688" s="188" t="n">
        <x:v>44576624.31</x:v>
      </x:c>
      <x:c r="D1688" s="166" t="str">
        <x:v>GENIAL GESTÃO LTDA.</x:v>
      </x:c>
      <x:c r="E1688" s="166" t="str">
        <x:f>IFERROR(INDEX('Classif Gestoras'!$H$6:$H$462,MATCH(D1688,'Classif Gestoras'!$A$6:$A$462,0)),"Não classificada")</x:f>
        <x:v>Ligada a banco</x:v>
      </x:c>
      <x:c r="F1688" s="166" t="str">
        <x:v>Banco Genial S.A.</x:v>
      </x:c>
      <x:c r="G1688" s="166" t="str">
        <x:v>BANCO GENIAL S.A.</x:v>
      </x:c>
      <x:c r="H1688" s="166" t="str">
        <x:v>Agro, Indústria e Comércio</x:v>
      </x:c>
      <x:c r="I1688" s="166" t="str">
        <x:v>Recebíveis Comerciais</x:v>
      </x:c>
      <x:c r="J1688" s="166" t="str">
        <x:v>CI</x:v>
      </x:c>
      <x:c r="K1688" s="172" t="n">
        <x:v>6</x:v>
      </x:c>
      <x:c r="L1688" s="185" t="str">
        <x:v>Não classificado</x:v>
      </x:c>
    </x:row>
    <x:row r="1689">
      <x:c r="A1689" s="175" t="str">
        <x:v>55.154.982/0001-68</x:v>
      </x:c>
      <x:c r="B1689" s="166" t="str">
        <x:v>RJ3D FUNDO DE INVESTIMENTO EM DIREITOS CREDITÓRIOS</x:v>
      </x:c>
      <x:c r="C1689" s="188" t="n">
        <x:v>44514520.629999995</x:v>
      </x:c>
      <x:c r="D1689" s="166" t="str">
        <x:v>D3 Capital</x:v>
      </x:c>
      <x:c r="E1689" s="166" t="str">
        <x:f>IFERROR(INDEX('Classif Gestoras'!$H$6:$H$462,MATCH(D1689,'Classif Gestoras'!$A$6:$A$462,0)),"Não classificada")</x:f>
        <x:v>Independente</x:v>
      </x:c>
      <x:c r="F1689" s="166" t="str">
        <x:v>MONETAR DISTRIBUIDORA DE TITUL</x:v>
      </x:c>
      <x:c r="G1689" s="166" t="str">
        <x:v>TERRA INVESTIMENTOS DISTRIBUIDORA DE TITULOS E VALORES MOBILIARIOS LTDA</x:v>
      </x:c>
      <x:c r="H1689" s="166" t="str">
        <x:v>Outros</x:v>
      </x:c>
      <x:c r="I1689" s="166" t="str">
        <x:v>Multicarteira Outros</x:v>
      </x:c>
      <x:c r="J1689" s="166" t="str">
        <x:v>CI</x:v>
      </x:c>
      <x:c r="K1689" s="172" t="n">
        <x:v>1</x:v>
      </x:c>
      <x:c r="L1689" s="185" t="str">
        <x:v>Não classificado</x:v>
      </x:c>
    </x:row>
    <x:row r="1690">
      <x:c r="A1690" s="175" t="str">
        <x:v>58.363.671/0001-05</x:v>
      </x:c>
      <x:c r="B1690" s="166" t="str">
        <x:v>ROCK AX FUNDO DE INVESTIMENTO EM DIREITOS CREDITÓRIOS</x:v>
      </x:c>
      <x:c r="C1690" s="188" t="n">
        <x:v>44489719.93</x:v>
      </x:c>
      <x:c r="D1690" s="166" t="str">
        <x:v>Terra Asset Management</x:v>
      </x:c>
      <x:c r="E1690" s="166" t="str">
        <x:f>IFERROR(INDEX('Classif Gestoras'!$H$6:$H$462,MATCH(D1690,'Classif Gestoras'!$A$6:$A$462,0)),"Não classificada")</x:f>
        <x:v>Independente</x:v>
      </x:c>
      <x:c r="F1690" s="166" t="str">
        <x:v>MONETAR DISTRIBUIDORA DE TITUL</x:v>
      </x:c>
      <x:c r="G1690" s="166" t="str">
        <x:v>TERRA INVESTIMENTOS DISTRIBUIDORA DE TITULOS E VALORES MOBILIARIOS LTDA</x:v>
      </x:c>
      <x:c r="H1690" s="166" t="str">
        <x:v>Outros</x:v>
      </x:c>
      <x:c r="I1690" s="166" t="str">
        <x:v>Multicarteira Outros</x:v>
      </x:c>
      <x:c r="J1690" s="166" t="str">
        <x:v>CI</x:v>
      </x:c>
      <x:c r="K1690" s="172" t="n">
        <x:v>2</x:v>
      </x:c>
      <x:c r="L1690" s="185" t="str">
        <x:v>Não classificado</x:v>
      </x:c>
    </x:row>
    <x:row r="1691">
      <x:c r="A1691" s="175" t="str">
        <x:v>55.993.250/0001-61</x:v>
      </x:c>
      <x:c r="B1691" s="166" t="str">
        <x:v>K2 FUNDO DE INVESTIMENTO EM DIREITOS CREDITÓRIOS</x:v>
      </x:c>
      <x:c r="C1691" s="188" t="n">
        <x:v>44450941.41</x:v>
      </x:c>
      <x:c r="D1691" s="166" t="str">
        <x:v>TERCON ASSET MANAGEMENT</x:v>
      </x:c>
      <x:c r="E1691" s="166" t="str">
        <x:f>IFERROR(INDEX('Classif Gestoras'!$H$6:$H$462,MATCH(D1691,'Classif Gestoras'!$A$6:$A$462,0)),"Não classificada")</x:f>
        <x:v>Independente</x:v>
      </x:c>
      <x:c r="F1691" s="166" t="str">
        <x:v>Singulare</x:v>
      </x:c>
      <x:c r="G1691" s="166" t="str">
        <x:v>QI CORRETORA DE TÍTULOS E VALORES MOBILIÁRIOS S.A.</x:v>
      </x:c>
      <x:c r="H1691" s="166" t="str">
        <x:v>Fomento Mercantil</x:v>
      </x:c>
      <x:c r="I1691" s="166" t="str">
        <x:v>Fomento Mercantil</x:v>
      </x:c>
      <x:c r="J1691" s="166" t="str">
        <x:v>CI</x:v>
      </x:c>
      <x:c r="K1691" s="172" t="n">
        <x:v>8</x:v>
      </x:c>
      <x:c r="L1691" s="185" t="str">
        <x:v>Não classificado</x:v>
      </x:c>
    </x:row>
    <x:row r="1692">
      <x:c r="A1692" s="175" t="str">
        <x:v>25.970.315/0001-92</x:v>
      </x:c>
      <x:c r="B1692" s="166" t="str">
        <x:v>DELPAR FUNDO DE INVESTIMENTO EM DIREITOS CREDITÓRIOS</x:v>
      </x:c>
      <x:c r="C1692" s="188" t="n">
        <x:v>44293641.81</x:v>
      </x:c>
      <x:c r="D1692" s="166" t="str">
        <x:v>TERCON ASSET MANAGEMENT</x:v>
      </x:c>
      <x:c r="E1692" s="166" t="str">
        <x:f>IFERROR(INDEX('Classif Gestoras'!$H$6:$H$462,MATCH(D1692,'Classif Gestoras'!$A$6:$A$462,0)),"Não classificada")</x:f>
        <x:v>Independente</x:v>
      </x:c>
      <x:c r="F1692" s="166" t="str">
        <x:v>Singulare</x:v>
      </x:c>
      <x:c r="G1692" s="166" t="str">
        <x:v>QI CORRETORA DE TÍTULOS E VALORES MOBILIÁRIOS S.A.</x:v>
      </x:c>
      <x:c r="H1692" s="166" t="str">
        <x:v>Fomento Mercantil</x:v>
      </x:c>
      <x:c r="I1692" s="166" t="str">
        <x:v>Fomento Mercantil</x:v>
      </x:c>
      <x:c r="J1692" s="166" t="str">
        <x:v>CI</x:v>
      </x:c>
      <x:c r="K1692" s="172" t="n">
        <x:v>4</x:v>
      </x:c>
      <x:c r="L1692" s="185" t="str">
        <x:v>Não classificado</x:v>
      </x:c>
    </x:row>
    <x:row r="1693">
      <x:c r="A1693" s="175" t="str">
        <x:v>52.519.160/0001-45</x:v>
      </x:c>
      <x:c r="B1693" s="166" t="str">
        <x:v>MEDTECH CPV FUNDO DE INVESTIMENTO EM DIREITOS CREDITÓRIOS</x:v>
      </x:c>
      <x:c r="C1693" s="188" t="n">
        <x:v>44291336.63</x:v>
      </x:c>
      <x:c r="D1693" s="166" t="str">
        <x:v>CPV ASSET</x:v>
      </x:c>
      <x:c r="E1693" s="166" t="str">
        <x:f>IFERROR(INDEX('Classif Gestoras'!$H$6:$H$462,MATCH(D1693,'Classif Gestoras'!$A$6:$A$462,0)),"Não classificada")</x:f>
        <x:v>Independente</x:v>
      </x:c>
      <x:c r="F1693" s="166" t="str">
        <x:v>Singulare</x:v>
      </x:c>
      <x:c r="G1693" s="166" t="str">
        <x:v>QI CORRETORA DE TÍTULOS E VALORES MOBILIÁRIOS S.A.</x:v>
      </x:c>
      <x:c r="H1693" s="166" t="str">
        <x:v>Outros</x:v>
      </x:c>
      <x:c r="I1693" s="166" t="str">
        <x:v>Multicarteira Outros</x:v>
      </x:c>
      <x:c r="J1693" s="166" t="str">
        <x:v>CI</x:v>
      </x:c>
      <x:c r="K1693" s="172" t="n">
        <x:v>5</x:v>
      </x:c>
      <x:c r="L1693" s="185" t="str">
        <x:v>Não classificado</x:v>
      </x:c>
    </x:row>
    <x:row r="1694">
      <x:c r="A1694" s="175" t="str">
        <x:v>45.523.882/0001-08</x:v>
      </x:c>
      <x:c r="B1694" s="166" t="str">
        <x:v>SC FUNDO DE INVESTIMENTO EM DIREITOS CREDITÓRIOS</x:v>
      </x:c>
      <x:c r="C1694" s="188" t="n">
        <x:v>44058699.8</x:v>
      </x:c>
      <x:c r="D1694" s="166" t="str">
        <x:v>M8 Partners</x:v>
      </x:c>
      <x:c r="E1694" s="166" t="str">
        <x:f>IFERROR(INDEX('Classif Gestoras'!$H$6:$H$462,MATCH(D1694,'Classif Gestoras'!$A$6:$A$462,0)),"Não classificada")</x:f>
        <x:v>Independente</x:v>
      </x:c>
      <x:c r="F1694" s="166" t="str">
        <x:v>Singulare</x:v>
      </x:c>
      <x:c r="G1694" s="166" t="str">
        <x:v>QI CORRETORA DE TÍTULOS E VALORES MOBILIÁRIOS S.A.</x:v>
      </x:c>
      <x:c r="H1694" s="166" t="str">
        <x:v>Fomento Mercantil</x:v>
      </x:c>
      <x:c r="I1694" s="166" t="str">
        <x:v>Fomento Mercantil</x:v>
      </x:c>
      <x:c r="J1694" s="166" t="str">
        <x:v>CI</x:v>
      </x:c>
      <x:c r="K1694" s="172" t="n">
        <x:v>13</x:v>
      </x:c>
      <x:c r="L1694" s="185" t="str">
        <x:v>Não classificado</x:v>
      </x:c>
    </x:row>
    <x:row r="1695">
      <x:c r="A1695" s="175" t="str">
        <x:v>54.326.936/0001-36</x:v>
      </x:c>
      <x:c r="B1695" s="166" t="str">
        <x:v>FUNDO DE INVESTIMENTO EM DIREITOS CREDITÓRIOS DE RESPONSABILIDADE LIMITADA SAQUE FGTS</x:v>
      </x:c>
      <x:c r="C1695" s="188" t="n">
        <x:v>43966977.83</x:v>
      </x:c>
      <x:c r="D1695" s="166" t="str">
        <x:v>Ext Capital</x:v>
      </x:c>
      <x:c r="E1695" s="166" t="str">
        <x:f>IFERROR(INDEX('Classif Gestoras'!$H$6:$H$462,MATCH(D1695,'Classif Gestoras'!$A$6:$A$462,0)),"Não classificada")</x:f>
        <x:v>Independente</x:v>
      </x:c>
      <x:c r="F1695" s="166" t="str">
        <x:v>BANCO DAYCOVAL S/A</x:v>
      </x:c>
      <x:c r="G1695" s="166" t="str">
        <x:v>BANCO DAYCOVAL S.A.</x:v>
      </x:c>
      <x:c r="H1695" s="166" t="str">
        <x:v>Financeiro</x:v>
      </x:c>
      <x:c r="I1695" s="166" t="str">
        <x:v>Crédito Pessoal</x:v>
      </x:c>
      <x:c r="J1695" s="166" t="str">
        <x:v>CI</x:v>
      </x:c>
      <x:c r="K1695" s="172" t="n">
        <x:v>31</x:v>
      </x:c>
      <x:c r="L1695" s="185" t="str">
        <x:v>Não classificado</x:v>
      </x:c>
    </x:row>
    <x:row r="1696">
      <x:c r="A1696" s="175" t="str">
        <x:v>55.249.383/0001-28</x:v>
      </x:c>
      <x:c r="B1696" s="166" t="str">
        <x:v>ALGARVE PRECATÓRIOS I FUNDO DE INVESTIMENTO EM DIREITOS CREDITÓRIOS - RESPONSABILIDADE LIMITADA</x:v>
      </x:c>
      <x:c r="C1696" s="188" t="n">
        <x:v>43818351.67</x:v>
      </x:c>
      <x:c r="D1696" s="166" t="str">
        <x:v>Algarve Capital</x:v>
      </x:c>
      <x:c r="E1696" s="166" t="str">
        <x:f>IFERROR(INDEX('Classif Gestoras'!$H$6:$H$462,MATCH(D1696,'Classif Gestoras'!$A$6:$A$462,0)),"Não classificada")</x:f>
        <x:v>Independente</x:v>
      </x:c>
      <x:c r="F1696" s="166" t="str">
        <x:v>BANCO DAYCOVAL S/A</x:v>
      </x:c>
      <x:c r="G1696" s="166" t="str">
        <x:v>BANCO DAYCOVAL S.A.</x:v>
      </x:c>
      <x:c r="H1696" s="166" t="str">
        <x:v>Outros</x:v>
      </x:c>
      <x:c r="I1696" s="166" t="str">
        <x:v>Multicarteira Outros</x:v>
      </x:c>
      <x:c r="J1696" s="166" t="str">
        <x:v>CI</x:v>
      </x:c>
      <x:c r="K1696" s="172" t="n">
        <x:v>5</x:v>
      </x:c>
      <x:c r="L1696" s="185" t="str">
        <x:v>Não classificado</x:v>
      </x:c>
    </x:row>
    <x:row r="1697">
      <x:c r="A1697" s="175" t="str">
        <x:v>52.093.999/0001-64</x:v>
      </x:c>
      <x:c r="B1697" s="166" t="str">
        <x:v>VALORIZA FUNDO DE INVESTIMENTO EM DIREITOS CREDITÓRIOS RESPONSABILIDADE LIMITADA</x:v>
      </x:c>
      <x:c r="C1697" s="188" t="n">
        <x:v>43765064.32</x:v>
      </x:c>
      <x:c r="D1697" s="166" t="str">
        <x:v>CERES ASSET</x:v>
      </x:c>
      <x:c r="E1697" s="166" t="str">
        <x:f>IFERROR(INDEX('Classif Gestoras'!$H$6:$H$462,MATCH(D1697,'Classif Gestoras'!$A$6:$A$462,0)),"Não classificada")</x:f>
        <x:v>Independente</x:v>
      </x:c>
      <x:c r="F1697" s="166" t="str">
        <x:v>Singulare</x:v>
      </x:c>
      <x:c r="G1697" s="166" t="str">
        <x:v>QI CORRETORA DE TÍTULOS E VALORES MOBILIÁRIOS S.A.</x:v>
      </x:c>
      <x:c r="H1697" s="166" t="str">
        <x:v>Agro, Indústria e Comércio</x:v>
      </x:c>
      <x:c r="I1697" s="166" t="str">
        <x:v>Agronegócio</x:v>
      </x:c>
      <x:c r="J1697" s="166" t="str">
        <x:v>CI</x:v>
      </x:c>
      <x:c r="K1697" s="172" t="n">
        <x:v>47</x:v>
      </x:c>
      <x:c r="L1697" s="185" t="str">
        <x:v>Não classificado</x:v>
      </x:c>
    </x:row>
    <x:row r="1698">
      <x:c r="A1698" s="175" t="str">
        <x:v>39.737.206/0001-34</x:v>
      </x:c>
      <x:c r="B1698" s="166" t="str">
        <x:v>QG DISTRESSED II FUNDO DE INVESTIMENTO EM DIREITOS CREDITÓRIOS - RESPONSABILIDADE LIMITADA</x:v>
      </x:c>
      <x:c r="C1698" s="188" t="n">
        <x:v>43751527.010000005</x:v>
      </x:c>
      <x:c r="D1698" s="166" t="str">
        <x:v>Quadra Gestão de Recursos S.A.</x:v>
      </x:c>
      <x:c r="E1698" s="166" t="str">
        <x:f>IFERROR(INDEX('Classif Gestoras'!$H$6:$H$462,MATCH(D1698,'Classif Gestoras'!$A$6:$A$462,0)),"Não classificada")</x:f>
        <x:v>Independente</x:v>
      </x:c>
      <x:c r="F1698" s="166" t="str">
        <x:v>BNY MELLON SERVICOS</x:v>
      </x:c>
      <x:c r="G1698" s="166" t="str">
        <x:v>BNY MELLON BANCO S.A.</x:v>
      </x:c>
      <x:c r="H1698" s="166" t="str">
        <x:v>Outros</x:v>
      </x:c>
      <x:c r="I1698" s="166" t="str">
        <x:v>Multicarteira Outros</x:v>
      </x:c>
      <x:c r="J1698" s="166" t="str">
        <x:v>CI</x:v>
      </x:c>
      <x:c r="K1698" s="172" t="n">
        <x:v>1</x:v>
      </x:c>
      <x:c r="L1698" s="185" t="str">
        <x:v>Não classificado</x:v>
      </x:c>
    </x:row>
    <x:row r="1699">
      <x:c r="A1699" s="175" t="str">
        <x:v>54.410.544/0001-50</x:v>
      </x:c>
      <x:c r="B1699" s="166" t="str">
        <x:v>SP SELECIONADOS I FUNDO DE INVESTIMENTO EM DIREITOS CREDITÓRIOS - RESPONSABILIDADE LIMITADA</x:v>
      </x:c>
      <x:c r="C1699" s="188" t="n">
        <x:v>43588326.61000001</x:v>
      </x:c>
      <x:c r="D1699" s="166" t="str">
        <x:v>BURITI INVESTIMENTOS</x:v>
      </x:c>
      <x:c r="E1699" s="166" t="str">
        <x:f>IFERROR(INDEX('Classif Gestoras'!$H$6:$H$462,MATCH(D1699,'Classif Gestoras'!$A$6:$A$462,0)),"Não classificada")</x:f>
        <x:v>Independente</x:v>
      </x:c>
      <x:c r="F1699" s="166" t="str">
        <x:v>Singulare</x:v>
      </x:c>
      <x:c r="G1699" s="166" t="str">
        <x:v>QI CORRETORA DE TÍTULOS E VALORES MOBILIÁRIOS S.A.</x:v>
      </x:c>
      <x:c r="H1699" s="166" t="str">
        <x:v>Outros</x:v>
      </x:c>
      <x:c r="I1699" s="166" t="str">
        <x:v>Poder Público</x:v>
      </x:c>
      <x:c r="J1699" s="166" t="str">
        <x:v>CI</x:v>
      </x:c>
      <x:c r="K1699" s="172" t="n">
        <x:v>11</x:v>
      </x:c>
      <x:c r="L1699" s="185" t="str">
        <x:v>Não classificado</x:v>
      </x:c>
    </x:row>
    <x:row r="1700">
      <x:c r="A1700" s="175" t="str">
        <x:v>12.377.935/0001-70</x:v>
      </x:c>
      <x:c r="B1700" s="166" t="str">
        <x:v>MATURITY FUNDO DE INVESTIMENTO EM DIREITOS CREDITÓRIOS MULTISSEGMENTOS</x:v>
      </x:c>
      <x:c r="C1700" s="188" t="n">
        <x:v>43579124.01</x:v>
      </x:c>
      <x:c r="D1700" s="166" t="str">
        <x:v>Petra Capital</x:v>
      </x:c>
      <x:c r="E1700" s="166" t="str">
        <x:f>IFERROR(INDEX('Classif Gestoras'!$H$6:$H$462,MATCH(D1700,'Classif Gestoras'!$A$6:$A$462,0)),"Não classificada")</x:f>
        <x:v>Independente</x:v>
      </x:c>
      <x:c r="F1700" s="166" t="str">
        <x:v>Banco Finaxis S.A.</x:v>
      </x:c>
      <x:c r="G1700" s="166" t="str">
        <x:v>BANCO FINAXIS S.A.</x:v>
      </x:c>
      <x:c r="H1700" s="166" t="str">
        <x:v>Fomento Mercantil</x:v>
      </x:c>
      <x:c r="I1700" s="166" t="str">
        <x:v>Fomento Mercantil</x:v>
      </x:c>
      <x:c r="J1700" s="166" t="str">
        <x:v>CI</x:v>
      </x:c>
      <x:c r="K1700" s="172" t="n">
        <x:v>3</x:v>
      </x:c>
      <x:c r="L1700" s="185" t="str">
        <x:v>Não classificado</x:v>
      </x:c>
    </x:row>
    <x:row r="1701">
      <x:c r="A1701" s="175" t="str">
        <x:v>12.910.431/0001-74</x:v>
      </x:c>
      <x:c r="B1701" s="166" t="str">
        <x:v>MEINBERG FUNDO DE INVESTIMENTO EM DIREITOS CREDITORIOS MULTISSETORIAL</x:v>
      </x:c>
      <x:c r="C1701" s="188" t="n">
        <x:v>43527807.41</x:v>
      </x:c>
      <x:c r="D1701" s="166" t="str">
        <x:v>OURO PRETO INVESTIMENTOS</x:v>
      </x:c>
      <x:c r="E1701" s="166" t="str">
        <x:f>IFERROR(INDEX('Classif Gestoras'!$H$6:$H$462,MATCH(D1701,'Classif Gestoras'!$A$6:$A$462,0)),"Não classificada")</x:f>
        <x:v>Independente</x:v>
      </x:c>
      <x:c r="F1701" s="166" t="str">
        <x:v>Singulare</x:v>
      </x:c>
      <x:c r="G1701" s="166" t="str">
        <x:v>QI CORRETORA DE TÍTULOS E VALORES MOBILIÁRIOS S.A.</x:v>
      </x:c>
      <x:c r="H1701" s="166" t="str">
        <x:v>Fomento Mercantil</x:v>
      </x:c>
      <x:c r="I1701" s="166" t="str">
        <x:v>Fomento Mercantil</x:v>
      </x:c>
      <x:c r="J1701" s="166" t="str">
        <x:v>CI</x:v>
      </x:c>
      <x:c r="K1701" s="172" t="n">
        <x:v>6</x:v>
      </x:c>
      <x:c r="L1701" s="185" t="str">
        <x:v>Não classificado</x:v>
      </x:c>
    </x:row>
    <x:row r="1702">
      <x:c r="A1702" s="175" t="str">
        <x:v>42.043.830/0001-46</x:v>
      </x:c>
      <x:c r="B1702" s="166" t="str">
        <x:v>ALGARVE MALL FUNDO DE INVESTIMENTO EM DIREITOS CREDITÓRIOS - RESPONSABILIDADE LIMITADA</x:v>
      </x:c>
      <x:c r="C1702" s="188" t="n">
        <x:v>43509084.33</x:v>
      </x:c>
      <x:c r="D1702" s="166" t="str">
        <x:v>Algarve Capital</x:v>
      </x:c>
      <x:c r="E1702" s="166" t="str">
        <x:f>IFERROR(INDEX('Classif Gestoras'!$H$6:$H$462,MATCH(D1702,'Classif Gestoras'!$A$6:$A$462,0)),"Não classificada")</x:f>
        <x:v>Independente</x:v>
      </x:c>
      <x:c r="F1702" s="166" t="str">
        <x:v>MAF Distribuidora de Títulos e Valores Mobiliários S.A.</x:v>
      </x:c>
      <x:c r="G1702" s="166" t="str">
        <x:v>MAF DISTRIBUIDORA DE TITULOS E VALORES MOBILIARIOS S.A.</x:v>
      </x:c>
      <x:c r="H1702" s="166" t="str">
        <x:v>Outros</x:v>
      </x:c>
      <x:c r="I1702" s="166" t="str">
        <x:v>Multicarteira Outros</x:v>
      </x:c>
      <x:c r="J1702" s="166" t="str">
        <x:v>CI</x:v>
      </x:c>
      <x:c r="K1702" s="172" t="n">
        <x:v>2</x:v>
      </x:c>
      <x:c r="L1702" s="185" t="str">
        <x:v>Não classificado</x:v>
      </x:c>
    </x:row>
    <x:row r="1703">
      <x:c r="A1703" s="175" t="str">
        <x:v>53.635.506/0001-33</x:v>
      </x:c>
      <x:c r="B1703" s="166" t="str">
        <x:v>CROW TECH FUNDO DE INVESTIMENTO EM DIREITOS CREDITÓRIOS NÃO-PADRONIZADOS</x:v>
      </x:c>
      <x:c r="C1703" s="188" t="n">
        <x:v>43351775.04</x:v>
      </x:c>
      <x:c r="D1703" s="166" t="str">
        <x:v>IBBRA GESTÃO</x:v>
      </x:c>
      <x:c r="E1703" s="166" t="str">
        <x:f>IFERROR(INDEX('Classif Gestoras'!$H$6:$H$462,MATCH(D1703,'Classif Gestoras'!$A$6:$A$462,0)),"Não classificada")</x:f>
        <x:v>Independente</x:v>
      </x:c>
      <x:c r="F1703" s="166" t="str">
        <x:v>AZUMI DISTRIBUIDORA DE TÍTULOS E VALORES MOBILIÁRIOS LT</x:v>
      </x:c>
      <x:c r="G1703" s="166" t="str">
        <x:v>AZUMI DISTRIBUIDORA DE TÍTULOS E VALORES MOBILIÁRIOS LTDA.</x:v>
      </x:c>
      <x:c r="H1703" s="166" t="str">
        <x:v>Outros</x:v>
      </x:c>
      <x:c r="I1703" s="166" t="str">
        <x:v>Multicarteira Outros</x:v>
      </x:c>
      <x:c r="J1703" s="166" t="str">
        <x:v>CI</x:v>
      </x:c>
      <x:c r="K1703" s="172" t="n">
        <x:v>1</x:v>
      </x:c>
      <x:c r="L1703" s="185" t="str">
        <x:v>Não classificado</x:v>
      </x:c>
    </x:row>
    <x:row r="1704">
      <x:c r="A1704" s="175" t="str">
        <x:v>61.089.007/0001-16</x:v>
      </x:c>
      <x:c r="B1704" s="166" t="str">
        <x:v>VAREJO ENERGIA II FUNDO DE INVESTIMENTO EM DIREITOS CREDITÓRIOS</x:v>
      </x:c>
      <x:c r="C1704" s="188" t="n">
        <x:v>43288191.33</x:v>
      </x:c>
      <x:c r="D1704" s="166" t="str">
        <x:v>TERCON ASSET MANAGEMENT</x:v>
      </x:c>
      <x:c r="E1704" s="166" t="str">
        <x:f>IFERROR(INDEX('Classif Gestoras'!$H$6:$H$462,MATCH(D1704,'Classif Gestoras'!$A$6:$A$462,0)),"Não classificada")</x:f>
        <x:v>Independente</x:v>
      </x:c>
      <x:c r="F1704" s="166" t="str">
        <x:v>Singulare</x:v>
      </x:c>
      <x:c r="G1704" s="166" t="str">
        <x:v>QI CORRETORA DE TÍTULOS E VALORES MOBILIÁRIOS S.A.</x:v>
      </x:c>
      <x:c r="H1704" s="166" t="str">
        <x:v>Outros</x:v>
      </x:c>
      <x:c r="I1704" s="166" t="str">
        <x:v>Recuperação</x:v>
      </x:c>
      <x:c r="J1704" s="166" t="str">
        <x:v>CI</x:v>
      </x:c>
      <x:c r="K1704" s="172" t="n">
        <x:v>2</x:v>
      </x:c>
      <x:c r="L1704" s="185" t="str">
        <x:v>Não classificado</x:v>
      </x:c>
    </x:row>
    <x:row r="1705">
      <x:c r="A1705" s="175" t="str">
        <x:v>29.953.928/0001-72</x:v>
      </x:c>
      <x:c r="B1705" s="166" t="str">
        <x:v>META FUNDO DE INVESTIMENTO EM DIREITOS CREDITORIOS</x:v>
      </x:c>
      <x:c r="C1705" s="188" t="n">
        <x:v>43251192.120000005</x:v>
      </x:c>
      <x:c r="D1705" s="166" t="str">
        <x:v>TERCON ASSET MANAGEMENT</x:v>
      </x:c>
      <x:c r="E1705" s="166" t="str">
        <x:f>IFERROR(INDEX('Classif Gestoras'!$H$6:$H$462,MATCH(D1705,'Classif Gestoras'!$A$6:$A$462,0)),"Não classificada")</x:f>
        <x:v>Independente</x:v>
      </x:c>
      <x:c r="F1705" s="166" t="str">
        <x:v>Singulare</x:v>
      </x:c>
      <x:c r="G1705" s="166" t="str">
        <x:v>QI CORRETORA DE TÍTULOS E VALORES MOBILIÁRIOS S.A.</x:v>
      </x:c>
      <x:c r="H1705" s="166" t="str">
        <x:v>Fomento Mercantil</x:v>
      </x:c>
      <x:c r="I1705" s="166" t="str">
        <x:v>Fomento Mercantil</x:v>
      </x:c>
      <x:c r="J1705" s="166" t="str">
        <x:v>CI</x:v>
      </x:c>
      <x:c r="K1705" s="172" t="n">
        <x:v>20</x:v>
      </x:c>
      <x:c r="L1705" s="185" t="str">
        <x:v>Não classificado</x:v>
      </x:c>
    </x:row>
    <x:row r="1706">
      <x:c r="A1706" s="175" t="str">
        <x:v>60.447.905/0001-36</x:v>
      </x:c>
      <x:c r="B1706" s="166" t="str">
        <x:v>ÉXES SPECIAL OPPORTUNITIES II FUNDO DE INVESTIMENTO EM DIREITOS CREDITÓRIOS RESP LTDA</x:v>
      </x:c>
      <x:c r="C1706" s="188" t="n">
        <x:v>43239589.63</x:v>
      </x:c>
      <x:c r="D1706" s="166" t="str">
        <x:v>Éxes</x:v>
      </x:c>
      <x:c r="E1706" s="166" t="str">
        <x:f>IFERROR(INDEX('Classif Gestoras'!$H$6:$H$462,MATCH(D1706,'Classif Gestoras'!$A$6:$A$462,0)),"Não classificada")</x:f>
        <x:v>Independente</x:v>
      </x:c>
      <x:c r="F1706" s="166" t="str">
        <x:v>Oliveira Trust DTVM</x:v>
      </x:c>
      <x:c r="G1706" s="166" t="str">
        <x:v>OLIVEIRA TRUST DTVM S.A.</x:v>
      </x:c>
      <x:c r="H1706" s="166" t="str">
        <x:v>Outros</x:v>
      </x:c>
      <x:c r="I1706" s="166" t="str">
        <x:v>Multicarteira Outros</x:v>
      </x:c>
      <x:c r="J1706" s="166" t="str">
        <x:v>CI</x:v>
      </x:c>
      <x:c r="K1706" s="172" t="n">
        <x:v>24</x:v>
      </x:c>
      <x:c r="L1706" s="185" t="str">
        <x:v>Não classificado</x:v>
      </x:c>
    </x:row>
    <x:row r="1707">
      <x:c r="A1707" s="175" t="str">
        <x:v>47.046.831/0001-68</x:v>
      </x:c>
      <x:c r="B1707" s="166" t="str">
        <x:v>MILÊNIO SUPERNOVA MASTER FUNDO DE INVESTIMENTO EM DIREITOS CREDITÓRIOS RESPONSABILIDADE LIMITADA</x:v>
      </x:c>
      <x:c r="C1707" s="188" t="n">
        <x:v>43237116.1735</x:v>
      </x:c>
      <x:c r="D1707" s="166" t="str">
        <x:v>Milênio Capital</x:v>
      </x:c>
      <x:c r="E1707" s="166" t="str">
        <x:f>IFERROR(INDEX('Classif Gestoras'!$H$6:$H$462,MATCH(D1707,'Classif Gestoras'!$A$6:$A$462,0)),"Não classificada")</x:f>
        <x:v>Independente</x:v>
      </x:c>
      <x:c r="F1707" s="166" t="str">
        <x:v>BTG Pactual Servicos Financeiros S/A DTVM</x:v>
      </x:c>
      <x:c r="G1707" s="166" t="str">
        <x:v>BANCO BTG PACTUAL S/A</x:v>
      </x:c>
      <x:c r="H1707" s="166" t="str">
        <x:v>Outros</x:v>
      </x:c>
      <x:c r="I1707" s="166" t="str">
        <x:v>Multicarteira Outros</x:v>
      </x:c>
      <x:c r="J1707" s="166" t="str">
        <x:v>CIPC</x:v>
      </x:c>
      <x:c r="K1707" s="172" t="n">
        <x:v>1</x:v>
      </x:c>
      <x:c r="L1707" s="185" t="str">
        <x:v>Não classificado</x:v>
      </x:c>
    </x:row>
    <x:row r="1708">
      <x:c r="A1708" s="175" t="str">
        <x:v>53.272.409/0001-23</x:v>
      </x:c>
      <x:c r="B1708" s="166" t="str">
        <x:v>EL CALAFATE FUNDO DE INVESTIMENTO EM DIREITOS CREDITÓRIOS</x:v>
      </x:c>
      <x:c r="C1708" s="188" t="n">
        <x:v>43204884.45</x:v>
      </x:c>
      <x:c r="D1708" s="166" t="str">
        <x:v>PATAGÔNIA CAPITAL</x:v>
      </x:c>
      <x:c r="E1708" s="166" t="str">
        <x:f>IFERROR(INDEX('Classif Gestoras'!$H$6:$H$462,MATCH(D1708,'Classif Gestoras'!$A$6:$A$462,0)),"Não classificada")</x:f>
        <x:v>Independente</x:v>
      </x:c>
      <x:c r="F1708" s="166" t="str">
        <x:v>VÓRTX DTVM</x:v>
      </x:c>
      <x:c r="G1708" s="166" t="str">
        <x:v>VORTX DISTRIBUIDORA DE TITULOS E VALORES MOBILIARIOS LTDA.</x:v>
      </x:c>
      <x:c r="H1708" s="166" t="str">
        <x:v>Financeiro</x:v>
      </x:c>
      <x:c r="I1708" s="166" t="str">
        <x:v>Multicarteira Financeiro</x:v>
      </x:c>
      <x:c r="J1708" s="166" t="str">
        <x:v>CI</x:v>
      </x:c>
      <x:c r="K1708" s="172" t="n">
        <x:v>1</x:v>
      </x:c>
      <x:c r="L1708" s="185" t="str">
        <x:v>Não classificado</x:v>
      </x:c>
    </x:row>
    <x:row r="1709">
      <x:c r="A1709" s="175" t="str">
        <x:v>51.503.629/0001-95</x:v>
      </x:c>
      <x:c r="B1709" s="166" t="str">
        <x:v>FORESTAY FUNDO DE INVESTIMENTO EM DIREITOS CREDITÓRIOS</x:v>
      </x:c>
      <x:c r="C1709" s="188" t="n">
        <x:v>42998328.43</x:v>
      </x:c>
      <x:c r="D1709" s="166" t="str">
        <x:v>JUGIS CAPITAL GESTÃO DE RECURSOS LTDA.</x:v>
      </x:c>
      <x:c r="E1709" s="166" t="str">
        <x:f>IFERROR(INDEX('Classif Gestoras'!$H$6:$H$462,MATCH(D1709,'Classif Gestoras'!$A$6:$A$462,0)),"Não classificada")</x:f>
        <x:v>Independente</x:v>
      </x:c>
      <x:c r="F1709" s="166" t="str">
        <x:v>BRL TRUST DTVM</x:v>
      </x:c>
      <x:c r="G1709" s="166" t="str">
        <x:v>BRL TRUST DISTRIBUIDORA DE TITULOS E VALORES MOBILIARIOS S.A.</x:v>
      </x:c>
      <x:c r="H1709" s="166" t="str">
        <x:v>Outros</x:v>
      </x:c>
      <x:c r="I1709" s="166" t="str">
        <x:v>Recuperação</x:v>
      </x:c>
      <x:c r="J1709" s="166" t="str">
        <x:v>CI</x:v>
      </x:c>
      <x:c r="K1709" s="172" t="n">
        <x:v>1</x:v>
      </x:c>
      <x:c r="L1709" s="185" t="str">
        <x:v>Não classificado</x:v>
      </x:c>
    </x:row>
    <x:row r="1710">
      <x:c r="A1710" s="175" t="str">
        <x:v>41.341.254/0001-50</x:v>
      </x:c>
      <x:c r="B1710" s="166" t="str">
        <x:v>BS PLUS FUNDO DE INVESTIMENTO EM DIREITOS CREDITÓRIOS NÃO PADRONIZADO</x:v>
      </x:c>
      <x:c r="C1710" s="188" t="n">
        <x:v>42977519.02</x:v>
      </x:c>
      <x:c r="D1710" s="166" t="str">
        <x:v>V8 Capital</x:v>
      </x:c>
      <x:c r="E1710" s="166" t="str">
        <x:f>IFERROR(INDEX('Classif Gestoras'!$H$6:$H$462,MATCH(D1710,'Classif Gestoras'!$A$6:$A$462,0)),"Não classificada")</x:f>
        <x:v>Independente</x:v>
      </x:c>
      <x:c r="F1710" s="166" t="str">
        <x:v>Singulare</x:v>
      </x:c>
      <x:c r="G1710" s="166" t="str">
        <x:v>QI CORRETORA DE TÍTULOS E VALORES MOBILIÁRIOS S.A.</x:v>
      </x:c>
      <x:c r="H1710" s="166" t="str">
        <x:v>Outros</x:v>
      </x:c>
      <x:c r="I1710" s="166" t="str">
        <x:v>Multicarteira Outros</x:v>
      </x:c>
      <x:c r="J1710" s="166" t="str">
        <x:v>CI</x:v>
      </x:c>
      <x:c r="K1710" s="172" t="n">
        <x:v>1</x:v>
      </x:c>
      <x:c r="L1710" s="185" t="str">
        <x:v>Não classificado</x:v>
      </x:c>
    </x:row>
    <x:row r="1711">
      <x:c r="A1711" s="175" t="str">
        <x:v>55.523.204/0001-07</x:v>
      </x:c>
      <x:c r="B1711" s="166" t="str">
        <x:v>DMX FUNDO DE INVESTIMENTO EM DIREITOS CREDITÓRIOS MULTISSETORIAL - RESPONSABILIDADE LIMITADA</x:v>
      </x:c>
      <x:c r="C1711" s="188" t="n">
        <x:v>42959188.66</x:v>
      </x:c>
      <x:c r="D1711" s="166" t="str">
        <x:v>TERCON ASSET MANAGEMENT</x:v>
      </x:c>
      <x:c r="E1711" s="166" t="str">
        <x:f>IFERROR(INDEX('Classif Gestoras'!$H$6:$H$462,MATCH(D1711,'Classif Gestoras'!$A$6:$A$462,0)),"Não classificada")</x:f>
        <x:v>Independente</x:v>
      </x:c>
      <x:c r="F1711" s="166" t="str">
        <x:v>MONETAR DISTRIBUIDORA DE TITUL</x:v>
      </x:c>
      <x:c r="G1711" s="166" t="str">
        <x:v>TERRA INVESTIMENTOS DISTRIBUIDORA DE TITULOS E VALORES MOBILIARIOS LTDA</x:v>
      </x:c>
      <x:c r="H1711" s="166" t="str">
        <x:v>Fomento Mercantil</x:v>
      </x:c>
      <x:c r="I1711" s="166" t="str">
        <x:v>Fomento Mercantil</x:v>
      </x:c>
      <x:c r="J1711" s="166" t="str">
        <x:v>CI</x:v>
      </x:c>
      <x:c r="K1711" s="172" t="n">
        <x:v>12</x:v>
      </x:c>
      <x:c r="L1711" s="185" t="str">
        <x:v>Não classificado</x:v>
      </x:c>
    </x:row>
    <x:row r="1712">
      <x:c r="A1712" s="175" t="str">
        <x:v>50.123.492/0001-80</x:v>
      </x:c>
      <x:c r="B1712" s="166" t="str">
        <x:v>MAV ALTERNATIVE CREDIT FUNDO DE INVESTIMENTO EM DIREITOS CREDITÓRIOS</x:v>
      </x:c>
      <x:c r="C1712" s="188" t="n">
        <x:v>42849875.25</x:v>
      </x:c>
      <x:c r="D1712" s="166" t="str">
        <x:v>MAV CAPITAL GESTORA DE RECURSOS SS LTDA</x:v>
      </x:c>
      <x:c r="E1712" s="166" t="str">
        <x:f>IFERROR(INDEX('Classif Gestoras'!$H$6:$H$462,MATCH(D1712,'Classif Gestoras'!$A$6:$A$462,0)),"Não classificada")</x:f>
        <x:v>Independente</x:v>
      </x:c>
      <x:c r="F1712" s="166" t="str">
        <x:v>Banco Genial S.A.</x:v>
      </x:c>
      <x:c r="G1712" s="166" t="str">
        <x:v>BANCO GENIAL S.A.</x:v>
      </x:c>
      <x:c r="H1712" s="166" t="str">
        <x:v>Outros</x:v>
      </x:c>
      <x:c r="I1712" s="166" t="str">
        <x:v>Multicarteira Outros</x:v>
      </x:c>
      <x:c r="J1712" s="166" t="str">
        <x:v>CI</x:v>
      </x:c>
      <x:c r="K1712" s="172" t="n">
        <x:v>1</x:v>
      </x:c>
      <x:c r="L1712" s="185" t="str">
        <x:v>Não classificado</x:v>
      </x:c>
    </x:row>
    <x:row r="1713">
      <x:c r="A1713" s="175" t="str">
        <x:v>59.385.783/0001-11</x:v>
      </x:c>
      <x:c r="B1713" s="166" t="str">
        <x:v>KRISPY FUNDO DE INVESTIMENTO EM DIREITOS CREDITÓRIOS</x:v>
      </x:c>
      <x:c r="C1713" s="188" t="n">
        <x:v>42694443.73</x:v>
      </x:c>
      <x:c r="D1713" s="166" t="str">
        <x:v>TRUSTEE DTVM</x:v>
      </x:c>
      <x:c r="E1713" s="166" t="str">
        <x:f>IFERROR(INDEX('Classif Gestoras'!$H$6:$H$462,MATCH(D1713,'Classif Gestoras'!$A$6:$A$462,0)),"Não classificada")</x:f>
        <x:v>Independente</x:v>
      </x:c>
      <x:c r="F1713" s="166" t="str">
        <x:v>TRUSTEE DTVM</x:v>
      </x:c>
      <x:c r="G1713" s="166" t="str">
        <x:v>TRUSTEE DISTRIBUIDORA DE TITULOS E VALORES MOBILIARIOS LTDA.</x:v>
      </x:c>
      <x:c r="H1713" s="166" t="str">
        <x:v>Outros</x:v>
      </x:c>
      <x:c r="I1713" s="166" t="str">
        <x:v>Multicarteira Outros</x:v>
      </x:c>
      <x:c r="J1713" s="166" t="str">
        <x:v>CI</x:v>
      </x:c>
      <x:c r="K1713" s="172" t="n">
        <x:v>1</x:v>
      </x:c>
      <x:c r="L1713" s="185" t="str">
        <x:v>Não classificado</x:v>
      </x:c>
    </x:row>
    <x:row r="1714">
      <x:c r="A1714" s="175" t="str">
        <x:v>58.442.833/0001-92</x:v>
      </x:c>
      <x:c r="B1714" s="166" t="str">
        <x:v>FARM M IV FUNDO DE INVESTIMENTO EM DIREITOS CREDITÓRIOS RESPONSABILIDADE LIMITADA</x:v>
      </x:c>
      <x:c r="C1714" s="188" t="n">
        <x:v>42672005.3776</x:v>
      </x:c>
      <x:c r="D1714" s="166" t="str">
        <x:v>Farmtech Gestão de Recursos Ltda.</x:v>
      </x:c>
      <x:c r="E1714" s="166" t="str">
        <x:f>IFERROR(INDEX('Classif Gestoras'!$H$6:$H$462,MATCH(D1714,'Classif Gestoras'!$A$6:$A$462,0)),"Não classificada")</x:f>
        <x:v>Independente</x:v>
      </x:c>
      <x:c r="F1714" s="166" t="str">
        <x:v>BTG Pactual Servicos Financeiros S/A DTVM</x:v>
      </x:c>
      <x:c r="G1714" s="166" t="str">
        <x:v>BANCO BTG PACTUAL S/A</x:v>
      </x:c>
      <x:c r="H1714" s="166" t="str">
        <x:v>Agro, Indústria e Comércio</x:v>
      </x:c>
      <x:c r="I1714" s="166" t="str">
        <x:v>Agronegócio</x:v>
      </x:c>
      <x:c r="J1714" s="166" t="str">
        <x:v>CI</x:v>
      </x:c>
      <x:c r="K1714" s="172" t="n">
        <x:v>5</x:v>
      </x:c>
      <x:c r="L1714" s="185" t="str">
        <x:v>Não classificado</x:v>
      </x:c>
    </x:row>
    <x:row r="1715">
      <x:c r="A1715" s="175" t="str">
        <x:v>40.188.893/0001-65</x:v>
      </x:c>
      <x:c r="B1715" s="166" t="str">
        <x:v>BAVIERA FUNDO DE INVESTIMENTO EM DIREITOS CREDITÓRIOS - RESPONSABILIDADE LIMITADA</x:v>
      </x:c>
      <x:c r="C1715" s="188" t="n">
        <x:v>42662204.86</x:v>
      </x:c>
      <x:c r="D1715" s="166" t="str">
        <x:v>PRX CAPITAL</x:v>
      </x:c>
      <x:c r="E1715" s="166" t="str">
        <x:f>IFERROR(INDEX('Classif Gestoras'!$H$6:$H$462,MATCH(D1715,'Classif Gestoras'!$A$6:$A$462,0)),"Não classificada")</x:f>
        <x:v>Independente</x:v>
      </x:c>
      <x:c r="F1715" s="166" t="str">
        <x:v>ID Corretora de Títulos e Valores Mobiliários S.A.</x:v>
      </x:c>
      <x:c r="G1715" s="166" t="str">
        <x:v>ID CORRETORA DE TITULOS E VALORES MOBILIARIOS S.A.</x:v>
      </x:c>
      <x:c r="H1715" s="166" t="str">
        <x:v>Financeiro</x:v>
      </x:c>
      <x:c r="I1715" s="166" t="str">
        <x:v>Crédito Consignado</x:v>
      </x:c>
      <x:c r="J1715" s="166" t="str">
        <x:v>CI</x:v>
      </x:c>
      <x:c r="K1715" s="172" t="n">
        <x:v>1</x:v>
      </x:c>
      <x:c r="L1715" s="185" t="str">
        <x:v>Não classificado</x:v>
      </x:c>
    </x:row>
    <x:row r="1716">
      <x:c r="A1716" s="175" t="str">
        <x:v>09.072.384/0001-22</x:v>
      </x:c>
      <x:c r="B1716" s="166" t="str">
        <x:v>CREDITMIX FUNDO DE INVESTIMENTO EM DIREITOS CREDITÓRIOS - RESPONSABILIDADE LIMITADA</x:v>
      </x:c>
      <x:c r="C1716" s="188" t="n">
        <x:v>42609839.650000006</x:v>
      </x:c>
      <x:c r="D1716" s="166" t="str">
        <x:v>JIVE INVESTMENTS</x:v>
      </x:c>
      <x:c r="E1716" s="166" t="str">
        <x:f>IFERROR(INDEX('Classif Gestoras'!$H$6:$H$462,MATCH(D1716,'Classif Gestoras'!$A$6:$A$462,0)),"Não classificada")</x:f>
        <x:v>Independente</x:v>
      </x:c>
      <x:c r="F1716" s="166" t="str">
        <x:v>MAF Distribuidora de Títulos e Valores Mobiliários S.A.</x:v>
      </x:c>
      <x:c r="G1716" s="166" t="str">
        <x:v>MAF DISTRIBUIDORA DE TITULOS E VALORES MOBILIARIOS S.A.</x:v>
      </x:c>
      <x:c r="H1716" s="166" t="str">
        <x:v>Outros</x:v>
      </x:c>
      <x:c r="I1716" s="166" t="str">
        <x:v>Multicarteira Outros</x:v>
      </x:c>
      <x:c r="J1716" s="166" t="str">
        <x:v>CI</x:v>
      </x:c>
      <x:c r="K1716" s="172" t="n">
        <x:v>5</x:v>
      </x:c>
      <x:c r="L1716" s="185" t="str">
        <x:v>Não classificado</x:v>
      </x:c>
    </x:row>
    <x:row r="1717">
      <x:c r="A1717" s="175" t="str">
        <x:v>53.250.913/0001-22</x:v>
      </x:c>
      <x:c r="B1717" s="166" t="str">
        <x:v>TABARE FUNDO DE INVESTIMENTO EM DIREITOS CREDITÓRIOS NÃO PADRONIZADOS DE RESPONSABILIDADE ILIMITADA</x:v>
      </x:c>
      <x:c r="C1717" s="188" t="n">
        <x:v>42609565.67</x:v>
      </x:c>
      <x:c r="D1717" s="166" t="str">
        <x:v>Redwood Asset Management</x:v>
      </x:c>
      <x:c r="E1717" s="166" t="str">
        <x:f>IFERROR(INDEX('Classif Gestoras'!$H$6:$H$462,MATCH(D1717,'Classif Gestoras'!$A$6:$A$462,0)),"Não classificada")</x:f>
        <x:v>Independente</x:v>
      </x:c>
      <x:c r="F1717" s="166" t="str">
        <x:v>PLANNER CV</x:v>
      </x:c>
      <x:c r="G1717" s="166" t="str">
        <x:v>PLANNER CORRETORA DE VALORES S.A.</x:v>
      </x:c>
      <x:c r="H1717" s="166" t="str">
        <x:v>Outros</x:v>
      </x:c>
      <x:c r="I1717" s="166" t="str">
        <x:v>Poder Público</x:v>
      </x:c>
      <x:c r="J1717" s="166" t="str">
        <x:v>CI</x:v>
      </x:c>
      <x:c r="K1717" s="172" t="n">
        <x:v>2</x:v>
      </x:c>
      <x:c r="L1717" s="185" t="str">
        <x:v>Não classificado</x:v>
      </x:c>
    </x:row>
    <x:row r="1718">
      <x:c r="A1718" s="175" t="str">
        <x:v>57.182.384/0001-28</x:v>
      </x:c>
      <x:c r="B1718" s="166" t="str">
        <x:v>FUTURA FUNDO DE INVESTIMENTO EM DIREITOS CREDITÓRIOS RESPONSABILIDADE LIMITADA</x:v>
      </x:c>
      <x:c r="C1718" s="188" t="n">
        <x:v>42563456.61</x:v>
      </x:c>
      <x:c r="D1718" s="166" t="str">
        <x:v>Eco Gestão de Ativos LTDA.</x:v>
      </x:c>
      <x:c r="E1718" s="166" t="str">
        <x:f>IFERROR(INDEX('Classif Gestoras'!$H$6:$H$462,MATCH(D1718,'Classif Gestoras'!$A$6:$A$462,0)),"Não classificada")</x:f>
        <x:v>Independente</x:v>
      </x:c>
      <x:c r="F1718" s="166" t="str">
        <x:v>BANCO DAYCOVAL S/A</x:v>
      </x:c>
      <x:c r="G1718" s="166" t="str">
        <x:v>BANCO DAYCOVAL S.A.</x:v>
      </x:c>
      <x:c r="H1718" s="166" t="str">
        <x:v>Financeiro</x:v>
      </x:c>
      <x:c r="I1718" s="166" t="str">
        <x:v>Multicarteira Financeiro</x:v>
      </x:c>
      <x:c r="J1718" s="166" t="str">
        <x:v>CI</x:v>
      </x:c>
      <x:c r="K1718" s="172" t="n">
        <x:v>2</x:v>
      </x:c>
      <x:c r="L1718" s="185" t="str">
        <x:v>Não classificado</x:v>
      </x:c>
    </x:row>
    <x:row r="1719">
      <x:c r="A1719" s="175" t="str">
        <x:v>57.223.832/0001-94</x:v>
      </x:c>
      <x:c r="B1719" s="166" t="str">
        <x:v>IRLANDA FUNDO DE INVESTIMENTO EM DIREITOS CREDITÓRIOS - RESPONSABILIDADE LIMITADA</x:v>
      </x:c>
      <x:c r="C1719" s="188" t="n">
        <x:v>42477222.370000005</x:v>
      </x:c>
      <x:c r="D1719" s="166" t="str">
        <x:v>SOSU CAPITAL GESTÃO DE INVESTIMENTOS LTDA.</x:v>
      </x:c>
      <x:c r="E1719" s="166" t="str">
        <x:f>IFERROR(INDEX('Classif Gestoras'!$H$6:$H$462,MATCH(D1719,'Classif Gestoras'!$A$6:$A$462,0)),"Não classificada")</x:f>
        <x:v>Independente</x:v>
      </x:c>
      <x:c r="F1719" s="166" t="str">
        <x:v>BRL TRUST DTVM</x:v>
      </x:c>
      <x:c r="G1719" s="166" t="str">
        <x:v>BRL TRUST DISTRIBUIDORA DE TITULOS E VALORES MOBILIARIOS S.A.</x:v>
      </x:c>
      <x:c r="H1719" s="166" t="str">
        <x:v>Outros</x:v>
      </x:c>
      <x:c r="I1719" s="166" t="str">
        <x:v>Poder Público</x:v>
      </x:c>
      <x:c r="J1719" s="166" t="str">
        <x:v>CI</x:v>
      </x:c>
      <x:c r="K1719" s="172" t="n">
        <x:v>2</x:v>
      </x:c>
      <x:c r="L1719" s="185" t="str">
        <x:v>Não classificado</x:v>
      </x:c>
    </x:row>
    <x:row r="1720">
      <x:c r="A1720" s="175" t="str">
        <x:v>58.508.715/0001-30</x:v>
      </x:c>
      <x:c r="B1720" s="166" t="str">
        <x:v>ESTALEIRO IV FUNDO DE INVESTIMENTO EM DIREITOS CREDITÓRIOS</x:v>
      </x:c>
      <x:c r="C1720" s="188" t="n">
        <x:v>42394119.25</x:v>
      </x:c>
      <x:c r="D1720" s="166" t="str">
        <x:v>EuQueroInvestir Gestão de Recursos Ltda.</x:v>
      </x:c>
      <x:c r="E1720" s="166" t="str">
        <x:f>IFERROR(INDEX('Classif Gestoras'!$H$6:$H$462,MATCH(D1720,'Classif Gestoras'!$A$6:$A$462,0)),"Não classificada")</x:f>
        <x:v>Independente</x:v>
      </x:c>
      <x:c r="F1720" s="166" t="str">
        <x:v>BTG Pactual Servicos Financeiros S/A DTVM</x:v>
      </x:c>
      <x:c r="G1720" s="166" t="str">
        <x:v>BANCO BTG PACTUAL S/A</x:v>
      </x:c>
      <x:c r="H1720" s="166" t="str">
        <x:v>Outros</x:v>
      </x:c>
      <x:c r="I1720" s="166" t="str">
        <x:v>Multicarteira Outros</x:v>
      </x:c>
      <x:c r="J1720" s="166" t="str">
        <x:v>CI</x:v>
      </x:c>
      <x:c r="K1720" s="172" t="n">
        <x:v>75</x:v>
      </x:c>
      <x:c r="L1720" s="185" t="str">
        <x:v>Não classificado</x:v>
      </x:c>
    </x:row>
    <x:row r="1721">
      <x:c r="A1721" s="175" t="str">
        <x:v>58.508.265/0001-85</x:v>
      </x:c>
      <x:c r="B1721" s="166" t="str">
        <x:v>ESTALEIRO III FUNDO DE INVESTIMENTO EM DIREITOS CREDITÓRIOS</x:v>
      </x:c>
      <x:c r="C1721" s="188" t="n">
        <x:v>42394027.900000006</x:v>
      </x:c>
      <x:c r="D1721" s="166" t="str">
        <x:v>EuQueroInvestir Gestão de Recursos Ltda.</x:v>
      </x:c>
      <x:c r="E1721" s="166" t="str">
        <x:f>IFERROR(INDEX('Classif Gestoras'!$H$6:$H$462,MATCH(D1721,'Classif Gestoras'!$A$6:$A$462,0)),"Não classificada")</x:f>
        <x:v>Independente</x:v>
      </x:c>
      <x:c r="F1721" s="166" t="str">
        <x:v>BTG Pactual Servicos Financeiros S/A DTVM</x:v>
      </x:c>
      <x:c r="G1721" s="166" t="str">
        <x:v>BANCO BTG PACTUAL S/A</x:v>
      </x:c>
      <x:c r="H1721" s="166" t="str">
        <x:v>Outros</x:v>
      </x:c>
      <x:c r="I1721" s="166" t="str">
        <x:v>Multicarteira Outros</x:v>
      </x:c>
      <x:c r="J1721" s="166" t="str">
        <x:v>CI</x:v>
      </x:c>
      <x:c r="K1721" s="172" t="n">
        <x:v>94</x:v>
      </x:c>
      <x:c r="L1721" s="185" t="str">
        <x:v>Não classificado</x:v>
      </x:c>
    </x:row>
    <x:row r="1722">
      <x:c r="A1722" s="175" t="str">
        <x:v>32.068.046/0001-39</x:v>
      </x:c>
      <x:c r="B1722" s="166" t="str">
        <x:v>FUNDO DE INVESTIMENTO EM DIREITOS CREDITORIOS BUDAPESTE 01</x:v>
      </x:c>
      <x:c r="C1722" s="188" t="n">
        <x:v>42338175.99</x:v>
      </x:c>
      <x:c r="D1722" s="166" t="str">
        <x:v>Renova Gestora</x:v>
      </x:c>
      <x:c r="E1722" s="166" t="str">
        <x:f>IFERROR(INDEX('Classif Gestoras'!$H$6:$H$462,MATCH(D1722,'Classif Gestoras'!$A$6:$A$462,0)),"Não classificada")</x:f>
        <x:v>Independente</x:v>
      </x:c>
      <x:c r="F1722" s="166" t="str">
        <x:v>MONETAR DISTRIBUIDORA DE TITUL</x:v>
      </x:c>
      <x:c r="G1722" s="166" t="str">
        <x:v>TERRA INVESTIMENTOS DISTRIBUIDORA DE TITULOS E VALORES MOBILIARIOS LTDA</x:v>
      </x:c>
      <x:c r="H1722" s="166" t="str">
        <x:v>Outros</x:v>
      </x:c>
      <x:c r="I1722" s="166" t="str">
        <x:v>Multicarteira Outros</x:v>
      </x:c>
      <x:c r="J1722" s="166" t="str">
        <x:v>CI</x:v>
      </x:c>
      <x:c r="K1722" s="172" t="n">
        <x:v>5</x:v>
      </x:c>
      <x:c r="L1722" s="185" t="str">
        <x:v>Não classificado</x:v>
      </x:c>
    </x:row>
    <x:row r="1723">
      <x:c r="A1723" s="175" t="str">
        <x:v>57.660.538/0001-40</x:v>
      </x:c>
      <x:c r="B1723" s="166" t="str">
        <x:v>HOMMA PREC FUNDO DE INVESTIMENTO EM DIREITOS CREDITÓRIOS - RESP LIMITADA</x:v>
      </x:c>
      <x:c r="C1723" s="188" t="n">
        <x:v>42335460.59</x:v>
      </x:c>
      <x:c r="D1723" s="166" t="str">
        <x:v>Monetiza Investimentos</x:v>
      </x:c>
      <x:c r="E1723" s="166" t="str">
        <x:f>IFERROR(INDEX('Classif Gestoras'!$H$6:$H$462,MATCH(D1723,'Classif Gestoras'!$A$6:$A$462,0)),"Não classificada")</x:f>
        <x:v>Independente</x:v>
      </x:c>
      <x:c r="F1723" s="166" t="str">
        <x:v>HEMERA DTVM</x:v>
      </x:c>
      <x:c r="G1723" s="166" t="str">
        <x:v>HEMERA DISTRIBUIDORA DE TITULOS E VALORES MOBILIARIOS LTDA</x:v>
      </x:c>
      <x:c r="H1723" s="166" t="str">
        <x:v>Fomento Mercantil</x:v>
      </x:c>
      <x:c r="I1723" s="166" t="str">
        <x:v>Fomento Mercantil</x:v>
      </x:c>
      <x:c r="J1723" s="166" t="str">
        <x:v>CI</x:v>
      </x:c>
      <x:c r="K1723" s="172" t="n">
        <x:v>5</x:v>
      </x:c>
      <x:c r="L1723" s="185" t="str">
        <x:v>Não classificado</x:v>
      </x:c>
    </x:row>
    <x:row r="1724">
      <x:c r="A1724" s="175" t="str">
        <x:v>26.199.650/0001-00</x:v>
      </x:c>
      <x:c r="B1724" s="166" t="str">
        <x:v>MERCANTIL DE CRÉDITO FUNDO DE INVESTIMENTO EM DIREITOS CREDITÓRIOS MULTI OPEN I</x:v>
      </x:c>
      <x:c r="C1724" s="188" t="n">
        <x:v>42255542.21</x:v>
      </x:c>
      <x:c r="D1724" s="166" t="str">
        <x:v>TERCON ASSET MANAGEMENT</x:v>
      </x:c>
      <x:c r="E1724" s="166" t="str">
        <x:f>IFERROR(INDEX('Classif Gestoras'!$H$6:$H$462,MATCH(D1724,'Classif Gestoras'!$A$6:$A$462,0)),"Não classificada")</x:f>
        <x:v>Independente</x:v>
      </x:c>
      <x:c r="F1724" s="166" t="str">
        <x:v>Não Informado</x:v>
      </x:c>
      <x:c r="G1724" s="166" t="str">
        <x:v>LIMINE TRUST DISTRIBUIDORA DE TITULOS E VALORES MOBILIARIOS LTDA.</x:v>
      </x:c>
      <x:c r="H1724" s="166" t="str">
        <x:v>Fomento Mercantil</x:v>
      </x:c>
      <x:c r="I1724" s="166" t="str">
        <x:v>Fomento Mercantil</x:v>
      </x:c>
      <x:c r="J1724" s="166" t="str">
        <x:v>CI</x:v>
      </x:c>
      <x:c r="K1724" s="172" t="n">
        <x:v>4</x:v>
      </x:c>
      <x:c r="L1724" s="185" t="str">
        <x:v>Não classificado</x:v>
      </x:c>
    </x:row>
    <x:row r="1725">
      <x:c r="A1725" s="175" t="str">
        <x:v>62.771.666/0001-09</x:v>
      </x:c>
      <x:c r="B1725" s="166" t="str">
        <x:v>APOENA PRECATÓRIOS - FUNDO DE INVESTIMENTO EM DIREITOS CREDITÓRIOS</x:v>
      </x:c>
      <x:c r="C1725" s="188" t="n">
        <x:v>42188634.75</x:v>
      </x:c>
      <x:c r="D1725" s="166" t="str">
        <x:v>Apuama Capital</x:v>
      </x:c>
      <x:c r="E1725" s="166" t="str">
        <x:f>IFERROR(INDEX('Classif Gestoras'!$H$6:$H$462,MATCH(D1725,'Classif Gestoras'!$A$6:$A$462,0)),"Não classificada")</x:f>
        <x:v>Independente</x:v>
      </x:c>
      <x:c r="F1725" s="166" t="str">
        <x:v>PLANNER CV</x:v>
      </x:c>
      <x:c r="G1725" s="166" t="str">
        <x:v>PLANNER CORRETORA DE VALORES S.A.</x:v>
      </x:c>
      <x:c r="H1725" s="166" t="str">
        <x:v>Outros</x:v>
      </x:c>
      <x:c r="I1725" s="166" t="str">
        <x:v>Poder Público</x:v>
      </x:c>
      <x:c r="J1725" s="166" t="str">
        <x:v>CI</x:v>
      </x:c>
      <x:c r="K1725" s="172" t="n">
        <x:v>20</x:v>
      </x:c>
      <x:c r="L1725" s="185" t="str">
        <x:v>Não classificado</x:v>
      </x:c>
    </x:row>
    <x:row r="1726">
      <x:c r="A1726" s="175" t="str">
        <x:v>57.391.433/0001-32</x:v>
      </x:c>
      <x:c r="B1726" s="166" t="str">
        <x:v>MLC ISE FUNDO DE INVESTIMENTO EM DIREITOS CREDITÓRIOS - RESPONSABILIDADE LIMITADA</x:v>
      </x:c>
      <x:c r="C1726" s="188" t="n">
        <x:v>42088677.57</x:v>
      </x:c>
      <x:c r="D1726" s="166" t="str">
        <x:v>Möbius Capital</x:v>
      </x:c>
      <x:c r="E1726" s="166" t="str">
        <x:f>IFERROR(INDEX('Classif Gestoras'!$H$6:$H$462,MATCH(D1726,'Classif Gestoras'!$A$6:$A$462,0)),"Não classificada")</x:f>
        <x:v>Independente</x:v>
      </x:c>
      <x:c r="F1726" s="166" t="str">
        <x:v>BANCO DAYCOVAL S/A</x:v>
      </x:c>
      <x:c r="G1726" s="166" t="str">
        <x:v>BANCO DAYCOVAL S.A.</x:v>
      </x:c>
      <x:c r="H1726" s="166" t="str">
        <x:v>Outros</x:v>
      </x:c>
      <x:c r="I1726" s="166" t="str">
        <x:v>Poder Público</x:v>
      </x:c>
      <x:c r="J1726" s="166" t="str">
        <x:v>CI</x:v>
      </x:c>
      <x:c r="K1726" s="172" t="n">
        <x:v>3</x:v>
      </x:c>
      <x:c r="L1726" s="185" t="str">
        <x:v>Não classificado</x:v>
      </x:c>
    </x:row>
    <x:row r="1727">
      <x:c r="A1727" s="175" t="str">
        <x:v>28.065.338/0001-40</x:v>
      </x:c>
      <x:c r="B1727" s="166" t="str">
        <x:v>CNPJ 28065338000140</x:v>
      </x:c>
      <x:c r="C1727" s="188" t="n">
        <x:v>42087961.38</x:v>
      </x:c>
      <x:c r="D1727" s="166" t="str">
        <x:v>Redwood Asset Management</x:v>
      </x:c>
      <x:c r="E1727" s="166" t="str">
        <x:f>IFERROR(INDEX('Classif Gestoras'!$H$6:$H$462,MATCH(D1727,'Classif Gestoras'!$A$6:$A$462,0)),"Não classificada")</x:f>
        <x:v>Independente</x:v>
      </x:c>
      <x:c r="F1727" s="166" t="str">
        <x:v>PLANNER CV</x:v>
      </x:c>
      <x:c r="G1727" s="166" t="str">
        <x:v>Não identificado</x:v>
      </x:c>
      <x:c r="H1727" s="166" t="str">
        <x:v>Outros</x:v>
      </x:c>
      <x:c r="I1727" s="166" t="str">
        <x:v>Multicarteira Outros</x:v>
      </x:c>
      <x:c r="J1727" s="166" t="str">
        <x:v>CI</x:v>
      </x:c>
      <x:c r="K1727" s="172"/>
      <x:c r="L1727" s="185" t="str">
        <x:v>Não classificado</x:v>
      </x:c>
    </x:row>
    <x:row r="1728">
      <x:c r="A1728" s="175" t="str">
        <x:v>52.997.572/0001-90</x:v>
      </x:c>
      <x:c r="B1728" s="166" t="str">
        <x:v>ORIZ JUS I FUNDO DE INVESTIMENTO EM DIREITOS CREDITÓRIOS</x:v>
      </x:c>
      <x:c r="C1728" s="188" t="n">
        <x:v>42066278.61</x:v>
      </x:c>
      <x:c r="D1728" s="166" t="str">
        <x:v>ORIZ ASSET MANAGEMENT LTDA.</x:v>
      </x:c>
      <x:c r="E1728" s="166" t="str">
        <x:f>IFERROR(INDEX('Classif Gestoras'!$H$6:$H$462,MATCH(D1728,'Classif Gestoras'!$A$6:$A$462,0)),"Não classificada")</x:f>
        <x:v>Independente</x:v>
      </x:c>
      <x:c r="F1728" s="166" t="str">
        <x:v>BANCO DAYCOVAL S/A</x:v>
      </x:c>
      <x:c r="G1728" s="166" t="str">
        <x:v>BANCO DAYCOVAL S.A.</x:v>
      </x:c>
      <x:c r="H1728" s="166" t="str">
        <x:v>Outros</x:v>
      </x:c>
      <x:c r="I1728" s="166" t="str">
        <x:v>Multicarteira Outros</x:v>
      </x:c>
      <x:c r="J1728" s="166" t="str">
        <x:v>CI</x:v>
      </x:c>
      <x:c r="K1728" s="172" t="n">
        <x:v>23</x:v>
      </x:c>
      <x:c r="L1728" s="185" t="str">
        <x:v>Não classificado</x:v>
      </x:c>
    </x:row>
    <x:row r="1729">
      <x:c r="A1729" s="175" t="str">
        <x:v>60.788.422/0001-03</x:v>
      </x:c>
      <x:c r="B1729" s="166" t="str">
        <x:v>USIQUÍMICA DO BRASIL FUNDO DE INVESTIMENTOS EM DIREITOS CREDITÓRIOS DE RESPONSABILIDADE LIMITADA</x:v>
      </x:c>
      <x:c r="C1729" s="188" t="n">
        <x:v>42050859.20999999</x:v>
      </x:c>
      <x:c r="D1729" s="166" t="str">
        <x:v>Plural Investimentos Gestão de Recursos Ltda.</x:v>
      </x:c>
      <x:c r="E1729" s="166" t="str">
        <x:f>IFERROR(INDEX('Classif Gestoras'!$H$6:$H$462,MATCH(D1729,'Classif Gestoras'!$A$6:$A$462,0)),"Não classificada")</x:f>
        <x:v>Ligada a banco</x:v>
      </x:c>
      <x:c r="F1729" s="166" t="str">
        <x:v>Genial Investimentos Corretora de Valores Mobiliários S.A.</x:v>
      </x:c>
      <x:c r="G1729" s="166" t="str">
        <x:v>BANCO GENIAL S.A.</x:v>
      </x:c>
      <x:c r="H1729" s="166" t="str">
        <x:v>Outros</x:v>
      </x:c>
      <x:c r="I1729" s="166" t="str">
        <x:v>Multicarteira Outros</x:v>
      </x:c>
      <x:c r="J1729" s="166" t="str">
        <x:v>CI</x:v>
      </x:c>
      <x:c r="K1729" s="172" t="n">
        <x:v>2</x:v>
      </x:c>
      <x:c r="L1729" s="185" t="str">
        <x:v>Não classificado</x:v>
      </x:c>
    </x:row>
    <x:row r="1730">
      <x:c r="A1730" s="175" t="str">
        <x:v>45.931.917/0001-48</x:v>
      </x:c>
      <x:c r="B1730" s="166" t="str">
        <x:v>ARGENTA FUNDO DE INVESTIMENTO EM DIREITOS CREDITÓRIOS MERCANTIS DE RESPONSABILIDADE LIMITADA</x:v>
      </x:c>
      <x:c r="C1730" s="188" t="n">
        <x:v>41944701.34</x:v>
      </x:c>
      <x:c r="D1730" s="166" t="str">
        <x:v>Integral Investimentos</x:v>
      </x:c>
      <x:c r="E1730" s="166" t="str">
        <x:f>IFERROR(INDEX('Classif Gestoras'!$H$6:$H$462,MATCH(D1730,'Classif Gestoras'!$A$6:$A$462,0)),"Não classificada")</x:f>
        <x:v>Independente</x:v>
      </x:c>
      <x:c r="F1730" s="166" t="str">
        <x:v>Genial Investimentos Corretora de Valores Mobiliários S.A.</x:v>
      </x:c>
      <x:c r="G1730" s="166" t="str">
        <x:v>BANCO GENIAL S.A.</x:v>
      </x:c>
      <x:c r="H1730" s="166" t="str">
        <x:v>Agro, Indústria e Comércio</x:v>
      </x:c>
      <x:c r="I1730" s="166" t="str">
        <x:v>Recebíveis Comerciais</x:v>
      </x:c>
      <x:c r="J1730" s="166" t="str">
        <x:v>CI</x:v>
      </x:c>
      <x:c r="K1730" s="172" t="n">
        <x:v>3</x:v>
      </x:c>
      <x:c r="L1730" s="185" t="str">
        <x:v>Não classificado</x:v>
      </x:c>
    </x:row>
    <x:row r="1731">
      <x:c r="A1731" s="175" t="str">
        <x:v>50.149.859/0001-35</x:v>
      </x:c>
      <x:c r="B1731" s="166" t="str">
        <x:v>FUNDO DE INVESTIMENTO EM DIREITOS CREDITÓRIOS ECO</x:v>
      </x:c>
      <x:c r="C1731" s="188" t="n">
        <x:v>41801677.47</x:v>
      </x:c>
      <x:c r="D1731" s="166" t="str">
        <x:v>BTG Pactual Asset</x:v>
      </x:c>
      <x:c r="E1731" s="166" t="str">
        <x:f>IFERROR(INDEX('Classif Gestoras'!$H$6:$H$462,MATCH(D1731,'Classif Gestoras'!$A$6:$A$462,0)),"Não classificada")</x:f>
        <x:v>Ligada a banco</x:v>
      </x:c>
      <x:c r="F1731" s="166" t="str">
        <x:v>BTG Pactual Servicos Financeiros S/A DTVM</x:v>
      </x:c>
      <x:c r="G1731" s="166" t="str">
        <x:v>BANCO BTG PACTUAL S/A</x:v>
      </x:c>
      <x:c r="H1731" s="166" t="str">
        <x:v>Outros</x:v>
      </x:c>
      <x:c r="I1731" s="166" t="str">
        <x:v>Multicarteira Outros</x:v>
      </x:c>
      <x:c r="J1731" s="166" t="str">
        <x:v>CI</x:v>
      </x:c>
      <x:c r="K1731" s="172" t="n">
        <x:v>1</x:v>
      </x:c>
      <x:c r="L1731" s="185" t="str">
        <x:v>Não classificado</x:v>
      </x:c>
    </x:row>
    <x:row r="1732">
      <x:c r="A1732" s="175" t="str">
        <x:v>40.802.124/0001-05</x:v>
      </x:c>
      <x:c r="B1732" s="166" t="str">
        <x:v>GUARDIAN FUNDO DE INVESTIMENTO EM DIREITOS CREDITÓRIOSRESPONSABILIDADE LIMITADA</x:v>
      </x:c>
      <x:c r="C1732" s="188" t="n">
        <x:v>41709024.03</x:v>
      </x:c>
      <x:c r="D1732" s="166" t="str">
        <x:v>KP GESTÃO DE RECURSOS LTDA.</x:v>
      </x:c>
      <x:c r="E1732" s="166" t="str">
        <x:f>IFERROR(INDEX('Classif Gestoras'!$H$6:$H$462,MATCH(D1732,'Classif Gestoras'!$A$6:$A$462,0)),"Não classificada")</x:f>
        <x:v>Independente</x:v>
      </x:c>
      <x:c r="F1732" s="166" t="str">
        <x:v>Singulare</x:v>
      </x:c>
      <x:c r="G1732" s="166" t="str">
        <x:v>QI CORRETORA DE TÍTULOS E VALORES MOBILIÁRIOS S.A.</x:v>
      </x:c>
      <x:c r="H1732" s="166" t="str">
        <x:v>Fomento Mercantil</x:v>
      </x:c>
      <x:c r="I1732" s="166" t="str">
        <x:v>Fomento Mercantil</x:v>
      </x:c>
      <x:c r="J1732" s="166" t="str">
        <x:v>CI</x:v>
      </x:c>
      <x:c r="K1732" s="172" t="n">
        <x:v>14</x:v>
      </x:c>
      <x:c r="L1732" s="185" t="str">
        <x:v>Não classificado</x:v>
      </x:c>
    </x:row>
    <x:row r="1733">
      <x:c r="A1733" s="175" t="str">
        <x:v>50.200.709/0001-09</x:v>
      </x:c>
      <x:c r="B1733" s="166" t="str">
        <x:v>MOOVPAY FUNDO DE INVESTIMENTO EM DIREITOS CREDITÓRIOS DE CLASSE ÚNICA ABERTA</x:v>
      </x:c>
      <x:c r="C1733" s="188" t="n">
        <x:v>41656361.66000001</x:v>
      </x:c>
      <x:c r="D1733" s="166" t="str">
        <x:v>CARMEL GESTORA DE ATIVOS LTDA</x:v>
      </x:c>
      <x:c r="E1733" s="166" t="str">
        <x:f>IFERROR(INDEX('Classif Gestoras'!$H$6:$H$462,MATCH(D1733,'Classif Gestoras'!$A$6:$A$462,0)),"Não classificada")</x:f>
        <x:v>Independente</x:v>
      </x:c>
      <x:c r="F1733" s="166" t="str">
        <x:v>BRL TRUST DTVM</x:v>
      </x:c>
      <x:c r="G1733" s="166" t="str">
        <x:v>BRL TRUST DISTRIBUIDORA DE TITULOS E VALORES MOBILIARIOS S.A.</x:v>
      </x:c>
      <x:c r="H1733" s="166" t="str">
        <x:v>Outros</x:v>
      </x:c>
      <x:c r="I1733" s="166" t="str">
        <x:v>Multicarteira Outros</x:v>
      </x:c>
      <x:c r="J1733" s="166" t="str">
        <x:v>CI</x:v>
      </x:c>
      <x:c r="K1733" s="172" t="n">
        <x:v>14</x:v>
      </x:c>
      <x:c r="L1733" s="185" t="str">
        <x:v>Não classificado</x:v>
      </x:c>
    </x:row>
    <x:row r="1734">
      <x:c r="A1734" s="175" t="str">
        <x:v>62.541.630/0001-20</x:v>
      </x:c>
      <x:c r="B1734" s="166" t="str">
        <x:v>ST 1023 FUNDO DE INVESTIMENTO EM DIREITOS CREDITÓRIOS RESPONSABILIDADE LIMITADA</x:v>
      </x:c>
      <x:c r="C1734" s="188" t="n">
        <x:v>41579957.599999994</x:v>
      </x:c>
      <x:c r="D1734" s="166" t="str">
        <x:v>Strata Capital</x:v>
      </x:c>
      <x:c r="E1734" s="166" t="str">
        <x:f>IFERROR(INDEX('Classif Gestoras'!$H$6:$H$462,MATCH(D1734,'Classif Gestoras'!$A$6:$A$462,0)),"Não classificada")</x:f>
        <x:v>Independente</x:v>
      </x:c>
      <x:c r="F1734" s="166" t="str">
        <x:v>BANCO DAYCOVAL S/A</x:v>
      </x:c>
      <x:c r="G1734" s="166" t="str">
        <x:v>BANCO DAYCOVAL S.A.</x:v>
      </x:c>
      <x:c r="H1734" s="166" t="str">
        <x:v>Outros</x:v>
      </x:c>
      <x:c r="I1734" s="166" t="str">
        <x:v>Multicarteira Outros</x:v>
      </x:c>
      <x:c r="J1734" s="166" t="str">
        <x:v>CI</x:v>
      </x:c>
      <x:c r="K1734" s="172" t="n">
        <x:v>3</x:v>
      </x:c>
      <x:c r="L1734" s="185" t="str">
        <x:v>Não classificado</x:v>
      </x:c>
    </x:row>
    <x:row r="1735">
      <x:c r="A1735" s="175" t="str">
        <x:v>49.743.173/0001-99</x:v>
      </x:c>
      <x:c r="B1735" s="166" t="str">
        <x:v>AEG 4 FUNDO DE INVESTIMENTO EM DIREITOS CREDITÓRIOS DE RESPONSABILIDADE LIMITADA</x:v>
      </x:c>
      <x:c r="C1735" s="188" t="n">
        <x:v>41481952.56</x:v>
      </x:c>
      <x:c r="D1735" s="166" t="str">
        <x:v>Algarve Capital</x:v>
      </x:c>
      <x:c r="E1735" s="166" t="str">
        <x:f>IFERROR(INDEX('Classif Gestoras'!$H$6:$H$462,MATCH(D1735,'Classif Gestoras'!$A$6:$A$462,0)),"Não classificada")</x:f>
        <x:v>Independente</x:v>
      </x:c>
      <x:c r="F1735" s="166" t="str">
        <x:v>BANCO DAYCOVAL S/A</x:v>
      </x:c>
      <x:c r="G1735" s="166" t="str">
        <x:v>BANCO DAYCOVAL S.A.</x:v>
      </x:c>
      <x:c r="H1735" s="166" t="str">
        <x:v>Outros</x:v>
      </x:c>
      <x:c r="I1735" s="166" t="str">
        <x:v>Multicarteira Outros</x:v>
      </x:c>
      <x:c r="J1735" s="166" t="str">
        <x:v>CI</x:v>
      </x:c>
      <x:c r="K1735" s="172" t="n">
        <x:v>3</x:v>
      </x:c>
      <x:c r="L1735" s="185" t="str">
        <x:v>Não classificado</x:v>
      </x:c>
    </x:row>
    <x:row r="1736">
      <x:c r="A1736" s="175" t="str">
        <x:v>49.938.183/0001-80</x:v>
      </x:c>
      <x:c r="B1736" s="166" t="str">
        <x:v>CRUCE II FUNDO DE INVESTIMENTO EM DIREITOS CREDITÓRIOS NÃO PADRONIZADOS</x:v>
      </x:c>
      <x:c r="C1736" s="188" t="n">
        <x:v>41399369.69</x:v>
      </x:c>
      <x:c r="D1736" s="166" t="str">
        <x:v>BURITI INVESTIMENTOS</x:v>
      </x:c>
      <x:c r="E1736" s="166" t="str">
        <x:f>IFERROR(INDEX('Classif Gestoras'!$H$6:$H$462,MATCH(D1736,'Classif Gestoras'!$A$6:$A$462,0)),"Não classificada")</x:f>
        <x:v>Independente</x:v>
      </x:c>
      <x:c r="F1736" s="166" t="str">
        <x:v>Singulare</x:v>
      </x:c>
      <x:c r="G1736" s="166" t="str">
        <x:v>QI CORRETORA DE TÍTULOS E VALORES MOBILIÁRIOS S.A.</x:v>
      </x:c>
      <x:c r="H1736" s="166" t="str">
        <x:v>Outros</x:v>
      </x:c>
      <x:c r="I1736" s="166" t="str">
        <x:v>Multicarteira Outros</x:v>
      </x:c>
      <x:c r="J1736" s="166" t="str">
        <x:v>CI</x:v>
      </x:c>
      <x:c r="K1736" s="172" t="n">
        <x:v>2</x:v>
      </x:c>
      <x:c r="L1736" s="185" t="str">
        <x:v>Não classificado</x:v>
      </x:c>
    </x:row>
    <x:row r="1737">
      <x:c r="A1737" s="175" t="str">
        <x:v>51.869.653/0001-42</x:v>
      </x:c>
      <x:c r="B1737" s="166" t="str">
        <x:v>POTENCIAL FUNDO DE INVESTIMENTO EM DIREITOS CREDITÓRIOS</x:v>
      </x:c>
      <x:c r="C1737" s="188" t="n">
        <x:v>41341213.07000001</x:v>
      </x:c>
      <x:c r="D1737" s="166" t="str">
        <x:v>ASSET MANAGEMENT</x:v>
      </x:c>
      <x:c r="E1737" s="166" t="str">
        <x:f>IFERROR(INDEX('Classif Gestoras'!$H$6:$H$462,MATCH(D1737,'Classif Gestoras'!$A$6:$A$462,0)),"Não classificada")</x:f>
        <x:v>Independente</x:v>
      </x:c>
      <x:c r="F1737" s="166" t="str">
        <x:v>AZUMI DISTRIBUIDORA DE TÍTULOS E VALORES MOBILIÁRIOS LT</x:v>
      </x:c>
      <x:c r="G1737" s="166" t="str">
        <x:v>AZUMI DISTRIBUIDORA DE TÍTULOS E VALORES MOBILIÁRIOS LTDA.</x:v>
      </x:c>
      <x:c r="H1737" s="166" t="str">
        <x:v>Outros</x:v>
      </x:c>
      <x:c r="I1737" s="166" t="str">
        <x:v>Multicarteira Outros</x:v>
      </x:c>
      <x:c r="J1737" s="166" t="str">
        <x:v>CI</x:v>
      </x:c>
      <x:c r="K1737" s="172" t="n">
        <x:v>161</x:v>
      </x:c>
      <x:c r="L1737" s="185" t="str">
        <x:v>Não classificado</x:v>
      </x:c>
    </x:row>
    <x:row r="1738">
      <x:c r="A1738" s="175" t="str">
        <x:v>53.560.257/0001-64</x:v>
      </x:c>
      <x:c r="B1738" s="166" t="str">
        <x:v>FUNDO DE INVESTIMENTO EM DIREITOS CREDITÓRIOS FINANCIAMENTO DE VEÍCULOS PESADOS - RESPONSABILIDADE L</x:v>
      </x:c>
      <x:c r="C1738" s="188" t="n">
        <x:v>41319115.84</x:v>
      </x:c>
      <x:c r="D1738" s="166" t="str">
        <x:v>Patrimonial Gestão</x:v>
      </x:c>
      <x:c r="E1738" s="166" t="str">
        <x:f>IFERROR(INDEX('Classif Gestoras'!$H$6:$H$462,MATCH(D1738,'Classif Gestoras'!$A$6:$A$462,0)),"Não classificada")</x:f>
        <x:v>Independente</x:v>
      </x:c>
      <x:c r="F1738" s="166" t="str">
        <x:v>Singulare</x:v>
      </x:c>
      <x:c r="G1738" s="166" t="str">
        <x:v>QI CORRETORA DE TÍTULOS E VALORES MOBILIÁRIOS S.A.</x:v>
      </x:c>
      <x:c r="H1738" s="166" t="str">
        <x:v>Financeiro</x:v>
      </x:c>
      <x:c r="I1738" s="166" t="str">
        <x:v>Financiamento de Veículos</x:v>
      </x:c>
      <x:c r="J1738" s="166" t="str">
        <x:v>CI</x:v>
      </x:c>
      <x:c r="K1738" s="172" t="n">
        <x:v>11</x:v>
      </x:c>
      <x:c r="L1738" s="185" t="str">
        <x:v>Não classificado</x:v>
      </x:c>
    </x:row>
    <x:row r="1739">
      <x:c r="A1739" s="175" t="str">
        <x:v>56.659.005/0001-85</x:v>
      </x:c>
      <x:c r="B1739" s="166" t="str">
        <x:v>CHIMERA ALTERNATIVE ASSETS X FUNDO DE INVESTIMENTO EM DIREITOS CREDITÓRIOS DE RESP. LIMITADA</x:v>
      </x:c>
      <x:c r="C1739" s="188" t="n">
        <x:v>41280472.28000001</x:v>
      </x:c>
      <x:c r="D1739" s="166" t="str">
        <x:v>Chimera Capital Asset Management Ltda.</x:v>
      </x:c>
      <x:c r="E1739" s="166" t="str">
        <x:f>IFERROR(INDEX('Classif Gestoras'!$H$6:$H$462,MATCH(D1739,'Classif Gestoras'!$A$6:$A$462,0)),"Não classificada")</x:f>
        <x:v>Independente</x:v>
      </x:c>
      <x:c r="F1739" s="166" t="str">
        <x:v>MONETAR DISTRIBUIDORA DE TITUL</x:v>
      </x:c>
      <x:c r="G1739" s="166" t="str">
        <x:v>TERRA INVESTIMENTOS DISTRIBUIDORA DE TITULOS E VALORES MOBILIARIOS LTDA</x:v>
      </x:c>
      <x:c r="H1739" s="166" t="str">
        <x:v>Outros</x:v>
      </x:c>
      <x:c r="I1739" s="166" t="str">
        <x:v>Multicarteira Outros</x:v>
      </x:c>
      <x:c r="J1739" s="166" t="str">
        <x:v>CI</x:v>
      </x:c>
      <x:c r="K1739" s="172" t="n">
        <x:v>11</x:v>
      </x:c>
      <x:c r="L1739" s="185" t="str">
        <x:v>Não classificado</x:v>
      </x:c>
    </x:row>
    <x:row r="1740">
      <x:c r="A1740" s="175" t="str">
        <x:v>54.565.154/0001-50</x:v>
      </x:c>
      <x:c r="B1740" s="166" t="str">
        <x:v>VANGUARDA FUNDO DE INVESTIMENTO EM DIREITOS CREDITÓRIOS</x:v>
      </x:c>
      <x:c r="C1740" s="188" t="n">
        <x:v>41229550.75</x:v>
      </x:c>
      <x:c r="D1740" s="166" t="str">
        <x:v>WNT Gestora de Recursos Ltda.</x:v>
      </x:c>
      <x:c r="E1740" s="166" t="str">
        <x:f>IFERROR(INDEX('Classif Gestoras'!$H$6:$H$462,MATCH(D1740,'Classif Gestoras'!$A$6:$A$462,0)),"Não classificada")</x:f>
        <x:v>Independente</x:v>
      </x:c>
      <x:c r="F1740" s="166" t="str">
        <x:v>WNT DTVM</x:v>
      </x:c>
      <x:c r="G1740" s="166" t="str">
        <x:v>WNT CAPITAL DISTRIBUIDORA DE TITULOS E VALORES MOBILIARIOS S.A.</x:v>
      </x:c>
      <x:c r="H1740" s="166" t="str">
        <x:v>Outros</x:v>
      </x:c>
      <x:c r="I1740" s="166" t="str">
        <x:v>Multicarteira Outros</x:v>
      </x:c>
      <x:c r="J1740" s="166" t="str">
        <x:v>CI</x:v>
      </x:c>
      <x:c r="K1740" s="172" t="n">
        <x:v>1</x:v>
      </x:c>
      <x:c r="L1740" s="185" t="str">
        <x:v>Não classificado</x:v>
      </x:c>
    </x:row>
    <x:row r="1741">
      <x:c r="A1741" s="175" t="str">
        <x:v>60.043.514/0001-56</x:v>
      </x:c>
      <x:c r="B1741" s="166" t="str">
        <x:v>ANZEN FUNDO DE INVESTIMENTO EM DIREITOS CREDITÓRIOS</x:v>
      </x:c>
      <x:c r="C1741" s="188" t="n">
        <x:v>41160103.27</x:v>
      </x:c>
      <x:c r="D1741" s="166" t="str">
        <x:v>ASSET MANAGEMENT</x:v>
      </x:c>
      <x:c r="E1741" s="166" t="str">
        <x:f>IFERROR(INDEX('Classif Gestoras'!$H$6:$H$462,MATCH(D1741,'Classif Gestoras'!$A$6:$A$462,0)),"Não classificada")</x:f>
        <x:v>Independente</x:v>
      </x:c>
      <x:c r="F1741" s="166" t="str">
        <x:v>AZUMI DISTRIBUIDORA DE TÍTULOS E VALORES MOBILIÁRIOS LT</x:v>
      </x:c>
      <x:c r="G1741" s="166" t="str">
        <x:v>AZUMI DISTRIBUIDORA DE TÍTULOS E VALORES MOBILIÁRIOS LTDA.</x:v>
      </x:c>
      <x:c r="H1741" s="166" t="str">
        <x:v>Financeiro</x:v>
      </x:c>
      <x:c r="I1741" s="166" t="str">
        <x:v>Multicarteira Financeiro</x:v>
      </x:c>
      <x:c r="J1741" s="166" t="str">
        <x:v>CI</x:v>
      </x:c>
      <x:c r="K1741" s="172" t="n">
        <x:v>1</x:v>
      </x:c>
      <x:c r="L1741" s="185" t="str">
        <x:v>Não classificado</x:v>
      </x:c>
    </x:row>
    <x:row r="1742">
      <x:c r="A1742" s="175" t="str">
        <x:v>57.363.296/0001-22</x:v>
      </x:c>
      <x:c r="B1742" s="166" t="str">
        <x:v>LIWE FUNDO DE INVESTIMENTO EM DIREITOS CREDITÓRIOS MULTISEGMENTO RESPONSABILIDADE LIMITADA</x:v>
      </x:c>
      <x:c r="C1742" s="188" t="n">
        <x:v>41153366.58</x:v>
      </x:c>
      <x:c r="D1742" s="166" t="str">
        <x:v>Petra Capital</x:v>
      </x:c>
      <x:c r="E1742" s="166" t="str">
        <x:f>IFERROR(INDEX('Classif Gestoras'!$H$6:$H$462,MATCH(D1742,'Classif Gestoras'!$A$6:$A$462,0)),"Não classificada")</x:f>
        <x:v>Independente</x:v>
      </x:c>
      <x:c r="F1742" s="166" t="str">
        <x:v>Finaxis Corretora de Títulos e Valores Mobiliários S.A.</x:v>
      </x:c>
      <x:c r="G1742" s="166" t="str">
        <x:v>BANCO FINAXIS S.A.</x:v>
      </x:c>
      <x:c r="H1742" s="166" t="str">
        <x:v>Outros</x:v>
      </x:c>
      <x:c r="I1742" s="166" t="str">
        <x:v>Multicarteira Outros</x:v>
      </x:c>
      <x:c r="J1742" s="166" t="str">
        <x:v>CI</x:v>
      </x:c>
      <x:c r="K1742" s="172" t="n">
        <x:v>3</x:v>
      </x:c>
      <x:c r="L1742" s="185" t="str">
        <x:v>Não classificado</x:v>
      </x:c>
    </x:row>
    <x:row r="1743">
      <x:c r="A1743" s="175" t="str">
        <x:v>60.095.481/0001-98</x:v>
      </x:c>
      <x:c r="B1743" s="166" t="str">
        <x:v>ST 1020 FUNDO DE INVESTIMENTO EM DIREITOS CREDITÓRIOS RESPONSABILIDADE LIMITADA</x:v>
      </x:c>
      <x:c r="C1743" s="188" t="n">
        <x:v>41021050.68</x:v>
      </x:c>
      <x:c r="D1743" s="166" t="str">
        <x:v>Strata Capital</x:v>
      </x:c>
      <x:c r="E1743" s="166" t="str">
        <x:f>IFERROR(INDEX('Classif Gestoras'!$H$6:$H$462,MATCH(D1743,'Classif Gestoras'!$A$6:$A$462,0)),"Não classificada")</x:f>
        <x:v>Independente</x:v>
      </x:c>
      <x:c r="F1743" s="166" t="str">
        <x:v>BANCO DAYCOVAL S/A</x:v>
      </x:c>
      <x:c r="G1743" s="166" t="str">
        <x:v>BANCO DAYCOVAL S.A.</x:v>
      </x:c>
      <x:c r="H1743" s="166" t="str">
        <x:v>Outros</x:v>
      </x:c>
      <x:c r="I1743" s="166" t="str">
        <x:v>Multicarteira Outros</x:v>
      </x:c>
      <x:c r="J1743" s="166" t="str">
        <x:v>CI</x:v>
      </x:c>
      <x:c r="K1743" s="172" t="n">
        <x:v>4</x:v>
      </x:c>
      <x:c r="L1743" s="185" t="str">
        <x:v>Não classificado</x:v>
      </x:c>
    </x:row>
    <x:row r="1744">
      <x:c r="A1744" s="175" t="str">
        <x:v>10.545.253/0001-02</x:v>
      </x:c>
      <x:c r="B1744" s="166" t="str">
        <x:v>VISÃO MULTIMERCADO FUNDO DE INVESTIMENTO EM DIREITOS CREDITÓRIOS</x:v>
      </x:c>
      <x:c r="C1744" s="188" t="n">
        <x:v>41021048.61999999</x:v>
      </x:c>
      <x:c r="D1744" s="166" t="str">
        <x:v>TERCON ASSET MANAGEMENT</x:v>
      </x:c>
      <x:c r="E1744" s="166" t="str">
        <x:f>IFERROR(INDEX('Classif Gestoras'!$H$6:$H$462,MATCH(D1744,'Classif Gestoras'!$A$6:$A$462,0)),"Não classificada")</x:f>
        <x:v>Independente</x:v>
      </x:c>
      <x:c r="F1744" s="166" t="str">
        <x:v>Singulare</x:v>
      </x:c>
      <x:c r="G1744" s="166" t="str">
        <x:v>QI CORRETORA DE TÍTULOS E VALORES MOBILIÁRIOS S.A.</x:v>
      </x:c>
      <x:c r="H1744" s="166" t="str">
        <x:v>Fomento Mercantil</x:v>
      </x:c>
      <x:c r="I1744" s="166" t="str">
        <x:v>Fomento Mercantil</x:v>
      </x:c>
      <x:c r="J1744" s="166" t="str">
        <x:v>CI</x:v>
      </x:c>
      <x:c r="K1744" s="172" t="n">
        <x:v>10</x:v>
      </x:c>
      <x:c r="L1744" s="185" t="str">
        <x:v>Não classificado</x:v>
      </x:c>
    </x:row>
    <x:row r="1745">
      <x:c r="A1745" s="175" t="str">
        <x:v>50.774.127/0001-36</x:v>
      </x:c>
      <x:c r="B1745" s="166" t="str">
        <x:v>BOCAINA ORIZ FUNDO DE INVESTIMENTO EM DIREITOS CREDITÓRIOS DE RESPONSABILIDADE LIMITADA</x:v>
      </x:c>
      <x:c r="C1745" s="188" t="n">
        <x:v>40882353.82</x:v>
      </x:c>
      <x:c r="D1745" s="166" t="str">
        <x:v>Bocaina Capital</x:v>
      </x:c>
      <x:c r="E1745" s="166" t="str">
        <x:f>IFERROR(INDEX('Classif Gestoras'!$H$6:$H$462,MATCH(D1745,'Classif Gestoras'!$A$6:$A$462,0)),"Não classificada")</x:f>
        <x:v>Independente</x:v>
      </x:c>
      <x:c r="F1745" s="166" t="str">
        <x:v>BANCO DAYCOVAL S/A</x:v>
      </x:c>
      <x:c r="G1745" s="166" t="str">
        <x:v>BANCO DAYCOVAL S.A.</x:v>
      </x:c>
      <x:c r="H1745" s="166" t="str">
        <x:v>Outros</x:v>
      </x:c>
      <x:c r="I1745" s="166" t="str">
        <x:v>Multicarteira Outros</x:v>
      </x:c>
      <x:c r="J1745" s="166" t="str">
        <x:v>CI</x:v>
      </x:c>
      <x:c r="K1745" s="172" t="n">
        <x:v>19</x:v>
      </x:c>
      <x:c r="L1745" s="185" t="str">
        <x:v>Não classificado</x:v>
      </x:c>
    </x:row>
    <x:row r="1746">
      <x:c r="A1746" s="175" t="str">
        <x:v>40.995.902/0001-20</x:v>
      </x:c>
      <x:c r="B1746" s="166" t="str">
        <x:v>KEYCASH HOME EQUITY FUNDO DE INVESTIMENTO EM DIREITOS CREDITÓRIOS</x:v>
      </x:c>
      <x:c r="C1746" s="188" t="n">
        <x:v>40844097.92</x:v>
      </x:c>
      <x:c r="D1746" s="166" t="str">
        <x:v>A5 Capital Partners</x:v>
      </x:c>
      <x:c r="E1746" s="166" t="str">
        <x:f>IFERROR(INDEX('Classif Gestoras'!$H$6:$H$462,MATCH(D1746,'Classif Gestoras'!$A$6:$A$462,0)),"Não classificada")</x:f>
        <x:v>Independente</x:v>
      </x:c>
      <x:c r="F1746" s="166" t="str">
        <x:v>Oliveira Trust DTVM</x:v>
      </x:c>
      <x:c r="G1746" s="166" t="str">
        <x:v>OLIVEIRA TRUST DTVM S.A.</x:v>
      </x:c>
      <x:c r="H1746" s="166" t="str">
        <x:v>Financeiro</x:v>
      </x:c>
      <x:c r="I1746" s="166" t="str">
        <x:v>Crédito Imobiliário</x:v>
      </x:c>
      <x:c r="J1746" s="166" t="str">
        <x:v>CI</x:v>
      </x:c>
      <x:c r="K1746" s="172" t="n">
        <x:v>19</x:v>
      </x:c>
      <x:c r="L1746" s="185" t="str">
        <x:v>Não classificado</x:v>
      </x:c>
    </x:row>
    <x:row r="1747">
      <x:c r="A1747" s="175" t="str">
        <x:v>47.698.957/0001-17</x:v>
      </x:c>
      <x:c r="B1747" s="166" t="str">
        <x:v>FATOR HIGH YIELD FUNDO DE INVESTIMENTO EM DIREITOS CREDITÓRIOS MULTISSEGMENTOS</x:v>
      </x:c>
      <x:c r="C1747" s="188" t="n">
        <x:v>40840569.35</x:v>
      </x:c>
      <x:c r="D1747" s="166" t="str">
        <x:v>FAR - FATOR ADMINIST</x:v>
      </x:c>
      <x:c r="E1747" s="166" t="str">
        <x:f>IFERROR(INDEX('Classif Gestoras'!$H$6:$H$462,MATCH(D1747,'Classif Gestoras'!$A$6:$A$462,0)),"Não classificada")</x:f>
        <x:v>Independente</x:v>
      </x:c>
      <x:c r="F1747" s="166" t="str">
        <x:v>BTG Pactual Servicos Financeiros S/A DTVM</x:v>
      </x:c>
      <x:c r="G1747" s="166" t="str">
        <x:v>BANCO BTG PACTUAL S/A</x:v>
      </x:c>
      <x:c r="H1747" s="166" t="str">
        <x:v>Outros</x:v>
      </x:c>
      <x:c r="I1747" s="166" t="str">
        <x:v>Multicarteira Outros</x:v>
      </x:c>
      <x:c r="J1747" s="166" t="str">
        <x:v>CI</x:v>
      </x:c>
      <x:c r="K1747" s="172" t="n">
        <x:v>1</x:v>
      </x:c>
      <x:c r="L1747" s="185" t="str">
        <x:v>Não classificado</x:v>
      </x:c>
    </x:row>
    <x:row r="1748">
      <x:c r="A1748" s="175" t="str">
        <x:v>45.521.649/0001-96</x:v>
      </x:c>
      <x:c r="B1748" s="166" t="str">
        <x:v>FIDC SINAI MACRO FUNDO DE INVESTIMENTO EM DIREITOS CREDITÓRIOS NÃO PADRONIZADO RESP LIMITADA</x:v>
      </x:c>
      <x:c r="C1748" s="188" t="n">
        <x:v>40836652.68</x:v>
      </x:c>
      <x:c r="D1748" s="166" t="str">
        <x:v>IDGR</x:v>
      </x:c>
      <x:c r="E1748" s="166" t="str">
        <x:f>IFERROR(INDEX('Classif Gestoras'!$H$6:$H$462,MATCH(D1748,'Classif Gestoras'!$A$6:$A$462,0)),"Não classificada")</x:f>
        <x:v>Independente</x:v>
      </x:c>
      <x:c r="F1748" s="166" t="str">
        <x:v>ID Corretora de Títulos e Valores Mobiliários S.A.</x:v>
      </x:c>
      <x:c r="G1748" s="166" t="str">
        <x:v>ID CORRETORA DE TITULOS E VALORES MOBILIARIOS S.A.</x:v>
      </x:c>
      <x:c r="H1748" s="166" t="str">
        <x:v>Outros</x:v>
      </x:c>
      <x:c r="I1748" s="166" t="str">
        <x:v>Multicarteira Outros</x:v>
      </x:c>
      <x:c r="J1748" s="166" t="str">
        <x:v>CI</x:v>
      </x:c>
      <x:c r="K1748" s="172" t="n">
        <x:v>6</x:v>
      </x:c>
      <x:c r="L1748" s="185" t="str">
        <x:v>Não classificado</x:v>
      </x:c>
    </x:row>
    <x:row r="1749">
      <x:c r="A1749" s="175" t="str">
        <x:v>40.676.621/0001-04</x:v>
      </x:c>
      <x:c r="B1749" s="166" t="str">
        <x:v>GHIA RECEBÍVEIS I FUNDO DE INVESTIMENTO EM DIREITOS CREDITÓRIOS</x:v>
      </x:c>
      <x:c r="C1749" s="188" t="n">
        <x:v>40610995.23</x:v>
      </x:c>
      <x:c r="D1749" s="166" t="str">
        <x:v>Ghia Asset Management</x:v>
      </x:c>
      <x:c r="E1749" s="166" t="str">
        <x:f>IFERROR(INDEX('Classif Gestoras'!$H$6:$H$462,MATCH(D1749,'Classif Gestoras'!$A$6:$A$462,0)),"Não classificada")</x:f>
        <x:v>Independente</x:v>
      </x:c>
      <x:c r="F1749" s="166" t="str">
        <x:v>VÓRTX DTVM</x:v>
      </x:c>
      <x:c r="G1749" s="166" t="str">
        <x:v>VORTX DISTRIBUIDORA DE TITULOS E VALORES MOBILIARIOS LTDA.</x:v>
      </x:c>
      <x:c r="H1749" s="166" t="str">
        <x:v>Financeiro</x:v>
      </x:c>
      <x:c r="I1749" s="166" t="str">
        <x:v>Multicarteira Financeiro</x:v>
      </x:c>
      <x:c r="J1749" s="166" t="str">
        <x:v>CI</x:v>
      </x:c>
      <x:c r="K1749" s="172" t="n">
        <x:v>4</x:v>
      </x:c>
      <x:c r="L1749" s="185" t="str">
        <x:v>Não classificado</x:v>
      </x:c>
    </x:row>
    <x:row r="1750">
      <x:c r="A1750" s="175" t="str">
        <x:v>56.977.387/0001-95</x:v>
      </x:c>
      <x:c r="B1750" s="166" t="str">
        <x:v>FUNDO DE INVESTIMENTO EM DIREITOS CREDITÓRIOS MP - RESPONSABILIDADE LIMITADA</x:v>
      </x:c>
      <x:c r="C1750" s="188" t="n">
        <x:v>40563595.6</x:v>
      </x:c>
      <x:c r="D1750" s="166" t="str">
        <x:v>SUESTE CAPITAL GESTÃO DE RECURSOS LTDA.</x:v>
      </x:c>
      <x:c r="E1750" s="166" t="str">
        <x:f>IFERROR(INDEX('Classif Gestoras'!$H$6:$H$462,MATCH(D1750,'Classif Gestoras'!$A$6:$A$462,0)),"Não classificada")</x:f>
        <x:v>Independente</x:v>
      </x:c>
      <x:c r="F1750" s="166" t="str">
        <x:v>BANCO DAYCOVAL S/A</x:v>
      </x:c>
      <x:c r="G1750" s="166" t="str">
        <x:v>BANCO DAYCOVAL S.A.</x:v>
      </x:c>
      <x:c r="H1750" s="166" t="str">
        <x:v>Outros</x:v>
      </x:c>
      <x:c r="I1750" s="166" t="str">
        <x:v>Poder Público</x:v>
      </x:c>
      <x:c r="J1750" s="166" t="str">
        <x:v>CI</x:v>
      </x:c>
      <x:c r="K1750" s="172" t="n">
        <x:v>8</x:v>
      </x:c>
      <x:c r="L1750" s="185" t="str">
        <x:v>Não classificado</x:v>
      </x:c>
    </x:row>
    <x:row r="1751">
      <x:c r="A1751" s="175" t="str">
        <x:v>61.290.894/0001-96</x:v>
      </x:c>
      <x:c r="B1751" s="166" t="str">
        <x:v>KREDITON FUNDO DE INVESTIMENTO EM DIREITOS CREDITÓRIOS</x:v>
      </x:c>
      <x:c r="C1751" s="188" t="n">
        <x:v>40557446.47</x:v>
      </x:c>
      <x:c r="D1751" s="166" t="str">
        <x:v>TERCON ASSET MANAGEMENT</x:v>
      </x:c>
      <x:c r="E1751" s="166" t="str">
        <x:f>IFERROR(INDEX('Classif Gestoras'!$H$6:$H$462,MATCH(D1751,'Classif Gestoras'!$A$6:$A$462,0)),"Não classificada")</x:f>
        <x:v>Independente</x:v>
      </x:c>
      <x:c r="F1751" s="166" t="str">
        <x:v>Singulare</x:v>
      </x:c>
      <x:c r="G1751" s="166" t="str">
        <x:v>QI CORRETORA DE TÍTULOS E VALORES MOBILIÁRIOS S.A.</x:v>
      </x:c>
      <x:c r="H1751" s="166" t="str">
        <x:v>Fomento Mercantil</x:v>
      </x:c>
      <x:c r="I1751" s="166" t="str">
        <x:v>Fomento Mercantil</x:v>
      </x:c>
      <x:c r="J1751" s="166" t="str">
        <x:v>CI</x:v>
      </x:c>
      <x:c r="K1751" s="172" t="n">
        <x:v>10</x:v>
      </x:c>
      <x:c r="L1751" s="185" t="str">
        <x:v>Não classificado</x:v>
      </x:c>
    </x:row>
    <x:row r="1752">
      <x:c r="A1752" s="175" t="str">
        <x:v>48.928.987/0001-35</x:v>
      </x:c>
      <x:c r="B1752" s="166" t="str">
        <x:v>CREDIAL BANK PAN FUNDO DE INVESTIMENTO EM DIREITOS CREDITÓRIOS NÃO-PADRONIZADOS</x:v>
      </x:c>
      <x:c r="C1752" s="188" t="n">
        <x:v>40491544.27</x:v>
      </x:c>
      <x:c r="D1752" s="166" t="str">
        <x:v>Catálise Investimentos</x:v>
      </x:c>
      <x:c r="E1752" s="166" t="str">
        <x:f>IFERROR(INDEX('Classif Gestoras'!$H$6:$H$462,MATCH(D1752,'Classif Gestoras'!$A$6:$A$462,0)),"Não classificada")</x:f>
        <x:v>Independente</x:v>
      </x:c>
      <x:c r="F1752" s="166" t="str">
        <x:v>CATÁLISE DTVM</x:v>
      </x:c>
      <x:c r="G1752" s="166" t="str">
        <x:v>BANCO DAYCOVAL S.A.</x:v>
      </x:c>
      <x:c r="H1752" s="166" t="str">
        <x:v>Outros</x:v>
      </x:c>
      <x:c r="I1752" s="166" t="str">
        <x:v>Multicarteira Outros</x:v>
      </x:c>
      <x:c r="J1752" s="166" t="str">
        <x:v>CI</x:v>
      </x:c>
      <x:c r="K1752" s="172" t="n">
        <x:v>2</x:v>
      </x:c>
      <x:c r="L1752" s="185" t="str">
        <x:v>Não classificado</x:v>
      </x:c>
    </x:row>
    <x:row r="1753">
      <x:c r="A1753" s="175" t="str">
        <x:v>57.507.339/0001-04</x:v>
      </x:c>
      <x:c r="B1753" s="166" t="str">
        <x:v>STRATEGI VISION FUNDO DE INVESTIMENTO EM DIREITOS CREDITÓRIOS RESPONSABILIDADE LIMITADA</x:v>
      </x:c>
      <x:c r="C1753" s="188" t="n">
        <x:v>40489663.96</x:v>
      </x:c>
      <x:c r="D1753" s="166" t="str">
        <x:v>STRATEGI CAPITAL ASSET MANAGEMENT</x:v>
      </x:c>
      <x:c r="E1753" s="166" t="str">
        <x:f>IFERROR(INDEX('Classif Gestoras'!$H$6:$H$462,MATCH(D1753,'Classif Gestoras'!$A$6:$A$462,0)),"Não classificada")</x:f>
        <x:v>Independente</x:v>
      </x:c>
      <x:c r="F1753" s="166" t="str">
        <x:v>VÓRTX DTVM</x:v>
      </x:c>
      <x:c r="G1753" s="166" t="str">
        <x:v>VORTX DISTRIBUIDORA DE TITULOS E VALORES MOBILIARIOS LTDA.</x:v>
      </x:c>
      <x:c r="H1753" s="166" t="str">
        <x:v>Outros</x:v>
      </x:c>
      <x:c r="I1753" s="166" t="str">
        <x:v>Multicarteira Outros</x:v>
      </x:c>
      <x:c r="J1753" s="166" t="str">
        <x:v>CI</x:v>
      </x:c>
      <x:c r="K1753" s="172" t="n">
        <x:v>16</x:v>
      </x:c>
      <x:c r="L1753" s="185" t="str">
        <x:v>Não classificado</x:v>
      </x:c>
    </x:row>
    <x:row r="1754">
      <x:c r="A1754" s="175" t="str">
        <x:v>53.073.545/0001-94</x:v>
      </x:c>
      <x:c r="B1754" s="166" t="str">
        <x:v>DEVLET FIDC MULTISSETORIAL DE RESPONSABILIDADE ILIMITADA</x:v>
      </x:c>
      <x:c r="C1754" s="188" t="n">
        <x:v>40467708.11</x:v>
      </x:c>
      <x:c r="D1754" s="166" t="str">
        <x:v>ORRAM GESTÃO DE RECURSOS LTDA.</x:v>
      </x:c>
      <x:c r="E1754" s="166" t="str">
        <x:f>IFERROR(INDEX('Classif Gestoras'!$H$6:$H$462,MATCH(D1754,'Classif Gestoras'!$A$6:$A$462,0)),"Não classificada")</x:f>
        <x:v>Independente</x:v>
      </x:c>
      <x:c r="F1754" s="166" t="str">
        <x:v>BANCO DAYCOVAL S/A</x:v>
      </x:c>
      <x:c r="G1754" s="166" t="str">
        <x:v>BANCO DAYCOVAL S.A.</x:v>
      </x:c>
      <x:c r="H1754" s="166" t="str">
        <x:v>Outros</x:v>
      </x:c>
      <x:c r="I1754" s="166" t="str">
        <x:v>Multicarteira Outros</x:v>
      </x:c>
      <x:c r="J1754" s="166" t="str">
        <x:v>CI</x:v>
      </x:c>
      <x:c r="K1754" s="172" t="n">
        <x:v>14</x:v>
      </x:c>
      <x:c r="L1754" s="185" t="str">
        <x:v>Não classificado</x:v>
      </x:c>
    </x:row>
    <x:row r="1755">
      <x:c r="A1755" s="175" t="str">
        <x:v>47.859.927/0001-45</x:v>
      </x:c>
      <x:c r="B1755" s="166" t="str">
        <x:v>NACIONAL CRED FUNDO DE INVESTIMENTO EM DIREITOS CREDITÓRIOS</x:v>
      </x:c>
      <x:c r="C1755" s="188" t="n">
        <x:v>40428195.58</x:v>
      </x:c>
      <x:c r="D1755" s="166" t="str">
        <x:v>TERCON ASSET MANAGEMENT</x:v>
      </x:c>
      <x:c r="E1755" s="166" t="str">
        <x:f>IFERROR(INDEX('Classif Gestoras'!$H$6:$H$462,MATCH(D1755,'Classif Gestoras'!$A$6:$A$462,0)),"Não classificada")</x:f>
        <x:v>Independente</x:v>
      </x:c>
      <x:c r="F1755" s="166" t="str">
        <x:v>Singulare</x:v>
      </x:c>
      <x:c r="G1755" s="166" t="str">
        <x:v>QI CORRETORA DE TÍTULOS E VALORES MOBILIÁRIOS S.A.</x:v>
      </x:c>
      <x:c r="H1755" s="166" t="str">
        <x:v>Fomento Mercantil</x:v>
      </x:c>
      <x:c r="I1755" s="166" t="str">
        <x:v>Fomento Mercantil</x:v>
      </x:c>
      <x:c r="J1755" s="166" t="str">
        <x:v>CI</x:v>
      </x:c>
      <x:c r="K1755" s="172" t="n">
        <x:v>14</x:v>
      </x:c>
      <x:c r="L1755" s="185" t="str">
        <x:v>Não classificado</x:v>
      </x:c>
    </x:row>
    <x:row r="1756">
      <x:c r="A1756" s="175" t="str">
        <x:v>44.395.637/0001-08</x:v>
      </x:c>
      <x:c r="B1756" s="166" t="str">
        <x:v>CM FEDERAL FUNDO DE INVESTIMENTO EM DIREITOS CREDITÓRIOS NÃO PADRONIZADOS</x:v>
      </x:c>
      <x:c r="C1756" s="188" t="n">
        <x:v>40411172.150000006</x:v>
      </x:c>
      <x:c r="D1756" s="166" t="str">
        <x:v>BURITI INVESTIMENTOS</x:v>
      </x:c>
      <x:c r="E1756" s="166" t="str">
        <x:f>IFERROR(INDEX('Classif Gestoras'!$H$6:$H$462,MATCH(D1756,'Classif Gestoras'!$A$6:$A$462,0)),"Não classificada")</x:f>
        <x:v>Independente</x:v>
      </x:c>
      <x:c r="F1756" s="166" t="str">
        <x:v>Singulare</x:v>
      </x:c>
      <x:c r="G1756" s="166" t="str">
        <x:v>QI CORRETORA DE TÍTULOS E VALORES MOBILIÁRIOS S.A.</x:v>
      </x:c>
      <x:c r="H1756" s="166" t="str">
        <x:v>Outros</x:v>
      </x:c>
      <x:c r="I1756" s="166" t="str">
        <x:v>Poder Público</x:v>
      </x:c>
      <x:c r="J1756" s="166" t="str">
        <x:v>CI</x:v>
      </x:c>
      <x:c r="K1756" s="172" t="n">
        <x:v>10</x:v>
      </x:c>
      <x:c r="L1756" s="185" t="str">
        <x:v>Não classificado</x:v>
      </x:c>
    </x:row>
    <x:row r="1757">
      <x:c r="A1757" s="175" t="str">
        <x:v>64.787.056/0001-10</x:v>
      </x:c>
      <x:c r="B1757" s="166" t="str">
        <x:v>UNIQUE EON FUNDO DE INVESTIMENTO EM DIREITOS CREDITÓRIOS</x:v>
      </x:c>
      <x:c r="C1757" s="188" t="n">
        <x:v>40354809.49</x:v>
      </x:c>
      <x:c r="D1757" s="166" t="str">
        <x:v>Soma Asset</x:v>
      </x:c>
      <x:c r="E1757" s="166" t="str">
        <x:f>IFERROR(INDEX('Classif Gestoras'!$H$6:$H$462,MATCH(D1757,'Classif Gestoras'!$A$6:$A$462,0)),"Não classificada")</x:f>
        <x:v>Independente</x:v>
      </x:c>
      <x:c r="F1757" s="166" t="str">
        <x:v>Singulare</x:v>
      </x:c>
      <x:c r="G1757" s="166" t="str">
        <x:v>QI CORRETORA DE TÍTULOS E VALORES MOBILIÁRIOS S.A.</x:v>
      </x:c>
      <x:c r="H1757" s="166" t="str">
        <x:v>Fomento Mercantil</x:v>
      </x:c>
      <x:c r="I1757" s="166" t="str">
        <x:v>Fomento Mercantil</x:v>
      </x:c>
      <x:c r="J1757" s="166" t="str">
        <x:v>CI</x:v>
      </x:c>
      <x:c r="K1757" s="172" t="n">
        <x:v>1</x:v>
      </x:c>
      <x:c r="L1757" s="185" t="str">
        <x:v>Não classificado</x:v>
      </x:c>
    </x:row>
    <x:row r="1758">
      <x:c r="A1758" s="175" t="str">
        <x:v>31.024.416/0001-73</x:v>
      </x:c>
      <x:c r="B1758" s="166" t="str">
        <x:v>GII CAPITAL FUNDO DE INVESTIMENTO EM DIREITOS CREDITÓRIOS</x:v>
      </x:c>
      <x:c r="C1758" s="188" t="n">
        <x:v>40194352.82</x:v>
      </x:c>
      <x:c r="D1758" s="166" t="str">
        <x:v>TERCON ASSET MANAGEMENT</x:v>
      </x:c>
      <x:c r="E1758" s="166" t="str">
        <x:f>IFERROR(INDEX('Classif Gestoras'!$H$6:$H$462,MATCH(D1758,'Classif Gestoras'!$A$6:$A$462,0)),"Não classificada")</x:f>
        <x:v>Independente</x:v>
      </x:c>
      <x:c r="F1758" s="166" t="str">
        <x:v>Singulare</x:v>
      </x:c>
      <x:c r="G1758" s="166" t="str">
        <x:v>QI CORRETORA DE TÍTULOS E VALORES MOBILIÁRIOS S.A.</x:v>
      </x:c>
      <x:c r="H1758" s="166" t="str">
        <x:v>Outros</x:v>
      </x:c>
      <x:c r="I1758" s="166" t="str">
        <x:v>Multicarteira Outros</x:v>
      </x:c>
      <x:c r="J1758" s="166" t="str">
        <x:v>CI</x:v>
      </x:c>
      <x:c r="K1758" s="172" t="n">
        <x:v>5</x:v>
      </x:c>
      <x:c r="L1758" s="185" t="str">
        <x:v>Não classificado</x:v>
      </x:c>
    </x:row>
    <x:row r="1759">
      <x:c r="A1759" s="175" t="str">
        <x:v>46.285.106/0001-80</x:v>
      </x:c>
      <x:c r="B1759" s="166" t="str">
        <x:v>PAGOL FUNDO DE INVESTIMENTO EM DIREITOS CREDITÓRIOS</x:v>
      </x:c>
      <x:c r="C1759" s="188" t="n">
        <x:v>40174193.21</x:v>
      </x:c>
      <x:c r="D1759" s="166" t="str">
        <x:v>Trius Capital</x:v>
      </x:c>
      <x:c r="E1759" s="166" t="str">
        <x:f>IFERROR(INDEX('Classif Gestoras'!$H$6:$H$462,MATCH(D1759,'Classif Gestoras'!$A$6:$A$462,0)),"Não classificada")</x:f>
        <x:v>Independente</x:v>
      </x:c>
      <x:c r="F1759" s="166" t="str">
        <x:v>Singulare</x:v>
      </x:c>
      <x:c r="G1759" s="166" t="str">
        <x:v>QI CORRETORA DE TÍTULOS E VALORES MOBILIÁRIOS S.A.</x:v>
      </x:c>
      <x:c r="H1759" s="166" t="str">
        <x:v>Financeiro</x:v>
      </x:c>
      <x:c r="I1759" s="166" t="str">
        <x:v>Multicarteira Financeiro</x:v>
      </x:c>
      <x:c r="J1759" s="166" t="str">
        <x:v>CI</x:v>
      </x:c>
      <x:c r="K1759" s="172" t="n">
        <x:v>2</x:v>
      </x:c>
      <x:c r="L1759" s="185" t="str">
        <x:v>Não classificado</x:v>
      </x:c>
    </x:row>
    <x:row r="1760">
      <x:c r="A1760" s="175" t="str">
        <x:v>50.153.414/0001-29</x:v>
      </x:c>
      <x:c r="B1760" s="166" t="str">
        <x:v>INVESTMACH FUNDO DE INVESTIMENTO EM DIREITOS CREDITORIOS - FIDC</x:v>
      </x:c>
      <x:c r="C1760" s="188" t="n">
        <x:v>39952385.940000005</x:v>
      </x:c>
      <x:c r="D1760" s="166" t="str">
        <x:v>Bless Capital Gestora de Recursos Ltda.</x:v>
      </x:c>
      <x:c r="E1760" s="166" t="str">
        <x:f>IFERROR(INDEX('Classif Gestoras'!$H$6:$H$462,MATCH(D1760,'Classif Gestoras'!$A$6:$A$462,0)),"Não classificada")</x:f>
        <x:v>Independente</x:v>
      </x:c>
      <x:c r="F1760" s="166" t="str">
        <x:v>ID Corretora de Títulos e Valores Mobiliários S.A.</x:v>
      </x:c>
      <x:c r="G1760" s="166" t="str">
        <x:v>ID CORRETORA DE TITULOS E VALORES MOBILIARIOS S.A.</x:v>
      </x:c>
      <x:c r="H1760" s="166" t="str">
        <x:v>Outros</x:v>
      </x:c>
      <x:c r="I1760" s="166" t="str">
        <x:v>Multicarteira Outros</x:v>
      </x:c>
      <x:c r="J1760" s="166" t="str">
        <x:v>CI</x:v>
      </x:c>
      <x:c r="K1760" s="172" t="n">
        <x:v>1</x:v>
      </x:c>
      <x:c r="L1760" s="185" t="str">
        <x:v>Não classificado</x:v>
      </x:c>
    </x:row>
    <x:row r="1761">
      <x:c r="A1761" s="175" t="str">
        <x:v>55.567.840/0001-22</x:v>
      </x:c>
      <x:c r="B1761" s="166" t="str">
        <x:v>HOLE IN ONE FUNDO DE INVESTIMENTO EM DIREITOS CREDITÓRIOS</x:v>
      </x:c>
      <x:c r="C1761" s="188" t="n">
        <x:v>39891540.349999994</x:v>
      </x:c>
      <x:c r="D1761" s="166" t="str">
        <x:v>AWARE GESTÃO DE RECURSOS LTDA</x:v>
      </x:c>
      <x:c r="E1761" s="166" t="str">
        <x:f>IFERROR(INDEX('Classif Gestoras'!$H$6:$H$462,MATCH(D1761,'Classif Gestoras'!$A$6:$A$462,0)),"Não classificada")</x:f>
        <x:v>Independente</x:v>
      </x:c>
      <x:c r="F1761" s="166" t="str">
        <x:v>PLANNER CV</x:v>
      </x:c>
      <x:c r="G1761" s="166" t="str">
        <x:v>PLANNER CORRETORA DE VALORES S.A.</x:v>
      </x:c>
      <x:c r="H1761" s="166" t="str">
        <x:v>Outros</x:v>
      </x:c>
      <x:c r="I1761" s="166" t="str">
        <x:v>Poder Público</x:v>
      </x:c>
      <x:c r="J1761" s="166" t="str">
        <x:v>CI</x:v>
      </x:c>
      <x:c r="K1761" s="172" t="n">
        <x:v>32</x:v>
      </x:c>
      <x:c r="L1761" s="185" t="str">
        <x:v>Não classificado</x:v>
      </x:c>
    </x:row>
    <x:row r="1762">
      <x:c r="A1762" s="175" t="str">
        <x:v>59.999.281/0001-80</x:v>
      </x:c>
      <x:c r="B1762" s="166" t="str">
        <x:v>FITZ ROY SPECIAL SITUATIONS II FIDC DE RESPONSABILIDADE LIMITADA</x:v>
      </x:c>
      <x:c r="C1762" s="188" t="n">
        <x:v>39868531.66000001</x:v>
      </x:c>
      <x:c r="D1762" s="166" t="str">
        <x:v>Laplace Capital</x:v>
      </x:c>
      <x:c r="E1762" s="166" t="str">
        <x:f>IFERROR(INDEX('Classif Gestoras'!$H$6:$H$462,MATCH(D1762,'Classif Gestoras'!$A$6:$A$462,0)),"Não classificada")</x:f>
        <x:v>Independente</x:v>
      </x:c>
      <x:c r="F1762" s="166" t="str">
        <x:v>BANCO DAYCOVAL S/A</x:v>
      </x:c>
      <x:c r="G1762" s="166" t="str">
        <x:v>BANCO DAYCOVAL S.A.</x:v>
      </x:c>
      <x:c r="H1762" s="166" t="str">
        <x:v>Fomento Mercantil</x:v>
      </x:c>
      <x:c r="I1762" s="166" t="str">
        <x:v>Fomento Mercantil</x:v>
      </x:c>
      <x:c r="J1762" s="166" t="str">
        <x:v>CI</x:v>
      </x:c>
      <x:c r="K1762" s="172" t="n">
        <x:v>146</x:v>
      </x:c>
      <x:c r="L1762" s="185" t="str">
        <x:v>Não classificado</x:v>
      </x:c>
    </x:row>
    <x:row r="1763">
      <x:c r="A1763" s="175" t="str">
        <x:v>47.463.373/0001-62</x:v>
      </x:c>
      <x:c r="B1763" s="166" t="str">
        <x:v>PANDION FUNDO DE INVESTIMENTO EM DIREITOS CREDITÓRIOS</x:v>
      </x:c>
      <x:c r="C1763" s="188" t="n">
        <x:v>39827160.48</x:v>
      </x:c>
      <x:c r="D1763" s="166" t="str">
        <x:v>Veritas Capital Management</x:v>
      </x:c>
      <x:c r="E1763" s="166" t="str">
        <x:f>IFERROR(INDEX('Classif Gestoras'!$H$6:$H$462,MATCH(D1763,'Classif Gestoras'!$A$6:$A$462,0)),"Não classificada")</x:f>
        <x:v>Independente</x:v>
      </x:c>
      <x:c r="F1763" s="166" t="str">
        <x:v>Singulare</x:v>
      </x:c>
      <x:c r="G1763" s="166" t="str">
        <x:v>QI CORRETORA DE TÍTULOS E VALORES MOBILIÁRIOS S.A.</x:v>
      </x:c>
      <x:c r="H1763" s="166" t="str">
        <x:v>Outros</x:v>
      </x:c>
      <x:c r="I1763" s="166" t="str">
        <x:v>Multicarteira Outros</x:v>
      </x:c>
      <x:c r="J1763" s="166" t="str">
        <x:v>CI</x:v>
      </x:c>
      <x:c r="K1763" s="172" t="n">
        <x:v>7</x:v>
      </x:c>
      <x:c r="L1763" s="185" t="str">
        <x:v>Não classificado</x:v>
      </x:c>
    </x:row>
    <x:row r="1764">
      <x:c r="A1764" s="175" t="str">
        <x:v>42.043.708/0001-70</x:v>
      </x:c>
      <x:c r="B1764" s="166" t="str">
        <x:v>ALGARVE COFFEE CRÉDITOS JUDICIAIS FUNDO DE INVESTIMENTO EM DIREITOS CREDITÓRIOS</x:v>
      </x:c>
      <x:c r="C1764" s="188" t="n">
        <x:v>39750553.75000001</x:v>
      </x:c>
      <x:c r="D1764" s="166" t="str">
        <x:v>Algarve Capital</x:v>
      </x:c>
      <x:c r="E1764" s="166" t="str">
        <x:f>IFERROR(INDEX('Classif Gestoras'!$H$6:$H$462,MATCH(D1764,'Classif Gestoras'!$A$6:$A$462,0)),"Não classificada")</x:f>
        <x:v>Independente</x:v>
      </x:c>
      <x:c r="F1764" s="166" t="str">
        <x:v>MAF Distribuidora de Títulos e Valores Mobiliários S.A.</x:v>
      </x:c>
      <x:c r="G1764" s="166" t="str">
        <x:v>MAF DISTRIBUIDORA DE TITULOS E VALORES MOBILIARIOS S.A.</x:v>
      </x:c>
      <x:c r="H1764" s="166" t="str">
        <x:v>Outros</x:v>
      </x:c>
      <x:c r="I1764" s="166" t="str">
        <x:v>Poder Público</x:v>
      </x:c>
      <x:c r="J1764" s="166" t="str">
        <x:v>CI</x:v>
      </x:c>
      <x:c r="K1764" s="172" t="n">
        <x:v>3</x:v>
      </x:c>
      <x:c r="L1764" s="185" t="str">
        <x:v>Não classificado</x:v>
      </x:c>
    </x:row>
    <x:row r="1765">
      <x:c r="A1765" s="175" t="str">
        <x:v>26.208.267/0001-62</x:v>
      </x:c>
      <x:c r="B1765" s="166" t="str">
        <x:v>C&amp;J FUNDO DE INVESTIMENTO EM DIREITOS CREDITORIOS</x:v>
      </x:c>
      <x:c r="C1765" s="188" t="n">
        <x:v>39729346.03999999</x:v>
      </x:c>
      <x:c r="D1765" s="166" t="str">
        <x:v>TERCON ASSET MANAGEMENT</x:v>
      </x:c>
      <x:c r="E1765" s="166" t="str">
        <x:f>IFERROR(INDEX('Classif Gestoras'!$H$6:$H$462,MATCH(D1765,'Classif Gestoras'!$A$6:$A$462,0)),"Não classificada")</x:f>
        <x:v>Independente</x:v>
      </x:c>
      <x:c r="F1765" s="166" t="str">
        <x:v>Singulare</x:v>
      </x:c>
      <x:c r="G1765" s="166" t="str">
        <x:v>QI CORRETORA DE TÍTULOS E VALORES MOBILIÁRIOS S.A.</x:v>
      </x:c>
      <x:c r="H1765" s="166" t="str">
        <x:v>Fomento Mercantil</x:v>
      </x:c>
      <x:c r="I1765" s="166" t="str">
        <x:v>Fomento Mercantil</x:v>
      </x:c>
      <x:c r="J1765" s="166" t="str">
        <x:v>CI</x:v>
      </x:c>
      <x:c r="K1765" s="172" t="n">
        <x:v>3</x:v>
      </x:c>
      <x:c r="L1765" s="185" t="str">
        <x:v>Não classificado</x:v>
      </x:c>
    </x:row>
    <x:row r="1766">
      <x:c r="A1766" s="175" t="str">
        <x:v>13.807.406/0001-22</x:v>
      </x:c>
      <x:c r="B1766" s="166" t="str">
        <x:v>B8 FUNDO DE INVESTIMENTO EM DIREITOS CREDITÓRIOS</x:v>
      </x:c>
      <x:c r="C1766" s="188" t="n">
        <x:v>39693869.52</x:v>
      </x:c>
      <x:c r="D1766" s="166" t="str">
        <x:v>TERCON ASSET MANAGEMENT</x:v>
      </x:c>
      <x:c r="E1766" s="166" t="str">
        <x:f>IFERROR(INDEX('Classif Gestoras'!$H$6:$H$462,MATCH(D1766,'Classif Gestoras'!$A$6:$A$462,0)),"Não classificada")</x:f>
        <x:v>Independente</x:v>
      </x:c>
      <x:c r="F1766" s="166" t="str">
        <x:v>Singulare</x:v>
      </x:c>
      <x:c r="G1766" s="166" t="str">
        <x:v>QI CORRETORA DE TÍTULOS E VALORES MOBILIÁRIOS S.A.</x:v>
      </x:c>
      <x:c r="H1766" s="166" t="str">
        <x:v>Fomento Mercantil</x:v>
      </x:c>
      <x:c r="I1766" s="166" t="str">
        <x:v>Fomento Mercantil</x:v>
      </x:c>
      <x:c r="J1766" s="166" t="str">
        <x:v>CI</x:v>
      </x:c>
      <x:c r="K1766" s="172" t="n">
        <x:v>17</x:v>
      </x:c>
      <x:c r="L1766" s="185" t="str">
        <x:v>Não classificado</x:v>
      </x:c>
    </x:row>
    <x:row r="1767">
      <x:c r="A1767" s="175" t="str">
        <x:v>63.066.147/0001-02</x:v>
      </x:c>
      <x:c r="B1767" s="166" t="str">
        <x:v>FUNDO DE INVESTIMENTO EM DIREITOS CREDITÓRIOS INCLUSÃO CREDIÁRIA RESPONSABILIDADE LIMITADA</x:v>
      </x:c>
      <x:c r="C1767" s="188" t="n">
        <x:v>39648397.41</x:v>
      </x:c>
      <x:c r="D1767" s="166" t="str">
        <x:v>Vórtx Capital Gestão de Recursos Ltda.</x:v>
      </x:c>
      <x:c r="E1767" s="166" t="str">
        <x:f>IFERROR(INDEX('Classif Gestoras'!$H$6:$H$462,MATCH(D1767,'Classif Gestoras'!$A$6:$A$462,0)),"Não classificada")</x:f>
        <x:v>Independente</x:v>
      </x:c>
      <x:c r="F1767" s="166" t="str">
        <x:v>VÓRTX DTVM</x:v>
      </x:c>
      <x:c r="G1767" s="166" t="str">
        <x:v>VORTX DISTRIBUIDORA DE TITULOS E VALORES MOBILIARIOS LTDA.</x:v>
      </x:c>
      <x:c r="H1767" s="166" t="str">
        <x:v>Financeiro</x:v>
      </x:c>
      <x:c r="I1767" s="166" t="str">
        <x:v>Crédito Pessoal</x:v>
      </x:c>
      <x:c r="J1767" s="166" t="str">
        <x:v>CI</x:v>
      </x:c>
      <x:c r="K1767" s="172" t="n">
        <x:v>26</x:v>
      </x:c>
      <x:c r="L1767" s="185" t="str">
        <x:v>Não classificado</x:v>
      </x:c>
    </x:row>
    <x:row r="1768">
      <x:c r="A1768" s="175" t="str">
        <x:v>29.109.292/0001-87</x:v>
      </x:c>
      <x:c r="B1768" s="166" t="str">
        <x:v>PINARELLO FUNDO DE INVESTIMENTO EM DIREITOS CREDITÓRIOS RESPONSABILIDADE LIMITADA</x:v>
      </x:c>
      <x:c r="C1768" s="188" t="n">
        <x:v>39632436.98</x:v>
      </x:c>
      <x:c r="D1768" s="166" t="str">
        <x:v>LAV ASSET MANAGEMENT GESTÃO DE RECURSOS LTDA.</x:v>
      </x:c>
      <x:c r="E1768" s="166" t="str">
        <x:f>IFERROR(INDEX('Classif Gestoras'!$H$6:$H$462,MATCH(D1768,'Classif Gestoras'!$A$6:$A$462,0)),"Não classificada")</x:f>
        <x:v>Independente</x:v>
      </x:c>
      <x:c r="F1768" s="166" t="str">
        <x:v>Singulare</x:v>
      </x:c>
      <x:c r="G1768" s="166" t="str">
        <x:v>QI CORRETORA DE TÍTULOS E VALORES MOBILIÁRIOS S.A.</x:v>
      </x:c>
      <x:c r="H1768" s="166" t="str">
        <x:v>Fomento Mercantil</x:v>
      </x:c>
      <x:c r="I1768" s="166" t="str">
        <x:v>Fomento Mercantil</x:v>
      </x:c>
      <x:c r="J1768" s="166" t="str">
        <x:v>CI</x:v>
      </x:c>
      <x:c r="K1768" s="172" t="n">
        <x:v>26</x:v>
      </x:c>
      <x:c r="L1768" s="185" t="str">
        <x:v>Não classificado</x:v>
      </x:c>
    </x:row>
    <x:row r="1769">
      <x:c r="A1769" s="175" t="str">
        <x:v>38.051.251/0001-78</x:v>
      </x:c>
      <x:c r="B1769" s="166" t="str">
        <x:v>FUNDO DE INVESTIMENTO EM DIREITOS CREDITÓRIOS IS SOLAR KOMPASS ENERGIA</x:v>
      </x:c>
      <x:c r="C1769" s="188" t="n">
        <x:v>39619187.03</x:v>
      </x:c>
      <x:c r="D1769" s="166" t="str">
        <x:v>JGP Gestão de Crédito LTDA.</x:v>
      </x:c>
      <x:c r="E1769" s="166" t="str">
        <x:f>IFERROR(INDEX('Classif Gestoras'!$H$6:$H$462,MATCH(D1769,'Classif Gestoras'!$A$6:$A$462,0)),"Não classificada")</x:f>
        <x:v>Independente</x:v>
      </x:c>
      <x:c r="F1769" s="166" t="str">
        <x:v>BANCO DAYCOVAL S/A</x:v>
      </x:c>
      <x:c r="G1769" s="166" t="str">
        <x:v>BANCO DAYCOVAL S.A.</x:v>
      </x:c>
      <x:c r="H1769" s="166" t="str">
        <x:v>Agro, Indústria e Comércio</x:v>
      </x:c>
      <x:c r="I1769" s="166" t="str">
        <x:v>Infraestrutura</x:v>
      </x:c>
      <x:c r="J1769" s="166" t="str">
        <x:v>CI</x:v>
      </x:c>
      <x:c r="K1769" s="172" t="n">
        <x:v>20</x:v>
      </x:c>
      <x:c r="L1769" s="185" t="str">
        <x:v>Não classificado</x:v>
      </x:c>
    </x:row>
    <x:row r="1770">
      <x:c r="A1770" s="175" t="str">
        <x:v>56.993.592/0001-44</x:v>
      </x:c>
      <x:c r="B1770" s="166" t="str">
        <x:v>FUNDO DE INVESTIMENTO EM DIREITOS CREDITÓRIOS MAR AZUL - RESPONSABILIDADE LIMITADA</x:v>
      </x:c>
      <x:c r="C1770" s="188" t="n">
        <x:v>39570550.629999995</x:v>
      </x:c>
      <x:c r="D1770" s="166" t="str">
        <x:v>Plural Investimentos Gestão de Recursos Ltda.</x:v>
      </x:c>
      <x:c r="E1770" s="166" t="str">
        <x:f>IFERROR(INDEX('Classif Gestoras'!$H$6:$H$462,MATCH(D1770,'Classif Gestoras'!$A$6:$A$462,0)),"Não classificada")</x:f>
        <x:v>Ligada a banco</x:v>
      </x:c>
      <x:c r="F1770" s="166" t="str">
        <x:v>Genial Investimentos Corretora de Valores Mobiliários S.A.</x:v>
      </x:c>
      <x:c r="G1770" s="166" t="str">
        <x:v>BANCO GENIAL S.A.</x:v>
      </x:c>
      <x:c r="H1770" s="166" t="str">
        <x:v>Fomento Mercantil</x:v>
      </x:c>
      <x:c r="I1770" s="166" t="str">
        <x:v>Fomento Mercantil</x:v>
      </x:c>
      <x:c r="J1770" s="166" t="str">
        <x:v>CI</x:v>
      </x:c>
      <x:c r="K1770" s="172" t="n">
        <x:v>1</x:v>
      </x:c>
      <x:c r="L1770" s="185" t="str">
        <x:v>Não classificado</x:v>
      </x:c>
    </x:row>
    <x:row r="1771">
      <x:c r="A1771" s="175" t="str">
        <x:v>55.657.044/0001-80</x:v>
      </x:c>
      <x:c r="B1771" s="166" t="str">
        <x:v>ANIL FUNDO DE INVESTIMENTO EM DIREITOS CREDITÓRIOS DE RESPONSABILIDADE LIMITADA</x:v>
      </x:c>
      <x:c r="C1771" s="188" t="n">
        <x:v>39316423.81</x:v>
      </x:c>
      <x:c r="D1771" s="166" t="str">
        <x:v>Catálise Investimentos</x:v>
      </x:c>
      <x:c r="E1771" s="166" t="str">
        <x:f>IFERROR(INDEX('Classif Gestoras'!$H$6:$H$462,MATCH(D1771,'Classif Gestoras'!$A$6:$A$462,0)),"Não classificada")</x:f>
        <x:v>Independente</x:v>
      </x:c>
      <x:c r="F1771" s="166" t="str">
        <x:v>CATÁLISE DTVM</x:v>
      </x:c>
      <x:c r="G1771" s="166" t="str">
        <x:v>Não identificado</x:v>
      </x:c>
      <x:c r="H1771" s="166" t="str">
        <x:v>Agro, Indústria e Comércio</x:v>
      </x:c>
      <x:c r="I1771" s="166" t="str">
        <x:v>Multicarteira Agro, Indústria e Comércio</x:v>
      </x:c>
      <x:c r="J1771" s="166" t="str">
        <x:v>CI</x:v>
      </x:c>
      <x:c r="K1771" s="172" t="n">
        <x:v>1</x:v>
      </x:c>
      <x:c r="L1771" s="185" t="str">
        <x:v>Não classificado</x:v>
      </x:c>
    </x:row>
    <x:row r="1772">
      <x:c r="A1772" s="175" t="str">
        <x:v>53.604.320/0001-17</x:v>
      </x:c>
      <x:c r="B1772" s="166" t="str">
        <x:v>BEM BARATO FUNDO DE INVESTIMENTO EM DIREITOS CREDITÓRIOS</x:v>
      </x:c>
      <x:c r="C1772" s="188" t="n">
        <x:v>39205161.2</x:v>
      </x:c>
      <x:c r="D1772" s="166" t="str">
        <x:v>OURO PRETO INVESTIMENTOS</x:v>
      </x:c>
      <x:c r="E1772" s="166" t="str">
        <x:f>IFERROR(INDEX('Classif Gestoras'!$H$6:$H$462,MATCH(D1772,'Classif Gestoras'!$A$6:$A$462,0)),"Não classificada")</x:f>
        <x:v>Independente</x:v>
      </x:c>
      <x:c r="F1772" s="166" t="str">
        <x:v>Limine Trust Distribuidora de Titulos e Valores Mobiliá</x:v>
      </x:c>
      <x:c r="G1772" s="166" t="str">
        <x:v>LIMINE TRUST DISTRIBUIDORA DE TITULOS E VALORES MOBILIARIOS LTDA.</x:v>
      </x:c>
      <x:c r="H1772" s="166" t="str">
        <x:v>Outros</x:v>
      </x:c>
      <x:c r="I1772" s="166" t="str">
        <x:v>Multicarteira Outros</x:v>
      </x:c>
      <x:c r="J1772" s="166" t="str">
        <x:v>CI</x:v>
      </x:c>
      <x:c r="K1772" s="172" t="n">
        <x:v>3</x:v>
      </x:c>
      <x:c r="L1772" s="185" t="str">
        <x:v>Não classificado</x:v>
      </x:c>
    </x:row>
    <x:row r="1773">
      <x:c r="A1773" s="175" t="str">
        <x:v>51.646.633/0001-02</x:v>
      </x:c>
      <x:c r="B1773" s="166" t="str">
        <x:v>APUAMA LIBRA FUNDO DE INVESTIMENTO EM DIREITOS CREDITÓRIOS - RESPONSABILIDADE LIMITADA</x:v>
      </x:c>
      <x:c r="C1773" s="188" t="n">
        <x:v>39179763.580000006</x:v>
      </x:c>
      <x:c r="D1773" s="166" t="str">
        <x:v>Apuama Capital</x:v>
      </x:c>
      <x:c r="E1773" s="166" t="str">
        <x:f>IFERROR(INDEX('Classif Gestoras'!$H$6:$H$462,MATCH(D1773,'Classif Gestoras'!$A$6:$A$462,0)),"Não classificada")</x:f>
        <x:v>Independente</x:v>
      </x:c>
      <x:c r="F1773" s="166" t="str">
        <x:v>Singulare</x:v>
      </x:c>
      <x:c r="G1773" s="166" t="str">
        <x:v>QI CORRETORA DE TÍTULOS E VALORES MOBILIÁRIOS S.A.</x:v>
      </x:c>
      <x:c r="H1773" s="166" t="str">
        <x:v>Fomento Mercantil</x:v>
      </x:c>
      <x:c r="I1773" s="166" t="str">
        <x:v>Fomento Mercantil</x:v>
      </x:c>
      <x:c r="J1773" s="166" t="str">
        <x:v>CI</x:v>
      </x:c>
      <x:c r="K1773" s="172" t="n">
        <x:v>27</x:v>
      </x:c>
      <x:c r="L1773" s="185" t="str">
        <x:v>Não classificado</x:v>
      </x:c>
    </x:row>
    <x:row r="1774">
      <x:c r="A1774" s="175" t="str">
        <x:v>57.377.642/0001-21</x:v>
      </x:c>
      <x:c r="B1774" s="166" t="str">
        <x:v>ITAÚNA PRECATÓRIOS FUNDO DE INVESTIMENTO EM DIREITOS CREDITÓRIOS - RESPONSABILIDADE LIMITADA</x:v>
      </x:c>
      <x:c r="C1774" s="188" t="n">
        <x:v>39089277.27</x:v>
      </x:c>
      <x:c r="D1774" s="166" t="str">
        <x:v>ITAÚNA CAPITAL LTDA.</x:v>
      </x:c>
      <x:c r="E1774" s="166" t="str">
        <x:f>IFERROR(INDEX('Classif Gestoras'!$H$6:$H$462,MATCH(D1774,'Classif Gestoras'!$A$6:$A$462,0)),"Não classificada")</x:f>
        <x:v>Ligada a banco</x:v>
      </x:c>
      <x:c r="F1774" s="166" t="str">
        <x:v>BNY MELLON SERVICOS</x:v>
      </x:c>
      <x:c r="G1774" s="166" t="str">
        <x:v>Não identificado</x:v>
      </x:c>
      <x:c r="H1774" s="166" t="str">
        <x:v>Outros</x:v>
      </x:c>
      <x:c r="I1774" s="166" t="str">
        <x:v>Multicarteira Outros</x:v>
      </x:c>
      <x:c r="J1774" s="166" t="str">
        <x:v>CI</x:v>
      </x:c>
      <x:c r="K1774" s="172" t="n">
        <x:v>109</x:v>
      </x:c>
      <x:c r="L1774" s="185" t="str">
        <x:v>Não classificado</x:v>
      </x:c>
    </x:row>
    <x:row r="1775">
      <x:c r="A1775" s="175" t="str">
        <x:v>60.851.290/0001-09</x:v>
      </x:c>
      <x:c r="B1775" s="166" t="str">
        <x:v>LRS FUNDO DE INVESTIMENTO EM DIREITOS CREDITÓRIOS RESPONSABILIDADE LIMITADA</x:v>
      </x:c>
      <x:c r="C1775" s="188" t="n">
        <x:v>38895453.81</x:v>
      </x:c>
      <x:c r="D1775" s="166" t="str">
        <x:v>ITAU ASSET</x:v>
      </x:c>
      <x:c r="E1775" s="166" t="str">
        <x:f>IFERROR(INDEX('Classif Gestoras'!$H$6:$H$462,MATCH(D1775,'Classif Gestoras'!$A$6:$A$462,0)),"Não classificada")</x:f>
        <x:v>Ligada a banco</x:v>
      </x:c>
      <x:c r="F1775" s="166" t="str">
        <x:v>INTRAG DIST. DE TÍTU</x:v>
      </x:c>
      <x:c r="G1775" s="166" t="str">
        <x:v>ITAU UNIBANCO S.A.</x:v>
      </x:c>
      <x:c r="H1775" s="166" t="str">
        <x:v>Outros</x:v>
      </x:c>
      <x:c r="I1775" s="166" t="str">
        <x:v>Multicarteira Outros</x:v>
      </x:c>
      <x:c r="J1775" s="166" t="str">
        <x:v>CIPC</x:v>
      </x:c>
      <x:c r="K1775" s="172" t="n">
        <x:v>3</x:v>
      </x:c>
      <x:c r="L1775" s="185" t="str">
        <x:v>Não classificado</x:v>
      </x:c>
    </x:row>
    <x:row r="1776">
      <x:c r="A1776" s="175" t="str">
        <x:v>52.258.922/0001-05</x:v>
      </x:c>
      <x:c r="B1776" s="166" t="str">
        <x:v>BRAVA FUNDO DE INVESTIMENTO EM DIREITOS CREDITÓRIOS</x:v>
      </x:c>
      <x:c r="C1776" s="188" t="n">
        <x:v>38833621.2</x:v>
      </x:c>
      <x:c r="D1776" s="166" t="str">
        <x:v>M8 Partners</x:v>
      </x:c>
      <x:c r="E1776" s="166" t="str">
        <x:f>IFERROR(INDEX('Classif Gestoras'!$H$6:$H$462,MATCH(D1776,'Classif Gestoras'!$A$6:$A$462,0)),"Não classificada")</x:f>
        <x:v>Independente</x:v>
      </x:c>
      <x:c r="F1776" s="166" t="str">
        <x:v>Singulare</x:v>
      </x:c>
      <x:c r="G1776" s="166" t="str">
        <x:v>QI CORRETORA DE TÍTULOS E VALORES MOBILIÁRIOS S.A.</x:v>
      </x:c>
      <x:c r="H1776" s="166" t="str">
        <x:v>Fomento Mercantil</x:v>
      </x:c>
      <x:c r="I1776" s="166" t="str">
        <x:v>Fomento Mercantil</x:v>
      </x:c>
      <x:c r="J1776" s="166" t="str">
        <x:v>CI</x:v>
      </x:c>
      <x:c r="K1776" s="172" t="n">
        <x:v>11</x:v>
      </x:c>
      <x:c r="L1776" s="185" t="str">
        <x:v>Não classificado</x:v>
      </x:c>
    </x:row>
    <x:row r="1777">
      <x:c r="A1777" s="175" t="str">
        <x:v>52.680.896/0001-09</x:v>
      </x:c>
      <x:c r="B1777" s="166" t="str">
        <x:v>KAISEN FUNDO DE INVESTIMENTO EM DIREITOS CREDITÓRIOS RESPONSABILIDADE LIMITADA</x:v>
      </x:c>
      <x:c r="C1777" s="188" t="n">
        <x:v>38776310.83</x:v>
      </x:c>
      <x:c r="D1777" s="166" t="str">
        <x:v>GESTORA DE RECURSOS ID - GRID LTDA.</x:v>
      </x:c>
      <x:c r="E1777" s="166" t="str">
        <x:f>IFERROR(INDEX('Classif Gestoras'!$H$6:$H$462,MATCH(D1777,'Classif Gestoras'!$A$6:$A$462,0)),"Não classificada")</x:f>
        <x:v>Independente</x:v>
      </x:c>
      <x:c r="F1777" s="166" t="str">
        <x:v>ID Corretora de Títulos e Valores Mobiliários S.A.</x:v>
      </x:c>
      <x:c r="G1777" s="166" t="str">
        <x:v>ID CORRETORA DE TITULOS E VALORES MOBILIARIOS S.A.</x:v>
      </x:c>
      <x:c r="H1777" s="166" t="str">
        <x:v>Outros</x:v>
      </x:c>
      <x:c r="I1777" s="166" t="str">
        <x:v>Multicarteira Outros</x:v>
      </x:c>
      <x:c r="J1777" s="166" t="str">
        <x:v>CI</x:v>
      </x:c>
      <x:c r="K1777" s="172" t="n">
        <x:v>1</x:v>
      </x:c>
      <x:c r="L1777" s="185" t="str">
        <x:v>Não classificado</x:v>
      </x:c>
    </x:row>
    <x:row r="1778">
      <x:c r="A1778" s="175" t="str">
        <x:v>61.532.126/0001-00</x:v>
      </x:c>
      <x:c r="B1778" s="166" t="str">
        <x:v>VICTORY FUND - FUNDO DE INVESTIMENTO EM DIREITOS CREDITÓRIOS - RESPONSABILIDADE LIMITADA</x:v>
      </x:c>
      <x:c r="C1778" s="188" t="n">
        <x:v>38750783.27</x:v>
      </x:c>
      <x:c r="D1778" s="166" t="str">
        <x:v>AGG Investimentos Ltda.</x:v>
      </x:c>
      <x:c r="E1778" s="166" t="str">
        <x:f>IFERROR(INDEX('Classif Gestoras'!$H$6:$H$462,MATCH(D1778,'Classif Gestoras'!$A$6:$A$462,0)),"Não classificada")</x:f>
        <x:v>Independente</x:v>
      </x:c>
      <x:c r="F1778" s="166" t="str">
        <x:v>MONETAR DISTRIBUIDORA DE TITUL</x:v>
      </x:c>
      <x:c r="G1778" s="166" t="str">
        <x:v>TERRA INVESTIMENTOS DISTRIBUIDORA DE TITULOS E VALORES MOBILIARIOS LTDA</x:v>
      </x:c>
      <x:c r="H1778" s="166" t="str">
        <x:v>Outros</x:v>
      </x:c>
      <x:c r="I1778" s="166" t="str">
        <x:v>Multicarteira Outros</x:v>
      </x:c>
      <x:c r="J1778" s="166" t="str">
        <x:v>CI</x:v>
      </x:c>
      <x:c r="K1778" s="172" t="n">
        <x:v>2</x:v>
      </x:c>
      <x:c r="L1778" s="185" t="str">
        <x:v>Não classificado</x:v>
      </x:c>
    </x:row>
    <x:row r="1779">
      <x:c r="A1779" s="175" t="str">
        <x:v>63.819.527/0001-62</x:v>
      </x:c>
      <x:c r="B1779" s="166" t="str">
        <x:v>ALIANÇA FUNDO DE INVESTIMENTO EM DIREITOS CREDITÓRIOS</x:v>
      </x:c>
      <x:c r="C1779" s="188" t="n">
        <x:v>38711893.33</x:v>
      </x:c>
      <x:c r="D1779" s="166" t="str">
        <x:v>PACTUAL CAPITAL PART</x:v>
      </x:c>
      <x:c r="E1779" s="166" t="str">
        <x:f>IFERROR(INDEX('Classif Gestoras'!$H$6:$H$462,MATCH(D1779,'Classif Gestoras'!$A$6:$A$462,0)),"Não classificada")</x:f>
        <x:v>Independente</x:v>
      </x:c>
      <x:c r="F1779" s="166" t="str">
        <x:v>BTG Pactual Servicos Financeiros S/A DTVM</x:v>
      </x:c>
      <x:c r="G1779" s="166" t="str">
        <x:v>BANCO BTG PACTUAL S/A</x:v>
      </x:c>
      <x:c r="H1779" s="166" t="str">
        <x:v>Fomento Mercantil</x:v>
      </x:c>
      <x:c r="I1779" s="166" t="str">
        <x:v>Fomento Mercantil</x:v>
      </x:c>
      <x:c r="J1779" s="166" t="str">
        <x:v>CI</x:v>
      </x:c>
      <x:c r="K1779" s="172" t="n">
        <x:v>3</x:v>
      </x:c>
      <x:c r="L1779" s="185" t="str">
        <x:v>Não classificado</x:v>
      </x:c>
    </x:row>
    <x:row r="1780">
      <x:c r="A1780" s="175" t="str">
        <x:v>43.873.012/0001-33</x:v>
      </x:c>
      <x:c r="B1780" s="166" t="str">
        <x:v>CARMEL II - FUNDO DE INVESTIMENTO EM DIREITOS CREDITÓRIOS - RESPONSABILIDADE LIMITADA</x:v>
      </x:c>
      <x:c r="C1780" s="188" t="n">
        <x:v>38608519.21</x:v>
      </x:c>
      <x:c r="D1780" s="166" t="str">
        <x:v>CARMEL GESTORA DE ATIVOS LTDA</x:v>
      </x:c>
      <x:c r="E1780" s="166" t="str">
        <x:f>IFERROR(INDEX('Classif Gestoras'!$H$6:$H$462,MATCH(D1780,'Classif Gestoras'!$A$6:$A$462,0)),"Não classificada")</x:f>
        <x:v>Independente</x:v>
      </x:c>
      <x:c r="F1780" s="166" t="str">
        <x:v>BRL TRUST DTVM</x:v>
      </x:c>
      <x:c r="G1780" s="166" t="str">
        <x:v>BRL TRUST DISTRIBUIDORA DE TITULOS E VALORES MOBILIARIOS S.A.</x:v>
      </x:c>
      <x:c r="H1780" s="166" t="str">
        <x:v>Outros</x:v>
      </x:c>
      <x:c r="I1780" s="166" t="str">
        <x:v>Multicarteira Outros</x:v>
      </x:c>
      <x:c r="J1780" s="166" t="str">
        <x:v>CI</x:v>
      </x:c>
      <x:c r="K1780" s="172" t="n">
        <x:v>4</x:v>
      </x:c>
      <x:c r="L1780" s="185" t="str">
        <x:v>Não classificado</x:v>
      </x:c>
    </x:row>
    <x:row r="1781">
      <x:c r="A1781" s="175" t="str">
        <x:v>63.453.654/0001-90</x:v>
      </x:c>
      <x:c r="B1781" s="166" t="str">
        <x:v>CYGNUS FUNDO DE INVESTIMENTO EM DIREITOS CREDITÓRIOS</x:v>
      </x:c>
      <x:c r="C1781" s="188" t="n">
        <x:v>38582959.43</x:v>
      </x:c>
      <x:c r="D1781" s="166" t="str">
        <x:v>SOSU CAPITAL GESTÃO DE INVESTIMENTOS LTDA.</x:v>
      </x:c>
      <x:c r="E1781" s="166" t="str">
        <x:f>IFERROR(INDEX('Classif Gestoras'!$H$6:$H$462,MATCH(D1781,'Classif Gestoras'!$A$6:$A$462,0)),"Não classificada")</x:f>
        <x:v>Independente</x:v>
      </x:c>
      <x:c r="F1781" s="166" t="str">
        <x:v>BRL TRUST DTVM</x:v>
      </x:c>
      <x:c r="G1781" s="166" t="str">
        <x:v>BRL TRUST DISTRIBUIDORA DE TITULOS E VALORES MOBILIARIOS S.A.</x:v>
      </x:c>
      <x:c r="H1781" s="166" t="str">
        <x:v>Outros</x:v>
      </x:c>
      <x:c r="I1781" s="166" t="str">
        <x:v>Multicarteira Outros</x:v>
      </x:c>
      <x:c r="J1781" s="166" t="str">
        <x:v>CI</x:v>
      </x:c>
      <x:c r="K1781" s="172" t="n">
        <x:v>4</x:v>
      </x:c>
      <x:c r="L1781" s="185" t="str">
        <x:v>Não classificado</x:v>
      </x:c>
    </x:row>
    <x:row r="1782">
      <x:c r="A1782" s="175" t="str">
        <x:v>59.482.333/0001-47</x:v>
      </x:c>
      <x:c r="B1782" s="166" t="str">
        <x:v>ITAÚNA LBZ PRECATÓRIOS FUNDO DE INVESTIMENTO EM DIREITOS CREDITÓRIOS - RESPONSABILIDADE LIMITADA</x:v>
      </x:c>
      <x:c r="C1782" s="188" t="n">
        <x:v>38507620.5</x:v>
      </x:c>
      <x:c r="D1782" s="166" t="str">
        <x:v>ITAÚNA CAPITAL LTDA.</x:v>
      </x:c>
      <x:c r="E1782" s="166" t="str">
        <x:f>IFERROR(INDEX('Classif Gestoras'!$H$6:$H$462,MATCH(D1782,'Classif Gestoras'!$A$6:$A$462,0)),"Não classificada")</x:f>
        <x:v>Ligada a banco</x:v>
      </x:c>
      <x:c r="F1782" s="166" t="str">
        <x:v>BNY MELLON SERVICOS</x:v>
      </x:c>
      <x:c r="G1782" s="166" t="str">
        <x:v>BNY MELLON BANCO S.A.</x:v>
      </x:c>
      <x:c r="H1782" s="166" t="str">
        <x:v>Outros</x:v>
      </x:c>
      <x:c r="I1782" s="166" t="str">
        <x:v>Multicarteira Outros</x:v>
      </x:c>
      <x:c r="J1782" s="166" t="str">
        <x:v>CI</x:v>
      </x:c>
      <x:c r="K1782" s="172" t="n">
        <x:v>98</x:v>
      </x:c>
      <x:c r="L1782" s="185" t="str">
        <x:v>Não classificado</x:v>
      </x:c>
    </x:row>
    <x:row r="1783">
      <x:c r="A1783" s="175" t="str">
        <x:v>28.267.746/0001-85</x:v>
      </x:c>
      <x:c r="B1783" s="166" t="str">
        <x:v>LEPAPIE FUNDO DE INVESTIMENTO EM DIREITOS CREDITÓRIOS MULTISEGMENTOS</x:v>
      </x:c>
      <x:c r="C1783" s="188" t="n">
        <x:v>38453184.88999999</x:v>
      </x:c>
      <x:c r="D1783" s="166" t="str">
        <x:v>Petra Capital</x:v>
      </x:c>
      <x:c r="E1783" s="166" t="str">
        <x:f>IFERROR(INDEX('Classif Gestoras'!$H$6:$H$462,MATCH(D1783,'Classif Gestoras'!$A$6:$A$462,0)),"Não classificada")</x:f>
        <x:v>Independente</x:v>
      </x:c>
      <x:c r="F1783" s="166" t="str">
        <x:v>Finaxis Corretora de Títulos e Valores Mobiliários S.A.</x:v>
      </x:c>
      <x:c r="G1783" s="166" t="str">
        <x:v>BANCO FINAXIS S.A.</x:v>
      </x:c>
      <x:c r="H1783" s="166" t="str">
        <x:v>Fomento Mercantil</x:v>
      </x:c>
      <x:c r="I1783" s="166" t="str">
        <x:v>Fomento Mercantil</x:v>
      </x:c>
      <x:c r="J1783" s="166" t="str">
        <x:v>CI</x:v>
      </x:c>
      <x:c r="K1783" s="172" t="n">
        <x:v>9</x:v>
      </x:c>
      <x:c r="L1783" s="185" t="str">
        <x:v>Não classificado</x:v>
      </x:c>
    </x:row>
    <x:row r="1784">
      <x:c r="A1784" s="175" t="str">
        <x:v>60.595.957/0001-50</x:v>
      </x:c>
      <x:c r="B1784" s="166" t="str">
        <x:v>F6 FUNDO DE INVESTIMENTO EM DIREITOS CREDITÓRIOS MULTISSEGMENTOS</x:v>
      </x:c>
      <x:c r="C1784" s="188" t="n">
        <x:v>38449568.440000005</x:v>
      </x:c>
      <x:c r="D1784" s="166" t="str">
        <x:v>Petra Capital</x:v>
      </x:c>
      <x:c r="E1784" s="166" t="str">
        <x:f>IFERROR(INDEX('Classif Gestoras'!$H$6:$H$462,MATCH(D1784,'Classif Gestoras'!$A$6:$A$462,0)),"Não classificada")</x:f>
        <x:v>Independente</x:v>
      </x:c>
      <x:c r="F1784" s="166" t="str">
        <x:v>Finaxis Corretora de Títulos e Valores Mobiliários S.A.</x:v>
      </x:c>
      <x:c r="G1784" s="166" t="str">
        <x:v>BANCO FINAXIS S.A.</x:v>
      </x:c>
      <x:c r="H1784" s="166" t="str">
        <x:v>Agro, Indústria e Comércio</x:v>
      </x:c>
      <x:c r="I1784" s="166" t="str">
        <x:v>Recebíveis Comerciais</x:v>
      </x:c>
      <x:c r="J1784" s="166" t="str">
        <x:v>CI</x:v>
      </x:c>
      <x:c r="K1784" s="172" t="n">
        <x:v>6</x:v>
      </x:c>
      <x:c r="L1784" s="185" t="str">
        <x:v>Não classificado</x:v>
      </x:c>
    </x:row>
    <x:row r="1785">
      <x:c r="A1785" s="175" t="str">
        <x:v>26.452.257/0001-78</x:v>
      </x:c>
      <x:c r="B1785" s="166" t="str">
        <x:v>AURI FUNDO DE INVESTIMENTO EM DIREITOS CREDITÓRIOS RESPONSABILIDADE LIMITADA</x:v>
      </x:c>
      <x:c r="C1785" s="188" t="n">
        <x:v>38368553.2</x:v>
      </x:c>
      <x:c r="D1785" s="166" t="str">
        <x:v>Bless Capital Gestora de Recursos Ltda.</x:v>
      </x:c>
      <x:c r="E1785" s="166" t="str">
        <x:f>IFERROR(INDEX('Classif Gestoras'!$H$6:$H$462,MATCH(D1785,'Classif Gestoras'!$A$6:$A$462,0)),"Não classificada")</x:f>
        <x:v>Independente</x:v>
      </x:c>
      <x:c r="F1785" s="166" t="str">
        <x:v>ID Corretora de Títulos e Valores Mobiliários S.A.</x:v>
      </x:c>
      <x:c r="G1785" s="166" t="str">
        <x:v>ID CORRETORA DE TITULOS E VALORES MOBILIARIOS S.A.</x:v>
      </x:c>
      <x:c r="H1785" s="166" t="str">
        <x:v>Outros</x:v>
      </x:c>
      <x:c r="I1785" s="166" t="str">
        <x:v>Multicarteira Outros</x:v>
      </x:c>
      <x:c r="J1785" s="166" t="str">
        <x:v>CI</x:v>
      </x:c>
      <x:c r="K1785" s="172" t="n">
        <x:v>37</x:v>
      </x:c>
      <x:c r="L1785" s="185" t="str">
        <x:v>Não classificado</x:v>
      </x:c>
    </x:row>
    <x:row r="1786">
      <x:c r="A1786" s="175" t="str">
        <x:v>54.856.185/0001-60</x:v>
      </x:c>
      <x:c r="B1786" s="166" t="str">
        <x:v>FDCE FUNDO DE INVESTIMENTO EM DIREITOS CREDITÓRIOS</x:v>
      </x:c>
      <x:c r="C1786" s="188" t="n">
        <x:v>38252135.86</x:v>
      </x:c>
      <x:c r="D1786" s="166" t="str">
        <x:v>Redwood Asset Management</x:v>
      </x:c>
      <x:c r="E1786" s="166" t="str">
        <x:f>IFERROR(INDEX('Classif Gestoras'!$H$6:$H$462,MATCH(D1786,'Classif Gestoras'!$A$6:$A$462,0)),"Não classificada")</x:f>
        <x:v>Independente</x:v>
      </x:c>
      <x:c r="F1786" s="166" t="str">
        <x:v>PLANNER CV</x:v>
      </x:c>
      <x:c r="G1786" s="166" t="str">
        <x:v>PLANNER CORRETORA DE VALORES S.A.</x:v>
      </x:c>
      <x:c r="H1786" s="166" t="str">
        <x:v>Outros</x:v>
      </x:c>
      <x:c r="I1786" s="166" t="str">
        <x:v>Multicarteira Outros</x:v>
      </x:c>
      <x:c r="J1786" s="166" t="str">
        <x:v>CI</x:v>
      </x:c>
      <x:c r="K1786" s="172" t="n">
        <x:v>1</x:v>
      </x:c>
      <x:c r="L1786" s="185" t="str">
        <x:v>Não classificado</x:v>
      </x:c>
    </x:row>
    <x:row r="1787">
      <x:c r="A1787" s="175" t="str">
        <x:v>53.936.215/0001-85</x:v>
      </x:c>
      <x:c r="B1787" s="166" t="str">
        <x:v>FDR FUNDO DE INVESTIMENTO EM DIREITOS CREDITÓRIOS</x:v>
      </x:c>
      <x:c r="C1787" s="188" t="n">
        <x:v>38232928.43</x:v>
      </x:c>
      <x:c r="D1787" s="166" t="str">
        <x:v>ICON CAPITAL</x:v>
      </x:c>
      <x:c r="E1787" s="166" t="str">
        <x:f>IFERROR(INDEX('Classif Gestoras'!$H$6:$H$462,MATCH(D1787,'Classif Gestoras'!$A$6:$A$462,0)),"Não classificada")</x:f>
        <x:v>Independente</x:v>
      </x:c>
      <x:c r="F1787" s="166" t="str">
        <x:v>FIDD DISTRIBUIDORA DE TITULOS E VALORES MOBILIARIOS LTD</x:v>
      </x:c>
      <x:c r="G1787" s="166" t="str">
        <x:v>FIDD DISTRIBUIDORA DE TITULOS E VALORES MOBILIARIOS LTDA.</x:v>
      </x:c>
      <x:c r="H1787" s="166" t="str">
        <x:v>Outros</x:v>
      </x:c>
      <x:c r="I1787" s="166" t="str">
        <x:v>Multicarteira Outros</x:v>
      </x:c>
      <x:c r="J1787" s="166" t="str">
        <x:v>CI</x:v>
      </x:c>
      <x:c r="K1787" s="172" t="n">
        <x:v>5</x:v>
      </x:c>
      <x:c r="L1787" s="185" t="str">
        <x:v>Não classificado</x:v>
      </x:c>
    </x:row>
    <x:row r="1788">
      <x:c r="A1788" s="175" t="str">
        <x:v>54.705.382/0001-88</x:v>
      </x:c>
      <x:c r="B1788" s="166" t="str">
        <x:v>CASHGO FUNDO DE INVESTIMENTO EM DIREITOS CREDITÓRIOS - RESPONSABILIDADE LIMITADA</x:v>
      </x:c>
      <x:c r="C1788" s="188" t="n">
        <x:v>38176008.559999995</x:v>
      </x:c>
      <x:c r="D1788" s="166" t="str">
        <x:v>AUGME CAPITAL GESTÃO DE RECURSOS LTDA.</x:v>
      </x:c>
      <x:c r="E1788" s="166" t="str">
        <x:f>IFERROR(INDEX('Classif Gestoras'!$H$6:$H$462,MATCH(D1788,'Classif Gestoras'!$A$6:$A$462,0)),"Não classificada")</x:f>
        <x:v>Independente</x:v>
      </x:c>
      <x:c r="F1788" s="166" t="str">
        <x:v>BANCO DAYCOVAL S/A</x:v>
      </x:c>
      <x:c r="G1788" s="166" t="str">
        <x:v>BANCO DAYCOVAL S.A.</x:v>
      </x:c>
      <x:c r="H1788" s="166" t="str">
        <x:v>Financeiro</x:v>
      </x:c>
      <x:c r="I1788" s="166" t="str">
        <x:v>Crédito Imobiliário</x:v>
      </x:c>
      <x:c r="J1788" s="166" t="str">
        <x:v>CI</x:v>
      </x:c>
      <x:c r="K1788" s="172" t="n">
        <x:v>64</x:v>
      </x:c>
      <x:c r="L1788" s="185" t="str">
        <x:v>Não classificado</x:v>
      </x:c>
    </x:row>
    <x:row r="1789">
      <x:c r="A1789" s="175" t="str">
        <x:v>53.643.695/0001-96</x:v>
      </x:c>
      <x:c r="B1789" s="166" t="str">
        <x:v>CUIVRÉ FUNDO DE INVESTIMENTO EM DIREITOS CREDITÓRIOS</x:v>
      </x:c>
      <x:c r="C1789" s="188" t="n">
        <x:v>38114227.7</x:v>
      </x:c>
      <x:c r="D1789" s="166" t="str">
        <x:v>SUESTE CAPITAL GESTÃO DE RECURSOS LTDA.</x:v>
      </x:c>
      <x:c r="E1789" s="166" t="str">
        <x:f>IFERROR(INDEX('Classif Gestoras'!$H$6:$H$462,MATCH(D1789,'Classif Gestoras'!$A$6:$A$462,0)),"Não classificada")</x:f>
        <x:v>Independente</x:v>
      </x:c>
      <x:c r="F1789" s="166" t="str">
        <x:v>XPI CCTVM S/A</x:v>
      </x:c>
      <x:c r="G1789" s="166" t="str">
        <x:v>OLIVEIRA TRUST DTVM S.A.</x:v>
      </x:c>
      <x:c r="H1789" s="166" t="str">
        <x:v>Fomento Mercantil</x:v>
      </x:c>
      <x:c r="I1789" s="166" t="str">
        <x:v>Fomento Mercantil</x:v>
      </x:c>
      <x:c r="J1789" s="166" t="str">
        <x:v>CI</x:v>
      </x:c>
      <x:c r="K1789" s="172" t="n">
        <x:v>6</x:v>
      </x:c>
      <x:c r="L1789" s="185" t="str">
        <x:v>Não classificado</x:v>
      </x:c>
    </x:row>
    <x:row r="1790">
      <x:c r="A1790" s="175" t="str">
        <x:v>19.425.573/0001-95</x:v>
      </x:c>
      <x:c r="B1790" s="166" t="str">
        <x:v>FINANÇA NP - FUNDO DE INVESTIMENTO EM DIREITOS CREDITORIOS NÃO PADRONIZADOS MULTISSETORIAL</x:v>
      </x:c>
      <x:c r="C1790" s="188" t="n">
        <x:v>38097520.72</x:v>
      </x:c>
      <x:c r="D1790" s="166" t="str">
        <x:v>TERCON ASSET MANAGEMENT</x:v>
      </x:c>
      <x:c r="E1790" s="166" t="str">
        <x:f>IFERROR(INDEX('Classif Gestoras'!$H$6:$H$462,MATCH(D1790,'Classif Gestoras'!$A$6:$A$462,0)),"Não classificada")</x:f>
        <x:v>Independente</x:v>
      </x:c>
      <x:c r="F1790" s="166" t="str">
        <x:v>Singulare</x:v>
      </x:c>
      <x:c r="G1790" s="166" t="str">
        <x:v>QI CORRETORA DE TÍTULOS E VALORES MOBILIÁRIOS S.A.</x:v>
      </x:c>
      <x:c r="H1790" s="166" t="str">
        <x:v>Fomento Mercantil</x:v>
      </x:c>
      <x:c r="I1790" s="166" t="str">
        <x:v>Fomento Mercantil</x:v>
      </x:c>
      <x:c r="J1790" s="166" t="str">
        <x:v>CI</x:v>
      </x:c>
      <x:c r="K1790" s="172" t="n">
        <x:v>2</x:v>
      </x:c>
      <x:c r="L1790" s="185" t="str">
        <x:v>Não classificado</x:v>
      </x:c>
    </x:row>
    <x:row r="1791">
      <x:c r="A1791" s="175" t="str">
        <x:v>31.159.172/0001-36</x:v>
      </x:c>
      <x:c r="B1791" s="166" t="str">
        <x:v>VALORA CAPITAL PARTNERS HY FUNDO DE INVESTIMENTO EM DIREITOS CREDITÓRIOS RESPONSABILIDADE LIMITADA</x:v>
      </x:c>
      <x:c r="C1791" s="188" t="n">
        <x:v>37944543.7315</x:v>
      </x:c>
      <x:c r="D1791" s="166" t="str">
        <x:v>VALORA RENDA FIXA LTDA.</x:v>
      </x:c>
      <x:c r="E1791" s="166" t="str">
        <x:f>IFERROR(INDEX('Classif Gestoras'!$H$6:$H$462,MATCH(D1791,'Classif Gestoras'!$A$6:$A$462,0)),"Não classificada")</x:f>
        <x:v>Independente</x:v>
      </x:c>
      <x:c r="F1791" s="166" t="str">
        <x:v>BTG Pactual Servicos Financeiros S/A DTVM</x:v>
      </x:c>
      <x:c r="G1791" s="166" t="str">
        <x:v>BANCO BTG PACTUAL S/A</x:v>
      </x:c>
      <x:c r="H1791" s="166" t="str">
        <x:v>Outros</x:v>
      </x:c>
      <x:c r="I1791" s="166" t="str">
        <x:v>Multicarteira Outros</x:v>
      </x:c>
      <x:c r="J1791" s="166" t="str">
        <x:v>CI</x:v>
      </x:c>
      <x:c r="K1791" s="172" t="n">
        <x:v>27</x:v>
      </x:c>
      <x:c r="L1791" s="185" t="str">
        <x:v>Não classificado</x:v>
      </x:c>
    </x:row>
    <x:row r="1792">
      <x:c r="A1792" s="175" t="str">
        <x:v>40.226.165/0001-09</x:v>
      </x:c>
      <x:c r="B1792" s="166" t="str">
        <x:v>VAIL PRECATÓRIO FUNDO DE INVESTIMENTO EM DIREITOS CREDITÓRIOS NÃO PADRONIZADO</x:v>
      </x:c>
      <x:c r="C1792" s="188" t="n">
        <x:v>37901065.32</x:v>
      </x:c>
      <x:c r="D1792" s="166" t="str">
        <x:v>Patrimonial Gestão</x:v>
      </x:c>
      <x:c r="E1792" s="166" t="str">
        <x:f>IFERROR(INDEX('Classif Gestoras'!$H$6:$H$462,MATCH(D1792,'Classif Gestoras'!$A$6:$A$462,0)),"Não classificada")</x:f>
        <x:v>Independente</x:v>
      </x:c>
      <x:c r="F1792" s="166" t="str">
        <x:v>Singulare</x:v>
      </x:c>
      <x:c r="G1792" s="166" t="str">
        <x:v>QI CORRETORA DE TÍTULOS E VALORES MOBILIÁRIOS S.A.</x:v>
      </x:c>
      <x:c r="H1792" s="166" t="str">
        <x:v>Outros</x:v>
      </x:c>
      <x:c r="I1792" s="166" t="str">
        <x:v>Poder Público</x:v>
      </x:c>
      <x:c r="J1792" s="166" t="str">
        <x:v>CI</x:v>
      </x:c>
      <x:c r="K1792" s="172" t="n">
        <x:v>60</x:v>
      </x:c>
      <x:c r="L1792" s="185" t="str">
        <x:v>Não classificado</x:v>
      </x:c>
    </x:row>
    <x:row r="1793">
      <x:c r="A1793" s="175" t="str">
        <x:v>38.305.947/0001-83</x:v>
      </x:c>
      <x:c r="B1793" s="166" t="str">
        <x:v>ESTRUTURADO FUNDO DE INVESTIMENTO EM DIREITOS CREDITÓRIOS</x:v>
      </x:c>
      <x:c r="C1793" s="188" t="n">
        <x:v>37868553.05</x:v>
      </x:c>
      <x:c r="D1793" s="166" t="str">
        <x:v>Solis</x:v>
      </x:c>
      <x:c r="E1793" s="166" t="str">
        <x:f>IFERROR(INDEX('Classif Gestoras'!$H$6:$H$462,MATCH(D1793,'Classif Gestoras'!$A$6:$A$462,0)),"Não classificada")</x:f>
        <x:v>Independente</x:v>
      </x:c>
      <x:c r="F1793" s="166" t="str">
        <x:v>HEMERA DTVM</x:v>
      </x:c>
      <x:c r="G1793" s="166" t="str">
        <x:v>HEMERA DISTRIBUIDORA DE TITULOS E VALORES MOBILIARIOS LTDA</x:v>
      </x:c>
      <x:c r="H1793" s="166" t="str">
        <x:v>Outros</x:v>
      </x:c>
      <x:c r="I1793" s="166" t="str">
        <x:v>Multicarteira Outros</x:v>
      </x:c>
      <x:c r="J1793" s="166" t="str">
        <x:v>CI</x:v>
      </x:c>
      <x:c r="K1793" s="172" t="n">
        <x:v>1</x:v>
      </x:c>
      <x:c r="L1793" s="185" t="str">
        <x:v>Não classificado</x:v>
      </x:c>
    </x:row>
    <x:row r="1794">
      <x:c r="A1794" s="175" t="str">
        <x:v>65.225.163/0001-18</x:v>
      </x:c>
      <x:c r="B1794" s="166" t="str">
        <x:v>FUNDO DE INVESTIMENTO EM DIREITOS CREDITÓRIOS VAREJO CORPORATIVO I - RESPONSABILIDADE LIMITADA</x:v>
      </x:c>
      <x:c r="C1794" s="188" t="n">
        <x:v>37854519.87</x:v>
      </x:c>
      <x:c r="D1794" s="166" t="str">
        <x:v>Capitânia Alternatives S/A</x:v>
      </x:c>
      <x:c r="E1794" s="166" t="str">
        <x:f>IFERROR(INDEX('Classif Gestoras'!$H$6:$H$462,MATCH(D1794,'Classif Gestoras'!$A$6:$A$462,0)),"Não classificada")</x:f>
        <x:v>Independente</x:v>
      </x:c>
      <x:c r="F1794" s="166" t="str">
        <x:v>BRL TRUST DTVM</x:v>
      </x:c>
      <x:c r="G1794" s="166" t="str">
        <x:v>BRL TRUST DISTRIBUIDORA DE TITULOS E VALORES MOBILIARIOS S.A.</x:v>
      </x:c>
      <x:c r="H1794" s="166" t="str">
        <x:v>Agro, Indústria e Comércio</x:v>
      </x:c>
      <x:c r="I1794" s="166" t="str">
        <x:v>Crédito Corporativo</x:v>
      </x:c>
      <x:c r="J1794" s="166" t="str">
        <x:v>CI</x:v>
      </x:c>
      <x:c r="K1794" s="172" t="n">
        <x:v>19</x:v>
      </x:c>
      <x:c r="L1794" s="185" t="str">
        <x:v>Não classificado</x:v>
      </x:c>
    </x:row>
    <x:row r="1795">
      <x:c r="A1795" s="175" t="str">
        <x:v>47.936.340/0001-92</x:v>
      </x:c>
      <x:c r="B1795" s="166" t="str">
        <x:v>CNPJ 47936340000192</x:v>
      </x:c>
      <x:c r="C1795" s="188" t="n">
        <x:v>37835060.5</x:v>
      </x:c>
      <x:c r="D1795" s="166" t="str">
        <x:v>OPEA GESTORA DE RECURSOS</x:v>
      </x:c>
      <x:c r="E1795" s="166" t="str">
        <x:f>IFERROR(INDEX('Classif Gestoras'!$H$6:$H$462,MATCH(D1795,'Classif Gestoras'!$A$6:$A$462,0)),"Não classificada")</x:f>
        <x:v>Independente</x:v>
      </x:c>
      <x:c r="F1795" s="166" t="str">
        <x:v>VÓRTX DTVM</x:v>
      </x:c>
      <x:c r="G1795" s="166" t="str">
        <x:v>Não identificado</x:v>
      </x:c>
      <x:c r="H1795" s="166" t="str">
        <x:v>Agro, Indústria e Comércio</x:v>
      </x:c>
      <x:c r="I1795" s="166" t="str">
        <x:v>Recebíveis Comerciais</x:v>
      </x:c>
      <x:c r="J1795" s="166" t="str">
        <x:v>CI</x:v>
      </x:c>
      <x:c r="K1795" s="172"/>
      <x:c r="L1795" s="185" t="str">
        <x:v>Não classificado</x:v>
      </x:c>
    </x:row>
    <x:row r="1796">
      <x:c r="A1796" s="175" t="str">
        <x:v>23.381.539/0001-33</x:v>
      </x:c>
      <x:c r="B1796" s="166" t="str">
        <x:v>LESTE CREDIT FUNDO DE INVESTIMENTO EM DIREITOS CREDITÓRIOS RESPONSABILIDADE LIMITADA</x:v>
      </x:c>
      <x:c r="C1796" s="188" t="n">
        <x:v>37820128.4</x:v>
      </x:c>
      <x:c r="D1796" s="166" t="str">
        <x:v>Leste Credit Gestão de Recursos LTDA.</x:v>
      </x:c>
      <x:c r="E1796" s="166" t="str">
        <x:f>IFERROR(INDEX('Classif Gestoras'!$H$6:$H$462,MATCH(D1796,'Classif Gestoras'!$A$6:$A$462,0)),"Não classificada")</x:f>
        <x:v>Independente</x:v>
      </x:c>
      <x:c r="F1796" s="166" t="str">
        <x:v>BRL TRUST DTVM</x:v>
      </x:c>
      <x:c r="G1796" s="166" t="str">
        <x:v>BRL TRUST DISTRIBUIDORA DE TITULOS E VALORES MOBILIARIOS S.A.</x:v>
      </x:c>
      <x:c r="H1796" s="166" t="str">
        <x:v>Outros</x:v>
      </x:c>
      <x:c r="I1796" s="166" t="str">
        <x:v>Multicarteira Outros</x:v>
      </x:c>
      <x:c r="J1796" s="166" t="str">
        <x:v>CI</x:v>
      </x:c>
      <x:c r="K1796" s="172" t="n">
        <x:v>4</x:v>
      </x:c>
      <x:c r="L1796" s="185" t="str">
        <x:v>Não classificado</x:v>
      </x:c>
    </x:row>
    <x:row r="1797">
      <x:c r="A1797" s="175" t="str">
        <x:v>10.841.829/0001-70</x:v>
      </x:c>
      <x:c r="B1797" s="166" t="str">
        <x:v>SPREADSUL FUNDO DE INVESTIMENTO EM DIREITOS CREDITÓRIOS</x:v>
      </x:c>
      <x:c r="C1797" s="188" t="n">
        <x:v>37607204.89</x:v>
      </x:c>
      <x:c r="D1797" s="166" t="str">
        <x:v>ARTESANAL MCMS</x:v>
      </x:c>
      <x:c r="E1797" s="166" t="str">
        <x:f>IFERROR(INDEX('Classif Gestoras'!$H$6:$H$462,MATCH(D1797,'Classif Gestoras'!$A$6:$A$462,0)),"Não classificada")</x:f>
        <x:v>Independente</x:v>
      </x:c>
      <x:c r="F1797" s="166" t="str">
        <x:v>Singulare</x:v>
      </x:c>
      <x:c r="G1797" s="166" t="str">
        <x:v>QI CORRETORA DE TÍTULOS E VALORES MOBILIÁRIOS S.A.</x:v>
      </x:c>
      <x:c r="H1797" s="166" t="str">
        <x:v>Fomento Mercantil</x:v>
      </x:c>
      <x:c r="I1797" s="166" t="str">
        <x:v>Fomento Mercantil</x:v>
      </x:c>
      <x:c r="J1797" s="166" t="str">
        <x:v>CI</x:v>
      </x:c>
      <x:c r="K1797" s="172" t="n">
        <x:v>3</x:v>
      </x:c>
      <x:c r="L1797" s="185" t="str">
        <x:v>Não classificado</x:v>
      </x:c>
    </x:row>
    <x:row r="1798">
      <x:c r="A1798" s="175" t="str">
        <x:v>41.801.984/0001-97</x:v>
      </x:c>
      <x:c r="B1798" s="166" t="str">
        <x:v>BOAK ABERTO FUNDO DE INVESTIMENTO EM DIREITOS CREDITÓRIOS - RESPONSABILIDADE LIMITADA</x:v>
      </x:c>
      <x:c r="C1798" s="188" t="n">
        <x:v>37598738.48</x:v>
      </x:c>
      <x:c r="D1798" s="166" t="str">
        <x:v>Plural Investimentos Gestão de Recursos Ltda.</x:v>
      </x:c>
      <x:c r="E1798" s="166" t="str">
        <x:f>IFERROR(INDEX('Classif Gestoras'!$H$6:$H$462,MATCH(D1798,'Classif Gestoras'!$A$6:$A$462,0)),"Não classificada")</x:f>
        <x:v>Ligada a banco</x:v>
      </x:c>
      <x:c r="F1798" s="166" t="str">
        <x:v>Genial Investimentos Corretora de Valores Mobiliários S.A.</x:v>
      </x:c>
      <x:c r="G1798" s="166" t="str">
        <x:v>BANCO GENIAL S.A.</x:v>
      </x:c>
      <x:c r="H1798" s="166" t="str">
        <x:v>Outros</x:v>
      </x:c>
      <x:c r="I1798" s="166" t="str">
        <x:v>Multicarteira Outros</x:v>
      </x:c>
      <x:c r="J1798" s="166" t="str">
        <x:v>CI</x:v>
      </x:c>
      <x:c r="K1798" s="172" t="n">
        <x:v>2</x:v>
      </x:c>
      <x:c r="L1798" s="185" t="str">
        <x:v>Não classificado</x:v>
      </x:c>
    </x:row>
    <x:row r="1799">
      <x:c r="A1799" s="175" t="str">
        <x:v>42.556.334/0001-96</x:v>
      </x:c>
      <x:c r="B1799" s="166" t="str">
        <x:v>DIGITAL STRATEGY FUNDO DE INVESTIMENTO EM DIREITOS CREDITÓRIOS - RESPONSABILIDADE LIMITADA</x:v>
      </x:c>
      <x:c r="C1799" s="188" t="n">
        <x:v>37587697.04</x:v>
      </x:c>
      <x:c r="D1799" s="166" t="str">
        <x:v>Quatá Investimentos</x:v>
      </x:c>
      <x:c r="E1799" s="166" t="str">
        <x:f>IFERROR(INDEX('Classif Gestoras'!$H$6:$H$462,MATCH(D1799,'Classif Gestoras'!$A$6:$A$462,0)),"Não classificada")</x:f>
        <x:v>Independente</x:v>
      </x:c>
      <x:c r="F1799" s="166" t="str">
        <x:v>BRL TRUST DTVM</x:v>
      </x:c>
      <x:c r="G1799" s="166" t="str">
        <x:v>BRL TRUST DISTRIBUIDORA DE TITULOS E VALORES MOBILIARIOS S.A.</x:v>
      </x:c>
      <x:c r="H1799" s="166" t="str">
        <x:v>Outros</x:v>
      </x:c>
      <x:c r="I1799" s="166" t="str">
        <x:v>Multicarteira Outros</x:v>
      </x:c>
      <x:c r="J1799" s="166" t="str">
        <x:v>CI</x:v>
      </x:c>
      <x:c r="K1799" s="172" t="n">
        <x:v>5</x:v>
      </x:c>
      <x:c r="L1799" s="185" t="str">
        <x:v>Não classificado</x:v>
      </x:c>
    </x:row>
    <x:row r="1800">
      <x:c r="A1800" s="175" t="str">
        <x:v>62.800.204/0001-64</x:v>
      </x:c>
      <x:c r="B1800" s="166" t="str">
        <x:v>DOMINUS WISE FUNDO DE INVESTIMENTO EM DIREITOS CREDITÓRIOS</x:v>
      </x:c>
      <x:c r="C1800" s="188" t="n">
        <x:v>37545904.18</x:v>
      </x:c>
      <x:c r="D1800" s="166" t="str">
        <x:v>KILIMA ASSET MANAGEMENT</x:v>
      </x:c>
      <x:c r="E1800" s="166" t="str">
        <x:f>IFERROR(INDEX('Classif Gestoras'!$H$6:$H$462,MATCH(D1800,'Classif Gestoras'!$A$6:$A$462,0)),"Não classificada")</x:f>
        <x:v>Independente</x:v>
      </x:c>
      <x:c r="F1800" s="166" t="str">
        <x:v>BRL TRUST DTVM</x:v>
      </x:c>
      <x:c r="G1800" s="166" t="str">
        <x:v>BRL TRUST DISTRIBUIDORA DE TITULOS E VALORES MOBILIARIOS S.A.</x:v>
      </x:c>
      <x:c r="H1800" s="166" t="str">
        <x:v>Fomento Mercantil</x:v>
      </x:c>
      <x:c r="I1800" s="166" t="str">
        <x:v>Fomento Mercantil</x:v>
      </x:c>
      <x:c r="J1800" s="166" t="str">
        <x:v>CI</x:v>
      </x:c>
      <x:c r="K1800" s="172" t="n">
        <x:v>2</x:v>
      </x:c>
      <x:c r="L1800" s="185" t="str">
        <x:v>Não classificado</x:v>
      </x:c>
    </x:row>
    <x:row r="1801">
      <x:c r="A1801" s="175" t="str">
        <x:v>54.486.959/0001-08</x:v>
      </x:c>
      <x:c r="B1801" s="166" t="str">
        <x:v>GALES FUNDO DE INVESTIMENTO EM DIREITOS CREDITÓRIOS - RESPONSABILIDADE LIMITADA</x:v>
      </x:c>
      <x:c r="C1801" s="188" t="n">
        <x:v>37517596.52</x:v>
      </x:c>
      <x:c r="D1801" s="166" t="str">
        <x:v>SOSU CAPITAL GESTÃO DE INVESTIMENTOS LTDA.</x:v>
      </x:c>
      <x:c r="E1801" s="166" t="str">
        <x:f>IFERROR(INDEX('Classif Gestoras'!$H$6:$H$462,MATCH(D1801,'Classif Gestoras'!$A$6:$A$462,0)),"Não classificada")</x:f>
        <x:v>Independente</x:v>
      </x:c>
      <x:c r="F1801" s="166" t="str">
        <x:v>BRL TRUST DTVM</x:v>
      </x:c>
      <x:c r="G1801" s="166" t="str">
        <x:v>BRL TRUST DISTRIBUIDORA DE TITULOS E VALORES MOBILIARIOS S.A.</x:v>
      </x:c>
      <x:c r="H1801" s="166" t="str">
        <x:v>Outros</x:v>
      </x:c>
      <x:c r="I1801" s="166" t="str">
        <x:v>Poder Público</x:v>
      </x:c>
      <x:c r="J1801" s="166" t="str">
        <x:v>CI</x:v>
      </x:c>
      <x:c r="K1801" s="172" t="n">
        <x:v>21</x:v>
      </x:c>
      <x:c r="L1801" s="185" t="str">
        <x:v>Não classificado</x:v>
      </x:c>
    </x:row>
    <x:row r="1802">
      <x:c r="A1802" s="175" t="str">
        <x:v>28.879.529/0001-46</x:v>
      </x:c>
      <x:c r="B1802" s="166" t="str">
        <x:v>CREDISA FUNDO DE INVESTIMENTO EM DIREITOS CREDITÓRIOS</x:v>
      </x:c>
      <x:c r="C1802" s="188" t="n">
        <x:v>37516437.22</x:v>
      </x:c>
      <x:c r="D1802" s="166" t="str">
        <x:v>TERCON ASSET MANAGEMENT</x:v>
      </x:c>
      <x:c r="E1802" s="166" t="str">
        <x:f>IFERROR(INDEX('Classif Gestoras'!$H$6:$H$462,MATCH(D1802,'Classif Gestoras'!$A$6:$A$462,0)),"Não classificada")</x:f>
        <x:v>Independente</x:v>
      </x:c>
      <x:c r="F1802" s="166" t="str">
        <x:v>Singulare</x:v>
      </x:c>
      <x:c r="G1802" s="166" t="str">
        <x:v>Não identificado</x:v>
      </x:c>
      <x:c r="H1802" s="166" t="str">
        <x:v>Fomento Mercantil</x:v>
      </x:c>
      <x:c r="I1802" s="166" t="str">
        <x:v>Fomento Mercantil</x:v>
      </x:c>
      <x:c r="J1802" s="166" t="str">
        <x:v>CI</x:v>
      </x:c>
      <x:c r="K1802" s="172" t="n">
        <x:v>1</x:v>
      </x:c>
      <x:c r="L1802" s="185" t="str">
        <x:v>Não classificado</x:v>
      </x:c>
    </x:row>
    <x:row r="1803">
      <x:c r="A1803" s="175" t="str">
        <x:v>13.990.000/0001-28</x:v>
      </x:c>
      <x:c r="B1803" s="166" t="str">
        <x:v>FUNDO DE INVESTIMENTO EM DIREITOS CREDITÓRIOS MULTISETORIAL ITÁLIA</x:v>
      </x:c>
      <x:c r="C1803" s="188" t="n">
        <x:v>37443527.49</x:v>
      </x:c>
      <x:c r="D1803" s="166" t="str">
        <x:v>Vila Rica Capital</x:v>
      </x:c>
      <x:c r="E1803" s="166" t="str">
        <x:f>IFERROR(INDEX('Classif Gestoras'!$H$6:$H$462,MATCH(D1803,'Classif Gestoras'!$A$6:$A$462,0)),"Não classificada")</x:f>
        <x:v>Independente</x:v>
      </x:c>
      <x:c r="F1803" s="166" t="str">
        <x:v>BRL TRUST DTVM</x:v>
      </x:c>
      <x:c r="G1803" s="166" t="str">
        <x:v>BRL TRUST DISTRIBUIDORA DE TITULOS E VALORES MOBILIARIOS S.A.</x:v>
      </x:c>
      <x:c r="H1803" s="166" t="str">
        <x:v>Outros</x:v>
      </x:c>
      <x:c r="I1803" s="166" t="str">
        <x:v>Multicarteira Outros</x:v>
      </x:c>
      <x:c r="J1803" s="166" t="str">
        <x:v>CI</x:v>
      </x:c>
      <x:c r="K1803" s="172" t="n">
        <x:v>47</x:v>
      </x:c>
      <x:c r="L1803" s="185" t="str">
        <x:v>Não classificado</x:v>
      </x:c>
    </x:row>
    <x:row r="1804">
      <x:c r="A1804" s="175" t="str">
        <x:v>19.527.871/0001-96</x:v>
      </x:c>
      <x:c r="B1804" s="166" t="str">
        <x:v>TS FUNDO DE INVESTIMENTO EM DIREITOS CREDITÓRIOS</x:v>
      </x:c>
      <x:c r="C1804" s="188" t="n">
        <x:v>37354663.56</x:v>
      </x:c>
      <x:c r="D1804" s="166" t="str">
        <x:v>Redwood Asset Management</x:v>
      </x:c>
      <x:c r="E1804" s="166" t="str">
        <x:f>IFERROR(INDEX('Classif Gestoras'!$H$6:$H$462,MATCH(D1804,'Classif Gestoras'!$A$6:$A$462,0)),"Não classificada")</x:f>
        <x:v>Independente</x:v>
      </x:c>
      <x:c r="F1804" s="166" t="str">
        <x:v>PLANNER CV</x:v>
      </x:c>
      <x:c r="G1804" s="166" t="str">
        <x:v>PLANNER CORRETORA DE VALORES S.A.</x:v>
      </x:c>
      <x:c r="H1804" s="166" t="str">
        <x:v>Outros</x:v>
      </x:c>
      <x:c r="I1804" s="166" t="str">
        <x:v>Multicarteira Outros</x:v>
      </x:c>
      <x:c r="J1804" s="166" t="str">
        <x:v>CI</x:v>
      </x:c>
      <x:c r="K1804" s="172" t="n">
        <x:v>1</x:v>
      </x:c>
      <x:c r="L1804" s="185" t="str">
        <x:v>Não classificado</x:v>
      </x:c>
    </x:row>
    <x:row r="1805">
      <x:c r="A1805" s="175" t="str">
        <x:v>28.960.803/0001-07</x:v>
      </x:c>
      <x:c r="B1805" s="166" t="str">
        <x:v>M SUL FUNDO DE INVESTIMENTO EM DIREITOS CREDITORIOS</x:v>
      </x:c>
      <x:c r="C1805" s="188" t="n">
        <x:v>37353207.03</x:v>
      </x:c>
      <x:c r="D1805" s="166" t="str">
        <x:v>Libertas Asset</x:v>
      </x:c>
      <x:c r="E1805" s="166" t="str">
        <x:f>IFERROR(INDEX('Classif Gestoras'!$H$6:$H$462,MATCH(D1805,'Classif Gestoras'!$A$6:$A$462,0)),"Não classificada")</x:f>
        <x:v>Independente</x:v>
      </x:c>
      <x:c r="F1805" s="166" t="str">
        <x:v>ACTUAL DTVM</x:v>
      </x:c>
      <x:c r="G1805" s="166" t="str">
        <x:v>LASTRO RDV DTVM LTDA</x:v>
      </x:c>
      <x:c r="H1805" s="166" t="str">
        <x:v>Fomento Mercantil</x:v>
      </x:c>
      <x:c r="I1805" s="166" t="str">
        <x:v>Fomento Mercantil</x:v>
      </x:c>
      <x:c r="J1805" s="166" t="str">
        <x:v>CI</x:v>
      </x:c>
      <x:c r="K1805" s="172" t="n">
        <x:v>4</x:v>
      </x:c>
      <x:c r="L1805" s="185" t="str">
        <x:v>Não classificado</x:v>
      </x:c>
    </x:row>
    <x:row r="1806">
      <x:c r="A1806" s="175" t="str">
        <x:v>64.679.924/0001-49</x:v>
      </x:c>
      <x:c r="B1806" s="166" t="str">
        <x:v>MOZART FUNDO DE INVESTIMENTO EM DIREITOS CREDITÓRIOS</x:v>
      </x:c>
      <x:c r="C1806" s="188" t="n">
        <x:v>37285713.53</x:v>
      </x:c>
      <x:c r="D1806" s="166" t="str">
        <x:v>Multiplica Capital</x:v>
      </x:c>
      <x:c r="E1806" s="166" t="str">
        <x:f>IFERROR(INDEX('Classif Gestoras'!$H$6:$H$462,MATCH(D1806,'Classif Gestoras'!$A$6:$A$462,0)),"Não classificada")</x:f>
        <x:v>Independente</x:v>
      </x:c>
      <x:c r="F1806" s="166" t="str">
        <x:v>Singulare</x:v>
      </x:c>
      <x:c r="G1806" s="166" t="str">
        <x:v>QI CORRETORA DE TÍTULOS E VALORES MOBILIÁRIOS S.A.</x:v>
      </x:c>
      <x:c r="H1806" s="166" t="str">
        <x:v>Fomento Mercantil</x:v>
      </x:c>
      <x:c r="I1806" s="166" t="str">
        <x:v>Fomento Mercantil</x:v>
      </x:c>
      <x:c r="J1806" s="166" t="str">
        <x:v>CI</x:v>
      </x:c>
      <x:c r="K1806" s="172" t="n">
        <x:v>1</x:v>
      </x:c>
      <x:c r="L1806" s="185" t="str">
        <x:v>Não classificado</x:v>
      </x:c>
    </x:row>
    <x:row r="1807">
      <x:c r="A1807" s="175" t="str">
        <x:v>25.306.519/0001-23</x:v>
      </x:c>
      <x:c r="B1807" s="166" t="str">
        <x:v>FUNDO DE INVESTIMENTO EM DIREITOS CREDITÓRIOS GOAL NP</x:v>
      </x:c>
      <x:c r="C1807" s="188" t="n">
        <x:v>37262961.88999999</x:v>
      </x:c>
      <x:c r="D1807" s="166" t="str">
        <x:v>BRZ Gestão de Recursos</x:v>
      </x:c>
      <x:c r="E1807" s="166" t="str">
        <x:f>IFERROR(INDEX('Classif Gestoras'!$H$6:$H$462,MATCH(D1807,'Classif Gestoras'!$A$6:$A$462,0)),"Não classificada")</x:f>
        <x:v>Independente</x:v>
      </x:c>
      <x:c r="F1807" s="166" t="str">
        <x:v>Oliveira Trust DTVM</x:v>
      </x:c>
      <x:c r="G1807" s="166" t="str">
        <x:v>OLIVEIRA TRUST DTVM S.A.</x:v>
      </x:c>
      <x:c r="H1807" s="166" t="str">
        <x:v>Fomento Mercantil</x:v>
      </x:c>
      <x:c r="I1807" s="166" t="str">
        <x:v>Fomento Mercantil</x:v>
      </x:c>
      <x:c r="J1807" s="166" t="str">
        <x:v>CI</x:v>
      </x:c>
      <x:c r="K1807" s="172" t="n">
        <x:v>11</x:v>
      </x:c>
      <x:c r="L1807" s="185" t="str">
        <x:v>Não classificado</x:v>
      </x:c>
    </x:row>
    <x:row r="1808">
      <x:c r="A1808" s="175" t="str">
        <x:v>52.356.126/0001-05</x:v>
      </x:c>
      <x:c r="B1808" s="166" t="str">
        <x:v>ENCORE FUNDO DE INVESTIMENTO EM DIREITOS CREDITÓRIOS</x:v>
      </x:c>
      <x:c r="C1808" s="188" t="n">
        <x:v>37150121.55</x:v>
      </x:c>
      <x:c r="D1808" s="166" t="str">
        <x:v>Versal Finance Gestão de Recursos LTDA.</x:v>
      </x:c>
      <x:c r="E1808" s="166" t="str">
        <x:f>IFERROR(INDEX('Classif Gestoras'!$H$6:$H$462,MATCH(D1808,'Classif Gestoras'!$A$6:$A$462,0)),"Não classificada")</x:f>
        <x:v>Independente</x:v>
      </x:c>
      <x:c r="F1808" s="166" t="str">
        <x:v>LIONS DTVM</x:v>
      </x:c>
      <x:c r="G1808" s="166" t="str">
        <x:v>LIONS TRUST DISTRIBUIDORA DE TÍTULOS E VALORES MOBILIÁRIOS LTDA.</x:v>
      </x:c>
      <x:c r="H1808" s="166" t="str">
        <x:v>Agro, Indústria e Comércio</x:v>
      </x:c>
      <x:c r="I1808" s="166" t="str">
        <x:v>Recebíveis Comerciais</x:v>
      </x:c>
      <x:c r="J1808" s="166" t="str">
        <x:v>CI</x:v>
      </x:c>
      <x:c r="K1808" s="172" t="n">
        <x:v>2</x:v>
      </x:c>
      <x:c r="L1808" s="185" t="str">
        <x:v>Não classificado</x:v>
      </x:c>
    </x:row>
    <x:row r="1809">
      <x:c r="A1809" s="175" t="str">
        <x:v>53.624.183/0001-82</x:v>
      </x:c>
      <x:c r="B1809" s="166" t="str">
        <x:v>PAGEDU FUNDO DE INVESTIMENTO EM DIREITOS CREDITÓRIOS</x:v>
      </x:c>
      <x:c r="C1809" s="188" t="n">
        <x:v>37145781.44</x:v>
      </x:c>
      <x:c r="D1809" s="166" t="str">
        <x:v>VERT Gestora de Recursos Financeiros Ltda.</x:v>
      </x:c>
      <x:c r="E1809" s="166" t="str">
        <x:f>IFERROR(INDEX('Classif Gestoras'!$H$6:$H$462,MATCH(D1809,'Classif Gestoras'!$A$6:$A$462,0)),"Não classificada")</x:f>
        <x:v>Independente</x:v>
      </x:c>
      <x:c r="F1809" s="166" t="str">
        <x:v>Oliveira Trust DTVM</x:v>
      </x:c>
      <x:c r="G1809" s="166" t="str">
        <x:v>OLIVEIRA TRUST DTVM S.A.</x:v>
      </x:c>
      <x:c r="H1809" s="166" t="str">
        <x:v>Outros</x:v>
      </x:c>
      <x:c r="I1809" s="166" t="str">
        <x:v>Multicarteira Outros</x:v>
      </x:c>
      <x:c r="J1809" s="166" t="str">
        <x:v>CI</x:v>
      </x:c>
      <x:c r="K1809" s="172" t="n">
        <x:v>1</x:v>
      </x:c>
      <x:c r="L1809" s="185" t="str">
        <x:v>Não classificado</x:v>
      </x:c>
    </x:row>
    <x:row r="1810">
      <x:c r="A1810" s="175" t="str">
        <x:v>41.391.208/0001-66</x:v>
      </x:c>
      <x:c r="B1810" s="166" t="str">
        <x:v>FOUR EVEN FUNDO DE INVESTIMENTO EM DIREITOS CREDITÓRIOS NÃO PADRONIZADOS</x:v>
      </x:c>
      <x:c r="C1810" s="188" t="n">
        <x:v>37025094.23</x:v>
      </x:c>
      <x:c r="D1810" s="166" t="str">
        <x:v>M8 Partners</x:v>
      </x:c>
      <x:c r="E1810" s="166" t="str">
        <x:f>IFERROR(INDEX('Classif Gestoras'!$H$6:$H$462,MATCH(D1810,'Classif Gestoras'!$A$6:$A$462,0)),"Não classificada")</x:f>
        <x:v>Independente</x:v>
      </x:c>
      <x:c r="F1810" s="166" t="str">
        <x:v>Singulare</x:v>
      </x:c>
      <x:c r="G1810" s="166" t="str">
        <x:v>QI CORRETORA DE TÍTULOS E VALORES MOBILIÁRIOS S.A.</x:v>
      </x:c>
      <x:c r="H1810" s="166" t="str">
        <x:v>Outros</x:v>
      </x:c>
      <x:c r="I1810" s="166" t="str">
        <x:v>Multicarteira Outros</x:v>
      </x:c>
      <x:c r="J1810" s="166" t="str">
        <x:v>CI</x:v>
      </x:c>
      <x:c r="K1810" s="172" t="n">
        <x:v>7</x:v>
      </x:c>
      <x:c r="L1810" s="185" t="str">
        <x:v>Não classificado</x:v>
      </x:c>
    </x:row>
    <x:row r="1811">
      <x:c r="A1811" s="175" t="str">
        <x:v>62.590.185/0001-99</x:v>
      </x:c>
      <x:c r="B1811" s="166" t="str">
        <x:v>BC CONSÓRCIO II FUNDO DE INVESTIMENTO EM DIREITOS CREDITÓRIOS RESPONSABILIDADE LIMITADA</x:v>
      </x:c>
      <x:c r="C1811" s="188" t="n">
        <x:v>37012705.99</x:v>
      </x:c>
      <x:c r="D1811" s="166" t="str">
        <x:v>ORRAM GESTÃO DE RECURSOS LTDA.</x:v>
      </x:c>
      <x:c r="E1811" s="166" t="str">
        <x:f>IFERROR(INDEX('Classif Gestoras'!$H$6:$H$462,MATCH(D1811,'Classif Gestoras'!$A$6:$A$462,0)),"Não classificada")</x:f>
        <x:v>Independente</x:v>
      </x:c>
      <x:c r="F1811" s="166" t="str">
        <x:v>Oliveira Trust DTVM</x:v>
      </x:c>
      <x:c r="G1811" s="166" t="str">
        <x:v>OLIVEIRA TRUST DTVM S.A.</x:v>
      </x:c>
      <x:c r="H1811" s="166" t="str">
        <x:v>Financeiro</x:v>
      </x:c>
      <x:c r="I1811" s="166" t="str">
        <x:v>Multicarteira Financeiro</x:v>
      </x:c>
      <x:c r="J1811" s="166" t="str">
        <x:v>CI</x:v>
      </x:c>
      <x:c r="K1811" s="172" t="n">
        <x:v>19</x:v>
      </x:c>
      <x:c r="L1811" s="185" t="str">
        <x:v>Não classificado</x:v>
      </x:c>
    </x:row>
    <x:row r="1812">
      <x:c r="A1812" s="175" t="str">
        <x:v>39.270.085/0001-63</x:v>
      </x:c>
      <x:c r="B1812" s="166" t="str">
        <x:v>PHD FEEDER FUNDO DE INVESTIMENTO EM DIREITOS CREDITÓRIOS</x:v>
      </x:c>
      <x:c r="C1812" s="188" t="n">
        <x:v>36937687.69</x:v>
      </x:c>
      <x:c r="D1812" s="166" t="str">
        <x:v>M8 Partners</x:v>
      </x:c>
      <x:c r="E1812" s="166" t="str">
        <x:f>IFERROR(INDEX('Classif Gestoras'!$H$6:$H$462,MATCH(D1812,'Classif Gestoras'!$A$6:$A$462,0)),"Não classificada")</x:f>
        <x:v>Independente</x:v>
      </x:c>
      <x:c r="F1812" s="166" t="str">
        <x:v>Singulare</x:v>
      </x:c>
      <x:c r="G1812" s="166" t="str">
        <x:v>QI CORRETORA DE TÍTULOS E VALORES MOBILIÁRIOS S.A.</x:v>
      </x:c>
      <x:c r="H1812" s="166" t="str">
        <x:v>Outros</x:v>
      </x:c>
      <x:c r="I1812" s="166" t="str">
        <x:v>Multicarteira Outros</x:v>
      </x:c>
      <x:c r="J1812" s="166" t="str">
        <x:v>CI</x:v>
      </x:c>
      <x:c r="K1812" s="172" t="n">
        <x:v>1</x:v>
      </x:c>
      <x:c r="L1812" s="185" t="str">
        <x:v>Não classificado</x:v>
      </x:c>
    </x:row>
    <x:row r="1813">
      <x:c r="A1813" s="175" t="str">
        <x:v>54.244.336/0001-29</x:v>
      </x:c>
      <x:c r="B1813" s="166" t="str">
        <x:v>SANTÉ FUNDO DE INVESTIMENTO EM DIREITOS CREDITORIOS</x:v>
      </x:c>
      <x:c r="C1813" s="188" t="n">
        <x:v>36917861.26</x:v>
      </x:c>
      <x:c r="D1813" s="166" t="str">
        <x:v>TERCON ASSET MANAGEMENT</x:v>
      </x:c>
      <x:c r="E1813" s="166" t="str">
        <x:f>IFERROR(INDEX('Classif Gestoras'!$H$6:$H$462,MATCH(D1813,'Classif Gestoras'!$A$6:$A$462,0)),"Não classificada")</x:f>
        <x:v>Independente</x:v>
      </x:c>
      <x:c r="F1813" s="166" t="str">
        <x:v>Singulare</x:v>
      </x:c>
      <x:c r="G1813" s="166" t="str">
        <x:v>QI CORRETORA DE TÍTULOS E VALORES MOBILIÁRIOS S.A.</x:v>
      </x:c>
      <x:c r="H1813" s="166" t="str">
        <x:v>Fomento Mercantil</x:v>
      </x:c>
      <x:c r="I1813" s="166" t="str">
        <x:v>Fomento Mercantil</x:v>
      </x:c>
      <x:c r="J1813" s="166" t="str">
        <x:v>CI</x:v>
      </x:c>
      <x:c r="K1813" s="172" t="n">
        <x:v>5</x:v>
      </x:c>
      <x:c r="L1813" s="185" t="str">
        <x:v>Não classificado</x:v>
      </x:c>
    </x:row>
    <x:row r="1814">
      <x:c r="A1814" s="175" t="str">
        <x:v>54.422.007/0001-20</x:v>
      </x:c>
      <x:c r="B1814" s="166" t="str">
        <x:v>INTRABANK MULTICRED FUNDO DE INVESTIMENTO EM DIREITOS CREDITÓRIOS FINANCEIROS DE RESPONSABILIDADE LI</x:v>
      </x:c>
      <x:c r="C1814" s="188" t="n">
        <x:v>36861552.33</x:v>
      </x:c>
      <x:c r="D1814" s="166" t="str">
        <x:v>Intrabank Asset</x:v>
      </x:c>
      <x:c r="E1814" s="166" t="str">
        <x:f>IFERROR(INDEX('Classif Gestoras'!$H$6:$H$462,MATCH(D1814,'Classif Gestoras'!$A$6:$A$462,0)),"Não classificada")</x:f>
        <x:v>Independente</x:v>
      </x:c>
      <x:c r="F1814" s="166" t="str">
        <x:v>HEMERA DTVM</x:v>
      </x:c>
      <x:c r="G1814" s="166" t="str">
        <x:v>HEMERA DISTRIBUIDORA DE TITULOS E VALORES MOBILIARIOS LTDA</x:v>
      </x:c>
      <x:c r="H1814" s="166" t="str">
        <x:v>Financeiro</x:v>
      </x:c>
      <x:c r="I1814" s="166" t="str">
        <x:v>Multicarteira Financeiro</x:v>
      </x:c>
      <x:c r="J1814" s="166" t="str">
        <x:v>CI</x:v>
      </x:c>
      <x:c r="K1814" s="172" t="n">
        <x:v>1</x:v>
      </x:c>
      <x:c r="L1814" s="185" t="str">
        <x:v>Não classificado</x:v>
      </x:c>
    </x:row>
    <x:row r="1815">
      <x:c r="A1815" s="175" t="str">
        <x:v>59.928.229/0001-33</x:v>
      </x:c>
      <x:c r="B1815" s="166" t="str">
        <x:v>NILO FUNDO DE INVESTIMENTO EM DIREITOS CREDITÓRIOS- RESPONSABILIDADE LIMITADA</x:v>
      </x:c>
      <x:c r="C1815" s="188" t="n">
        <x:v>36849897.27</x:v>
      </x:c>
      <x:c r="D1815" s="166" t="str">
        <x:v>ANTHARUS GESTORA DE RECURSOS LTDA</x:v>
      </x:c>
      <x:c r="E1815" s="166" t="str">
        <x:f>IFERROR(INDEX('Classif Gestoras'!$H$6:$H$462,MATCH(D1815,'Classif Gestoras'!$A$6:$A$462,0)),"Não classificada")</x:f>
        <x:v>Independente</x:v>
      </x:c>
      <x:c r="F1815" s="166" t="str">
        <x:v>HEMERA DTVM</x:v>
      </x:c>
      <x:c r="G1815" s="166" t="str">
        <x:v>HEMERA DISTRIBUIDORA DE TITULOS E VALORES MOBILIARIOS LTDA</x:v>
      </x:c>
      <x:c r="H1815" s="166" t="str">
        <x:v>Outros</x:v>
      </x:c>
      <x:c r="I1815" s="166" t="str">
        <x:v>Multicarteira Outros</x:v>
      </x:c>
      <x:c r="J1815" s="166" t="str">
        <x:v>CI</x:v>
      </x:c>
      <x:c r="K1815" s="172" t="n">
        <x:v>43</x:v>
      </x:c>
      <x:c r="L1815" s="185" t="str">
        <x:v>Não classificado</x:v>
      </x:c>
    </x:row>
    <x:row r="1816">
      <x:c r="A1816" s="175" t="str">
        <x:v>52.511.370/0001-97</x:v>
      </x:c>
      <x:c r="B1816" s="166" t="str">
        <x:v>ALGARVE TETRA II FUNDO DE INVESTIMENTO EM DIREITOS CREDITÓRIOS</x:v>
      </x:c>
      <x:c r="C1816" s="188" t="n">
        <x:v>36792735.89</x:v>
      </x:c>
      <x:c r="D1816" s="166" t="str">
        <x:v>Algarve Capital</x:v>
      </x:c>
      <x:c r="E1816" s="166" t="str">
        <x:f>IFERROR(INDEX('Classif Gestoras'!$H$6:$H$462,MATCH(D1816,'Classif Gestoras'!$A$6:$A$462,0)),"Não classificada")</x:f>
        <x:v>Independente</x:v>
      </x:c>
      <x:c r="F1816" s="166" t="str">
        <x:v>BANCO DAYCOVAL S/A</x:v>
      </x:c>
      <x:c r="G1816" s="166" t="str">
        <x:v>BANCO DAYCOVAL S.A.</x:v>
      </x:c>
      <x:c r="H1816" s="166" t="str">
        <x:v>Outros</x:v>
      </x:c>
      <x:c r="I1816" s="166" t="str">
        <x:v>Multicarteira Outros</x:v>
      </x:c>
      <x:c r="J1816" s="166" t="str">
        <x:v>CI</x:v>
      </x:c>
      <x:c r="K1816" s="172" t="n">
        <x:v>1</x:v>
      </x:c>
      <x:c r="L1816" s="185" t="str">
        <x:v>Não classificado</x:v>
      </x:c>
    </x:row>
    <x:row r="1817">
      <x:c r="A1817" s="175" t="str">
        <x:v>27.531.301/0001-06</x:v>
      </x:c>
      <x:c r="B1817" s="166" t="str">
        <x:v>QUANTHAS FUNDO DE INVESTIMENTO EM DIREITOS CREDITÓRIOS MULTISSETORIAL - RESPONSABILIDADE LIMITADA</x:v>
      </x:c>
      <x:c r="C1817" s="188" t="n">
        <x:v>36755811.62</x:v>
      </x:c>
      <x:c r="D1817" s="166" t="str">
        <x:v>OURO PRETO INVESTIMENTOS</x:v>
      </x:c>
      <x:c r="E1817" s="166" t="str">
        <x:f>IFERROR(INDEX('Classif Gestoras'!$H$6:$H$462,MATCH(D1817,'Classif Gestoras'!$A$6:$A$462,0)),"Não classificada")</x:f>
        <x:v>Independente</x:v>
      </x:c>
      <x:c r="F1817" s="166" t="str">
        <x:v>ID Corretora de Títulos e Valores Mobiliários S.A.</x:v>
      </x:c>
      <x:c r="G1817" s="166" t="str">
        <x:v>ID CORRETORA DE TITULOS E VALORES MOBILIARIOS S.A.</x:v>
      </x:c>
      <x:c r="H1817" s="166" t="str">
        <x:v>Fomento Mercantil</x:v>
      </x:c>
      <x:c r="I1817" s="166" t="str">
        <x:v>Fomento Mercantil</x:v>
      </x:c>
      <x:c r="J1817" s="166" t="str">
        <x:v>CI</x:v>
      </x:c>
      <x:c r="K1817" s="172" t="n">
        <x:v>8</x:v>
      </x:c>
      <x:c r="L1817" s="185" t="str">
        <x:v>Não classificado</x:v>
      </x:c>
    </x:row>
    <x:row r="1818">
      <x:c r="A1818" s="175" t="str">
        <x:v>55.569.572/0001-88</x:v>
      </x:c>
      <x:c r="B1818" s="166" t="str">
        <x:v>M7 CORAL FUNDO DE INVESTIMENTO EM DIREITOS CREDITÓRIOS</x:v>
      </x:c>
      <x:c r="C1818" s="188" t="n">
        <x:v>36751234.78</x:v>
      </x:c>
      <x:c r="D1818" s="166" t="str">
        <x:v>Menestys</x:v>
      </x:c>
      <x:c r="E1818" s="166" t="str">
        <x:f>IFERROR(INDEX('Classif Gestoras'!$H$6:$H$462,MATCH(D1818,'Classif Gestoras'!$A$6:$A$462,0)),"Não classificada")</x:f>
        <x:v>Independente</x:v>
      </x:c>
      <x:c r="F1818" s="166" t="str">
        <x:v>Qore DTVM</x:v>
      </x:c>
      <x:c r="G1818" s="166" t="str">
        <x:v>QORE DISTRIBUIDORA DE TÍTULOS E VALORES MOBILIÁRIOS LTDA.</x:v>
      </x:c>
      <x:c r="H1818" s="166" t="str">
        <x:v>Agro, Indústria e Comércio</x:v>
      </x:c>
      <x:c r="I1818" s="166" t="str">
        <x:v>Multicarteira Agro, Indústria e Comércio</x:v>
      </x:c>
      <x:c r="J1818" s="166" t="str">
        <x:v>CI</x:v>
      </x:c>
      <x:c r="K1818" s="172" t="n">
        <x:v>11</x:v>
      </x:c>
      <x:c r="L1818" s="185" t="str">
        <x:v>Não classificado</x:v>
      </x:c>
    </x:row>
    <x:row r="1819">
      <x:c r="A1819" s="175" t="str">
        <x:v>57.654.431/0001-99</x:v>
      </x:c>
      <x:c r="B1819" s="166" t="str">
        <x:v>ARC TURBI FUNDO DE INVESTIMENTO EM DIREITOS CREDITÓRIOS</x:v>
      </x:c>
      <x:c r="C1819" s="188" t="n">
        <x:v>36698112.56</x:v>
      </x:c>
      <x:c r="D1819" s="166" t="str">
        <x:v>ARC Capital</x:v>
      </x:c>
      <x:c r="E1819" s="166" t="str">
        <x:f>IFERROR(INDEX('Classif Gestoras'!$H$6:$H$462,MATCH(D1819,'Classif Gestoras'!$A$6:$A$462,0)),"Não classificada")</x:f>
        <x:v>Independente</x:v>
      </x:c>
      <x:c r="F1819" s="166" t="str">
        <x:v>BANCO DAYCOVAL S/A</x:v>
      </x:c>
      <x:c r="G1819" s="166" t="str">
        <x:v>BANCO DAYCOVAL S.A.</x:v>
      </x:c>
      <x:c r="H1819" s="166" t="str">
        <x:v>Outros</x:v>
      </x:c>
      <x:c r="I1819" s="166" t="str">
        <x:v>Multicarteira Outros</x:v>
      </x:c>
      <x:c r="J1819" s="166" t="str">
        <x:v>CI</x:v>
      </x:c>
      <x:c r="K1819" s="172" t="n">
        <x:v>4</x:v>
      </x:c>
      <x:c r="L1819" s="185" t="str">
        <x:v>Não classificado</x:v>
      </x:c>
    </x:row>
    <x:row r="1820">
      <x:c r="A1820" s="175" t="str">
        <x:v>42.358.012/0001-32</x:v>
      </x:c>
      <x:c r="B1820" s="166" t="str">
        <x:v>LONDRES FUNDO DE INVESTIMENTO EM DIREITOS CREDITÓRIOS NÃO PADRONIZADO</x:v>
      </x:c>
      <x:c r="C1820" s="188" t="n">
        <x:v>36660313.55</x:v>
      </x:c>
      <x:c r="D1820" s="166" t="str">
        <x:v>Acura Gestora de Recursos LTDA.</x:v>
      </x:c>
      <x:c r="E1820" s="166" t="str">
        <x:f>IFERROR(INDEX('Classif Gestoras'!$H$6:$H$462,MATCH(D1820,'Classif Gestoras'!$A$6:$A$462,0)),"Não classificada")</x:f>
        <x:v>Independente</x:v>
      </x:c>
      <x:c r="F1820" s="166" t="str">
        <x:v>SEFER DTVM</x:v>
      </x:c>
      <x:c r="G1820" s="166" t="str">
        <x:v>SEFER INVESTIMENTOS DISTRIBUIDORA DE TÍTULOS E VALORES MOBILIÁRIOS LTDA.</x:v>
      </x:c>
      <x:c r="H1820" s="166" t="str">
        <x:v>Outros</x:v>
      </x:c>
      <x:c r="I1820" s="166" t="str">
        <x:v>Multicarteira Outros</x:v>
      </x:c>
      <x:c r="J1820" s="166" t="str">
        <x:v>CI</x:v>
      </x:c>
      <x:c r="K1820" s="172" t="n">
        <x:v>1</x:v>
      </x:c>
      <x:c r="L1820" s="185" t="str">
        <x:v>Não classificado</x:v>
      </x:c>
    </x:row>
    <x:row r="1821">
      <x:c r="A1821" s="175" t="str">
        <x:v>41.557.609/0001-43</x:v>
      </x:c>
      <x:c r="B1821" s="166" t="str">
        <x:v>SUN FUNDO DE INVESTIMENTO EM DIREITOS CREDITÓRIOS NÃO-PADRONIZADOS RESPONSABILIDADE LIMITADA</x:v>
      </x:c>
      <x:c r="C1821" s="188" t="n">
        <x:v>36592943.440000005</x:v>
      </x:c>
      <x:c r="D1821" s="166" t="str">
        <x:v>IDGR</x:v>
      </x:c>
      <x:c r="E1821" s="166" t="str">
        <x:f>IFERROR(INDEX('Classif Gestoras'!$H$6:$H$462,MATCH(D1821,'Classif Gestoras'!$A$6:$A$462,0)),"Não classificada")</x:f>
        <x:v>Independente</x:v>
      </x:c>
      <x:c r="F1821" s="166" t="str">
        <x:v>ID Corretora de Títulos e Valores Mobiliários S.A.</x:v>
      </x:c>
      <x:c r="G1821" s="166" t="str">
        <x:v>ID CORRETORA DE TITULOS E VALORES MOBILIARIOS S.A.</x:v>
      </x:c>
      <x:c r="H1821" s="166" t="str">
        <x:v>Outros</x:v>
      </x:c>
      <x:c r="I1821" s="166" t="str">
        <x:v>Multicarteira Outros</x:v>
      </x:c>
      <x:c r="J1821" s="166" t="str">
        <x:v>CI</x:v>
      </x:c>
      <x:c r="K1821" s="172" t="n">
        <x:v>3</x:v>
      </x:c>
      <x:c r="L1821" s="185" t="str">
        <x:v>Não classificado</x:v>
      </x:c>
    </x:row>
    <x:row r="1822">
      <x:c r="A1822" s="175" t="str">
        <x:v>63.985.864/0001-20</x:v>
      </x:c>
      <x:c r="B1822" s="166" t="str">
        <x:v>FUNDO DE INVESTIMENTO EM DIREITOS CREDITÓRIOS REV FINANCEIRO RESPONSABILIDADE LIMITADA</x:v>
      </x:c>
      <x:c r="C1822" s="188" t="n">
        <x:v>36394158.75</x:v>
      </x:c>
      <x:c r="D1822" s="166" t="str">
        <x:v>VALORA RENDA FIXA ESTRUTURADOS LTDA.</x:v>
      </x:c>
      <x:c r="E1822" s="166" t="str">
        <x:f>IFERROR(INDEX('Classif Gestoras'!$H$6:$H$462,MATCH(D1822,'Classif Gestoras'!$A$6:$A$462,0)),"Não classificada")</x:f>
        <x:v>Independente</x:v>
      </x:c>
      <x:c r="F1822" s="166" t="str">
        <x:v>VERT Distribuidora de Títulos e Valores Mobiliários Ltd</x:v>
      </x:c>
      <x:c r="G1822" s="166" t="str">
        <x:v>VERT DISTRIBUIDORA DE TÍTULOS E VALORES MOBILIÁRIOS LTDA.</x:v>
      </x:c>
      <x:c r="H1822" s="166" t="str">
        <x:v>Financeiro</x:v>
      </x:c>
      <x:c r="I1822" s="166" t="str">
        <x:v>Crédito Consignado</x:v>
      </x:c>
      <x:c r="J1822" s="166" t="str">
        <x:v>CI</x:v>
      </x:c>
      <x:c r="K1822" s="172" t="n">
        <x:v>2</x:v>
      </x:c>
      <x:c r="L1822" s="185" t="str">
        <x:v>Não classificado</x:v>
      </x:c>
    </x:row>
    <x:row r="1823">
      <x:c r="A1823" s="175" t="str">
        <x:v>64.120.858/0001-72</x:v>
      </x:c>
      <x:c r="B1823" s="166" t="str">
        <x:v>FD BNK FUNDO DE INVESTIMENTO EM DIREITOS CREDITÓRIOS</x:v>
      </x:c>
      <x:c r="C1823" s="188" t="n">
        <x:v>36375483.6</x:v>
      </x:c>
      <x:c r="D1823" s="166" t="str">
        <x:v>ICON CAPITAL</x:v>
      </x:c>
      <x:c r="E1823" s="166" t="str">
        <x:f>IFERROR(INDEX('Classif Gestoras'!$H$6:$H$462,MATCH(D1823,'Classif Gestoras'!$A$6:$A$462,0)),"Não classificada")</x:f>
        <x:v>Independente</x:v>
      </x:c>
      <x:c r="F1823" s="166" t="str">
        <x:v>FIDD DISTRIBUIDORA DE TITULOS E VALORES MOBILIARIOS LTD</x:v>
      </x:c>
      <x:c r="G1823" s="166" t="str">
        <x:v>FIDD DISTRIBUIDORA DE TITULOS E VALORES MOBILIARIOS LTDA.</x:v>
      </x:c>
      <x:c r="H1823" s="166" t="str">
        <x:v>Agro, Indústria e Comércio</x:v>
      </x:c>
      <x:c r="I1823" s="166" t="str">
        <x:v>Multicarteira Agro, Indústria e Comércio</x:v>
      </x:c>
      <x:c r="J1823" s="166" t="str">
        <x:v>CI</x:v>
      </x:c>
      <x:c r="K1823" s="172" t="n">
        <x:v>4</x:v>
      </x:c>
      <x:c r="L1823" s="185" t="str">
        <x:v>Não classificado</x:v>
      </x:c>
    </x:row>
    <x:row r="1824">
      <x:c r="A1824" s="175" t="str">
        <x:v>38.315.192/0001-06</x:v>
      </x:c>
      <x:c r="B1824" s="166" t="str">
        <x:v>FIRMA PLUS FUNDO DE INVESTIMENTO EM DIREITOS CREDITÓRIOS</x:v>
      </x:c>
      <x:c r="C1824" s="188" t="n">
        <x:v>36359355.67999999</x:v>
      </x:c>
      <x:c r="D1824" s="166" t="str">
        <x:v>Solis</x:v>
      </x:c>
      <x:c r="E1824" s="166" t="str">
        <x:f>IFERROR(INDEX('Classif Gestoras'!$H$6:$H$462,MATCH(D1824,'Classif Gestoras'!$A$6:$A$462,0)),"Não classificada")</x:f>
        <x:v>Independente</x:v>
      </x:c>
      <x:c r="F1824" s="166" t="str">
        <x:v>HEMERA DTVM</x:v>
      </x:c>
      <x:c r="G1824" s="166" t="str">
        <x:v>HEMERA DISTRIBUIDORA DE TITULOS E VALORES MOBILIARIOS LTDA</x:v>
      </x:c>
      <x:c r="H1824" s="166" t="str">
        <x:v>Outros</x:v>
      </x:c>
      <x:c r="I1824" s="166" t="str">
        <x:v>Multicarteira Outros</x:v>
      </x:c>
      <x:c r="J1824" s="166" t="str">
        <x:v>CI</x:v>
      </x:c>
      <x:c r="K1824" s="172" t="n">
        <x:v>18</x:v>
      </x:c>
      <x:c r="L1824" s="185" t="str">
        <x:v>Não classificado</x:v>
      </x:c>
    </x:row>
    <x:row r="1825">
      <x:c r="A1825" s="175" t="str">
        <x:v>35.476.474/0001-99</x:v>
      </x:c>
      <x:c r="B1825" s="166" t="str">
        <x:v>CENTRAL CAPITAL FUNDO DE INVESTIMENTO EM DIREITOS CREDITÓRIOS RESPONSABILIDADE LIMITADA</x:v>
      </x:c>
      <x:c r="C1825" s="188" t="n">
        <x:v>36339964.690000005</x:v>
      </x:c>
      <x:c r="D1825" s="166" t="str">
        <x:v>Libertas Asset</x:v>
      </x:c>
      <x:c r="E1825" s="166" t="str">
        <x:f>IFERROR(INDEX('Classif Gestoras'!$H$6:$H$462,MATCH(D1825,'Classif Gestoras'!$A$6:$A$462,0)),"Não classificada")</x:f>
        <x:v>Independente</x:v>
      </x:c>
      <x:c r="F1825" s="166" t="str">
        <x:v>ACTUAL DTVM</x:v>
      </x:c>
      <x:c r="G1825" s="166" t="str">
        <x:v>LASTRO RDV DTVM LTDA</x:v>
      </x:c>
      <x:c r="H1825" s="166" t="str">
        <x:v>Fomento Mercantil</x:v>
      </x:c>
      <x:c r="I1825" s="166" t="str">
        <x:v>Fomento Mercantil</x:v>
      </x:c>
      <x:c r="J1825" s="166" t="str">
        <x:v>CI</x:v>
      </x:c>
      <x:c r="K1825" s="172" t="n">
        <x:v>5</x:v>
      </x:c>
      <x:c r="L1825" s="185" t="str">
        <x:v>Não classificado</x:v>
      </x:c>
    </x:row>
    <x:row r="1826">
      <x:c r="A1826" s="175" t="str">
        <x:v>20.861.236/0001-20</x:v>
      </x:c>
      <x:c r="B1826" s="166" t="str">
        <x:v>MAXINVESTOR FUNDO DE INVESTIMENTO EM DIREITOS CREDITÓRIOS NÃO-PADRONIZADOS MULTISSETORIAL LP</x:v>
      </x:c>
      <x:c r="C1826" s="188" t="n">
        <x:v>36284344.97</x:v>
      </x:c>
      <x:c r="D1826" s="166" t="str">
        <x:v>OURO PRETO INVESTIMENTOS</x:v>
      </x:c>
      <x:c r="E1826" s="166" t="str">
        <x:f>IFERROR(INDEX('Classif Gestoras'!$H$6:$H$462,MATCH(D1826,'Classif Gestoras'!$A$6:$A$462,0)),"Não classificada")</x:f>
        <x:v>Independente</x:v>
      </x:c>
      <x:c r="F1826" s="166" t="str">
        <x:v>Singulare</x:v>
      </x:c>
      <x:c r="G1826" s="166" t="str">
        <x:v>QI CORRETORA DE TÍTULOS E VALORES MOBILIÁRIOS S.A.</x:v>
      </x:c>
      <x:c r="H1826" s="166" t="str">
        <x:v>Fomento Mercantil</x:v>
      </x:c>
      <x:c r="I1826" s="166" t="str">
        <x:v>Fomento Mercantil</x:v>
      </x:c>
      <x:c r="J1826" s="166" t="str">
        <x:v>CI</x:v>
      </x:c>
      <x:c r="K1826" s="172" t="n">
        <x:v>2</x:v>
      </x:c>
      <x:c r="L1826" s="185" t="str">
        <x:v>Não classificado</x:v>
      </x:c>
    </x:row>
    <x:row r="1827">
      <x:c r="A1827" s="175" t="str">
        <x:v>51.498.070/0001-52</x:v>
      </x:c>
      <x:c r="B1827" s="166" t="str">
        <x:v>GHIA CRÉDITO CORPORATIVO FUNDO DE INVESTIMENTO EM DIREITOS CREDITÓRIOS RESPONSABILIDADE LIMITADA</x:v>
      </x:c>
      <x:c r="C1827" s="188" t="n">
        <x:v>36273839.62</x:v>
      </x:c>
      <x:c r="D1827" s="166" t="str">
        <x:v>Ghia Asset Management</x:v>
      </x:c>
      <x:c r="E1827" s="166" t="str">
        <x:f>IFERROR(INDEX('Classif Gestoras'!$H$6:$H$462,MATCH(D1827,'Classif Gestoras'!$A$6:$A$462,0)),"Não classificada")</x:f>
        <x:v>Independente</x:v>
      </x:c>
      <x:c r="F1827" s="166" t="str">
        <x:v>Singulare</x:v>
      </x:c>
      <x:c r="G1827" s="166" t="str">
        <x:v>QI CORRETORA DE TÍTULOS E VALORES MOBILIÁRIOS S.A.</x:v>
      </x:c>
      <x:c r="H1827" s="166" t="str">
        <x:v>Outros</x:v>
      </x:c>
      <x:c r="I1827" s="166" t="str">
        <x:v>Multicarteira Outros</x:v>
      </x:c>
      <x:c r="J1827" s="166" t="str">
        <x:v>CI</x:v>
      </x:c>
      <x:c r="K1827" s="172" t="n">
        <x:v>5</x:v>
      </x:c>
      <x:c r="L1827" s="185" t="str">
        <x:v>Não classificado</x:v>
      </x:c>
    </x:row>
    <x:row r="1828">
      <x:c r="A1828" s="175" t="str">
        <x:v>35.265.609/0001-77</x:v>
      </x:c>
      <x:c r="B1828" s="166" t="str">
        <x:v>KAPA CAPITAL FUNDO DE INVESTIMENTO EM DIREITOS CREDITÓRIOS</x:v>
      </x:c>
      <x:c r="C1828" s="188" t="n">
        <x:v>36225214.93</x:v>
      </x:c>
      <x:c r="D1828" s="166" t="str">
        <x:v>Libertas Asset</x:v>
      </x:c>
      <x:c r="E1828" s="166" t="str">
        <x:f>IFERROR(INDEX('Classif Gestoras'!$H$6:$H$462,MATCH(D1828,'Classif Gestoras'!$A$6:$A$462,0)),"Não classificada")</x:f>
        <x:v>Independente</x:v>
      </x:c>
      <x:c r="F1828" s="166" t="str">
        <x:v>ACTUAL DTVM</x:v>
      </x:c>
      <x:c r="G1828" s="166" t="str">
        <x:v>LASTRO RDV DTVM LTDA</x:v>
      </x:c>
      <x:c r="H1828" s="166" t="str">
        <x:v>Fomento Mercantil</x:v>
      </x:c>
      <x:c r="I1828" s="166" t="str">
        <x:v>Fomento Mercantil</x:v>
      </x:c>
      <x:c r="J1828" s="166" t="str">
        <x:v>CI</x:v>
      </x:c>
      <x:c r="K1828" s="172" t="n">
        <x:v>1</x:v>
      </x:c>
      <x:c r="L1828" s="185" t="str">
        <x:v>Não classificado</x:v>
      </x:c>
    </x:row>
    <x:row r="1829">
      <x:c r="A1829" s="175" t="str">
        <x:v>58.594.141/0001-60</x:v>
      </x:c>
      <x:c r="B1829" s="166" t="str">
        <x:v>AUGME PRO 051 MASTER FUNDO DE INVESTIMENTO EM DIREITOS CREDITÓRIOS DE RESPONSABILIDADE LIMITADA</x:v>
      </x:c>
      <x:c r="C1829" s="188" t="n">
        <x:v>36220329.23</x:v>
      </x:c>
      <x:c r="D1829" s="166" t="str">
        <x:v>AUGME CAPITAL GESTÃO DE RECURSOS LTDA.</x:v>
      </x:c>
      <x:c r="E1829" s="166" t="str">
        <x:f>IFERROR(INDEX('Classif Gestoras'!$H$6:$H$462,MATCH(D1829,'Classif Gestoras'!$A$6:$A$462,0)),"Não classificada")</x:f>
        <x:v>Independente</x:v>
      </x:c>
      <x:c r="F1829" s="166" t="str">
        <x:v>BANCO DAYCOVAL S/A</x:v>
      </x:c>
      <x:c r="G1829" s="166" t="str">
        <x:v>BANCO DAYCOVAL S.A.</x:v>
      </x:c>
      <x:c r="H1829" s="166" t="str">
        <x:v>Outros</x:v>
      </x:c>
      <x:c r="I1829" s="166" t="str">
        <x:v>Multicarteira Outros</x:v>
      </x:c>
      <x:c r="J1829" s="166" t="str">
        <x:v>CI</x:v>
      </x:c>
      <x:c r="K1829" s="172" t="n">
        <x:v>1</x:v>
      </x:c>
      <x:c r="L1829" s="185" t="str">
        <x:v>Não classificado</x:v>
      </x:c>
    </x:row>
    <x:row r="1830">
      <x:c r="A1830" s="175" t="str">
        <x:v>46.339.426/0001-75</x:v>
      </x:c>
      <x:c r="B1830" s="166" t="str">
        <x:v>VALORA QI FUNDO DE INVESTIMENTO EM DIREITOS CREDITÓRIOS RESPONSABILIDADE LIMITADA</x:v>
      </x:c>
      <x:c r="C1830" s="188" t="n">
        <x:v>35969716.8714</x:v>
      </x:c>
      <x:c r="D1830" s="166" t="str">
        <x:v>VALORA RENDA FIXA LTDA.</x:v>
      </x:c>
      <x:c r="E1830" s="166" t="str">
        <x:f>IFERROR(INDEX('Classif Gestoras'!$H$6:$H$462,MATCH(D1830,'Classif Gestoras'!$A$6:$A$462,0)),"Não classificada")</x:f>
        <x:v>Independente</x:v>
      </x:c>
      <x:c r="F1830" s="166" t="str">
        <x:v>BTG Pactual Servicos Financeiros S/A DTVM</x:v>
      </x:c>
      <x:c r="G1830" s="166" t="str">
        <x:v>BANCO BTG PACTUAL S/A</x:v>
      </x:c>
      <x:c r="H1830" s="166" t="str">
        <x:v>Outros</x:v>
      </x:c>
      <x:c r="I1830" s="166" t="str">
        <x:v>Multicarteira Outros</x:v>
      </x:c>
      <x:c r="J1830" s="166" t="str">
        <x:v>CI</x:v>
      </x:c>
      <x:c r="K1830" s="172" t="n">
        <x:v>8</x:v>
      </x:c>
      <x:c r="L1830" s="185" t="str">
        <x:v>Não classificado</x:v>
      </x:c>
    </x:row>
    <x:row r="1831">
      <x:c r="A1831" s="175" t="str">
        <x:v>58.232.693/0001-28</x:v>
      </x:c>
      <x:c r="B1831" s="166" t="str">
        <x:v>ALLOY FUNDO DE INVESTIMENTO EM DIREITOS CREDITÓRIOS</x:v>
      </x:c>
      <x:c r="C1831" s="188" t="n">
        <x:v>35966635.75</x:v>
      </x:c>
      <x:c r="D1831" s="166" t="str">
        <x:v>Renova Gestora</x:v>
      </x:c>
      <x:c r="E1831" s="166" t="str">
        <x:f>IFERROR(INDEX('Classif Gestoras'!$H$6:$H$462,MATCH(D1831,'Classif Gestoras'!$A$6:$A$462,0)),"Não classificada")</x:f>
        <x:v>Independente</x:v>
      </x:c>
      <x:c r="F1831" s="166" t="str">
        <x:v>MONETAR DISTRIBUIDORA DE TITUL</x:v>
      </x:c>
      <x:c r="G1831" s="166" t="str">
        <x:v>TERRA INVESTIMENTOS DISTRIBUIDORA DE TITULOS E VALORES MOBILIARIOS LTDA</x:v>
      </x:c>
      <x:c r="H1831" s="166" t="str">
        <x:v>Fomento Mercantil</x:v>
      </x:c>
      <x:c r="I1831" s="166" t="str">
        <x:v>Fomento Mercantil</x:v>
      </x:c>
      <x:c r="J1831" s="166" t="str">
        <x:v>CI</x:v>
      </x:c>
      <x:c r="K1831" s="172" t="n">
        <x:v>23</x:v>
      </x:c>
      <x:c r="L1831" s="185" t="str">
        <x:v>Não classificado</x:v>
      </x:c>
    </x:row>
    <x:row r="1832">
      <x:c r="A1832" s="175" t="str">
        <x:v>34.027.522/0001-07</x:v>
      </x:c>
      <x:c r="B1832" s="166" t="str">
        <x:v>BANSULCRED FUNDO DE INVESTIMENTO EM DIREITOS CREDITÓRIOS</x:v>
      </x:c>
      <x:c r="C1832" s="188" t="n">
        <x:v>35868638.43</x:v>
      </x:c>
      <x:c r="D1832" s="166" t="str">
        <x:v>TERCON ASSET MANAGEMENT</x:v>
      </x:c>
      <x:c r="E1832" s="166" t="str">
        <x:f>IFERROR(INDEX('Classif Gestoras'!$H$6:$H$462,MATCH(D1832,'Classif Gestoras'!$A$6:$A$462,0)),"Não classificada")</x:f>
        <x:v>Independente</x:v>
      </x:c>
      <x:c r="F1832" s="166" t="str">
        <x:v>Singulare</x:v>
      </x:c>
      <x:c r="G1832" s="166" t="str">
        <x:v>QI CORRETORA DE TÍTULOS E VALORES MOBILIÁRIOS S.A.</x:v>
      </x:c>
      <x:c r="H1832" s="166" t="str">
        <x:v>Fomento Mercantil</x:v>
      </x:c>
      <x:c r="I1832" s="166" t="str">
        <x:v>Fomento Mercantil</x:v>
      </x:c>
      <x:c r="J1832" s="166" t="str">
        <x:v>CI</x:v>
      </x:c>
      <x:c r="K1832" s="172" t="n">
        <x:v>1</x:v>
      </x:c>
      <x:c r="L1832" s="185" t="str">
        <x:v>Não classificado</x:v>
      </x:c>
    </x:row>
    <x:row r="1833">
      <x:c r="A1833" s="175" t="str">
        <x:v>59.701.895/0001-34</x:v>
      </x:c>
      <x:c r="B1833" s="166" t="str">
        <x:v>MV I FUNDO DE INVESTIMENTO EM DIREITOS CREDITÓRIOS RESPONSABILIDADE LIMITADA</x:v>
      </x:c>
      <x:c r="C1833" s="188" t="n">
        <x:v>35849531.39</x:v>
      </x:c>
      <x:c r="D1833" s="166" t="str">
        <x:v>TAG Investimentos</x:v>
      </x:c>
      <x:c r="E1833" s="166" t="str">
        <x:f>IFERROR(INDEX('Classif Gestoras'!$H$6:$H$462,MATCH(D1833,'Classif Gestoras'!$A$6:$A$462,0)),"Não classificada")</x:f>
        <x:v>Independente</x:v>
      </x:c>
      <x:c r="F1833" s="166" t="str">
        <x:v>VÓRTX DTVM</x:v>
      </x:c>
      <x:c r="G1833" s="166" t="str">
        <x:v>VORTX DISTRIBUIDORA DE TITULOS E VALORES MOBILIARIOS LTDA.</x:v>
      </x:c>
      <x:c r="H1833" s="166" t="str">
        <x:v>Outros</x:v>
      </x:c>
      <x:c r="I1833" s="166" t="str">
        <x:v>Poder Público</x:v>
      </x:c>
      <x:c r="J1833" s="166" t="str">
        <x:v>CI</x:v>
      </x:c>
      <x:c r="K1833" s="172" t="n">
        <x:v>48</x:v>
      </x:c>
      <x:c r="L1833" s="185" t="str">
        <x:v>Não classificado</x:v>
      </x:c>
    </x:row>
    <x:row r="1834">
      <x:c r="A1834" s="175" t="str">
        <x:v>54.462.447/0001-01</x:v>
      </x:c>
      <x:c r="B1834" s="166" t="str">
        <x:v>FIDERE DA AMAZÔNIA FUNDO DE INVESTIMENTO EM DIREITOS CREDITÓRIOS</x:v>
      </x:c>
      <x:c r="C1834" s="188" t="n">
        <x:v>35786859.29</x:v>
      </x:c>
      <x:c r="D1834" s="166" t="str">
        <x:v>TERCON ASSET MANAGEMENT</x:v>
      </x:c>
      <x:c r="E1834" s="166" t="str">
        <x:f>IFERROR(INDEX('Classif Gestoras'!$H$6:$H$462,MATCH(D1834,'Classif Gestoras'!$A$6:$A$462,0)),"Não classificada")</x:f>
        <x:v>Independente</x:v>
      </x:c>
      <x:c r="F1834" s="166" t="str">
        <x:v>Singulare</x:v>
      </x:c>
      <x:c r="G1834" s="166" t="str">
        <x:v>QI CORRETORA DE TÍTULOS E VALORES MOBILIÁRIOS S.A.</x:v>
      </x:c>
      <x:c r="H1834" s="166" t="str">
        <x:v>Fomento Mercantil</x:v>
      </x:c>
      <x:c r="I1834" s="166" t="str">
        <x:v>Fomento Mercantil</x:v>
      </x:c>
      <x:c r="J1834" s="166" t="str">
        <x:v>CI</x:v>
      </x:c>
      <x:c r="K1834" s="172" t="n">
        <x:v>1</x:v>
      </x:c>
      <x:c r="L1834" s="185" t="str">
        <x:v>Não classificado</x:v>
      </x:c>
    </x:row>
    <x:row r="1835">
      <x:c r="A1835" s="175" t="str">
        <x:v>42.031.145/0001-08</x:v>
      </x:c>
      <x:c r="B1835" s="166" t="str">
        <x:v>VÊNETO FUNDO DE INVESTIMENTO EM DIREITOS CREDITÓRIOS</x:v>
      </x:c>
      <x:c r="C1835" s="188" t="n">
        <x:v>35747084.26</x:v>
      </x:c>
      <x:c r="D1835" s="166" t="str">
        <x:v>Bless Capital Gestora de Recursos Ltda.</x:v>
      </x:c>
      <x:c r="E1835" s="166" t="str">
        <x:f>IFERROR(INDEX('Classif Gestoras'!$H$6:$H$462,MATCH(D1835,'Classif Gestoras'!$A$6:$A$462,0)),"Não classificada")</x:f>
        <x:v>Independente</x:v>
      </x:c>
      <x:c r="F1835" s="166" t="str">
        <x:v>ID Corretora de Títulos e Valores Mobiliários S.A.</x:v>
      </x:c>
      <x:c r="G1835" s="166" t="str">
        <x:v>ID CORRETORA DE TITULOS E VALORES MOBILIARIOS S.A.</x:v>
      </x:c>
      <x:c r="H1835" s="166" t="str">
        <x:v>Outros</x:v>
      </x:c>
      <x:c r="I1835" s="166" t="str">
        <x:v>Multicarteira Outros</x:v>
      </x:c>
      <x:c r="J1835" s="166" t="str">
        <x:v>CI</x:v>
      </x:c>
      <x:c r="K1835" s="172" t="n">
        <x:v>3</x:v>
      </x:c>
      <x:c r="L1835" s="185" t="str">
        <x:v>Não classificado</x:v>
      </x:c>
    </x:row>
    <x:row r="1836">
      <x:c r="A1836" s="175" t="str">
        <x:v>55.693.852/0001-01</x:v>
      </x:c>
      <x:c r="B1836" s="166" t="str">
        <x:v>MÓDENA FUNDO DE INVESTIMENTO EM DIREITOS CREDITÓRIOS NÃO-PADRONIZADOS</x:v>
      </x:c>
      <x:c r="C1836" s="188" t="n">
        <x:v>35719354.019999996</x:v>
      </x:c>
      <x:c r="D1836" s="166" t="str">
        <x:v>Positiva Investimentos Ltda</x:v>
      </x:c>
      <x:c r="E1836" s="166" t="str">
        <x:f>IFERROR(INDEX('Classif Gestoras'!$H$6:$H$462,MATCH(D1836,'Classif Gestoras'!$A$6:$A$462,0)),"Não classificada")</x:f>
        <x:v>Independente</x:v>
      </x:c>
      <x:c r="F1836" s="166" t="str">
        <x:v>SEFER DTVM</x:v>
      </x:c>
      <x:c r="G1836" s="166" t="str">
        <x:v>SEFER INVESTIMENTOS DISTRIBUIDORA DE TÍTULOS E VALORES MOBILIÁRIOS LTDA.</x:v>
      </x:c>
      <x:c r="H1836" s="166" t="str">
        <x:v>Outros</x:v>
      </x:c>
      <x:c r="I1836" s="166" t="str">
        <x:v>Multicarteira Outros</x:v>
      </x:c>
      <x:c r="J1836" s="166" t="str">
        <x:v>CI</x:v>
      </x:c>
      <x:c r="K1836" s="172" t="n">
        <x:v>0</x:v>
      </x:c>
      <x:c r="L1836" s="185" t="str">
        <x:v>Não classificado</x:v>
      </x:c>
    </x:row>
    <x:row r="1837">
      <x:c r="A1837" s="175" t="str">
        <x:v>40.754.316/0001-93</x:v>
      </x:c>
      <x:c r="B1837" s="166" t="str">
        <x:v>NPL BRASIL I - FUNDO DE INVESTIMENTO EM DIREITOS CREDITÓRIOS</x:v>
      </x:c>
      <x:c r="C1837" s="188" t="n">
        <x:v>35655669.42999999</x:v>
      </x:c>
      <x:c r="D1837" s="166" t="str">
        <x:v>GAMA INVESTIMENTOS LTDA.</x:v>
      </x:c>
      <x:c r="E1837" s="166" t="str">
        <x:f>IFERROR(INDEX('Classif Gestoras'!$H$6:$H$462,MATCH(D1837,'Classif Gestoras'!$A$6:$A$462,0)),"Não classificada")</x:f>
        <x:v>Independente</x:v>
      </x:c>
      <x:c r="F1837" s="166" t="str">
        <x:v>BTG Pactual Servicos Financeiros S/A DTVM</x:v>
      </x:c>
      <x:c r="G1837" s="166" t="str">
        <x:v>BANCO BTG PACTUAL S/A</x:v>
      </x:c>
      <x:c r="H1837" s="166" t="str">
        <x:v>Outros</x:v>
      </x:c>
      <x:c r="I1837" s="166" t="str">
        <x:v>Recuperação</x:v>
      </x:c>
      <x:c r="J1837" s="166" t="str">
        <x:v>CI</x:v>
      </x:c>
      <x:c r="K1837" s="172" t="n">
        <x:v>31</x:v>
      </x:c>
      <x:c r="L1837" s="185" t="str">
        <x:v>Não classificado</x:v>
      </x:c>
    </x:row>
    <x:row r="1838">
      <x:c r="A1838" s="175" t="str">
        <x:v>37.310.965/0001-90</x:v>
      </x:c>
      <x:c r="B1838" s="166" t="str">
        <x:v>G5 SANEAMENTO FUNDO DE INVESTIMENTO EM DIREITOS CREDITÓRIOS</x:v>
      </x:c>
      <x:c r="C1838" s="188" t="n">
        <x:v>35561502.96</x:v>
      </x:c>
      <x:c r="D1838" s="166" t="str">
        <x:v>G5 Adm. de Recursos</x:v>
      </x:c>
      <x:c r="E1838" s="166" t="str">
        <x:f>IFERROR(INDEX('Classif Gestoras'!$H$6:$H$462,MATCH(D1838,'Classif Gestoras'!$A$6:$A$462,0)),"Não classificada")</x:f>
        <x:v>Independente</x:v>
      </x:c>
      <x:c r="F1838" s="166" t="str">
        <x:v>Singulare</x:v>
      </x:c>
      <x:c r="G1838" s="166" t="str">
        <x:v>QI CORRETORA DE TÍTULOS E VALORES MOBILIÁRIOS S.A.</x:v>
      </x:c>
      <x:c r="H1838" s="166" t="str">
        <x:v>Outros</x:v>
      </x:c>
      <x:c r="I1838" s="166" t="str">
        <x:v>Multicarteira Outros</x:v>
      </x:c>
      <x:c r="J1838" s="166" t="str">
        <x:v>CI</x:v>
      </x:c>
      <x:c r="K1838" s="172" t="n">
        <x:v>2</x:v>
      </x:c>
      <x:c r="L1838" s="185" t="str">
        <x:v>Não classificado</x:v>
      </x:c>
    </x:row>
    <x:row r="1839">
      <x:c r="A1839" s="175" t="str">
        <x:v>13.348.521/0001-86</x:v>
      </x:c>
      <x:c r="B1839" s="166" t="str">
        <x:v>RDG FUNDO DE INVESTIMENTO EM DIREITOS CREDITÓRIOS MULTISSETORIAL LP</x:v>
      </x:c>
      <x:c r="C1839" s="188" t="n">
        <x:v>35528793.36</x:v>
      </x:c>
      <x:c r="D1839" s="166" t="str">
        <x:v>TERCON ASSET MANAGEMENT</x:v>
      </x:c>
      <x:c r="E1839" s="166" t="str">
        <x:f>IFERROR(INDEX('Classif Gestoras'!$H$6:$H$462,MATCH(D1839,'Classif Gestoras'!$A$6:$A$462,0)),"Não classificada")</x:f>
        <x:v>Independente</x:v>
      </x:c>
      <x:c r="F1839" s="166" t="str">
        <x:v>Singulare</x:v>
      </x:c>
      <x:c r="G1839" s="166" t="str">
        <x:v>QI CORRETORA DE TÍTULOS E VALORES MOBILIÁRIOS S.A.</x:v>
      </x:c>
      <x:c r="H1839" s="166" t="str">
        <x:v>Fomento Mercantil</x:v>
      </x:c>
      <x:c r="I1839" s="166" t="str">
        <x:v>Fomento Mercantil</x:v>
      </x:c>
      <x:c r="J1839" s="166" t="str">
        <x:v>CI</x:v>
      </x:c>
      <x:c r="K1839" s="172" t="n">
        <x:v>1</x:v>
      </x:c>
      <x:c r="L1839" s="185" t="str">
        <x:v>Não classificado</x:v>
      </x:c>
    </x:row>
    <x:row r="1840">
      <x:c r="A1840" s="175" t="str">
        <x:v>44.642.151/0001-19</x:v>
      </x:c>
      <x:c r="B1840" s="166" t="str">
        <x:v>EMPRESTA I FUNDO DE INVESTIMENTO EM DIREITOS CREDITÓRIOS FINANCEIROS DE RESPONSABILIDE LIMITADA</x:v>
      </x:c>
      <x:c r="C1840" s="188" t="n">
        <x:v>35473282.17999999</x:v>
      </x:c>
      <x:c r="D1840" s="166" t="str">
        <x:v>Ghia Asset Management</x:v>
      </x:c>
      <x:c r="E1840" s="166" t="str">
        <x:f>IFERROR(INDEX('Classif Gestoras'!$H$6:$H$462,MATCH(D1840,'Classif Gestoras'!$A$6:$A$462,0)),"Não classificada")</x:f>
        <x:v>Independente</x:v>
      </x:c>
      <x:c r="F1840" s="166" t="str">
        <x:v>VÓRTX DTVM</x:v>
      </x:c>
      <x:c r="G1840" s="166" t="str">
        <x:v>VORTX DISTRIBUIDORA DE TITULOS E VALORES MOBILIARIOS LTDA.</x:v>
      </x:c>
      <x:c r="H1840" s="166" t="str">
        <x:v>Financeiro</x:v>
      </x:c>
      <x:c r="I1840" s="166" t="str">
        <x:v>Crédito Consignado</x:v>
      </x:c>
      <x:c r="J1840" s="166" t="str">
        <x:v>CI</x:v>
      </x:c>
      <x:c r="K1840" s="172" t="n">
        <x:v>31</x:v>
      </x:c>
      <x:c r="L1840" s="185" t="str">
        <x:v>Não classificado</x:v>
      </x:c>
    </x:row>
    <x:row r="1841">
      <x:c r="A1841" s="175" t="str">
        <x:v>61.670.371/0001-75</x:v>
      </x:c>
      <x:c r="B1841" s="166" t="str">
        <x:v>PBL CREDITOS JUDICIAIS FUNDO DE INVESTIMENTO EM DIREITOS CREDITÓRIOS DE RESPONSABILIDADE LIMITADA</x:v>
      </x:c>
      <x:c r="C1841" s="188" t="n">
        <x:v>35251739.14</x:v>
      </x:c>
      <x:c r="D1841" s="166" t="str">
        <x:v>GENIAL GESTÃO LTDA.</x:v>
      </x:c>
      <x:c r="E1841" s="166" t="str">
        <x:f>IFERROR(INDEX('Classif Gestoras'!$H$6:$H$462,MATCH(D1841,'Classif Gestoras'!$A$6:$A$462,0)),"Não classificada")</x:f>
        <x:v>Ligada a banco</x:v>
      </x:c>
      <x:c r="F1841" s="166" t="str">
        <x:v>Genial Investimentos Corretora de Valores Mobiliários S.A.</x:v>
      </x:c>
      <x:c r="G1841" s="166" t="str">
        <x:v>BANCO GENIAL S.A.</x:v>
      </x:c>
      <x:c r="H1841" s="166" t="str">
        <x:v>Outros</x:v>
      </x:c>
      <x:c r="I1841" s="166" t="str">
        <x:v>Poder Público</x:v>
      </x:c>
      <x:c r="J1841" s="166" t="str">
        <x:v>CI</x:v>
      </x:c>
      <x:c r="K1841" s="172" t="n">
        <x:v>17</x:v>
      </x:c>
      <x:c r="L1841" s="185" t="str">
        <x:v>Não classificado</x:v>
      </x:c>
    </x:row>
    <x:row r="1842">
      <x:c r="A1842" s="175" t="str">
        <x:v>52.343.885/0001-25</x:v>
      </x:c>
      <x:c r="B1842" s="166" t="str">
        <x:v>LCBANK FUNDO DE INVESTIMENTO EM DIREITOS CREDITÓRIOS NÃO PADRONIZADOS</x:v>
      </x:c>
      <x:c r="C1842" s="188" t="n">
        <x:v>35105649.28</x:v>
      </x:c>
      <x:c r="D1842" s="166" t="str">
        <x:v>GV ATACAMA CAPITAL LTDA.</x:v>
      </x:c>
      <x:c r="E1842" s="166" t="str">
        <x:f>IFERROR(INDEX('Classif Gestoras'!$H$6:$H$462,MATCH(D1842,'Classif Gestoras'!$A$6:$A$462,0)),"Não classificada")</x:f>
        <x:v>Independente</x:v>
      </x:c>
      <x:c r="F1842" s="166" t="str">
        <x:v>ID Corretora de Títulos e Valores Mobiliários S.A.</x:v>
      </x:c>
      <x:c r="G1842" s="166" t="str">
        <x:v>ID CORRETORA DE TITULOS E VALORES MOBILIARIOS S.A.</x:v>
      </x:c>
      <x:c r="H1842" s="166" t="str">
        <x:v>Outros</x:v>
      </x:c>
      <x:c r="I1842" s="166" t="str">
        <x:v>Poder Público</x:v>
      </x:c>
      <x:c r="J1842" s="166" t="str">
        <x:v>CI</x:v>
      </x:c>
      <x:c r="K1842" s="172" t="n">
        <x:v>2</x:v>
      </x:c>
      <x:c r="L1842" s="185" t="str">
        <x:v>Não classificado</x:v>
      </x:c>
    </x:row>
    <x:row r="1843">
      <x:c r="A1843" s="175" t="str">
        <x:v>12.036.226/0001-21</x:v>
      </x:c>
      <x:c r="B1843" s="166" t="str">
        <x:v>SG III FUNDO DE INVESTIMENTO EM DIREITOS CREDITÓRIOS NÃO-PADRONIZADOS</x:v>
      </x:c>
      <x:c r="C1843" s="188" t="n">
        <x:v>35069971.6625</x:v>
      </x:c>
      <x:c r="D1843" s="166" t="str">
        <x:v>Jus Capital Gestão de Recursos LTDA</x:v>
      </x:c>
      <x:c r="E1843" s="166" t="str">
        <x:f>IFERROR(INDEX('Classif Gestoras'!$H$6:$H$462,MATCH(D1843,'Classif Gestoras'!$A$6:$A$462,0)),"Não classificada")</x:f>
        <x:v>Independente</x:v>
      </x:c>
      <x:c r="F1843" s="166" t="str">
        <x:v>BTG Pactual Servicos Financeiros S/A DTVM</x:v>
      </x:c>
      <x:c r="G1843" s="166" t="str">
        <x:v>BANCO BTG PACTUAL S/A</x:v>
      </x:c>
      <x:c r="H1843" s="166" t="str">
        <x:v>Outros</x:v>
      </x:c>
      <x:c r="I1843" s="166" t="str">
        <x:v>Poder Público</x:v>
      </x:c>
      <x:c r="J1843" s="166" t="str">
        <x:v>CIPC</x:v>
      </x:c>
      <x:c r="K1843" s="172" t="n">
        <x:v>1</x:v>
      </x:c>
      <x:c r="L1843" s="185" t="str">
        <x:v>Não classificado</x:v>
      </x:c>
    </x:row>
    <x:row r="1844">
      <x:c r="A1844" s="175" t="str">
        <x:v>57.786.054/0001-41</x:v>
      </x:c>
      <x:c r="B1844" s="166" t="str">
        <x:v>SUCCESSUS FUNDO DE INVESTIMENTO EM DIREITOS CREDITÓRIOS</x:v>
      </x:c>
      <x:c r="C1844" s="188" t="n">
        <x:v>35033302.47</x:v>
      </x:c>
      <x:c r="D1844" s="166" t="str">
        <x:v>Redwood Asset Management</x:v>
      </x:c>
      <x:c r="E1844" s="166" t="str">
        <x:f>IFERROR(INDEX('Classif Gestoras'!$H$6:$H$462,MATCH(D1844,'Classif Gestoras'!$A$6:$A$462,0)),"Não classificada")</x:f>
        <x:v>Independente</x:v>
      </x:c>
      <x:c r="F1844" s="166" t="str">
        <x:v>PLANNER CV</x:v>
      </x:c>
      <x:c r="G1844" s="166" t="str">
        <x:v>PLANNER CORRETORA DE VALORES S.A.</x:v>
      </x:c>
      <x:c r="H1844" s="166" t="str">
        <x:v>Fomento Mercantil</x:v>
      </x:c>
      <x:c r="I1844" s="166" t="str">
        <x:v>Fomento Mercantil</x:v>
      </x:c>
      <x:c r="J1844" s="166" t="str">
        <x:v>CI</x:v>
      </x:c>
      <x:c r="K1844" s="172" t="n">
        <x:v>1</x:v>
      </x:c>
      <x:c r="L1844" s="185" t="str">
        <x:v>Não classificado</x:v>
      </x:c>
    </x:row>
    <x:row r="1845">
      <x:c r="A1845" s="175" t="str">
        <x:v>49.583.436/0001-40</x:v>
      </x:c>
      <x:c r="B1845" s="166" t="str">
        <x:v>OSAKA FUNDO DE INVESTIMENTO EM DIREITOS CREDITÓRIOS DE RESPONSABILIDADE LIMITADA</x:v>
      </x:c>
      <x:c r="C1845" s="188" t="n">
        <x:v>35027540.16</x:v>
      </x:c>
      <x:c r="D1845" s="166" t="str">
        <x:v>Renova Gestora</x:v>
      </x:c>
      <x:c r="E1845" s="166" t="str">
        <x:f>IFERROR(INDEX('Classif Gestoras'!$H$6:$H$462,MATCH(D1845,'Classif Gestoras'!$A$6:$A$462,0)),"Não classificada")</x:f>
        <x:v>Independente</x:v>
      </x:c>
      <x:c r="F1845" s="166" t="str">
        <x:v>MONETAR DISTRIBUIDORA DE TITUL</x:v>
      </x:c>
      <x:c r="G1845" s="166" t="str">
        <x:v>TERRA INVESTIMENTOS DISTRIBUIDORA DE TITULOS E VALORES MOBILIARIOS LTDA</x:v>
      </x:c>
      <x:c r="H1845" s="166" t="str">
        <x:v>Outros</x:v>
      </x:c>
      <x:c r="I1845" s="166" t="str">
        <x:v>Multicarteira Outros</x:v>
      </x:c>
      <x:c r="J1845" s="166" t="str">
        <x:v>CI</x:v>
      </x:c>
      <x:c r="K1845" s="172" t="n">
        <x:v>2</x:v>
      </x:c>
      <x:c r="L1845" s="185" t="str">
        <x:v>Não classificado</x:v>
      </x:c>
    </x:row>
    <x:row r="1846">
      <x:c r="A1846" s="175" t="str">
        <x:v>22.415.372/0001-11</x:v>
      </x:c>
      <x:c r="B1846" s="166" t="str">
        <x:v>FUNDO DE RECUPERAÇÃO DE ATIVOS FIDC - RESPONSABILIDADE LIMITADA</x:v>
      </x:c>
      <x:c r="C1846" s="188" t="n">
        <x:v>34974997.48</x:v>
      </x:c>
      <x:c r="D1846" s="166" t="str">
        <x:v>JIVE INVESTMENTS</x:v>
      </x:c>
      <x:c r="E1846" s="166" t="str">
        <x:f>IFERROR(INDEX('Classif Gestoras'!$H$6:$H$462,MATCH(D1846,'Classif Gestoras'!$A$6:$A$462,0)),"Não classificada")</x:f>
        <x:v>Independente</x:v>
      </x:c>
      <x:c r="F1846" s="166" t="str">
        <x:v>MAF Distribuidora de Títulos e Valores Mobiliários S.A.</x:v>
      </x:c>
      <x:c r="G1846" s="166" t="str">
        <x:v>MAF DISTRIBUIDORA DE TITULOS E VALORES MOBILIARIOS S.A.</x:v>
      </x:c>
      <x:c r="H1846" s="166" t="str">
        <x:v>Outros</x:v>
      </x:c>
      <x:c r="I1846" s="166" t="str">
        <x:v>Multicarteira Outros</x:v>
      </x:c>
      <x:c r="J1846" s="166" t="str">
        <x:v>CI</x:v>
      </x:c>
      <x:c r="K1846" s="172" t="n">
        <x:v>5</x:v>
      </x:c>
      <x:c r="L1846" s="185" t="str">
        <x:v>Não classificado</x:v>
      </x:c>
    </x:row>
    <x:row r="1847">
      <x:c r="A1847" s="175" t="str">
        <x:v>64.168.109/0001-15</x:v>
      </x:c>
      <x:c r="B1847" s="166" t="str">
        <x:v>JC SALUS FUNDO DE INVESTIMENTO EM DIREITOS CREDITÓRIOS</x:v>
      </x:c>
      <x:c r="C1847" s="188" t="n">
        <x:v>34770729.839999996</x:v>
      </x:c>
      <x:c r="D1847" s="166" t="str">
        <x:v>Jus Capital Gestão de Recursos LTDA</x:v>
      </x:c>
      <x:c r="E1847" s="166" t="str">
        <x:f>IFERROR(INDEX('Classif Gestoras'!$H$6:$H$462,MATCH(D1847,'Classif Gestoras'!$A$6:$A$462,0)),"Não classificada")</x:f>
        <x:v>Independente</x:v>
      </x:c>
      <x:c r="F1847" s="166" t="str">
        <x:v>Singulare</x:v>
      </x:c>
      <x:c r="G1847" s="166" t="str">
        <x:v>QI CORRETORA DE TÍTULOS E VALORES MOBILIÁRIOS S.A.</x:v>
      </x:c>
      <x:c r="H1847" s="166" t="str">
        <x:v>Outros</x:v>
      </x:c>
      <x:c r="I1847" s="166" t="str">
        <x:v>Poder Público</x:v>
      </x:c>
      <x:c r="J1847" s="166" t="str">
        <x:v>CI</x:v>
      </x:c>
      <x:c r="K1847" s="172" t="n">
        <x:v>2</x:v>
      </x:c>
      <x:c r="L1847" s="185" t="str">
        <x:v>Não classificado</x:v>
      </x:c>
    </x:row>
    <x:row r="1848">
      <x:c r="A1848" s="175" t="str">
        <x:v>24.270.499/0001-15</x:v>
      </x:c>
      <x:c r="B1848" s="166" t="str">
        <x:v>SÃO LUÍS FUNDO DE INVESTIMENTO EM DIREITOS CREDITÓRIOS</x:v>
      </x:c>
      <x:c r="C1848" s="188" t="n">
        <x:v>34752072.86</x:v>
      </x:c>
      <x:c r="D1848" s="166" t="str">
        <x:v>Redwood Asset Management</x:v>
      </x:c>
      <x:c r="E1848" s="166" t="str">
        <x:f>IFERROR(INDEX('Classif Gestoras'!$H$6:$H$462,MATCH(D1848,'Classif Gestoras'!$A$6:$A$462,0)),"Não classificada")</x:f>
        <x:v>Independente</x:v>
      </x:c>
      <x:c r="F1848" s="166" t="str">
        <x:v>PLANNER CV</x:v>
      </x:c>
      <x:c r="G1848" s="166" t="str">
        <x:v>PLANNER CORRETORA DE VALORES S.A.</x:v>
      </x:c>
      <x:c r="H1848" s="166" t="str">
        <x:v>Outros</x:v>
      </x:c>
      <x:c r="I1848" s="166" t="str">
        <x:v>Multicarteira Outros</x:v>
      </x:c>
      <x:c r="J1848" s="166" t="str">
        <x:v>CI</x:v>
      </x:c>
      <x:c r="K1848" s="172" t="n">
        <x:v>4</x:v>
      </x:c>
      <x:c r="L1848" s="185" t="str">
        <x:v>Não classificado</x:v>
      </x:c>
    </x:row>
    <x:row r="1849">
      <x:c r="A1849" s="175" t="str">
        <x:v>60.300.116/0001-78</x:v>
      </x:c>
      <x:c r="B1849" s="166" t="str">
        <x:v>ACCRÉDITO FUNDO DE INVESTIMENTO EM DIREITOS CREDITÓRIOS RESPONSABILIDADE LIMITADA</x:v>
      </x:c>
      <x:c r="C1849" s="188" t="n">
        <x:v>34693446.42</x:v>
      </x:c>
      <x:c r="D1849" s="166" t="str">
        <x:v>Redwood Asset Management</x:v>
      </x:c>
      <x:c r="E1849" s="166" t="str">
        <x:f>IFERROR(INDEX('Classif Gestoras'!$H$6:$H$462,MATCH(D1849,'Classif Gestoras'!$A$6:$A$462,0)),"Não classificada")</x:f>
        <x:v>Independente</x:v>
      </x:c>
      <x:c r="F1849" s="166" t="str">
        <x:v>PLANNER CV</x:v>
      </x:c>
      <x:c r="G1849" s="166" t="str">
        <x:v>PLANNER CORRETORA DE VALORES S.A.</x:v>
      </x:c>
      <x:c r="H1849" s="166" t="str">
        <x:v>Outros</x:v>
      </x:c>
      <x:c r="I1849" s="166" t="str">
        <x:v>Multicarteira Outros</x:v>
      </x:c>
      <x:c r="J1849" s="166" t="str">
        <x:v>CI</x:v>
      </x:c>
      <x:c r="K1849" s="172" t="n">
        <x:v>1</x:v>
      </x:c>
      <x:c r="L1849" s="185" t="str">
        <x:v>Não classificado</x:v>
      </x:c>
    </x:row>
    <x:row r="1850">
      <x:c r="A1850" s="175" t="str">
        <x:v>60.137.602/0001-17</x:v>
      </x:c>
      <x:c r="B1850" s="166" t="str">
        <x:v>AMERICA FUNDO DE INVESTIMENTO EM DIREITOS CREDITÓRIOS RESPONSABILIDADE LIMITADA</x:v>
      </x:c>
      <x:c r="C1850" s="188" t="n">
        <x:v>34677918.87</x:v>
      </x:c>
      <x:c r="D1850" s="166" t="str">
        <x:v>Golden Asset Gestora de Recursos</x:v>
      </x:c>
      <x:c r="E1850" s="166" t="str">
        <x:f>IFERROR(INDEX('Classif Gestoras'!$H$6:$H$462,MATCH(D1850,'Classif Gestoras'!$A$6:$A$462,0)),"Não classificada")</x:f>
        <x:v>Independente</x:v>
      </x:c>
      <x:c r="F1850" s="166" t="str">
        <x:v>ID Corretora de Títulos e Valores Mobiliários S.A.</x:v>
      </x:c>
      <x:c r="G1850" s="166" t="str">
        <x:v>HEMERA DISTRIBUIDORA DE TITULOS E VALORES MOBILIARIOS LTDA</x:v>
      </x:c>
      <x:c r="H1850" s="166" t="str">
        <x:v>Outros</x:v>
      </x:c>
      <x:c r="I1850" s="166" t="str">
        <x:v>Multicarteira Outros</x:v>
      </x:c>
      <x:c r="J1850" s="166" t="str">
        <x:v>CI</x:v>
      </x:c>
      <x:c r="K1850" s="172" t="n">
        <x:v>23</x:v>
      </x:c>
      <x:c r="L1850" s="185" t="str">
        <x:v>Não classificado</x:v>
      </x:c>
    </x:row>
    <x:row r="1851">
      <x:c r="A1851" s="175" t="str">
        <x:v>55.105.668/0001-95</x:v>
      </x:c>
      <x:c r="B1851" s="166" t="str">
        <x:v>VITTRA FUNDO DE INVESTIMENTO EM DIREITOS CREDITÓRIOS DE RESPONSABILIDADE LIMITADA</x:v>
      </x:c>
      <x:c r="C1851" s="188" t="n">
        <x:v>34665075.67</x:v>
      </x:c>
      <x:c r="D1851" s="166" t="str">
        <x:v>Catálise Investimentos</x:v>
      </x:c>
      <x:c r="E1851" s="166" t="str">
        <x:f>IFERROR(INDEX('Classif Gestoras'!$H$6:$H$462,MATCH(D1851,'Classif Gestoras'!$A$6:$A$462,0)),"Não classificada")</x:f>
        <x:v>Independente</x:v>
      </x:c>
      <x:c r="F1851" s="166" t="str">
        <x:v>CATÁLISE DTVM</x:v>
      </x:c>
      <x:c r="G1851" s="166" t="str">
        <x:v>BANCO DAYCOVAL S.A.</x:v>
      </x:c>
      <x:c r="H1851" s="166" t="str">
        <x:v>Agro, Indústria e Comércio</x:v>
      </x:c>
      <x:c r="I1851" s="166" t="str">
        <x:v>Recebíveis Comerciais</x:v>
      </x:c>
      <x:c r="J1851" s="166" t="str">
        <x:v>CI</x:v>
      </x:c>
      <x:c r="K1851" s="172" t="n">
        <x:v>1</x:v>
      </x:c>
      <x:c r="L1851" s="185" t="str">
        <x:v>Não classificado</x:v>
      </x:c>
    </x:row>
    <x:row r="1852">
      <x:c r="A1852" s="175" t="str">
        <x:v>49.290.956/0001-64</x:v>
      </x:c>
      <x:c r="B1852" s="166" t="str">
        <x:v>PASSARE FUNDO DE INVESTIMENTO EM DIREITOS CREDITÓRIOS NÃO-PADRONIZADOS</x:v>
      </x:c>
      <x:c r="C1852" s="188" t="n">
        <x:v>34564460.19</x:v>
      </x:c>
      <x:c r="D1852" s="166" t="str">
        <x:v>PACTUAL CAPITAL PART</x:v>
      </x:c>
      <x:c r="E1852" s="166" t="str">
        <x:f>IFERROR(INDEX('Classif Gestoras'!$H$6:$H$462,MATCH(D1852,'Classif Gestoras'!$A$6:$A$462,0)),"Não classificada")</x:f>
        <x:v>Independente</x:v>
      </x:c>
      <x:c r="F1852" s="166" t="str">
        <x:v>BTG Pactual Servicos Financeiros S/A DTVM</x:v>
      </x:c>
      <x:c r="G1852" s="166" t="str">
        <x:v>BANCO BTG PACTUAL S/A</x:v>
      </x:c>
      <x:c r="H1852" s="166" t="str">
        <x:v>Outros</x:v>
      </x:c>
      <x:c r="I1852" s="166" t="str">
        <x:v>Recuperação</x:v>
      </x:c>
      <x:c r="J1852" s="166" t="str">
        <x:v>CI</x:v>
      </x:c>
      <x:c r="K1852" s="172" t="n">
        <x:v>6</x:v>
      </x:c>
      <x:c r="L1852" s="185" t="str">
        <x:v>Não classificado</x:v>
      </x:c>
    </x:row>
    <x:row r="1853">
      <x:c r="A1853" s="175" t="str">
        <x:v>54.851.950/0001-59</x:v>
      </x:c>
      <x:c r="B1853" s="166" t="str">
        <x:v>PROBANK FIDC FINANCEIROS, IMOBILIÁRIOS, VAREJISTAS E INDUSTRIAIS DE RESPONSABILIDADE LIMITADA</x:v>
      </x:c>
      <x:c r="C1853" s="188" t="n">
        <x:v>34550149.44</x:v>
      </x:c>
      <x:c r="D1853" s="166" t="str">
        <x:v>DAYCOVAL ASSET MANAG</x:v>
      </x:c>
      <x:c r="E1853" s="166" t="str">
        <x:f>IFERROR(INDEX('Classif Gestoras'!$H$6:$H$462,MATCH(D1853,'Classif Gestoras'!$A$6:$A$462,0)),"Não classificada")</x:f>
        <x:v>Ligada a banco</x:v>
      </x:c>
      <x:c r="F1853" s="166" t="str">
        <x:v>BANCO DAYCOVAL S/A</x:v>
      </x:c>
      <x:c r="G1853" s="166" t="str">
        <x:v>BANCO DAYCOVAL S.A.</x:v>
      </x:c>
      <x:c r="H1853" s="166" t="str">
        <x:v>Outros</x:v>
      </x:c>
      <x:c r="I1853" s="166" t="str">
        <x:v>Multicarteira Outros</x:v>
      </x:c>
      <x:c r="J1853" s="166" t="str">
        <x:v>CI</x:v>
      </x:c>
      <x:c r="K1853" s="172" t="n">
        <x:v>3</x:v>
      </x:c>
      <x:c r="L1853" s="185" t="str">
        <x:v>Não classificado</x:v>
      </x:c>
    </x:row>
    <x:row r="1854">
      <x:c r="A1854" s="175" t="str">
        <x:v>53.211.671/0001-68</x:v>
      </x:c>
      <x:c r="B1854" s="166" t="str">
        <x:v>FIDC GUARDIAN INSS FUNDO DE INVESTIMENTO EM DIREITOS CREDITÓRIOS RESPONSABILIDADE LIMITADA</x:v>
      </x:c>
      <x:c r="C1854" s="188" t="n">
        <x:v>34546272.43</x:v>
      </x:c>
      <x:c r="D1854" s="166" t="str">
        <x:v>Guardian Gestora</x:v>
      </x:c>
      <x:c r="E1854" s="166" t="str">
        <x:f>IFERROR(INDEX('Classif Gestoras'!$H$6:$H$462,MATCH(D1854,'Classif Gestoras'!$A$6:$A$462,0)),"Não classificada")</x:f>
        <x:v>Independente</x:v>
      </x:c>
      <x:c r="F1854" s="166" t="str">
        <x:v>Banvox DTVM</x:v>
      </x:c>
      <x:c r="G1854" s="166" t="str">
        <x:v>BANCO DAYCOVAL S.A.</x:v>
      </x:c>
      <x:c r="H1854" s="166" t="str">
        <x:v>Financeiro</x:v>
      </x:c>
      <x:c r="I1854" s="166" t="str">
        <x:v>Crédito Consignado</x:v>
      </x:c>
      <x:c r="J1854" s="166" t="str">
        <x:v>CI</x:v>
      </x:c>
      <x:c r="K1854" s="172" t="n">
        <x:v>93</x:v>
      </x:c>
      <x:c r="L1854" s="185" t="str">
        <x:v>Não classificado</x:v>
      </x:c>
    </x:row>
    <x:row r="1855">
      <x:c r="A1855" s="175" t="str">
        <x:v>64.013.807/0001-41</x:v>
      </x:c>
      <x:c r="B1855" s="166" t="str">
        <x:v>REDWOOD HIGH YIELD CP FUNDO DE INVESTIMENTO EM DIREITOS CREDITÓRIOS RESPONSABILIDADE LIMITADA</x:v>
      </x:c>
      <x:c r="C1855" s="188" t="n">
        <x:v>34519359.2</x:v>
      </x:c>
      <x:c r="D1855" s="166" t="str">
        <x:v>Redwood Asset Management</x:v>
      </x:c>
      <x:c r="E1855" s="166" t="str">
        <x:f>IFERROR(INDEX('Classif Gestoras'!$H$6:$H$462,MATCH(D1855,'Classif Gestoras'!$A$6:$A$462,0)),"Não classificada")</x:f>
        <x:v>Independente</x:v>
      </x:c>
      <x:c r="F1855" s="166" t="str">
        <x:v>PLANNER CV</x:v>
      </x:c>
      <x:c r="G1855" s="166" t="str">
        <x:v>PLANNER CORRETORA DE VALORES S.A.</x:v>
      </x:c>
      <x:c r="H1855" s="166" t="str">
        <x:v>Outros</x:v>
      </x:c>
      <x:c r="I1855" s="166" t="str">
        <x:v>Multicarteira Outros</x:v>
      </x:c>
      <x:c r="J1855" s="166" t="str">
        <x:v>CI</x:v>
      </x:c>
      <x:c r="K1855" s="172" t="n">
        <x:v>5</x:v>
      </x:c>
      <x:c r="L1855" s="185" t="str">
        <x:v>Não classificado</x:v>
      </x:c>
    </x:row>
    <x:row r="1856">
      <x:c r="A1856" s="175" t="str">
        <x:v>18.392.964/0001-98</x:v>
      </x:c>
      <x:c r="B1856" s="166" t="str">
        <x:v>CNPJ 18392964000198</x:v>
      </x:c>
      <x:c r="C1856" s="188" t="n">
        <x:v>34367046.989999995</x:v>
      </x:c>
      <x:c r="D1856" s="166" t="str">
        <x:v>WNT Gestora de Recursos Ltda.</x:v>
      </x:c>
      <x:c r="E1856" s="166" t="str">
        <x:f>IFERROR(INDEX('Classif Gestoras'!$H$6:$H$462,MATCH(D1856,'Classif Gestoras'!$A$6:$A$462,0)),"Não classificada")</x:f>
        <x:v>Independente</x:v>
      </x:c>
      <x:c r="F1856" s="166" t="str">
        <x:v>WNT DTVM</x:v>
      </x:c>
      <x:c r="G1856" s="166" t="str">
        <x:v>Não identificado</x:v>
      </x:c>
      <x:c r="H1856" s="166" t="str">
        <x:v>Fomento Mercantil</x:v>
      </x:c>
      <x:c r="I1856" s="166" t="str">
        <x:v>Fomento Mercantil</x:v>
      </x:c>
      <x:c r="J1856" s="166" t="str">
        <x:v>CI</x:v>
      </x:c>
      <x:c r="K1856" s="172"/>
      <x:c r="L1856" s="185" t="str">
        <x:v>Não classificado</x:v>
      </x:c>
    </x:row>
    <x:row r="1857">
      <x:c r="A1857" s="175" t="str">
        <x:v>60.101.506/0001-19</x:v>
      </x:c>
      <x:c r="B1857" s="166" t="str">
        <x:v>VIRTUS FUNDO DE INVESTIMENTO EM DIREITOS CREDITÓRIOS</x:v>
      </x:c>
      <x:c r="C1857" s="188" t="n">
        <x:v>34341589.36</x:v>
      </x:c>
      <x:c r="D1857" s="166" t="str">
        <x:v>OURO PRETO INVESTIMENTOS</x:v>
      </x:c>
      <x:c r="E1857" s="166" t="str">
        <x:f>IFERROR(INDEX('Classif Gestoras'!$H$6:$H$462,MATCH(D1857,'Classif Gestoras'!$A$6:$A$462,0)),"Não classificada")</x:f>
        <x:v>Independente</x:v>
      </x:c>
      <x:c r="F1857" s="166" t="str">
        <x:v>Limine Trust Distribuidora de Titulos e Valores Mobiliá</x:v>
      </x:c>
      <x:c r="G1857" s="166" t="str">
        <x:v>LIMINE TRUST DISTRIBUIDORA DE TITULOS E VALORES MOBILIARIOS LTDA.</x:v>
      </x:c>
      <x:c r="H1857" s="166" t="str">
        <x:v>Fomento Mercantil</x:v>
      </x:c>
      <x:c r="I1857" s="166" t="str">
        <x:v>Fomento Mercantil</x:v>
      </x:c>
      <x:c r="J1857" s="166" t="str">
        <x:v>CI</x:v>
      </x:c>
      <x:c r="K1857" s="172" t="n">
        <x:v>3</x:v>
      </x:c>
      <x:c r="L1857" s="185" t="str">
        <x:v>Não classificado</x:v>
      </x:c>
    </x:row>
    <x:row r="1858">
      <x:c r="A1858" s="175" t="str">
        <x:v>61.286.809/0001-16</x:v>
      </x:c>
      <x:c r="B1858" s="166" t="str">
        <x:v>HESTIA FUNDO DE INVESTIMENTO EM DIREITOS CREDITÓRIOS DE RESPONSABILIDADE LIMITADA</x:v>
      </x:c>
      <x:c r="C1858" s="188" t="n">
        <x:v>34276109.92</x:v>
      </x:c>
      <x:c r="D1858" s="166" t="str">
        <x:v>Veritas Capital Management</x:v>
      </x:c>
      <x:c r="E1858" s="166" t="str">
        <x:f>IFERROR(INDEX('Classif Gestoras'!$H$6:$H$462,MATCH(D1858,'Classif Gestoras'!$A$6:$A$462,0)),"Não classificada")</x:f>
        <x:v>Independente</x:v>
      </x:c>
      <x:c r="F1858" s="166" t="str">
        <x:v>PLANNER CV</x:v>
      </x:c>
      <x:c r="G1858" s="166" t="str">
        <x:v>PLANNER CORRETORA DE VALORES S.A.</x:v>
      </x:c>
      <x:c r="H1858" s="166" t="str">
        <x:v>Outros</x:v>
      </x:c>
      <x:c r="I1858" s="166" t="str">
        <x:v>Multicarteira Outros</x:v>
      </x:c>
      <x:c r="J1858" s="166" t="str">
        <x:v>CI</x:v>
      </x:c>
      <x:c r="K1858" s="172" t="n">
        <x:v>1</x:v>
      </x:c>
      <x:c r="L1858" s="185" t="str">
        <x:v>Não classificado</x:v>
      </x:c>
    </x:row>
    <x:row r="1859">
      <x:c r="A1859" s="175" t="str">
        <x:v>41.075.407/0001-65</x:v>
      </x:c>
      <x:c r="B1859" s="166" t="str">
        <x:v>JGP ESTRUTURADOS FUNDO DE INVESTIMENTO EM DIREITOS CREDITÓRIOS - RESPONSABILIDADE LIMITADA</x:v>
      </x:c>
      <x:c r="C1859" s="188" t="n">
        <x:v>34188942.28999999</x:v>
      </x:c>
      <x:c r="D1859" s="166" t="str">
        <x:v>JGP Gestão de Crédito LTDA.</x:v>
      </x:c>
      <x:c r="E1859" s="166" t="str">
        <x:f>IFERROR(INDEX('Classif Gestoras'!$H$6:$H$462,MATCH(D1859,'Classif Gestoras'!$A$6:$A$462,0)),"Não classificada")</x:f>
        <x:v>Independente</x:v>
      </x:c>
      <x:c r="F1859" s="166" t="str">
        <x:v>BNY MELLON SERVICOS</x:v>
      </x:c>
      <x:c r="G1859" s="166" t="str">
        <x:v>BNY MELLON BANCO S.A.</x:v>
      </x:c>
      <x:c r="H1859" s="166" t="str">
        <x:v>Outros</x:v>
      </x:c>
      <x:c r="I1859" s="166" t="str">
        <x:v>Multicarteira Outros</x:v>
      </x:c>
      <x:c r="J1859" s="166" t="str">
        <x:v>CI</x:v>
      </x:c>
      <x:c r="K1859" s="172" t="n">
        <x:v>22</x:v>
      </x:c>
      <x:c r="L1859" s="185" t="str">
        <x:v>Não classificado</x:v>
      </x:c>
    </x:row>
    <x:row r="1860">
      <x:c r="A1860" s="175" t="str">
        <x:v>48.502.650/0001-61</x:v>
      </x:c>
      <x:c r="B1860" s="166" t="str">
        <x:v>SILVERSTONE FUNDO DE INVESTIMENTO EM DIREITOS CREDITÓRIOS NÃO-PADRONIZADOS RESPONSABILIDADE LIMITADA</x:v>
      </x:c>
      <x:c r="C1860" s="188" t="n">
        <x:v>34149754.88</x:v>
      </x:c>
      <x:c r="D1860" s="166" t="str">
        <x:v>IDGR</x:v>
      </x:c>
      <x:c r="E1860" s="166" t="str">
        <x:f>IFERROR(INDEX('Classif Gestoras'!$H$6:$H$462,MATCH(D1860,'Classif Gestoras'!$A$6:$A$462,0)),"Não classificada")</x:f>
        <x:v>Independente</x:v>
      </x:c>
      <x:c r="F1860" s="166" t="str">
        <x:v>ID Corretora de Títulos e Valores Mobiliários S.A.</x:v>
      </x:c>
      <x:c r="G1860" s="166" t="str">
        <x:v>ID CORRETORA DE TITULOS E VALORES MOBILIARIOS S.A.</x:v>
      </x:c>
      <x:c r="H1860" s="166" t="str">
        <x:v>Outros</x:v>
      </x:c>
      <x:c r="I1860" s="166" t="str">
        <x:v>Multicarteira Outros</x:v>
      </x:c>
      <x:c r="J1860" s="166" t="str">
        <x:v>CI</x:v>
      </x:c>
      <x:c r="K1860" s="172" t="n">
        <x:v>1</x:v>
      </x:c>
      <x:c r="L1860" s="185" t="str">
        <x:v>Não classificado</x:v>
      </x:c>
    </x:row>
    <x:row r="1861">
      <x:c r="A1861" s="175" t="str">
        <x:v>60.234.640/0001-98</x:v>
      </x:c>
      <x:c r="B1861" s="166" t="str">
        <x:v>BANQI III FUNDO DE INVESTIMENTO EM DIREITOS CREDITÓRIOS</x:v>
      </x:c>
      <x:c r="C1861" s="188" t="n">
        <x:v>34086084.67</x:v>
      </x:c>
      <x:c r="D1861" s="166" t="str">
        <x:v>GENIAL GESTÃO LTDA.</x:v>
      </x:c>
      <x:c r="E1861" s="166" t="str">
        <x:f>IFERROR(INDEX('Classif Gestoras'!$H$6:$H$462,MATCH(D1861,'Classif Gestoras'!$A$6:$A$462,0)),"Não classificada")</x:f>
        <x:v>Ligada a banco</x:v>
      </x:c>
      <x:c r="F1861" s="166" t="str">
        <x:v>Genial Investimentos Corretora de Valores Mobiliários S.A.</x:v>
      </x:c>
      <x:c r="G1861" s="166" t="str">
        <x:v>BANCO GENIAL S.A.</x:v>
      </x:c>
      <x:c r="H1861" s="166" t="str">
        <x:v>Agro, Indústria e Comércio</x:v>
      </x:c>
      <x:c r="I1861" s="166" t="str">
        <x:v>Recebíveis Comerciais</x:v>
      </x:c>
      <x:c r="J1861" s="166" t="str">
        <x:v>CI</x:v>
      </x:c>
      <x:c r="K1861" s="172" t="n">
        <x:v>3</x:v>
      </x:c>
      <x:c r="L1861" s="185" t="str">
        <x:v>Não classificado</x:v>
      </x:c>
    </x:row>
    <x:row r="1862">
      <x:c r="A1862" s="175" t="str">
        <x:v>26.545.364/0001-40</x:v>
      </x:c>
      <x:c r="B1862" s="166" t="str">
        <x:v>MT - FUNDO DE INVESTIMENTO EM DIREITOS CREDITORIOS</x:v>
      </x:c>
      <x:c r="C1862" s="188" t="n">
        <x:v>34057372.43</x:v>
      </x:c>
      <x:c r="D1862" s="166" t="str">
        <x:v>WNT Gestora de Recursos Ltda.</x:v>
      </x:c>
      <x:c r="E1862" s="166" t="str">
        <x:f>IFERROR(INDEX('Classif Gestoras'!$H$6:$H$462,MATCH(D1862,'Classif Gestoras'!$A$6:$A$462,0)),"Não classificada")</x:f>
        <x:v>Independente</x:v>
      </x:c>
      <x:c r="F1862" s="166" t="str">
        <x:v>WNT DTVM</x:v>
      </x:c>
      <x:c r="G1862" s="166" t="str">
        <x:v>WNT CAPITAL DISTRIBUIDORA DE TITULOS E VALORES MOBILIARIOS S.A.</x:v>
      </x:c>
      <x:c r="H1862" s="166" t="str">
        <x:v>Outros</x:v>
      </x:c>
      <x:c r="I1862" s="166" t="str">
        <x:v>Multicarteira Outros</x:v>
      </x:c>
      <x:c r="J1862" s="166" t="str">
        <x:v>CI</x:v>
      </x:c>
      <x:c r="K1862" s="172" t="n">
        <x:v>8</x:v>
      </x:c>
      <x:c r="L1862" s="185" t="str">
        <x:v>Não classificado</x:v>
      </x:c>
    </x:row>
    <x:row r="1863">
      <x:c r="A1863" s="175" t="str">
        <x:v>60.869.787/0001-54</x:v>
      </x:c>
      <x:c r="B1863" s="166" t="str">
        <x:v>VRE FUNDO DE INVESTIMENTO EM DIREITOS CREDITÓRIOS RESPONSABILIDADE LIMITADA</x:v>
      </x:c>
      <x:c r="C1863" s="188" t="n">
        <x:v>34049247.75</x:v>
      </x:c>
      <x:c r="D1863" s="166" t="str">
        <x:v>Redwood Asset Management</x:v>
      </x:c>
      <x:c r="E1863" s="166" t="str">
        <x:f>IFERROR(INDEX('Classif Gestoras'!$H$6:$H$462,MATCH(D1863,'Classif Gestoras'!$A$6:$A$462,0)),"Não classificada")</x:f>
        <x:v>Independente</x:v>
      </x:c>
      <x:c r="F1863" s="166" t="str">
        <x:v>PLANNER CV</x:v>
      </x:c>
      <x:c r="G1863" s="166" t="str">
        <x:v>PLANNER CORRETORA DE VALORES S.A.</x:v>
      </x:c>
      <x:c r="H1863" s="166" t="str">
        <x:v>Outros</x:v>
      </x:c>
      <x:c r="I1863" s="166" t="str">
        <x:v>Multicarteira Outros</x:v>
      </x:c>
      <x:c r="J1863" s="166" t="str">
        <x:v>CI</x:v>
      </x:c>
      <x:c r="K1863" s="172" t="n">
        <x:v>1</x:v>
      </x:c>
      <x:c r="L1863" s="185" t="str">
        <x:v>Não classificado</x:v>
      </x:c>
    </x:row>
    <x:row r="1864">
      <x:c r="A1864" s="175" t="str">
        <x:v>37.569.593/0001-11</x:v>
      </x:c>
      <x:c r="B1864" s="166" t="str">
        <x:v>MJC FUNDO DE INVESTIMENTO EM DIREITOS CREDITÓRIOS CLASSE ÚNICA FECHADA</x:v>
      </x:c>
      <x:c r="C1864" s="188" t="n">
        <x:v>33994699.65</x:v>
      </x:c>
      <x:c r="D1864" s="166" t="str">
        <x:v>CARMEL GESTORA DE ATIVOS LTDA</x:v>
      </x:c>
      <x:c r="E1864" s="166" t="str">
        <x:f>IFERROR(INDEX('Classif Gestoras'!$H$6:$H$462,MATCH(D1864,'Classif Gestoras'!$A$6:$A$462,0)),"Não classificada")</x:f>
        <x:v>Independente</x:v>
      </x:c>
      <x:c r="F1864" s="166" t="str">
        <x:v>PLANNER CV</x:v>
      </x:c>
      <x:c r="G1864" s="166" t="str">
        <x:v>PLANNER CORRETORA DE VALORES S.A.</x:v>
      </x:c>
      <x:c r="H1864" s="166" t="str">
        <x:v>Outros</x:v>
      </x:c>
      <x:c r="I1864" s="166" t="str">
        <x:v>Não se aplica</x:v>
      </x:c>
      <x:c r="J1864" s="166" t="str">
        <x:v>CI</x:v>
      </x:c>
      <x:c r="K1864" s="172" t="n">
        <x:v>3</x:v>
      </x:c>
      <x:c r="L1864" s="185" t="str">
        <x:v>Não classificado</x:v>
      </x:c>
    </x:row>
    <x:row r="1865">
      <x:c r="A1865" s="175" t="str">
        <x:v>46.390.267/0001-33</x:v>
      </x:c>
      <x:c r="B1865" s="166" t="str">
        <x:v>CARAJÁS FUNDO DE INVESTIMENTO EM DIREITOS CREDITÓRIOS NÃO PADRONIZADO CRÉDITO CORPORATIVO</x:v>
      </x:c>
      <x:c r="C1865" s="188" t="n">
        <x:v>33968345.93</x:v>
      </x:c>
      <x:c r="D1865" s="166" t="str">
        <x:v>Harbour Capital</x:v>
      </x:c>
      <x:c r="E1865" s="166" t="str">
        <x:f>IFERROR(INDEX('Classif Gestoras'!$H$6:$H$462,MATCH(D1865,'Classif Gestoras'!$A$6:$A$462,0)),"Não classificada")</x:f>
        <x:v>Independente</x:v>
      </x:c>
      <x:c r="F1865" s="166" t="str">
        <x:v>Singulare</x:v>
      </x:c>
      <x:c r="G1865" s="166" t="str">
        <x:v>QI CORRETORA DE TÍTULOS E VALORES MOBILIÁRIOS S.A.</x:v>
      </x:c>
      <x:c r="H1865" s="166" t="str">
        <x:v>Fomento Mercantil</x:v>
      </x:c>
      <x:c r="I1865" s="166" t="str">
        <x:v>Fomento Mercantil</x:v>
      </x:c>
      <x:c r="J1865" s="166" t="str">
        <x:v>CI</x:v>
      </x:c>
      <x:c r="K1865" s="172" t="n">
        <x:v>11</x:v>
      </x:c>
      <x:c r="L1865" s="185" t="str">
        <x:v>Não classificado</x:v>
      </x:c>
    </x:row>
    <x:row r="1866">
      <x:c r="A1866" s="175" t="str">
        <x:v>36.669.346/0001-24</x:v>
      </x:c>
      <x:c r="B1866" s="166" t="str">
        <x:v>FUNDO DE INVESTIMENTO EM DIREITOS CREDITÓRIOS INSOLVÊNCIA</x:v>
      </x:c>
      <x:c r="C1866" s="188" t="n">
        <x:v>33944475.77</x:v>
      </x:c>
      <x:c r="D1866" s="166" t="str">
        <x:v>BRL TRUST DTVM</x:v>
      </x:c>
      <x:c r="E1866" s="166" t="str">
        <x:f>IFERROR(INDEX('Classif Gestoras'!$H$6:$H$462,MATCH(D1866,'Classif Gestoras'!$A$6:$A$462,0)),"Não classificada")</x:f>
        <x:v>Independente</x:v>
      </x:c>
      <x:c r="F1866" s="166" t="str">
        <x:v>BRL TRUST DTVM</x:v>
      </x:c>
      <x:c r="G1866" s="166" t="str">
        <x:v>BRL TRUST DISTRIBUIDORA DE TITULOS E VALORES MOBILIARIOS S.A.</x:v>
      </x:c>
      <x:c r="H1866" s="166" t="str">
        <x:v>Agro, Indústria e Comércio</x:v>
      </x:c>
      <x:c r="I1866" s="166" t="str">
        <x:v>Infraestrutura</x:v>
      </x:c>
      <x:c r="J1866" s="166" t="str">
        <x:v>CI</x:v>
      </x:c>
      <x:c r="K1866" s="172" t="n">
        <x:v>1</x:v>
      </x:c>
      <x:c r="L1866" s="185" t="str">
        <x:v>Não classificado</x:v>
      </x:c>
    </x:row>
    <x:row r="1867">
      <x:c r="A1867" s="175" t="str">
        <x:v>45.145.168/0001-23</x:v>
      </x:c>
      <x:c r="B1867" s="166" t="str">
        <x:v>JURUENA FUNDO DE INVESTIMENTO EM DIREITOS CREDITÓRIOS</x:v>
      </x:c>
      <x:c r="C1867" s="188" t="n">
        <x:v>33941288.99</x:v>
      </x:c>
      <x:c r="D1867" s="166" t="str">
        <x:v>Libertas Asset</x:v>
      </x:c>
      <x:c r="E1867" s="166" t="str">
        <x:f>IFERROR(INDEX('Classif Gestoras'!$H$6:$H$462,MATCH(D1867,'Classif Gestoras'!$A$6:$A$462,0)),"Não classificada")</x:f>
        <x:v>Independente</x:v>
      </x:c>
      <x:c r="F1867" s="166" t="str">
        <x:v>ACTUAL DTVM</x:v>
      </x:c>
      <x:c r="G1867" s="166" t="str">
        <x:v>LASTRO RDV DTVM LTDA</x:v>
      </x:c>
      <x:c r="H1867" s="166" t="str">
        <x:v>Outros</x:v>
      </x:c>
      <x:c r="I1867" s="166" t="str">
        <x:v>Multicarteira Outros</x:v>
      </x:c>
      <x:c r="J1867" s="166" t="str">
        <x:v>CI</x:v>
      </x:c>
      <x:c r="K1867" s="172" t="n">
        <x:v>1</x:v>
      </x:c>
      <x:c r="L1867" s="185" t="str">
        <x:v>Não classificado</x:v>
      </x:c>
    </x:row>
    <x:row r="1868">
      <x:c r="A1868" s="175" t="str">
        <x:v>45.755.835/0001-90</x:v>
      </x:c>
      <x:c r="B1868" s="166" t="str">
        <x:v>B7 FUNDO DE INVESTIMENTO EM PRECATÓRIOS E DIREITOS CREDITÓRIOS NÃO PADRONIZADOS</x:v>
      </x:c>
      <x:c r="C1868" s="188" t="n">
        <x:v>33906996.18</x:v>
      </x:c>
      <x:c r="D1868" s="166" t="str">
        <x:v>CONTEA CAPITAL</x:v>
      </x:c>
      <x:c r="E1868" s="166" t="str">
        <x:f>IFERROR(INDEX('Classif Gestoras'!$H$6:$H$462,MATCH(D1868,'Classif Gestoras'!$A$6:$A$462,0)),"Não classificada")</x:f>
        <x:v>Independente</x:v>
      </x:c>
      <x:c r="F1868" s="166" t="str">
        <x:v>Singulare</x:v>
      </x:c>
      <x:c r="G1868" s="166" t="str">
        <x:v>QI CORRETORA DE TÍTULOS E VALORES MOBILIÁRIOS S.A.</x:v>
      </x:c>
      <x:c r="H1868" s="166" t="str">
        <x:v>Outros</x:v>
      </x:c>
      <x:c r="I1868" s="166" t="str">
        <x:v>Poder Público</x:v>
      </x:c>
      <x:c r="J1868" s="166" t="str">
        <x:v>CI</x:v>
      </x:c>
      <x:c r="K1868" s="172" t="n">
        <x:v>24</x:v>
      </x:c>
      <x:c r="L1868" s="185" t="str">
        <x:v>Não classificado</x:v>
      </x:c>
    </x:row>
    <x:row r="1869">
      <x:c r="A1869" s="175" t="str">
        <x:v>62.966.067/0001-32</x:v>
      </x:c>
      <x:c r="B1869" s="166" t="str">
        <x:v>FIDUCIA FUNDO DE INVESTIMENTO EM DIREITOS CREDITÓRIOS CRÉDITO CORPORATIVO</x:v>
      </x:c>
      <x:c r="C1869" s="188" t="n">
        <x:v>33869802</x:v>
      </x:c>
      <x:c r="D1869" s="166" t="str">
        <x:v>Harbour Capital</x:v>
      </x:c>
      <x:c r="E1869" s="166" t="str">
        <x:f>IFERROR(INDEX('Classif Gestoras'!$H$6:$H$462,MATCH(D1869,'Classif Gestoras'!$A$6:$A$462,0)),"Não classificada")</x:f>
        <x:v>Independente</x:v>
      </x:c>
      <x:c r="F1869" s="166" t="str">
        <x:v>AZUMI DISTRIBUIDORA DE TÍTULOS E VALORES MOBILIÁRIOS LT</x:v>
      </x:c>
      <x:c r="G1869" s="166" t="str">
        <x:v>AZUMI DISTRIBUIDORA DE TÍTULOS E VALORES MOBILIÁRIOS LTDA.</x:v>
      </x:c>
      <x:c r="H1869" s="166" t="str">
        <x:v>Fomento Mercantil</x:v>
      </x:c>
      <x:c r="I1869" s="166" t="str">
        <x:v>Fomento Mercantil</x:v>
      </x:c>
      <x:c r="J1869" s="166" t="str">
        <x:v>CI</x:v>
      </x:c>
      <x:c r="K1869" s="172" t="n">
        <x:v>2</x:v>
      </x:c>
      <x:c r="L1869" s="185" t="str">
        <x:v>Não classificado</x:v>
      </x:c>
    </x:row>
    <x:row r="1870">
      <x:c r="A1870" s="175" t="str">
        <x:v>35.940.459/0001-50</x:v>
      </x:c>
      <x:c r="B1870" s="166" t="str">
        <x:v>FERPAR - FUNDO DE INVESTIMENTO EM DIREITOS CREDITÓRIOS NÃO PADRONIZADOS</x:v>
      </x:c>
      <x:c r="C1870" s="188" t="n">
        <x:v>33862929.480000004</x:v>
      </x:c>
      <x:c r="D1870" s="166" t="str">
        <x:v>Catálise Investimentos</x:v>
      </x:c>
      <x:c r="E1870" s="166" t="str">
        <x:f>IFERROR(INDEX('Classif Gestoras'!$H$6:$H$462,MATCH(D1870,'Classif Gestoras'!$A$6:$A$462,0)),"Não classificada")</x:f>
        <x:v>Independente</x:v>
      </x:c>
      <x:c r="F1870" s="166" t="str">
        <x:v>FIDD DISTRIBUIDORA DE TITULOS E VALORES MOBILIARIOS LTD</x:v>
      </x:c>
      <x:c r="G1870" s="166" t="str">
        <x:v>FIDD DISTRIBUIDORA DE TITULOS E VALORES MOBILIARIOS LTDA.</x:v>
      </x:c>
      <x:c r="H1870" s="166" t="str">
        <x:v>Outros</x:v>
      </x:c>
      <x:c r="I1870" s="166" t="str">
        <x:v>Multicarteira Outros</x:v>
      </x:c>
      <x:c r="J1870" s="166" t="str">
        <x:v>CI</x:v>
      </x:c>
      <x:c r="K1870" s="172" t="n">
        <x:v>1</x:v>
      </x:c>
      <x:c r="L1870" s="185" t="str">
        <x:v>Não classificado</x:v>
      </x:c>
    </x:row>
    <x:row r="1871">
      <x:c r="A1871" s="175" t="str">
        <x:v>55.749.847/0001-65</x:v>
      </x:c>
      <x:c r="B1871" s="166" t="str">
        <x:v>BR8 FUNDO DE INVESTIMENTO EM DIREITOS CREDITÓRIOS</x:v>
      </x:c>
      <x:c r="C1871" s="188" t="n">
        <x:v>33791814.63999999</x:v>
      </x:c>
      <x:c r="D1871" s="166" t="str">
        <x:v>Catálise Investimentos</x:v>
      </x:c>
      <x:c r="E1871" s="166" t="str">
        <x:f>IFERROR(INDEX('Classif Gestoras'!$H$6:$H$462,MATCH(D1871,'Classif Gestoras'!$A$6:$A$462,0)),"Não classificada")</x:f>
        <x:v>Independente</x:v>
      </x:c>
      <x:c r="F1871" s="166" t="str">
        <x:v>FIDD DISTRIBUIDORA DE TITULOS E VALORES MOBILIARIOS LTD</x:v>
      </x:c>
      <x:c r="G1871" s="166" t="str">
        <x:v>FIDD DISTRIBUIDORA DE TITULOS E VALORES MOBILIARIOS LTDA.</x:v>
      </x:c>
      <x:c r="H1871" s="166" t="str">
        <x:v>Agro, Indústria e Comércio</x:v>
      </x:c>
      <x:c r="I1871" s="166" t="str">
        <x:v>Recebíveis Comerciais</x:v>
      </x:c>
      <x:c r="J1871" s="166" t="str">
        <x:v>CI</x:v>
      </x:c>
      <x:c r="K1871" s="172" t="n">
        <x:v>8</x:v>
      </x:c>
      <x:c r="L1871" s="185" t="str">
        <x:v>Não classificado</x:v>
      </x:c>
    </x:row>
    <x:row r="1872">
      <x:c r="A1872" s="175" t="str">
        <x:v>23.200.278/0001-08</x:v>
      </x:c>
      <x:c r="B1872" s="166" t="str">
        <x:v>LIVE FUNDO DE INVESTIMENTO EM DIREITOS CREDITÓRIOS MULTISEGMENTOS</x:v>
      </x:c>
      <x:c r="C1872" s="188" t="n">
        <x:v>33763801.980000004</x:v>
      </x:c>
      <x:c r="D1872" s="166" t="str">
        <x:v>Petra Capital</x:v>
      </x:c>
      <x:c r="E1872" s="166" t="str">
        <x:f>IFERROR(INDEX('Classif Gestoras'!$H$6:$H$462,MATCH(D1872,'Classif Gestoras'!$A$6:$A$462,0)),"Não classificada")</x:f>
        <x:v>Independente</x:v>
      </x:c>
      <x:c r="F1872" s="166" t="str">
        <x:v>Finaxis Corretora de Títulos e Valores Mobiliários S.A.</x:v>
      </x:c>
      <x:c r="G1872" s="166" t="str">
        <x:v>BANCO FINAXIS S.A.</x:v>
      </x:c>
      <x:c r="H1872" s="166" t="str">
        <x:v>Outros</x:v>
      </x:c>
      <x:c r="I1872" s="166" t="str">
        <x:v>Multicarteira Outros</x:v>
      </x:c>
      <x:c r="J1872" s="166" t="str">
        <x:v>CI</x:v>
      </x:c>
      <x:c r="K1872" s="172" t="n">
        <x:v>2</x:v>
      </x:c>
      <x:c r="L1872" s="185" t="str">
        <x:v>Não classificado</x:v>
      </x:c>
    </x:row>
    <x:row r="1873">
      <x:c r="A1873" s="175" t="str">
        <x:v>60.096.277/0001-91</x:v>
      </x:c>
      <x:c r="B1873" s="166" t="str">
        <x:v>ELO FUNDO DE INVESTIMENTO EM DIREITOS CREDITÓRIOS RESPONSABILIDADE LIMITADA</x:v>
      </x:c>
      <x:c r="C1873" s="188" t="n">
        <x:v>33614502.89</x:v>
      </x:c>
      <x:c r="D1873" s="166" t="str">
        <x:v>CVPAR Investimentos ltda</x:v>
      </x:c>
      <x:c r="E1873" s="166" t="str">
        <x:f>IFERROR(INDEX('Classif Gestoras'!$H$6:$H$462,MATCH(D1873,'Classif Gestoras'!$A$6:$A$462,0)),"Não classificada")</x:f>
        <x:v>Independente</x:v>
      </x:c>
      <x:c r="F1873" s="166" t="str">
        <x:v>ID Corretora de Títulos e Valores Mobiliários S.A.</x:v>
      </x:c>
      <x:c r="G1873" s="166" t="str">
        <x:v>ID CORRETORA DE TITULOS E VALORES MOBILIARIOS S.A.</x:v>
      </x:c>
      <x:c r="H1873" s="166" t="str">
        <x:v>Outros</x:v>
      </x:c>
      <x:c r="I1873" s="166" t="str">
        <x:v>Multicarteira Outros</x:v>
      </x:c>
      <x:c r="J1873" s="166" t="str">
        <x:v>CI</x:v>
      </x:c>
      <x:c r="K1873" s="172" t="n">
        <x:v>6</x:v>
      </x:c>
      <x:c r="L1873" s="185" t="str">
        <x:v>Não classificado</x:v>
      </x:c>
    </x:row>
    <x:row r="1874">
      <x:c r="A1874" s="175" t="str">
        <x:v>62.967.950/0001-47</x:v>
      </x:c>
      <x:c r="B1874" s="166" t="str">
        <x:v>MAGGIORE FUNDO DE INVESTIMENTO EM DIREITOS CREDITÓRIOS CRÉDITO CORPORATIVO</x:v>
      </x:c>
      <x:c r="C1874" s="188" t="n">
        <x:v>33561921.5</x:v>
      </x:c>
      <x:c r="D1874" s="166" t="str">
        <x:v>Harbour Capital</x:v>
      </x:c>
      <x:c r="E1874" s="166" t="str">
        <x:f>IFERROR(INDEX('Classif Gestoras'!$H$6:$H$462,MATCH(D1874,'Classif Gestoras'!$A$6:$A$462,0)),"Não classificada")</x:f>
        <x:v>Independente</x:v>
      </x:c>
      <x:c r="F1874" s="166" t="str">
        <x:v>AZUMI DISTRIBUIDORA DE TÍTULOS E VALORES MOBILIÁRIOS LT</x:v>
      </x:c>
      <x:c r="G1874" s="166" t="str">
        <x:v>AZUMI DISTRIBUIDORA DE TÍTULOS E VALORES MOBILIÁRIOS LTDA.</x:v>
      </x:c>
      <x:c r="H1874" s="166" t="str">
        <x:v>Fomento Mercantil</x:v>
      </x:c>
      <x:c r="I1874" s="166" t="str">
        <x:v>Fomento Mercantil</x:v>
      </x:c>
      <x:c r="J1874" s="166" t="str">
        <x:v>CI</x:v>
      </x:c>
      <x:c r="K1874" s="172" t="n">
        <x:v>3</x:v>
      </x:c>
      <x:c r="L1874" s="185" t="str">
        <x:v>Não classificado</x:v>
      </x:c>
    </x:row>
    <x:row r="1875">
      <x:c r="A1875" s="175" t="str">
        <x:v>60.601.973/0001-08</x:v>
      </x:c>
      <x:c r="B1875" s="166" t="str">
        <x:v>CLASSE I DO TUNDRA FIDC DE RESPONSABILIDADE LIMITADA</x:v>
      </x:c>
      <x:c r="C1875" s="188" t="n">
        <x:v>33459269.35</x:v>
      </x:c>
      <x:c r="D1875" s="166" t="str">
        <x:v>Geribá Investimentos Ltda.</x:v>
      </x:c>
      <x:c r="E1875" s="166" t="str">
        <x:f>IFERROR(INDEX('Classif Gestoras'!$H$6:$H$462,MATCH(D1875,'Classif Gestoras'!$A$6:$A$462,0)),"Não classificada")</x:f>
        <x:v>Independente</x:v>
      </x:c>
      <x:c r="F1875" s="166" t="str">
        <x:v>MONETAR DISTRIBUIDORA DE TITUL</x:v>
      </x:c>
      <x:c r="G1875" s="166" t="str">
        <x:v>TERRA INVESTIMENTOS DISTRIBUIDORA DE TITULOS E VALORES MOBILIARIOS LTDA</x:v>
      </x:c>
      <x:c r="H1875" s="166" t="str">
        <x:v>Outros</x:v>
      </x:c>
      <x:c r="I1875" s="166" t="str">
        <x:v>Multicarteira Outros</x:v>
      </x:c>
      <x:c r="J1875" s="166" t="str">
        <x:v>CI</x:v>
      </x:c>
      <x:c r="K1875" s="172" t="n">
        <x:v>17</x:v>
      </x:c>
      <x:c r="L1875" s="185" t="str">
        <x:v>Não classificado</x:v>
      </x:c>
    </x:row>
    <x:row r="1876">
      <x:c r="A1876" s="175" t="str">
        <x:v>62.456.242/0001-41</x:v>
      </x:c>
      <x:c r="B1876" s="166" t="str">
        <x:v>CREDIFIT CONSIGNADO PRIVADO FUNDO DE INVESTIMENTO EM DIREITOS CREDITORIOS - RESPONSABILIDADE LIMITAD</x:v>
      </x:c>
      <x:c r="C1876" s="188" t="n">
        <x:v>33413821.200000003</x:v>
      </x:c>
      <x:c r="D1876" s="166" t="str">
        <x:v>Paraguaçu Investimentos</x:v>
      </x:c>
      <x:c r="E1876" s="166" t="str">
        <x:f>IFERROR(INDEX('Classif Gestoras'!$H$6:$H$462,MATCH(D1876,'Classif Gestoras'!$A$6:$A$462,0)),"Não classificada")</x:f>
        <x:v>Independente</x:v>
      </x:c>
      <x:c r="F1876" s="166" t="str">
        <x:v>Singulare</x:v>
      </x:c>
      <x:c r="G1876" s="166" t="str">
        <x:v>QI CORRETORA DE TÍTULOS E VALORES MOBILIÁRIOS S.A.</x:v>
      </x:c>
      <x:c r="H1876" s="166" t="str">
        <x:v>Financeiro</x:v>
      </x:c>
      <x:c r="I1876" s="166" t="str">
        <x:v>Crédito Consignado</x:v>
      </x:c>
      <x:c r="J1876" s="166" t="str">
        <x:v>CI</x:v>
      </x:c>
      <x:c r="K1876" s="172" t="n">
        <x:v>11</x:v>
      </x:c>
      <x:c r="L1876" s="185" t="str">
        <x:v>Não classificado</x:v>
      </x:c>
    </x:row>
    <x:row r="1877">
      <x:c r="A1877" s="175" t="str">
        <x:v>63.670.619/0001-23</x:v>
      </x:c>
      <x:c r="B1877" s="166" t="str">
        <x:v>ANTENA MULTI TELE INFRA FIDC</x:v>
      </x:c>
      <x:c r="C1877" s="188" t="n">
        <x:v>33303943.21</x:v>
      </x:c>
      <x:c r="D1877" s="166" t="str">
        <x:v>Menestys</x:v>
      </x:c>
      <x:c r="E1877" s="166" t="str">
        <x:f>IFERROR(INDEX('Classif Gestoras'!$H$6:$H$462,MATCH(D1877,'Classif Gestoras'!$A$6:$A$462,0)),"Não classificada")</x:f>
        <x:v>Independente</x:v>
      </x:c>
      <x:c r="F1877" s="166" t="str">
        <x:v>FIDD DISTRIBUIDORA DE TITULOS E VALORES MOBILIARIOS LTD</x:v>
      </x:c>
      <x:c r="G1877" s="166" t="str">
        <x:v>FIDD DISTRIBUIDORA DE TITULOS E VALORES MOBILIARIOS LTDA.</x:v>
      </x:c>
      <x:c r="H1877" s="166" t="str">
        <x:v>Agro, Indústria e Comércio</x:v>
      </x:c>
      <x:c r="I1877" s="166" t="str">
        <x:v>Multicarteira Agro, Indústria e Comércio</x:v>
      </x:c>
      <x:c r="J1877" s="166" t="str">
        <x:v>CI</x:v>
      </x:c>
      <x:c r="K1877" s="172" t="n">
        <x:v>4</x:v>
      </x:c>
      <x:c r="L1877" s="185" t="str">
        <x:v>Não classificado</x:v>
      </x:c>
    </x:row>
    <x:row r="1878">
      <x:c r="A1878" s="175" t="str">
        <x:v>44.173.467/0001-09</x:v>
      </x:c>
      <x:c r="B1878" s="166" t="str">
        <x:v>MT INSS RECEIVABLES III FUNDO DE INVESTIMENTO EM DIREITOS CREDITÓRIOS RESPONSABILIDADE</x:v>
      </x:c>
      <x:c r="C1878" s="188" t="n">
        <x:v>33297040.92</x:v>
      </x:c>
      <x:c r="D1878" s="166" t="str">
        <x:v>BTG Pactual Asset</x:v>
      </x:c>
      <x:c r="E1878" s="166" t="str">
        <x:f>IFERROR(INDEX('Classif Gestoras'!$H$6:$H$462,MATCH(D1878,'Classif Gestoras'!$A$6:$A$462,0)),"Não classificada")</x:f>
        <x:v>Ligada a banco</x:v>
      </x:c>
      <x:c r="F1878" s="166" t="str">
        <x:v>BTG Pactual Servicos Financeiros S/A DTVM</x:v>
      </x:c>
      <x:c r="G1878" s="166" t="str">
        <x:v>BANCO BTG PACTUAL S/A</x:v>
      </x:c>
      <x:c r="H1878" s="166" t="str">
        <x:v>Financeiro</x:v>
      </x:c>
      <x:c r="I1878" s="166" t="str">
        <x:v>Crédito Consignado</x:v>
      </x:c>
      <x:c r="J1878" s="166" t="str">
        <x:v>CI</x:v>
      </x:c>
      <x:c r="K1878" s="172" t="n">
        <x:v>3</x:v>
      </x:c>
      <x:c r="L1878" s="185" t="str">
        <x:v>Não classificado</x:v>
      </x:c>
    </x:row>
    <x:row r="1879">
      <x:c r="A1879" s="175" t="str">
        <x:v>14.718.674/0001-30</x:v>
      </x:c>
      <x:c r="B1879" s="166" t="str">
        <x:v>JGM LP FUNDO DE INVESTIMENTO EM DIREITOS CREDITÓRIOS MULTISSETORIAL</x:v>
      </x:c>
      <x:c r="C1879" s="188" t="n">
        <x:v>33190511.420470003</x:v>
      </x:c>
      <x:c r="D1879" s="166" t="str">
        <x:v>TERCON ASSET MANAGEMENT</x:v>
      </x:c>
      <x:c r="E1879" s="166" t="str">
        <x:f>IFERROR(INDEX('Classif Gestoras'!$H$6:$H$462,MATCH(D1879,'Classif Gestoras'!$A$6:$A$462,0)),"Não classificada")</x:f>
        <x:v>Independente</x:v>
      </x:c>
      <x:c r="F1879" s="166" t="str">
        <x:v>Singulare</x:v>
      </x:c>
      <x:c r="G1879" s="166" t="str">
        <x:v>QI CORRETORA DE TÍTULOS E VALORES MOBILIÁRIOS S.A.</x:v>
      </x:c>
      <x:c r="H1879" s="166" t="str">
        <x:v>Fomento Mercantil</x:v>
      </x:c>
      <x:c r="I1879" s="166" t="str">
        <x:v>Fomento Mercantil</x:v>
      </x:c>
      <x:c r="J1879" s="166" t="str">
        <x:v>CI</x:v>
      </x:c>
      <x:c r="K1879" s="172" t="n">
        <x:v>19</x:v>
      </x:c>
      <x:c r="L1879" s="185" t="str">
        <x:v>Não classificado</x:v>
      </x:c>
    </x:row>
    <x:row r="1880">
      <x:c r="A1880" s="175" t="str">
        <x:v>59.685.331/0001-55</x:v>
      </x:c>
      <x:c r="B1880" s="166" t="str">
        <x:v>CROMO FUNDO DE INVESTIMENTO EM DIREITOS CREDITÓRIOS RESPONSABILIDADE LIMITADA</x:v>
      </x:c>
      <x:c r="C1880" s="188" t="n">
        <x:v>33072200.3</x:v>
      </x:c>
      <x:c r="D1880" s="166" t="str">
        <x:v>SUESTE CAPITAL GESTÃO DE RECURSOS LTDA.</x:v>
      </x:c>
      <x:c r="E1880" s="166" t="str">
        <x:f>IFERROR(INDEX('Classif Gestoras'!$H$6:$H$462,MATCH(D1880,'Classif Gestoras'!$A$6:$A$462,0)),"Não classificada")</x:f>
        <x:v>Independente</x:v>
      </x:c>
      <x:c r="F1880" s="166" t="str">
        <x:v>XPI CCTVM S/A</x:v>
      </x:c>
      <x:c r="G1880" s="166" t="str">
        <x:v>OLIVEIRA TRUST DTVM S.A.</x:v>
      </x:c>
      <x:c r="H1880" s="166" t="str">
        <x:v>Outros</x:v>
      </x:c>
      <x:c r="I1880" s="166" t="str">
        <x:v>Multicarteira Outros</x:v>
      </x:c>
      <x:c r="J1880" s="166" t="str">
        <x:v>CI</x:v>
      </x:c>
      <x:c r="K1880" s="172" t="n">
        <x:v>5</x:v>
      </x:c>
      <x:c r="L1880" s="185" t="str">
        <x:v>Não classificado</x:v>
      </x:c>
    </x:row>
    <x:row r="1881">
      <x:c r="A1881" s="175" t="str">
        <x:v>53.215.146/0001-10</x:v>
      </x:c>
      <x:c r="B1881" s="166" t="str">
        <x:v>DHAMA AGNI FUNDO DE INVESTIMENTO EM DIREITOS CREDITÓRIOS RESPONSABILIDADE LIMITADA</x:v>
      </x:c>
      <x:c r="C1881" s="188" t="n">
        <x:v>33015553.6</x:v>
      </x:c>
      <x:c r="D1881" s="166" t="str">
        <x:v>Dhama Capital Ltda</x:v>
      </x:c>
      <x:c r="E1881" s="166" t="str">
        <x:f>IFERROR(INDEX('Classif Gestoras'!$H$6:$H$462,MATCH(D1881,'Classif Gestoras'!$A$6:$A$462,0)),"Não classificada")</x:f>
        <x:v>Independente</x:v>
      </x:c>
      <x:c r="F1881" s="166" t="str">
        <x:v>BTG Pactual Servicos Financeiros S/A DTVM</x:v>
      </x:c>
      <x:c r="G1881" s="166" t="str">
        <x:v>BANCO BTG PACTUAL S/A</x:v>
      </x:c>
      <x:c r="H1881" s="166" t="str">
        <x:v>Outros</x:v>
      </x:c>
      <x:c r="I1881" s="166" t="str">
        <x:v>Multicarteira Outros</x:v>
      </x:c>
      <x:c r="J1881" s="166" t="str">
        <x:v>CI</x:v>
      </x:c>
      <x:c r="K1881" s="172" t="n">
        <x:v>5</x:v>
      </x:c>
      <x:c r="L1881" s="185" t="str">
        <x:v>Não classificado</x:v>
      </x:c>
    </x:row>
    <x:row r="1882">
      <x:c r="A1882" s="175" t="str">
        <x:v>59.509.925/0001-05</x:v>
      </x:c>
      <x:c r="B1882" s="166" t="str">
        <x:v>CERRADO FUNDO DE INVESTIMENTOS EM DIREITOS CREDITÓRIOS MULTISSETORIAL</x:v>
      </x:c>
      <x:c r="C1882" s="188" t="n">
        <x:v>32968505.36</x:v>
      </x:c>
      <x:c r="D1882" s="166" t="str">
        <x:v>BENAVENT ASSET LTDA</x:v>
      </x:c>
      <x:c r="E1882" s="166" t="str">
        <x:f>IFERROR(INDEX('Classif Gestoras'!$H$6:$H$462,MATCH(D1882,'Classif Gestoras'!$A$6:$A$462,0)),"Não classificada")</x:f>
        <x:v>Independente</x:v>
      </x:c>
      <x:c r="F1882" s="166" t="str">
        <x:v>PLANNER CV</x:v>
      </x:c>
      <x:c r="G1882" s="166" t="str">
        <x:v>PLANNER CORRETORA DE VALORES S.A.</x:v>
      </x:c>
      <x:c r="H1882" s="166" t="str">
        <x:v>Outros</x:v>
      </x:c>
      <x:c r="I1882" s="166" t="str">
        <x:v>Multicarteira Outros</x:v>
      </x:c>
      <x:c r="J1882" s="166" t="str">
        <x:v>CI</x:v>
      </x:c>
      <x:c r="K1882" s="172" t="n">
        <x:v>4</x:v>
      </x:c>
      <x:c r="L1882" s="185" t="str">
        <x:v>Não classificado</x:v>
      </x:c>
    </x:row>
    <x:row r="1883">
      <x:c r="A1883" s="175" t="str">
        <x:v>63.054.582/0001-09</x:v>
      </x:c>
      <x:c r="B1883" s="166" t="str">
        <x:v>GRBIGO FUNDO DE INVESTIMENTO EM DIREITOS CREDITÓRIOS DE RESPONSABILIDADE LIMITADA</x:v>
      </x:c>
      <x:c r="C1883" s="188" t="n">
        <x:v>32850156.549999997</x:v>
      </x:c>
      <x:c r="D1883" s="166" t="str">
        <x:v>Catálise Investimentos</x:v>
      </x:c>
      <x:c r="E1883" s="166" t="str">
        <x:f>IFERROR(INDEX('Classif Gestoras'!$H$6:$H$462,MATCH(D1883,'Classif Gestoras'!$A$6:$A$462,0)),"Não classificada")</x:f>
        <x:v>Independente</x:v>
      </x:c>
      <x:c r="F1883" s="166" t="str">
        <x:v>CATÁLISE DTVM</x:v>
      </x:c>
      <x:c r="G1883" s="166" t="str">
        <x:v>BANCO DAYCOVAL S.A.</x:v>
      </x:c>
      <x:c r="H1883" s="166" t="str">
        <x:v>Agro, Indústria e Comércio</x:v>
      </x:c>
      <x:c r="I1883" s="166" t="str">
        <x:v>Multicarteira Agro, Indústria e Comércio</x:v>
      </x:c>
      <x:c r="J1883" s="166" t="str">
        <x:v>CI</x:v>
      </x:c>
      <x:c r="K1883" s="172" t="n">
        <x:v>1</x:v>
      </x:c>
      <x:c r="L1883" s="185" t="str">
        <x:v>Não classificado</x:v>
      </x:c>
    </x:row>
    <x:row r="1884">
      <x:c r="A1884" s="175" t="str">
        <x:v>22.443.425/0001-08</x:v>
      </x:c>
      <x:c r="B1884" s="166" t="str">
        <x:v>ITAPEVA X MULTICARTEIRA FUNDO DE INVESTIMENTO EM DIREITOS CREDITÓRIOS RESPONSABILIDADE LIMITADA</x:v>
      </x:c>
      <x:c r="C1884" s="188" t="n">
        <x:v>32799376.299999997</x:v>
      </x:c>
      <x:c r="D1884" s="166" t="str">
        <x:v>RCB PORTFOLIOS</x:v>
      </x:c>
      <x:c r="E1884" s="166" t="str">
        <x:f>IFERROR(INDEX('Classif Gestoras'!$H$6:$H$462,MATCH(D1884,'Classif Gestoras'!$A$6:$A$462,0)),"Não classificada")</x:f>
        <x:v>Independente</x:v>
      </x:c>
      <x:c r="F1884" s="166" t="str">
        <x:v>Banvox DTVM</x:v>
      </x:c>
      <x:c r="G1884" s="166" t="str">
        <x:v>OSLO CAPITAL DISTRIBUIDORA DE TITULOS E VALORES MOBILIARIOS S.A.</x:v>
      </x:c>
      <x:c r="H1884" s="166" t="str">
        <x:v>Outros</x:v>
      </x:c>
      <x:c r="I1884" s="166" t="str">
        <x:v>Multicarteira Outros</x:v>
      </x:c>
      <x:c r="J1884" s="166" t="str">
        <x:v>CI</x:v>
      </x:c>
      <x:c r="K1884" s="172" t="n">
        <x:v>2</x:v>
      </x:c>
      <x:c r="L1884" s="185" t="str">
        <x:v>Não classificado</x:v>
      </x:c>
    </x:row>
    <x:row r="1885">
      <x:c r="A1885" s="175" t="str">
        <x:v>35.982.683/0001-04</x:v>
      </x:c>
      <x:c r="B1885" s="166" t="str">
        <x:v>GPR FUNDO DE INVESTIMENTO EM DIREITOS CREDITORIOS</x:v>
      </x:c>
      <x:c r="C1885" s="188" t="n">
        <x:v>32697320.440000005</x:v>
      </x:c>
      <x:c r="D1885" s="166" t="str">
        <x:v>Menestys</x:v>
      </x:c>
      <x:c r="E1885" s="166" t="str">
        <x:f>IFERROR(INDEX('Classif Gestoras'!$H$6:$H$462,MATCH(D1885,'Classif Gestoras'!$A$6:$A$462,0)),"Não classificada")</x:f>
        <x:v>Independente</x:v>
      </x:c>
      <x:c r="F1885" s="166" t="str">
        <x:v>Singulare</x:v>
      </x:c>
      <x:c r="G1885" s="166" t="str">
        <x:v>QI CORRETORA DE TÍTULOS E VALORES MOBILIÁRIOS S.A.</x:v>
      </x:c>
      <x:c r="H1885" s="166" t="str">
        <x:v>Fomento Mercantil</x:v>
      </x:c>
      <x:c r="I1885" s="166" t="str">
        <x:v>Fomento Mercantil</x:v>
      </x:c>
      <x:c r="J1885" s="166" t="str">
        <x:v>CI</x:v>
      </x:c>
      <x:c r="K1885" s="172" t="n">
        <x:v>11</x:v>
      </x:c>
      <x:c r="L1885" s="185" t="str">
        <x:v>Não classificado</x:v>
      </x:c>
    </x:row>
    <x:row r="1886">
      <x:c r="A1886" s="175" t="str">
        <x:v>50.292.336/0001-43</x:v>
      </x:c>
      <x:c r="B1886" s="166" t="str">
        <x:v>SPECIAL SITUATIONS III FUNDO DE INVESTIMENTO EM DIREITOS CREDITÓRIOS</x:v>
      </x:c>
      <x:c r="C1886" s="188" t="n">
        <x:v>32613200.74</x:v>
      </x:c>
      <x:c r="D1886" s="166" t="str">
        <x:v>ROOT CAPITAL</x:v>
      </x:c>
      <x:c r="E1886" s="166" t="str">
        <x:f>IFERROR(INDEX('Classif Gestoras'!$H$6:$H$462,MATCH(D1886,'Classif Gestoras'!$A$6:$A$462,0)),"Não classificada")</x:f>
        <x:v>Independente</x:v>
      </x:c>
      <x:c r="F1886" s="166" t="str">
        <x:v>BNY MELLON SERVICOS</x:v>
      </x:c>
      <x:c r="G1886" s="166" t="str">
        <x:v>BNY MELLON BANCO S.A.</x:v>
      </x:c>
      <x:c r="H1886" s="166" t="str">
        <x:v>Outros</x:v>
      </x:c>
      <x:c r="I1886" s="166" t="str">
        <x:v>Multicarteira Outros</x:v>
      </x:c>
      <x:c r="J1886" s="166" t="str">
        <x:v>CI</x:v>
      </x:c>
      <x:c r="K1886" s="172" t="n">
        <x:v>1</x:v>
      </x:c>
      <x:c r="L1886" s="185" t="str">
        <x:v>Não classificado</x:v>
      </x:c>
    </x:row>
    <x:row r="1887">
      <x:c r="A1887" s="175" t="str">
        <x:v>23.956.975/0001-93</x:v>
      </x:c>
      <x:c r="B1887" s="166" t="str">
        <x:v>VERITAS FORSETI FUNDO DE INVESTIMENTO EM DIREITOS CREDITÓRIOS - RESPONSABILIDADE LIMITADA</x:v>
      </x:c>
      <x:c r="C1887" s="188" t="n">
        <x:v>32581109.195339996</x:v>
      </x:c>
      <x:c r="D1887" s="166" t="str">
        <x:v>Veritas Capital Management</x:v>
      </x:c>
      <x:c r="E1887" s="166" t="str">
        <x:f>IFERROR(INDEX('Classif Gestoras'!$H$6:$H$462,MATCH(D1887,'Classif Gestoras'!$A$6:$A$462,0)),"Não classificada")</x:f>
        <x:v>Independente</x:v>
      </x:c>
      <x:c r="F1887" s="166" t="str">
        <x:v>Singulare</x:v>
      </x:c>
      <x:c r="G1887" s="166" t="str">
        <x:v>QI CORRETORA DE TÍTULOS E VALORES MOBILIÁRIOS S.A.</x:v>
      </x:c>
      <x:c r="H1887" s="166" t="str">
        <x:v>Outros</x:v>
      </x:c>
      <x:c r="I1887" s="166" t="str">
        <x:v>Poder Público</x:v>
      </x:c>
      <x:c r="J1887" s="166" t="str">
        <x:v>CI</x:v>
      </x:c>
      <x:c r="K1887" s="172" t="n">
        <x:v>23</x:v>
      </x:c>
      <x:c r="L1887" s="185" t="str">
        <x:v>Não classificado</x:v>
      </x:c>
    </x:row>
    <x:row r="1888">
      <x:c r="A1888" s="175" t="str">
        <x:v>20.636.504/0001-00</x:v>
      </x:c>
      <x:c r="B1888" s="166" t="str">
        <x:v>PLENO INVEST FUNDO DE INVESTIMENTO EM DIREITOS CREDITÓRIOS</x:v>
      </x:c>
      <x:c r="C1888" s="188" t="n">
        <x:v>32573139.77</x:v>
      </x:c>
      <x:c r="D1888" s="166" t="str">
        <x:v>TERCON ASSET MANAGEMENT</x:v>
      </x:c>
      <x:c r="E1888" s="166" t="str">
        <x:f>IFERROR(INDEX('Classif Gestoras'!$H$6:$H$462,MATCH(D1888,'Classif Gestoras'!$A$6:$A$462,0)),"Não classificada")</x:f>
        <x:v>Independente</x:v>
      </x:c>
      <x:c r="F1888" s="166" t="str">
        <x:v>Singulare</x:v>
      </x:c>
      <x:c r="G1888" s="166" t="str">
        <x:v>QI CORRETORA DE TÍTULOS E VALORES MOBILIÁRIOS S.A.</x:v>
      </x:c>
      <x:c r="H1888" s="166" t="str">
        <x:v>Fomento Mercantil</x:v>
      </x:c>
      <x:c r="I1888" s="166" t="str">
        <x:v>Fomento Mercantil</x:v>
      </x:c>
      <x:c r="J1888" s="166" t="str">
        <x:v>CI</x:v>
      </x:c>
      <x:c r="K1888" s="172" t="n">
        <x:v>1</x:v>
      </x:c>
      <x:c r="L1888" s="185" t="str">
        <x:v>Não classificado</x:v>
      </x:c>
    </x:row>
    <x:row r="1889">
      <x:c r="A1889" s="175" t="str">
        <x:v>11.026.623/0001-50</x:v>
      </x:c>
      <x:c r="B1889" s="166" t="str">
        <x:v>BENFICA FUNDO DE INVESTIMENTO EM DIREITOS CREDITÓRIOS</x:v>
      </x:c>
      <x:c r="C1889" s="188" t="n">
        <x:v>32556554.250000004</x:v>
      </x:c>
      <x:c r="D1889" s="166" t="str">
        <x:v>TERCON ASSET MANAGEMENT</x:v>
      </x:c>
      <x:c r="E1889" s="166" t="str">
        <x:f>IFERROR(INDEX('Classif Gestoras'!$H$6:$H$462,MATCH(D1889,'Classif Gestoras'!$A$6:$A$462,0)),"Não classificada")</x:f>
        <x:v>Independente</x:v>
      </x:c>
      <x:c r="F1889" s="166" t="str">
        <x:v>Singulare</x:v>
      </x:c>
      <x:c r="G1889" s="166" t="str">
        <x:v>QI CORRETORA DE TÍTULOS E VALORES MOBILIÁRIOS S.A.</x:v>
      </x:c>
      <x:c r="H1889" s="166" t="str">
        <x:v>Fomento Mercantil</x:v>
      </x:c>
      <x:c r="I1889" s="166" t="str">
        <x:v>Fomento Mercantil</x:v>
      </x:c>
      <x:c r="J1889" s="166" t="str">
        <x:v>CI</x:v>
      </x:c>
      <x:c r="K1889" s="172" t="n">
        <x:v>14</x:v>
      </x:c>
      <x:c r="L1889" s="185" t="str">
        <x:v>Não classificado</x:v>
      </x:c>
    </x:row>
    <x:row r="1890">
      <x:c r="A1890" s="175" t="str">
        <x:v>11.491.061/0001-15</x:v>
      </x:c>
      <x:c r="B1890" s="166" t="str">
        <x:v>DANIELE II - FUNDO DE INVESTIMENTO EM DIREITOS CREDITÓRIOS MULTISSEGMENTOS</x:v>
      </x:c>
      <x:c r="C1890" s="188" t="n">
        <x:v>32507354.19</x:v>
      </x:c>
      <x:c r="D1890" s="166" t="str">
        <x:v>Petra Capital</x:v>
      </x:c>
      <x:c r="E1890" s="166" t="str">
        <x:f>IFERROR(INDEX('Classif Gestoras'!$H$6:$H$462,MATCH(D1890,'Classif Gestoras'!$A$6:$A$462,0)),"Não classificada")</x:f>
        <x:v>Independente</x:v>
      </x:c>
      <x:c r="F1890" s="166" t="str">
        <x:v>Finaxis Corretora de Títulos e Valores Mobiliários S.A.</x:v>
      </x:c>
      <x:c r="G1890" s="166" t="str">
        <x:v>BANCO FINAXIS S.A.</x:v>
      </x:c>
      <x:c r="H1890" s="166" t="str">
        <x:v>Fomento Mercantil</x:v>
      </x:c>
      <x:c r="I1890" s="166" t="str">
        <x:v>Fomento Mercantil</x:v>
      </x:c>
      <x:c r="J1890" s="166" t="str">
        <x:v>CI</x:v>
      </x:c>
      <x:c r="K1890" s="172" t="n">
        <x:v>1</x:v>
      </x:c>
      <x:c r="L1890" s="185" t="str">
        <x:v>Não classificado</x:v>
      </x:c>
    </x:row>
    <x:row r="1891">
      <x:c r="A1891" s="175" t="str">
        <x:v>49.000.711/0001-55</x:v>
      </x:c>
      <x:c r="B1891" s="166" t="str">
        <x:v>CPO1 FUNDO DE INVESTIMENTO EM DIREITOS CREDITÓRIOS</x:v>
      </x:c>
      <x:c r="C1891" s="188" t="n">
        <x:v>32459285.01</x:v>
      </x:c>
      <x:c r="D1891" s="166" t="str">
        <x:v>Harbour Capital</x:v>
      </x:c>
      <x:c r="E1891" s="166" t="str">
        <x:f>IFERROR(INDEX('Classif Gestoras'!$H$6:$H$462,MATCH(D1891,'Classif Gestoras'!$A$6:$A$462,0)),"Não classificada")</x:f>
        <x:v>Independente</x:v>
      </x:c>
      <x:c r="F1891" s="166" t="str">
        <x:v>Qore DTVM</x:v>
      </x:c>
      <x:c r="G1891" s="166" t="str">
        <x:v>QORE DISTRIBUIDORA DE TÍTULOS E VALORES MOBILIÁRIOS LTDA.</x:v>
      </x:c>
      <x:c r="H1891" s="166" t="str">
        <x:v>Outros</x:v>
      </x:c>
      <x:c r="I1891" s="166" t="str">
        <x:v>Multicarteira Outros</x:v>
      </x:c>
      <x:c r="J1891" s="166" t="str">
        <x:v>CI</x:v>
      </x:c>
      <x:c r="K1891" s="172" t="n">
        <x:v>2</x:v>
      </x:c>
      <x:c r="L1891" s="185" t="str">
        <x:v>Não classificado</x:v>
      </x:c>
    </x:row>
    <x:row r="1892">
      <x:c r="A1892" s="175" t="str">
        <x:v>63.778.221/0001-05</x:v>
      </x:c>
      <x:c r="B1892" s="166" t="str">
        <x:v>LTA IRONTREND ONE FUNDO DE INVESTIMENTO EM DIREITOS CREDITÓRIOS</x:v>
      </x:c>
      <x:c r="C1892" s="188" t="n">
        <x:v>32353218.26</x:v>
      </x:c>
      <x:c r="D1892" s="166" t="str">
        <x:v>QUAESTUS GESTÃO DE INVESTIMENTOS LTDA.</x:v>
      </x:c>
      <x:c r="E1892" s="166" t="str">
        <x:f>IFERROR(INDEX('Classif Gestoras'!$H$6:$H$462,MATCH(D1892,'Classif Gestoras'!$A$6:$A$462,0)),"Não classificada")</x:f>
        <x:v>Independente</x:v>
      </x:c>
      <x:c r="F1892" s="166" t="str">
        <x:v>MONETAR DISTRIBUIDORA DE TITUL</x:v>
      </x:c>
      <x:c r="G1892" s="166" t="str">
        <x:v>TERRA INVESTIMENTOS DISTRIBUIDORA DE TITULOS E VALORES MOBILIARIOS LTDA</x:v>
      </x:c>
      <x:c r="H1892" s="166" t="str">
        <x:v>Outros</x:v>
      </x:c>
      <x:c r="I1892" s="166" t="str">
        <x:v>Multicarteira Outros</x:v>
      </x:c>
      <x:c r="J1892" s="166" t="str">
        <x:v>CI</x:v>
      </x:c>
      <x:c r="K1892" s="172" t="n">
        <x:v>3</x:v>
      </x:c>
      <x:c r="L1892" s="185" t="str">
        <x:v>Não classificado</x:v>
      </x:c>
    </x:row>
    <x:row r="1893">
      <x:c r="A1893" s="175" t="str">
        <x:v>45.144.657/0001-60</x:v>
      </x:c>
      <x:c r="B1893" s="166" t="str">
        <x:v>VECTIS PRO SOLUTTI CRÉDITOS JUDICIAIS FIDC DE RESPONSABILIDADE LIMITADA</x:v>
      </x:c>
      <x:c r="C1893" s="188" t="n">
        <x:v>32305393.32999999</x:v>
      </x:c>
      <x:c r="D1893" s="166" t="str">
        <x:v>Vectis Gestão</x:v>
      </x:c>
      <x:c r="E1893" s="166" t="str">
        <x:f>IFERROR(INDEX('Classif Gestoras'!$H$6:$H$462,MATCH(D1893,'Classif Gestoras'!$A$6:$A$462,0)),"Não classificada")</x:f>
        <x:v>Independente</x:v>
      </x:c>
      <x:c r="F1893" s="166" t="str">
        <x:v>BANCO DAYCOVAL S/A</x:v>
      </x:c>
      <x:c r="G1893" s="166" t="str">
        <x:v>BANCO DAYCOVAL S.A.</x:v>
      </x:c>
      <x:c r="H1893" s="166" t="str">
        <x:v>Outros</x:v>
      </x:c>
      <x:c r="I1893" s="166" t="str">
        <x:v>Multicarteira Outros</x:v>
      </x:c>
      <x:c r="J1893" s="166" t="str">
        <x:v>CI</x:v>
      </x:c>
      <x:c r="K1893" s="172" t="n">
        <x:v>26</x:v>
      </x:c>
      <x:c r="L1893" s="185" t="str">
        <x:v>Não classificado</x:v>
      </x:c>
    </x:row>
    <x:row r="1894">
      <x:c r="A1894" s="175" t="str">
        <x:v>63.565.094/0001-66</x:v>
      </x:c>
      <x:c r="B1894" s="166" t="str">
        <x:v>ALGARVE GAMA FUNDO DE INVESTIMENTO EM DIREITOS CREDITÓRIOS RESPONSABILIDADE LIMITADA</x:v>
      </x:c>
      <x:c r="C1894" s="188" t="n">
        <x:v>32243266.729999997</x:v>
      </x:c>
      <x:c r="D1894" s="166" t="str">
        <x:v>Algarve Capital</x:v>
      </x:c>
      <x:c r="E1894" s="166" t="str">
        <x:f>IFERROR(INDEX('Classif Gestoras'!$H$6:$H$462,MATCH(D1894,'Classif Gestoras'!$A$6:$A$462,0)),"Não classificada")</x:f>
        <x:v>Independente</x:v>
      </x:c>
      <x:c r="F1894" s="166" t="str">
        <x:v>BANCO DAYCOVAL S/A</x:v>
      </x:c>
      <x:c r="G1894" s="166" t="str">
        <x:v>BANCO DAYCOVAL S.A.</x:v>
      </x:c>
      <x:c r="H1894" s="166" t="str">
        <x:v>Outros</x:v>
      </x:c>
      <x:c r="I1894" s="166" t="str">
        <x:v>Multicarteira Outros</x:v>
      </x:c>
      <x:c r="J1894" s="166" t="str">
        <x:v>CI</x:v>
      </x:c>
      <x:c r="K1894" s="172" t="n">
        <x:v>6</x:v>
      </x:c>
      <x:c r="L1894" s="185" t="str">
        <x:v>Não classificado</x:v>
      </x:c>
    </x:row>
    <x:row r="1895">
      <x:c r="A1895" s="175" t="str">
        <x:v>45.188.001/0001-40</x:v>
      </x:c>
      <x:c r="B1895" s="166" t="str">
        <x:v>PERSA FUNDO DE INVESTIMENTO EM DIREITOS CREDITÓRIOS NÃO-PADRONIZADOS</x:v>
      </x:c>
      <x:c r="C1895" s="188" t="n">
        <x:v>32228065.67</x:v>
      </x:c>
      <x:c r="D1895" s="166" t="str">
        <x:v>Multiplica Capital</x:v>
      </x:c>
      <x:c r="E1895" s="166" t="str">
        <x:f>IFERROR(INDEX('Classif Gestoras'!$H$6:$H$462,MATCH(D1895,'Classif Gestoras'!$A$6:$A$462,0)),"Não classificada")</x:f>
        <x:v>Independente</x:v>
      </x:c>
      <x:c r="F1895" s="166" t="str">
        <x:v>Singulare</x:v>
      </x:c>
      <x:c r="G1895" s="166" t="str">
        <x:v>QI CORRETORA DE TÍTULOS E VALORES MOBILIÁRIOS S.A.</x:v>
      </x:c>
      <x:c r="H1895" s="166" t="str">
        <x:v>Fomento Mercantil</x:v>
      </x:c>
      <x:c r="I1895" s="166" t="str">
        <x:v>Fomento Mercantil</x:v>
      </x:c>
      <x:c r="J1895" s="166" t="str">
        <x:v>CI</x:v>
      </x:c>
      <x:c r="K1895" s="172" t="n">
        <x:v>1</x:v>
      </x:c>
      <x:c r="L1895" s="185" t="str">
        <x:v>Não classificado</x:v>
      </x:c>
    </x:row>
    <x:row r="1896">
      <x:c r="A1896" s="175" t="str">
        <x:v>52.258.634/0001-42</x:v>
      </x:c>
      <x:c r="B1896" s="166" t="str">
        <x:v>CASHEW FUNDO DE INVESTIMENTO EM DIREITOS CREDITÓRIOS</x:v>
      </x:c>
      <x:c r="C1896" s="188" t="n">
        <x:v>32210297.180000003</x:v>
      </x:c>
      <x:c r="D1896" s="166" t="str">
        <x:v>Siguler Guff Gestora de Investimentos (Asset Management</x:v>
      </x:c>
      <x:c r="E1896" s="166" t="str">
        <x:f>IFERROR(INDEX('Classif Gestoras'!$H$6:$H$462,MATCH(D1896,'Classif Gestoras'!$A$6:$A$462,0)),"Não classificada")</x:f>
        <x:v>Independente</x:v>
      </x:c>
      <x:c r="F1896" s="166" t="str">
        <x:v>BTG Pactual Servicos Financeiros S/A DTVM</x:v>
      </x:c>
      <x:c r="G1896" s="166" t="str">
        <x:v>BANCO BTG PACTUAL S/A</x:v>
      </x:c>
      <x:c r="H1896" s="166" t="str">
        <x:v>Outros</x:v>
      </x:c>
      <x:c r="I1896" s="166" t="str">
        <x:v>Multicarteira Outros</x:v>
      </x:c>
      <x:c r="J1896" s="166" t="str">
        <x:v>CI</x:v>
      </x:c>
      <x:c r="K1896" s="172" t="n">
        <x:v>1</x:v>
      </x:c>
      <x:c r="L1896" s="185" t="str">
        <x:v>Não classificado</x:v>
      </x:c>
    </x:row>
    <x:row r="1897">
      <x:c r="A1897" s="175" t="str">
        <x:v>40.365.950/0001-34</x:v>
      </x:c>
      <x:c r="B1897" s="166" t="str">
        <x:v>INSS CONSIGNADO (PDL) I FUNDO DE INVESTIMENTO EM DIREITOS CREDITÓRIOS RESPONSABILIDADE LIMITADA</x:v>
      </x:c>
      <x:c r="C1897" s="188" t="n">
        <x:v>32197677.41</x:v>
      </x:c>
      <x:c r="D1897" s="166" t="str">
        <x:v>BTG Pactual Asset</x:v>
      </x:c>
      <x:c r="E1897" s="166" t="str">
        <x:f>IFERROR(INDEX('Classif Gestoras'!$H$6:$H$462,MATCH(D1897,'Classif Gestoras'!$A$6:$A$462,0)),"Não classificada")</x:f>
        <x:v>Ligada a banco</x:v>
      </x:c>
      <x:c r="F1897" s="166" t="str">
        <x:v>BTG Pactual Servicos Financeiros S/A DTVM</x:v>
      </x:c>
      <x:c r="G1897" s="166" t="str">
        <x:v>BANCO BTG PACTUAL S/A</x:v>
      </x:c>
      <x:c r="H1897" s="166" t="str">
        <x:v>Financeiro</x:v>
      </x:c>
      <x:c r="I1897" s="166" t="str">
        <x:v>Crédito Consignado</x:v>
      </x:c>
      <x:c r="J1897" s="166" t="str">
        <x:v>CI</x:v>
      </x:c>
      <x:c r="K1897" s="172" t="n">
        <x:v>1</x:v>
      </x:c>
      <x:c r="L1897" s="185" t="str">
        <x:v>Não classificado</x:v>
      </x:c>
    </x:row>
    <x:row r="1898">
      <x:c r="A1898" s="175" t="str">
        <x:v>45.523.682/0001-55</x:v>
      </x:c>
      <x:c r="B1898" s="166" t="str">
        <x:v>TITAN FUNDO DE INVESTIMENTO EM DIREITOS CREDITÓRIOS</x:v>
      </x:c>
      <x:c r="C1898" s="188" t="n">
        <x:v>32104043.47</x:v>
      </x:c>
      <x:c r="D1898" s="166" t="str">
        <x:v>TERCON ASSET MANAGEMENT</x:v>
      </x:c>
      <x:c r="E1898" s="166" t="str">
        <x:f>IFERROR(INDEX('Classif Gestoras'!$H$6:$H$462,MATCH(D1898,'Classif Gestoras'!$A$6:$A$462,0)),"Não classificada")</x:f>
        <x:v>Independente</x:v>
      </x:c>
      <x:c r="F1898" s="166" t="str">
        <x:v>Singulare</x:v>
      </x:c>
      <x:c r="G1898" s="166" t="str">
        <x:v>QI CORRETORA DE TÍTULOS E VALORES MOBILIÁRIOS S.A.</x:v>
      </x:c>
      <x:c r="H1898" s="166" t="str">
        <x:v>Fomento Mercantil</x:v>
      </x:c>
      <x:c r="I1898" s="166" t="str">
        <x:v>Fomento Mercantil</x:v>
      </x:c>
      <x:c r="J1898" s="166" t="str">
        <x:v>CI</x:v>
      </x:c>
      <x:c r="K1898" s="172" t="n">
        <x:v>9</x:v>
      </x:c>
      <x:c r="L1898" s="185" t="str">
        <x:v>Não classificado</x:v>
      </x:c>
    </x:row>
    <x:row r="1899">
      <x:c r="A1899" s="175" t="str">
        <x:v>46.322.877/0001-08</x:v>
      </x:c>
      <x:c r="B1899" s="166" t="str">
        <x:v>AUGME NAMARI VENTURE DEBT FUNDO DE INVESTIMENTO EM DIREITOS CREDITÓRIOS DE RESPONSABILIDADE LIMITADA</x:v>
      </x:c>
      <x:c r="C1899" s="188" t="n">
        <x:v>32066336.44</x:v>
      </x:c>
      <x:c r="D1899" s="166" t="str">
        <x:v>AUGME CAPITAL GESTÃO DE RECURSOS LTDA.</x:v>
      </x:c>
      <x:c r="E1899" s="166" t="str">
        <x:f>IFERROR(INDEX('Classif Gestoras'!$H$6:$H$462,MATCH(D1899,'Classif Gestoras'!$A$6:$A$462,0)),"Não classificada")</x:f>
        <x:v>Independente</x:v>
      </x:c>
      <x:c r="F1899" s="166" t="str">
        <x:v>BANCO DAYCOVAL S/A</x:v>
      </x:c>
      <x:c r="G1899" s="166" t="str">
        <x:v>BANCO DAYCOVAL S.A.</x:v>
      </x:c>
      <x:c r="H1899" s="166" t="str">
        <x:v>Outros</x:v>
      </x:c>
      <x:c r="I1899" s="166" t="str">
        <x:v>Multicarteira Outros</x:v>
      </x:c>
      <x:c r="J1899" s="166" t="str">
        <x:v>CI</x:v>
      </x:c>
      <x:c r="K1899" s="172" t="n">
        <x:v>29</x:v>
      </x:c>
      <x:c r="L1899" s="185" t="str">
        <x:v>Não classificado</x:v>
      </x:c>
    </x:row>
    <x:row r="1900">
      <x:c r="A1900" s="175" t="str">
        <x:v>55.483.719/0001-12</x:v>
      </x:c>
      <x:c r="B1900" s="166" t="str">
        <x:v>FUNDO DE INVESTIMENTO EM DIREITOS CREDITÓRIOS FGTS VISION RESPONSABILIDADE LIMITADA</x:v>
      </x:c>
      <x:c r="C1900" s="188" t="n">
        <x:v>31997812.67</x:v>
      </x:c>
      <x:c r="D1900" s="166" t="str">
        <x:v>QI GESTAO DE RECURSOS LTDA</x:v>
      </x:c>
      <x:c r="E1900" s="166" t="str">
        <x:f>IFERROR(INDEX('Classif Gestoras'!$H$6:$H$462,MATCH(D1900,'Classif Gestoras'!$A$6:$A$462,0)),"Não classificada")</x:f>
        <x:v>Independente</x:v>
      </x:c>
      <x:c r="F1900" s="166" t="str">
        <x:v>QI DISTRIBUIDORA DE TITULOS E VALORES MOBILIARIOS LTDA</x:v>
      </x:c>
      <x:c r="G1900" s="166" t="str">
        <x:v>LASTRO RDV DTVM LTDA</x:v>
      </x:c>
      <x:c r="H1900" s="166" t="str">
        <x:v>Financeiro</x:v>
      </x:c>
      <x:c r="I1900" s="166" t="str">
        <x:v>Crédito Consignado</x:v>
      </x:c>
      <x:c r="J1900" s="166" t="str">
        <x:v>CI</x:v>
      </x:c>
      <x:c r="K1900" s="172" t="n">
        <x:v>1</x:v>
      </x:c>
      <x:c r="L1900" s="185" t="str">
        <x:v>Não classificado</x:v>
      </x:c>
    </x:row>
    <x:row r="1901">
      <x:c r="A1901" s="175" t="str">
        <x:v>59.197.255/0001-39</x:v>
      </x:c>
      <x:c r="B1901" s="166" t="str">
        <x:v>BF3 FUNDO DE INVESTIMENTO EM DIREITOS CREDITÓRIOS</x:v>
      </x:c>
      <x:c r="C1901" s="188" t="n">
        <x:v>31902803.75</x:v>
      </x:c>
      <x:c r="D1901" s="166" t="str">
        <x:v>Soma Asset</x:v>
      </x:c>
      <x:c r="E1901" s="166" t="str">
        <x:f>IFERROR(INDEX('Classif Gestoras'!$H$6:$H$462,MATCH(D1901,'Classif Gestoras'!$A$6:$A$462,0)),"Não classificada")</x:f>
        <x:v>Independente</x:v>
      </x:c>
      <x:c r="F1901" s="166" t="str">
        <x:v>Singulare</x:v>
      </x:c>
      <x:c r="G1901" s="166" t="str">
        <x:v>QI CORRETORA DE TÍTULOS E VALORES MOBILIÁRIOS S.A.</x:v>
      </x:c>
      <x:c r="H1901" s="166" t="str">
        <x:v>Outros</x:v>
      </x:c>
      <x:c r="I1901" s="166" t="str">
        <x:v>Multicarteira Outros</x:v>
      </x:c>
      <x:c r="J1901" s="166" t="str">
        <x:v>CI</x:v>
      </x:c>
      <x:c r="K1901" s="172" t="n">
        <x:v>1</x:v>
      </x:c>
      <x:c r="L1901" s="185" t="str">
        <x:v>Não classificado</x:v>
      </x:c>
    </x:row>
    <x:row r="1902">
      <x:c r="A1902" s="175" t="str">
        <x:v>61.528.551/0001-17</x:v>
      </x:c>
      <x:c r="B1902" s="166" t="str">
        <x:v>AVGA CAPITAL WM XYZ NEXT ERA SPECIAL OPPORTUNITIES FIDC RESPONSABILIDADE LIMITADA</x:v>
      </x:c>
      <x:c r="C1902" s="188" t="n">
        <x:v>31777305.42</x:v>
      </x:c>
      <x:c r="D1902" s="166" t="str">
        <x:v>GESTORA DE RECURSOS ID - GRID LTDA.</x:v>
      </x:c>
      <x:c r="E1902" s="166" t="str">
        <x:f>IFERROR(INDEX('Classif Gestoras'!$H$6:$H$462,MATCH(D1902,'Classif Gestoras'!$A$6:$A$462,0)),"Não classificada")</x:f>
        <x:v>Independente</x:v>
      </x:c>
      <x:c r="F1902" s="166" t="str">
        <x:v>ID Corretora de Títulos e Valores Mobiliários S.A.</x:v>
      </x:c>
      <x:c r="G1902" s="166" t="str">
        <x:v>ID CORRETORA DE TITULOS E VALORES MOBILIARIOS S.A.</x:v>
      </x:c>
      <x:c r="H1902" s="166" t="str">
        <x:v>Outros</x:v>
      </x:c>
      <x:c r="I1902" s="166" t="str">
        <x:v>Multicarteira Outros</x:v>
      </x:c>
      <x:c r="J1902" s="166" t="str">
        <x:v>CI</x:v>
      </x:c>
      <x:c r="K1902" s="172" t="n">
        <x:v>1</x:v>
      </x:c>
      <x:c r="L1902" s="185" t="str">
        <x:v>Não classificado</x:v>
      </x:c>
    </x:row>
    <x:row r="1903">
      <x:c r="A1903" s="175" t="str">
        <x:v>45.019.002/0001-60</x:v>
      </x:c>
      <x:c r="B1903" s="166" t="str">
        <x:v>WAY ENGELUZ FUNDO DE INVESTIMENTO EM DIREITOS CREDITÓRIOS RESPONSABILIDADE LIMITADA</x:v>
      </x:c>
      <x:c r="C1903" s="188" t="n">
        <x:v>31775236.339999996</x:v>
      </x:c>
      <x:c r="D1903" s="166" t="str">
        <x:v>CONTEA CAPITAL</x:v>
      </x:c>
      <x:c r="E1903" s="166" t="str">
        <x:f>IFERROR(INDEX('Classif Gestoras'!$H$6:$H$462,MATCH(D1903,'Classif Gestoras'!$A$6:$A$462,0)),"Não classificada")</x:f>
        <x:v>Independente</x:v>
      </x:c>
      <x:c r="F1903" s="166" t="str">
        <x:v>ID Corretora de Títulos e Valores Mobiliários S.A.</x:v>
      </x:c>
      <x:c r="G1903" s="166" t="str">
        <x:v>ID CORRETORA DE TITULOS E VALORES MOBILIARIOS S.A.</x:v>
      </x:c>
      <x:c r="H1903" s="166" t="str">
        <x:v>Outros</x:v>
      </x:c>
      <x:c r="I1903" s="166" t="str">
        <x:v>Multicarteira Outros</x:v>
      </x:c>
      <x:c r="J1903" s="166" t="str">
        <x:v>CI</x:v>
      </x:c>
      <x:c r="K1903" s="172" t="n">
        <x:v>18</x:v>
      </x:c>
      <x:c r="L1903" s="185" t="str">
        <x:v>Não classificado</x:v>
      </x:c>
    </x:row>
    <x:row r="1904">
      <x:c r="A1904" s="175" t="str">
        <x:v>61.250.504/0001-54</x:v>
      </x:c>
      <x:c r="B1904" s="166" t="str">
        <x:v>JAUNE FUNDO DE INVESTIMENTO EM DIREITO CREDITÓRIOS DE RESPONSABILIDADE LIMITADA</x:v>
      </x:c>
      <x:c r="C1904" s="188" t="n">
        <x:v>31763834.19</x:v>
      </x:c>
      <x:c r="D1904" s="166" t="str">
        <x:v>Catálise Investimentos</x:v>
      </x:c>
      <x:c r="E1904" s="166" t="str">
        <x:f>IFERROR(INDEX('Classif Gestoras'!$H$6:$H$462,MATCH(D1904,'Classif Gestoras'!$A$6:$A$462,0)),"Não classificada")</x:f>
        <x:v>Independente</x:v>
      </x:c>
      <x:c r="F1904" s="166" t="str">
        <x:v>CATÁLISE DTVM</x:v>
      </x:c>
      <x:c r="G1904" s="166" t="str">
        <x:v>BANCO DAYCOVAL S.A.</x:v>
      </x:c>
      <x:c r="H1904" s="166" t="str">
        <x:v>Agro, Indústria e Comércio</x:v>
      </x:c>
      <x:c r="I1904" s="166" t="str">
        <x:v>Multicarteira Agro, Indústria e Comércio</x:v>
      </x:c>
      <x:c r="J1904" s="166" t="str">
        <x:v>CI</x:v>
      </x:c>
      <x:c r="K1904" s="172" t="n">
        <x:v>3</x:v>
      </x:c>
      <x:c r="L1904" s="185" t="str">
        <x:v>Não classificado</x:v>
      </x:c>
    </x:row>
    <x:row r="1905">
      <x:c r="A1905" s="175" t="str">
        <x:v>23.216.640/0001-39</x:v>
      </x:c>
      <x:c r="B1905" s="166" t="str">
        <x:v>JC SILOS FUNDO DE INVESTIMENTO EM DIREITOS CREDITÓRIOS NÃO-PADRONIZADO</x:v>
      </x:c>
      <x:c r="C1905" s="188" t="n">
        <x:v>31699441.070000004</x:v>
      </x:c>
      <x:c r="D1905" s="166" t="str">
        <x:v>Jus Capital Gestão de Recursos LTDA</x:v>
      </x:c>
      <x:c r="E1905" s="166" t="str">
        <x:f>IFERROR(INDEX('Classif Gestoras'!$H$6:$H$462,MATCH(D1905,'Classif Gestoras'!$A$6:$A$462,0)),"Não classificada")</x:f>
        <x:v>Independente</x:v>
      </x:c>
      <x:c r="F1905" s="166" t="str">
        <x:v>Singulare</x:v>
      </x:c>
      <x:c r="G1905" s="166" t="str">
        <x:v>QI CORRETORA DE TÍTULOS E VALORES MOBILIÁRIOS S.A.</x:v>
      </x:c>
      <x:c r="H1905" s="166" t="str">
        <x:v>Outros</x:v>
      </x:c>
      <x:c r="I1905" s="166" t="str">
        <x:v>Poder Público</x:v>
      </x:c>
      <x:c r="J1905" s="166" t="str">
        <x:v>CI</x:v>
      </x:c>
      <x:c r="K1905" s="172" t="n">
        <x:v>6</x:v>
      </x:c>
      <x:c r="L1905" s="185" t="str">
        <x:v>Não classificado</x:v>
      </x:c>
    </x:row>
    <x:row r="1906">
      <x:c r="A1906" s="175" t="str">
        <x:v>46.610.394/0001-09</x:v>
      </x:c>
      <x:c r="B1906" s="166" t="str">
        <x:v>LAW FUNDO DE INVESTIMENTO EM DIREITOS CREDITÓRIOS MULTISSETORIAL</x:v>
      </x:c>
      <x:c r="C1906" s="188" t="n">
        <x:v>31667174.61</x:v>
      </x:c>
      <x:c r="D1906" s="166" t="str">
        <x:v>OURO PRETO INVESTIMENTOS</x:v>
      </x:c>
      <x:c r="E1906" s="166" t="str">
        <x:f>IFERROR(INDEX('Classif Gestoras'!$H$6:$H$462,MATCH(D1906,'Classif Gestoras'!$A$6:$A$462,0)),"Não classificada")</x:f>
        <x:v>Independente</x:v>
      </x:c>
      <x:c r="F1906" s="166" t="str">
        <x:v>Singulare</x:v>
      </x:c>
      <x:c r="G1906" s="166" t="str">
        <x:v>QI CORRETORA DE TÍTULOS E VALORES MOBILIÁRIOS S.A.</x:v>
      </x:c>
      <x:c r="H1906" s="166" t="str">
        <x:v>Fomento Mercantil</x:v>
      </x:c>
      <x:c r="I1906" s="166" t="str">
        <x:v>Fomento Mercantil</x:v>
      </x:c>
      <x:c r="J1906" s="166" t="str">
        <x:v>CI</x:v>
      </x:c>
      <x:c r="K1906" s="172" t="n">
        <x:v>15</x:v>
      </x:c>
      <x:c r="L1906" s="185" t="str">
        <x:v>Não classificado</x:v>
      </x:c>
    </x:row>
    <x:row r="1907">
      <x:c r="A1907" s="175" t="str">
        <x:v>59.263.667/0001-20</x:v>
      </x:c>
      <x:c r="B1907" s="166" t="str">
        <x:v>FUNDO DE INVESTIMENTO EM DIREITOS CREDITÓRIOS NÃO PADRONIZADOS NPL MASSIFICADO</x:v>
      </x:c>
      <x:c r="C1907" s="188" t="n">
        <x:v>31650581.48</x:v>
      </x:c>
      <x:c r="D1907" s="166" t="str">
        <x:v>OSLO DTVM S. A.</x:v>
      </x:c>
      <x:c r="E1907" s="166" t="str">
        <x:f>IFERROR(INDEX('Classif Gestoras'!$H$6:$H$462,MATCH(D1907,'Classif Gestoras'!$A$6:$A$462,0)),"Não classificada")</x:f>
        <x:v>Independente</x:v>
      </x:c>
      <x:c r="F1907" s="166" t="str">
        <x:v>OSLO DTVM S. A.</x:v>
      </x:c>
      <x:c r="G1907" s="166" t="str">
        <x:v>OSLO CAPITAL DISTRIBUIDORA DE TITULOS E VALORES MOBILIARIOS S.A.</x:v>
      </x:c>
      <x:c r="H1907" s="166" t="str">
        <x:v>Outros</x:v>
      </x:c>
      <x:c r="I1907" s="166" t="str">
        <x:v>Multicarteira Outros</x:v>
      </x:c>
      <x:c r="J1907" s="166" t="str">
        <x:v>CI</x:v>
      </x:c>
      <x:c r="K1907" s="172" t="n">
        <x:v>1</x:v>
      </x:c>
      <x:c r="L1907" s="185" t="str">
        <x:v>Não classificado</x:v>
      </x:c>
    </x:row>
    <x:row r="1908">
      <x:c r="A1908" s="175" t="str">
        <x:v>32.990.730/0001-73</x:v>
      </x:c>
      <x:c r="B1908" s="166" t="str">
        <x:v>C+ VALORA FUNDO DE INVESTIMENTO EM DIREITOS CREDITÓRIOS</x:v>
      </x:c>
      <x:c r="C1908" s="188" t="n">
        <x:v>31635080.77</x:v>
      </x:c>
      <x:c r="D1908" s="166" t="str">
        <x:v>VALORA RENDA FIXA ESTRUTURADOS LTDA.</x:v>
      </x:c>
      <x:c r="E1908" s="166" t="str">
        <x:f>IFERROR(INDEX('Classif Gestoras'!$H$6:$H$462,MATCH(D1908,'Classif Gestoras'!$A$6:$A$462,0)),"Não classificada")</x:f>
        <x:v>Independente</x:v>
      </x:c>
      <x:c r="F1908" s="166" t="str">
        <x:v>Singulare</x:v>
      </x:c>
      <x:c r="G1908" s="166" t="str">
        <x:v>QI CORRETORA DE TÍTULOS E VALORES MOBILIÁRIOS S.A.</x:v>
      </x:c>
      <x:c r="H1908" s="166" t="str">
        <x:v>Financeiro</x:v>
      </x:c>
      <x:c r="I1908" s="166" t="str">
        <x:v>Multicarteira Financeiro</x:v>
      </x:c>
      <x:c r="J1908" s="166" t="str">
        <x:v>CI</x:v>
      </x:c>
      <x:c r="K1908" s="172" t="n">
        <x:v>24</x:v>
      </x:c>
      <x:c r="L1908" s="185" t="str">
        <x:v>Não classificado</x:v>
      </x:c>
    </x:row>
    <x:row r="1909">
      <x:c r="A1909" s="175" t="str">
        <x:v>52.532.399/0001-55</x:v>
      </x:c>
      <x:c r="B1909" s="166" t="str">
        <x:v>VERGINIA FUNDO DE INVESTIMENTO EM DIREITOS CREDITÓRIOS</x:v>
      </x:c>
      <x:c r="C1909" s="188" t="n">
        <x:v>31631103.94</x:v>
      </x:c>
      <x:c r="D1909" s="166" t="str">
        <x:v>Catálise Investimentos</x:v>
      </x:c>
      <x:c r="E1909" s="166" t="str">
        <x:f>IFERROR(INDEX('Classif Gestoras'!$H$6:$H$462,MATCH(D1909,'Classif Gestoras'!$A$6:$A$462,0)),"Não classificada")</x:f>
        <x:v>Independente</x:v>
      </x:c>
      <x:c r="F1909" s="166" t="str">
        <x:v>CATÁLISE DTVM</x:v>
      </x:c>
      <x:c r="G1909" s="166" t="str">
        <x:v>BANCO DAYCOVAL S.A.</x:v>
      </x:c>
      <x:c r="H1909" s="166" t="str">
        <x:v>Agro, Indústria e Comércio</x:v>
      </x:c>
      <x:c r="I1909" s="166" t="str">
        <x:v>Recebíveis Comerciais</x:v>
      </x:c>
      <x:c r="J1909" s="166" t="str">
        <x:v>CI</x:v>
      </x:c>
      <x:c r="K1909" s="172" t="n">
        <x:v>1</x:v>
      </x:c>
      <x:c r="L1909" s="185" t="str">
        <x:v>Não classificado</x:v>
      </x:c>
    </x:row>
    <x:row r="1910">
      <x:c r="A1910" s="175" t="str">
        <x:v>54.954.874/0001-07</x:v>
      </x:c>
      <x:c r="B1910" s="166" t="str">
        <x:v>AMAZÔNIA FUNDO DE INVESTIMENTO EM DIREITOS CREDITÓRIOS</x:v>
      </x:c>
      <x:c r="C1910" s="188" t="n">
        <x:v>31607068.36</x:v>
      </x:c>
      <x:c r="D1910" s="166" t="str">
        <x:v>CATALUNYA GESTÃO DE RECURSOS LTDA .</x:v>
      </x:c>
      <x:c r="E1910" s="166" t="str">
        <x:f>IFERROR(INDEX('Classif Gestoras'!$H$6:$H$462,MATCH(D1910,'Classif Gestoras'!$A$6:$A$462,0)),"Não classificada")</x:f>
        <x:v>Independente</x:v>
      </x:c>
      <x:c r="F1910" s="166" t="str">
        <x:v>FIDD DISTRIBUIDORA DE TITULOS E VALORES MOBILIARIOS LTD</x:v>
      </x:c>
      <x:c r="G1910" s="166" t="str">
        <x:v>FIDD DISTRIBUIDORA DE TITULOS E VALORES MOBILIARIOS LTDA.</x:v>
      </x:c>
      <x:c r="H1910" s="166" t="str">
        <x:v>Outros</x:v>
      </x:c>
      <x:c r="I1910" s="166" t="str">
        <x:v>Multicarteira Outros</x:v>
      </x:c>
      <x:c r="J1910" s="166" t="str">
        <x:v>CI</x:v>
      </x:c>
      <x:c r="K1910" s="172" t="n">
        <x:v>1</x:v>
      </x:c>
      <x:c r="L1910" s="185" t="str">
        <x:v>Não classificado</x:v>
      </x:c>
    </x:row>
    <x:row r="1911">
      <x:c r="A1911" s="175" t="str">
        <x:v>33.521.203/0001-82</x:v>
      </x:c>
      <x:c r="B1911" s="166" t="str">
        <x:v>VALYOS FUNDO DE INVESTIMENTO EM DIREITOS CREDITÓRIOS IMOBILIÁRIOS DE RESPONSABILIDADE LIMITADA</x:v>
      </x:c>
      <x:c r="C1911" s="188" t="n">
        <x:v>31575916.750000004</x:v>
      </x:c>
      <x:c r="D1911" s="166" t="str">
        <x:v>VALORA IMOBILIÁRIO E INFRAESTRUTURA LTDA</x:v>
      </x:c>
      <x:c r="E1911" s="166" t="str">
        <x:f>IFERROR(INDEX('Classif Gestoras'!$H$6:$H$462,MATCH(D1911,'Classif Gestoras'!$A$6:$A$462,0)),"Não classificada")</x:f>
        <x:v>Independente</x:v>
      </x:c>
      <x:c r="F1911" s="166" t="str">
        <x:v>BANCO DAYCOVAL S/A</x:v>
      </x:c>
      <x:c r="G1911" s="166" t="str">
        <x:v>BANCO DAYCOVAL S.A.</x:v>
      </x:c>
      <x:c r="H1911" s="166" t="str">
        <x:v>Financeiro</x:v>
      </x:c>
      <x:c r="I1911" s="166" t="str">
        <x:v>Crédito Imobiliário</x:v>
      </x:c>
      <x:c r="J1911" s="166" t="str">
        <x:v>CI</x:v>
      </x:c>
      <x:c r="K1911" s="172" t="n">
        <x:v>14</x:v>
      </x:c>
      <x:c r="L1911" s="185" t="str">
        <x:v>Não classificado</x:v>
      </x:c>
    </x:row>
    <x:row r="1912">
      <x:c r="A1912" s="175" t="str">
        <x:v>42.449.623/0001-96</x:v>
      </x:c>
      <x:c r="B1912" s="166" t="str">
        <x:v>FUNDO DE INVESTIMENTO EM DIREITOS CREDITÓRIOS RECONLOG BANK</x:v>
      </x:c>
      <x:c r="C1912" s="188" t="n">
        <x:v>31564587.48</x:v>
      </x:c>
      <x:c r="D1912" s="166" t="str">
        <x:v>Renova Gestora</x:v>
      </x:c>
      <x:c r="E1912" s="166" t="str">
        <x:f>IFERROR(INDEX('Classif Gestoras'!$H$6:$H$462,MATCH(D1912,'Classif Gestoras'!$A$6:$A$462,0)),"Não classificada")</x:f>
        <x:v>Independente</x:v>
      </x:c>
      <x:c r="F1912" s="166" t="str">
        <x:v>MONETAR DISTRIBUIDORA DE TITUL</x:v>
      </x:c>
      <x:c r="G1912" s="166" t="str">
        <x:v>TERRA INVESTIMENTOS DISTRIBUIDORA DE TITULOS E VALORES MOBILIARIOS LTDA</x:v>
      </x:c>
      <x:c r="H1912" s="166" t="str">
        <x:v>Outros</x:v>
      </x:c>
      <x:c r="I1912" s="166" t="str">
        <x:v>Multicarteira Outros</x:v>
      </x:c>
      <x:c r="J1912" s="166" t="str">
        <x:v>CI</x:v>
      </x:c>
      <x:c r="K1912" s="172" t="n">
        <x:v>8</x:v>
      </x:c>
      <x:c r="L1912" s="185" t="str">
        <x:v>Não classificado</x:v>
      </x:c>
    </x:row>
    <x:row r="1913">
      <x:c r="A1913" s="175" t="str">
        <x:v>64.009.633/0001-43</x:v>
      </x:c>
      <x:c r="B1913" s="166" t="str">
        <x:v>RCJ FUNDO DE INVESTIMENTO EM DIREITOS CREDITÓRIOS RESPONSABILIDADE LIMITADA</x:v>
      </x:c>
      <x:c r="C1913" s="188" t="n">
        <x:v>31553470.74</x:v>
      </x:c>
      <x:c r="D1913" s="166" t="str">
        <x:v>Tivio Capital</x:v>
      </x:c>
      <x:c r="E1913" s="166" t="str">
        <x:f>IFERROR(INDEX('Classif Gestoras'!$H$6:$H$462,MATCH(D1913,'Classif Gestoras'!$A$6:$A$462,0)),"Não classificada")</x:f>
        <x:v>Independente</x:v>
      </x:c>
      <x:c r="F1913" s="166" t="str">
        <x:v>VÓRTX DTVM</x:v>
      </x:c>
      <x:c r="G1913" s="166" t="str">
        <x:v>VORTX DISTRIBUIDORA DE TITULOS E VALORES MOBILIARIOS LTDA.</x:v>
      </x:c>
      <x:c r="H1913" s="166" t="str">
        <x:v>Agro, Indústria e Comércio</x:v>
      </x:c>
      <x:c r="I1913" s="166" t="str">
        <x:v>Recebíveis Comerciais</x:v>
      </x:c>
      <x:c r="J1913" s="166" t="str">
        <x:v>CI</x:v>
      </x:c>
      <x:c r="K1913" s="172" t="n">
        <x:v>1</x:v>
      </x:c>
      <x:c r="L1913" s="185" t="str">
        <x:v>Não classificado</x:v>
      </x:c>
    </x:row>
    <x:row r="1914">
      <x:c r="A1914" s="175" t="str">
        <x:v>53.463.970/0001-90</x:v>
      </x:c>
      <x:c r="B1914" s="166" t="str">
        <x:v>CNPJ 53463970000190</x:v>
      </x:c>
      <x:c r="C1914" s="188" t="n">
        <x:v>31553214.979999997</x:v>
      </x:c>
      <x:c r="D1914" s="166" t="str">
        <x:v>Hinov Capital</x:v>
      </x:c>
      <x:c r="E1914" s="166" t="str">
        <x:f>IFERROR(INDEX('Classif Gestoras'!$H$6:$H$462,MATCH(D1914,'Classif Gestoras'!$A$6:$A$462,0)),"Não classificada")</x:f>
        <x:v>Independente</x:v>
      </x:c>
      <x:c r="F1914" s="166" t="str">
        <x:v>ACTUAL DTVM</x:v>
      </x:c>
      <x:c r="G1914" s="166" t="str">
        <x:v>Não identificado</x:v>
      </x:c>
      <x:c r="H1914" s="166" t="str">
        <x:v>Fomento Mercantil</x:v>
      </x:c>
      <x:c r="I1914" s="166" t="str">
        <x:v>Fomento Mercantil</x:v>
      </x:c>
      <x:c r="J1914" s="166" t="str">
        <x:v>CI</x:v>
      </x:c>
      <x:c r="K1914" s="172"/>
      <x:c r="L1914" s="185" t="str">
        <x:v>Não classificado</x:v>
      </x:c>
    </x:row>
    <x:row r="1915">
      <x:c r="A1915" s="175" t="str">
        <x:v>48.213.067/0001-30</x:v>
      </x:c>
      <x:c r="B1915" s="166" t="str">
        <x:v>FUNDO DE INVESTIMENTO EM DIREITOS CREDITÓRIOS AMOVERI RESPONSABILIDADE LIMITADA</x:v>
      </x:c>
      <x:c r="C1915" s="188" t="n">
        <x:v>31431316.98</x:v>
      </x:c>
      <x:c r="D1915" s="166" t="str">
        <x:v>Kanastra</x:v>
      </x:c>
      <x:c r="E1915" s="166" t="str">
        <x:f>IFERROR(INDEX('Classif Gestoras'!$H$6:$H$462,MATCH(D1915,'Classif Gestoras'!$A$6:$A$462,0)),"Não classificada")</x:f>
        <x:v>Independente</x:v>
      </x:c>
      <x:c r="F1915" s="166" t="str">
        <x:v>Limine Trust Distribuidora de Titulos e Valores Mobiliá</x:v>
      </x:c>
      <x:c r="G1915" s="166" t="str">
        <x:v>LIMINE TRUST DISTRIBUIDORA DE TITULOS E VALORES MOBILIARIOS LTDA.</x:v>
      </x:c>
      <x:c r="H1915" s="166" t="str">
        <x:v>Agro, Indústria e Comércio</x:v>
      </x:c>
      <x:c r="I1915" s="166" t="str">
        <x:v>Recebíveis Comerciais</x:v>
      </x:c>
      <x:c r="J1915" s="166" t="str">
        <x:v>CI</x:v>
      </x:c>
      <x:c r="K1915" s="172" t="n">
        <x:v>7</x:v>
      </x:c>
      <x:c r="L1915" s="185" t="str">
        <x:v>Não classificado</x:v>
      </x:c>
    </x:row>
    <x:row r="1916">
      <x:c r="A1916" s="175" t="str">
        <x:v>63.821.288/0001-85</x:v>
      </x:c>
      <x:c r="B1916" s="166" t="str">
        <x:v>EXANTE - CG CRÉDITOS PRIVADOS AUTO I - FUNDO DE INVESTIMENTO EM DIREITOS CREDITÓRIOS</x:v>
      </x:c>
      <x:c r="C1916" s="188" t="n">
        <x:v>31357233.13</x:v>
      </x:c>
      <x:c r="D1916" s="166" t="str">
        <x:v>Exante Asset Management</x:v>
      </x:c>
      <x:c r="E1916" s="166" t="str">
        <x:f>IFERROR(INDEX('Classif Gestoras'!$H$6:$H$462,MATCH(D1916,'Classif Gestoras'!$A$6:$A$462,0)),"Não classificada")</x:f>
        <x:v>Independente</x:v>
      </x:c>
      <x:c r="F1916" s="166" t="str">
        <x:v>PLANNER CV</x:v>
      </x:c>
      <x:c r="G1916" s="166" t="str">
        <x:v>PLANNER CORRETORA DE VALORES S.A.</x:v>
      </x:c>
      <x:c r="H1916" s="166" t="str">
        <x:v>Outros</x:v>
      </x:c>
      <x:c r="I1916" s="166" t="str">
        <x:v>Multicarteira Outros</x:v>
      </x:c>
      <x:c r="J1916" s="166" t="str">
        <x:v>CI</x:v>
      </x:c>
      <x:c r="K1916" s="172" t="n">
        <x:v>9</x:v>
      </x:c>
      <x:c r="L1916" s="185" t="str">
        <x:v>Não classificado</x:v>
      </x:c>
    </x:row>
    <x:row r="1917">
      <x:c r="A1917" s="175" t="str">
        <x:v>58.347.004/0001-20</x:v>
      </x:c>
      <x:c r="B1917" s="166" t="str">
        <x:v>SOLAR BELMONTE FUNDO DE INVESTIMENTO EM DIREITOS CREDITÓRIOS</x:v>
      </x:c>
      <x:c r="C1917" s="188" t="n">
        <x:v>31349728.05245</x:v>
      </x:c>
      <x:c r="D1917" s="166" t="str">
        <x:v>Iggy Investimentos</x:v>
      </x:c>
      <x:c r="E1917" s="166" t="str">
        <x:f>IFERROR(INDEX('Classif Gestoras'!$H$6:$H$462,MATCH(D1917,'Classif Gestoras'!$A$6:$A$462,0)),"Não classificada")</x:f>
        <x:v>Independente</x:v>
      </x:c>
      <x:c r="F1917" s="166" t="str">
        <x:v>Singulare</x:v>
      </x:c>
      <x:c r="G1917" s="166" t="str">
        <x:v>QI CORRETORA DE TÍTULOS E VALORES MOBILIÁRIOS S.A.</x:v>
      </x:c>
      <x:c r="H1917" s="166" t="str">
        <x:v>Fomento Mercantil</x:v>
      </x:c>
      <x:c r="I1917" s="166" t="str">
        <x:v>Fomento Mercantil</x:v>
      </x:c>
      <x:c r="J1917" s="166" t="str">
        <x:v>CI</x:v>
      </x:c>
      <x:c r="K1917" s="172" t="n">
        <x:v>8</x:v>
      </x:c>
      <x:c r="L1917" s="185" t="str">
        <x:v>Não classificado</x:v>
      </x:c>
    </x:row>
    <x:row r="1918">
      <x:c r="A1918" s="175" t="str">
        <x:v>11.003.181/0001-26</x:v>
      </x:c>
      <x:c r="B1918" s="166" t="str">
        <x:v>BBIF MASTER FUNDO DE INVESTIMENTO EM DIREITOS CREDITÓRIOS LP</x:v>
      </x:c>
      <x:c r="C1918" s="188" t="n">
        <x:v>31303785.870000005</x:v>
      </x:c>
      <x:c r="D1918" s="166" t="str">
        <x:v>GENIAL GESTÃO LTDA.</x:v>
      </x:c>
      <x:c r="E1918" s="166" t="str">
        <x:f>IFERROR(INDEX('Classif Gestoras'!$H$6:$H$462,MATCH(D1918,'Classif Gestoras'!$A$6:$A$462,0)),"Não classificada")</x:f>
        <x:v>Ligada a banco</x:v>
      </x:c>
      <x:c r="F1918" s="166" t="str">
        <x:v>S3 Caceis Brasil Distribuidora de Títulos e Valores Mob</x:v>
      </x:c>
      <x:c r="G1918" s="166" t="str">
        <x:v>S3 CACEIS BRASIL DISTRIBUIDORA DE TITULOS E VALORES MOBILIARIOS S.A</x:v>
      </x:c>
      <x:c r="H1918" s="166" t="str">
        <x:v>Outros</x:v>
      </x:c>
      <x:c r="I1918" s="166" t="str">
        <x:v>Multicarteira Outros</x:v>
      </x:c>
      <x:c r="J1918" s="166" t="str">
        <x:v>CI</x:v>
      </x:c>
      <x:c r="K1918" s="172" t="n">
        <x:v>13</x:v>
      </x:c>
      <x:c r="L1918" s="185" t="str">
        <x:v>Não classificado</x:v>
      </x:c>
    </x:row>
    <x:row r="1919">
      <x:c r="A1919" s="175" t="str">
        <x:v>43.722.793/0001-65</x:v>
      </x:c>
      <x:c r="B1919" s="166" t="str">
        <x:v>F2 BANK FUNDO DE INVESTIMENTO EM DIREITOS CREDITÓRIOS</x:v>
      </x:c>
      <x:c r="C1919" s="188" t="n">
        <x:v>31281710.37</x:v>
      </x:c>
      <x:c r="D1919" s="166" t="str">
        <x:v>Catálise Investimentos</x:v>
      </x:c>
      <x:c r="E1919" s="166" t="str">
        <x:f>IFERROR(INDEX('Classif Gestoras'!$H$6:$H$462,MATCH(D1919,'Classif Gestoras'!$A$6:$A$462,0)),"Não classificada")</x:f>
        <x:v>Independente</x:v>
      </x:c>
      <x:c r="F1919" s="166" t="str">
        <x:v>CATÁLISE DTVM</x:v>
      </x:c>
      <x:c r="G1919" s="166" t="str">
        <x:v>BANCO DAYCOVAL S.A.</x:v>
      </x:c>
      <x:c r="H1919" s="166" t="str">
        <x:v>Agro, Indústria e Comércio</x:v>
      </x:c>
      <x:c r="I1919" s="166" t="str">
        <x:v>Recebíveis Comerciais</x:v>
      </x:c>
      <x:c r="J1919" s="166" t="str">
        <x:v>CI</x:v>
      </x:c>
      <x:c r="K1919" s="172" t="n">
        <x:v>1</x:v>
      </x:c>
      <x:c r="L1919" s="185" t="str">
        <x:v>Não classificado</x:v>
      </x:c>
    </x:row>
    <x:row r="1920">
      <x:c r="A1920" s="175" t="str">
        <x:v>39.273.409/0001-17</x:v>
      </x:c>
      <x:c r="B1920" s="166" t="str">
        <x:v>MINKE FUNDO DE INVESTIMENTO EM DIREITOS CREDITÓRIOS</x:v>
      </x:c>
      <x:c r="C1920" s="188" t="n">
        <x:v>31275181.249999996</x:v>
      </x:c>
      <x:c r="D1920" s="166" t="str">
        <x:v>Galápagos</x:v>
      </x:c>
      <x:c r="E1920" s="166" t="str">
        <x:f>IFERROR(INDEX('Classif Gestoras'!$H$6:$H$462,MATCH(D1920,'Classif Gestoras'!$A$6:$A$462,0)),"Não classificada")</x:f>
        <x:v>Independente</x:v>
      </x:c>
      <x:c r="F1920" s="166" t="str">
        <x:v>Singulare</x:v>
      </x:c>
      <x:c r="G1920" s="166" t="str">
        <x:v>ID CORRETORA DE TITULOS E VALORES MOBILIARIOS S.A.</x:v>
      </x:c>
      <x:c r="H1920" s="166" t="str">
        <x:v>Fomento Mercantil</x:v>
      </x:c>
      <x:c r="I1920" s="166" t="str">
        <x:v>Fomento Mercantil</x:v>
      </x:c>
      <x:c r="J1920" s="166" t="str">
        <x:v>CI</x:v>
      </x:c>
      <x:c r="K1920" s="172" t="n">
        <x:v>8</x:v>
      </x:c>
      <x:c r="L1920" s="185" t="str">
        <x:v>Não classificado</x:v>
      </x:c>
    </x:row>
    <x:row r="1921">
      <x:c r="A1921" s="175" t="str">
        <x:v>53.165.079/0001-77</x:v>
      </x:c>
      <x:c r="B1921" s="166" t="str">
        <x:v>GDV CAPTA FUNDO DE INVESTIMENTO EM DIREITOS CREDITÓRIOS</x:v>
      </x:c>
      <x:c r="C1921" s="188" t="n">
        <x:v>31260811.840000004</x:v>
      </x:c>
      <x:c r="D1921" s="166" t="str">
        <x:v>FIDD Administração de Recursos Ltda.</x:v>
      </x:c>
      <x:c r="E1921" s="166" t="str">
        <x:f>IFERROR(INDEX('Classif Gestoras'!$H$6:$H$462,MATCH(D1921,'Classif Gestoras'!$A$6:$A$462,0)),"Não classificada")</x:f>
        <x:v>Independente</x:v>
      </x:c>
      <x:c r="F1921" s="166" t="str">
        <x:v>FIDD DISTRIBUIDORA DE TITULOS E VALORES MOBILIARIOS LTD</x:v>
      </x:c>
      <x:c r="G1921" s="166" t="str">
        <x:v>FIDD DISTRIBUIDORA DE TITULOS E VALORES MOBILIARIOS LTDA.</x:v>
      </x:c>
      <x:c r="H1921" s="166" t="str">
        <x:v>Outros</x:v>
      </x:c>
      <x:c r="I1921" s="166" t="str">
        <x:v>Multicarteira Outros</x:v>
      </x:c>
      <x:c r="J1921" s="166" t="str">
        <x:v>CI</x:v>
      </x:c>
      <x:c r="K1921" s="172" t="n">
        <x:v>1</x:v>
      </x:c>
      <x:c r="L1921" s="185" t="str">
        <x:v>Não classificado</x:v>
      </x:c>
    </x:row>
    <x:row r="1922">
      <x:c r="A1922" s="175" t="str">
        <x:v>35.609.597/0001-50</x:v>
      </x:c>
      <x:c r="B1922" s="166" t="str">
        <x:v>BLP W FUNDO DE INVESTIMENTO EM DIREITOS CREDITÓRIOS DE RESPONSABILIDADE LIMITADA</x:v>
      </x:c>
      <x:c r="C1922" s="188" t="n">
        <x:v>31234573.4</x:v>
      </x:c>
      <x:c r="D1922" s="166" t="str">
        <x:v>BLP CAPITAL</x:v>
      </x:c>
      <x:c r="E1922" s="166" t="str">
        <x:f>IFERROR(INDEX('Classif Gestoras'!$H$6:$H$462,MATCH(D1922,'Classif Gestoras'!$A$6:$A$462,0)),"Não classificada")</x:f>
        <x:v>Independente</x:v>
      </x:c>
      <x:c r="F1922" s="166" t="str">
        <x:v>TRUSTEE DTVM</x:v>
      </x:c>
      <x:c r="G1922" s="166" t="str">
        <x:v>TRUSTEE DISTRIBUIDORA DE TITULOS E VALORES MOBILIARIOS LTDA.</x:v>
      </x:c>
      <x:c r="H1922" s="166" t="str">
        <x:v>Outros</x:v>
      </x:c>
      <x:c r="I1922" s="166" t="str">
        <x:v>Multicarteira Outros</x:v>
      </x:c>
      <x:c r="J1922" s="166" t="str">
        <x:v>CI</x:v>
      </x:c>
      <x:c r="K1922" s="172" t="n">
        <x:v>48</x:v>
      </x:c>
      <x:c r="L1922" s="185" t="str">
        <x:v>Não classificado</x:v>
      </x:c>
    </x:row>
    <x:row r="1923">
      <x:c r="A1923" s="175" t="str">
        <x:v>56.213.199/0001-90</x:v>
      </x:c>
      <x:c r="B1923" s="166" t="str">
        <x:v>FUNDO DE INVESTIMENTO EM DIREITOS CREDITÓRIOS UNIBLUE INVESTCOOP</x:v>
      </x:c>
      <x:c r="C1923" s="188" t="n">
        <x:v>31204912.36</x:v>
      </x:c>
      <x:c r="D1923" s="166" t="str">
        <x:v>INVESTCOOP ASSET MANAGEMENT LTDA</x:v>
      </x:c>
      <x:c r="E1923" s="166" t="str">
        <x:f>IFERROR(INDEX('Classif Gestoras'!$H$6:$H$462,MATCH(D1923,'Classif Gestoras'!$A$6:$A$462,0)),"Não classificada")</x:f>
        <x:v>Independente</x:v>
      </x:c>
      <x:c r="F1923" s="166" t="str">
        <x:v>BTG Pactual Servicos Financeiros S/A DTVM</x:v>
      </x:c>
      <x:c r="G1923" s="166" t="str">
        <x:v>BANCO BTG PACTUAL S/A</x:v>
      </x:c>
      <x:c r="H1923" s="166" t="str">
        <x:v>Agro, Indústria e Comércio</x:v>
      </x:c>
      <x:c r="I1923" s="166" t="str">
        <x:v>Recebíveis Comerciais</x:v>
      </x:c>
      <x:c r="J1923" s="166" t="str">
        <x:v>CI</x:v>
      </x:c>
      <x:c r="K1923" s="172" t="n">
        <x:v>3</x:v>
      </x:c>
      <x:c r="L1923" s="185" t="str">
        <x:v>Não classificado</x:v>
      </x:c>
    </x:row>
    <x:row r="1924">
      <x:c r="A1924" s="175" t="str">
        <x:v>62.543.066/0001-85</x:v>
      </x:c>
      <x:c r="B1924" s="166" t="str">
        <x:v>VALONGO FUNDO DE INVESTIMENTO EM DIREITOS CREDITÓRIOS DE RESPONSABILIDADE LIMITADA</x:v>
      </x:c>
      <x:c r="C1924" s="188" t="n">
        <x:v>31153573.34</x:v>
      </x:c>
      <x:c r="D1924" s="166" t="str">
        <x:v>Multinvest Capital</x:v>
      </x:c>
      <x:c r="E1924" s="166" t="str">
        <x:f>IFERROR(INDEX('Classif Gestoras'!$H$6:$H$462,MATCH(D1924,'Classif Gestoras'!$A$6:$A$462,0)),"Não classificada")</x:f>
        <x:v>Independente</x:v>
      </x:c>
      <x:c r="F1924" s="166" t="str">
        <x:v>BANCO DAYCOVAL S/A</x:v>
      </x:c>
      <x:c r="G1924" s="166" t="str">
        <x:v>BANCO DAYCOVAL S.A.</x:v>
      </x:c>
      <x:c r="H1924" s="166" t="str">
        <x:v>Outros</x:v>
      </x:c>
      <x:c r="I1924" s="166" t="str">
        <x:v>Multicarteira Outros</x:v>
      </x:c>
      <x:c r="J1924" s="166" t="str">
        <x:v>CI</x:v>
      </x:c>
      <x:c r="K1924" s="172" t="n">
        <x:v>1</x:v>
      </x:c>
      <x:c r="L1924" s="185" t="str">
        <x:v>Não classificado</x:v>
      </x:c>
    </x:row>
    <x:row r="1925">
      <x:c r="A1925" s="175" t="str">
        <x:v>50.824.501/0001-60</x:v>
      </x:c>
      <x:c r="B1925" s="166" t="str">
        <x:v>NETMONEY FUNDO DE INVESTIMENTO EM DIREITOS CREDITÓRIOS</x:v>
      </x:c>
      <x:c r="C1925" s="188" t="n">
        <x:v>31144426.17</x:v>
      </x:c>
      <x:c r="D1925" s="166" t="str">
        <x:v>TERCON ASSET MANAGEMENT</x:v>
      </x:c>
      <x:c r="E1925" s="166" t="str">
        <x:f>IFERROR(INDEX('Classif Gestoras'!$H$6:$H$462,MATCH(D1925,'Classif Gestoras'!$A$6:$A$462,0)),"Não classificada")</x:f>
        <x:v>Independente</x:v>
      </x:c>
      <x:c r="F1925" s="166" t="str">
        <x:v>Limine Trust Distribuidora de Titulos e Valores Mobiliá</x:v>
      </x:c>
      <x:c r="G1925" s="166" t="str">
        <x:v>LIMINE TRUST DISTRIBUIDORA DE TITULOS E VALORES MOBILIARIOS LTDA.</x:v>
      </x:c>
      <x:c r="H1925" s="166" t="str">
        <x:v>Outros</x:v>
      </x:c>
      <x:c r="I1925" s="166" t="str">
        <x:v>Multicarteira Outros</x:v>
      </x:c>
      <x:c r="J1925" s="166" t="str">
        <x:v>CI</x:v>
      </x:c>
      <x:c r="K1925" s="172" t="n">
        <x:v>8</x:v>
      </x:c>
      <x:c r="L1925" s="185" t="str">
        <x:v>Não classificado</x:v>
      </x:c>
    </x:row>
    <x:row r="1926">
      <x:c r="A1926" s="175" t="str">
        <x:v>63.902.334/0001-70</x:v>
      </x:c>
      <x:c r="B1926" s="166" t="str">
        <x:v>ULTRA ARTESANAL FIC DE FUNDO DE INVESTIMENTO EM DIREITOS CREDITÓRIOS MULTICARTEIRA DE RESP LIMITADA</x:v>
      </x:c>
      <x:c r="C1926" s="188" t="n">
        <x:v>31140856.96</x:v>
      </x:c>
      <x:c r="D1926" s="166" t="str">
        <x:v>Artesanal Investimentos</x:v>
      </x:c>
      <x:c r="E1926" s="166" t="str">
        <x:f>IFERROR(INDEX('Classif Gestoras'!$H$6:$H$462,MATCH(D1926,'Classif Gestoras'!$A$6:$A$462,0)),"Não classificada")</x:f>
        <x:v>Independente</x:v>
      </x:c>
      <x:c r="F1926" s="166" t="str">
        <x:v>Genial Investimentos Corretora de Valores Mobiliários S.A.</x:v>
      </x:c>
      <x:c r="G1926" s="166" t="str">
        <x:v>BANCO GENIAL S.A.</x:v>
      </x:c>
      <x:c r="H1926" s="166" t="str">
        <x:v>Outros</x:v>
      </x:c>
      <x:c r="I1926" s="166" t="str">
        <x:v>Multicarteira Outros</x:v>
      </x:c>
      <x:c r="J1926" s="166" t="str">
        <x:v>CI</x:v>
      </x:c>
      <x:c r="K1926" s="172" t="n">
        <x:v>55</x:v>
      </x:c>
      <x:c r="L1926" s="185" t="str">
        <x:v>Não classificado</x:v>
      </x:c>
    </x:row>
    <x:row r="1927">
      <x:c r="A1927" s="175" t="str">
        <x:v>49.176.545/0001-42</x:v>
      </x:c>
      <x:c r="B1927" s="166" t="str">
        <x:v>RIVER II FUNDO DE INVESTIMENTO EM DIREITOS CREDITÓRIOS NÃO-PADRONIZADOS RESPONSABILIDADE LIMITADA</x:v>
      </x:c>
      <x:c r="C1927" s="188" t="n">
        <x:v>31064789.74</x:v>
      </x:c>
      <x:c r="D1927" s="166" t="str">
        <x:v>CONTEA CAPITAL</x:v>
      </x:c>
      <x:c r="E1927" s="166" t="str">
        <x:f>IFERROR(INDEX('Classif Gestoras'!$H$6:$H$462,MATCH(D1927,'Classif Gestoras'!$A$6:$A$462,0)),"Não classificada")</x:f>
        <x:v>Independente</x:v>
      </x:c>
      <x:c r="F1927" s="166" t="str">
        <x:v>ID Corretora de Títulos e Valores Mobiliários S.A.</x:v>
      </x:c>
      <x:c r="G1927" s="166" t="str">
        <x:v>ID CORRETORA DE TITULOS E VALORES MOBILIARIOS S.A.</x:v>
      </x:c>
      <x:c r="H1927" s="166" t="str">
        <x:v>Outros</x:v>
      </x:c>
      <x:c r="I1927" s="166" t="str">
        <x:v>Multicarteira Outros</x:v>
      </x:c>
      <x:c r="J1927" s="166" t="str">
        <x:v>CI</x:v>
      </x:c>
      <x:c r="K1927" s="172" t="n">
        <x:v>1</x:v>
      </x:c>
      <x:c r="L1927" s="185" t="str">
        <x:v>Não classificado</x:v>
      </x:c>
    </x:row>
    <x:row r="1928">
      <x:c r="A1928" s="175" t="str">
        <x:v>59.225.114/0001-82</x:v>
      </x:c>
      <x:c r="B1928" s="166" t="str">
        <x:v>FUNDO DE INVESTIMENTO EM DIREITOS CREDITÓRIOS FINEDU.TECH</x:v>
      </x:c>
      <x:c r="C1928" s="188" t="n">
        <x:v>31048959.550000004</x:v>
      </x:c>
      <x:c r="D1928" s="166" t="str">
        <x:v>CONTEA CAPITAL</x:v>
      </x:c>
      <x:c r="E1928" s="166" t="str">
        <x:f>IFERROR(INDEX('Classif Gestoras'!$H$6:$H$462,MATCH(D1928,'Classif Gestoras'!$A$6:$A$462,0)),"Não classificada")</x:f>
        <x:v>Independente</x:v>
      </x:c>
      <x:c r="F1928" s="166" t="str">
        <x:v>VÓRTX DTVM</x:v>
      </x:c>
      <x:c r="G1928" s="166" t="str">
        <x:v>VORTX DISTRIBUIDORA DE TITULOS E VALORES MOBILIARIOS LTDA.</x:v>
      </x:c>
      <x:c r="H1928" s="166" t="str">
        <x:v>Financeiro</x:v>
      </x:c>
      <x:c r="I1928" s="166" t="str">
        <x:v>Crédito Pessoal</x:v>
      </x:c>
      <x:c r="J1928" s="166" t="str">
        <x:v>CI</x:v>
      </x:c>
      <x:c r="K1928" s="172" t="n">
        <x:v>10</x:v>
      </x:c>
      <x:c r="L1928" s="185" t="str">
        <x:v>Não classificado</x:v>
      </x:c>
    </x:row>
    <x:row r="1929">
      <x:c r="A1929" s="175" t="str">
        <x:v>57.378.455/0001-62</x:v>
      </x:c>
      <x:c r="B1929" s="166" t="str">
        <x:v>TERTON FUNDO DE INVESTIMENTO DIREITOS CREDITÓRIOS DE RESPONSABILIDADE LIMITADA</x:v>
      </x:c>
      <x:c r="C1929" s="188" t="n">
        <x:v>31029075.1</x:v>
      </x:c>
      <x:c r="D1929" s="166" t="str">
        <x:v>Catálise Investimentos</x:v>
      </x:c>
      <x:c r="E1929" s="166" t="str">
        <x:f>IFERROR(INDEX('Classif Gestoras'!$H$6:$H$462,MATCH(D1929,'Classif Gestoras'!$A$6:$A$462,0)),"Não classificada")</x:f>
        <x:v>Independente</x:v>
      </x:c>
      <x:c r="F1929" s="166" t="str">
        <x:v>CATÁLISE DTVM</x:v>
      </x:c>
      <x:c r="G1929" s="166" t="str">
        <x:v>BANCO DAYCOVAL S.A.</x:v>
      </x:c>
      <x:c r="H1929" s="166" t="str">
        <x:v>Agro, Indústria e Comércio</x:v>
      </x:c>
      <x:c r="I1929" s="166" t="str">
        <x:v>Recebíveis Comerciais</x:v>
      </x:c>
      <x:c r="J1929" s="166" t="str">
        <x:v>CI</x:v>
      </x:c>
      <x:c r="K1929" s="172" t="n">
        <x:v>1</x:v>
      </x:c>
      <x:c r="L1929" s="185" t="str">
        <x:v>Não classificado</x:v>
      </x:c>
    </x:row>
    <x:row r="1930">
      <x:c r="A1930" s="175" t="str">
        <x:v>31.570.850/0001-59</x:v>
      </x:c>
      <x:c r="B1930" s="166" t="str">
        <x:v>MITTU FUNDO DE INVESTIMENTO EM DIREITOS CREDITÓRIOS</x:v>
      </x:c>
      <x:c r="C1930" s="188" t="n">
        <x:v>30900164.36</x:v>
      </x:c>
      <x:c r="D1930" s="166" t="str">
        <x:v>Solis</x:v>
      </x:c>
      <x:c r="E1930" s="166" t="str">
        <x:f>IFERROR(INDEX('Classif Gestoras'!$H$6:$H$462,MATCH(D1930,'Classif Gestoras'!$A$6:$A$462,0)),"Não classificada")</x:f>
        <x:v>Independente</x:v>
      </x:c>
      <x:c r="F1930" s="166" t="str">
        <x:v>HEMERA DTVM</x:v>
      </x:c>
      <x:c r="G1930" s="166" t="str">
        <x:v>HEMERA DISTRIBUIDORA DE TITULOS E VALORES MOBILIARIOS LTDA</x:v>
      </x:c>
      <x:c r="H1930" s="166" t="str">
        <x:v>Outros</x:v>
      </x:c>
      <x:c r="I1930" s="166" t="str">
        <x:v>Multicarteira Outros</x:v>
      </x:c>
      <x:c r="J1930" s="166" t="str">
        <x:v>CI</x:v>
      </x:c>
      <x:c r="K1930" s="172" t="n">
        <x:v>2</x:v>
      </x:c>
      <x:c r="L1930" s="185" t="str">
        <x:v>Não classificado</x:v>
      </x:c>
    </x:row>
    <x:row r="1931">
      <x:c r="A1931" s="175" t="str">
        <x:v>41.579.569/0001-30</x:v>
      </x:c>
      <x:c r="B1931" s="166" t="str">
        <x:v>BETTA FUNDO DE INVESTIMENTO EM DIREITOS CREDITÓRIOS</x:v>
      </x:c>
      <x:c r="C1931" s="188" t="n">
        <x:v>30850601.110000003</x:v>
      </x:c>
      <x:c r="D1931" s="166" t="str">
        <x:v>Apuama Capital</x:v>
      </x:c>
      <x:c r="E1931" s="166" t="str">
        <x:f>IFERROR(INDEX('Classif Gestoras'!$H$6:$H$462,MATCH(D1931,'Classif Gestoras'!$A$6:$A$462,0)),"Não classificada")</x:f>
        <x:v>Independente</x:v>
      </x:c>
      <x:c r="F1931" s="166" t="str">
        <x:v>FIDD DISTRIBUIDORA DE TITULOS E VALORES MOBILIARIOS LTD</x:v>
      </x:c>
      <x:c r="G1931" s="166" t="str">
        <x:v>FIDD DISTRIBUIDORA DE TITULOS E VALORES MOBILIARIOS LTDA.</x:v>
      </x:c>
      <x:c r="H1931" s="166" t="str">
        <x:v>Outros</x:v>
      </x:c>
      <x:c r="I1931" s="166" t="str">
        <x:v>Multicarteira Outros</x:v>
      </x:c>
      <x:c r="J1931" s="166" t="str">
        <x:v>CI</x:v>
      </x:c>
      <x:c r="K1931" s="172" t="n">
        <x:v>11</x:v>
      </x:c>
      <x:c r="L1931" s="185" t="str">
        <x:v>Não classificado</x:v>
      </x:c>
    </x:row>
    <x:row r="1932">
      <x:c r="A1932" s="175" t="str">
        <x:v>49.998.142/0001-89</x:v>
      </x:c>
      <x:c r="B1932" s="166" t="str">
        <x:v>MAGIC FUNDO DE INVESTIMENTO EM DIREITOS CREDITÓRIOS</x:v>
      </x:c>
      <x:c r="C1932" s="188" t="n">
        <x:v>30736072.08</x:v>
      </x:c>
      <x:c r="D1932" s="166" t="str">
        <x:v>Plural Investimentos Gestão de Recursos Ltda.</x:v>
      </x:c>
      <x:c r="E1932" s="166" t="str">
        <x:f>IFERROR(INDEX('Classif Gestoras'!$H$6:$H$462,MATCH(D1932,'Classif Gestoras'!$A$6:$A$462,0)),"Não classificada")</x:f>
        <x:v>Ligada a banco</x:v>
      </x:c>
      <x:c r="F1932" s="166" t="str">
        <x:v>Genial Investimentos Corretora de Valores Mobiliários S.A.</x:v>
      </x:c>
      <x:c r="G1932" s="166" t="str">
        <x:v>BANCO GENIAL S.A.</x:v>
      </x:c>
      <x:c r="H1932" s="166" t="str">
        <x:v>Outros</x:v>
      </x:c>
      <x:c r="I1932" s="166" t="str">
        <x:v>Recuperação</x:v>
      </x:c>
      <x:c r="J1932" s="166" t="str">
        <x:v>CI</x:v>
      </x:c>
      <x:c r="K1932" s="172" t="n">
        <x:v>1</x:v>
      </x:c>
      <x:c r="L1932" s="185" t="str">
        <x:v>Não classificado</x:v>
      </x:c>
    </x:row>
    <x:row r="1933">
      <x:c r="A1933" s="175" t="str">
        <x:v>09.609.468/0001-52</x:v>
      </x:c>
      <x:c r="B1933" s="166" t="str">
        <x:v>MACRO FUND - FUNDO DE INVESTIMENTO EM DIREITOS CREDITÓRIOS MULTISEGMENTOS</x:v>
      </x:c>
      <x:c r="C1933" s="188" t="n">
        <x:v>30684633.09</x:v>
      </x:c>
      <x:c r="D1933" s="166" t="str">
        <x:v>Petra Capital</x:v>
      </x:c>
      <x:c r="E1933" s="166" t="str">
        <x:f>IFERROR(INDEX('Classif Gestoras'!$H$6:$H$462,MATCH(D1933,'Classif Gestoras'!$A$6:$A$462,0)),"Não classificada")</x:f>
        <x:v>Independente</x:v>
      </x:c>
      <x:c r="F1933" s="166" t="str">
        <x:v>Banco Finaxis S.A.</x:v>
      </x:c>
      <x:c r="G1933" s="166" t="str">
        <x:v>BANCO FINAXIS S.A.</x:v>
      </x:c>
      <x:c r="H1933" s="166" t="str">
        <x:v>Fomento Mercantil</x:v>
      </x:c>
      <x:c r="I1933" s="166" t="str">
        <x:v>Fomento Mercantil</x:v>
      </x:c>
      <x:c r="J1933" s="166" t="str">
        <x:v>CI</x:v>
      </x:c>
      <x:c r="K1933" s="172" t="n">
        <x:v>1</x:v>
      </x:c>
      <x:c r="L1933" s="185" t="str">
        <x:v>Não classificado</x:v>
      </x:c>
    </x:row>
    <x:row r="1934">
      <x:c r="A1934" s="175" t="str">
        <x:v>57.182.898/0001-83</x:v>
      </x:c>
      <x:c r="B1934" s="166" t="str">
        <x:v>COPOBRAS FUNDO DE INVESTIMENTO EM DIREITOS CREDITÓRIOS DE RESPONSABILIDADE LIMITADA RECEBÍVEIS COME</x:v>
      </x:c>
      <x:c r="C1934" s="188" t="n">
        <x:v>30667232.43</x:v>
      </x:c>
      <x:c r="D1934" s="166" t="str">
        <x:v>Maud Capital</x:v>
      </x:c>
      <x:c r="E1934" s="166" t="str">
        <x:f>IFERROR(INDEX('Classif Gestoras'!$H$6:$H$462,MATCH(D1934,'Classif Gestoras'!$A$6:$A$462,0)),"Não classificada")</x:f>
        <x:v>Independente</x:v>
      </x:c>
      <x:c r="F1934" s="166" t="str">
        <x:v>OSLO DTVM S. A.</x:v>
      </x:c>
      <x:c r="G1934" s="166" t="str">
        <x:v>OSLO CAPITAL DISTRIBUIDORA DE TITULOS E VALORES MOBILIARIOS S.A.</x:v>
      </x:c>
      <x:c r="H1934" s="166" t="str">
        <x:v>Agro, Indústria e Comércio</x:v>
      </x:c>
      <x:c r="I1934" s="166" t="str">
        <x:v>Recebíveis Comerciais</x:v>
      </x:c>
      <x:c r="J1934" s="166" t="str">
        <x:v>CI</x:v>
      </x:c>
      <x:c r="K1934" s="172" t="n">
        <x:v>40</x:v>
      </x:c>
      <x:c r="L1934" s="185" t="str">
        <x:v>Não classificado</x:v>
      </x:c>
    </x:row>
    <x:row r="1935">
      <x:c r="A1935" s="175" t="str">
        <x:v>60.115.023/0001-73</x:v>
      </x:c>
      <x:c r="B1935" s="166" t="str">
        <x:v>SKIEN FUNDO DE INVESTIMENTO EM DIREITOS CREDITÓRIOS</x:v>
      </x:c>
      <x:c r="C1935" s="188" t="n">
        <x:v>30666257.94</x:v>
      </x:c>
      <x:c r="D1935" s="166" t="str">
        <x:v>Fram Capital Gestão de Ativos Ltda</x:v>
      </x:c>
      <x:c r="E1935" s="166" t="str">
        <x:f>IFERROR(INDEX('Classif Gestoras'!$H$6:$H$462,MATCH(D1935,'Classif Gestoras'!$A$6:$A$462,0)),"Não classificada")</x:f>
        <x:v>Independente</x:v>
      </x:c>
      <x:c r="F1935" s="166" t="str">
        <x:v>OSLO DTVM S. A.</x:v>
      </x:c>
      <x:c r="G1935" s="166" t="str">
        <x:v>OSLO CAPITAL DISTRIBUIDORA DE TITULOS E VALORES MOBILIARIOS S.A.</x:v>
      </x:c>
      <x:c r="H1935" s="166" t="str">
        <x:v>Outros</x:v>
      </x:c>
      <x:c r="I1935" s="166" t="str">
        <x:v>Multicarteira Outros</x:v>
      </x:c>
      <x:c r="J1935" s="166" t="str">
        <x:v>CI</x:v>
      </x:c>
      <x:c r="K1935" s="172" t="n">
        <x:v>1</x:v>
      </x:c>
      <x:c r="L1935" s="185" t="str">
        <x:v>Não classificado</x:v>
      </x:c>
    </x:row>
    <x:row r="1936">
      <x:c r="A1936" s="175" t="str">
        <x:v>55.897.261/0001-48</x:v>
      </x:c>
      <x:c r="B1936" s="166" t="str">
        <x:v>VIA CERTA FUNDO DE INVESTIMENTO EM DIREITOS CREDITÓRIOS FINANCEIROS</x:v>
      </x:c>
      <x:c r="C1936" s="188" t="n">
        <x:v>30600423.91</x:v>
      </x:c>
      <x:c r="D1936" s="166" t="str">
        <x:v>Integral Investimentos</x:v>
      </x:c>
      <x:c r="E1936" s="166" t="str">
        <x:f>IFERROR(INDEX('Classif Gestoras'!$H$6:$H$462,MATCH(D1936,'Classif Gestoras'!$A$6:$A$462,0)),"Não classificada")</x:f>
        <x:v>Independente</x:v>
      </x:c>
      <x:c r="F1936" s="166" t="str">
        <x:v>Oliveira Trust DTVM</x:v>
      </x:c>
      <x:c r="G1936" s="166" t="str">
        <x:v>OLIVEIRA TRUST DTVM S.A.</x:v>
      </x:c>
      <x:c r="H1936" s="166" t="str">
        <x:v>Financeiro</x:v>
      </x:c>
      <x:c r="I1936" s="166" t="str">
        <x:v>Crédito Pessoal</x:v>
      </x:c>
      <x:c r="J1936" s="166" t="str">
        <x:v>CI</x:v>
      </x:c>
      <x:c r="K1936" s="172" t="n">
        <x:v>45</x:v>
      </x:c>
      <x:c r="L1936" s="185" t="str">
        <x:v>Não classificado</x:v>
      </x:c>
    </x:row>
    <x:row r="1937">
      <x:c r="A1937" s="175" t="str">
        <x:v>12.400.426/0001-11</x:v>
      </x:c>
      <x:c r="B1937" s="166" t="str">
        <x:v>MOKA FUND I FUNDO DE INVESTIMENTO EM DIREITOS CREDITÓRIOS</x:v>
      </x:c>
      <x:c r="C1937" s="188" t="n">
        <x:v>30575316.08</x:v>
      </x:c>
      <x:c r="D1937" s="166" t="str">
        <x:v>Moka Gestora de Recursos de Terceiros LTDA.</x:v>
      </x:c>
      <x:c r="E1937" s="166" t="str">
        <x:f>IFERROR(INDEX('Classif Gestoras'!$H$6:$H$462,MATCH(D1937,'Classif Gestoras'!$A$6:$A$462,0)),"Não classificada")</x:f>
        <x:v>Independente</x:v>
      </x:c>
      <x:c r="F1937" s="166" t="str">
        <x:v>Singulare</x:v>
      </x:c>
      <x:c r="G1937" s="166" t="str">
        <x:v>QI CORRETORA DE TÍTULOS E VALORES MOBILIÁRIOS S.A.</x:v>
      </x:c>
      <x:c r="H1937" s="166" t="str">
        <x:v>Fomento Mercantil</x:v>
      </x:c>
      <x:c r="I1937" s="166" t="str">
        <x:v>Fomento Mercantil</x:v>
      </x:c>
      <x:c r="J1937" s="166" t="str">
        <x:v>CI</x:v>
      </x:c>
      <x:c r="K1937" s="172" t="n">
        <x:v>50</x:v>
      </x:c>
      <x:c r="L1937" s="185" t="str">
        <x:v>Não classificado</x:v>
      </x:c>
    </x:row>
    <x:row r="1938">
      <x:c r="A1938" s="175" t="str">
        <x:v>18.269.128/0001-10</x:v>
      </x:c>
      <x:c r="B1938" s="166" t="str">
        <x:v>DB 18 FUNDO DE INVESTIMENTO EM DIREITOS CREDITÓRIOS MULTISSETORIAL</x:v>
      </x:c>
      <x:c r="C1938" s="188" t="n">
        <x:v>30559324.359999996</x:v>
      </x:c>
      <x:c r="D1938" s="166" t="str">
        <x:v>Petra Capital</x:v>
      </x:c>
      <x:c r="E1938" s="166" t="str">
        <x:f>IFERROR(INDEX('Classif Gestoras'!$H$6:$H$462,MATCH(D1938,'Classif Gestoras'!$A$6:$A$462,0)),"Não classificada")</x:f>
        <x:v>Independente</x:v>
      </x:c>
      <x:c r="F1938" s="166" t="str">
        <x:v>Banco Finaxis S.A.</x:v>
      </x:c>
      <x:c r="G1938" s="166" t="str">
        <x:v>BANCO FINAXIS S.A.</x:v>
      </x:c>
      <x:c r="H1938" s="166" t="str">
        <x:v>Fomento Mercantil</x:v>
      </x:c>
      <x:c r="I1938" s="166" t="str">
        <x:v>Fomento Mercantil</x:v>
      </x:c>
      <x:c r="J1938" s="166" t="str">
        <x:v>CI</x:v>
      </x:c>
      <x:c r="K1938" s="172" t="n">
        <x:v>13</x:v>
      </x:c>
      <x:c r="L1938" s="185" t="str">
        <x:v>Não classificado</x:v>
      </x:c>
    </x:row>
    <x:row r="1939">
      <x:c r="A1939" s="175" t="str">
        <x:v>38.328.747/0001-46</x:v>
      </x:c>
      <x:c r="B1939" s="166" t="str">
        <x:v>JUSINVEST I - FUNDO DE INVESTIMENTO EM DIREITOS CREDITORIOS</x:v>
      </x:c>
      <x:c r="C1939" s="188" t="n">
        <x:v>30541215.17</x:v>
      </x:c>
      <x:c r="D1939" s="166" t="str">
        <x:v>Versal Finance Gestão de Recursos LTDA.</x:v>
      </x:c>
      <x:c r="E1939" s="166" t="str">
        <x:f>IFERROR(INDEX('Classif Gestoras'!$H$6:$H$462,MATCH(D1939,'Classif Gestoras'!$A$6:$A$462,0)),"Não classificada")</x:f>
        <x:v>Independente</x:v>
      </x:c>
      <x:c r="F1939" s="166" t="str">
        <x:v>Limine Trust Distribuidora de Titulos e Valores Mobiliá</x:v>
      </x:c>
      <x:c r="G1939" s="166" t="str">
        <x:v>LIMINE TRUST DISTRIBUIDORA DE TITULOS E VALORES MOBILIARIOS LTDA.</x:v>
      </x:c>
      <x:c r="H1939" s="166" t="str">
        <x:v>Outros</x:v>
      </x:c>
      <x:c r="I1939" s="166" t="str">
        <x:v>Multicarteira Outros</x:v>
      </x:c>
      <x:c r="J1939" s="166" t="str">
        <x:v>CI</x:v>
      </x:c>
      <x:c r="K1939" s="172" t="n">
        <x:v>14</x:v>
      </x:c>
      <x:c r="L1939" s="185" t="str">
        <x:v>Não classificado</x:v>
      </x:c>
    </x:row>
    <x:row r="1940">
      <x:c r="A1940" s="175" t="str">
        <x:v>59.400.657/0001-99</x:v>
      </x:c>
      <x:c r="B1940" s="166" t="str">
        <x:v>FUNDO DE INVESTIMENTO EM DIREITOS CREDITÓRIOS EXT VAMMO I RESPONSABILIDADE LIMITADA</x:v>
      </x:c>
      <x:c r="C1940" s="188" t="n">
        <x:v>30517957.27</x:v>
      </x:c>
      <x:c r="D1940" s="166" t="str">
        <x:v>Ext Capital</x:v>
      </x:c>
      <x:c r="E1940" s="166" t="str">
        <x:f>IFERROR(INDEX('Classif Gestoras'!$H$6:$H$462,MATCH(D1940,'Classif Gestoras'!$A$6:$A$462,0)),"Não classificada")</x:f>
        <x:v>Independente</x:v>
      </x:c>
      <x:c r="F1940" s="166" t="str">
        <x:v>BANCO DAYCOVAL S/A</x:v>
      </x:c>
      <x:c r="G1940" s="166" t="str">
        <x:v>BANCO DAYCOVAL S.A.</x:v>
      </x:c>
      <x:c r="H1940" s="166" t="str">
        <x:v>Financeiro</x:v>
      </x:c>
      <x:c r="I1940" s="166" t="str">
        <x:v>Multicarteira Financeiro</x:v>
      </x:c>
      <x:c r="J1940" s="166" t="str">
        <x:v>CI</x:v>
      </x:c>
      <x:c r="K1940" s="172" t="n">
        <x:v>8</x:v>
      </x:c>
      <x:c r="L1940" s="185" t="str">
        <x:v>Não classificado</x:v>
      </x:c>
    </x:row>
    <x:row r="1941">
      <x:c r="A1941" s="175" t="str">
        <x:v>53.390.769/0001-20</x:v>
      </x:c>
      <x:c r="B1941" s="166" t="str">
        <x:v>CONFIANÇA CONDOMÍNIO GARANTIDO FUNDO DE INVESTIMENTO EM DIREITOS CREDITÓRIOS</x:v>
      </x:c>
      <x:c r="C1941" s="188" t="n">
        <x:v>30437253.92</x:v>
      </x:c>
      <x:c r="D1941" s="166" t="str">
        <x:v>UC Gestora de Recursos</x:v>
      </x:c>
      <x:c r="E1941" s="166" t="str">
        <x:f>IFERROR(INDEX('Classif Gestoras'!$H$6:$H$462,MATCH(D1941,'Classif Gestoras'!$A$6:$A$462,0)),"Não classificada")</x:f>
        <x:v>Independente</x:v>
      </x:c>
      <x:c r="F1941" s="166" t="str">
        <x:v>Singulare</x:v>
      </x:c>
      <x:c r="G1941" s="166" t="str">
        <x:v>QI CORRETORA DE TÍTULOS E VALORES MOBILIÁRIOS S.A.</x:v>
      </x:c>
      <x:c r="H1941" s="166" t="str">
        <x:v>Fomento Mercantil</x:v>
      </x:c>
      <x:c r="I1941" s="166" t="str">
        <x:v>Fomento Mercantil</x:v>
      </x:c>
      <x:c r="J1941" s="166" t="str">
        <x:v>CI</x:v>
      </x:c>
      <x:c r="K1941" s="172" t="n">
        <x:v>3</x:v>
      </x:c>
      <x:c r="L1941" s="185" t="str">
        <x:v>Não classificado</x:v>
      </x:c>
    </x:row>
    <x:row r="1942">
      <x:c r="A1942" s="175" t="str">
        <x:v>22.397.286/0001-23</x:v>
      </x:c>
      <x:c r="B1942" s="166" t="str">
        <x:v>INVESTHOR FUNDO DE INVESTIMENTO EM DIREITOS CREDITÓRIOS</x:v>
      </x:c>
      <x:c r="C1942" s="188" t="n">
        <x:v>30413182.02</x:v>
      </x:c>
      <x:c r="D1942" s="166" t="str">
        <x:v>Solis</x:v>
      </x:c>
      <x:c r="E1942" s="166" t="str">
        <x:f>IFERROR(INDEX('Classif Gestoras'!$H$6:$H$462,MATCH(D1942,'Classif Gestoras'!$A$6:$A$462,0)),"Não classificada")</x:f>
        <x:v>Independente</x:v>
      </x:c>
      <x:c r="F1942" s="166" t="str">
        <x:v>HEMERA DTVM</x:v>
      </x:c>
      <x:c r="G1942" s="166" t="str">
        <x:v>HEMERA DISTRIBUIDORA DE TITULOS E VALORES MOBILIARIOS LTDA</x:v>
      </x:c>
      <x:c r="H1942" s="166" t="str">
        <x:v>Fomento Mercantil</x:v>
      </x:c>
      <x:c r="I1942" s="166" t="str">
        <x:v>Fomento Mercantil</x:v>
      </x:c>
      <x:c r="J1942" s="166" t="str">
        <x:v>CI</x:v>
      </x:c>
      <x:c r="K1942" s="172" t="n">
        <x:v>7</x:v>
      </x:c>
      <x:c r="L1942" s="185" t="str">
        <x:v>Não classificado</x:v>
      </x:c>
    </x:row>
    <x:row r="1943">
      <x:c r="A1943" s="175" t="str">
        <x:v>57.996.195/0001-99</x:v>
      </x:c>
      <x:c r="B1943" s="166" t="str">
        <x:v>CDC EMPRÉSTIMOS FUNDO DE INVESTIMENTO EM DIREITOS CREDITÓRIOS DE CLASSE ÚNICA FECHADA</x:v>
      </x:c>
      <x:c r="C1943" s="188" t="n">
        <x:v>30382306.930000003</x:v>
      </x:c>
      <x:c r="D1943" s="166" t="str">
        <x:v>CARMEL GESTORA DE ATIVOS LTDA</x:v>
      </x:c>
      <x:c r="E1943" s="166" t="str">
        <x:f>IFERROR(INDEX('Classif Gestoras'!$H$6:$H$462,MATCH(D1943,'Classif Gestoras'!$A$6:$A$462,0)),"Não classificada")</x:f>
        <x:v>Independente</x:v>
      </x:c>
      <x:c r="F1943" s="166" t="str">
        <x:v>BRL TRUST DTVM</x:v>
      </x:c>
      <x:c r="G1943" s="166" t="str">
        <x:v>BRL TRUST DISTRIBUIDORA DE TITULOS E VALORES MOBILIARIOS S.A.</x:v>
      </x:c>
      <x:c r="H1943" s="166" t="str">
        <x:v>Financeiro</x:v>
      </x:c>
      <x:c r="I1943" s="166" t="str">
        <x:v>Multicarteira Financeiro</x:v>
      </x:c>
      <x:c r="J1943" s="166" t="str">
        <x:v>CI</x:v>
      </x:c>
      <x:c r="K1943" s="172" t="n">
        <x:v>13</x:v>
      </x:c>
      <x:c r="L1943" s="185" t="str">
        <x:v>Não classificado</x:v>
      </x:c>
    </x:row>
    <x:row r="1944">
      <x:c r="A1944" s="175" t="str">
        <x:v>50.749.446/0001-91</x:v>
      </x:c>
      <x:c r="B1944" s="166" t="str">
        <x:v>CNPJ 50749446000191</x:v>
      </x:c>
      <x:c r="C1944" s="188" t="n">
        <x:v>30354314.79</x:v>
      </x:c>
      <x:c r="D1944" s="166" t="str">
        <x:v>CERES ASSET</x:v>
      </x:c>
      <x:c r="E1944" s="166" t="str">
        <x:f>IFERROR(INDEX('Classif Gestoras'!$H$6:$H$462,MATCH(D1944,'Classif Gestoras'!$A$6:$A$462,0)),"Não classificada")</x:f>
        <x:v>Independente</x:v>
      </x:c>
      <x:c r="F1944" s="166" t="str">
        <x:v>VÓRTX DTVM</x:v>
      </x:c>
      <x:c r="G1944" s="166" t="str">
        <x:v>Não identificado</x:v>
      </x:c>
      <x:c r="H1944" s="166" t="str">
        <x:v>Agro, Indústria e Comércio</x:v>
      </x:c>
      <x:c r="I1944" s="166" t="str">
        <x:v>Agronegócio</x:v>
      </x:c>
      <x:c r="J1944" s="166" t="str">
        <x:v>CI</x:v>
      </x:c>
      <x:c r="K1944" s="172"/>
      <x:c r="L1944" s="185" t="str">
        <x:v>Não classificado</x:v>
      </x:c>
    </x:row>
    <x:row r="1945">
      <x:c r="A1945" s="175" t="str">
        <x:v>61.942.198/0001-17</x:v>
      </x:c>
      <x:c r="B1945" s="166" t="str">
        <x:v>FUNDO DE INVESTIMENTO EM DIREITOS CREDITÓRIOS HAM - RESPONSABILIDADE LIMITADA</x:v>
      </x:c>
      <x:c r="C1945" s="188" t="n">
        <x:v>30336116.32</x:v>
      </x:c>
      <x:c r="D1945" s="166" t="str">
        <x:v>ANGÁ ASSET MANAGEMENT</x:v>
      </x:c>
      <x:c r="E1945" s="166" t="str">
        <x:f>IFERROR(INDEX('Classif Gestoras'!$H$6:$H$462,MATCH(D1945,'Classif Gestoras'!$A$6:$A$462,0)),"Não classificada")</x:f>
        <x:v>Independente</x:v>
      </x:c>
      <x:c r="F1945" s="166" t="str">
        <x:v>BANCO DAYCOVAL S/A</x:v>
      </x:c>
      <x:c r="G1945" s="166" t="str">
        <x:v>BANCO DAYCOVAL S.A.</x:v>
      </x:c>
      <x:c r="H1945" s="166" t="str">
        <x:v>Financeiro</x:v>
      </x:c>
      <x:c r="I1945" s="166" t="str">
        <x:v>Crédito Consignado</x:v>
      </x:c>
      <x:c r="J1945" s="166" t="str">
        <x:v>CI</x:v>
      </x:c>
      <x:c r="K1945" s="172" t="n">
        <x:v>10</x:v>
      </x:c>
      <x:c r="L1945" s="185" t="str">
        <x:v>Não classificado</x:v>
      </x:c>
    </x:row>
    <x:row r="1946">
      <x:c r="A1946" s="175" t="str">
        <x:v>65.668.467/0001-50</x:v>
      </x:c>
      <x:c r="B1946" s="166" t="str">
        <x:v>EVORA FUNDO DE INVESTIMENTO EM DIREITOS CREDITÓRIOS</x:v>
      </x:c>
      <x:c r="C1946" s="188" t="n">
        <x:v>30325424.8</x:v>
      </x:c>
      <x:c r="D1946" s="166" t="str">
        <x:v>FIDD Administração de Recursos Ltda.</x:v>
      </x:c>
      <x:c r="E1946" s="166" t="str">
        <x:f>IFERROR(INDEX('Classif Gestoras'!$H$6:$H$462,MATCH(D1946,'Classif Gestoras'!$A$6:$A$462,0)),"Não classificada")</x:f>
        <x:v>Independente</x:v>
      </x:c>
      <x:c r="F1946" s="166" t="str">
        <x:v>FIDD DISTRIBUIDORA DE TITULOS E VALORES MOBILIARIOS LTD</x:v>
      </x:c>
      <x:c r="G1946" s="166" t="str">
        <x:v>FIDD DISTRIBUIDORA DE TITULOS E VALORES MOBILIARIOS LTDA.</x:v>
      </x:c>
      <x:c r="H1946" s="166" t="str">
        <x:v>Outros</x:v>
      </x:c>
      <x:c r="I1946" s="166" t="str">
        <x:v>Multicarteira Outros</x:v>
      </x:c>
      <x:c r="J1946" s="166" t="str">
        <x:v>CI</x:v>
      </x:c>
      <x:c r="K1946" s="172" t="n">
        <x:v>1</x:v>
      </x:c>
      <x:c r="L1946" s="185" t="str">
        <x:v>Não classificado</x:v>
      </x:c>
    </x:row>
    <x:row r="1947">
      <x:c r="A1947" s="175" t="str">
        <x:v>65.470.525/0001-36</x:v>
      </x:c>
      <x:c r="B1947" s="166" t="str">
        <x:v>DHT GROWTH CAPITAL FUNDO DE INVESTIMENTO EM DIREITOS CREDITÓRIOS CRÉDITO CORPORATIVO</x:v>
      </x:c>
      <x:c r="C1947" s="188" t="n">
        <x:v>30312748.950000003</x:v>
      </x:c>
      <x:c r="D1947" s="166" t="str">
        <x:v>Harbour Capital</x:v>
      </x:c>
      <x:c r="E1947" s="166" t="str">
        <x:f>IFERROR(INDEX('Classif Gestoras'!$H$6:$H$462,MATCH(D1947,'Classif Gestoras'!$A$6:$A$462,0)),"Não classificada")</x:f>
        <x:v>Independente</x:v>
      </x:c>
      <x:c r="F1947" s="166" t="str">
        <x:v>AZUMI DISTRIBUIDORA DE TÍTULOS E VALORES MOBILIÁRIOS LT</x:v>
      </x:c>
      <x:c r="G1947" s="166" t="str">
        <x:v>AZUMI DISTRIBUIDORA DE TÍTULOS E VALORES MOBILIÁRIOS LTDA.</x:v>
      </x:c>
      <x:c r="H1947" s="166" t="str">
        <x:v>Fomento Mercantil</x:v>
      </x:c>
      <x:c r="I1947" s="166" t="str">
        <x:v>Fomento Mercantil</x:v>
      </x:c>
      <x:c r="J1947" s="166" t="str">
        <x:v>CI</x:v>
      </x:c>
      <x:c r="K1947" s="172" t="n">
        <x:v>2</x:v>
      </x:c>
      <x:c r="L1947" s="185" t="str">
        <x:v>Não classificado</x:v>
      </x:c>
    </x:row>
    <x:row r="1948">
      <x:c r="A1948" s="175" t="str">
        <x:v>65.836.995/0001-70</x:v>
      </x:c>
      <x:c r="B1948" s="166" t="str">
        <x:v>PNEUCASH II FUNDO DE INVESTIMENTO EM DIREITOS CREDITÓRIOS DE CLASSE ÚNICA FECHADA RESP LIMITADA</x:v>
      </x:c>
      <x:c r="C1948" s="188" t="n">
        <x:v>30275084.13</x:v>
      </x:c>
      <x:c r="D1948" s="166" t="str">
        <x:v>ANGÁ ASSET MANAGEMENT</x:v>
      </x:c>
      <x:c r="E1948" s="166" t="str">
        <x:f>IFERROR(INDEX('Classif Gestoras'!$H$6:$H$462,MATCH(D1948,'Classif Gestoras'!$A$6:$A$462,0)),"Não classificada")</x:f>
        <x:v>Independente</x:v>
      </x:c>
      <x:c r="F1948" s="166" t="str">
        <x:v>BANCO DAYCOVAL S/A</x:v>
      </x:c>
      <x:c r="G1948" s="166" t="str">
        <x:v>BANCO DAYCOVAL S.A.</x:v>
      </x:c>
      <x:c r="H1948" s="166" t="str">
        <x:v>Outros</x:v>
      </x:c>
      <x:c r="I1948" s="166" t="str">
        <x:v>Multicarteira Outros</x:v>
      </x:c>
      <x:c r="J1948" s="166" t="str">
        <x:v>CI</x:v>
      </x:c>
      <x:c r="K1948" s="172" t="n">
        <x:v>3</x:v>
      </x:c>
      <x:c r="L1948" s="185" t="str">
        <x:v>Não classificado</x:v>
      </x:c>
    </x:row>
    <x:row r="1949">
      <x:c r="A1949" s="175" t="str">
        <x:v>61.062.538/0001-15</x:v>
      </x:c>
      <x:c r="B1949" s="166" t="str">
        <x:v>EXT LOOMY FUNDO DE INVESTIMENTO EM DIREITOS CREDITÓRIOS RESPONSABILIDADE LIMITADA</x:v>
      </x:c>
      <x:c r="C1949" s="188" t="n">
        <x:v>30063693.430000003</x:v>
      </x:c>
      <x:c r="D1949" s="166" t="str">
        <x:v>Ext Capital</x:v>
      </x:c>
      <x:c r="E1949" s="166" t="str">
        <x:f>IFERROR(INDEX('Classif Gestoras'!$H$6:$H$462,MATCH(D1949,'Classif Gestoras'!$A$6:$A$462,0)),"Não classificada")</x:f>
        <x:v>Independente</x:v>
      </x:c>
      <x:c r="F1949" s="166" t="str">
        <x:v>Limine Trust Distribuidora de Titulos e Valores Mobiliá</x:v>
      </x:c>
      <x:c r="G1949" s="166" t="str">
        <x:v>LIMINE TRUST DISTRIBUIDORA DE TITULOS E VALORES MOBILIARIOS LTDA.</x:v>
      </x:c>
      <x:c r="H1949" s="166" t="str">
        <x:v>Outros</x:v>
      </x:c>
      <x:c r="I1949" s="166" t="str">
        <x:v>Multicarteira Outros</x:v>
      </x:c>
      <x:c r="J1949" s="166" t="str">
        <x:v>CI</x:v>
      </x:c>
      <x:c r="K1949" s="172" t="n">
        <x:v>9</x:v>
      </x:c>
      <x:c r="L1949" s="185" t="str">
        <x:v>Não classificado</x:v>
      </x:c>
    </x:row>
    <x:row r="1950">
      <x:c r="A1950" s="175" t="str">
        <x:v>46.405.697/0001-81</x:v>
      </x:c>
      <x:c r="B1950" s="166" t="str">
        <x:v>RELOAD FUNDO DE INVESTIMENTO EM DIREITOS CREDITÓRIOS</x:v>
      </x:c>
      <x:c r="C1950" s="188" t="n">
        <x:v>30046577.69</x:v>
      </x:c>
      <x:c r="D1950" s="166" t="str">
        <x:v>Milênio Capital</x:v>
      </x:c>
      <x:c r="E1950" s="166" t="str">
        <x:f>IFERROR(INDEX('Classif Gestoras'!$H$6:$H$462,MATCH(D1950,'Classif Gestoras'!$A$6:$A$462,0)),"Não classificada")</x:f>
        <x:v>Independente</x:v>
      </x:c>
      <x:c r="F1950" s="166" t="str">
        <x:v>BANCO DAYCOVAL S/A</x:v>
      </x:c>
      <x:c r="G1950" s="166" t="str">
        <x:v>BANCO DAYCOVAL S.A.</x:v>
      </x:c>
      <x:c r="H1950" s="166" t="str">
        <x:v>Financeiro</x:v>
      </x:c>
      <x:c r="I1950" s="166" t="str">
        <x:v>Financiamento de Veículos</x:v>
      </x:c>
      <x:c r="J1950" s="166" t="str">
        <x:v>CI</x:v>
      </x:c>
      <x:c r="K1950" s="172" t="n">
        <x:v>1</x:v>
      </x:c>
      <x:c r="L1950" s="185" t="str">
        <x:v>Não classificado</x:v>
      </x:c>
    </x:row>
    <x:row r="1951">
      <x:c r="A1951" s="175" t="str">
        <x:v>56.125.191/0001-72</x:v>
      </x:c>
      <x:c r="B1951" s="166" t="str">
        <x:v>IMOB RS FUNDO DE INVESTIMENTO EM DIREITOS CREDITÓRIOS - RESPONSABILIDADE LIMITADA</x:v>
      </x:c>
      <x:c r="C1951" s="188" t="n">
        <x:v>29953914.130000003</x:v>
      </x:c>
      <x:c r="D1951" s="166" t="str">
        <x:v>QI GESTAO DE RECURSOS LTDA</x:v>
      </x:c>
      <x:c r="E1951" s="166" t="str">
        <x:f>IFERROR(INDEX('Classif Gestoras'!$H$6:$H$462,MATCH(D1951,'Classif Gestoras'!$A$6:$A$462,0)),"Não classificada")</x:f>
        <x:v>Independente</x:v>
      </x:c>
      <x:c r="F1951" s="166" t="str">
        <x:v>QI DISTRIBUIDORA DE TITULOS E VALORES MOBILIARIOS LTDA</x:v>
      </x:c>
      <x:c r="G1951" s="166" t="str">
        <x:v>QI CORRETORA DE TÍTULOS E VALORES MOBILIÁRIOS S.A.</x:v>
      </x:c>
      <x:c r="H1951" s="166" t="str">
        <x:v>Financeiro</x:v>
      </x:c>
      <x:c r="I1951" s="166" t="str">
        <x:v>Crédito Imobiliário</x:v>
      </x:c>
      <x:c r="J1951" s="166" t="str">
        <x:v>CI</x:v>
      </x:c>
      <x:c r="K1951" s="172" t="n">
        <x:v>1</x:v>
      </x:c>
      <x:c r="L1951" s="185" t="str">
        <x:v>Não classificado</x:v>
      </x:c>
    </x:row>
    <x:row r="1952">
      <x:c r="A1952" s="175" t="str">
        <x:v>59.717.706/0001-11</x:v>
      </x:c>
      <x:c r="B1952" s="166" t="str">
        <x:v>SILVER BIRD FUNDO DE INVESTIMENTO EM DIREITOS CREDITÓRIOS</x:v>
      </x:c>
      <x:c r="C1952" s="188" t="n">
        <x:v>29936456.180000003</x:v>
      </x:c>
      <x:c r="D1952" s="166" t="str">
        <x:v>Number Asset Brasil Ltda.</x:v>
      </x:c>
      <x:c r="E1952" s="166" t="str">
        <x:f>IFERROR(INDEX('Classif Gestoras'!$H$6:$H$462,MATCH(D1952,'Classif Gestoras'!$A$6:$A$462,0)),"Não classificada")</x:f>
        <x:v>Independente</x:v>
      </x:c>
      <x:c r="F1952" s="166" t="str">
        <x:v>PLANNER CV</x:v>
      </x:c>
      <x:c r="G1952" s="166" t="str">
        <x:v>PLANNER CORRETORA DE VALORES S.A.</x:v>
      </x:c>
      <x:c r="H1952" s="166" t="str">
        <x:v>Outros</x:v>
      </x:c>
      <x:c r="I1952" s="166" t="str">
        <x:v>Multicarteira Outros</x:v>
      </x:c>
      <x:c r="J1952" s="166" t="str">
        <x:v>CI</x:v>
      </x:c>
      <x:c r="K1952" s="172" t="n">
        <x:v>1</x:v>
      </x:c>
      <x:c r="L1952" s="185" t="str">
        <x:v>Não classificado</x:v>
      </x:c>
    </x:row>
    <x:row r="1953">
      <x:c r="A1953" s="175" t="str">
        <x:v>58.242.641/0001-32</x:v>
      </x:c>
      <x:c r="B1953" s="166" t="str">
        <x:v>DC1 FUNDO DE INVESTIMENTO EM DIREITOS CREDITÓRIOS</x:v>
      </x:c>
      <x:c r="C1953" s="188" t="n">
        <x:v>29921469.14</x:v>
      </x:c>
      <x:c r="D1953" s="166" t="str">
        <x:v>DIRETA Capital</x:v>
      </x:c>
      <x:c r="E1953" s="166" t="str">
        <x:f>IFERROR(INDEX('Classif Gestoras'!$H$6:$H$462,MATCH(D1953,'Classif Gestoras'!$A$6:$A$462,0)),"Não classificada")</x:f>
        <x:v>Independente</x:v>
      </x:c>
      <x:c r="F1953" s="166" t="str">
        <x:v>Limine Trust Distribuidora de Titulos e Valores Mobiliá</x:v>
      </x:c>
      <x:c r="G1953" s="166" t="str">
        <x:v>LIMINE TRUST DISTRIBUIDORA DE TITULOS E VALORES MOBILIARIOS LTDA.</x:v>
      </x:c>
      <x:c r="H1953" s="166" t="str">
        <x:v>Agro, Indústria e Comércio</x:v>
      </x:c>
      <x:c r="I1953" s="166" t="str">
        <x:v>Multicarteira Agro, Indústria e Comércio</x:v>
      </x:c>
      <x:c r="J1953" s="166" t="str">
        <x:v>CI</x:v>
      </x:c>
      <x:c r="K1953" s="172" t="n">
        <x:v>3</x:v>
      </x:c>
      <x:c r="L1953" s="185" t="str">
        <x:v>Não classificado</x:v>
      </x:c>
    </x:row>
    <x:row r="1954">
      <x:c r="A1954" s="175" t="str">
        <x:v>60.543.693/0001-90</x:v>
      </x:c>
      <x:c r="B1954" s="166" t="str">
        <x:v>SCORE EQI PREC II FUNDO DE INVESTIMENTO EM DIREITOS CREDITÓRIOS</x:v>
      </x:c>
      <x:c r="C1954" s="188" t="n">
        <x:v>29871673.9</x:v>
      </x:c>
      <x:c r="D1954" s="166" t="str">
        <x:v>Score Capital</x:v>
      </x:c>
      <x:c r="E1954" s="166" t="str">
        <x:f>IFERROR(INDEX('Classif Gestoras'!$H$6:$H$462,MATCH(D1954,'Classif Gestoras'!$A$6:$A$462,0)),"Não classificada")</x:f>
        <x:v>Independente</x:v>
      </x:c>
      <x:c r="F1954" s="166" t="str">
        <x:v>BTG Pactual Servicos Financeiros S/A DTVM</x:v>
      </x:c>
      <x:c r="G1954" s="166" t="str">
        <x:v>BANCO BTG PACTUAL S/A</x:v>
      </x:c>
      <x:c r="H1954" s="166" t="str">
        <x:v>Outros</x:v>
      </x:c>
      <x:c r="I1954" s="166" t="str">
        <x:v>Poder Público</x:v>
      </x:c>
      <x:c r="J1954" s="166" t="str">
        <x:v>CI</x:v>
      </x:c>
      <x:c r="K1954" s="172" t="n">
        <x:v>83</x:v>
      </x:c>
      <x:c r="L1954" s="185" t="str">
        <x:v>Não classificado</x:v>
      </x:c>
    </x:row>
    <x:row r="1955">
      <x:c r="A1955" s="175" t="str">
        <x:v>54.968.636/0001-50</x:v>
      </x:c>
      <x:c r="B1955" s="166" t="str">
        <x:v>BEAUTY E CAFÉ FRANCHISING GROUP FUNDO DE INVESTIMENTO EM DIREITOS CREDITÓRIOS - INDÚSTRIA E COMÉRCIO</x:v>
      </x:c>
      <x:c r="C1955" s="188" t="n">
        <x:v>29827374.409999996</x:v>
      </x:c>
      <x:c r="D1955" s="166" t="str">
        <x:v>UC Gestora de Recursos</x:v>
      </x:c>
      <x:c r="E1955" s="166" t="str">
        <x:f>IFERROR(INDEX('Classif Gestoras'!$H$6:$H$462,MATCH(D1955,'Classif Gestoras'!$A$6:$A$462,0)),"Não classificada")</x:f>
        <x:v>Independente</x:v>
      </x:c>
      <x:c r="F1955" s="166" t="str">
        <x:v>Singulare</x:v>
      </x:c>
      <x:c r="G1955" s="166" t="str">
        <x:v>QI CORRETORA DE TÍTULOS E VALORES MOBILIÁRIOS S.A.</x:v>
      </x:c>
      <x:c r="H1955" s="166" t="str">
        <x:v>Fomento Mercantil</x:v>
      </x:c>
      <x:c r="I1955" s="166" t="str">
        <x:v>Fomento Mercantil</x:v>
      </x:c>
      <x:c r="J1955" s="166" t="str">
        <x:v>CI</x:v>
      </x:c>
      <x:c r="K1955" s="172" t="n">
        <x:v>3</x:v>
      </x:c>
      <x:c r="L1955" s="185" t="str">
        <x:v>Não classificado</x:v>
      </x:c>
    </x:row>
    <x:row r="1956">
      <x:c r="A1956" s="175" t="str">
        <x:v>36.009.621/0001-83</x:v>
      </x:c>
      <x:c r="B1956" s="166" t="str">
        <x:v>DMA9 FUNDO DE INVESTIMENTO EM DIREITOS CREDITÓRIOS RESPONSABILIDADE LIMITADA</x:v>
      </x:c>
      <x:c r="C1956" s="188" t="n">
        <x:v>29803002.42</x:v>
      </x:c>
      <x:c r="D1956" s="166" t="str">
        <x:v>Libertas Asset</x:v>
      </x:c>
      <x:c r="E1956" s="166" t="str">
        <x:f>IFERROR(INDEX('Classif Gestoras'!$H$6:$H$462,MATCH(D1956,'Classif Gestoras'!$A$6:$A$462,0)),"Não classificada")</x:f>
        <x:v>Independente</x:v>
      </x:c>
      <x:c r="F1956" s="166" t="str">
        <x:v>ACTUAL DTVM</x:v>
      </x:c>
      <x:c r="G1956" s="166" t="str">
        <x:v>LASTRO RDV DTVM LTDA</x:v>
      </x:c>
      <x:c r="H1956" s="166" t="str">
        <x:v>Fomento Mercantil</x:v>
      </x:c>
      <x:c r="I1956" s="166" t="str">
        <x:v>Fomento Mercantil</x:v>
      </x:c>
      <x:c r="J1956" s="166" t="str">
        <x:v>CI</x:v>
      </x:c>
      <x:c r="K1956" s="172" t="n">
        <x:v>2</x:v>
      </x:c>
      <x:c r="L1956" s="185" t="str">
        <x:v>Não classificado</x:v>
      </x:c>
    </x:row>
    <x:row r="1957">
      <x:c r="A1957" s="175" t="str">
        <x:v>63.023.974/0001-00</x:v>
      </x:c>
      <x:c r="B1957" s="166" t="str">
        <x:v>INCOR CRED FUNDO DE INVESTIMENTO EM DIREITOS CREDITÓRIOS RESPONSABILIDADE LIMITADA</x:v>
      </x:c>
      <x:c r="C1957" s="188" t="n">
        <x:v>29773121.63</x:v>
      </x:c>
      <x:c r="D1957" s="166" t="str">
        <x:v>Via Invest Gestão de Recursos Ltda.</x:v>
      </x:c>
      <x:c r="E1957" s="166" t="str">
        <x:f>IFERROR(INDEX('Classif Gestoras'!$H$6:$H$462,MATCH(D1957,'Classif Gestoras'!$A$6:$A$462,0)),"Não classificada")</x:f>
        <x:v>Independente</x:v>
      </x:c>
      <x:c r="F1957" s="166" t="str">
        <x:v>ID Corretora de Títulos e Valores Mobiliários S.A.</x:v>
      </x:c>
      <x:c r="G1957" s="166" t="str">
        <x:v>ID CORRETORA DE TITULOS E VALORES MOBILIARIOS S.A.</x:v>
      </x:c>
      <x:c r="H1957" s="166" t="str">
        <x:v>Outros</x:v>
      </x:c>
      <x:c r="I1957" s="166" t="str">
        <x:v>Multicarteira Outros</x:v>
      </x:c>
      <x:c r="J1957" s="166" t="str">
        <x:v>CI</x:v>
      </x:c>
      <x:c r="K1957" s="172" t="n">
        <x:v>7</x:v>
      </x:c>
      <x:c r="L1957" s="185" t="str">
        <x:v>Não classificado</x:v>
      </x:c>
    </x:row>
    <x:row r="1958">
      <x:c r="A1958" s="175" t="str">
        <x:v>43.143.480/0001-52</x:v>
      </x:c>
      <x:c r="B1958" s="166" t="str">
        <x:v>FIDC DE RESP LIMITADA REDE DE POSTOS MONTE CARLO</x:v>
      </x:c>
      <x:c r="C1958" s="188" t="n">
        <x:v>29716418.81</x:v>
      </x:c>
      <x:c r="D1958" s="166" t="str">
        <x:v>Namari Capital Gestão de Recursos Ltda.</x:v>
      </x:c>
      <x:c r="E1958" s="166" t="str">
        <x:f>IFERROR(INDEX('Classif Gestoras'!$H$6:$H$462,MATCH(D1958,'Classif Gestoras'!$A$6:$A$462,0)),"Não classificada")</x:f>
        <x:v>Independente</x:v>
      </x:c>
      <x:c r="F1958" s="166" t="str">
        <x:v>BANCO DAYCOVAL S/A</x:v>
      </x:c>
      <x:c r="G1958" s="166" t="str">
        <x:v>BANCO DAYCOVAL S.A.</x:v>
      </x:c>
      <x:c r="H1958" s="166" t="str">
        <x:v>Agro, Indústria e Comércio</x:v>
      </x:c>
      <x:c r="I1958" s="166" t="str">
        <x:v>Crédito Corporativo</x:v>
      </x:c>
      <x:c r="J1958" s="166" t="str">
        <x:v>CI</x:v>
      </x:c>
      <x:c r="K1958" s="172" t="n">
        <x:v>44</x:v>
      </x:c>
      <x:c r="L1958" s="185" t="str">
        <x:v>Não classificado</x:v>
      </x:c>
    </x:row>
    <x:row r="1959">
      <x:c r="A1959" s="175" t="str">
        <x:v>41.865.425/0001-40</x:v>
      </x:c>
      <x:c r="B1959" s="166" t="str">
        <x:v>BEAT FUNDO DE INVESTIMENTO EM DIREITOS CREDITORIOS - RESPONSABILIDADE LIMITADA</x:v>
      </x:c>
      <x:c r="C1959" s="188" t="n">
        <x:v>29688722.21</x:v>
      </x:c>
      <x:c r="D1959" s="166" t="str">
        <x:v>EAGLE CAPITAL</x:v>
      </x:c>
      <x:c r="E1959" s="166" t="str">
        <x:f>IFERROR(INDEX('Classif Gestoras'!$H$6:$H$462,MATCH(D1959,'Classif Gestoras'!$A$6:$A$462,0)),"Não classificada")</x:f>
        <x:v>Independente</x:v>
      </x:c>
      <x:c r="F1959" s="166" t="str">
        <x:v>LASTRO RDV DIST. DE</x:v>
      </x:c>
      <x:c r="G1959" s="166" t="str">
        <x:v>LASTRO RDV DTVM LTDA</x:v>
      </x:c>
      <x:c r="H1959" s="166" t="str">
        <x:v>Outros</x:v>
      </x:c>
      <x:c r="I1959" s="166" t="str">
        <x:v>Multicarteira Outros</x:v>
      </x:c>
      <x:c r="J1959" s="166" t="str">
        <x:v>CI</x:v>
      </x:c>
      <x:c r="K1959" s="172" t="n">
        <x:v>2</x:v>
      </x:c>
      <x:c r="L1959" s="185" t="str">
        <x:v>Não classificado</x:v>
      </x:c>
    </x:row>
    <x:row r="1960">
      <x:c r="A1960" s="175" t="str">
        <x:v>32.907.712/0001-85</x:v>
      </x:c>
      <x:c r="B1960" s="166" t="str">
        <x:v>ALIANÇA CRED FUNDO DE INVESTIMENTO EM DIREITOS CREDITÓRIOS NÃO PADRONIZADOS</x:v>
      </x:c>
      <x:c r="C1960" s="188" t="n">
        <x:v>29599720.84</x:v>
      </x:c>
      <x:c r="D1960" s="166" t="str">
        <x:v>TERCON ASSET MANAGEMENT</x:v>
      </x:c>
      <x:c r="E1960" s="166" t="str">
        <x:f>IFERROR(INDEX('Classif Gestoras'!$H$6:$H$462,MATCH(D1960,'Classif Gestoras'!$A$6:$A$462,0)),"Não classificada")</x:f>
        <x:v>Independente</x:v>
      </x:c>
      <x:c r="F1960" s="166" t="str">
        <x:v>Singulare</x:v>
      </x:c>
      <x:c r="G1960" s="166" t="str">
        <x:v>QI CORRETORA DE TÍTULOS E VALORES MOBILIÁRIOS S.A.</x:v>
      </x:c>
      <x:c r="H1960" s="166" t="str">
        <x:v>Fomento Mercantil</x:v>
      </x:c>
      <x:c r="I1960" s="166" t="str">
        <x:v>Fomento Mercantil</x:v>
      </x:c>
      <x:c r="J1960" s="166" t="str">
        <x:v>CI</x:v>
      </x:c>
      <x:c r="K1960" s="172" t="n">
        <x:v>5</x:v>
      </x:c>
      <x:c r="L1960" s="185" t="str">
        <x:v>Não classificado</x:v>
      </x:c>
    </x:row>
    <x:row r="1961">
      <x:c r="A1961" s="175" t="str">
        <x:v>58.355.344/0001-01</x:v>
      </x:c>
      <x:c r="B1961" s="166" t="str">
        <x:v>P051 FUNDO DE INVESTIMENTO EM DIREITOS CREDITÓRIOS DE RESPONSABILIDADE LIMITADA</x:v>
      </x:c>
      <x:c r="C1961" s="188" t="n">
        <x:v>29558611.45</x:v>
      </x:c>
      <x:c r="D1961" s="166" t="str">
        <x:v>Polo Capital Gestão de Recurso</x:v>
      </x:c>
      <x:c r="E1961" s="166" t="str">
        <x:f>IFERROR(INDEX('Classif Gestoras'!$H$6:$H$462,MATCH(D1961,'Classif Gestoras'!$A$6:$A$462,0)),"Não classificada")</x:f>
        <x:v>Independente</x:v>
      </x:c>
      <x:c r="F1961" s="166" t="str">
        <x:v>BANCO DAYCOVAL S/A</x:v>
      </x:c>
      <x:c r="G1961" s="166" t="str">
        <x:v>BANCO DAYCOVAL S.A.</x:v>
      </x:c>
      <x:c r="H1961" s="166" t="str">
        <x:v>Outros</x:v>
      </x:c>
      <x:c r="I1961" s="166" t="str">
        <x:v>Multicarteira Outros</x:v>
      </x:c>
      <x:c r="J1961" s="166" t="str">
        <x:v>CI</x:v>
      </x:c>
      <x:c r="K1961" s="172" t="n">
        <x:v>1</x:v>
      </x:c>
      <x:c r="L1961" s="185" t="str">
        <x:v>Não classificado</x:v>
      </x:c>
    </x:row>
    <x:row r="1962">
      <x:c r="A1962" s="175" t="str">
        <x:v>09.410.142/0001-00</x:v>
      </x:c>
      <x:c r="B1962" s="166" t="str">
        <x:v>TARGET FUNDO DE INVESTIMENTO EM DIREITOS CREDITORIOS- MULTICREDITO</x:v>
      </x:c>
      <x:c r="C1962" s="188" t="n">
        <x:v>29532329.18</x:v>
      </x:c>
      <x:c r="D1962" s="166" t="str">
        <x:v>TERCON ASSET MANAGEMENT</x:v>
      </x:c>
      <x:c r="E1962" s="166" t="str">
        <x:f>IFERROR(INDEX('Classif Gestoras'!$H$6:$H$462,MATCH(D1962,'Classif Gestoras'!$A$6:$A$462,0)),"Não classificada")</x:f>
        <x:v>Independente</x:v>
      </x:c>
      <x:c r="F1962" s="166" t="str">
        <x:v>MONETAR DISTRIBUIDORA DE TITUL</x:v>
      </x:c>
      <x:c r="G1962" s="166" t="str">
        <x:v>TERRA INVESTIMENTOS DISTRIBUIDORA DE TITULOS E VALORES MOBILIARIOS LTDA</x:v>
      </x:c>
      <x:c r="H1962" s="166" t="str">
        <x:v>Fomento Mercantil</x:v>
      </x:c>
      <x:c r="I1962" s="166" t="str">
        <x:v>Fomento Mercantil</x:v>
      </x:c>
      <x:c r="J1962" s="166" t="str">
        <x:v>CI</x:v>
      </x:c>
      <x:c r="K1962" s="172" t="n">
        <x:v>3</x:v>
      </x:c>
      <x:c r="L1962" s="185" t="str">
        <x:v>Não classificado</x:v>
      </x:c>
    </x:row>
    <x:row r="1963">
      <x:c r="A1963" s="175" t="str">
        <x:v>55.074.349/0001-60</x:v>
      </x:c>
      <x:c r="B1963" s="166" t="str">
        <x:v>CNPJ 55074349000160</x:v>
      </x:c>
      <x:c r="C1963" s="188" t="n">
        <x:v>29475571.28</x:v>
      </x:c>
      <x:c r="D1963" s="166" t="str">
        <x:v>Emerald Gestão de Investimento</x:v>
      </x:c>
      <x:c r="E1963" s="166" t="str">
        <x:f>IFERROR(INDEX('Classif Gestoras'!$H$6:$H$462,MATCH(D1963,'Classif Gestoras'!$A$6:$A$462,0)),"Não classificada")</x:f>
        <x:v>Independente</x:v>
      </x:c>
      <x:c r="F1963" s="166" t="str">
        <x:v>BANCO J. SAFRA S/A</x:v>
      </x:c>
      <x:c r="G1963" s="166" t="str">
        <x:v>Não identificado</x:v>
      </x:c>
      <x:c r="H1963" s="166" t="str">
        <x:v>Outros</x:v>
      </x:c>
      <x:c r="I1963" s="166" t="str">
        <x:v>Multicarteira Outros</x:v>
      </x:c>
      <x:c r="J1963" s="166" t="str">
        <x:v>CIPC</x:v>
      </x:c>
      <x:c r="K1963" s="172"/>
      <x:c r="L1963" s="185" t="str">
        <x:v>Não classificado</x:v>
      </x:c>
    </x:row>
    <x:row r="1964">
      <x:c r="A1964" s="175" t="str">
        <x:v>54.974.598/0001-49</x:v>
      </x:c>
      <x:c r="B1964" s="166" t="str">
        <x:v>SOLUS FUNDO DE INVESTIMENTO EM DIREITOS CREDITÓRIOS - RESPONSABILIDADE LIMITADA</x:v>
      </x:c>
      <x:c r="C1964" s="188" t="n">
        <x:v>29414698.41999999</x:v>
      </x:c>
      <x:c r="D1964" s="166" t="str">
        <x:v>Harbour Capital</x:v>
      </x:c>
      <x:c r="E1964" s="166" t="str">
        <x:f>IFERROR(INDEX('Classif Gestoras'!$H$6:$H$462,MATCH(D1964,'Classif Gestoras'!$A$6:$A$462,0)),"Não classificada")</x:f>
        <x:v>Independente</x:v>
      </x:c>
      <x:c r="F1964" s="166" t="str">
        <x:v>Singulare</x:v>
      </x:c>
      <x:c r="G1964" s="166" t="str">
        <x:v>QI CORRETORA DE TÍTULOS E VALORES MOBILIÁRIOS S.A.</x:v>
      </x:c>
      <x:c r="H1964" s="166" t="str">
        <x:v>Fomento Mercantil</x:v>
      </x:c>
      <x:c r="I1964" s="166" t="str">
        <x:v>Fomento Mercantil</x:v>
      </x:c>
      <x:c r="J1964" s="166" t="str">
        <x:v>CI</x:v>
      </x:c>
      <x:c r="K1964" s="172" t="n">
        <x:v>17</x:v>
      </x:c>
      <x:c r="L1964" s="185" t="str">
        <x:v>Não classificado</x:v>
      </x:c>
    </x:row>
    <x:row r="1965">
      <x:c r="A1965" s="175" t="str">
        <x:v>20.256.882/0001-68</x:v>
      </x:c>
      <x:c r="B1965" s="166" t="str">
        <x:v>SETTORE CRÉDITO PRIVADO FUNDO DE INVESTIMENTO EM DIREITOS CREDITÓRIOS</x:v>
      </x:c>
      <x:c r="C1965" s="188" t="n">
        <x:v>29395655.04</x:v>
      </x:c>
      <x:c r="D1965" s="166" t="str">
        <x:v>TERCON ASSET MANAGEMENT</x:v>
      </x:c>
      <x:c r="E1965" s="166" t="str">
        <x:f>IFERROR(INDEX('Classif Gestoras'!$H$6:$H$462,MATCH(D1965,'Classif Gestoras'!$A$6:$A$462,0)),"Não classificada")</x:f>
        <x:v>Independente</x:v>
      </x:c>
      <x:c r="F1965" s="166" t="str">
        <x:v>Limine Trust Distribuidora de Titulos e Valores Mobiliá</x:v>
      </x:c>
      <x:c r="G1965" s="166" t="str">
        <x:v>LIMINE TRUST DISTRIBUIDORA DE TITULOS E VALORES MOBILIARIOS LTDA.</x:v>
      </x:c>
      <x:c r="H1965" s="166" t="str">
        <x:v>Fomento Mercantil</x:v>
      </x:c>
      <x:c r="I1965" s="166" t="str">
        <x:v>Fomento Mercantil</x:v>
      </x:c>
      <x:c r="J1965" s="166" t="str">
        <x:v>CI</x:v>
      </x:c>
      <x:c r="K1965" s="172" t="n">
        <x:v>2</x:v>
      </x:c>
      <x:c r="L1965" s="185" t="str">
        <x:v>Não classificado</x:v>
      </x:c>
    </x:row>
    <x:row r="1966">
      <x:c r="A1966" s="175" t="str">
        <x:v>55.596.335/0001-06</x:v>
      </x:c>
      <x:c r="B1966" s="166" t="str">
        <x:v>GO.BANK FUNDO DE INVESTIMENTO EM DIREITOS CREDITÓRIOS</x:v>
      </x:c>
      <x:c r="C1966" s="188" t="n">
        <x:v>29348140.749999996</x:v>
      </x:c>
      <x:c r="D1966" s="166" t="str">
        <x:v>TERCON ASSET MANAGEMENT</x:v>
      </x:c>
      <x:c r="E1966" s="166" t="str">
        <x:f>IFERROR(INDEX('Classif Gestoras'!$H$6:$H$462,MATCH(D1966,'Classif Gestoras'!$A$6:$A$462,0)),"Não classificada")</x:f>
        <x:v>Independente</x:v>
      </x:c>
      <x:c r="F1966" s="166" t="str">
        <x:v>Singulare</x:v>
      </x:c>
      <x:c r="G1966" s="166" t="str">
        <x:v>QI CORRETORA DE TÍTULOS E VALORES MOBILIÁRIOS S.A.</x:v>
      </x:c>
      <x:c r="H1966" s="166" t="str">
        <x:v>Fomento Mercantil</x:v>
      </x:c>
      <x:c r="I1966" s="166" t="str">
        <x:v>Fomento Mercantil</x:v>
      </x:c>
      <x:c r="J1966" s="166" t="str">
        <x:v>CI</x:v>
      </x:c>
      <x:c r="K1966" s="172" t="n">
        <x:v>7</x:v>
      </x:c>
      <x:c r="L1966" s="185" t="str">
        <x:v>Não classificado</x:v>
      </x:c>
    </x:row>
    <x:row r="1967">
      <x:c r="A1967" s="175" t="str">
        <x:v>31.847.511/0001-77</x:v>
      </x:c>
      <x:c r="B1967" s="166" t="str">
        <x:v>EXITUS FUNDO DE INVESTIMENTO EM DIREITOS CREDITÓRIOS</x:v>
      </x:c>
      <x:c r="C1967" s="188" t="n">
        <x:v>29320441.55</x:v>
      </x:c>
      <x:c r="D1967" s="166" t="str">
        <x:v>LEGEND WM</x:v>
      </x:c>
      <x:c r="E1967" s="166" t="str">
        <x:f>IFERROR(INDEX('Classif Gestoras'!$H$6:$H$462,MATCH(D1967,'Classif Gestoras'!$A$6:$A$462,0)),"Não classificada")</x:f>
        <x:v>Independente</x:v>
      </x:c>
      <x:c r="F1967" s="166" t="str">
        <x:v>Banco Genial S.A.</x:v>
      </x:c>
      <x:c r="G1967" s="166" t="str">
        <x:v>BANCO GENIAL S.A.</x:v>
      </x:c>
      <x:c r="H1967" s="166" t="str">
        <x:v>Outros</x:v>
      </x:c>
      <x:c r="I1967" s="166" t="str">
        <x:v>Recuperação</x:v>
      </x:c>
      <x:c r="J1967" s="166" t="str">
        <x:v>CI</x:v>
      </x:c>
      <x:c r="K1967" s="172" t="n">
        <x:v>40</x:v>
      </x:c>
      <x:c r="L1967" s="185" t="str">
        <x:v>Não classificado</x:v>
      </x:c>
    </x:row>
    <x:row r="1968">
      <x:c r="A1968" s="175" t="str">
        <x:v>56.348.388/0001-70</x:v>
      </x:c>
      <x:c r="B1968" s="166" t="str">
        <x:v>JUSTOO CRÉDITO JUDICIAL PRIVADO FUNDO DE INVESTIMENTO EM DIREITOS CREDITÓRIOS</x:v>
      </x:c>
      <x:c r="C1968" s="188" t="n">
        <x:v>29239592.130000003</x:v>
      </x:c>
      <x:c r="D1968" s="166" t="str">
        <x:v>Menestys</x:v>
      </x:c>
      <x:c r="E1968" s="166" t="str">
        <x:f>IFERROR(INDEX('Classif Gestoras'!$H$6:$H$462,MATCH(D1968,'Classif Gestoras'!$A$6:$A$462,0)),"Não classificada")</x:f>
        <x:v>Independente</x:v>
      </x:c>
      <x:c r="F1968" s="166" t="str">
        <x:v>PLANNER CV</x:v>
      </x:c>
      <x:c r="G1968" s="166" t="str">
        <x:v>PLANNER CORRETORA DE VALORES S.A.</x:v>
      </x:c>
      <x:c r="H1968" s="166" t="str">
        <x:v>Outros</x:v>
      </x:c>
      <x:c r="I1968" s="166" t="str">
        <x:v>Multicarteira Outros</x:v>
      </x:c>
      <x:c r="J1968" s="166" t="str">
        <x:v>CI</x:v>
      </x:c>
      <x:c r="K1968" s="172" t="n">
        <x:v>19</x:v>
      </x:c>
      <x:c r="L1968" s="185" t="str">
        <x:v>Não classificado</x:v>
      </x:c>
    </x:row>
    <x:row r="1969">
      <x:c r="A1969" s="175" t="str">
        <x:v>41.387.466/0001-79</x:v>
      </x:c>
      <x:c r="B1969" s="166" t="str">
        <x:v>3G BANK - FUNDO DE INVESTIMENTO EM DIREITOS CREDITORIOS NAO-PADRONIZADOS</x:v>
      </x:c>
      <x:c r="C1969" s="188" t="n">
        <x:v>29190263.880000003</x:v>
      </x:c>
      <x:c r="D1969" s="166" t="str">
        <x:v>Catálise Investimentos</x:v>
      </x:c>
      <x:c r="E1969" s="166" t="str">
        <x:f>IFERROR(INDEX('Classif Gestoras'!$H$6:$H$462,MATCH(D1969,'Classif Gestoras'!$A$6:$A$462,0)),"Não classificada")</x:f>
        <x:v>Independente</x:v>
      </x:c>
      <x:c r="F1969" s="166" t="str">
        <x:v>CATÁLISE DTVM</x:v>
      </x:c>
      <x:c r="G1969" s="166" t="str">
        <x:v>BANCO DAYCOVAL S.A.</x:v>
      </x:c>
      <x:c r="H1969" s="166" t="str">
        <x:v>Agro, Indústria e Comércio</x:v>
      </x:c>
      <x:c r="I1969" s="166" t="str">
        <x:v>Multicarteira Agro, Indústria e Comércio</x:v>
      </x:c>
      <x:c r="J1969" s="166" t="str">
        <x:v>CI</x:v>
      </x:c>
      <x:c r="K1969" s="172" t="n">
        <x:v>1</x:v>
      </x:c>
      <x:c r="L1969" s="185" t="str">
        <x:v>Não classificado</x:v>
      </x:c>
    </x:row>
    <x:row r="1970">
      <x:c r="A1970" s="175" t="str">
        <x:v>53.292.327/0001-40</x:v>
      </x:c>
      <x:c r="B1970" s="166" t="str">
        <x:v>PENHA FUNDO DE INVESTIMENTO EM DIREITOS CREDITÓRIOS RESPONSABILIDADE LIMITADA</x:v>
      </x:c>
      <x:c r="C1970" s="188" t="n">
        <x:v>29171073.790000003</x:v>
      </x:c>
      <x:c r="D1970" s="166" t="str">
        <x:v>Paraguaçu Investimentos</x:v>
      </x:c>
      <x:c r="E1970" s="166" t="str">
        <x:f>IFERROR(INDEX('Classif Gestoras'!$H$6:$H$462,MATCH(D1970,'Classif Gestoras'!$A$6:$A$462,0)),"Não classificada")</x:f>
        <x:v>Independente</x:v>
      </x:c>
      <x:c r="F1970" s="166" t="str">
        <x:v>ID Corretora de Títulos e Valores Mobiliários S.A.</x:v>
      </x:c>
      <x:c r="G1970" s="166" t="str">
        <x:v>ID CORRETORA DE TITULOS E VALORES MOBILIARIOS S.A.</x:v>
      </x:c>
      <x:c r="H1970" s="166" t="str">
        <x:v>Outros</x:v>
      </x:c>
      <x:c r="I1970" s="166" t="str">
        <x:v>Multicarteira Outros</x:v>
      </x:c>
      <x:c r="J1970" s="166" t="str">
        <x:v>CI</x:v>
      </x:c>
      <x:c r="K1970" s="172" t="n">
        <x:v>3</x:v>
      </x:c>
      <x:c r="L1970" s="185" t="str">
        <x:v>Não classificado</x:v>
      </x:c>
    </x:row>
    <x:row r="1971">
      <x:c r="A1971" s="175" t="str">
        <x:v>61.621.939/0001-68</x:v>
      </x:c>
      <x:c r="B1971" s="166" t="str">
        <x:v>VGR IMOBILIÁRIO FUNDO DE INVESTIMENTO EM DIREITOS CREDITÓRIOS RESPONSABILIDADE LIMITADA</x:v>
      </x:c>
      <x:c r="C1971" s="188" t="n">
        <x:v>29164737.03</x:v>
      </x:c>
      <x:c r="D1971" s="166" t="str">
        <x:v>VGR - VERONA GESTORA DE RECURSOS LTDA</x:v>
      </x:c>
      <x:c r="E1971" s="166" t="str">
        <x:f>IFERROR(INDEX('Classif Gestoras'!$H$6:$H$462,MATCH(D1971,'Classif Gestoras'!$A$6:$A$462,0)),"Não classificada")</x:f>
        <x:v>Independente</x:v>
      </x:c>
      <x:c r="F1971" s="166" t="str">
        <x:v>HEMERA DTVM</x:v>
      </x:c>
      <x:c r="G1971" s="166" t="str">
        <x:v>HEMERA DISTRIBUIDORA DE TITULOS E VALORES MOBILIARIOS LTDA</x:v>
      </x:c>
      <x:c r="H1971" s="166" t="str">
        <x:v>Financeiro</x:v>
      </x:c>
      <x:c r="I1971" s="166" t="str">
        <x:v>Crédito Imobiliário</x:v>
      </x:c>
      <x:c r="J1971" s="166" t="str">
        <x:v>CI</x:v>
      </x:c>
      <x:c r="K1971" s="172" t="n">
        <x:v>10</x:v>
      </x:c>
      <x:c r="L1971" s="185" t="str">
        <x:v>Não classificado</x:v>
      </x:c>
    </x:row>
    <x:row r="1972">
      <x:c r="A1972" s="175" t="str">
        <x:v>60.776.193/0001-07</x:v>
      </x:c>
      <x:c r="B1972" s="166" t="str">
        <x:v>CAPITAL FUTEBOL FUNDO DE INVESTIMENTO EM DIREITOS CREDITÓRIOS DE RESPONSABILIDADE LIMITADA</x:v>
      </x:c>
      <x:c r="C1972" s="188" t="n">
        <x:v>29099091.47</x:v>
      </x:c>
      <x:c r="D1972" s="166" t="str">
        <x:v>Catálise Investimentos</x:v>
      </x:c>
      <x:c r="E1972" s="166" t="str">
        <x:f>IFERROR(INDEX('Classif Gestoras'!$H$6:$H$462,MATCH(D1972,'Classif Gestoras'!$A$6:$A$462,0)),"Não classificada")</x:f>
        <x:v>Independente</x:v>
      </x:c>
      <x:c r="F1972" s="166" t="str">
        <x:v>BANCO DAYCOVAL S/A</x:v>
      </x:c>
      <x:c r="G1972" s="166" t="str">
        <x:v>BANCO DAYCOVAL S.A.</x:v>
      </x:c>
      <x:c r="H1972" s="166" t="str">
        <x:v>Agro, Indústria e Comércio</x:v>
      </x:c>
      <x:c r="I1972" s="166" t="str">
        <x:v>Multicarteira Agro, Indústria e Comércio</x:v>
      </x:c>
      <x:c r="J1972" s="166" t="str">
        <x:v>CI</x:v>
      </x:c>
      <x:c r="K1972" s="172" t="n">
        <x:v>2</x:v>
      </x:c>
      <x:c r="L1972" s="185" t="str">
        <x:v>Não classificado</x:v>
      </x:c>
    </x:row>
    <x:row r="1973">
      <x:c r="A1973" s="175" t="str">
        <x:v>57.041.943/0001-80</x:v>
      </x:c>
      <x:c r="B1973" s="166" t="str">
        <x:v>CREDICAN FUNDO DE INVESTIMENTO EM DIREITOS CREDITÓRIOS RESPONSABILIDADE LIMITADA</x:v>
      </x:c>
      <x:c r="C1973" s="188" t="n">
        <x:v>29038975.99</x:v>
      </x:c>
      <x:c r="D1973" s="166" t="str">
        <x:v>Bless Capital Gestora de Recursos Ltda.</x:v>
      </x:c>
      <x:c r="E1973" s="166" t="str">
        <x:f>IFERROR(INDEX('Classif Gestoras'!$H$6:$H$462,MATCH(D1973,'Classif Gestoras'!$A$6:$A$462,0)),"Não classificada")</x:f>
        <x:v>Independente</x:v>
      </x:c>
      <x:c r="F1973" s="166" t="str">
        <x:v>ID Corretora de Títulos e Valores Mobiliários S.A.</x:v>
      </x:c>
      <x:c r="G1973" s="166" t="str">
        <x:v>ID CORRETORA DE TITULOS E VALORES MOBILIARIOS S.A.</x:v>
      </x:c>
      <x:c r="H1973" s="166" t="str">
        <x:v>Outros</x:v>
      </x:c>
      <x:c r="I1973" s="166" t="str">
        <x:v>Multicarteira Outros</x:v>
      </x:c>
      <x:c r="J1973" s="166" t="str">
        <x:v>CI</x:v>
      </x:c>
      <x:c r="K1973" s="172" t="n">
        <x:v>2</x:v>
      </x:c>
      <x:c r="L1973" s="185" t="str">
        <x:v>Não classificado</x:v>
      </x:c>
    </x:row>
    <x:row r="1974">
      <x:c r="A1974" s="175" t="str">
        <x:v>47.117.821/0001-76</x:v>
      </x:c>
      <x:c r="B1974" s="166" t="str">
        <x:v>B33 FUNDO DE INVESTIMENTO EM DIREITOS CREDITORIOS</x:v>
      </x:c>
      <x:c r="C1974" s="188" t="n">
        <x:v>29001613.570000004</x:v>
      </x:c>
      <x:c r="D1974" s="166" t="str">
        <x:v>Solis</x:v>
      </x:c>
      <x:c r="E1974" s="166" t="str">
        <x:f>IFERROR(INDEX('Classif Gestoras'!$H$6:$H$462,MATCH(D1974,'Classif Gestoras'!$A$6:$A$462,0)),"Não classificada")</x:f>
        <x:v>Independente</x:v>
      </x:c>
      <x:c r="F1974" s="166" t="str">
        <x:v>HEMERA DTVM</x:v>
      </x:c>
      <x:c r="G1974" s="166" t="str">
        <x:v>HEMERA DISTRIBUIDORA DE TITULOS E VALORES MOBILIARIOS LTDA</x:v>
      </x:c>
      <x:c r="H1974" s="166" t="str">
        <x:v>Outros</x:v>
      </x:c>
      <x:c r="I1974" s="166" t="str">
        <x:v>Poder Público</x:v>
      </x:c>
      <x:c r="J1974" s="166" t="str">
        <x:v>CI</x:v>
      </x:c>
      <x:c r="K1974" s="172" t="n">
        <x:v>27</x:v>
      </x:c>
      <x:c r="L1974" s="185" t="str">
        <x:v>Não classificado</x:v>
      </x:c>
    </x:row>
    <x:row r="1975">
      <x:c r="A1975" s="175" t="str">
        <x:v>52.883.033/0001-20</x:v>
      </x:c>
      <x:c r="B1975" s="166" t="str">
        <x:v>BES CARD FUNDO DE INVESTIMENTO EM DIREITOS CREDITÓRIOS - CREDITO PESSOAL</x:v>
      </x:c>
      <x:c r="C1975" s="188" t="n">
        <x:v>28995618.66</x:v>
      </x:c>
      <x:c r="D1975" s="166" t="str">
        <x:v>H2 CAPITAL</x:v>
      </x:c>
      <x:c r="E1975" s="166" t="str">
        <x:f>IFERROR(INDEX('Classif Gestoras'!$H$6:$H$462,MATCH(D1975,'Classif Gestoras'!$A$6:$A$462,0)),"Não classificada")</x:f>
        <x:v>Independente</x:v>
      </x:c>
      <x:c r="F1975" s="166" t="str">
        <x:v>Genial Investimentos Corretora de Valores Mobiliários S.A.</x:v>
      </x:c>
      <x:c r="G1975" s="166" t="str">
        <x:v>BANCO GENIAL S.A.</x:v>
      </x:c>
      <x:c r="H1975" s="166" t="str">
        <x:v>Financeiro</x:v>
      </x:c>
      <x:c r="I1975" s="166" t="str">
        <x:v>Crédito Pessoal</x:v>
      </x:c>
      <x:c r="J1975" s="166" t="str">
        <x:v>CI</x:v>
      </x:c>
      <x:c r="K1975" s="172" t="n">
        <x:v>1</x:v>
      </x:c>
      <x:c r="L1975" s="185" t="str">
        <x:v>Não classificado</x:v>
      </x:c>
    </x:row>
    <x:row r="1976">
      <x:c r="A1976" s="175" t="str">
        <x:v>64.381.894/0001-90</x:v>
      </x:c>
      <x:c r="B1976" s="166" t="str">
        <x:v>SIMPLIX CONSIGNADO PRIVADO II FUNDO DE INVESTIMENTO EM DIREITOS CREDITÓRIOS RESP LIMITADA</x:v>
      </x:c>
      <x:c r="C1976" s="188" t="n">
        <x:v>28923381.21</x:v>
      </x:c>
      <x:c r="D1976" s="166" t="str">
        <x:v>SIMPLIX ASSET MANAGEMENT LTDA.</x:v>
      </x:c>
      <x:c r="E1976" s="166" t="str">
        <x:f>IFERROR(INDEX('Classif Gestoras'!$H$6:$H$462,MATCH(D1976,'Classif Gestoras'!$A$6:$A$462,0)),"Não classificada")</x:f>
        <x:v>Independente</x:v>
      </x:c>
      <x:c r="F1976" s="166" t="str">
        <x:v>BANCO DAYCOVAL S/A</x:v>
      </x:c>
      <x:c r="G1976" s="166" t="str">
        <x:v>Não identificado</x:v>
      </x:c>
      <x:c r="H1976" s="166" t="str">
        <x:v>Financeiro</x:v>
      </x:c>
      <x:c r="I1976" s="166" t="str">
        <x:v>Crédito Consignado</x:v>
      </x:c>
      <x:c r="J1976" s="166" t="str">
        <x:v>CI</x:v>
      </x:c>
      <x:c r="K1976" s="172" t="n">
        <x:v>18</x:v>
      </x:c>
      <x:c r="L1976" s="185" t="str">
        <x:v>Não classificado</x:v>
      </x:c>
    </x:row>
    <x:row r="1977">
      <x:c r="A1977" s="175" t="str">
        <x:v>36.731.351/0001-10</x:v>
      </x:c>
      <x:c r="B1977" s="166" t="str">
        <x:v>COPPER CAPITAL FUNDO DE INVESTIMENTO EM DIREITOS CREDITÓRIOS PADRONIZADO</x:v>
      </x:c>
      <x:c r="C1977" s="188" t="n">
        <x:v>28818825.96999999</x:v>
      </x:c>
      <x:c r="D1977" s="166" t="str">
        <x:v>GFS INVESTIMENTOS</x:v>
      </x:c>
      <x:c r="E1977" s="166" t="str">
        <x:f>IFERROR(INDEX('Classif Gestoras'!$H$6:$H$462,MATCH(D1977,'Classif Gestoras'!$A$6:$A$462,0)),"Não classificada")</x:f>
        <x:v>Independente</x:v>
      </x:c>
      <x:c r="F1977" s="166" t="str">
        <x:v>MONETAR DISTRIBUIDORA DE TITUL</x:v>
      </x:c>
      <x:c r="G1977" s="166" t="str">
        <x:v>TERRA INVESTIMENTOS DISTRIBUIDORA DE TITULOS E VALORES MOBILIARIOS LTDA</x:v>
      </x:c>
      <x:c r="H1977" s="166" t="str">
        <x:v>Fomento Mercantil</x:v>
      </x:c>
      <x:c r="I1977" s="166" t="str">
        <x:v>Fomento Mercantil</x:v>
      </x:c>
      <x:c r="J1977" s="166" t="str">
        <x:v>CI</x:v>
      </x:c>
      <x:c r="K1977" s="172" t="n">
        <x:v>5</x:v>
      </x:c>
      <x:c r="L1977" s="185" t="str">
        <x:v>Não classificado</x:v>
      </x:c>
    </x:row>
    <x:row r="1978">
      <x:c r="A1978" s="175" t="str">
        <x:v>62.161.418/0001-38</x:v>
      </x:c>
      <x:c r="B1978" s="166" t="str">
        <x:v>AIBR FUNDO DE INVESTIMENTO EM DIREITOS CREDITÓRIOS DE RESPONSABILIDADE LIMITADA</x:v>
      </x:c>
      <x:c r="C1978" s="188" t="n">
        <x:v>28724770.01</x:v>
      </x:c>
      <x:c r="D1978" s="166" t="str">
        <x:v>QI GESTAO DE RECURSOS LTDA</x:v>
      </x:c>
      <x:c r="E1978" s="166" t="str">
        <x:f>IFERROR(INDEX('Classif Gestoras'!$H$6:$H$462,MATCH(D1978,'Classif Gestoras'!$A$6:$A$462,0)),"Não classificada")</x:f>
        <x:v>Independente</x:v>
      </x:c>
      <x:c r="F1978" s="166" t="str">
        <x:v>Singulare</x:v>
      </x:c>
      <x:c r="G1978" s="166" t="str">
        <x:v>QI CORRETORA DE TÍTULOS E VALORES MOBILIÁRIOS S.A.</x:v>
      </x:c>
      <x:c r="H1978" s="166" t="str">
        <x:v>Financeiro</x:v>
      </x:c>
      <x:c r="I1978" s="166" t="str">
        <x:v>Crédito Pessoal</x:v>
      </x:c>
      <x:c r="J1978" s="166" t="str">
        <x:v>CI</x:v>
      </x:c>
      <x:c r="K1978" s="172" t="n">
        <x:v>1</x:v>
      </x:c>
      <x:c r="L1978" s="185" t="str">
        <x:v>Não classificado</x:v>
      </x:c>
    </x:row>
    <x:row r="1979">
      <x:c r="A1979" s="175" t="str">
        <x:v>56.266.633/0001-09</x:v>
      </x:c>
      <x:c r="B1979" s="166" t="str">
        <x:v>ST 1013 FUNDO DE INVESTIMENTO EM DIREITOS CREDITÓRIOS RESPONSABILIDADE LIMITADA</x:v>
      </x:c>
      <x:c r="C1979" s="188" t="n">
        <x:v>28675277.52</x:v>
      </x:c>
      <x:c r="D1979" s="166" t="str">
        <x:v>Strata Capital</x:v>
      </x:c>
      <x:c r="E1979" s="166" t="str">
        <x:f>IFERROR(INDEX('Classif Gestoras'!$H$6:$H$462,MATCH(D1979,'Classif Gestoras'!$A$6:$A$462,0)),"Não classificada")</x:f>
        <x:v>Independente</x:v>
      </x:c>
      <x:c r="F1979" s="166" t="str">
        <x:v>BANCO DAYCOVAL S/A</x:v>
      </x:c>
      <x:c r="G1979" s="166" t="str">
        <x:v>BANCO DAYCOVAL S.A.</x:v>
      </x:c>
      <x:c r="H1979" s="166" t="str">
        <x:v>Outros</x:v>
      </x:c>
      <x:c r="I1979" s="166" t="str">
        <x:v>Multicarteira Outros</x:v>
      </x:c>
      <x:c r="J1979" s="166" t="str">
        <x:v>CI</x:v>
      </x:c>
      <x:c r="K1979" s="172" t="n">
        <x:v>6</x:v>
      </x:c>
      <x:c r="L1979" s="185" t="str">
        <x:v>Não classificado</x:v>
      </x:c>
    </x:row>
    <x:row r="1980">
      <x:c r="A1980" s="175" t="str">
        <x:v>51.497.411/0001-75</x:v>
      </x:c>
      <x:c r="B1980" s="166" t="str">
        <x:v>ST 1001 FUNDO DE INVESTIMENTO EM DIREITOS CREDITÓRIOS DE RESPONSABILIDADE LIMITADA</x:v>
      </x:c>
      <x:c r="C1980" s="188" t="n">
        <x:v>28611448.94</x:v>
      </x:c>
      <x:c r="D1980" s="166" t="str">
        <x:v>Strata Capital</x:v>
      </x:c>
      <x:c r="E1980" s="166" t="str">
        <x:f>IFERROR(INDEX('Classif Gestoras'!$H$6:$H$462,MATCH(D1980,'Classif Gestoras'!$A$6:$A$462,0)),"Não classificada")</x:f>
        <x:v>Independente</x:v>
      </x:c>
      <x:c r="F1980" s="166" t="str">
        <x:v>BANCO DAYCOVAL S/A</x:v>
      </x:c>
      <x:c r="G1980" s="166" t="str">
        <x:v>BANCO DAYCOVAL S.A.</x:v>
      </x:c>
      <x:c r="H1980" s="166" t="str">
        <x:v>Outros</x:v>
      </x:c>
      <x:c r="I1980" s="166" t="str">
        <x:v>Multicarteira Outros</x:v>
      </x:c>
      <x:c r="J1980" s="166" t="str">
        <x:v>CI</x:v>
      </x:c>
      <x:c r="K1980" s="172" t="n">
        <x:v>6</x:v>
      </x:c>
      <x:c r="L1980" s="185" t="str">
        <x:v>Não classificado</x:v>
      </x:c>
    </x:row>
    <x:row r="1981">
      <x:c r="A1981" s="175" t="str">
        <x:v>29.494.000/0001-77</x:v>
      </x:c>
      <x:c r="B1981" s="166" t="str">
        <x:v>MULTIBANK FUNDO DE INVESTIMENTO EM DIREITOS CREDITÓRIOS MULTISSETORIAL LP</x:v>
      </x:c>
      <x:c r="C1981" s="188" t="n">
        <x:v>28605863.89</x:v>
      </x:c>
      <x:c r="D1981" s="166" t="str">
        <x:v>TERCON ASSET MANAGEMENT</x:v>
      </x:c>
      <x:c r="E1981" s="166" t="str">
        <x:f>IFERROR(INDEX('Classif Gestoras'!$H$6:$H$462,MATCH(D1981,'Classif Gestoras'!$A$6:$A$462,0)),"Não classificada")</x:f>
        <x:v>Independente</x:v>
      </x:c>
      <x:c r="F1981" s="166" t="str">
        <x:v>Limine Trust Distribuidora de Titulos e Valores Mobiliá</x:v>
      </x:c>
      <x:c r="G1981" s="166" t="str">
        <x:v>LIMINE TRUST DISTRIBUIDORA DE TITULOS E VALORES MOBILIARIOS LTDA.</x:v>
      </x:c>
      <x:c r="H1981" s="166" t="str">
        <x:v>Outros</x:v>
      </x:c>
      <x:c r="I1981" s="166" t="str">
        <x:v>Multicarteira Outros</x:v>
      </x:c>
      <x:c r="J1981" s="166" t="str">
        <x:v>CI</x:v>
      </x:c>
      <x:c r="K1981" s="172" t="n">
        <x:v>9</x:v>
      </x:c>
      <x:c r="L1981" s="185" t="str">
        <x:v>Não classificado</x:v>
      </x:c>
    </x:row>
    <x:row r="1982">
      <x:c r="A1982" s="175" t="str">
        <x:v>48.979.218/0001-66</x:v>
      </x:c>
      <x:c r="B1982" s="166" t="str">
        <x:v>BRASIL SPECIAL SITUATIONS I FUNDO DE INVESTIMENTO EM DIREITOS CREDITORIOS</x:v>
      </x:c>
      <x:c r="C1982" s="188" t="n">
        <x:v>28525524.27</x:v>
      </x:c>
      <x:c r="D1982" s="166" t="str">
        <x:v>Redwood Asset Management</x:v>
      </x:c>
      <x:c r="E1982" s="166" t="str">
        <x:f>IFERROR(INDEX('Classif Gestoras'!$H$6:$H$462,MATCH(D1982,'Classif Gestoras'!$A$6:$A$462,0)),"Não classificada")</x:f>
        <x:v>Independente</x:v>
      </x:c>
      <x:c r="F1982" s="166" t="str">
        <x:v>PLANNER CV</x:v>
      </x:c>
      <x:c r="G1982" s="166" t="str">
        <x:v>PLANNER CORRETORA DE VALORES S.A.</x:v>
      </x:c>
      <x:c r="H1982" s="166" t="str">
        <x:v>Outros</x:v>
      </x:c>
      <x:c r="I1982" s="166" t="str">
        <x:v>Multicarteira Outros</x:v>
      </x:c>
      <x:c r="J1982" s="166" t="str">
        <x:v>CI</x:v>
      </x:c>
      <x:c r="K1982" s="172" t="n">
        <x:v>1</x:v>
      </x:c>
      <x:c r="L1982" s="185" t="str">
        <x:v>Não classificado</x:v>
      </x:c>
    </x:row>
    <x:row r="1983">
      <x:c r="A1983" s="175" t="str">
        <x:v>61.384.065/0001-72</x:v>
      </x:c>
      <x:c r="B1983" s="166" t="str">
        <x:v>PETRUS MULTICREDITO FUNDO DE INVESTIMENTO EM DIREITOS CREDITORIOS</x:v>
      </x:c>
      <x:c r="C1983" s="188" t="n">
        <x:v>28224034.15</x:v>
      </x:c>
      <x:c r="D1983" s="166" t="str">
        <x:v>Libertas Asset</x:v>
      </x:c>
      <x:c r="E1983" s="166" t="str">
        <x:f>IFERROR(INDEX('Classif Gestoras'!$H$6:$H$462,MATCH(D1983,'Classif Gestoras'!$A$6:$A$462,0)),"Não classificada")</x:f>
        <x:v>Independente</x:v>
      </x:c>
      <x:c r="F1983" s="166" t="str">
        <x:v>ACTUAL DTVM</x:v>
      </x:c>
      <x:c r="G1983" s="166" t="str">
        <x:v>TRUSTEE DISTRIBUIDORA DE TITULOS E VALORES MOBILIARIOS LTDA.</x:v>
      </x:c>
      <x:c r="H1983" s="166" t="str">
        <x:v>Fomento Mercantil</x:v>
      </x:c>
      <x:c r="I1983" s="166" t="str">
        <x:v>Fomento Mercantil</x:v>
      </x:c>
      <x:c r="J1983" s="166" t="str">
        <x:v>CI</x:v>
      </x:c>
      <x:c r="K1983" s="172" t="n">
        <x:v>1</x:v>
      </x:c>
      <x:c r="L1983" s="185" t="str">
        <x:v>Não classificado</x:v>
      </x:c>
    </x:row>
    <x:row r="1984">
      <x:c r="A1984" s="175" t="str">
        <x:v>12.769.511/0001-51</x:v>
      </x:c>
      <x:c r="B1984" s="166" t="str">
        <x:v>ID FINANCIAL FUNDO DE INVESTIMENTO EM DIREITOS CREDITÓRIOS MULTISEGMENTOS</x:v>
      </x:c>
      <x:c r="C1984" s="188" t="n">
        <x:v>27996369.09</x:v>
      </x:c>
      <x:c r="D1984" s="166" t="str">
        <x:v>Petra Capital</x:v>
      </x:c>
      <x:c r="E1984" s="166" t="str">
        <x:f>IFERROR(INDEX('Classif Gestoras'!$H$6:$H$462,MATCH(D1984,'Classif Gestoras'!$A$6:$A$462,0)),"Não classificada")</x:f>
        <x:v>Independente</x:v>
      </x:c>
      <x:c r="F1984" s="166" t="str">
        <x:v>Finaxis Corretora de Títulos e Valores Mobiliários S.A.</x:v>
      </x:c>
      <x:c r="G1984" s="166" t="str">
        <x:v>BANCO FINAXIS S.A.</x:v>
      </x:c>
      <x:c r="H1984" s="166" t="str">
        <x:v>Agro, Indústria e Comércio</x:v>
      </x:c>
      <x:c r="I1984" s="166" t="str">
        <x:v>Recebíveis Comerciais</x:v>
      </x:c>
      <x:c r="J1984" s="166" t="str">
        <x:v>CI</x:v>
      </x:c>
      <x:c r="K1984" s="172" t="n">
        <x:v>1</x:v>
      </x:c>
      <x:c r="L1984" s="185" t="str">
        <x:v>Não classificado</x:v>
      </x:c>
    </x:row>
    <x:row r="1985">
      <x:c r="A1985" s="175" t="str">
        <x:v>32.274.365/0001-09</x:v>
      </x:c>
      <x:c r="B1985" s="166" t="str">
        <x:v>FCC I - FUNDO DE INVESTIMENTO EM DIREITOS CREDITÓRIOS</x:v>
      </x:c>
      <x:c r="C1985" s="188" t="n">
        <x:v>27991952.15</x:v>
      </x:c>
      <x:c r="D1985" s="166" t="str">
        <x:v>Milênio Capital</x:v>
      </x:c>
      <x:c r="E1985" s="166" t="str">
        <x:f>IFERROR(INDEX('Classif Gestoras'!$H$6:$H$462,MATCH(D1985,'Classif Gestoras'!$A$6:$A$462,0)),"Não classificada")</x:f>
        <x:v>Independente</x:v>
      </x:c>
      <x:c r="F1985" s="166" t="str">
        <x:v>MAF Distribuidora de Títulos e Valores Mobiliários S.A.</x:v>
      </x:c>
      <x:c r="G1985" s="166" t="str">
        <x:v>MAF DISTRIBUIDORA DE TITULOS E VALORES MOBILIARIOS S.A.</x:v>
      </x:c>
      <x:c r="H1985" s="166" t="str">
        <x:v>Outros</x:v>
      </x:c>
      <x:c r="I1985" s="166" t="str">
        <x:v>Multicarteira Outros</x:v>
      </x:c>
      <x:c r="J1985" s="166" t="str">
        <x:v>CI</x:v>
      </x:c>
      <x:c r="K1985" s="172" t="n">
        <x:v>8</x:v>
      </x:c>
      <x:c r="L1985" s="185" t="str">
        <x:v>Não classificado</x:v>
      </x:c>
    </x:row>
    <x:row r="1986">
      <x:c r="A1986" s="175" t="str">
        <x:v>63.679.664/0001-49</x:v>
      </x:c>
      <x:c r="B1986" s="166" t="str">
        <x:v>TD I FUNDO DE INVESTIMENTO EM DIREITOS CREDITÓRIOS DE RESPONSABILIDADE LIMITADA</x:v>
      </x:c>
      <x:c r="C1986" s="188" t="n">
        <x:v>27941528.949999996</x:v>
      </x:c>
      <x:c r="D1986" s="166" t="str">
        <x:v>PIER GESTAO DE RECURSOS FINANCEIROS LTDA</x:v>
      </x:c>
      <x:c r="E1986" s="166" t="str">
        <x:f>IFERROR(INDEX('Classif Gestoras'!$H$6:$H$462,MATCH(D1986,'Classif Gestoras'!$A$6:$A$462,0)),"Não classificada")</x:f>
        <x:v>Independente</x:v>
      </x:c>
      <x:c r="F1986" s="166" t="str">
        <x:v>Oliveira Trust DTVM</x:v>
      </x:c>
      <x:c r="G1986" s="166" t="str">
        <x:v>OLIVEIRA TRUST DTVM S.A.</x:v>
      </x:c>
      <x:c r="H1986" s="166" t="str">
        <x:v>Financeiro</x:v>
      </x:c>
      <x:c r="I1986" s="166" t="str">
        <x:v>Crédito Pessoal</x:v>
      </x:c>
      <x:c r="J1986" s="166" t="str">
        <x:v>CI</x:v>
      </x:c>
      <x:c r="K1986" s="172" t="n">
        <x:v>9</x:v>
      </x:c>
      <x:c r="L1986" s="185" t="str">
        <x:v>Não classificado</x:v>
      </x:c>
    </x:row>
    <x:row r="1987">
      <x:c r="A1987" s="175" t="str">
        <x:v>36.359.698/0001-83</x:v>
      </x:c>
      <x:c r="B1987" s="166" t="str">
        <x:v>U.NIC FUNDO DE INVESTIMENTO EM DIREITOS CREDITÓRIOS</x:v>
      </x:c>
      <x:c r="C1987" s="188" t="n">
        <x:v>27938544.83</x:v>
      </x:c>
      <x:c r="D1987" s="166" t="str">
        <x:v>TERCON ASSET MANAGEMENT</x:v>
      </x:c>
      <x:c r="E1987" s="166" t="str">
        <x:f>IFERROR(INDEX('Classif Gestoras'!$H$6:$H$462,MATCH(D1987,'Classif Gestoras'!$A$6:$A$462,0)),"Não classificada")</x:f>
        <x:v>Independente</x:v>
      </x:c>
      <x:c r="F1987" s="166" t="str">
        <x:v>Singulare</x:v>
      </x:c>
      <x:c r="G1987" s="166" t="str">
        <x:v>QI CORRETORA DE TÍTULOS E VALORES MOBILIÁRIOS S.A.</x:v>
      </x:c>
      <x:c r="H1987" s="166" t="str">
        <x:v>Fomento Mercantil</x:v>
      </x:c>
      <x:c r="I1987" s="166" t="str">
        <x:v>Fomento Mercantil</x:v>
      </x:c>
      <x:c r="J1987" s="166" t="str">
        <x:v>CI</x:v>
      </x:c>
      <x:c r="K1987" s="172" t="n">
        <x:v>23</x:v>
      </x:c>
      <x:c r="L1987" s="185" t="str">
        <x:v>Não classificado</x:v>
      </x:c>
    </x:row>
    <x:row r="1988">
      <x:c r="A1988" s="175" t="str">
        <x:v>62.395.029/0001-77</x:v>
      </x:c>
      <x:c r="B1988" s="166" t="str">
        <x:v>W&amp;V FUNDO DE INVESTIMENTO EM DIREITOS CREDITÓRIOS RESPONSABILIDADE LIMITADA</x:v>
      </x:c>
      <x:c r="C1988" s="188" t="n">
        <x:v>27900400.31</x:v>
      </x:c>
      <x:c r="D1988" s="166" t="str">
        <x:v>Bless Capital Gestora de Recursos Ltda.</x:v>
      </x:c>
      <x:c r="E1988" s="166" t="str">
        <x:f>IFERROR(INDEX('Classif Gestoras'!$H$6:$H$462,MATCH(D1988,'Classif Gestoras'!$A$6:$A$462,0)),"Não classificada")</x:f>
        <x:v>Independente</x:v>
      </x:c>
      <x:c r="F1988" s="166" t="str">
        <x:v>ID Corretora de Títulos e Valores Mobiliários S.A.</x:v>
      </x:c>
      <x:c r="G1988" s="166" t="str">
        <x:v>ID CORRETORA DE TITULOS E VALORES MOBILIARIOS S.A.</x:v>
      </x:c>
      <x:c r="H1988" s="166" t="str">
        <x:v>Outros</x:v>
      </x:c>
      <x:c r="I1988" s="166" t="str">
        <x:v>Multicarteira Outros</x:v>
      </x:c>
      <x:c r="J1988" s="166" t="str">
        <x:v>CI</x:v>
      </x:c>
      <x:c r="K1988" s="172" t="n">
        <x:v>12</x:v>
      </x:c>
      <x:c r="L1988" s="185" t="str">
        <x:v>Não classificado</x:v>
      </x:c>
    </x:row>
    <x:row r="1989">
      <x:c r="A1989" s="175" t="str">
        <x:v>40.365.916/0001-60</x:v>
      </x:c>
      <x:c r="B1989" s="166" t="str">
        <x:v>STARBOARD SPECIAL SITUATIONS III FUNDO DE INVESTIMENTO EM DIREITOS CREDITÓRIOS</x:v>
      </x:c>
      <x:c r="C1989" s="188" t="n">
        <x:v>27679573.9</x:v>
      </x:c>
      <x:c r="D1989" s="166" t="str">
        <x:v>Starboard Asset</x:v>
      </x:c>
      <x:c r="E1989" s="166" t="str">
        <x:f>IFERROR(INDEX('Classif Gestoras'!$H$6:$H$462,MATCH(D1989,'Classif Gestoras'!$A$6:$A$462,0)),"Não classificada")</x:f>
        <x:v>Independente</x:v>
      </x:c>
      <x:c r="F1989" s="166" t="str">
        <x:v>BTG Pactual Servicos Financeiros S/A DTVM</x:v>
      </x:c>
      <x:c r="G1989" s="166" t="str">
        <x:v>BANCO BTG PACTUAL S/A</x:v>
      </x:c>
      <x:c r="H1989" s="166" t="str">
        <x:v>Outros</x:v>
      </x:c>
      <x:c r="I1989" s="166" t="str">
        <x:v>Multicarteira Outros</x:v>
      </x:c>
      <x:c r="J1989" s="166" t="str">
        <x:v>CI</x:v>
      </x:c>
      <x:c r="K1989" s="172" t="n">
        <x:v>192</x:v>
      </x:c>
      <x:c r="L1989" s="185" t="str">
        <x:v>Não classificado</x:v>
      </x:c>
    </x:row>
    <x:row r="1990">
      <x:c r="A1990" s="175" t="str">
        <x:v>18.593.058/0001-51</x:v>
      </x:c>
      <x:c r="B1990" s="166" t="str">
        <x:v>ZKR NP FUNDO DE INVESTIMENTO EM DIREITOS CREDITORIOS NAO PADRONIZADOS MULTISSETORIAL</x:v>
      </x:c>
      <x:c r="C1990" s="188" t="n">
        <x:v>27576818.61</x:v>
      </x:c>
      <x:c r="D1990" s="166" t="str">
        <x:v>TERCON ASSET MANAGEMENT</x:v>
      </x:c>
      <x:c r="E1990" s="166" t="str">
        <x:f>IFERROR(INDEX('Classif Gestoras'!$H$6:$H$462,MATCH(D1990,'Classif Gestoras'!$A$6:$A$462,0)),"Não classificada")</x:f>
        <x:v>Independente</x:v>
      </x:c>
      <x:c r="F1990" s="166" t="str">
        <x:v>Singulare</x:v>
      </x:c>
      <x:c r="G1990" s="166" t="str">
        <x:v>QI CORRETORA DE TÍTULOS E VALORES MOBILIÁRIOS S.A.</x:v>
      </x:c>
      <x:c r="H1990" s="166" t="str">
        <x:v>Fomento Mercantil</x:v>
      </x:c>
      <x:c r="I1990" s="166" t="str">
        <x:v>Fomento Mercantil</x:v>
      </x:c>
      <x:c r="J1990" s="166" t="str">
        <x:v>CI</x:v>
      </x:c>
      <x:c r="K1990" s="172" t="n">
        <x:v>4</x:v>
      </x:c>
      <x:c r="L1990" s="185" t="str">
        <x:v>Não classificado</x:v>
      </x:c>
    </x:row>
    <x:row r="1991">
      <x:c r="A1991" s="175" t="str">
        <x:v>59.929.292/0001-94</x:v>
      </x:c>
      <x:c r="B1991" s="166" t="str">
        <x:v>PREMIUM RECEBÍVEIS MULTISSETORIAL II FUNDO DE INVESTIMENTO EM DIREITOS CREDITÓRIOS - RESP LIMITADA</x:v>
      </x:c>
      <x:c r="C1991" s="188" t="n">
        <x:v>27553529.33</x:v>
      </x:c>
      <x:c r="D1991" s="166" t="str">
        <x:v>Solis</x:v>
      </x:c>
      <x:c r="E1991" s="166" t="str">
        <x:f>IFERROR(INDEX('Classif Gestoras'!$H$6:$H$462,MATCH(D1991,'Classif Gestoras'!$A$6:$A$462,0)),"Não classificada")</x:f>
        <x:v>Independente</x:v>
      </x:c>
      <x:c r="F1991" s="166" t="str">
        <x:v>HEMERA DTVM</x:v>
      </x:c>
      <x:c r="G1991" s="166" t="str">
        <x:v>HEMERA DISTRIBUIDORA DE TITULOS E VALORES MOBILIARIOS LTDA</x:v>
      </x:c>
      <x:c r="H1991" s="166" t="str">
        <x:v>Fomento Mercantil</x:v>
      </x:c>
      <x:c r="I1991" s="166" t="str">
        <x:v>Fomento Mercantil</x:v>
      </x:c>
      <x:c r="J1991" s="166" t="str">
        <x:v>CI</x:v>
      </x:c>
      <x:c r="K1991" s="172" t="n">
        <x:v>10</x:v>
      </x:c>
      <x:c r="L1991" s="185" t="str">
        <x:v>Não classificado</x:v>
      </x:c>
    </x:row>
    <x:row r="1992">
      <x:c r="A1992" s="175" t="str">
        <x:v>29.018.916/0001-50</x:v>
      </x:c>
      <x:c r="B1992" s="166" t="str">
        <x:v>UA FUNDO DE INVESTIMENTO EM DIREITOS CREDITÓRIOS NÃO-PADRONIZADOS</x:v>
      </x:c>
      <x:c r="C1992" s="188" t="n">
        <x:v>27546517.110000003</x:v>
      </x:c>
      <x:c r="D1992" s="166" t="str">
        <x:v>Quadra Gestão de Recursos S.A.</x:v>
      </x:c>
      <x:c r="E1992" s="166" t="str">
        <x:f>IFERROR(INDEX('Classif Gestoras'!$H$6:$H$462,MATCH(D1992,'Classif Gestoras'!$A$6:$A$462,0)),"Não classificada")</x:f>
        <x:v>Independente</x:v>
      </x:c>
      <x:c r="F1992" s="166" t="str">
        <x:v>BTG Pactual Servicos Financeiros S/A DTVM</x:v>
      </x:c>
      <x:c r="G1992" s="166" t="str">
        <x:v>BANCO BTG PACTUAL S/A</x:v>
      </x:c>
      <x:c r="H1992" s="166" t="str">
        <x:v>Outros</x:v>
      </x:c>
      <x:c r="I1992" s="166" t="str">
        <x:v>Multicarteira Outros</x:v>
      </x:c>
      <x:c r="J1992" s="166" t="str">
        <x:v>CI</x:v>
      </x:c>
      <x:c r="K1992" s="172" t="n">
        <x:v>2</x:v>
      </x:c>
      <x:c r="L1992" s="185" t="str">
        <x:v>Não classificado</x:v>
      </x:c>
    </x:row>
    <x:row r="1993">
      <x:c r="A1993" s="175" t="str">
        <x:v>64.077.421/0001-01</x:v>
      </x:c>
      <x:c r="B1993" s="166" t="str">
        <x:v>FUNDO DE INVESTIMENTO EM DIREITOS CREDITÓRIOS TARGET TRADING - RESPONSABILIDADE LIMITADA</x:v>
      </x:c>
      <x:c r="C1993" s="188" t="n">
        <x:v>27546482.89</x:v>
      </x:c>
      <x:c r="D1993" s="166" t="str">
        <x:v>Galápagos</x:v>
      </x:c>
      <x:c r="E1993" s="166" t="str">
        <x:f>IFERROR(INDEX('Classif Gestoras'!$H$6:$H$462,MATCH(D1993,'Classif Gestoras'!$A$6:$A$462,0)),"Não classificada")</x:f>
        <x:v>Independente</x:v>
      </x:c>
      <x:c r="F1993" s="166" t="str">
        <x:v>VÓRTX DTVM</x:v>
      </x:c>
      <x:c r="G1993" s="166" t="str">
        <x:v>VORTX DISTRIBUIDORA DE TITULOS E VALORES MOBILIARIOS LTDA.</x:v>
      </x:c>
      <x:c r="H1993" s="166" t="str">
        <x:v>Outros</x:v>
      </x:c>
      <x:c r="I1993" s="166" t="str">
        <x:v>Multicarteira Outros</x:v>
      </x:c>
      <x:c r="J1993" s="166" t="str">
        <x:v>CI</x:v>
      </x:c>
      <x:c r="K1993" s="172" t="n">
        <x:v>6</x:v>
      </x:c>
      <x:c r="L1993" s="185" t="str">
        <x:v>Não classificado</x:v>
      </x:c>
    </x:row>
    <x:row r="1994">
      <x:c r="A1994" s="175" t="str">
        <x:v>13.963.676/0001-22</x:v>
      </x:c>
      <x:c r="B1994" s="166" t="str">
        <x:v>HOPE II FUNDO DE INVESTIMENTO EM DIREITOS CREDITÓRIOS MULTISSEGMENTOS</x:v>
      </x:c>
      <x:c r="C1994" s="188" t="n">
        <x:v>27514467.1</x:v>
      </x:c>
      <x:c r="D1994" s="166" t="str">
        <x:v>HOPE ASSET</x:v>
      </x:c>
      <x:c r="E1994" s="166" t="str">
        <x:f>IFERROR(INDEX('Classif Gestoras'!$H$6:$H$462,MATCH(D1994,'Classif Gestoras'!$A$6:$A$462,0)),"Não classificada")</x:f>
        <x:v>Independente</x:v>
      </x:c>
      <x:c r="F1994" s="166" t="str">
        <x:v>Finaxis Corretora de Títulos e Valores Mobiliários S.A.</x:v>
      </x:c>
      <x:c r="G1994" s="166" t="str">
        <x:v>BANCO FINAXIS S.A.</x:v>
      </x:c>
      <x:c r="H1994" s="166" t="str">
        <x:v>Fomento Mercantil</x:v>
      </x:c>
      <x:c r="I1994" s="166" t="str">
        <x:v>Fomento Mercantil</x:v>
      </x:c>
      <x:c r="J1994" s="166" t="str">
        <x:v>CI</x:v>
      </x:c>
      <x:c r="K1994" s="172" t="n">
        <x:v>2</x:v>
      </x:c>
      <x:c r="L1994" s="185" t="str">
        <x:v>Não classificado</x:v>
      </x:c>
    </x:row>
    <x:row r="1995">
      <x:c r="A1995" s="175" t="str">
        <x:v>49.000.456/0001-40</x:v>
      </x:c>
      <x:c r="B1995" s="166" t="str">
        <x:v>P2 INVEST FUNDO DE INVESTIMENTOS EM DIREITOS CREDITÓRIOS</x:v>
      </x:c>
      <x:c r="C1995" s="188" t="n">
        <x:v>27491954.22</x:v>
      </x:c>
      <x:c r="D1995" s="166" t="str">
        <x:v>Catálise Investimentos</x:v>
      </x:c>
      <x:c r="E1995" s="166" t="str">
        <x:f>IFERROR(INDEX('Classif Gestoras'!$H$6:$H$462,MATCH(D1995,'Classif Gestoras'!$A$6:$A$462,0)),"Não classificada")</x:f>
        <x:v>Independente</x:v>
      </x:c>
      <x:c r="F1995" s="166" t="str">
        <x:v>FIDD DISTRIBUIDORA DE TITULOS E VALORES MOBILIARIOS LTD</x:v>
      </x:c>
      <x:c r="G1995" s="166" t="str">
        <x:v>FIDD DISTRIBUIDORA DE TITULOS E VALORES MOBILIARIOS LTDA.</x:v>
      </x:c>
      <x:c r="H1995" s="166" t="str">
        <x:v>Outros</x:v>
      </x:c>
      <x:c r="I1995" s="166" t="str">
        <x:v>Multicarteira Outros</x:v>
      </x:c>
      <x:c r="J1995" s="166" t="str">
        <x:v>CI</x:v>
      </x:c>
      <x:c r="K1995" s="172" t="n">
        <x:v>1</x:v>
      </x:c>
      <x:c r="L1995" s="185" t="str">
        <x:v>Não classificado</x:v>
      </x:c>
    </x:row>
    <x:row r="1996">
      <x:c r="A1996" s="175" t="str">
        <x:v>20.820.603/0001-47</x:v>
      </x:c>
      <x:c r="B1996" s="166" t="str">
        <x:v>RIV DE INVESTIMENTO IMOBILIÁRIO</x:v>
      </x:c>
      <x:c r="C1996" s="188" t="n">
        <x:v>27490502.89</x:v>
      </x:c>
      <x:c r="D1996" s="166" t="str">
        <x:v>Polo Capital Gestão de Recurso</x:v>
      </x:c>
      <x:c r="E1996" s="166" t="str">
        <x:f>IFERROR(INDEX('Classif Gestoras'!$H$6:$H$462,MATCH(D1996,'Classif Gestoras'!$A$6:$A$462,0)),"Não classificada")</x:f>
        <x:v>Independente</x:v>
      </x:c>
      <x:c r="F1996" s="166" t="str">
        <x:v>Singulare</x:v>
      </x:c>
      <x:c r="G1996" s="166" t="str">
        <x:v>QI CORRETORA DE TÍTULOS E VALORES MOBILIÁRIOS S.A.</x:v>
      </x:c>
      <x:c r="H1996" s="166" t="str">
        <x:v>Outros</x:v>
      </x:c>
      <x:c r="I1996" s="166" t="str">
        <x:v>Recuperação</x:v>
      </x:c>
      <x:c r="J1996" s="166" t="str">
        <x:v>CI</x:v>
      </x:c>
      <x:c r="K1996" s="172" t="n">
        <x:v>4</x:v>
      </x:c>
      <x:c r="L1996" s="185" t="str">
        <x:v>Não classificado</x:v>
      </x:c>
    </x:row>
    <x:row r="1997">
      <x:c r="A1997" s="175" t="str">
        <x:v>49.141.366/0001-70</x:v>
      </x:c>
      <x:c r="B1997" s="166" t="str">
        <x:v>VALE M CAPITAL FUNDO DE INVESTIMENTO EM DIREITOS CREDITÓRIOS</x:v>
      </x:c>
      <x:c r="C1997" s="188" t="n">
        <x:v>27425469.85</x:v>
      </x:c>
      <x:c r="D1997" s="166" t="str">
        <x:v>ASSET MANAGEMENT</x:v>
      </x:c>
      <x:c r="E1997" s="166" t="str">
        <x:f>IFERROR(INDEX('Classif Gestoras'!$H$6:$H$462,MATCH(D1997,'Classif Gestoras'!$A$6:$A$462,0)),"Não classificada")</x:f>
        <x:v>Independente</x:v>
      </x:c>
      <x:c r="F1997" s="166" t="str">
        <x:v>AZUMI DISTRIBUIDORA DE TÍTULOS E VALORES MOBILIÁRIOS LT</x:v>
      </x:c>
      <x:c r="G1997" s="166" t="str">
        <x:v>AZUMI DISTRIBUIDORA DE TÍTULOS E VALORES MOBILIÁRIOS LTDA.</x:v>
      </x:c>
      <x:c r="H1997" s="166" t="str">
        <x:v>Fomento Mercantil</x:v>
      </x:c>
      <x:c r="I1997" s="166" t="str">
        <x:v>Fomento Mercantil</x:v>
      </x:c>
      <x:c r="J1997" s="166" t="str">
        <x:v>CI</x:v>
      </x:c>
      <x:c r="K1997" s="172" t="n">
        <x:v>2</x:v>
      </x:c>
      <x:c r="L1997" s="185" t="str">
        <x:v>Não classificado</x:v>
      </x:c>
    </x:row>
    <x:row r="1998">
      <x:c r="A1998" s="175" t="str">
        <x:v>42.449.234/0001-60</x:v>
      </x:c>
      <x:c r="B1998" s="166" t="str">
        <x:v>REALINVEST FUNDO DE INVESTIMENTO EM DIREITOS CREDITÓRIOS</x:v>
      </x:c>
      <x:c r="C1998" s="188" t="n">
        <x:v>27424595.34</x:v>
      </x:c>
      <x:c r="D1998" s="166" t="str">
        <x:v>TERCON ASSET MANAGEMENT</x:v>
      </x:c>
      <x:c r="E1998" s="166" t="str">
        <x:f>IFERROR(INDEX('Classif Gestoras'!$H$6:$H$462,MATCH(D1998,'Classif Gestoras'!$A$6:$A$462,0)),"Não classificada")</x:f>
        <x:v>Independente</x:v>
      </x:c>
      <x:c r="F1998" s="166" t="str">
        <x:v>Singulare</x:v>
      </x:c>
      <x:c r="G1998" s="166" t="str">
        <x:v>QI CORRETORA DE TÍTULOS E VALORES MOBILIÁRIOS S.A.</x:v>
      </x:c>
      <x:c r="H1998" s="166" t="str">
        <x:v>Fomento Mercantil</x:v>
      </x:c>
      <x:c r="I1998" s="166" t="str">
        <x:v>Fomento Mercantil</x:v>
      </x:c>
      <x:c r="J1998" s="166" t="str">
        <x:v>CI</x:v>
      </x:c>
      <x:c r="K1998" s="172" t="n">
        <x:v>18</x:v>
      </x:c>
      <x:c r="L1998" s="185" t="str">
        <x:v>Não classificado</x:v>
      </x:c>
    </x:row>
    <x:row r="1999">
      <x:c r="A1999" s="175" t="str">
        <x:v>29.206.973/0001-63</x:v>
      </x:c>
      <x:c r="B1999" s="166" t="str">
        <x:v>VERTIGO 45 FUNDO DE INVESTIMENTO EM DIREITOS CREDITÓRIOS SEGMENTO ECONÔMICO FINANCEIRO</x:v>
      </x:c>
      <x:c r="C1999" s="188" t="n">
        <x:v>27396394.93</x:v>
      </x:c>
      <x:c r="D1999" s="166" t="str">
        <x:v>Petra Capital</x:v>
      </x:c>
      <x:c r="E1999" s="166" t="str">
        <x:f>IFERROR(INDEX('Classif Gestoras'!$H$6:$H$462,MATCH(D1999,'Classif Gestoras'!$A$6:$A$462,0)),"Não classificada")</x:f>
        <x:v>Independente</x:v>
      </x:c>
      <x:c r="F1999" s="166" t="str">
        <x:v>Finaxis Corretora de Títulos e Valores Mobiliários S.A.</x:v>
      </x:c>
      <x:c r="G1999" s="166" t="str">
        <x:v>BANCO FINAXIS S.A.</x:v>
      </x:c>
      <x:c r="H1999" s="166" t="str">
        <x:v>Financeiro</x:v>
      </x:c>
      <x:c r="I1999" s="166" t="str">
        <x:v>Multicarteira Financeiro</x:v>
      </x:c>
      <x:c r="J1999" s="166" t="str">
        <x:v>CI</x:v>
      </x:c>
      <x:c r="K1999" s="172" t="n">
        <x:v>12</x:v>
      </x:c>
      <x:c r="L1999" s="185" t="str">
        <x:v>Não classificado</x:v>
      </x:c>
    </x:row>
    <x:row r="2000">
      <x:c r="A2000" s="175" t="str">
        <x:v>54.478.603/0001-22</x:v>
      </x:c>
      <x:c r="B2000" s="166" t="str">
        <x:v>NOVALAR-ELETRO FUNDO DE INVESTIMENTO EM DIREITOS CREDITÓRIOS RESPONSABILIDADE LIMITADA</x:v>
      </x:c>
      <x:c r="C2000" s="188" t="n">
        <x:v>27379849.069999997</x:v>
      </x:c>
      <x:c r="D2000" s="166" t="str">
        <x:v>Renta Gestão de Recursos LTDA.</x:v>
      </x:c>
      <x:c r="E2000" s="166" t="str">
        <x:f>IFERROR(INDEX('Classif Gestoras'!$H$6:$H$462,MATCH(D2000,'Classif Gestoras'!$A$6:$A$462,0)),"Não classificada")</x:f>
        <x:v>Independente</x:v>
      </x:c>
      <x:c r="F2000" s="166" t="str">
        <x:v>ID Corretora de Títulos e Valores Mobiliários S.A.</x:v>
      </x:c>
      <x:c r="G2000" s="166" t="str">
        <x:v>ID CORRETORA DE TITULOS E VALORES MOBILIARIOS S.A.</x:v>
      </x:c>
      <x:c r="H2000" s="166" t="str">
        <x:v>Outros</x:v>
      </x:c>
      <x:c r="I2000" s="166" t="str">
        <x:v>Multicarteira Outros</x:v>
      </x:c>
      <x:c r="J2000" s="166" t="str">
        <x:v>CI</x:v>
      </x:c>
      <x:c r="K2000" s="172" t="n">
        <x:v>3</x:v>
      </x:c>
      <x:c r="L2000" s="185" t="str">
        <x:v>Não classificado</x:v>
      </x:c>
    </x:row>
    <x:row r="2001">
      <x:c r="A2001" s="175" t="str">
        <x:v>45.145.563/0001-06</x:v>
      </x:c>
      <x:c r="B2001" s="166" t="str">
        <x:v>LEGACY FUNDO DE INVESTIMENTO EM DIREITOS CREDITÓRIOS</x:v>
      </x:c>
      <x:c r="C2001" s="188" t="n">
        <x:v>27347956.000000004</x:v>
      </x:c>
      <x:c r="D2001" s="166" t="str">
        <x:v>Redwood Asset Management</x:v>
      </x:c>
      <x:c r="E2001" s="166" t="str">
        <x:f>IFERROR(INDEX('Classif Gestoras'!$H$6:$H$462,MATCH(D2001,'Classif Gestoras'!$A$6:$A$462,0)),"Não classificada")</x:f>
        <x:v>Independente</x:v>
      </x:c>
      <x:c r="F2001" s="166" t="str">
        <x:v>PLANNER CV</x:v>
      </x:c>
      <x:c r="G2001" s="166" t="str">
        <x:v>PLANNER CORRETORA DE VALORES S.A.</x:v>
      </x:c>
      <x:c r="H2001" s="166" t="str">
        <x:v>Outros</x:v>
      </x:c>
      <x:c r="I2001" s="166" t="str">
        <x:v>Multicarteira Outros</x:v>
      </x:c>
      <x:c r="J2001" s="166" t="str">
        <x:v>CI</x:v>
      </x:c>
      <x:c r="K2001" s="172" t="n">
        <x:v>2</x:v>
      </x:c>
      <x:c r="L2001" s="185" t="str">
        <x:v>Não classificado</x:v>
      </x:c>
    </x:row>
    <x:row r="2002">
      <x:c r="A2002" s="175" t="str">
        <x:v>54.304.772/0001-46</x:v>
      </x:c>
      <x:c r="B2002" s="166" t="str">
        <x:v>ST 1008 FUNDO DE INVESTIMENTO EM DIREITOS CREDITÓRIOS RESPONSABILIDADE LIMITADA</x:v>
      </x:c>
      <x:c r="C2002" s="188" t="n">
        <x:v>27327241.87</x:v>
      </x:c>
      <x:c r="D2002" s="166" t="str">
        <x:v>Strata Capital</x:v>
      </x:c>
      <x:c r="E2002" s="166" t="str">
        <x:f>IFERROR(INDEX('Classif Gestoras'!$H$6:$H$462,MATCH(D2002,'Classif Gestoras'!$A$6:$A$462,0)),"Não classificada")</x:f>
        <x:v>Independente</x:v>
      </x:c>
      <x:c r="F2002" s="166" t="str">
        <x:v>BANCO DAYCOVAL S/A</x:v>
      </x:c>
      <x:c r="G2002" s="166" t="str">
        <x:v>BANCO DAYCOVAL S.A.</x:v>
      </x:c>
      <x:c r="H2002" s="166" t="str">
        <x:v>Financeiro</x:v>
      </x:c>
      <x:c r="I2002" s="166" t="str">
        <x:v>Multicarteira Financeiro</x:v>
      </x:c>
      <x:c r="J2002" s="166" t="str">
        <x:v>CI</x:v>
      </x:c>
      <x:c r="K2002" s="172" t="n">
        <x:v>3</x:v>
      </x:c>
      <x:c r="L2002" s="185" t="str">
        <x:v>Não classificado</x:v>
      </x:c>
    </x:row>
    <x:row r="2003">
      <x:c r="A2003" s="175" t="str">
        <x:v>59.111.770/0001-54</x:v>
      </x:c>
      <x:c r="B2003" s="166" t="str">
        <x:v>JUDICIAL ASSETS N2 FUNDO DE INVESTIMENTO EM DIREITOS CREDITORIOS</x:v>
      </x:c>
      <x:c r="C2003" s="188" t="n">
        <x:v>27250425.220000003</x:v>
      </x:c>
      <x:c r="D2003" s="166" t="str">
        <x:v>EVEREST CAPITAL OFFICE LTDA</x:v>
      </x:c>
      <x:c r="E2003" s="166" t="str">
        <x:f>IFERROR(INDEX('Classif Gestoras'!$H$6:$H$462,MATCH(D2003,'Classif Gestoras'!$A$6:$A$462,0)),"Não classificada")</x:f>
        <x:v>Independente</x:v>
      </x:c>
      <x:c r="F2003" s="166" t="str">
        <x:v>ACTUAL DTVM</x:v>
      </x:c>
      <x:c r="G2003" s="166" t="str">
        <x:v>TRUSTEE DISTRIBUIDORA DE TITULOS E VALORES MOBILIARIOS LTDA.</x:v>
      </x:c>
      <x:c r="H2003" s="166" t="str">
        <x:v>Outros</x:v>
      </x:c>
      <x:c r="I2003" s="166" t="str">
        <x:v>Multicarteira Outros</x:v>
      </x:c>
      <x:c r="J2003" s="166" t="str">
        <x:v>CI</x:v>
      </x:c>
      <x:c r="K2003" s="172" t="n">
        <x:v>1</x:v>
      </x:c>
      <x:c r="L2003" s="185" t="str">
        <x:v>Não classificado</x:v>
      </x:c>
    </x:row>
    <x:row r="2004">
      <x:c r="A2004" s="175" t="str">
        <x:v>59.137.241/0001-20</x:v>
      </x:c>
      <x:c r="B2004" s="166" t="str">
        <x:v>STERN FUNDO DE INVESTIMENTO EM DIREITOS CREDITÓRIOS RESPONSABILIDADE LIMITADA</x:v>
      </x:c>
      <x:c r="C2004" s="188" t="n">
        <x:v>27208019.84</x:v>
      </x:c>
      <x:c r="D2004" s="166" t="str">
        <x:v>HEADINVEST ASSET</x:v>
      </x:c>
      <x:c r="E2004" s="166" t="str">
        <x:f>IFERROR(INDEX('Classif Gestoras'!$H$6:$H$462,MATCH(D2004,'Classif Gestoras'!$A$6:$A$462,0)),"Não classificada")</x:f>
        <x:v>Independente</x:v>
      </x:c>
      <x:c r="F2004" s="166" t="str">
        <x:v>Oliveira Trust DTVM</x:v>
      </x:c>
      <x:c r="G2004" s="166" t="str">
        <x:v>OLIVEIRA TRUST DTVM S.A.</x:v>
      </x:c>
      <x:c r="H2004" s="166" t="str">
        <x:v>Outros</x:v>
      </x:c>
      <x:c r="I2004" s="166" t="str">
        <x:v>Multicarteira Outros</x:v>
      </x:c>
      <x:c r="J2004" s="166" t="str">
        <x:v>CI</x:v>
      </x:c>
      <x:c r="K2004" s="172" t="n">
        <x:v>1</x:v>
      </x:c>
      <x:c r="L2004" s="185" t="str">
        <x:v>Não classificado</x:v>
      </x:c>
    </x:row>
    <x:row r="2005">
      <x:c r="A2005" s="175" t="str">
        <x:v>55.364.405/0001-09</x:v>
      </x:c>
      <x:c r="B2005" s="166" t="str">
        <x:v>JRP FUNDO DE INVESTIMENTO EM DIREITOS CREDITÓRIOS RESPONSABILIDADE LIMITADA</x:v>
      </x:c>
      <x:c r="C2005" s="188" t="n">
        <x:v>27204982.49</x:v>
      </x:c>
      <x:c r="D2005" s="166" t="str">
        <x:v>Veritas Capital Management</x:v>
      </x:c>
      <x:c r="E2005" s="166" t="str">
        <x:f>IFERROR(INDEX('Classif Gestoras'!$H$6:$H$462,MATCH(D2005,'Classif Gestoras'!$A$6:$A$462,0)),"Não classificada")</x:f>
        <x:v>Independente</x:v>
      </x:c>
      <x:c r="F2005" s="166" t="str">
        <x:v>BANCO DAYCOVAL S/A</x:v>
      </x:c>
      <x:c r="G2005" s="166" t="str">
        <x:v>BANCO DAYCOVAL S.A.</x:v>
      </x:c>
      <x:c r="H2005" s="166" t="str">
        <x:v>Outros</x:v>
      </x:c>
      <x:c r="I2005" s="166" t="str">
        <x:v>Multicarteira Outros</x:v>
      </x:c>
      <x:c r="J2005" s="166" t="str">
        <x:v>CI</x:v>
      </x:c>
      <x:c r="K2005" s="172" t="n">
        <x:v>1</x:v>
      </x:c>
      <x:c r="L2005" s="185" t="str">
        <x:v>Não classificado</x:v>
      </x:c>
    </x:row>
    <x:row r="2006">
      <x:c r="A2006" s="175" t="str">
        <x:v>64.530.473/0001-83</x:v>
      </x:c>
      <x:c r="B2006" s="166" t="str">
        <x:v>INTRABANK OPEN FUNDO DE INVESTIMENTO EM DIREITOS CREDITÓRIOS FINANCEIROS DE RESP LIMITADA</x:v>
      </x:c>
      <x:c r="C2006" s="188" t="n">
        <x:v>27197407.51</x:v>
      </x:c>
      <x:c r="D2006" s="166" t="str">
        <x:v>Intrabank Asset</x:v>
      </x:c>
      <x:c r="E2006" s="166" t="str">
        <x:f>IFERROR(INDEX('Classif Gestoras'!$H$6:$H$462,MATCH(D2006,'Classif Gestoras'!$A$6:$A$462,0)),"Não classificada")</x:f>
        <x:v>Independente</x:v>
      </x:c>
      <x:c r="F2006" s="166" t="str">
        <x:v>HEMERA DTVM</x:v>
      </x:c>
      <x:c r="G2006" s="166" t="str">
        <x:v>HEMERA DISTRIBUIDORA DE TITULOS E VALORES MOBILIARIOS LTDA</x:v>
      </x:c>
      <x:c r="H2006" s="166" t="str">
        <x:v>Outros</x:v>
      </x:c>
      <x:c r="I2006" s="166" t="str">
        <x:v>Multicarteira Outros</x:v>
      </x:c>
      <x:c r="J2006" s="166" t="str">
        <x:v>CI</x:v>
      </x:c>
      <x:c r="K2006" s="172" t="n">
        <x:v>2</x:v>
      </x:c>
      <x:c r="L2006" s="185" t="str">
        <x:v>Não classificado</x:v>
      </x:c>
    </x:row>
    <x:row r="2007">
      <x:c r="A2007" s="175" t="str">
        <x:v>58.888.944/0001-27</x:v>
      </x:c>
      <x:c r="B2007" s="166" t="str">
        <x:v>BRONZO N1 FUNDO DE INVESTIMENTO EM DIREITOS CREDITORIOS</x:v>
      </x:c>
      <x:c r="C2007" s="188" t="n">
        <x:v>27195873.44</x:v>
      </x:c>
      <x:c r="D2007" s="166" t="str">
        <x:v>EVEREST CAPITAL OFFICE LTDA</x:v>
      </x:c>
      <x:c r="E2007" s="166" t="str">
        <x:f>IFERROR(INDEX('Classif Gestoras'!$H$6:$H$462,MATCH(D2007,'Classif Gestoras'!$A$6:$A$462,0)),"Não classificada")</x:f>
        <x:v>Independente</x:v>
      </x:c>
      <x:c r="F2007" s="166" t="str">
        <x:v>ACTUAL DTVM</x:v>
      </x:c>
      <x:c r="G2007" s="166" t="str">
        <x:v>TRUSTEE DISTRIBUIDORA DE TITULOS E VALORES MOBILIARIOS LTDA.</x:v>
      </x:c>
      <x:c r="H2007" s="166" t="str">
        <x:v>Outros</x:v>
      </x:c>
      <x:c r="I2007" s="166" t="str">
        <x:v>Multicarteira Outros</x:v>
      </x:c>
      <x:c r="J2007" s="166" t="str">
        <x:v>CI</x:v>
      </x:c>
      <x:c r="K2007" s="172" t="n">
        <x:v>3</x:v>
      </x:c>
      <x:c r="L2007" s="185" t="str">
        <x:v>Não classificado</x:v>
      </x:c>
    </x:row>
    <x:row r="2008">
      <x:c r="A2008" s="175" t="str">
        <x:v>63.212.782/0001-42</x:v>
      </x:c>
      <x:c r="B2008" s="166" t="str">
        <x:v>GRUPO K FUNDO DE INVESTIMENTO EM DIREITOS CREDITÓRIOS</x:v>
      </x:c>
      <x:c r="C2008" s="188" t="n">
        <x:v>27185899.88</x:v>
      </x:c>
      <x:c r="D2008" s="166" t="str">
        <x:v>GV ATACAMA CAPITAL LTDA.</x:v>
      </x:c>
      <x:c r="E2008" s="166" t="str">
        <x:f>IFERROR(INDEX('Classif Gestoras'!$H$6:$H$462,MATCH(D2008,'Classif Gestoras'!$A$6:$A$462,0)),"Não classificada")</x:f>
        <x:v>Independente</x:v>
      </x:c>
      <x:c r="F2008" s="166" t="str">
        <x:v>Singulare</x:v>
      </x:c>
      <x:c r="G2008" s="166" t="str">
        <x:v>Não identificado</x:v>
      </x:c>
      <x:c r="H2008" s="166" t="str">
        <x:v>Outros</x:v>
      </x:c>
      <x:c r="I2008" s="166" t="str">
        <x:v>Multicarteira Outros</x:v>
      </x:c>
      <x:c r="J2008" s="166" t="str">
        <x:v>CI</x:v>
      </x:c>
      <x:c r="K2008" s="172" t="n">
        <x:v>3</x:v>
      </x:c>
      <x:c r="L2008" s="185" t="str">
        <x:v>Não classificado</x:v>
      </x:c>
    </x:row>
    <x:row r="2009">
      <x:c r="A2009" s="175" t="str">
        <x:v>62.792.509/0001-71</x:v>
      </x:c>
      <x:c r="B2009" s="166" t="str">
        <x:v>ERETEZ FUNDO DE INVESTIMENTO EM DIREITOS CREDITÓRIOS - RESPONSABILIDADE LIMITADA</x:v>
      </x:c>
      <x:c r="C2009" s="188" t="n">
        <x:v>27152273.980000004</x:v>
      </x:c>
      <x:c r="D2009" s="166" t="str">
        <x:v>Solis</x:v>
      </x:c>
      <x:c r="E2009" s="166" t="str">
        <x:f>IFERROR(INDEX('Classif Gestoras'!$H$6:$H$462,MATCH(D2009,'Classif Gestoras'!$A$6:$A$462,0)),"Não classificada")</x:f>
        <x:v>Independente</x:v>
      </x:c>
      <x:c r="F2009" s="166" t="str">
        <x:v>HEMERA DTVM</x:v>
      </x:c>
      <x:c r="G2009" s="166" t="str">
        <x:v>HEMERA DISTRIBUIDORA DE TITULOS E VALORES MOBILIARIOS LTDA</x:v>
      </x:c>
      <x:c r="H2009" s="166" t="str">
        <x:v>Fomento Mercantil</x:v>
      </x:c>
      <x:c r="I2009" s="166" t="str">
        <x:v>Fomento Mercantil</x:v>
      </x:c>
      <x:c r="J2009" s="166" t="str">
        <x:v>CI</x:v>
      </x:c>
      <x:c r="K2009" s="172" t="n">
        <x:v>6</x:v>
      </x:c>
      <x:c r="L2009" s="185" t="str">
        <x:v>Não classificado</x:v>
      </x:c>
    </x:row>
    <x:row r="2010">
      <x:c r="A2010" s="175" t="str">
        <x:v>55.675.974/0001-67</x:v>
      </x:c>
      <x:c r="B2010" s="166" t="str">
        <x:v>LUME FUNDO DE INVESTIMENTO EM DIREITOS CREDITÓRIOS DE RESPONSABILIDADE LIMITADA</x:v>
      </x:c>
      <x:c r="C2010" s="188" t="n">
        <x:v>27146790.04</x:v>
      </x:c>
      <x:c r="D2010" s="166" t="str">
        <x:v>Catálise Investimentos</x:v>
      </x:c>
      <x:c r="E2010" s="166" t="str">
        <x:f>IFERROR(INDEX('Classif Gestoras'!$H$6:$H$462,MATCH(D2010,'Classif Gestoras'!$A$6:$A$462,0)),"Não classificada")</x:f>
        <x:v>Independente</x:v>
      </x:c>
      <x:c r="F2010" s="166" t="str">
        <x:v>CATÁLISE DTVM</x:v>
      </x:c>
      <x:c r="G2010" s="166" t="str">
        <x:v>BANCO DAYCOVAL S.A.</x:v>
      </x:c>
      <x:c r="H2010" s="166" t="str">
        <x:v>Agro, Indústria e Comércio</x:v>
      </x:c>
      <x:c r="I2010" s="166" t="str">
        <x:v>Recebíveis Comerciais</x:v>
      </x:c>
      <x:c r="J2010" s="166" t="str">
        <x:v>CI</x:v>
      </x:c>
      <x:c r="K2010" s="172" t="n">
        <x:v>2</x:v>
      </x:c>
      <x:c r="L2010" s="185" t="str">
        <x:v>Não classificado</x:v>
      </x:c>
    </x:row>
    <x:row r="2011">
      <x:c r="A2011" s="175" t="str">
        <x:v>35.820.716/0001-10</x:v>
      </x:c>
      <x:c r="B2011" s="166" t="str">
        <x:v>FRADE IV FUNDO DE INVESTIMENTO EM DIREITOS CREDITÓRIOS</x:v>
      </x:c>
      <x:c r="C2011" s="188" t="n">
        <x:v>27081359.23</x:v>
      </x:c>
      <x:c r="D2011" s="166" t="str">
        <x:v>Vista Real Estate</x:v>
      </x:c>
      <x:c r="E2011" s="166" t="str">
        <x:f>IFERROR(INDEX('Classif Gestoras'!$H$6:$H$462,MATCH(D2011,'Classif Gestoras'!$A$6:$A$462,0)),"Não classificada")</x:f>
        <x:v>Independente</x:v>
      </x:c>
      <x:c r="F2011" s="166" t="str">
        <x:v>BRL TRUST DTVM</x:v>
      </x:c>
      <x:c r="G2011" s="166" t="str">
        <x:v>BRL TRUST DISTRIBUIDORA DE TITULOS E VALORES MOBILIARIOS S.A.</x:v>
      </x:c>
      <x:c r="H2011" s="166" t="str">
        <x:v>Outros</x:v>
      </x:c>
      <x:c r="I2011" s="166" t="str">
        <x:v>Poder Público</x:v>
      </x:c>
      <x:c r="J2011" s="166" t="str">
        <x:v>CI</x:v>
      </x:c>
      <x:c r="K2011" s="172" t="n">
        <x:v>1</x:v>
      </x:c>
      <x:c r="L2011" s="185" t="str">
        <x:v>Não classificado</x:v>
      </x:c>
    </x:row>
    <x:row r="2012">
      <x:c r="A2012" s="175" t="str">
        <x:v>56.154.338/0001-52</x:v>
      </x:c>
      <x:c r="B2012" s="166" t="str">
        <x:v>KUARÁ ORIZ LSN I FUNDO DE INVESTIMENTOS EM DIREITOS CREDITÓRIOS NP RESP LIMITADA</x:v>
      </x:c>
      <x:c r="C2012" s="188" t="n">
        <x:v>26985870.770000003</x:v>
      </x:c>
      <x:c r="D2012" s="166" t="str">
        <x:v>Kuará Capital</x:v>
      </x:c>
      <x:c r="E2012" s="166" t="str">
        <x:f>IFERROR(INDEX('Classif Gestoras'!$H$6:$H$462,MATCH(D2012,'Classif Gestoras'!$A$6:$A$462,0)),"Não classificada")</x:f>
        <x:v>Independente</x:v>
      </x:c>
      <x:c r="F2012" s="166" t="str">
        <x:v>MONETAR DISTRIBUIDORA DE TITUL</x:v>
      </x:c>
      <x:c r="G2012" s="166" t="str">
        <x:v>TERRA INVESTIMENTOS DISTRIBUIDORA DE TITULOS E VALORES MOBILIARIOS LTDA</x:v>
      </x:c>
      <x:c r="H2012" s="166" t="str">
        <x:v>Outros</x:v>
      </x:c>
      <x:c r="I2012" s="166" t="str">
        <x:v>Multicarteira Outros</x:v>
      </x:c>
      <x:c r="J2012" s="166" t="str">
        <x:v>CI</x:v>
      </x:c>
      <x:c r="K2012" s="172" t="n">
        <x:v>38</x:v>
      </x:c>
      <x:c r="L2012" s="185" t="str">
        <x:v>Não classificado</x:v>
      </x:c>
    </x:row>
    <x:row r="2013">
      <x:c r="A2013" s="175" t="str">
        <x:v>18.675.887/0001-83</x:v>
      </x:c>
      <x:c r="B2013" s="166" t="str">
        <x:v>SUPERNOVA FUNDO DE INVESTIMENTO EM DIREITOS CREDITÓRIOS MULTISSETORIAL LP</x:v>
      </x:c>
      <x:c r="C2013" s="188" t="n">
        <x:v>26958616.209999997</x:v>
      </x:c>
      <x:c r="D2013" s="166" t="str">
        <x:v>OURO PRETO INVESTIMENTOS</x:v>
      </x:c>
      <x:c r="E2013" s="166" t="str">
        <x:f>IFERROR(INDEX('Classif Gestoras'!$H$6:$H$462,MATCH(D2013,'Classif Gestoras'!$A$6:$A$462,0)),"Não classificada")</x:f>
        <x:v>Independente</x:v>
      </x:c>
      <x:c r="F2013" s="166" t="str">
        <x:v>Singulare</x:v>
      </x:c>
      <x:c r="G2013" s="166" t="str">
        <x:v>QI CORRETORA DE TÍTULOS E VALORES MOBILIÁRIOS S.A.</x:v>
      </x:c>
      <x:c r="H2013" s="166" t="str">
        <x:v>Fomento Mercantil</x:v>
      </x:c>
      <x:c r="I2013" s="166" t="str">
        <x:v>Fomento Mercantil</x:v>
      </x:c>
      <x:c r="J2013" s="166" t="str">
        <x:v>CI</x:v>
      </x:c>
      <x:c r="K2013" s="172" t="n">
        <x:v>3</x:v>
      </x:c>
      <x:c r="L2013" s="185" t="str">
        <x:v>Não classificado</x:v>
      </x:c>
    </x:row>
    <x:row r="2014">
      <x:c r="A2014" s="175" t="str">
        <x:v>31.962.973/0001-35</x:v>
      </x:c>
      <x:c r="B2014" s="166" t="str">
        <x:v>CREDIHOME FUNDO DE INVESTIMENTO EM DIREITOS CREDITÓRIOS - RESPONSABILIDADE LIMITADA</x:v>
      </x:c>
      <x:c r="C2014" s="188" t="n">
        <x:v>26922648.85</x:v>
      </x:c>
      <x:c r="D2014" s="166" t="str">
        <x:v>BRL TRUST DTVM</x:v>
      </x:c>
      <x:c r="E2014" s="166" t="str">
        <x:f>IFERROR(INDEX('Classif Gestoras'!$H$6:$H$462,MATCH(D2014,'Classif Gestoras'!$A$6:$A$462,0)),"Não classificada")</x:f>
        <x:v>Independente</x:v>
      </x:c>
      <x:c r="F2014" s="166" t="str">
        <x:v>BRL TRUST DTVM</x:v>
      </x:c>
      <x:c r="G2014" s="166" t="str">
        <x:v>BRL TRUST DISTRIBUIDORA DE TITULOS E VALORES MOBILIARIOS S.A.</x:v>
      </x:c>
      <x:c r="H2014" s="166" t="str">
        <x:v>Outros</x:v>
      </x:c>
      <x:c r="I2014" s="166" t="str">
        <x:v>Multicarteira Outros</x:v>
      </x:c>
      <x:c r="J2014" s="166" t="str">
        <x:v>CI</x:v>
      </x:c>
      <x:c r="K2014" s="172" t="n">
        <x:v>2</x:v>
      </x:c>
      <x:c r="L2014" s="185" t="str">
        <x:v>Não classificado</x:v>
      </x:c>
    </x:row>
    <x:row r="2015">
      <x:c r="A2015" s="175" t="str">
        <x:v>62.121.679/0001-24</x:v>
      </x:c>
      <x:c r="B2015" s="166" t="str">
        <x:v>BORDER FUNDO DE INVESTIMENTO EM DIREITOS CREDITÓRIOS</x:v>
      </x:c>
      <x:c r="C2015" s="188" t="n">
        <x:v>26916443.83</x:v>
      </x:c>
      <x:c r="D2015" s="166" t="str">
        <x:v>Redwood Asset Management</x:v>
      </x:c>
      <x:c r="E2015" s="166" t="str">
        <x:f>IFERROR(INDEX('Classif Gestoras'!$H$6:$H$462,MATCH(D2015,'Classif Gestoras'!$A$6:$A$462,0)),"Não classificada")</x:f>
        <x:v>Independente</x:v>
      </x:c>
      <x:c r="F2015" s="166" t="str">
        <x:v>PLANNER CV</x:v>
      </x:c>
      <x:c r="G2015" s="166" t="str">
        <x:v>PLANNER CORRETORA DE VALORES S.A.</x:v>
      </x:c>
      <x:c r="H2015" s="166" t="str">
        <x:v>Outros</x:v>
      </x:c>
      <x:c r="I2015" s="166" t="str">
        <x:v>Multicarteira Outros</x:v>
      </x:c>
      <x:c r="J2015" s="166" t="str">
        <x:v>CI</x:v>
      </x:c>
      <x:c r="K2015" s="172" t="n">
        <x:v>1</x:v>
      </x:c>
      <x:c r="L2015" s="185" t="str">
        <x:v>Não classificado</x:v>
      </x:c>
    </x:row>
    <x:row r="2016">
      <x:c r="A2016" s="175" t="str">
        <x:v>47.425.628/0001-00</x:v>
      </x:c>
      <x:c r="B2016" s="166" t="str">
        <x:v>BIOENERGY FUNDO DE INVESTIMENTO EM DIREITOS CREDITÓRIOS NÃO PADRONIZADO</x:v>
      </x:c>
      <x:c r="C2016" s="188" t="n">
        <x:v>26828142.300000004</x:v>
      </x:c>
      <x:c r="D2016" s="166" t="str">
        <x:v>BURITI INVESTIMENTOS</x:v>
      </x:c>
      <x:c r="E2016" s="166" t="str">
        <x:f>IFERROR(INDEX('Classif Gestoras'!$H$6:$H$462,MATCH(D2016,'Classif Gestoras'!$A$6:$A$462,0)),"Não classificada")</x:f>
        <x:v>Independente</x:v>
      </x:c>
      <x:c r="F2016" s="166" t="str">
        <x:v>Singulare</x:v>
      </x:c>
      <x:c r="G2016" s="166" t="str">
        <x:v>QI CORRETORA DE TÍTULOS E VALORES MOBILIÁRIOS S.A.</x:v>
      </x:c>
      <x:c r="H2016" s="166" t="str">
        <x:v>Outros</x:v>
      </x:c>
      <x:c r="I2016" s="166" t="str">
        <x:v>Poder Público</x:v>
      </x:c>
      <x:c r="J2016" s="166" t="str">
        <x:v>CI</x:v>
      </x:c>
      <x:c r="K2016" s="172" t="n">
        <x:v>3</x:v>
      </x:c>
      <x:c r="L2016" s="185" t="str">
        <x:v>Não classificado</x:v>
      </x:c>
    </x:row>
    <x:row r="2017">
      <x:c r="A2017" s="175" t="str">
        <x:v>40.800.541/0001-19</x:v>
      </x:c>
      <x:c r="B2017" s="166" t="str">
        <x:v>ALGARVE SMALL CLAIMS I FUNDO DE INVESTIMENTO EM DIREITOS CREDITÓRIOS NÃO PADRONIZADOS</x:v>
      </x:c>
      <x:c r="C2017" s="188" t="n">
        <x:v>26800889.33</x:v>
      </x:c>
      <x:c r="D2017" s="166" t="str">
        <x:v>Algarve Capital</x:v>
      </x:c>
      <x:c r="E2017" s="166" t="str">
        <x:f>IFERROR(INDEX('Classif Gestoras'!$H$6:$H$462,MATCH(D2017,'Classif Gestoras'!$A$6:$A$462,0)),"Não classificada")</x:f>
        <x:v>Independente</x:v>
      </x:c>
      <x:c r="F2017" s="166" t="str">
        <x:v>Singulare</x:v>
      </x:c>
      <x:c r="G2017" s="166" t="str">
        <x:v>QI CORRETORA DE TÍTULOS E VALORES MOBILIÁRIOS S.A.</x:v>
      </x:c>
      <x:c r="H2017" s="166" t="str">
        <x:v>Outros</x:v>
      </x:c>
      <x:c r="I2017" s="166" t="str">
        <x:v>Multicarteira Outros</x:v>
      </x:c>
      <x:c r="J2017" s="166" t="str">
        <x:v>CI</x:v>
      </x:c>
      <x:c r="K2017" s="172" t="n">
        <x:v>1</x:v>
      </x:c>
      <x:c r="L2017" s="185" t="str">
        <x:v>Não classificado</x:v>
      </x:c>
    </x:row>
    <x:row r="2018">
      <x:c r="A2018" s="175" t="str">
        <x:v>54.837.634/0001-22</x:v>
      </x:c>
      <x:c r="B2018" s="166" t="str">
        <x:v>CL VIII FUNDO DE INVESTIMENTO EM DIREITOS CREDITÓRIOS RESPONSABILIDADE LIMITADA</x:v>
      </x:c>
      <x:c r="C2018" s="188" t="n">
        <x:v>26775682.220000003</x:v>
      </x:c>
      <x:c r="D2018" s="166" t="str">
        <x:v>BTG Pactual Asset</x:v>
      </x:c>
      <x:c r="E2018" s="166" t="str">
        <x:f>IFERROR(INDEX('Classif Gestoras'!$H$6:$H$462,MATCH(D2018,'Classif Gestoras'!$A$6:$A$462,0)),"Não classificada")</x:f>
        <x:v>Ligada a banco</x:v>
      </x:c>
      <x:c r="F2018" s="166" t="str">
        <x:v>Singulare</x:v>
      </x:c>
      <x:c r="G2018" s="166" t="str">
        <x:v>QI CORRETORA DE TÍTULOS E VALORES MOBILIÁRIOS S.A.</x:v>
      </x:c>
      <x:c r="H2018" s="166" t="str">
        <x:v>Outros</x:v>
      </x:c>
      <x:c r="I2018" s="166" t="str">
        <x:v>Multicarteira Outros</x:v>
      </x:c>
      <x:c r="J2018" s="166" t="str">
        <x:v>CI</x:v>
      </x:c>
      <x:c r="K2018" s="172" t="n">
        <x:v>6</x:v>
      </x:c>
      <x:c r="L2018" s="185" t="str">
        <x:v>Não classificado</x:v>
      </x:c>
    </x:row>
    <x:row r="2019">
      <x:c r="A2019" s="175" t="str">
        <x:v>59.081.408/0001-88</x:v>
      </x:c>
      <x:c r="B2019" s="166" t="str">
        <x:v>ÁGUAS DO FUTURO FUNDO DE INVESTIMENTO EM DIREITOS CREDITÓRIOS DE RESPONSABILIDADE LIMITADA</x:v>
      </x:c>
      <x:c r="C2019" s="188" t="n">
        <x:v>26767559.4</x:v>
      </x:c>
      <x:c r="D2019" s="166" t="str">
        <x:v>Catálise Investimentos</x:v>
      </x:c>
      <x:c r="E2019" s="166" t="str">
        <x:f>IFERROR(INDEX('Classif Gestoras'!$H$6:$H$462,MATCH(D2019,'Classif Gestoras'!$A$6:$A$462,0)),"Não classificada")</x:f>
        <x:v>Independente</x:v>
      </x:c>
      <x:c r="F2019" s="166" t="str">
        <x:v>CATÁLISE DTVM</x:v>
      </x:c>
      <x:c r="G2019" s="166" t="str">
        <x:v>BANCO DAYCOVAL S.A.</x:v>
      </x:c>
      <x:c r="H2019" s="166" t="str">
        <x:v>Outros</x:v>
      </x:c>
      <x:c r="I2019" s="166" t="str">
        <x:v>Multicarteira Outros</x:v>
      </x:c>
      <x:c r="J2019" s="166" t="str">
        <x:v>CI</x:v>
      </x:c>
      <x:c r="K2019" s="172" t="n">
        <x:v>1</x:v>
      </x:c>
      <x:c r="L2019" s="185" t="str">
        <x:v>Não classificado</x:v>
      </x:c>
    </x:row>
    <x:row r="2020">
      <x:c r="A2020" s="175" t="str">
        <x:v>49.793.609/0001-54</x:v>
      </x:c>
      <x:c r="B2020" s="166" t="str">
        <x:v>SOLUCRED FUNDO DE INVESTIMENTO EM DIREITOS CREDITÓRIOS</x:v>
      </x:c>
      <x:c r="C2020" s="188" t="n">
        <x:v>26763898.81</x:v>
      </x:c>
      <x:c r="D2020" s="166" t="str">
        <x:v>TERCON ASSET MANAGEMENT</x:v>
      </x:c>
      <x:c r="E2020" s="166" t="str">
        <x:f>IFERROR(INDEX('Classif Gestoras'!$H$6:$H$462,MATCH(D2020,'Classif Gestoras'!$A$6:$A$462,0)),"Não classificada")</x:f>
        <x:v>Independente</x:v>
      </x:c>
      <x:c r="F2020" s="166" t="str">
        <x:v>Singulare</x:v>
      </x:c>
      <x:c r="G2020" s="166" t="str">
        <x:v>QI CORRETORA DE TÍTULOS E VALORES MOBILIÁRIOS S.A.</x:v>
      </x:c>
      <x:c r="H2020" s="166" t="str">
        <x:v>Fomento Mercantil</x:v>
      </x:c>
      <x:c r="I2020" s="166" t="str">
        <x:v>Fomento Mercantil</x:v>
      </x:c>
      <x:c r="J2020" s="166" t="str">
        <x:v>CI</x:v>
      </x:c>
      <x:c r="K2020" s="172" t="n">
        <x:v>7</x:v>
      </x:c>
      <x:c r="L2020" s="185" t="str">
        <x:v>Não classificado</x:v>
      </x:c>
    </x:row>
    <x:row r="2021">
      <x:c r="A2021" s="175" t="str">
        <x:v>16.502.939/0001-94</x:v>
      </x:c>
      <x:c r="B2021" s="166" t="str">
        <x:v>FUNDO DE INVESTIMENTO EM DIREITOS CREDITORIOS F COBALTO - FINANCEIRO</x:v>
      </x:c>
      <x:c r="C2021" s="188" t="n">
        <x:v>26743602.3</x:v>
      </x:c>
      <x:c r="D2021" s="166" t="str">
        <x:v>FUNDO GARANTIDOR DE CREDITOS - FGC</x:v>
      </x:c>
      <x:c r="E2021" s="166" t="str">
        <x:f>IFERROR(INDEX('Classif Gestoras'!$H$6:$H$462,MATCH(D2021,'Classif Gestoras'!$A$6:$A$462,0)),"Não classificada")</x:f>
        <x:v>Independente</x:v>
      </x:c>
      <x:c r="F2021" s="166" t="str">
        <x:v>BEM - DIST. DE TÍTUL</x:v>
      </x:c>
      <x:c r="G2021" s="166" t="str">
        <x:v>Não identificado</x:v>
      </x:c>
      <x:c r="H2021" s="166" t="str">
        <x:v>Financeiro</x:v>
      </x:c>
      <x:c r="I2021" s="166" t="str">
        <x:v>Multicarteira Financeiro</x:v>
      </x:c>
      <x:c r="J2021" s="166" t="str">
        <x:v>CI</x:v>
      </x:c>
      <x:c r="K2021" s="172" t="n">
        <x:v>1</x:v>
      </x:c>
      <x:c r="L2021" s="185" t="str">
        <x:v>Não classificado</x:v>
      </x:c>
    </x:row>
    <x:row r="2022">
      <x:c r="A2022" s="175" t="str">
        <x:v>42.043.592/0001-79</x:v>
      </x:c>
      <x:c r="B2022" s="166" t="str">
        <x:v>ATLAS 7 - FUNDO DE INVESTIMENTO EM DIREITOS CREDITÓRIOS DE RESPONSABILIDADE LIMITADA</x:v>
      </x:c>
      <x:c r="C2022" s="188" t="n">
        <x:v>26709070.25</x:v>
      </x:c>
      <x:c r="D2022" s="166" t="str">
        <x:v>MODAL ASSET</x:v>
      </x:c>
      <x:c r="E2022" s="166" t="str">
        <x:f>IFERROR(INDEX('Classif Gestoras'!$H$6:$H$462,MATCH(D2022,'Classif Gestoras'!$A$6:$A$462,0)),"Não classificada")</x:f>
        <x:v>Ligada a banco</x:v>
      </x:c>
      <x:c r="F2022" s="166" t="str">
        <x:v>MAF Distribuidora de Títulos e Valores Mobiliários S.A.</x:v>
      </x:c>
      <x:c r="G2022" s="166" t="str">
        <x:v>MAF DISTRIBUIDORA DE TITULOS E VALORES MOBILIARIOS S.A.</x:v>
      </x:c>
      <x:c r="H2022" s="166" t="str">
        <x:v>Outros</x:v>
      </x:c>
      <x:c r="I2022" s="166" t="str">
        <x:v>Multicarteira Outros</x:v>
      </x:c>
      <x:c r="J2022" s="166" t="str">
        <x:v>CI</x:v>
      </x:c>
      <x:c r="K2022" s="172" t="n">
        <x:v>1</x:v>
      </x:c>
      <x:c r="L2022" s="185" t="str">
        <x:v>Não classificado</x:v>
      </x:c>
    </x:row>
    <x:row r="2023">
      <x:c r="A2023" s="175" t="str">
        <x:v>63.123.419/0001-50</x:v>
      </x:c>
      <x:c r="B2023" s="166" t="str">
        <x:v>77SOL FUNDO DE INVESTIMENTO EM DIREITOS CREDITÓRIOS FINANCEIROS DE RESPONSABILIDADE LIMITADA</x:v>
      </x:c>
      <x:c r="C2023" s="188" t="n">
        <x:v>26644441.67</x:v>
      </x:c>
      <x:c r="D2023" s="166" t="str">
        <x:v>Riza Securitização e Carteiras</x:v>
      </x:c>
      <x:c r="E2023" s="166" t="str">
        <x:f>IFERROR(INDEX('Classif Gestoras'!$H$6:$H$462,MATCH(D2023,'Classif Gestoras'!$A$6:$A$462,0)),"Não classificada")</x:f>
        <x:v>Independente</x:v>
      </x:c>
      <x:c r="F2023" s="166" t="str">
        <x:v>Oliveira Trust DTVM</x:v>
      </x:c>
      <x:c r="G2023" s="166" t="str">
        <x:v>OLIVEIRA TRUST DTVM S.A.</x:v>
      </x:c>
      <x:c r="H2023" s="166" t="str">
        <x:v>Financeiro</x:v>
      </x:c>
      <x:c r="I2023" s="166" t="str">
        <x:v>Multicarteira Financeiro</x:v>
      </x:c>
      <x:c r="J2023" s="166" t="str">
        <x:v>CI</x:v>
      </x:c>
      <x:c r="K2023" s="172" t="n">
        <x:v>9</x:v>
      </x:c>
      <x:c r="L2023" s="185" t="str">
        <x:v>Não classificado</x:v>
      </x:c>
    </x:row>
    <x:row r="2024">
      <x:c r="A2024" s="175" t="str">
        <x:v>49.684.321/0001-41</x:v>
      </x:c>
      <x:c r="B2024" s="166" t="str">
        <x:v>MILAGRE FUNDO DE INVESTIMENTO EM DIREITOS CREDITÓRIOS RESPONSABILIDADE LIMITADA</x:v>
      </x:c>
      <x:c r="C2024" s="188" t="n">
        <x:v>26619874.62</x:v>
      </x:c>
      <x:c r="D2024" s="166" t="str">
        <x:v>Libertas Asset</x:v>
      </x:c>
      <x:c r="E2024" s="166" t="str">
        <x:f>IFERROR(INDEX('Classif Gestoras'!$H$6:$H$462,MATCH(D2024,'Classif Gestoras'!$A$6:$A$462,0)),"Não classificada")</x:f>
        <x:v>Independente</x:v>
      </x:c>
      <x:c r="F2024" s="166" t="str">
        <x:v>ACTUAL DTVM</x:v>
      </x:c>
      <x:c r="G2024" s="166" t="str">
        <x:v>LASTRO RDV DTVM LTDA</x:v>
      </x:c>
      <x:c r="H2024" s="166" t="str">
        <x:v>Outros</x:v>
      </x:c>
      <x:c r="I2024" s="166" t="str">
        <x:v>Multicarteira Outros</x:v>
      </x:c>
      <x:c r="J2024" s="166" t="str">
        <x:v>CI</x:v>
      </x:c>
      <x:c r="K2024" s="172" t="n">
        <x:v>1</x:v>
      </x:c>
      <x:c r="L2024" s="185" t="str">
        <x:v>Não classificado</x:v>
      </x:c>
    </x:row>
    <x:row r="2025">
      <x:c r="A2025" s="175" t="str">
        <x:v>58.555.763/0001-89</x:v>
      </x:c>
      <x:c r="B2025" s="166" t="str">
        <x:v>PLGN AUTO LOANS I CO-INVEST FUNDO DE INVESTIMENTO EM DIREITOS CREDITÓRIOS RESPONSABILIDADE LIMITADA</x:v>
      </x:c>
      <x:c r="C2025" s="188" t="n">
        <x:v>26602208.41</x:v>
      </x:c>
      <x:c r="D2025" s="166" t="str">
        <x:v>POLÍGONO CAPITAL LTDA.</x:v>
      </x:c>
      <x:c r="E2025" s="166" t="str">
        <x:f>IFERROR(INDEX('Classif Gestoras'!$H$6:$H$462,MATCH(D2025,'Classif Gestoras'!$A$6:$A$462,0)),"Não classificada")</x:f>
        <x:v>Independente</x:v>
      </x:c>
      <x:c r="F2025" s="166" t="str">
        <x:v>FIDD DISTRIBUIDORA DE TITULOS E VALORES MOBILIARIOS LTD</x:v>
      </x:c>
      <x:c r="G2025" s="166" t="str">
        <x:v>FIDD DISTRIBUIDORA DE TITULOS E VALORES MOBILIARIOS LTDA.</x:v>
      </x:c>
      <x:c r="H2025" s="166" t="str">
        <x:v>Financeiro</x:v>
      </x:c>
      <x:c r="I2025" s="166" t="str">
        <x:v>Crédito Pessoal</x:v>
      </x:c>
      <x:c r="J2025" s="166" t="str">
        <x:v>CI</x:v>
      </x:c>
      <x:c r="K2025" s="172" t="n">
        <x:v>6</x:v>
      </x:c>
      <x:c r="L2025" s="185" t="str">
        <x:v>Não classificado</x:v>
      </x:c>
    </x:row>
    <x:row r="2026">
      <x:c r="A2026" s="175" t="str">
        <x:v>54.519.336/0001-94</x:v>
      </x:c>
      <x:c r="B2026" s="166" t="str">
        <x:v>AVANTI FUNDO DE INVESTIMENTO EM DIREITOS CREDITÓRIOS RESPONSABILIDADE LIMITADA</x:v>
      </x:c>
      <x:c r="C2026" s="188" t="n">
        <x:v>26488055.75</x:v>
      </x:c>
      <x:c r="D2026" s="166" t="str">
        <x:v>IDGR</x:v>
      </x:c>
      <x:c r="E2026" s="166" t="str">
        <x:f>IFERROR(INDEX('Classif Gestoras'!$H$6:$H$462,MATCH(D2026,'Classif Gestoras'!$A$6:$A$462,0)),"Não classificada")</x:f>
        <x:v>Independente</x:v>
      </x:c>
      <x:c r="F2026" s="166" t="str">
        <x:v>ID Corretora de Títulos e Valores Mobiliários S.A.</x:v>
      </x:c>
      <x:c r="G2026" s="166" t="str">
        <x:v>ID CORRETORA DE TITULOS E VALORES MOBILIARIOS S.A.</x:v>
      </x:c>
      <x:c r="H2026" s="166" t="str">
        <x:v>Outros</x:v>
      </x:c>
      <x:c r="I2026" s="166" t="str">
        <x:v>Multicarteira Outros</x:v>
      </x:c>
      <x:c r="J2026" s="166" t="str">
        <x:v>CI</x:v>
      </x:c>
      <x:c r="K2026" s="172" t="n">
        <x:v>2</x:v>
      </x:c>
      <x:c r="L2026" s="185" t="str">
        <x:v>Não classificado</x:v>
      </x:c>
    </x:row>
    <x:row r="2027">
      <x:c r="A2027" s="175" t="str">
        <x:v>27.944.346/0001-02</x:v>
      </x:c>
      <x:c r="B2027" s="166" t="str">
        <x:v>QG P FUNDO DE INVESTIMENTO EM DIREITOS CREDITÓRIOS - RESPONSABILIDADE LIMITADA</x:v>
      </x:c>
      <x:c r="C2027" s="188" t="n">
        <x:v>26485523.450000003</x:v>
      </x:c>
      <x:c r="D2027" s="166" t="str">
        <x:v>Quadra Gestão de Recursos S.A.</x:v>
      </x:c>
      <x:c r="E2027" s="166" t="str">
        <x:f>IFERROR(INDEX('Classif Gestoras'!$H$6:$H$462,MATCH(D2027,'Classif Gestoras'!$A$6:$A$462,0)),"Não classificada")</x:f>
        <x:v>Independente</x:v>
      </x:c>
      <x:c r="F2027" s="166" t="str">
        <x:v>BNY MELLON SERVICOS</x:v>
      </x:c>
      <x:c r="G2027" s="166" t="str">
        <x:v>BNY MELLON BANCO S.A.</x:v>
      </x:c>
      <x:c r="H2027" s="166" t="str">
        <x:v>Outros</x:v>
      </x:c>
      <x:c r="I2027" s="166" t="str">
        <x:v>Recuperação</x:v>
      </x:c>
      <x:c r="J2027" s="166" t="str">
        <x:v>CI</x:v>
      </x:c>
      <x:c r="K2027" s="172" t="n">
        <x:v>1</x:v>
      </x:c>
      <x:c r="L2027" s="185" t="str">
        <x:v>Não classificado</x:v>
      </x:c>
    </x:row>
    <x:row r="2028">
      <x:c r="A2028" s="175" t="str">
        <x:v>57.740.019/0001-91</x:v>
      </x:c>
      <x:c r="B2028" s="166" t="str">
        <x:v>VIA PRIME FLEX FUNDO DE INVESTIMENTO EM DIREITOS CREDITÓRIOS NÃO-PADRONIZADOS RESP LIMITADA</x:v>
      </x:c>
      <x:c r="C2028" s="188" t="n">
        <x:v>26431886.010000005</x:v>
      </x:c>
      <x:c r="D2028" s="166" t="str">
        <x:v>Via Invest Gestão de Recursos Ltda.</x:v>
      </x:c>
      <x:c r="E2028" s="166" t="str">
        <x:f>IFERROR(INDEX('Classif Gestoras'!$H$6:$H$462,MATCH(D2028,'Classif Gestoras'!$A$6:$A$462,0)),"Não classificada")</x:f>
        <x:v>Independente</x:v>
      </x:c>
      <x:c r="F2028" s="166" t="str">
        <x:v>ID Corretora de Títulos e Valores Mobiliários S.A.</x:v>
      </x:c>
      <x:c r="G2028" s="166" t="str">
        <x:v>ID CORRETORA DE TITULOS E VALORES MOBILIARIOS S.A.</x:v>
      </x:c>
      <x:c r="H2028" s="166" t="str">
        <x:v>Fomento Mercantil</x:v>
      </x:c>
      <x:c r="I2028" s="166" t="str">
        <x:v>Fomento Mercantil</x:v>
      </x:c>
      <x:c r="J2028" s="166" t="str">
        <x:v>CI</x:v>
      </x:c>
      <x:c r="K2028" s="172" t="n">
        <x:v>5</x:v>
      </x:c>
      <x:c r="L2028" s="185" t="str">
        <x:v>Não classificado</x:v>
      </x:c>
    </x:row>
    <x:row r="2029">
      <x:c r="A2029" s="175" t="str">
        <x:v>54.444.075/0001-90</x:v>
      </x:c>
      <x:c r="B2029" s="166" t="str">
        <x:v>3MI FUNDO DE INVESTIMENTO EM DIREITOS CREDITÓRIOS</x:v>
      </x:c>
      <x:c r="C2029" s="188" t="n">
        <x:v>26404340.99</x:v>
      </x:c>
      <x:c r="D2029" s="166" t="str">
        <x:v>TERCON ASSET MANAGEMENT</x:v>
      </x:c>
      <x:c r="E2029" s="166" t="str">
        <x:f>IFERROR(INDEX('Classif Gestoras'!$H$6:$H$462,MATCH(D2029,'Classif Gestoras'!$A$6:$A$462,0)),"Não classificada")</x:f>
        <x:v>Independente</x:v>
      </x:c>
      <x:c r="F2029" s="166" t="str">
        <x:v>Singulare</x:v>
      </x:c>
      <x:c r="G2029" s="166" t="str">
        <x:v>QI CORRETORA DE TÍTULOS E VALORES MOBILIÁRIOS S.A.</x:v>
      </x:c>
      <x:c r="H2029" s="166" t="str">
        <x:v>Fomento Mercantil</x:v>
      </x:c>
      <x:c r="I2029" s="166" t="str">
        <x:v>Fomento Mercantil</x:v>
      </x:c>
      <x:c r="J2029" s="166" t="str">
        <x:v>CI</x:v>
      </x:c>
      <x:c r="K2029" s="172" t="n">
        <x:v>2</x:v>
      </x:c>
      <x:c r="L2029" s="185" t="str">
        <x:v>Não classificado</x:v>
      </x:c>
    </x:row>
    <x:row r="2030">
      <x:c r="A2030" s="175" t="str">
        <x:v>20.905.862/0001-70</x:v>
      </x:c>
      <x:c r="B2030" s="166" t="str">
        <x:v>PRIME FUNDO DE INVESTIMENTO EM DIREITOS CREDITÓRIOS MULTISSETORIAL</x:v>
      </x:c>
      <x:c r="C2030" s="188" t="n">
        <x:v>26400945.67</x:v>
      </x:c>
      <x:c r="D2030" s="166" t="str">
        <x:v>OURO PRETO INVESTIMENTOS</x:v>
      </x:c>
      <x:c r="E2030" s="166" t="str">
        <x:f>IFERROR(INDEX('Classif Gestoras'!$H$6:$H$462,MATCH(D2030,'Classif Gestoras'!$A$6:$A$462,0)),"Não classificada")</x:f>
        <x:v>Independente</x:v>
      </x:c>
      <x:c r="F2030" s="166" t="str">
        <x:v>Limine Trust Distribuidora de Titulos e Valores Mobiliá</x:v>
      </x:c>
      <x:c r="G2030" s="166" t="str">
        <x:v>LIMINE TRUST DISTRIBUIDORA DE TITULOS E VALORES MOBILIARIOS LTDA.</x:v>
      </x:c>
      <x:c r="H2030" s="166" t="str">
        <x:v>Fomento Mercantil</x:v>
      </x:c>
      <x:c r="I2030" s="166" t="str">
        <x:v>Fomento Mercantil</x:v>
      </x:c>
      <x:c r="J2030" s="166" t="str">
        <x:v>CI</x:v>
      </x:c>
      <x:c r="K2030" s="172" t="n">
        <x:v>20</x:v>
      </x:c>
      <x:c r="L2030" s="185" t="str">
        <x:v>Não classificado</x:v>
      </x:c>
    </x:row>
    <x:row r="2031">
      <x:c r="A2031" s="175" t="str">
        <x:v>36.334.968/0001-00</x:v>
      </x:c>
      <x:c r="B2031" s="166" t="str">
        <x:v>POSITANO FUNDO DE INVESTIMENTO EM DIREITOS CREDITÓRIOS</x:v>
      </x:c>
      <x:c r="C2031" s="188" t="n">
        <x:v>26368975.18</x:v>
      </x:c>
      <x:c r="D2031" s="166" t="str">
        <x:v>SOMMA Investimentos</x:v>
      </x:c>
      <x:c r="E2031" s="166" t="str">
        <x:f>IFERROR(INDEX('Classif Gestoras'!$H$6:$H$462,MATCH(D2031,'Classif Gestoras'!$A$6:$A$462,0)),"Não classificada")</x:f>
        <x:v>Independente</x:v>
      </x:c>
      <x:c r="F2031" s="166" t="str">
        <x:v>Singulare</x:v>
      </x:c>
      <x:c r="G2031" s="166" t="str">
        <x:v>QI CORRETORA DE TÍTULOS E VALORES MOBILIÁRIOS S.A.</x:v>
      </x:c>
      <x:c r="H2031" s="166" t="str">
        <x:v>Financeiro</x:v>
      </x:c>
      <x:c r="I2031" s="166" t="str">
        <x:v>Crédito Imobiliário</x:v>
      </x:c>
      <x:c r="J2031" s="166" t="str">
        <x:v>CI</x:v>
      </x:c>
      <x:c r="K2031" s="172" t="n">
        <x:v>1</x:v>
      </x:c>
      <x:c r="L2031" s="185" t="str">
        <x:v>Não classificado</x:v>
      </x:c>
    </x:row>
    <x:row r="2032">
      <x:c r="A2032" s="175" t="str">
        <x:v>49.983.868/0001-48</x:v>
      </x:c>
      <x:c r="B2032" s="166" t="str">
        <x:v>PRECAVIDA II FUNDO DE INVESTIMENTO EM DIREITOS CREDITORIOS</x:v>
      </x:c>
      <x:c r="C2032" s="188" t="n">
        <x:v>26335739.880000003</x:v>
      </x:c>
      <x:c r="D2032" s="166" t="str">
        <x:v>Libertas Asset</x:v>
      </x:c>
      <x:c r="E2032" s="166" t="str">
        <x:f>IFERROR(INDEX('Classif Gestoras'!$H$6:$H$462,MATCH(D2032,'Classif Gestoras'!$A$6:$A$462,0)),"Não classificada")</x:f>
        <x:v>Independente</x:v>
      </x:c>
      <x:c r="F2032" s="166" t="str">
        <x:v>ACTUAL DTVM</x:v>
      </x:c>
      <x:c r="G2032" s="166" t="str">
        <x:v>TRUSTEE DISTRIBUIDORA DE TITULOS E VALORES MOBILIARIOS LTDA.</x:v>
      </x:c>
      <x:c r="H2032" s="166" t="str">
        <x:v>Fomento Mercantil</x:v>
      </x:c>
      <x:c r="I2032" s="166" t="str">
        <x:v>Fomento Mercantil</x:v>
      </x:c>
      <x:c r="J2032" s="166" t="str">
        <x:v>CI</x:v>
      </x:c>
      <x:c r="K2032" s="172" t="n">
        <x:v>90</x:v>
      </x:c>
      <x:c r="L2032" s="185" t="str">
        <x:v>Não classificado</x:v>
      </x:c>
    </x:row>
    <x:row r="2033">
      <x:c r="A2033" s="175" t="str">
        <x:v>55.037.275/0001-91</x:v>
      </x:c>
      <x:c r="B2033" s="166" t="str">
        <x:v>W CAPITAL II - FUNDO DE INVESTIMENTO EM DIREITOS CREDITÓRIOS DE RESPONSABILIDADE LIMITADA</x:v>
      </x:c>
      <x:c r="C2033" s="188" t="n">
        <x:v>26320613.880000006</x:v>
      </x:c>
      <x:c r="D2033" s="166" t="str">
        <x:v>W Capital</x:v>
      </x:c>
      <x:c r="E2033" s="166" t="str">
        <x:f>IFERROR(INDEX('Classif Gestoras'!$H$6:$H$462,MATCH(D2033,'Classif Gestoras'!$A$6:$A$462,0)),"Não classificada")</x:f>
        <x:v>Independente</x:v>
      </x:c>
      <x:c r="F2033" s="166" t="str">
        <x:v>BANCO DAYCOVAL S/A</x:v>
      </x:c>
      <x:c r="G2033" s="166" t="str">
        <x:v>BANCO DAYCOVAL S.A.</x:v>
      </x:c>
      <x:c r="H2033" s="166" t="str">
        <x:v>Agro, Indústria e Comércio</x:v>
      </x:c>
      <x:c r="I2033" s="166" t="str">
        <x:v>Crédito Corporativo</x:v>
      </x:c>
      <x:c r="J2033" s="166" t="str">
        <x:v>CI</x:v>
      </x:c>
      <x:c r="K2033" s="172" t="n">
        <x:v>198</x:v>
      </x:c>
      <x:c r="L2033" s="185" t="str">
        <x:v>Não classificado</x:v>
      </x:c>
    </x:row>
    <x:row r="2034">
      <x:c r="A2034" s="175" t="str">
        <x:v>62.604.155/0001-94</x:v>
      </x:c>
      <x:c r="B2034" s="166" t="str">
        <x:v>LIFT CRÉDITO ESTRUTURADO I FUNDO DE INVESTIMENTO EM DIREITOS CREDITÓRIOS RESPOSABILIDADE LIMITADA</x:v>
      </x:c>
      <x:c r="C2034" s="188" t="n">
        <x:v>26274745.1</x:v>
      </x:c>
      <x:c r="D2034" s="166" t="str">
        <x:v>Namari Capital Gestão de Recursos Ltda.</x:v>
      </x:c>
      <x:c r="E2034" s="166" t="str">
        <x:f>IFERROR(INDEX('Classif Gestoras'!$H$6:$H$462,MATCH(D2034,'Classif Gestoras'!$A$6:$A$462,0)),"Não classificada")</x:f>
        <x:v>Independente</x:v>
      </x:c>
      <x:c r="F2034" s="166" t="str">
        <x:v>BANCO DAYCOVAL S/A</x:v>
      </x:c>
      <x:c r="G2034" s="166" t="str">
        <x:v>BANCO DAYCOVAL S.A.</x:v>
      </x:c>
      <x:c r="H2034" s="166" t="str">
        <x:v>Outros</x:v>
      </x:c>
      <x:c r="I2034" s="166" t="str">
        <x:v>Multicarteira Outros</x:v>
      </x:c>
      <x:c r="J2034" s="166" t="str">
        <x:v>CI</x:v>
      </x:c>
      <x:c r="K2034" s="172" t="n">
        <x:v>5</x:v>
      </x:c>
      <x:c r="L2034" s="185" t="str">
        <x:v>Não classificado</x:v>
      </x:c>
    </x:row>
    <x:row r="2035">
      <x:c r="A2035" s="175" t="str">
        <x:v>58.315.066/0001-50</x:v>
      </x:c>
      <x:c r="B2035" s="166" t="str">
        <x:v>CAPITALE FUNDO DE INVESTIMENTO EM DIREITOS CREDITÓRIOS MULTISSEGMENTO</x:v>
      </x:c>
      <x:c r="C2035" s="188" t="n">
        <x:v>26268927.92</x:v>
      </x:c>
      <x:c r="D2035" s="166" t="str">
        <x:v>Petra Capital</x:v>
      </x:c>
      <x:c r="E2035" s="166" t="str">
        <x:f>IFERROR(INDEX('Classif Gestoras'!$H$6:$H$462,MATCH(D2035,'Classif Gestoras'!$A$6:$A$462,0)),"Não classificada")</x:f>
        <x:v>Independente</x:v>
      </x:c>
      <x:c r="F2035" s="166" t="str">
        <x:v>Finaxis Corretora de Títulos e Valores Mobiliários S.A.</x:v>
      </x:c>
      <x:c r="G2035" s="166" t="str">
        <x:v>BANCO FINAXIS S.A.</x:v>
      </x:c>
      <x:c r="H2035" s="166" t="str">
        <x:v>Outros</x:v>
      </x:c>
      <x:c r="I2035" s="166" t="str">
        <x:v>Multicarteira Outros</x:v>
      </x:c>
      <x:c r="J2035" s="166" t="str">
        <x:v>CI</x:v>
      </x:c>
      <x:c r="K2035" s="172" t="n">
        <x:v>2</x:v>
      </x:c>
      <x:c r="L2035" s="185" t="str">
        <x:v>Não classificado</x:v>
      </x:c>
    </x:row>
    <x:row r="2036">
      <x:c r="A2036" s="175" t="str">
        <x:v>63.381.126/0001-73</x:v>
      </x:c>
      <x:c r="B2036" s="166" t="str">
        <x:v>OPENSEA SP FUNDO DE INVESTIMENTO EM DIREITOS CREDITÓRIOS RESPONSABILIDADE LIMITADA</x:v>
      </x:c>
      <x:c r="C2036" s="188" t="n">
        <x:v>26254043.74</x:v>
      </x:c>
      <x:c r="D2036" s="166" t="str">
        <x:v>RJ Gestão de Recursos Ltda.</x:v>
      </x:c>
      <x:c r="E2036" s="166" t="str">
        <x:f>IFERROR(INDEX('Classif Gestoras'!$H$6:$H$462,MATCH(D2036,'Classif Gestoras'!$A$6:$A$462,0)),"Não classificada")</x:f>
        <x:v>Independente</x:v>
      </x:c>
      <x:c r="F2036" s="166" t="str">
        <x:v>Singulare</x:v>
      </x:c>
      <x:c r="G2036" s="166" t="str">
        <x:v>QI CORRETORA DE TÍTULOS E VALORES MOBILIÁRIOS S.A.</x:v>
      </x:c>
      <x:c r="H2036" s="166" t="str">
        <x:v>Outros</x:v>
      </x:c>
      <x:c r="I2036" s="166" t="str">
        <x:v>Poder Público</x:v>
      </x:c>
      <x:c r="J2036" s="166" t="str">
        <x:v>CI</x:v>
      </x:c>
      <x:c r="K2036" s="172" t="n">
        <x:v>34</x:v>
      </x:c>
      <x:c r="L2036" s="185" t="str">
        <x:v>Não classificado</x:v>
      </x:c>
    </x:row>
    <x:row r="2037">
      <x:c r="A2037" s="175" t="str">
        <x:v>39.883.874/0001-70</x:v>
      </x:c>
      <x:c r="B2037" s="166" t="str">
        <x:v>FUNDO DE INVESTIMENTO EM DIREITOS CREDITÓRIOS NÃO-PADRONIZADOS TRYBE VQV SSI - RESPONSABILIDADE LIMI</x:v>
      </x:c>
      <x:c r="C2037" s="188" t="n">
        <x:v>26183562.12</x:v>
      </x:c>
      <x:c r="D2037" s="166" t="str">
        <x:v>Milênio Capital</x:v>
      </x:c>
      <x:c r="E2037" s="166" t="str">
        <x:f>IFERROR(INDEX('Classif Gestoras'!$H$6:$H$462,MATCH(D2037,'Classif Gestoras'!$A$6:$A$462,0)),"Não classificada")</x:f>
        <x:v>Independente</x:v>
      </x:c>
      <x:c r="F2037" s="166" t="str">
        <x:v>Oliveira Trust DTVM</x:v>
      </x:c>
      <x:c r="G2037" s="166" t="str">
        <x:v>OLIVEIRA TRUST DTVM S.A.</x:v>
      </x:c>
      <x:c r="H2037" s="166" t="str">
        <x:v>Outros</x:v>
      </x:c>
      <x:c r="I2037" s="166" t="str">
        <x:v>Multicarteira Outros</x:v>
      </x:c>
      <x:c r="J2037" s="166" t="str">
        <x:v>CI</x:v>
      </x:c>
      <x:c r="K2037" s="172" t="n">
        <x:v>38</x:v>
      </x:c>
      <x:c r="L2037" s="185" t="str">
        <x:v>Não classificado</x:v>
      </x:c>
    </x:row>
    <x:row r="2038">
      <x:c r="A2038" s="175" t="str">
        <x:v>62.639.578/0001-40</x:v>
      </x:c>
      <x:c r="B2038" s="166" t="str">
        <x:v>A4 FUNDO DE INVESTIMENTO EM DIREITOS CREDITÓRIOS RESPONSABILIDADE LIMITADA</x:v>
      </x:c>
      <x:c r="C2038" s="188" t="n">
        <x:v>26130961.16</x:v>
      </x:c>
      <x:c r="D2038" s="166" t="str">
        <x:v>Renova Gestora</x:v>
      </x:c>
      <x:c r="E2038" s="166" t="str">
        <x:f>IFERROR(INDEX('Classif Gestoras'!$H$6:$H$462,MATCH(D2038,'Classif Gestoras'!$A$6:$A$462,0)),"Não classificada")</x:f>
        <x:v>Independente</x:v>
      </x:c>
      <x:c r="F2038" s="166" t="str">
        <x:v>MONETAR DISTRIBUIDORA DE TITUL</x:v>
      </x:c>
      <x:c r="G2038" s="166" t="str">
        <x:v>TERRA INVESTIMENTOS DISTRIBUIDORA DE TITULOS E VALORES MOBILIARIOS LTDA</x:v>
      </x:c>
      <x:c r="H2038" s="166" t="str">
        <x:v>Outros</x:v>
      </x:c>
      <x:c r="I2038" s="166" t="str">
        <x:v>Multicarteira Outros</x:v>
      </x:c>
      <x:c r="J2038" s="166" t="str">
        <x:v>CI</x:v>
      </x:c>
      <x:c r="K2038" s="172" t="n">
        <x:v>1</x:v>
      </x:c>
      <x:c r="L2038" s="185" t="str">
        <x:v>Não classificado</x:v>
      </x:c>
    </x:row>
    <x:row r="2039">
      <x:c r="A2039" s="175" t="str">
        <x:v>41.687.522/0001-90</x:v>
      </x:c>
      <x:c r="B2039" s="166" t="str">
        <x:v>SUPERE FUNDO DE INVESTIMENTO EM DIREITOS CREDITÓRIOS</x:v>
      </x:c>
      <x:c r="C2039" s="188" t="n">
        <x:v>26073492.380000003</x:v>
      </x:c>
      <x:c r="D2039" s="166" t="str">
        <x:v>Libertas Asset</x:v>
      </x:c>
      <x:c r="E2039" s="166" t="str">
        <x:f>IFERROR(INDEX('Classif Gestoras'!$H$6:$H$462,MATCH(D2039,'Classif Gestoras'!$A$6:$A$462,0)),"Não classificada")</x:f>
        <x:v>Independente</x:v>
      </x:c>
      <x:c r="F2039" s="166" t="str">
        <x:v>ACTUAL DTVM</x:v>
      </x:c>
      <x:c r="G2039" s="166" t="str">
        <x:v>LASTRO RDV DTVM LTDA</x:v>
      </x:c>
      <x:c r="H2039" s="166" t="str">
        <x:v>Fomento Mercantil</x:v>
      </x:c>
      <x:c r="I2039" s="166" t="str">
        <x:v>Fomento Mercantil</x:v>
      </x:c>
      <x:c r="J2039" s="166" t="str">
        <x:v>CI</x:v>
      </x:c>
      <x:c r="K2039" s="172" t="n">
        <x:v>8</x:v>
      </x:c>
      <x:c r="L2039" s="185" t="str">
        <x:v>Não classificado</x:v>
      </x:c>
    </x:row>
    <x:row r="2040">
      <x:c r="A2040" s="175" t="str">
        <x:v>24.852.946/0001-44</x:v>
      </x:c>
      <x:c r="B2040" s="166" t="str">
        <x:v>FUNDO DE INVESTIMENTO EM DIREITOS CREDITÓRIOS TG REAL</x:v>
      </x:c>
      <x:c r="C2040" s="188" t="n">
        <x:v>26056408.99</x:v>
      </x:c>
      <x:c r="D2040" s="166" t="str">
        <x:v>TG CORE ASSET</x:v>
      </x:c>
      <x:c r="E2040" s="166" t="str">
        <x:f>IFERROR(INDEX('Classif Gestoras'!$H$6:$H$462,MATCH(D2040,'Classif Gestoras'!$A$6:$A$462,0)),"Não classificada")</x:f>
        <x:v>Independente</x:v>
      </x:c>
      <x:c r="F2040" s="166" t="str">
        <x:v>VÓRTX DTVM</x:v>
      </x:c>
      <x:c r="G2040" s="166" t="str">
        <x:v>VORTX DISTRIBUIDORA DE TITULOS E VALORES MOBILIARIOS LTDA.</x:v>
      </x:c>
      <x:c r="H2040" s="166" t="str">
        <x:v>Outros</x:v>
      </x:c>
      <x:c r="I2040" s="166" t="str">
        <x:v>Multicarteira Outros</x:v>
      </x:c>
      <x:c r="J2040" s="166" t="str">
        <x:v>CI</x:v>
      </x:c>
      <x:c r="K2040" s="172" t="n">
        <x:v>97</x:v>
      </x:c>
      <x:c r="L2040" s="185" t="str">
        <x:v>Não classificado</x:v>
      </x:c>
    </x:row>
    <x:row r="2041">
      <x:c r="A2041" s="175" t="str">
        <x:v>47.463.403/0001-30</x:v>
      </x:c>
      <x:c r="B2041" s="166" t="str">
        <x:v>ARTESANAL CP AUTO FUNDO DE INVESTIMENTO EM DIREITOS CREDITÓRIOS - RESPONSABILIDADE LIMITADA</x:v>
      </x:c>
      <x:c r="C2041" s="188" t="n">
        <x:v>26042580</x:v>
      </x:c>
      <x:c r="D2041" s="166" t="str">
        <x:v>ARTESANAL FINANCEIRO</x:v>
      </x:c>
      <x:c r="E2041" s="166" t="str">
        <x:f>IFERROR(INDEX('Classif Gestoras'!$H$6:$H$462,MATCH(D2041,'Classif Gestoras'!$A$6:$A$462,0)),"Não classificada")</x:f>
        <x:v>Independente</x:v>
      </x:c>
      <x:c r="F2041" s="166" t="str">
        <x:v>Singulare</x:v>
      </x:c>
      <x:c r="G2041" s="166" t="str">
        <x:v>QI CORRETORA DE TÍTULOS E VALORES MOBILIÁRIOS S.A.</x:v>
      </x:c>
      <x:c r="H2041" s="166" t="str">
        <x:v>Outros</x:v>
      </x:c>
      <x:c r="I2041" s="166" t="str">
        <x:v>Multicarteira Outros</x:v>
      </x:c>
      <x:c r="J2041" s="166" t="str">
        <x:v>CI</x:v>
      </x:c>
      <x:c r="K2041" s="172" t="n">
        <x:v>4</x:v>
      </x:c>
      <x:c r="L2041" s="185" t="str">
        <x:v>Não classificado</x:v>
      </x:c>
    </x:row>
    <x:row r="2042">
      <x:c r="A2042" s="175" t="str">
        <x:v>57.391.848/0001-06</x:v>
      </x:c>
      <x:c r="B2042" s="166" t="str">
        <x:v>ASPEN SUB FUNDO DE INVESTIMENTO EM COTAS DE FUNDOS DE INVESTIMENTO EM DIREITOS CREDITÓRIOS</x:v>
      </x:c>
      <x:c r="C2042" s="188" t="n">
        <x:v>25979018.44</x:v>
      </x:c>
      <x:c r="D2042" s="166" t="str">
        <x:v>WIT ASSET MANAGEMENT</x:v>
      </x:c>
      <x:c r="E2042" s="166" t="str">
        <x:f>IFERROR(INDEX('Classif Gestoras'!$H$6:$H$462,MATCH(D2042,'Classif Gestoras'!$A$6:$A$462,0)),"Não classificada")</x:f>
        <x:v>Independente</x:v>
      </x:c>
      <x:c r="F2042" s="166" t="str">
        <x:v>BANCO DAYCOVAL S/A</x:v>
      </x:c>
      <x:c r="G2042" s="166" t="str">
        <x:v>BANCO DAYCOVAL S.A.</x:v>
      </x:c>
      <x:c r="H2042" s="166" t="str">
        <x:v>Outros</x:v>
      </x:c>
      <x:c r="I2042" s="166" t="str">
        <x:v>Multicarteira Outros</x:v>
      </x:c>
      <x:c r="J2042" s="166" t="str">
        <x:v>CI</x:v>
      </x:c>
      <x:c r="K2042" s="172" t="n">
        <x:v>9</x:v>
      </x:c>
      <x:c r="L2042" s="185" t="str">
        <x:v>Não classificado</x:v>
      </x:c>
    </x:row>
    <x:row r="2043">
      <x:c r="A2043" s="175" t="str">
        <x:v>59.733.020/0001-14</x:v>
      </x:c>
      <x:c r="B2043" s="166" t="str">
        <x:v>AMFI CATÁLISE FUNDO DE INVESTIMENTO EM DIREITOS CREDITÓRIOS DE RESPONSABILIDADE LIMITADA</x:v>
      </x:c>
      <x:c r="C2043" s="188" t="n">
        <x:v>25905793.56</x:v>
      </x:c>
      <x:c r="D2043" s="166" t="str">
        <x:v>Catálise Investimentos</x:v>
      </x:c>
      <x:c r="E2043" s="166" t="str">
        <x:f>IFERROR(INDEX('Classif Gestoras'!$H$6:$H$462,MATCH(D2043,'Classif Gestoras'!$A$6:$A$462,0)),"Não classificada")</x:f>
        <x:v>Independente</x:v>
      </x:c>
      <x:c r="F2043" s="166" t="str">
        <x:v>BANCO DAYCOVAL S/A</x:v>
      </x:c>
      <x:c r="G2043" s="166" t="str">
        <x:v>BANCO DAYCOVAL S.A.</x:v>
      </x:c>
      <x:c r="H2043" s="166" t="str">
        <x:v>Agro, Indústria e Comércio</x:v>
      </x:c>
      <x:c r="I2043" s="166" t="str">
        <x:v>Agronegócio</x:v>
      </x:c>
      <x:c r="J2043" s="166" t="str">
        <x:v>CI</x:v>
      </x:c>
      <x:c r="K2043" s="172" t="n">
        <x:v>10</x:v>
      </x:c>
      <x:c r="L2043" s="185" t="str">
        <x:v>Não classificado</x:v>
      </x:c>
    </x:row>
    <x:row r="2044">
      <x:c r="A2044" s="175" t="str">
        <x:v>50.792.099/0001-80</x:v>
      </x:c>
      <x:c r="B2044" s="166" t="str">
        <x:v>BAMAQ CAPITAL FUNDO DE INVESTIMENTO EM DIREITOS CREDITÓRIOS NÃO PADRONIZADOS</x:v>
      </x:c>
      <x:c r="C2044" s="188" t="n">
        <x:v>25867793.85</x:v>
      </x:c>
      <x:c r="D2044" s="166" t="str">
        <x:v>TERCON ASSET MANAGEMENT</x:v>
      </x:c>
      <x:c r="E2044" s="166" t="str">
        <x:f>IFERROR(INDEX('Classif Gestoras'!$H$6:$H$462,MATCH(D2044,'Classif Gestoras'!$A$6:$A$462,0)),"Não classificada")</x:f>
        <x:v>Independente</x:v>
      </x:c>
      <x:c r="F2044" s="166" t="str">
        <x:v>MONETAR DISTRIBUIDORA DE TITUL</x:v>
      </x:c>
      <x:c r="G2044" s="166" t="str">
        <x:v>TERRA INVESTIMENTOS DISTRIBUIDORA DE TITULOS E VALORES MOBILIARIOS LTDA</x:v>
      </x:c>
      <x:c r="H2044" s="166" t="str">
        <x:v>Outros</x:v>
      </x:c>
      <x:c r="I2044" s="166" t="str">
        <x:v>Multicarteira Outros</x:v>
      </x:c>
      <x:c r="J2044" s="166" t="str">
        <x:v>CI</x:v>
      </x:c>
      <x:c r="K2044" s="172" t="n">
        <x:v>18</x:v>
      </x:c>
      <x:c r="L2044" s="185" t="str">
        <x:v>Não classificado</x:v>
      </x:c>
    </x:row>
    <x:row r="2045">
      <x:c r="A2045" s="175" t="str">
        <x:v>60.307.274/0001-50</x:v>
      </x:c>
      <x:c r="B2045" s="166" t="str">
        <x:v>BSB FUNDO DE INVESTIMENTO EM DIREITOS CREDITÓRIOS</x:v>
      </x:c>
      <x:c r="C2045" s="188" t="n">
        <x:v>25813992.720000003</x:v>
      </x:c>
      <x:c r="D2045" s="166" t="str">
        <x:v>REAG SPECIAL SITUATIONS</x:v>
      </x:c>
      <x:c r="E2045" s="166" t="str">
        <x:f>IFERROR(INDEX('Classif Gestoras'!$H$6:$H$462,MATCH(D2045,'Classif Gestoras'!$A$6:$A$462,0)),"Não classificada")</x:f>
        <x:v>Independente</x:v>
      </x:c>
      <x:c r="F2045" s="166" t="str">
        <x:v>Finvest Digital</x:v>
      </x:c>
      <x:c r="G2045" s="166" t="str">
        <x:v>FINVEST DISTRIBUIDORA DE TÍTULOS E VALORES MOBILIÁRIOS LTDA.</x:v>
      </x:c>
      <x:c r="H2045" s="166" t="str">
        <x:v>Fomento Mercantil</x:v>
      </x:c>
      <x:c r="I2045" s="166" t="str">
        <x:v>Fomento Mercantil</x:v>
      </x:c>
      <x:c r="J2045" s="166" t="str">
        <x:v>CI</x:v>
      </x:c>
      <x:c r="K2045" s="172" t="n">
        <x:v>2</x:v>
      </x:c>
      <x:c r="L2045" s="185" t="str">
        <x:v>Não classificado</x:v>
      </x:c>
    </x:row>
    <x:row r="2046">
      <x:c r="A2046" s="175" t="str">
        <x:v>55.768.218/0001-82</x:v>
      </x:c>
      <x:c r="B2046" s="166" t="str">
        <x:v>SF3 QUATÁ FUNDO DE INVESTIMENTO EM DIREITOS CREDITÓRIOS</x:v>
      </x:c>
      <x:c r="C2046" s="188" t="n">
        <x:v>25727372.2</x:v>
      </x:c>
      <x:c r="D2046" s="166" t="str">
        <x:v>DAYCOVAL ASSET MANAG</x:v>
      </x:c>
      <x:c r="E2046" s="166" t="str">
        <x:f>IFERROR(INDEX('Classif Gestoras'!$H$6:$H$462,MATCH(D2046,'Classif Gestoras'!$A$6:$A$462,0)),"Não classificada")</x:f>
        <x:v>Ligada a banco</x:v>
      </x:c>
      <x:c r="F2046" s="166" t="str">
        <x:v>BANCO DAYCOVAL S/A</x:v>
      </x:c>
      <x:c r="G2046" s="166" t="str">
        <x:v>BANCO DAYCOVAL S.A.</x:v>
      </x:c>
      <x:c r="H2046" s="166" t="str">
        <x:v>Financeiro</x:v>
      </x:c>
      <x:c r="I2046" s="166" t="str">
        <x:v>Financiamento de Veículos</x:v>
      </x:c>
      <x:c r="J2046" s="166" t="str">
        <x:v>CI</x:v>
      </x:c>
      <x:c r="K2046" s="172" t="n">
        <x:v>1</x:v>
      </x:c>
      <x:c r="L2046" s="185" t="str">
        <x:v>Não classificado</x:v>
      </x:c>
    </x:row>
    <x:row r="2047">
      <x:c r="A2047" s="175" t="str">
        <x:v>44.272.584/0001-20</x:v>
      </x:c>
      <x:c r="B2047" s="166" t="str">
        <x:v>CNPJ 44272584000120</x:v>
      </x:c>
      <x:c r="C2047" s="188" t="n">
        <x:v>25713308.76</x:v>
      </x:c>
      <x:c r="D2047" s="166" t="str">
        <x:v>Kanastra</x:v>
      </x:c>
      <x:c r="E2047" s="166" t="str">
        <x:f>IFERROR(INDEX('Classif Gestoras'!$H$6:$H$462,MATCH(D2047,'Classif Gestoras'!$A$6:$A$462,0)),"Não classificada")</x:f>
        <x:v>Independente</x:v>
      </x:c>
      <x:c r="F2047" s="166" t="str">
        <x:v>VÓRTX DTVM</x:v>
      </x:c>
      <x:c r="G2047" s="166" t="str">
        <x:v>Não identificado</x:v>
      </x:c>
      <x:c r="H2047" s="166" t="str">
        <x:v>Agro, Indústria e Comércio</x:v>
      </x:c>
      <x:c r="I2047" s="166" t="str">
        <x:v>Recebíveis Comerciais</x:v>
      </x:c>
      <x:c r="J2047" s="166" t="str">
        <x:v>CI</x:v>
      </x:c>
      <x:c r="K2047" s="172"/>
      <x:c r="L2047" s="185" t="str">
        <x:v>Não classificado</x:v>
      </x:c>
    </x:row>
    <x:row r="2048">
      <x:c r="A2048" s="175" t="str">
        <x:v>52.354.707/0001-08</x:v>
      </x:c>
      <x:c r="B2048" s="166" t="str">
        <x:v>IZI CASH I FUNDO DE INVESTIMENTO EM DIREITOS CREDITÓRIOS</x:v>
      </x:c>
      <x:c r="C2048" s="188" t="n">
        <x:v>25690319.75</x:v>
      </x:c>
      <x:c r="D2048" s="166" t="str">
        <x:v>BTG Pactual Asset</x:v>
      </x:c>
      <x:c r="E2048" s="166" t="str">
        <x:f>IFERROR(INDEX('Classif Gestoras'!$H$6:$H$462,MATCH(D2048,'Classif Gestoras'!$A$6:$A$462,0)),"Não classificada")</x:f>
        <x:v>Ligada a banco</x:v>
      </x:c>
      <x:c r="F2048" s="166" t="str">
        <x:v>BTG Pactual Servicos Financeiros S/A DTVM</x:v>
      </x:c>
      <x:c r="G2048" s="166" t="str">
        <x:v>BANCO BTG PACTUAL S/A</x:v>
      </x:c>
      <x:c r="H2048" s="166" t="str">
        <x:v>Fomento Mercantil</x:v>
      </x:c>
      <x:c r="I2048" s="166" t="str">
        <x:v>Fomento Mercantil</x:v>
      </x:c>
      <x:c r="J2048" s="166" t="str">
        <x:v>CI</x:v>
      </x:c>
      <x:c r="K2048" s="172" t="n">
        <x:v>3</x:v>
      </x:c>
      <x:c r="L2048" s="185" t="str">
        <x:v>Não classificado</x:v>
      </x:c>
    </x:row>
    <x:row r="2049">
      <x:c r="A2049" s="175" t="str">
        <x:v>23.033.577/0001-03</x:v>
      </x:c>
      <x:c r="B2049" s="166" t="str">
        <x:v>ILLUMINATI FUNDO DE INVESTIMENTO EM DIREITOS CREDITÓRIOS</x:v>
      </x:c>
      <x:c r="C2049" s="188" t="n">
        <x:v>25678642.8</x:v>
      </x:c>
      <x:c r="D2049" s="166" t="str">
        <x:v>QUELUZ ASSET</x:v>
      </x:c>
      <x:c r="E2049" s="166" t="str">
        <x:f>IFERROR(INDEX('Classif Gestoras'!$H$6:$H$462,MATCH(D2049,'Classif Gestoras'!$A$6:$A$462,0)),"Não classificada")</x:f>
        <x:v>Independente</x:v>
      </x:c>
      <x:c r="F2049" s="166" t="str">
        <x:v>TRUSTEE DTVM</x:v>
      </x:c>
      <x:c r="G2049" s="166" t="str">
        <x:v>TRUSTEE DISTRIBUIDORA DE TITULOS E VALORES MOBILIARIOS LTDA.</x:v>
      </x:c>
      <x:c r="H2049" s="166" t="str">
        <x:v>Outros</x:v>
      </x:c>
      <x:c r="I2049" s="166" t="str">
        <x:v>Multicarteira Outros</x:v>
      </x:c>
      <x:c r="J2049" s="166" t="str">
        <x:v>CI</x:v>
      </x:c>
      <x:c r="K2049" s="172" t="n">
        <x:v>11</x:v>
      </x:c>
      <x:c r="L2049" s="185" t="str">
        <x:v>Não classificado</x:v>
      </x:c>
    </x:row>
    <x:row r="2050">
      <x:c r="A2050" s="175" t="str">
        <x:v>60.759.882/0001-03</x:v>
      </x:c>
      <x:c r="B2050" s="166" t="str">
        <x:v>TENDA FUNDO DE INVESTIMENTO EM DIREITOS CREDITÓRIOS NÃO PADRONIZADO</x:v>
      </x:c>
      <x:c r="C2050" s="188" t="n">
        <x:v>25657161.72</x:v>
      </x:c>
      <x:c r="D2050" s="166" t="str">
        <x:v>Latinoamericana de Investimentos e Capital Ltda</x:v>
      </x:c>
      <x:c r="E2050" s="166" t="str">
        <x:f>IFERROR(INDEX('Classif Gestoras'!$H$6:$H$462,MATCH(D2050,'Classif Gestoras'!$A$6:$A$462,0)),"Não classificada")</x:f>
        <x:v>Independente</x:v>
      </x:c>
      <x:c r="F2050" s="166" t="str">
        <x:v>MONETAR DISTRIBUIDORA DE TITUL</x:v>
      </x:c>
      <x:c r="G2050" s="166" t="str">
        <x:v>TERRA INVESTIMENTOS DISTRIBUIDORA DE TITULOS E VALORES MOBILIARIOS LTDA</x:v>
      </x:c>
      <x:c r="H2050" s="166" t="str">
        <x:v>Outros</x:v>
      </x:c>
      <x:c r="I2050" s="166" t="str">
        <x:v>Multicarteira Outros</x:v>
      </x:c>
      <x:c r="J2050" s="166" t="str">
        <x:v>CI</x:v>
      </x:c>
      <x:c r="K2050" s="172" t="n">
        <x:v>9</x:v>
      </x:c>
      <x:c r="L2050" s="185" t="str">
        <x:v>Não classificado</x:v>
      </x:c>
    </x:row>
    <x:row r="2051">
      <x:c r="A2051" s="175" t="str">
        <x:v>65.793.331/0001-71</x:v>
      </x:c>
      <x:c r="B2051" s="166" t="str">
        <x:v>CTZ FUNDO DE INVESTIMENTO EM DIREITOS CREDITÓRIOS - RESPONSABILIDADE LIMITADA</x:v>
      </x:c>
      <x:c r="C2051" s="188" t="n">
        <x:v>25641520.08</x:v>
      </x:c>
      <x:c r="D2051" s="166" t="str">
        <x:v>Solis</x:v>
      </x:c>
      <x:c r="E2051" s="166" t="str">
        <x:f>IFERROR(INDEX('Classif Gestoras'!$H$6:$H$462,MATCH(D2051,'Classif Gestoras'!$A$6:$A$462,0)),"Não classificada")</x:f>
        <x:v>Independente</x:v>
      </x:c>
      <x:c r="F2051" s="166" t="str">
        <x:v>HEMERA DTVM</x:v>
      </x:c>
      <x:c r="G2051" s="166" t="str">
        <x:v>HEMERA DISTRIBUIDORA DE TITULOS E VALORES MOBILIARIOS LTDA</x:v>
      </x:c>
      <x:c r="H2051" s="166" t="str">
        <x:v>Financeiro</x:v>
      </x:c>
      <x:c r="I2051" s="166" t="str">
        <x:v>Multicarteira Financeiro</x:v>
      </x:c>
      <x:c r="J2051" s="166" t="str">
        <x:v>CI</x:v>
      </x:c>
      <x:c r="K2051" s="172" t="n">
        <x:v>4</x:v>
      </x:c>
      <x:c r="L2051" s="185" t="str">
        <x:v>Não classificado</x:v>
      </x:c>
    </x:row>
    <x:row r="2052">
      <x:c r="A2052" s="175" t="str">
        <x:v>55.728.962/0001-53</x:v>
      </x:c>
      <x:c r="B2052" s="166" t="str">
        <x:v>JMP43 FUNDO DE INVESTIMENTO EM DIREITOS CREDITÓRIOS</x:v>
      </x:c>
      <x:c r="C2052" s="188" t="n">
        <x:v>25632795.84</x:v>
      </x:c>
      <x:c r="D2052" s="166" t="str">
        <x:v>Global Gestão e Investimentos</x:v>
      </x:c>
      <x:c r="E2052" s="166" t="str">
        <x:f>IFERROR(INDEX('Classif Gestoras'!$H$6:$H$462,MATCH(D2052,'Classif Gestoras'!$A$6:$A$462,0)),"Não classificada")</x:f>
        <x:v>Independente</x:v>
      </x:c>
      <x:c r="F2052" s="166" t="str">
        <x:v>Singulare</x:v>
      </x:c>
      <x:c r="G2052" s="166" t="str">
        <x:v>QI CORRETORA DE TÍTULOS E VALORES MOBILIÁRIOS S.A.</x:v>
      </x:c>
      <x:c r="H2052" s="166" t="str">
        <x:v>Fomento Mercantil</x:v>
      </x:c>
      <x:c r="I2052" s="166" t="str">
        <x:v>Fomento Mercantil</x:v>
      </x:c>
      <x:c r="J2052" s="166" t="str">
        <x:v>CI</x:v>
      </x:c>
      <x:c r="K2052" s="172" t="n">
        <x:v>1</x:v>
      </x:c>
      <x:c r="L2052" s="185" t="str">
        <x:v>Não classificado</x:v>
      </x:c>
    </x:row>
    <x:row r="2053">
      <x:c r="A2053" s="175" t="str">
        <x:v>21.397.715/0001-08</x:v>
      </x:c>
      <x:c r="B2053" s="166" t="str">
        <x:v>FP GENIAL RECUPERAÇÃO DE CRÉDITO FUNDO DE INVESTIMENTO EM DIREITOS CREDITÓRIOS NÃO PADRONIZADOS</x:v>
      </x:c>
      <x:c r="C2053" s="188" t="n">
        <x:v>25615929.25</x:v>
      </x:c>
      <x:c r="D2053" s="166" t="str">
        <x:v>Plural</x:v>
      </x:c>
      <x:c r="E2053" s="166" t="str">
        <x:f>IFERROR(INDEX('Classif Gestoras'!$H$6:$H$462,MATCH(D2053,'Classif Gestoras'!$A$6:$A$462,0)),"Não classificada")</x:f>
        <x:v>Ligada a banco</x:v>
      </x:c>
      <x:c r="F2053" s="166" t="str">
        <x:v>Singulare</x:v>
      </x:c>
      <x:c r="G2053" s="166" t="str">
        <x:v>QI CORRETORA DE TÍTULOS E VALORES MOBILIÁRIOS S.A.</x:v>
      </x:c>
      <x:c r="H2053" s="166" t="str">
        <x:v>Outros</x:v>
      </x:c>
      <x:c r="I2053" s="166" t="str">
        <x:v>Recuperação</x:v>
      </x:c>
      <x:c r="J2053" s="166" t="str">
        <x:v>CI</x:v>
      </x:c>
      <x:c r="K2053" s="172" t="n">
        <x:v>4</x:v>
      </x:c>
      <x:c r="L2053" s="185" t="str">
        <x:v>Não classificado</x:v>
      </x:c>
    </x:row>
    <x:row r="2054">
      <x:c r="A2054" s="175" t="str">
        <x:v>62.972.105/0001-60</x:v>
      </x:c>
      <x:c r="B2054" s="166" t="str">
        <x:v>ONZE II FUNDO DE INVESTIMENTO EM DIREITOS CREDITÓRIOS - RESPONSABILIDADE LIMITADA</x:v>
      </x:c>
      <x:c r="C2054" s="188" t="n">
        <x:v>25611608.82</x:v>
      </x:c>
      <x:c r="D2054" s="166" t="str">
        <x:v>Onze Investimentos</x:v>
      </x:c>
      <x:c r="E2054" s="166" t="str">
        <x:f>IFERROR(INDEX('Classif Gestoras'!$H$6:$H$462,MATCH(D2054,'Classif Gestoras'!$A$6:$A$462,0)),"Não classificada")</x:f>
        <x:v>Independente</x:v>
      </x:c>
      <x:c r="F2054" s="166" t="str">
        <x:v>Singulare</x:v>
      </x:c>
      <x:c r="G2054" s="166" t="str">
        <x:v>QI CORRETORA DE TÍTULOS E VALORES MOBILIÁRIOS S.A.</x:v>
      </x:c>
      <x:c r="H2054" s="166" t="str">
        <x:v>Financeiro</x:v>
      </x:c>
      <x:c r="I2054" s="166" t="str">
        <x:v>Crédito Pessoal</x:v>
      </x:c>
      <x:c r="J2054" s="166" t="str">
        <x:v>CI</x:v>
      </x:c>
      <x:c r="K2054" s="172" t="n">
        <x:v>5</x:v>
      </x:c>
      <x:c r="L2054" s="185" t="str">
        <x:v>Não classificado</x:v>
      </x:c>
    </x:row>
    <x:row r="2055">
      <x:c r="A2055" s="175" t="str">
        <x:v>29.613.776/0001-69</x:v>
      </x:c>
      <x:c r="B2055" s="166" t="str">
        <x:v>DAVOS ADONAI FUNDO DE INVESTIMENTO EM DIREITOS CREDITORIOS</x:v>
      </x:c>
      <x:c r="C2055" s="188" t="n">
        <x:v>25581319.67</x:v>
      </x:c>
      <x:c r="D2055" s="166" t="str">
        <x:v>TERCON ASSET MANAGEMENT</x:v>
      </x:c>
      <x:c r="E2055" s="166" t="str">
        <x:f>IFERROR(INDEX('Classif Gestoras'!$H$6:$H$462,MATCH(D2055,'Classif Gestoras'!$A$6:$A$462,0)),"Não classificada")</x:f>
        <x:v>Independente</x:v>
      </x:c>
      <x:c r="F2055" s="166" t="str">
        <x:v>Singulare</x:v>
      </x:c>
      <x:c r="G2055" s="166" t="str">
        <x:v>QI CORRETORA DE TÍTULOS E VALORES MOBILIÁRIOS S.A.</x:v>
      </x:c>
      <x:c r="H2055" s="166" t="str">
        <x:v>Fomento Mercantil</x:v>
      </x:c>
      <x:c r="I2055" s="166" t="str">
        <x:v>Fomento Mercantil</x:v>
      </x:c>
      <x:c r="J2055" s="166" t="str">
        <x:v>CI</x:v>
      </x:c>
      <x:c r="K2055" s="172" t="n">
        <x:v>1</x:v>
      </x:c>
      <x:c r="L2055" s="185" t="str">
        <x:v>Não classificado</x:v>
      </x:c>
    </x:row>
    <x:row r="2056">
      <x:c r="A2056" s="175" t="str">
        <x:v>64.744.236/0001-15</x:v>
      </x:c>
      <x:c r="B2056" s="166" t="str">
        <x:v>PCS III FEEDER FUNDO DE INVESTIMENTO EM DIREITOS CREDITÓRIOS</x:v>
      </x:c>
      <x:c r="C2056" s="188" t="n">
        <x:v>25542640.14</x:v>
      </x:c>
      <x:c r="D2056" s="166" t="str">
        <x:v>PRISMA PRIVATE CREDIT</x:v>
      </x:c>
      <x:c r="E2056" s="166" t="str">
        <x:f>IFERROR(INDEX('Classif Gestoras'!$H$6:$H$462,MATCH(D2056,'Classif Gestoras'!$A$6:$A$462,0)),"Não classificada")</x:f>
        <x:v>Independente</x:v>
      </x:c>
      <x:c r="F2056" s="166" t="str">
        <x:v>BTG Pactual Servicos Financeiros S/A DTVM</x:v>
      </x:c>
      <x:c r="G2056" s="166" t="str">
        <x:v>BANCO BTG PACTUAL S/A</x:v>
      </x:c>
      <x:c r="H2056" s="166" t="str">
        <x:v>Outros</x:v>
      </x:c>
      <x:c r="I2056" s="166" t="str">
        <x:v>Multicarteira Outros</x:v>
      </x:c>
      <x:c r="J2056" s="166" t="str">
        <x:v>CI</x:v>
      </x:c>
      <x:c r="K2056" s="172" t="n">
        <x:v>1</x:v>
      </x:c>
      <x:c r="L2056" s="185" t="str">
        <x:v>Não classificado</x:v>
      </x:c>
    </x:row>
    <x:row r="2057">
      <x:c r="A2057" s="175" t="str">
        <x:v>59.524.577/0001-45</x:v>
      </x:c>
      <x:c r="B2057" s="166" t="str">
        <x:v>FUNDO DE INVESTIMENTO EM DIREITOS CREDITÓRIOS DAV</x:v>
      </x:c>
      <x:c r="C2057" s="188" t="n">
        <x:v>25486965.58</x:v>
      </x:c>
      <x:c r="D2057" s="166" t="str">
        <x:v>Milênio Capital</x:v>
      </x:c>
      <x:c r="E2057" s="166" t="str">
        <x:f>IFERROR(INDEX('Classif Gestoras'!$H$6:$H$462,MATCH(D2057,'Classif Gestoras'!$A$6:$A$462,0)),"Não classificada")</x:f>
        <x:v>Independente</x:v>
      </x:c>
      <x:c r="F2057" s="166" t="str">
        <x:v>VÓRTX DTVM</x:v>
      </x:c>
      <x:c r="G2057" s="166" t="str">
        <x:v>VORTX DISTRIBUIDORA DE TITULOS E VALORES MOBILIARIOS LTDA.</x:v>
      </x:c>
      <x:c r="H2057" s="166" t="str">
        <x:v>Agro, Indústria e Comércio</x:v>
      </x:c>
      <x:c r="I2057" s="166" t="str">
        <x:v>Agronegócio</x:v>
      </x:c>
      <x:c r="J2057" s="166" t="str">
        <x:v>CI</x:v>
      </x:c>
      <x:c r="K2057" s="172" t="n">
        <x:v>9</x:v>
      </x:c>
      <x:c r="L2057" s="185" t="str">
        <x:v>Não classificado</x:v>
      </x:c>
    </x:row>
    <x:row r="2058">
      <x:c r="A2058" s="175" t="str">
        <x:v>53.319.087/0001-20</x:v>
      </x:c>
      <x:c r="B2058" s="166" t="str">
        <x:v>CPM FUNDO DE INVESTIMENTO EM DIREITOS CREDITÓRIOS</x:v>
      </x:c>
      <x:c r="C2058" s="188" t="n">
        <x:v>25432739.84</x:v>
      </x:c>
      <x:c r="D2058" s="166" t="str">
        <x:v>Redwood Asset Management</x:v>
      </x:c>
      <x:c r="E2058" s="166" t="str">
        <x:f>IFERROR(INDEX('Classif Gestoras'!$H$6:$H$462,MATCH(D2058,'Classif Gestoras'!$A$6:$A$462,0)),"Não classificada")</x:f>
        <x:v>Independente</x:v>
      </x:c>
      <x:c r="F2058" s="166" t="str">
        <x:v>PLANNER CV</x:v>
      </x:c>
      <x:c r="G2058" s="166" t="str">
        <x:v>PLANNER CORRETORA DE VALORES S.A.</x:v>
      </x:c>
      <x:c r="H2058" s="166" t="str">
        <x:v>Outros</x:v>
      </x:c>
      <x:c r="I2058" s="166" t="str">
        <x:v>Multicarteira Outros</x:v>
      </x:c>
      <x:c r="J2058" s="166" t="str">
        <x:v>CI</x:v>
      </x:c>
      <x:c r="K2058" s="172" t="n">
        <x:v>1</x:v>
      </x:c>
      <x:c r="L2058" s="185" t="str">
        <x:v>Não classificado</x:v>
      </x:c>
    </x:row>
    <x:row r="2059">
      <x:c r="A2059" s="175" t="str">
        <x:v>66.575.588/0001-10</x:v>
      </x:c>
      <x:c r="B2059" s="166" t="str">
        <x:v>FINANTO INSS RECEIVABLES I FUNDO DE INVESTIMENTO EM DIREITOS CREDITÓRIOS RESPONSABILIDADE LIMITADA</x:v>
      </x:c>
      <x:c r="C2059" s="188" t="n">
        <x:v>25388922.57</x:v>
      </x:c>
      <x:c r="D2059" s="166" t="str">
        <x:v>BTG Pactual Asset</x:v>
      </x:c>
      <x:c r="E2059" s="166" t="str">
        <x:f>IFERROR(INDEX('Classif Gestoras'!$H$6:$H$462,MATCH(D2059,'Classif Gestoras'!$A$6:$A$462,0)),"Não classificada")</x:f>
        <x:v>Ligada a banco</x:v>
      </x:c>
      <x:c r="F2059" s="166" t="str">
        <x:v>Singulare</x:v>
      </x:c>
      <x:c r="G2059" s="166" t="str">
        <x:v>QI CORRETORA DE TÍTULOS E VALORES MOBILIÁRIOS S.A.</x:v>
      </x:c>
      <x:c r="H2059" s="166" t="str">
        <x:v>Financeiro</x:v>
      </x:c>
      <x:c r="I2059" s="166" t="str">
        <x:v>Crédito Consignado</x:v>
      </x:c>
      <x:c r="J2059" s="166" t="str">
        <x:v>CI</x:v>
      </x:c>
      <x:c r="K2059" s="172" t="n">
        <x:v>5</x:v>
      </x:c>
      <x:c r="L2059" s="185" t="str">
        <x:v>Não classificado</x:v>
      </x:c>
    </x:row>
    <x:row r="2060">
      <x:c r="A2060" s="175" t="str">
        <x:v>58.488.141/0001-85</x:v>
      </x:c>
      <x:c r="B2060" s="166" t="str">
        <x:v>CLASSE ÚNICA DE COTAS DO ST 1016 FUNDO DE INVESTIMENTO EM DIREITOS CREDITÓRIOS RESP LIMITADA</x:v>
      </x:c>
      <x:c r="C2060" s="188" t="n">
        <x:v>25374142.43</x:v>
      </x:c>
      <x:c r="D2060" s="166" t="str">
        <x:v>Strata Capital</x:v>
      </x:c>
      <x:c r="E2060" s="166" t="str">
        <x:f>IFERROR(INDEX('Classif Gestoras'!$H$6:$H$462,MATCH(D2060,'Classif Gestoras'!$A$6:$A$462,0)),"Não classificada")</x:f>
        <x:v>Independente</x:v>
      </x:c>
      <x:c r="F2060" s="166" t="str">
        <x:v>BANCO DAYCOVAL S/A</x:v>
      </x:c>
      <x:c r="G2060" s="166" t="str">
        <x:v>BANCO DAYCOVAL S.A.</x:v>
      </x:c>
      <x:c r="H2060" s="166" t="str">
        <x:v>Outros</x:v>
      </x:c>
      <x:c r="I2060" s="166" t="str">
        <x:v>Multicarteira Outros</x:v>
      </x:c>
      <x:c r="J2060" s="166" t="str">
        <x:v>CI</x:v>
      </x:c>
      <x:c r="K2060" s="172" t="n">
        <x:v>16</x:v>
      </x:c>
      <x:c r="L2060" s="185" t="str">
        <x:v>Não classificado</x:v>
      </x:c>
    </x:row>
    <x:row r="2061">
      <x:c r="A2061" s="175" t="str">
        <x:v>53.145.182/0001-55</x:v>
      </x:c>
      <x:c r="B2061" s="166" t="str">
        <x:v>LIONS FUNDO DE INVESTIMENTO EM DIREITOS CREDITÓRIOS</x:v>
      </x:c>
      <x:c r="C2061" s="188" t="n">
        <x:v>25366923.4</x:v>
      </x:c>
      <x:c r="D2061" s="166" t="str">
        <x:v>ASSET MANAGEMENT</x:v>
      </x:c>
      <x:c r="E2061" s="166" t="str">
        <x:f>IFERROR(INDEX('Classif Gestoras'!$H$6:$H$462,MATCH(D2061,'Classif Gestoras'!$A$6:$A$462,0)),"Não classificada")</x:f>
        <x:v>Independente</x:v>
      </x:c>
      <x:c r="F2061" s="166" t="str">
        <x:v>AZUMI DISTRIBUIDORA DE TÍTULOS E VALORES MOBILIÁRIOS LT</x:v>
      </x:c>
      <x:c r="G2061" s="166" t="str">
        <x:v>AZUMI DISTRIBUIDORA DE TÍTULOS E VALORES MOBILIÁRIOS LTDA.</x:v>
      </x:c>
      <x:c r="H2061" s="166" t="str">
        <x:v>Outros</x:v>
      </x:c>
      <x:c r="I2061" s="166" t="str">
        <x:v>Multicarteira Outros</x:v>
      </x:c>
      <x:c r="J2061" s="166" t="str">
        <x:v>CI</x:v>
      </x:c>
      <x:c r="K2061" s="172" t="n">
        <x:v>12</x:v>
      </x:c>
      <x:c r="L2061" s="185" t="str">
        <x:v>Não classificado</x:v>
      </x:c>
    </x:row>
    <x:row r="2062">
      <x:c r="A2062" s="175" t="str">
        <x:v>33.823.975/0001-79</x:v>
      </x:c>
      <x:c r="B2062" s="166" t="str">
        <x:v>ASGARD FUNDO DE INVESTIMENTO EM DIREITOS CREDITÓRIOS NÃO-PADRONIZADOS</x:v>
      </x:c>
      <x:c r="C2062" s="188" t="n">
        <x:v>25231458.38</x:v>
      </x:c>
      <x:c r="D2062" s="166" t="str">
        <x:v>ATIVA ASSET LTDA</x:v>
      </x:c>
      <x:c r="E2062" s="166" t="str">
        <x:f>IFERROR(INDEX('Classif Gestoras'!$H$6:$H$462,MATCH(D2062,'Classif Gestoras'!$A$6:$A$462,0)),"Não classificada")</x:f>
        <x:v>Independente</x:v>
      </x:c>
      <x:c r="F2062" s="166" t="str">
        <x:v>Ativa S/A CTCV</x:v>
      </x:c>
      <x:c r="G2062" s="166" t="str">
        <x:v>ATIVA INVESTIMENTOS S.A. C.T.C.V.</x:v>
      </x:c>
      <x:c r="H2062" s="166" t="str">
        <x:v>Outros</x:v>
      </x:c>
      <x:c r="I2062" s="166" t="str">
        <x:v>Multicarteira Outros</x:v>
      </x:c>
      <x:c r="J2062" s="166" t="str">
        <x:v>CI</x:v>
      </x:c>
      <x:c r="K2062" s="172" t="n">
        <x:v>7</x:v>
      </x:c>
      <x:c r="L2062" s="185" t="str">
        <x:v>Não classificado</x:v>
      </x:c>
    </x:row>
    <x:row r="2063">
      <x:c r="A2063" s="175" t="str">
        <x:v>46.268.912/0001-40</x:v>
      </x:c>
      <x:c r="B2063" s="166" t="str">
        <x:v>LOGFIN FUNDO DE INVESTIMENTO EM DIREITOS CREDITÓRIOS</x:v>
      </x:c>
      <x:c r="C2063" s="188" t="n">
        <x:v>25094301.020000003</x:v>
      </x:c>
      <x:c r="D2063" s="166" t="str">
        <x:v>Catálise Investimentos</x:v>
      </x:c>
      <x:c r="E2063" s="166" t="str">
        <x:f>IFERROR(INDEX('Classif Gestoras'!$H$6:$H$462,MATCH(D2063,'Classif Gestoras'!$A$6:$A$462,0)),"Não classificada")</x:f>
        <x:v>Independente</x:v>
      </x:c>
      <x:c r="F2063" s="166" t="str">
        <x:v>CATÁLISE DTVM</x:v>
      </x:c>
      <x:c r="G2063" s="166" t="str">
        <x:v>BANCO DAYCOVAL S.A.</x:v>
      </x:c>
      <x:c r="H2063" s="166" t="str">
        <x:v>Outros</x:v>
      </x:c>
      <x:c r="I2063" s="166" t="str">
        <x:v>Multicarteira Outros</x:v>
      </x:c>
      <x:c r="J2063" s="166" t="str">
        <x:v>CI</x:v>
      </x:c>
      <x:c r="K2063" s="172" t="n">
        <x:v>4</x:v>
      </x:c>
      <x:c r="L2063" s="185" t="str">
        <x:v>Não classificado</x:v>
      </x:c>
    </x:row>
    <x:row r="2064">
      <x:c r="A2064" s="175" t="str">
        <x:v>45.722.284/0001-68</x:v>
      </x:c>
      <x:c r="B2064" s="166" t="str">
        <x:v>FIDC CANAAN - FUNDO DE INVESTIMENTO EM DIREITOS CREDITÓRIOS RESPONSABILIDADE LIMITADA</x:v>
      </x:c>
      <x:c r="C2064" s="188" t="n">
        <x:v>25075818.14</x:v>
      </x:c>
      <x:c r="D2064" s="166" t="str">
        <x:v>CONTEA CAPITAL</x:v>
      </x:c>
      <x:c r="E2064" s="166" t="str">
        <x:f>IFERROR(INDEX('Classif Gestoras'!$H$6:$H$462,MATCH(D2064,'Classif Gestoras'!$A$6:$A$462,0)),"Não classificada")</x:f>
        <x:v>Independente</x:v>
      </x:c>
      <x:c r="F2064" s="166" t="str">
        <x:v>ID Corretora de Títulos e Valores Mobiliários S.A.</x:v>
      </x:c>
      <x:c r="G2064" s="166" t="str">
        <x:v>ID CORRETORA DE TITULOS E VALORES MOBILIARIOS S.A.</x:v>
      </x:c>
      <x:c r="H2064" s="166" t="str">
        <x:v>Outros</x:v>
      </x:c>
      <x:c r="I2064" s="166" t="str">
        <x:v>Multicarteira Outros</x:v>
      </x:c>
      <x:c r="J2064" s="166" t="str">
        <x:v>CI</x:v>
      </x:c>
      <x:c r="K2064" s="172" t="n">
        <x:v>5</x:v>
      </x:c>
      <x:c r="L2064" s="185" t="str">
        <x:v>Não classificado</x:v>
      </x:c>
    </x:row>
    <x:row r="2065">
      <x:c r="A2065" s="175" t="str">
        <x:v>32.511.204/0001-83</x:v>
      </x:c>
      <x:c r="B2065" s="166" t="str">
        <x:v>ALLUGG FUNDO DE INVESTIMENTO EM DIREITOS CREDITÓRIOS</x:v>
      </x:c>
      <x:c r="C2065" s="188" t="n">
        <x:v>25014795.379999995</x:v>
      </x:c>
      <x:c r="D2065" s="166" t="str">
        <x:v>Mosaico Gestora de Recursos Ltda.</x:v>
      </x:c>
      <x:c r="E2065" s="166" t="str">
        <x:f>IFERROR(INDEX('Classif Gestoras'!$H$6:$H$462,MATCH(D2065,'Classif Gestoras'!$A$6:$A$462,0)),"Não classificada")</x:f>
        <x:v>Independente</x:v>
      </x:c>
      <x:c r="F2065" s="166" t="str">
        <x:v>OSLO DTVM S. A.</x:v>
      </x:c>
      <x:c r="G2065" s="166" t="str">
        <x:v>OSLO CAPITAL DISTRIBUIDORA DE TITULOS E VALORES MOBILIARIOS S.A.</x:v>
      </x:c>
      <x:c r="H2065" s="166" t="str">
        <x:v>Fomento Mercantil</x:v>
      </x:c>
      <x:c r="I2065" s="166" t="str">
        <x:v>Fomento Mercantil</x:v>
      </x:c>
      <x:c r="J2065" s="166" t="str">
        <x:v>CI</x:v>
      </x:c>
      <x:c r="K2065" s="172" t="n">
        <x:v>18</x:v>
      </x:c>
      <x:c r="L2065" s="185" t="str">
        <x:v>Não classificado</x:v>
      </x:c>
    </x:row>
    <x:row r="2066">
      <x:c r="A2066" s="175" t="str">
        <x:v>52.286.780/0001-81</x:v>
      </x:c>
      <x:c r="B2066" s="166" t="str">
        <x:v>THE CAPITAL UNIVERSE FUNDO DE INVESTIMENTO EM DIREITOS CREDITÓRIOS RESPONSABILIDADE LIMITADA</x:v>
      </x:c>
      <x:c r="C2066" s="188" t="n">
        <x:v>24997573.82</x:v>
      </x:c>
      <x:c r="D2066" s="166" t="str">
        <x:v>Renova Gestora</x:v>
      </x:c>
      <x:c r="E2066" s="166" t="str">
        <x:f>IFERROR(INDEX('Classif Gestoras'!$H$6:$H$462,MATCH(D2066,'Classif Gestoras'!$A$6:$A$462,0)),"Não classificada")</x:f>
        <x:v>Independente</x:v>
      </x:c>
      <x:c r="F2066" s="166" t="str">
        <x:v>MONETAR DISTRIBUIDORA DE TITUL</x:v>
      </x:c>
      <x:c r="G2066" s="166" t="str">
        <x:v>TERRA INVESTIMENTOS DISTRIBUIDORA DE TITULOS E VALORES MOBILIARIOS LTDA</x:v>
      </x:c>
      <x:c r="H2066" s="166" t="str">
        <x:v>Outros</x:v>
      </x:c>
      <x:c r="I2066" s="166" t="str">
        <x:v>Multicarteira Outros</x:v>
      </x:c>
      <x:c r="J2066" s="166" t="str">
        <x:v>CI</x:v>
      </x:c>
      <x:c r="K2066" s="172" t="n">
        <x:v>2</x:v>
      </x:c>
      <x:c r="L2066" s="185" t="str">
        <x:v>Não classificado</x:v>
      </x:c>
    </x:row>
    <x:row r="2067">
      <x:c r="A2067" s="175" t="str">
        <x:v>54.023.881/0001-95</x:v>
      </x:c>
      <x:c r="B2067" s="166" t="str">
        <x:v>PRECATÓRIOS ESTADUAIS E MUNICIPAIS PULVERIZADOS I FI DIREITOS CREDITÓRIOS-RESPONSABILIDADE LIMITADA</x:v>
      </x:c>
      <x:c r="C2067" s="188" t="n">
        <x:v>24992651.459999997</x:v>
      </x:c>
      <x:c r="D2067" s="166" t="str">
        <x:v>Patrimonial Gestão</x:v>
      </x:c>
      <x:c r="E2067" s="166" t="str">
        <x:f>IFERROR(INDEX('Classif Gestoras'!$H$6:$H$462,MATCH(D2067,'Classif Gestoras'!$A$6:$A$462,0)),"Não classificada")</x:f>
        <x:v>Independente</x:v>
      </x:c>
      <x:c r="F2067" s="166" t="str">
        <x:v>Singulare</x:v>
      </x:c>
      <x:c r="G2067" s="166" t="str">
        <x:v>QI CORRETORA DE TÍTULOS E VALORES MOBILIÁRIOS S.A.</x:v>
      </x:c>
      <x:c r="H2067" s="166" t="str">
        <x:v>Outros</x:v>
      </x:c>
      <x:c r="I2067" s="166" t="str">
        <x:v>Poder Público</x:v>
      </x:c>
      <x:c r="J2067" s="166" t="str">
        <x:v>CI</x:v>
      </x:c>
      <x:c r="K2067" s="172" t="n">
        <x:v>3</x:v>
      </x:c>
      <x:c r="L2067" s="185" t="str">
        <x:v>Não classificado</x:v>
      </x:c>
    </x:row>
    <x:row r="2068">
      <x:c r="A2068" s="175" t="str">
        <x:v>51.124.933/0001-21</x:v>
      </x:c>
      <x:c r="B2068" s="166" t="str">
        <x:v>WIZARD FUNDO DE INVESTIMENTO EM DIREITOS CREDITÓRIOS</x:v>
      </x:c>
      <x:c r="C2068" s="188" t="n">
        <x:v>24968131.56</x:v>
      </x:c>
      <x:c r="D2068" s="166" t="str">
        <x:v>Libertas Asset</x:v>
      </x:c>
      <x:c r="E2068" s="166" t="str">
        <x:f>IFERROR(INDEX('Classif Gestoras'!$H$6:$H$462,MATCH(D2068,'Classif Gestoras'!$A$6:$A$462,0)),"Não classificada")</x:f>
        <x:v>Independente</x:v>
      </x:c>
      <x:c r="F2068" s="166" t="str">
        <x:v>ACTUAL DTVM</x:v>
      </x:c>
      <x:c r="G2068" s="166" t="str">
        <x:v>LASTRO RDV DTVM LTDA</x:v>
      </x:c>
      <x:c r="H2068" s="166" t="str">
        <x:v>Outros</x:v>
      </x:c>
      <x:c r="I2068" s="166" t="str">
        <x:v>Multicarteira Outros</x:v>
      </x:c>
      <x:c r="J2068" s="166" t="str">
        <x:v>CI</x:v>
      </x:c>
      <x:c r="K2068" s="172" t="n">
        <x:v>1</x:v>
      </x:c>
      <x:c r="L2068" s="185" t="str">
        <x:v>Não classificado</x:v>
      </x:c>
    </x:row>
    <x:row r="2069">
      <x:c r="A2069" s="175" t="str">
        <x:v>41.649.927/0001-34</x:v>
      </x:c>
      <x:c r="B2069" s="166" t="str">
        <x:v>LIBER CRÉDITO FUNDO DE INVESTIMENTO EM DIREITOS CREDITÓRIOS</x:v>
      </x:c>
      <x:c r="C2069" s="188" t="n">
        <x:v>24944897.68</x:v>
      </x:c>
      <x:c r="D2069" s="166" t="str">
        <x:v>GV ATACAMA CAPITAL LTDA.</x:v>
      </x:c>
      <x:c r="E2069" s="166" t="str">
        <x:f>IFERROR(INDEX('Classif Gestoras'!$H$6:$H$462,MATCH(D2069,'Classif Gestoras'!$A$6:$A$462,0)),"Não classificada")</x:f>
        <x:v>Independente</x:v>
      </x:c>
      <x:c r="F2069" s="166" t="str">
        <x:v>Singulare</x:v>
      </x:c>
      <x:c r="G2069" s="166" t="str">
        <x:v>QI CORRETORA DE TÍTULOS E VALORES MOBILIÁRIOS S.A.</x:v>
      </x:c>
      <x:c r="H2069" s="166" t="str">
        <x:v>Fomento Mercantil</x:v>
      </x:c>
      <x:c r="I2069" s="166" t="str">
        <x:v>Fomento Mercantil</x:v>
      </x:c>
      <x:c r="J2069" s="166" t="str">
        <x:v>CI</x:v>
      </x:c>
      <x:c r="K2069" s="172" t="n">
        <x:v>2</x:v>
      </x:c>
      <x:c r="L2069" s="185" t="str">
        <x:v>Não classificado</x:v>
      </x:c>
    </x:row>
    <x:row r="2070">
      <x:c r="A2070" s="175" t="str">
        <x:v>50.184.026/0001-05</x:v>
      </x:c>
      <x:c r="B2070" s="166" t="str">
        <x:v>AMALFI FUNDO DE INVESTIMENTO EM DIREITOS CREDITÓRIOS RESPONSABILIDADE LIMITADA</x:v>
      </x:c>
      <x:c r="C2070" s="188" t="n">
        <x:v>24904370.55</x:v>
      </x:c>
      <x:c r="D2070" s="166" t="str">
        <x:v>CONTEA CAPITAL</x:v>
      </x:c>
      <x:c r="E2070" s="166" t="str">
        <x:f>IFERROR(INDEX('Classif Gestoras'!$H$6:$H$462,MATCH(D2070,'Classif Gestoras'!$A$6:$A$462,0)),"Não classificada")</x:f>
        <x:v>Independente</x:v>
      </x:c>
      <x:c r="F2070" s="166" t="str">
        <x:v>ID Corretora de Títulos e Valores Mobiliários S.A.</x:v>
      </x:c>
      <x:c r="G2070" s="166" t="str">
        <x:v>ID CORRETORA DE TITULOS E VALORES MOBILIARIOS S.A.</x:v>
      </x:c>
      <x:c r="H2070" s="166" t="str">
        <x:v>Fomento Mercantil</x:v>
      </x:c>
      <x:c r="I2070" s="166" t="str">
        <x:v>Fomento Mercantil</x:v>
      </x:c>
      <x:c r="J2070" s="166" t="str">
        <x:v>CI</x:v>
      </x:c>
      <x:c r="K2070" s="172" t="n">
        <x:v>18</x:v>
      </x:c>
      <x:c r="L2070" s="185" t="str">
        <x:v>Não classificado</x:v>
      </x:c>
    </x:row>
    <x:row r="2071">
      <x:c r="A2071" s="175" t="str">
        <x:v>65.782.846/0001-76</x:v>
      </x:c>
      <x:c r="B2071" s="166" t="str">
        <x:v>BT VAREJO III FUNDO DE INVESTIMENTOS EM DIREITOS CREDITÓRIOS RESPONSABILIDADE LIMITADA</x:v>
      </x:c>
      <x:c r="C2071" s="188" t="n">
        <x:v>24890071.110000003</x:v>
      </x:c>
      <x:c r="D2071" s="166" t="str">
        <x:v>Prisma Capital Ltda.</x:v>
      </x:c>
      <x:c r="E2071" s="166" t="str">
        <x:f>IFERROR(INDEX('Classif Gestoras'!$H$6:$H$462,MATCH(D2071,'Classif Gestoras'!$A$6:$A$462,0)),"Não classificada")</x:f>
        <x:v>Independente</x:v>
      </x:c>
      <x:c r="F2071" s="166" t="str">
        <x:v>VÓRTX DTVM</x:v>
      </x:c>
      <x:c r="G2071" s="166" t="str">
        <x:v>VORTX DISTRIBUIDORA DE TITULOS E VALORES MOBILIARIOS LTDA.</x:v>
      </x:c>
      <x:c r="H2071" s="166" t="str">
        <x:v>Outros</x:v>
      </x:c>
      <x:c r="I2071" s="166" t="str">
        <x:v>Multicarteira Outros</x:v>
      </x:c>
      <x:c r="J2071" s="166" t="str">
        <x:v>CI</x:v>
      </x:c>
      <x:c r="K2071" s="172" t="n">
        <x:v>2</x:v>
      </x:c>
      <x:c r="L2071" s="185" t="str">
        <x:v>Não classificado</x:v>
      </x:c>
    </x:row>
    <x:row r="2072">
      <x:c r="A2072" s="175" t="str">
        <x:v>57.790.697/0001-69</x:v>
      </x:c>
      <x:c r="B2072" s="166" t="str">
        <x:v>PRECPAGO-F2 FUNDO DE INVESTIMENTO EM DIREITOS CREDITÓRIOS</x:v>
      </x:c>
      <x:c r="C2072" s="188" t="n">
        <x:v>24842645.98</x:v>
      </x:c>
      <x:c r="D2072" s="166" t="str">
        <x:v>Iggy Investimentos</x:v>
      </x:c>
      <x:c r="E2072" s="166" t="str">
        <x:f>IFERROR(INDEX('Classif Gestoras'!$H$6:$H$462,MATCH(D2072,'Classif Gestoras'!$A$6:$A$462,0)),"Não classificada")</x:f>
        <x:v>Independente</x:v>
      </x:c>
      <x:c r="F2072" s="166" t="str">
        <x:v>BRL TRUST DTVM</x:v>
      </x:c>
      <x:c r="G2072" s="166" t="str">
        <x:v>BRL TRUST DISTRIBUIDORA DE TITULOS E VALORES MOBILIARIOS S.A.</x:v>
      </x:c>
      <x:c r="H2072" s="166" t="str">
        <x:v>Outros</x:v>
      </x:c>
      <x:c r="I2072" s="166" t="str">
        <x:v>Poder Público</x:v>
      </x:c>
      <x:c r="J2072" s="166" t="str">
        <x:v>CI</x:v>
      </x:c>
      <x:c r="K2072" s="172" t="n">
        <x:v>6</x:v>
      </x:c>
      <x:c r="L2072" s="185" t="str">
        <x:v>Não classificado</x:v>
      </x:c>
    </x:row>
    <x:row r="2073">
      <x:c r="A2073" s="175" t="str">
        <x:v>58.182.199/0001-04</x:v>
      </x:c>
      <x:c r="B2073" s="166" t="str">
        <x:v>TIVIO ALT CREDITO PADRONIZADO FI EM DIREITOS CREDITÓRIOS RESPONSABILIDADE LIMITADA</x:v>
      </x:c>
      <x:c r="C2073" s="188" t="n">
        <x:v>24809110.269999996</x:v>
      </x:c>
      <x:c r="D2073" s="166" t="str">
        <x:v>Tivio Capital</x:v>
      </x:c>
      <x:c r="E2073" s="166" t="str">
        <x:f>IFERROR(INDEX('Classif Gestoras'!$H$6:$H$462,MATCH(D2073,'Classif Gestoras'!$A$6:$A$462,0)),"Não classificada")</x:f>
        <x:v>Independente</x:v>
      </x:c>
      <x:c r="F2073" s="166" t="str">
        <x:v>BNY MELLON SERVICOS</x:v>
      </x:c>
      <x:c r="G2073" s="166" t="str">
        <x:v>BNY MELLON BANCO S.A.</x:v>
      </x:c>
      <x:c r="H2073" s="166" t="str">
        <x:v>Outros</x:v>
      </x:c>
      <x:c r="I2073" s="166" t="str">
        <x:v>Multicarteira Outros</x:v>
      </x:c>
      <x:c r="J2073" s="166" t="str">
        <x:v>CIPC</x:v>
      </x:c>
      <x:c r="K2073" s="172" t="n">
        <x:v>2</x:v>
      </x:c>
      <x:c r="L2073" s="185" t="str">
        <x:v>Não classificado</x:v>
      </x:c>
    </x:row>
    <x:row r="2074">
      <x:c r="A2074" s="175" t="str">
        <x:v>37.484.183/0001-78</x:v>
      </x:c>
      <x:c r="B2074" s="166" t="str">
        <x:v>CNPJ 37484183000178</x:v>
      </x:c>
      <x:c r="C2074" s="188" t="n">
        <x:v>24772989.340000004</x:v>
      </x:c>
      <x:c r="D2074" s="166" t="str">
        <x:v>Emerald Gestão de Investimento</x:v>
      </x:c>
      <x:c r="E2074" s="166" t="str">
        <x:f>IFERROR(INDEX('Classif Gestoras'!$H$6:$H$462,MATCH(D2074,'Classif Gestoras'!$A$6:$A$462,0)),"Não classificada")</x:f>
        <x:v>Independente</x:v>
      </x:c>
      <x:c r="F2074" s="166" t="str">
        <x:v>BANCO J. SAFRA S/A</x:v>
      </x:c>
      <x:c r="G2074" s="166" t="str">
        <x:v>Não identificado</x:v>
      </x:c>
      <x:c r="H2074" s="166" t="str">
        <x:v>Outros</x:v>
      </x:c>
      <x:c r="I2074" s="166" t="str">
        <x:v>Multicarteira Outros</x:v>
      </x:c>
      <x:c r="J2074" s="166" t="str">
        <x:v>CI</x:v>
      </x:c>
      <x:c r="K2074" s="172"/>
      <x:c r="L2074" s="185" t="str">
        <x:v>Não classificado</x:v>
      </x:c>
    </x:row>
    <x:row r="2075">
      <x:c r="A2075" s="175" t="str">
        <x:v>48.984.429/0001-97</x:v>
      </x:c>
      <x:c r="B2075" s="166" t="str">
        <x:v>VISHNU FUNDO DE INVESTIMENTO EM DIREITOS CREDITÓRIOS</x:v>
      </x:c>
      <x:c r="C2075" s="188" t="n">
        <x:v>24624318.19</x:v>
      </x:c>
      <x:c r="D2075" s="166" t="str">
        <x:v>Catálise Investimentos</x:v>
      </x:c>
      <x:c r="E2075" s="166" t="str">
        <x:f>IFERROR(INDEX('Classif Gestoras'!$H$6:$H$462,MATCH(D2075,'Classif Gestoras'!$A$6:$A$462,0)),"Não classificada")</x:f>
        <x:v>Independente</x:v>
      </x:c>
      <x:c r="F2075" s="166" t="str">
        <x:v>CATÁLISE DTVM</x:v>
      </x:c>
      <x:c r="G2075" s="166" t="str">
        <x:v>BANCO DAYCOVAL S.A.</x:v>
      </x:c>
      <x:c r="H2075" s="166" t="str">
        <x:v>Outros</x:v>
      </x:c>
      <x:c r="I2075" s="166" t="str">
        <x:v>Multicarteira Outros</x:v>
      </x:c>
      <x:c r="J2075" s="166" t="str">
        <x:v>CI</x:v>
      </x:c>
      <x:c r="K2075" s="172" t="n">
        <x:v>1</x:v>
      </x:c>
      <x:c r="L2075" s="185" t="str">
        <x:v>Não classificado</x:v>
      </x:c>
    </x:row>
    <x:row r="2076">
      <x:c r="A2076" s="175" t="str">
        <x:v>30.659.303/0001-81</x:v>
      </x:c>
      <x:c r="B2076" s="166" t="str">
        <x:v>SIMOCRED FUNDO DE INVESTIMENTO EM DIREITOS CREDITÓRIOS MULTISSEGMENTOS</x:v>
      </x:c>
      <x:c r="C2076" s="188" t="n">
        <x:v>24558961.28</x:v>
      </x:c>
      <x:c r="D2076" s="166" t="str">
        <x:v>Petra Capital</x:v>
      </x:c>
      <x:c r="E2076" s="166" t="str">
        <x:f>IFERROR(INDEX('Classif Gestoras'!$H$6:$H$462,MATCH(D2076,'Classif Gestoras'!$A$6:$A$462,0)),"Não classificada")</x:f>
        <x:v>Independente</x:v>
      </x:c>
      <x:c r="F2076" s="166" t="str">
        <x:v>Finaxis Corretora de Títulos e Valores Mobiliários S.A.</x:v>
      </x:c>
      <x:c r="G2076" s="166" t="str">
        <x:v>BANCO FINAXIS S.A.</x:v>
      </x:c>
      <x:c r="H2076" s="166" t="str">
        <x:v>Outros</x:v>
      </x:c>
      <x:c r="I2076" s="166" t="str">
        <x:v>Multicarteira Outros</x:v>
      </x:c>
      <x:c r="J2076" s="166" t="str">
        <x:v>CI</x:v>
      </x:c>
      <x:c r="K2076" s="172" t="n">
        <x:v>5</x:v>
      </x:c>
      <x:c r="L2076" s="185" t="str">
        <x:v>Não classificado</x:v>
      </x:c>
    </x:row>
    <x:row r="2077">
      <x:c r="A2077" s="175" t="str">
        <x:v>63.939.263/0001-80</x:v>
      </x:c>
      <x:c r="B2077" s="166" t="str">
        <x:v>MLC 1C FUNDO DE INVESTIMENTO EM DIREITOS CREDITÓRIOS - RESPONSABILIDADE LIMITADA</x:v>
      </x:c>
      <x:c r="C2077" s="188" t="n">
        <x:v>24475553.15000001</x:v>
      </x:c>
      <x:c r="D2077" s="166" t="str">
        <x:v>Möbius Capital</x:v>
      </x:c>
      <x:c r="E2077" s="166" t="str">
        <x:f>IFERROR(INDEX('Classif Gestoras'!$H$6:$H$462,MATCH(D2077,'Classif Gestoras'!$A$6:$A$462,0)),"Não classificada")</x:f>
        <x:v>Independente</x:v>
      </x:c>
      <x:c r="F2077" s="166" t="str">
        <x:v>Singulare</x:v>
      </x:c>
      <x:c r="G2077" s="166" t="str">
        <x:v>QI CORRETORA DE TÍTULOS E VALORES MOBILIÁRIOS S.A.</x:v>
      </x:c>
      <x:c r="H2077" s="166" t="str">
        <x:v>Outros</x:v>
      </x:c>
      <x:c r="I2077" s="166" t="str">
        <x:v>Poder Público</x:v>
      </x:c>
      <x:c r="J2077" s="166" t="str">
        <x:v>CI</x:v>
      </x:c>
      <x:c r="K2077" s="172" t="n">
        <x:v>16</x:v>
      </x:c>
      <x:c r="L2077" s="185" t="str">
        <x:v>Não classificado</x:v>
      </x:c>
    </x:row>
    <x:row r="2078">
      <x:c r="A2078" s="175" t="str">
        <x:v>27.531.244/0001-57</x:v>
      </x:c>
      <x:c r="B2078" s="166" t="str">
        <x:v>ONDABRASIL FUNDO DE INVESTIMENTO EM DIREITOS CREDITÓRIOS NÃO-PADRONIZADOS RESP LIMITADA</x:v>
      </x:c>
      <x:c r="C2078" s="188" t="n">
        <x:v>24464922.49</x:v>
      </x:c>
      <x:c r="D2078" s="166" t="str">
        <x:v>Tyr Gestao de Recursos Ltda</x:v>
      </x:c>
      <x:c r="E2078" s="166" t="str">
        <x:f>IFERROR(INDEX('Classif Gestoras'!$H$6:$H$462,MATCH(D2078,'Classif Gestoras'!$A$6:$A$462,0)),"Não classificada")</x:f>
        <x:v>Independente</x:v>
      </x:c>
      <x:c r="F2078" s="166" t="str">
        <x:v>ID Corretora de Títulos e Valores Mobiliários S.A.</x:v>
      </x:c>
      <x:c r="G2078" s="166" t="str">
        <x:v>ID CORRETORA DE TITULOS E VALORES MOBILIARIOS S.A.</x:v>
      </x:c>
      <x:c r="H2078" s="166" t="str">
        <x:v>Outros</x:v>
      </x:c>
      <x:c r="I2078" s="166" t="str">
        <x:v>Poder Público</x:v>
      </x:c>
      <x:c r="J2078" s="166" t="str">
        <x:v>CI</x:v>
      </x:c>
      <x:c r="K2078" s="172" t="n">
        <x:v>1</x:v>
      </x:c>
      <x:c r="L2078" s="185" t="str">
        <x:v>Não classificado</x:v>
      </x:c>
    </x:row>
    <x:row r="2079">
      <x:c r="A2079" s="175" t="str">
        <x:v>58.593.281/0001-13</x:v>
      </x:c>
      <x:c r="B2079" s="166" t="str">
        <x:v>HEIVI FUNDO DE INVESTIMENTO EM DIREITOS CREDITORIOS</x:v>
      </x:c>
      <x:c r="C2079" s="188" t="n">
        <x:v>24451613.69</x:v>
      </x:c>
      <x:c r="D2079" s="166" t="str">
        <x:v>Quartzo Invest</x:v>
      </x:c>
      <x:c r="E2079" s="166" t="str">
        <x:f>IFERROR(INDEX('Classif Gestoras'!$H$6:$H$462,MATCH(D2079,'Classif Gestoras'!$A$6:$A$462,0)),"Não classificada")</x:f>
        <x:v>Independente</x:v>
      </x:c>
      <x:c r="F2079" s="166" t="str">
        <x:v>ACTUAL DTVM</x:v>
      </x:c>
      <x:c r="G2079" s="166" t="str">
        <x:v>TRUSTEE DISTRIBUIDORA DE TITULOS E VALORES MOBILIARIOS LTDA.</x:v>
      </x:c>
      <x:c r="H2079" s="166" t="str">
        <x:v>Fomento Mercantil</x:v>
      </x:c>
      <x:c r="I2079" s="166" t="str">
        <x:v>Fomento Mercantil</x:v>
      </x:c>
      <x:c r="J2079" s="166" t="str">
        <x:v>CI</x:v>
      </x:c>
      <x:c r="K2079" s="172" t="n">
        <x:v>2</x:v>
      </x:c>
      <x:c r="L2079" s="185" t="str">
        <x:v>Não classificado</x:v>
      </x:c>
    </x:row>
    <x:row r="2080">
      <x:c r="A2080" s="175" t="str">
        <x:v>49.839.322/0001-18</x:v>
      </x:c>
      <x:c r="B2080" s="166" t="str">
        <x:v>ERGA OMNES FUNDO DE INVESTIMENTO EM DIREITOS CREDITÓRIOS NÃO-PADRONIZADO</x:v>
      </x:c>
      <x:c r="C2080" s="188" t="n">
        <x:v>24433861.83</x:v>
      </x:c>
      <x:c r="D2080" s="166" t="str">
        <x:v>ATIVA ASSET LTDA</x:v>
      </x:c>
      <x:c r="E2080" s="166" t="str">
        <x:f>IFERROR(INDEX('Classif Gestoras'!$H$6:$H$462,MATCH(D2080,'Classif Gestoras'!$A$6:$A$462,0)),"Não classificada")</x:f>
        <x:v>Independente</x:v>
      </x:c>
      <x:c r="F2080" s="166" t="str">
        <x:v>Ativa S/A CTCV</x:v>
      </x:c>
      <x:c r="G2080" s="166" t="str">
        <x:v>ATIVA INVESTIMENTOS S.A. C.T.C.V.</x:v>
      </x:c>
      <x:c r="H2080" s="166" t="str">
        <x:v>Outros</x:v>
      </x:c>
      <x:c r="I2080" s="166" t="str">
        <x:v>Poder Público</x:v>
      </x:c>
      <x:c r="J2080" s="166" t="str">
        <x:v>CI</x:v>
      </x:c>
      <x:c r="K2080" s="172" t="n">
        <x:v>14</x:v>
      </x:c>
      <x:c r="L2080" s="185" t="str">
        <x:v>Não classificado</x:v>
      </x:c>
    </x:row>
    <x:row r="2081">
      <x:c r="A2081" s="175" t="str">
        <x:v>29.109.316/0001-06</x:v>
      </x:c>
      <x:c r="B2081" s="166" t="str">
        <x:v>DFC FUNDO DE INVESTIMENTO EM DIREITOS CREDITÓRIOS</x:v>
      </x:c>
      <x:c r="C2081" s="188" t="n">
        <x:v>24413948.08</x:v>
      </x:c>
      <x:c r="D2081" s="166" t="str">
        <x:v>TERCON ASSET MANAGEMENT</x:v>
      </x:c>
      <x:c r="E2081" s="166" t="str">
        <x:f>IFERROR(INDEX('Classif Gestoras'!$H$6:$H$462,MATCH(D2081,'Classif Gestoras'!$A$6:$A$462,0)),"Não classificada")</x:f>
        <x:v>Independente</x:v>
      </x:c>
      <x:c r="F2081" s="166" t="str">
        <x:v>MASTER S/A CORRETORA</x:v>
      </x:c>
      <x:c r="G2081" s="166" t="str">
        <x:v>QI CORRETORA DE TÍTULOS E VALORES MOBILIÁRIOS S.A.</x:v>
      </x:c>
      <x:c r="H2081" s="166" t="str">
        <x:v>Fomento Mercantil</x:v>
      </x:c>
      <x:c r="I2081" s="166" t="str">
        <x:v>Recebíveis Comerciais</x:v>
      </x:c>
      <x:c r="J2081" s="166" t="str">
        <x:v>CI</x:v>
      </x:c>
      <x:c r="K2081" s="172" t="n">
        <x:v>5</x:v>
      </x:c>
      <x:c r="L2081" s="185" t="str">
        <x:v>Não classificado</x:v>
      </x:c>
    </x:row>
    <x:row r="2082">
      <x:c r="A2082" s="175" t="str">
        <x:v>50.366.328/0001-02</x:v>
      </x:c>
      <x:c r="B2082" s="166" t="str">
        <x:v>MFM FUNDO DE INVESTIMENTO EM DIREITOS CREDITÓRIOS SEGMENTO ECONÔMICO DE TELECOMUNICAÇÕES</x:v>
      </x:c>
      <x:c r="C2082" s="188" t="n">
        <x:v>24340520.44</x:v>
      </x:c>
      <x:c r="D2082" s="166" t="str">
        <x:v>Petra Capital</x:v>
      </x:c>
      <x:c r="E2082" s="166" t="str">
        <x:f>IFERROR(INDEX('Classif Gestoras'!$H$6:$H$462,MATCH(D2082,'Classif Gestoras'!$A$6:$A$462,0)),"Não classificada")</x:f>
        <x:v>Independente</x:v>
      </x:c>
      <x:c r="F2082" s="166" t="str">
        <x:v>Finaxis Corretora de Títulos e Valores Mobiliários S.A.</x:v>
      </x:c>
      <x:c r="G2082" s="166" t="str">
        <x:v>BANCO FINAXIS S.A.</x:v>
      </x:c>
      <x:c r="H2082" s="166" t="str">
        <x:v>Outros</x:v>
      </x:c>
      <x:c r="I2082" s="166" t="str">
        <x:v>Multicarteira Outros</x:v>
      </x:c>
      <x:c r="J2082" s="166" t="str">
        <x:v>CI</x:v>
      </x:c>
      <x:c r="K2082" s="172" t="n">
        <x:v>1</x:v>
      </x:c>
      <x:c r="L2082" s="185" t="str">
        <x:v>Não classificado</x:v>
      </x:c>
    </x:row>
    <x:row r="2083">
      <x:c r="A2083" s="175" t="str">
        <x:v>40.132.398/0001-34</x:v>
      </x:c>
      <x:c r="B2083" s="166" t="str">
        <x:v>IC PRECATÓRIOS ESTADUAIS FUNDO DE INVESTIMENTO EM DIREITOS CREDITÓRIOS DE RESPONSABILIDADE LIMITADA</x:v>
      </x:c>
      <x:c r="C2083" s="188" t="n">
        <x:v>24325216.86</x:v>
      </x:c>
      <x:c r="D2083" s="166" t="str">
        <x:v>Iron Capital</x:v>
      </x:c>
      <x:c r="E2083" s="166" t="str">
        <x:f>IFERROR(INDEX('Classif Gestoras'!$H$6:$H$462,MATCH(D2083,'Classif Gestoras'!$A$6:$A$462,0)),"Não classificada")</x:f>
        <x:v>Independente</x:v>
      </x:c>
      <x:c r="F2083" s="166" t="str">
        <x:v>Oliveira Trust DTVM</x:v>
      </x:c>
      <x:c r="G2083" s="166" t="str">
        <x:v>OLIVEIRA TRUST DTVM S.A.</x:v>
      </x:c>
      <x:c r="H2083" s="166" t="str">
        <x:v>Outros</x:v>
      </x:c>
      <x:c r="I2083" s="166" t="str">
        <x:v>Poder Público</x:v>
      </x:c>
      <x:c r="J2083" s="166" t="str">
        <x:v>CI</x:v>
      </x:c>
      <x:c r="K2083" s="172" t="n">
        <x:v>5</x:v>
      </x:c>
      <x:c r="L2083" s="185" t="str">
        <x:v>Não classificado</x:v>
      </x:c>
    </x:row>
    <x:row r="2084">
      <x:c r="A2084" s="175" t="str">
        <x:v>21.205.491/0001-87</x:v>
      </x:c>
      <x:c r="B2084" s="166" t="str">
        <x:v>INOVA CREDTECH I FUNDO DE INVESTIMENTO EM DIREITOS CREDITORIOS FINANCEIRO</x:v>
      </x:c>
      <x:c r="C2084" s="188" t="n">
        <x:v>24288828.09</x:v>
      </x:c>
      <x:c r="D2084" s="166" t="str">
        <x:v>BERTHA CAPITAL</x:v>
      </x:c>
      <x:c r="E2084" s="166" t="str">
        <x:f>IFERROR(INDEX('Classif Gestoras'!$H$6:$H$462,MATCH(D2084,'Classif Gestoras'!$A$6:$A$462,0)),"Não classificada")</x:f>
        <x:v>Independente</x:v>
      </x:c>
      <x:c r="F2084" s="166" t="str">
        <x:v>MONETAR DISTRIBUIDORA DE TITUL</x:v>
      </x:c>
      <x:c r="G2084" s="166" t="str">
        <x:v>TERRA INVESTIMENTOS DISTRIBUIDORA DE TITULOS E VALORES MOBILIARIOS LTDA</x:v>
      </x:c>
      <x:c r="H2084" s="166" t="str">
        <x:v>Agro, Indústria e Comércio</x:v>
      </x:c>
      <x:c r="I2084" s="166" t="str">
        <x:v>Crédito Corporativo</x:v>
      </x:c>
      <x:c r="J2084" s="166" t="str">
        <x:v>CI</x:v>
      </x:c>
      <x:c r="K2084" s="172" t="n">
        <x:v>3</x:v>
      </x:c>
      <x:c r="L2084" s="185" t="str">
        <x:v>Não classificado</x:v>
      </x:c>
    </x:row>
    <x:row r="2085">
      <x:c r="A2085" s="175" t="str">
        <x:v>52.324.264/0001-02</x:v>
      </x:c>
      <x:c r="B2085" s="166" t="str">
        <x:v>ROOT ANGELIM FUNDO DE INVESTIMENTO EM DIREITOS CREDITÓRIOS</x:v>
      </x:c>
      <x:c r="C2085" s="188" t="n">
        <x:v>24241314.67998</x:v>
      </x:c>
      <x:c r="D2085" s="166" t="str">
        <x:v>ROOT CAPITAL</x:v>
      </x:c>
      <x:c r="E2085" s="166" t="str">
        <x:f>IFERROR(INDEX('Classif Gestoras'!$H$6:$H$462,MATCH(D2085,'Classif Gestoras'!$A$6:$A$462,0)),"Não classificada")</x:f>
        <x:v>Independente</x:v>
      </x:c>
      <x:c r="F2085" s="166" t="str">
        <x:v>BNY MELLON SERVICOS</x:v>
      </x:c>
      <x:c r="G2085" s="166" t="str">
        <x:v>BNY MELLON BANCO S.A.</x:v>
      </x:c>
      <x:c r="H2085" s="166" t="str">
        <x:v>Outros</x:v>
      </x:c>
      <x:c r="I2085" s="166" t="str">
        <x:v>Multicarteira Outros</x:v>
      </x:c>
      <x:c r="J2085" s="166" t="str">
        <x:v>CI</x:v>
      </x:c>
      <x:c r="K2085" s="172" t="n">
        <x:v>1</x:v>
      </x:c>
      <x:c r="L2085" s="185" t="str">
        <x:v>Não classificado</x:v>
      </x:c>
    </x:row>
    <x:row r="2086">
      <x:c r="A2086" s="175" t="str">
        <x:v>63.694.302/0001-27</x:v>
      </x:c>
      <x:c r="B2086" s="166" t="str">
        <x:v>ITAÚ MULTIEMPRESAS II FUNDO DE INVESTIMENTO EM DIREITOS CREDITÓRIOS RESPONSABILIDADE LIMITADA</x:v>
      </x:c>
      <x:c r="C2086" s="188" t="n">
        <x:v>24233706.09</x:v>
      </x:c>
      <x:c r="D2086" s="166" t="str">
        <x:v>Kanastra</x:v>
      </x:c>
      <x:c r="E2086" s="166" t="str">
        <x:f>IFERROR(INDEX('Classif Gestoras'!$H$6:$H$462,MATCH(D2086,'Classif Gestoras'!$A$6:$A$462,0)),"Não classificada")</x:f>
        <x:v>Independente</x:v>
      </x:c>
      <x:c r="F2086" s="166" t="str">
        <x:v>INTRAG DIST. DE TÍTU</x:v>
      </x:c>
      <x:c r="G2086" s="166" t="str">
        <x:v>LIMINE TRUST DISTRIBUIDORA DE TITULOS E VALORES MOBILIARIOS LTDA.</x:v>
      </x:c>
      <x:c r="H2086" s="166" t="str">
        <x:v>Fomento Mercantil</x:v>
      </x:c>
      <x:c r="I2086" s="166" t="str">
        <x:v>Fomento Mercantil</x:v>
      </x:c>
      <x:c r="J2086" s="166" t="str">
        <x:v>CI</x:v>
      </x:c>
      <x:c r="K2086" s="172" t="n">
        <x:v>7</x:v>
      </x:c>
      <x:c r="L2086" s="185" t="str">
        <x:v>Não classificado</x:v>
      </x:c>
    </x:row>
    <x:row r="2087">
      <x:c r="A2087" s="175" t="str">
        <x:v>32.302.142/0001-08</x:v>
      </x:c>
      <x:c r="B2087" s="166" t="str">
        <x:v>AVCALA FUNDO DE INVESTIMENTO EM DIREITOS CREDITÓRIOS</x:v>
      </x:c>
      <x:c r="C2087" s="188" t="n">
        <x:v>24187077.11</x:v>
      </x:c>
      <x:c r="D2087" s="166" t="str">
        <x:v>Solis</x:v>
      </x:c>
      <x:c r="E2087" s="166" t="str">
        <x:f>IFERROR(INDEX('Classif Gestoras'!$H$6:$H$462,MATCH(D2087,'Classif Gestoras'!$A$6:$A$462,0)),"Não classificada")</x:f>
        <x:v>Independente</x:v>
      </x:c>
      <x:c r="F2087" s="166" t="str">
        <x:v>HEMERA DTVM</x:v>
      </x:c>
      <x:c r="G2087" s="166" t="str">
        <x:v>HEMERA DISTRIBUIDORA DE TITULOS E VALORES MOBILIARIOS LTDA</x:v>
      </x:c>
      <x:c r="H2087" s="166" t="str">
        <x:v>Outros</x:v>
      </x:c>
      <x:c r="I2087" s="166" t="str">
        <x:v>Multicarteira Outros</x:v>
      </x:c>
      <x:c r="J2087" s="166" t="str">
        <x:v>CI</x:v>
      </x:c>
      <x:c r="K2087" s="172" t="n">
        <x:v>14</x:v>
      </x:c>
      <x:c r="L2087" s="185" t="str">
        <x:v>Não classificado</x:v>
      </x:c>
    </x:row>
    <x:row r="2088">
      <x:c r="A2088" s="175" t="str">
        <x:v>65.867.787/0001-39</x:v>
      </x:c>
      <x:c r="B2088" s="166" t="str">
        <x:v>FFP FUNDO DE INVESTIMENTO EM DIREITOS CREDITÓRIOS MULTISSEGMENTOS</x:v>
      </x:c>
      <x:c r="C2088" s="188" t="n">
        <x:v>24056668.86</x:v>
      </x:c>
      <x:c r="D2088" s="166" t="str">
        <x:v>Petra Capital</x:v>
      </x:c>
      <x:c r="E2088" s="166" t="str">
        <x:f>IFERROR(INDEX('Classif Gestoras'!$H$6:$H$462,MATCH(D2088,'Classif Gestoras'!$A$6:$A$462,0)),"Não classificada")</x:f>
        <x:v>Independente</x:v>
      </x:c>
      <x:c r="F2088" s="166" t="str">
        <x:v>Finaxis Corretora de Títulos e Valores Mobiliários S.A.</x:v>
      </x:c>
      <x:c r="G2088" s="166" t="str">
        <x:v>BANCO FINAXIS S.A.</x:v>
      </x:c>
      <x:c r="H2088" s="166" t="str">
        <x:v>Outros</x:v>
      </x:c>
      <x:c r="I2088" s="166" t="str">
        <x:v>Multicarteira Outros</x:v>
      </x:c>
      <x:c r="J2088" s="166" t="str">
        <x:v>CI</x:v>
      </x:c>
      <x:c r="K2088" s="172" t="n">
        <x:v>3</x:v>
      </x:c>
      <x:c r="L2088" s="185" t="str">
        <x:v>Não classificado</x:v>
      </x:c>
    </x:row>
    <x:row r="2089">
      <x:c r="A2089" s="175" t="str">
        <x:v>57.300.010/0001-60</x:v>
      </x:c>
      <x:c r="B2089" s="166" t="str">
        <x:v>LB I FUNDO DE INVESTIMENTO EM DIREITOS CREDITÓRIOS RESPONSABILIDADE LIMITADA</x:v>
      </x:c>
      <x:c r="C2089" s="188" t="n">
        <x:v>24050076.93</x:v>
      </x:c>
      <x:c r="D2089" s="166" t="str">
        <x:v>Chimera Capital Asset Management Ltda.</x:v>
      </x:c>
      <x:c r="E2089" s="166" t="str">
        <x:f>IFERROR(INDEX('Classif Gestoras'!$H$6:$H$462,MATCH(D2089,'Classif Gestoras'!$A$6:$A$462,0)),"Não classificada")</x:f>
        <x:v>Independente</x:v>
      </x:c>
      <x:c r="F2089" s="166" t="str">
        <x:v>VÓRTX DTVM</x:v>
      </x:c>
      <x:c r="G2089" s="166" t="str">
        <x:v>VORTX DISTRIBUIDORA DE TITULOS E VALORES MOBILIARIOS LTDA.</x:v>
      </x:c>
      <x:c r="H2089" s="166" t="str">
        <x:v>Outros</x:v>
      </x:c>
      <x:c r="I2089" s="166" t="str">
        <x:v>Multicarteira Outros</x:v>
      </x:c>
      <x:c r="J2089" s="166" t="str">
        <x:v>CI</x:v>
      </x:c>
      <x:c r="K2089" s="172" t="n">
        <x:v>9</x:v>
      </x:c>
      <x:c r="L2089" s="185" t="str">
        <x:v>Não classificado</x:v>
      </x:c>
    </x:row>
    <x:row r="2090">
      <x:c r="A2090" s="175" t="str">
        <x:v>33.304.615/0001-60</x:v>
      </x:c>
      <x:c r="B2090" s="166" t="str">
        <x:v>FORCE CAPITAL FUNDO DE INVESTIMENTO EM DIREITOS CREDITÓRIOS PADRONIZADO</x:v>
      </x:c>
      <x:c r="C2090" s="188" t="n">
        <x:v>24041892.96</x:v>
      </x:c>
      <x:c r="D2090" s="166" t="str">
        <x:v>GFS INVESTIMENTOS</x:v>
      </x:c>
      <x:c r="E2090" s="166" t="str">
        <x:f>IFERROR(INDEX('Classif Gestoras'!$H$6:$H$462,MATCH(D2090,'Classif Gestoras'!$A$6:$A$462,0)),"Não classificada")</x:f>
        <x:v>Independente</x:v>
      </x:c>
      <x:c r="F2090" s="166" t="str">
        <x:v>Limine Trust Distribuidora de Titulos e Valores Mobiliá</x:v>
      </x:c>
      <x:c r="G2090" s="166" t="str">
        <x:v>LIMINE TRUST DISTRIBUIDORA DE TITULOS E VALORES MOBILIARIOS LTDA.</x:v>
      </x:c>
      <x:c r="H2090" s="166" t="str">
        <x:v>Fomento Mercantil</x:v>
      </x:c>
      <x:c r="I2090" s="166" t="str">
        <x:v>Fomento Mercantil</x:v>
      </x:c>
      <x:c r="J2090" s="166" t="str">
        <x:v>CI</x:v>
      </x:c>
      <x:c r="K2090" s="172" t="n">
        <x:v>9</x:v>
      </x:c>
      <x:c r="L2090" s="185" t="str">
        <x:v>Não classificado</x:v>
      </x:c>
    </x:row>
    <x:row r="2091">
      <x:c r="A2091" s="175" t="str">
        <x:v>61.995.402/0001-68</x:v>
      </x:c>
      <x:c r="B2091" s="166" t="str">
        <x:v>MINHA CASA MINHA VIDA FUNDO DE INVESTIMENTO EM DIREITOS CREDITÓRIOS NP RESPONSABILIDADE LIMITADA</x:v>
      </x:c>
      <x:c r="C2091" s="188" t="n">
        <x:v>23992458.92</x:v>
      </x:c>
      <x:c r="D2091" s="166" t="str">
        <x:v>Bless Capital Gestora de Recursos Ltda.</x:v>
      </x:c>
      <x:c r="E2091" s="166" t="str">
        <x:f>IFERROR(INDEX('Classif Gestoras'!$H$6:$H$462,MATCH(D2091,'Classif Gestoras'!$A$6:$A$462,0)),"Não classificada")</x:f>
        <x:v>Independente</x:v>
      </x:c>
      <x:c r="F2091" s="166" t="str">
        <x:v>ID Corretora de Títulos e Valores Mobiliários S.A.</x:v>
      </x:c>
      <x:c r="G2091" s="166" t="str">
        <x:v>ID CORRETORA DE TITULOS E VALORES MOBILIARIOS S.A.</x:v>
      </x:c>
      <x:c r="H2091" s="166" t="str">
        <x:v>Fomento Mercantil</x:v>
      </x:c>
      <x:c r="I2091" s="166" t="str">
        <x:v>Fomento Mercantil</x:v>
      </x:c>
      <x:c r="J2091" s="166" t="str">
        <x:v>CI</x:v>
      </x:c>
      <x:c r="K2091" s="172" t="n">
        <x:v>8</x:v>
      </x:c>
      <x:c r="L2091" s="185" t="str">
        <x:v>Não classificado</x:v>
      </x:c>
    </x:row>
    <x:row r="2092">
      <x:c r="A2092" s="175" t="str">
        <x:v>57.889.361/0001-58</x:v>
      </x:c>
      <x:c r="B2092" s="166" t="str">
        <x:v>FRUTOS CAPITAL FUNDO DE INVESTIMENTO EM DIREITOS CREDITORIOS</x:v>
      </x:c>
      <x:c r="C2092" s="188" t="n">
        <x:v>23968549.04</x:v>
      </x:c>
      <x:c r="D2092" s="166" t="str">
        <x:v>Global Gestão e Investimentos</x:v>
      </x:c>
      <x:c r="E2092" s="166" t="str">
        <x:f>IFERROR(INDEX('Classif Gestoras'!$H$6:$H$462,MATCH(D2092,'Classif Gestoras'!$A$6:$A$462,0)),"Não classificada")</x:f>
        <x:v>Independente</x:v>
      </x:c>
      <x:c r="F2092" s="166" t="str">
        <x:v>MONETAR DISTRIBUIDORA DE TITUL</x:v>
      </x:c>
      <x:c r="G2092" s="166" t="str">
        <x:v>TERRA INVESTIMENTOS DISTRIBUIDORA DE TITULOS E VALORES MOBILIARIOS LTDA</x:v>
      </x:c>
      <x:c r="H2092" s="166" t="str">
        <x:v>Outros</x:v>
      </x:c>
      <x:c r="I2092" s="166" t="str">
        <x:v>Multicarteira Outros</x:v>
      </x:c>
      <x:c r="J2092" s="166" t="str">
        <x:v>CI</x:v>
      </x:c>
      <x:c r="K2092" s="172" t="n">
        <x:v>1</x:v>
      </x:c>
      <x:c r="L2092" s="185" t="str">
        <x:v>Não classificado</x:v>
      </x:c>
    </x:row>
    <x:row r="2093">
      <x:c r="A2093" s="175" t="str">
        <x:v>58.569.452/0001-79</x:v>
      </x:c>
      <x:c r="B2093" s="166" t="str">
        <x:v>HOPE III FUNDO DE INVESTIMENTO EM DIREITOS CREDITÓRIOS MULTISSEGMENTOS</x:v>
      </x:c>
      <x:c r="C2093" s="188" t="n">
        <x:v>23912452.869999997</x:v>
      </x:c>
      <x:c r="D2093" s="166" t="str">
        <x:v>HOPE ASSET</x:v>
      </x:c>
      <x:c r="E2093" s="166" t="str">
        <x:f>IFERROR(INDEX('Classif Gestoras'!$H$6:$H$462,MATCH(D2093,'Classif Gestoras'!$A$6:$A$462,0)),"Não classificada")</x:f>
        <x:v>Independente</x:v>
      </x:c>
      <x:c r="F2093" s="166" t="str">
        <x:v>Finaxis Corretora de Títulos e Valores Mobiliários S.A.</x:v>
      </x:c>
      <x:c r="G2093" s="166" t="str">
        <x:v>BANCO FINAXIS S.A.</x:v>
      </x:c>
      <x:c r="H2093" s="166" t="str">
        <x:v>Fomento Mercantil</x:v>
      </x:c>
      <x:c r="I2093" s="166" t="str">
        <x:v>Fomento Mercantil</x:v>
      </x:c>
      <x:c r="J2093" s="166" t="str">
        <x:v>CI</x:v>
      </x:c>
      <x:c r="K2093" s="172" t="n">
        <x:v>5</x:v>
      </x:c>
      <x:c r="L2093" s="185" t="str">
        <x:v>Não classificado</x:v>
      </x:c>
    </x:row>
    <x:row r="2094">
      <x:c r="A2094" s="175" t="str">
        <x:v>32.156.057/0001-70</x:v>
      </x:c>
      <x:c r="B2094" s="166" t="str">
        <x:v>HARVEST FUNDO DE INVESTIMENTO EM DIREITOS CREDITÓRIOS NÃO PADRONIZADOS</x:v>
      </x:c>
      <x:c r="C2094" s="188" t="n">
        <x:v>23871221.52</x:v>
      </x:c>
      <x:c r="D2094" s="166" t="str">
        <x:v>Acura Gestora de Recursos LTDA.</x:v>
      </x:c>
      <x:c r="E2094" s="166" t="str">
        <x:f>IFERROR(INDEX('Classif Gestoras'!$H$6:$H$462,MATCH(D2094,'Classif Gestoras'!$A$6:$A$462,0)),"Não classificada")</x:f>
        <x:v>Independente</x:v>
      </x:c>
      <x:c r="F2094" s="166" t="str">
        <x:v>SEFER DTVM</x:v>
      </x:c>
      <x:c r="G2094" s="166" t="str">
        <x:v>SEFER INVESTIMENTOS DISTRIBUIDORA DE TÍTULOS E VALORES MOBILIÁRIOS LTDA.</x:v>
      </x:c>
      <x:c r="H2094" s="166" t="str">
        <x:v>Outros</x:v>
      </x:c>
      <x:c r="I2094" s="166" t="str">
        <x:v>Multicarteira Outros</x:v>
      </x:c>
      <x:c r="J2094" s="166" t="str">
        <x:v>CI</x:v>
      </x:c>
      <x:c r="K2094" s="172" t="n">
        <x:v>1</x:v>
      </x:c>
      <x:c r="L2094" s="185" t="str">
        <x:v>Não classificado</x:v>
      </x:c>
    </x:row>
    <x:row r="2095">
      <x:c r="A2095" s="175" t="str">
        <x:v>37.348.481/0001-30</x:v>
      </x:c>
      <x:c r="B2095" s="166" t="str">
        <x:v>PRECATÓRIOS E CRÉDITOS JUDICIAIS LEXIS I FUNDO DE INVESTIMENTO EM DIREITOS CREDITÓRIOS NP</x:v>
      </x:c>
      <x:c r="C2095" s="188" t="n">
        <x:v>23835282.360000003</x:v>
      </x:c>
      <x:c r="D2095" s="166" t="str">
        <x:v>Versal Finance Gestão de Recursos LTDA.</x:v>
      </x:c>
      <x:c r="E2095" s="166" t="str">
        <x:f>IFERROR(INDEX('Classif Gestoras'!$H$6:$H$462,MATCH(D2095,'Classif Gestoras'!$A$6:$A$462,0)),"Não classificada")</x:f>
        <x:v>Independente</x:v>
      </x:c>
      <x:c r="F2095" s="166" t="str">
        <x:v>VÓRTX DTVM</x:v>
      </x:c>
      <x:c r="G2095" s="166" t="str">
        <x:v>VORTX DISTRIBUIDORA DE TITULOS E VALORES MOBILIARIOS LTDA.</x:v>
      </x:c>
      <x:c r="H2095" s="166" t="str">
        <x:v>Outros</x:v>
      </x:c>
      <x:c r="I2095" s="166" t="str">
        <x:v>Multicarteira Outros</x:v>
      </x:c>
      <x:c r="J2095" s="166" t="str">
        <x:v>CI</x:v>
      </x:c>
      <x:c r="K2095" s="172" t="n">
        <x:v>34</x:v>
      </x:c>
      <x:c r="L2095" s="185" t="str">
        <x:v>Não classificado</x:v>
      </x:c>
    </x:row>
    <x:row r="2096">
      <x:c r="A2096" s="175" t="str">
        <x:v>39.851.553/0001-93</x:v>
      </x:c>
      <x:c r="B2096" s="166" t="str">
        <x:v>COINVEST FUNDO DE INVESTIMENTO EM DIREITOS CREDITÓRIOS</x:v>
      </x:c>
      <x:c r="C2096" s="188" t="n">
        <x:v>23833673.34</x:v>
      </x:c>
      <x:c r="D2096" s="166" t="str">
        <x:v>TERCON ASSET MANAGEMENT</x:v>
      </x:c>
      <x:c r="E2096" s="166" t="str">
        <x:f>IFERROR(INDEX('Classif Gestoras'!$H$6:$H$462,MATCH(D2096,'Classif Gestoras'!$A$6:$A$462,0)),"Não classificada")</x:f>
        <x:v>Independente</x:v>
      </x:c>
      <x:c r="F2096" s="166" t="str">
        <x:v>Limine Trust Distribuidora de Titulos e Valores Mobiliá</x:v>
      </x:c>
      <x:c r="G2096" s="166" t="str">
        <x:v>LIMINE TRUST DISTRIBUIDORA DE TITULOS E VALORES MOBILIARIOS LTDA.</x:v>
      </x:c>
      <x:c r="H2096" s="166" t="str">
        <x:v>Outros</x:v>
      </x:c>
      <x:c r="I2096" s="166" t="str">
        <x:v>Multicarteira Outros</x:v>
      </x:c>
      <x:c r="J2096" s="166" t="str">
        <x:v>CI</x:v>
      </x:c>
      <x:c r="K2096" s="172" t="n">
        <x:v>9</x:v>
      </x:c>
      <x:c r="L2096" s="185" t="str">
        <x:v>Não classificado</x:v>
      </x:c>
    </x:row>
    <x:row r="2097">
      <x:c r="A2097" s="175" t="str">
        <x:v>32.907.653/0001-45</x:v>
      </x:c>
      <x:c r="B2097" s="166" t="str">
        <x:v>CROWN OCEAN CAPITAL IV FUNDO DE INVESTIMENTO EM DIREITOS CREDITORIOS NAO PADRONIZADOS</x:v>
      </x:c>
      <x:c r="C2097" s="188" t="n">
        <x:v>23734253.09</x:v>
      </x:c>
      <x:c r="D2097" s="166" t="str">
        <x:v>Tyr Gestao de Recursos Ltda</x:v>
      </x:c>
      <x:c r="E2097" s="166" t="str">
        <x:f>IFERROR(INDEX('Classif Gestoras'!$H$6:$H$462,MATCH(D2097,'Classif Gestoras'!$A$6:$A$462,0)),"Não classificada")</x:f>
        <x:v>Independente</x:v>
      </x:c>
      <x:c r="F2097" s="166" t="str">
        <x:v>ID Corretora de Títulos e Valores Mobiliários S.A.</x:v>
      </x:c>
      <x:c r="G2097" s="166" t="str">
        <x:v>ID CORRETORA DE TITULOS E VALORES MOBILIARIOS S.A.</x:v>
      </x:c>
      <x:c r="H2097" s="166" t="str">
        <x:v>Outros</x:v>
      </x:c>
      <x:c r="I2097" s="166" t="str">
        <x:v>Poder Público</x:v>
      </x:c>
      <x:c r="J2097" s="166" t="str">
        <x:v>CI</x:v>
      </x:c>
      <x:c r="K2097" s="172" t="n">
        <x:v>1</x:v>
      </x:c>
      <x:c r="L2097" s="185" t="str">
        <x:v>Não classificado</x:v>
      </x:c>
    </x:row>
    <x:row r="2098">
      <x:c r="A2098" s="175" t="str">
        <x:v>51.296.133/0001-98</x:v>
      </x:c>
      <x:c r="B2098" s="166" t="str">
        <x:v>BTF FUNDO DE INVESTIMENTO EM DIREITOS CREDITÓRIOS</x:v>
      </x:c>
      <x:c r="C2098" s="188" t="n">
        <x:v>23672466.16</x:v>
      </x:c>
      <x:c r="D2098" s="166" t="str">
        <x:v>Global Gestão e Investimentos</x:v>
      </x:c>
      <x:c r="E2098" s="166" t="str">
        <x:f>IFERROR(INDEX('Classif Gestoras'!$H$6:$H$462,MATCH(D2098,'Classif Gestoras'!$A$6:$A$462,0)),"Não classificada")</x:f>
        <x:v>Independente</x:v>
      </x:c>
      <x:c r="F2098" s="166" t="str">
        <x:v>MONETAR DISTRIBUIDORA DE TITUL</x:v>
      </x:c>
      <x:c r="G2098" s="166" t="str">
        <x:v>TERRA INVESTIMENTOS DISTRIBUIDORA DE TITULOS E VALORES MOBILIARIOS LTDA</x:v>
      </x:c>
      <x:c r="H2098" s="166" t="str">
        <x:v>Financeiro</x:v>
      </x:c>
      <x:c r="I2098" s="166" t="str">
        <x:v>Multicarteira Financeiro</x:v>
      </x:c>
      <x:c r="J2098" s="166" t="str">
        <x:v>CI</x:v>
      </x:c>
      <x:c r="K2098" s="172" t="n">
        <x:v>3</x:v>
      </x:c>
      <x:c r="L2098" s="185" t="str">
        <x:v>Não classificado</x:v>
      </x:c>
    </x:row>
    <x:row r="2099">
      <x:c r="A2099" s="175" t="str">
        <x:v>45.064.053/0001-04</x:v>
      </x:c>
      <x:c r="B2099" s="166" t="str">
        <x:v>JGP SPECIAL SITUATIONS MASTER II FIDC DE RESPONSABILIDADE LIMITADA</x:v>
      </x:c>
      <x:c r="C2099" s="188" t="n">
        <x:v>23616027.19</x:v>
      </x:c>
      <x:c r="D2099" s="166" t="str">
        <x:v>JGP Gestão de Crédito LTDA.</x:v>
      </x:c>
      <x:c r="E2099" s="166" t="str">
        <x:f>IFERROR(INDEX('Classif Gestoras'!$H$6:$H$462,MATCH(D2099,'Classif Gestoras'!$A$6:$A$462,0)),"Não classificada")</x:f>
        <x:v>Independente</x:v>
      </x:c>
      <x:c r="F2099" s="166" t="str">
        <x:v>BANCO DAYCOVAL S/A</x:v>
      </x:c>
      <x:c r="G2099" s="166" t="str">
        <x:v>BANCO DAYCOVAL S.A.</x:v>
      </x:c>
      <x:c r="H2099" s="166" t="str">
        <x:v>Outros</x:v>
      </x:c>
      <x:c r="I2099" s="166" t="str">
        <x:v>Multicarteira Outros</x:v>
      </x:c>
      <x:c r="J2099" s="166" t="str">
        <x:v>CI</x:v>
      </x:c>
      <x:c r="K2099" s="172" t="n">
        <x:v>10</x:v>
      </x:c>
      <x:c r="L2099" s="185" t="str">
        <x:v>Não classificado</x:v>
      </x:c>
    </x:row>
    <x:row r="2100">
      <x:c r="A2100" s="175" t="str">
        <x:v>44.415.022/0001-98</x:v>
      </x:c>
      <x:c r="B2100" s="166" t="str">
        <x:v>QUARTZO ALPHA FUNDO DE INVESTIMENTO EM DIREITOS CREDITÓRIOS NÃO - PADRONIZADOS</x:v>
      </x:c>
      <x:c r="C2100" s="188" t="n">
        <x:v>23585040.11</x:v>
      </x:c>
      <x:c r="D2100" s="166" t="str">
        <x:v>ASSET MANAGEMENT</x:v>
      </x:c>
      <x:c r="E2100" s="166" t="str">
        <x:f>IFERROR(INDEX('Classif Gestoras'!$H$6:$H$462,MATCH(D2100,'Classif Gestoras'!$A$6:$A$462,0)),"Não classificada")</x:f>
        <x:v>Independente</x:v>
      </x:c>
      <x:c r="F2100" s="166" t="str">
        <x:v>AZUMI DISTRIBUIDORA DE TÍTULOS E VALORES MOBILIÁRIOS LT</x:v>
      </x:c>
      <x:c r="G2100" s="166" t="str">
        <x:v>AZUMI DISTRIBUIDORA DE TÍTULOS E VALORES MOBILIÁRIOS LTDA.</x:v>
      </x:c>
      <x:c r="H2100" s="166" t="str">
        <x:v>Outros</x:v>
      </x:c>
      <x:c r="I2100" s="166" t="str">
        <x:v>Poder Público</x:v>
      </x:c>
      <x:c r="J2100" s="166" t="str">
        <x:v>CI</x:v>
      </x:c>
      <x:c r="K2100" s="172" t="n">
        <x:v>5</x:v>
      </x:c>
      <x:c r="L2100" s="185" t="str">
        <x:v>Não classificado</x:v>
      </x:c>
    </x:row>
    <x:row r="2101">
      <x:c r="A2101" s="175" t="str">
        <x:v>52.258.509/0001-32</x:v>
      </x:c>
      <x:c r="B2101" s="166" t="str">
        <x:v>MEDAL FUNDO DE INVESTIMENTO EM DIREITOS CREDITÓRIOS INDUSTRIAIS DE RESPONSABILIDADE ILIMITADA</x:v>
      </x:c>
      <x:c r="C2101" s="188" t="n">
        <x:v>23475116.97</x:v>
      </x:c>
      <x:c r="D2101" s="166" t="str">
        <x:v>EuQueroInvestir Gestão de Recursos Ltda.</x:v>
      </x:c>
      <x:c r="E2101" s="166" t="str">
        <x:f>IFERROR(INDEX('Classif Gestoras'!$H$6:$H$462,MATCH(D2101,'Classif Gestoras'!$A$6:$A$462,0)),"Não classificada")</x:f>
        <x:v>Independente</x:v>
      </x:c>
      <x:c r="F2101" s="166" t="str">
        <x:v>BANCO DAYCOVAL S/A</x:v>
      </x:c>
      <x:c r="G2101" s="166" t="str">
        <x:v>BANCO DAYCOVAL S.A.</x:v>
      </x:c>
      <x:c r="H2101" s="166" t="str">
        <x:v>Agro, Indústria e Comércio</x:v>
      </x:c>
      <x:c r="I2101" s="166" t="str">
        <x:v>Recebíveis Comerciais</x:v>
      </x:c>
      <x:c r="J2101" s="166" t="str">
        <x:v>CI</x:v>
      </x:c>
      <x:c r="K2101" s="172" t="n">
        <x:v>5</x:v>
      </x:c>
      <x:c r="L2101" s="185" t="str">
        <x:v>Não classificado</x:v>
      </x:c>
    </x:row>
    <x:row r="2102">
      <x:c r="A2102" s="175" t="str">
        <x:v>59.912.498/0001-01</x:v>
      </x:c>
      <x:c r="B2102" s="166" t="str">
        <x:v>INNOVAR FUNDO DE INVESTIMENTO EM DIREITOS CREDITORIOS RESPONSABILIDADE LIMITADA</x:v>
      </x:c>
      <x:c r="C2102" s="188" t="n">
        <x:v>23404405.06</x:v>
      </x:c>
      <x:c r="D2102" s="166" t="str">
        <x:v>Renova Gestora</x:v>
      </x:c>
      <x:c r="E2102" s="166" t="str">
        <x:f>IFERROR(INDEX('Classif Gestoras'!$H$6:$H$462,MATCH(D2102,'Classif Gestoras'!$A$6:$A$462,0)),"Não classificada")</x:f>
        <x:v>Independente</x:v>
      </x:c>
      <x:c r="F2102" s="166" t="str">
        <x:v>MONETAR DISTRIBUIDORA DE TITUL</x:v>
      </x:c>
      <x:c r="G2102" s="166" t="str">
        <x:v>TERRA INVESTIMENTOS DISTRIBUIDORA DE TITULOS E VALORES MOBILIARIOS LTDA</x:v>
      </x:c>
      <x:c r="H2102" s="166" t="str">
        <x:v>Outros</x:v>
      </x:c>
      <x:c r="I2102" s="166" t="str">
        <x:v>Multicarteira Outros</x:v>
      </x:c>
      <x:c r="J2102" s="166" t="str">
        <x:v>CI</x:v>
      </x:c>
      <x:c r="K2102" s="172" t="n">
        <x:v>4</x:v>
      </x:c>
      <x:c r="L2102" s="185" t="str">
        <x:v>Não classificado</x:v>
      </x:c>
    </x:row>
    <x:row r="2103">
      <x:c r="A2103" s="175" t="str">
        <x:v>41.687.533/0001-70</x:v>
      </x:c>
      <x:c r="B2103" s="166" t="str">
        <x:v>BRCARD FUNDO DE INVESTIMENTO EM DIREITOS CREDITÓRIOS</x:v>
      </x:c>
      <x:c r="C2103" s="188" t="n">
        <x:v>23379882.65</x:v>
      </x:c>
      <x:c r="D2103" s="166" t="str">
        <x:v>Libertas Asset</x:v>
      </x:c>
      <x:c r="E2103" s="166" t="str">
        <x:f>IFERROR(INDEX('Classif Gestoras'!$H$6:$H$462,MATCH(D2103,'Classif Gestoras'!$A$6:$A$462,0)),"Não classificada")</x:f>
        <x:v>Independente</x:v>
      </x:c>
      <x:c r="F2103" s="166" t="str">
        <x:v>ACTUAL DTVM</x:v>
      </x:c>
      <x:c r="G2103" s="166" t="str">
        <x:v>TRUSTEE DISTRIBUIDORA DE TITULOS E VALORES MOBILIARIOS LTDA.</x:v>
      </x:c>
      <x:c r="H2103" s="166" t="str">
        <x:v>Fomento Mercantil</x:v>
      </x:c>
      <x:c r="I2103" s="166" t="str">
        <x:v>Fomento Mercantil</x:v>
      </x:c>
      <x:c r="J2103" s="166" t="str">
        <x:v>CI</x:v>
      </x:c>
      <x:c r="K2103" s="172" t="n">
        <x:v>13</x:v>
      </x:c>
      <x:c r="L2103" s="185" t="str">
        <x:v>Não classificado</x:v>
      </x:c>
    </x:row>
    <x:row r="2104">
      <x:c r="A2104" s="175" t="str">
        <x:v>57.310.139/0001-59</x:v>
      </x:c>
      <x:c r="B2104" s="166" t="str">
        <x:v>LC III FUNDO DE INVESTIMENTO EM DIREITOS CREDITÓRIOS DE RESPONSABILIDADE LIMITADA</x:v>
      </x:c>
      <x:c r="C2104" s="188" t="n">
        <x:v>23316516.15</x:v>
      </x:c>
      <x:c r="D2104" s="166" t="str">
        <x:v>TAG Investimentos</x:v>
      </x:c>
      <x:c r="E2104" s="166" t="str">
        <x:f>IFERROR(INDEX('Classif Gestoras'!$H$6:$H$462,MATCH(D2104,'Classif Gestoras'!$A$6:$A$462,0)),"Não classificada")</x:f>
        <x:v>Independente</x:v>
      </x:c>
      <x:c r="F2104" s="166" t="str">
        <x:v>VÓRTX DTVM</x:v>
      </x:c>
      <x:c r="G2104" s="166" t="str">
        <x:v>Não identificado</x:v>
      </x:c>
      <x:c r="H2104" s="166" t="str">
        <x:v>Outros</x:v>
      </x:c>
      <x:c r="I2104" s="166" t="str">
        <x:v>Multicarteira Outros</x:v>
      </x:c>
      <x:c r="J2104" s="166" t="str">
        <x:v>CI</x:v>
      </x:c>
      <x:c r="K2104" s="172" t="n">
        <x:v>31</x:v>
      </x:c>
      <x:c r="L2104" s="185" t="str">
        <x:v>Não classificado</x:v>
      </x:c>
    </x:row>
    <x:row r="2105">
      <x:c r="A2105" s="175" t="str">
        <x:v>30.828.789/0001-34</x:v>
      </x:c>
      <x:c r="B2105" s="166" t="str">
        <x:v>DIPLOMATA FUNDO DE INVESTIMENTO EM DIREITOS CREDITÓRIOS</x:v>
      </x:c>
      <x:c r="C2105" s="188" t="n">
        <x:v>23281764.369999997</x:v>
      </x:c>
      <x:c r="D2105" s="166" t="str">
        <x:v>TRUSTEE DTVM</x:v>
      </x:c>
      <x:c r="E2105" s="166" t="str">
        <x:f>IFERROR(INDEX('Classif Gestoras'!$H$6:$H$462,MATCH(D2105,'Classif Gestoras'!$A$6:$A$462,0)),"Não classificada")</x:f>
        <x:v>Independente</x:v>
      </x:c>
      <x:c r="F2105" s="166" t="str">
        <x:v>TRUSTEE DTVM</x:v>
      </x:c>
      <x:c r="G2105" s="166" t="str">
        <x:v>TRUSTEE DISTRIBUIDORA DE TITULOS E VALORES MOBILIARIOS LTDA.</x:v>
      </x:c>
      <x:c r="H2105" s="166" t="str">
        <x:v>Outros</x:v>
      </x:c>
      <x:c r="I2105" s="166" t="str">
        <x:v>Multicarteira Outros</x:v>
      </x:c>
      <x:c r="J2105" s="166" t="str">
        <x:v>CI</x:v>
      </x:c>
      <x:c r="K2105" s="172" t="n">
        <x:v>1</x:v>
      </x:c>
      <x:c r="L2105" s="185" t="str">
        <x:v>Não classificado</x:v>
      </x:c>
    </x:row>
    <x:row r="2106">
      <x:c r="A2106" s="175" t="str">
        <x:v>61.591.473/0001-03</x:v>
      </x:c>
      <x:c r="B2106" s="166" t="str">
        <x:v>WH1 FUNDO DE INVESTIMENTO EM DIREITOS CREDITÓRIOS RESPONSABILIDADE LIMITADA</x:v>
      </x:c>
      <x:c r="C2106" s="188" t="n">
        <x:v>23211071.66</x:v>
      </x:c>
      <x:c r="D2106" s="166" t="str">
        <x:v>Redwood Asset Management</x:v>
      </x:c>
      <x:c r="E2106" s="166" t="str">
        <x:f>IFERROR(INDEX('Classif Gestoras'!$H$6:$H$462,MATCH(D2106,'Classif Gestoras'!$A$6:$A$462,0)),"Não classificada")</x:f>
        <x:v>Independente</x:v>
      </x:c>
      <x:c r="F2106" s="166" t="str">
        <x:v>PLANNER CV</x:v>
      </x:c>
      <x:c r="G2106" s="166" t="str">
        <x:v>PLANNER CORRETORA DE VALORES S.A.</x:v>
      </x:c>
      <x:c r="H2106" s="166" t="str">
        <x:v>Financeiro</x:v>
      </x:c>
      <x:c r="I2106" s="166" t="str">
        <x:v>Crédito Consignado</x:v>
      </x:c>
      <x:c r="J2106" s="166" t="str">
        <x:v>CI</x:v>
      </x:c>
      <x:c r="K2106" s="172" t="n">
        <x:v>7</x:v>
      </x:c>
      <x:c r="L2106" s="185" t="str">
        <x:v>Não classificado</x:v>
      </x:c>
    </x:row>
    <x:row r="2107">
      <x:c r="A2107" s="175" t="str">
        <x:v>56.823.795/0001-92</x:v>
      </x:c>
      <x:c r="B2107" s="166" t="str">
        <x:v>RHB CRED FUNDO DE INVESTIMENTO EM DIREITOS CREDITÓRIOS DE RESPONSABILIDADE LIMITADA</x:v>
      </x:c>
      <x:c r="C2107" s="188" t="n">
        <x:v>23129230.2</x:v>
      </x:c>
      <x:c r="D2107" s="166" t="str">
        <x:v>Catálise Investimentos</x:v>
      </x:c>
      <x:c r="E2107" s="166" t="str">
        <x:f>IFERROR(INDEX('Classif Gestoras'!$H$6:$H$462,MATCH(D2107,'Classif Gestoras'!$A$6:$A$462,0)),"Não classificada")</x:f>
        <x:v>Independente</x:v>
      </x:c>
      <x:c r="F2107" s="166" t="str">
        <x:v>CATÁLISE DTVM</x:v>
      </x:c>
      <x:c r="G2107" s="166" t="str">
        <x:v>BANCO DAYCOVAL S.A.</x:v>
      </x:c>
      <x:c r="H2107" s="166" t="str">
        <x:v>Agro, Indústria e Comércio</x:v>
      </x:c>
      <x:c r="I2107" s="166" t="str">
        <x:v>Recebíveis Comerciais</x:v>
      </x:c>
      <x:c r="J2107" s="166" t="str">
        <x:v>CI</x:v>
      </x:c>
      <x:c r="K2107" s="172" t="n">
        <x:v>1</x:v>
      </x:c>
      <x:c r="L2107" s="185" t="str">
        <x:v>Não classificado</x:v>
      </x:c>
    </x:row>
    <x:row r="2108">
      <x:c r="A2108" s="175" t="str">
        <x:v>44.585.499/0001-11</x:v>
      </x:c>
      <x:c r="B2108" s="166" t="str">
        <x:v>ECOFINANCE FUNDO DE INVESTIMENTO EM DIREITOS CREDITÓRIOS</x:v>
      </x:c>
      <x:c r="C2108" s="188" t="n">
        <x:v>23089025.959999997</x:v>
      </x:c>
      <x:c r="D2108" s="166" t="str">
        <x:v>ASSET MANAGEMENT</x:v>
      </x:c>
      <x:c r="E2108" s="166" t="str">
        <x:f>IFERROR(INDEX('Classif Gestoras'!$H$6:$H$462,MATCH(D2108,'Classif Gestoras'!$A$6:$A$462,0)),"Não classificada")</x:f>
        <x:v>Independente</x:v>
      </x:c>
      <x:c r="F2108" s="166" t="str">
        <x:v>AZUMI DISTRIBUIDORA DE TÍTULOS E VALORES MOBILIÁRIOS LT</x:v>
      </x:c>
      <x:c r="G2108" s="166" t="str">
        <x:v>AZUMI DISTRIBUIDORA DE TÍTULOS E VALORES MOBILIÁRIOS LTDA.</x:v>
      </x:c>
      <x:c r="H2108" s="166" t="str">
        <x:v>Outros</x:v>
      </x:c>
      <x:c r="I2108" s="166" t="str">
        <x:v>Multicarteira Outros</x:v>
      </x:c>
      <x:c r="J2108" s="166" t="str">
        <x:v>CI</x:v>
      </x:c>
      <x:c r="K2108" s="172" t="n">
        <x:v>8</x:v>
      </x:c>
      <x:c r="L2108" s="185" t="str">
        <x:v>Não classificado</x:v>
      </x:c>
    </x:row>
    <x:row r="2109">
      <x:c r="A2109" s="175" t="str">
        <x:v>48.181.381/0001-89</x:v>
      </x:c>
      <x:c r="B2109" s="166" t="str">
        <x:v>WAAS FUNDO DE INVESTIMENTO EM DIREITOS CREDITÓRIOS DE RESPONSABILIDADE LIMITADA</x:v>
      </x:c>
      <x:c r="C2109" s="188" t="n">
        <x:v>23080434.58</x:v>
      </x:c>
      <x:c r="D2109" s="166" t="str">
        <x:v>Lakewood Investment Management</x:v>
      </x:c>
      <x:c r="E2109" s="166" t="str">
        <x:f>IFERROR(INDEX('Classif Gestoras'!$H$6:$H$462,MATCH(D2109,'Classif Gestoras'!$A$6:$A$462,0)),"Não classificada")</x:f>
        <x:v>Independente</x:v>
      </x:c>
      <x:c r="F2109" s="166" t="str">
        <x:v>BANCO DAYCOVAL S/A</x:v>
      </x:c>
      <x:c r="G2109" s="166" t="str">
        <x:v>BANCO DAYCOVAL S.A.</x:v>
      </x:c>
      <x:c r="H2109" s="166" t="str">
        <x:v>Outros</x:v>
      </x:c>
      <x:c r="I2109" s="166" t="str">
        <x:v>Multicarteira Outros</x:v>
      </x:c>
      <x:c r="J2109" s="166" t="str">
        <x:v>CI</x:v>
      </x:c>
      <x:c r="K2109" s="172" t="n">
        <x:v>31</x:v>
      </x:c>
      <x:c r="L2109" s="185" t="str">
        <x:v>Não classificado</x:v>
      </x:c>
    </x:row>
    <x:row r="2110">
      <x:c r="A2110" s="175" t="str">
        <x:v>55.512.068/0001-41</x:v>
      </x:c>
      <x:c r="B2110" s="166" t="str">
        <x:v>PRIMER CAPITAL FUNDO DE INVESTIMENTO EM DIREITOS CREDITÓRIOS RESPONSABILIDADE LIMITADA</x:v>
      </x:c>
      <x:c r="C2110" s="188" t="n">
        <x:v>23000289.58</x:v>
      </x:c>
      <x:c r="D2110" s="166" t="str">
        <x:v>Catálise Investimentos</x:v>
      </x:c>
      <x:c r="E2110" s="166" t="str">
        <x:f>IFERROR(INDEX('Classif Gestoras'!$H$6:$H$462,MATCH(D2110,'Classif Gestoras'!$A$6:$A$462,0)),"Não classificada")</x:f>
        <x:v>Independente</x:v>
      </x:c>
      <x:c r="F2110" s="166" t="str">
        <x:v>FIDD DISTRIBUIDORA DE TITULOS E VALORES MOBILIARIOS LTD</x:v>
      </x:c>
      <x:c r="G2110" s="166" t="str">
        <x:v>FIDD DISTRIBUIDORA DE TITULOS E VALORES MOBILIARIOS LTDA.</x:v>
      </x:c>
      <x:c r="H2110" s="166" t="str">
        <x:v>Agro, Indústria e Comércio</x:v>
      </x:c>
      <x:c r="I2110" s="166" t="str">
        <x:v>Recebíveis Comerciais</x:v>
      </x:c>
      <x:c r="J2110" s="166" t="str">
        <x:v>CI</x:v>
      </x:c>
      <x:c r="K2110" s="172" t="n">
        <x:v>9</x:v>
      </x:c>
      <x:c r="L2110" s="185" t="str">
        <x:v>Não classificado</x:v>
      </x:c>
    </x:row>
    <x:row r="2111">
      <x:c r="A2111" s="175" t="str">
        <x:v>59.905.357/0001-61</x:v>
      </x:c>
      <x:c r="B2111" s="166" t="str">
        <x:v>HR DIGITAL FUNDO DE INVESTIMENTO EM DIREITOS CREDITÓRIOS</x:v>
      </x:c>
      <x:c r="C2111" s="188" t="n">
        <x:v>22989039.4</x:v>
      </x:c>
      <x:c r="D2111" s="166" t="str">
        <x:v>Solis</x:v>
      </x:c>
      <x:c r="E2111" s="166" t="str">
        <x:f>IFERROR(INDEX('Classif Gestoras'!$H$6:$H$462,MATCH(D2111,'Classif Gestoras'!$A$6:$A$462,0)),"Não classificada")</x:f>
        <x:v>Independente</x:v>
      </x:c>
      <x:c r="F2111" s="166" t="str">
        <x:v>HEMERA DTVM</x:v>
      </x:c>
      <x:c r="G2111" s="166" t="str">
        <x:v>HEMERA DISTRIBUIDORA DE TITULOS E VALORES MOBILIARIOS LTDA</x:v>
      </x:c>
      <x:c r="H2111" s="166" t="str">
        <x:v>Fomento Mercantil</x:v>
      </x:c>
      <x:c r="I2111" s="166" t="str">
        <x:v>Fomento Mercantil</x:v>
      </x:c>
      <x:c r="J2111" s="166" t="str">
        <x:v>CI</x:v>
      </x:c>
      <x:c r="K2111" s="172" t="n">
        <x:v>9</x:v>
      </x:c>
      <x:c r="L2111" s="185" t="str">
        <x:v>Não classificado</x:v>
      </x:c>
    </x:row>
    <x:row r="2112">
      <x:c r="A2112" s="175" t="str">
        <x:v>32.517.659/0001-06</x:v>
      </x:c>
      <x:c r="B2112" s="166" t="str">
        <x:v>AMB FUNDO DE INVESTIMENTOS EM DIREITOS CREDITÓRIOS NÃO PADRONIZADOS</x:v>
      </x:c>
      <x:c r="C2112" s="188" t="n">
        <x:v>22879419.359999996</x:v>
      </x:c>
      <x:c r="D2112" s="166" t="str">
        <x:v>TERCON ASSET MANAGEMENT</x:v>
      </x:c>
      <x:c r="E2112" s="166" t="str">
        <x:f>IFERROR(INDEX('Classif Gestoras'!$H$6:$H$462,MATCH(D2112,'Classif Gestoras'!$A$6:$A$462,0)),"Não classificada")</x:f>
        <x:v>Independente</x:v>
      </x:c>
      <x:c r="F2112" s="166" t="str">
        <x:v>Singulare</x:v>
      </x:c>
      <x:c r="G2112" s="166" t="str">
        <x:v>QI CORRETORA DE TÍTULOS E VALORES MOBILIÁRIOS S.A.</x:v>
      </x:c>
      <x:c r="H2112" s="166" t="str">
        <x:v>Fomento Mercantil</x:v>
      </x:c>
      <x:c r="I2112" s="166" t="str">
        <x:v>Fomento Mercantil</x:v>
      </x:c>
      <x:c r="J2112" s="166" t="str">
        <x:v>CI</x:v>
      </x:c>
      <x:c r="K2112" s="172" t="n">
        <x:v>3</x:v>
      </x:c>
      <x:c r="L2112" s="185" t="str">
        <x:v>Não classificado</x:v>
      </x:c>
    </x:row>
    <x:row r="2113">
      <x:c r="A2113" s="175" t="str">
        <x:v>58.059.847/0001-21</x:v>
      </x:c>
      <x:c r="B2113" s="166" t="str">
        <x:v>FUNDO DE INVESTIMENTO EM DIREITOS CREDITÓRIOS VOITER CONSIGNADO III - RESPONSABILIDADE LIMITADA</x:v>
      </x:c>
      <x:c r="C2113" s="188" t="n">
        <x:v>22829279.83</x:v>
      </x:c>
      <x:c r="D2113" s="166" t="str">
        <x:v>Blue Solutions</x:v>
      </x:c>
      <x:c r="E2113" s="166" t="str">
        <x:f>IFERROR(INDEX('Classif Gestoras'!$H$6:$H$462,MATCH(D2113,'Classif Gestoras'!$A$6:$A$462,0)),"Não classificada")</x:f>
        <x:v>Independente</x:v>
      </x:c>
      <x:c r="F2113" s="166" t="str">
        <x:v>Banvox DTVM</x:v>
      </x:c>
      <x:c r="G2113" s="166" t="str">
        <x:v>BANVOX DISTRIBUIDORA DE TITULOS E VALORES MOBILIARIOS LTDA</x:v>
      </x:c>
      <x:c r="H2113" s="166" t="str">
        <x:v>Financeiro</x:v>
      </x:c>
      <x:c r="I2113" s="166" t="str">
        <x:v>Crédito Consignado</x:v>
      </x:c>
      <x:c r="J2113" s="166" t="str">
        <x:v>CI</x:v>
      </x:c>
      <x:c r="K2113" s="172" t="n">
        <x:v>1</x:v>
      </x:c>
      <x:c r="L2113" s="185" t="str">
        <x:v>Não classificado</x:v>
      </x:c>
    </x:row>
    <x:row r="2114">
      <x:c r="A2114" s="175" t="str">
        <x:v>65.281.804/0001-51</x:v>
      </x:c>
      <x:c r="B2114" s="166" t="str">
        <x:v>FLEETER AUTO FUNDO DE INVESTIMENTO EM DIREITOS CREDITÓRIOS MERCANTIS - RESPONSABILIDADE LIMITADA</x:v>
      </x:c>
      <x:c r="C2114" s="188" t="n">
        <x:v>22820391.18</x:v>
      </x:c>
      <x:c r="D2114" s="166" t="str">
        <x:v>Horizonte Capital Gestão de Investimentos LTDA</x:v>
      </x:c>
      <x:c r="E2114" s="166" t="str">
        <x:f>IFERROR(INDEX('Classif Gestoras'!$H$6:$H$462,MATCH(D2114,'Classif Gestoras'!$A$6:$A$462,0)),"Não classificada")</x:f>
        <x:v>Independente</x:v>
      </x:c>
      <x:c r="F2114" s="166" t="str">
        <x:v>FIDD DISTRIBUIDORA DE TITULOS E VALORES MOBILIARIOS LTD</x:v>
      </x:c>
      <x:c r="G2114" s="166" t="str">
        <x:v>FIDD DISTRIBUIDORA DE TITULOS E VALORES MOBILIARIOS LTDA.</x:v>
      </x:c>
      <x:c r="H2114" s="166" t="str">
        <x:v>Agro, Indústria e Comércio</x:v>
      </x:c>
      <x:c r="I2114" s="166" t="str">
        <x:v>Recebíveis Comerciais</x:v>
      </x:c>
      <x:c r="J2114" s="166" t="str">
        <x:v>CI</x:v>
      </x:c>
      <x:c r="K2114" s="172" t="n">
        <x:v>7</x:v>
      </x:c>
      <x:c r="L2114" s="185" t="str">
        <x:v>Não classificado</x:v>
      </x:c>
    </x:row>
    <x:row r="2115">
      <x:c r="A2115" s="175" t="str">
        <x:v>49.950.299/0001-34</x:v>
      </x:c>
      <x:c r="B2115" s="166" t="str">
        <x:v>CAPITAL HILL FUNDO DE INVESTIMENTO EM DIREITOS CREDITÓRIOS RESPONSABILIDADE LIMITADA</x:v>
      </x:c>
      <x:c r="C2115" s="188" t="n">
        <x:v>22819636.61</x:v>
      </x:c>
      <x:c r="D2115" s="166" t="str">
        <x:v>Libertas Asset</x:v>
      </x:c>
      <x:c r="E2115" s="166" t="str">
        <x:f>IFERROR(INDEX('Classif Gestoras'!$H$6:$H$462,MATCH(D2115,'Classif Gestoras'!$A$6:$A$462,0)),"Não classificada")</x:f>
        <x:v>Independente</x:v>
      </x:c>
      <x:c r="F2115" s="166" t="str">
        <x:v>ACTUAL DTVM</x:v>
      </x:c>
      <x:c r="G2115" s="166" t="str">
        <x:v>LASTRO RDV DTVM LTDA</x:v>
      </x:c>
      <x:c r="H2115" s="166" t="str">
        <x:v>Fomento Mercantil</x:v>
      </x:c>
      <x:c r="I2115" s="166" t="str">
        <x:v>Fomento Mercantil</x:v>
      </x:c>
      <x:c r="J2115" s="166" t="str">
        <x:v>CI</x:v>
      </x:c>
      <x:c r="K2115" s="172" t="n">
        <x:v>4</x:v>
      </x:c>
      <x:c r="L2115" s="185" t="str">
        <x:v>Não classificado</x:v>
      </x:c>
    </x:row>
    <x:row r="2116">
      <x:c r="A2116" s="175" t="str">
        <x:v>42.866.957/0001-65</x:v>
      </x:c>
      <x:c r="B2116" s="166" t="str">
        <x:v>PATAGONIA FUNDO DE INVESTIMENTO EM DIREITOS CREDITÓRIOS NÃO PADRONIZADOS</x:v>
      </x:c>
      <x:c r="C2116" s="188" t="n">
        <x:v>22813654.839999996</x:v>
      </x:c>
      <x:c r="D2116" s="166" t="str">
        <x:v>RJ Gestão de Recursos Ltda.</x:v>
      </x:c>
      <x:c r="E2116" s="166" t="str">
        <x:f>IFERROR(INDEX('Classif Gestoras'!$H$6:$H$462,MATCH(D2116,'Classif Gestoras'!$A$6:$A$462,0)),"Não classificada")</x:f>
        <x:v>Independente</x:v>
      </x:c>
      <x:c r="F2116" s="166" t="str">
        <x:v>Singulare</x:v>
      </x:c>
      <x:c r="G2116" s="166" t="str">
        <x:v>QI CORRETORA DE TÍTULOS E VALORES MOBILIÁRIOS S.A.</x:v>
      </x:c>
      <x:c r="H2116" s="166" t="str">
        <x:v>Fomento Mercantil</x:v>
      </x:c>
      <x:c r="I2116" s="166" t="str">
        <x:v>Fomento Mercantil</x:v>
      </x:c>
      <x:c r="J2116" s="166" t="str">
        <x:v>CI</x:v>
      </x:c>
      <x:c r="K2116" s="172" t="n">
        <x:v>12</x:v>
      </x:c>
      <x:c r="L2116" s="185" t="str">
        <x:v>Não classificado</x:v>
      </x:c>
    </x:row>
    <x:row r="2117">
      <x:c r="A2117" s="175" t="str">
        <x:v>17.213.074/0001-09</x:v>
      </x:c>
      <x:c r="B2117" s="166" t="str">
        <x:v>CENTRUM FUNDO DE INVESTIMENTO EM DIREITOS CREDITORIOS</x:v>
      </x:c>
      <x:c r="C2117" s="188" t="n">
        <x:v>22728166.770000003</x:v>
      </x:c>
      <x:c r="D2117" s="166" t="str">
        <x:v>TERCON ASSET MANAGEMENT</x:v>
      </x:c>
      <x:c r="E2117" s="166" t="str">
        <x:f>IFERROR(INDEX('Classif Gestoras'!$H$6:$H$462,MATCH(D2117,'Classif Gestoras'!$A$6:$A$462,0)),"Não classificada")</x:f>
        <x:v>Independente</x:v>
      </x:c>
      <x:c r="F2117" s="166" t="str">
        <x:v>Singulare</x:v>
      </x:c>
      <x:c r="G2117" s="166" t="str">
        <x:v>QI CORRETORA DE TÍTULOS E VALORES MOBILIÁRIOS S.A.</x:v>
      </x:c>
      <x:c r="H2117" s="166" t="str">
        <x:v>Fomento Mercantil</x:v>
      </x:c>
      <x:c r="I2117" s="166" t="str">
        <x:v>Fomento Mercantil</x:v>
      </x:c>
      <x:c r="J2117" s="166" t="str">
        <x:v>CI</x:v>
      </x:c>
      <x:c r="K2117" s="172" t="n">
        <x:v>4</x:v>
      </x:c>
      <x:c r="L2117" s="185" t="str">
        <x:v>Não classificado</x:v>
      </x:c>
    </x:row>
    <x:row r="2118">
      <x:c r="A2118" s="175" t="str">
        <x:v>21.053.703/0001-58</x:v>
      </x:c>
      <x:c r="B2118" s="166" t="str">
        <x:v>CEDRO FIDC MULTISSETORIAL NP</x:v>
      </x:c>
      <x:c r="C2118" s="188" t="n">
        <x:v>22713639.42</x:v>
      </x:c>
      <x:c r="D2118" s="166" t="str">
        <x:v>TERCON ASSET MANAGEMENT</x:v>
      </x:c>
      <x:c r="E2118" s="166" t="str">
        <x:f>IFERROR(INDEX('Classif Gestoras'!$H$6:$H$462,MATCH(D2118,'Classif Gestoras'!$A$6:$A$462,0)),"Não classificada")</x:f>
        <x:v>Independente</x:v>
      </x:c>
      <x:c r="F2118" s="166" t="str">
        <x:v>Singulare</x:v>
      </x:c>
      <x:c r="G2118" s="166" t="str">
        <x:v>QI CORRETORA DE TÍTULOS E VALORES MOBILIÁRIOS S.A.</x:v>
      </x:c>
      <x:c r="H2118" s="166" t="str">
        <x:v>Fomento Mercantil</x:v>
      </x:c>
      <x:c r="I2118" s="166" t="str">
        <x:v>Fomento Mercantil</x:v>
      </x:c>
      <x:c r="J2118" s="166" t="str">
        <x:v>CI</x:v>
      </x:c>
      <x:c r="K2118" s="172" t="n">
        <x:v>4</x:v>
      </x:c>
      <x:c r="L2118" s="185" t="str">
        <x:v>Não classificado</x:v>
      </x:c>
    </x:row>
    <x:row r="2119">
      <x:c r="A2119" s="175" t="str">
        <x:v>48.169.685/0001-20</x:v>
      </x:c>
      <x:c r="B2119" s="166" t="str">
        <x:v>EOS FUNDO DE INVESTIMENTO EM DIREITOS CREDITÓRIOS WH</x:v>
      </x:c>
      <x:c r="C2119" s="188" t="n">
        <x:v>22694807.68</x:v>
      </x:c>
      <x:c r="D2119" s="166" t="str">
        <x:v>Menestys</x:v>
      </x:c>
      <x:c r="E2119" s="166" t="str">
        <x:f>IFERROR(INDEX('Classif Gestoras'!$H$6:$H$462,MATCH(D2119,'Classif Gestoras'!$A$6:$A$462,0)),"Não classificada")</x:f>
        <x:v>Independente</x:v>
      </x:c>
      <x:c r="F2119" s="166" t="str">
        <x:v>Limine Trust Distribuidora de Titulos e Valores Mobiliá</x:v>
      </x:c>
      <x:c r="G2119" s="166" t="str">
        <x:v>LIMINE TRUST DISTRIBUIDORA DE TITULOS E VALORES MOBILIARIOS LTDA.</x:v>
      </x:c>
      <x:c r="H2119" s="166" t="str">
        <x:v>Outros</x:v>
      </x:c>
      <x:c r="I2119" s="166" t="str">
        <x:v>Multicarteira Outros</x:v>
      </x:c>
      <x:c r="J2119" s="166" t="str">
        <x:v>CI</x:v>
      </x:c>
      <x:c r="K2119" s="172" t="n">
        <x:v>16</x:v>
      </x:c>
      <x:c r="L2119" s="185" t="str">
        <x:v>Não classificado</x:v>
      </x:c>
    </x:row>
    <x:row r="2120">
      <x:c r="A2120" s="175" t="str">
        <x:v>52.356.145/0001-23</x:v>
      </x:c>
      <x:c r="B2120" s="166" t="str">
        <x:v>TX CAPITAL FUNDO DE INVESTIMENTO EM DIREITOS CREDITÓRIOS NÃO PADRONIZADOS</x:v>
      </x:c>
      <x:c r="C2120" s="188" t="n">
        <x:v>22661885.31</x:v>
      </x:c>
      <x:c r="D2120" s="166" t="str">
        <x:v>QUAESTUS GESTÃO DE INVESTIMENTOS LTDA.</x:v>
      </x:c>
      <x:c r="E2120" s="166" t="str">
        <x:f>IFERROR(INDEX('Classif Gestoras'!$H$6:$H$462,MATCH(D2120,'Classif Gestoras'!$A$6:$A$462,0)),"Não classificada")</x:f>
        <x:v>Independente</x:v>
      </x:c>
      <x:c r="F2120" s="166" t="str">
        <x:v>Singulare</x:v>
      </x:c>
      <x:c r="G2120" s="166" t="str">
        <x:v>QI CORRETORA DE TÍTULOS E VALORES MOBILIÁRIOS S.A.</x:v>
      </x:c>
      <x:c r="H2120" s="166" t="str">
        <x:v>Fomento Mercantil</x:v>
      </x:c>
      <x:c r="I2120" s="166" t="str">
        <x:v>Fomento Mercantil</x:v>
      </x:c>
      <x:c r="J2120" s="166" t="str">
        <x:v>CI</x:v>
      </x:c>
      <x:c r="K2120" s="172" t="n">
        <x:v>4</x:v>
      </x:c>
      <x:c r="L2120" s="185" t="str">
        <x:v>Não classificado</x:v>
      </x:c>
    </x:row>
    <x:row r="2121">
      <x:c r="A2121" s="175" t="str">
        <x:v>29.243.005/0001-27</x:v>
      </x:c>
      <x:c r="B2121" s="166" t="str">
        <x:v>MULTIFRIGO FUNDO DE INVESTIMENTO EM DIREITOS CREDITÓRIOS</x:v>
      </x:c>
      <x:c r="C2121" s="188" t="n">
        <x:v>22610902.800000004</x:v>
      </x:c>
      <x:c r="D2121" s="166" t="str">
        <x:v>Multiplica Capital</x:v>
      </x:c>
      <x:c r="E2121" s="166" t="str">
        <x:f>IFERROR(INDEX('Classif Gestoras'!$H$6:$H$462,MATCH(D2121,'Classif Gestoras'!$A$6:$A$462,0)),"Não classificada")</x:f>
        <x:v>Independente</x:v>
      </x:c>
      <x:c r="F2121" s="166" t="str">
        <x:v>PLANNER CV</x:v>
      </x:c>
      <x:c r="G2121" s="166" t="str">
        <x:v>PLANNER CORRETORA DE VALORES S.A.</x:v>
      </x:c>
      <x:c r="H2121" s="166" t="str">
        <x:v>Outros</x:v>
      </x:c>
      <x:c r="I2121" s="166" t="str">
        <x:v>Multicarteira Outros</x:v>
      </x:c>
      <x:c r="J2121" s="166" t="str">
        <x:v>CI</x:v>
      </x:c>
      <x:c r="K2121" s="172" t="n">
        <x:v>4</x:v>
      </x:c>
      <x:c r="L2121" s="185" t="str">
        <x:v>Não classificado</x:v>
      </x:c>
    </x:row>
    <x:row r="2122">
      <x:c r="A2122" s="175" t="str">
        <x:v>64.011.100/0001-04</x:v>
      </x:c>
      <x:c r="B2122" s="166" t="str">
        <x:v>NTZ ALPHA 2 FUNDO DE INVESTIMENTO EM DIREITOS CREDITÓRIOS - RESPONSABILIDADE LIMITADA</x:v>
      </x:c>
      <x:c r="C2122" s="188" t="n">
        <x:v>22584605.29</x:v>
      </x:c>
      <x:c r="D2122" s="166" t="str">
        <x:v>Netz Asset</x:v>
      </x:c>
      <x:c r="E2122" s="166" t="str">
        <x:f>IFERROR(INDEX('Classif Gestoras'!$H$6:$H$462,MATCH(D2122,'Classif Gestoras'!$A$6:$A$462,0)),"Não classificada")</x:f>
        <x:v>Independente</x:v>
      </x:c>
      <x:c r="F2122" s="166" t="str">
        <x:v>MONETAR DISTRIBUIDORA DE TITUL</x:v>
      </x:c>
      <x:c r="G2122" s="166" t="str">
        <x:v>TERRA INVESTIMENTOS DISTRIBUIDORA DE TITULOS E VALORES MOBILIARIOS LTDA</x:v>
      </x:c>
      <x:c r="H2122" s="166" t="str">
        <x:v>Outros</x:v>
      </x:c>
      <x:c r="I2122" s="166" t="str">
        <x:v>Multicarteira Outros</x:v>
      </x:c>
      <x:c r="J2122" s="166" t="str">
        <x:v>CI</x:v>
      </x:c>
      <x:c r="K2122" s="172" t="n">
        <x:v>6</x:v>
      </x:c>
      <x:c r="L2122" s="185" t="str">
        <x:v>Não classificado</x:v>
      </x:c>
    </x:row>
    <x:row r="2123">
      <x:c r="A2123" s="175" t="str">
        <x:v>30.418.801/0001-32</x:v>
      </x:c>
      <x:c r="B2123" s="166" t="str">
        <x:v>CLAIMS II FUNDO DE INVESTIMENTO EM DIREITOS CREDITÓRIOS</x:v>
      </x:c>
      <x:c r="C2123" s="188" t="n">
        <x:v>22566290.6</x:v>
      </x:c>
      <x:c r="D2123" s="166" t="str">
        <x:v>Vista Real Estate</x:v>
      </x:c>
      <x:c r="E2123" s="166" t="str">
        <x:f>IFERROR(INDEX('Classif Gestoras'!$H$6:$H$462,MATCH(D2123,'Classif Gestoras'!$A$6:$A$462,0)),"Não classificada")</x:f>
        <x:v>Independente</x:v>
      </x:c>
      <x:c r="F2123" s="166" t="str">
        <x:v>VÓRTX DTVM</x:v>
      </x:c>
      <x:c r="G2123" s="166" t="str">
        <x:v>VORTX DISTRIBUIDORA DE TITULOS E VALORES MOBILIARIOS LTDA.</x:v>
      </x:c>
      <x:c r="H2123" s="166" t="str">
        <x:v>Outros</x:v>
      </x:c>
      <x:c r="I2123" s="166" t="str">
        <x:v>Multicarteira Outros</x:v>
      </x:c>
      <x:c r="J2123" s="166" t="str">
        <x:v>CI</x:v>
      </x:c>
      <x:c r="K2123" s="172" t="n">
        <x:v>3</x:v>
      </x:c>
      <x:c r="L2123" s="185" t="str">
        <x:v>Não classificado</x:v>
      </x:c>
    </x:row>
    <x:row r="2124">
      <x:c r="A2124" s="175" t="str">
        <x:v>62.433.229/0001-77</x:v>
      </x:c>
      <x:c r="B2124" s="166" t="str">
        <x:v>REDWOOD CC FUNDO DE INVESTIMENTO EM DIREITOS CREDITÓRIOS RESPONSABILIDADE LIMITADA</x:v>
      </x:c>
      <x:c r="C2124" s="188" t="n">
        <x:v>22565408.21</x:v>
      </x:c>
      <x:c r="D2124" s="166" t="str">
        <x:v>Redwood Asset Management</x:v>
      </x:c>
      <x:c r="E2124" s="166" t="str">
        <x:f>IFERROR(INDEX('Classif Gestoras'!$H$6:$H$462,MATCH(D2124,'Classif Gestoras'!$A$6:$A$462,0)),"Não classificada")</x:f>
        <x:v>Independente</x:v>
      </x:c>
      <x:c r="F2124" s="166" t="str">
        <x:v>PLANNER CV</x:v>
      </x:c>
      <x:c r="G2124" s="166" t="str">
        <x:v>PLANNER CORRETORA DE VALORES S.A.</x:v>
      </x:c>
      <x:c r="H2124" s="166" t="str">
        <x:v>Financeiro</x:v>
      </x:c>
      <x:c r="I2124" s="166" t="str">
        <x:v>Crédito Pessoal</x:v>
      </x:c>
      <x:c r="J2124" s="166" t="str">
        <x:v>CI</x:v>
      </x:c>
      <x:c r="K2124" s="172" t="n">
        <x:v>5</x:v>
      </x:c>
      <x:c r="L2124" s="185" t="str">
        <x:v>Não classificado</x:v>
      </x:c>
    </x:row>
    <x:row r="2125">
      <x:c r="A2125" s="175" t="str">
        <x:v>47.846.982/0001-09</x:v>
      </x:c>
      <x:c r="B2125" s="166" t="str">
        <x:v>FS TATUÍ FUNDO DE INVESTIMENTO EM DIREITOS CREDITÓRIOS</x:v>
      </x:c>
      <x:c r="C2125" s="188" t="n">
        <x:v>22558295.190000005</x:v>
      </x:c>
      <x:c r="D2125" s="166" t="str">
        <x:v>TERCON ASSET MANAGEMENT</x:v>
      </x:c>
      <x:c r="E2125" s="166" t="str">
        <x:f>IFERROR(INDEX('Classif Gestoras'!$H$6:$H$462,MATCH(D2125,'Classif Gestoras'!$A$6:$A$462,0)),"Não classificada")</x:f>
        <x:v>Independente</x:v>
      </x:c>
      <x:c r="F2125" s="166" t="str">
        <x:v>Singulare</x:v>
      </x:c>
      <x:c r="G2125" s="166" t="str">
        <x:v>QI CORRETORA DE TÍTULOS E VALORES MOBILIÁRIOS S.A.</x:v>
      </x:c>
      <x:c r="H2125" s="166" t="str">
        <x:v>Fomento Mercantil</x:v>
      </x:c>
      <x:c r="I2125" s="166" t="str">
        <x:v>Fomento Mercantil</x:v>
      </x:c>
      <x:c r="J2125" s="166" t="str">
        <x:v>CI</x:v>
      </x:c>
      <x:c r="K2125" s="172" t="n">
        <x:v>3</x:v>
      </x:c>
      <x:c r="L2125" s="185" t="str">
        <x:v>Não classificado</x:v>
      </x:c>
    </x:row>
    <x:row r="2126">
      <x:c r="A2126" s="175" t="str">
        <x:v>57.533.260/0001-40</x:v>
      </x:c>
      <x:c r="B2126" s="166" t="str">
        <x:v>ONZE I FUNDO DE INVESTIMENTO EM DIREITOS CREDITÓRIOS - RESPONSABILIDADE LIMITADA</x:v>
      </x:c>
      <x:c r="C2126" s="188" t="n">
        <x:v>22482210.43062</x:v>
      </x:c>
      <x:c r="D2126" s="166" t="str">
        <x:v>Onze Investimentos</x:v>
      </x:c>
      <x:c r="E2126" s="166" t="str">
        <x:f>IFERROR(INDEX('Classif Gestoras'!$H$6:$H$462,MATCH(D2126,'Classif Gestoras'!$A$6:$A$462,0)),"Não classificada")</x:f>
        <x:v>Independente</x:v>
      </x:c>
      <x:c r="F2126" s="166" t="str">
        <x:v>Singulare</x:v>
      </x:c>
      <x:c r="G2126" s="166" t="str">
        <x:v>QI CORRETORA DE TÍTULOS E VALORES MOBILIÁRIOS S.A.</x:v>
      </x:c>
      <x:c r="H2126" s="166" t="str">
        <x:v>Financeiro</x:v>
      </x:c>
      <x:c r="I2126" s="166" t="str">
        <x:v>Crédito Pessoal</x:v>
      </x:c>
      <x:c r="J2126" s="166" t="str">
        <x:v>CI</x:v>
      </x:c>
      <x:c r="K2126" s="172" t="n">
        <x:v>5</x:v>
      </x:c>
      <x:c r="L2126" s="185" t="str">
        <x:v>Não classificado</x:v>
      </x:c>
    </x:row>
    <x:row r="2127">
      <x:c r="A2127" s="175" t="str">
        <x:v>59.550.323/0001-00</x:v>
      </x:c>
      <x:c r="B2127" s="166" t="str">
        <x:v>AGRO30 A FUNDO DE INVESTIMENTO EM DIREITOS CREDITÓRIOS DE RESPONSABILIDADE LIMITADA</x:v>
      </x:c>
      <x:c r="C2127" s="188" t="n">
        <x:v>22448894.160000004</x:v>
      </x:c>
      <x:c r="D2127" s="166" t="str">
        <x:v>DAYCOVAL ASSET MANAG</x:v>
      </x:c>
      <x:c r="E2127" s="166" t="str">
        <x:f>IFERROR(INDEX('Classif Gestoras'!$H$6:$H$462,MATCH(D2127,'Classif Gestoras'!$A$6:$A$462,0)),"Não classificada")</x:f>
        <x:v>Ligada a banco</x:v>
      </x:c>
      <x:c r="F2127" s="166" t="str">
        <x:v>BANCO DAYCOVAL S/A</x:v>
      </x:c>
      <x:c r="G2127" s="166" t="str">
        <x:v>BANCO DAYCOVAL S.A.</x:v>
      </x:c>
      <x:c r="H2127" s="166" t="str">
        <x:v>Outros</x:v>
      </x:c>
      <x:c r="I2127" s="166" t="str">
        <x:v>Multicarteira Outros</x:v>
      </x:c>
      <x:c r="J2127" s="166" t="str">
        <x:v>CI</x:v>
      </x:c>
      <x:c r="K2127" s="172" t="n">
        <x:v>10</x:v>
      </x:c>
      <x:c r="L2127" s="185" t="str">
        <x:v>Não classificado</x:v>
      </x:c>
    </x:row>
    <x:row r="2128">
      <x:c r="A2128" s="175" t="str">
        <x:v>62.135.021/0001-71</x:v>
      </x:c>
      <x:c r="B2128" s="166" t="str">
        <x:v>APROVOU FUNDO DE INVESTIMENTO EM DIREITOS CREDITÓRIOS - RESPONSABILIDADE LIMITADA</x:v>
      </x:c>
      <x:c r="C2128" s="188" t="n">
        <x:v>22431466.65</x:v>
      </x:c>
      <x:c r="D2128" s="166" t="str">
        <x:v>RB Investimentos Gestão de Recursos</x:v>
      </x:c>
      <x:c r="E2128" s="166" t="str">
        <x:f>IFERROR(INDEX('Classif Gestoras'!$H$6:$H$462,MATCH(D2128,'Classif Gestoras'!$A$6:$A$462,0)),"Não classificada")</x:f>
        <x:v>Independente</x:v>
      </x:c>
      <x:c r="F2128" s="166" t="str">
        <x:v>HEMERA DTVM</x:v>
      </x:c>
      <x:c r="G2128" s="166" t="str">
        <x:v>HEMERA DISTRIBUIDORA DE TITULOS E VALORES MOBILIARIOS LTDA</x:v>
      </x:c>
      <x:c r="H2128" s="166" t="str">
        <x:v>Agro, Indústria e Comércio</x:v>
      </x:c>
      <x:c r="I2128" s="166" t="str">
        <x:v>Infraestrutura</x:v>
      </x:c>
      <x:c r="J2128" s="166" t="str">
        <x:v>CI</x:v>
      </x:c>
      <x:c r="K2128" s="172" t="n">
        <x:v>25</x:v>
      </x:c>
      <x:c r="L2128" s="185" t="str">
        <x:v>Não classificado</x:v>
      </x:c>
    </x:row>
    <x:row r="2129">
      <x:c r="A2129" s="175" t="str">
        <x:v>09.220.444/0001-07</x:v>
      </x:c>
      <x:c r="B2129" s="166" t="str">
        <x:v>DELTA FUNDO DE INVESTIMENTO EM DIREITOS CREDITÓRIOS MULTISEGMENTOS</x:v>
      </x:c>
      <x:c r="C2129" s="188" t="n">
        <x:v>22418119.619999997</x:v>
      </x:c>
      <x:c r="D2129" s="166" t="str">
        <x:v>Petra Capital</x:v>
      </x:c>
      <x:c r="E2129" s="166" t="str">
        <x:f>IFERROR(INDEX('Classif Gestoras'!$H$6:$H$462,MATCH(D2129,'Classif Gestoras'!$A$6:$A$462,0)),"Não classificada")</x:f>
        <x:v>Independente</x:v>
      </x:c>
      <x:c r="F2129" s="166" t="str">
        <x:v>Finaxis Corretora de Títulos e Valores Mobiliários S.A.</x:v>
      </x:c>
      <x:c r="G2129" s="166" t="str">
        <x:v>BANCO FINAXIS S.A.</x:v>
      </x:c>
      <x:c r="H2129" s="166" t="str">
        <x:v>Fomento Mercantil</x:v>
      </x:c>
      <x:c r="I2129" s="166" t="str">
        <x:v>Fomento Mercantil</x:v>
      </x:c>
      <x:c r="J2129" s="166" t="str">
        <x:v>CI</x:v>
      </x:c>
      <x:c r="K2129" s="172" t="n">
        <x:v>2</x:v>
      </x:c>
      <x:c r="L2129" s="185" t="str">
        <x:v>Não classificado</x:v>
      </x:c>
    </x:row>
    <x:row r="2130">
      <x:c r="A2130" s="175" t="str">
        <x:v>55.685.665/0001-78</x:v>
      </x:c>
      <x:c r="B2130" s="166" t="str">
        <x:v>IRONWOOD CONSIG MULTI I FUNDO DE INVESTIMENTO EM DIREITOS CREDITÓRIOS DE RESPONSABILIDADE LIMITADA</x:v>
      </x:c>
      <x:c r="C2130" s="188" t="n">
        <x:v>22364081.339999996</x:v>
      </x:c>
      <x:c r="D2130" s="166" t="str">
        <x:v>Brave Asset</x:v>
      </x:c>
      <x:c r="E2130" s="166" t="str">
        <x:f>IFERROR(INDEX('Classif Gestoras'!$H$6:$H$462,MATCH(D2130,'Classif Gestoras'!$A$6:$A$462,0)),"Não classificada")</x:f>
        <x:v>Independente</x:v>
      </x:c>
      <x:c r="F2130" s="166" t="str">
        <x:v>BANCO DAYCOVAL S/A</x:v>
      </x:c>
      <x:c r="G2130" s="166" t="str">
        <x:v>BANCO DAYCOVAL S.A.</x:v>
      </x:c>
      <x:c r="H2130" s="166" t="str">
        <x:v>Financeiro</x:v>
      </x:c>
      <x:c r="I2130" s="166" t="str">
        <x:v>Multicarteira Financeiro</x:v>
      </x:c>
      <x:c r="J2130" s="166" t="str">
        <x:v>CI</x:v>
      </x:c>
      <x:c r="K2130" s="172" t="n">
        <x:v>43</x:v>
      </x:c>
      <x:c r="L2130" s="185" t="str">
        <x:v>Não classificado</x:v>
      </x:c>
    </x:row>
    <x:row r="2131">
      <x:c r="A2131" s="175" t="str">
        <x:v>25.295.530/0001-35</x:v>
      </x:c>
      <x:c r="B2131" s="166" t="str">
        <x:v>HIGH YIELD DISTRESSED FUNDO DE INVESTIMENTO EM DIREITOS CREDITÓRIOS NÃO PADRONIZADOS - RESPON. LIMIT</x:v>
      </x:c>
      <x:c r="C2131" s="188" t="n">
        <x:v>22363443.64</x:v>
      </x:c>
      <x:c r="D2131" s="166" t="str">
        <x:v>BLP CAPITAL</x:v>
      </x:c>
      <x:c r="E2131" s="166" t="str">
        <x:f>IFERROR(INDEX('Classif Gestoras'!$H$6:$H$462,MATCH(D2131,'Classif Gestoras'!$A$6:$A$462,0)),"Não classificada")</x:f>
        <x:v>Independente</x:v>
      </x:c>
      <x:c r="F2131" s="166" t="str">
        <x:v>TRUSTEE DTVM</x:v>
      </x:c>
      <x:c r="G2131" s="166" t="str">
        <x:v>TRUSTEE DISTRIBUIDORA DE TITULOS E VALORES MOBILIARIOS LTDA.</x:v>
      </x:c>
      <x:c r="H2131" s="166" t="str">
        <x:v>Fomento Mercantil</x:v>
      </x:c>
      <x:c r="I2131" s="166" t="str">
        <x:v>Fomento Mercantil</x:v>
      </x:c>
      <x:c r="J2131" s="166" t="str">
        <x:v>CI</x:v>
      </x:c>
      <x:c r="K2131" s="172" t="n">
        <x:v>2</x:v>
      </x:c>
      <x:c r="L2131" s="185" t="str">
        <x:v>Não classificado</x:v>
      </x:c>
    </x:row>
    <x:row r="2132">
      <x:c r="A2132" s="175" t="str">
        <x:v>60.315.422/0001-88</x:v>
      </x:c>
      <x:c r="B2132" s="166" t="str">
        <x:v>CLASSE ÚNICA DE COTAS DO INARI FIDC DE RESPONSABILIDADE LIMITADA</x:v>
      </x:c>
      <x:c r="C2132" s="188" t="n">
        <x:v>22357176.02</x:v>
      </x:c>
      <x:c r="D2132" s="166" t="str">
        <x:v>Polo Capital Internacional</x:v>
      </x:c>
      <x:c r="E2132" s="166" t="str">
        <x:f>IFERROR(INDEX('Classif Gestoras'!$H$6:$H$462,MATCH(D2132,'Classif Gestoras'!$A$6:$A$462,0)),"Não classificada")</x:f>
        <x:v>Independente</x:v>
      </x:c>
      <x:c r="F2132" s="166" t="str">
        <x:v>BANCO DAYCOVAL S/A</x:v>
      </x:c>
      <x:c r="G2132" s="166" t="str">
        <x:v>BANCO DAYCOVAL S.A.</x:v>
      </x:c>
      <x:c r="H2132" s="166" t="str">
        <x:v>Outros</x:v>
      </x:c>
      <x:c r="I2132" s="166" t="str">
        <x:v>Multicarteira Outros</x:v>
      </x:c>
      <x:c r="J2132" s="166" t="str">
        <x:v>CI</x:v>
      </x:c>
      <x:c r="K2132" s="172" t="n">
        <x:v>12</x:v>
      </x:c>
      <x:c r="L2132" s="185" t="str">
        <x:v>Não classificado</x:v>
      </x:c>
    </x:row>
    <x:row r="2133">
      <x:c r="A2133" s="175" t="str">
        <x:v>55.636.084/0001-46</x:v>
      </x:c>
      <x:c r="B2133" s="166" t="str">
        <x:v>EXPLORER FUNDO DE INVESTIMENTO EM DIREITOS CREDITÓRIOS - RESPONSABILIDADE LIMITADA</x:v>
      </x:c>
      <x:c r="C2133" s="188" t="n">
        <x:v>22307624.00001</x:v>
      </x:c>
      <x:c r="D2133" s="166" t="str">
        <x:v>Nero Capital</x:v>
      </x:c>
      <x:c r="E2133" s="166" t="str">
        <x:f>IFERROR(INDEX('Classif Gestoras'!$H$6:$H$462,MATCH(D2133,'Classif Gestoras'!$A$6:$A$462,0)),"Não classificada")</x:f>
        <x:v>Independente</x:v>
      </x:c>
      <x:c r="F2133" s="166" t="str">
        <x:v>Singulare</x:v>
      </x:c>
      <x:c r="G2133" s="166" t="str">
        <x:v>QI CORRETORA DE TÍTULOS E VALORES MOBILIÁRIOS S.A.</x:v>
      </x:c>
      <x:c r="H2133" s="166" t="str">
        <x:v>Fomento Mercantil</x:v>
      </x:c>
      <x:c r="I2133" s="166" t="str">
        <x:v>Fomento Mercantil</x:v>
      </x:c>
      <x:c r="J2133" s="166" t="str">
        <x:v>CI</x:v>
      </x:c>
      <x:c r="K2133" s="172" t="n">
        <x:v>92</x:v>
      </x:c>
      <x:c r="L2133" s="185" t="str">
        <x:v>Não classificado</x:v>
      </x:c>
    </x:row>
    <x:row r="2134">
      <x:c r="A2134" s="175" t="str">
        <x:v>42.133.756/0001-59</x:v>
      </x:c>
      <x:c r="B2134" s="166" t="str">
        <x:v>CNPJ 42133756000159</x:v>
      </x:c>
      <x:c r="C2134" s="188" t="n">
        <x:v>22281431.44</x:v>
      </x:c>
      <x:c r="D2134" s="166" t="str">
        <x:v>Ghia Asset Management</x:v>
      </x:c>
      <x:c r="E2134" s="166" t="str">
        <x:f>IFERROR(INDEX('Classif Gestoras'!$H$6:$H$462,MATCH(D2134,'Classif Gestoras'!$A$6:$A$462,0)),"Não classificada")</x:f>
        <x:v>Independente</x:v>
      </x:c>
      <x:c r="F2134" s="166" t="str">
        <x:v>VÓRTX DTVM</x:v>
      </x:c>
      <x:c r="G2134" s="166" t="str">
        <x:v>Não identificado</x:v>
      </x:c>
      <x:c r="H2134" s="166" t="str">
        <x:v>Agro, Indústria e Comércio</x:v>
      </x:c>
      <x:c r="I2134" s="166" t="str">
        <x:v>Recebíveis Comerciais</x:v>
      </x:c>
      <x:c r="J2134" s="166" t="str">
        <x:v>CI</x:v>
      </x:c>
      <x:c r="K2134" s="172"/>
      <x:c r="L2134" s="185" t="str">
        <x:v>Não classificado</x:v>
      </x:c>
    </x:row>
    <x:row r="2135">
      <x:c r="A2135" s="175" t="str">
        <x:v>31.881.619/0001-86</x:v>
      </x:c>
      <x:c r="B2135" s="166" t="str">
        <x:v>OPTACRED FUNDO DE INVESTIMENTO EM DIREITOS CREDITÓRIOS</x:v>
      </x:c>
      <x:c r="C2135" s="188" t="n">
        <x:v>22272280.02</x:v>
      </x:c>
      <x:c r="D2135" s="166" t="str">
        <x:v>TERCON ASSET MANAGEMENT</x:v>
      </x:c>
      <x:c r="E2135" s="166" t="str">
        <x:f>IFERROR(INDEX('Classif Gestoras'!$H$6:$H$462,MATCH(D2135,'Classif Gestoras'!$A$6:$A$462,0)),"Não classificada")</x:f>
        <x:v>Independente</x:v>
      </x:c>
      <x:c r="F2135" s="166" t="str">
        <x:v>Singulare</x:v>
      </x:c>
      <x:c r="G2135" s="166" t="str">
        <x:v>QI CORRETORA DE TÍTULOS E VALORES MOBILIÁRIOS S.A.</x:v>
      </x:c>
      <x:c r="H2135" s="166" t="str">
        <x:v>Fomento Mercantil</x:v>
      </x:c>
      <x:c r="I2135" s="166" t="str">
        <x:v>Fomento Mercantil</x:v>
      </x:c>
      <x:c r="J2135" s="166" t="str">
        <x:v>CI</x:v>
      </x:c>
      <x:c r="K2135" s="172" t="n">
        <x:v>5</x:v>
      </x:c>
      <x:c r="L2135" s="185" t="str">
        <x:v>Não classificado</x:v>
      </x:c>
    </x:row>
    <x:row r="2136">
      <x:c r="A2136" s="175" t="str">
        <x:v>61.270.134/0001-17</x:v>
      </x:c>
      <x:c r="B2136" s="166" t="str">
        <x:v>SANTA CATARINA FUNDO DE INVESTIMENTO EM DIREITOS CREDITÓRIOS - RESPONSABILIDADE LIMITADA</x:v>
      </x:c>
      <x:c r="C2136" s="188" t="n">
        <x:v>22260473.69</x:v>
      </x:c>
      <x:c r="D2136" s="166" t="str">
        <x:v>Galápagos</x:v>
      </x:c>
      <x:c r="E2136" s="166" t="str">
        <x:f>IFERROR(INDEX('Classif Gestoras'!$H$6:$H$462,MATCH(D2136,'Classif Gestoras'!$A$6:$A$462,0)),"Não classificada")</x:f>
        <x:v>Independente</x:v>
      </x:c>
      <x:c r="F2136" s="166" t="str">
        <x:v>VÓRTX DTVM</x:v>
      </x:c>
      <x:c r="G2136" s="166" t="str">
        <x:v>VORTX DISTRIBUIDORA DE TITULOS E VALORES MOBILIARIOS LTDA.</x:v>
      </x:c>
      <x:c r="H2136" s="166" t="str">
        <x:v>Fomento Mercantil</x:v>
      </x:c>
      <x:c r="I2136" s="166" t="str">
        <x:v>Fomento Mercantil</x:v>
      </x:c>
      <x:c r="J2136" s="166" t="str">
        <x:v>CI</x:v>
      </x:c>
      <x:c r="K2136" s="172" t="n">
        <x:v>5</x:v>
      </x:c>
      <x:c r="L2136" s="185" t="str">
        <x:v>Não classificado</x:v>
      </x:c>
    </x:row>
    <x:row r="2137">
      <x:c r="A2137" s="175" t="str">
        <x:v>60.373.765/0001-07</x:v>
      </x:c>
      <x:c r="B2137" s="166" t="str">
        <x:v>CONSORTI PRECATÓRIOS FIDC DE ATIVOS JUDICIAIS DE RESP LIMITADA</x:v>
      </x:c>
      <x:c r="C2137" s="188" t="n">
        <x:v>22136824.74</x:v>
      </x:c>
      <x:c r="D2137" s="166" t="str">
        <x:v>Vista Real Estate</x:v>
      </x:c>
      <x:c r="E2137" s="166" t="str">
        <x:f>IFERROR(INDEX('Classif Gestoras'!$H$6:$H$462,MATCH(D2137,'Classif Gestoras'!$A$6:$A$462,0)),"Não classificada")</x:f>
        <x:v>Independente</x:v>
      </x:c>
      <x:c r="F2137" s="166" t="str">
        <x:v>BRL TRUST DTVM</x:v>
      </x:c>
      <x:c r="G2137" s="166" t="str">
        <x:v>BRL TRUST DISTRIBUIDORA DE TITULOS E VALORES MOBILIARIOS S.A.</x:v>
      </x:c>
      <x:c r="H2137" s="166" t="str">
        <x:v>Outros</x:v>
      </x:c>
      <x:c r="I2137" s="166" t="str">
        <x:v>Poder Público</x:v>
      </x:c>
      <x:c r="J2137" s="166" t="str">
        <x:v>CI</x:v>
      </x:c>
      <x:c r="K2137" s="172" t="n">
        <x:v>4</x:v>
      </x:c>
      <x:c r="L2137" s="185" t="str">
        <x:v>Não classificado</x:v>
      </x:c>
    </x:row>
    <x:row r="2138">
      <x:c r="A2138" s="175" t="str">
        <x:v>14.283.986/0001-69</x:v>
      </x:c>
      <x:c r="B2138" s="166" t="str">
        <x:v>FRAM CAPITAL NANSEN II FUNDO DE INVESTIMENTO EM DIREITOS CREDITÓRIOS - NÃO PADRONIZADO</x:v>
      </x:c>
      <x:c r="C2138" s="188" t="n">
        <x:v>22062692.65</x:v>
      </x:c>
      <x:c r="D2138" s="166" t="str">
        <x:v>Fram Capital Gestão de Ativos Ltda</x:v>
      </x:c>
      <x:c r="E2138" s="166" t="str">
        <x:f>IFERROR(INDEX('Classif Gestoras'!$H$6:$H$462,MATCH(D2138,'Classif Gestoras'!$A$6:$A$462,0)),"Não classificada")</x:f>
        <x:v>Independente</x:v>
      </x:c>
      <x:c r="F2138" s="166" t="str">
        <x:v>OSLO DTVM S. A.</x:v>
      </x:c>
      <x:c r="G2138" s="166" t="str">
        <x:v>OSLO CAPITAL DISTRIBUIDORA DE TITULOS E VALORES MOBILIARIOS S.A.</x:v>
      </x:c>
      <x:c r="H2138" s="166" t="str">
        <x:v>Fomento Mercantil</x:v>
      </x:c>
      <x:c r="I2138" s="166" t="str">
        <x:v>Fomento Mercantil</x:v>
      </x:c>
      <x:c r="J2138" s="166" t="str">
        <x:v>CI</x:v>
      </x:c>
      <x:c r="K2138" s="172" t="n">
        <x:v>9</x:v>
      </x:c>
      <x:c r="L2138" s="185" t="str">
        <x:v>Não classificado</x:v>
      </x:c>
    </x:row>
    <x:row r="2139">
      <x:c r="A2139" s="175" t="str">
        <x:v>55.412.790/0001-04</x:v>
      </x:c>
      <x:c r="B2139" s="166" t="str">
        <x:v>BROOKLYN FUNDO DE INVESTIMENTO EM DIREITOS CREDITÓRIOS RESPONSABILIDADE LIMITADA</x:v>
      </x:c>
      <x:c r="C2139" s="188" t="n">
        <x:v>22053472.61</x:v>
      </x:c>
      <x:c r="D2139" s="166" t="str">
        <x:v>Bless Capital Gestora de Recursos Ltda.</x:v>
      </x:c>
      <x:c r="E2139" s="166" t="str">
        <x:f>IFERROR(INDEX('Classif Gestoras'!$H$6:$H$462,MATCH(D2139,'Classif Gestoras'!$A$6:$A$462,0)),"Não classificada")</x:f>
        <x:v>Independente</x:v>
      </x:c>
      <x:c r="F2139" s="166" t="str">
        <x:v>ID Corretora de Títulos e Valores Mobiliários S.A.</x:v>
      </x:c>
      <x:c r="G2139" s="166" t="str">
        <x:v>ID CORRETORA DE TITULOS E VALORES MOBILIARIOS S.A.</x:v>
      </x:c>
      <x:c r="H2139" s="166" t="str">
        <x:v>Outros</x:v>
      </x:c>
      <x:c r="I2139" s="166" t="str">
        <x:v>Multicarteira Outros</x:v>
      </x:c>
      <x:c r="J2139" s="166" t="str">
        <x:v>CI</x:v>
      </x:c>
      <x:c r="K2139" s="172" t="n">
        <x:v>149</x:v>
      </x:c>
      <x:c r="L2139" s="185" t="str">
        <x:v>Não classificado</x:v>
      </x:c>
    </x:row>
    <x:row r="2140">
      <x:c r="A2140" s="175" t="str">
        <x:v>42.518.335/0001-46</x:v>
      </x:c>
      <x:c r="B2140" s="166" t="str">
        <x:v>AFA CREDIT OPPORTUNITY FUNDO DE INVESTIMENTO EM DIREITOS CREDITORIOS</x:v>
      </x:c>
      <x:c r="C2140" s="188" t="n">
        <x:v>22034775.869999997</x:v>
      </x:c>
      <x:c r="D2140" s="166" t="str">
        <x:v>D3 Capital</x:v>
      </x:c>
      <x:c r="E2140" s="166" t="str">
        <x:f>IFERROR(INDEX('Classif Gestoras'!$H$6:$H$462,MATCH(D2140,'Classif Gestoras'!$A$6:$A$462,0)),"Não classificada")</x:f>
        <x:v>Independente</x:v>
      </x:c>
      <x:c r="F2140" s="166" t="str">
        <x:v>PLANNER CV</x:v>
      </x:c>
      <x:c r="G2140" s="166" t="str">
        <x:v>PLANNER CORRETORA DE VALORES S.A.</x:v>
      </x:c>
      <x:c r="H2140" s="166" t="str">
        <x:v>Outros</x:v>
      </x:c>
      <x:c r="I2140" s="166" t="str">
        <x:v>Multicarteira Outros</x:v>
      </x:c>
      <x:c r="J2140" s="166" t="str">
        <x:v>CI</x:v>
      </x:c>
      <x:c r="K2140" s="172" t="n">
        <x:v>28</x:v>
      </x:c>
      <x:c r="L2140" s="185" t="str">
        <x:v>Não classificado</x:v>
      </x:c>
    </x:row>
    <x:row r="2141">
      <x:c r="A2141" s="175" t="str">
        <x:v>59.825.500/0001-05</x:v>
      </x:c>
      <x:c r="B2141" s="166" t="str">
        <x:v>ORRAM PARTNERS FUNDO DE INVESTIMENTO EM DIREITOS CREDITÓRIOS</x:v>
      </x:c>
      <x:c r="C2141" s="188" t="n">
        <x:v>22001964.07999999</x:v>
      </x:c>
      <x:c r="D2141" s="166" t="str">
        <x:v>ORRAM GESTÃO DE RECURSOS LTDA.</x:v>
      </x:c>
      <x:c r="E2141" s="166" t="str">
        <x:f>IFERROR(INDEX('Classif Gestoras'!$H$6:$H$462,MATCH(D2141,'Classif Gestoras'!$A$6:$A$462,0)),"Não classificada")</x:f>
        <x:v>Independente</x:v>
      </x:c>
      <x:c r="F2141" s="166" t="str">
        <x:v>FIDD DISTRIBUIDORA DE TITULOS E VALORES MOBILIARIOS LTD</x:v>
      </x:c>
      <x:c r="G2141" s="166" t="str">
        <x:v>FIDD DISTRIBUIDORA DE TITULOS E VALORES MOBILIARIOS LTDA.</x:v>
      </x:c>
      <x:c r="H2141" s="166" t="str">
        <x:v>Outros</x:v>
      </x:c>
      <x:c r="I2141" s="166" t="str">
        <x:v>Multicarteira Outros</x:v>
      </x:c>
      <x:c r="J2141" s="166" t="str">
        <x:v>CI</x:v>
      </x:c>
      <x:c r="K2141" s="172" t="n">
        <x:v>12</x:v>
      </x:c>
      <x:c r="L2141" s="185" t="str">
        <x:v>Não classificado</x:v>
      </x:c>
    </x:row>
    <x:row r="2142">
      <x:c r="A2142" s="175" t="str">
        <x:v>29.828.802/0001-76</x:v>
      </x:c>
      <x:c r="B2142" s="166" t="str">
        <x:v>FUNDO DE INVESTIMENTO EM DIREITOS CREDITÓRIOS ASAAS - RESPONSABILIDADE LIMITADA</x:v>
      </x:c>
      <x:c r="C2142" s="188" t="n">
        <x:v>21996981.66</x:v>
      </x:c>
      <x:c r="D2142" s="166" t="str">
        <x:v>Solis</x:v>
      </x:c>
      <x:c r="E2142" s="166" t="str">
        <x:f>IFERROR(INDEX('Classif Gestoras'!$H$6:$H$462,MATCH(D2142,'Classif Gestoras'!$A$6:$A$462,0)),"Não classificada")</x:f>
        <x:v>Independente</x:v>
      </x:c>
      <x:c r="F2142" s="166" t="str">
        <x:v>HEMERA DTVM</x:v>
      </x:c>
      <x:c r="G2142" s="166" t="str">
        <x:v>HEMERA DISTRIBUIDORA DE TITULOS E VALORES MOBILIARIOS LTDA</x:v>
      </x:c>
      <x:c r="H2142" s="166" t="str">
        <x:v>Agro, Indústria e Comércio</x:v>
      </x:c>
      <x:c r="I2142" s="166" t="str">
        <x:v>Recebíveis Comerciais</x:v>
      </x:c>
      <x:c r="J2142" s="166" t="str">
        <x:v>CI</x:v>
      </x:c>
      <x:c r="K2142" s="172" t="n">
        <x:v>4</x:v>
      </x:c>
      <x:c r="L2142" s="185" t="str">
        <x:v>Não classificado</x:v>
      </x:c>
    </x:row>
    <x:row r="2143">
      <x:c r="A2143" s="175" t="str">
        <x:v>66.745.267/0001-16</x:v>
      </x:c>
      <x:c r="B2143" s="166" t="str">
        <x:v>ARC SPECIAL I FUNDO DE INVESTIMENTO EM DIREITOS CREDITÓRIOS DE RESPONSABILIDADE LIMITADA</x:v>
      </x:c>
      <x:c r="C2143" s="188" t="n">
        <x:v>21916716.479999997</x:v>
      </x:c>
      <x:c r="D2143" s="166" t="str">
        <x:v>ARC Capital</x:v>
      </x:c>
      <x:c r="E2143" s="166" t="str">
        <x:f>IFERROR(INDEX('Classif Gestoras'!$H$6:$H$462,MATCH(D2143,'Classif Gestoras'!$A$6:$A$462,0)),"Não classificada")</x:f>
        <x:v>Independente</x:v>
      </x:c>
      <x:c r="F2143" s="166" t="str">
        <x:v>Oliveira Trust DTVM</x:v>
      </x:c>
      <x:c r="G2143" s="166" t="str">
        <x:v>OLIVEIRA TRUST DTVM S.A.</x:v>
      </x:c>
      <x:c r="H2143" s="166" t="str">
        <x:v>Outros</x:v>
      </x:c>
      <x:c r="I2143" s="166" t="str">
        <x:v>Multicarteira Outros</x:v>
      </x:c>
      <x:c r="J2143" s="166" t="str">
        <x:v>CI</x:v>
      </x:c>
      <x:c r="K2143" s="172" t="n">
        <x:v>4</x:v>
      </x:c>
      <x:c r="L2143" s="185" t="str">
        <x:v>Não classificado</x:v>
      </x:c>
    </x:row>
    <x:row r="2144">
      <x:c r="A2144" s="175" t="str">
        <x:v>63.802.702/0001-09</x:v>
      </x:c>
      <x:c r="B2144" s="166" t="str">
        <x:v>ATLAS HUB I FUNDO DE INVESTIMENTO EM DIREITOS CREDITÓRIOS DE RESPONSABILIDADE LIMITADA</x:v>
      </x:c>
      <x:c r="C2144" s="188" t="n">
        <x:v>21836821.970000003</x:v>
      </x:c>
      <x:c r="D2144" s="166" t="str">
        <x:v>BRZ Gestão de Recursos</x:v>
      </x:c>
      <x:c r="E2144" s="166" t="str">
        <x:f>IFERROR(INDEX('Classif Gestoras'!$H$6:$H$462,MATCH(D2144,'Classif Gestoras'!$A$6:$A$462,0)),"Não classificada")</x:f>
        <x:v>Independente</x:v>
      </x:c>
      <x:c r="F2144" s="166" t="str">
        <x:v>BANCO DAYCOVAL S/A</x:v>
      </x:c>
      <x:c r="G2144" s="166" t="str">
        <x:v>BANCO DAYCOVAL S.A.</x:v>
      </x:c>
      <x:c r="H2144" s="166" t="str">
        <x:v>Outros</x:v>
      </x:c>
      <x:c r="I2144" s="166" t="str">
        <x:v>Multicarteira Outros</x:v>
      </x:c>
      <x:c r="J2144" s="166" t="str">
        <x:v>CI</x:v>
      </x:c>
      <x:c r="K2144" s="172" t="n">
        <x:v>10</x:v>
      </x:c>
      <x:c r="L2144" s="185" t="str">
        <x:v>Não classificado</x:v>
      </x:c>
    </x:row>
    <x:row r="2145">
      <x:c r="A2145" s="175" t="str">
        <x:v>13.425.492/0001-09</x:v>
      </x:c>
      <x:c r="B2145" s="166" t="str">
        <x:v>ACTIVA FUNDO DE INVESTIMENTO EM DIREITOS CREDITORIOS MULTISSETORIAL NÃO PADRONIZADOS LP</x:v>
      </x:c>
      <x:c r="C2145" s="188" t="n">
        <x:v>21642453.569999997</x:v>
      </x:c>
      <x:c r="D2145" s="166" t="str">
        <x:v>TERCON ASSET MANAGEMENT</x:v>
      </x:c>
      <x:c r="E2145" s="166" t="str">
        <x:f>IFERROR(INDEX('Classif Gestoras'!$H$6:$H$462,MATCH(D2145,'Classif Gestoras'!$A$6:$A$462,0)),"Não classificada")</x:f>
        <x:v>Independente</x:v>
      </x:c>
      <x:c r="F2145" s="166" t="str">
        <x:v>Singulare</x:v>
      </x:c>
      <x:c r="G2145" s="166" t="str">
        <x:v>QI CORRETORA DE TÍTULOS E VALORES MOBILIÁRIOS S.A.</x:v>
      </x:c>
      <x:c r="H2145" s="166" t="str">
        <x:v>Fomento Mercantil</x:v>
      </x:c>
      <x:c r="I2145" s="166" t="str">
        <x:v>Fomento Mercantil</x:v>
      </x:c>
      <x:c r="J2145" s="166" t="str">
        <x:v>CI</x:v>
      </x:c>
      <x:c r="K2145" s="172" t="n">
        <x:v>7</x:v>
      </x:c>
      <x:c r="L2145" s="185" t="str">
        <x:v>Não classificado</x:v>
      </x:c>
    </x:row>
    <x:row r="2146">
      <x:c r="A2146" s="175" t="str">
        <x:v>16.829.910/0001-11</x:v>
      </x:c>
      <x:c r="B2146" s="166" t="str">
        <x:v>FUNDO DE INVESTIMENTO EM DIREITOS CREDITÓRIOS DIAMOND MOUNTAIN DISTRESSED ASSETS</x:v>
      </x:c>
      <x:c r="C2146" s="188" t="n">
        <x:v>21523040.64</x:v>
      </x:c>
      <x:c r="D2146" s="166" t="str">
        <x:v>PLANNER CV</x:v>
      </x:c>
      <x:c r="E2146" s="166" t="str">
        <x:f>IFERROR(INDEX('Classif Gestoras'!$H$6:$H$462,MATCH(D2146,'Classif Gestoras'!$A$6:$A$462,0)),"Não classificada")</x:f>
        <x:v>Independente</x:v>
      </x:c>
      <x:c r="F2146" s="166" t="str">
        <x:v>PLANNER CV</x:v>
      </x:c>
      <x:c r="G2146" s="166" t="str">
        <x:v>PLANNER CORRETORA DE VALORES S.A.</x:v>
      </x:c>
      <x:c r="H2146" s="166" t="str">
        <x:v>Outros</x:v>
      </x:c>
      <x:c r="I2146" s="166" t="str">
        <x:v>Multicarteira Outros</x:v>
      </x:c>
      <x:c r="J2146" s="166" t="str">
        <x:v>CI</x:v>
      </x:c>
      <x:c r="K2146" s="172" t="n">
        <x:v>2</x:v>
      </x:c>
      <x:c r="L2146" s="185" t="str">
        <x:v>Não classificado</x:v>
      </x:c>
    </x:row>
    <x:row r="2147">
      <x:c r="A2147" s="175" t="str">
        <x:v>54.075.641/0001-34</x:v>
      </x:c>
      <x:c r="B2147" s="166" t="str">
        <x:v>SWP FUNDO DE INVESTIMENTO EM DIREITOS CREDITÓRIOS MULTISSEGMENTOS</x:v>
      </x:c>
      <x:c r="C2147" s="188" t="n">
        <x:v>21419664.99</x:v>
      </x:c>
      <x:c r="D2147" s="166" t="str">
        <x:v>Petra Capital</x:v>
      </x:c>
      <x:c r="E2147" s="166" t="str">
        <x:f>IFERROR(INDEX('Classif Gestoras'!$H$6:$H$462,MATCH(D2147,'Classif Gestoras'!$A$6:$A$462,0)),"Não classificada")</x:f>
        <x:v>Independente</x:v>
      </x:c>
      <x:c r="F2147" s="166" t="str">
        <x:v>Finaxis Corretora de Títulos e Valores Mobiliários S.A.</x:v>
      </x:c>
      <x:c r="G2147" s="166" t="str">
        <x:v>BANCO FINAXIS S.A.</x:v>
      </x:c>
      <x:c r="H2147" s="166" t="str">
        <x:v>Outros</x:v>
      </x:c>
      <x:c r="I2147" s="166" t="str">
        <x:v>Multicarteira Outros</x:v>
      </x:c>
      <x:c r="J2147" s="166" t="str">
        <x:v>CI</x:v>
      </x:c>
      <x:c r="K2147" s="172" t="n">
        <x:v>2</x:v>
      </x:c>
      <x:c r="L2147" s="185" t="str">
        <x:v>Não classificado</x:v>
      </x:c>
    </x:row>
    <x:row r="2148">
      <x:c r="A2148" s="175" t="str">
        <x:v>54.065.359/0001-76</x:v>
      </x:c>
      <x:c r="B2148" s="166" t="str">
        <x:v>GUARDIAN MULTI CONSIGNADO VII FUNDO DE INVESTIMENTO EM DIREITOS CREDITÓRIOS RESP LIMITADA</x:v>
      </x:c>
      <x:c r="C2148" s="188" t="n">
        <x:v>21310997.57</x:v>
      </x:c>
      <x:c r="D2148" s="166" t="str">
        <x:v>Guardian Gestora</x:v>
      </x:c>
      <x:c r="E2148" s="166" t="str">
        <x:f>IFERROR(INDEX('Classif Gestoras'!$H$6:$H$462,MATCH(D2148,'Classif Gestoras'!$A$6:$A$462,0)),"Não classificada")</x:f>
        <x:v>Independente</x:v>
      </x:c>
      <x:c r="F2148" s="166" t="str">
        <x:v>Banvox DTVM</x:v>
      </x:c>
      <x:c r="G2148" s="166" t="str">
        <x:v>BANCO DAYCOVAL S.A.</x:v>
      </x:c>
      <x:c r="H2148" s="166" t="str">
        <x:v>Financeiro</x:v>
      </x:c>
      <x:c r="I2148" s="166" t="str">
        <x:v>Crédito Consignado</x:v>
      </x:c>
      <x:c r="J2148" s="166" t="str">
        <x:v>CI</x:v>
      </x:c>
      <x:c r="K2148" s="172" t="n">
        <x:v>89</x:v>
      </x:c>
      <x:c r="L2148" s="185" t="str">
        <x:v>Não classificado</x:v>
      </x:c>
    </x:row>
    <x:row r="2149">
      <x:c r="A2149" s="175" t="str">
        <x:v>49.004.860/0001-92</x:v>
      </x:c>
      <x:c r="B2149" s="166" t="str">
        <x:v>PRINCIPIAPAY EDUCAÇÃO FUNDO DE INVESTIMENTO EM DIREITOS CREDITÓRIOS</x:v>
      </x:c>
      <x:c r="C2149" s="188" t="n">
        <x:v>21285419.23</x:v>
      </x:c>
      <x:c r="D2149" s="166" t="str">
        <x:v>Milênio Capital</x:v>
      </x:c>
      <x:c r="E2149" s="166" t="str">
        <x:f>IFERROR(INDEX('Classif Gestoras'!$H$6:$H$462,MATCH(D2149,'Classif Gestoras'!$A$6:$A$462,0)),"Não classificada")</x:f>
        <x:v>Independente</x:v>
      </x:c>
      <x:c r="F2149" s="166" t="str">
        <x:v>Singulare</x:v>
      </x:c>
      <x:c r="G2149" s="166" t="str">
        <x:v>QI CORRETORA DE TÍTULOS E VALORES MOBILIÁRIOS S.A.</x:v>
      </x:c>
      <x:c r="H2149" s="166" t="str">
        <x:v>Financeiro</x:v>
      </x:c>
      <x:c r="I2149" s="166" t="str">
        <x:v>Crédito Pessoal</x:v>
      </x:c>
      <x:c r="J2149" s="166" t="str">
        <x:v>CI</x:v>
      </x:c>
      <x:c r="K2149" s="172" t="n">
        <x:v>27</x:v>
      </x:c>
      <x:c r="L2149" s="185" t="str">
        <x:v>Não classificado</x:v>
      </x:c>
    </x:row>
    <x:row r="2150">
      <x:c r="A2150" s="175" t="str">
        <x:v>55.048.271/0001-09</x:v>
      </x:c>
      <x:c r="B2150" s="166" t="str">
        <x:v>ST 1009 FUNDO DE INVESTIMENTO EM DIREITOS CREDITÓRIOS - RESPONSABILIDADE LIMITADA</x:v>
      </x:c>
      <x:c r="C2150" s="188" t="n">
        <x:v>21225417.15</x:v>
      </x:c>
      <x:c r="D2150" s="166" t="str">
        <x:v>Strata Capital</x:v>
      </x:c>
      <x:c r="E2150" s="166" t="str">
        <x:f>IFERROR(INDEX('Classif Gestoras'!$H$6:$H$462,MATCH(D2150,'Classif Gestoras'!$A$6:$A$462,0)),"Não classificada")</x:f>
        <x:v>Independente</x:v>
      </x:c>
      <x:c r="F2150" s="166" t="str">
        <x:v>BANCO DAYCOVAL S/A</x:v>
      </x:c>
      <x:c r="G2150" s="166" t="str">
        <x:v>BANCO DAYCOVAL S.A.</x:v>
      </x:c>
      <x:c r="H2150" s="166" t="str">
        <x:v>Agro, Indústria e Comércio</x:v>
      </x:c>
      <x:c r="I2150" s="166" t="str">
        <x:v>Multicarteira Agro, Indústria e Comércio</x:v>
      </x:c>
      <x:c r="J2150" s="166" t="str">
        <x:v>CI</x:v>
      </x:c>
      <x:c r="K2150" s="172" t="n">
        <x:v>3</x:v>
      </x:c>
      <x:c r="L2150" s="185" t="str">
        <x:v>Não classificado</x:v>
      </x:c>
    </x:row>
    <x:row r="2151">
      <x:c r="A2151" s="175" t="str">
        <x:v>53.167.385/0001-42</x:v>
      </x:c>
      <x:c r="B2151" s="166" t="str">
        <x:v>RELAUREA FUNDO DE INVESTIMENTO EM DIREITOS CREDITÓRIOS MULTISEGMENTO DE RESPONSABILIDADE LIMITADA</x:v>
      </x:c>
      <x:c r="C2151" s="188" t="n">
        <x:v>21205035.29</x:v>
      </x:c>
      <x:c r="D2151" s="166" t="str">
        <x:v>Petra Capital</x:v>
      </x:c>
      <x:c r="E2151" s="166" t="str">
        <x:f>IFERROR(INDEX('Classif Gestoras'!$H$6:$H$462,MATCH(D2151,'Classif Gestoras'!$A$6:$A$462,0)),"Não classificada")</x:f>
        <x:v>Independente</x:v>
      </x:c>
      <x:c r="F2151" s="166" t="str">
        <x:v>Finaxis Corretora de Títulos e Valores Mobiliários S.A.</x:v>
      </x:c>
      <x:c r="G2151" s="166" t="str">
        <x:v>BANCO FINAXIS S.A.</x:v>
      </x:c>
      <x:c r="H2151" s="166" t="str">
        <x:v>Outros</x:v>
      </x:c>
      <x:c r="I2151" s="166" t="str">
        <x:v>Multicarteira Outros</x:v>
      </x:c>
      <x:c r="J2151" s="166" t="str">
        <x:v>CI</x:v>
      </x:c>
      <x:c r="K2151" s="172" t="n">
        <x:v>1</x:v>
      </x:c>
      <x:c r="L2151" s="185" t="str">
        <x:v>Não classificado</x:v>
      </x:c>
    </x:row>
    <x:row r="2152">
      <x:c r="A2152" s="175" t="str">
        <x:v>62.838.423/0001-32</x:v>
      </x:c>
      <x:c r="B2152" s="166" t="str">
        <x:v>FUNDO DE INVESTIMENTO EM DIREITOS CREDITÓRIOS FEDERAL PADRONIZADO RESPONSABILIDADE LIMITADA</x:v>
      </x:c>
      <x:c r="C2152" s="188" t="n">
        <x:v>21196715.8903</x:v>
      </x:c>
      <x:c r="D2152" s="166" t="str">
        <x:v>Patrimonial Gestão</x:v>
      </x:c>
      <x:c r="E2152" s="166" t="str">
        <x:f>IFERROR(INDEX('Classif Gestoras'!$H$6:$H$462,MATCH(D2152,'Classif Gestoras'!$A$6:$A$462,0)),"Não classificada")</x:f>
        <x:v>Independente</x:v>
      </x:c>
      <x:c r="F2152" s="166" t="str">
        <x:v>Singulare</x:v>
      </x:c>
      <x:c r="G2152" s="166" t="str">
        <x:v>QI CORRETORA DE TÍTULOS E VALORES MOBILIÁRIOS S.A.</x:v>
      </x:c>
      <x:c r="H2152" s="166" t="str">
        <x:v>Outros</x:v>
      </x:c>
      <x:c r="I2152" s="166" t="str">
        <x:v>Poder Público</x:v>
      </x:c>
      <x:c r="J2152" s="166" t="str">
        <x:v>CI</x:v>
      </x:c>
      <x:c r="K2152" s="172" t="n">
        <x:v>21</x:v>
      </x:c>
      <x:c r="L2152" s="185" t="str">
        <x:v>Não classificado</x:v>
      </x:c>
    </x:row>
    <x:row r="2153">
      <x:c r="A2153" s="175" t="str">
        <x:v>56.284.148/0001-50</x:v>
      </x:c>
      <x:c r="B2153" s="166" t="str">
        <x:v>CSE BANK FUNDO DE INVESTIMENTO EM DIREITOS CREDITÓRIOS</x:v>
      </x:c>
      <x:c r="C2153" s="188" t="n">
        <x:v>21188804.119999997</x:v>
      </x:c>
      <x:c r="D2153" s="166" t="str">
        <x:v>ASSET MANAGEMENT</x:v>
      </x:c>
      <x:c r="E2153" s="166" t="str">
        <x:f>IFERROR(INDEX('Classif Gestoras'!$H$6:$H$462,MATCH(D2153,'Classif Gestoras'!$A$6:$A$462,0)),"Não classificada")</x:f>
        <x:v>Independente</x:v>
      </x:c>
      <x:c r="F2153" s="166" t="str">
        <x:v>AZUMI DISTRIBUIDORA DE TÍTULOS E VALORES MOBILIÁRIOS LT</x:v>
      </x:c>
      <x:c r="G2153" s="166" t="str">
        <x:v>AZUMI DISTRIBUIDORA DE TÍTULOS E VALORES MOBILIÁRIOS LTDA.</x:v>
      </x:c>
      <x:c r="H2153" s="166" t="str">
        <x:v>Outros</x:v>
      </x:c>
      <x:c r="I2153" s="166" t="str">
        <x:v>Multicarteira Outros</x:v>
      </x:c>
      <x:c r="J2153" s="166" t="str">
        <x:v>CI</x:v>
      </x:c>
      <x:c r="K2153" s="172" t="n">
        <x:v>63</x:v>
      </x:c>
      <x:c r="L2153" s="185" t="str">
        <x:v>Não classificado</x:v>
      </x:c>
    </x:row>
    <x:row r="2154">
      <x:c r="A2154" s="175" t="str">
        <x:v>55.261.422/0001-02</x:v>
      </x:c>
      <x:c r="B2154" s="166" t="str">
        <x:v>SERIGY FUNDO DE INVESTIMENTO EM DIREITOS CREDITÓRIOS RESPONSABILIDADE LIMITADA</x:v>
      </x:c>
      <x:c r="C2154" s="188" t="n">
        <x:v>21095725.92888</x:v>
      </x:c>
      <x:c r="D2154" s="166" t="str">
        <x:v>VERT Gestora de Recursos Financeiros Ltda.</x:v>
      </x:c>
      <x:c r="E2154" s="166" t="str">
        <x:f>IFERROR(INDEX('Classif Gestoras'!$H$6:$H$462,MATCH(D2154,'Classif Gestoras'!$A$6:$A$462,0)),"Não classificada")</x:f>
        <x:v>Independente</x:v>
      </x:c>
      <x:c r="F2154" s="166" t="str">
        <x:v>QI DISTRIBUIDORA DE TITULOS E VALORES MOBILIARIOS LTDA</x:v>
      </x:c>
      <x:c r="G2154" s="166" t="str">
        <x:v>QI CORRETORA DE TÍTULOS E VALORES MOBILIÁRIOS S.A.</x:v>
      </x:c>
      <x:c r="H2154" s="166" t="str">
        <x:v>Financeiro</x:v>
      </x:c>
      <x:c r="I2154" s="166" t="str">
        <x:v>Crédito Pessoal</x:v>
      </x:c>
      <x:c r="J2154" s="166" t="str">
        <x:v>CI</x:v>
      </x:c>
      <x:c r="K2154" s="172" t="n">
        <x:v>6</x:v>
      </x:c>
      <x:c r="L2154" s="185" t="str">
        <x:v>Não classificado</x:v>
      </x:c>
    </x:row>
    <x:row r="2155">
      <x:c r="A2155" s="175" t="str">
        <x:v>29.720.600/0001-06</x:v>
      </x:c>
      <x:c r="B2155" s="166" t="str">
        <x:v>FUNDO DE INVESTIMENTO EM DIREITOS CREDITÓRIOS NEXUS</x:v>
      </x:c>
      <x:c r="C2155" s="188" t="n">
        <x:v>21081712.75</x:v>
      </x:c>
      <x:c r="D2155" s="166" t="str">
        <x:v>Solis</x:v>
      </x:c>
      <x:c r="E2155" s="166" t="str">
        <x:f>IFERROR(INDEX('Classif Gestoras'!$H$6:$H$462,MATCH(D2155,'Classif Gestoras'!$A$6:$A$462,0)),"Não classificada")</x:f>
        <x:v>Independente</x:v>
      </x:c>
      <x:c r="F2155" s="166" t="str">
        <x:v>HEMERA DTVM</x:v>
      </x:c>
      <x:c r="G2155" s="166" t="str">
        <x:v>HEMERA DISTRIBUIDORA DE TITULOS E VALORES MOBILIARIOS LTDA</x:v>
      </x:c>
      <x:c r="H2155" s="166" t="str">
        <x:v>Outros</x:v>
      </x:c>
      <x:c r="I2155" s="166" t="str">
        <x:v>Multicarteira Outros</x:v>
      </x:c>
      <x:c r="J2155" s="166" t="str">
        <x:v>CI</x:v>
      </x:c>
      <x:c r="K2155" s="172" t="n">
        <x:v>10</x:v>
      </x:c>
      <x:c r="L2155" s="185" t="str">
        <x:v>Não classificado</x:v>
      </x:c>
    </x:row>
    <x:row r="2156">
      <x:c r="A2156" s="175" t="str">
        <x:v>55.445.774/0001-18</x:v>
      </x:c>
      <x:c r="B2156" s="166" t="str">
        <x:v>FRAGATA FUNDO DE INVESTIMENTO EM DIREITOS CREDITÓRIOS</x:v>
      </x:c>
      <x:c r="C2156" s="188" t="n">
        <x:v>21070772.19</x:v>
      </x:c>
      <x:c r="D2156" s="166" t="str">
        <x:v>TERCON ASSET MANAGEMENT</x:v>
      </x:c>
      <x:c r="E2156" s="166" t="str">
        <x:f>IFERROR(INDEX('Classif Gestoras'!$H$6:$H$462,MATCH(D2156,'Classif Gestoras'!$A$6:$A$462,0)),"Não classificada")</x:f>
        <x:v>Independente</x:v>
      </x:c>
      <x:c r="F2156" s="166" t="str">
        <x:v>Limine Trust Distribuidora de Titulos e Valores Mobiliá</x:v>
      </x:c>
      <x:c r="G2156" s="166" t="str">
        <x:v>LIMINE TRUST DISTRIBUIDORA DE TITULOS E VALORES MOBILIARIOS LTDA.</x:v>
      </x:c>
      <x:c r="H2156" s="166" t="str">
        <x:v>Fomento Mercantil</x:v>
      </x:c>
      <x:c r="I2156" s="166" t="str">
        <x:v>Fomento Mercantil</x:v>
      </x:c>
      <x:c r="J2156" s="166" t="str">
        <x:v>CI</x:v>
      </x:c>
      <x:c r="K2156" s="172" t="n">
        <x:v>8</x:v>
      </x:c>
      <x:c r="L2156" s="185" t="str">
        <x:v>Não classificado</x:v>
      </x:c>
    </x:row>
    <x:row r="2157">
      <x:c r="A2157" s="175" t="str">
        <x:v>10.774.307/0001-01</x:v>
      </x:c>
      <x:c r="B2157" s="166" t="str">
        <x:v>PLATINUM FIDC MULTISSETORIAL</x:v>
      </x:c>
      <x:c r="C2157" s="188" t="n">
        <x:v>21066000.67</x:v>
      </x:c>
      <x:c r="D2157" s="166" t="str">
        <x:v>TERCON ASSET MANAGEMENT</x:v>
      </x:c>
      <x:c r="E2157" s="166" t="str">
        <x:f>IFERROR(INDEX('Classif Gestoras'!$H$6:$H$462,MATCH(D2157,'Classif Gestoras'!$A$6:$A$462,0)),"Não classificada")</x:f>
        <x:v>Independente</x:v>
      </x:c>
      <x:c r="F2157" s="166" t="str">
        <x:v>Singulare</x:v>
      </x:c>
      <x:c r="G2157" s="166" t="str">
        <x:v>QI CORRETORA DE TÍTULOS E VALORES MOBILIÁRIOS S.A.</x:v>
      </x:c>
      <x:c r="H2157" s="166" t="str">
        <x:v>Fomento Mercantil</x:v>
      </x:c>
      <x:c r="I2157" s="166" t="str">
        <x:v>Fomento Mercantil</x:v>
      </x:c>
      <x:c r="J2157" s="166" t="str">
        <x:v>CI</x:v>
      </x:c>
      <x:c r="K2157" s="172" t="n">
        <x:v>4</x:v>
      </x:c>
      <x:c r="L2157" s="185" t="str">
        <x:v>Não classificado</x:v>
      </x:c>
    </x:row>
    <x:row r="2158">
      <x:c r="A2158" s="175" t="str">
        <x:v>56.806.404/0001-21</x:v>
      </x:c>
      <x:c r="B2158" s="166" t="str">
        <x:v>ST 1017 FIDC RESPONSABILIDADE LIMITADA</x:v>
      </x:c>
      <x:c r="C2158" s="188" t="n">
        <x:v>21064559.34</x:v>
      </x:c>
      <x:c r="D2158" s="166" t="str">
        <x:v>Strata Capital</x:v>
      </x:c>
      <x:c r="E2158" s="166" t="str">
        <x:f>IFERROR(INDEX('Classif Gestoras'!$H$6:$H$462,MATCH(D2158,'Classif Gestoras'!$A$6:$A$462,0)),"Não classificada")</x:f>
        <x:v>Independente</x:v>
      </x:c>
      <x:c r="F2158" s="166" t="str">
        <x:v>BANCO DAYCOVAL S/A</x:v>
      </x:c>
      <x:c r="G2158" s="166" t="str">
        <x:v>BANCO DAYCOVAL S.A.</x:v>
      </x:c>
      <x:c r="H2158" s="166" t="str">
        <x:v>Outros</x:v>
      </x:c>
      <x:c r="I2158" s="166" t="str">
        <x:v>Multicarteira Outros</x:v>
      </x:c>
      <x:c r="J2158" s="166" t="str">
        <x:v>CI</x:v>
      </x:c>
      <x:c r="K2158" s="172" t="n">
        <x:v>3</x:v>
      </x:c>
      <x:c r="L2158" s="185" t="str">
        <x:v>Não classificado</x:v>
      </x:c>
    </x:row>
    <x:row r="2159">
      <x:c r="A2159" s="175" t="str">
        <x:v>07.738.319/0001-68</x:v>
      </x:c>
      <x:c r="B2159" s="166" t="str">
        <x:v>SP RECEBÍVEIS PREMIUM I FUNDO DE INVESTIMENTO EM DIREITOS CREDITÓRIOS MULTISSEGMENTOS</x:v>
      </x:c>
      <x:c r="C2159" s="188" t="n">
        <x:v>21023404.57</x:v>
      </x:c>
      <x:c r="D2159" s="166" t="str">
        <x:v>Petra Capital</x:v>
      </x:c>
      <x:c r="E2159" s="166" t="str">
        <x:f>IFERROR(INDEX('Classif Gestoras'!$H$6:$H$462,MATCH(D2159,'Classif Gestoras'!$A$6:$A$462,0)),"Não classificada")</x:f>
        <x:v>Independente</x:v>
      </x:c>
      <x:c r="F2159" s="166" t="str">
        <x:v>Banco Finaxis S.A.</x:v>
      </x:c>
      <x:c r="G2159" s="166" t="str">
        <x:v>BANCO FINAXIS S.A.</x:v>
      </x:c>
      <x:c r="H2159" s="166" t="str">
        <x:v>Fomento Mercantil</x:v>
      </x:c>
      <x:c r="I2159" s="166" t="str">
        <x:v>Fomento Mercantil</x:v>
      </x:c>
      <x:c r="J2159" s="166" t="str">
        <x:v>CI</x:v>
      </x:c>
      <x:c r="K2159" s="172" t="n">
        <x:v>7</x:v>
      </x:c>
      <x:c r="L2159" s="185" t="str">
        <x:v>Não classificado</x:v>
      </x:c>
    </x:row>
    <x:row r="2160">
      <x:c r="A2160" s="175" t="str">
        <x:v>37.036.353/0001-51</x:v>
      </x:c>
      <x:c r="B2160" s="166" t="str">
        <x:v>REC FUNDO DE INVESTIMENTO EM DIREITOS CREDITÓRIOS NÃO PADRONIZADO</x:v>
      </x:c>
      <x:c r="C2160" s="188" t="n">
        <x:v>21019626.93</x:v>
      </x:c>
      <x:c r="D2160" s="166" t="str">
        <x:v>Global Gestão e Investimentos</x:v>
      </x:c>
      <x:c r="E2160" s="166" t="str">
        <x:f>IFERROR(INDEX('Classif Gestoras'!$H$6:$H$462,MATCH(D2160,'Classif Gestoras'!$A$6:$A$462,0)),"Não classificada")</x:f>
        <x:v>Independente</x:v>
      </x:c>
      <x:c r="F2160" s="166" t="str">
        <x:v>Singulare</x:v>
      </x:c>
      <x:c r="G2160" s="166" t="str">
        <x:v>QI CORRETORA DE TÍTULOS E VALORES MOBILIÁRIOS S.A.</x:v>
      </x:c>
      <x:c r="H2160" s="166" t="str">
        <x:v>Outros</x:v>
      </x:c>
      <x:c r="I2160" s="166" t="str">
        <x:v>Multicarteira Outros</x:v>
      </x:c>
      <x:c r="J2160" s="166" t="str">
        <x:v>CI</x:v>
      </x:c>
      <x:c r="K2160" s="172" t="n">
        <x:v>3</x:v>
      </x:c>
      <x:c r="L2160" s="185" t="str">
        <x:v>Não classificado</x:v>
      </x:c>
    </x:row>
    <x:row r="2161">
      <x:c r="A2161" s="175" t="str">
        <x:v>61.020.441/0001-40</x:v>
      </x:c>
      <x:c r="B2161" s="166" t="str">
        <x:v>TIVIO ALT 90 FUNDO DE INVESTIMENTO EM DIREITOS CREDITÓRIOS RESPONSABILIDADE LIMITADA</x:v>
      </x:c>
      <x:c r="C2161" s="188" t="n">
        <x:v>21001105.09</x:v>
      </x:c>
      <x:c r="D2161" s="166" t="str">
        <x:v>Tivio Capital</x:v>
      </x:c>
      <x:c r="E2161" s="166" t="str">
        <x:f>IFERROR(INDEX('Classif Gestoras'!$H$6:$H$462,MATCH(D2161,'Classif Gestoras'!$A$6:$A$462,0)),"Não classificada")</x:f>
        <x:v>Independente</x:v>
      </x:c>
      <x:c r="F2161" s="166" t="str">
        <x:v>BNY MELLON SERVICOS</x:v>
      </x:c>
      <x:c r="G2161" s="166" t="str">
        <x:v>BNY MELLON BANCO S.A.</x:v>
      </x:c>
      <x:c r="H2161" s="166" t="str">
        <x:v>Outros</x:v>
      </x:c>
      <x:c r="I2161" s="166" t="str">
        <x:v>Multicarteira Outros</x:v>
      </x:c>
      <x:c r="J2161" s="166" t="str">
        <x:v>CI</x:v>
      </x:c>
      <x:c r="K2161" s="172" t="n">
        <x:v>249</x:v>
      </x:c>
      <x:c r="L2161" s="185" t="str">
        <x:v>Não classificado</x:v>
      </x:c>
    </x:row>
    <x:row r="2162">
      <x:c r="A2162" s="175" t="str">
        <x:v>34.508.740/0001-55</x:v>
      </x:c>
      <x:c r="B2162" s="166" t="str">
        <x:v>FUNDO DE INVESTIMENTO EM DIREITOS CREDITÓRIOS ENERGIA SOLAR</x:v>
      </x:c>
      <x:c r="C2162" s="188" t="n">
        <x:v>20978495.49</x:v>
      </x:c>
      <x:c r="D2162" s="166" t="str">
        <x:v>REAG GESTÃO DE CRÉDITO</x:v>
      </x:c>
      <x:c r="E2162" s="166" t="str">
        <x:f>IFERROR(INDEX('Classif Gestoras'!$H$6:$H$462,MATCH(D2162,'Classif Gestoras'!$A$6:$A$462,0)),"Não classificada")</x:f>
        <x:v>Independente</x:v>
      </x:c>
      <x:c r="F2162" s="166" t="str">
        <x:v>Oliveira Trust DTVM</x:v>
      </x:c>
      <x:c r="G2162" s="166" t="str">
        <x:v>OLIVEIRA TRUST DTVM S.A.</x:v>
      </x:c>
      <x:c r="H2162" s="166" t="str">
        <x:v>Agro, Indústria e Comércio</x:v>
      </x:c>
      <x:c r="I2162" s="166" t="str">
        <x:v>Infraestrutura</x:v>
      </x:c>
      <x:c r="J2162" s="166" t="str">
        <x:v>CI</x:v>
      </x:c>
      <x:c r="K2162" s="172" t="n">
        <x:v>35</x:v>
      </x:c>
      <x:c r="L2162" s="185" t="str">
        <x:v>Não classificado</x:v>
      </x:c>
    </x:row>
    <x:row r="2163">
      <x:c r="A2163" s="175" t="str">
        <x:v>62.122.004/0001-08</x:v>
      </x:c>
      <x:c r="B2163" s="166" t="str">
        <x:v>NTZ IMPULSE FUNDO DE INVESTIMENTO EM DIREITOS CREDITÓRIOS - RESPONSABILIDADE LIMITADA</x:v>
      </x:c>
      <x:c r="C2163" s="188" t="n">
        <x:v>20975850</x:v>
      </x:c>
      <x:c r="D2163" s="166" t="str">
        <x:v>Netz Asset</x:v>
      </x:c>
      <x:c r="E2163" s="166" t="str">
        <x:f>IFERROR(INDEX('Classif Gestoras'!$H$6:$H$462,MATCH(D2163,'Classif Gestoras'!$A$6:$A$462,0)),"Não classificada")</x:f>
        <x:v>Independente</x:v>
      </x:c>
      <x:c r="F2163" s="166" t="str">
        <x:v>VÓRTX DTVM</x:v>
      </x:c>
      <x:c r="G2163" s="166" t="str">
        <x:v>VORTX DISTRIBUIDORA DE TITULOS E VALORES MOBILIARIOS LTDA.</x:v>
      </x:c>
      <x:c r="H2163" s="166" t="str">
        <x:v>Outros</x:v>
      </x:c>
      <x:c r="I2163" s="166" t="str">
        <x:v>Multicarteira Outros</x:v>
      </x:c>
      <x:c r="J2163" s="166" t="str">
        <x:v>CI</x:v>
      </x:c>
      <x:c r="K2163" s="172" t="n">
        <x:v>256</x:v>
      </x:c>
      <x:c r="L2163" s="185" t="str">
        <x:v>Não classificado</x:v>
      </x:c>
    </x:row>
    <x:row r="2164">
      <x:c r="A2164" s="175" t="str">
        <x:v>25.354.081/0001-59</x:v>
      </x:c>
      <x:c r="B2164" s="166" t="str">
        <x:v>ALBATROZ FUNDO DE INVESTIMENTO EM DIREITOS CREDITÓRIOS MULTISSETORIAL</x:v>
      </x:c>
      <x:c r="C2164" s="188" t="n">
        <x:v>20945739.99</x:v>
      </x:c>
      <x:c r="D2164" s="166" t="str">
        <x:v>OURO PRETO INVESTIMENTOS</x:v>
      </x:c>
      <x:c r="E2164" s="166" t="str">
        <x:f>IFERROR(INDEX('Classif Gestoras'!$H$6:$H$462,MATCH(D2164,'Classif Gestoras'!$A$6:$A$462,0)),"Não classificada")</x:f>
        <x:v>Independente</x:v>
      </x:c>
      <x:c r="F2164" s="166" t="str">
        <x:v>Limine Trust Distribuidora de Titulos e Valores Mobiliá</x:v>
      </x:c>
      <x:c r="G2164" s="166" t="str">
        <x:v>LIMINE TRUST DISTRIBUIDORA DE TITULOS E VALORES MOBILIARIOS LTDA.</x:v>
      </x:c>
      <x:c r="H2164" s="166" t="str">
        <x:v>Fomento Mercantil</x:v>
      </x:c>
      <x:c r="I2164" s="166" t="str">
        <x:v>Fomento Mercantil</x:v>
      </x:c>
      <x:c r="J2164" s="166" t="str">
        <x:v>CI</x:v>
      </x:c>
      <x:c r="K2164" s="172" t="n">
        <x:v>2</x:v>
      </x:c>
      <x:c r="L2164" s="185" t="str">
        <x:v>Não classificado</x:v>
      </x:c>
    </x:row>
    <x:row r="2165">
      <x:c r="A2165" s="175" t="str">
        <x:v>65.659.857/0001-63</x:v>
      </x:c>
      <x:c r="B2165" s="166" t="str">
        <x:v>FUNDO DE INVESTIMENTO EM DIREITOS CREDITÓRIOS LEJÚ</x:v>
      </x:c>
      <x:c r="C2165" s="188" t="n">
        <x:v>20920501.25</x:v>
      </x:c>
      <x:c r="D2165" s="166" t="str">
        <x:v>SOMMA Investimentos</x:v>
      </x:c>
      <x:c r="E2165" s="166" t="str">
        <x:f>IFERROR(INDEX('Classif Gestoras'!$H$6:$H$462,MATCH(D2165,'Classif Gestoras'!$A$6:$A$462,0)),"Não classificada")</x:f>
        <x:v>Independente</x:v>
      </x:c>
      <x:c r="F2165" s="166" t="str">
        <x:v>Limine Trust Distribuidora de Titulos e Valores Mobiliá</x:v>
      </x:c>
      <x:c r="G2165" s="166" t="str">
        <x:v>LIMINE TRUST DISTRIBUIDORA DE TITULOS E VALORES MOBILIARIOS LTDA.</x:v>
      </x:c>
      <x:c r="H2165" s="166" t="str">
        <x:v>Outros</x:v>
      </x:c>
      <x:c r="I2165" s="166" t="str">
        <x:v>Multicarteira Outros</x:v>
      </x:c>
      <x:c r="J2165" s="166" t="str">
        <x:v>CI</x:v>
      </x:c>
      <x:c r="K2165" s="172" t="n">
        <x:v>2</x:v>
      </x:c>
      <x:c r="L2165" s="185" t="str">
        <x:v>Não classificado</x:v>
      </x:c>
    </x:row>
    <x:row r="2166">
      <x:c r="A2166" s="175" t="str">
        <x:v>46.073.462/0001-30</x:v>
      </x:c>
      <x:c r="B2166" s="166" t="str">
        <x:v>FUNDO DE INVESTIMENTO EM DIREITOS CREDITÓRIOS OPEN II RESPONSABILIDADE LIMITADA</x:v>
      </x:c>
      <x:c r="C2166" s="188" t="n">
        <x:v>20901237.56</x:v>
      </x:c>
      <x:c r="D2166" s="166" t="str">
        <x:v>VERT Gestora de Recursos Financeiros Ltda.</x:v>
      </x:c>
      <x:c r="E2166" s="166" t="str">
        <x:f>IFERROR(INDEX('Classif Gestoras'!$H$6:$H$462,MATCH(D2166,'Classif Gestoras'!$A$6:$A$462,0)),"Não classificada")</x:f>
        <x:v>Independente</x:v>
      </x:c>
      <x:c r="F2166" s="166" t="str">
        <x:v>BRL TRUST DTVM</x:v>
      </x:c>
      <x:c r="G2166" s="166" t="str">
        <x:v>BRL TRUST DISTRIBUIDORA DE TITULOS E VALORES MOBILIARIOS S.A.</x:v>
      </x:c>
      <x:c r="H2166" s="166" t="str">
        <x:v>Financeiro</x:v>
      </x:c>
      <x:c r="I2166" s="166" t="str">
        <x:v>Crédito Pessoal</x:v>
      </x:c>
      <x:c r="J2166" s="166" t="str">
        <x:v>CI</x:v>
      </x:c>
      <x:c r="K2166" s="172" t="n">
        <x:v>6</x:v>
      </x:c>
      <x:c r="L2166" s="185" t="str">
        <x:v>Não classificado</x:v>
      </x:c>
    </x:row>
    <x:row r="2167">
      <x:c r="A2167" s="175" t="str">
        <x:v>52.670.402/0001-05</x:v>
      </x:c>
      <x:c r="B2167" s="166" t="str">
        <x:v>CNPJ 52670402000105</x:v>
      </x:c>
      <x:c r="C2167" s="188" t="n">
        <x:v>20783277.5</x:v>
      </x:c>
      <x:c r="D2167" s="166" t="str">
        <x:v>ASSET MANAGEMENT</x:v>
      </x:c>
      <x:c r="E2167" s="166" t="str">
        <x:f>IFERROR(INDEX('Classif Gestoras'!$H$6:$H$462,MATCH(D2167,'Classif Gestoras'!$A$6:$A$462,0)),"Não classificada")</x:f>
        <x:v>Independente</x:v>
      </x:c>
      <x:c r="F2167" s="166" t="str">
        <x:v>AZUMI DISTRIBUIDORA DE TÍTULOS E VALORES MOBILIÁRIOS LT</x:v>
      </x:c>
      <x:c r="G2167" s="166" t="str">
        <x:v>Não identificado</x:v>
      </x:c>
      <x:c r="H2167" s="166" t="str">
        <x:v>Agro, Indústria e Comércio</x:v>
      </x:c>
      <x:c r="I2167" s="166" t="str">
        <x:v>Multicarteira Agro, Indústria e Comércio</x:v>
      </x:c>
      <x:c r="J2167" s="166" t="str">
        <x:v>CI</x:v>
      </x:c>
      <x:c r="K2167" s="172"/>
      <x:c r="L2167" s="185" t="str">
        <x:v>Não classificado</x:v>
      </x:c>
    </x:row>
    <x:row r="2168">
      <x:c r="A2168" s="175" t="str">
        <x:v>55.486.394/0001-21</x:v>
      </x:c>
      <x:c r="B2168" s="166" t="str">
        <x:v>CONECTA BRASIL FUNDO DE INVESTIMENTO EM DIREITOS CREDITÓRIOS - RESPONSABILIDADE LIMITADA</x:v>
      </x:c>
      <x:c r="C2168" s="188" t="n">
        <x:v>20782211.67</x:v>
      </x:c>
      <x:c r="D2168" s="166" t="str">
        <x:v>ANGÁ ASSET MANAGEMENT</x:v>
      </x:c>
      <x:c r="E2168" s="166" t="str">
        <x:f>IFERROR(INDEX('Classif Gestoras'!$H$6:$H$462,MATCH(D2168,'Classif Gestoras'!$A$6:$A$462,0)),"Não classificada")</x:f>
        <x:v>Independente</x:v>
      </x:c>
      <x:c r="F2168" s="166" t="str">
        <x:v>BANCO DAYCOVAL S/A</x:v>
      </x:c>
      <x:c r="G2168" s="166" t="str">
        <x:v>BANCO DAYCOVAL S.A.</x:v>
      </x:c>
      <x:c r="H2168" s="166" t="str">
        <x:v>Financeiro</x:v>
      </x:c>
      <x:c r="I2168" s="166" t="str">
        <x:v>Multicarteira Financeiro</x:v>
      </x:c>
      <x:c r="J2168" s="166" t="str">
        <x:v>CI</x:v>
      </x:c>
      <x:c r="K2168" s="172" t="n">
        <x:v>9</x:v>
      </x:c>
      <x:c r="L2168" s="185" t="str">
        <x:v>Não classificado</x:v>
      </x:c>
    </x:row>
    <x:row r="2169">
      <x:c r="A2169" s="175" t="str">
        <x:v>13.026.491/0001-91</x:v>
      </x:c>
      <x:c r="B2169" s="166" t="str">
        <x:v>HAMPTON FUNDO DE INVESTIMENTO EM DIREITOS CREDITÓRIOS DE RESPONSABILIDADE LIMITADA</x:v>
      </x:c>
      <x:c r="C2169" s="188" t="n">
        <x:v>20779010.700000003</x:v>
      </x:c>
      <x:c r="D2169" s="166" t="str">
        <x:v>REAG HIERON</x:v>
      </x:c>
      <x:c r="E2169" s="166" t="str">
        <x:f>IFERROR(INDEX('Classif Gestoras'!$H$6:$H$462,MATCH(D2169,'Classif Gestoras'!$A$6:$A$462,0)),"Não classificada")</x:f>
        <x:v>Independente</x:v>
      </x:c>
      <x:c r="F2169" s="166" t="str">
        <x:v>BANCO DAYCOVAL S/A</x:v>
      </x:c>
      <x:c r="G2169" s="166" t="str">
        <x:v>BANCO DAYCOVAL S.A.</x:v>
      </x:c>
      <x:c r="H2169" s="166" t="str">
        <x:v>Outros</x:v>
      </x:c>
      <x:c r="I2169" s="166" t="str">
        <x:v>Multicarteira Outros</x:v>
      </x:c>
      <x:c r="J2169" s="166" t="str">
        <x:v>CI</x:v>
      </x:c>
      <x:c r="K2169" s="172" t="n">
        <x:v>6</x:v>
      </x:c>
      <x:c r="L2169" s="185" t="str">
        <x:v>Não classificado</x:v>
      </x:c>
    </x:row>
    <x:row r="2170">
      <x:c r="A2170" s="175" t="str">
        <x:v>59.813.000/0001-53</x:v>
      </x:c>
      <x:c r="B2170" s="166" t="str">
        <x:v>AGRO30 FUNDO DE INVESTIMENTO EM DIREITOS CREDITÓRIOS - RESPONSABILIDADE LIMITADA</x:v>
      </x:c>
      <x:c r="C2170" s="188" t="n">
        <x:v>20768698.86</x:v>
      </x:c>
      <x:c r="D2170" s="166" t="str">
        <x:v>DAYCOVAL ASSET MANAG</x:v>
      </x:c>
      <x:c r="E2170" s="166" t="str">
        <x:f>IFERROR(INDEX('Classif Gestoras'!$H$6:$H$462,MATCH(D2170,'Classif Gestoras'!$A$6:$A$462,0)),"Não classificada")</x:f>
        <x:v>Ligada a banco</x:v>
      </x:c>
      <x:c r="F2170" s="166" t="str">
        <x:v>BANCO DAYCOVAL S/A</x:v>
      </x:c>
      <x:c r="G2170" s="166" t="str">
        <x:v>BANCO DAYCOVAL S.A.</x:v>
      </x:c>
      <x:c r="H2170" s="166" t="str">
        <x:v>Agro, Indústria e Comércio</x:v>
      </x:c>
      <x:c r="I2170" s="166" t="str">
        <x:v>Agronegócio</x:v>
      </x:c>
      <x:c r="J2170" s="166" t="str">
        <x:v>CI</x:v>
      </x:c>
      <x:c r="K2170" s="172" t="n">
        <x:v>2</x:v>
      </x:c>
      <x:c r="L2170" s="185" t="str">
        <x:v>Não classificado</x:v>
      </x:c>
    </x:row>
    <x:row r="2171">
      <x:c r="A2171" s="175" t="str">
        <x:v>47.463.387/0001-86</x:v>
      </x:c>
      <x:c r="B2171" s="166" t="str">
        <x:v>SOLDI FUNDO DE INVESTIMENTO EM DIREITOS CREDITÓRIOS NÃO PADRONIZADO</x:v>
      </x:c>
      <x:c r="C2171" s="188" t="n">
        <x:v>20701278.79</x:v>
      </x:c>
      <x:c r="D2171" s="166" t="str">
        <x:v>Global Gestão e Investimentos</x:v>
      </x:c>
      <x:c r="E2171" s="166" t="str">
        <x:f>IFERROR(INDEX('Classif Gestoras'!$H$6:$H$462,MATCH(D2171,'Classif Gestoras'!$A$6:$A$462,0)),"Não classificada")</x:f>
        <x:v>Independente</x:v>
      </x:c>
      <x:c r="F2171" s="166" t="str">
        <x:v>Singulare</x:v>
      </x:c>
      <x:c r="G2171" s="166" t="str">
        <x:v>QI CORRETORA DE TÍTULOS E VALORES MOBILIÁRIOS S.A.</x:v>
      </x:c>
      <x:c r="H2171" s="166" t="str">
        <x:v>Fomento Mercantil</x:v>
      </x:c>
      <x:c r="I2171" s="166" t="str">
        <x:v>Fomento Mercantil</x:v>
      </x:c>
      <x:c r="J2171" s="166" t="str">
        <x:v>CI</x:v>
      </x:c>
      <x:c r="K2171" s="172" t="n">
        <x:v>1</x:v>
      </x:c>
      <x:c r="L2171" s="185" t="str">
        <x:v>Não classificado</x:v>
      </x:c>
    </x:row>
    <x:row r="2172">
      <x:c r="A2172" s="175" t="str">
        <x:v>61.535.375/0001-40</x:v>
      </x:c>
      <x:c r="B2172" s="166" t="str">
        <x:v>ÁTRIA II FUNDO DE INVESTIMENTO EM DIREITOS CREDITÓRIOS DE RESPONSABILIDADE LIMITADA</x:v>
      </x:c>
      <x:c r="C2172" s="188" t="n">
        <x:v>20673239.7</x:v>
      </x:c>
      <x:c r="D2172" s="166" t="str">
        <x:v>Catálise Investimentos</x:v>
      </x:c>
      <x:c r="E2172" s="166" t="str">
        <x:f>IFERROR(INDEX('Classif Gestoras'!$H$6:$H$462,MATCH(D2172,'Classif Gestoras'!$A$6:$A$462,0)),"Não classificada")</x:f>
        <x:v>Independente</x:v>
      </x:c>
      <x:c r="F2172" s="166" t="str">
        <x:v>CATÁLISE DTVM</x:v>
      </x:c>
      <x:c r="G2172" s="166" t="str">
        <x:v>BANCO DAYCOVAL S.A.</x:v>
      </x:c>
      <x:c r="H2172" s="166" t="str">
        <x:v>Agro, Indústria e Comércio</x:v>
      </x:c>
      <x:c r="I2172" s="166" t="str">
        <x:v>Multicarteira Agro, Indústria e Comércio</x:v>
      </x:c>
      <x:c r="J2172" s="166" t="str">
        <x:v>CI</x:v>
      </x:c>
      <x:c r="K2172" s="172" t="n">
        <x:v>1</x:v>
      </x:c>
      <x:c r="L2172" s="185" t="str">
        <x:v>Não classificado</x:v>
      </x:c>
    </x:row>
    <x:row r="2173">
      <x:c r="A2173" s="175" t="str">
        <x:v>50.355.218/0001-37</x:v>
      </x:c>
      <x:c r="B2173" s="166" t="str">
        <x:v>SIGNAL SPECIAL OPPORTUNITIES FUNDO DE INVESTIMENTO EM DIREITOS CREDITÓRIOS</x:v>
      </x:c>
      <x:c r="C2173" s="188" t="n">
        <x:v>20657214.19</x:v>
      </x:c>
      <x:c r="D2173" s="166" t="str">
        <x:v>Signal Capital</x:v>
      </x:c>
      <x:c r="E2173" s="166" t="str">
        <x:f>IFERROR(INDEX('Classif Gestoras'!$H$6:$H$462,MATCH(D2173,'Classif Gestoras'!$A$6:$A$462,0)),"Não classificada")</x:f>
        <x:v>Independente</x:v>
      </x:c>
      <x:c r="F2173" s="166" t="str">
        <x:v>BTG Pactual Servicos Financeiros S/A DTVM</x:v>
      </x:c>
      <x:c r="G2173" s="166" t="str">
        <x:v>BANCO BTG PACTUAL S/A</x:v>
      </x:c>
      <x:c r="H2173" s="166" t="str">
        <x:v>Outros</x:v>
      </x:c>
      <x:c r="I2173" s="166" t="str">
        <x:v>Multicarteira Outros</x:v>
      </x:c>
      <x:c r="J2173" s="166" t="str">
        <x:v>CI</x:v>
      </x:c>
      <x:c r="K2173" s="172" t="n">
        <x:v>1</x:v>
      </x:c>
      <x:c r="L2173" s="185" t="str">
        <x:v>Não classificado</x:v>
      </x:c>
    </x:row>
    <x:row r="2174">
      <x:c r="A2174" s="175" t="str">
        <x:v>63.428.663/0001-21</x:v>
      </x:c>
      <x:c r="B2174" s="166" t="str">
        <x:v>INFINITO FDC CLT FUNDO DE INVESTIMENTO EM DIREITOS CREDITÓRIOS CONSIGNADO PRIVADO RESP LIMITADA</x:v>
      </x:c>
      <x:c r="C2174" s="188" t="n">
        <x:v>20627196.78</x:v>
      </x:c>
      <x:c r="D2174" s="166" t="str">
        <x:v>VERT Gestora de Recursos Financeiros Ltda.</x:v>
      </x:c>
      <x:c r="E2174" s="166" t="str">
        <x:f>IFERROR(INDEX('Classif Gestoras'!$H$6:$H$462,MATCH(D2174,'Classif Gestoras'!$A$6:$A$462,0)),"Não classificada")</x:f>
        <x:v>Independente</x:v>
      </x:c>
      <x:c r="F2174" s="166" t="str">
        <x:v>VERT Distribuidora de Títulos e Valores Mobiliários Ltd</x:v>
      </x:c>
      <x:c r="G2174" s="166" t="str">
        <x:v>VERT DISTRIBUIDORA DE TÍTULOS E VALORES MOBILIÁRIOS LTDA.</x:v>
      </x:c>
      <x:c r="H2174" s="166" t="str">
        <x:v>Financeiro</x:v>
      </x:c>
      <x:c r="I2174" s="166" t="str">
        <x:v>Crédito Consignado</x:v>
      </x:c>
      <x:c r="J2174" s="166" t="str">
        <x:v>CI</x:v>
      </x:c>
      <x:c r="K2174" s="172" t="n">
        <x:v>3</x:v>
      </x:c>
      <x:c r="L2174" s="185" t="str">
        <x:v>Não classificado</x:v>
      </x:c>
    </x:row>
    <x:row r="2175">
      <x:c r="A2175" s="175" t="str">
        <x:v>45.930.576/0001-96</x:v>
      </x:c>
      <x:c r="B2175" s="166" t="str">
        <x:v>ACRE BG FUNDO DE INVESTIMENTO EM DIREITOS CREDITÓRIOS</x:v>
      </x:c>
      <x:c r="C2175" s="188" t="n">
        <x:v>20603124.71</x:v>
      </x:c>
      <x:c r="D2175" s="166" t="str">
        <x:v>GENIAL GESTÃO LTDA.</x:v>
      </x:c>
      <x:c r="E2175" s="166" t="str">
        <x:f>IFERROR(INDEX('Classif Gestoras'!$H$6:$H$462,MATCH(D2175,'Classif Gestoras'!$A$6:$A$462,0)),"Não classificada")</x:f>
        <x:v>Ligada a banco</x:v>
      </x:c>
      <x:c r="F2175" s="166" t="str">
        <x:v>Banco Genial S.A.</x:v>
      </x:c>
      <x:c r="G2175" s="166" t="str">
        <x:v>BANCO GENIAL S.A.</x:v>
      </x:c>
      <x:c r="H2175" s="166" t="str">
        <x:v>Agro, Indústria e Comércio</x:v>
      </x:c>
      <x:c r="I2175" s="166" t="str">
        <x:v>Recebíveis Comerciais</x:v>
      </x:c>
      <x:c r="J2175" s="166" t="str">
        <x:v>CI</x:v>
      </x:c>
      <x:c r="K2175" s="172" t="n">
        <x:v>18</x:v>
      </x:c>
      <x:c r="L2175" s="185" t="str">
        <x:v>Não classificado</x:v>
      </x:c>
    </x:row>
    <x:row r="2176">
      <x:c r="A2176" s="175" t="str">
        <x:v>09.520.712/0001-06</x:v>
      </x:c>
      <x:c r="B2176" s="166" t="str">
        <x:v>GRAN FIDC NÃO-PADRONIZADOS MULTISSETORIAL NP - GRANFIDC</x:v>
      </x:c>
      <x:c r="C2176" s="188" t="n">
        <x:v>20576922.59</x:v>
      </x:c>
      <x:c r="D2176" s="166" t="str">
        <x:v>TERCON ASSET MANAGEMENT</x:v>
      </x:c>
      <x:c r="E2176" s="166" t="str">
        <x:f>IFERROR(INDEX('Classif Gestoras'!$H$6:$H$462,MATCH(D2176,'Classif Gestoras'!$A$6:$A$462,0)),"Não classificada")</x:f>
        <x:v>Independente</x:v>
      </x:c>
      <x:c r="F2176" s="166" t="str">
        <x:v>Singulare</x:v>
      </x:c>
      <x:c r="G2176" s="166" t="str">
        <x:v>QI CORRETORA DE TÍTULOS E VALORES MOBILIÁRIOS S.A.</x:v>
      </x:c>
      <x:c r="H2176" s="166" t="str">
        <x:v>Fomento Mercantil</x:v>
      </x:c>
      <x:c r="I2176" s="166" t="str">
        <x:v>Fomento Mercantil</x:v>
      </x:c>
      <x:c r="J2176" s="166" t="str">
        <x:v>CI</x:v>
      </x:c>
      <x:c r="K2176" s="172" t="n">
        <x:v>1</x:v>
      </x:c>
      <x:c r="L2176" s="185" t="str">
        <x:v>Não classificado</x:v>
      </x:c>
    </x:row>
    <x:row r="2177">
      <x:c r="A2177" s="175" t="str">
        <x:v>47.227.609/0001-61</x:v>
      </x:c>
      <x:c r="B2177" s="166" t="str">
        <x:v>CNPJ 47227609000161</x:v>
      </x:c>
      <x:c r="C2177" s="188" t="n">
        <x:v>20572104.31</x:v>
      </x:c>
      <x:c r="D2177" s="166" t="str">
        <x:v>Bocaina Capital</x:v>
      </x:c>
      <x:c r="E2177" s="166" t="str">
        <x:f>IFERROR(INDEX('Classif Gestoras'!$H$6:$H$462,MATCH(D2177,'Classif Gestoras'!$A$6:$A$462,0)),"Não classificada")</x:f>
        <x:v>Independente</x:v>
      </x:c>
      <x:c r="F2177" s="166" t="str">
        <x:v>BANCO DAYCOVAL S/A</x:v>
      </x:c>
      <x:c r="G2177" s="166" t="str">
        <x:v>Não identificado</x:v>
      </x:c>
      <x:c r="H2177" s="166" t="str">
        <x:v>Outros</x:v>
      </x:c>
      <x:c r="I2177" s="166" t="str">
        <x:v>Multicarteira Outros</x:v>
      </x:c>
      <x:c r="J2177" s="166" t="str">
        <x:v>CI</x:v>
      </x:c>
      <x:c r="K2177" s="172"/>
      <x:c r="L2177" s="185" t="str">
        <x:v>Não classificado</x:v>
      </x:c>
    </x:row>
    <x:row r="2178">
      <x:c r="A2178" s="175" t="str">
        <x:v>65.794.289/0001-03</x:v>
      </x:c>
      <x:c r="B2178" s="166" t="str">
        <x:v>DUX FUNDO DE INVESTIMENTO EM DIREITOS CREDITÓRIOS RESPONSABILIDADE LIMITADA</x:v>
      </x:c>
      <x:c r="C2178" s="188" t="n">
        <x:v>20558132.11</x:v>
      </x:c>
      <x:c r="D2178" s="166" t="str">
        <x:v>BS2 ASSET MANAGEMENT – ADMINISTRADORA DE RECURSOS LTDA.</x:v>
      </x:c>
      <x:c r="E2178" s="166" t="str">
        <x:f>IFERROR(INDEX('Classif Gestoras'!$H$6:$H$462,MATCH(D2178,'Classif Gestoras'!$A$6:$A$462,0)),"Não classificada")</x:f>
        <x:v>Independente</x:v>
      </x:c>
      <x:c r="F2178" s="166" t="str">
        <x:v>FIDD DISTRIBUIDORA DE TITULOS E VALORES MOBILIARIOS LTD</x:v>
      </x:c>
      <x:c r="G2178" s="166" t="str">
        <x:v>FIDD DISTRIBUIDORA DE TITULOS E VALORES MOBILIARIOS LTDA.</x:v>
      </x:c>
      <x:c r="H2178" s="166" t="str">
        <x:v>Agro, Indústria e Comércio</x:v>
      </x:c>
      <x:c r="I2178" s="166" t="str">
        <x:v>Recebíveis Comerciais</x:v>
      </x:c>
      <x:c r="J2178" s="166" t="str">
        <x:v>CI</x:v>
      </x:c>
      <x:c r="K2178" s="172" t="n">
        <x:v>2</x:v>
      </x:c>
      <x:c r="L2178" s="185" t="str">
        <x:v>Não classificado</x:v>
      </x:c>
    </x:row>
    <x:row r="2179">
      <x:c r="A2179" s="175" t="str">
        <x:v>50.948.092/0001-04</x:v>
      </x:c>
      <x:c r="B2179" s="166" t="str">
        <x:v>CESSIONÁRIO 1 FUNDO DE INVESTIMENTO EM DIREITOS CREDITÓRIOS NÃO-PADRONIZADOS RESP LIMITADA</x:v>
      </x:c>
      <x:c r="C2179" s="188" t="n">
        <x:v>20550420.76</x:v>
      </x:c>
      <x:c r="D2179" s="166" t="str">
        <x:v>GESTORA DE RECURSOS ID - GRID LTDA.</x:v>
      </x:c>
      <x:c r="E2179" s="166" t="str">
        <x:f>IFERROR(INDEX('Classif Gestoras'!$H$6:$H$462,MATCH(D2179,'Classif Gestoras'!$A$6:$A$462,0)),"Não classificada")</x:f>
        <x:v>Independente</x:v>
      </x:c>
      <x:c r="F2179" s="166" t="str">
        <x:v>ID Corretora de Títulos e Valores Mobiliários S.A.</x:v>
      </x:c>
      <x:c r="G2179" s="166" t="str">
        <x:v>ID CORRETORA DE TITULOS E VALORES MOBILIARIOS S.A.</x:v>
      </x:c>
      <x:c r="H2179" s="166" t="str">
        <x:v>Outros</x:v>
      </x:c>
      <x:c r="I2179" s="166" t="str">
        <x:v>Multicarteira Outros</x:v>
      </x:c>
      <x:c r="J2179" s="166" t="str">
        <x:v>CI</x:v>
      </x:c>
      <x:c r="K2179" s="172" t="n">
        <x:v>1</x:v>
      </x:c>
      <x:c r="L2179" s="185" t="str">
        <x:v>Não classificado</x:v>
      </x:c>
    </x:row>
    <x:row r="2180">
      <x:c r="A2180" s="175" t="str">
        <x:v>41.124.590/0001-41</x:v>
      </x:c>
      <x:c r="B2180" s="166" t="str">
        <x:v>CONDOCASH II - FUNDO DE INVESTIMENTO EM DIREITOS CREDITÓRIOS</x:v>
      </x:c>
      <x:c r="C2180" s="188" t="n">
        <x:v>20533939.72</x:v>
      </x:c>
      <x:c r="D2180" s="166" t="str">
        <x:v>REAG LEGAL CLAIMS GESTÃO DE ATIVOS</x:v>
      </x:c>
      <x:c r="E2180" s="166" t="str">
        <x:f>IFERROR(INDEX('Classif Gestoras'!$H$6:$H$462,MATCH(D2180,'Classif Gestoras'!$A$6:$A$462,0)),"Não classificada")</x:f>
        <x:v>Independente</x:v>
      </x:c>
      <x:c r="F2180" s="166" t="str">
        <x:v>PLANNER CV</x:v>
      </x:c>
      <x:c r="G2180" s="166" t="str">
        <x:v>PLANNER CORRETORA DE VALORES S.A.</x:v>
      </x:c>
      <x:c r="H2180" s="166" t="str">
        <x:v>Fomento Mercantil</x:v>
      </x:c>
      <x:c r="I2180" s="166" t="str">
        <x:v>Fomento Mercantil</x:v>
      </x:c>
      <x:c r="J2180" s="166" t="str">
        <x:v>CI</x:v>
      </x:c>
      <x:c r="K2180" s="172" t="n">
        <x:v>4</x:v>
      </x:c>
      <x:c r="L2180" s="185" t="str">
        <x:v>Não classificado</x:v>
      </x:c>
    </x:row>
    <x:row r="2181">
      <x:c r="A2181" s="175" t="str">
        <x:v>43.619.145/0001-88</x:v>
      </x:c>
      <x:c r="B2181" s="166" t="str">
        <x:v>QI QUATÁ FUNDO DE INVESTIMENTO EM DIREITOS CREDITÓRIOS</x:v>
      </x:c>
      <x:c r="C2181" s="188" t="n">
        <x:v>20441028.72</x:v>
      </x:c>
      <x:c r="D2181" s="166" t="str">
        <x:v>Quatá Investimentos</x:v>
      </x:c>
      <x:c r="E2181" s="166" t="str">
        <x:f>IFERROR(INDEX('Classif Gestoras'!$H$6:$H$462,MATCH(D2181,'Classif Gestoras'!$A$6:$A$462,0)),"Não classificada")</x:f>
        <x:v>Independente</x:v>
      </x:c>
      <x:c r="F2181" s="166" t="str">
        <x:v>Singulare</x:v>
      </x:c>
      <x:c r="G2181" s="166" t="str">
        <x:v>QI CORRETORA DE TÍTULOS E VALORES MOBILIÁRIOS S.A.</x:v>
      </x:c>
      <x:c r="H2181" s="166" t="str">
        <x:v>Outros</x:v>
      </x:c>
      <x:c r="I2181" s="166" t="str">
        <x:v>Multicarteira Outros</x:v>
      </x:c>
      <x:c r="J2181" s="166" t="str">
        <x:v>CI</x:v>
      </x:c>
      <x:c r="K2181" s="172" t="n">
        <x:v>1</x:v>
      </x:c>
      <x:c r="L2181" s="185" t="str">
        <x:v>Não classificado</x:v>
      </x:c>
    </x:row>
    <x:row r="2182">
      <x:c r="A2182" s="175" t="str">
        <x:v>60.203.969/0001-91</x:v>
      </x:c>
      <x:c r="B2182" s="166" t="str">
        <x:v>24 CASH FUNDO DE INVESTIMENTO EM DIREITOS CREDITÓRIOS</x:v>
      </x:c>
      <x:c r="C2182" s="188" t="n">
        <x:v>20409180.34</x:v>
      </x:c>
      <x:c r="D2182" s="166" t="str">
        <x:v>Redwood Asset Management</x:v>
      </x:c>
      <x:c r="E2182" s="166" t="str">
        <x:f>IFERROR(INDEX('Classif Gestoras'!$H$6:$H$462,MATCH(D2182,'Classif Gestoras'!$A$6:$A$462,0)),"Não classificada")</x:f>
        <x:v>Independente</x:v>
      </x:c>
      <x:c r="F2182" s="166" t="str">
        <x:v>PLANNER CV</x:v>
      </x:c>
      <x:c r="G2182" s="166" t="str">
        <x:v>PLANNER CORRETORA DE VALORES S.A.</x:v>
      </x:c>
      <x:c r="H2182" s="166" t="str">
        <x:v>Outros</x:v>
      </x:c>
      <x:c r="I2182" s="166" t="str">
        <x:v>Multicarteira Outros</x:v>
      </x:c>
      <x:c r="J2182" s="166" t="str">
        <x:v>CI</x:v>
      </x:c>
      <x:c r="K2182" s="172" t="n">
        <x:v>2</x:v>
      </x:c>
      <x:c r="L2182" s="185" t="str">
        <x:v>Não classificado</x:v>
      </x:c>
    </x:row>
    <x:row r="2183">
      <x:c r="A2183" s="175" t="str">
        <x:v>61.281.536/0001-17</x:v>
      </x:c>
      <x:c r="B2183" s="166" t="str">
        <x:v>AKZ IWS FUNDO DE INVESTIMENTO EM DIREITOS CREDITÓRIOS RECEBÍVEIS COMERCIAIS RESP LIMITADA</x:v>
      </x:c>
      <x:c r="C2183" s="188" t="n">
        <x:v>20291127.41</x:v>
      </x:c>
      <x:c r="D2183" s="166" t="str">
        <x:v>4UM GESTÃO DE RECURSOS LTDA.</x:v>
      </x:c>
      <x:c r="E2183" s="166" t="str">
        <x:f>IFERROR(INDEX('Classif Gestoras'!$H$6:$H$462,MATCH(D2183,'Classif Gestoras'!$A$6:$A$462,0)),"Não classificada")</x:f>
        <x:v>Independente</x:v>
      </x:c>
      <x:c r="F2183" s="166" t="str">
        <x:v>HEMERA DTVM</x:v>
      </x:c>
      <x:c r="G2183" s="166" t="str">
        <x:v>HEMERA DISTRIBUIDORA DE TITULOS E VALORES MOBILIARIOS LTDA</x:v>
      </x:c>
      <x:c r="H2183" s="166" t="str">
        <x:v>Outros</x:v>
      </x:c>
      <x:c r="I2183" s="166" t="str">
        <x:v>Multicarteira Outros</x:v>
      </x:c>
      <x:c r="J2183" s="166" t="str">
        <x:v>CI</x:v>
      </x:c>
      <x:c r="K2183" s="172" t="n">
        <x:v>24</x:v>
      </x:c>
      <x:c r="L2183" s="185" t="str">
        <x:v>Não classificado</x:v>
      </x:c>
    </x:row>
    <x:row r="2184">
      <x:c r="A2184" s="175" t="str">
        <x:v>58.534.471/0001-60</x:v>
      </x:c>
      <x:c r="B2184" s="166" t="str">
        <x:v>LEGEND II SPECIAL ASSETS LEGAL CLAIMS FUNDO DE INVESTIMENTO EM DIREITOS CREDITÓRIOS</x:v>
      </x:c>
      <x:c r="C2184" s="188" t="n">
        <x:v>20290806.369999997</x:v>
      </x:c>
      <x:c r="D2184" s="166" t="str">
        <x:v>LEGEND LEGAL ASSETS GESTAO DE RECURSOS LTDA</x:v>
      </x:c>
      <x:c r="E2184" s="166" t="str">
        <x:f>IFERROR(INDEX('Classif Gestoras'!$H$6:$H$462,MATCH(D2184,'Classif Gestoras'!$A$6:$A$462,0)),"Não classificada")</x:f>
        <x:v>Independente</x:v>
      </x:c>
      <x:c r="F2184" s="166" t="str">
        <x:v>BTG Pactual Servicos Financeiros S/A DTVM</x:v>
      </x:c>
      <x:c r="G2184" s="166" t="str">
        <x:v>BANCO BTG PACTUAL S/A</x:v>
      </x:c>
      <x:c r="H2184" s="166" t="str">
        <x:v>Outros</x:v>
      </x:c>
      <x:c r="I2184" s="166" t="str">
        <x:v>Multicarteira Outros</x:v>
      </x:c>
      <x:c r="J2184" s="166" t="str">
        <x:v>CI</x:v>
      </x:c>
      <x:c r="K2184" s="172" t="n">
        <x:v>1</x:v>
      </x:c>
      <x:c r="L2184" s="185" t="str">
        <x:v>Não classificado</x:v>
      </x:c>
    </x:row>
    <x:row r="2185">
      <x:c r="A2185" s="175" t="str">
        <x:v>65.216.273/0001-13</x:v>
      </x:c>
      <x:c r="B2185" s="166" t="str">
        <x:v>APG SAFIRA FUNDO DE INVESTIMENTO EM DIREITOS CREDITÓRIOS DE RESPONSABILIDADE LIMITADA</x:v>
      </x:c>
      <x:c r="C2185" s="188" t="n">
        <x:v>20283223.619999997</x:v>
      </x:c>
      <x:c r="D2185" s="166" t="str">
        <x:v>ORRAM GESTÃO DE RECURSOS LTDA.</x:v>
      </x:c>
      <x:c r="E2185" s="166" t="str">
        <x:f>IFERROR(INDEX('Classif Gestoras'!$H$6:$H$462,MATCH(D2185,'Classif Gestoras'!$A$6:$A$462,0)),"Não classificada")</x:f>
        <x:v>Independente</x:v>
      </x:c>
      <x:c r="F2185" s="166" t="str">
        <x:v>Singulare</x:v>
      </x:c>
      <x:c r="G2185" s="166" t="str">
        <x:v>QI CORRETORA DE TÍTULOS E VALORES MOBILIÁRIOS S.A.</x:v>
      </x:c>
      <x:c r="H2185" s="166" t="str">
        <x:v>Fomento Mercantil</x:v>
      </x:c>
      <x:c r="I2185" s="166" t="str">
        <x:v>Fomento Mercantil</x:v>
      </x:c>
      <x:c r="J2185" s="166" t="str">
        <x:v>CI</x:v>
      </x:c>
      <x:c r="K2185" s="172" t="n">
        <x:v>8</x:v>
      </x:c>
      <x:c r="L2185" s="185" t="str">
        <x:v>Não classificado</x:v>
      </x:c>
    </x:row>
    <x:row r="2186">
      <x:c r="A2186" s="175" t="str">
        <x:v>55.481.003/0001-86</x:v>
      </x:c>
      <x:c r="B2186" s="166" t="str">
        <x:v>VB1 FUNDO DE INVESTIMENTO EM DIREITOS CREDITÓRIOS FINANCEIROS</x:v>
      </x:c>
      <x:c r="C2186" s="188" t="n">
        <x:v>20273803.360000003</x:v>
      </x:c>
      <x:c r="D2186" s="166" t="str">
        <x:v>BLUEWAVE ASSET LTDA</x:v>
      </x:c>
      <x:c r="E2186" s="166" t="str">
        <x:f>IFERROR(INDEX('Classif Gestoras'!$H$6:$H$462,MATCH(D2186,'Classif Gestoras'!$A$6:$A$462,0)),"Não classificada")</x:f>
        <x:v>Independente</x:v>
      </x:c>
      <x:c r="F2186" s="166" t="str">
        <x:v>Finvest Digital</x:v>
      </x:c>
      <x:c r="G2186" s="166" t="str">
        <x:v>FINVEST DISTRIBUIDORA DE TÍTULOS E VALORES MOBILIÁRIOS LTDA.</x:v>
      </x:c>
      <x:c r="H2186" s="166" t="str">
        <x:v>Outros</x:v>
      </x:c>
      <x:c r="I2186" s="166" t="str">
        <x:v>Multicarteira Outros</x:v>
      </x:c>
      <x:c r="J2186" s="166" t="str">
        <x:v>CI</x:v>
      </x:c>
      <x:c r="K2186" s="172" t="n">
        <x:v>3</x:v>
      </x:c>
      <x:c r="L2186" s="185" t="str">
        <x:v>Não classificado</x:v>
      </x:c>
    </x:row>
    <x:row r="2187">
      <x:c r="A2187" s="175" t="str">
        <x:v>61.755.814/0001-20</x:v>
      </x:c>
      <x:c r="B2187" s="166" t="str">
        <x:v>DILARY INVEST FUNDO DE INVESTIMENTO EM DIREITOS CREDITÓRIOS</x:v>
      </x:c>
      <x:c r="C2187" s="188" t="n">
        <x:v>20245903.66</x:v>
      </x:c>
      <x:c r="D2187" s="166" t="str">
        <x:v>VESTRA CAPITAL</x:v>
      </x:c>
      <x:c r="E2187" s="166" t="str">
        <x:f>IFERROR(INDEX('Classif Gestoras'!$H$6:$H$462,MATCH(D2187,'Classif Gestoras'!$A$6:$A$462,0)),"Não classificada")</x:f>
        <x:v>Independente</x:v>
      </x:c>
      <x:c r="F2187" s="166" t="str">
        <x:v>AZUMI DISTRIBUIDORA DE TÍTULOS E VALORES MOBILIÁRIOS LT</x:v>
      </x:c>
      <x:c r="G2187" s="166" t="str">
        <x:v>AZUMI DISTRIBUIDORA DE TÍTULOS E VALORES MOBILIÁRIOS LTDA.</x:v>
      </x:c>
      <x:c r="H2187" s="166" t="str">
        <x:v>Financeiro</x:v>
      </x:c>
      <x:c r="I2187" s="166" t="str">
        <x:v>Multicarteira Financeiro</x:v>
      </x:c>
      <x:c r="J2187" s="166" t="str">
        <x:v>CI</x:v>
      </x:c>
      <x:c r="K2187" s="172" t="n">
        <x:v>1</x:v>
      </x:c>
      <x:c r="L2187" s="185" t="str">
        <x:v>Não classificado</x:v>
      </x:c>
    </x:row>
    <x:row r="2188">
      <x:c r="A2188" s="175" t="str">
        <x:v>59.744.598/0001-76</x:v>
      </x:c>
      <x:c r="B2188" s="166" t="str">
        <x:v>MEDCASH FUNDO DE INVESTIMENTO EM DIREITOS CREDITÓRIOS DE RESPONSABILIDADE LIMITADA</x:v>
      </x:c>
      <x:c r="C2188" s="188" t="n">
        <x:v>20240904.93</x:v>
      </x:c>
      <x:c r="D2188" s="166" t="str">
        <x:v>Catálise Investimentos</x:v>
      </x:c>
      <x:c r="E2188" s="166" t="str">
        <x:f>IFERROR(INDEX('Classif Gestoras'!$H$6:$H$462,MATCH(D2188,'Classif Gestoras'!$A$6:$A$462,0)),"Não classificada")</x:f>
        <x:v>Independente</x:v>
      </x:c>
      <x:c r="F2188" s="166" t="str">
        <x:v>CATÁLISE DTVM</x:v>
      </x:c>
      <x:c r="G2188" s="166" t="str">
        <x:v>BANCO DAYCOVAL S.A.</x:v>
      </x:c>
      <x:c r="H2188" s="166" t="str">
        <x:v>Agro, Indústria e Comércio</x:v>
      </x:c>
      <x:c r="I2188" s="166" t="str">
        <x:v>Multicarteira Agro, Indústria e Comércio</x:v>
      </x:c>
      <x:c r="J2188" s="166" t="str">
        <x:v>CI</x:v>
      </x:c>
      <x:c r="K2188" s="172" t="n">
        <x:v>1</x:v>
      </x:c>
      <x:c r="L2188" s="185" t="str">
        <x:v>Não classificado</x:v>
      </x:c>
    </x:row>
    <x:row r="2189">
      <x:c r="A2189" s="175" t="str">
        <x:v>59.878.508/0001-30</x:v>
      </x:c>
      <x:c r="B2189" s="166" t="str">
        <x:v>CNPJ 59878508000130</x:v>
      </x:c>
      <x:c r="C2189" s="188" t="n">
        <x:v>20199540.59</x:v>
      </x:c>
      <x:c r="D2189" s="166" t="str">
        <x:v>Artesanal Investimentos</x:v>
      </x:c>
      <x:c r="E2189" s="166" t="str">
        <x:f>IFERROR(INDEX('Classif Gestoras'!$H$6:$H$462,MATCH(D2189,'Classif Gestoras'!$A$6:$A$462,0)),"Não classificada")</x:f>
        <x:v>Independente</x:v>
      </x:c>
      <x:c r="F2189" s="166" t="str">
        <x:v>Banco Genial S.A.</x:v>
      </x:c>
      <x:c r="G2189" s="166" t="str">
        <x:v>Não identificado</x:v>
      </x:c>
      <x:c r="H2189" s="166" t="str">
        <x:v>Outros</x:v>
      </x:c>
      <x:c r="I2189" s="166" t="str">
        <x:v>Multicarteira Outros</x:v>
      </x:c>
      <x:c r="J2189" s="166" t="str">
        <x:v>CI</x:v>
      </x:c>
      <x:c r="K2189" s="172"/>
      <x:c r="L2189" s="185" t="str">
        <x:v>Não classificado</x:v>
      </x:c>
    </x:row>
    <x:row r="2190">
      <x:c r="A2190" s="175" t="str">
        <x:v>53.171.779/0001-74</x:v>
      </x:c>
      <x:c r="B2190" s="166" t="str">
        <x:v>SÓCRATES FUNDO DE INVESTIMENTO EM DIREITOS CREDITÓRIOS</x:v>
      </x:c>
      <x:c r="C2190" s="188" t="n">
        <x:v>20139828.220000003</x:v>
      </x:c>
      <x:c r="D2190" s="166" t="str">
        <x:v>Reag Administradora de Recursos Ltda</x:v>
      </x:c>
      <x:c r="E2190" s="166" t="str">
        <x:f>IFERROR(INDEX('Classif Gestoras'!$H$6:$H$462,MATCH(D2190,'Classif Gestoras'!$A$6:$A$462,0)),"Não classificada")</x:f>
        <x:v>Independente</x:v>
      </x:c>
      <x:c r="F2190" s="166" t="str">
        <x:v>REAG DTVM</x:v>
      </x:c>
      <x:c r="G2190" s="166" t="str">
        <x:v>QORE DISTRIBUIDORA DE TÍTULOS E VALORES MOBILIÁRIOS LTDA.</x:v>
      </x:c>
      <x:c r="H2190" s="166" t="str">
        <x:v>Outros</x:v>
      </x:c>
      <x:c r="I2190" s="166" t="str">
        <x:v>Multicarteira Outros</x:v>
      </x:c>
      <x:c r="J2190" s="166" t="str">
        <x:v>CI</x:v>
      </x:c>
      <x:c r="K2190" s="172" t="n">
        <x:v>1</x:v>
      </x:c>
      <x:c r="L2190" s="185" t="str">
        <x:v>Não classificado</x:v>
      </x:c>
    </x:row>
    <x:row r="2191">
      <x:c r="A2191" s="175" t="str">
        <x:v>52.998.251/0001-00</x:v>
      </x:c>
      <x:c r="B2191" s="166" t="str">
        <x:v>HAOC FUNDO DE INVESTIMENTO EM DIREITOS CREDITÓRIOS</x:v>
      </x:c>
      <x:c r="C2191" s="188" t="n">
        <x:v>20117175.78</x:v>
      </x:c>
      <x:c r="D2191" s="166" t="str">
        <x:v>H2 CAPITAL</x:v>
      </x:c>
      <x:c r="E2191" s="166" t="str">
        <x:f>IFERROR(INDEX('Classif Gestoras'!$H$6:$H$462,MATCH(D2191,'Classif Gestoras'!$A$6:$A$462,0)),"Não classificada")</x:f>
        <x:v>Independente</x:v>
      </x:c>
      <x:c r="F2191" s="166" t="str">
        <x:v>BANCO DAYCOVAL S/A</x:v>
      </x:c>
      <x:c r="G2191" s="166" t="str">
        <x:v>BANCO DAYCOVAL S.A.</x:v>
      </x:c>
      <x:c r="H2191" s="166" t="str">
        <x:v>Outros</x:v>
      </x:c>
      <x:c r="I2191" s="166" t="str">
        <x:v>Multicarteira Outros</x:v>
      </x:c>
      <x:c r="J2191" s="166" t="str">
        <x:v>CI</x:v>
      </x:c>
      <x:c r="K2191" s="172" t="n">
        <x:v>8</x:v>
      </x:c>
      <x:c r="L2191" s="185" t="str">
        <x:v>Não classificado</x:v>
      </x:c>
    </x:row>
    <x:row r="2192">
      <x:c r="A2192" s="175" t="str">
        <x:v>32.511.681/0001-49</x:v>
      </x:c>
      <x:c r="B2192" s="166" t="str">
        <x:v>BLP PCJ VII FUNDO DE INVESTIMENTO EM DIREITOS CREDITÓRIOS RESPONSABILIDADE LIMITADA</x:v>
      </x:c>
      <x:c r="C2192" s="188" t="n">
        <x:v>20110610.44</x:v>
      </x:c>
      <x:c r="D2192" s="166" t="str">
        <x:v>BLP CAPITAL</x:v>
      </x:c>
      <x:c r="E2192" s="166" t="str">
        <x:f>IFERROR(INDEX('Classif Gestoras'!$H$6:$H$462,MATCH(D2192,'Classif Gestoras'!$A$6:$A$462,0)),"Não classificada")</x:f>
        <x:v>Independente</x:v>
      </x:c>
      <x:c r="F2192" s="166" t="str">
        <x:v>TRUSTEE DTVM</x:v>
      </x:c>
      <x:c r="G2192" s="166" t="str">
        <x:v>TRUSTEE DISTRIBUIDORA DE TITULOS E VALORES MOBILIARIOS LTDA.</x:v>
      </x:c>
      <x:c r="H2192" s="166" t="str">
        <x:v>Outros</x:v>
      </x:c>
      <x:c r="I2192" s="166" t="str">
        <x:v>Poder Público</x:v>
      </x:c>
      <x:c r="J2192" s="166" t="str">
        <x:v>CI</x:v>
      </x:c>
      <x:c r="K2192" s="172" t="n">
        <x:v>1</x:v>
      </x:c>
      <x:c r="L2192" s="185" t="str">
        <x:v>Não classificado</x:v>
      </x:c>
    </x:row>
    <x:row r="2193">
      <x:c r="A2193" s="175" t="str">
        <x:v>12.915.248/0001-61</x:v>
      </x:c>
      <x:c r="B2193" s="166" t="str">
        <x:v>SÃO JOSÉ FUNDO DE INVESTIMENTO EM DIREITOS CREDITÓRIOS - RESPONSABILIDADE LIMITADA</x:v>
      </x:c>
      <x:c r="C2193" s="188" t="n">
        <x:v>20076201.47</x:v>
      </x:c>
      <x:c r="D2193" s="166" t="str">
        <x:v>Artesanal Investimentos</x:v>
      </x:c>
      <x:c r="E2193" s="166" t="str">
        <x:f>IFERROR(INDEX('Classif Gestoras'!$H$6:$H$462,MATCH(D2193,'Classif Gestoras'!$A$6:$A$462,0)),"Não classificada")</x:f>
        <x:v>Independente</x:v>
      </x:c>
      <x:c r="F2193" s="166" t="str">
        <x:v>Genial Investimentos Corretora de Valores Mobiliários S.A.</x:v>
      </x:c>
      <x:c r="G2193" s="166" t="str">
        <x:v>BANCO B3 S.A.</x:v>
      </x:c>
      <x:c r="H2193" s="166" t="str">
        <x:v>Outros</x:v>
      </x:c>
      <x:c r="I2193" s="166" t="str">
        <x:v>Multicarteira Outros</x:v>
      </x:c>
      <x:c r="J2193" s="166" t="str">
        <x:v>CI</x:v>
      </x:c>
      <x:c r="K2193" s="172" t="n">
        <x:v>1</x:v>
      </x:c>
      <x:c r="L2193" s="185" t="str">
        <x:v>Não classificado</x:v>
      </x:c>
    </x:row>
    <x:row r="2194">
      <x:c r="A2194" s="175" t="str">
        <x:v>61.295.347/0001-01</x:v>
      </x:c>
      <x:c r="B2194" s="166" t="str">
        <x:v>SALIS FUNDO DE INVESTIMENTO EM DIREITOS CREDITÓRIOS - RESPONSABILIDADE LIMITADA</x:v>
      </x:c>
      <x:c r="C2194" s="188" t="n">
        <x:v>20050487.93</x:v>
      </x:c>
      <x:c r="D2194" s="166" t="str">
        <x:v>Netz Asset</x:v>
      </x:c>
      <x:c r="E2194" s="166" t="str">
        <x:f>IFERROR(INDEX('Classif Gestoras'!$H$6:$H$462,MATCH(D2194,'Classif Gestoras'!$A$6:$A$462,0)),"Não classificada")</x:f>
        <x:v>Independente</x:v>
      </x:c>
      <x:c r="F2194" s="166" t="str">
        <x:v>MONETAR DISTRIBUIDORA DE TITUL</x:v>
      </x:c>
      <x:c r="G2194" s="166" t="str">
        <x:v>TERRA INVESTIMENTOS DISTRIBUIDORA DE TITULOS E VALORES MOBILIARIOS LTDA</x:v>
      </x:c>
      <x:c r="H2194" s="166" t="str">
        <x:v>Outros</x:v>
      </x:c>
      <x:c r="I2194" s="166" t="str">
        <x:v>Multicarteira Outros</x:v>
      </x:c>
      <x:c r="J2194" s="166" t="str">
        <x:v>CI</x:v>
      </x:c>
      <x:c r="K2194" s="172" t="n">
        <x:v>3</x:v>
      </x:c>
      <x:c r="L2194" s="185" t="str">
        <x:v>Não classificado</x:v>
      </x:c>
    </x:row>
    <x:row r="2195">
      <x:c r="A2195" s="175" t="str">
        <x:v>60.316.032/0001-22</x:v>
      </x:c>
      <x:c r="B2195" s="166" t="str">
        <x:v>CLASSE ÚNICA DE COTAS DO VALORA CAPITAL PARTNERS II FIC DE FIDC RESPONSABILIDADE LIMITADA</x:v>
      </x:c>
      <x:c r="C2195" s="188" t="n">
        <x:v>20038085.95</x:v>
      </x:c>
      <x:c r="D2195" s="166" t="str">
        <x:v>VALORA RENDA FIXA ESTRUTURADOS LTDA.</x:v>
      </x:c>
      <x:c r="E2195" s="166" t="str">
        <x:f>IFERROR(INDEX('Classif Gestoras'!$H$6:$H$462,MATCH(D2195,'Classif Gestoras'!$A$6:$A$462,0)),"Não classificada")</x:f>
        <x:v>Independente</x:v>
      </x:c>
      <x:c r="F2195" s="166" t="str">
        <x:v>BANCO DAYCOVAL S/A</x:v>
      </x:c>
      <x:c r="G2195" s="166" t="str">
        <x:v>BANCO DAYCOVAL S.A.</x:v>
      </x:c>
      <x:c r="H2195" s="166" t="str">
        <x:v>Outros</x:v>
      </x:c>
      <x:c r="I2195" s="166" t="str">
        <x:v>Multicarteira Outros</x:v>
      </x:c>
      <x:c r="J2195" s="166" t="str">
        <x:v>CI</x:v>
      </x:c>
      <x:c r="K2195" s="172" t="n">
        <x:v>5</x:v>
      </x:c>
      <x:c r="L2195" s="185" t="str">
        <x:v>Não classificado</x:v>
      </x:c>
    </x:row>
    <x:row r="2196">
      <x:c r="A2196" s="175" t="str">
        <x:v>45.853.976/0001-45</x:v>
      </x:c>
      <x:c r="B2196" s="166" t="str">
        <x:v>FUNDO DE INVESTIMENTO EM DIREITOS CREDITÓRIOS CREDITAS AUTO IX</x:v>
      </x:c>
      <x:c r="C2196" s="188" t="n">
        <x:v>20004200.16</x:v>
      </x:c>
      <x:c r="D2196" s="166" t="str">
        <x:v>ANGÁ ASSET MANAGEMENT</x:v>
      </x:c>
      <x:c r="E2196" s="166" t="str">
        <x:f>IFERROR(INDEX('Classif Gestoras'!$H$6:$H$462,MATCH(D2196,'Classif Gestoras'!$A$6:$A$462,0)),"Não classificada")</x:f>
        <x:v>Independente</x:v>
      </x:c>
      <x:c r="F2196" s="166" t="str">
        <x:v>BRL TRUST DTVM</x:v>
      </x:c>
      <x:c r="G2196" s="166" t="str">
        <x:v>BRL TRUST DISTRIBUIDORA DE TITULOS E VALORES MOBILIARIOS S.A.</x:v>
      </x:c>
      <x:c r="H2196" s="166" t="str">
        <x:v>Financeiro</x:v>
      </x:c>
      <x:c r="I2196" s="166" t="str">
        <x:v>Financiamento de Veículos</x:v>
      </x:c>
      <x:c r="J2196" s="166" t="str">
        <x:v>CI</x:v>
      </x:c>
      <x:c r="K2196" s="172" t="n">
        <x:v>47</x:v>
      </x:c>
      <x:c r="L2196" s="185" t="str">
        <x:v>Não classificado</x:v>
      </x:c>
    </x:row>
    <x:row r="2197">
      <x:c r="A2197" s="175" t="str">
        <x:v>55.241.106/0001-79</x:v>
      </x:c>
      <x:c r="B2197" s="166" t="str">
        <x:v>ARM CAPITAL PRECATÓRIOS FUNDO DE INVESTIMENTO EM DIREITOS CREDITÓRIOS - DE RESPONSABILIDADE LIMITADA</x:v>
      </x:c>
      <x:c r="C2197" s="188" t="n">
        <x:v>19962409.54</x:v>
      </x:c>
      <x:c r="D2197" s="166" t="str">
        <x:v>ARM Capital</x:v>
      </x:c>
      <x:c r="E2197" s="166" t="str">
        <x:f>IFERROR(INDEX('Classif Gestoras'!$H$6:$H$462,MATCH(D2197,'Classif Gestoras'!$A$6:$A$462,0)),"Não classificada")</x:f>
        <x:v>Independente</x:v>
      </x:c>
      <x:c r="F2197" s="166" t="str">
        <x:v>Oliveira Trust DTVM</x:v>
      </x:c>
      <x:c r="G2197" s="166" t="str">
        <x:v>OLIVEIRA TRUST DTVM S.A.</x:v>
      </x:c>
      <x:c r="H2197" s="166" t="str">
        <x:v>Outros</x:v>
      </x:c>
      <x:c r="I2197" s="166" t="str">
        <x:v>Poder Público</x:v>
      </x:c>
      <x:c r="J2197" s="166" t="str">
        <x:v>CI</x:v>
      </x:c>
      <x:c r="K2197" s="172" t="n">
        <x:v>27</x:v>
      </x:c>
      <x:c r="L2197" s="185" t="str">
        <x:v>Não classificado</x:v>
      </x:c>
    </x:row>
    <x:row r="2198">
      <x:c r="A2198" s="175" t="str">
        <x:v>64.126.861/0001-01</x:v>
      </x:c>
      <x:c r="B2198" s="166" t="str">
        <x:v>MEU PRECATÓRIO FUNDO DE INVESTIMENTO EM DIREITOS CREDITÓRIOS RESPONSABILIDADE LIMITADA</x:v>
      </x:c>
      <x:c r="C2198" s="188" t="n">
        <x:v>19940361.67</x:v>
      </x:c>
      <x:c r="D2198" s="166" t="str">
        <x:v>Plural Investimentos Gestão de Recursos Ltda.</x:v>
      </x:c>
      <x:c r="E2198" s="166" t="str">
        <x:f>IFERROR(INDEX('Classif Gestoras'!$H$6:$H$462,MATCH(D2198,'Classif Gestoras'!$A$6:$A$462,0)),"Não classificada")</x:f>
        <x:v>Ligada a banco</x:v>
      </x:c>
      <x:c r="F2198" s="166" t="str">
        <x:v>Oliveira Trust DTVM</x:v>
      </x:c>
      <x:c r="G2198" s="166" t="str">
        <x:v>OLIVEIRA TRUST DTVM S.A.</x:v>
      </x:c>
      <x:c r="H2198" s="166" t="str">
        <x:v>Outros</x:v>
      </x:c>
      <x:c r="I2198" s="166" t="str">
        <x:v>Poder Público</x:v>
      </x:c>
      <x:c r="J2198" s="166" t="str">
        <x:v>CI</x:v>
      </x:c>
      <x:c r="K2198" s="172" t="n">
        <x:v>6</x:v>
      </x:c>
      <x:c r="L2198" s="185" t="str">
        <x:v>Não classificado</x:v>
      </x:c>
    </x:row>
    <x:row r="2199">
      <x:c r="A2199" s="175" t="str">
        <x:v>47.542.777/0001-41</x:v>
      </x:c>
      <x:c r="B2199" s="166" t="str">
        <x:v>E-JUS FUNDO DE INVESTIMENTO EM DIREITOS CREDITORIOS NAO PADRONIZADOS</x:v>
      </x:c>
      <x:c r="C2199" s="188" t="n">
        <x:v>19853837.05</x:v>
      </x:c>
      <x:c r="D2199" s="166" t="str">
        <x:v>Everest Capital</x:v>
      </x:c>
      <x:c r="E2199" s="166" t="str">
        <x:f>IFERROR(INDEX('Classif Gestoras'!$H$6:$H$462,MATCH(D2199,'Classif Gestoras'!$A$6:$A$462,0)),"Não classificada")</x:f>
        <x:v>Independente</x:v>
      </x:c>
      <x:c r="F2199" s="166" t="str">
        <x:v>Singulare</x:v>
      </x:c>
      <x:c r="G2199" s="166" t="str">
        <x:v>QI CORRETORA DE TÍTULOS E VALORES MOBILIÁRIOS S.A.</x:v>
      </x:c>
      <x:c r="H2199" s="166" t="str">
        <x:v>Outros</x:v>
      </x:c>
      <x:c r="I2199" s="166" t="str">
        <x:v>Multicarteira Outros</x:v>
      </x:c>
      <x:c r="J2199" s="166" t="str">
        <x:v>CI</x:v>
      </x:c>
      <x:c r="K2199" s="172" t="n">
        <x:v>6</x:v>
      </x:c>
      <x:c r="L2199" s="185" t="str">
        <x:v>Não classificado</x:v>
      </x:c>
    </x:row>
    <x:row r="2200">
      <x:c r="A2200" s="175" t="str">
        <x:v>52.554.183/0001-90</x:v>
      </x:c>
      <x:c r="B2200" s="166" t="str">
        <x:v>STT1 FUNDO DE INVESTIMENTO EM DIREITOS CREDITÓRIOS</x:v>
      </x:c>
      <x:c r="C2200" s="188" t="n">
        <x:v>19816246.37</x:v>
      </x:c>
      <x:c r="D2200" s="166" t="str">
        <x:v>Strata Capital</x:v>
      </x:c>
      <x:c r="E2200" s="166" t="str">
        <x:f>IFERROR(INDEX('Classif Gestoras'!$H$6:$H$462,MATCH(D2200,'Classif Gestoras'!$A$6:$A$462,0)),"Não classificada")</x:f>
        <x:v>Independente</x:v>
      </x:c>
      <x:c r="F2200" s="166" t="str">
        <x:v>BANCO DAYCOVAL S/A</x:v>
      </x:c>
      <x:c r="G2200" s="166" t="str">
        <x:v>BANCO DAYCOVAL S.A.</x:v>
      </x:c>
      <x:c r="H2200" s="166" t="str">
        <x:v>Financeiro</x:v>
      </x:c>
      <x:c r="I2200" s="166" t="str">
        <x:v>Multicarteira Financeiro</x:v>
      </x:c>
      <x:c r="J2200" s="166" t="str">
        <x:v>CI</x:v>
      </x:c>
      <x:c r="K2200" s="172" t="n">
        <x:v>1</x:v>
      </x:c>
      <x:c r="L2200" s="185" t="str">
        <x:v>Não classificado</x:v>
      </x:c>
    </x:row>
    <x:row r="2201">
      <x:c r="A2201" s="175" t="str">
        <x:v>60.910.091/0001-24</x:v>
      </x:c>
      <x:c r="B2201" s="166" t="str">
        <x:v>VCG FUNDO DE INVESTIMENTO EM DIREITOS CREDITÓRIOS RECEBÍVEIS COMERCIAIS</x:v>
      </x:c>
      <x:c r="C2201" s="188" t="n">
        <x:v>19784384.860000003</x:v>
      </x:c>
      <x:c r="D2201" s="166" t="str">
        <x:v>Harbour Capital</x:v>
      </x:c>
      <x:c r="E2201" s="166" t="str">
        <x:f>IFERROR(INDEX('Classif Gestoras'!$H$6:$H$462,MATCH(D2201,'Classif Gestoras'!$A$6:$A$462,0)),"Não classificada")</x:f>
        <x:v>Independente</x:v>
      </x:c>
      <x:c r="F2201" s="166" t="str">
        <x:v>Singulare</x:v>
      </x:c>
      <x:c r="G2201" s="166" t="str">
        <x:v>QI CORRETORA DE TÍTULOS E VALORES MOBILIÁRIOS S.A.</x:v>
      </x:c>
      <x:c r="H2201" s="166" t="str">
        <x:v>Fomento Mercantil</x:v>
      </x:c>
      <x:c r="I2201" s="166" t="str">
        <x:v>Fomento Mercantil</x:v>
      </x:c>
      <x:c r="J2201" s="166" t="str">
        <x:v>CI</x:v>
      </x:c>
      <x:c r="K2201" s="172" t="n">
        <x:v>1</x:v>
      </x:c>
      <x:c r="L2201" s="185" t="str">
        <x:v>Não classificado</x:v>
      </x:c>
    </x:row>
    <x:row r="2202">
      <x:c r="A2202" s="175" t="str">
        <x:v>61.621.790/0001-17</x:v>
      </x:c>
      <x:c r="B2202" s="166" t="str">
        <x:v>CREDIRECOVER FUNDO DE INVESTIMENTO EM DIREITOS CREDITÓRIOS - RESPONSABILIDADE LIMITADA</x:v>
      </x:c>
      <x:c r="C2202" s="188" t="n">
        <x:v>19777629.8</x:v>
      </x:c>
      <x:c r="D2202" s="166" t="str">
        <x:v>Solis</x:v>
      </x:c>
      <x:c r="E2202" s="166" t="str">
        <x:f>IFERROR(INDEX('Classif Gestoras'!$H$6:$H$462,MATCH(D2202,'Classif Gestoras'!$A$6:$A$462,0)),"Não classificada")</x:f>
        <x:v>Independente</x:v>
      </x:c>
      <x:c r="F2202" s="166" t="str">
        <x:v>HEMERA DTVM</x:v>
      </x:c>
      <x:c r="G2202" s="166" t="str">
        <x:v>HEMERA DISTRIBUIDORA DE TITULOS E VALORES MOBILIARIOS LTDA</x:v>
      </x:c>
      <x:c r="H2202" s="166" t="str">
        <x:v>Outros</x:v>
      </x:c>
      <x:c r="I2202" s="166" t="str">
        <x:v>Multicarteira Outros</x:v>
      </x:c>
      <x:c r="J2202" s="166" t="str">
        <x:v>CI</x:v>
      </x:c>
      <x:c r="K2202" s="172" t="n">
        <x:v>2</x:v>
      </x:c>
      <x:c r="L2202" s="185" t="str">
        <x:v>Não classificado</x:v>
      </x:c>
    </x:row>
    <x:row r="2203">
      <x:c r="A2203" s="175" t="str">
        <x:v>63.866.372/0001-15</x:v>
      </x:c>
      <x:c r="B2203" s="166" t="str">
        <x:v>BAÍA FUNDO DE INVESTIMENTO EM DIREITOS CREDITÓRIOS</x:v>
      </x:c>
      <x:c r="C2203" s="188" t="n">
        <x:v>19677883.99</x:v>
      </x:c>
      <x:c r="D2203" s="166" t="str">
        <x:v>B6 GESTORA DE RECURSOS LTDA</x:v>
      </x:c>
      <x:c r="E2203" s="166" t="str">
        <x:f>IFERROR(INDEX('Classif Gestoras'!$H$6:$H$462,MATCH(D2203,'Classif Gestoras'!$A$6:$A$462,0)),"Não classificada")</x:f>
        <x:v>Independente</x:v>
      </x:c>
      <x:c r="F2203" s="166" t="str">
        <x:v>PLANNER CV</x:v>
      </x:c>
      <x:c r="G2203" s="166" t="str">
        <x:v>PLANNER CORRETORA DE VALORES S.A.</x:v>
      </x:c>
      <x:c r="H2203" s="166" t="str">
        <x:v>Outros</x:v>
      </x:c>
      <x:c r="I2203" s="166" t="str">
        <x:v>Multicarteira Outros</x:v>
      </x:c>
      <x:c r="J2203" s="166" t="str">
        <x:v>CI</x:v>
      </x:c>
      <x:c r="K2203" s="172" t="n">
        <x:v>11</x:v>
      </x:c>
      <x:c r="L2203" s="185" t="str">
        <x:v>Não classificado</x:v>
      </x:c>
    </x:row>
    <x:row r="2204">
      <x:c r="A2204" s="175" t="str">
        <x:v>59.388.384/0001-04</x:v>
      </x:c>
      <x:c r="B2204" s="166" t="str">
        <x:v>PRECATO V FUNDO DE INVESTIMENTO EM DIREITOS CREDITÓRIOS RESPONSABILIDADE LIMITADA</x:v>
      </x:c>
      <x:c r="C2204" s="188" t="n">
        <x:v>19675867</x:v>
      </x:c>
      <x:c r="D2204" s="166" t="str">
        <x:v>TAG Investimentos</x:v>
      </x:c>
      <x:c r="E2204" s="166" t="str">
        <x:f>IFERROR(INDEX('Classif Gestoras'!$H$6:$H$462,MATCH(D2204,'Classif Gestoras'!$A$6:$A$462,0)),"Não classificada")</x:f>
        <x:v>Independente</x:v>
      </x:c>
      <x:c r="F2204" s="166" t="str">
        <x:v>VÓRTX DTVM</x:v>
      </x:c>
      <x:c r="G2204" s="166" t="str">
        <x:v>VORTX DISTRIBUIDORA DE TITULOS E VALORES MOBILIARIOS LTDA.</x:v>
      </x:c>
      <x:c r="H2204" s="166" t="str">
        <x:v>Outros</x:v>
      </x:c>
      <x:c r="I2204" s="166" t="str">
        <x:v>Multicarteira Outros</x:v>
      </x:c>
      <x:c r="J2204" s="166" t="str">
        <x:v>CI</x:v>
      </x:c>
      <x:c r="K2204" s="172" t="n">
        <x:v>49</x:v>
      </x:c>
      <x:c r="L2204" s="185" t="str">
        <x:v>Não classificado</x:v>
      </x:c>
    </x:row>
    <x:row r="2205">
      <x:c r="A2205" s="175" t="str">
        <x:v>50.768.516/0001-59</x:v>
      </x:c>
      <x:c r="B2205" s="166" t="str">
        <x:v>RECOVERY LEX FUNDO DE INVESTIMENTO EM DIREITOS CREDITÓRIOS MULTICARTEIRA - RESPONSABILIDADE LIMITAD</x:v>
      </x:c>
      <x:c r="C2205" s="188" t="n">
        <x:v>19670856.7</x:v>
      </x:c>
      <x:c r="D2205" s="166" t="str">
        <x:v>Kanastra</x:v>
      </x:c>
      <x:c r="E2205" s="166" t="str">
        <x:f>IFERROR(INDEX('Classif Gestoras'!$H$6:$H$462,MATCH(D2205,'Classif Gestoras'!$A$6:$A$462,0)),"Não classificada")</x:f>
        <x:v>Independente</x:v>
      </x:c>
      <x:c r="F2205" s="166" t="str">
        <x:v>Limine Trust Distribuidora de Titulos e Valores Mobiliá</x:v>
      </x:c>
      <x:c r="G2205" s="166" t="str">
        <x:v>LIMINE TRUST DISTRIBUIDORA DE TITULOS E VALORES MOBILIARIOS LTDA.</x:v>
      </x:c>
      <x:c r="H2205" s="166" t="str">
        <x:v>Financeiro</x:v>
      </x:c>
      <x:c r="I2205" s="166" t="str">
        <x:v>Multicarteira Financeiro</x:v>
      </x:c>
      <x:c r="J2205" s="166" t="str">
        <x:v>CI</x:v>
      </x:c>
      <x:c r="K2205" s="172" t="n">
        <x:v>2</x:v>
      </x:c>
      <x:c r="L2205" s="185" t="str">
        <x:v>Não classificado</x:v>
      </x:c>
    </x:row>
    <x:row r="2206">
      <x:c r="A2206" s="175" t="str">
        <x:v>50.309.743/0001-16</x:v>
      </x:c>
      <x:c r="B2206" s="166" t="str">
        <x:v>ARPEL CAPITAL FUNDO DE INVESTIMENTO EM DIREITOS CREDITORIOS</x:v>
      </x:c>
      <x:c r="C2206" s="188" t="n">
        <x:v>19666080.21</x:v>
      </x:c>
      <x:c r="D2206" s="166" t="str">
        <x:v>Redwood Asset Management</x:v>
      </x:c>
      <x:c r="E2206" s="166" t="str">
        <x:f>IFERROR(INDEX('Classif Gestoras'!$H$6:$H$462,MATCH(D2206,'Classif Gestoras'!$A$6:$A$462,0)),"Não classificada")</x:f>
        <x:v>Independente</x:v>
      </x:c>
      <x:c r="F2206" s="166" t="str">
        <x:v>PLANNER CV</x:v>
      </x:c>
      <x:c r="G2206" s="166" t="str">
        <x:v>PLANNER CORRETORA DE VALORES S.A.</x:v>
      </x:c>
      <x:c r="H2206" s="166" t="str">
        <x:v>Outros</x:v>
      </x:c>
      <x:c r="I2206" s="166" t="str">
        <x:v>Multicarteira Outros</x:v>
      </x:c>
      <x:c r="J2206" s="166" t="str">
        <x:v>CI</x:v>
      </x:c>
      <x:c r="K2206" s="172" t="n">
        <x:v>16</x:v>
      </x:c>
      <x:c r="L2206" s="185" t="str">
        <x:v>Não classificado</x:v>
      </x:c>
    </x:row>
    <x:row r="2207">
      <x:c r="A2207" s="175" t="str">
        <x:v>65.095.860/0001-00</x:v>
      </x:c>
      <x:c r="B2207" s="166" t="str">
        <x:v>VICENZA FUNDO DE INVESTIMENTO EM DIREITOS CREDITÓRIOS</x:v>
      </x:c>
      <x:c r="C2207" s="188" t="n">
        <x:v>19643289.77</x:v>
      </x:c>
      <x:c r="D2207" s="166" t="str">
        <x:v>Multiplica Capital</x:v>
      </x:c>
      <x:c r="E2207" s="166" t="str">
        <x:f>IFERROR(INDEX('Classif Gestoras'!$H$6:$H$462,MATCH(D2207,'Classif Gestoras'!$A$6:$A$462,0)),"Não classificada")</x:f>
        <x:v>Independente</x:v>
      </x:c>
      <x:c r="F2207" s="166" t="str">
        <x:v>PLANNER CV</x:v>
      </x:c>
      <x:c r="G2207" s="166" t="str">
        <x:v>PLANNER CORRETORA DE VALORES S.A.</x:v>
      </x:c>
      <x:c r="H2207" s="166" t="str">
        <x:v>Outros</x:v>
      </x:c>
      <x:c r="I2207" s="166" t="str">
        <x:v>Multicarteira Outros</x:v>
      </x:c>
      <x:c r="J2207" s="166" t="str">
        <x:v>CI</x:v>
      </x:c>
      <x:c r="K2207" s="172" t="n">
        <x:v>1</x:v>
      </x:c>
      <x:c r="L2207" s="185" t="str">
        <x:v>Não classificado</x:v>
      </x:c>
    </x:row>
    <x:row r="2208">
      <x:c r="A2208" s="175" t="str">
        <x:v>27.771.613/0001-89</x:v>
      </x:c>
      <x:c r="B2208" s="166" t="str">
        <x:v>CONQUEST BRAZIL FUNDO DE INVESTIMENTO EM DIREITOS CREDITORIOS MULTISSETORIAL</x:v>
      </x:c>
      <x:c r="C2208" s="188" t="n">
        <x:v>19639602.99</x:v>
      </x:c>
      <x:c r="D2208" s="166" t="str">
        <x:v>OURO PRETO INVESTIMENTOS</x:v>
      </x:c>
      <x:c r="E2208" s="166" t="str">
        <x:f>IFERROR(INDEX('Classif Gestoras'!$H$6:$H$462,MATCH(D2208,'Classif Gestoras'!$A$6:$A$462,0)),"Não classificada")</x:f>
        <x:v>Independente</x:v>
      </x:c>
      <x:c r="F2208" s="166" t="str">
        <x:v>Singulare</x:v>
      </x:c>
      <x:c r="G2208" s="166" t="str">
        <x:v>QI CORRETORA DE TÍTULOS E VALORES MOBILIÁRIOS S.A.</x:v>
      </x:c>
      <x:c r="H2208" s="166" t="str">
        <x:v>Fomento Mercantil</x:v>
      </x:c>
      <x:c r="I2208" s="166" t="str">
        <x:v>Fomento Mercantil</x:v>
      </x:c>
      <x:c r="J2208" s="166" t="str">
        <x:v>CI</x:v>
      </x:c>
      <x:c r="K2208" s="172" t="n">
        <x:v>2</x:v>
      </x:c>
      <x:c r="L2208" s="185" t="str">
        <x:v>Não classificado</x:v>
      </x:c>
    </x:row>
    <x:row r="2209">
      <x:c r="A2209" s="175" t="str">
        <x:v>27.151.223/0001-06</x:v>
      </x:c>
      <x:c r="B2209" s="166" t="str">
        <x:v>CNPJ 27151223000106</x:v>
      </x:c>
      <x:c r="C2209" s="188" t="n">
        <x:v>19625937.98</x:v>
      </x:c>
      <x:c r="D2209" s="166" t="str">
        <x:v>ANGÁ ASSET MANAGEMENT</x:v>
      </x:c>
      <x:c r="E2209" s="166" t="str">
        <x:f>IFERROR(INDEX('Classif Gestoras'!$H$6:$H$462,MATCH(D2209,'Classif Gestoras'!$A$6:$A$462,0)),"Não classificada")</x:f>
        <x:v>Independente</x:v>
      </x:c>
      <x:c r="F2209" s="166" t="str">
        <x:v>BTG Pactual Servicos Financeiros S/A DTVM</x:v>
      </x:c>
      <x:c r="G2209" s="166" t="str">
        <x:v>Não identificado</x:v>
      </x:c>
      <x:c r="H2209" s="166" t="str">
        <x:v>Financeiro</x:v>
      </x:c>
      <x:c r="I2209" s="166" t="str">
        <x:v>Crédito Consignado</x:v>
      </x:c>
      <x:c r="J2209" s="166" t="str">
        <x:v>CI</x:v>
      </x:c>
      <x:c r="K2209" s="172"/>
      <x:c r="L2209" s="185" t="str">
        <x:v>Não classificado</x:v>
      </x:c>
    </x:row>
    <x:row r="2210">
      <x:c r="A2210" s="175" t="str">
        <x:v>32.273.345/0001-05</x:v>
      </x:c>
      <x:c r="B2210" s="166" t="str">
        <x:v>PSS ABSOLUTO FUNDO DE INVESTIMENTO EM DIREITOS CREDITÓRIOS NÃO PADRONIZADO</x:v>
      </x:c>
      <x:c r="C2210" s="188" t="n">
        <x:v>19570664.34</x:v>
      </x:c>
      <x:c r="D2210" s="166" t="str">
        <x:v>PRISMA PRIVATE CREDIT</x:v>
      </x:c>
      <x:c r="E2210" s="166" t="str">
        <x:f>IFERROR(INDEX('Classif Gestoras'!$H$6:$H$462,MATCH(D2210,'Classif Gestoras'!$A$6:$A$462,0)),"Não classificada")</x:f>
        <x:v>Independente</x:v>
      </x:c>
      <x:c r="F2210" s="166" t="str">
        <x:v>Singulare</x:v>
      </x:c>
      <x:c r="G2210" s="166" t="str">
        <x:v>QI CORRETORA DE TÍTULOS E VALORES MOBILIÁRIOS S.A.</x:v>
      </x:c>
      <x:c r="H2210" s="166" t="str">
        <x:v>Outros</x:v>
      </x:c>
      <x:c r="I2210" s="166" t="str">
        <x:v>Multicarteira Outros</x:v>
      </x:c>
      <x:c r="J2210" s="166" t="str">
        <x:v>CI</x:v>
      </x:c>
      <x:c r="K2210" s="172" t="n">
        <x:v>3</x:v>
      </x:c>
      <x:c r="L2210" s="185" t="str">
        <x:v>Não classificado</x:v>
      </x:c>
    </x:row>
    <x:row r="2211">
      <x:c r="A2211" s="175" t="str">
        <x:v>54.229.137/0001-41</x:v>
      </x:c>
      <x:c r="B2211" s="166" t="str">
        <x:v>SENA FUNDO DE INVESTIMENTO EM DIREITOS CREDITÓRIOS - RESPONSABILIDADE LIMITADA</x:v>
      </x:c>
      <x:c r="C2211" s="188" t="n">
        <x:v>19567950.68</x:v>
      </x:c>
      <x:c r="D2211" s="166" t="str">
        <x:v>ANTHARUS GESTORA DE RECURSOS LTDA</x:v>
      </x:c>
      <x:c r="E2211" s="166" t="str">
        <x:f>IFERROR(INDEX('Classif Gestoras'!$H$6:$H$462,MATCH(D2211,'Classif Gestoras'!$A$6:$A$462,0)),"Não classificada")</x:f>
        <x:v>Independente</x:v>
      </x:c>
      <x:c r="F2211" s="166" t="str">
        <x:v>HEMERA DTVM</x:v>
      </x:c>
      <x:c r="G2211" s="166" t="str">
        <x:v>HEMERA DISTRIBUIDORA DE TITULOS E VALORES MOBILIARIOS LTDA</x:v>
      </x:c>
      <x:c r="H2211" s="166" t="str">
        <x:v>Outros</x:v>
      </x:c>
      <x:c r="I2211" s="166" t="str">
        <x:v>Multicarteira Outros</x:v>
      </x:c>
      <x:c r="J2211" s="166" t="str">
        <x:v>CI</x:v>
      </x:c>
      <x:c r="K2211" s="172" t="n">
        <x:v>2</x:v>
      </x:c>
      <x:c r="L2211" s="185" t="str">
        <x:v>Não classificado</x:v>
      </x:c>
    </x:row>
    <x:row r="2212">
      <x:c r="A2212" s="175" t="str">
        <x:v>49.466.341/0001-46</x:v>
      </x:c>
      <x:c r="B2212" s="166" t="str">
        <x:v>FIPAN FUNDO DE INVESTIMENTO EM DIREITOS CREDITÓRIOS MULTISSEGMENTOS</x:v>
      </x:c>
      <x:c r="C2212" s="188" t="n">
        <x:v>19495418.42</x:v>
      </x:c>
      <x:c r="D2212" s="166" t="str">
        <x:v>Petra Capital</x:v>
      </x:c>
      <x:c r="E2212" s="166" t="str">
        <x:f>IFERROR(INDEX('Classif Gestoras'!$H$6:$H$462,MATCH(D2212,'Classif Gestoras'!$A$6:$A$462,0)),"Não classificada")</x:f>
        <x:v>Independente</x:v>
      </x:c>
      <x:c r="F2212" s="166" t="str">
        <x:v>Finaxis Corretora de Títulos e Valores Mobiliários S.A.</x:v>
      </x:c>
      <x:c r="G2212" s="166" t="str">
        <x:v>BANCO FINAXIS S.A.</x:v>
      </x:c>
      <x:c r="H2212" s="166" t="str">
        <x:v>Agro, Indústria e Comércio</x:v>
      </x:c>
      <x:c r="I2212" s="166" t="str">
        <x:v>Multicarteira Agro, Indústria e Comércio</x:v>
      </x:c>
      <x:c r="J2212" s="166" t="str">
        <x:v>CI</x:v>
      </x:c>
      <x:c r="K2212" s="172" t="n">
        <x:v>1</x:v>
      </x:c>
      <x:c r="L2212" s="185" t="str">
        <x:v>Não classificado</x:v>
      </x:c>
    </x:row>
    <x:row r="2213">
      <x:c r="A2213" s="175" t="str">
        <x:v>60.413.367/0001-69</x:v>
      </x:c>
      <x:c r="B2213" s="166" t="str">
        <x:v>PARUSIA FUNDO DE INVESTIMENTO EM DIREITOS CREDITÓRIOS RESPONSABILIDADE LIMITADA</x:v>
      </x:c>
      <x:c r="C2213" s="188" t="n">
        <x:v>19492132.42</x:v>
      </x:c>
      <x:c r="D2213" s="166" t="str">
        <x:v>Tyr Gestao de Recursos Ltda</x:v>
      </x:c>
      <x:c r="E2213" s="166" t="str">
        <x:f>IFERROR(INDEX('Classif Gestoras'!$H$6:$H$462,MATCH(D2213,'Classif Gestoras'!$A$6:$A$462,0)),"Não classificada")</x:f>
        <x:v>Independente</x:v>
      </x:c>
      <x:c r="F2213" s="166" t="str">
        <x:v>ID Corretora de Títulos e Valores Mobiliários S.A.</x:v>
      </x:c>
      <x:c r="G2213" s="166" t="str">
        <x:v>ID CORRETORA DE TITULOS E VALORES MOBILIARIOS S.A.</x:v>
      </x:c>
      <x:c r="H2213" s="166" t="str">
        <x:v>Outros</x:v>
      </x:c>
      <x:c r="I2213" s="166" t="str">
        <x:v>Multicarteira Outros</x:v>
      </x:c>
      <x:c r="J2213" s="166" t="str">
        <x:v>CI</x:v>
      </x:c>
      <x:c r="K2213" s="172" t="n">
        <x:v>18</x:v>
      </x:c>
      <x:c r="L2213" s="185" t="str">
        <x:v>Não classificado</x:v>
      </x:c>
    </x:row>
    <x:row r="2214">
      <x:c r="A2214" s="175" t="str">
        <x:v>31.368.600/0001-30</x:v>
      </x:c>
      <x:c r="B2214" s="166" t="str">
        <x:v>DSX FUNDO DE INVESTIMENTO EM DIREITOS CREDITÓRIOS</x:v>
      </x:c>
      <x:c r="C2214" s="188" t="n">
        <x:v>19463914.89</x:v>
      </x:c>
      <x:c r="D2214" s="166" t="str">
        <x:v>TERCON ASSET MANAGEMENT</x:v>
      </x:c>
      <x:c r="E2214" s="166" t="str">
        <x:f>IFERROR(INDEX('Classif Gestoras'!$H$6:$H$462,MATCH(D2214,'Classif Gestoras'!$A$6:$A$462,0)),"Não classificada")</x:f>
        <x:v>Independente</x:v>
      </x:c>
      <x:c r="F2214" s="166" t="str">
        <x:v>Singulare</x:v>
      </x:c>
      <x:c r="G2214" s="166" t="str">
        <x:v>QI CORRETORA DE TÍTULOS E VALORES MOBILIÁRIOS S.A.</x:v>
      </x:c>
      <x:c r="H2214" s="166" t="str">
        <x:v>Fomento Mercantil</x:v>
      </x:c>
      <x:c r="I2214" s="166" t="str">
        <x:v>Fomento Mercantil</x:v>
      </x:c>
      <x:c r="J2214" s="166" t="str">
        <x:v>CI</x:v>
      </x:c>
      <x:c r="K2214" s="172" t="n">
        <x:v>6</x:v>
      </x:c>
      <x:c r="L2214" s="185" t="str">
        <x:v>Não classificado</x:v>
      </x:c>
    </x:row>
    <x:row r="2215">
      <x:c r="A2215" s="175" t="str">
        <x:v>61.641.786/0001-10</x:v>
      </x:c>
      <x:c r="B2215" s="166" t="str">
        <x:v>VETOR FUNDO DE INVESTIMENTO EM DIREITOS CREDITÓRIOS DE RESPONSABILIDADE LIMITADA</x:v>
      </x:c>
      <x:c r="C2215" s="188" t="n">
        <x:v>19397996.43</x:v>
      </x:c>
      <x:c r="D2215" s="166" t="str">
        <x:v>Multinvest Capital</x:v>
      </x:c>
      <x:c r="E2215" s="166" t="str">
        <x:f>IFERROR(INDEX('Classif Gestoras'!$H$6:$H$462,MATCH(D2215,'Classif Gestoras'!$A$6:$A$462,0)),"Não classificada")</x:f>
        <x:v>Independente</x:v>
      </x:c>
      <x:c r="F2215" s="166" t="str">
        <x:v>BANCO DAYCOVAL S/A</x:v>
      </x:c>
      <x:c r="G2215" s="166" t="str">
        <x:v>BANCO DAYCOVAL S.A.</x:v>
      </x:c>
      <x:c r="H2215" s="166" t="str">
        <x:v>Outros</x:v>
      </x:c>
      <x:c r="I2215" s="166" t="str">
        <x:v>Multicarteira Outros</x:v>
      </x:c>
      <x:c r="J2215" s="166" t="str">
        <x:v>CI</x:v>
      </x:c>
      <x:c r="K2215" s="172" t="n">
        <x:v>3</x:v>
      </x:c>
      <x:c r="L2215" s="185" t="str">
        <x:v>Não classificado</x:v>
      </x:c>
    </x:row>
    <x:row r="2216">
      <x:c r="A2216" s="175" t="str">
        <x:v>57.658.801/0001-66</x:v>
      </x:c>
      <x:c r="B2216" s="166" t="str">
        <x:v>SARFATY INSURED CREDIT FUNDO DE INVESTIMENTO EM DIREITOS CREDITÓRIOS RESPONSABILIDADE LIMITADA</x:v>
      </x:c>
      <x:c r="C2216" s="188" t="n">
        <x:v>19197061.33</x:v>
      </x:c>
      <x:c r="D2216" s="166" t="str">
        <x:v>SARFATY ASSET</x:v>
      </x:c>
      <x:c r="E2216" s="166" t="str">
        <x:f>IFERROR(INDEX('Classif Gestoras'!$H$6:$H$462,MATCH(D2216,'Classif Gestoras'!$A$6:$A$462,0)),"Não classificada")</x:f>
        <x:v>Independente</x:v>
      </x:c>
      <x:c r="F2216" s="166" t="str">
        <x:v>HEMERA DTVM</x:v>
      </x:c>
      <x:c r="G2216" s="166" t="str">
        <x:v>HEMERA DISTRIBUIDORA DE TITULOS E VALORES MOBILIARIOS LTDA</x:v>
      </x:c>
      <x:c r="H2216" s="166" t="str">
        <x:v>Fomento Mercantil</x:v>
      </x:c>
      <x:c r="I2216" s="166" t="str">
        <x:v>Fomento Mercantil</x:v>
      </x:c>
      <x:c r="J2216" s="166" t="str">
        <x:v>CI</x:v>
      </x:c>
      <x:c r="K2216" s="172" t="n">
        <x:v>12</x:v>
      </x:c>
      <x:c r="L2216" s="185" t="str">
        <x:v>Não classificado</x:v>
      </x:c>
    </x:row>
    <x:row r="2217">
      <x:c r="A2217" s="175" t="str">
        <x:v>42.582.289/0001-44</x:v>
      </x:c>
      <x:c r="B2217" s="166" t="str">
        <x:v>ABC FUNDO DE INVESTIMENTO EM DIREITOS CREDITÓRIOS</x:v>
      </x:c>
      <x:c r="C2217" s="188" t="n">
        <x:v>19161848.36</x:v>
      </x:c>
      <x:c r="D2217" s="166" t="str">
        <x:v>TERCON ASSET MANAGEMENT</x:v>
      </x:c>
      <x:c r="E2217" s="166" t="str">
        <x:f>IFERROR(INDEX('Classif Gestoras'!$H$6:$H$462,MATCH(D2217,'Classif Gestoras'!$A$6:$A$462,0)),"Não classificada")</x:f>
        <x:v>Independente</x:v>
      </x:c>
      <x:c r="F2217" s="166" t="str">
        <x:v>Singulare</x:v>
      </x:c>
      <x:c r="G2217" s="166" t="str">
        <x:v>LIMINE TRUST DISTRIBUIDORA DE TITULOS E VALORES MOBILIARIOS LTDA.</x:v>
      </x:c>
      <x:c r="H2217" s="166" t="str">
        <x:v>Fomento Mercantil</x:v>
      </x:c>
      <x:c r="I2217" s="166" t="str">
        <x:v>Fomento Mercantil</x:v>
      </x:c>
      <x:c r="J2217" s="166" t="str">
        <x:v>CI</x:v>
      </x:c>
      <x:c r="K2217" s="172" t="n">
        <x:v>3</x:v>
      </x:c>
      <x:c r="L2217" s="185" t="str">
        <x:v>Não classificado</x:v>
      </x:c>
    </x:row>
    <x:row r="2218">
      <x:c r="A2218" s="175" t="str">
        <x:v>26.648.789/0001-85</x:v>
      </x:c>
      <x:c r="B2218" s="166" t="str">
        <x:v>PROJEÇÃO FUNDO DE INVESTIMENTO EM DIREITOS CREDITÓRIOS MULTISSETORIAL LP</x:v>
      </x:c>
      <x:c r="C2218" s="188" t="n">
        <x:v>19151421.5</x:v>
      </x:c>
      <x:c r="D2218" s="166" t="str">
        <x:v>TERCON ASSET MANAGEMENT</x:v>
      </x:c>
      <x:c r="E2218" s="166" t="str">
        <x:f>IFERROR(INDEX('Classif Gestoras'!$H$6:$H$462,MATCH(D2218,'Classif Gestoras'!$A$6:$A$462,0)),"Não classificada")</x:f>
        <x:v>Independente</x:v>
      </x:c>
      <x:c r="F2218" s="166" t="str">
        <x:v>Singulare</x:v>
      </x:c>
      <x:c r="G2218" s="166" t="str">
        <x:v>QI CORRETORA DE TÍTULOS E VALORES MOBILIÁRIOS S.A.</x:v>
      </x:c>
      <x:c r="H2218" s="166" t="str">
        <x:v>Fomento Mercantil</x:v>
      </x:c>
      <x:c r="I2218" s="166" t="str">
        <x:v>Fomento Mercantil</x:v>
      </x:c>
      <x:c r="J2218" s="166" t="str">
        <x:v>CI</x:v>
      </x:c>
      <x:c r="K2218" s="172" t="n">
        <x:v>3</x:v>
      </x:c>
      <x:c r="L2218" s="185" t="str">
        <x:v>Não classificado</x:v>
      </x:c>
    </x:row>
    <x:row r="2219">
      <x:c r="A2219" s="175" t="str">
        <x:v>64.096.545/0001-26</x:v>
      </x:c>
      <x:c r="B2219" s="166" t="str">
        <x:v>FEX AGRO FIDC RESPONSABILIDADE LIMITADA</x:v>
      </x:c>
      <x:c r="C2219" s="188" t="n">
        <x:v>19073860.16</x:v>
      </x:c>
      <x:c r="D2219" s="166" t="str">
        <x:v>PIER GESTAO DE RECURSOS FINANCEIROS LTDA</x:v>
      </x:c>
      <x:c r="E2219" s="166" t="str">
        <x:f>IFERROR(INDEX('Classif Gestoras'!$H$6:$H$462,MATCH(D2219,'Classif Gestoras'!$A$6:$A$462,0)),"Não classificada")</x:f>
        <x:v>Independente</x:v>
      </x:c>
      <x:c r="F2219" s="166" t="str">
        <x:v>VÓRTX DTVM</x:v>
      </x:c>
      <x:c r="G2219" s="166" t="str">
        <x:v>VORTX DISTRIBUIDORA DE TITULOS E VALORES MOBILIARIOS LTDA.</x:v>
      </x:c>
      <x:c r="H2219" s="166" t="str">
        <x:v>Agro, Indústria e Comércio</x:v>
      </x:c>
      <x:c r="I2219" s="166" t="str">
        <x:v>Agronegócio</x:v>
      </x:c>
      <x:c r="J2219" s="166" t="str">
        <x:v>CI</x:v>
      </x:c>
      <x:c r="K2219" s="172" t="n">
        <x:v>6</x:v>
      </x:c>
      <x:c r="L2219" s="185" t="str">
        <x:v>Não classificado</x:v>
      </x:c>
    </x:row>
    <x:row r="2220">
      <x:c r="A2220" s="175" t="str">
        <x:v>61.289.537/0001-08</x:v>
      </x:c>
      <x:c r="B2220" s="166" t="str">
        <x:v>P12 FUNDO DE INVESTIMENTO EM DIREITOS CREDITÓRIOS</x:v>
      </x:c>
      <x:c r="C2220" s="188" t="n">
        <x:v>19057357.91</x:v>
      </x:c>
      <x:c r="D2220" s="166" t="str">
        <x:v>REAG LEGAL CLAIMS GESTÃO DE ATIVOS</x:v>
      </x:c>
      <x:c r="E2220" s="166" t="str">
        <x:f>IFERROR(INDEX('Classif Gestoras'!$H$6:$H$462,MATCH(D2220,'Classif Gestoras'!$A$6:$A$462,0)),"Não classificada")</x:f>
        <x:v>Independente</x:v>
      </x:c>
      <x:c r="F2220" s="166" t="str">
        <x:v>PLANNER CV</x:v>
      </x:c>
      <x:c r="G2220" s="166" t="str">
        <x:v>PLANNER CORRETORA DE VALORES S.A.</x:v>
      </x:c>
      <x:c r="H2220" s="166" t="str">
        <x:v>Outros</x:v>
      </x:c>
      <x:c r="I2220" s="166" t="str">
        <x:v>Multicarteira Outros</x:v>
      </x:c>
      <x:c r="J2220" s="166" t="str">
        <x:v>CI</x:v>
      </x:c>
      <x:c r="K2220" s="172" t="n">
        <x:v>2</x:v>
      </x:c>
      <x:c r="L2220" s="185" t="str">
        <x:v>Não classificado</x:v>
      </x:c>
    </x:row>
    <x:row r="2221">
      <x:c r="A2221" s="175" t="str">
        <x:v>61.306.033/0001-59</x:v>
      </x:c>
      <x:c r="B2221" s="166" t="str">
        <x:v>BAHREIN I FUNDO DE INVESTIMENTO EM DIREITOS CREDITORIOS</x:v>
      </x:c>
      <x:c r="C2221" s="188" t="n">
        <x:v>18992896.44</x:v>
      </x:c>
      <x:c r="D2221" s="166" t="str">
        <x:v>M8 Partners</x:v>
      </x:c>
      <x:c r="E2221" s="166" t="str">
        <x:f>IFERROR(INDEX('Classif Gestoras'!$H$6:$H$462,MATCH(D2221,'Classif Gestoras'!$A$6:$A$462,0)),"Não classificada")</x:f>
        <x:v>Independente</x:v>
      </x:c>
      <x:c r="F2221" s="166" t="str">
        <x:v>Singulare</x:v>
      </x:c>
      <x:c r="G2221" s="166" t="str">
        <x:v>QI CORRETORA DE TÍTULOS E VALORES MOBILIÁRIOS S.A.</x:v>
      </x:c>
      <x:c r="H2221" s="166" t="str">
        <x:v>Fomento Mercantil</x:v>
      </x:c>
      <x:c r="I2221" s="166" t="str">
        <x:v>Fomento Mercantil</x:v>
      </x:c>
      <x:c r="J2221" s="166" t="str">
        <x:v>CI</x:v>
      </x:c>
      <x:c r="K2221" s="172" t="n">
        <x:v>1</x:v>
      </x:c>
      <x:c r="L2221" s="185" t="str">
        <x:v>Não classificado</x:v>
      </x:c>
    </x:row>
    <x:row r="2222">
      <x:c r="A2222" s="175" t="str">
        <x:v>47.328.080/0001-72</x:v>
      </x:c>
      <x:c r="B2222" s="166" t="str">
        <x:v>AGROFUTURO FUNDO DE INVESTIMENTO EM DIREITOS CREDITÓRIOS MULTISSEGMENTOS</x:v>
      </x:c>
      <x:c r="C2222" s="188" t="n">
        <x:v>18984993.9</x:v>
      </x:c>
      <x:c r="D2222" s="166" t="str">
        <x:v>Petra Capital</x:v>
      </x:c>
      <x:c r="E2222" s="166" t="str">
        <x:f>IFERROR(INDEX('Classif Gestoras'!$H$6:$H$462,MATCH(D2222,'Classif Gestoras'!$A$6:$A$462,0)),"Não classificada")</x:f>
        <x:v>Independente</x:v>
      </x:c>
      <x:c r="F2222" s="166" t="str">
        <x:v>Finaxis Corretora de Títulos e Valores Mobiliários S.A.</x:v>
      </x:c>
      <x:c r="G2222" s="166" t="str">
        <x:v>BANCO FINAXIS S.A.</x:v>
      </x:c>
      <x:c r="H2222" s="166" t="str">
        <x:v>Outros</x:v>
      </x:c>
      <x:c r="I2222" s="166" t="str">
        <x:v>Multicarteira Outros</x:v>
      </x:c>
      <x:c r="J2222" s="166" t="str">
        <x:v>CI</x:v>
      </x:c>
      <x:c r="K2222" s="172" t="n">
        <x:v>3</x:v>
      </x:c>
      <x:c r="L2222" s="185" t="str">
        <x:v>Não classificado</x:v>
      </x:c>
    </x:row>
    <x:row r="2223">
      <x:c r="A2223" s="175" t="str">
        <x:v>42.265.317/0001-08</x:v>
      </x:c>
      <x:c r="B2223" s="166" t="str">
        <x:v>ATACADO FUNDO DE INVESTIMENTO EM DIREITOS CREDITÓRIOS</x:v>
      </x:c>
      <x:c r="C2223" s="188" t="n">
        <x:v>18972498.59</x:v>
      </x:c>
      <x:c r="D2223" s="166" t="str">
        <x:v>BURITI INVESTIMENTOS</x:v>
      </x:c>
      <x:c r="E2223" s="166" t="str">
        <x:f>IFERROR(INDEX('Classif Gestoras'!$H$6:$H$462,MATCH(D2223,'Classif Gestoras'!$A$6:$A$462,0)),"Não classificada")</x:f>
        <x:v>Independente</x:v>
      </x:c>
      <x:c r="F2223" s="166" t="str">
        <x:v>Singulare</x:v>
      </x:c>
      <x:c r="G2223" s="166" t="str">
        <x:v>QI CORRETORA DE TÍTULOS E VALORES MOBILIÁRIOS S.A.</x:v>
      </x:c>
      <x:c r="H2223" s="166" t="str">
        <x:v>Outros</x:v>
      </x:c>
      <x:c r="I2223" s="166" t="str">
        <x:v>Multicarteira Outros</x:v>
      </x:c>
      <x:c r="J2223" s="166" t="str">
        <x:v>CI</x:v>
      </x:c>
      <x:c r="K2223" s="172" t="n">
        <x:v>1</x:v>
      </x:c>
      <x:c r="L2223" s="185" t="str">
        <x:v>Não classificado</x:v>
      </x:c>
    </x:row>
    <x:row r="2224">
      <x:c r="A2224" s="175" t="str">
        <x:v>50.714.026/0001-70</x:v>
      </x:c>
      <x:c r="B2224" s="166" t="str">
        <x:v>1618 LEGAL CLAIMS FUNDO DE INVESTIMENTO EM DIREITOS CREDITÓRIOS</x:v>
      </x:c>
      <x:c r="C2224" s="188" t="n">
        <x:v>18925146.9</x:v>
      </x:c>
      <x:c r="D2224" s="166" t="str">
        <x:v>1618 INVESTIMENTOS</x:v>
      </x:c>
      <x:c r="E2224" s="166" t="str">
        <x:f>IFERROR(INDEX('Classif Gestoras'!$H$6:$H$462,MATCH(D2224,'Classif Gestoras'!$A$6:$A$462,0)),"Não classificada")</x:f>
        <x:v>Independente</x:v>
      </x:c>
      <x:c r="F2224" s="166" t="str">
        <x:v>PLANNER CV</x:v>
      </x:c>
      <x:c r="G2224" s="166" t="str">
        <x:v>PLANNER CORRETORA DE VALORES S.A.</x:v>
      </x:c>
      <x:c r="H2224" s="166" t="str">
        <x:v>Outros</x:v>
      </x:c>
      <x:c r="I2224" s="166" t="str">
        <x:v>Poder Público</x:v>
      </x:c>
      <x:c r="J2224" s="166" t="str">
        <x:v>CI</x:v>
      </x:c>
      <x:c r="K2224" s="172" t="n">
        <x:v>60</x:v>
      </x:c>
      <x:c r="L2224" s="185" t="str">
        <x:v>Não classificado</x:v>
      </x:c>
    </x:row>
    <x:row r="2225">
      <x:c r="A2225" s="175" t="str">
        <x:v>34.737.918/0001-30</x:v>
      </x:c>
      <x:c r="B2225" s="166" t="str">
        <x:v>CNPJ 34737918000130</x:v>
      </x:c>
      <x:c r="C2225" s="188" t="n">
        <x:v>18922014.82</x:v>
      </x:c>
      <x:c r="D2225" s="166" t="str">
        <x:v>Emerald Gestão de Investimento</x:v>
      </x:c>
      <x:c r="E2225" s="166" t="str">
        <x:f>IFERROR(INDEX('Classif Gestoras'!$H$6:$H$462,MATCH(D2225,'Classif Gestoras'!$A$6:$A$462,0)),"Não classificada")</x:f>
        <x:v>Independente</x:v>
      </x:c>
      <x:c r="F2225" s="166" t="str">
        <x:v>BANCO J. SAFRA S/A</x:v>
      </x:c>
      <x:c r="G2225" s="166" t="str">
        <x:v>Não identificado</x:v>
      </x:c>
      <x:c r="H2225" s="166" t="str">
        <x:v>Outros</x:v>
      </x:c>
      <x:c r="I2225" s="166" t="str">
        <x:v>Poder Público</x:v>
      </x:c>
      <x:c r="J2225" s="166" t="str">
        <x:v>CI</x:v>
      </x:c>
      <x:c r="K2225" s="172"/>
      <x:c r="L2225" s="185" t="str">
        <x:v>Não classificado</x:v>
      </x:c>
    </x:row>
    <x:row r="2226">
      <x:c r="A2226" s="175" t="str">
        <x:v>26.689.672/0001-40</x:v>
      </x:c>
      <x:c r="B2226" s="166" t="str">
        <x:v>AFARE I - FUNDO DE INVESTIMENTO EM DIREITOS CREDITORIOS</x:v>
      </x:c>
      <x:c r="C2226" s="188" t="n">
        <x:v>18890538.6</x:v>
      </x:c>
      <x:c r="D2226" s="166" t="str">
        <x:v>Libertas Asset</x:v>
      </x:c>
      <x:c r="E2226" s="166" t="str">
        <x:f>IFERROR(INDEX('Classif Gestoras'!$H$6:$H$462,MATCH(D2226,'Classif Gestoras'!$A$6:$A$462,0)),"Não classificada")</x:f>
        <x:v>Independente</x:v>
      </x:c>
      <x:c r="F2226" s="166" t="str">
        <x:v>ACTUAL DTVM</x:v>
      </x:c>
      <x:c r="G2226" s="166" t="str">
        <x:v>LASTRO RDV DTVM LTDA</x:v>
      </x:c>
      <x:c r="H2226" s="166" t="str">
        <x:v>Outros</x:v>
      </x:c>
      <x:c r="I2226" s="166" t="str">
        <x:v>Multicarteira Outros</x:v>
      </x:c>
      <x:c r="J2226" s="166" t="str">
        <x:v>CI</x:v>
      </x:c>
      <x:c r="K2226" s="172" t="n">
        <x:v>1</x:v>
      </x:c>
      <x:c r="L2226" s="185" t="str">
        <x:v>Não classificado</x:v>
      </x:c>
    </x:row>
    <x:row r="2227">
      <x:c r="A2227" s="175" t="str">
        <x:v>11.813.230/0001-96</x:v>
      </x:c>
      <x:c r="B2227" s="166" t="str">
        <x:v>MA MÁQUINAS FUNDO DE INVESTIMENTO EM DIREITOS CREDITÓRIOS SEGMENTO ECONÔMICO DO AGRONEGÓCIO</x:v>
      </x:c>
      <x:c r="C2227" s="188" t="n">
        <x:v>18848890.2</x:v>
      </x:c>
      <x:c r="D2227" s="166" t="str">
        <x:v>Petra Capital</x:v>
      </x:c>
      <x:c r="E2227" s="166" t="str">
        <x:f>IFERROR(INDEX('Classif Gestoras'!$H$6:$H$462,MATCH(D2227,'Classif Gestoras'!$A$6:$A$462,0)),"Não classificada")</x:f>
        <x:v>Independente</x:v>
      </x:c>
      <x:c r="F2227" s="166" t="str">
        <x:v>Finaxis Corretora de Títulos e Valores Mobiliários S.A.</x:v>
      </x:c>
      <x:c r="G2227" s="166" t="str">
        <x:v>BANCO FINAXIS S.A.</x:v>
      </x:c>
      <x:c r="H2227" s="166" t="str">
        <x:v>Outros</x:v>
      </x:c>
      <x:c r="I2227" s="166" t="str">
        <x:v>Multicarteira Outros</x:v>
      </x:c>
      <x:c r="J2227" s="166" t="str">
        <x:v>CI</x:v>
      </x:c>
      <x:c r="K2227" s="172" t="n">
        <x:v>1</x:v>
      </x:c>
      <x:c r="L2227" s="185" t="str">
        <x:v>Não classificado</x:v>
      </x:c>
    </x:row>
    <x:row r="2228">
      <x:c r="A2228" s="175" t="str">
        <x:v>28.296.597/0001-82</x:v>
      </x:c>
      <x:c r="B2228" s="166" t="str">
        <x:v>HT3 FUNDO DE INVESTIMENTO EM DIREITOS CREDITÓRIOS RESPONSABILIDADE LIMITADA</x:v>
      </x:c>
      <x:c r="C2228" s="188" t="n">
        <x:v>18833101.6</x:v>
      </x:c>
      <x:c r="D2228" s="166" t="str">
        <x:v>Bless Capital Gestora de Recursos Ltda.</x:v>
      </x:c>
      <x:c r="E2228" s="166" t="str">
        <x:f>IFERROR(INDEX('Classif Gestoras'!$H$6:$H$462,MATCH(D2228,'Classif Gestoras'!$A$6:$A$462,0)),"Não classificada")</x:f>
        <x:v>Independente</x:v>
      </x:c>
      <x:c r="F2228" s="166" t="str">
        <x:v>ID Corretora de Títulos e Valores Mobiliários S.A.</x:v>
      </x:c>
      <x:c r="G2228" s="166" t="str">
        <x:v>ID CORRETORA DE TITULOS E VALORES MOBILIARIOS S.A.</x:v>
      </x:c>
      <x:c r="H2228" s="166" t="str">
        <x:v>Outros</x:v>
      </x:c>
      <x:c r="I2228" s="166" t="str">
        <x:v>Multicarteira Outros</x:v>
      </x:c>
      <x:c r="J2228" s="166" t="str">
        <x:v>CI</x:v>
      </x:c>
      <x:c r="K2228" s="172" t="n">
        <x:v>3</x:v>
      </x:c>
      <x:c r="L2228" s="185" t="str">
        <x:v>Não classificado</x:v>
      </x:c>
    </x:row>
    <x:row r="2229">
      <x:c r="A2229" s="175" t="str">
        <x:v>44.909.456/0001-44</x:v>
      </x:c>
      <x:c r="B2229" s="166" t="str">
        <x:v>SOLFÁCIL IV FUNDO DE INVESTIMENTO EM DIREITOS CREDITÓRIOS</x:v>
      </x:c>
      <x:c r="C2229" s="188" t="n">
        <x:v>18823286.01</x:v>
      </x:c>
      <x:c r="D2229" s="166" t="str">
        <x:v>GENIAL GESTÃO LTDA.</x:v>
      </x:c>
      <x:c r="E2229" s="166" t="str">
        <x:f>IFERROR(INDEX('Classif Gestoras'!$H$6:$H$462,MATCH(D2229,'Classif Gestoras'!$A$6:$A$462,0)),"Não classificada")</x:f>
        <x:v>Ligada a banco</x:v>
      </x:c>
      <x:c r="F2229" s="166" t="str">
        <x:v>Banco Genial S.A.</x:v>
      </x:c>
      <x:c r="G2229" s="166" t="str">
        <x:v>BANCO GENIAL S.A.</x:v>
      </x:c>
      <x:c r="H2229" s="166" t="str">
        <x:v>Financeiro</x:v>
      </x:c>
      <x:c r="I2229" s="166" t="str">
        <x:v>Crédito Pessoal</x:v>
      </x:c>
      <x:c r="J2229" s="166" t="str">
        <x:v>CI</x:v>
      </x:c>
      <x:c r="K2229" s="172" t="n">
        <x:v>1</x:v>
      </x:c>
      <x:c r="L2229" s="185" t="str">
        <x:v>Não classificado</x:v>
      </x:c>
    </x:row>
    <x:row r="2230">
      <x:c r="A2230" s="175" t="str">
        <x:v>20.997.814/0001-50</x:v>
      </x:c>
      <x:c r="B2230" s="166" t="str">
        <x:v>SPECIAL SITUATIONS FUNDO DE INVESTIMENTO EM DIREITOS CREDITÓRIOS</x:v>
      </x:c>
      <x:c r="C2230" s="188" t="n">
        <x:v>18791796.79</x:v>
      </x:c>
      <x:c r="D2230" s="166" t="str">
        <x:v>ROOT CAPITAL</x:v>
      </x:c>
      <x:c r="E2230" s="166" t="str">
        <x:f>IFERROR(INDEX('Classif Gestoras'!$H$6:$H$462,MATCH(D2230,'Classif Gestoras'!$A$6:$A$462,0)),"Não classificada")</x:f>
        <x:v>Independente</x:v>
      </x:c>
      <x:c r="F2230" s="166" t="str">
        <x:v>BNY MELLON SERVICOS</x:v>
      </x:c>
      <x:c r="G2230" s="166" t="str">
        <x:v>BNY MELLON BANCO S.A.</x:v>
      </x:c>
      <x:c r="H2230" s="166" t="str">
        <x:v>Outros</x:v>
      </x:c>
      <x:c r="I2230" s="166" t="str">
        <x:v>Recuperação</x:v>
      </x:c>
      <x:c r="J2230" s="166" t="str">
        <x:v>CIPC</x:v>
      </x:c>
      <x:c r="K2230" s="172" t="n">
        <x:v>3</x:v>
      </x:c>
      <x:c r="L2230" s="185" t="str">
        <x:v>Não classificado</x:v>
      </x:c>
    </x:row>
    <x:row r="2231">
      <x:c r="A2231" s="175" t="str">
        <x:v>44.173.399/0001-88</x:v>
      </x:c>
      <x:c r="B2231" s="166" t="str">
        <x:v>H2 ISP FUNDO DE INVESTIMENTO EM DIREITOS CREDITÓRIOS</x:v>
      </x:c>
      <x:c r="C2231" s="188" t="n">
        <x:v>18749749.06</x:v>
      </x:c>
      <x:c r="D2231" s="166" t="str">
        <x:v>H2 ASSET MANAGEMENT LTDA</x:v>
      </x:c>
      <x:c r="E2231" s="166" t="str">
        <x:f>IFERROR(INDEX('Classif Gestoras'!$H$6:$H$462,MATCH(D2231,'Classif Gestoras'!$A$6:$A$462,0)),"Não classificada")</x:f>
        <x:v>Independente</x:v>
      </x:c>
      <x:c r="F2231" s="166" t="str">
        <x:v>BTG Pactual Servicos Financeiros S/A DTVM</x:v>
      </x:c>
      <x:c r="G2231" s="166" t="str">
        <x:v>BANCO BTG PACTUAL S/A</x:v>
      </x:c>
      <x:c r="H2231" s="166" t="str">
        <x:v>Outros</x:v>
      </x:c>
      <x:c r="I2231" s="166" t="str">
        <x:v>Multicarteira Outros</x:v>
      </x:c>
      <x:c r="J2231" s="166" t="str">
        <x:v>CI</x:v>
      </x:c>
      <x:c r="K2231" s="172" t="n">
        <x:v>6</x:v>
      </x:c>
      <x:c r="L2231" s="185" t="str">
        <x:v>Não classificado</x:v>
      </x:c>
    </x:row>
    <x:row r="2232">
      <x:c r="A2232" s="175" t="str">
        <x:v>14.364.744/0001-08</x:v>
      </x:c>
      <x:c r="B2232" s="166" t="str">
        <x:v>CAPITAL FORTE FUNDO DE INVESTIMENTO EM DIREITOS CREDITORIOS MULTISSETORIAL</x:v>
      </x:c>
      <x:c r="C2232" s="188" t="n">
        <x:v>18733828.27</x:v>
      </x:c>
      <x:c r="D2232" s="166" t="str">
        <x:v>TERCON ASSET MANAGEMENT</x:v>
      </x:c>
      <x:c r="E2232" s="166" t="str">
        <x:f>IFERROR(INDEX('Classif Gestoras'!$H$6:$H$462,MATCH(D2232,'Classif Gestoras'!$A$6:$A$462,0)),"Não classificada")</x:f>
        <x:v>Independente</x:v>
      </x:c>
      <x:c r="F2232" s="166" t="str">
        <x:v>Singulare</x:v>
      </x:c>
      <x:c r="G2232" s="166" t="str">
        <x:v>QI CORRETORA DE TÍTULOS E VALORES MOBILIÁRIOS S.A.</x:v>
      </x:c>
      <x:c r="H2232" s="166" t="str">
        <x:v>Fomento Mercantil</x:v>
      </x:c>
      <x:c r="I2232" s="166" t="str">
        <x:v>Fomento Mercantil</x:v>
      </x:c>
      <x:c r="J2232" s="166" t="str">
        <x:v>CI</x:v>
      </x:c>
      <x:c r="K2232" s="172" t="n">
        <x:v>11</x:v>
      </x:c>
      <x:c r="L2232" s="185" t="str">
        <x:v>Não classificado</x:v>
      </x:c>
    </x:row>
    <x:row r="2233">
      <x:c r="A2233" s="175" t="str">
        <x:v>45.145.595/0001-01</x:v>
      </x:c>
      <x:c r="B2233" s="166" t="str">
        <x:v>KP DRACMA FUNDO DE INVESTIMENTO EM DIREITOS CREDITÓRIOS RESPONSABILIDADE LIMITADA</x:v>
      </x:c>
      <x:c r="C2233" s="188" t="n">
        <x:v>18675848.16</x:v>
      </x:c>
      <x:c r="D2233" s="166" t="str">
        <x:v>KP GESTÃO DE RECURSOS LTDA.</x:v>
      </x:c>
      <x:c r="E2233" s="166" t="str">
        <x:f>IFERROR(INDEX('Classif Gestoras'!$H$6:$H$462,MATCH(D2233,'Classif Gestoras'!$A$6:$A$462,0)),"Não classificada")</x:f>
        <x:v>Independente</x:v>
      </x:c>
      <x:c r="F2233" s="166" t="str">
        <x:v>PLANNER CV</x:v>
      </x:c>
      <x:c r="G2233" s="166" t="str">
        <x:v>PLANNER CORRETORA DE VALORES S.A.</x:v>
      </x:c>
      <x:c r="H2233" s="166" t="str">
        <x:v>Outros</x:v>
      </x:c>
      <x:c r="I2233" s="166" t="str">
        <x:v>Poder Público</x:v>
      </x:c>
      <x:c r="J2233" s="166" t="str">
        <x:v>CI</x:v>
      </x:c>
      <x:c r="K2233" s="172" t="n">
        <x:v>10</x:v>
      </x:c>
      <x:c r="L2233" s="185" t="str">
        <x:v>Não classificado</x:v>
      </x:c>
    </x:row>
    <x:row r="2234">
      <x:c r="A2234" s="175" t="str">
        <x:v>57.998.329/0001-00</x:v>
      </x:c>
      <x:c r="B2234" s="166" t="str">
        <x:v>LOYALTY FUNDO DE INVESTIMENTO EM DIREITOS CREDITÓRIOS</x:v>
      </x:c>
      <x:c r="C2234" s="188" t="n">
        <x:v>18602753.31</x:v>
      </x:c>
      <x:c r="D2234" s="166" t="str">
        <x:v>Harbour Capital</x:v>
      </x:c>
      <x:c r="E2234" s="166" t="str">
        <x:f>IFERROR(INDEX('Classif Gestoras'!$H$6:$H$462,MATCH(D2234,'Classif Gestoras'!$A$6:$A$462,0)),"Não classificada")</x:f>
        <x:v>Independente</x:v>
      </x:c>
      <x:c r="F2234" s="166" t="str">
        <x:v>AZUMI DISTRIBUIDORA DE TÍTULOS E VALORES MOBILIÁRIOS LT</x:v>
      </x:c>
      <x:c r="G2234" s="166" t="str">
        <x:v>AZUMI DISTRIBUIDORA DE TÍTULOS E VALORES MOBILIÁRIOS LTDA.</x:v>
      </x:c>
      <x:c r="H2234" s="166" t="str">
        <x:v>Fomento Mercantil</x:v>
      </x:c>
      <x:c r="I2234" s="166" t="str">
        <x:v>Fomento Mercantil</x:v>
      </x:c>
      <x:c r="J2234" s="166" t="str">
        <x:v>CI</x:v>
      </x:c>
      <x:c r="K2234" s="172" t="n">
        <x:v>17</x:v>
      </x:c>
      <x:c r="L2234" s="185" t="str">
        <x:v>Não classificado</x:v>
      </x:c>
    </x:row>
    <x:row r="2235">
      <x:c r="A2235" s="175" t="str">
        <x:v>44.465.412/0001-72</x:v>
      </x:c>
      <x:c r="B2235" s="166" t="str">
        <x:v>HIKARI FUNDO DE INVESTIMENTO EM DIREITOS CREDITORIOS</x:v>
      </x:c>
      <x:c r="C2235" s="188" t="n">
        <x:v>18585128.06</x:v>
      </x:c>
      <x:c r="D2235" s="166" t="str">
        <x:v>ASSET MANAGEMENT</x:v>
      </x:c>
      <x:c r="E2235" s="166" t="str">
        <x:f>IFERROR(INDEX('Classif Gestoras'!$H$6:$H$462,MATCH(D2235,'Classif Gestoras'!$A$6:$A$462,0)),"Não classificada")</x:f>
        <x:v>Independente</x:v>
      </x:c>
      <x:c r="F2235" s="166" t="str">
        <x:v>AZUMI DISTRIBUIDORA DE TÍTULOS E VALORES MOBILIÁRIOS LT</x:v>
      </x:c>
      <x:c r="G2235" s="166" t="str">
        <x:v>Não identificado</x:v>
      </x:c>
      <x:c r="H2235" s="166" t="str">
        <x:v>Outros</x:v>
      </x:c>
      <x:c r="I2235" s="166" t="str">
        <x:v>Multicarteira Outros</x:v>
      </x:c>
      <x:c r="J2235" s="166" t="str">
        <x:v>CI</x:v>
      </x:c>
      <x:c r="K2235" s="172" t="n">
        <x:v>15</x:v>
      </x:c>
      <x:c r="L2235" s="185" t="str">
        <x:v>Não classificado</x:v>
      </x:c>
    </x:row>
    <x:row r="2236">
      <x:c r="A2236" s="175" t="str">
        <x:v>58.157.509/0001-22</x:v>
      </x:c>
      <x:c r="B2236" s="166" t="str">
        <x:v>WK CAPITAL FUNDO DE INVESTIMENTO EM DIREITOS CREDITÓRIOS</x:v>
      </x:c>
      <x:c r="C2236" s="188" t="n">
        <x:v>18567701.54</x:v>
      </x:c>
      <x:c r="D2236" s="166" t="str">
        <x:v>TERCON ASSET MANAGEMENT</x:v>
      </x:c>
      <x:c r="E2236" s="166" t="str">
        <x:f>IFERROR(INDEX('Classif Gestoras'!$H$6:$H$462,MATCH(D2236,'Classif Gestoras'!$A$6:$A$462,0)),"Não classificada")</x:f>
        <x:v>Independente</x:v>
      </x:c>
      <x:c r="F2236" s="166" t="str">
        <x:v>Singulare</x:v>
      </x:c>
      <x:c r="G2236" s="166" t="str">
        <x:v>QI CORRETORA DE TÍTULOS E VALORES MOBILIÁRIOS S.A.</x:v>
      </x:c>
      <x:c r="H2236" s="166" t="str">
        <x:v>Fomento Mercantil</x:v>
      </x:c>
      <x:c r="I2236" s="166" t="str">
        <x:v>Fomento Mercantil</x:v>
      </x:c>
      <x:c r="J2236" s="166" t="str">
        <x:v>CI</x:v>
      </x:c>
      <x:c r="K2236" s="172" t="n">
        <x:v>1</x:v>
      </x:c>
      <x:c r="L2236" s="185" t="str">
        <x:v>Não classificado</x:v>
      </x:c>
    </x:row>
    <x:row r="2237">
      <x:c r="A2237" s="175" t="str">
        <x:v>52.340.225/0001-90</x:v>
      </x:c>
      <x:c r="B2237" s="166" t="str">
        <x:v>INOVA CREDTECH III FIDC SEGMENTO MULTICARTEIRA DE RESPONSABILIDADE LIMITADA</x:v>
      </x:c>
      <x:c r="C2237" s="188" t="n">
        <x:v>18555543.15</x:v>
      </x:c>
      <x:c r="D2237" s="166" t="str">
        <x:v>VERT Gestora de Recursos Financeiros Ltda.</x:v>
      </x:c>
      <x:c r="E2237" s="166" t="str">
        <x:f>IFERROR(INDEX('Classif Gestoras'!$H$6:$H$462,MATCH(D2237,'Classif Gestoras'!$A$6:$A$462,0)),"Não classificada")</x:f>
        <x:v>Independente</x:v>
      </x:c>
      <x:c r="F2237" s="166" t="str">
        <x:v>Limine Trust Distribuidora de Titulos e Valores Mobiliá</x:v>
      </x:c>
      <x:c r="G2237" s="166" t="str">
        <x:v>LIMINE TRUST DISTRIBUIDORA DE TITULOS E VALORES MOBILIARIOS LTDA.</x:v>
      </x:c>
      <x:c r="H2237" s="166" t="str">
        <x:v>Outros</x:v>
      </x:c>
      <x:c r="I2237" s="166" t="str">
        <x:v>Multicarteira Outros</x:v>
      </x:c>
      <x:c r="J2237" s="166" t="str">
        <x:v>CI</x:v>
      </x:c>
      <x:c r="K2237" s="172" t="n">
        <x:v>41</x:v>
      </x:c>
      <x:c r="L2237" s="185" t="str">
        <x:v>Não classificado</x:v>
      </x:c>
    </x:row>
    <x:row r="2238">
      <x:c r="A2238" s="175" t="str">
        <x:v>54.976.450/0001-43</x:v>
      </x:c>
      <x:c r="B2238" s="166" t="str">
        <x:v>JGP SPECIAL SITUATIONS IV FUNDO DE INVESTIMENTO EM DIREITOS CREDITÓRIOS - RESPONSABILIDADE LIMITADA</x:v>
      </x:c>
      <x:c r="C2238" s="188" t="n">
        <x:v>18469873.66</x:v>
      </x:c>
      <x:c r="D2238" s="166" t="str">
        <x:v>JGP GESTAO DE RECURS</x:v>
      </x:c>
      <x:c r="E2238" s="166" t="str">
        <x:f>IFERROR(INDEX('Classif Gestoras'!$H$6:$H$462,MATCH(D2238,'Classif Gestoras'!$A$6:$A$462,0)),"Não classificada")</x:f>
        <x:v>Independente</x:v>
      </x:c>
      <x:c r="F2238" s="166" t="str">
        <x:v>BANCO DAYCOVAL S/A</x:v>
      </x:c>
      <x:c r="G2238" s="166" t="str">
        <x:v>BANCO DAYCOVAL S.A.</x:v>
      </x:c>
      <x:c r="H2238" s="166" t="str">
        <x:v>Financeiro</x:v>
      </x:c>
      <x:c r="I2238" s="166" t="str">
        <x:v>Multicarteira Financeiro</x:v>
      </x:c>
      <x:c r="J2238" s="166" t="str">
        <x:v>CI</x:v>
      </x:c>
      <x:c r="K2238" s="172" t="n">
        <x:v>10</x:v>
      </x:c>
      <x:c r="L2238" s="185" t="str">
        <x:v>Não classificado</x:v>
      </x:c>
    </x:row>
    <x:row r="2239">
      <x:c r="A2239" s="175" t="str">
        <x:v>35.477.786/0001-17</x:v>
      </x:c>
      <x:c r="B2239" s="166" t="str">
        <x:v>OLIVER FUNDO DE INVESTIMENTO EM DIREITOS CREDITORIOS</x:v>
      </x:c>
      <x:c r="C2239" s="188" t="n">
        <x:v>18430535.9</x:v>
      </x:c>
      <x:c r="D2239" s="166" t="str">
        <x:v>MAM ASSET MANAGEMENT</x:v>
      </x:c>
      <x:c r="E2239" s="166" t="str">
        <x:f>IFERROR(INDEX('Classif Gestoras'!$H$6:$H$462,MATCH(D2239,'Classif Gestoras'!$A$6:$A$462,0)),"Não classificada")</x:f>
        <x:v>Independente</x:v>
      </x:c>
      <x:c r="F2239" s="166" t="str">
        <x:v>TRUSTEE DTVM</x:v>
      </x:c>
      <x:c r="G2239" s="166" t="str">
        <x:v>TRUSTEE DISTRIBUIDORA DE TITULOS E VALORES MOBILIARIOS LTDA.</x:v>
      </x:c>
      <x:c r="H2239" s="166" t="str">
        <x:v>Outros</x:v>
      </x:c>
      <x:c r="I2239" s="166" t="str">
        <x:v>Multicarteira Outros</x:v>
      </x:c>
      <x:c r="J2239" s="166" t="str">
        <x:v>CI</x:v>
      </x:c>
      <x:c r="K2239" s="172" t="n">
        <x:v>2</x:v>
      </x:c>
      <x:c r="L2239" s="185" t="str">
        <x:v>Não classificado</x:v>
      </x:c>
    </x:row>
    <x:row r="2240">
      <x:c r="A2240" s="175" t="str">
        <x:v>56.661.282/0001-22</x:v>
      </x:c>
      <x:c r="B2240" s="166" t="str">
        <x:v>VENTURO FUNDO DE INVESTIMENTO EM DIREITOS CREDITÓRIOS</x:v>
      </x:c>
      <x:c r="C2240" s="188" t="n">
        <x:v>18392384.65</x:v>
      </x:c>
      <x:c r="D2240" s="166" t="str">
        <x:v>PACTUAL CAPITAL PART</x:v>
      </x:c>
      <x:c r="E2240" s="166" t="str">
        <x:f>IFERROR(INDEX('Classif Gestoras'!$H$6:$H$462,MATCH(D2240,'Classif Gestoras'!$A$6:$A$462,0)),"Não classificada")</x:f>
        <x:v>Independente</x:v>
      </x:c>
      <x:c r="F2240" s="166" t="str">
        <x:v>BTG Pactual Servicos Financeiros S/A DTVM</x:v>
      </x:c>
      <x:c r="G2240" s="166" t="str">
        <x:v>BANCO BTG PACTUAL S/A</x:v>
      </x:c>
      <x:c r="H2240" s="166" t="str">
        <x:v>Outros</x:v>
      </x:c>
      <x:c r="I2240" s="166" t="str">
        <x:v>Poder Público</x:v>
      </x:c>
      <x:c r="J2240" s="166" t="str">
        <x:v>CI</x:v>
      </x:c>
      <x:c r="K2240" s="172" t="n">
        <x:v>4</x:v>
      </x:c>
      <x:c r="L2240" s="185" t="str">
        <x:v>Não classificado</x:v>
      </x:c>
    </x:row>
    <x:row r="2241">
      <x:c r="A2241" s="175" t="str">
        <x:v>44.395.657/0001-70</x:v>
      </x:c>
      <x:c r="B2241" s="166" t="str">
        <x:v>CM ESTADUAL FUNDO DE INVESTIMENTO EM DIREITOS CREDITÓRIOS NÃO PADRONIZADOS</x:v>
      </x:c>
      <x:c r="C2241" s="188" t="n">
        <x:v>18341062.96</x:v>
      </x:c>
      <x:c r="D2241" s="166" t="str">
        <x:v>BURITI INVESTIMENTOS</x:v>
      </x:c>
      <x:c r="E2241" s="166" t="str">
        <x:f>IFERROR(INDEX('Classif Gestoras'!$H$6:$H$462,MATCH(D2241,'Classif Gestoras'!$A$6:$A$462,0)),"Não classificada")</x:f>
        <x:v>Independente</x:v>
      </x:c>
      <x:c r="F2241" s="166" t="str">
        <x:v>Singulare</x:v>
      </x:c>
      <x:c r="G2241" s="166" t="str">
        <x:v>QI CORRETORA DE TÍTULOS E VALORES MOBILIÁRIOS S.A.</x:v>
      </x:c>
      <x:c r="H2241" s="166" t="str">
        <x:v>Outros</x:v>
      </x:c>
      <x:c r="I2241" s="166" t="str">
        <x:v>Poder Público</x:v>
      </x:c>
      <x:c r="J2241" s="166" t="str">
        <x:v>CI</x:v>
      </x:c>
      <x:c r="K2241" s="172" t="n">
        <x:v>8</x:v>
      </x:c>
      <x:c r="L2241" s="185" t="str">
        <x:v>Não classificado</x:v>
      </x:c>
    </x:row>
    <x:row r="2242">
      <x:c r="A2242" s="175" t="str">
        <x:v>64.155.784/0001-00</x:v>
      </x:c>
      <x:c r="B2242" s="166" t="str">
        <x:v>RES JUDICATA FIDC NÃO PADRONIZADOS RESPONSABILIDADE LIMITADA</x:v>
      </x:c>
      <x:c r="C2242" s="188" t="n">
        <x:v>18327558.64</x:v>
      </x:c>
      <x:c r="D2242" s="166" t="str">
        <x:v>NOVA OCCAM BRASIL GESTÃO DE RECURSOS LTDA.</x:v>
      </x:c>
      <x:c r="E2242" s="166" t="str">
        <x:f>IFERROR(INDEX('Classif Gestoras'!$H$6:$H$462,MATCH(D2242,'Classif Gestoras'!$A$6:$A$462,0)),"Não classificada")</x:f>
        <x:v>Independente</x:v>
      </x:c>
      <x:c r="F2242" s="166" t="str">
        <x:v>Inter Distribuidora de Títulos e Valores Mobiliários Lt</x:v>
      </x:c>
      <x:c r="G2242" s="166" t="str">
        <x:v>INTER DISTRIBUIDORA DE TÍTULOS E VALORES MOBILIÁRIOS</x:v>
      </x:c>
      <x:c r="H2242" s="166" t="str">
        <x:v>Outros</x:v>
      </x:c>
      <x:c r="I2242" s="166" t="str">
        <x:v>Poder Público</x:v>
      </x:c>
      <x:c r="J2242" s="166" t="str">
        <x:v>CI</x:v>
      </x:c>
      <x:c r="K2242" s="172" t="n">
        <x:v>5</x:v>
      </x:c>
      <x:c r="L2242" s="185" t="str">
        <x:v>Não classificado</x:v>
      </x:c>
    </x:row>
    <x:row r="2243">
      <x:c r="A2243" s="175" t="str">
        <x:v>13.409.986/0001-08</x:v>
      </x:c>
      <x:c r="B2243" s="166" t="str">
        <x:v>ALBATROZ FUNDO DE INVESTIMENTO EM DIREITOS CREDITÓRIOS - NÃO PADRONIZADOS</x:v>
      </x:c>
      <x:c r="C2243" s="188" t="n">
        <x:v>18312916.0321</x:v>
      </x:c>
      <x:c r="D2243" s="166" t="str">
        <x:v>Ponta Sul Investimentos Ltda.</x:v>
      </x:c>
      <x:c r="E2243" s="166" t="str">
        <x:f>IFERROR(INDEX('Classif Gestoras'!$H$6:$H$462,MATCH(D2243,'Classif Gestoras'!$A$6:$A$462,0)),"Não classificada")</x:f>
        <x:v>Independente</x:v>
      </x:c>
      <x:c r="F2243" s="166" t="str">
        <x:v>BTG Pactual Servicos Financeiros S/A DTVM</x:v>
      </x:c>
      <x:c r="G2243" s="166" t="str">
        <x:v>BANCO BTG PACTUAL S/A</x:v>
      </x:c>
      <x:c r="H2243" s="166" t="str">
        <x:v>Outros</x:v>
      </x:c>
      <x:c r="I2243" s="166" t="str">
        <x:v>Poder Público</x:v>
      </x:c>
      <x:c r="J2243" s="166" t="str">
        <x:v>CI</x:v>
      </x:c>
      <x:c r="K2243" s="172" t="n">
        <x:v>1</x:v>
      </x:c>
      <x:c r="L2243" s="185" t="str">
        <x:v>Não classificado</x:v>
      </x:c>
    </x:row>
    <x:row r="2244">
      <x:c r="A2244" s="175" t="str">
        <x:v>45.018.911/0001-84</x:v>
      </x:c>
      <x:c r="B2244" s="166" t="str">
        <x:v>HR FUNDO DE INVESTIMENTO EM DIREITOS CREDITÓRIOS FINANCEIRO - RESPONSABILIDADE LIMITADA</x:v>
      </x:c>
      <x:c r="C2244" s="188" t="n">
        <x:v>18244123.38</x:v>
      </x:c>
      <x:c r="D2244" s="166" t="str">
        <x:v>OURO PRETO INVESTIMENTOS</x:v>
      </x:c>
      <x:c r="E2244" s="166" t="str">
        <x:f>IFERROR(INDEX('Classif Gestoras'!$H$6:$H$462,MATCH(D2244,'Classif Gestoras'!$A$6:$A$462,0)),"Não classificada")</x:f>
        <x:v>Independente</x:v>
      </x:c>
      <x:c r="F2244" s="166" t="str">
        <x:v>ID Corretora de Títulos e Valores Mobiliários S.A.</x:v>
      </x:c>
      <x:c r="G2244" s="166" t="str">
        <x:v>ID CORRETORA DE TITULOS E VALORES MOBILIARIOS S.A.</x:v>
      </x:c>
      <x:c r="H2244" s="166" t="str">
        <x:v>Fomento Mercantil</x:v>
      </x:c>
      <x:c r="I2244" s="166" t="str">
        <x:v>Fomento Mercantil</x:v>
      </x:c>
      <x:c r="J2244" s="166" t="str">
        <x:v>CI</x:v>
      </x:c>
      <x:c r="K2244" s="172" t="n">
        <x:v>0</x:v>
      </x:c>
      <x:c r="L2244" s="185" t="str">
        <x:v>Não classificado</x:v>
      </x:c>
    </x:row>
    <x:row r="2245">
      <x:c r="A2245" s="175" t="str">
        <x:v>60.368.384/0001-21</x:v>
      </x:c>
      <x:c r="B2245" s="166" t="str">
        <x:v>ONCRED FUNDO DE INVESTIMENTO EM DIREITOS CREDITÓRIOS</x:v>
      </x:c>
      <x:c r="C2245" s="188" t="n">
        <x:v>18180212.1</x:v>
      </x:c>
      <x:c r="D2245" s="166" t="str">
        <x:v>OURO PRETO INVESTIMENTOS</x:v>
      </x:c>
      <x:c r="E2245" s="166" t="str">
        <x:f>IFERROR(INDEX('Classif Gestoras'!$H$6:$H$462,MATCH(D2245,'Classif Gestoras'!$A$6:$A$462,0)),"Não classificada")</x:f>
        <x:v>Independente</x:v>
      </x:c>
      <x:c r="F2245" s="166" t="str">
        <x:v>Limine Trust Distribuidora de Titulos e Valores Mobiliá</x:v>
      </x:c>
      <x:c r="G2245" s="166" t="str">
        <x:v>LIMINE TRUST DISTRIBUIDORA DE TITULOS E VALORES MOBILIARIOS LTDA.</x:v>
      </x:c>
      <x:c r="H2245" s="166" t="str">
        <x:v>Fomento Mercantil</x:v>
      </x:c>
      <x:c r="I2245" s="166" t="str">
        <x:v>Fomento Mercantil</x:v>
      </x:c>
      <x:c r="J2245" s="166" t="str">
        <x:v>CI</x:v>
      </x:c>
      <x:c r="K2245" s="172" t="n">
        <x:v>3</x:v>
      </x:c>
      <x:c r="L2245" s="185" t="str">
        <x:v>Não classificado</x:v>
      </x:c>
    </x:row>
    <x:row r="2246">
      <x:c r="A2246" s="175" t="str">
        <x:v>48.348.391/0001-66</x:v>
      </x:c>
      <x:c r="B2246" s="166" t="str">
        <x:v>AGROCETE FUNDO DE INVESTIMENTO EM DIREITOS CREDITÓRIOS NÃO-PADRONIZADOS</x:v>
      </x:c>
      <x:c r="C2246" s="188" t="n">
        <x:v>18152094.92</x:v>
      </x:c>
      <x:c r="D2246" s="166" t="str">
        <x:v>Catálise Investimentos</x:v>
      </x:c>
      <x:c r="E2246" s="166" t="str">
        <x:f>IFERROR(INDEX('Classif Gestoras'!$H$6:$H$462,MATCH(D2246,'Classif Gestoras'!$A$6:$A$462,0)),"Não classificada")</x:f>
        <x:v>Independente</x:v>
      </x:c>
      <x:c r="F2246" s="166" t="str">
        <x:v>CATÁLISE DTVM</x:v>
      </x:c>
      <x:c r="G2246" s="166" t="str">
        <x:v>BANCO DAYCOVAL S.A.</x:v>
      </x:c>
      <x:c r="H2246" s="166" t="str">
        <x:v>Outros</x:v>
      </x:c>
      <x:c r="I2246" s="166" t="str">
        <x:v>Multicarteira Outros</x:v>
      </x:c>
      <x:c r="J2246" s="166" t="str">
        <x:v>CI</x:v>
      </x:c>
      <x:c r="K2246" s="172" t="n">
        <x:v>1</x:v>
      </x:c>
      <x:c r="L2246" s="185" t="str">
        <x:v>Não classificado</x:v>
      </x:c>
    </x:row>
    <x:row r="2247">
      <x:c r="A2247" s="175" t="str">
        <x:v>57.740.051/0001-77</x:v>
      </x:c>
      <x:c r="B2247" s="166" t="str">
        <x:v>CHAVANTES FUNDO DE INVESTIMENTO EM DIREITOS CREDITÓRIOS RESPONSABILIDADE LIMITADA</x:v>
      </x:c>
      <x:c r="C2247" s="188" t="n">
        <x:v>18115855.880000003</x:v>
      </x:c>
      <x:c r="D2247" s="166" t="str">
        <x:v>GESTORA DE RECURSOS ID - GRID LTDA.</x:v>
      </x:c>
      <x:c r="E2247" s="166" t="str">
        <x:f>IFERROR(INDEX('Classif Gestoras'!$H$6:$H$462,MATCH(D2247,'Classif Gestoras'!$A$6:$A$462,0)),"Não classificada")</x:f>
        <x:v>Independente</x:v>
      </x:c>
      <x:c r="F2247" s="166" t="str">
        <x:v>ID Corretora de Títulos e Valores Mobiliários S.A.</x:v>
      </x:c>
      <x:c r="G2247" s="166" t="str">
        <x:v>ID CORRETORA DE TITULOS E VALORES MOBILIARIOS S.A.</x:v>
      </x:c>
      <x:c r="H2247" s="166" t="str">
        <x:v>Outros</x:v>
      </x:c>
      <x:c r="I2247" s="166" t="str">
        <x:v>Multicarteira Outros</x:v>
      </x:c>
      <x:c r="J2247" s="166" t="str">
        <x:v>CI</x:v>
      </x:c>
      <x:c r="K2247" s="172" t="n">
        <x:v>5</x:v>
      </x:c>
      <x:c r="L2247" s="185" t="str">
        <x:v>Não classificado</x:v>
      </x:c>
    </x:row>
    <x:row r="2248">
      <x:c r="A2248" s="175" t="str">
        <x:v>31.894.591/0001-11</x:v>
      </x:c>
      <x:c r="B2248" s="166" t="str">
        <x:v>RIO CAPITAL FUNDO DE INVESTIMENTO EM DIREITOS CREDITÓRIOS</x:v>
      </x:c>
      <x:c r="C2248" s="188" t="n">
        <x:v>18094423.08</x:v>
      </x:c>
      <x:c r="D2248" s="166" t="str">
        <x:v>TERCON ASSET MANAGEMENT</x:v>
      </x:c>
      <x:c r="E2248" s="166" t="str">
        <x:f>IFERROR(INDEX('Classif Gestoras'!$H$6:$H$462,MATCH(D2248,'Classif Gestoras'!$A$6:$A$462,0)),"Não classificada")</x:f>
        <x:v>Independente</x:v>
      </x:c>
      <x:c r="F2248" s="166" t="str">
        <x:v>Singulare</x:v>
      </x:c>
      <x:c r="G2248" s="166" t="str">
        <x:v>QI CORRETORA DE TÍTULOS E VALORES MOBILIÁRIOS S.A.</x:v>
      </x:c>
      <x:c r="H2248" s="166" t="str">
        <x:v>Fomento Mercantil</x:v>
      </x:c>
      <x:c r="I2248" s="166" t="str">
        <x:v>Fomento Mercantil</x:v>
      </x:c>
      <x:c r="J2248" s="166" t="str">
        <x:v>CI</x:v>
      </x:c>
      <x:c r="K2248" s="172" t="n">
        <x:v>1</x:v>
      </x:c>
      <x:c r="L2248" s="185" t="str">
        <x:v>Não classificado</x:v>
      </x:c>
    </x:row>
    <x:row r="2249">
      <x:c r="A2249" s="175" t="str">
        <x:v>46.323.053/0001-44</x:v>
      </x:c>
      <x:c r="B2249" s="166" t="str">
        <x:v>CONLIFE FUNDO DE INVESTIMENTO EM DIREITOS CREDITÓRIOS DE RESPONSABILIDADE LIMITADA</x:v>
      </x:c>
      <x:c r="C2249" s="188" t="n">
        <x:v>18065557.24</x:v>
      </x:c>
      <x:c r="D2249" s="166" t="str">
        <x:v>DAYCOVAL ASSET MANAG</x:v>
      </x:c>
      <x:c r="E2249" s="166" t="str">
        <x:f>IFERROR(INDEX('Classif Gestoras'!$H$6:$H$462,MATCH(D2249,'Classif Gestoras'!$A$6:$A$462,0)),"Não classificada")</x:f>
        <x:v>Ligada a banco</x:v>
      </x:c>
      <x:c r="F2249" s="166" t="str">
        <x:v>BANCO DAYCOVAL S/A</x:v>
      </x:c>
      <x:c r="G2249" s="166" t="str">
        <x:v>BANCO DAYCOVAL S.A.</x:v>
      </x:c>
      <x:c r="H2249" s="166" t="str">
        <x:v>Fomento Mercantil</x:v>
      </x:c>
      <x:c r="I2249" s="166" t="str">
        <x:v>Fomento Mercantil</x:v>
      </x:c>
      <x:c r="J2249" s="166" t="str">
        <x:v>CI</x:v>
      </x:c>
      <x:c r="K2249" s="172" t="n">
        <x:v>2</x:v>
      </x:c>
      <x:c r="L2249" s="185" t="str">
        <x:v>Não classificado</x:v>
      </x:c>
    </x:row>
    <x:row r="2250">
      <x:c r="A2250" s="175" t="str">
        <x:v>40.669.040/0001-45</x:v>
      </x:c>
      <x:c r="B2250" s="166" t="str">
        <x:v>CANAL 87 FUNDO DE INVESTIMENTO EM DIREITOS CREDITÓRIOS NÃO-PADRONIZADOS</x:v>
      </x:c>
      <x:c r="C2250" s="188" t="n">
        <x:v>18049791.81</x:v>
      </x:c>
      <x:c r="D2250" s="166" t="str">
        <x:v>Prisma Capital Ltda.</x:v>
      </x:c>
      <x:c r="E2250" s="166" t="str">
        <x:f>IFERROR(INDEX('Classif Gestoras'!$H$6:$H$462,MATCH(D2250,'Classif Gestoras'!$A$6:$A$462,0)),"Não classificada")</x:f>
        <x:v>Independente</x:v>
      </x:c>
      <x:c r="F2250" s="166" t="str">
        <x:v>Singulare</x:v>
      </x:c>
      <x:c r="G2250" s="166" t="str">
        <x:v>QI CORRETORA DE TÍTULOS E VALORES MOBILIÁRIOS S.A.</x:v>
      </x:c>
      <x:c r="H2250" s="166" t="str">
        <x:v>Outros</x:v>
      </x:c>
      <x:c r="I2250" s="166" t="str">
        <x:v>Multicarteira Outros</x:v>
      </x:c>
      <x:c r="J2250" s="166" t="str">
        <x:v>CI</x:v>
      </x:c>
      <x:c r="K2250" s="172" t="n">
        <x:v>14</x:v>
      </x:c>
      <x:c r="L2250" s="185" t="str">
        <x:v>Não classificado</x:v>
      </x:c>
    </x:row>
    <x:row r="2251">
      <x:c r="A2251" s="175" t="str">
        <x:v>18.677.046/0001-05</x:v>
      </x:c>
      <x:c r="B2251" s="166" t="str">
        <x:v>BRASPOR FUNDO DE INVESTIMENTO EM DIREITOS CREDITÓRIOS MULTISSETORIAL</x:v>
      </x:c>
      <x:c r="C2251" s="188" t="n">
        <x:v>18007659.39</x:v>
      </x:c>
      <x:c r="D2251" s="166" t="str">
        <x:v>OURO PRETO INVESTIMENTOS</x:v>
      </x:c>
      <x:c r="E2251" s="166" t="str">
        <x:f>IFERROR(INDEX('Classif Gestoras'!$H$6:$H$462,MATCH(D2251,'Classif Gestoras'!$A$6:$A$462,0)),"Não classificada")</x:f>
        <x:v>Independente</x:v>
      </x:c>
      <x:c r="F2251" s="166" t="str">
        <x:v>Singulare</x:v>
      </x:c>
      <x:c r="G2251" s="166" t="str">
        <x:v>QI CORRETORA DE TÍTULOS E VALORES MOBILIÁRIOS S.A.</x:v>
      </x:c>
      <x:c r="H2251" s="166" t="str">
        <x:v>Fomento Mercantil</x:v>
      </x:c>
      <x:c r="I2251" s="166" t="str">
        <x:v>Fomento Mercantil</x:v>
      </x:c>
      <x:c r="J2251" s="166" t="str">
        <x:v>CI</x:v>
      </x:c>
      <x:c r="K2251" s="172" t="n">
        <x:v>2</x:v>
      </x:c>
      <x:c r="L2251" s="185" t="str">
        <x:v>Não classificado</x:v>
      </x:c>
    </x:row>
    <x:row r="2252">
      <x:c r="A2252" s="175" t="str">
        <x:v>53.078.148/0001-05</x:v>
      </x:c>
      <x:c r="B2252" s="166" t="str">
        <x:v>TSALEACH FUNDO DE INVESTIMENTO EM DIREITOS CREDITÓRIOS RESPONSABILIDADE LIMITADA</x:v>
      </x:c>
      <x:c r="C2252" s="188" t="n">
        <x:v>18005790.84</x:v>
      </x:c>
      <x:c r="D2252" s="166" t="str">
        <x:v>Neves Asset Management</x:v>
      </x:c>
      <x:c r="E2252" s="166" t="str">
        <x:f>IFERROR(INDEX('Classif Gestoras'!$H$6:$H$462,MATCH(D2252,'Classif Gestoras'!$A$6:$A$462,0)),"Não classificada")</x:f>
        <x:v>Independente</x:v>
      </x:c>
      <x:c r="F2252" s="166" t="str">
        <x:v>ID Corretora de Títulos e Valores Mobiliários S.A.</x:v>
      </x:c>
      <x:c r="G2252" s="166" t="str">
        <x:v>ID CORRETORA DE TITULOS E VALORES MOBILIARIOS S.A.</x:v>
      </x:c>
      <x:c r="H2252" s="166" t="str">
        <x:v>Outros</x:v>
      </x:c>
      <x:c r="I2252" s="166" t="str">
        <x:v>Multicarteira Outros</x:v>
      </x:c>
      <x:c r="J2252" s="166" t="str">
        <x:v>CI</x:v>
      </x:c>
      <x:c r="K2252" s="172" t="n">
        <x:v>4</x:v>
      </x:c>
      <x:c r="L2252" s="185" t="str">
        <x:v>Não classificado</x:v>
      </x:c>
    </x:row>
    <x:row r="2253">
      <x:c r="A2253" s="175" t="str">
        <x:v>55.271.694/0001-93</x:v>
      </x:c>
      <x:c r="B2253" s="166" t="str">
        <x:v>TRUST BR FUNDO DE INVESTIMENTO EM DIREITOS CREDITORIOS</x:v>
      </x:c>
      <x:c r="C2253" s="188" t="n">
        <x:v>17983423.69</x:v>
      </x:c>
      <x:c r="D2253" s="166" t="str">
        <x:v>SQUALO CAPITAL GESTORA DE RECURSOS LTDA.</x:v>
      </x:c>
      <x:c r="E2253" s="166" t="str">
        <x:f>IFERROR(INDEX('Classif Gestoras'!$H$6:$H$462,MATCH(D2253,'Classif Gestoras'!$A$6:$A$462,0)),"Não classificada")</x:f>
        <x:v>Independente</x:v>
      </x:c>
      <x:c r="F2253" s="166" t="str">
        <x:v>FIDD DISTRIBUIDORA DE TITULOS E VALORES MOBILIARIOS LTD</x:v>
      </x:c>
      <x:c r="G2253" s="166" t="str">
        <x:v>FIDD DISTRIBUIDORA DE TITULOS E VALORES MOBILIARIOS LTDA.</x:v>
      </x:c>
      <x:c r="H2253" s="166" t="str">
        <x:v>Outros</x:v>
      </x:c>
      <x:c r="I2253" s="166" t="str">
        <x:v>Multicarteira Outros</x:v>
      </x:c>
      <x:c r="J2253" s="166" t="str">
        <x:v>CI</x:v>
      </x:c>
      <x:c r="K2253" s="172" t="n">
        <x:v>1</x:v>
      </x:c>
      <x:c r="L2253" s="185" t="str">
        <x:v>Não classificado</x:v>
      </x:c>
    </x:row>
    <x:row r="2254">
      <x:c r="A2254" s="175" t="str">
        <x:v>63.570.081/0001-85</x:v>
      </x:c>
      <x:c r="B2254" s="166" t="str">
        <x:v>FUNDO DE INVESTIMENTO EM DIREITOS CREDITÓRIOS ATLÉTICO MINEIRO - RESPONSABILIDADE LIMITADA</x:v>
      </x:c>
      <x:c r="C2254" s="188" t="n">
        <x:v>17979402.43</x:v>
      </x:c>
      <x:c r="D2254" s="166" t="str">
        <x:v>Galápagos</x:v>
      </x:c>
      <x:c r="E2254" s="166" t="str">
        <x:f>IFERROR(INDEX('Classif Gestoras'!$H$6:$H$462,MATCH(D2254,'Classif Gestoras'!$A$6:$A$462,0)),"Não classificada")</x:f>
        <x:v>Independente</x:v>
      </x:c>
      <x:c r="F2254" s="166" t="str">
        <x:v>Inter Distribuidora de Títulos e Valores Mobiliários Lt</x:v>
      </x:c>
      <x:c r="G2254" s="166" t="str">
        <x:v>INTER DISTRIBUIDORA DE TÍTULOS E VALORES MOBILIÁRIOS</x:v>
      </x:c>
      <x:c r="H2254" s="166" t="str">
        <x:v>Outros</x:v>
      </x:c>
      <x:c r="I2254" s="166" t="str">
        <x:v>Multicarteira Outros</x:v>
      </x:c>
      <x:c r="J2254" s="166" t="str">
        <x:v>CI</x:v>
      </x:c>
      <x:c r="K2254" s="172" t="n">
        <x:v>171</x:v>
      </x:c>
      <x:c r="L2254" s="185" t="str">
        <x:v>Não classificado</x:v>
      </x:c>
    </x:row>
    <x:row r="2255">
      <x:c r="A2255" s="175" t="str">
        <x:v>33.498.764/0001-08</x:v>
      </x:c>
      <x:c r="B2255" s="166" t="str">
        <x:v>BRAFIC FUNDO DE INVESTIMENTO EM DIREITOS CREDITÓRIOS NÃO-PADRONIZADOS RESPONSABILIDADE LIMITADA</x:v>
      </x:c>
      <x:c r="C2255" s="188" t="n">
        <x:v>17865297.86</x:v>
      </x:c>
      <x:c r="D2255" s="166" t="str">
        <x:v>GESTORA DE RECURSOS ID - GRID LTDA.</x:v>
      </x:c>
      <x:c r="E2255" s="166" t="str">
        <x:f>IFERROR(INDEX('Classif Gestoras'!$H$6:$H$462,MATCH(D2255,'Classif Gestoras'!$A$6:$A$462,0)),"Não classificada")</x:f>
        <x:v>Independente</x:v>
      </x:c>
      <x:c r="F2255" s="166" t="str">
        <x:v>ID Corretora de Títulos e Valores Mobiliários S.A.</x:v>
      </x:c>
      <x:c r="G2255" s="166" t="str">
        <x:v>ID CORRETORA DE TITULOS E VALORES MOBILIARIOS S.A.</x:v>
      </x:c>
      <x:c r="H2255" s="166" t="str">
        <x:v>Outros</x:v>
      </x:c>
      <x:c r="I2255" s="166" t="str">
        <x:v>Multicarteira Outros</x:v>
      </x:c>
      <x:c r="J2255" s="166" t="str">
        <x:v>CI</x:v>
      </x:c>
      <x:c r="K2255" s="172" t="n">
        <x:v>6</x:v>
      </x:c>
      <x:c r="L2255" s="185" t="str">
        <x:v>Não classificado</x:v>
      </x:c>
    </x:row>
    <x:row r="2256">
      <x:c r="A2256" s="175" t="str">
        <x:v>45.964.979/0001-56</x:v>
      </x:c>
      <x:c r="B2256" s="166" t="str">
        <x:v>LIMELIGHT FUNDO DE INVESTIMENTO EM DIREITOS CREDITÓRIOS - RESPONSABILIADE LIMITADA</x:v>
      </x:c>
      <x:c r="C2256" s="188" t="n">
        <x:v>17823040.86</x:v>
      </x:c>
      <x:c r="D2256" s="166" t="str">
        <x:v>Monetiza Investimentos</x:v>
      </x:c>
      <x:c r="E2256" s="166" t="str">
        <x:f>IFERROR(INDEX('Classif Gestoras'!$H$6:$H$462,MATCH(D2256,'Classif Gestoras'!$A$6:$A$462,0)),"Não classificada")</x:f>
        <x:v>Independente</x:v>
      </x:c>
      <x:c r="F2256" s="166" t="str">
        <x:v>HEMERA DTVM</x:v>
      </x:c>
      <x:c r="G2256" s="166" t="str">
        <x:v>HEMERA DISTRIBUIDORA DE TITULOS E VALORES MOBILIARIOS LTDA</x:v>
      </x:c>
      <x:c r="H2256" s="166" t="str">
        <x:v>Outros</x:v>
      </x:c>
      <x:c r="I2256" s="166" t="str">
        <x:v>Multicarteira Outros</x:v>
      </x:c>
      <x:c r="J2256" s="166" t="str">
        <x:v>CI</x:v>
      </x:c>
      <x:c r="K2256" s="172" t="n">
        <x:v>3</x:v>
      </x:c>
      <x:c r="L2256" s="185" t="str">
        <x:v>Não classificado</x:v>
      </x:c>
    </x:row>
    <x:row r="2257">
      <x:c r="A2257" s="175" t="str">
        <x:v>59.715.778/0001-20</x:v>
      </x:c>
      <x:c r="B2257" s="166" t="str">
        <x:v>MALCOM FUNDO DE INVESTIMENTO EM DIREITOS CREDITÓRIOS NP</x:v>
      </x:c>
      <x:c r="C2257" s="188" t="n">
        <x:v>17796775.889999997</x:v>
      </x:c>
      <x:c r="D2257" s="166" t="str">
        <x:v>OKEAN INVEST</x:v>
      </x:c>
      <x:c r="E2257" s="166" t="str">
        <x:f>IFERROR(INDEX('Classif Gestoras'!$H$6:$H$462,MATCH(D2257,'Classif Gestoras'!$A$6:$A$462,0)),"Não classificada")</x:f>
        <x:v>Independente</x:v>
      </x:c>
      <x:c r="F2257" s="166" t="str">
        <x:v>Finvest Digital</x:v>
      </x:c>
      <x:c r="G2257" s="166" t="str">
        <x:v>FINVEST DISTRIBUIDORA DE TÍTULOS E VALORES MOBILIÁRIOS LTDA.</x:v>
      </x:c>
      <x:c r="H2257" s="166" t="str">
        <x:v>Outros</x:v>
      </x:c>
      <x:c r="I2257" s="166" t="str">
        <x:v>Multicarteira Outros</x:v>
      </x:c>
      <x:c r="J2257" s="166" t="str">
        <x:v>CI</x:v>
      </x:c>
      <x:c r="K2257" s="172" t="n">
        <x:v>4</x:v>
      </x:c>
      <x:c r="L2257" s="185" t="str">
        <x:v>Não classificado</x:v>
      </x:c>
    </x:row>
    <x:row r="2258">
      <x:c r="A2258" s="175" t="str">
        <x:v>49.000.687/0001-54</x:v>
      </x:c>
      <x:c r="B2258" s="166" t="str">
        <x:v>ADVANTAGE CREDIT FUNDO DE INVESTIMENTO EM DIREITOS CREDITÓRIOS NÃO-PADRONIZADO</x:v>
      </x:c>
      <x:c r="C2258" s="188" t="n">
        <x:v>17795207.16</x:v>
      </x:c>
      <x:c r="D2258" s="166" t="str">
        <x:v>Mosaico Gestora de Recursos Ltda.</x:v>
      </x:c>
      <x:c r="E2258" s="166" t="str">
        <x:f>IFERROR(INDEX('Classif Gestoras'!$H$6:$H$462,MATCH(D2258,'Classif Gestoras'!$A$6:$A$462,0)),"Não classificada")</x:f>
        <x:v>Independente</x:v>
      </x:c>
      <x:c r="F2258" s="166" t="str">
        <x:v>AZUMI DISTRIBUIDORA DE TÍTULOS E VALORES MOBILIÁRIOS LT</x:v>
      </x:c>
      <x:c r="G2258" s="166" t="str">
        <x:v>AZUMI DISTRIBUIDORA DE TÍTULOS E VALORES MOBILIÁRIOS LTDA.</x:v>
      </x:c>
      <x:c r="H2258" s="166" t="str">
        <x:v>Outros</x:v>
      </x:c>
      <x:c r="I2258" s="166" t="str">
        <x:v>Multicarteira Outros</x:v>
      </x:c>
      <x:c r="J2258" s="166" t="str">
        <x:v>CI</x:v>
      </x:c>
      <x:c r="K2258" s="172" t="n">
        <x:v>4</x:v>
      </x:c>
      <x:c r="L2258" s="185" t="str">
        <x:v>Não classificado</x:v>
      </x:c>
    </x:row>
    <x:row r="2259">
      <x:c r="A2259" s="175" t="str">
        <x:v>54.969.186/0001-10</x:v>
      </x:c>
      <x:c r="B2259" s="166" t="str">
        <x:v>SX CORPORATE FUNDO DE INVESTIMENTO EM DIREITOS CREDITÓRIOS</x:v>
      </x:c>
      <x:c r="C2259" s="188" t="n">
        <x:v>17791522.580000002</x:v>
      </x:c>
      <x:c r="D2259" s="166" t="str">
        <x:v>Quadrante Investimentos Ltda</x:v>
      </x:c>
      <x:c r="E2259" s="166" t="str">
        <x:f>IFERROR(INDEX('Classif Gestoras'!$H$6:$H$462,MATCH(D2259,'Classif Gestoras'!$A$6:$A$462,0)),"Não classificada")</x:f>
        <x:v>Independente</x:v>
      </x:c>
      <x:c r="F2259" s="166" t="str">
        <x:v>Finvest Digital</x:v>
      </x:c>
      <x:c r="G2259" s="166" t="str">
        <x:v>FINVEST DISTRIBUIDORA DE TÍTULOS E VALORES MOBILIÁRIOS LTDA.</x:v>
      </x:c>
      <x:c r="H2259" s="166" t="str">
        <x:v>Fomento Mercantil</x:v>
      </x:c>
      <x:c r="I2259" s="166" t="str">
        <x:v>Fomento Mercantil</x:v>
      </x:c>
      <x:c r="J2259" s="166" t="str">
        <x:v>CI</x:v>
      </x:c>
      <x:c r="K2259" s="172" t="n">
        <x:v>1</x:v>
      </x:c>
      <x:c r="L2259" s="185" t="str">
        <x:v>Não classificado</x:v>
      </x:c>
    </x:row>
    <x:row r="2260">
      <x:c r="A2260" s="175" t="str">
        <x:v>60.602.947/0001-02</x:v>
      </x:c>
      <x:c r="B2260" s="166" t="str">
        <x:v>URUK CORE FUNDO DE INVESTIMENTO EM DIREITOS CREDITÓRIOS - RESPONSABILIDADE LIMITADA</x:v>
      </x:c>
      <x:c r="C2260" s="188" t="n">
        <x:v>17770639.63</x:v>
      </x:c>
      <x:c r="D2260" s="166" t="str">
        <x:v>BLUEWAVE ASSET LTDA</x:v>
      </x:c>
      <x:c r="E2260" s="166" t="str">
        <x:f>IFERROR(INDEX('Classif Gestoras'!$H$6:$H$462,MATCH(D2260,'Classif Gestoras'!$A$6:$A$462,0)),"Não classificada")</x:f>
        <x:v>Independente</x:v>
      </x:c>
      <x:c r="F2260" s="166" t="str">
        <x:v>Finvest Digital</x:v>
      </x:c>
      <x:c r="G2260" s="166" t="str">
        <x:v>FINVEST DISTRIBUIDORA DE TÍTULOS E VALORES MOBILIÁRIOS LTDA.</x:v>
      </x:c>
      <x:c r="H2260" s="166" t="str">
        <x:v>Outros</x:v>
      </x:c>
      <x:c r="I2260" s="166" t="str">
        <x:v>Multicarteira Outros</x:v>
      </x:c>
      <x:c r="J2260" s="166" t="str">
        <x:v>CI</x:v>
      </x:c>
      <x:c r="K2260" s="172" t="n">
        <x:v>11</x:v>
      </x:c>
      <x:c r="L2260" s="185" t="str">
        <x:v>Não classificado</x:v>
      </x:c>
    </x:row>
    <x:row r="2261">
      <x:c r="A2261" s="175" t="str">
        <x:v>44.574.109/0001-08</x:v>
      </x:c>
      <x:c r="B2261" s="166" t="str">
        <x:v>PLATINA 137 FUNDO DE INVESTIMENTO EM DIREITOS CREDITÓRIOS</x:v>
      </x:c>
      <x:c r="C2261" s="188" t="n">
        <x:v>17728092.11</x:v>
      </x:c>
      <x:c r="D2261" s="166" t="str">
        <x:v>WNT Gestora de Recursos Ltda.</x:v>
      </x:c>
      <x:c r="E2261" s="166" t="str">
        <x:f>IFERROR(INDEX('Classif Gestoras'!$H$6:$H$462,MATCH(D2261,'Classif Gestoras'!$A$6:$A$462,0)),"Não classificada")</x:f>
        <x:v>Independente</x:v>
      </x:c>
      <x:c r="F2261" s="166" t="str">
        <x:v>WNT DTVM</x:v>
      </x:c>
      <x:c r="G2261" s="166" t="str">
        <x:v>WNT CAPITAL DISTRIBUIDORA DE TITULOS E VALORES MOBILIARIOS S.A.</x:v>
      </x:c>
      <x:c r="H2261" s="166" t="str">
        <x:v>Outros</x:v>
      </x:c>
      <x:c r="I2261" s="166" t="str">
        <x:v>Multicarteira Outros</x:v>
      </x:c>
      <x:c r="J2261" s="166" t="str">
        <x:v>CI</x:v>
      </x:c>
      <x:c r="K2261" s="172" t="n">
        <x:v>1</x:v>
      </x:c>
      <x:c r="L2261" s="185" t="str">
        <x:v>Não classificado</x:v>
      </x:c>
    </x:row>
    <x:row r="2262">
      <x:c r="A2262" s="175" t="str">
        <x:v>30.791.451/0001-55</x:v>
      </x:c>
      <x:c r="B2262" s="166" t="str">
        <x:v>CRESTONE I FUNDO DE INVESTIMENTO EM DIREITOS CREDITÓRIOS</x:v>
      </x:c>
      <x:c r="C2262" s="188" t="n">
        <x:v>17701456.38</x:v>
      </x:c>
      <x:c r="D2262" s="166" t="str">
        <x:v>Laplace Capital</x:v>
      </x:c>
      <x:c r="E2262" s="166" t="str">
        <x:f>IFERROR(INDEX('Classif Gestoras'!$H$6:$H$462,MATCH(D2262,'Classif Gestoras'!$A$6:$A$462,0)),"Não classificada")</x:f>
        <x:v>Independente</x:v>
      </x:c>
      <x:c r="F2262" s="166" t="str">
        <x:v>BRL TRUST DTVM</x:v>
      </x:c>
      <x:c r="G2262" s="166" t="str">
        <x:v>BRL TRUST DISTRIBUIDORA DE TITULOS E VALORES MOBILIARIOS S.A.</x:v>
      </x:c>
      <x:c r="H2262" s="166" t="str">
        <x:v>Outros</x:v>
      </x:c>
      <x:c r="I2262" s="166" t="str">
        <x:v>Multicarteira Outros</x:v>
      </x:c>
      <x:c r="J2262" s="166" t="str">
        <x:v>CI</x:v>
      </x:c>
      <x:c r="K2262" s="172" t="n">
        <x:v>8</x:v>
      </x:c>
      <x:c r="L2262" s="185" t="str">
        <x:v>Não classificado</x:v>
      </x:c>
    </x:row>
    <x:row r="2263">
      <x:c r="A2263" s="175" t="str">
        <x:v>46.082.697/0001-98</x:v>
      </x:c>
      <x:c r="B2263" s="166" t="str">
        <x:v>GARSON BR FUNDO DE INVESTIMENTO EM DIREITOS CREDITÓRIOS - RESPONSABILIDADE LIMITADA</x:v>
      </x:c>
      <x:c r="C2263" s="188" t="n">
        <x:v>17670668.939999998</x:v>
      </x:c>
      <x:c r="D2263" s="166" t="str">
        <x:v>M8 Partners</x:v>
      </x:c>
      <x:c r="E2263" s="166" t="str">
        <x:f>IFERROR(INDEX('Classif Gestoras'!$H$6:$H$462,MATCH(D2263,'Classif Gestoras'!$A$6:$A$462,0)),"Não classificada")</x:f>
        <x:v>Independente</x:v>
      </x:c>
      <x:c r="F2263" s="166" t="str">
        <x:v>HEMERA DTVM</x:v>
      </x:c>
      <x:c r="G2263" s="166" t="str">
        <x:v>HEMERA DISTRIBUIDORA DE TITULOS E VALORES MOBILIARIOS LTDA</x:v>
      </x:c>
      <x:c r="H2263" s="166" t="str">
        <x:v>Financeiro</x:v>
      </x:c>
      <x:c r="I2263" s="166" t="str">
        <x:v>Multicarteira Financeiro</x:v>
      </x:c>
      <x:c r="J2263" s="166" t="str">
        <x:v>CI</x:v>
      </x:c>
      <x:c r="K2263" s="172" t="n">
        <x:v>9</x:v>
      </x:c>
      <x:c r="L2263" s="185" t="str">
        <x:v>Não classificado</x:v>
      </x:c>
    </x:row>
    <x:row r="2264">
      <x:c r="A2264" s="175" t="str">
        <x:v>61.149.505/0001-07</x:v>
      </x:c>
      <x:c r="B2264" s="166" t="str">
        <x:v>FUNDO DE INVESTIMENTO EM DIREITOS CREDITÓRIOS NEXA BWM - RESPONSABILIDADE LIMITADA</x:v>
      </x:c>
      <x:c r="C2264" s="188" t="n">
        <x:v>17598078.9</x:v>
      </x:c>
      <x:c r="D2264" s="166" t="str">
        <x:v>Nexa</x:v>
      </x:c>
      <x:c r="E2264" s="166" t="str">
        <x:f>IFERROR(INDEX('Classif Gestoras'!$H$6:$H$462,MATCH(D2264,'Classif Gestoras'!$A$6:$A$462,0)),"Não classificada")</x:f>
        <x:v>Independente</x:v>
      </x:c>
      <x:c r="F2264" s="166" t="str">
        <x:v>VÓRTX DTVM</x:v>
      </x:c>
      <x:c r="G2264" s="166" t="str">
        <x:v>VORTX DISTRIBUIDORA DE TITULOS E VALORES MOBILIARIOS LTDA.</x:v>
      </x:c>
      <x:c r="H2264" s="166" t="str">
        <x:v>Outros</x:v>
      </x:c>
      <x:c r="I2264" s="166" t="str">
        <x:v>Multicarteira Outros</x:v>
      </x:c>
      <x:c r="J2264" s="166" t="str">
        <x:v>CI</x:v>
      </x:c>
      <x:c r="K2264" s="172" t="n">
        <x:v>1</x:v>
      </x:c>
      <x:c r="L2264" s="185" t="str">
        <x:v>Não classificado</x:v>
      </x:c>
    </x:row>
    <x:row r="2265">
      <x:c r="A2265" s="175" t="str">
        <x:v>58.954.368/0001-79</x:v>
      </x:c>
      <x:c r="B2265" s="166" t="str">
        <x:v>BELLAGIO FUNDO DE INVESTIMENTO EM DIREITOS CREDITÓRIOS NP</x:v>
      </x:c>
      <x:c r="C2265" s="188" t="n">
        <x:v>17587726.849999998</x:v>
      </x:c>
      <x:c r="D2265" s="166" t="str">
        <x:v>Multiplica Capital</x:v>
      </x:c>
      <x:c r="E2265" s="166" t="str">
        <x:f>IFERROR(INDEX('Classif Gestoras'!$H$6:$H$462,MATCH(D2265,'Classif Gestoras'!$A$6:$A$462,0)),"Não classificada")</x:f>
        <x:v>Independente</x:v>
      </x:c>
      <x:c r="F2265" s="166" t="str">
        <x:v>Singulare</x:v>
      </x:c>
      <x:c r="G2265" s="166" t="str">
        <x:v>QI CORRETORA DE TÍTULOS E VALORES MOBILIÁRIOS S.A.</x:v>
      </x:c>
      <x:c r="H2265" s="166" t="str">
        <x:v>Fomento Mercantil</x:v>
      </x:c>
      <x:c r="I2265" s="166" t="str">
        <x:v>Fomento Mercantil</x:v>
      </x:c>
      <x:c r="J2265" s="166" t="str">
        <x:v>CI</x:v>
      </x:c>
      <x:c r="K2265" s="172" t="n">
        <x:v>1</x:v>
      </x:c>
      <x:c r="L2265" s="185" t="str">
        <x:v>Não classificado</x:v>
      </x:c>
    </x:row>
    <x:row r="2266">
      <x:c r="A2266" s="175" t="str">
        <x:v>50.555.281/0001-17</x:v>
      </x:c>
      <x:c r="B2266" s="166" t="str">
        <x:v>RECEBÍVEIS BRASIL INFRA FUNDO DE INVESTIMENTO EM DIREITOS CREDITÓRIOS NÃO-PADRONIZADOS</x:v>
      </x:c>
      <x:c r="C2266" s="188" t="n">
        <x:v>17479886.599999998</x:v>
      </x:c>
      <x:c r="D2266" s="166" t="str">
        <x:v>OURO PRETO INVESTIMENTOS</x:v>
      </x:c>
      <x:c r="E2266" s="166" t="str">
        <x:f>IFERROR(INDEX('Classif Gestoras'!$H$6:$H$462,MATCH(D2266,'Classif Gestoras'!$A$6:$A$462,0)),"Não classificada")</x:f>
        <x:v>Independente</x:v>
      </x:c>
      <x:c r="F2266" s="166" t="str">
        <x:v>ID Corretora de Títulos e Valores Mobiliários S.A.</x:v>
      </x:c>
      <x:c r="G2266" s="166" t="str">
        <x:v>ID CORRETORA DE TITULOS E VALORES MOBILIARIOS S.A.</x:v>
      </x:c>
      <x:c r="H2266" s="166" t="str">
        <x:v>Outros</x:v>
      </x:c>
      <x:c r="I2266" s="166" t="str">
        <x:v>Multicarteira Outros</x:v>
      </x:c>
      <x:c r="J2266" s="166" t="str">
        <x:v>CI</x:v>
      </x:c>
      <x:c r="K2266" s="172" t="n">
        <x:v>5</x:v>
      </x:c>
      <x:c r="L2266" s="185" t="str">
        <x:v>Não classificado</x:v>
      </x:c>
    </x:row>
    <x:row r="2267">
      <x:c r="A2267" s="175" t="str">
        <x:v>55.790.118/0001-52</x:v>
      </x:c>
      <x:c r="B2267" s="166" t="str">
        <x:v>OPINVEST FUNDO DE INVESTIMENTO EM DIREITOS CREDITÓRIOS</x:v>
      </x:c>
      <x:c r="C2267" s="188" t="n">
        <x:v>17472219.540000003</x:v>
      </x:c>
      <x:c r="D2267" s="166" t="str">
        <x:v>AZUMI ASSET</x:v>
      </x:c>
      <x:c r="E2267" s="166" t="str">
        <x:f>IFERROR(INDEX('Classif Gestoras'!$H$6:$H$462,MATCH(D2267,'Classif Gestoras'!$A$6:$A$462,0)),"Não classificada")</x:f>
        <x:v>Independente</x:v>
      </x:c>
      <x:c r="F2267" s="166" t="str">
        <x:v>AZUMI DISTRIBUIDORA DE TÍTULOS E VALORES MOBILIÁRIOS LT</x:v>
      </x:c>
      <x:c r="G2267" s="166" t="str">
        <x:v>AZUMI DISTRIBUIDORA DE TÍTULOS E VALORES MOBILIÁRIOS LTDA.</x:v>
      </x:c>
      <x:c r="H2267" s="166" t="str">
        <x:v>Outros</x:v>
      </x:c>
      <x:c r="I2267" s="166" t="str">
        <x:v>Multicarteira Outros</x:v>
      </x:c>
      <x:c r="J2267" s="166" t="str">
        <x:v>CI</x:v>
      </x:c>
      <x:c r="K2267" s="172" t="n">
        <x:v>16</x:v>
      </x:c>
      <x:c r="L2267" s="185" t="str">
        <x:v>Não classificado</x:v>
      </x:c>
    </x:row>
    <x:row r="2268">
      <x:c r="A2268" s="175" t="str">
        <x:v>50.153.210/0001-98</x:v>
      </x:c>
      <x:c r="B2268" s="166" t="str">
        <x:v>AMETISTA CONSIGNADO I FUNDO DE INVESTIMENTO EM DIREITOS CREDITÓRIOS</x:v>
      </x:c>
      <x:c r="C2268" s="188" t="n">
        <x:v>17467509.37</x:v>
      </x:c>
      <x:c r="D2268" s="166" t="str">
        <x:v>FICTOR ASSET</x:v>
      </x:c>
      <x:c r="E2268" s="166" t="str">
        <x:f>IFERROR(INDEX('Classif Gestoras'!$H$6:$H$462,MATCH(D2268,'Classif Gestoras'!$A$6:$A$462,0)),"Não classificada")</x:f>
        <x:v>Independente</x:v>
      </x:c>
      <x:c r="F2268" s="166" t="str">
        <x:v>Qore DTVM</x:v>
      </x:c>
      <x:c r="G2268" s="166" t="str">
        <x:v>QORE DISTRIBUIDORA DE TÍTULOS E VALORES MOBILIÁRIOS LTDA.</x:v>
      </x:c>
      <x:c r="H2268" s="166" t="str">
        <x:v>Outros</x:v>
      </x:c>
      <x:c r="I2268" s="166" t="str">
        <x:v>Multicarteira Outros</x:v>
      </x:c>
      <x:c r="J2268" s="166" t="str">
        <x:v>CI</x:v>
      </x:c>
      <x:c r="K2268" s="172" t="n">
        <x:v>2</x:v>
      </x:c>
      <x:c r="L2268" s="185" t="str">
        <x:v>Não classificado</x:v>
      </x:c>
    </x:row>
    <x:row r="2269">
      <x:c r="A2269" s="175" t="str">
        <x:v>49.325.599/0001-22</x:v>
      </x:c>
      <x:c r="B2269" s="166" t="str">
        <x:v>BBG I FUNDO DE INVESTIMENTO EM DIREITOS CREDITÓRIOS</x:v>
      </x:c>
      <x:c r="C2269" s="188" t="n">
        <x:v>17408676.3</x:v>
      </x:c>
      <x:c r="D2269" s="166" t="str">
        <x:v>TERCON ASSET MANAGEMENT</x:v>
      </x:c>
      <x:c r="E2269" s="166" t="str">
        <x:f>IFERROR(INDEX('Classif Gestoras'!$H$6:$H$462,MATCH(D2269,'Classif Gestoras'!$A$6:$A$462,0)),"Não classificada")</x:f>
        <x:v>Independente</x:v>
      </x:c>
      <x:c r="F2269" s="166" t="str">
        <x:v>Singulare</x:v>
      </x:c>
      <x:c r="G2269" s="166" t="str">
        <x:v>QI CORRETORA DE TÍTULOS E VALORES MOBILIÁRIOS S.A.</x:v>
      </x:c>
      <x:c r="H2269" s="166" t="str">
        <x:v>Fomento Mercantil</x:v>
      </x:c>
      <x:c r="I2269" s="166" t="str">
        <x:v>Fomento Mercantil</x:v>
      </x:c>
      <x:c r="J2269" s="166" t="str">
        <x:v>CI</x:v>
      </x:c>
      <x:c r="K2269" s="172" t="n">
        <x:v>7</x:v>
      </x:c>
      <x:c r="L2269" s="185" t="str">
        <x:v>Não classificado</x:v>
      </x:c>
    </x:row>
    <x:row r="2270">
      <x:c r="A2270" s="175" t="str">
        <x:v>63.964.785/0001-32</x:v>
      </x:c>
      <x:c r="B2270" s="166" t="str">
        <x:v>CNPJ 63964785000132</x:v>
      </x:c>
      <x:c r="C2270" s="188" t="n">
        <x:v>17407348.29</x:v>
      </x:c>
      <x:c r="D2270" s="166" t="str">
        <x:v>UC Gestora de Recursos</x:v>
      </x:c>
      <x:c r="E2270" s="166" t="str">
        <x:f>IFERROR(INDEX('Classif Gestoras'!$H$6:$H$462,MATCH(D2270,'Classif Gestoras'!$A$6:$A$462,0)),"Não classificada")</x:f>
        <x:v>Independente</x:v>
      </x:c>
      <x:c r="F2270" s="166" t="str">
        <x:v>PLANNER CV</x:v>
      </x:c>
      <x:c r="G2270" s="166" t="str">
        <x:v>Não identificado</x:v>
      </x:c>
      <x:c r="H2270" s="166" t="str">
        <x:v>Fomento Mercantil</x:v>
      </x:c>
      <x:c r="I2270" s="166" t="str">
        <x:v>Fomento Mercantil</x:v>
      </x:c>
      <x:c r="J2270" s="166" t="str">
        <x:v>CI</x:v>
      </x:c>
      <x:c r="K2270" s="172"/>
      <x:c r="L2270" s="185" t="str">
        <x:v>Não classificado</x:v>
      </x:c>
    </x:row>
    <x:row r="2271">
      <x:c r="A2271" s="175" t="str">
        <x:v>51.731.270/0001-03</x:v>
      </x:c>
      <x:c r="B2271" s="166" t="str">
        <x:v>D'ORO CAPITAL FUNDO DE INVESTIMENTO EM DIREITOS CREDITÓRIOS CRÉDITO CORPORATIVO - RESP LIMITADA</x:v>
      </x:c>
      <x:c r="C2271" s="188" t="n">
        <x:v>17372523.16</x:v>
      </x:c>
      <x:c r="D2271" s="166" t="str">
        <x:v>Harbour Capital</x:v>
      </x:c>
      <x:c r="E2271" s="166" t="str">
        <x:f>IFERROR(INDEX('Classif Gestoras'!$H$6:$H$462,MATCH(D2271,'Classif Gestoras'!$A$6:$A$462,0)),"Não classificada")</x:f>
        <x:v>Independente</x:v>
      </x:c>
      <x:c r="F2271" s="166" t="str">
        <x:v>Limine Trust Distribuidora de Titulos e Valores Mobiliá</x:v>
      </x:c>
      <x:c r="G2271" s="166" t="str">
        <x:v>LIMINE TRUST DISTRIBUIDORA DE TITULOS E VALORES MOBILIARIOS LTDA.</x:v>
      </x:c>
      <x:c r="H2271" s="166" t="str">
        <x:v>Outros</x:v>
      </x:c>
      <x:c r="I2271" s="166" t="str">
        <x:v>Multicarteira Outros</x:v>
      </x:c>
      <x:c r="J2271" s="166" t="str">
        <x:v>CI</x:v>
      </x:c>
      <x:c r="K2271" s="172" t="n">
        <x:v>19</x:v>
      </x:c>
      <x:c r="L2271" s="185" t="str">
        <x:v>Não classificado</x:v>
      </x:c>
    </x:row>
    <x:row r="2272">
      <x:c r="A2272" s="175" t="str">
        <x:v>25.235.009/0001-02</x:v>
      </x:c>
      <x:c r="B2272" s="166" t="str">
        <x:v>FUNDO DE INVESTIMENTO EM DIREITOS CREDITÓRIOS EMPÍRICA IMOBILIÁRIO</x:v>
      </x:c>
      <x:c r="C2272" s="188" t="n">
        <x:v>17323818.910000004</x:v>
      </x:c>
      <x:c r="D2272" s="166" t="str">
        <x:v>REAG GESTÃO DE CRÉDITO</x:v>
      </x:c>
      <x:c r="E2272" s="166" t="str">
        <x:f>IFERROR(INDEX('Classif Gestoras'!$H$6:$H$462,MATCH(D2272,'Classif Gestoras'!$A$6:$A$462,0)),"Não classificada")</x:f>
        <x:v>Independente</x:v>
      </x:c>
      <x:c r="F2272" s="166" t="str">
        <x:v>Oliveira Trust DTVM</x:v>
      </x:c>
      <x:c r="G2272" s="166" t="str">
        <x:v>OLIVEIRA TRUST DTVM S.A.</x:v>
      </x:c>
      <x:c r="H2272" s="166" t="str">
        <x:v>Financeiro</x:v>
      </x:c>
      <x:c r="I2272" s="166" t="str">
        <x:v>Crédito Imobiliário</x:v>
      </x:c>
      <x:c r="J2272" s="166" t="str">
        <x:v>CI</x:v>
      </x:c>
      <x:c r="K2272" s="172" t="n">
        <x:v>5</x:v>
      </x:c>
      <x:c r="L2272" s="185" t="str">
        <x:v>Não classificado</x:v>
      </x:c>
    </x:row>
    <x:row r="2273">
      <x:c r="A2273" s="175" t="str">
        <x:v>59.070.167/0001-71</x:v>
      </x:c>
      <x:c r="B2273" s="166" t="str">
        <x:v>CAPITEL INVEST FIDC CREDITÓRIOS NÃO PADRONIZADOS - RESPONSABILIDADE LIMITADA</x:v>
      </x:c>
      <x:c r="C2273" s="188" t="n">
        <x:v>17271566.53</x:v>
      </x:c>
      <x:c r="D2273" s="166" t="str">
        <x:v>TERCON ASSET MANAGEMENT</x:v>
      </x:c>
      <x:c r="E2273" s="166" t="str">
        <x:f>IFERROR(INDEX('Classif Gestoras'!$H$6:$H$462,MATCH(D2273,'Classif Gestoras'!$A$6:$A$462,0)),"Não classificada")</x:f>
        <x:v>Independente</x:v>
      </x:c>
      <x:c r="F2273" s="166" t="str">
        <x:v>Singulare</x:v>
      </x:c>
      <x:c r="G2273" s="166" t="str">
        <x:v>QI CORRETORA DE TÍTULOS E VALORES MOBILIÁRIOS S.A.</x:v>
      </x:c>
      <x:c r="H2273" s="166" t="str">
        <x:v>Fomento Mercantil</x:v>
      </x:c>
      <x:c r="I2273" s="166" t="str">
        <x:v>Fomento Mercantil</x:v>
      </x:c>
      <x:c r="J2273" s="166" t="str">
        <x:v>CI</x:v>
      </x:c>
      <x:c r="K2273" s="172" t="n">
        <x:v>3</x:v>
      </x:c>
      <x:c r="L2273" s="185" t="str">
        <x:v>Não classificado</x:v>
      </x:c>
    </x:row>
    <x:row r="2274">
      <x:c r="A2274" s="175" t="str">
        <x:v>59.679.768/0001-86</x:v>
      </x:c>
      <x:c r="B2274" s="166" t="str">
        <x:v>AMANA FUNDO DE INVESTIMENTO EM DIREITOS CREDITÓRIOS</x:v>
      </x:c>
      <x:c r="C2274" s="188" t="n">
        <x:v>17239823.950000003</x:v>
      </x:c>
      <x:c r="D2274" s="166" t="str">
        <x:v>Redwood Asset Management</x:v>
      </x:c>
      <x:c r="E2274" s="166" t="str">
        <x:f>IFERROR(INDEX('Classif Gestoras'!$H$6:$H$462,MATCH(D2274,'Classif Gestoras'!$A$6:$A$462,0)),"Não classificada")</x:f>
        <x:v>Independente</x:v>
      </x:c>
      <x:c r="F2274" s="166" t="str">
        <x:v>PLANNER CV</x:v>
      </x:c>
      <x:c r="G2274" s="166" t="str">
        <x:v>PLANNER CORRETORA DE VALORES S.A.</x:v>
      </x:c>
      <x:c r="H2274" s="166" t="str">
        <x:v>Outros</x:v>
      </x:c>
      <x:c r="I2274" s="166" t="str">
        <x:v>Multicarteira Outros</x:v>
      </x:c>
      <x:c r="J2274" s="166" t="str">
        <x:v>CI</x:v>
      </x:c>
      <x:c r="K2274" s="172" t="n">
        <x:v>6</x:v>
      </x:c>
      <x:c r="L2274" s="185" t="str">
        <x:v>Não classificado</x:v>
      </x:c>
    </x:row>
    <x:row r="2275">
      <x:c r="A2275" s="175" t="str">
        <x:v>32.274.238/0001-00</x:v>
      </x:c>
      <x:c r="B2275" s="166" t="str">
        <x:v>SAM 2 - FUNDO DE INVESTIMENTO EM DIREITOS CREDITÓRIOS</x:v>
      </x:c>
      <x:c r="C2275" s="188" t="n">
        <x:v>17230255.93</x:v>
      </x:c>
      <x:c r="D2275" s="166" t="str">
        <x:v>Quadra Gestão de Recursos S.A.</x:v>
      </x:c>
      <x:c r="E2275" s="166" t="str">
        <x:f>IFERROR(INDEX('Classif Gestoras'!$H$6:$H$462,MATCH(D2275,'Classif Gestoras'!$A$6:$A$462,0)),"Não classificada")</x:f>
        <x:v>Independente</x:v>
      </x:c>
      <x:c r="F2275" s="166" t="str">
        <x:v>MAF Distribuidora de Títulos e Valores Mobiliários S.A.</x:v>
      </x:c>
      <x:c r="G2275" s="166" t="str">
        <x:v>MAF DISTRIBUIDORA DE TITULOS E VALORES MOBILIARIOS S.A.</x:v>
      </x:c>
      <x:c r="H2275" s="166" t="str">
        <x:v>Outros</x:v>
      </x:c>
      <x:c r="I2275" s="166" t="str">
        <x:v>Poder Público</x:v>
      </x:c>
      <x:c r="J2275" s="166" t="str">
        <x:v>CI</x:v>
      </x:c>
      <x:c r="K2275" s="172" t="n">
        <x:v>1</x:v>
      </x:c>
      <x:c r="L2275" s="185" t="str">
        <x:v>Não classificado</x:v>
      </x:c>
    </x:row>
    <x:row r="2276">
      <x:c r="A2276" s="175" t="str">
        <x:v>64.738.624/0001-93</x:v>
      </x:c>
      <x:c r="B2276" s="166" t="str">
        <x:v>FIRST AUTO I FUNDO DE INVESTIMENTOS EM CREDITÓRIOS RESPONSABILIDADE LIMITADA</x:v>
      </x:c>
      <x:c r="C2276" s="188" t="n">
        <x:v>17217776.47</x:v>
      </x:c>
      <x:c r="D2276" s="166" t="str">
        <x:v>ORRAM GESTÃO DE RECURSOS LTDA.</x:v>
      </x:c>
      <x:c r="E2276" s="166" t="str">
        <x:f>IFERROR(INDEX('Classif Gestoras'!$H$6:$H$462,MATCH(D2276,'Classif Gestoras'!$A$6:$A$462,0)),"Não classificada")</x:f>
        <x:v>Independente</x:v>
      </x:c>
      <x:c r="F2276" s="166" t="str">
        <x:v>VÓRTX DTVM</x:v>
      </x:c>
      <x:c r="G2276" s="166" t="str">
        <x:v>VORTX DISTRIBUIDORA DE TITULOS E VALORES MOBILIARIOS LTDA.</x:v>
      </x:c>
      <x:c r="H2276" s="166" t="str">
        <x:v>Financeiro</x:v>
      </x:c>
      <x:c r="I2276" s="166" t="str">
        <x:v>Financiamento de Veículos</x:v>
      </x:c>
      <x:c r="J2276" s="166" t="str">
        <x:v>CI</x:v>
      </x:c>
      <x:c r="K2276" s="172" t="n">
        <x:v>17</x:v>
      </x:c>
      <x:c r="L2276" s="185" t="str">
        <x:v>Não classificado</x:v>
      </x:c>
    </x:row>
    <x:row r="2277">
      <x:c r="A2277" s="175" t="str">
        <x:v>59.998.554/0001-72</x:v>
      </x:c>
      <x:c r="B2277" s="166" t="str">
        <x:v>MAIS TODOS NOVOS NEGÓCIOS FUNDO DE INVESTIMENTO EM DIREITOS CREDITÓRIOS RESPONSABILIDADE LIMITADA</x:v>
      </x:c>
      <x:c r="C2277" s="188" t="n">
        <x:v>17152958.44</x:v>
      </x:c>
      <x:c r="D2277" s="166" t="str">
        <x:v>XVI Capital</x:v>
      </x:c>
      <x:c r="E2277" s="166" t="str">
        <x:f>IFERROR(INDEX('Classif Gestoras'!$H$6:$H$462,MATCH(D2277,'Classif Gestoras'!$A$6:$A$462,0)),"Não classificada")</x:f>
        <x:v>Independente</x:v>
      </x:c>
      <x:c r="F2277" s="166" t="str">
        <x:v>BANCO DAYCOVAL S/A</x:v>
      </x:c>
      <x:c r="G2277" s="166" t="str">
        <x:v>BANCO DAYCOVAL S.A.</x:v>
      </x:c>
      <x:c r="H2277" s="166" t="str">
        <x:v>Outros</x:v>
      </x:c>
      <x:c r="I2277" s="166" t="str">
        <x:v>Multicarteira Outros</x:v>
      </x:c>
      <x:c r="J2277" s="166" t="str">
        <x:v>CI</x:v>
      </x:c>
      <x:c r="K2277" s="172" t="n">
        <x:v>4</x:v>
      </x:c>
      <x:c r="L2277" s="185" t="str">
        <x:v>Não classificado</x:v>
      </x:c>
    </x:row>
    <x:row r="2278">
      <x:c r="A2278" s="175" t="str">
        <x:v>55.947.377/0001-44</x:v>
      </x:c>
      <x:c r="B2278" s="166" t="str">
        <x:v>CLASSE ÚNICA DE RESP LIMITADA DO PLGN FORNECEDORES FUNDO DE INVESTIMENTO EM DIREITOS CREDITORIOS</x:v>
      </x:c>
      <x:c r="C2278" s="188" t="n">
        <x:v>17100860.41</x:v>
      </x:c>
      <x:c r="D2278" s="166" t="str">
        <x:v>POLÍGONO CAPITAL LTDA.</x:v>
      </x:c>
      <x:c r="E2278" s="166" t="str">
        <x:f>IFERROR(INDEX('Classif Gestoras'!$H$6:$H$462,MATCH(D2278,'Classif Gestoras'!$A$6:$A$462,0)),"Não classificada")</x:f>
        <x:v>Independente</x:v>
      </x:c>
      <x:c r="F2278" s="166" t="str">
        <x:v>Finvest Digital</x:v>
      </x:c>
      <x:c r="G2278" s="166" t="str">
        <x:v>FINVEST DISTRIBUIDORA DE TÍTULOS E VALORES MOBILIÁRIOS LTDA.</x:v>
      </x:c>
      <x:c r="H2278" s="166" t="str">
        <x:v>Outros</x:v>
      </x:c>
      <x:c r="I2278" s="166" t="str">
        <x:v>Multicarteira Outros</x:v>
      </x:c>
      <x:c r="J2278" s="166" t="str">
        <x:v>CI</x:v>
      </x:c>
      <x:c r="K2278" s="172" t="n">
        <x:v>3</x:v>
      </x:c>
      <x:c r="L2278" s="185" t="str">
        <x:v>Não classificado</x:v>
      </x:c>
    </x:row>
    <x:row r="2279">
      <x:c r="A2279" s="175" t="str">
        <x:v>40.733.257/0001-77</x:v>
      </x:c>
      <x:c r="B2279" s="166" t="str">
        <x:v>WBR FUNDO DE INVESTIMENTO EM DIREITOS CREDITÓRIOS</x:v>
      </x:c>
      <x:c r="C2279" s="188" t="n">
        <x:v>17087423.439999998</x:v>
      </x:c>
      <x:c r="D2279" s="166" t="str">
        <x:v>TERCON ASSET MANAGEMENT</x:v>
      </x:c>
      <x:c r="E2279" s="166" t="str">
        <x:f>IFERROR(INDEX('Classif Gestoras'!$H$6:$H$462,MATCH(D2279,'Classif Gestoras'!$A$6:$A$462,0)),"Não classificada")</x:f>
        <x:v>Independente</x:v>
      </x:c>
      <x:c r="F2279" s="166" t="str">
        <x:v>Singulare</x:v>
      </x:c>
      <x:c r="G2279" s="166" t="str">
        <x:v>QI CORRETORA DE TÍTULOS E VALORES MOBILIÁRIOS S.A.</x:v>
      </x:c>
      <x:c r="H2279" s="166" t="str">
        <x:v>Fomento Mercantil</x:v>
      </x:c>
      <x:c r="I2279" s="166" t="str">
        <x:v>Fomento Mercantil</x:v>
      </x:c>
      <x:c r="J2279" s="166" t="str">
        <x:v>CI</x:v>
      </x:c>
      <x:c r="K2279" s="172" t="n">
        <x:v>9</x:v>
      </x:c>
      <x:c r="L2279" s="185" t="str">
        <x:v>Não classificado</x:v>
      </x:c>
    </x:row>
    <x:row r="2280">
      <x:c r="A2280" s="175" t="str">
        <x:v>55.768.864/0001-40</x:v>
      </x:c>
      <x:c r="B2280" s="166" t="str">
        <x:v>CLASSE ÚNICA DE COTAS DO SIMPPLIFY FUNDO DE INVESTIMENTO EM DIREITOS CREDITÓRIOS</x:v>
      </x:c>
      <x:c r="C2280" s="188" t="n">
        <x:v>17083268.849999998</x:v>
      </x:c>
      <x:c r="D2280" s="166" t="str">
        <x:v>BDR Asset</x:v>
      </x:c>
      <x:c r="E2280" s="166" t="str">
        <x:f>IFERROR(INDEX('Classif Gestoras'!$H$6:$H$462,MATCH(D2280,'Classif Gestoras'!$A$6:$A$462,0)),"Não classificada")</x:f>
        <x:v>Independente</x:v>
      </x:c>
      <x:c r="F2280" s="166" t="str">
        <x:v>BANCO DAYCOVAL S/A</x:v>
      </x:c>
      <x:c r="G2280" s="166" t="str">
        <x:v>BANCO DAYCOVAL S.A.</x:v>
      </x:c>
      <x:c r="H2280" s="166" t="str">
        <x:v>Outros</x:v>
      </x:c>
      <x:c r="I2280" s="166" t="str">
        <x:v>Multicarteira Outros</x:v>
      </x:c>
      <x:c r="J2280" s="166" t="str">
        <x:v>CI</x:v>
      </x:c>
      <x:c r="K2280" s="172" t="n">
        <x:v>1</x:v>
      </x:c>
      <x:c r="L2280" s="185" t="str">
        <x:v>Não classificado</x:v>
      </x:c>
    </x:row>
    <x:row r="2281">
      <x:c r="A2281" s="175" t="str">
        <x:v>19.503.125/0001-62</x:v>
      </x:c>
      <x:c r="B2281" s="166" t="str">
        <x:v>FAMA FUNDO DE INVESTIMENTO EM DIREITOS CREDITÓRIOS MULTISEGMENTOS</x:v>
      </x:c>
      <x:c r="C2281" s="188" t="n">
        <x:v>17057928.48</x:v>
      </x:c>
      <x:c r="D2281" s="166" t="str">
        <x:v>Petra Capital</x:v>
      </x:c>
      <x:c r="E2281" s="166" t="str">
        <x:f>IFERROR(INDEX('Classif Gestoras'!$H$6:$H$462,MATCH(D2281,'Classif Gestoras'!$A$6:$A$462,0)),"Não classificada")</x:f>
        <x:v>Independente</x:v>
      </x:c>
      <x:c r="F2281" s="166" t="str">
        <x:v>Banco Finaxis S.A.</x:v>
      </x:c>
      <x:c r="G2281" s="166" t="str">
        <x:v>BANCO FINAXIS S.A.</x:v>
      </x:c>
      <x:c r="H2281" s="166" t="str">
        <x:v>Fomento Mercantil</x:v>
      </x:c>
      <x:c r="I2281" s="166" t="str">
        <x:v>Fomento Mercantil</x:v>
      </x:c>
      <x:c r="J2281" s="166" t="str">
        <x:v>CI</x:v>
      </x:c>
      <x:c r="K2281" s="172" t="n">
        <x:v>1</x:v>
      </x:c>
      <x:c r="L2281" s="185" t="str">
        <x:v>Não classificado</x:v>
      </x:c>
    </x:row>
    <x:row r="2282">
      <x:c r="A2282" s="175" t="str">
        <x:v>54.776.530/0001-55</x:v>
      </x:c>
      <x:c r="B2282" s="166" t="str">
        <x:v>FINTRUST FUNDO DE INVESTIMENTO EM DIREITOS CREDITÓRIOS</x:v>
      </x:c>
      <x:c r="C2282" s="188" t="n">
        <x:v>17052060.650000002</x:v>
      </x:c>
      <x:c r="D2282" s="166" t="str">
        <x:v>Catálise Investimentos</x:v>
      </x:c>
      <x:c r="E2282" s="166" t="str">
        <x:f>IFERROR(INDEX('Classif Gestoras'!$H$6:$H$462,MATCH(D2282,'Classif Gestoras'!$A$6:$A$462,0)),"Não classificada")</x:f>
        <x:v>Independente</x:v>
      </x:c>
      <x:c r="F2282" s="166" t="str">
        <x:v>FIDD DISTRIBUIDORA DE TITULOS E VALORES MOBILIARIOS LTD</x:v>
      </x:c>
      <x:c r="G2282" s="166" t="str">
        <x:v>FIDD DISTRIBUIDORA DE TITULOS E VALORES MOBILIARIOS LTDA.</x:v>
      </x:c>
      <x:c r="H2282" s="166" t="str">
        <x:v>Agro, Indústria e Comércio</x:v>
      </x:c>
      <x:c r="I2282" s="166" t="str">
        <x:v>Recebíveis Comerciais</x:v>
      </x:c>
      <x:c r="J2282" s="166" t="str">
        <x:v>CI</x:v>
      </x:c>
      <x:c r="K2282" s="172" t="n">
        <x:v>6</x:v>
      </x:c>
      <x:c r="L2282" s="185" t="str">
        <x:v>Não classificado</x:v>
      </x:c>
    </x:row>
    <x:row r="2283">
      <x:c r="A2283" s="175" t="str">
        <x:v>59.673.010/0001-30</x:v>
      </x:c>
      <x:c r="B2283" s="166" t="str">
        <x:v>FUNDO DE INVESTIMENTO EM DIREITOS CREDITÓRIOS CREDITAS AUTO VEÍCULOS</x:v>
      </x:c>
      <x:c r="C2283" s="188" t="n">
        <x:v>17051709.6</x:v>
      </x:c>
      <x:c r="D2283" s="166" t="str">
        <x:v>VERT Gestora de Recursos Financeiros Ltda.</x:v>
      </x:c>
      <x:c r="E2283" s="166" t="str">
        <x:f>IFERROR(INDEX('Classif Gestoras'!$H$6:$H$462,MATCH(D2283,'Classif Gestoras'!$A$6:$A$462,0)),"Não classificada")</x:f>
        <x:v>Independente</x:v>
      </x:c>
      <x:c r="F2283" s="166" t="str">
        <x:v>BANCO DAYCOVAL S/A</x:v>
      </x:c>
      <x:c r="G2283" s="166" t="str">
        <x:v>BANCO DAYCOVAL S.A.</x:v>
      </x:c>
      <x:c r="H2283" s="166" t="str">
        <x:v>Financeiro</x:v>
      </x:c>
      <x:c r="I2283" s="166" t="str">
        <x:v>Multicarteira Financeiro</x:v>
      </x:c>
      <x:c r="J2283" s="166" t="str">
        <x:v>CI</x:v>
      </x:c>
      <x:c r="K2283" s="172" t="n">
        <x:v>1071</x:v>
      </x:c>
      <x:c r="L2283" s="185" t="str">
        <x:v>Não classificado</x:v>
      </x:c>
    </x:row>
    <x:row r="2284">
      <x:c r="A2284" s="175" t="str">
        <x:v>56.806.240/0001-32</x:v>
      </x:c>
      <x:c r="B2284" s="166" t="str">
        <x:v>FUNDO DE INVESTIMENTO EM DIREITOS CREDITÓRIOS EXT WARREN I DE RESPONSABILIDADE LIMITADA</x:v>
      </x:c>
      <x:c r="C2284" s="188" t="n">
        <x:v>17045320.69</x:v>
      </x:c>
      <x:c r="D2284" s="166" t="str">
        <x:v>Ext Capital</x:v>
      </x:c>
      <x:c r="E2284" s="166" t="str">
        <x:f>IFERROR(INDEX('Classif Gestoras'!$H$6:$H$462,MATCH(D2284,'Classif Gestoras'!$A$6:$A$462,0)),"Não classificada")</x:f>
        <x:v>Independente</x:v>
      </x:c>
      <x:c r="F2284" s="166" t="str">
        <x:v>BANCO DAYCOVAL S/A</x:v>
      </x:c>
      <x:c r="G2284" s="166" t="str">
        <x:v>BANCO DAYCOVAL S.A.</x:v>
      </x:c>
      <x:c r="H2284" s="166" t="str">
        <x:v>Financeiro</x:v>
      </x:c>
      <x:c r="I2284" s="166" t="str">
        <x:v>Multicarteira Financeiro</x:v>
      </x:c>
      <x:c r="J2284" s="166" t="str">
        <x:v>CI</x:v>
      </x:c>
      <x:c r="K2284" s="172" t="n">
        <x:v>18</x:v>
      </x:c>
      <x:c r="L2284" s="185" t="str">
        <x:v>Não classificado</x:v>
      </x:c>
    </x:row>
    <x:row r="2285">
      <x:c r="A2285" s="175" t="str">
        <x:v>63.606.548/0001-08</x:v>
      </x:c>
      <x:c r="B2285" s="166" t="str">
        <x:v>AURA INVEST FUNDO DE INVESTIMENTO EM DIREITOS CREDITÓRIOS CRÉDITO CORPORATIVO</x:v>
      </x:c>
      <x:c r="C2285" s="188" t="n">
        <x:v>17010412.650000002</x:v>
      </x:c>
      <x:c r="D2285" s="166" t="str">
        <x:v>Harbour Capital</x:v>
      </x:c>
      <x:c r="E2285" s="166" t="str">
        <x:f>IFERROR(INDEX('Classif Gestoras'!$H$6:$H$462,MATCH(D2285,'Classif Gestoras'!$A$6:$A$462,0)),"Não classificada")</x:f>
        <x:v>Independente</x:v>
      </x:c>
      <x:c r="F2285" s="166" t="str">
        <x:v>AZUMI DISTRIBUIDORA DE TÍTULOS E VALORES MOBILIÁRIOS LT</x:v>
      </x:c>
      <x:c r="G2285" s="166" t="str">
        <x:v>AZUMI DISTRIBUIDORA DE TÍTULOS E VALORES MOBILIÁRIOS LTDA.</x:v>
      </x:c>
      <x:c r="H2285" s="166" t="str">
        <x:v>Fomento Mercantil</x:v>
      </x:c>
      <x:c r="I2285" s="166" t="str">
        <x:v>Fomento Mercantil</x:v>
      </x:c>
      <x:c r="J2285" s="166" t="str">
        <x:v>CI</x:v>
      </x:c>
      <x:c r="K2285" s="172" t="n">
        <x:v>2</x:v>
      </x:c>
      <x:c r="L2285" s="185" t="str">
        <x:v>Não classificado</x:v>
      </x:c>
    </x:row>
    <x:row r="2286">
      <x:c r="A2286" s="175" t="str">
        <x:v>30.808.102/0001-07</x:v>
      </x:c>
      <x:c r="B2286" s="166" t="str">
        <x:v>SAM - FUNDO DE INVESTIMENTO EM DIREITOS CREDITÓRIOS</x:v>
      </x:c>
      <x:c r="C2286" s="188" t="n">
        <x:v>16937350.02</x:v>
      </x:c>
      <x:c r="D2286" s="166" t="str">
        <x:v>Quadra Gestão de Recursos S.A.</x:v>
      </x:c>
      <x:c r="E2286" s="166" t="str">
        <x:f>IFERROR(INDEX('Classif Gestoras'!$H$6:$H$462,MATCH(D2286,'Classif Gestoras'!$A$6:$A$462,0)),"Não classificada")</x:f>
        <x:v>Independente</x:v>
      </x:c>
      <x:c r="F2286" s="166" t="str">
        <x:v>MAF Distribuidora de Títulos e Valores Mobiliários S.A.</x:v>
      </x:c>
      <x:c r="G2286" s="166" t="str">
        <x:v>MAF DISTRIBUIDORA DE TITULOS E VALORES MOBILIARIOS S.A.</x:v>
      </x:c>
      <x:c r="H2286" s="166" t="str">
        <x:v>Outros</x:v>
      </x:c>
      <x:c r="I2286" s="166" t="str">
        <x:v>Multicarteira Outros</x:v>
      </x:c>
      <x:c r="J2286" s="166" t="str">
        <x:v>CI</x:v>
      </x:c>
      <x:c r="K2286" s="172" t="n">
        <x:v>2</x:v>
      </x:c>
      <x:c r="L2286" s="185" t="str">
        <x:v>Não classificado</x:v>
      </x:c>
    </x:row>
    <x:row r="2287">
      <x:c r="A2287" s="175" t="str">
        <x:v>46.082.838/0001-72</x:v>
      </x:c>
      <x:c r="B2287" s="166" t="str">
        <x:v>ENGENHO FUNDO DE INVESTIMENTO EM DIREITOS CREDITÓRIOS</x:v>
      </x:c>
      <x:c r="C2287" s="188" t="n">
        <x:v>16936146.720000003</x:v>
      </x:c>
      <x:c r="D2287" s="166" t="str">
        <x:v>Solis</x:v>
      </x:c>
      <x:c r="E2287" s="166" t="str">
        <x:f>IFERROR(INDEX('Classif Gestoras'!$H$6:$H$462,MATCH(D2287,'Classif Gestoras'!$A$6:$A$462,0)),"Não classificada")</x:f>
        <x:v>Independente</x:v>
      </x:c>
      <x:c r="F2287" s="166" t="str">
        <x:v>HEMERA DTVM</x:v>
      </x:c>
      <x:c r="G2287" s="166" t="str">
        <x:v>HEMERA DISTRIBUIDORA DE TITULOS E VALORES MOBILIARIOS LTDA</x:v>
      </x:c>
      <x:c r="H2287" s="166" t="str">
        <x:v>Outros</x:v>
      </x:c>
      <x:c r="I2287" s="166" t="str">
        <x:v>Multicarteira Outros</x:v>
      </x:c>
      <x:c r="J2287" s="166" t="str">
        <x:v>CI</x:v>
      </x:c>
      <x:c r="K2287" s="172" t="n">
        <x:v>5</x:v>
      </x:c>
      <x:c r="L2287" s="185" t="str">
        <x:v>Não classificado</x:v>
      </x:c>
    </x:row>
    <x:row r="2288">
      <x:c r="A2288" s="175" t="str">
        <x:v>47.425.776/0001-17</x:v>
      </x:c>
      <x:c r="B2288" s="166" t="str">
        <x:v>FAMA FUNDO DE INVESTIMENTO EM DIREITOS CREDITÓRIOS</x:v>
      </x:c>
      <x:c r="C2288" s="188" t="n">
        <x:v>16921643.82</x:v>
      </x:c>
      <x:c r="D2288" s="166" t="str">
        <x:v>TERCON ASSET MANAGEMENT</x:v>
      </x:c>
      <x:c r="E2288" s="166" t="str">
        <x:f>IFERROR(INDEX('Classif Gestoras'!$H$6:$H$462,MATCH(D2288,'Classif Gestoras'!$A$6:$A$462,0)),"Não classificada")</x:f>
        <x:v>Independente</x:v>
      </x:c>
      <x:c r="F2288" s="166" t="str">
        <x:v>Singulare</x:v>
      </x:c>
      <x:c r="G2288" s="166" t="str">
        <x:v>QI CORRETORA DE TÍTULOS E VALORES MOBILIÁRIOS S.A.</x:v>
      </x:c>
      <x:c r="H2288" s="166" t="str">
        <x:v>Fomento Mercantil</x:v>
      </x:c>
      <x:c r="I2288" s="166" t="str">
        <x:v>Fomento Mercantil</x:v>
      </x:c>
      <x:c r="J2288" s="166" t="str">
        <x:v>CI</x:v>
      </x:c>
      <x:c r="K2288" s="172" t="n">
        <x:v>6</x:v>
      </x:c>
      <x:c r="L2288" s="185" t="str">
        <x:v>Não classificado</x:v>
      </x:c>
    </x:row>
    <x:row r="2289">
      <x:c r="A2289" s="175" t="str">
        <x:v>61.698.214/0001-78</x:v>
      </x:c>
      <x:c r="B2289" s="166" t="str">
        <x:v>NEO MORIÁ PRECATÓRIOS I - FUNDO DE INVESTIMENTO EM DIREITOS CREDITÓRIOS - RESPONSABILIDADE LIMITADA</x:v>
      </x:c>
      <x:c r="C2289" s="188" t="n">
        <x:v>16919772.92</x:v>
      </x:c>
      <x:c r="D2289" s="166" t="str">
        <x:v>SPECIAL SITUATIONS NEO GESTAO DE RECURSOS LTDA</x:v>
      </x:c>
      <x:c r="E2289" s="166" t="str">
        <x:f>IFERROR(INDEX('Classif Gestoras'!$H$6:$H$462,MATCH(D2289,'Classif Gestoras'!$A$6:$A$462,0)),"Não classificada")</x:f>
        <x:v>Independente</x:v>
      </x:c>
      <x:c r="F2289" s="166" t="str">
        <x:v>VÓRTX DTVM</x:v>
      </x:c>
      <x:c r="G2289" s="166" t="str">
        <x:v>VORTX DISTRIBUIDORA DE TITULOS E VALORES MOBILIARIOS LTDA.</x:v>
      </x:c>
      <x:c r="H2289" s="166" t="str">
        <x:v>Outros</x:v>
      </x:c>
      <x:c r="I2289" s="166" t="str">
        <x:v>Poder Público</x:v>
      </x:c>
      <x:c r="J2289" s="166" t="str">
        <x:v>CI</x:v>
      </x:c>
      <x:c r="K2289" s="172" t="n">
        <x:v>4</x:v>
      </x:c>
      <x:c r="L2289" s="185" t="str">
        <x:v>Não classificado</x:v>
      </x:c>
    </x:row>
    <x:row r="2290">
      <x:c r="A2290" s="175" t="str">
        <x:v>43.702.427/0001-44</x:v>
      </x:c>
      <x:c r="B2290" s="166" t="str">
        <x:v>GRUPO AFFIX FUNDO DE INVESTIMENTO EM DIREITOS CREDITÓRIOS MULTISSETORIAL</x:v>
      </x:c>
      <x:c r="C2290" s="188" t="n">
        <x:v>16895061.490000002</x:v>
      </x:c>
      <x:c r="D2290" s="166" t="str">
        <x:v>TERCON ASSET MANAGEMENT</x:v>
      </x:c>
      <x:c r="E2290" s="166" t="str">
        <x:f>IFERROR(INDEX('Classif Gestoras'!$H$6:$H$462,MATCH(D2290,'Classif Gestoras'!$A$6:$A$462,0)),"Não classificada")</x:f>
        <x:v>Independente</x:v>
      </x:c>
      <x:c r="F2290" s="166" t="str">
        <x:v>Limine Trust Distribuidora de Titulos e Valores Mobiliá</x:v>
      </x:c>
      <x:c r="G2290" s="166" t="str">
        <x:v>LIMINE TRUST DISTRIBUIDORA DE TITULOS E VALORES MOBILIARIOS LTDA.</x:v>
      </x:c>
      <x:c r="H2290" s="166" t="str">
        <x:v>Fomento Mercantil</x:v>
      </x:c>
      <x:c r="I2290" s="166" t="str">
        <x:v>Fomento Mercantil</x:v>
      </x:c>
      <x:c r="J2290" s="166" t="str">
        <x:v>CI</x:v>
      </x:c>
      <x:c r="K2290" s="172" t="n">
        <x:v>13</x:v>
      </x:c>
      <x:c r="L2290" s="185" t="str">
        <x:v>Não classificado</x:v>
      </x:c>
    </x:row>
    <x:row r="2291">
      <x:c r="A2291" s="175" t="str">
        <x:v>58.363.382/0001-06</x:v>
      </x:c>
      <x:c r="B2291" s="166" t="str">
        <x:v>IPIRANGA FUNDO DE INVESTIMENTO EM DIREITOS CREDITORIOS</x:v>
      </x:c>
      <x:c r="C2291" s="188" t="n">
        <x:v>16786310.18</x:v>
      </x:c>
      <x:c r="D2291" s="166" t="str">
        <x:v>AF Invest</x:v>
      </x:c>
      <x:c r="E2291" s="166" t="str">
        <x:f>IFERROR(INDEX('Classif Gestoras'!$H$6:$H$462,MATCH(D2291,'Classif Gestoras'!$A$6:$A$462,0)),"Não classificada")</x:f>
        <x:v>Independente</x:v>
      </x:c>
      <x:c r="F2291" s="166" t="str">
        <x:v>ACTUAL DTVM</x:v>
      </x:c>
      <x:c r="G2291" s="166" t="str">
        <x:v>TRUSTEE DISTRIBUIDORA DE TITULOS E VALORES MOBILIARIOS LTDA.</x:v>
      </x:c>
      <x:c r="H2291" s="166" t="str">
        <x:v>Outros</x:v>
      </x:c>
      <x:c r="I2291" s="166" t="str">
        <x:v>Multicarteira Outros</x:v>
      </x:c>
      <x:c r="J2291" s="166" t="str">
        <x:v>CI</x:v>
      </x:c>
      <x:c r="K2291" s="172" t="n">
        <x:v>1</x:v>
      </x:c>
      <x:c r="L2291" s="185" t="str">
        <x:v>Não classificado</x:v>
      </x:c>
    </x:row>
    <x:row r="2292">
      <x:c r="A2292" s="175" t="str">
        <x:v>60.456.726/0001-65</x:v>
      </x:c>
      <x:c r="B2292" s="166" t="str">
        <x:v>VIRTUS CAPITAL FUNDO DE INVESTIMENTO EM DIREITOS CREDITÓRIOS DE CLASSE ÚNICA ABERTA</x:v>
      </x:c>
      <x:c r="C2292" s="188" t="n">
        <x:v>16767229.689999998</x:v>
      </x:c>
      <x:c r="D2292" s="166" t="str">
        <x:v>CARMEL GESTORA DE ATIVOS LTDA</x:v>
      </x:c>
      <x:c r="E2292" s="166" t="str">
        <x:f>IFERROR(INDEX('Classif Gestoras'!$H$6:$H$462,MATCH(D2292,'Classif Gestoras'!$A$6:$A$462,0)),"Não classificada")</x:f>
        <x:v>Independente</x:v>
      </x:c>
      <x:c r="F2292" s="166" t="str">
        <x:v>BRL TRUST DTVM</x:v>
      </x:c>
      <x:c r="G2292" s="166" t="str">
        <x:v>QI CORRETORA DE TÍTULOS E VALORES MOBILIÁRIOS S.A.</x:v>
      </x:c>
      <x:c r="H2292" s="166" t="str">
        <x:v>Outros</x:v>
      </x:c>
      <x:c r="I2292" s="166" t="str">
        <x:v>Multicarteira Outros</x:v>
      </x:c>
      <x:c r="J2292" s="166" t="str">
        <x:v>CI</x:v>
      </x:c>
      <x:c r="K2292" s="172" t="n">
        <x:v>29</x:v>
      </x:c>
      <x:c r="L2292" s="185" t="str">
        <x:v>Não classificado</x:v>
      </x:c>
    </x:row>
    <x:row r="2293">
      <x:c r="A2293" s="175" t="str">
        <x:v>58.265.368/0001-61</x:v>
      </x:c>
      <x:c r="B2293" s="166" t="str">
        <x:v>OCTOPUS CAPITAL FUNDO DE INVESTIMENTO EM DIREITOS CREDITÓRIOS RESPONSABILIDADE LIMITADA</x:v>
      </x:c>
      <x:c r="C2293" s="188" t="n">
        <x:v>16763171.06</x:v>
      </x:c>
      <x:c r="D2293" s="166" t="str">
        <x:v>Redwood Asset Management</x:v>
      </x:c>
      <x:c r="E2293" s="166" t="str">
        <x:f>IFERROR(INDEX('Classif Gestoras'!$H$6:$H$462,MATCH(D2293,'Classif Gestoras'!$A$6:$A$462,0)),"Não classificada")</x:f>
        <x:v>Independente</x:v>
      </x:c>
      <x:c r="F2293" s="166" t="str">
        <x:v>PLANNER CV</x:v>
      </x:c>
      <x:c r="G2293" s="166" t="str">
        <x:v>PLANNER CORRETORA DE VALORES S.A.</x:v>
      </x:c>
      <x:c r="H2293" s="166" t="str">
        <x:v>Outros</x:v>
      </x:c>
      <x:c r="I2293" s="166" t="str">
        <x:v>Multicarteira Outros</x:v>
      </x:c>
      <x:c r="J2293" s="166" t="str">
        <x:v>CI</x:v>
      </x:c>
      <x:c r="K2293" s="172" t="n">
        <x:v>2</x:v>
      </x:c>
      <x:c r="L2293" s="185" t="str">
        <x:v>Não classificado</x:v>
      </x:c>
    </x:row>
    <x:row r="2294">
      <x:c r="A2294" s="175" t="str">
        <x:v>60.124.803/0001-80</x:v>
      </x:c>
      <x:c r="B2294" s="166" t="str">
        <x:v>INOVA III FUNDO DE INVESTIMENTO EM COTAS DE FIDC DE RESPONSABILIDADE LIMITADA</x:v>
      </x:c>
      <x:c r="C2294" s="188" t="n">
        <x:v>16753153.98</x:v>
      </x:c>
      <x:c r="D2294" s="166" t="str">
        <x:v>BERTHA CAPITAL</x:v>
      </x:c>
      <x:c r="E2294" s="166" t="str">
        <x:f>IFERROR(INDEX('Classif Gestoras'!$H$6:$H$462,MATCH(D2294,'Classif Gestoras'!$A$6:$A$462,0)),"Não classificada")</x:f>
        <x:v>Independente</x:v>
      </x:c>
      <x:c r="F2294" s="166" t="str">
        <x:v>MONETAR DISTRIBUIDORA DE TITUL</x:v>
      </x:c>
      <x:c r="G2294" s="166" t="str">
        <x:v>TERRA INVESTIMENTOS DISTRIBUIDORA DE TITULOS E VALORES MOBILIARIOS LTDA</x:v>
      </x:c>
      <x:c r="H2294" s="166" t="str">
        <x:v>Outros</x:v>
      </x:c>
      <x:c r="I2294" s="166" t="str">
        <x:v>Multicarteira Outros</x:v>
      </x:c>
      <x:c r="J2294" s="166" t="str">
        <x:v>CI</x:v>
      </x:c>
      <x:c r="K2294" s="172" t="n">
        <x:v>5</x:v>
      </x:c>
      <x:c r="L2294" s="185" t="str">
        <x:v>Não classificado</x:v>
      </x:c>
    </x:row>
    <x:row r="2295">
      <x:c r="A2295" s="175" t="str">
        <x:v>64.111.846/0001-81</x:v>
      </x:c>
      <x:c r="B2295" s="166" t="str">
        <x:v>MAGNUS FUNDO DE INVESTIMENTO EM DIREITOS CREDITÓRIOS RESPONSABILIDADE LIMITADA</x:v>
      </x:c>
      <x:c r="C2295" s="188" t="n">
        <x:v>16713512.71</x:v>
      </x:c>
      <x:c r="D2295" s="166" t="str">
        <x:v>ICON CAPITAL</x:v>
      </x:c>
      <x:c r="E2295" s="166" t="str">
        <x:f>IFERROR(INDEX('Classif Gestoras'!$H$6:$H$462,MATCH(D2295,'Classif Gestoras'!$A$6:$A$462,0)),"Não classificada")</x:f>
        <x:v>Independente</x:v>
      </x:c>
      <x:c r="F2295" s="166" t="str">
        <x:v>FIDD DISTRIBUIDORA DE TITULOS E VALORES MOBILIARIOS LTD</x:v>
      </x:c>
      <x:c r="G2295" s="166" t="str">
        <x:v>FIDD DISTRIBUIDORA DE TITULOS E VALORES MOBILIARIOS LTDA.</x:v>
      </x:c>
      <x:c r="H2295" s="166" t="str">
        <x:v>Agro, Indústria e Comércio</x:v>
      </x:c>
      <x:c r="I2295" s="166" t="str">
        <x:v>Multicarteira Agro, Indústria e Comércio</x:v>
      </x:c>
      <x:c r="J2295" s="166" t="str">
        <x:v>CI</x:v>
      </x:c>
      <x:c r="K2295" s="172" t="n">
        <x:v>5</x:v>
      </x:c>
      <x:c r="L2295" s="185" t="str">
        <x:v>Não classificado</x:v>
      </x:c>
    </x:row>
    <x:row r="2296">
      <x:c r="A2296" s="175" t="str">
        <x:v>63.696.976/0001-60</x:v>
      </x:c>
      <x:c r="B2296" s="166" t="str">
        <x:v>LIZARD FUNDO DE INVESTIMENTO EM DIREITOS CREDITÓRIOS CRÉDITO CONSIGNADO PRIVADO - RESP LIMITADA</x:v>
      </x:c>
      <x:c r="C2296" s="188" t="n">
        <x:v>16712003.7</x:v>
      </x:c>
      <x:c r="D2296" s="166" t="str">
        <x:v>Strata Capital</x:v>
      </x:c>
      <x:c r="E2296" s="166" t="str">
        <x:f>IFERROR(INDEX('Classif Gestoras'!$H$6:$H$462,MATCH(D2296,'Classif Gestoras'!$A$6:$A$462,0)),"Não classificada")</x:f>
        <x:v>Independente</x:v>
      </x:c>
      <x:c r="F2296" s="166" t="str">
        <x:v>VERT Distribuidora de Títulos e Valores Mobiliários Ltd</x:v>
      </x:c>
      <x:c r="G2296" s="166" t="str">
        <x:v>VERT DISTRIBUIDORA DE TÍTULOS E VALORES MOBILIÁRIOS LTDA.</x:v>
      </x:c>
      <x:c r="H2296" s="166" t="str">
        <x:v>Financeiro</x:v>
      </x:c>
      <x:c r="I2296" s="166" t="str">
        <x:v>Crédito Consignado</x:v>
      </x:c>
      <x:c r="J2296" s="166" t="str">
        <x:v>CI</x:v>
      </x:c>
      <x:c r="K2296" s="172" t="n">
        <x:v>1</x:v>
      </x:c>
      <x:c r="L2296" s="185" t="str">
        <x:v>Não classificado</x:v>
      </x:c>
    </x:row>
    <x:row r="2297">
      <x:c r="A2297" s="175" t="str">
        <x:v>53.937.754/0001-39</x:v>
      </x:c>
      <x:c r="B2297" s="166" t="str">
        <x:v>VALOR MAX FUNDO DE INVESTIMENTO EM DIREITOS CREDITÓRIOS SEGMENTO NPL-RESPONSABILIDADE LIMITADA</x:v>
      </x:c>
      <x:c r="C2297" s="188" t="n">
        <x:v>16707884.880000005</x:v>
      </x:c>
      <x:c r="D2297" s="166" t="str">
        <x:v>VBR Capital Ltda.</x:v>
      </x:c>
      <x:c r="E2297" s="166" t="str">
        <x:f>IFERROR(INDEX('Classif Gestoras'!$H$6:$H$462,MATCH(D2297,'Classif Gestoras'!$A$6:$A$462,0)),"Não classificada")</x:f>
        <x:v>Independente</x:v>
      </x:c>
      <x:c r="F2297" s="166" t="str">
        <x:v>OSLO DTVM S. A.</x:v>
      </x:c>
      <x:c r="G2297" s="166" t="str">
        <x:v>OSLO CAPITAL DISTRIBUIDORA DE TITULOS E VALORES MOBILIARIOS S.A.</x:v>
      </x:c>
      <x:c r="H2297" s="166" t="str">
        <x:v>Outros</x:v>
      </x:c>
      <x:c r="I2297" s="166" t="str">
        <x:v>Recuperação</x:v>
      </x:c>
      <x:c r="J2297" s="166" t="str">
        <x:v>CI</x:v>
      </x:c>
      <x:c r="K2297" s="172" t="n">
        <x:v>21</x:v>
      </x:c>
      <x:c r="L2297" s="185" t="str">
        <x:v>Não classificado</x:v>
      </x:c>
    </x:row>
    <x:row r="2298">
      <x:c r="A2298" s="175" t="str">
        <x:v>57.246.541/0001-11</x:v>
      </x:c>
      <x:c r="B2298" s="166" t="str">
        <x:v>ZTIRAH FUNDO DE INVESTIMENTO EM DIREITOS CREDITÓRIOS</x:v>
      </x:c>
      <x:c r="C2298" s="188" t="n">
        <x:v>16664004.96</x:v>
      </x:c>
      <x:c r="D2298" s="166" t="str">
        <x:v>Redwood Asset Management</x:v>
      </x:c>
      <x:c r="E2298" s="166" t="str">
        <x:f>IFERROR(INDEX('Classif Gestoras'!$H$6:$H$462,MATCH(D2298,'Classif Gestoras'!$A$6:$A$462,0)),"Não classificada")</x:f>
        <x:v>Independente</x:v>
      </x:c>
      <x:c r="F2298" s="166" t="str">
        <x:v>PLANNER CV</x:v>
      </x:c>
      <x:c r="G2298" s="166" t="str">
        <x:v>PLANNER CORRETORA DE VALORES S.A.</x:v>
      </x:c>
      <x:c r="H2298" s="166" t="str">
        <x:v>Outros</x:v>
      </x:c>
      <x:c r="I2298" s="166" t="str">
        <x:v>Multicarteira Outros</x:v>
      </x:c>
      <x:c r="J2298" s="166" t="str">
        <x:v>CI</x:v>
      </x:c>
      <x:c r="K2298" s="172" t="n">
        <x:v>1</x:v>
      </x:c>
      <x:c r="L2298" s="185" t="str">
        <x:v>Não classificado</x:v>
      </x:c>
    </x:row>
    <x:row r="2299">
      <x:c r="A2299" s="175" t="str">
        <x:v>32.990.687/0001-46</x:v>
      </x:c>
      <x:c r="B2299" s="166" t="str">
        <x:v>MUNDI FUNDO DE INVESTIMENTO EM DIREITOS CREDITÓRIOS MULTISEGMENT0S</x:v>
      </x:c>
      <x:c r="C2299" s="188" t="n">
        <x:v>16661643.03</x:v>
      </x:c>
      <x:c r="D2299" s="166" t="str">
        <x:v>Aventis Asset</x:v>
      </x:c>
      <x:c r="E2299" s="166" t="str">
        <x:f>IFERROR(INDEX('Classif Gestoras'!$H$6:$H$462,MATCH(D2299,'Classif Gestoras'!$A$6:$A$462,0)),"Não classificada")</x:f>
        <x:v>Independente</x:v>
      </x:c>
      <x:c r="F2299" s="166" t="str">
        <x:v>Finaxis Corretora de Títulos e Valores Mobiliários S.A.</x:v>
      </x:c>
      <x:c r="G2299" s="166" t="str">
        <x:v>BANCO FINAXIS S.A.</x:v>
      </x:c>
      <x:c r="H2299" s="166" t="str">
        <x:v>Outros</x:v>
      </x:c>
      <x:c r="I2299" s="166" t="str">
        <x:v>Multicarteira Outros</x:v>
      </x:c>
      <x:c r="J2299" s="166" t="str">
        <x:v>CI</x:v>
      </x:c>
      <x:c r="K2299" s="172" t="n">
        <x:v>4</x:v>
      </x:c>
      <x:c r="L2299" s="185" t="str">
        <x:v>Não classificado</x:v>
      </x:c>
    </x:row>
    <x:row r="2300">
      <x:c r="A2300" s="175" t="str">
        <x:v>48.513.136/0001-21</x:v>
      </x:c>
      <x:c r="B2300" s="166" t="str">
        <x:v>GALGA FUNDO DE INVESTIMENTO EM DIREITOS CREDITÓRIOS-RESPONSABILIDADE LIMITADA</x:v>
      </x:c>
      <x:c r="C2300" s="188" t="n">
        <x:v>16600267.55</x:v>
      </x:c>
      <x:c r="D2300" s="166" t="str">
        <x:v>GESTORA DE RECURSOS ID - GRID LTDA.</x:v>
      </x:c>
      <x:c r="E2300" s="166" t="str">
        <x:f>IFERROR(INDEX('Classif Gestoras'!$H$6:$H$462,MATCH(D2300,'Classif Gestoras'!$A$6:$A$462,0)),"Não classificada")</x:f>
        <x:v>Independente</x:v>
      </x:c>
      <x:c r="F2300" s="166" t="str">
        <x:v>ID Corretora de Títulos e Valores Mobiliários S.A.</x:v>
      </x:c>
      <x:c r="G2300" s="166" t="str">
        <x:v>ID CORRETORA DE TITULOS E VALORES MOBILIARIOS S.A.</x:v>
      </x:c>
      <x:c r="H2300" s="166" t="str">
        <x:v>Outros</x:v>
      </x:c>
      <x:c r="I2300" s="166" t="str">
        <x:v>Multicarteira Outros</x:v>
      </x:c>
      <x:c r="J2300" s="166" t="str">
        <x:v>CI</x:v>
      </x:c>
      <x:c r="K2300" s="172" t="n">
        <x:v>1</x:v>
      </x:c>
      <x:c r="L2300" s="185" t="str">
        <x:v>Não classificado</x:v>
      </x:c>
    </x:row>
    <x:row r="2301">
      <x:c r="A2301" s="175" t="str">
        <x:v>33.701.253/0001-41</x:v>
      </x:c>
      <x:c r="B2301" s="166" t="str">
        <x:v>TRADIÇÃO FUNDO DE INVESTIMENTO EM DIREITOS CREDITORIOS</x:v>
      </x:c>
      <x:c r="C2301" s="188" t="n">
        <x:v>16573914.65</x:v>
      </x:c>
      <x:c r="D2301" s="166" t="str">
        <x:v>Libertas Asset</x:v>
      </x:c>
      <x:c r="E2301" s="166" t="str">
        <x:f>IFERROR(INDEX('Classif Gestoras'!$H$6:$H$462,MATCH(D2301,'Classif Gestoras'!$A$6:$A$462,0)),"Não classificada")</x:f>
        <x:v>Independente</x:v>
      </x:c>
      <x:c r="F2301" s="166" t="str">
        <x:v>ACTUAL DTVM</x:v>
      </x:c>
      <x:c r="G2301" s="166" t="str">
        <x:v>LASTRO RDV DTVM LTDA</x:v>
      </x:c>
      <x:c r="H2301" s="166" t="str">
        <x:v>Fomento Mercantil</x:v>
      </x:c>
      <x:c r="I2301" s="166" t="str">
        <x:v>Fomento Mercantil</x:v>
      </x:c>
      <x:c r="J2301" s="166" t="str">
        <x:v>CI</x:v>
      </x:c>
      <x:c r="K2301" s="172" t="n">
        <x:v>3</x:v>
      </x:c>
      <x:c r="L2301" s="185" t="str">
        <x:v>Não classificado</x:v>
      </x:c>
    </x:row>
    <x:row r="2302">
      <x:c r="A2302" s="175" t="str">
        <x:v>48.411.822/0001-91</x:v>
      </x:c>
      <x:c r="B2302" s="166" t="str">
        <x:v>SIGSUG FUNDO DE INVESTIMENTO EM DIREITOS CREDITÓRIOS - RESPONSABILIDADE LIMITADA</x:v>
      </x:c>
      <x:c r="C2302" s="188" t="n">
        <x:v>16483383.36</x:v>
      </x:c>
      <x:c r="D2302" s="166" t="str">
        <x:v>Plural Investimentos Gestão de Recursos Ltda.</x:v>
      </x:c>
      <x:c r="E2302" s="166" t="str">
        <x:f>IFERROR(INDEX('Classif Gestoras'!$H$6:$H$462,MATCH(D2302,'Classif Gestoras'!$A$6:$A$462,0)),"Não classificada")</x:f>
        <x:v>Ligada a banco</x:v>
      </x:c>
      <x:c r="F2302" s="166" t="str">
        <x:v>BNY MELLON SERVICOS</x:v>
      </x:c>
      <x:c r="G2302" s="166" t="str">
        <x:v>BNY MELLON BANCO S.A.</x:v>
      </x:c>
      <x:c r="H2302" s="166" t="str">
        <x:v>Outros</x:v>
      </x:c>
      <x:c r="I2302" s="166" t="str">
        <x:v>Multicarteira Outros</x:v>
      </x:c>
      <x:c r="J2302" s="166" t="str">
        <x:v>CI</x:v>
      </x:c>
      <x:c r="K2302" s="172" t="n">
        <x:v>1</x:v>
      </x:c>
      <x:c r="L2302" s="185" t="str">
        <x:v>Não classificado</x:v>
      </x:c>
    </x:row>
    <x:row r="2303">
      <x:c r="A2303" s="175" t="str">
        <x:v>41.755.904/0001-04</x:v>
      </x:c>
      <x:c r="B2303" s="166" t="str">
        <x:v>LESTE ATIVOS - FUNDO DE INVESTIMENTO EM DIREITOS CREDITÓRIOS RESPONSABILIDADE LIMITADA</x:v>
      </x:c>
      <x:c r="C2303" s="188" t="n">
        <x:v>16444827.73</x:v>
      </x:c>
      <x:c r="D2303" s="166" t="str">
        <x:v>Leste Credit Gestão de Recursos LTDA.</x:v>
      </x:c>
      <x:c r="E2303" s="166" t="str">
        <x:f>IFERROR(INDEX('Classif Gestoras'!$H$6:$H$462,MATCH(D2303,'Classif Gestoras'!$A$6:$A$462,0)),"Não classificada")</x:f>
        <x:v>Independente</x:v>
      </x:c>
      <x:c r="F2303" s="166" t="str">
        <x:v>PLANNER CV</x:v>
      </x:c>
      <x:c r="G2303" s="166" t="str">
        <x:v>PLANNER CORRETORA DE VALORES S.A.</x:v>
      </x:c>
      <x:c r="H2303" s="166" t="str">
        <x:v>Outros</x:v>
      </x:c>
      <x:c r="I2303" s="166" t="str">
        <x:v>Multicarteira Outros</x:v>
      </x:c>
      <x:c r="J2303" s="166" t="str">
        <x:v>CI</x:v>
      </x:c>
      <x:c r="K2303" s="172" t="n">
        <x:v>2</x:v>
      </x:c>
      <x:c r="L2303" s="185" t="str">
        <x:v>Não classificado</x:v>
      </x:c>
    </x:row>
    <x:row r="2304">
      <x:c r="A2304" s="175" t="str">
        <x:v>57.037.064/0001-84</x:v>
      </x:c>
      <x:c r="B2304" s="166" t="str">
        <x:v>FUNDO DE INVESTIMENTO EM DIREITOS CREDITÓRIOS NMPA - RESPONSABILIDADE LIMITADA</x:v>
      </x:c>
      <x:c r="C2304" s="188" t="n">
        <x:v>16435938.45</x:v>
      </x:c>
      <x:c r="D2304" s="166" t="str">
        <x:v>Plural Investimentos Gestão de Recursos Ltda.</x:v>
      </x:c>
      <x:c r="E2304" s="166" t="str">
        <x:f>IFERROR(INDEX('Classif Gestoras'!$H$6:$H$462,MATCH(D2304,'Classif Gestoras'!$A$6:$A$462,0)),"Não classificada")</x:f>
        <x:v>Ligada a banco</x:v>
      </x:c>
      <x:c r="F2304" s="166" t="str">
        <x:v>Banco Genial S.A.</x:v>
      </x:c>
      <x:c r="G2304" s="166" t="str">
        <x:v>BANCO GENIAL S.A.</x:v>
      </x:c>
      <x:c r="H2304" s="166" t="str">
        <x:v>Outros</x:v>
      </x:c>
      <x:c r="I2304" s="166" t="str">
        <x:v>Multicarteira Outros</x:v>
      </x:c>
      <x:c r="J2304" s="166" t="str">
        <x:v>CI</x:v>
      </x:c>
      <x:c r="K2304" s="172" t="n">
        <x:v>1</x:v>
      </x:c>
      <x:c r="L2304" s="185" t="str">
        <x:v>Não classificado</x:v>
      </x:c>
    </x:row>
    <x:row r="2305">
      <x:c r="A2305" s="175" t="str">
        <x:v>51.190.919/0001-26</x:v>
      </x:c>
      <x:c r="B2305" s="166" t="str">
        <x:v>CÉREBRO FUNDO DE INVESTIMENTO EM DIREITOS CREDITÓRIOS</x:v>
      </x:c>
      <x:c r="C2305" s="188" t="n">
        <x:v>16417529.6</x:v>
      </x:c>
      <x:c r="D2305" s="166" t="str">
        <x:v>Iggy Investimentos</x:v>
      </x:c>
      <x:c r="E2305" s="166" t="str">
        <x:f>IFERROR(INDEX('Classif Gestoras'!$H$6:$H$462,MATCH(D2305,'Classif Gestoras'!$A$6:$A$462,0)),"Não classificada")</x:f>
        <x:v>Independente</x:v>
      </x:c>
      <x:c r="F2305" s="166" t="str">
        <x:v>Singulare</x:v>
      </x:c>
      <x:c r="G2305" s="166" t="str">
        <x:v>QI CORRETORA DE TÍTULOS E VALORES MOBILIÁRIOS S.A.</x:v>
      </x:c>
      <x:c r="H2305" s="166" t="str">
        <x:v>Outros</x:v>
      </x:c>
      <x:c r="I2305" s="166" t="str">
        <x:v>Multicarteira Outros</x:v>
      </x:c>
      <x:c r="J2305" s="166" t="str">
        <x:v>CI</x:v>
      </x:c>
      <x:c r="K2305" s="172" t="n">
        <x:v>1</x:v>
      </x:c>
      <x:c r="L2305" s="185" t="str">
        <x:v>Não classificado</x:v>
      </x:c>
    </x:row>
    <x:row r="2306">
      <x:c r="A2306" s="175" t="str">
        <x:v>62.453.870/0001-73</x:v>
      </x:c>
      <x:c r="B2306" s="166" t="str">
        <x:v>OTMOW I FUNDO DE INVESTIMENTO EM DIREITOS CREDITÓRIOS RESPONSABILIDADE LIMITADA</x:v>
      </x:c>
      <x:c r="C2306" s="188" t="n">
        <x:v>16394357.669999998</x:v>
      </x:c>
      <x:c r="D2306" s="166" t="str">
        <x:v>Riza Securitização e Carteiras</x:v>
      </x:c>
      <x:c r="E2306" s="166" t="str">
        <x:f>IFERROR(INDEX('Classif Gestoras'!$H$6:$H$462,MATCH(D2306,'Classif Gestoras'!$A$6:$A$462,0)),"Não classificada")</x:f>
        <x:v>Independente</x:v>
      </x:c>
      <x:c r="F2306" s="166" t="str">
        <x:v>BRL TRUST DTVM</x:v>
      </x:c>
      <x:c r="G2306" s="166" t="str">
        <x:v>BRL TRUST DISTRIBUIDORA DE TITULOS E VALORES MOBILIARIOS S.A.</x:v>
      </x:c>
      <x:c r="H2306" s="166" t="str">
        <x:v>Outros</x:v>
      </x:c>
      <x:c r="I2306" s="166" t="str">
        <x:v>Poder Público</x:v>
      </x:c>
      <x:c r="J2306" s="166" t="str">
        <x:v>CI</x:v>
      </x:c>
      <x:c r="K2306" s="172" t="n">
        <x:v>3</x:v>
      </x:c>
      <x:c r="L2306" s="185" t="str">
        <x:v>Não classificado</x:v>
      </x:c>
    </x:row>
    <x:row r="2307">
      <x:c r="A2307" s="175" t="str">
        <x:v>32.670.379/0001-33</x:v>
      </x:c>
      <x:c r="B2307" s="166" t="str">
        <x:v>ALLIANCE FUNDO DE INVESTIMENTO EM DIREITOS CREDITÓRIOS</x:v>
      </x:c>
      <x:c r="C2307" s="188" t="n">
        <x:v>16338614.44</x:v>
      </x:c>
      <x:c r="D2307" s="166" t="str">
        <x:v>Libertas Asset</x:v>
      </x:c>
      <x:c r="E2307" s="166" t="str">
        <x:f>IFERROR(INDEX('Classif Gestoras'!$H$6:$H$462,MATCH(D2307,'Classif Gestoras'!$A$6:$A$462,0)),"Não classificada")</x:f>
        <x:v>Independente</x:v>
      </x:c>
      <x:c r="F2307" s="166" t="str">
        <x:v>ACTUAL DTVM</x:v>
      </x:c>
      <x:c r="G2307" s="166" t="str">
        <x:v>TRUSTEE DISTRIBUIDORA DE TITULOS E VALORES MOBILIARIOS LTDA.</x:v>
      </x:c>
      <x:c r="H2307" s="166" t="str">
        <x:v>Fomento Mercantil</x:v>
      </x:c>
      <x:c r="I2307" s="166" t="str">
        <x:v>Fomento Mercantil</x:v>
      </x:c>
      <x:c r="J2307" s="166" t="str">
        <x:v>CI</x:v>
      </x:c>
      <x:c r="K2307" s="172" t="n">
        <x:v>1</x:v>
      </x:c>
      <x:c r="L2307" s="185" t="str">
        <x:v>Não classificado</x:v>
      </x:c>
    </x:row>
    <x:row r="2308">
      <x:c r="A2308" s="175" t="str">
        <x:v>55.255.330/0001-10</x:v>
      </x:c>
      <x:c r="B2308" s="166" t="str">
        <x:v>FUNDO DE INVESTIMENTO EM DIREITOS CREDITÓRIOS DE RESPONSABILIDADE LIMITADA INCLUSÃO FINANCEIRA PLUS</x:v>
      </x:c>
      <x:c r="C2308" s="188" t="n">
        <x:v>16325006.01</x:v>
      </x:c>
      <x:c r="D2308" s="166" t="str">
        <x:v>Milênio Capital</x:v>
      </x:c>
      <x:c r="E2308" s="166" t="str">
        <x:f>IFERROR(INDEX('Classif Gestoras'!$H$6:$H$462,MATCH(D2308,'Classif Gestoras'!$A$6:$A$462,0)),"Não classificada")</x:f>
        <x:v>Independente</x:v>
      </x:c>
      <x:c r="F2308" s="166" t="str">
        <x:v>VÓRTX DTVM</x:v>
      </x:c>
      <x:c r="G2308" s="166" t="str">
        <x:v>VORTX DISTRIBUIDORA DE TITULOS E VALORES MOBILIARIOS LTDA.</x:v>
      </x:c>
      <x:c r="H2308" s="166" t="str">
        <x:v>Financeiro</x:v>
      </x:c>
      <x:c r="I2308" s="166" t="str">
        <x:v>Crédito Pessoal</x:v>
      </x:c>
      <x:c r="J2308" s="166" t="str">
        <x:v>CI</x:v>
      </x:c>
      <x:c r="K2308" s="172" t="n">
        <x:v>63</x:v>
      </x:c>
      <x:c r="L2308" s="185" t="str">
        <x:v>Não classificado</x:v>
      </x:c>
    </x:row>
    <x:row r="2309">
      <x:c r="A2309" s="175" t="str">
        <x:v>60.598.710/0001-97</x:v>
      </x:c>
      <x:c r="B2309" s="166" t="str">
        <x:v>MAKALU FUNDO DE INVESTIMENTO EM DIREITOS CREDITÓRIOS RESPONSABILIDADE LIMITADA</x:v>
      </x:c>
      <x:c r="C2309" s="188" t="n">
        <x:v>16297380.05</x:v>
      </x:c>
      <x:c r="D2309" s="166" t="str">
        <x:v>MAKALU</x:v>
      </x:c>
      <x:c r="E2309" s="166" t="str">
        <x:f>IFERROR(INDEX('Classif Gestoras'!$H$6:$H$462,MATCH(D2309,'Classif Gestoras'!$A$6:$A$462,0)),"Não classificada")</x:f>
        <x:v>Independente</x:v>
      </x:c>
      <x:c r="F2309" s="166" t="str">
        <x:v>BANCO DAYCOVAL S/A</x:v>
      </x:c>
      <x:c r="G2309" s="166" t="str">
        <x:v>BANCO DAYCOVAL S.A.</x:v>
      </x:c>
      <x:c r="H2309" s="166" t="str">
        <x:v>Outros</x:v>
      </x:c>
      <x:c r="I2309" s="166" t="str">
        <x:v>Multicarteira Outros</x:v>
      </x:c>
      <x:c r="J2309" s="166" t="str">
        <x:v>CI</x:v>
      </x:c>
      <x:c r="K2309" s="172" t="n">
        <x:v>32</x:v>
      </x:c>
      <x:c r="L2309" s="185" t="str">
        <x:v>Não classificado</x:v>
      </x:c>
    </x:row>
    <x:row r="2310">
      <x:c r="A2310" s="175" t="str">
        <x:v>53.323.357/0001-77</x:v>
      </x:c>
      <x:c r="B2310" s="166" t="str">
        <x:v>EMBRAPREC FUNDO DE INVESTIMENTO EM DIREITOS CREDITÓRIO NÃO PADRONIZADO</x:v>
      </x:c>
      <x:c r="C2310" s="188" t="n">
        <x:v>16290664.23</x:v>
      </x:c>
      <x:c r="D2310" s="166" t="str">
        <x:v>Terra Asset Management</x:v>
      </x:c>
      <x:c r="E2310" s="166" t="str">
        <x:f>IFERROR(INDEX('Classif Gestoras'!$H$6:$H$462,MATCH(D2310,'Classif Gestoras'!$A$6:$A$462,0)),"Não classificada")</x:f>
        <x:v>Independente</x:v>
      </x:c>
      <x:c r="F2310" s="166" t="str">
        <x:v>MONETAR DISTRIBUIDORA DE TITUL</x:v>
      </x:c>
      <x:c r="G2310" s="166" t="str">
        <x:v>TERRA INVESTIMENTOS DISTRIBUIDORA DE TITULOS E VALORES MOBILIARIOS LTDA</x:v>
      </x:c>
      <x:c r="H2310" s="166" t="str">
        <x:v>Outros</x:v>
      </x:c>
      <x:c r="I2310" s="166" t="str">
        <x:v>Multicarteira Outros</x:v>
      </x:c>
      <x:c r="J2310" s="166" t="str">
        <x:v>CI</x:v>
      </x:c>
      <x:c r="K2310" s="172" t="n">
        <x:v>1</x:v>
      </x:c>
      <x:c r="L2310" s="185" t="str">
        <x:v>Não classificado</x:v>
      </x:c>
    </x:row>
    <x:row r="2311">
      <x:c r="A2311" s="175" t="str">
        <x:v>63.937.880/0001-47</x:v>
      </x:c>
      <x:c r="B2311" s="166" t="str">
        <x:v>GPMG FUNDO DE INVESTIMENTO EM DIREITOS CREDITÓRIOS RESPONSABILIDADE LIMITADA</x:v>
      </x:c>
      <x:c r="C2311" s="188" t="n">
        <x:v>16275376.1</x:v>
      </x:c>
      <x:c r="D2311" s="166" t="str">
        <x:v>Renova Gestora</x:v>
      </x:c>
      <x:c r="E2311" s="166" t="str">
        <x:f>IFERROR(INDEX('Classif Gestoras'!$H$6:$H$462,MATCH(D2311,'Classif Gestoras'!$A$6:$A$462,0)),"Não classificada")</x:f>
        <x:v>Independente</x:v>
      </x:c>
      <x:c r="F2311" s="166" t="str">
        <x:v>MONETAR DISTRIBUIDORA DE TITUL</x:v>
      </x:c>
      <x:c r="G2311" s="166" t="str">
        <x:v>TERRA INVESTIMENTOS DISTRIBUIDORA DE TITULOS E VALORES MOBILIARIOS LTDA</x:v>
      </x:c>
      <x:c r="H2311" s="166" t="str">
        <x:v>Fomento Mercantil</x:v>
      </x:c>
      <x:c r="I2311" s="166" t="str">
        <x:v>Fomento Mercantil</x:v>
      </x:c>
      <x:c r="J2311" s="166" t="str">
        <x:v>CI</x:v>
      </x:c>
      <x:c r="K2311" s="172" t="n">
        <x:v>1</x:v>
      </x:c>
      <x:c r="L2311" s="185" t="str">
        <x:v>Não classificado</x:v>
      </x:c>
    </x:row>
    <x:row r="2312">
      <x:c r="A2312" s="175" t="str">
        <x:v>33.827.572/0001-06</x:v>
      </x:c>
      <x:c r="B2312" s="166" t="str">
        <x:v>MEGA INFINITY FUNDO DE INVESTIMENTO EM DIREITOS CREDITÓRIOS RESPONSABILIDADE LIMITADA</x:v>
      </x:c>
      <x:c r="C2312" s="188" t="n">
        <x:v>16227736.11</x:v>
      </x:c>
      <x:c r="D2312" s="166" t="str">
        <x:v>Blue Solutions</x:v>
      </x:c>
      <x:c r="E2312" s="166" t="str">
        <x:f>IFERROR(INDEX('Classif Gestoras'!$H$6:$H$462,MATCH(D2312,'Classif Gestoras'!$A$6:$A$462,0)),"Não classificada")</x:f>
        <x:v>Independente</x:v>
      </x:c>
      <x:c r="F2312" s="166" t="str">
        <x:v>TRUSTEE DTVM</x:v>
      </x:c>
      <x:c r="G2312" s="166" t="str">
        <x:v>TRUSTEE DISTRIBUIDORA DE TITULOS E VALORES MOBILIARIOS LTDA.</x:v>
      </x:c>
      <x:c r="H2312" s="166" t="str">
        <x:v>Outros</x:v>
      </x:c>
      <x:c r="I2312" s="166" t="str">
        <x:v>Multicarteira Outros</x:v>
      </x:c>
      <x:c r="J2312" s="166" t="str">
        <x:v>CI</x:v>
      </x:c>
      <x:c r="K2312" s="172" t="n">
        <x:v>3</x:v>
      </x:c>
      <x:c r="L2312" s="185" t="str">
        <x:v>Não classificado</x:v>
      </x:c>
    </x:row>
    <x:row r="2313">
      <x:c r="A2313" s="175" t="str">
        <x:v>60.698.656/0001-51</x:v>
      </x:c>
      <x:c r="B2313" s="166" t="str">
        <x:v>MACEIÓ FUNDO DE INVESTIMENTO EM DIREITOS CREDITÓRIOS</x:v>
      </x:c>
      <x:c r="C2313" s="188" t="n">
        <x:v>16211272.68</x:v>
      </x:c>
      <x:c r="D2313" s="166" t="str">
        <x:v>SOSU CAPITAL GESTÃO DE INVESTIMENTOS LTDA.</x:v>
      </x:c>
      <x:c r="E2313" s="166" t="str">
        <x:f>IFERROR(INDEX('Classif Gestoras'!$H$6:$H$462,MATCH(D2313,'Classif Gestoras'!$A$6:$A$462,0)),"Não classificada")</x:f>
        <x:v>Independente</x:v>
      </x:c>
      <x:c r="F2313" s="166" t="str">
        <x:v>BTG Pactual Servicos Financeiros S/A DTVM</x:v>
      </x:c>
      <x:c r="G2313" s="166" t="str">
        <x:v>BANCO BTG PACTUAL S/A</x:v>
      </x:c>
      <x:c r="H2313" s="166" t="str">
        <x:v>Outros</x:v>
      </x:c>
      <x:c r="I2313" s="166" t="str">
        <x:v>Poder Público</x:v>
      </x:c>
      <x:c r="J2313" s="166" t="str">
        <x:v>CI</x:v>
      </x:c>
      <x:c r="K2313" s="172" t="n">
        <x:v>2</x:v>
      </x:c>
      <x:c r="L2313" s="185" t="str">
        <x:v>Não classificado</x:v>
      </x:c>
    </x:row>
    <x:row r="2314">
      <x:c r="A2314" s="175" t="str">
        <x:v>62.114.622/0001-06</x:v>
      </x:c>
      <x:c r="B2314" s="166" t="str">
        <x:v>SÉCULO FUNDO DE INVESTIMENTO EM DIREITOS CREDITÓRIOS - RESPONSABILIDADE LIMITADA</x:v>
      </x:c>
      <x:c r="C2314" s="188" t="n">
        <x:v>16172390.87</x:v>
      </x:c>
      <x:c r="D2314" s="166" t="str">
        <x:v>BERTHA CAPITAL</x:v>
      </x:c>
      <x:c r="E2314" s="166" t="str">
        <x:f>IFERROR(INDEX('Classif Gestoras'!$H$6:$H$462,MATCH(D2314,'Classif Gestoras'!$A$6:$A$462,0)),"Não classificada")</x:f>
        <x:v>Independente</x:v>
      </x:c>
      <x:c r="F2314" s="166" t="str">
        <x:v>HEMERA DTVM</x:v>
      </x:c>
      <x:c r="G2314" s="166" t="str">
        <x:v>HEMERA DISTRIBUIDORA DE TITULOS E VALORES MOBILIARIOS LTDA</x:v>
      </x:c>
      <x:c r="H2314" s="166" t="str">
        <x:v>Fomento Mercantil</x:v>
      </x:c>
      <x:c r="I2314" s="166" t="str">
        <x:v>Fomento Mercantil</x:v>
      </x:c>
      <x:c r="J2314" s="166" t="str">
        <x:v>CI</x:v>
      </x:c>
      <x:c r="K2314" s="172" t="n">
        <x:v>1</x:v>
      </x:c>
      <x:c r="L2314" s="185" t="str">
        <x:v>Não classificado</x:v>
      </x:c>
    </x:row>
    <x:row r="2315">
      <x:c r="A2315" s="175" t="str">
        <x:v>49.776.300/0001-56</x:v>
      </x:c>
      <x:c r="B2315" s="166" t="str">
        <x:v>OUTFIELD FUNDO DE INVESTIMENTO EM DIREITOS CREDITÓRIOS CLASSE ÚNICA FECHADA RESPONSABILIDADE LIMITAD</x:v>
      </x:c>
      <x:c r="C2315" s="188" t="n">
        <x:v>16155983.05</x:v>
      </x:c>
      <x:c r="D2315" s="166" t="str">
        <x:v>Galápagos</x:v>
      </x:c>
      <x:c r="E2315" s="166" t="str">
        <x:f>IFERROR(INDEX('Classif Gestoras'!$H$6:$H$462,MATCH(D2315,'Classif Gestoras'!$A$6:$A$462,0)),"Não classificada")</x:f>
        <x:v>Independente</x:v>
      </x:c>
      <x:c r="F2315" s="166" t="str">
        <x:v>VÓRTX DTVM</x:v>
      </x:c>
      <x:c r="G2315" s="166" t="str">
        <x:v>VORTX DISTRIBUIDORA DE TITULOS E VALORES MOBILIARIOS LTDA.</x:v>
      </x:c>
      <x:c r="H2315" s="166" t="str">
        <x:v>Outros</x:v>
      </x:c>
      <x:c r="I2315" s="166" t="str">
        <x:v>Multicarteira Outros</x:v>
      </x:c>
      <x:c r="J2315" s="166" t="str">
        <x:v>CI</x:v>
      </x:c>
      <x:c r="K2315" s="172" t="n">
        <x:v>4</x:v>
      </x:c>
      <x:c r="L2315" s="185" t="str">
        <x:v>Não classificado</x:v>
      </x:c>
    </x:row>
    <x:row r="2316">
      <x:c r="A2316" s="175" t="str">
        <x:v>64.382.297/0001-80</x:v>
      </x:c>
      <x:c r="B2316" s="166" t="str">
        <x:v>ST 1024 FUNDO DE INVESTIMENTO EM DIREITOS CREDITÓRIOS RESPONSABILIDADE LIMITADA</x:v>
      </x:c>
      <x:c r="C2316" s="188" t="n">
        <x:v>16138451.52</x:v>
      </x:c>
      <x:c r="D2316" s="166" t="str">
        <x:v>Strata Capital</x:v>
      </x:c>
      <x:c r="E2316" s="166" t="str">
        <x:f>IFERROR(INDEX('Classif Gestoras'!$H$6:$H$462,MATCH(D2316,'Classif Gestoras'!$A$6:$A$462,0)),"Não classificada")</x:f>
        <x:v>Independente</x:v>
      </x:c>
      <x:c r="F2316" s="166" t="str">
        <x:v>BANCO DAYCOVAL S/A</x:v>
      </x:c>
      <x:c r="G2316" s="166" t="str">
        <x:v>BANCO DAYCOVAL S.A.</x:v>
      </x:c>
      <x:c r="H2316" s="166" t="str">
        <x:v>Outros</x:v>
      </x:c>
      <x:c r="I2316" s="166" t="str">
        <x:v>Multicarteira Outros</x:v>
      </x:c>
      <x:c r="J2316" s="166" t="str">
        <x:v>CI</x:v>
      </x:c>
      <x:c r="K2316" s="172" t="n">
        <x:v>6</x:v>
      </x:c>
      <x:c r="L2316" s="185" t="str">
        <x:v>Não classificado</x:v>
      </x:c>
    </x:row>
    <x:row r="2317">
      <x:c r="A2317" s="175" t="str">
        <x:v>53.272.875/0001-09</x:v>
      </x:c>
      <x:c r="B2317" s="166" t="str">
        <x:v>EL CHALTÉN FUNDO DE INVESTIMENTO EM DIREITOS CREDITÓRIOS</x:v>
      </x:c>
      <x:c r="C2317" s="188" t="n">
        <x:v>16127244.37</x:v>
      </x:c>
      <x:c r="D2317" s="166" t="str">
        <x:v>PATAGÔNIA CAPITAL</x:v>
      </x:c>
      <x:c r="E2317" s="166" t="str">
        <x:f>IFERROR(INDEX('Classif Gestoras'!$H$6:$H$462,MATCH(D2317,'Classif Gestoras'!$A$6:$A$462,0)),"Não classificada")</x:f>
        <x:v>Independente</x:v>
      </x:c>
      <x:c r="F2317" s="166" t="str">
        <x:v>VÓRTX DTVM</x:v>
      </x:c>
      <x:c r="G2317" s="166" t="str">
        <x:v>VORTX DISTRIBUIDORA DE TITULOS E VALORES MOBILIARIOS LTDA.</x:v>
      </x:c>
      <x:c r="H2317" s="166" t="str">
        <x:v>Financeiro</x:v>
      </x:c>
      <x:c r="I2317" s="166" t="str">
        <x:v>Multicarteira Financeiro</x:v>
      </x:c>
      <x:c r="J2317" s="166" t="str">
        <x:v>CI</x:v>
      </x:c>
      <x:c r="K2317" s="172" t="n">
        <x:v>1</x:v>
      </x:c>
      <x:c r="L2317" s="185" t="str">
        <x:v>Não classificado</x:v>
      </x:c>
    </x:row>
    <x:row r="2318">
      <x:c r="A2318" s="175" t="str">
        <x:v>53.129.205/0001-38</x:v>
      </x:c>
      <x:c r="B2318" s="166" t="str">
        <x:v>INOVA CREDTECH VI FUNDO DE INVESTIMENTO EM DIREITOS CREDITÓRIOS - RESPONSABILIDADE LIMITADA</x:v>
      </x:c>
      <x:c r="C2318" s="188" t="n">
        <x:v>16119052.48</x:v>
      </x:c>
      <x:c r="D2318" s="166" t="str">
        <x:v>BERTHA CAPITAL</x:v>
      </x:c>
      <x:c r="E2318" s="166" t="str">
        <x:f>IFERROR(INDEX('Classif Gestoras'!$H$6:$H$462,MATCH(D2318,'Classif Gestoras'!$A$6:$A$462,0)),"Não classificada")</x:f>
        <x:v>Independente</x:v>
      </x:c>
      <x:c r="F2318" s="166" t="str">
        <x:v>VÓRTX DTVM</x:v>
      </x:c>
      <x:c r="G2318" s="166" t="str">
        <x:v>VORTX DISTRIBUIDORA DE TITULOS E VALORES MOBILIARIOS LTDA.</x:v>
      </x:c>
      <x:c r="H2318" s="166" t="str">
        <x:v>Outros</x:v>
      </x:c>
      <x:c r="I2318" s="166" t="str">
        <x:v>Multicarteira Outros</x:v>
      </x:c>
      <x:c r="J2318" s="166" t="str">
        <x:v>CI</x:v>
      </x:c>
      <x:c r="K2318" s="172" t="n">
        <x:v>17</x:v>
      </x:c>
      <x:c r="L2318" s="185" t="str">
        <x:v>Não classificado</x:v>
      </x:c>
    </x:row>
    <x:row r="2319">
      <x:c r="A2319" s="175" t="str">
        <x:v>61.909.905/0001-73</x:v>
      </x:c>
      <x:c r="B2319" s="166" t="str">
        <x:v>MARAÚ FUNDO DE INVESTIMENTO EM DIREITOS CREDITÓRIOS - RESPONSABILIDADE LIMITADA</x:v>
      </x:c>
      <x:c r="C2319" s="188" t="n">
        <x:v>16019151.02</x:v>
      </x:c>
      <x:c r="D2319" s="166" t="str">
        <x:v>GENIAL GESTÃO LTDA.</x:v>
      </x:c>
      <x:c r="E2319" s="166" t="str">
        <x:f>IFERROR(INDEX('Classif Gestoras'!$H$6:$H$462,MATCH(D2319,'Classif Gestoras'!$A$6:$A$462,0)),"Não classificada")</x:f>
        <x:v>Ligada a banco</x:v>
      </x:c>
      <x:c r="F2319" s="166" t="str">
        <x:v>Genial Investimentos Corretora de Valores Mobiliários S.A.</x:v>
      </x:c>
      <x:c r="G2319" s="166" t="str">
        <x:v>BANCO GENIAL S.A.</x:v>
      </x:c>
      <x:c r="H2319" s="166" t="str">
        <x:v>Outros</x:v>
      </x:c>
      <x:c r="I2319" s="166" t="str">
        <x:v>Multicarteira Outros</x:v>
      </x:c>
      <x:c r="J2319" s="166" t="str">
        <x:v>CI</x:v>
      </x:c>
      <x:c r="K2319" s="172" t="n">
        <x:v>1</x:v>
      </x:c>
      <x:c r="L2319" s="185" t="str">
        <x:v>Não classificado</x:v>
      </x:c>
    </x:row>
    <x:row r="2320">
      <x:c r="A2320" s="175" t="str">
        <x:v>44.680.388/0001-94</x:v>
      </x:c>
      <x:c r="B2320" s="166" t="str">
        <x:v>ACELERA VAREJO FUNDO DE INVESTIMENTO EM DIREITOS CREDITÓRIOS RESPONSABILIDADE LIMITADA</x:v>
      </x:c>
      <x:c r="C2320" s="188" t="n">
        <x:v>16011722.85</x:v>
      </x:c>
      <x:c r="D2320" s="166" t="str">
        <x:v>IDGR</x:v>
      </x:c>
      <x:c r="E2320" s="166" t="str">
        <x:f>IFERROR(INDEX('Classif Gestoras'!$H$6:$H$462,MATCH(D2320,'Classif Gestoras'!$A$6:$A$462,0)),"Não classificada")</x:f>
        <x:v>Independente</x:v>
      </x:c>
      <x:c r="F2320" s="166" t="str">
        <x:v>ID Corretora de Títulos e Valores Mobiliários S.A.</x:v>
      </x:c>
      <x:c r="G2320" s="166" t="str">
        <x:v>ID CORRETORA DE TITULOS E VALORES MOBILIARIOS S.A.</x:v>
      </x:c>
      <x:c r="H2320" s="166" t="str">
        <x:v>Outros</x:v>
      </x:c>
      <x:c r="I2320" s="166" t="str">
        <x:v>Multicarteira Outros</x:v>
      </x:c>
      <x:c r="J2320" s="166" t="str">
        <x:v>CI</x:v>
      </x:c>
      <x:c r="K2320" s="172" t="n">
        <x:v>17</x:v>
      </x:c>
      <x:c r="L2320" s="185" t="str">
        <x:v>Não classificado</x:v>
      </x:c>
    </x:row>
    <x:row r="2321">
      <x:c r="A2321" s="175" t="str">
        <x:v>45.207.430/0001-17</x:v>
      </x:c>
      <x:c r="B2321" s="166" t="str">
        <x:v>FIDC MILAS II JCPE - FUNDO DE INVESTIMENTO EM DIREITOS CREDITÓRIOS</x:v>
      </x:c>
      <x:c r="C2321" s="188" t="n">
        <x:v>15984864.25</x:v>
      </x:c>
      <x:c r="D2321" s="166" t="str">
        <x:v>PACTUAL CAPITAL PART</x:v>
      </x:c>
      <x:c r="E2321" s="166" t="str">
        <x:f>IFERROR(INDEX('Classif Gestoras'!$H$6:$H$462,MATCH(D2321,'Classif Gestoras'!$A$6:$A$462,0)),"Não classificada")</x:f>
        <x:v>Independente</x:v>
      </x:c>
      <x:c r="F2321" s="166" t="str">
        <x:v>BTG Pactual Servicos Financeiros S/A DTVM</x:v>
      </x:c>
      <x:c r="G2321" s="166" t="str">
        <x:v>BANCO BTG PACTUAL S/A</x:v>
      </x:c>
      <x:c r="H2321" s="166" t="str">
        <x:v>Outros</x:v>
      </x:c>
      <x:c r="I2321" s="166" t="str">
        <x:v>Multicarteira Outros</x:v>
      </x:c>
      <x:c r="J2321" s="166" t="str">
        <x:v>CI</x:v>
      </x:c>
      <x:c r="K2321" s="172" t="n">
        <x:v>1</x:v>
      </x:c>
      <x:c r="L2321" s="185" t="str">
        <x:v>Não classificado</x:v>
      </x:c>
    </x:row>
    <x:row r="2322">
      <x:c r="A2322" s="175" t="str">
        <x:v>50.791.925/0001-76</x:v>
      </x:c>
      <x:c r="B2322" s="166" t="str">
        <x:v>FACTIA FUNDO DE INVESTIMENTO EM DIREITOS CREDITÓRIOS</x:v>
      </x:c>
      <x:c r="C2322" s="188" t="n">
        <x:v>15980172.33</x:v>
      </x:c>
      <x:c r="D2322" s="166" t="str">
        <x:v>UC Gestora de Recursos</x:v>
      </x:c>
      <x:c r="E2322" s="166" t="str">
        <x:f>IFERROR(INDEX('Classif Gestoras'!$H$6:$H$462,MATCH(D2322,'Classif Gestoras'!$A$6:$A$462,0)),"Não classificada")</x:f>
        <x:v>Independente</x:v>
      </x:c>
      <x:c r="F2322" s="166" t="str">
        <x:v>Limine Trust Distribuidora de Titulos e Valores Mobiliá</x:v>
      </x:c>
      <x:c r="G2322" s="166" t="str">
        <x:v>LIMINE TRUST DISTRIBUIDORA DE TITULOS E VALORES MOBILIARIOS LTDA.</x:v>
      </x:c>
      <x:c r="H2322" s="166" t="str">
        <x:v>Agro, Indústria e Comércio</x:v>
      </x:c>
      <x:c r="I2322" s="166" t="str">
        <x:v>Multicarteira Agro, Indústria e Comércio</x:v>
      </x:c>
      <x:c r="J2322" s="166" t="str">
        <x:v>CI</x:v>
      </x:c>
      <x:c r="K2322" s="172" t="n">
        <x:v>1</x:v>
      </x:c>
      <x:c r="L2322" s="185" t="str">
        <x:v>Não classificado</x:v>
      </x:c>
    </x:row>
    <x:row r="2323">
      <x:c r="A2323" s="175" t="str">
        <x:v>51.114.682/0001-02</x:v>
      </x:c>
      <x:c r="B2323" s="166" t="str">
        <x:v>ARIA FUNDO DE INVESTIMENTO EM DIREITOS CREDITÓRIOS NÃO PADRONIZADOS DE RESPONSABILIDADE LIMITADA</x:v>
      </x:c>
      <x:c r="C2323" s="188" t="n">
        <x:v>15970968.89</x:v>
      </x:c>
      <x:c r="D2323" s="166" t="str">
        <x:v>CARMEL GESTORA DE ATIVOS LTDA</x:v>
      </x:c>
      <x:c r="E2323" s="166" t="str">
        <x:f>IFERROR(INDEX('Classif Gestoras'!$H$6:$H$462,MATCH(D2323,'Classif Gestoras'!$A$6:$A$462,0)),"Não classificada")</x:f>
        <x:v>Independente</x:v>
      </x:c>
      <x:c r="F2323" s="166" t="str">
        <x:v>MONETAR DISTRIBUIDORA DE TITUL</x:v>
      </x:c>
      <x:c r="G2323" s="166" t="str">
        <x:v>TERRA INVESTIMENTOS DISTRIBUIDORA DE TITULOS E VALORES MOBILIARIOS LTDA</x:v>
      </x:c>
      <x:c r="H2323" s="166" t="str">
        <x:v>Outros</x:v>
      </x:c>
      <x:c r="I2323" s="166" t="str">
        <x:v>Multicarteira Outros</x:v>
      </x:c>
      <x:c r="J2323" s="166" t="str">
        <x:v>CI</x:v>
      </x:c>
      <x:c r="K2323" s="172" t="n">
        <x:v>3</x:v>
      </x:c>
      <x:c r="L2323" s="185" t="str">
        <x:v>Não classificado</x:v>
      </x:c>
    </x:row>
    <x:row r="2324">
      <x:c r="A2324" s="175" t="str">
        <x:v>36.566.257/0001-52</x:v>
      </x:c>
      <x:c r="B2324" s="166" t="str">
        <x:v>ROMA FUNDO DE INVESTIMENTO EM DIREITOS CREDITÓRIOS</x:v>
      </x:c>
      <x:c r="C2324" s="188" t="n">
        <x:v>15906663.99</x:v>
      </x:c>
      <x:c r="D2324" s="166" t="str">
        <x:v>Libertas Asset</x:v>
      </x:c>
      <x:c r="E2324" s="166" t="str">
        <x:f>IFERROR(INDEX('Classif Gestoras'!$H$6:$H$462,MATCH(D2324,'Classif Gestoras'!$A$6:$A$462,0)),"Não classificada")</x:f>
        <x:v>Independente</x:v>
      </x:c>
      <x:c r="F2324" s="166" t="str">
        <x:v>ACTUAL DTVM</x:v>
      </x:c>
      <x:c r="G2324" s="166" t="str">
        <x:v>TRUSTEE DISTRIBUIDORA DE TITULOS E VALORES MOBILIARIOS LTDA.</x:v>
      </x:c>
      <x:c r="H2324" s="166" t="str">
        <x:v>Outros</x:v>
      </x:c>
      <x:c r="I2324" s="166" t="str">
        <x:v>Multicarteira Outros</x:v>
      </x:c>
      <x:c r="J2324" s="166" t="str">
        <x:v>CI</x:v>
      </x:c>
      <x:c r="K2324" s="172" t="n">
        <x:v>1</x:v>
      </x:c>
      <x:c r="L2324" s="185" t="str">
        <x:v>Não classificado</x:v>
      </x:c>
    </x:row>
    <x:row r="2325">
      <x:c r="A2325" s="175" t="str">
        <x:v>64.603.028/0001-04</x:v>
      </x:c>
      <x:c r="B2325" s="166" t="str">
        <x:v>CREDIT CASH FUNDO DE INVESTIMENTO EM DIREITOS CREDITÓRIOS</x:v>
      </x:c>
      <x:c r="C2325" s="188" t="n">
        <x:v>15879332.569999998</x:v>
      </x:c>
      <x:c r="D2325" s="166" t="str">
        <x:v>Redwood Asset Management</x:v>
      </x:c>
      <x:c r="E2325" s="166" t="str">
        <x:f>IFERROR(INDEX('Classif Gestoras'!$H$6:$H$462,MATCH(D2325,'Classif Gestoras'!$A$6:$A$462,0)),"Não classificada")</x:f>
        <x:v>Independente</x:v>
      </x:c>
      <x:c r="F2325" s="166" t="str">
        <x:v>PLANNER CV</x:v>
      </x:c>
      <x:c r="G2325" s="166" t="str">
        <x:v>PLANNER CORRETORA DE VALORES S.A.</x:v>
      </x:c>
      <x:c r="H2325" s="166" t="str">
        <x:v>Agro, Indústria e Comércio</x:v>
      </x:c>
      <x:c r="I2325" s="166" t="str">
        <x:v>Recebíveis Comerciais</x:v>
      </x:c>
      <x:c r="J2325" s="166" t="str">
        <x:v>CI</x:v>
      </x:c>
      <x:c r="K2325" s="172" t="n">
        <x:v>1</x:v>
      </x:c>
      <x:c r="L2325" s="185" t="str">
        <x:v>Não classificado</x:v>
      </x:c>
    </x:row>
    <x:row r="2326">
      <x:c r="A2326" s="175" t="str">
        <x:v>61.750.443/0001-94</x:v>
      </x:c>
      <x:c r="B2326" s="166" t="str">
        <x:v>GCRED FUNDO DE INVESTIMENTO EM DIREITOS CREDITÓRIOS</x:v>
      </x:c>
      <x:c r="C2326" s="188" t="n">
        <x:v>15820882.44</x:v>
      </x:c>
      <x:c r="D2326" s="166" t="str">
        <x:v>TERCON ASSET MANAGEMENT</x:v>
      </x:c>
      <x:c r="E2326" s="166" t="str">
        <x:f>IFERROR(INDEX('Classif Gestoras'!$H$6:$H$462,MATCH(D2326,'Classif Gestoras'!$A$6:$A$462,0)),"Não classificada")</x:f>
        <x:v>Independente</x:v>
      </x:c>
      <x:c r="F2326" s="166" t="str">
        <x:v>Limine Trust Distribuidora de Titulos e Valores Mobiliá</x:v>
      </x:c>
      <x:c r="G2326" s="166" t="str">
        <x:v>LIMINE TRUST DISTRIBUIDORA DE TITULOS E VALORES MOBILIARIOS LTDA.</x:v>
      </x:c>
      <x:c r="H2326" s="166" t="str">
        <x:v>Outros</x:v>
      </x:c>
      <x:c r="I2326" s="166" t="str">
        <x:v>Multicarteira Outros</x:v>
      </x:c>
      <x:c r="J2326" s="166" t="str">
        <x:v>CI</x:v>
      </x:c>
      <x:c r="K2326" s="172" t="n">
        <x:v>3</x:v>
      </x:c>
      <x:c r="L2326" s="185" t="str">
        <x:v>Não classificado</x:v>
      </x:c>
    </x:row>
    <x:row r="2327">
      <x:c r="A2327" s="175" t="str">
        <x:v>64.536.059/0001-81</x:v>
      </x:c>
      <x:c r="B2327" s="166" t="str">
        <x:v>MM FUNDO DE INVESTIMENTO EM DIREITOS CREDITÓRIOS</x:v>
      </x:c>
      <x:c r="C2327" s="188" t="n">
        <x:v>15812261.68</x:v>
      </x:c>
      <x:c r="D2327" s="166" t="str">
        <x:v>QUAESTUS GESTÃO DE INVESTIMENTOS LTDA.</x:v>
      </x:c>
      <x:c r="E2327" s="166" t="str">
        <x:f>IFERROR(INDEX('Classif Gestoras'!$H$6:$H$462,MATCH(D2327,'Classif Gestoras'!$A$6:$A$462,0)),"Não classificada")</x:f>
        <x:v>Independente</x:v>
      </x:c>
      <x:c r="F2327" s="166" t="str">
        <x:v>Limine Trust Distribuidora de Titulos e Valores Mobiliá</x:v>
      </x:c>
      <x:c r="G2327" s="166" t="str">
        <x:v>LIMINE TRUST DISTRIBUIDORA DE TITULOS E VALORES MOBILIARIOS LTDA.</x:v>
      </x:c>
      <x:c r="H2327" s="166" t="str">
        <x:v>Fomento Mercantil</x:v>
      </x:c>
      <x:c r="I2327" s="166" t="str">
        <x:v>Fomento Mercantil</x:v>
      </x:c>
      <x:c r="J2327" s="166" t="str">
        <x:v>CI</x:v>
      </x:c>
      <x:c r="K2327" s="172" t="n">
        <x:v>2</x:v>
      </x:c>
      <x:c r="L2327" s="185" t="str">
        <x:v>Não classificado</x:v>
      </x:c>
    </x:row>
    <x:row r="2328">
      <x:c r="A2328" s="175" t="str">
        <x:v>63.535.955/0001-63</x:v>
      </x:c>
      <x:c r="B2328" s="166" t="str">
        <x:v>FATURACRED FUNDO DE INVESTIMENTO EM DIREITOS CREDITÓRIOS RESPONSABILIDADE</x:v>
      </x:c>
      <x:c r="C2328" s="188" t="n">
        <x:v>15749479.19</x:v>
      </x:c>
      <x:c r="D2328" s="166" t="str">
        <x:v>Terra Asset Management</x:v>
      </x:c>
      <x:c r="E2328" s="166" t="str">
        <x:f>IFERROR(INDEX('Classif Gestoras'!$H$6:$H$462,MATCH(D2328,'Classif Gestoras'!$A$6:$A$462,0)),"Não classificada")</x:f>
        <x:v>Independente</x:v>
      </x:c>
      <x:c r="F2328" s="166" t="str">
        <x:v>MONETAR DISTRIBUIDORA DE TITUL</x:v>
      </x:c>
      <x:c r="G2328" s="166" t="str">
        <x:v>TERRA INVESTIMENTOS DISTRIBUIDORA DE TITULOS E VALORES MOBILIARIOS LTDA</x:v>
      </x:c>
      <x:c r="H2328" s="166" t="str">
        <x:v>Financeiro</x:v>
      </x:c>
      <x:c r="I2328" s="166" t="str">
        <x:v>Multicarteira Financeiro</x:v>
      </x:c>
      <x:c r="J2328" s="166" t="str">
        <x:v>CI</x:v>
      </x:c>
      <x:c r="K2328" s="172" t="n">
        <x:v>1</x:v>
      </x:c>
      <x:c r="L2328" s="185" t="str">
        <x:v>Não classificado</x:v>
      </x:c>
    </x:row>
    <x:row r="2329">
      <x:c r="A2329" s="175" t="str">
        <x:v>28.472.352/0001-69</x:v>
      </x:c>
      <x:c r="B2329" s="166" t="str">
        <x:v>SPS CORP I - FUNDO DE INVESTIMENTO EM DIREITOS CREDITÓRIOS - NÃO PADRONIZADOS</x:v>
      </x:c>
      <x:c r="C2329" s="188" t="n">
        <x:v>15744900.730000004</x:v>
      </x:c>
      <x:c r="D2329" s="166" t="str">
        <x:v>Vinci SPS Gestão de Recursos Ltda.</x:v>
      </x:c>
      <x:c r="E2329" s="166" t="str">
        <x:f>IFERROR(INDEX('Classif Gestoras'!$H$6:$H$462,MATCH(D2329,'Classif Gestoras'!$A$6:$A$462,0)),"Não classificada")</x:f>
        <x:v>Independente</x:v>
      </x:c>
      <x:c r="F2329" s="166" t="str">
        <x:v>VÓRTX DTVM</x:v>
      </x:c>
      <x:c r="G2329" s="166" t="str">
        <x:v>VORTX DISTRIBUIDORA DE TITULOS E VALORES MOBILIARIOS LTDA.</x:v>
      </x:c>
      <x:c r="H2329" s="166" t="str">
        <x:v>Outros</x:v>
      </x:c>
      <x:c r="I2329" s="166" t="str">
        <x:v>Multicarteira Outros</x:v>
      </x:c>
      <x:c r="J2329" s="166" t="str">
        <x:v>CI</x:v>
      </x:c>
      <x:c r="K2329" s="172" t="n">
        <x:v>28</x:v>
      </x:c>
      <x:c r="L2329" s="185" t="str">
        <x:v>Não classificado</x:v>
      </x:c>
    </x:row>
    <x:row r="2330">
      <x:c r="A2330" s="175" t="str">
        <x:v>54.776.077/0001-87</x:v>
      </x:c>
      <x:c r="B2330" s="166" t="str">
        <x:v>MARANATA FUNDO DE INVESTIMENTO EM DIREITOS CREDITÓRIOS</x:v>
      </x:c>
      <x:c r="C2330" s="188" t="n">
        <x:v>15718410.31</x:v>
      </x:c>
      <x:c r="D2330" s="166" t="str">
        <x:v>QUAESTUS GESTÃO DE INVESTIMENTOS LTDA.</x:v>
      </x:c>
      <x:c r="E2330" s="166" t="str">
        <x:f>IFERROR(INDEX('Classif Gestoras'!$H$6:$H$462,MATCH(D2330,'Classif Gestoras'!$A$6:$A$462,0)),"Não classificada")</x:f>
        <x:v>Independente</x:v>
      </x:c>
      <x:c r="F2330" s="166" t="str">
        <x:v>Limine Trust Distribuidora de Titulos e Valores Mobiliá</x:v>
      </x:c>
      <x:c r="G2330" s="166" t="str">
        <x:v>QORE DISTRIBUIDORA DE TÍTULOS E VALORES MOBILIÁRIOS LTDA.</x:v>
      </x:c>
      <x:c r="H2330" s="166" t="str">
        <x:v>Outros</x:v>
      </x:c>
      <x:c r="I2330" s="166" t="str">
        <x:v>Multicarteira Outros</x:v>
      </x:c>
      <x:c r="J2330" s="166" t="str">
        <x:v>CI</x:v>
      </x:c>
      <x:c r="K2330" s="172" t="n">
        <x:v>2</x:v>
      </x:c>
      <x:c r="L2330" s="185" t="str">
        <x:v>Não classificado</x:v>
      </x:c>
    </x:row>
    <x:row r="2331">
      <x:c r="A2331" s="175" t="str">
        <x:v>60.942.645/0001-75</x:v>
      </x:c>
      <x:c r="B2331" s="166" t="str">
        <x:v>VOLT FUNDO DE INVESTIMENTO EM DIREITOS CREDITÓRIOS RESPONSABILIDADE LIMITADA</x:v>
      </x:c>
      <x:c r="C2331" s="188" t="n">
        <x:v>15665184.27</x:v>
      </x:c>
      <x:c r="D2331" s="166" t="str">
        <x:v>Iggy Investimentos</x:v>
      </x:c>
      <x:c r="E2331" s="166" t="str">
        <x:f>IFERROR(INDEX('Classif Gestoras'!$H$6:$H$462,MATCH(D2331,'Classif Gestoras'!$A$6:$A$462,0)),"Não classificada")</x:f>
        <x:v>Independente</x:v>
      </x:c>
      <x:c r="F2331" s="166" t="str">
        <x:v>BRL TRUST DTVM</x:v>
      </x:c>
      <x:c r="G2331" s="166" t="str">
        <x:v>BRL TRUST DISTRIBUIDORA DE TITULOS E VALORES MOBILIARIOS S.A.</x:v>
      </x:c>
      <x:c r="H2331" s="166" t="str">
        <x:v>Outros</x:v>
      </x:c>
      <x:c r="I2331" s="166" t="str">
        <x:v>Multicarteira Outros</x:v>
      </x:c>
      <x:c r="J2331" s="166" t="str">
        <x:v>CI</x:v>
      </x:c>
      <x:c r="K2331" s="172" t="n">
        <x:v>5</x:v>
      </x:c>
      <x:c r="L2331" s="185" t="str">
        <x:v>Não classificado</x:v>
      </x:c>
    </x:row>
    <x:row r="2332">
      <x:c r="A2332" s="175" t="str">
        <x:v>35.949.828/0001-75</x:v>
      </x:c>
      <x:c r="B2332" s="166" t="str">
        <x:v>ROCKET II PRECATÓRIOS FUNDO DE INVESTIMENTO EM DIREITOS CREDITÓRIOS</x:v>
      </x:c>
      <x:c r="C2332" s="188" t="n">
        <x:v>15624943.170000002</x:v>
      </x:c>
      <x:c r="D2332" s="166" t="str">
        <x:v>SOSU CAPITAL GESTÃO DE INVESTIMENTOS LTDA.</x:v>
      </x:c>
      <x:c r="E2332" s="166" t="str">
        <x:f>IFERROR(INDEX('Classif Gestoras'!$H$6:$H$462,MATCH(D2332,'Classif Gestoras'!$A$6:$A$462,0)),"Não classificada")</x:f>
        <x:v>Independente</x:v>
      </x:c>
      <x:c r="F2332" s="166" t="str">
        <x:v>BRL TRUST DTVM</x:v>
      </x:c>
      <x:c r="G2332" s="166" t="str">
        <x:v>BRL TRUST DISTRIBUIDORA DE TITULOS E VALORES MOBILIARIOS S.A.</x:v>
      </x:c>
      <x:c r="H2332" s="166" t="str">
        <x:v>Outros</x:v>
      </x:c>
      <x:c r="I2332" s="166" t="str">
        <x:v>Poder Público</x:v>
      </x:c>
      <x:c r="J2332" s="166" t="str">
        <x:v>CI</x:v>
      </x:c>
      <x:c r="K2332" s="172" t="n">
        <x:v>2</x:v>
      </x:c>
      <x:c r="L2332" s="185" t="str">
        <x:v>Não classificado</x:v>
      </x:c>
    </x:row>
    <x:row r="2333">
      <x:c r="A2333" s="175" t="str">
        <x:v>53.279.903/0001-10</x:v>
      </x:c>
      <x:c r="B2333" s="166" t="str">
        <x:v>CUMARI FUNDO DE INVESTIMENTO EM DIREITOS CREDITÓRIOS RESPONSABILIDADE LIMITADA</x:v>
      </x:c>
      <x:c r="C2333" s="188" t="n">
        <x:v>15604543.55</x:v>
      </x:c>
      <x:c r="D2333" s="166" t="str">
        <x:v>SOSU CAPITAL GESTÃO DE INVESTIMENTOS LTDA.</x:v>
      </x:c>
      <x:c r="E2333" s="166" t="str">
        <x:f>IFERROR(INDEX('Classif Gestoras'!$H$6:$H$462,MATCH(D2333,'Classif Gestoras'!$A$6:$A$462,0)),"Não classificada")</x:f>
        <x:v>Independente</x:v>
      </x:c>
      <x:c r="F2333" s="166" t="str">
        <x:v>BTG Pactual Servicos Financeiros S/A DTVM</x:v>
      </x:c>
      <x:c r="G2333" s="166" t="str">
        <x:v>BANCO BTG PACTUAL S/A</x:v>
      </x:c>
      <x:c r="H2333" s="166" t="str">
        <x:v>Outros</x:v>
      </x:c>
      <x:c r="I2333" s="166" t="str">
        <x:v>Multicarteira Outros</x:v>
      </x:c>
      <x:c r="J2333" s="166" t="str">
        <x:v>CI</x:v>
      </x:c>
      <x:c r="K2333" s="172" t="n">
        <x:v>1</x:v>
      </x:c>
      <x:c r="L2333" s="185" t="str">
        <x:v>Não classificado</x:v>
      </x:c>
    </x:row>
    <x:row r="2334">
      <x:c r="A2334" s="175" t="str">
        <x:v>64.721.990/0001-30</x:v>
      </x:c>
      <x:c r="B2334" s="166" t="str">
        <x:v>JEP AGRO FUNDO DE INVESTIMENTO EM DIREITOS CREDITÓRIOS CRÉDITO CORPORATIVO</x:v>
      </x:c>
      <x:c r="C2334" s="188" t="n">
        <x:v>15568157.41</x:v>
      </x:c>
      <x:c r="D2334" s="166" t="str">
        <x:v>Harbour Capital</x:v>
      </x:c>
      <x:c r="E2334" s="166" t="str">
        <x:f>IFERROR(INDEX('Classif Gestoras'!$H$6:$H$462,MATCH(D2334,'Classif Gestoras'!$A$6:$A$462,0)),"Não classificada")</x:f>
        <x:v>Independente</x:v>
      </x:c>
      <x:c r="F2334" s="166" t="str">
        <x:v>AZUMI DISTRIBUIDORA DE TÍTULOS E VALORES MOBILIÁRIOS LT</x:v>
      </x:c>
      <x:c r="G2334" s="166" t="str">
        <x:v>AZUMI DISTRIBUIDORA DE TÍTULOS E VALORES MOBILIÁRIOS LTDA.</x:v>
      </x:c>
      <x:c r="H2334" s="166" t="str">
        <x:v>Fomento Mercantil</x:v>
      </x:c>
      <x:c r="I2334" s="166" t="str">
        <x:v>Fomento Mercantil</x:v>
      </x:c>
      <x:c r="J2334" s="166" t="str">
        <x:v>CI</x:v>
      </x:c>
      <x:c r="K2334" s="172" t="n">
        <x:v>2</x:v>
      </x:c>
      <x:c r="L2334" s="185" t="str">
        <x:v>Não classificado</x:v>
      </x:c>
    </x:row>
    <x:row r="2335">
      <x:c r="A2335" s="175" t="str">
        <x:v>61.176.663/0001-56</x:v>
      </x:c>
      <x:c r="B2335" s="166" t="str">
        <x:v>SCROLL FUNDO DE INVESTIMENTO EM DIREITOS CREDITÓRIOS</x:v>
      </x:c>
      <x:c r="C2335" s="188" t="n">
        <x:v>15563881.000000002</x:v>
      </x:c>
      <x:c r="D2335" s="166" t="str">
        <x:v>B.Side Wealth</x:v>
      </x:c>
      <x:c r="E2335" s="166" t="str">
        <x:f>IFERROR(INDEX('Classif Gestoras'!$H$6:$H$462,MATCH(D2335,'Classif Gestoras'!$A$6:$A$462,0)),"Não classificada")</x:f>
        <x:v>Independente</x:v>
      </x:c>
      <x:c r="F2335" s="166" t="str">
        <x:v>ID Corretora de Títulos e Valores Mobiliários S.A.</x:v>
      </x:c>
      <x:c r="G2335" s="166" t="str">
        <x:v>ID CORRETORA DE TITULOS E VALORES MOBILIARIOS S.A.</x:v>
      </x:c>
      <x:c r="H2335" s="166" t="str">
        <x:v>Outros</x:v>
      </x:c>
      <x:c r="I2335" s="166" t="str">
        <x:v>Multicarteira Outros</x:v>
      </x:c>
      <x:c r="J2335" s="166" t="str">
        <x:v>CI</x:v>
      </x:c>
      <x:c r="K2335" s="172" t="n">
        <x:v>2</x:v>
      </x:c>
      <x:c r="L2335" s="185" t="str">
        <x:v>Não classificado</x:v>
      </x:c>
    </x:row>
    <x:row r="2336">
      <x:c r="A2336" s="175" t="str">
        <x:v>49.156.414/0001-01</x:v>
      </x:c>
      <x:c r="B2336" s="166" t="str">
        <x:v>VERA CRUZ I - ATIVOS JUDICIAIS - PROCESSO DE CONHECIMENTO - FIDC - RESPONSABILIDADE LIMITADA</x:v>
      </x:c>
      <x:c r="C2336" s="188" t="n">
        <x:v>15557355.91</x:v>
      </x:c>
      <x:c r="D2336" s="166" t="str">
        <x:v>CRD Capital Administração de Recursos Ltda</x:v>
      </x:c>
      <x:c r="E2336" s="166" t="str">
        <x:f>IFERROR(INDEX('Classif Gestoras'!$H$6:$H$462,MATCH(D2336,'Classif Gestoras'!$A$6:$A$462,0)),"Não classificada")</x:f>
        <x:v>Independente</x:v>
      </x:c>
      <x:c r="F2336" s="166" t="str">
        <x:v>FIDD DISTRIBUIDORA DE TITULOS E VALORES MOBILIARIOS LTD</x:v>
      </x:c>
      <x:c r="G2336" s="166" t="str">
        <x:v>FIDD DISTRIBUIDORA DE TITULOS E VALORES MOBILIARIOS LTDA.</x:v>
      </x:c>
      <x:c r="H2336" s="166" t="str">
        <x:v>Outros</x:v>
      </x:c>
      <x:c r="I2336" s="166" t="str">
        <x:v>Multicarteira Outros</x:v>
      </x:c>
      <x:c r="J2336" s="166" t="str">
        <x:v>CI</x:v>
      </x:c>
      <x:c r="K2336" s="172" t="n">
        <x:v>27</x:v>
      </x:c>
      <x:c r="L2336" s="185" t="str">
        <x:v>Não classificado</x:v>
      </x:c>
    </x:row>
    <x:row r="2337">
      <x:c r="A2337" s="175" t="str">
        <x:v>62.838.783/0001-34</x:v>
      </x:c>
      <x:c r="B2337" s="166" t="str">
        <x:v>FIGTREE COBRAFIX EDUCACIONAL INADIMPLENCIA FUNDO DE INVESTIMENTO EM DIREITOS CREDITÓRIOS</x:v>
      </x:c>
      <x:c r="C2337" s="188" t="n">
        <x:v>15545572.55</x:v>
      </x:c>
      <x:c r="D2337" s="166" t="str">
        <x:v>FigTree Capital</x:v>
      </x:c>
      <x:c r="E2337" s="166" t="str">
        <x:f>IFERROR(INDEX('Classif Gestoras'!$H$6:$H$462,MATCH(D2337,'Classif Gestoras'!$A$6:$A$462,0)),"Não classificada")</x:f>
        <x:v>Independente</x:v>
      </x:c>
      <x:c r="F2337" s="166" t="str">
        <x:v>BRL TRUST DTVM</x:v>
      </x:c>
      <x:c r="G2337" s="166" t="str">
        <x:v>BRL TRUST DISTRIBUIDORA DE TITULOS E VALORES MOBILIARIOS S.A.</x:v>
      </x:c>
      <x:c r="H2337" s="166" t="str">
        <x:v>Outros</x:v>
      </x:c>
      <x:c r="I2337" s="166" t="str">
        <x:v>Multicarteira Outros</x:v>
      </x:c>
      <x:c r="J2337" s="166" t="str">
        <x:v>CI</x:v>
      </x:c>
      <x:c r="K2337" s="172" t="n">
        <x:v>20</x:v>
      </x:c>
      <x:c r="L2337" s="185" t="str">
        <x:v>Não classificado</x:v>
      </x:c>
    </x:row>
    <x:row r="2338">
      <x:c r="A2338" s="175" t="str">
        <x:v>09.636.040/0001-07</x:v>
      </x:c>
      <x:c r="B2338" s="166" t="str">
        <x:v>ATLANTIC FUNDO DE INVESTIMENTO EM DIREITOS CREDITORIOS MULTISSETORIAL - RESPONSABILIDADE LIMITADA</x:v>
      </x:c>
      <x:c r="C2338" s="188" t="n">
        <x:v>15515248.299999995</x:v>
      </x:c>
      <x:c r="D2338" s="166" t="str">
        <x:v>Aventis Asset</x:v>
      </x:c>
      <x:c r="E2338" s="166" t="str">
        <x:f>IFERROR(INDEX('Classif Gestoras'!$H$6:$H$462,MATCH(D2338,'Classif Gestoras'!$A$6:$A$462,0)),"Não classificada")</x:f>
        <x:v>Independente</x:v>
      </x:c>
      <x:c r="F2338" s="166" t="str">
        <x:v>Banvox DTVM</x:v>
      </x:c>
      <x:c r="G2338" s="166" t="str">
        <x:v>MERITO DISTRIBUIDORA DE TITULOS E VALORES MOBILIARIOS LTDA.</x:v>
      </x:c>
      <x:c r="H2338" s="166" t="str">
        <x:v>Outros</x:v>
      </x:c>
      <x:c r="I2338" s="166" t="str">
        <x:v>Multicarteira Outros</x:v>
      </x:c>
      <x:c r="J2338" s="166" t="str">
        <x:v>CI</x:v>
      </x:c>
      <x:c r="K2338" s="172" t="n">
        <x:v>18</x:v>
      </x:c>
      <x:c r="L2338" s="185" t="str">
        <x:v>Não classificado</x:v>
      </x:c>
    </x:row>
    <x:row r="2339">
      <x:c r="A2339" s="175" t="str">
        <x:v>40.669.872/0001-61</x:v>
      </x:c>
      <x:c r="B2339" s="166" t="str">
        <x:v>GUATAMBU FUNDO DE INVESTIMENTO EM DIREITOS CREDITÓRIOS NÃO-PADRONIZADO</x:v>
      </x:c>
      <x:c r="C2339" s="188" t="n">
        <x:v>15434146.96</x:v>
      </x:c>
      <x:c r="D2339" s="166" t="str">
        <x:v>WNT Gestora de Recursos Ltda.</x:v>
      </x:c>
      <x:c r="E2339" s="166" t="str">
        <x:f>IFERROR(INDEX('Classif Gestoras'!$H$6:$H$462,MATCH(D2339,'Classif Gestoras'!$A$6:$A$462,0)),"Não classificada")</x:f>
        <x:v>Independente</x:v>
      </x:c>
      <x:c r="F2339" s="166" t="str">
        <x:v>WNT DTVM</x:v>
      </x:c>
      <x:c r="G2339" s="166" t="str">
        <x:v>WNT CAPITAL DISTRIBUIDORA DE TITULOS E VALORES MOBILIARIOS S.A.</x:v>
      </x:c>
      <x:c r="H2339" s="166" t="str">
        <x:v>Outros</x:v>
      </x:c>
      <x:c r="I2339" s="166" t="str">
        <x:v>Multicarteira Outros</x:v>
      </x:c>
      <x:c r="J2339" s="166" t="str">
        <x:v>CI</x:v>
      </x:c>
      <x:c r="K2339" s="172" t="n">
        <x:v>1</x:v>
      </x:c>
      <x:c r="L2339" s="185" t="str">
        <x:v>Não classificado</x:v>
      </x:c>
    </x:row>
    <x:row r="2340">
      <x:c r="A2340" s="175" t="str">
        <x:v>60.796.225/0001-28</x:v>
      </x:c>
      <x:c r="B2340" s="166" t="str">
        <x:v>WCS CONSIG FUNDO DE INVESTIMENTO EM DIREITOS CREDITÓRIOS RESPONSABILIDADE LIMITADA</x:v>
      </x:c>
      <x:c r="C2340" s="188" t="n">
        <x:v>15393704.52</x:v>
      </x:c>
      <x:c r="D2340" s="166" t="str">
        <x:v>Redwood Asset Management</x:v>
      </x:c>
      <x:c r="E2340" s="166" t="str">
        <x:f>IFERROR(INDEX('Classif Gestoras'!$H$6:$H$462,MATCH(D2340,'Classif Gestoras'!$A$6:$A$462,0)),"Não classificada")</x:f>
        <x:v>Independente</x:v>
      </x:c>
      <x:c r="F2340" s="166" t="str">
        <x:v>PLANNER CV</x:v>
      </x:c>
      <x:c r="G2340" s="166" t="str">
        <x:v>PLANNER CORRETORA DE VALORES S.A.</x:v>
      </x:c>
      <x:c r="H2340" s="166" t="str">
        <x:v>Outros</x:v>
      </x:c>
      <x:c r="I2340" s="166" t="str">
        <x:v>Multicarteira Outros</x:v>
      </x:c>
      <x:c r="J2340" s="166" t="str">
        <x:v>CI</x:v>
      </x:c>
      <x:c r="K2340" s="172" t="n">
        <x:v>5</x:v>
      </x:c>
      <x:c r="L2340" s="185" t="str">
        <x:v>Não classificado</x:v>
      </x:c>
    </x:row>
    <x:row r="2341">
      <x:c r="A2341" s="175" t="str">
        <x:v>53.280.106/0001-52</x:v>
      </x:c>
      <x:c r="B2341" s="166" t="str">
        <x:v>JURERÊ FUNDO DE INVESTIMENTO EM DIREITOS CREDITÓRIOS RESPONSABILIDADE LIMITADA</x:v>
      </x:c>
      <x:c r="C2341" s="188" t="n">
        <x:v>15368293.7</x:v>
      </x:c>
      <x:c r="D2341" s="166" t="str">
        <x:v>SOSU CAPITAL GESTÃO DE INVESTIMENTOS LTDA.</x:v>
      </x:c>
      <x:c r="E2341" s="166" t="str">
        <x:f>IFERROR(INDEX('Classif Gestoras'!$H$6:$H$462,MATCH(D2341,'Classif Gestoras'!$A$6:$A$462,0)),"Não classificada")</x:f>
        <x:v>Independente</x:v>
      </x:c>
      <x:c r="F2341" s="166" t="str">
        <x:v>BTG Pactual Servicos Financeiros S/A DTVM</x:v>
      </x:c>
      <x:c r="G2341" s="166" t="str">
        <x:v>BANCO BTG PACTUAL S/A</x:v>
      </x:c>
      <x:c r="H2341" s="166" t="str">
        <x:v>Outros</x:v>
      </x:c>
      <x:c r="I2341" s="166" t="str">
        <x:v>Poder Público</x:v>
      </x:c>
      <x:c r="J2341" s="166" t="str">
        <x:v>CI</x:v>
      </x:c>
      <x:c r="K2341" s="172" t="n">
        <x:v>1</x:v>
      </x:c>
      <x:c r="L2341" s="185" t="str">
        <x:v>Não classificado</x:v>
      </x:c>
    </x:row>
    <x:row r="2342">
      <x:c r="A2342" s="175" t="str">
        <x:v>42.794.237/0001-31</x:v>
      </x:c>
      <x:c r="B2342" s="166" t="str">
        <x:v>ONNI FUNDO DE INVESTIMENTO EM DIREITOS CREDITÓRIOS</x:v>
      </x:c>
      <x:c r="C2342" s="188" t="n">
        <x:v>15344258.22</x:v>
      </x:c>
      <x:c r="D2342" s="166" t="str">
        <x:v>Solis</x:v>
      </x:c>
      <x:c r="E2342" s="166" t="str">
        <x:f>IFERROR(INDEX('Classif Gestoras'!$H$6:$H$462,MATCH(D2342,'Classif Gestoras'!$A$6:$A$462,0)),"Não classificada")</x:f>
        <x:v>Independente</x:v>
      </x:c>
      <x:c r="F2342" s="166" t="str">
        <x:v>HEMERA DTVM</x:v>
      </x:c>
      <x:c r="G2342" s="166" t="str">
        <x:v>HEMERA DISTRIBUIDORA DE TITULOS E VALORES MOBILIARIOS LTDA</x:v>
      </x:c>
      <x:c r="H2342" s="166" t="str">
        <x:v>Outros</x:v>
      </x:c>
      <x:c r="I2342" s="166" t="str">
        <x:v>Multicarteira Outros</x:v>
      </x:c>
      <x:c r="J2342" s="166" t="str">
        <x:v>CI</x:v>
      </x:c>
      <x:c r="K2342" s="172" t="n">
        <x:v>2</x:v>
      </x:c>
      <x:c r="L2342" s="185" t="str">
        <x:v>Não classificado</x:v>
      </x:c>
    </x:row>
    <x:row r="2343">
      <x:c r="A2343" s="175" t="str">
        <x:v>63.139.835/0001-47</x:v>
      </x:c>
      <x:c r="B2343" s="166" t="str">
        <x:v>SPRINGS I FUNDO DE INVESTIMENTO EM DIREITOS CREDITÓRIOS DE PRECATÓRIOS DE RESPONSABILIDADE LIMITADA</x:v>
      </x:c>
      <x:c r="C2343" s="188" t="n">
        <x:v>15328311.720000004</x:v>
      </x:c>
      <x:c r="D2343" s="166" t="str">
        <x:v>Springs Capital Ltda.</x:v>
      </x:c>
      <x:c r="E2343" s="166" t="str">
        <x:f>IFERROR(INDEX('Classif Gestoras'!$H$6:$H$462,MATCH(D2343,'Classif Gestoras'!$A$6:$A$462,0)),"Não classificada")</x:f>
        <x:v>Independente</x:v>
      </x:c>
      <x:c r="F2343" s="166" t="str">
        <x:v>BRL TRUST DTVM</x:v>
      </x:c>
      <x:c r="G2343" s="166" t="str">
        <x:v>BRL TRUST DISTRIBUIDORA DE TITULOS E VALORES MOBILIARIOS S.A.</x:v>
      </x:c>
      <x:c r="H2343" s="166" t="str">
        <x:v>Outros</x:v>
      </x:c>
      <x:c r="I2343" s="166" t="str">
        <x:v>Poder Público</x:v>
      </x:c>
      <x:c r="J2343" s="166" t="str">
        <x:v>CI</x:v>
      </x:c>
      <x:c r="K2343" s="172" t="n">
        <x:v>27</x:v>
      </x:c>
      <x:c r="L2343" s="185" t="str">
        <x:v>Não classificado</x:v>
      </x:c>
    </x:row>
    <x:row r="2344">
      <x:c r="A2344" s="175" t="str">
        <x:v>58.505.957/0001-70</x:v>
      </x:c>
      <x:c r="B2344" s="166" t="str">
        <x:v>FIRENZE CAPITAL FUNDO DE INVESTIMENTO EM DIREITOS CREDITÓRIOS</x:v>
      </x:c>
      <x:c r="C2344" s="188" t="n">
        <x:v>15291380.27</x:v>
      </x:c>
      <x:c r="D2344" s="166" t="str">
        <x:v>Catálise Investimentos</x:v>
      </x:c>
      <x:c r="E2344" s="166" t="str">
        <x:f>IFERROR(INDEX('Classif Gestoras'!$H$6:$H$462,MATCH(D2344,'Classif Gestoras'!$A$6:$A$462,0)),"Não classificada")</x:f>
        <x:v>Independente</x:v>
      </x:c>
      <x:c r="F2344" s="166" t="str">
        <x:v>FIDD DISTRIBUIDORA DE TITULOS E VALORES MOBILIARIOS LTD</x:v>
      </x:c>
      <x:c r="G2344" s="166" t="str">
        <x:v>FIDD DISTRIBUIDORA DE TITULOS E VALORES MOBILIARIOS LTDA.</x:v>
      </x:c>
      <x:c r="H2344" s="166" t="str">
        <x:v>Agro, Indústria e Comércio</x:v>
      </x:c>
      <x:c r="I2344" s="166" t="str">
        <x:v>Multicarteira Agro, Indústria e Comércio</x:v>
      </x:c>
      <x:c r="J2344" s="166" t="str">
        <x:v>CI</x:v>
      </x:c>
      <x:c r="K2344" s="172" t="n">
        <x:v>11</x:v>
      </x:c>
      <x:c r="L2344" s="185" t="str">
        <x:v>Não classificado</x:v>
      </x:c>
    </x:row>
    <x:row r="2345">
      <x:c r="A2345" s="175" t="str">
        <x:v>60.232.878/0001-84</x:v>
      </x:c>
      <x:c r="B2345" s="166" t="str">
        <x:v>SINAI DIRECT FUNDO DE INVESTIMENTO EM DIREITOS CREDITÓRIOS RESPONSABILIDADE LIMITADA</x:v>
      </x:c>
      <x:c r="C2345" s="188" t="n">
        <x:v>15271605.44</x:v>
      </x:c>
      <x:c r="D2345" s="166" t="str">
        <x:v>SINAI ASSET</x:v>
      </x:c>
      <x:c r="E2345" s="166" t="str">
        <x:f>IFERROR(INDEX('Classif Gestoras'!$H$6:$H$462,MATCH(D2345,'Classif Gestoras'!$A$6:$A$462,0)),"Não classificada")</x:f>
        <x:v>Independente</x:v>
      </x:c>
      <x:c r="F2345" s="166" t="str">
        <x:v>ID Corretora de Títulos e Valores Mobiliários S.A.</x:v>
      </x:c>
      <x:c r="G2345" s="166" t="str">
        <x:v>ID CORRETORA DE TITULOS E VALORES MOBILIARIOS S.A.</x:v>
      </x:c>
      <x:c r="H2345" s="166" t="str">
        <x:v>Outros</x:v>
      </x:c>
      <x:c r="I2345" s="166" t="str">
        <x:v>Multicarteira Outros</x:v>
      </x:c>
      <x:c r="J2345" s="166" t="str">
        <x:v>CI</x:v>
      </x:c>
      <x:c r="K2345" s="172" t="n">
        <x:v>6</x:v>
      </x:c>
      <x:c r="L2345" s="185" t="str">
        <x:v>Não classificado</x:v>
      </x:c>
    </x:row>
    <x:row r="2346">
      <x:c r="A2346" s="175" t="str">
        <x:v>49.507.576/0001-39</x:v>
      </x:c>
      <x:c r="B2346" s="166" t="str">
        <x:v>IPIRANGA CAPITAL FUNDO DE INVESTIMENTO EM DIREITOS CREDITÓRIOS</x:v>
      </x:c>
      <x:c r="C2346" s="188" t="n">
        <x:v>15260526.5</x:v>
      </x:c>
      <x:c r="D2346" s="166" t="str">
        <x:v>TERCON ASSET MANAGEMENT</x:v>
      </x:c>
      <x:c r="E2346" s="166" t="str">
        <x:f>IFERROR(INDEX('Classif Gestoras'!$H$6:$H$462,MATCH(D2346,'Classif Gestoras'!$A$6:$A$462,0)),"Não classificada")</x:f>
        <x:v>Independente</x:v>
      </x:c>
      <x:c r="F2346" s="166" t="str">
        <x:v>Singulare</x:v>
      </x:c>
      <x:c r="G2346" s="166" t="str">
        <x:v>QI CORRETORA DE TÍTULOS E VALORES MOBILIÁRIOS S.A.</x:v>
      </x:c>
      <x:c r="H2346" s="166" t="str">
        <x:v>Fomento Mercantil</x:v>
      </x:c>
      <x:c r="I2346" s="166" t="str">
        <x:v>Fomento Mercantil</x:v>
      </x:c>
      <x:c r="J2346" s="166" t="str">
        <x:v>CI</x:v>
      </x:c>
      <x:c r="K2346" s="172" t="n">
        <x:v>3</x:v>
      </x:c>
      <x:c r="L2346" s="185" t="str">
        <x:v>Não classificado</x:v>
      </x:c>
    </x:row>
    <x:row r="2347">
      <x:c r="A2347" s="175" t="str">
        <x:v>50.367.468/0001-97</x:v>
      </x:c>
      <x:c r="B2347" s="166" t="str">
        <x:v>EVOQUE FUNDO DE INVESTIMENTO EM DIREITOS CREDITÓRIOS</x:v>
      </x:c>
      <x:c r="C2347" s="188" t="n">
        <x:v>15245624.43</x:v>
      </x:c>
      <x:c r="D2347" s="166" t="str">
        <x:v>Reag Administradora de Recursos Ltda</x:v>
      </x:c>
      <x:c r="E2347" s="166" t="str">
        <x:f>IFERROR(INDEX('Classif Gestoras'!$H$6:$H$462,MATCH(D2347,'Classif Gestoras'!$A$6:$A$462,0)),"Não classificada")</x:f>
        <x:v>Independente</x:v>
      </x:c>
      <x:c r="F2347" s="166" t="str">
        <x:v>REAG DTVM</x:v>
      </x:c>
      <x:c r="G2347" s="166" t="str">
        <x:v>QORE DISTRIBUIDORA DE TÍTULOS E VALORES MOBILIÁRIOS LTDA.</x:v>
      </x:c>
      <x:c r="H2347" s="166" t="str">
        <x:v>Financeiro</x:v>
      </x:c>
      <x:c r="I2347" s="166" t="str">
        <x:v>Crédito Imobiliário</x:v>
      </x:c>
      <x:c r="J2347" s="166" t="str">
        <x:v>CI</x:v>
      </x:c>
      <x:c r="K2347" s="172" t="n">
        <x:v>1</x:v>
      </x:c>
      <x:c r="L2347" s="185" t="str">
        <x:v>Não classificado</x:v>
      </x:c>
    </x:row>
    <x:row r="2348">
      <x:c r="A2348" s="175" t="str">
        <x:v>46.766.118/0001-26</x:v>
      </x:c>
      <x:c r="B2348" s="166" t="str">
        <x:v>FUNDO DE INVESTIMENTO EM DIREITOS CREDITÓRIOS CONSIGNADO Q1</x:v>
      </x:c>
      <x:c r="C2348" s="188" t="n">
        <x:v>15235445.53</x:v>
      </x:c>
      <x:c r="D2348" s="166" t="str">
        <x:v>REAG SPECIAL SITUATIONS</x:v>
      </x:c>
      <x:c r="E2348" s="166" t="str">
        <x:f>IFERROR(INDEX('Classif Gestoras'!$H$6:$H$462,MATCH(D2348,'Classif Gestoras'!$A$6:$A$462,0)),"Não classificada")</x:f>
        <x:v>Independente</x:v>
      </x:c>
      <x:c r="F2348" s="166" t="str">
        <x:v>Banvox DTVM</x:v>
      </x:c>
      <x:c r="G2348" s="166" t="str">
        <x:v>BANVOX DISTRIBUIDORA DE TITULOS E VALORES MOBILIARIOS LTDA</x:v>
      </x:c>
      <x:c r="H2348" s="166" t="str">
        <x:v>Financeiro</x:v>
      </x:c>
      <x:c r="I2348" s="166" t="str">
        <x:v>Crédito Consignado</x:v>
      </x:c>
      <x:c r="J2348" s="166" t="str">
        <x:v>CI</x:v>
      </x:c>
      <x:c r="K2348" s="172" t="n">
        <x:v>19</x:v>
      </x:c>
      <x:c r="L2348" s="185" t="str">
        <x:v>Não classificado</x:v>
      </x:c>
    </x:row>
    <x:row r="2349">
      <x:c r="A2349" s="175" t="str">
        <x:v>41.114.200/0001-52</x:v>
      </x:c>
      <x:c r="B2349" s="166" t="str">
        <x:v>FIDC MILAS II PRODUTOR RURAL - FUNDO DE INVESTIMENTO EM DIREITOS CREDITÓRIOS</x:v>
      </x:c>
      <x:c r="C2349" s="188" t="n">
        <x:v>15221808.77</x:v>
      </x:c>
      <x:c r="D2349" s="166" t="str">
        <x:v>Quadra Gestão de Recursos S.A.</x:v>
      </x:c>
      <x:c r="E2349" s="166" t="str">
        <x:f>IFERROR(INDEX('Classif Gestoras'!$H$6:$H$462,MATCH(D2349,'Classif Gestoras'!$A$6:$A$462,0)),"Não classificada")</x:f>
        <x:v>Independente</x:v>
      </x:c>
      <x:c r="F2349" s="166" t="str">
        <x:v>BTG Pactual Servicos Financeiros S/A DTVM</x:v>
      </x:c>
      <x:c r="G2349" s="166" t="str">
        <x:v>BANCO BTG PACTUAL S/A</x:v>
      </x:c>
      <x:c r="H2349" s="166" t="str">
        <x:v>Outros</x:v>
      </x:c>
      <x:c r="I2349" s="166" t="str">
        <x:v>Multicarteira Outros</x:v>
      </x:c>
      <x:c r="J2349" s="166" t="str">
        <x:v>CI</x:v>
      </x:c>
      <x:c r="K2349" s="172" t="n">
        <x:v>1</x:v>
      </x:c>
      <x:c r="L2349" s="185" t="str">
        <x:v>Não classificado</x:v>
      </x:c>
    </x:row>
    <x:row r="2350">
      <x:c r="A2350" s="175" t="str">
        <x:v>37.511.950/0001-90</x:v>
      </x:c>
      <x:c r="B2350" s="166" t="str">
        <x:v>FAST CAPITAL FUNDO DE INVESTIMENTO EM DIREITOS CREDITÓRIOS</x:v>
      </x:c>
      <x:c r="C2350" s="188" t="n">
        <x:v>15156845.61</x:v>
      </x:c>
      <x:c r="D2350" s="166" t="str">
        <x:v>Libertas Asset</x:v>
      </x:c>
      <x:c r="E2350" s="166" t="str">
        <x:f>IFERROR(INDEX('Classif Gestoras'!$H$6:$H$462,MATCH(D2350,'Classif Gestoras'!$A$6:$A$462,0)),"Não classificada")</x:f>
        <x:v>Independente</x:v>
      </x:c>
      <x:c r="F2350" s="166" t="str">
        <x:v>ACTUAL DTVM</x:v>
      </x:c>
      <x:c r="G2350" s="166" t="str">
        <x:v>LASTRO RDV DTVM LTDA</x:v>
      </x:c>
      <x:c r="H2350" s="166" t="str">
        <x:v>Fomento Mercantil</x:v>
      </x:c>
      <x:c r="I2350" s="166" t="str">
        <x:v>Fomento Mercantil</x:v>
      </x:c>
      <x:c r="J2350" s="166" t="str">
        <x:v>CI</x:v>
      </x:c>
      <x:c r="K2350" s="172" t="n">
        <x:v>2</x:v>
      </x:c>
      <x:c r="L2350" s="185" t="str">
        <x:v>Não classificado</x:v>
      </x:c>
    </x:row>
    <x:row r="2351">
      <x:c r="A2351" s="175" t="str">
        <x:v>63.672.769/0001-76</x:v>
      </x:c>
      <x:c r="B2351" s="166" t="str">
        <x:v>SIGMA INDIE RAIZ AGRO PERFORMADO FIDC RESPONSABILIDADE LIMITADA</x:v>
      </x:c>
      <x:c r="C2351" s="188" t="n">
        <x:v>15131402.37</x:v>
      </x:c>
      <x:c r="D2351" s="166" t="str">
        <x:v>INDIE CAPITAL INVESTIMENTOS LT</x:v>
      </x:c>
      <x:c r="E2351" s="166" t="str">
        <x:f>IFERROR(INDEX('Classif Gestoras'!$H$6:$H$462,MATCH(D2351,'Classif Gestoras'!$A$6:$A$462,0)),"Não classificada")</x:f>
        <x:v>Independente</x:v>
      </x:c>
      <x:c r="F2351" s="166" t="str">
        <x:v>BANCO DAYCOVAL S/A</x:v>
      </x:c>
      <x:c r="G2351" s="166" t="str">
        <x:v>BANCO DAYCOVAL S.A.</x:v>
      </x:c>
      <x:c r="H2351" s="166" t="str">
        <x:v>Agro, Indústria e Comércio</x:v>
      </x:c>
      <x:c r="I2351" s="166" t="str">
        <x:v>Recebíveis Comerciais</x:v>
      </x:c>
      <x:c r="J2351" s="166" t="str">
        <x:v>CI</x:v>
      </x:c>
      <x:c r="K2351" s="172" t="n">
        <x:v>6</x:v>
      </x:c>
      <x:c r="L2351" s="185" t="str">
        <x:v>Não classificado</x:v>
      </x:c>
    </x:row>
    <x:row r="2352">
      <x:c r="A2352" s="175" t="str">
        <x:v>51.942.865/0001-08</x:v>
      </x:c>
      <x:c r="B2352" s="166" t="str">
        <x:v>EVEREST FUNDO DE INVESTIMENTO EM DIREITOS CREDITÓRIOS</x:v>
      </x:c>
      <x:c r="C2352" s="188" t="n">
        <x:v>15083028.61</x:v>
      </x:c>
      <x:c r="D2352" s="166" t="str">
        <x:v>PLANNER CV</x:v>
      </x:c>
      <x:c r="E2352" s="166" t="str">
        <x:f>IFERROR(INDEX('Classif Gestoras'!$H$6:$H$462,MATCH(D2352,'Classif Gestoras'!$A$6:$A$462,0)),"Não classificada")</x:f>
        <x:v>Independente</x:v>
      </x:c>
      <x:c r="F2352" s="166" t="str">
        <x:v>PLANNER CV</x:v>
      </x:c>
      <x:c r="G2352" s="166" t="str">
        <x:v>PLANNER CORRETORA DE VALORES S.A.</x:v>
      </x:c>
      <x:c r="H2352" s="166" t="str">
        <x:v>Outros</x:v>
      </x:c>
      <x:c r="I2352" s="166" t="str">
        <x:v>Multicarteira Outros</x:v>
      </x:c>
      <x:c r="J2352" s="166" t="str">
        <x:v>CI</x:v>
      </x:c>
      <x:c r="K2352" s="172" t="n">
        <x:v>2</x:v>
      </x:c>
      <x:c r="L2352" s="185" t="str">
        <x:v>Não classificado</x:v>
      </x:c>
    </x:row>
    <x:row r="2353">
      <x:c r="A2353" s="175" t="str">
        <x:v>52.364.436/0001-63</x:v>
      </x:c>
      <x:c r="B2353" s="166" t="str">
        <x:v>VBINVEST FUNDO DE INVESTIMENTO EM DIREITOS CREDITÓRIOS</x:v>
      </x:c>
      <x:c r="C2353" s="188" t="n">
        <x:v>14932851.52</x:v>
      </x:c>
      <x:c r="D2353" s="166" t="str">
        <x:v>Veritas Capital Management</x:v>
      </x:c>
      <x:c r="E2353" s="166" t="str">
        <x:f>IFERROR(INDEX('Classif Gestoras'!$H$6:$H$462,MATCH(D2353,'Classif Gestoras'!$A$6:$A$462,0)),"Não classificada")</x:f>
        <x:v>Independente</x:v>
      </x:c>
      <x:c r="F2353" s="166" t="str">
        <x:v>PLANNER CV</x:v>
      </x:c>
      <x:c r="G2353" s="166" t="str">
        <x:v>PLANNER CORRETORA DE VALORES S.A.</x:v>
      </x:c>
      <x:c r="H2353" s="166" t="str">
        <x:v>Outros</x:v>
      </x:c>
      <x:c r="I2353" s="166" t="str">
        <x:v>Multicarteira Outros</x:v>
      </x:c>
      <x:c r="J2353" s="166" t="str">
        <x:v>CI</x:v>
      </x:c>
      <x:c r="K2353" s="172" t="n">
        <x:v>1</x:v>
      </x:c>
      <x:c r="L2353" s="185" t="str">
        <x:v>Não classificado</x:v>
      </x:c>
    </x:row>
    <x:row r="2354">
      <x:c r="A2354" s="175" t="str">
        <x:v>63.812.734/0001-95</x:v>
      </x:c>
      <x:c r="B2354" s="166" t="str">
        <x:v>FUNDO DE INVESTIMENTO EM DIREITOS CREDITÓRIOS CREDITAS TEMPUS IV</x:v>
      </x:c>
      <x:c r="C2354" s="188" t="n">
        <x:v>14920925.41</x:v>
      </x:c>
      <x:c r="D2354" s="166" t="str">
        <x:v>Kanastra</x:v>
      </x:c>
      <x:c r="E2354" s="166" t="str">
        <x:f>IFERROR(INDEX('Classif Gestoras'!$H$6:$H$462,MATCH(D2354,'Classif Gestoras'!$A$6:$A$462,0)),"Não classificada")</x:f>
        <x:v>Independente</x:v>
      </x:c>
      <x:c r="F2354" s="166" t="str">
        <x:v>Limine Trust Distribuidora de Titulos e Valores Mobiliá</x:v>
      </x:c>
      <x:c r="G2354" s="166" t="str">
        <x:v>LIMINE TRUST DISTRIBUIDORA DE TITULOS E VALORES MOBILIARIOS LTDA.</x:v>
      </x:c>
      <x:c r="H2354" s="166" t="str">
        <x:v>Outros</x:v>
      </x:c>
      <x:c r="I2354" s="166" t="str">
        <x:v>Multicarteira Outros</x:v>
      </x:c>
      <x:c r="J2354" s="166" t="str">
        <x:v>CI</x:v>
      </x:c>
      <x:c r="K2354" s="172" t="n">
        <x:v>1</x:v>
      </x:c>
      <x:c r="L2354" s="185" t="str">
        <x:v>Não classificado</x:v>
      </x:c>
    </x:row>
    <x:row r="2355">
      <x:c r="A2355" s="175" t="str">
        <x:v>33.701.697/0001-87</x:v>
      </x:c>
      <x:c r="B2355" s="166" t="str">
        <x:v>MELBOURNE FUNDO DE INVESTIMENTO EM DIREITOS CREDITORIOS</x:v>
      </x:c>
      <x:c r="C2355" s="188" t="n">
        <x:v>14911850.04</x:v>
      </x:c>
      <x:c r="D2355" s="166" t="str">
        <x:v>MAM ASSET MANAGEMENT</x:v>
      </x:c>
      <x:c r="E2355" s="166" t="str">
        <x:f>IFERROR(INDEX('Classif Gestoras'!$H$6:$H$462,MATCH(D2355,'Classif Gestoras'!$A$6:$A$462,0)),"Não classificada")</x:f>
        <x:v>Independente</x:v>
      </x:c>
      <x:c r="F2355" s="166" t="str">
        <x:v>TRUSTEE DTVM</x:v>
      </x:c>
      <x:c r="G2355" s="166" t="str">
        <x:v>TRUSTEE DISTRIBUIDORA DE TITULOS E VALORES MOBILIARIOS LTDA.</x:v>
      </x:c>
      <x:c r="H2355" s="166" t="str">
        <x:v>Outros</x:v>
      </x:c>
      <x:c r="I2355" s="166" t="str">
        <x:v>Multicarteira Outros</x:v>
      </x:c>
      <x:c r="J2355" s="166" t="str">
        <x:v>CI</x:v>
      </x:c>
      <x:c r="K2355" s="172" t="n">
        <x:v>2</x:v>
      </x:c>
      <x:c r="L2355" s="185" t="str">
        <x:v>Não classificado</x:v>
      </x:c>
    </x:row>
    <x:row r="2356">
      <x:c r="A2356" s="175" t="str">
        <x:v>62.431.397/0001-23</x:v>
      </x:c>
      <x:c r="B2356" s="166" t="str">
        <x:v>BMJ FUNDO DE INVESTIMENTO EM DIREITOS CREDITÓRIOS</x:v>
      </x:c>
      <x:c r="C2356" s="188" t="n">
        <x:v>14904087.61</x:v>
      </x:c>
      <x:c r="D2356" s="166" t="str">
        <x:v>TERCON ASSET MANAGEMENT</x:v>
      </x:c>
      <x:c r="E2356" s="166" t="str">
        <x:f>IFERROR(INDEX('Classif Gestoras'!$H$6:$H$462,MATCH(D2356,'Classif Gestoras'!$A$6:$A$462,0)),"Não classificada")</x:f>
        <x:v>Independente</x:v>
      </x:c>
      <x:c r="F2356" s="166" t="str">
        <x:v>Limine Trust Distribuidora de Titulos e Valores Mobiliá</x:v>
      </x:c>
      <x:c r="G2356" s="166" t="str">
        <x:v>LIMINE TRUST DISTRIBUIDORA DE TITULOS E VALORES MOBILIARIOS LTDA.</x:v>
      </x:c>
      <x:c r="H2356" s="166" t="str">
        <x:v>Fomento Mercantil</x:v>
      </x:c>
      <x:c r="I2356" s="166" t="str">
        <x:v>Fomento Mercantil</x:v>
      </x:c>
      <x:c r="J2356" s="166" t="str">
        <x:v>CI</x:v>
      </x:c>
      <x:c r="K2356" s="172" t="n">
        <x:v>1</x:v>
      </x:c>
      <x:c r="L2356" s="185" t="str">
        <x:v>Não classificado</x:v>
      </x:c>
    </x:row>
    <x:row r="2357">
      <x:c r="A2357" s="175" t="str">
        <x:v>66.644.176/0001-94</x:v>
      </x:c>
      <x:c r="B2357" s="166" t="str">
        <x:v>FORESTER FUNDO DE INVESTIMENTO EM DIREITOS CREDITÓRIOS</x:v>
      </x:c>
      <x:c r="C2357" s="188" t="n">
        <x:v>14875566</x:v>
      </x:c>
      <x:c r="D2357" s="166" t="str">
        <x:v>Multiplica Capital</x:v>
      </x:c>
      <x:c r="E2357" s="166" t="str">
        <x:f>IFERROR(INDEX('Classif Gestoras'!$H$6:$H$462,MATCH(D2357,'Classif Gestoras'!$A$6:$A$462,0)),"Não classificada")</x:f>
        <x:v>Independente</x:v>
      </x:c>
      <x:c r="F2357" s="166" t="str">
        <x:v>Singulare</x:v>
      </x:c>
      <x:c r="G2357" s="166" t="str">
        <x:v>QI CORRETORA DE TÍTULOS E VALORES MOBILIÁRIOS S.A.</x:v>
      </x:c>
      <x:c r="H2357" s="166" t="str">
        <x:v>Fomento Mercantil</x:v>
      </x:c>
      <x:c r="I2357" s="166" t="str">
        <x:v>Fomento Mercantil</x:v>
      </x:c>
      <x:c r="J2357" s="166" t="str">
        <x:v>CI</x:v>
      </x:c>
      <x:c r="K2357" s="172" t="n">
        <x:v>4</x:v>
      </x:c>
      <x:c r="L2357" s="185" t="str">
        <x:v>Não classificado</x:v>
      </x:c>
    </x:row>
    <x:row r="2358">
      <x:c r="A2358" s="175" t="str">
        <x:v>63.143.050/0001-48</x:v>
      </x:c>
      <x:c r="B2358" s="166" t="str">
        <x:v>FUNDO DE INVESTIMENTO EM DIREITOS CREDITÓRIOS 3BGP RESPONSABILIDADE LIMITADA</x:v>
      </x:c>
      <x:c r="C2358" s="188" t="n">
        <x:v>14839870.6</x:v>
      </x:c>
      <x:c r="D2358" s="166" t="str">
        <x:v>VERT Gestora de Recursos Financeiros Ltda.</x:v>
      </x:c>
      <x:c r="E2358" s="166" t="str">
        <x:f>IFERROR(INDEX('Classif Gestoras'!$H$6:$H$462,MATCH(D2358,'Classif Gestoras'!$A$6:$A$462,0)),"Não classificada")</x:f>
        <x:v>Independente</x:v>
      </x:c>
      <x:c r="F2358" s="166" t="str">
        <x:v>VERT Distribuidora de Títulos e Valores Mobiliários Ltd</x:v>
      </x:c>
      <x:c r="G2358" s="166" t="str">
        <x:v>VERT DISTRIBUIDORA DE TÍTULOS E VALORES MOBILIÁRIOS LTDA.</x:v>
      </x:c>
      <x:c r="H2358" s="166" t="str">
        <x:v>Outros</x:v>
      </x:c>
      <x:c r="I2358" s="166" t="str">
        <x:v>Poder Público</x:v>
      </x:c>
      <x:c r="J2358" s="166" t="str">
        <x:v>CI</x:v>
      </x:c>
      <x:c r="K2358" s="172" t="n">
        <x:v>3</x:v>
      </x:c>
      <x:c r="L2358" s="185" t="str">
        <x:v>Não classificado</x:v>
      </x:c>
    </x:row>
    <x:row r="2359">
      <x:c r="A2359" s="175" t="str">
        <x:v>38.448.253/0001-03</x:v>
      </x:c>
      <x:c r="B2359" s="166" t="str">
        <x:v>FRAM CAPITAL BALTO FUNDO DE INVESTIMENTO E DIREITOS CREDITORIOS NAO - PADRONIZADOS</x:v>
      </x:c>
      <x:c r="C2359" s="188" t="n">
        <x:v>14707084.900000002</x:v>
      </x:c>
      <x:c r="D2359" s="166" t="str">
        <x:v>Fram Capital Gestão de Ativos Ltda</x:v>
      </x:c>
      <x:c r="E2359" s="166" t="str">
        <x:f>IFERROR(INDEX('Classif Gestoras'!$H$6:$H$462,MATCH(D2359,'Classif Gestoras'!$A$6:$A$462,0)),"Não classificada")</x:f>
        <x:v>Independente</x:v>
      </x:c>
      <x:c r="F2359" s="166" t="str">
        <x:v>OSLO DTVM S. A.</x:v>
      </x:c>
      <x:c r="G2359" s="166" t="str">
        <x:v>OSLO CAPITAL DISTRIBUIDORA DE TITULOS E VALORES MOBILIARIOS S.A.</x:v>
      </x:c>
      <x:c r="H2359" s="166" t="str">
        <x:v>Outros</x:v>
      </x:c>
      <x:c r="I2359" s="166" t="str">
        <x:v>Multicarteira Outros</x:v>
      </x:c>
      <x:c r="J2359" s="166" t="str">
        <x:v>CI</x:v>
      </x:c>
      <x:c r="K2359" s="172" t="n">
        <x:v>14</x:v>
      </x:c>
      <x:c r="L2359" s="185" t="str">
        <x:v>Não classificado</x:v>
      </x:c>
    </x:row>
    <x:row r="2360">
      <x:c r="A2360" s="175" t="str">
        <x:v>55.579.164/0001-07</x:v>
      </x:c>
      <x:c r="B2360" s="166" t="str">
        <x:v>VERA CRUZ II - ATIVOS JUDICIAIS - PROCESSO DE CONHECIMENTO - FIDC - RESPONSABILIDADE LIMITADA</x:v>
      </x:c>
      <x:c r="C2360" s="188" t="n">
        <x:v>14696068.59</x:v>
      </x:c>
      <x:c r="D2360" s="166" t="str">
        <x:v>CRD Capital Administração de Recursos Ltda</x:v>
      </x:c>
      <x:c r="E2360" s="166" t="str">
        <x:f>IFERROR(INDEX('Classif Gestoras'!$H$6:$H$462,MATCH(D2360,'Classif Gestoras'!$A$6:$A$462,0)),"Não classificada")</x:f>
        <x:v>Independente</x:v>
      </x:c>
      <x:c r="F2360" s="166" t="str">
        <x:v>FIDD DISTRIBUIDORA DE TITULOS E VALORES MOBILIARIOS LTD</x:v>
      </x:c>
      <x:c r="G2360" s="166" t="str">
        <x:v>FIDD DISTRIBUIDORA DE TITULOS E VALORES MOBILIARIOS LTDA.</x:v>
      </x:c>
      <x:c r="H2360" s="166" t="str">
        <x:v>Outros</x:v>
      </x:c>
      <x:c r="I2360" s="166" t="str">
        <x:v>Multicarteira Outros</x:v>
      </x:c>
      <x:c r="J2360" s="166" t="str">
        <x:v>CI</x:v>
      </x:c>
      <x:c r="K2360" s="172" t="n">
        <x:v>17</x:v>
      </x:c>
      <x:c r="L2360" s="185" t="str">
        <x:v>Não classificado</x:v>
      </x:c>
    </x:row>
    <x:row r="2361">
      <x:c r="A2361" s="175" t="str">
        <x:v>44.585.152/0001-79</x:v>
      </x:c>
      <x:c r="B2361" s="166" t="str">
        <x:v>BARUC FUNDO DE INVESTIMENTO EM DIREITOS CREDITÓRIOS NÃO PADRONIZADOS</x:v>
      </x:c>
      <x:c r="C2361" s="188" t="n">
        <x:v>14601111.86</x:v>
      </x:c>
      <x:c r="D2361" s="166" t="str">
        <x:v>ASSET MANAGEMENT</x:v>
      </x:c>
      <x:c r="E2361" s="166" t="str">
        <x:f>IFERROR(INDEX('Classif Gestoras'!$H$6:$H$462,MATCH(D2361,'Classif Gestoras'!$A$6:$A$462,0)),"Não classificada")</x:f>
        <x:v>Independente</x:v>
      </x:c>
      <x:c r="F2361" s="166" t="str">
        <x:v>AZUMI DISTRIBUIDORA DE TÍTULOS E VALORES MOBILIÁRIOS LT</x:v>
      </x:c>
      <x:c r="G2361" s="166" t="str">
        <x:v>AZUMI DISTRIBUIDORA DE TÍTULOS E VALORES MOBILIÁRIOS LTDA.</x:v>
      </x:c>
      <x:c r="H2361" s="166" t="str">
        <x:v>Outros</x:v>
      </x:c>
      <x:c r="I2361" s="166" t="str">
        <x:v>Multicarteira Outros</x:v>
      </x:c>
      <x:c r="J2361" s="166" t="str">
        <x:v>CI</x:v>
      </x:c>
      <x:c r="K2361" s="172" t="n">
        <x:v>2</x:v>
      </x:c>
      <x:c r="L2361" s="185" t="str">
        <x:v>Não classificado</x:v>
      </x:c>
    </x:row>
    <x:row r="2362">
      <x:c r="A2362" s="175" t="str">
        <x:v>29.306.608/0001-20</x:v>
      </x:c>
      <x:c r="B2362" s="166" t="str">
        <x:v>TAURUS FUNDO DE INVESTIMENTO EM DIREITOS CREDITÓRIOS</x:v>
      </x:c>
      <x:c r="C2362" s="188" t="n">
        <x:v>14542281.22</x:v>
      </x:c>
      <x:c r="D2362" s="166" t="str">
        <x:v>Redwood Asset Management</x:v>
      </x:c>
      <x:c r="E2362" s="166" t="str">
        <x:f>IFERROR(INDEX('Classif Gestoras'!$H$6:$H$462,MATCH(D2362,'Classif Gestoras'!$A$6:$A$462,0)),"Não classificada")</x:f>
        <x:v>Independente</x:v>
      </x:c>
      <x:c r="F2362" s="166" t="str">
        <x:v>PLANNER CV</x:v>
      </x:c>
      <x:c r="G2362" s="166" t="str">
        <x:v>PLANNER CORRETORA DE VALORES S.A.</x:v>
      </x:c>
      <x:c r="H2362" s="166" t="str">
        <x:v>Outros</x:v>
      </x:c>
      <x:c r="I2362" s="166" t="str">
        <x:v>Multicarteira Outros</x:v>
      </x:c>
      <x:c r="J2362" s="166" t="str">
        <x:v>CI</x:v>
      </x:c>
      <x:c r="K2362" s="172" t="n">
        <x:v>5</x:v>
      </x:c>
      <x:c r="L2362" s="185" t="str">
        <x:v>Não classificado</x:v>
      </x:c>
    </x:row>
    <x:row r="2363">
      <x:c r="A2363" s="175" t="str">
        <x:v>32.274.528/0001-45</x:v>
      </x:c>
      <x:c r="B2363" s="166" t="str">
        <x:v>SANTA ALICE CRÉDITOS JUDICIAIS FUNDO DE INVESTIMENTO EM DIREITOS CREDITÓRIOS</x:v>
      </x:c>
      <x:c r="C2363" s="188" t="n">
        <x:v>14534221.5501</x:v>
      </x:c>
      <x:c r="D2363" s="166" t="str">
        <x:v>PACTUAL CAPITAL PART</x:v>
      </x:c>
      <x:c r="E2363" s="166" t="str">
        <x:f>IFERROR(INDEX('Classif Gestoras'!$H$6:$H$462,MATCH(D2363,'Classif Gestoras'!$A$6:$A$462,0)),"Não classificada")</x:f>
        <x:v>Independente</x:v>
      </x:c>
      <x:c r="F2363" s="166" t="str">
        <x:v>BTG Pactual Servicos Financeiros S/A DTVM</x:v>
      </x:c>
      <x:c r="G2363" s="166" t="str">
        <x:v>BANCO BTG PACTUAL S/A</x:v>
      </x:c>
      <x:c r="H2363" s="166" t="str">
        <x:v>Outros</x:v>
      </x:c>
      <x:c r="I2363" s="166" t="str">
        <x:v>Multicarteira Outros</x:v>
      </x:c>
      <x:c r="J2363" s="166" t="str">
        <x:v>CI</x:v>
      </x:c>
      <x:c r="K2363" s="172" t="n">
        <x:v>2</x:v>
      </x:c>
      <x:c r="L2363" s="185" t="str">
        <x:v>Não classificado</x:v>
      </x:c>
    </x:row>
    <x:row r="2364">
      <x:c r="A2364" s="175" t="str">
        <x:v>30.366.229/0001-05</x:v>
      </x:c>
      <x:c r="B2364" s="166" t="str">
        <x:v>ITAPEVA XII MULTICARTEIRA FUNDO DE INVESTIMENTO EM DIREITOS CREDITÓRIOS RESPONSABILIDADE LIMITADA</x:v>
      </x:c>
      <x:c r="C2364" s="188" t="n">
        <x:v>14461200.34</x:v>
      </x:c>
      <x:c r="D2364" s="166" t="str">
        <x:v>RCB PORTFOLIOS</x:v>
      </x:c>
      <x:c r="E2364" s="166" t="str">
        <x:f>IFERROR(INDEX('Classif Gestoras'!$H$6:$H$462,MATCH(D2364,'Classif Gestoras'!$A$6:$A$462,0)),"Não classificada")</x:f>
        <x:v>Independente</x:v>
      </x:c>
      <x:c r="F2364" s="166" t="str">
        <x:v>Banvox DTVM</x:v>
      </x:c>
      <x:c r="G2364" s="166" t="str">
        <x:v>OSLO CAPITAL DISTRIBUIDORA DE TITULOS E VALORES MOBILIARIOS S.A.</x:v>
      </x:c>
      <x:c r="H2364" s="166" t="str">
        <x:v>Outros</x:v>
      </x:c>
      <x:c r="I2364" s="166" t="str">
        <x:v>Multicarteira Outros</x:v>
      </x:c>
      <x:c r="J2364" s="166" t="str">
        <x:v>CI</x:v>
      </x:c>
      <x:c r="K2364" s="172" t="n">
        <x:v>2</x:v>
      </x:c>
      <x:c r="L2364" s="185" t="str">
        <x:v>Não classificado</x:v>
      </x:c>
    </x:row>
    <x:row r="2365">
      <x:c r="A2365" s="175" t="str">
        <x:v>59.283.314/0001-91</x:v>
      </x:c>
      <x:c r="B2365" s="166" t="str">
        <x:v>FUNDO DE INVESTIMENTO EM DIREITOS CREDITÓRIOS TATUHY</x:v>
      </x:c>
      <x:c r="C2365" s="188" t="n">
        <x:v>14448912.79</x:v>
      </x:c>
      <x:c r="D2365" s="166" t="str">
        <x:v>TERCON ASSET MANAGEMENT</x:v>
      </x:c>
      <x:c r="E2365" s="166" t="str">
        <x:f>IFERROR(INDEX('Classif Gestoras'!$H$6:$H$462,MATCH(D2365,'Classif Gestoras'!$A$6:$A$462,0)),"Não classificada")</x:f>
        <x:v>Independente</x:v>
      </x:c>
      <x:c r="F2365" s="166" t="str">
        <x:v>Singulare</x:v>
      </x:c>
      <x:c r="G2365" s="166" t="str">
        <x:v>QI CORRETORA DE TÍTULOS E VALORES MOBILIÁRIOS S.A.</x:v>
      </x:c>
      <x:c r="H2365" s="166" t="str">
        <x:v>Fomento Mercantil</x:v>
      </x:c>
      <x:c r="I2365" s="166" t="str">
        <x:v>Fomento Mercantil</x:v>
      </x:c>
      <x:c r="J2365" s="166" t="str">
        <x:v>CI</x:v>
      </x:c>
      <x:c r="K2365" s="172" t="n">
        <x:v>7</x:v>
      </x:c>
      <x:c r="L2365" s="185" t="str">
        <x:v>Não classificado</x:v>
      </x:c>
    </x:row>
    <x:row r="2366">
      <x:c r="A2366" s="175" t="str">
        <x:v>64.655.872/0001-70</x:v>
      </x:c>
      <x:c r="B2366" s="166" t="str">
        <x:v>CONECTEPAG ELETROBIDU FUNDO DE INVESTIMENTO EM DIREITOS CREDITÓRIOS RESP LIMITADA</x:v>
      </x:c>
      <x:c r="C2366" s="188" t="n">
        <x:v>14447639.5</x:v>
      </x:c>
      <x:c r="D2366" s="166" t="str">
        <x:v>AUGME CAPITAL GESTÃO DE RECURSOS LTDA.</x:v>
      </x:c>
      <x:c r="E2366" s="166" t="str">
        <x:f>IFERROR(INDEX('Classif Gestoras'!$H$6:$H$462,MATCH(D2366,'Classif Gestoras'!$A$6:$A$462,0)),"Não classificada")</x:f>
        <x:v>Independente</x:v>
      </x:c>
      <x:c r="F2366" s="166" t="str">
        <x:v>BANCO DAYCOVAL S/A</x:v>
      </x:c>
      <x:c r="G2366" s="166" t="str">
        <x:v>BANCO DAYCOVAL S.A.</x:v>
      </x:c>
      <x:c r="H2366" s="166" t="str">
        <x:v>Financeiro</x:v>
      </x:c>
      <x:c r="I2366" s="166" t="str">
        <x:v>Crédito Imobiliário</x:v>
      </x:c>
      <x:c r="J2366" s="166" t="str">
        <x:v>CI</x:v>
      </x:c>
      <x:c r="K2366" s="172" t="n">
        <x:v>9</x:v>
      </x:c>
      <x:c r="L2366" s="185" t="str">
        <x:v>Não classificado</x:v>
      </x:c>
    </x:row>
    <x:row r="2367">
      <x:c r="A2367" s="175" t="str">
        <x:v>35.686.949/0001-71</x:v>
      </x:c>
      <x:c r="B2367" s="166" t="str">
        <x:v>GREEN WAY I FUNDO DE INVESTIMENTO EM DIREITOS CREDITORIOS RESPONSABILIDADE LIMITADA</x:v>
      </x:c>
      <x:c r="C2367" s="188" t="n">
        <x:v>14429999.27</x:v>
      </x:c>
      <x:c r="D2367" s="166" t="str">
        <x:v>BPS CAPITAL</x:v>
      </x:c>
      <x:c r="E2367" s="166" t="str">
        <x:f>IFERROR(INDEX('Classif Gestoras'!$H$6:$H$462,MATCH(D2367,'Classif Gestoras'!$A$6:$A$462,0)),"Não classificada")</x:f>
        <x:v>Independente</x:v>
      </x:c>
      <x:c r="F2367" s="166" t="str">
        <x:v>ID Corretora de Títulos e Valores Mobiliários S.A.</x:v>
      </x:c>
      <x:c r="G2367" s="166" t="str">
        <x:v>ID CORRETORA DE TITULOS E VALORES MOBILIARIOS S.A.</x:v>
      </x:c>
      <x:c r="H2367" s="166" t="str">
        <x:v>Outros</x:v>
      </x:c>
      <x:c r="I2367" s="166" t="str">
        <x:v>Multicarteira Outros</x:v>
      </x:c>
      <x:c r="J2367" s="166" t="str">
        <x:v>CI</x:v>
      </x:c>
      <x:c r="K2367" s="172" t="n">
        <x:v>1</x:v>
      </x:c>
      <x:c r="L2367" s="185" t="str">
        <x:v>Não classificado</x:v>
      </x:c>
    </x:row>
    <x:row r="2368">
      <x:c r="A2368" s="175" t="str">
        <x:v>32.316.919/0001-85</x:v>
      </x:c>
      <x:c r="B2368" s="166" t="str">
        <x:v>CASE FUNDO DE INVESTIMENTO EM DIREITOS CREDITÓRIOS</x:v>
      </x:c>
      <x:c r="C2368" s="188" t="n">
        <x:v>14418586.98</x:v>
      </x:c>
      <x:c r="D2368" s="166" t="str">
        <x:v>TERCON ASSET MANAGEMENT</x:v>
      </x:c>
      <x:c r="E2368" s="166" t="str">
        <x:f>IFERROR(INDEX('Classif Gestoras'!$H$6:$H$462,MATCH(D2368,'Classif Gestoras'!$A$6:$A$462,0)),"Não classificada")</x:f>
        <x:v>Independente</x:v>
      </x:c>
      <x:c r="F2368" s="166" t="str">
        <x:v>Singulare</x:v>
      </x:c>
      <x:c r="G2368" s="166" t="str">
        <x:v>QI CORRETORA DE TÍTULOS E VALORES MOBILIÁRIOS S.A.</x:v>
      </x:c>
      <x:c r="H2368" s="166" t="str">
        <x:v>Fomento Mercantil</x:v>
      </x:c>
      <x:c r="I2368" s="166" t="str">
        <x:v>Fomento Mercantil</x:v>
      </x:c>
      <x:c r="J2368" s="166" t="str">
        <x:v>CI</x:v>
      </x:c>
      <x:c r="K2368" s="172" t="n">
        <x:v>16</x:v>
      </x:c>
      <x:c r="L2368" s="185" t="str">
        <x:v>Não classificado</x:v>
      </x:c>
    </x:row>
    <x:row r="2369">
      <x:c r="A2369" s="175" t="str">
        <x:v>60.604.312/0001-36</x:v>
      </x:c>
      <x:c r="B2369" s="166" t="str">
        <x:v>MASTER VELOZ FUNDO DE INVESTIMENTO EM DIREITOS CREDITÓRIOS NÃO-PADRONIZADOS</x:v>
      </x:c>
      <x:c r="C2369" s="188" t="n">
        <x:v>14411736.510000002</x:v>
      </x:c>
      <x:c r="D2369" s="166" t="str">
        <x:v>AZUMI ASSET</x:v>
      </x:c>
      <x:c r="E2369" s="166" t="str">
        <x:f>IFERROR(INDEX('Classif Gestoras'!$H$6:$H$462,MATCH(D2369,'Classif Gestoras'!$A$6:$A$462,0)),"Não classificada")</x:f>
        <x:v>Independente</x:v>
      </x:c>
      <x:c r="F2369" s="166" t="str">
        <x:v>AZUMI DISTRIBUIDORA DE TÍTULOS E VALORES MOBILIÁRIOS LT</x:v>
      </x:c>
      <x:c r="G2369" s="166" t="str">
        <x:v>AZUMI DISTRIBUIDORA DE TÍTULOS E VALORES MOBILIÁRIOS LTDA.</x:v>
      </x:c>
      <x:c r="H2369" s="166" t="str">
        <x:v>Outros</x:v>
      </x:c>
      <x:c r="I2369" s="166" t="str">
        <x:v>Multicarteira Outros</x:v>
      </x:c>
      <x:c r="J2369" s="166" t="str">
        <x:v>CI</x:v>
      </x:c>
      <x:c r="K2369" s="172" t="n">
        <x:v>2</x:v>
      </x:c>
      <x:c r="L2369" s="185" t="str">
        <x:v>Não classificado</x:v>
      </x:c>
    </x:row>
    <x:row r="2370">
      <x:c r="A2370" s="175" t="str">
        <x:v>64.883.935/0001-46</x:v>
      </x:c>
      <x:c r="B2370" s="166" t="str">
        <x:v>KVS STEEL CREDIT FUNDO DE INVESTIMENTO EM DIREITOS CREDITÓRIOS</x:v>
      </x:c>
      <x:c r="C2370" s="188" t="n">
        <x:v>14280048.83</x:v>
      </x:c>
      <x:c r="D2370" s="166" t="str">
        <x:v>TERCON ASSET MANAGEMENT</x:v>
      </x:c>
      <x:c r="E2370" s="166" t="str">
        <x:f>IFERROR(INDEX('Classif Gestoras'!$H$6:$H$462,MATCH(D2370,'Classif Gestoras'!$A$6:$A$462,0)),"Não classificada")</x:f>
        <x:v>Independente</x:v>
      </x:c>
      <x:c r="F2370" s="166" t="str">
        <x:v>Singulare</x:v>
      </x:c>
      <x:c r="G2370" s="166" t="str">
        <x:v>QI CORRETORA DE TÍTULOS E VALORES MOBILIÁRIOS S.A.</x:v>
      </x:c>
      <x:c r="H2370" s="166" t="str">
        <x:v>Fomento Mercantil</x:v>
      </x:c>
      <x:c r="I2370" s="166" t="str">
        <x:v>Fomento Mercantil</x:v>
      </x:c>
      <x:c r="J2370" s="166" t="str">
        <x:v>CI</x:v>
      </x:c>
      <x:c r="K2370" s="172" t="n">
        <x:v>1</x:v>
      </x:c>
      <x:c r="L2370" s="185" t="str">
        <x:v>Não classificado</x:v>
      </x:c>
    </x:row>
    <x:row r="2371">
      <x:c r="A2371" s="175" t="str">
        <x:v>49.998.666/0001-70</x:v>
      </x:c>
      <x:c r="B2371" s="166" t="str">
        <x:v>VSI SAC FUNDO DE INVESTIMENTO EM DIREITOS CREDITÓRIOS</x:v>
      </x:c>
      <x:c r="C2371" s="188" t="n">
        <x:v>14259000.170000002</x:v>
      </x:c>
      <x:c r="D2371" s="166" t="str">
        <x:v>FIDD Administração de Recursos Ltda.</x:v>
      </x:c>
      <x:c r="E2371" s="166" t="str">
        <x:f>IFERROR(INDEX('Classif Gestoras'!$H$6:$H$462,MATCH(D2371,'Classif Gestoras'!$A$6:$A$462,0)),"Não classificada")</x:f>
        <x:v>Independente</x:v>
      </x:c>
      <x:c r="F2371" s="166" t="str">
        <x:v>FIDD DISTRIBUIDORA DE TITULOS E VALORES MOBILIARIOS LTD</x:v>
      </x:c>
      <x:c r="G2371" s="166" t="str">
        <x:v>FIDD DISTRIBUIDORA DE TITULOS E VALORES MOBILIARIOS LTDA.</x:v>
      </x:c>
      <x:c r="H2371" s="166" t="str">
        <x:v>Financeiro</x:v>
      </x:c>
      <x:c r="I2371" s="166" t="str">
        <x:v>Crédito Consignado</x:v>
      </x:c>
      <x:c r="J2371" s="166" t="str">
        <x:v>CI</x:v>
      </x:c>
      <x:c r="K2371" s="172" t="n">
        <x:v>2</x:v>
      </x:c>
      <x:c r="L2371" s="185" t="str">
        <x:v>Não classificado</x:v>
      </x:c>
    </x:row>
    <x:row r="2372">
      <x:c r="A2372" s="175" t="str">
        <x:v>51.781.164/0001-34</x:v>
      </x:c>
      <x:c r="B2372" s="166" t="str">
        <x:v>NEW INTER FUNDO DE INVESTIMENTO EM DIREITOS CREDITÓRIOS</x:v>
      </x:c>
      <x:c r="C2372" s="188" t="n">
        <x:v>14233866.81</x:v>
      </x:c>
      <x:c r="D2372" s="166" t="str">
        <x:v>ASSET MANAGEMENT</x:v>
      </x:c>
      <x:c r="E2372" s="166" t="str">
        <x:f>IFERROR(INDEX('Classif Gestoras'!$H$6:$H$462,MATCH(D2372,'Classif Gestoras'!$A$6:$A$462,0)),"Não classificada")</x:f>
        <x:v>Independente</x:v>
      </x:c>
      <x:c r="F2372" s="166" t="str">
        <x:v>AZUMI DISTRIBUIDORA DE TÍTULOS E VALORES MOBILIÁRIOS LT</x:v>
      </x:c>
      <x:c r="G2372" s="166" t="str">
        <x:v>AZUMI DISTRIBUIDORA DE TÍTULOS E VALORES MOBILIÁRIOS LTDA.</x:v>
      </x:c>
      <x:c r="H2372" s="166" t="str">
        <x:v>Outros</x:v>
      </x:c>
      <x:c r="I2372" s="166" t="str">
        <x:v>Multicarteira Outros</x:v>
      </x:c>
      <x:c r="J2372" s="166" t="str">
        <x:v>CI</x:v>
      </x:c>
      <x:c r="K2372" s="172" t="n">
        <x:v>5</x:v>
      </x:c>
      <x:c r="L2372" s="185" t="str">
        <x:v>Não classificado</x:v>
      </x:c>
    </x:row>
    <x:row r="2373">
      <x:c r="A2373" s="175" t="str">
        <x:v>58.284.749/0001-98</x:v>
      </x:c>
      <x:c r="B2373" s="166" t="str">
        <x:v>TVP FUNDO DE INVESTIMENTO EM DIREITOS CREDITÓRIOS</x:v>
      </x:c>
      <x:c r="C2373" s="188" t="n">
        <x:v>14159488.8</x:v>
      </x:c>
      <x:c r="D2373" s="166" t="str">
        <x:v>ATF</x:v>
      </x:c>
      <x:c r="E2373" s="166" t="str">
        <x:f>IFERROR(INDEX('Classif Gestoras'!$H$6:$H$462,MATCH(D2373,'Classif Gestoras'!$A$6:$A$462,0)),"Não classificada")</x:f>
        <x:v>Independente</x:v>
      </x:c>
      <x:c r="F2373" s="166" t="str">
        <x:v>FIDD DISTRIBUIDORA DE TITULOS E VALORES MOBILIARIOS LTD</x:v>
      </x:c>
      <x:c r="G2373" s="166" t="str">
        <x:v>FIDD DISTRIBUIDORA DE TITULOS E VALORES MOBILIARIOS LTDA.</x:v>
      </x:c>
      <x:c r="H2373" s="166" t="str">
        <x:v>Outros</x:v>
      </x:c>
      <x:c r="I2373" s="166" t="str">
        <x:v>Multicarteira Outros</x:v>
      </x:c>
      <x:c r="J2373" s="166" t="str">
        <x:v>CI</x:v>
      </x:c>
      <x:c r="K2373" s="172" t="n">
        <x:v>7</x:v>
      </x:c>
      <x:c r="L2373" s="185" t="str">
        <x:v>Não classificado</x:v>
      </x:c>
    </x:row>
    <x:row r="2374">
      <x:c r="A2374" s="175" t="str">
        <x:v>36.115.099/0001-14</x:v>
      </x:c>
      <x:c r="B2374" s="166" t="str">
        <x:v>VERTICAL BANK FUNDO DE INVESTIMENTO EM DIREITOS CREDITÓRIOS</x:v>
      </x:c>
      <x:c r="C2374" s="188" t="n">
        <x:v>14156034</x:v>
      </x:c>
      <x:c r="D2374" s="166" t="str">
        <x:v>CERES ASSET</x:v>
      </x:c>
      <x:c r="E2374" s="166" t="str">
        <x:f>IFERROR(INDEX('Classif Gestoras'!$H$6:$H$462,MATCH(D2374,'Classif Gestoras'!$A$6:$A$462,0)),"Não classificada")</x:f>
        <x:v>Independente</x:v>
      </x:c>
      <x:c r="F2374" s="166" t="str">
        <x:v>TRUSTEE DTVM</x:v>
      </x:c>
      <x:c r="G2374" s="166" t="str">
        <x:v>TRUSTEE DISTRIBUIDORA DE TITULOS E VALORES MOBILIARIOS LTDA.</x:v>
      </x:c>
      <x:c r="H2374" s="166" t="str">
        <x:v>Outros</x:v>
      </x:c>
      <x:c r="I2374" s="166" t="str">
        <x:v>Multicarteira Outros</x:v>
      </x:c>
      <x:c r="J2374" s="166" t="str">
        <x:v>CI</x:v>
      </x:c>
      <x:c r="K2374" s="172" t="n">
        <x:v>7</x:v>
      </x:c>
      <x:c r="L2374" s="185" t="str">
        <x:v>Não classificado</x:v>
      </x:c>
    </x:row>
    <x:row r="2375">
      <x:c r="A2375" s="175" t="str">
        <x:v>42.866.998/0001-51</x:v>
      </x:c>
      <x:c r="B2375" s="166" t="str">
        <x:v>PRECAVIDA FUNDO DE INVESTIMENTO EM DIREITOS CREDITÓRIOS</x:v>
      </x:c>
      <x:c r="C2375" s="188" t="n">
        <x:v>14141415.96</x:v>
      </x:c>
      <x:c r="D2375" s="166" t="str">
        <x:v>Libertas Asset</x:v>
      </x:c>
      <x:c r="E2375" s="166" t="str">
        <x:f>IFERROR(INDEX('Classif Gestoras'!$H$6:$H$462,MATCH(D2375,'Classif Gestoras'!$A$6:$A$462,0)),"Não classificada")</x:f>
        <x:v>Independente</x:v>
      </x:c>
      <x:c r="F2375" s="166" t="str">
        <x:v>ACTUAL DTVM</x:v>
      </x:c>
      <x:c r="G2375" s="166" t="str">
        <x:v>TRUSTEE DISTRIBUIDORA DE TITULOS E VALORES MOBILIARIOS LTDA.</x:v>
      </x:c>
      <x:c r="H2375" s="166" t="str">
        <x:v>Fomento Mercantil</x:v>
      </x:c>
      <x:c r="I2375" s="166" t="str">
        <x:v>Fomento Mercantil</x:v>
      </x:c>
      <x:c r="J2375" s="166" t="str">
        <x:v>CI</x:v>
      </x:c>
      <x:c r="K2375" s="172" t="n">
        <x:v>26</x:v>
      </x:c>
      <x:c r="L2375" s="185" t="str">
        <x:v>Não classificado</x:v>
      </x:c>
    </x:row>
    <x:row r="2376">
      <x:c r="A2376" s="175" t="str">
        <x:v>55.708.679/0001-60</x:v>
      </x:c>
      <x:c r="B2376" s="166" t="str">
        <x:v>AMETISTA I FUNDO DE INVESTIMENTO EM DIREITOS CREDITÓRIOS RESPONSABILIDADE LIMITADA</x:v>
      </x:c>
      <x:c r="C2376" s="188" t="n">
        <x:v>14139850.699999996</x:v>
      </x:c>
      <x:c r="D2376" s="166" t="str">
        <x:v>Redwood Asset Management</x:v>
      </x:c>
      <x:c r="E2376" s="166" t="str">
        <x:f>IFERROR(INDEX('Classif Gestoras'!$H$6:$H$462,MATCH(D2376,'Classif Gestoras'!$A$6:$A$462,0)),"Não classificada")</x:f>
        <x:v>Independente</x:v>
      </x:c>
      <x:c r="F2376" s="166" t="str">
        <x:v>PLANNER CV</x:v>
      </x:c>
      <x:c r="G2376" s="166" t="str">
        <x:v>PLANNER CORRETORA DE VALORES S.A.</x:v>
      </x:c>
      <x:c r="H2376" s="166" t="str">
        <x:v>Financeiro</x:v>
      </x:c>
      <x:c r="I2376" s="166" t="str">
        <x:v>Crédito Consignado</x:v>
      </x:c>
      <x:c r="J2376" s="166" t="str">
        <x:v>CI</x:v>
      </x:c>
      <x:c r="K2376" s="172" t="n">
        <x:v>5</x:v>
      </x:c>
      <x:c r="L2376" s="185" t="str">
        <x:v>Não classificado</x:v>
      </x:c>
    </x:row>
    <x:row r="2377">
      <x:c r="A2377" s="175" t="str">
        <x:v>59.479.362/0001-50</x:v>
      </x:c>
      <x:c r="B2377" s="166" t="str">
        <x:v>INC SOMA CREDIT FUNDO DE INVESTIMENTO EM DIREITOS CREDITÓRIOS SEGMENTO FINANCEIRO</x:v>
      </x:c>
      <x:c r="C2377" s="188" t="n">
        <x:v>14135263.54</x:v>
      </x:c>
      <x:c r="D2377" s="166" t="str">
        <x:v>Petra Capital</x:v>
      </x:c>
      <x:c r="E2377" s="166" t="str">
        <x:f>IFERROR(INDEX('Classif Gestoras'!$H$6:$H$462,MATCH(D2377,'Classif Gestoras'!$A$6:$A$462,0)),"Não classificada")</x:f>
        <x:v>Independente</x:v>
      </x:c>
      <x:c r="F2377" s="166" t="str">
        <x:v>Finaxis Corretora de Títulos e Valores Mobiliários S.A.</x:v>
      </x:c>
      <x:c r="G2377" s="166" t="str">
        <x:v>BANCO FINAXIS S.A.</x:v>
      </x:c>
      <x:c r="H2377" s="166" t="str">
        <x:v>Outros</x:v>
      </x:c>
      <x:c r="I2377" s="166" t="str">
        <x:v>Multicarteira Outros</x:v>
      </x:c>
      <x:c r="J2377" s="166" t="str">
        <x:v>CI</x:v>
      </x:c>
      <x:c r="K2377" s="172" t="n">
        <x:v>2</x:v>
      </x:c>
      <x:c r="L2377" s="185" t="str">
        <x:v>Não classificado</x:v>
      </x:c>
    </x:row>
    <x:row r="2378">
      <x:c r="A2378" s="175" t="str">
        <x:v>47.936.587/0001-09</x:v>
      </x:c>
      <x:c r="B2378" s="166" t="str">
        <x:v>FARM M II FUNDO DE INVESTIMENTO EM DIREITOS CREDITÓRIOS RESPONSABILIDADE LIMITADA</x:v>
      </x:c>
      <x:c r="C2378" s="188" t="n">
        <x:v>14118407.430000002</x:v>
      </x:c>
      <x:c r="D2378" s="166" t="str">
        <x:v>Farmtech Gestão de Recursos Ltda.</x:v>
      </x:c>
      <x:c r="E2378" s="166" t="str">
        <x:f>IFERROR(INDEX('Classif Gestoras'!$H$6:$H$462,MATCH(D2378,'Classif Gestoras'!$A$6:$A$462,0)),"Não classificada")</x:f>
        <x:v>Independente</x:v>
      </x:c>
      <x:c r="F2378" s="166" t="str">
        <x:v>BTG Pactual Servicos Financeiros S/A DTVM</x:v>
      </x:c>
      <x:c r="G2378" s="166" t="str">
        <x:v>BANCO BTG PACTUAL S/A</x:v>
      </x:c>
      <x:c r="H2378" s="166" t="str">
        <x:v>Agro, Indústria e Comércio</x:v>
      </x:c>
      <x:c r="I2378" s="166" t="str">
        <x:v>Agronegócio</x:v>
      </x:c>
      <x:c r="J2378" s="166" t="str">
        <x:v>CIC</x:v>
      </x:c>
      <x:c r="K2378" s="172" t="n">
        <x:v>6</x:v>
      </x:c>
      <x:c r="L2378" s="185" t="str">
        <x:v>Não classificado</x:v>
      </x:c>
    </x:row>
    <x:row r="2379">
      <x:c r="A2379" s="175" t="str">
        <x:v>54.842.370/0001-03</x:v>
      </x:c>
      <x:c r="B2379" s="166" t="str">
        <x:v>BEFIC FUNDO DE INVESTIMENTO EM DIREITOS CREDITÓRIOS DE RESPONSABILIDADE LIMITADA</x:v>
      </x:c>
      <x:c r="C2379" s="188" t="n">
        <x:v>14115058.3</x:v>
      </x:c>
      <x:c r="D2379" s="166" t="str">
        <x:v>Catálise Investimentos</x:v>
      </x:c>
      <x:c r="E2379" s="166" t="str">
        <x:f>IFERROR(INDEX('Classif Gestoras'!$H$6:$H$462,MATCH(D2379,'Classif Gestoras'!$A$6:$A$462,0)),"Não classificada")</x:f>
        <x:v>Independente</x:v>
      </x:c>
      <x:c r="F2379" s="166" t="str">
        <x:v>CATÁLISE DTVM</x:v>
      </x:c>
      <x:c r="G2379" s="166" t="str">
        <x:v>BANCO DAYCOVAL S.A.</x:v>
      </x:c>
      <x:c r="H2379" s="166" t="str">
        <x:v>Agro, Indústria e Comércio</x:v>
      </x:c>
      <x:c r="I2379" s="166" t="str">
        <x:v>Recebíveis Comerciais</x:v>
      </x:c>
      <x:c r="J2379" s="166" t="str">
        <x:v>CI</x:v>
      </x:c>
      <x:c r="K2379" s="172" t="n">
        <x:v>1</x:v>
      </x:c>
      <x:c r="L2379" s="185" t="str">
        <x:v>Não classificado</x:v>
      </x:c>
    </x:row>
    <x:row r="2380">
      <x:c r="A2380" s="175" t="str">
        <x:v>53.505.712/0001-29</x:v>
      </x:c>
      <x:c r="B2380" s="166" t="str">
        <x:v>QI LOANS FUNDO DE INVESTIMENTO EM DIREITOS CREDITÓRIOS</x:v>
      </x:c>
      <x:c r="C2380" s="188" t="n">
        <x:v>14094299.46</x:v>
      </x:c>
      <x:c r="D2380" s="166" t="str">
        <x:v>Quadrante Investimentos Ltda</x:v>
      </x:c>
      <x:c r="E2380" s="166" t="str">
        <x:f>IFERROR(INDEX('Classif Gestoras'!$H$6:$H$462,MATCH(D2380,'Classif Gestoras'!$A$6:$A$462,0)),"Não classificada")</x:f>
        <x:v>Independente</x:v>
      </x:c>
      <x:c r="F2380" s="166" t="str">
        <x:v>Finvest Digital</x:v>
      </x:c>
      <x:c r="G2380" s="166" t="str">
        <x:v>FINVEST DISTRIBUIDORA DE TÍTULOS E VALORES MOBILIÁRIOS LTDA.</x:v>
      </x:c>
      <x:c r="H2380" s="166" t="str">
        <x:v>Outros</x:v>
      </x:c>
      <x:c r="I2380" s="166" t="str">
        <x:v>Multicarteira Outros</x:v>
      </x:c>
      <x:c r="J2380" s="166" t="str">
        <x:v>CI</x:v>
      </x:c>
      <x:c r="K2380" s="172" t="n">
        <x:v>1</x:v>
      </x:c>
      <x:c r="L2380" s="185" t="str">
        <x:v>Não classificado</x:v>
      </x:c>
    </x:row>
    <x:row r="2381">
      <x:c r="A2381" s="175" t="str">
        <x:v>59.958.357/0001-20</x:v>
      </x:c>
      <x:c r="B2381" s="166" t="str">
        <x:v>ATLAS FUNDO DE INVESTIMENTO EM DIREITOS CREDITÓRIOS</x:v>
      </x:c>
      <x:c r="C2381" s="188" t="n">
        <x:v>14082616.98</x:v>
      </x:c>
      <x:c r="D2381" s="166" t="str">
        <x:v>BURITI INVESTIMENTOS</x:v>
      </x:c>
      <x:c r="E2381" s="166" t="str">
        <x:f>IFERROR(INDEX('Classif Gestoras'!$H$6:$H$462,MATCH(D2381,'Classif Gestoras'!$A$6:$A$462,0)),"Não classificada")</x:f>
        <x:v>Independente</x:v>
      </x:c>
      <x:c r="F2381" s="166" t="str">
        <x:v>Baru DTVM</x:v>
      </x:c>
      <x:c r="G2381" s="166" t="str">
        <x:v>BARU DISTRIBUIDORA DE TÍTULOS E VALORES MOBILIÁRIOS LTDA.</x:v>
      </x:c>
      <x:c r="H2381" s="166" t="str">
        <x:v>Financeiro</x:v>
      </x:c>
      <x:c r="I2381" s="166" t="str">
        <x:v>Multicarteira Financeiro</x:v>
      </x:c>
      <x:c r="J2381" s="166" t="str">
        <x:v>CI</x:v>
      </x:c>
      <x:c r="K2381" s="172" t="n">
        <x:v>1</x:v>
      </x:c>
      <x:c r="L2381" s="185" t="str">
        <x:v>Não classificado</x:v>
      </x:c>
    </x:row>
    <x:row r="2382">
      <x:c r="A2382" s="175" t="str">
        <x:v>53.807.437/0001-06</x:v>
      </x:c>
      <x:c r="B2382" s="166" t="str">
        <x:v>FPMFP FUNDO DE INVESTIMENTO EM DIREITOS CREDITÓRIOS</x:v>
      </x:c>
      <x:c r="C2382" s="188" t="n">
        <x:v>14076055.52</x:v>
      </x:c>
      <x:c r="D2382" s="166" t="str">
        <x:v>TRUSTEE DTVM</x:v>
      </x:c>
      <x:c r="E2382" s="166" t="str">
        <x:f>IFERROR(INDEX('Classif Gestoras'!$H$6:$H$462,MATCH(D2382,'Classif Gestoras'!$A$6:$A$462,0)),"Não classificada")</x:f>
        <x:v>Independente</x:v>
      </x:c>
      <x:c r="F2382" s="166" t="str">
        <x:v>TRUSTEE DTVM</x:v>
      </x:c>
      <x:c r="G2382" s="166" t="str">
        <x:v>ID CORRETORA DE TITULOS E VALORES MOBILIARIOS S.A.</x:v>
      </x:c>
      <x:c r="H2382" s="166" t="str">
        <x:v>Outros</x:v>
      </x:c>
      <x:c r="I2382" s="166" t="str">
        <x:v>Recuperação</x:v>
      </x:c>
      <x:c r="J2382" s="166" t="str">
        <x:v>CI</x:v>
      </x:c>
      <x:c r="K2382" s="172" t="n">
        <x:v>1</x:v>
      </x:c>
      <x:c r="L2382" s="185" t="str">
        <x:v>Não classificado</x:v>
      </x:c>
    </x:row>
    <x:row r="2383">
      <x:c r="A2383" s="175" t="str">
        <x:v>61.941.406/0001-63</x:v>
      </x:c>
      <x:c r="B2383" s="166" t="str">
        <x:v>EXODO FUNDO DE INVESTIMENTO EM DIREITOS CREDITORIOS</x:v>
      </x:c>
      <x:c r="C2383" s="188" t="n">
        <x:v>14052041.920000002</x:v>
      </x:c>
      <x:c r="D2383" s="166" t="str">
        <x:v>Menestys</x:v>
      </x:c>
      <x:c r="E2383" s="166" t="str">
        <x:f>IFERROR(INDEX('Classif Gestoras'!$H$6:$H$462,MATCH(D2383,'Classif Gestoras'!$A$6:$A$462,0)),"Não classificada")</x:f>
        <x:v>Independente</x:v>
      </x:c>
      <x:c r="F2383" s="166" t="str">
        <x:v>FIDD DISTRIBUIDORA DE TITULOS E VALORES MOBILIARIOS LTD</x:v>
      </x:c>
      <x:c r="G2383" s="166" t="str">
        <x:v>FIDD DISTRIBUIDORA DE TITULOS E VALORES MOBILIARIOS LTDA.</x:v>
      </x:c>
      <x:c r="H2383" s="166" t="str">
        <x:v>Outros</x:v>
      </x:c>
      <x:c r="I2383" s="166" t="str">
        <x:v>Multicarteira Outros</x:v>
      </x:c>
      <x:c r="J2383" s="166" t="str">
        <x:v>CI</x:v>
      </x:c>
      <x:c r="K2383" s="172" t="n">
        <x:v>4</x:v>
      </x:c>
      <x:c r="L2383" s="185" t="str">
        <x:v>Não classificado</x:v>
      </x:c>
    </x:row>
    <x:row r="2384">
      <x:c r="A2384" s="175" t="str">
        <x:v>61.067.121/0001-45</x:v>
      </x:c>
      <x:c r="B2384" s="166" t="str">
        <x:v>ORATA FUNDO DE INVESTIMENTO EM DIREITOS CREDITÓRIOS RESPONSABILIDADE LIMITADA</x:v>
      </x:c>
      <x:c r="C2384" s="188" t="n">
        <x:v>14050346.6</x:v>
      </x:c>
      <x:c r="D2384" s="166" t="str">
        <x:v>FIDD Administração de Recursos Ltda.</x:v>
      </x:c>
      <x:c r="E2384" s="166" t="str">
        <x:f>IFERROR(INDEX('Classif Gestoras'!$H$6:$H$462,MATCH(D2384,'Classif Gestoras'!$A$6:$A$462,0)),"Não classificada")</x:f>
        <x:v>Independente</x:v>
      </x:c>
      <x:c r="F2384" s="166" t="str">
        <x:v>FIDD DISTRIBUIDORA DE TITULOS E VALORES MOBILIARIOS LTD</x:v>
      </x:c>
      <x:c r="G2384" s="166" t="str">
        <x:v>FIDD DISTRIBUIDORA DE TITULOS E VALORES MOBILIARIOS LTDA.</x:v>
      </x:c>
      <x:c r="H2384" s="166" t="str">
        <x:v>Agro, Indústria e Comércio</x:v>
      </x:c>
      <x:c r="I2384" s="166" t="str">
        <x:v>Multicarteira Agro, Indústria e Comércio</x:v>
      </x:c>
      <x:c r="J2384" s="166" t="str">
        <x:v>CI</x:v>
      </x:c>
      <x:c r="K2384" s="172" t="n">
        <x:v>5</x:v>
      </x:c>
      <x:c r="L2384" s="185" t="str">
        <x:v>Não classificado</x:v>
      </x:c>
    </x:row>
    <x:row r="2385">
      <x:c r="A2385" s="175" t="str">
        <x:v>45.525.150/0001-57</x:v>
      </x:c>
      <x:c r="B2385" s="166" t="str">
        <x:v>CITRINO FUNDO DE INVESTIMENTO EM DIREITOS CREDITÓRIOS NÃO PADRONIZADOS</x:v>
      </x:c>
      <x:c r="C2385" s="188" t="n">
        <x:v>14043167.69</x:v>
      </x:c>
      <x:c r="D2385" s="166" t="str">
        <x:v>GV ATACAMA CAPITAL LTDA.</x:v>
      </x:c>
      <x:c r="E2385" s="166" t="str">
        <x:f>IFERROR(INDEX('Classif Gestoras'!$H$6:$H$462,MATCH(D2385,'Classif Gestoras'!$A$6:$A$462,0)),"Não classificada")</x:f>
        <x:v>Independente</x:v>
      </x:c>
      <x:c r="F2385" s="166" t="str">
        <x:v>Singulare</x:v>
      </x:c>
      <x:c r="G2385" s="166" t="str">
        <x:v>QI CORRETORA DE TÍTULOS E VALORES MOBILIÁRIOS S.A.</x:v>
      </x:c>
      <x:c r="H2385" s="166" t="str">
        <x:v>Financeiro</x:v>
      </x:c>
      <x:c r="I2385" s="166" t="str">
        <x:v>Crédito Imobiliário</x:v>
      </x:c>
      <x:c r="J2385" s="166" t="str">
        <x:v>CI</x:v>
      </x:c>
      <x:c r="K2385" s="172" t="n">
        <x:v>2</x:v>
      </x:c>
      <x:c r="L2385" s="185" t="str">
        <x:v>Não classificado</x:v>
      </x:c>
    </x:row>
    <x:row r="2386">
      <x:c r="A2386" s="175" t="str">
        <x:v>44.414.972/0001-06</x:v>
      </x:c>
      <x:c r="B2386" s="166" t="str">
        <x:v>TECNOMOTOR FUNDO DE INVESTIMENTO EM DIREITOS CREDITORIOS</x:v>
      </x:c>
      <x:c r="C2386" s="188" t="n">
        <x:v>14041432.61</x:v>
      </x:c>
      <x:c r="D2386" s="166" t="str">
        <x:v>ASSET MANAGEMENT</x:v>
      </x:c>
      <x:c r="E2386" s="166" t="str">
        <x:f>IFERROR(INDEX('Classif Gestoras'!$H$6:$H$462,MATCH(D2386,'Classif Gestoras'!$A$6:$A$462,0)),"Não classificada")</x:f>
        <x:v>Independente</x:v>
      </x:c>
      <x:c r="F2386" s="166" t="str">
        <x:v>AZUMI DISTRIBUIDORA DE TÍTULOS E VALORES MOBILIÁRIOS LT</x:v>
      </x:c>
      <x:c r="G2386" s="166" t="str">
        <x:v>AZUMI DISTRIBUIDORA DE TÍTULOS E VALORES MOBILIÁRIOS LTDA.</x:v>
      </x:c>
      <x:c r="H2386" s="166" t="str">
        <x:v>Outros</x:v>
      </x:c>
      <x:c r="I2386" s="166" t="str">
        <x:v>Multicarteira Outros</x:v>
      </x:c>
      <x:c r="J2386" s="166" t="str">
        <x:v>CI</x:v>
      </x:c>
      <x:c r="K2386" s="172" t="n">
        <x:v>7</x:v>
      </x:c>
      <x:c r="L2386" s="185" t="str">
        <x:v>Não classificado</x:v>
      </x:c>
    </x:row>
    <x:row r="2387">
      <x:c r="A2387" s="175" t="str">
        <x:v>54.477.887/0001-32</x:v>
      </x:c>
      <x:c r="B2387" s="166" t="str">
        <x:v>VALORA BYX WAREHOUSE FUNDO DE INVESTIMENTO EM DIREITOS CREDITÓRIOS</x:v>
      </x:c>
      <x:c r="C2387" s="188" t="n">
        <x:v>14030260.430000002</x:v>
      </x:c>
      <x:c r="D2387" s="166" t="str">
        <x:v>VALORA RENDA FIXA ESTRUTURADOS LTDA.</x:v>
      </x:c>
      <x:c r="E2387" s="166" t="str">
        <x:f>IFERROR(INDEX('Classif Gestoras'!$H$6:$H$462,MATCH(D2387,'Classif Gestoras'!$A$6:$A$462,0)),"Não classificada")</x:f>
        <x:v>Independente</x:v>
      </x:c>
      <x:c r="F2387" s="166" t="str">
        <x:v>BANCO DAYCOVAL S/A</x:v>
      </x:c>
      <x:c r="G2387" s="166" t="str">
        <x:v>BANCO DAYCOVAL S.A.</x:v>
      </x:c>
      <x:c r="H2387" s="166" t="str">
        <x:v>Financeiro</x:v>
      </x:c>
      <x:c r="I2387" s="166" t="str">
        <x:v>Crédito Pessoal</x:v>
      </x:c>
      <x:c r="J2387" s="166" t="str">
        <x:v>CI</x:v>
      </x:c>
      <x:c r="K2387" s="172" t="n">
        <x:v>37</x:v>
      </x:c>
      <x:c r="L2387" s="185" t="str">
        <x:v>Não classificado</x:v>
      </x:c>
    </x:row>
    <x:row r="2388">
      <x:c r="A2388" s="175" t="str">
        <x:v>62.359.337/0001-47</x:v>
      </x:c>
      <x:c r="B2388" s="166" t="str">
        <x:v>ANKER FUNDO DE INVESTIMENTO EM DIREITOS CREDITÓRIOS CONSÓRCIOS I - RESPONSABILIDADE LIMITADA</x:v>
      </x:c>
      <x:c r="C2388" s="188" t="n">
        <x:v>14026621.77</x:v>
      </x:c>
      <x:c r="D2388" s="166" t="str">
        <x:v>Fram Capital Gestão de Ativos Ltda</x:v>
      </x:c>
      <x:c r="E2388" s="166" t="str">
        <x:f>IFERROR(INDEX('Classif Gestoras'!$H$6:$H$462,MATCH(D2388,'Classif Gestoras'!$A$6:$A$462,0)),"Não classificada")</x:f>
        <x:v>Independente</x:v>
      </x:c>
      <x:c r="F2388" s="166" t="str">
        <x:v>AZUMI DISTRIBUIDORA DE TÍTULOS E VALORES MOBILIÁRIOS LT</x:v>
      </x:c>
      <x:c r="G2388" s="166" t="str">
        <x:v>AZUMI DISTRIBUIDORA DE TÍTULOS E VALORES MOBILIÁRIOS LTDA.</x:v>
      </x:c>
      <x:c r="H2388" s="166" t="str">
        <x:v>Outros</x:v>
      </x:c>
      <x:c r="I2388" s="166" t="str">
        <x:v>Multicarteira Outros</x:v>
      </x:c>
      <x:c r="J2388" s="166" t="str">
        <x:v>CI</x:v>
      </x:c>
      <x:c r="K2388" s="172" t="n">
        <x:v>29</x:v>
      </x:c>
      <x:c r="L2388" s="185" t="str">
        <x:v>Não classificado</x:v>
      </x:c>
    </x:row>
    <x:row r="2389">
      <x:c r="A2389" s="175" t="str">
        <x:v>62.324.138/0001-01</x:v>
      </x:c>
      <x:c r="B2389" s="166" t="str">
        <x:v>BTG PACTUAL FINANTO FGTS FUNDO DE INVESTIMENTO EM DIREITOS CREDITÓRIOS RESPONSABILIDADE LIMITADA</x:v>
      </x:c>
      <x:c r="C2389" s="188" t="n">
        <x:v>13989316.85</x:v>
      </x:c>
      <x:c r="D2389" s="166" t="str">
        <x:v>BTG Pactual Asset</x:v>
      </x:c>
      <x:c r="E2389" s="166" t="str">
        <x:f>IFERROR(INDEX('Classif Gestoras'!$H$6:$H$462,MATCH(D2389,'Classif Gestoras'!$A$6:$A$462,0)),"Não classificada")</x:f>
        <x:v>Ligada a banco</x:v>
      </x:c>
      <x:c r="F2389" s="166" t="str">
        <x:v>BTG Pactual Servicos Financeiros S/A DTVM</x:v>
      </x:c>
      <x:c r="G2389" s="166" t="str">
        <x:v>BANCO BTG PACTUAL S/A</x:v>
      </x:c>
      <x:c r="H2389" s="166" t="str">
        <x:v>Financeiro</x:v>
      </x:c>
      <x:c r="I2389" s="166" t="str">
        <x:v>Crédito Pessoal</x:v>
      </x:c>
      <x:c r="J2389" s="166" t="str">
        <x:v>CI</x:v>
      </x:c>
      <x:c r="K2389" s="172" t="n">
        <x:v>10</x:v>
      </x:c>
      <x:c r="L2389" s="185" t="str">
        <x:v>Não classificado</x:v>
      </x:c>
    </x:row>
    <x:row r="2390">
      <x:c r="A2390" s="175" t="str">
        <x:v>51.587.009/0001-81</x:v>
      </x:c>
      <x:c r="B2390" s="166" t="str">
        <x:v>AJ86 FUNDO DE INVESTIMENTO EM DIREITOS CREDITÓRIOS NÃO PADRONIZADO</x:v>
      </x:c>
      <x:c r="C2390" s="188" t="n">
        <x:v>13915657.58</x:v>
      </x:c>
      <x:c r="D2390" s="166" t="str">
        <x:v>Global Gestão e Investimentos</x:v>
      </x:c>
      <x:c r="E2390" s="166" t="str">
        <x:f>IFERROR(INDEX('Classif Gestoras'!$H$6:$H$462,MATCH(D2390,'Classif Gestoras'!$A$6:$A$462,0)),"Não classificada")</x:f>
        <x:v>Independente</x:v>
      </x:c>
      <x:c r="F2390" s="166" t="str">
        <x:v>Singulare</x:v>
      </x:c>
      <x:c r="G2390" s="166" t="str">
        <x:v>QI CORRETORA DE TÍTULOS E VALORES MOBILIÁRIOS S.A.</x:v>
      </x:c>
      <x:c r="H2390" s="166" t="str">
        <x:v>Fomento Mercantil</x:v>
      </x:c>
      <x:c r="I2390" s="166" t="str">
        <x:v>Fomento Mercantil</x:v>
      </x:c>
      <x:c r="J2390" s="166" t="str">
        <x:v>CI</x:v>
      </x:c>
      <x:c r="K2390" s="172" t="n">
        <x:v>1</x:v>
      </x:c>
      <x:c r="L2390" s="185" t="str">
        <x:v>Não classificado</x:v>
      </x:c>
    </x:row>
    <x:row r="2391">
      <x:c r="A2391" s="175" t="str">
        <x:v>62.031.792/0001-19</x:v>
      </x:c>
      <x:c r="B2391" s="166" t="str">
        <x:v>DS CAPITAL FUNDO DE INVESTIMENTO EM DIREITOS CREDITÓRIOS</x:v>
      </x:c>
      <x:c r="C2391" s="188" t="n">
        <x:v>13825760.95</x:v>
      </x:c>
      <x:c r="D2391" s="166" t="str">
        <x:v>Global Gestão e Investimentos</x:v>
      </x:c>
      <x:c r="E2391" s="166" t="str">
        <x:f>IFERROR(INDEX('Classif Gestoras'!$H$6:$H$462,MATCH(D2391,'Classif Gestoras'!$A$6:$A$462,0)),"Não classificada")</x:f>
        <x:v>Independente</x:v>
      </x:c>
      <x:c r="F2391" s="166" t="str">
        <x:v>MONETAR DISTRIBUIDORA DE TITUL</x:v>
      </x:c>
      <x:c r="G2391" s="166" t="str">
        <x:v>TERRA INVESTIMENTOS DISTRIBUIDORA DE TITULOS E VALORES MOBILIARIOS LTDA</x:v>
      </x:c>
      <x:c r="H2391" s="166" t="str">
        <x:v>Financeiro</x:v>
      </x:c>
      <x:c r="I2391" s="166" t="str">
        <x:v>Financiamento de Veículos</x:v>
      </x:c>
      <x:c r="J2391" s="166" t="str">
        <x:v>CI</x:v>
      </x:c>
      <x:c r="K2391" s="172" t="n">
        <x:v>4</x:v>
      </x:c>
      <x:c r="L2391" s="185" t="str">
        <x:v>Não classificado</x:v>
      </x:c>
    </x:row>
    <x:row r="2392">
      <x:c r="A2392" s="175" t="str">
        <x:v>59.714.044/0001-26</x:v>
      </x:c>
      <x:c r="B2392" s="166" t="str">
        <x:v>NTZ ALPHA FUNDO DE INVESTIMENTO EM DIREITOS CRÉDITORIOS NÃO PADRONIZADODE RESPONSABILIDADE LIMITADA</x:v>
      </x:c>
      <x:c r="C2392" s="188" t="n">
        <x:v>13817486.87</x:v>
      </x:c>
      <x:c r="D2392" s="166" t="str">
        <x:v>Netz Asset</x:v>
      </x:c>
      <x:c r="E2392" s="166" t="str">
        <x:f>IFERROR(INDEX('Classif Gestoras'!$H$6:$H$462,MATCH(D2392,'Classif Gestoras'!$A$6:$A$462,0)),"Não classificada")</x:f>
        <x:v>Independente</x:v>
      </x:c>
      <x:c r="F2392" s="166" t="str">
        <x:v>MONETAR DISTRIBUIDORA DE TITUL</x:v>
      </x:c>
      <x:c r="G2392" s="166" t="str">
        <x:v>TERRA INVESTIMENTOS DISTRIBUIDORA DE TITULOS E VALORES MOBILIARIOS LTDA</x:v>
      </x:c>
      <x:c r="H2392" s="166" t="str">
        <x:v>Outros</x:v>
      </x:c>
      <x:c r="I2392" s="166" t="str">
        <x:v>Multicarteira Outros</x:v>
      </x:c>
      <x:c r="J2392" s="166" t="str">
        <x:v>CI</x:v>
      </x:c>
      <x:c r="K2392" s="172" t="n">
        <x:v>2</x:v>
      </x:c>
      <x:c r="L2392" s="185" t="str">
        <x:v>Não classificado</x:v>
      </x:c>
    </x:row>
    <x:row r="2393">
      <x:c r="A2393" s="175" t="str">
        <x:v>55.694.842/0001-82</x:v>
      </x:c>
      <x:c r="B2393" s="166" t="str">
        <x:v>NEO 8 FUNDO DE INVESTIMENTO EM DIREITOS CREDITÓRIOS MULTISSETORIAL</x:v>
      </x:c>
      <x:c r="C2393" s="188" t="n">
        <x:v>13810950.03</x:v>
      </x:c>
      <x:c r="D2393" s="166" t="str">
        <x:v>Soma Asset</x:v>
      </x:c>
      <x:c r="E2393" s="166" t="str">
        <x:f>IFERROR(INDEX('Classif Gestoras'!$H$6:$H$462,MATCH(D2393,'Classif Gestoras'!$A$6:$A$462,0)),"Não classificada")</x:f>
        <x:v>Independente</x:v>
      </x:c>
      <x:c r="F2393" s="166" t="str">
        <x:v>Singulare</x:v>
      </x:c>
      <x:c r="G2393" s="166" t="str">
        <x:v>QI CORRETORA DE TÍTULOS E VALORES MOBILIÁRIOS S.A.</x:v>
      </x:c>
      <x:c r="H2393" s="166" t="str">
        <x:v>Fomento Mercantil</x:v>
      </x:c>
      <x:c r="I2393" s="166" t="str">
        <x:v>Fomento Mercantil</x:v>
      </x:c>
      <x:c r="J2393" s="166" t="str">
        <x:v>CI</x:v>
      </x:c>
      <x:c r="K2393" s="172" t="n">
        <x:v>12</x:v>
      </x:c>
      <x:c r="L2393" s="185" t="str">
        <x:v>Não classificado</x:v>
      </x:c>
    </x:row>
    <x:row r="2394">
      <x:c r="A2394" s="175" t="str">
        <x:v>45.019.108/0001-64</x:v>
      </x:c>
      <x:c r="B2394" s="166" t="str">
        <x:v>UJAY SPARTA FUNDO DE INVESTIMENTO EM DIREITOS CREDITORIOS NAO - PADRONIZADOS - FIDC NP</x:v>
      </x:c>
      <x:c r="C2394" s="188" t="n">
        <x:v>13780664.12</x:v>
      </x:c>
      <x:c r="D2394" s="166" t="str">
        <x:v>Ujay Capital Investimentos Ltda</x:v>
      </x:c>
      <x:c r="E2394" s="166" t="str">
        <x:f>IFERROR(INDEX('Classif Gestoras'!$H$6:$H$462,MATCH(D2394,'Classif Gestoras'!$A$6:$A$462,0)),"Não classificada")</x:f>
        <x:v>Independente</x:v>
      </x:c>
      <x:c r="F2394" s="166" t="str">
        <x:v>ID Corretora de Títulos e Valores Mobiliários S.A.</x:v>
      </x:c>
      <x:c r="G2394" s="166" t="str">
        <x:v>ID CORRETORA DE TITULOS E VALORES MOBILIARIOS S.A.</x:v>
      </x:c>
      <x:c r="H2394" s="166" t="str">
        <x:v>Outros</x:v>
      </x:c>
      <x:c r="I2394" s="166" t="str">
        <x:v>Poder Público</x:v>
      </x:c>
      <x:c r="J2394" s="166" t="str">
        <x:v>CI</x:v>
      </x:c>
      <x:c r="K2394" s="172" t="n">
        <x:v>1</x:v>
      </x:c>
      <x:c r="L2394" s="185" t="str">
        <x:v>Não classificado</x:v>
      </x:c>
    </x:row>
    <x:row r="2395">
      <x:c r="A2395" s="175" t="str">
        <x:v>57.550.093/0001-45</x:v>
      </x:c>
      <x:c r="B2395" s="166" t="str">
        <x:v>UPB FUNDO DE INVESTIMENTO EM DIREITOS CREDITÓRIOS DE CLASSE ÚNICA FECHADA</x:v>
      </x:c>
      <x:c r="C2395" s="188" t="n">
        <x:v>13735881.8</x:v>
      </x:c>
      <x:c r="D2395" s="166" t="str">
        <x:v>Soma Asset</x:v>
      </x:c>
      <x:c r="E2395" s="166" t="str">
        <x:f>IFERROR(INDEX('Classif Gestoras'!$H$6:$H$462,MATCH(D2395,'Classif Gestoras'!$A$6:$A$462,0)),"Não classificada")</x:f>
        <x:v>Independente</x:v>
      </x:c>
      <x:c r="F2395" s="166" t="str">
        <x:v>Singulare</x:v>
      </x:c>
      <x:c r="G2395" s="166" t="str">
        <x:v>QI CORRETORA DE TÍTULOS E VALORES MOBILIÁRIOS S.A.</x:v>
      </x:c>
      <x:c r="H2395" s="166" t="str">
        <x:v>Outros</x:v>
      </x:c>
      <x:c r="I2395" s="166" t="str">
        <x:v>Multicarteira Outros</x:v>
      </x:c>
      <x:c r="J2395" s="166" t="str">
        <x:v>CI</x:v>
      </x:c>
      <x:c r="K2395" s="172" t="n">
        <x:v>3</x:v>
      </x:c>
      <x:c r="L2395" s="185" t="str">
        <x:v>Não classificado</x:v>
      </x:c>
    </x:row>
    <x:row r="2396">
      <x:c r="A2396" s="175" t="str">
        <x:v>47.227.626/0001-07</x:v>
      </x:c>
      <x:c r="B2396" s="166" t="str">
        <x:v>BOCAINA 051 FUNDO DE INVESTIMENTO EM DIREITOS CREDITÓRIOS DE RESPONSABILIDADE LIMITADA</x:v>
      </x:c>
      <x:c r="C2396" s="188" t="n">
        <x:v>13726129.53</x:v>
      </x:c>
      <x:c r="D2396" s="166" t="str">
        <x:v>Bocaina Capital</x:v>
      </x:c>
      <x:c r="E2396" s="166" t="str">
        <x:f>IFERROR(INDEX('Classif Gestoras'!$H$6:$H$462,MATCH(D2396,'Classif Gestoras'!$A$6:$A$462,0)),"Não classificada")</x:f>
        <x:v>Independente</x:v>
      </x:c>
      <x:c r="F2396" s="166" t="str">
        <x:v>BANCO DAYCOVAL S/A</x:v>
      </x:c>
      <x:c r="G2396" s="166" t="str">
        <x:v>BANCO DAYCOVAL S.A.</x:v>
      </x:c>
      <x:c r="H2396" s="166" t="str">
        <x:v>Outros</x:v>
      </x:c>
      <x:c r="I2396" s="166" t="str">
        <x:v>Multicarteira Outros</x:v>
      </x:c>
      <x:c r="J2396" s="166" t="str">
        <x:v>CI</x:v>
      </x:c>
      <x:c r="K2396" s="172" t="n">
        <x:v>1</x:v>
      </x:c>
      <x:c r="L2396" s="185" t="str">
        <x:v>Não classificado</x:v>
      </x:c>
    </x:row>
    <x:row r="2397">
      <x:c r="A2397" s="175" t="str">
        <x:v>42.133.745/0001-79</x:v>
      </x:c>
      <x:c r="B2397" s="166" t="str">
        <x:v>CLASSE ÚNICA DO STRATEGI SPECIAL OPPORTUNITIES I FIDC RESPONSABILIDADE LTDA</x:v>
      </x:c>
      <x:c r="C2397" s="188" t="n">
        <x:v>13681941.76</x:v>
      </x:c>
      <x:c r="D2397" s="166" t="str">
        <x:v>STRATEGI CAPITAL ASSET MANAGEMENT</x:v>
      </x:c>
      <x:c r="E2397" s="166" t="str">
        <x:f>IFERROR(INDEX('Classif Gestoras'!$H$6:$H$462,MATCH(D2397,'Classif Gestoras'!$A$6:$A$462,0)),"Não classificada")</x:f>
        <x:v>Independente</x:v>
      </x:c>
      <x:c r="F2397" s="166" t="str">
        <x:v>VÓRTX DTVM</x:v>
      </x:c>
      <x:c r="G2397" s="166" t="str">
        <x:v>VORTX DISTRIBUIDORA DE TITULOS E VALORES MOBILIARIOS LTDA.</x:v>
      </x:c>
      <x:c r="H2397" s="166" t="str">
        <x:v>Financeiro</x:v>
      </x:c>
      <x:c r="I2397" s="166" t="str">
        <x:v>Multicarteira Financeiro</x:v>
      </x:c>
      <x:c r="J2397" s="166" t="str">
        <x:v>CI</x:v>
      </x:c>
      <x:c r="K2397" s="172" t="n">
        <x:v>2</x:v>
      </x:c>
      <x:c r="L2397" s="185" t="str">
        <x:v>Não classificado</x:v>
      </x:c>
    </x:row>
    <x:row r="2398">
      <x:c r="A2398" s="175" t="str">
        <x:v>59.359.053/0001-46</x:v>
      </x:c>
      <x:c r="B2398" s="166" t="str">
        <x:v>CNPJ 59359053000146</x:v>
      </x:c>
      <x:c r="C2398" s="188" t="n">
        <x:v>13626014.54</x:v>
      </x:c>
      <x:c r="D2398" s="166" t="str">
        <x:v>GESTORA DE RECURSOS ID - GRID LTDA.</x:v>
      </x:c>
      <x:c r="E2398" s="166" t="str">
        <x:f>IFERROR(INDEX('Classif Gestoras'!$H$6:$H$462,MATCH(D2398,'Classif Gestoras'!$A$6:$A$462,0)),"Não classificada")</x:f>
        <x:v>Independente</x:v>
      </x:c>
      <x:c r="F2398" s="166" t="str">
        <x:v>ID Corretora de Títulos e Valores Mobiliários S.A.</x:v>
      </x:c>
      <x:c r="G2398" s="166" t="str">
        <x:v>Não identificado</x:v>
      </x:c>
      <x:c r="H2398" s="166" t="str">
        <x:v>Outros</x:v>
      </x:c>
      <x:c r="I2398" s="166" t="str">
        <x:v>Multicarteira Outros</x:v>
      </x:c>
      <x:c r="J2398" s="166" t="str">
        <x:v>CI</x:v>
      </x:c>
      <x:c r="K2398" s="172"/>
      <x:c r="L2398" s="185" t="str">
        <x:v>Não classificado</x:v>
      </x:c>
    </x:row>
    <x:row r="2399">
      <x:c r="A2399" s="175" t="str">
        <x:v>59.472.452/0001-19</x:v>
      </x:c>
      <x:c r="B2399" s="166" t="str">
        <x:v>GAMBOA FUNDO DE INVESTIMENTO EM DIREITOS CREDITÓRIOS RESPONSABILIDADE LIMITADA</x:v>
      </x:c>
      <x:c r="C2399" s="188" t="n">
        <x:v>13614195.81</x:v>
      </x:c>
      <x:c r="D2399" s="166" t="str">
        <x:v>Paraguaçu Investimentos</x:v>
      </x:c>
      <x:c r="E2399" s="166" t="str">
        <x:f>IFERROR(INDEX('Classif Gestoras'!$H$6:$H$462,MATCH(D2399,'Classif Gestoras'!$A$6:$A$462,0)),"Não classificada")</x:f>
        <x:v>Independente</x:v>
      </x:c>
      <x:c r="F2399" s="166" t="str">
        <x:v>Genial Investimentos Corretora de Valores Mobiliários S.A.</x:v>
      </x:c>
      <x:c r="G2399" s="166" t="str">
        <x:v>BANCO GENIAL S.A.</x:v>
      </x:c>
      <x:c r="H2399" s="166" t="str">
        <x:v>Outros</x:v>
      </x:c>
      <x:c r="I2399" s="166" t="str">
        <x:v>Multicarteira Outros</x:v>
      </x:c>
      <x:c r="J2399" s="166" t="str">
        <x:v>CI</x:v>
      </x:c>
      <x:c r="K2399" s="172" t="n">
        <x:v>1</x:v>
      </x:c>
      <x:c r="L2399" s="185" t="str">
        <x:v>Não classificado</x:v>
      </x:c>
    </x:row>
    <x:row r="2400">
      <x:c r="A2400" s="175" t="str">
        <x:v>32.295.244/0001-35</x:v>
      </x:c>
      <x:c r="B2400" s="166" t="str">
        <x:v>CREDORES FUNDO DE INVESTIMENTO EM DIREITOS CREDITÓRIOS NÃO-PADRONIZADOS RESPONSABILIDADE LIMITADA</x:v>
      </x:c>
      <x:c r="C2400" s="188" t="n">
        <x:v>13573418.3</x:v>
      </x:c>
      <x:c r="D2400" s="166" t="str">
        <x:v>GESTORA DE RECURSOS ID - GRID LTDA.</x:v>
      </x:c>
      <x:c r="E2400" s="166" t="str">
        <x:f>IFERROR(INDEX('Classif Gestoras'!$H$6:$H$462,MATCH(D2400,'Classif Gestoras'!$A$6:$A$462,0)),"Não classificada")</x:f>
        <x:v>Independente</x:v>
      </x:c>
      <x:c r="F2400" s="166" t="str">
        <x:v>ID Corretora de Títulos e Valores Mobiliários S.A.</x:v>
      </x:c>
      <x:c r="G2400" s="166" t="str">
        <x:v>ID CORRETORA DE TITULOS E VALORES MOBILIARIOS S.A.</x:v>
      </x:c>
      <x:c r="H2400" s="166" t="str">
        <x:v>Outros</x:v>
      </x:c>
      <x:c r="I2400" s="166" t="str">
        <x:v>Multicarteira Outros</x:v>
      </x:c>
      <x:c r="J2400" s="166" t="str">
        <x:v>CI</x:v>
      </x:c>
      <x:c r="K2400" s="172" t="n">
        <x:v>2</x:v>
      </x:c>
      <x:c r="L2400" s="185" t="str">
        <x:v>Não classificado</x:v>
      </x:c>
    </x:row>
    <x:row r="2401">
      <x:c r="A2401" s="175" t="str">
        <x:v>34.964.529/0001-47</x:v>
      </x:c>
      <x:c r="B2401" s="166" t="str">
        <x:v>MORELIA FUNDO DE INVESTIMENTO EM DIREITOS CREDITÓRIOS NÃO-PADRONIZADOS</x:v>
      </x:c>
      <x:c r="C2401" s="188" t="n">
        <x:v>13564282.287599998</x:v>
      </x:c>
      <x:c r="D2401" s="166" t="str">
        <x:v>Jus Capital Gestão de Recursos LTDA</x:v>
      </x:c>
      <x:c r="E2401" s="166" t="str">
        <x:f>IFERROR(INDEX('Classif Gestoras'!$H$6:$H$462,MATCH(D2401,'Classif Gestoras'!$A$6:$A$462,0)),"Não classificada")</x:f>
        <x:v>Independente</x:v>
      </x:c>
      <x:c r="F2401" s="166" t="str">
        <x:v>BTG Pactual Servicos Financeiros S/A DTVM</x:v>
      </x:c>
      <x:c r="G2401" s="166" t="str">
        <x:v>BANCO BTG PACTUAL S/A</x:v>
      </x:c>
      <x:c r="H2401" s="166" t="str">
        <x:v>Outros</x:v>
      </x:c>
      <x:c r="I2401" s="166" t="str">
        <x:v>Não se aplica</x:v>
      </x:c>
      <x:c r="J2401" s="166" t="str">
        <x:v>CI</x:v>
      </x:c>
      <x:c r="K2401" s="172" t="n">
        <x:v>7</x:v>
      </x:c>
      <x:c r="L2401" s="185" t="str">
        <x:v>Não classificado</x:v>
      </x:c>
    </x:row>
    <x:row r="2402">
      <x:c r="A2402" s="175" t="str">
        <x:v>31.894.563/0001-02</x:v>
      </x:c>
      <x:c r="B2402" s="166" t="str">
        <x:v>BELSINOS FUNDO DE INVESTIMENTO EM DIREITOS CREDITÓRIOS</x:v>
      </x:c>
      <x:c r="C2402" s="188" t="n">
        <x:v>13545607.58</x:v>
      </x:c>
      <x:c r="D2402" s="166" t="str">
        <x:v>OURO PRETO INVESTIMENTOS</x:v>
      </x:c>
      <x:c r="E2402" s="166" t="str">
        <x:f>IFERROR(INDEX('Classif Gestoras'!$H$6:$H$462,MATCH(D2402,'Classif Gestoras'!$A$6:$A$462,0)),"Não classificada")</x:f>
        <x:v>Independente</x:v>
      </x:c>
      <x:c r="F2402" s="166" t="str">
        <x:v>Singulare</x:v>
      </x:c>
      <x:c r="G2402" s="166" t="str">
        <x:v>QI CORRETORA DE TÍTULOS E VALORES MOBILIÁRIOS S.A.</x:v>
      </x:c>
      <x:c r="H2402" s="166" t="str">
        <x:v>Fomento Mercantil</x:v>
      </x:c>
      <x:c r="I2402" s="166" t="str">
        <x:v>Fomento Mercantil</x:v>
      </x:c>
      <x:c r="J2402" s="166" t="str">
        <x:v>CI</x:v>
      </x:c>
      <x:c r="K2402" s="172" t="n">
        <x:v>4</x:v>
      </x:c>
      <x:c r="L2402" s="185" t="str">
        <x:v>Não classificado</x:v>
      </x:c>
    </x:row>
    <x:row r="2403">
      <x:c r="A2403" s="175" t="str">
        <x:v>43.143.438/0001-31</x:v>
      </x:c>
      <x:c r="B2403" s="166" t="str">
        <x:v>STZ FORNECEDORES FUNDO DE INVESTIMENTO EM DIREITOS CREDITÓRIOS CORPORATIVOS</x:v>
      </x:c>
      <x:c r="C2403" s="188" t="n">
        <x:v>13540359.320000002</x:v>
      </x:c>
      <x:c r="D2403" s="166" t="str">
        <x:v>EuQueroInvestir Gestão de Recursos Ltda.</x:v>
      </x:c>
      <x:c r="E2403" s="166" t="str">
        <x:f>IFERROR(INDEX('Classif Gestoras'!$H$6:$H$462,MATCH(D2403,'Classif Gestoras'!$A$6:$A$462,0)),"Não classificada")</x:f>
        <x:v>Independente</x:v>
      </x:c>
      <x:c r="F2403" s="166" t="str">
        <x:v>BTG Pactual Servicos Financeiros S/A DTVM</x:v>
      </x:c>
      <x:c r="G2403" s="166" t="str">
        <x:v>BANCO BTG PACTUAL S/A</x:v>
      </x:c>
      <x:c r="H2403" s="166" t="str">
        <x:v>Agro, Indústria e Comércio</x:v>
      </x:c>
      <x:c r="I2403" s="166" t="str">
        <x:v>Crédito Corporativo</x:v>
      </x:c>
      <x:c r="J2403" s="166" t="str">
        <x:v>CI</x:v>
      </x:c>
      <x:c r="K2403" s="172" t="n">
        <x:v>477</x:v>
      </x:c>
      <x:c r="L2403" s="185" t="str">
        <x:v>Não classificado</x:v>
      </x:c>
    </x:row>
    <x:row r="2404">
      <x:c r="A2404" s="175" t="str">
        <x:v>60.369.814/0001-20</x:v>
      </x:c>
      <x:c r="B2404" s="166" t="str">
        <x:v>BR4 FUND FUNDO DE INVESTIMENTO EM DIREITOS CREDITÓRIOS RESPONSABILIDADE LIMITADA</x:v>
      </x:c>
      <x:c r="C2404" s="188" t="n">
        <x:v>13507291.76</x:v>
      </x:c>
      <x:c r="D2404" s="166" t="str">
        <x:v>Paraguaçu Investimentos</x:v>
      </x:c>
      <x:c r="E2404" s="166" t="str">
        <x:f>IFERROR(INDEX('Classif Gestoras'!$H$6:$H$462,MATCH(D2404,'Classif Gestoras'!$A$6:$A$462,0)),"Não classificada")</x:f>
        <x:v>Independente</x:v>
      </x:c>
      <x:c r="F2404" s="166" t="str">
        <x:v>RJI Investimentos</x:v>
      </x:c>
      <x:c r="G2404" s="166" t="str">
        <x:v>RJI CORRETORA DE TÍTULOS E VALORES MOBILIÁRIOS LTDA.</x:v>
      </x:c>
      <x:c r="H2404" s="166" t="str">
        <x:v>Agro, Indústria e Comércio</x:v>
      </x:c>
      <x:c r="I2404" s="166" t="str">
        <x:v>Multicarteira Agro, Indústria e Comércio</x:v>
      </x:c>
      <x:c r="J2404" s="166" t="str">
        <x:v>CI</x:v>
      </x:c>
      <x:c r="K2404" s="172" t="n">
        <x:v>3</x:v>
      </x:c>
      <x:c r="L2404" s="185" t="str">
        <x:v>Não classificado</x:v>
      </x:c>
    </x:row>
    <x:row r="2405">
      <x:c r="A2405" s="175" t="str">
        <x:v>63.024.768/0001-15</x:v>
      </x:c>
      <x:c r="B2405" s="166" t="str">
        <x:v>BRAVIUM FUNDO DE INVESTIMENTO EM DIREITOS CREDITÓRIOS</x:v>
      </x:c>
      <x:c r="C2405" s="188" t="n">
        <x:v>13493200.63</x:v>
      </x:c>
      <x:c r="D2405" s="166" t="str">
        <x:v>Redwood Asset Management</x:v>
      </x:c>
      <x:c r="E2405" s="166" t="str">
        <x:f>IFERROR(INDEX('Classif Gestoras'!$H$6:$H$462,MATCH(D2405,'Classif Gestoras'!$A$6:$A$462,0)),"Não classificada")</x:f>
        <x:v>Independente</x:v>
      </x:c>
      <x:c r="F2405" s="166" t="str">
        <x:v>PLANNER CV</x:v>
      </x:c>
      <x:c r="G2405" s="166" t="str">
        <x:v>PLANNER CORRETORA DE VALORES S.A.</x:v>
      </x:c>
      <x:c r="H2405" s="166" t="str">
        <x:v>Outros</x:v>
      </x:c>
      <x:c r="I2405" s="166" t="str">
        <x:v>Multicarteira Outros</x:v>
      </x:c>
      <x:c r="J2405" s="166" t="str">
        <x:v>CI</x:v>
      </x:c>
      <x:c r="K2405" s="172" t="n">
        <x:v>1</x:v>
      </x:c>
      <x:c r="L2405" s="185" t="str">
        <x:v>Não classificado</x:v>
      </x:c>
    </x:row>
    <x:row r="2406">
      <x:c r="A2406" s="175" t="str">
        <x:v>55.965.708/0001-79</x:v>
      </x:c>
      <x:c r="B2406" s="166" t="str">
        <x:v>ATLANTA I FUNDO DE INVESTIMENTO EM DIREITOS CREDITÓRIOS RESPONSABILIDADE LIMITADA</x:v>
      </x:c>
      <x:c r="C2406" s="188" t="n">
        <x:v>13486411.5</x:v>
      </x:c>
      <x:c r="D2406" s="166" t="str">
        <x:v>Redwood Asset Management</x:v>
      </x:c>
      <x:c r="E2406" s="166" t="str">
        <x:f>IFERROR(INDEX('Classif Gestoras'!$H$6:$H$462,MATCH(D2406,'Classif Gestoras'!$A$6:$A$462,0)),"Não classificada")</x:f>
        <x:v>Independente</x:v>
      </x:c>
      <x:c r="F2406" s="166" t="str">
        <x:v>PLANNER CV</x:v>
      </x:c>
      <x:c r="G2406" s="166" t="str">
        <x:v>PLANNER CORRETORA DE VALORES S.A.</x:v>
      </x:c>
      <x:c r="H2406" s="166" t="str">
        <x:v>Outros</x:v>
      </x:c>
      <x:c r="I2406" s="166" t="str">
        <x:v>Multicarteira Outros</x:v>
      </x:c>
      <x:c r="J2406" s="166" t="str">
        <x:v>CI</x:v>
      </x:c>
      <x:c r="K2406" s="172" t="n">
        <x:v>1</x:v>
      </x:c>
      <x:c r="L2406" s="185" t="str">
        <x:v>Não classificado</x:v>
      </x:c>
    </x:row>
    <x:row r="2407">
      <x:c r="A2407" s="175" t="str">
        <x:v>56.972.378/0001-01</x:v>
      </x:c>
      <x:c r="B2407" s="166" t="str">
        <x:v>FUNDO DE INVESTIMENTO EM DIREITOS CREDITÓRIOS PFN MT III RESPONSABILIDADE LIMITADA</x:v>
      </x:c>
      <x:c r="C2407" s="188" t="n">
        <x:v>13451426.17</x:v>
      </x:c>
      <x:c r="D2407" s="166" t="str">
        <x:v>Solis</x:v>
      </x:c>
      <x:c r="E2407" s="166" t="str">
        <x:f>IFERROR(INDEX('Classif Gestoras'!$H$6:$H$462,MATCH(D2407,'Classif Gestoras'!$A$6:$A$462,0)),"Não classificada")</x:f>
        <x:v>Independente</x:v>
      </x:c>
      <x:c r="F2407" s="166" t="str">
        <x:v>BANCO DAYCOVAL S/A</x:v>
      </x:c>
      <x:c r="G2407" s="166" t="str">
        <x:v>BANCO DAYCOVAL S.A.</x:v>
      </x:c>
      <x:c r="H2407" s="166" t="str">
        <x:v>Financeiro</x:v>
      </x:c>
      <x:c r="I2407" s="166" t="str">
        <x:v>Crédito Pessoal</x:v>
      </x:c>
      <x:c r="J2407" s="166" t="str">
        <x:v>CI</x:v>
      </x:c>
      <x:c r="K2407" s="172" t="n">
        <x:v>20</x:v>
      </x:c>
      <x:c r="L2407" s="185" t="str">
        <x:v>Não classificado</x:v>
      </x:c>
    </x:row>
    <x:row r="2408">
      <x:c r="A2408" s="175" t="str">
        <x:v>22.101.473/0001-18</x:v>
      </x:c>
      <x:c r="B2408" s="166" t="str">
        <x:v>LITUS FUNDO DE INVESTIMENTO EM DIREITOS CREDITÓRIOS MULTISEGMENTOS</x:v>
      </x:c>
      <x:c r="C2408" s="188" t="n">
        <x:v>13428930.909999998</x:v>
      </x:c>
      <x:c r="D2408" s="166" t="str">
        <x:v>Litus Gestão de Recursos LTDA</x:v>
      </x:c>
      <x:c r="E2408" s="166" t="str">
        <x:f>IFERROR(INDEX('Classif Gestoras'!$H$6:$H$462,MATCH(D2408,'Classif Gestoras'!$A$6:$A$462,0)),"Não classificada")</x:f>
        <x:v>Independente</x:v>
      </x:c>
      <x:c r="F2408" s="166" t="str">
        <x:v>Finaxis Corretora de Títulos e Valores Mobiliários S.A.</x:v>
      </x:c>
      <x:c r="G2408" s="166" t="str">
        <x:v>BANCO FINAXIS S.A.</x:v>
      </x:c>
      <x:c r="H2408" s="166" t="str">
        <x:v>Outros</x:v>
      </x:c>
      <x:c r="I2408" s="166" t="str">
        <x:v>Multicarteira Outros</x:v>
      </x:c>
      <x:c r="J2408" s="166" t="str">
        <x:v>CI</x:v>
      </x:c>
      <x:c r="K2408" s="172" t="n">
        <x:v>11</x:v>
      </x:c>
      <x:c r="L2408" s="185" t="str">
        <x:v>Não classificado</x:v>
      </x:c>
    </x:row>
    <x:row r="2409">
      <x:c r="A2409" s="175" t="str">
        <x:v>09.414.255/0001-75</x:v>
      </x:c>
      <x:c r="B2409" s="166" t="str">
        <x:v>DANIELE I - FUNDO DE INVESTIMENTO EM DIREITOS CREDITÓRIOS MULTISSEGMENTOS</x:v>
      </x:c>
      <x:c r="C2409" s="188" t="n">
        <x:v>13403325.550000004</x:v>
      </x:c>
      <x:c r="D2409" s="166" t="str">
        <x:v>Petra Capital</x:v>
      </x:c>
      <x:c r="E2409" s="166" t="str">
        <x:f>IFERROR(INDEX('Classif Gestoras'!$H$6:$H$462,MATCH(D2409,'Classif Gestoras'!$A$6:$A$462,0)),"Não classificada")</x:f>
        <x:v>Independente</x:v>
      </x:c>
      <x:c r="F2409" s="166" t="str">
        <x:v>Finaxis Corretora de Títulos e Valores Mobiliários S.A.</x:v>
      </x:c>
      <x:c r="G2409" s="166" t="str">
        <x:v>BANCO FINAXIS S.A.</x:v>
      </x:c>
      <x:c r="H2409" s="166" t="str">
        <x:v>Fomento Mercantil</x:v>
      </x:c>
      <x:c r="I2409" s="166" t="str">
        <x:v>Fomento Mercantil</x:v>
      </x:c>
      <x:c r="J2409" s="166" t="str">
        <x:v>CI</x:v>
      </x:c>
      <x:c r="K2409" s="172" t="n">
        <x:v>2</x:v>
      </x:c>
      <x:c r="L2409" s="185" t="str">
        <x:v>Não classificado</x:v>
      </x:c>
    </x:row>
    <x:row r="2410">
      <x:c r="A2410" s="175" t="str">
        <x:v>43.181.523/0001-94</x:v>
      </x:c>
      <x:c r="B2410" s="166" t="str">
        <x:v>CNPJ 43181523000194</x:v>
      </x:c>
      <x:c r="C2410" s="188" t="n">
        <x:v>13387160.26</x:v>
      </x:c>
      <x:c r="D2410" s="166" t="str">
        <x:v>OURO PRETO INVESTIMENTOS</x:v>
      </x:c>
      <x:c r="E2410" s="166" t="str">
        <x:f>IFERROR(INDEX('Classif Gestoras'!$H$6:$H$462,MATCH(D2410,'Classif Gestoras'!$A$6:$A$462,0)),"Não classificada")</x:f>
        <x:v>Independente</x:v>
      </x:c>
      <x:c r="F2410" s="166" t="str">
        <x:v>ACTUAL DTVM</x:v>
      </x:c>
      <x:c r="G2410" s="166" t="str">
        <x:v>Não identificado</x:v>
      </x:c>
      <x:c r="H2410" s="166" t="str">
        <x:v>Fomento Mercantil</x:v>
      </x:c>
      <x:c r="I2410" s="166" t="str">
        <x:v>Fomento Mercantil</x:v>
      </x:c>
      <x:c r="J2410" s="166" t="str">
        <x:v>CI</x:v>
      </x:c>
      <x:c r="K2410" s="172"/>
      <x:c r="L2410" s="185" t="str">
        <x:v>Não classificado</x:v>
      </x:c>
    </x:row>
    <x:row r="2411">
      <x:c r="A2411" s="175" t="str">
        <x:v>48.900.092/0001-92</x:v>
      </x:c>
      <x:c r="B2411" s="166" t="str">
        <x:v>SEVEN LAKES FUNDO DE INVESTIMENTO EM DIREITOS CREDITÓRIOS</x:v>
      </x:c>
      <x:c r="C2411" s="188" t="n">
        <x:v>13384222.09</x:v>
      </x:c>
      <x:c r="D2411" s="166" t="str">
        <x:v>PATAGÔNIA CAPITAL</x:v>
      </x:c>
      <x:c r="E2411" s="166" t="str">
        <x:f>IFERROR(INDEX('Classif Gestoras'!$H$6:$H$462,MATCH(D2411,'Classif Gestoras'!$A$6:$A$462,0)),"Não classificada")</x:f>
        <x:v>Independente</x:v>
      </x:c>
      <x:c r="F2411" s="166" t="str">
        <x:v>VÓRTX DTVM</x:v>
      </x:c>
      <x:c r="G2411" s="166" t="str">
        <x:v>VORTX DISTRIBUIDORA DE TITULOS E VALORES MOBILIARIOS LTDA.</x:v>
      </x:c>
      <x:c r="H2411" s="166" t="str">
        <x:v>Agro, Indústria e Comércio</x:v>
      </x:c>
      <x:c r="I2411" s="166" t="str">
        <x:v>Crédito Corporativo</x:v>
      </x:c>
      <x:c r="J2411" s="166" t="str">
        <x:v>CI</x:v>
      </x:c>
      <x:c r="K2411" s="172" t="n">
        <x:v>4</x:v>
      </x:c>
      <x:c r="L2411" s="185" t="str">
        <x:v>Não classificado</x:v>
      </x:c>
    </x:row>
    <x:row r="2412">
      <x:c r="A2412" s="175" t="str">
        <x:v>64.054.550/0001-76</x:v>
      </x:c>
      <x:c r="B2412" s="166" t="str">
        <x:v>KUARÁ ARTEMIS HIGH YIELD I FUNDO DE INVESTIMENTO EM DIREITOS CREDITÓRIOS RESPONSABILIDADE LIMITADA</x:v>
      </x:c>
      <x:c r="C2412" s="188" t="n">
        <x:v>13374202.14</x:v>
      </x:c>
      <x:c r="D2412" s="166" t="str">
        <x:v>Kuará Capital</x:v>
      </x:c>
      <x:c r="E2412" s="166" t="str">
        <x:f>IFERROR(INDEX('Classif Gestoras'!$H$6:$H$462,MATCH(D2412,'Classif Gestoras'!$A$6:$A$462,0)),"Não classificada")</x:f>
        <x:v>Independente</x:v>
      </x:c>
      <x:c r="F2412" s="166" t="str">
        <x:v>ID Corretora de Títulos e Valores Mobiliários S.A.</x:v>
      </x:c>
      <x:c r="G2412" s="166" t="str">
        <x:v>BARU DISTRIBUIDORA DE TÍTULOS E VALORES MOBILIÁRIOS LTDA.</x:v>
      </x:c>
      <x:c r="H2412" s="166" t="str">
        <x:v>Fomento Mercantil</x:v>
      </x:c>
      <x:c r="I2412" s="166" t="str">
        <x:v>Fomento Mercantil</x:v>
      </x:c>
      <x:c r="J2412" s="166" t="str">
        <x:v>CI</x:v>
      </x:c>
      <x:c r="K2412" s="172" t="n">
        <x:v>2</x:v>
      </x:c>
      <x:c r="L2412" s="185" t="str">
        <x:v>Não classificado</x:v>
      </x:c>
    </x:row>
    <x:row r="2413">
      <x:c r="A2413" s="175" t="str">
        <x:v>23.884.799/0001-21</x:v>
      </x:c>
      <x:c r="B2413" s="166" t="str">
        <x:v>FP GENIAL 2 RECUPERAÇÃO DE CRÉDITO FUNDO DE INVESTIMENTO EM DIREITOS CREDITÓRIOS NÃO PADRONIZADOS</x:v>
      </x:c>
      <x:c r="C2413" s="188" t="n">
        <x:v>13373079.54</x:v>
      </x:c>
      <x:c r="D2413" s="166" t="str">
        <x:v>Plural</x:v>
      </x:c>
      <x:c r="E2413" s="166" t="str">
        <x:f>IFERROR(INDEX('Classif Gestoras'!$H$6:$H$462,MATCH(D2413,'Classif Gestoras'!$A$6:$A$462,0)),"Não classificada")</x:f>
        <x:v>Ligada a banco</x:v>
      </x:c>
      <x:c r="F2413" s="166" t="str">
        <x:v>Singulare</x:v>
      </x:c>
      <x:c r="G2413" s="166" t="str">
        <x:v>QI CORRETORA DE TÍTULOS E VALORES MOBILIÁRIOS S.A.</x:v>
      </x:c>
      <x:c r="H2413" s="166" t="str">
        <x:v>Outros</x:v>
      </x:c>
      <x:c r="I2413" s="166" t="str">
        <x:v>Recuperação</x:v>
      </x:c>
      <x:c r="J2413" s="166" t="str">
        <x:v>CI</x:v>
      </x:c>
      <x:c r="K2413" s="172" t="n">
        <x:v>10</x:v>
      </x:c>
      <x:c r="L2413" s="185" t="str">
        <x:v>Não classificado</x:v>
      </x:c>
    </x:row>
    <x:row r="2414">
      <x:c r="A2414" s="175" t="str">
        <x:v>48.213.253/0001-70</x:v>
      </x:c>
      <x:c r="B2414" s="166" t="str">
        <x:v>INVESTMAX FUNDO DE INVESTIMENTO EM DIREITOS CREDITÓRIOS</x:v>
      </x:c>
      <x:c r="C2414" s="188" t="n">
        <x:v>13363940.71</x:v>
      </x:c>
      <x:c r="D2414" s="166" t="str">
        <x:v>ASSET MANAGEMENT</x:v>
      </x:c>
      <x:c r="E2414" s="166" t="str">
        <x:f>IFERROR(INDEX('Classif Gestoras'!$H$6:$H$462,MATCH(D2414,'Classif Gestoras'!$A$6:$A$462,0)),"Não classificada")</x:f>
        <x:v>Independente</x:v>
      </x:c>
      <x:c r="F2414" s="166" t="str">
        <x:v>AZUMI DISTRIBUIDORA DE TÍTULOS E VALORES MOBILIÁRIOS LT</x:v>
      </x:c>
      <x:c r="G2414" s="166" t="str">
        <x:v>AZUMI DISTRIBUIDORA DE TÍTULOS E VALORES MOBILIÁRIOS LTDA.</x:v>
      </x:c>
      <x:c r="H2414" s="166" t="str">
        <x:v>Outros</x:v>
      </x:c>
      <x:c r="I2414" s="166" t="str">
        <x:v>Multicarteira Outros</x:v>
      </x:c>
      <x:c r="J2414" s="166" t="str">
        <x:v>CI</x:v>
      </x:c>
      <x:c r="K2414" s="172" t="n">
        <x:v>8</x:v>
      </x:c>
      <x:c r="L2414" s="185" t="str">
        <x:v>Não classificado</x:v>
      </x:c>
    </x:row>
    <x:row r="2415">
      <x:c r="A2415" s="175" t="str">
        <x:v>51.901.421/0001-24</x:v>
      </x:c>
      <x:c r="B2415" s="166" t="str">
        <x:v>MASTRENN FUNDO DE INVESTIMENTO EM DIREITOS CREDITÓRIOS</x:v>
      </x:c>
      <x:c r="C2415" s="188" t="n">
        <x:v>13289310.159999998</x:v>
      </x:c>
      <x:c r="D2415" s="166" t="str">
        <x:v>Catálise Investimentos</x:v>
      </x:c>
      <x:c r="E2415" s="166" t="str">
        <x:f>IFERROR(INDEX('Classif Gestoras'!$H$6:$H$462,MATCH(D2415,'Classif Gestoras'!$A$6:$A$462,0)),"Não classificada")</x:f>
        <x:v>Independente</x:v>
      </x:c>
      <x:c r="F2415" s="166" t="str">
        <x:v>CATÁLISE DTVM</x:v>
      </x:c>
      <x:c r="G2415" s="166" t="str">
        <x:v>BANCO DAYCOVAL S.A.</x:v>
      </x:c>
      <x:c r="H2415" s="166" t="str">
        <x:v>Agro, Indústria e Comércio</x:v>
      </x:c>
      <x:c r="I2415" s="166" t="str">
        <x:v>Recebíveis Comerciais</x:v>
      </x:c>
      <x:c r="J2415" s="166" t="str">
        <x:v>CI</x:v>
      </x:c>
      <x:c r="K2415" s="172" t="n">
        <x:v>1</x:v>
      </x:c>
      <x:c r="L2415" s="185" t="str">
        <x:v>Não classificado</x:v>
      </x:c>
    </x:row>
    <x:row r="2416">
      <x:c r="A2416" s="175" t="str">
        <x:v>60.666.932/0001-08</x:v>
      </x:c>
      <x:c r="B2416" s="166" t="str">
        <x:v>BPI CAPITAIS FUNDO DE INVESTIMENTO EM DIREITOS CREDITÓRIOS</x:v>
      </x:c>
      <x:c r="C2416" s="188" t="n">
        <x:v>13241751.35</x:v>
      </x:c>
      <x:c r="D2416" s="166" t="str">
        <x:v>Tyr Gestao de Recursos Ltda</x:v>
      </x:c>
      <x:c r="E2416" s="166" t="str">
        <x:f>IFERROR(INDEX('Classif Gestoras'!$H$6:$H$462,MATCH(D2416,'Classif Gestoras'!$A$6:$A$462,0)),"Não classificada")</x:f>
        <x:v>Independente</x:v>
      </x:c>
      <x:c r="F2416" s="166" t="str">
        <x:v>ID Corretora de Títulos e Valores Mobiliários S.A.</x:v>
      </x:c>
      <x:c r="G2416" s="166" t="str">
        <x:v>ID CORRETORA DE TITULOS E VALORES MOBILIARIOS S.A.</x:v>
      </x:c>
      <x:c r="H2416" s="166" t="str">
        <x:v>Outros</x:v>
      </x:c>
      <x:c r="I2416" s="166" t="str">
        <x:v>Multicarteira Outros</x:v>
      </x:c>
      <x:c r="J2416" s="166" t="str">
        <x:v>CI</x:v>
      </x:c>
      <x:c r="K2416" s="172" t="n">
        <x:v>1</x:v>
      </x:c>
      <x:c r="L2416" s="185" t="str">
        <x:v>Não classificado</x:v>
      </x:c>
    </x:row>
    <x:row r="2417">
      <x:c r="A2417" s="175" t="str">
        <x:v>53.032.513/0001-40</x:v>
      </x:c>
      <x:c r="B2417" s="166" t="str">
        <x:v>COBUCCIO EMPRÉSTIMOS FUNDO DE INVESTIMENTO EM DIREITOS CREDITÓRIOS</x:v>
      </x:c>
      <x:c r="C2417" s="188" t="n">
        <x:v>13218839.38</x:v>
      </x:c>
      <x:c r="D2417" s="166" t="str">
        <x:v>CARMEL GESTORA DE ATIVOS LTDA</x:v>
      </x:c>
      <x:c r="E2417" s="166" t="str">
        <x:f>IFERROR(INDEX('Classif Gestoras'!$H$6:$H$462,MATCH(D2417,'Classif Gestoras'!$A$6:$A$462,0)),"Não classificada")</x:f>
        <x:v>Independente</x:v>
      </x:c>
      <x:c r="F2417" s="166" t="str">
        <x:v>Singulare</x:v>
      </x:c>
      <x:c r="G2417" s="166" t="str">
        <x:v>QI CORRETORA DE TÍTULOS E VALORES MOBILIÁRIOS S.A.</x:v>
      </x:c>
      <x:c r="H2417" s="166" t="str">
        <x:v>Financeiro</x:v>
      </x:c>
      <x:c r="I2417" s="166" t="str">
        <x:v>Crédito Consignado</x:v>
      </x:c>
      <x:c r="J2417" s="166" t="str">
        <x:v>CI</x:v>
      </x:c>
      <x:c r="K2417" s="172" t="n">
        <x:v>2</x:v>
      </x:c>
      <x:c r="L2417" s="185" t="str">
        <x:v>Não classificado</x:v>
      </x:c>
    </x:row>
    <x:row r="2418">
      <x:c r="A2418" s="175" t="str">
        <x:v>51.681.932/0001-88</x:v>
      </x:c>
      <x:c r="B2418" s="166" t="str">
        <x:v>STW FUNDO DE INVESTIMENTO EM DIREITOS CREDITÓRIOS NÃO PADRONIZADOS</x:v>
      </x:c>
      <x:c r="C2418" s="188" t="n">
        <x:v>13177273.53</x:v>
      </x:c>
      <x:c r="D2418" s="166" t="str">
        <x:v>Harbour Capital</x:v>
      </x:c>
      <x:c r="E2418" s="166" t="str">
        <x:f>IFERROR(INDEX('Classif Gestoras'!$H$6:$H$462,MATCH(D2418,'Classif Gestoras'!$A$6:$A$462,0)),"Não classificada")</x:f>
        <x:v>Independente</x:v>
      </x:c>
      <x:c r="F2418" s="166" t="str">
        <x:v>REAG DTVM</x:v>
      </x:c>
      <x:c r="G2418" s="166" t="str">
        <x:v>FINVEST DISTRIBUIDORA DE TÍTULOS E VALORES MOBILIÁRIOS LTDA.</x:v>
      </x:c>
      <x:c r="H2418" s="166" t="str">
        <x:v>Financeiro</x:v>
      </x:c>
      <x:c r="I2418" s="166" t="str">
        <x:v>Multicarteira Financeiro</x:v>
      </x:c>
      <x:c r="J2418" s="166" t="str">
        <x:v>CI</x:v>
      </x:c>
      <x:c r="K2418" s="172" t="n">
        <x:v>2</x:v>
      </x:c>
      <x:c r="L2418" s="185" t="str">
        <x:v>Não classificado</x:v>
      </x:c>
    </x:row>
    <x:row r="2419">
      <x:c r="A2419" s="175" t="str">
        <x:v>60.981.534/0001-78</x:v>
      </x:c>
      <x:c r="B2419" s="166" t="str">
        <x:v>CAIMAN FUNDO DE INVESTIMENTO EM DIREITOS CREDITÓRIOS</x:v>
      </x:c>
      <x:c r="C2419" s="188" t="n">
        <x:v>13153457.44</x:v>
      </x:c>
      <x:c r="D2419" s="166" t="str">
        <x:v>SOSU CAPITAL GESTÃO DE INVESTIMENTOS LTDA.</x:v>
      </x:c>
      <x:c r="E2419" s="166" t="str">
        <x:f>IFERROR(INDEX('Classif Gestoras'!$H$6:$H$462,MATCH(D2419,'Classif Gestoras'!$A$6:$A$462,0)),"Não classificada")</x:f>
        <x:v>Independente</x:v>
      </x:c>
      <x:c r="F2419" s="166" t="str">
        <x:v>BTG Pactual Servicos Financeiros S/A DTVM</x:v>
      </x:c>
      <x:c r="G2419" s="166" t="str">
        <x:v>BANCO BTG PACTUAL S/A</x:v>
      </x:c>
      <x:c r="H2419" s="166" t="str">
        <x:v>Outros</x:v>
      </x:c>
      <x:c r="I2419" s="166" t="str">
        <x:v>Multicarteira Outros</x:v>
      </x:c>
      <x:c r="J2419" s="166" t="str">
        <x:v>CI</x:v>
      </x:c>
      <x:c r="K2419" s="172" t="n">
        <x:v>1</x:v>
      </x:c>
      <x:c r="L2419" s="185" t="str">
        <x:v>Não classificado</x:v>
      </x:c>
    </x:row>
    <x:row r="2420">
      <x:c r="A2420" s="175" t="str">
        <x:v>23.520.837/0001-67</x:v>
      </x:c>
      <x:c r="B2420" s="166" t="str">
        <x:v>DIVALLORE FUNDO DE INVESTIMENTO EM DIREITOS CREDITÓRIOS</x:v>
      </x:c>
      <x:c r="C2420" s="188" t="n">
        <x:v>13135419.73</x:v>
      </x:c>
      <x:c r="D2420" s="166" t="str">
        <x:v>TERCON ASSET MANAGEMENT</x:v>
      </x:c>
      <x:c r="E2420" s="166" t="str">
        <x:f>IFERROR(INDEX('Classif Gestoras'!$H$6:$H$462,MATCH(D2420,'Classif Gestoras'!$A$6:$A$462,0)),"Não classificada")</x:f>
        <x:v>Independente</x:v>
      </x:c>
      <x:c r="F2420" s="166" t="str">
        <x:v>Singulare</x:v>
      </x:c>
      <x:c r="G2420" s="166" t="str">
        <x:v>QI CORRETORA DE TÍTULOS E VALORES MOBILIÁRIOS S.A.</x:v>
      </x:c>
      <x:c r="H2420" s="166" t="str">
        <x:v>Fomento Mercantil</x:v>
      </x:c>
      <x:c r="I2420" s="166" t="str">
        <x:v>Fomento Mercantil</x:v>
      </x:c>
      <x:c r="J2420" s="166" t="str">
        <x:v>CI</x:v>
      </x:c>
      <x:c r="K2420" s="172" t="n">
        <x:v>1</x:v>
      </x:c>
      <x:c r="L2420" s="185" t="str">
        <x:v>Não classificado</x:v>
      </x:c>
    </x:row>
    <x:row r="2421">
      <x:c r="A2421" s="175" t="str">
        <x:v>63.701.570/0001-29</x:v>
      </x:c>
      <x:c r="B2421" s="166" t="str">
        <x:v>AURORA FUNDO DE INVESTIMENTO EM COTAS DE FUNDOS DE INVESTIMENTO EM DIREITOS CREDITÓRIOS</x:v>
      </x:c>
      <x:c r="C2421" s="188" t="n">
        <x:v>13126849.06</x:v>
      </x:c>
      <x:c r="D2421" s="166" t="str">
        <x:v>Iggy Investimentos</x:v>
      </x:c>
      <x:c r="E2421" s="166" t="str">
        <x:f>IFERROR(INDEX('Classif Gestoras'!$H$6:$H$462,MATCH(D2421,'Classif Gestoras'!$A$6:$A$462,0)),"Não classificada")</x:f>
        <x:v>Independente</x:v>
      </x:c>
      <x:c r="F2421" s="166" t="str">
        <x:v>BRL TRUST DTVM</x:v>
      </x:c>
      <x:c r="G2421" s="166" t="str">
        <x:v>BRL TRUST DISTRIBUIDORA DE TITULOS E VALORES MOBILIARIOS S.A.</x:v>
      </x:c>
      <x:c r="H2421" s="166" t="str">
        <x:v>Fomento Mercantil</x:v>
      </x:c>
      <x:c r="I2421" s="166" t="str">
        <x:v>Fomento Mercantil</x:v>
      </x:c>
      <x:c r="J2421" s="166" t="str">
        <x:v>CI</x:v>
      </x:c>
      <x:c r="K2421" s="172" t="n">
        <x:v>1</x:v>
      </x:c>
      <x:c r="L2421" s="185" t="str">
        <x:v>Não classificado</x:v>
      </x:c>
    </x:row>
    <x:row r="2422">
      <x:c r="A2422" s="175" t="str">
        <x:v>51.200.316/0001-68</x:v>
      </x:c>
      <x:c r="B2422" s="166" t="str">
        <x:v>FUNDO DE INVESTIMENTO EM DIREITOS CREDITORIOS CATHON</x:v>
      </x:c>
      <x:c r="C2422" s="188" t="n">
        <x:v>13098090.16</x:v>
      </x:c>
      <x:c r="D2422" s="166" t="str">
        <x:v>Redwood Asset Management</x:v>
      </x:c>
      <x:c r="E2422" s="166" t="str">
        <x:f>IFERROR(INDEX('Classif Gestoras'!$H$6:$H$462,MATCH(D2422,'Classif Gestoras'!$A$6:$A$462,0)),"Não classificada")</x:f>
        <x:v>Independente</x:v>
      </x:c>
      <x:c r="F2422" s="166" t="str">
        <x:v>PLANNER CV</x:v>
      </x:c>
      <x:c r="G2422" s="166" t="str">
        <x:v>PLANNER CORRETORA DE VALORES S.A.</x:v>
      </x:c>
      <x:c r="H2422" s="166" t="str">
        <x:v>Outros</x:v>
      </x:c>
      <x:c r="I2422" s="166" t="str">
        <x:v>Multicarteira Outros</x:v>
      </x:c>
      <x:c r="J2422" s="166" t="str">
        <x:v>CI</x:v>
      </x:c>
      <x:c r="K2422" s="172" t="n">
        <x:v>1</x:v>
      </x:c>
      <x:c r="L2422" s="185" t="str">
        <x:v>Não classificado</x:v>
      </x:c>
    </x:row>
    <x:row r="2423">
      <x:c r="A2423" s="175" t="str">
        <x:v>60.696.087/0001-05</x:v>
      </x:c>
      <x:c r="B2423" s="166" t="str">
        <x:v>UNIQUE CAPITAL FUNDO DE INVESTIMENTO EM DIREITOS CREDITÓRIOS</x:v>
      </x:c>
      <x:c r="C2423" s="188" t="n">
        <x:v>13095504.95</x:v>
      </x:c>
      <x:c r="D2423" s="166" t="str">
        <x:v>OKEAN INVEST</x:v>
      </x:c>
      <x:c r="E2423" s="166" t="str">
        <x:f>IFERROR(INDEX('Classif Gestoras'!$H$6:$H$462,MATCH(D2423,'Classif Gestoras'!$A$6:$A$462,0)),"Não classificada")</x:f>
        <x:v>Independente</x:v>
      </x:c>
      <x:c r="F2423" s="166" t="str">
        <x:v>REAG DTVM</x:v>
      </x:c>
      <x:c r="G2423" s="166" t="str">
        <x:v>QI CORRETORA DE TÍTULOS E VALORES MOBILIÁRIOS S.A.</x:v>
      </x:c>
      <x:c r="H2423" s="166" t="str">
        <x:v>Outros</x:v>
      </x:c>
      <x:c r="I2423" s="166" t="str">
        <x:v>Fomento Mercantil</x:v>
      </x:c>
      <x:c r="J2423" s="166" t="str">
        <x:v>CI</x:v>
      </x:c>
      <x:c r="K2423" s="172" t="n">
        <x:v>2</x:v>
      </x:c>
      <x:c r="L2423" s="185" t="str">
        <x:v>Não classificado</x:v>
      </x:c>
    </x:row>
    <x:row r="2424">
      <x:c r="A2424" s="175" t="str">
        <x:v>57.532.782/0001-27</x:v>
      </x:c>
      <x:c r="B2424" s="166" t="str">
        <x:v>COFFEE BANK FIDC FINANCEIROS DO AGRONEGÓCIO DE RESPONSABILIDADE LIMITADA</x:v>
      </x:c>
      <x:c r="C2424" s="188" t="n">
        <x:v>13075197.09</x:v>
      </x:c>
      <x:c r="D2424" s="166" t="str">
        <x:v>Seven Pounds Asset</x:v>
      </x:c>
      <x:c r="E2424" s="166" t="str">
        <x:f>IFERROR(INDEX('Classif Gestoras'!$H$6:$H$462,MATCH(D2424,'Classif Gestoras'!$A$6:$A$462,0)),"Não classificada")</x:f>
        <x:v>Independente</x:v>
      </x:c>
      <x:c r="F2424" s="166" t="str">
        <x:v>INTRAG DIST. DE TÍTU</x:v>
      </x:c>
      <x:c r="G2424" s="166" t="str">
        <x:v>ITAU UNIBANCO S.A.</x:v>
      </x:c>
      <x:c r="H2424" s="166" t="str">
        <x:v>Agro, Indústria e Comércio</x:v>
      </x:c>
      <x:c r="I2424" s="166" t="str">
        <x:v>Agronegócio</x:v>
      </x:c>
      <x:c r="J2424" s="166" t="str">
        <x:v>CI</x:v>
      </x:c>
      <x:c r="K2424" s="172" t="n">
        <x:v>1</x:v>
      </x:c>
      <x:c r="L2424" s="185" t="str">
        <x:v>Não classificado</x:v>
      </x:c>
    </x:row>
    <x:row r="2425">
      <x:c r="A2425" s="175" t="str">
        <x:v>61.766.813/0001-81</x:v>
      </x:c>
      <x:c r="B2425" s="166" t="str">
        <x:v>DIVIX FUNDO DE INVESTIMENTO EM DIREITOS CREDITÓRIOS NÃO-PADRONIZADOS</x:v>
      </x:c>
      <x:c r="C2425" s="188" t="n">
        <x:v>13075142.77</x:v>
      </x:c>
      <x:c r="D2425" s="166" t="str">
        <x:v>AZUMI ASSET</x:v>
      </x:c>
      <x:c r="E2425" s="166" t="str">
        <x:f>IFERROR(INDEX('Classif Gestoras'!$H$6:$H$462,MATCH(D2425,'Classif Gestoras'!$A$6:$A$462,0)),"Não classificada")</x:f>
        <x:v>Independente</x:v>
      </x:c>
      <x:c r="F2425" s="166" t="str">
        <x:v>AZUMI DISTRIBUIDORA DE TÍTULOS E VALORES MOBILIÁRIOS LT</x:v>
      </x:c>
      <x:c r="G2425" s="166" t="str">
        <x:v>AZUMI DISTRIBUIDORA DE TÍTULOS E VALORES MOBILIÁRIOS LTDA.</x:v>
      </x:c>
      <x:c r="H2425" s="166" t="str">
        <x:v>Outros</x:v>
      </x:c>
      <x:c r="I2425" s="166" t="str">
        <x:v>Multicarteira Outros</x:v>
      </x:c>
      <x:c r="J2425" s="166" t="str">
        <x:v>CI</x:v>
      </x:c>
      <x:c r="K2425" s="172" t="n">
        <x:v>6</x:v>
      </x:c>
      <x:c r="L2425" s="185" t="str">
        <x:v>Não classificado</x:v>
      </x:c>
    </x:row>
    <x:row r="2426">
      <x:c r="A2426" s="175" t="str">
        <x:v>58.242.346/0001-86</x:v>
      </x:c>
      <x:c r="B2426" s="166" t="str">
        <x:v>FUNDO DE INVESTIMENTO EM DIREITOS CREDITÓRIOS MAIS EDUCAÇÃO RESPONSABILIDADE LIMITADA</x:v>
      </x:c>
      <x:c r="C2426" s="188" t="n">
        <x:v>13023575.04</x:v>
      </x:c>
      <x:c r="D2426" s="166" t="str">
        <x:v>Paraguaçu Investimentos</x:v>
      </x:c>
      <x:c r="E2426" s="166" t="str">
        <x:f>IFERROR(INDEX('Classif Gestoras'!$H$6:$H$462,MATCH(D2426,'Classif Gestoras'!$A$6:$A$462,0)),"Não classificada")</x:f>
        <x:v>Independente</x:v>
      </x:c>
      <x:c r="F2426" s="166" t="str">
        <x:v>Singulare</x:v>
      </x:c>
      <x:c r="G2426" s="166" t="str">
        <x:v>QI CORRETORA DE TÍTULOS E VALORES MOBILIÁRIOS S.A.</x:v>
      </x:c>
      <x:c r="H2426" s="166" t="str">
        <x:v>Outros</x:v>
      </x:c>
      <x:c r="I2426" s="166" t="str">
        <x:v>Poder Público</x:v>
      </x:c>
      <x:c r="J2426" s="166" t="str">
        <x:v>CI</x:v>
      </x:c>
      <x:c r="K2426" s="172" t="n">
        <x:v>16</x:v>
      </x:c>
      <x:c r="L2426" s="185" t="str">
        <x:v>Não classificado</x:v>
      </x:c>
    </x:row>
    <x:row r="2427">
      <x:c r="A2427" s="175" t="str">
        <x:v>62.252.049/0001-99</x:v>
      </x:c>
      <x:c r="B2427" s="166" t="str">
        <x:v>FYTO MULTI FUNDO DE INVESTIMENTO EM DIREITOS CREDITÓRIOS - RESPONSABILIDADE LIMITADA</x:v>
      </x:c>
      <x:c r="C2427" s="188" t="n">
        <x:v>12899086.23</x:v>
      </x:c>
      <x:c r="D2427" s="166" t="str">
        <x:v>Fyto Capital</x:v>
      </x:c>
      <x:c r="E2427" s="166" t="str">
        <x:f>IFERROR(INDEX('Classif Gestoras'!$H$6:$H$462,MATCH(D2427,'Classif Gestoras'!$A$6:$A$462,0)),"Não classificada")</x:f>
        <x:v>Independente</x:v>
      </x:c>
      <x:c r="F2427" s="166" t="str">
        <x:v>VÓRTX DTVM</x:v>
      </x:c>
      <x:c r="G2427" s="166" t="str">
        <x:v>VORTX DISTRIBUIDORA DE TITULOS E VALORES MOBILIARIOS LTDA.</x:v>
      </x:c>
      <x:c r="H2427" s="166" t="str">
        <x:v>Outros</x:v>
      </x:c>
      <x:c r="I2427" s="166" t="str">
        <x:v>Multicarteira Outros</x:v>
      </x:c>
      <x:c r="J2427" s="166" t="str">
        <x:v>CI</x:v>
      </x:c>
      <x:c r="K2427" s="172" t="n">
        <x:v>1</x:v>
      </x:c>
      <x:c r="L2427" s="185" t="str">
        <x:v>Não classificado</x:v>
      </x:c>
    </x:row>
    <x:row r="2428">
      <x:c r="A2428" s="175" t="str">
        <x:v>53.311.084/0001-40</x:v>
      </x:c>
      <x:c r="B2428" s="166" t="str">
        <x:v>CHIMERA ALTERNATIVE ASSETS IV FUNDO DE INVESTIMENTO EM DIREITOS CREDITÓRIOS DE RESP. LIMITADA</x:v>
      </x:c>
      <x:c r="C2428" s="188" t="n">
        <x:v>12845806.4</x:v>
      </x:c>
      <x:c r="D2428" s="166" t="str">
        <x:v>Chimera Capital Asset Management Ltda.</x:v>
      </x:c>
      <x:c r="E2428" s="166" t="str">
        <x:f>IFERROR(INDEX('Classif Gestoras'!$H$6:$H$462,MATCH(D2428,'Classif Gestoras'!$A$6:$A$462,0)),"Não classificada")</x:f>
        <x:v>Independente</x:v>
      </x:c>
      <x:c r="F2428" s="166" t="str">
        <x:v>MONETAR DISTRIBUIDORA DE TITUL</x:v>
      </x:c>
      <x:c r="G2428" s="166" t="str">
        <x:v>TERRA INVESTIMENTOS DISTRIBUIDORA DE TITULOS E VALORES MOBILIARIOS LTDA</x:v>
      </x:c>
      <x:c r="H2428" s="166" t="str">
        <x:v>Outros</x:v>
      </x:c>
      <x:c r="I2428" s="166" t="str">
        <x:v>Poder Público</x:v>
      </x:c>
      <x:c r="J2428" s="166" t="str">
        <x:v>CI</x:v>
      </x:c>
      <x:c r="K2428" s="172" t="n">
        <x:v>5</x:v>
      </x:c>
      <x:c r="L2428" s="185" t="str">
        <x:v>Não classificado</x:v>
      </x:c>
    </x:row>
    <x:row r="2429">
      <x:c r="A2429" s="175" t="str">
        <x:v>52.324.200/0001-01</x:v>
      </x:c>
      <x:c r="B2429" s="166" t="str">
        <x:v>LEOA JVS FUNDO DE INVESTIMENTO EM DIREITOS CREDITÓRIOS RESPONSABILIDADE LIMITADA</x:v>
      </x:c>
      <x:c r="C2429" s="188" t="n">
        <x:v>12814453.58</x:v>
      </x:c>
      <x:c r="D2429" s="166" t="str">
        <x:v>BRL TRUST DTVM</x:v>
      </x:c>
      <x:c r="E2429" s="166" t="str">
        <x:f>IFERROR(INDEX('Classif Gestoras'!$H$6:$H$462,MATCH(D2429,'Classif Gestoras'!$A$6:$A$462,0)),"Não classificada")</x:f>
        <x:v>Independente</x:v>
      </x:c>
      <x:c r="F2429" s="166" t="str">
        <x:v>BRL TRUST DTVM</x:v>
      </x:c>
      <x:c r="G2429" s="166" t="str">
        <x:v>BRL TRUST DISTRIBUIDORA DE TITULOS E VALORES MOBILIARIOS S.A.</x:v>
      </x:c>
      <x:c r="H2429" s="166" t="str">
        <x:v>Financeiro</x:v>
      </x:c>
      <x:c r="I2429" s="166" t="str">
        <x:v>Crédito Pessoal</x:v>
      </x:c>
      <x:c r="J2429" s="166" t="str">
        <x:v>CI</x:v>
      </x:c>
      <x:c r="K2429" s="172" t="n">
        <x:v>1</x:v>
      </x:c>
      <x:c r="L2429" s="185" t="str">
        <x:v>Não classificado</x:v>
      </x:c>
    </x:row>
    <x:row r="2430">
      <x:c r="A2430" s="175" t="str">
        <x:v>52.306.146/0001-63</x:v>
      </x:c>
      <x:c r="B2430" s="166" t="str">
        <x:v>FUNDO DE INVESTIMENTO EM DIREITOS CREDITÓRIOS OPEN PME I SEGMENTO FINANCEIRO DE RESP LIMITADA</x:v>
      </x:c>
      <x:c r="C2430" s="188" t="n">
        <x:v>12750777.08</x:v>
      </x:c>
      <x:c r="D2430" s="166" t="str">
        <x:v>REAG GESTÃO DE CRÉDITO</x:v>
      </x:c>
      <x:c r="E2430" s="166" t="str">
        <x:f>IFERROR(INDEX('Classif Gestoras'!$H$6:$H$462,MATCH(D2430,'Classif Gestoras'!$A$6:$A$462,0)),"Não classificada")</x:f>
        <x:v>Independente</x:v>
      </x:c>
      <x:c r="F2430" s="166" t="str">
        <x:v>BRL TRUST DTVM</x:v>
      </x:c>
      <x:c r="G2430" s="166" t="str">
        <x:v>BRL TRUST DISTRIBUIDORA DE TITULOS E VALORES MOBILIARIOS S.A.</x:v>
      </x:c>
      <x:c r="H2430" s="166" t="str">
        <x:v>Agro, Indústria e Comércio</x:v>
      </x:c>
      <x:c r="I2430" s="166" t="str">
        <x:v>Crédito Corporativo</x:v>
      </x:c>
      <x:c r="J2430" s="166" t="str">
        <x:v>CI</x:v>
      </x:c>
      <x:c r="K2430" s="172" t="n">
        <x:v>14</x:v>
      </x:c>
      <x:c r="L2430" s="185" t="str">
        <x:v>Não classificado</x:v>
      </x:c>
    </x:row>
    <x:row r="2431">
      <x:c r="A2431" s="175" t="str">
        <x:v>46.230.817/0001-57</x:v>
      </x:c>
      <x:c r="B2431" s="166" t="str">
        <x:v>NG OPPORTUNITY FUNDO DE INVESTIMENTO EM DIREITOS CREDITÓRIOS NÃO PADRONIZADOS</x:v>
      </x:c>
      <x:c r="C2431" s="188" t="n">
        <x:v>12748796.68</x:v>
      </x:c>
      <x:c r="D2431" s="166" t="str">
        <x:v>BURITI INVESTIMENTOS</x:v>
      </x:c>
      <x:c r="E2431" s="166" t="str">
        <x:f>IFERROR(INDEX('Classif Gestoras'!$H$6:$H$462,MATCH(D2431,'Classif Gestoras'!$A$6:$A$462,0)),"Não classificada")</x:f>
        <x:v>Independente</x:v>
      </x:c>
      <x:c r="F2431" s="166" t="str">
        <x:v>Singulare</x:v>
      </x:c>
      <x:c r="G2431" s="166" t="str">
        <x:v>QI CORRETORA DE TÍTULOS E VALORES MOBILIÁRIOS S.A.</x:v>
      </x:c>
      <x:c r="H2431" s="166" t="str">
        <x:v>Outros</x:v>
      </x:c>
      <x:c r="I2431" s="166" t="str">
        <x:v>Poder Público</x:v>
      </x:c>
      <x:c r="J2431" s="166" t="str">
        <x:v>CI</x:v>
      </x:c>
      <x:c r="K2431" s="172" t="n">
        <x:v>2</x:v>
      </x:c>
      <x:c r="L2431" s="185" t="str">
        <x:v>Não classificado</x:v>
      </x:c>
    </x:row>
    <x:row r="2432">
      <x:c r="A2432" s="175" t="str">
        <x:v>54.842.157/0001-93</x:v>
      </x:c>
      <x:c r="B2432" s="166" t="str">
        <x:v>LIBRA CONSIGNADO FUNDO DE INVESTIMENTO EM DIREITOS CREDITÓRIOS</x:v>
      </x:c>
      <x:c r="C2432" s="188" t="n">
        <x:v>12722995.12</x:v>
      </x:c>
      <x:c r="D2432" s="166" t="str">
        <x:v>Apuama Capital</x:v>
      </x:c>
      <x:c r="E2432" s="166" t="str">
        <x:f>IFERROR(INDEX('Classif Gestoras'!$H$6:$H$462,MATCH(D2432,'Classif Gestoras'!$A$6:$A$462,0)),"Não classificada")</x:f>
        <x:v>Independente</x:v>
      </x:c>
      <x:c r="F2432" s="166" t="str">
        <x:v>CATÁLISE DTVM</x:v>
      </x:c>
      <x:c r="G2432" s="166" t="str">
        <x:v>BANCO DAYCOVAL S.A.</x:v>
      </x:c>
      <x:c r="H2432" s="166" t="str">
        <x:v>Agro, Indústria e Comércio</x:v>
      </x:c>
      <x:c r="I2432" s="166" t="str">
        <x:v>Recebíveis Comerciais</x:v>
      </x:c>
      <x:c r="J2432" s="166" t="str">
        <x:v>CI</x:v>
      </x:c>
      <x:c r="K2432" s="172" t="n">
        <x:v>15</x:v>
      </x:c>
      <x:c r="L2432" s="185" t="str">
        <x:v>Não classificado</x:v>
      </x:c>
    </x:row>
    <x:row r="2433">
      <x:c r="A2433" s="175" t="str">
        <x:v>22.406.927/0001-69</x:v>
      </x:c>
      <x:c r="B2433" s="166" t="str">
        <x:v>INVESTCON FUNDO DE INVESTIMENTO EM DIREITOS CREDITORIOS</x:v>
      </x:c>
      <x:c r="C2433" s="188" t="n">
        <x:v>12698172.41</x:v>
      </x:c>
      <x:c r="D2433" s="166" t="str">
        <x:v>TERCON ASSET MANAGEMENT</x:v>
      </x:c>
      <x:c r="E2433" s="166" t="str">
        <x:f>IFERROR(INDEX('Classif Gestoras'!$H$6:$H$462,MATCH(D2433,'Classif Gestoras'!$A$6:$A$462,0)),"Não classificada")</x:f>
        <x:v>Independente</x:v>
      </x:c>
      <x:c r="F2433" s="166" t="str">
        <x:v>Singulare</x:v>
      </x:c>
      <x:c r="G2433" s="166" t="str">
        <x:v>QI CORRETORA DE TÍTULOS E VALORES MOBILIÁRIOS S.A.</x:v>
      </x:c>
      <x:c r="H2433" s="166" t="str">
        <x:v>Fomento Mercantil</x:v>
      </x:c>
      <x:c r="I2433" s="166" t="str">
        <x:v>Fomento Mercantil</x:v>
      </x:c>
      <x:c r="J2433" s="166" t="str">
        <x:v>CI</x:v>
      </x:c>
      <x:c r="K2433" s="172" t="n">
        <x:v>7</x:v>
      </x:c>
      <x:c r="L2433" s="185" t="str">
        <x:v>Não classificado</x:v>
      </x:c>
    </x:row>
    <x:row r="2434">
      <x:c r="A2434" s="175" t="str">
        <x:v>24.506.265/0001-24</x:v>
      </x:c>
      <x:c r="B2434" s="166" t="str">
        <x:v>VERSATIL FUNDO DE INVESTIMENTO EM DIREITOS CREDITÓRIOS</x:v>
      </x:c>
      <x:c r="C2434" s="188" t="n">
        <x:v>12697665.36</x:v>
      </x:c>
      <x:c r="D2434" s="166" t="str">
        <x:v>TERCON ASSET MANAGEMENT</x:v>
      </x:c>
      <x:c r="E2434" s="166" t="str">
        <x:f>IFERROR(INDEX('Classif Gestoras'!$H$6:$H$462,MATCH(D2434,'Classif Gestoras'!$A$6:$A$462,0)),"Não classificada")</x:f>
        <x:v>Independente</x:v>
      </x:c>
      <x:c r="F2434" s="166" t="str">
        <x:v>Singulare</x:v>
      </x:c>
      <x:c r="G2434" s="166" t="str">
        <x:v>QI CORRETORA DE TÍTULOS E VALORES MOBILIÁRIOS S.A.</x:v>
      </x:c>
      <x:c r="H2434" s="166" t="str">
        <x:v>Fomento Mercantil</x:v>
      </x:c>
      <x:c r="I2434" s="166" t="str">
        <x:v>Fomento Mercantil</x:v>
      </x:c>
      <x:c r="J2434" s="166" t="str">
        <x:v>CI</x:v>
      </x:c>
      <x:c r="K2434" s="172" t="n">
        <x:v>15</x:v>
      </x:c>
      <x:c r="L2434" s="185" t="str">
        <x:v>Não classificado</x:v>
      </x:c>
    </x:row>
    <x:row r="2435">
      <x:c r="A2435" s="175" t="str">
        <x:v>64.087.936/0001-84</x:v>
      </x:c>
      <x:c r="B2435" s="166" t="str">
        <x:v>VQS FUNDO DE INVESTIMENTO EM DIREITOS CREDITÓRIOS</x:v>
      </x:c>
      <x:c r="C2435" s="188" t="n">
        <x:v>12630740.35</x:v>
      </x:c>
      <x:c r="D2435" s="166" t="str">
        <x:v>Veritas Capital Management</x:v>
      </x:c>
      <x:c r="E2435" s="166" t="str">
        <x:f>IFERROR(INDEX('Classif Gestoras'!$H$6:$H$462,MATCH(D2435,'Classif Gestoras'!$A$6:$A$462,0)),"Não classificada")</x:f>
        <x:v>Independente</x:v>
      </x:c>
      <x:c r="F2435" s="166" t="str">
        <x:v>PLANNER CV</x:v>
      </x:c>
      <x:c r="G2435" s="166" t="str">
        <x:v>PLANNER CORRETORA DE VALORES S.A.</x:v>
      </x:c>
      <x:c r="H2435" s="166" t="str">
        <x:v>Outros</x:v>
      </x:c>
      <x:c r="I2435" s="166" t="str">
        <x:v>Multicarteira Outros</x:v>
      </x:c>
      <x:c r="J2435" s="166" t="str">
        <x:v>CI</x:v>
      </x:c>
      <x:c r="K2435" s="172" t="n">
        <x:v>1</x:v>
      </x:c>
      <x:c r="L2435" s="185" t="str">
        <x:v>Não classificado</x:v>
      </x:c>
    </x:row>
    <x:row r="2436">
      <x:c r="A2436" s="175" t="str">
        <x:v>46.929.994/0001-26</x:v>
      </x:c>
      <x:c r="B2436" s="166" t="str">
        <x:v>GRATIAM FLOW FUNDO DE INVESTIMENTO EM DIREITOS CREDITÓRIOS MULTISSETORIAL RESPONSABILIDADE LIMITADA</x:v>
      </x:c>
      <x:c r="C2436" s="188" t="n">
        <x:v>12596089.31</x:v>
      </x:c>
      <x:c r="D2436" s="166" t="str">
        <x:v>CONTEA CAPITAL</x:v>
      </x:c>
      <x:c r="E2436" s="166" t="str">
        <x:f>IFERROR(INDEX('Classif Gestoras'!$H$6:$H$462,MATCH(D2436,'Classif Gestoras'!$A$6:$A$462,0)),"Não classificada")</x:f>
        <x:v>Independente</x:v>
      </x:c>
      <x:c r="F2436" s="166" t="str">
        <x:v>ID Corretora de Títulos e Valores Mobiliários S.A.</x:v>
      </x:c>
      <x:c r="G2436" s="166" t="str">
        <x:v>ID CORRETORA DE TITULOS E VALORES MOBILIARIOS S.A.</x:v>
      </x:c>
      <x:c r="H2436" s="166" t="str">
        <x:v>Outros</x:v>
      </x:c>
      <x:c r="I2436" s="166" t="str">
        <x:v>Multicarteira Outros</x:v>
      </x:c>
      <x:c r="J2436" s="166" t="str">
        <x:v>CI</x:v>
      </x:c>
      <x:c r="K2436" s="172" t="n">
        <x:v>22</x:v>
      </x:c>
      <x:c r="L2436" s="185" t="str">
        <x:v>Não classificado</x:v>
      </x:c>
    </x:row>
    <x:row r="2437">
      <x:c r="A2437" s="175" t="str">
        <x:v>32.511.268/0001-84</x:v>
      </x:c>
      <x:c r="B2437" s="166" t="str">
        <x:v>PREMIER RP FUNDO DE INVESTIMENTO EM DIREITOS CREDITÓRIOS</x:v>
      </x:c>
      <x:c r="C2437" s="188" t="n">
        <x:v>12552450.98</x:v>
      </x:c>
      <x:c r="D2437" s="166" t="str">
        <x:v>TERCON ASSET MANAGEMENT</x:v>
      </x:c>
      <x:c r="E2437" s="166" t="str">
        <x:f>IFERROR(INDEX('Classif Gestoras'!$H$6:$H$462,MATCH(D2437,'Classif Gestoras'!$A$6:$A$462,0)),"Não classificada")</x:f>
        <x:v>Independente</x:v>
      </x:c>
      <x:c r="F2437" s="166" t="str">
        <x:v>Singulare</x:v>
      </x:c>
      <x:c r="G2437" s="166" t="str">
        <x:v>QI CORRETORA DE TÍTULOS E VALORES MOBILIÁRIOS S.A.</x:v>
      </x:c>
      <x:c r="H2437" s="166" t="str">
        <x:v>Fomento Mercantil</x:v>
      </x:c>
      <x:c r="I2437" s="166" t="str">
        <x:v>Fomento Mercantil</x:v>
      </x:c>
      <x:c r="J2437" s="166" t="str">
        <x:v>CI</x:v>
      </x:c>
      <x:c r="K2437" s="172" t="n">
        <x:v>18</x:v>
      </x:c>
      <x:c r="L2437" s="185" t="str">
        <x:v>Não classificado</x:v>
      </x:c>
    </x:row>
    <x:row r="2438">
      <x:c r="A2438" s="175" t="str">
        <x:v>61.561.993/0001-65</x:v>
      </x:c>
      <x:c r="B2438" s="166" t="str">
        <x:v>ICRC FUNDO DE INVESTIMENTO EM DIREITOS CREDITÓRIOS FINANCEIROS</x:v>
      </x:c>
      <x:c r="C2438" s="188" t="n">
        <x:v>12545142.17</x:v>
      </x:c>
      <x:c r="D2438" s="166" t="str">
        <x:v>BLUEWAVE ASSET LTDA</x:v>
      </x:c>
      <x:c r="E2438" s="166" t="str">
        <x:f>IFERROR(INDEX('Classif Gestoras'!$H$6:$H$462,MATCH(D2438,'Classif Gestoras'!$A$6:$A$462,0)),"Não classificada")</x:f>
        <x:v>Independente</x:v>
      </x:c>
      <x:c r="F2438" s="166" t="str">
        <x:v>Merito DTVM</x:v>
      </x:c>
      <x:c r="G2438" s="166" t="str">
        <x:v>MERITO DISTRIBUIDORA DE TITULOS E VALORES MOBILIARIOS LTDA.</x:v>
      </x:c>
      <x:c r="H2438" s="166" t="str">
        <x:v>Financeiro</x:v>
      </x:c>
      <x:c r="I2438" s="166" t="str">
        <x:v>Multicarteira Financeiro</x:v>
      </x:c>
      <x:c r="J2438" s="166" t="str">
        <x:v>CI</x:v>
      </x:c>
      <x:c r="K2438" s="172" t="n">
        <x:v>10</x:v>
      </x:c>
      <x:c r="L2438" s="185" t="str">
        <x:v>Não classificado</x:v>
      </x:c>
    </x:row>
    <x:row r="2439">
      <x:c r="A2439" s="175" t="str">
        <x:v>42.867.154/0001-25</x:v>
      </x:c>
      <x:c r="B2439" s="166" t="str">
        <x:v>NO STRESS FUNDO DE INVESTIMENTO EM DIREITOS CREDITÓRIOS</x:v>
      </x:c>
      <x:c r="C2439" s="188" t="n">
        <x:v>12538609.329999998</x:v>
      </x:c>
      <x:c r="D2439" s="166" t="str">
        <x:v>Number Asset Brasil Ltda.</x:v>
      </x:c>
      <x:c r="E2439" s="166" t="str">
        <x:f>IFERROR(INDEX('Classif Gestoras'!$H$6:$H$462,MATCH(D2439,'Classif Gestoras'!$A$6:$A$462,0)),"Não classificada")</x:f>
        <x:v>Independente</x:v>
      </x:c>
      <x:c r="F2439" s="166" t="str">
        <x:v>ID Corretora de Títulos e Valores Mobiliários S.A.</x:v>
      </x:c>
      <x:c r="G2439" s="166" t="str">
        <x:v>ID CORRETORA DE TITULOS E VALORES MOBILIARIOS S.A.</x:v>
      </x:c>
      <x:c r="H2439" s="166" t="str">
        <x:v>Outros</x:v>
      </x:c>
      <x:c r="I2439" s="166" t="str">
        <x:v>Multicarteira Outros</x:v>
      </x:c>
      <x:c r="J2439" s="166" t="str">
        <x:v>CI</x:v>
      </x:c>
      <x:c r="K2439" s="172" t="n">
        <x:v>14</x:v>
      </x:c>
      <x:c r="L2439" s="185" t="str">
        <x:v>Não classificado</x:v>
      </x:c>
    </x:row>
    <x:row r="2440">
      <x:c r="A2440" s="175" t="str">
        <x:v>61.199.031/0001-08</x:v>
      </x:c>
      <x:c r="B2440" s="166" t="str">
        <x:v>SOLUTION FUNDO DE INVESTIMENTO EM DIREITOS CREDITÓRIOS - RESPONSABILIDADE LIMITADA</x:v>
      </x:c>
      <x:c r="C2440" s="188" t="n">
        <x:v>12491785.08</x:v>
      </x:c>
      <x:c r="D2440" s="166" t="str">
        <x:v>Iggy Investimentos</x:v>
      </x:c>
      <x:c r="E2440" s="166" t="str">
        <x:f>IFERROR(INDEX('Classif Gestoras'!$H$6:$H$462,MATCH(D2440,'Classif Gestoras'!$A$6:$A$462,0)),"Não classificada")</x:f>
        <x:v>Independente</x:v>
      </x:c>
      <x:c r="F2440" s="166" t="str">
        <x:v>Banvox DTVM</x:v>
      </x:c>
      <x:c r="G2440" s="166" t="str">
        <x:v>BANVOX DISTRIBUIDORA DE TITULOS E VALORES MOBILIARIOS LTDA</x:v>
      </x:c>
      <x:c r="H2440" s="166" t="str">
        <x:v>Outros</x:v>
      </x:c>
      <x:c r="I2440" s="166" t="str">
        <x:v>Poder Público</x:v>
      </x:c>
      <x:c r="J2440" s="166" t="str">
        <x:v>CI</x:v>
      </x:c>
      <x:c r="K2440" s="172" t="n">
        <x:v>4</x:v>
      </x:c>
      <x:c r="L2440" s="185" t="str">
        <x:v>Não classificado</x:v>
      </x:c>
    </x:row>
    <x:row r="2441">
      <x:c r="A2441" s="175" t="str">
        <x:v>64.669.281/0001-52</x:v>
      </x:c>
      <x:c r="B2441" s="166" t="str">
        <x:v>DIGITAL SAT FUNDO DE INVESTIMENTO EM DIREITOS CREDITÓRIOS</x:v>
      </x:c>
      <x:c r="C2441" s="188" t="n">
        <x:v>12486042.66</x:v>
      </x:c>
      <x:c r="D2441" s="166" t="str">
        <x:v>FIDD Administração de Recursos Ltda.</x:v>
      </x:c>
      <x:c r="E2441" s="166" t="str">
        <x:f>IFERROR(INDEX('Classif Gestoras'!$H$6:$H$462,MATCH(D2441,'Classif Gestoras'!$A$6:$A$462,0)),"Não classificada")</x:f>
        <x:v>Independente</x:v>
      </x:c>
      <x:c r="F2441" s="166" t="str">
        <x:v>FIDD DISTRIBUIDORA DE TITULOS E VALORES MOBILIARIOS LTD</x:v>
      </x:c>
      <x:c r="G2441" s="166" t="str">
        <x:v>FIDD DISTRIBUIDORA DE TITULOS E VALORES MOBILIARIOS LTDA.</x:v>
      </x:c>
      <x:c r="H2441" s="166" t="str">
        <x:v>Outros</x:v>
      </x:c>
      <x:c r="I2441" s="166" t="str">
        <x:v>Multicarteira Outros</x:v>
      </x:c>
      <x:c r="J2441" s="166" t="str">
        <x:v>CI</x:v>
      </x:c>
      <x:c r="K2441" s="172" t="n">
        <x:v>1</x:v>
      </x:c>
      <x:c r="L2441" s="185" t="str">
        <x:v>Não classificado</x:v>
      </x:c>
    </x:row>
    <x:row r="2442">
      <x:c r="A2442" s="175" t="str">
        <x:v>51.410.150/0001-04</x:v>
      </x:c>
      <x:c r="B2442" s="166" t="str">
        <x:v>ALPS BANK FUNDO DE INVESTIMENTO EM DIREITOS CREDITÓRIOS MULTISSETORIAL</x:v>
      </x:c>
      <x:c r="C2442" s="188" t="n">
        <x:v>12480484.91</x:v>
      </x:c>
      <x:c r="D2442" s="166" t="str">
        <x:v>OURO PRETO INVESTIMENTOS</x:v>
      </x:c>
      <x:c r="E2442" s="166" t="str">
        <x:f>IFERROR(INDEX('Classif Gestoras'!$H$6:$H$462,MATCH(D2442,'Classif Gestoras'!$A$6:$A$462,0)),"Não classificada")</x:f>
        <x:v>Independente</x:v>
      </x:c>
      <x:c r="F2442" s="166" t="str">
        <x:v>Limine Trust Distribuidora de Titulos e Valores Mobiliá</x:v>
      </x:c>
      <x:c r="G2442" s="166" t="str">
        <x:v>LIMINE TRUST DISTRIBUIDORA DE TITULOS E VALORES MOBILIARIOS LTDA.</x:v>
      </x:c>
      <x:c r="H2442" s="166" t="str">
        <x:v>Outros</x:v>
      </x:c>
      <x:c r="I2442" s="166" t="str">
        <x:v>Multicarteira Outros</x:v>
      </x:c>
      <x:c r="J2442" s="166" t="str">
        <x:v>CI</x:v>
      </x:c>
      <x:c r="K2442" s="172" t="n">
        <x:v>9</x:v>
      </x:c>
      <x:c r="L2442" s="185" t="str">
        <x:v>Não classificado</x:v>
      </x:c>
    </x:row>
    <x:row r="2443">
      <x:c r="A2443" s="175" t="str">
        <x:v>56.912.548/0001-62</x:v>
      </x:c>
      <x:c r="B2443" s="166" t="str">
        <x:v>W INVEST FUNDO DE INVESTIMENTO EM DIREITOS CREDITÓRIOS</x:v>
      </x:c>
      <x:c r="C2443" s="188" t="n">
        <x:v>12409190.81</x:v>
      </x:c>
      <x:c r="D2443" s="166" t="str">
        <x:v>Harbour Capital</x:v>
      </x:c>
      <x:c r="E2443" s="166" t="str">
        <x:f>IFERROR(INDEX('Classif Gestoras'!$H$6:$H$462,MATCH(D2443,'Classif Gestoras'!$A$6:$A$462,0)),"Não classificada")</x:f>
        <x:v>Independente</x:v>
      </x:c>
      <x:c r="F2443" s="166" t="str">
        <x:v>Singulare</x:v>
      </x:c>
      <x:c r="G2443" s="166" t="str">
        <x:v>AZUMI DISTRIBUIDORA DE TÍTULOS E VALORES MOBILIÁRIOS LTDA.</x:v>
      </x:c>
      <x:c r="H2443" s="166" t="str">
        <x:v>Fomento Mercantil</x:v>
      </x:c>
      <x:c r="I2443" s="166" t="str">
        <x:v>Fomento Mercantil</x:v>
      </x:c>
      <x:c r="J2443" s="166" t="str">
        <x:v>CI</x:v>
      </x:c>
      <x:c r="K2443" s="172" t="n">
        <x:v>4</x:v>
      </x:c>
      <x:c r="L2443" s="185" t="str">
        <x:v>Não classificado</x:v>
      </x:c>
    </x:row>
    <x:row r="2444">
      <x:c r="A2444" s="175" t="str">
        <x:v>35.868.733/0001-27</x:v>
      </x:c>
      <x:c r="B2444" s="166" t="str">
        <x:v>CNPJ 35868733000127</x:v>
      </x:c>
      <x:c r="C2444" s="188" t="n">
        <x:v>12289903.49</x:v>
      </x:c>
      <x:c r="D2444" s="166" t="str">
        <x:v>Éxes</x:v>
      </x:c>
      <x:c r="E2444" s="166" t="str">
        <x:f>IFERROR(INDEX('Classif Gestoras'!$H$6:$H$462,MATCH(D2444,'Classif Gestoras'!$A$6:$A$462,0)),"Não classificada")</x:f>
        <x:v>Independente</x:v>
      </x:c>
      <x:c r="F2444" s="166" t="str">
        <x:v>Banco Genial S.A.</x:v>
      </x:c>
      <x:c r="G2444" s="166" t="str">
        <x:v>Não identificado</x:v>
      </x:c>
      <x:c r="H2444" s="166" t="str">
        <x:v>Agro, Indústria e Comércio</x:v>
      </x:c>
      <x:c r="I2444" s="166" t="str">
        <x:v>Agronegócio</x:v>
      </x:c>
      <x:c r="J2444" s="166" t="str">
        <x:v>CI</x:v>
      </x:c>
      <x:c r="K2444" s="172"/>
      <x:c r="L2444" s="185" t="str">
        <x:v>Não classificado</x:v>
      </x:c>
    </x:row>
    <x:row r="2445">
      <x:c r="A2445" s="175" t="str">
        <x:v>60.401.316/0001-17</x:v>
      </x:c>
      <x:c r="B2445" s="166" t="str">
        <x:v>NAPOLI FUNDO DE INVESTIMENTO EM DIREITOS CREDITÓRIOS</x:v>
      </x:c>
      <x:c r="C2445" s="188" t="n">
        <x:v>12185882.44</x:v>
      </x:c>
      <x:c r="D2445" s="166" t="str">
        <x:v>BS2 ASSET MANAGEMENT – ADMINISTRADORA DE RECURSOS LTDA.</x:v>
      </x:c>
      <x:c r="E2445" s="166" t="str">
        <x:f>IFERROR(INDEX('Classif Gestoras'!$H$6:$H$462,MATCH(D2445,'Classif Gestoras'!$A$6:$A$462,0)),"Não classificada")</x:f>
        <x:v>Independente</x:v>
      </x:c>
      <x:c r="F2445" s="166" t="str">
        <x:v>Singulare</x:v>
      </x:c>
      <x:c r="G2445" s="166" t="str">
        <x:v>QI CORRETORA DE TÍTULOS E VALORES MOBILIÁRIOS S.A.</x:v>
      </x:c>
      <x:c r="H2445" s="166" t="str">
        <x:v>Fomento Mercantil</x:v>
      </x:c>
      <x:c r="I2445" s="166" t="str">
        <x:v>Fomento Mercantil</x:v>
      </x:c>
      <x:c r="J2445" s="166" t="str">
        <x:v>CI</x:v>
      </x:c>
      <x:c r="K2445" s="172" t="n">
        <x:v>4</x:v>
      </x:c>
      <x:c r="L2445" s="185" t="str">
        <x:v>Não classificado</x:v>
      </x:c>
    </x:row>
    <x:row r="2446">
      <x:c r="A2446" s="175" t="str">
        <x:v>29.492.579/0001-39</x:v>
      </x:c>
      <x:c r="B2446" s="166" t="str">
        <x:v>REAL TIME FUNDO DE INVESTIMENTO EM DIREITOS CREDITÓRIOS MULTISEGMENTOS</x:v>
      </x:c>
      <x:c r="C2446" s="188" t="n">
        <x:v>12170204.53</x:v>
      </x:c>
      <x:c r="D2446" s="166" t="str">
        <x:v>M8 Partners</x:v>
      </x:c>
      <x:c r="E2446" s="166" t="str">
        <x:f>IFERROR(INDEX('Classif Gestoras'!$H$6:$H$462,MATCH(D2446,'Classif Gestoras'!$A$6:$A$462,0)),"Não classificada")</x:f>
        <x:v>Independente</x:v>
      </x:c>
      <x:c r="F2446" s="166" t="str">
        <x:v>Finaxis Corretora de Títulos e Valores Mobiliários S.A.</x:v>
      </x:c>
      <x:c r="G2446" s="166" t="str">
        <x:v>BANCO FINAXIS S.A.</x:v>
      </x:c>
      <x:c r="H2446" s="166" t="str">
        <x:v>Fomento Mercantil</x:v>
      </x:c>
      <x:c r="I2446" s="166" t="str">
        <x:v>Fomento Mercantil</x:v>
      </x:c>
      <x:c r="J2446" s="166" t="str">
        <x:v>CI</x:v>
      </x:c>
      <x:c r="K2446" s="172" t="n">
        <x:v>1</x:v>
      </x:c>
      <x:c r="L2446" s="185" t="str">
        <x:v>Não classificado</x:v>
      </x:c>
    </x:row>
    <x:row r="2447">
      <x:c r="A2447" s="175" t="str">
        <x:v>10.772.734/0001-42</x:v>
      </x:c>
      <x:c r="B2447" s="166" t="str">
        <x:v>GRANCRED SP FUNDO DE INVESTIMENTO EM DIREITOS CREDITÓRIOS MULTISSETORIAL</x:v>
      </x:c>
      <x:c r="C2447" s="188" t="n">
        <x:v>12134333.5</x:v>
      </x:c>
      <x:c r="D2447" s="166" t="str">
        <x:v>TERCON ASSET MANAGEMENT</x:v>
      </x:c>
      <x:c r="E2447" s="166" t="str">
        <x:f>IFERROR(INDEX('Classif Gestoras'!$H$6:$H$462,MATCH(D2447,'Classif Gestoras'!$A$6:$A$462,0)),"Não classificada")</x:f>
        <x:v>Independente</x:v>
      </x:c>
      <x:c r="F2447" s="166" t="str">
        <x:v>Singulare</x:v>
      </x:c>
      <x:c r="G2447" s="166" t="str">
        <x:v>QI CORRETORA DE TÍTULOS E VALORES MOBILIÁRIOS S.A.</x:v>
      </x:c>
      <x:c r="H2447" s="166" t="str">
        <x:v>Fomento Mercantil</x:v>
      </x:c>
      <x:c r="I2447" s="166" t="str">
        <x:v>Fomento Mercantil</x:v>
      </x:c>
      <x:c r="J2447" s="166" t="str">
        <x:v>CI</x:v>
      </x:c>
      <x:c r="K2447" s="172" t="n">
        <x:v>6</x:v>
      </x:c>
      <x:c r="L2447" s="185" t="str">
        <x:v>Não classificado</x:v>
      </x:c>
    </x:row>
    <x:row r="2448">
      <x:c r="A2448" s="175" t="str">
        <x:v>54.020.246/0001-54</x:v>
      </x:c>
      <x:c r="B2448" s="166" t="str">
        <x:v>ROYAL CAPITAL FUNDO DE INVESTIMENTO EM DIREITOS CREDITÓRIOS</x:v>
      </x:c>
      <x:c r="C2448" s="188" t="n">
        <x:v>12045602.7</x:v>
      </x:c>
      <x:c r="D2448" s="166" t="str">
        <x:v>Acura Gestora de Recursos LTDA.</x:v>
      </x:c>
      <x:c r="E2448" s="166" t="str">
        <x:f>IFERROR(INDEX('Classif Gestoras'!$H$6:$H$462,MATCH(D2448,'Classif Gestoras'!$A$6:$A$462,0)),"Não classificada")</x:f>
        <x:v>Independente</x:v>
      </x:c>
      <x:c r="F2448" s="166" t="str">
        <x:v>Qore DTVM</x:v>
      </x:c>
      <x:c r="G2448" s="166" t="str">
        <x:v>QORE DISTRIBUIDORA DE TÍTULOS E VALORES MOBILIÁRIOS LTDA.</x:v>
      </x:c>
      <x:c r="H2448" s="166" t="str">
        <x:v>Outros</x:v>
      </x:c>
      <x:c r="I2448" s="166" t="str">
        <x:v>Poder Público</x:v>
      </x:c>
      <x:c r="J2448" s="166" t="str">
        <x:v>CI</x:v>
      </x:c>
      <x:c r="K2448" s="172" t="n">
        <x:v>1</x:v>
      </x:c>
      <x:c r="L2448" s="185" t="str">
        <x:v>Não classificado</x:v>
      </x:c>
    </x:row>
    <x:row r="2449">
      <x:c r="A2449" s="175" t="str">
        <x:v>60.490.269/0001-25</x:v>
      </x:c>
      <x:c r="B2449" s="166" t="str">
        <x:v>L3R1 FUNDO DE INVESTIMENTO EM DIREITOS CREDITÓRIOS MULTISSEGMENTOS</x:v>
      </x:c>
      <x:c r="C2449" s="188" t="n">
        <x:v>12019781.28</x:v>
      </x:c>
      <x:c r="D2449" s="166" t="str">
        <x:v>Petra Capital</x:v>
      </x:c>
      <x:c r="E2449" s="166" t="str">
        <x:f>IFERROR(INDEX('Classif Gestoras'!$H$6:$H$462,MATCH(D2449,'Classif Gestoras'!$A$6:$A$462,0)),"Não classificada")</x:f>
        <x:v>Independente</x:v>
      </x:c>
      <x:c r="F2449" s="166" t="str">
        <x:v>Finaxis Corretora de Títulos e Valores Mobiliários S.A.</x:v>
      </x:c>
      <x:c r="G2449" s="166" t="str">
        <x:v>BANCO FINAXIS S.A.</x:v>
      </x:c>
      <x:c r="H2449" s="166" t="str">
        <x:v>Outros</x:v>
      </x:c>
      <x:c r="I2449" s="166" t="str">
        <x:v>Multicarteira Outros</x:v>
      </x:c>
      <x:c r="J2449" s="166" t="str">
        <x:v>CI</x:v>
      </x:c>
      <x:c r="K2449" s="172" t="n">
        <x:v>2</x:v>
      </x:c>
      <x:c r="L2449" s="185" t="str">
        <x:v>Não classificado</x:v>
      </x:c>
    </x:row>
    <x:row r="2450">
      <x:c r="A2450" s="175" t="str">
        <x:v>58.594.079/0001-06</x:v>
      </x:c>
      <x:c r="B2450" s="166" t="str">
        <x:v>EXT II FUNDO DE INVESTIMENTO EM DIREITOS CREDITÓRIOS - RESPONSABILIDADE LIMITADA</x:v>
      </x:c>
      <x:c r="C2450" s="188" t="n">
        <x:v>12006442.04</x:v>
      </x:c>
      <x:c r="D2450" s="166" t="str">
        <x:v>Ext Capital</x:v>
      </x:c>
      <x:c r="E2450" s="166" t="str">
        <x:f>IFERROR(INDEX('Classif Gestoras'!$H$6:$H$462,MATCH(D2450,'Classif Gestoras'!$A$6:$A$462,0)),"Não classificada")</x:f>
        <x:v>Independente</x:v>
      </x:c>
      <x:c r="F2450" s="166" t="str">
        <x:v>BANCO DAYCOVAL S/A</x:v>
      </x:c>
      <x:c r="G2450" s="166" t="str">
        <x:v>BANCO DAYCOVAL S.A.</x:v>
      </x:c>
      <x:c r="H2450" s="166" t="str">
        <x:v>Outros</x:v>
      </x:c>
      <x:c r="I2450" s="166" t="str">
        <x:v>Multicarteira Outros</x:v>
      </x:c>
      <x:c r="J2450" s="166" t="str">
        <x:v>CI</x:v>
      </x:c>
      <x:c r="K2450" s="172" t="n">
        <x:v>6</x:v>
      </x:c>
      <x:c r="L2450" s="185" t="str">
        <x:v>Não classificado</x:v>
      </x:c>
    </x:row>
    <x:row r="2451">
      <x:c r="A2451" s="175" t="str">
        <x:v>49.617.028/0001-61</x:v>
      </x:c>
      <x:c r="B2451" s="166" t="str">
        <x:v>CREDITCORP BIOLAB FUNDO DE INVESTIMENTO EM DIREITOS CREDITÓRIOS</x:v>
      </x:c>
      <x:c r="C2451" s="188" t="n">
        <x:v>11982393.84</x:v>
      </x:c>
      <x:c r="D2451" s="166" t="str">
        <x:v>BURITI INVESTIMENTOS</x:v>
      </x:c>
      <x:c r="E2451" s="166" t="str">
        <x:f>IFERROR(INDEX('Classif Gestoras'!$H$6:$H$462,MATCH(D2451,'Classif Gestoras'!$A$6:$A$462,0)),"Não classificada")</x:f>
        <x:v>Independente</x:v>
      </x:c>
      <x:c r="F2451" s="166" t="str">
        <x:v>Singulare</x:v>
      </x:c>
      <x:c r="G2451" s="166" t="str">
        <x:v>QI CORRETORA DE TÍTULOS E VALORES MOBILIÁRIOS S.A.</x:v>
      </x:c>
      <x:c r="H2451" s="166" t="str">
        <x:v>Fomento Mercantil</x:v>
      </x:c>
      <x:c r="I2451" s="166" t="str">
        <x:v>Fomento Mercantil</x:v>
      </x:c>
      <x:c r="J2451" s="166" t="str">
        <x:v>CI</x:v>
      </x:c>
      <x:c r="K2451" s="172" t="n">
        <x:v>3</x:v>
      </x:c>
      <x:c r="L2451" s="185" t="str">
        <x:v>Não classificado</x:v>
      </x:c>
    </x:row>
    <x:row r="2452">
      <x:c r="A2452" s="175" t="str">
        <x:v>51.294.885/0001-10</x:v>
      </x:c>
      <x:c r="B2452" s="166" t="str">
        <x:v>HEALTH MERCANTIL FUNDO DE INVESTIMENTO EM DIREITOS CREDITÓRIOS</x:v>
      </x:c>
      <x:c r="C2452" s="188" t="n">
        <x:v>11973165.070000002</x:v>
      </x:c>
      <x:c r="D2452" s="166" t="str">
        <x:v>OURO PRETO INVESTIMENTOS</x:v>
      </x:c>
      <x:c r="E2452" s="166" t="str">
        <x:f>IFERROR(INDEX('Classif Gestoras'!$H$6:$H$462,MATCH(D2452,'Classif Gestoras'!$A$6:$A$462,0)),"Não classificada")</x:f>
        <x:v>Independente</x:v>
      </x:c>
      <x:c r="F2452" s="166" t="str">
        <x:v>Limine Trust Distribuidora de Titulos e Valores Mobiliá</x:v>
      </x:c>
      <x:c r="G2452" s="166" t="str">
        <x:v>LIMINE TRUST DISTRIBUIDORA DE TITULOS E VALORES MOBILIARIOS LTDA.</x:v>
      </x:c>
      <x:c r="H2452" s="166" t="str">
        <x:v>Outros</x:v>
      </x:c>
      <x:c r="I2452" s="166" t="str">
        <x:v>Multicarteira Outros</x:v>
      </x:c>
      <x:c r="J2452" s="166" t="str">
        <x:v>CI</x:v>
      </x:c>
      <x:c r="K2452" s="172" t="n">
        <x:v>8</x:v>
      </x:c>
      <x:c r="L2452" s="185" t="str">
        <x:v>Não classificado</x:v>
      </x:c>
    </x:row>
    <x:row r="2453">
      <x:c r="A2453" s="175" t="str">
        <x:v>35.581.308/0001-52</x:v>
      </x:c>
      <x:c r="B2453" s="166" t="str">
        <x:v>MARILIA FUNDO DE INVESTIMENTO EM DIREITOS CREDITORIOS</x:v>
      </x:c>
      <x:c r="C2453" s="188" t="n">
        <x:v>11960379.98</x:v>
      </x:c>
      <x:c r="D2453" s="166" t="str">
        <x:v>TERCON ASSET MANAGEMENT</x:v>
      </x:c>
      <x:c r="E2453" s="166" t="str">
        <x:f>IFERROR(INDEX('Classif Gestoras'!$H$6:$H$462,MATCH(D2453,'Classif Gestoras'!$A$6:$A$462,0)),"Não classificada")</x:f>
        <x:v>Independente</x:v>
      </x:c>
      <x:c r="F2453" s="166" t="str">
        <x:v>Singulare</x:v>
      </x:c>
      <x:c r="G2453" s="166" t="str">
        <x:v>QI CORRETORA DE TÍTULOS E VALORES MOBILIÁRIOS S.A.</x:v>
      </x:c>
      <x:c r="H2453" s="166" t="str">
        <x:v>Fomento Mercantil</x:v>
      </x:c>
      <x:c r="I2453" s="166" t="str">
        <x:v>Fomento Mercantil</x:v>
      </x:c>
      <x:c r="J2453" s="166" t="str">
        <x:v>CI</x:v>
      </x:c>
      <x:c r="K2453" s="172" t="n">
        <x:v>15</x:v>
      </x:c>
      <x:c r="L2453" s="185" t="str">
        <x:v>Não classificado</x:v>
      </x:c>
    </x:row>
    <x:row r="2454">
      <x:c r="A2454" s="175" t="str">
        <x:v>61.746.700/0001-14</x:v>
      </x:c>
      <x:c r="B2454" s="166" t="str">
        <x:v>VERSÁTIL GESTÃO DE CAPITAL FUNDO DE INVESTIMENTO EM DIREITOS CREDITÓRIOS</x:v>
      </x:c>
      <x:c r="C2454" s="188" t="n">
        <x:v>11959792.329999998</x:v>
      </x:c>
      <x:c r="D2454" s="166" t="str">
        <x:v>Redwood Asset Management</x:v>
      </x:c>
      <x:c r="E2454" s="166" t="str">
        <x:f>IFERROR(INDEX('Classif Gestoras'!$H$6:$H$462,MATCH(D2454,'Classif Gestoras'!$A$6:$A$462,0)),"Não classificada")</x:f>
        <x:v>Independente</x:v>
      </x:c>
      <x:c r="F2454" s="166" t="str">
        <x:v>PLANNER CV</x:v>
      </x:c>
      <x:c r="G2454" s="166" t="str">
        <x:v>PLANNER CORRETORA DE VALORES S.A.</x:v>
      </x:c>
      <x:c r="H2454" s="166" t="str">
        <x:v>Outros</x:v>
      </x:c>
      <x:c r="I2454" s="166" t="str">
        <x:v>Multicarteira Outros</x:v>
      </x:c>
      <x:c r="J2454" s="166" t="str">
        <x:v>CI</x:v>
      </x:c>
      <x:c r="K2454" s="172" t="n">
        <x:v>3</x:v>
      </x:c>
      <x:c r="L2454" s="185" t="str">
        <x:v>Não classificado</x:v>
      </x:c>
    </x:row>
    <x:row r="2455">
      <x:c r="A2455" s="175" t="str">
        <x:v>61.601.122/0001-28</x:v>
      </x:c>
      <x:c r="B2455" s="166" t="str">
        <x:v>FKP FUNDO DE INVESTIMENTO EM DIREITOS CREDITÓRIOS</x:v>
      </x:c>
      <x:c r="C2455" s="188" t="n">
        <x:v>11942098.88</x:v>
      </x:c>
      <x:c r="D2455" s="166" t="str">
        <x:v>Redwood Asset Management</x:v>
      </x:c>
      <x:c r="E2455" s="166" t="str">
        <x:f>IFERROR(INDEX('Classif Gestoras'!$H$6:$H$462,MATCH(D2455,'Classif Gestoras'!$A$6:$A$462,0)),"Não classificada")</x:f>
        <x:v>Independente</x:v>
      </x:c>
      <x:c r="F2455" s="166" t="str">
        <x:v>PLANNER CV</x:v>
      </x:c>
      <x:c r="G2455" s="166" t="str">
        <x:v>PLANNER CORRETORA DE VALORES S.A.</x:v>
      </x:c>
      <x:c r="H2455" s="166" t="str">
        <x:v>Outros</x:v>
      </x:c>
      <x:c r="I2455" s="166" t="str">
        <x:v>Multicarteira Outros</x:v>
      </x:c>
      <x:c r="J2455" s="166" t="str">
        <x:v>CI</x:v>
      </x:c>
      <x:c r="K2455" s="172" t="n">
        <x:v>1</x:v>
      </x:c>
      <x:c r="L2455" s="185" t="str">
        <x:v>Não classificado</x:v>
      </x:c>
    </x:row>
    <x:row r="2456">
      <x:c r="A2456" s="175" t="str">
        <x:v>51.539.073/0001-97</x:v>
      </x:c>
      <x:c r="B2456" s="166" t="str">
        <x:v>GERIZIM FUNDO DE INVESTIMENTO EM DIREITOS CREDITÓRIOS RESPONSABILIDADE LIMITADA</x:v>
      </x:c>
      <x:c r="C2456" s="188" t="n">
        <x:v>11936935.93</x:v>
      </x:c>
      <x:c r="D2456" s="166" t="str">
        <x:v>IDGR</x:v>
      </x:c>
      <x:c r="E2456" s="166" t="str">
        <x:f>IFERROR(INDEX('Classif Gestoras'!$H$6:$H$462,MATCH(D2456,'Classif Gestoras'!$A$6:$A$462,0)),"Não classificada")</x:f>
        <x:v>Independente</x:v>
      </x:c>
      <x:c r="F2456" s="166" t="str">
        <x:v>ID Corretora de Títulos e Valores Mobiliários S.A.</x:v>
      </x:c>
      <x:c r="G2456" s="166" t="str">
        <x:v>ID CORRETORA DE TITULOS E VALORES MOBILIARIOS S.A.</x:v>
      </x:c>
      <x:c r="H2456" s="166" t="str">
        <x:v>Financeiro</x:v>
      </x:c>
      <x:c r="I2456" s="166" t="str">
        <x:v>Multicarteira Financeiro</x:v>
      </x:c>
      <x:c r="J2456" s="166" t="str">
        <x:v>CI</x:v>
      </x:c>
      <x:c r="K2456" s="172" t="n">
        <x:v>1</x:v>
      </x:c>
      <x:c r="L2456" s="185" t="str">
        <x:v>Não classificado</x:v>
      </x:c>
    </x:row>
    <x:row r="2457">
      <x:c r="A2457" s="175" t="str">
        <x:v>38.181.581/0001-88</x:v>
      </x:c>
      <x:c r="B2457" s="166" t="str">
        <x:v>CO-INVEST I BLACK BELT FUNDO DE INVESTIMENTO EM DIREITOS CREDITÓRIOS</x:v>
      </x:c>
      <x:c r="C2457" s="188" t="n">
        <x:v>11920010.45</x:v>
      </x:c>
      <x:c r="D2457" s="166" t="str">
        <x:v>Cupertino Capital</x:v>
      </x:c>
      <x:c r="E2457" s="166" t="str">
        <x:f>IFERROR(INDEX('Classif Gestoras'!$H$6:$H$462,MATCH(D2457,'Classif Gestoras'!$A$6:$A$462,0)),"Não classificada")</x:f>
        <x:v>Independente</x:v>
      </x:c>
      <x:c r="F2457" s="166" t="str">
        <x:v>Banco Genial S.A.</x:v>
      </x:c>
      <x:c r="G2457" s="166" t="str">
        <x:v>BANCO GENIAL S.A.</x:v>
      </x:c>
      <x:c r="H2457" s="166" t="str">
        <x:v>Outros</x:v>
      </x:c>
      <x:c r="I2457" s="166" t="str">
        <x:v>Multicarteira Outros</x:v>
      </x:c>
      <x:c r="J2457" s="166" t="str">
        <x:v>CI</x:v>
      </x:c>
      <x:c r="K2457" s="172" t="n">
        <x:v>6</x:v>
      </x:c>
      <x:c r="L2457" s="185" t="str">
        <x:v>Não classificado</x:v>
      </x:c>
    </x:row>
    <x:row r="2458">
      <x:c r="A2458" s="175" t="str">
        <x:v>57.883.732/0001-94</x:v>
      </x:c>
      <x:c r="B2458" s="166" t="str">
        <x:v>IC LESTE PROSOLUTTI CRÉDITOS TRABALHISTAS FUNDO DE INVESTIMENTO EM DIREITOS CREDITÓRIOS</x:v>
      </x:c>
      <x:c r="C2458" s="188" t="n">
        <x:v>11894160.32</x:v>
      </x:c>
      <x:c r="D2458" s="166" t="str">
        <x:v>Leste Credit Gestão de Recursos LTDA.</x:v>
      </x:c>
      <x:c r="E2458" s="166" t="str">
        <x:f>IFERROR(INDEX('Classif Gestoras'!$H$6:$H$462,MATCH(D2458,'Classif Gestoras'!$A$6:$A$462,0)),"Não classificada")</x:f>
        <x:v>Independente</x:v>
      </x:c>
      <x:c r="F2458" s="166" t="str">
        <x:v>VÓRTX DTVM</x:v>
      </x:c>
      <x:c r="G2458" s="166" t="str">
        <x:v>Não identificado</x:v>
      </x:c>
      <x:c r="H2458" s="166" t="str">
        <x:v>Outros</x:v>
      </x:c>
      <x:c r="I2458" s="166" t="str">
        <x:v>Poder Público</x:v>
      </x:c>
      <x:c r="J2458" s="166" t="str">
        <x:v>CI</x:v>
      </x:c>
      <x:c r="K2458" s="172" t="n">
        <x:v>2</x:v>
      </x:c>
      <x:c r="L2458" s="185" t="str">
        <x:v>Não classificado</x:v>
      </x:c>
    </x:row>
    <x:row r="2459">
      <x:c r="A2459" s="175" t="str">
        <x:v>62.527.939/0001-66</x:v>
      </x:c>
      <x:c r="B2459" s="166" t="str">
        <x:v>TITANO FUNDO DE INVESTIMENTO EM DIREITOS CREDITÓRIOS</x:v>
      </x:c>
      <x:c r="C2459" s="188" t="n">
        <x:v>11880071.67</x:v>
      </x:c>
      <x:c r="D2459" s="166" t="str">
        <x:v>Moka Gestora de Recursos de Terceiros LTDA.</x:v>
      </x:c>
      <x:c r="E2459" s="166" t="str">
        <x:f>IFERROR(INDEX('Classif Gestoras'!$H$6:$H$462,MATCH(D2459,'Classif Gestoras'!$A$6:$A$462,0)),"Não classificada")</x:f>
        <x:v>Independente</x:v>
      </x:c>
      <x:c r="F2459" s="166" t="str">
        <x:v>FIDD DISTRIBUIDORA DE TITULOS E VALORES MOBILIARIOS LTD</x:v>
      </x:c>
      <x:c r="G2459" s="166" t="str">
        <x:v>FIDD DISTRIBUIDORA DE TITULOS E VALORES MOBILIARIOS LTDA.</x:v>
      </x:c>
      <x:c r="H2459" s="166" t="str">
        <x:v>Agro, Indústria e Comércio</x:v>
      </x:c>
      <x:c r="I2459" s="166" t="str">
        <x:v>Multicarteira Agro, Indústria e Comércio</x:v>
      </x:c>
      <x:c r="J2459" s="166" t="str">
        <x:v>CI</x:v>
      </x:c>
      <x:c r="K2459" s="172" t="n">
        <x:v>5</x:v>
      </x:c>
      <x:c r="L2459" s="185" t="str">
        <x:v>Não classificado</x:v>
      </x:c>
    </x:row>
    <x:row r="2460">
      <x:c r="A2460" s="175" t="str">
        <x:v>43.122.353/0001-77</x:v>
      </x:c>
      <x:c r="B2460" s="166" t="str">
        <x:v>FATURE FUNDO DE INVESTIMENTO EM DIREITOS CREDITÓRIOS MULTISSETORIAL</x:v>
      </x:c>
      <x:c r="C2460" s="188" t="n">
        <x:v>11865826.96</x:v>
      </x:c>
      <x:c r="D2460" s="166" t="str">
        <x:v>OURO PRETO INVESTIMENTOS</x:v>
      </x:c>
      <x:c r="E2460" s="166" t="str">
        <x:f>IFERROR(INDEX('Classif Gestoras'!$H$6:$H$462,MATCH(D2460,'Classif Gestoras'!$A$6:$A$462,0)),"Não classificada")</x:f>
        <x:v>Independente</x:v>
      </x:c>
      <x:c r="F2460" s="166" t="str">
        <x:v>Limine Trust Distribuidora de Titulos e Valores Mobiliá</x:v>
      </x:c>
      <x:c r="G2460" s="166" t="str">
        <x:v>LIMINE TRUST DISTRIBUIDORA DE TITULOS E VALORES MOBILIARIOS LTDA.</x:v>
      </x:c>
      <x:c r="H2460" s="166" t="str">
        <x:v>Outros</x:v>
      </x:c>
      <x:c r="I2460" s="166" t="str">
        <x:v>Multicarteira Outros</x:v>
      </x:c>
      <x:c r="J2460" s="166" t="str">
        <x:v>CI</x:v>
      </x:c>
      <x:c r="K2460" s="172" t="n">
        <x:v>4</x:v>
      </x:c>
      <x:c r="L2460" s="185" t="str">
        <x:v>Não classificado</x:v>
      </x:c>
    </x:row>
    <x:row r="2461">
      <x:c r="A2461" s="175" t="str">
        <x:v>43.806.680/0001-48</x:v>
      </x:c>
      <x:c r="B2461" s="166" t="str">
        <x:v>TULIPA FUNDO DE INVESTIMENTO EM DIREITOS CREDITÓRIOS</x:v>
      </x:c>
      <x:c r="C2461" s="188" t="n">
        <x:v>11811064.33</x:v>
      </x:c>
      <x:c r="D2461" s="166" t="str">
        <x:v>Acura Gestora de Recursos LTDA.</x:v>
      </x:c>
      <x:c r="E2461" s="166" t="str">
        <x:f>IFERROR(INDEX('Classif Gestoras'!$H$6:$H$462,MATCH(D2461,'Classif Gestoras'!$A$6:$A$462,0)),"Não classificada")</x:f>
        <x:v>Independente</x:v>
      </x:c>
      <x:c r="F2461" s="166" t="str">
        <x:v>SEFER DTVM</x:v>
      </x:c>
      <x:c r="G2461" s="166" t="str">
        <x:v>SEFER INVESTIMENTOS DISTRIBUIDORA DE TÍTULOS E VALORES MOBILIÁRIOS LTDA.</x:v>
      </x:c>
      <x:c r="H2461" s="166" t="str">
        <x:v>Outros</x:v>
      </x:c>
      <x:c r="I2461" s="166" t="str">
        <x:v>Multicarteira Outros</x:v>
      </x:c>
      <x:c r="J2461" s="166" t="str">
        <x:v>CI</x:v>
      </x:c>
      <x:c r="K2461" s="172" t="n">
        <x:v>1</x:v>
      </x:c>
      <x:c r="L2461" s="185" t="str">
        <x:v>Não classificado</x:v>
      </x:c>
    </x:row>
    <x:row r="2462">
      <x:c r="A2462" s="175" t="str">
        <x:v>57.088.482/0001-09</x:v>
      </x:c>
      <x:c r="B2462" s="166" t="str">
        <x:v>VCA FUNDO DE INVESTIMENTO EM DIREITOS CREDITÓRIOS DE RESPONSABILIDADE LIMITADA</x:v>
      </x:c>
      <x:c r="C2462" s="188" t="n">
        <x:v>11801116.47</x:v>
      </x:c>
      <x:c r="D2462" s="166" t="str">
        <x:v>VALORA RENDA FIXA LTDA.</x:v>
      </x:c>
      <x:c r="E2462" s="166" t="str">
        <x:f>IFERROR(INDEX('Classif Gestoras'!$H$6:$H$462,MATCH(D2462,'Classif Gestoras'!$A$6:$A$462,0)),"Não classificada")</x:f>
        <x:v>Independente</x:v>
      </x:c>
      <x:c r="F2462" s="166" t="str">
        <x:v>BANCO DAYCOVAL S/A</x:v>
      </x:c>
      <x:c r="G2462" s="166" t="str">
        <x:v>BANCO DAYCOVAL S.A.</x:v>
      </x:c>
      <x:c r="H2462" s="166" t="str">
        <x:v>Outros</x:v>
      </x:c>
      <x:c r="I2462" s="166" t="str">
        <x:v>Multicarteira Outros</x:v>
      </x:c>
      <x:c r="J2462" s="166" t="str">
        <x:v>CI</x:v>
      </x:c>
      <x:c r="K2462" s="172" t="n">
        <x:v>5</x:v>
      </x:c>
      <x:c r="L2462" s="185" t="str">
        <x:v>Não classificado</x:v>
      </x:c>
    </x:row>
    <x:row r="2463">
      <x:c r="A2463" s="175" t="str">
        <x:v>59.710.430/0001-40</x:v>
      </x:c>
      <x:c r="B2463" s="166" t="str">
        <x:v>HAVANTI FUNDO DE INVESTIMENTO EM DIREITOS CREDITÓRIOS</x:v>
      </x:c>
      <x:c r="C2463" s="188" t="n">
        <x:v>11751624.05</x:v>
      </x:c>
      <x:c r="D2463" s="166" t="str">
        <x:v>ASSET MANAGEMENT</x:v>
      </x:c>
      <x:c r="E2463" s="166" t="str">
        <x:f>IFERROR(INDEX('Classif Gestoras'!$H$6:$H$462,MATCH(D2463,'Classif Gestoras'!$A$6:$A$462,0)),"Não classificada")</x:f>
        <x:v>Independente</x:v>
      </x:c>
      <x:c r="F2463" s="166" t="str">
        <x:v>AZUMI DISTRIBUIDORA DE TÍTULOS E VALORES MOBILIÁRIOS LT</x:v>
      </x:c>
      <x:c r="G2463" s="166" t="str">
        <x:v>AZUMI DISTRIBUIDORA DE TÍTULOS E VALORES MOBILIÁRIOS LTDA.</x:v>
      </x:c>
      <x:c r="H2463" s="166" t="str">
        <x:v>Outros</x:v>
      </x:c>
      <x:c r="I2463" s="166" t="str">
        <x:v>Multicarteira Outros</x:v>
      </x:c>
      <x:c r="J2463" s="166" t="str">
        <x:v>CI</x:v>
      </x:c>
      <x:c r="K2463" s="172" t="n">
        <x:v>9</x:v>
      </x:c>
      <x:c r="L2463" s="185" t="str">
        <x:v>Não classificado</x:v>
      </x:c>
    </x:row>
    <x:row r="2464">
      <x:c r="A2464" s="175" t="str">
        <x:v>61.226.894/0001-27</x:v>
      </x:c>
      <x:c r="B2464" s="166" t="str">
        <x:v>ARC LC FUNDO DE INVESTIMENTO EM DIREITOS CREDITÓRIOS</x:v>
      </x:c>
      <x:c r="C2464" s="188" t="n">
        <x:v>11692690</x:v>
      </x:c>
      <x:c r="D2464" s="166" t="str">
        <x:v>ARC Capital</x:v>
      </x:c>
      <x:c r="E2464" s="166" t="str">
        <x:f>IFERROR(INDEX('Classif Gestoras'!$H$6:$H$462,MATCH(D2464,'Classif Gestoras'!$A$6:$A$462,0)),"Não classificada")</x:f>
        <x:v>Independente</x:v>
      </x:c>
      <x:c r="F2464" s="166" t="str">
        <x:v>Oliveira Trust DTVM</x:v>
      </x:c>
      <x:c r="G2464" s="166" t="str">
        <x:v>OLIVEIRA TRUST DTVM S.A.</x:v>
      </x:c>
      <x:c r="H2464" s="166" t="str">
        <x:v>Outros</x:v>
      </x:c>
      <x:c r="I2464" s="166" t="str">
        <x:v>Multicarteira Outros</x:v>
      </x:c>
      <x:c r="J2464" s="166" t="str">
        <x:v>CI</x:v>
      </x:c>
      <x:c r="K2464" s="172" t="n">
        <x:v>2</x:v>
      </x:c>
      <x:c r="L2464" s="185" t="str">
        <x:v>Não classificado</x:v>
      </x:c>
    </x:row>
    <x:row r="2465">
      <x:c r="A2465" s="175" t="str">
        <x:v>14.038.410/0001-36</x:v>
      </x:c>
      <x:c r="B2465" s="166" t="str">
        <x:v>G5 MIX FUNDO DE INVESTIMENTO EM DIREITOS CREDITÓRIOS NÃO PADRONIZADOS</x:v>
      </x:c>
      <x:c r="C2465" s="188" t="n">
        <x:v>11688732.57</x:v>
      </x:c>
      <x:c r="D2465" s="166" t="str">
        <x:v>G5 Adm. de Recursos</x:v>
      </x:c>
      <x:c r="E2465" s="166" t="str">
        <x:f>IFERROR(INDEX('Classif Gestoras'!$H$6:$H$462,MATCH(D2465,'Classif Gestoras'!$A$6:$A$462,0)),"Não classificada")</x:f>
        <x:v>Independente</x:v>
      </x:c>
      <x:c r="F2465" s="166" t="str">
        <x:v>Singulare</x:v>
      </x:c>
      <x:c r="G2465" s="166" t="str">
        <x:v>QI CORRETORA DE TÍTULOS E VALORES MOBILIÁRIOS S.A.</x:v>
      </x:c>
      <x:c r="H2465" s="166" t="str">
        <x:v>Outros</x:v>
      </x:c>
      <x:c r="I2465" s="166" t="str">
        <x:v>Multicarteira Outros</x:v>
      </x:c>
      <x:c r="J2465" s="166" t="str">
        <x:v>CI</x:v>
      </x:c>
      <x:c r="K2465" s="172" t="n">
        <x:v>1</x:v>
      </x:c>
      <x:c r="L2465" s="185" t="str">
        <x:v>Não classificado</x:v>
      </x:c>
    </x:row>
    <x:row r="2466">
      <x:c r="A2466" s="175" t="str">
        <x:v>65.424.072/0001-01</x:v>
      </x:c>
      <x:c r="B2466" s="166" t="str">
        <x:v>BNVT IMOB PLUS FUNDO DE INVESTIMENTO EM DIREITOS CREDITÓRIOS</x:v>
      </x:c>
      <x:c r="C2466" s="188" t="n">
        <x:v>11665237.49</x:v>
      </x:c>
      <x:c r="D2466" s="166" t="str">
        <x:v>BENAVENT ASSET LTDA</x:v>
      </x:c>
      <x:c r="E2466" s="166" t="str">
        <x:f>IFERROR(INDEX('Classif Gestoras'!$H$6:$H$462,MATCH(D2466,'Classif Gestoras'!$A$6:$A$462,0)),"Não classificada")</x:f>
        <x:v>Independente</x:v>
      </x:c>
      <x:c r="F2466" s="166" t="str">
        <x:v>PLANNER CV</x:v>
      </x:c>
      <x:c r="G2466" s="166" t="str">
        <x:v>PLANNER CORRETORA DE VALORES S.A.</x:v>
      </x:c>
      <x:c r="H2466" s="166" t="str">
        <x:v>Outros</x:v>
      </x:c>
      <x:c r="I2466" s="166" t="str">
        <x:v>Multicarteira Outros</x:v>
      </x:c>
      <x:c r="J2466" s="166" t="str">
        <x:v>CI</x:v>
      </x:c>
      <x:c r="K2466" s="172" t="n">
        <x:v>5</x:v>
      </x:c>
      <x:c r="L2466" s="185" t="str">
        <x:v>Não classificado</x:v>
      </x:c>
    </x:row>
    <x:row r="2467">
      <x:c r="A2467" s="175" t="str">
        <x:v>53.077.542/0001-29</x:v>
      </x:c>
      <x:c r="B2467" s="166" t="str">
        <x:v>FUNDO DE INVESTIMENTO EM DIREITOS CREDITÓRIOS GOFLUX FRETES RESPONSABILIDADE LIMITADA</x:v>
      </x:c>
      <x:c r="C2467" s="188" t="n">
        <x:v>11663960.14</x:v>
      </x:c>
      <x:c r="D2467" s="166" t="str">
        <x:v>OPEA GESTORA DE RECURSOS</x:v>
      </x:c>
      <x:c r="E2467" s="166" t="str">
        <x:f>IFERROR(INDEX('Classif Gestoras'!$H$6:$H$462,MATCH(D2467,'Classif Gestoras'!$A$6:$A$462,0)),"Não classificada")</x:f>
        <x:v>Independente</x:v>
      </x:c>
      <x:c r="F2467" s="166" t="str">
        <x:v>VÓRTX DTVM</x:v>
      </x:c>
      <x:c r="G2467" s="166" t="str">
        <x:v>VORTX DISTRIBUIDORA DE TITULOS E VALORES MOBILIARIOS LTDA.</x:v>
      </x:c>
      <x:c r="H2467" s="166" t="str">
        <x:v>Agro, Indústria e Comércio</x:v>
      </x:c>
      <x:c r="I2467" s="166" t="str">
        <x:v>Infraestrutura</x:v>
      </x:c>
      <x:c r="J2467" s="166" t="str">
        <x:v>CI</x:v>
      </x:c>
      <x:c r="K2467" s="172" t="n">
        <x:v>20</x:v>
      </x:c>
      <x:c r="L2467" s="185" t="str">
        <x:v>Não classificado</x:v>
      </x:c>
    </x:row>
    <x:row r="2468">
      <x:c r="A2468" s="175" t="str">
        <x:v>26.677.268/0001-56</x:v>
      </x:c>
      <x:c r="B2468" s="166" t="str">
        <x:v>GRIFO FUNDO DE INVESTIMENTO EM DIREITOS CREDITÓRIOS PADRONIZADOS MULTISSETORIAL - RESP LIMITADA</x:v>
      </x:c>
      <x:c r="C2468" s="188" t="n">
        <x:v>11617030.27</x:v>
      </x:c>
      <x:c r="D2468" s="166" t="str">
        <x:v>Solis</x:v>
      </x:c>
      <x:c r="E2468" s="166" t="str">
        <x:f>IFERROR(INDEX('Classif Gestoras'!$H$6:$H$462,MATCH(D2468,'Classif Gestoras'!$A$6:$A$462,0)),"Não classificada")</x:f>
        <x:v>Independente</x:v>
      </x:c>
      <x:c r="F2468" s="166" t="str">
        <x:v>HEMERA DTVM</x:v>
      </x:c>
      <x:c r="G2468" s="166" t="str">
        <x:v>HEMERA DISTRIBUIDORA DE TITULOS E VALORES MOBILIARIOS LTDA</x:v>
      </x:c>
      <x:c r="H2468" s="166" t="str">
        <x:v>Outros</x:v>
      </x:c>
      <x:c r="I2468" s="166" t="str">
        <x:v>Multicarteira Outros</x:v>
      </x:c>
      <x:c r="J2468" s="166" t="str">
        <x:v>CI</x:v>
      </x:c>
      <x:c r="K2468" s="172" t="n">
        <x:v>16</x:v>
      </x:c>
      <x:c r="L2468" s="185" t="str">
        <x:v>Não classificado</x:v>
      </x:c>
    </x:row>
    <x:row r="2469">
      <x:c r="A2469" s="175" t="str">
        <x:v>62.083.078/0001-74</x:v>
      </x:c>
      <x:c r="B2469" s="166" t="str">
        <x:v>PORTFOLIO 22 FUNDO DE INVESTIMENTO EM DIREITOS CREDITÓRIOS</x:v>
      </x:c>
      <x:c r="C2469" s="188" t="n">
        <x:v>11528021.74</x:v>
      </x:c>
      <x:c r="D2469" s="166" t="str">
        <x:v>PACTUAL CAPITAL PART</x:v>
      </x:c>
      <x:c r="E2469" s="166" t="str">
        <x:f>IFERROR(INDEX('Classif Gestoras'!$H$6:$H$462,MATCH(D2469,'Classif Gestoras'!$A$6:$A$462,0)),"Não classificada")</x:f>
        <x:v>Independente</x:v>
      </x:c>
      <x:c r="F2469" s="166" t="str">
        <x:v>BTG Pactual Servicos Financeiros S/A DTVM</x:v>
      </x:c>
      <x:c r="G2469" s="166" t="str">
        <x:v>BANCO BTG PACTUAL S/A</x:v>
      </x:c>
      <x:c r="H2469" s="166" t="str">
        <x:v>Outros</x:v>
      </x:c>
      <x:c r="I2469" s="166" t="str">
        <x:v>Multicarteira Outros</x:v>
      </x:c>
      <x:c r="J2469" s="166" t="str">
        <x:v>CI</x:v>
      </x:c>
      <x:c r="K2469" s="172" t="n">
        <x:v>1</x:v>
      </x:c>
      <x:c r="L2469" s="185" t="str">
        <x:v>Não classificado</x:v>
      </x:c>
    </x:row>
    <x:row r="2470">
      <x:c r="A2470" s="175" t="str">
        <x:v>55.651.473/0001-40</x:v>
      </x:c>
      <x:c r="B2470" s="166" t="str">
        <x:v>VEXO FUNDO DE INVESTIMENTO EM DIREITOS CREDITÓRIOS RESPONSABILIDADE LIMITADA</x:v>
      </x:c>
      <x:c r="C2470" s="188" t="n">
        <x:v>11496994.44</x:v>
      </x:c>
      <x:c r="D2470" s="166" t="str">
        <x:v>Kuará Capital</x:v>
      </x:c>
      <x:c r="E2470" s="166" t="str">
        <x:f>IFERROR(INDEX('Classif Gestoras'!$H$6:$H$462,MATCH(D2470,'Classif Gestoras'!$A$6:$A$462,0)),"Não classificada")</x:f>
        <x:v>Independente</x:v>
      </x:c>
      <x:c r="F2470" s="166" t="str">
        <x:v>MONETAR DISTRIBUIDORA DE TITUL</x:v>
      </x:c>
      <x:c r="G2470" s="166" t="str">
        <x:v>TERRA INVESTIMENTOS DISTRIBUIDORA DE TITULOS E VALORES MOBILIARIOS LTDA</x:v>
      </x:c>
      <x:c r="H2470" s="166" t="str">
        <x:v>Outros</x:v>
      </x:c>
      <x:c r="I2470" s="166" t="str">
        <x:v>Multicarteira Outros</x:v>
      </x:c>
      <x:c r="J2470" s="166" t="str">
        <x:v>CI</x:v>
      </x:c>
      <x:c r="K2470" s="172" t="n">
        <x:v>10</x:v>
      </x:c>
      <x:c r="L2470" s="185" t="str">
        <x:v>Não classificado</x:v>
      </x:c>
    </x:row>
    <x:row r="2471">
      <x:c r="A2471" s="175" t="str">
        <x:v>29.242.908/0001-93</x:v>
      </x:c>
      <x:c r="B2471" s="166" t="str">
        <x:v>FUNDO DE INVESTIMENTO EM DIREITOS CREDITÓRIOS AGORA TELECOM</x:v>
      </x:c>
      <x:c r="C2471" s="188" t="n">
        <x:v>11495278.339999998</x:v>
      </x:c>
      <x:c r="D2471" s="166" t="str">
        <x:v>VALORA RENDA FIXA ESTRUTURADOS LTDA.</x:v>
      </x:c>
      <x:c r="E2471" s="166" t="str">
        <x:f>IFERROR(INDEX('Classif Gestoras'!$H$6:$H$462,MATCH(D2471,'Classif Gestoras'!$A$6:$A$462,0)),"Não classificada")</x:f>
        <x:v>Independente</x:v>
      </x:c>
      <x:c r="F2471" s="166" t="str">
        <x:v>Singulare</x:v>
      </x:c>
      <x:c r="G2471" s="166" t="str">
        <x:v>QI CORRETORA DE TÍTULOS E VALORES MOBILIÁRIOS S.A.</x:v>
      </x:c>
      <x:c r="H2471" s="166" t="str">
        <x:v>Outros</x:v>
      </x:c>
      <x:c r="I2471" s="166" t="str">
        <x:v>Multicarteira Outros</x:v>
      </x:c>
      <x:c r="J2471" s="166" t="str">
        <x:v>CI</x:v>
      </x:c>
      <x:c r="K2471" s="172" t="n">
        <x:v>8</x:v>
      </x:c>
      <x:c r="L2471" s="185" t="str">
        <x:v>Não classificado</x:v>
      </x:c>
    </x:row>
    <x:row r="2472">
      <x:c r="A2472" s="175" t="str">
        <x:v>37.720.148/0001-00</x:v>
      </x:c>
      <x:c r="B2472" s="166" t="str">
        <x:v>VIOLIN 8432 (2) CRÉDITOS JUDICIAIS FUNDO DE INVESTIMENTO EM DIREITOS CREDITÓRIOS</x:v>
      </x:c>
      <x:c r="C2472" s="188" t="n">
        <x:v>11464009.009999998</x:v>
      </x:c>
      <x:c r="D2472" s="166" t="str">
        <x:v>LASS CAPITAL</x:v>
      </x:c>
      <x:c r="E2472" s="166" t="str">
        <x:f>IFERROR(INDEX('Classif Gestoras'!$H$6:$H$462,MATCH(D2472,'Classif Gestoras'!$A$6:$A$462,0)),"Não classificada")</x:f>
        <x:v>Independente</x:v>
      </x:c>
      <x:c r="F2472" s="166" t="str">
        <x:v>BTG Pactual Servicos Financeiros S/A DTVM</x:v>
      </x:c>
      <x:c r="G2472" s="166" t="str">
        <x:v>BANCO BTG PACTUAL S/A</x:v>
      </x:c>
      <x:c r="H2472" s="166" t="str">
        <x:v>Outros</x:v>
      </x:c>
      <x:c r="I2472" s="166" t="str">
        <x:v>Poder Público</x:v>
      </x:c>
      <x:c r="J2472" s="166" t="str">
        <x:v>CI</x:v>
      </x:c>
      <x:c r="K2472" s="172" t="n">
        <x:v>5</x:v>
      </x:c>
      <x:c r="L2472" s="185" t="str">
        <x:v>Não classificado</x:v>
      </x:c>
    </x:row>
    <x:row r="2473">
      <x:c r="A2473" s="175" t="str">
        <x:v>63.975.281/0001-18</x:v>
      </x:c>
      <x:c r="B2473" s="166" t="str">
        <x:v>ITAIM SUB FUNDO DE INVESTIMENTO EM DIREITOS CREDITÓRIOS - RESPONSABILIDADE LIMITADA</x:v>
      </x:c>
      <x:c r="C2473" s="188" t="n">
        <x:v>11454756.86</x:v>
      </x:c>
      <x:c r="D2473" s="166" t="str">
        <x:v>QUAESTUS GESTÃO DE INVESTIMENTOS LTDA.</x:v>
      </x:c>
      <x:c r="E2473" s="166" t="str">
        <x:f>IFERROR(INDEX('Classif Gestoras'!$H$6:$H$462,MATCH(D2473,'Classif Gestoras'!$A$6:$A$462,0)),"Não classificada")</x:f>
        <x:v>Independente</x:v>
      </x:c>
      <x:c r="F2473" s="166" t="str">
        <x:v>MONETAR DISTRIBUIDORA DE TITUL</x:v>
      </x:c>
      <x:c r="G2473" s="166" t="str">
        <x:v>TERRA INVESTIMENTOS DISTRIBUIDORA DE TITULOS E VALORES MOBILIARIOS LTDA</x:v>
      </x:c>
      <x:c r="H2473" s="166" t="str">
        <x:v>Outros</x:v>
      </x:c>
      <x:c r="I2473" s="166" t="str">
        <x:v>Multicarteira Outros</x:v>
      </x:c>
      <x:c r="J2473" s="166" t="str">
        <x:v>CI</x:v>
      </x:c>
      <x:c r="K2473" s="172" t="n">
        <x:v>25</x:v>
      </x:c>
      <x:c r="L2473" s="185" t="str">
        <x:v>Não classificado</x:v>
      </x:c>
    </x:row>
    <x:row r="2474">
      <x:c r="A2474" s="175" t="str">
        <x:v>08.987.105/0001-98</x:v>
      </x:c>
      <x:c r="B2474" s="166" t="str">
        <x:v>FUNDO DE INVESTIMENTO EM DIREITOS CREDITÓRIOS - FORNECEDORES I DE RESPONSABILIDADE LIMITADA</x:v>
      </x:c>
      <x:c r="C2474" s="188" t="n">
        <x:v>11451770</x:v>
      </x:c>
      <x:c r="D2474" s="166" t="str">
        <x:v>DAYCOVAL ASSET MANAG</x:v>
      </x:c>
      <x:c r="E2474" s="166" t="str">
        <x:f>IFERROR(INDEX('Classif Gestoras'!$H$6:$H$462,MATCH(D2474,'Classif Gestoras'!$A$6:$A$462,0)),"Não classificada")</x:f>
        <x:v>Ligada a banco</x:v>
      </x:c>
      <x:c r="F2474" s="166" t="str">
        <x:v>BANCO DAYCOVAL S/A</x:v>
      </x:c>
      <x:c r="G2474" s="166" t="str">
        <x:v>BANCO BRADESCO S.A.</x:v>
      </x:c>
      <x:c r="H2474" s="166" t="str">
        <x:v>Agro, Indústria e Comércio</x:v>
      </x:c>
      <x:c r="I2474" s="166" t="str">
        <x:v>Crédito Corporativo</x:v>
      </x:c>
      <x:c r="J2474" s="166" t="str">
        <x:v>CI</x:v>
      </x:c>
      <x:c r="K2474" s="172" t="n">
        <x:v>1</x:v>
      </x:c>
      <x:c r="L2474" s="185" t="str">
        <x:v>Não classificado</x:v>
      </x:c>
    </x:row>
    <x:row r="2475">
      <x:c r="A2475" s="175" t="str">
        <x:v>52.349.539/0001-54</x:v>
      </x:c>
      <x:c r="B2475" s="166" t="str">
        <x:v>Z5 FUNDO DE INVESTIMENTO EM DIREITOS CREDITÓRIOS MULTISSETORIAL - RESPONSABILIDADE LIMITADA</x:v>
      </x:c>
      <x:c r="C2475" s="188" t="n">
        <x:v>11437603.08</x:v>
      </x:c>
      <x:c r="D2475" s="166" t="str">
        <x:v>OURO PRETO INVESTIMENTOS</x:v>
      </x:c>
      <x:c r="E2475" s="166" t="str">
        <x:f>IFERROR(INDEX('Classif Gestoras'!$H$6:$H$462,MATCH(D2475,'Classif Gestoras'!$A$6:$A$462,0)),"Não classificada")</x:f>
        <x:v>Independente</x:v>
      </x:c>
      <x:c r="F2475" s="166" t="str">
        <x:v>ID Corretora de Títulos e Valores Mobiliários S.A.</x:v>
      </x:c>
      <x:c r="G2475" s="166" t="str">
        <x:v>ID CORRETORA DE TITULOS E VALORES MOBILIARIOS S.A.</x:v>
      </x:c>
      <x:c r="H2475" s="166" t="str">
        <x:v>Fomento Mercantil</x:v>
      </x:c>
      <x:c r="I2475" s="166" t="str">
        <x:v>Fomento Mercantil</x:v>
      </x:c>
      <x:c r="J2475" s="166" t="str">
        <x:v>CI</x:v>
      </x:c>
      <x:c r="K2475" s="172" t="n">
        <x:v>18</x:v>
      </x:c>
      <x:c r="L2475" s="185" t="str">
        <x:v>Não classificado</x:v>
      </x:c>
    </x:row>
    <x:row r="2476">
      <x:c r="A2476" s="175" t="str">
        <x:v>61.734.134/0001-20</x:v>
      </x:c>
      <x:c r="B2476" s="166" t="str">
        <x:v>BERM FUNDO DE INVESTIMENTO EM DIREITOS CREDITÓRIOS</x:v>
      </x:c>
      <x:c r="C2476" s="188" t="n">
        <x:v>11303265.26</x:v>
      </x:c>
      <x:c r="D2476" s="166" t="str">
        <x:v>CARMEL GESTORA DE ATIVOS LTDA</x:v>
      </x:c>
      <x:c r="E2476" s="166" t="str">
        <x:f>IFERROR(INDEX('Classif Gestoras'!$H$6:$H$462,MATCH(D2476,'Classif Gestoras'!$A$6:$A$462,0)),"Não classificada")</x:f>
        <x:v>Independente</x:v>
      </x:c>
      <x:c r="F2476" s="166" t="str">
        <x:v>MONETAR DISTRIBUIDORA DE TITUL</x:v>
      </x:c>
      <x:c r="G2476" s="166" t="str">
        <x:v>TERRA INVESTIMENTOS DISTRIBUIDORA DE TITULOS E VALORES MOBILIARIOS LTDA</x:v>
      </x:c>
      <x:c r="H2476" s="166" t="str">
        <x:v>Outros</x:v>
      </x:c>
      <x:c r="I2476" s="166" t="str">
        <x:v>Recuperação</x:v>
      </x:c>
      <x:c r="J2476" s="166" t="str">
        <x:v>CI</x:v>
      </x:c>
      <x:c r="K2476" s="172" t="n">
        <x:v>16</x:v>
      </x:c>
      <x:c r="L2476" s="185" t="str">
        <x:v>Não classificado</x:v>
      </x:c>
    </x:row>
    <x:row r="2477">
      <x:c r="A2477" s="175" t="str">
        <x:v>45.810.162/0001-23</x:v>
      </x:c>
      <x:c r="B2477" s="166" t="str">
        <x:v>LANCE REAL FUNDO DE INVESTIMENTO EM DIREITOS CREDITORIOS</x:v>
      </x:c>
      <x:c r="C2477" s="188" t="n">
        <x:v>11290848.930000002</x:v>
      </x:c>
      <x:c r="D2477" s="166" t="str">
        <x:v>AF Invest</x:v>
      </x:c>
      <x:c r="E2477" s="166" t="str">
        <x:f>IFERROR(INDEX('Classif Gestoras'!$H$6:$H$462,MATCH(D2477,'Classif Gestoras'!$A$6:$A$462,0)),"Não classificada")</x:f>
        <x:v>Independente</x:v>
      </x:c>
      <x:c r="F2477" s="166" t="str">
        <x:v>ACTUAL DTVM</x:v>
      </x:c>
      <x:c r="G2477" s="166" t="str">
        <x:v>TRUSTEE DISTRIBUIDORA DE TITULOS E VALORES MOBILIARIOS LTDA.</x:v>
      </x:c>
      <x:c r="H2477" s="166" t="str">
        <x:v>Fomento Mercantil</x:v>
      </x:c>
      <x:c r="I2477" s="166" t="str">
        <x:v>Fomento Mercantil</x:v>
      </x:c>
      <x:c r="J2477" s="166" t="str">
        <x:v>CI</x:v>
      </x:c>
      <x:c r="K2477" s="172" t="n">
        <x:v>1</x:v>
      </x:c>
      <x:c r="L2477" s="185" t="str">
        <x:v>Não classificado</x:v>
      </x:c>
    </x:row>
    <x:row r="2478">
      <x:c r="A2478" s="175" t="str">
        <x:v>60.397.788/0001-43</x:v>
      </x:c>
      <x:c r="B2478" s="166" t="str">
        <x:v>SNOW FUNDO DE INVESTIMENTO EM DIREITOS CREDITÓRIOS RESPONSABILIDADE LIMITADA</x:v>
      </x:c>
      <x:c r="C2478" s="188" t="n">
        <x:v>11272945.83</x:v>
      </x:c>
      <x:c r="D2478" s="166" t="str">
        <x:v>PIER GESTAO DE RECURSOS FINANCEIROS LTDA</x:v>
      </x:c>
      <x:c r="E2478" s="166" t="str">
        <x:f>IFERROR(INDEX('Classif Gestoras'!$H$6:$H$462,MATCH(D2478,'Classif Gestoras'!$A$6:$A$462,0)),"Não classificada")</x:f>
        <x:v>Independente</x:v>
      </x:c>
      <x:c r="F2478" s="166" t="str">
        <x:v>FIDD DISTRIBUIDORA DE TITULOS E VALORES MOBILIARIOS LTD</x:v>
      </x:c>
      <x:c r="G2478" s="166" t="str">
        <x:v>FIDD DISTRIBUIDORA DE TITULOS E VALORES MOBILIARIOS LTDA.</x:v>
      </x:c>
      <x:c r="H2478" s="166" t="str">
        <x:v>Outros</x:v>
      </x:c>
      <x:c r="I2478" s="166" t="str">
        <x:v>Multicarteira Outros</x:v>
      </x:c>
      <x:c r="J2478" s="166" t="str">
        <x:v>CI</x:v>
      </x:c>
      <x:c r="K2478" s="172" t="n">
        <x:v>2</x:v>
      </x:c>
      <x:c r="L2478" s="185" t="str">
        <x:v>Não classificado</x:v>
      </x:c>
    </x:row>
    <x:row r="2479">
      <x:c r="A2479" s="175" t="str">
        <x:v>36.412.972/0001-30</x:v>
      </x:c>
      <x:c r="B2479" s="166" t="str">
        <x:v>VKR FUNDO DE INVESTIMENTO EM DIREITOS CREDITÓRIOS RESPONSABILIDADE LIMITADA</x:v>
      </x:c>
      <x:c r="C2479" s="188" t="n">
        <x:v>11270199.11</x:v>
      </x:c>
      <x:c r="D2479" s="166" t="str">
        <x:v>Iggy Investimentos</x:v>
      </x:c>
      <x:c r="E2479" s="166" t="str">
        <x:f>IFERROR(INDEX('Classif Gestoras'!$H$6:$H$462,MATCH(D2479,'Classif Gestoras'!$A$6:$A$462,0)),"Não classificada")</x:f>
        <x:v>Independente</x:v>
      </x:c>
      <x:c r="F2479" s="166" t="str">
        <x:v>FIDD DISTRIBUIDORA DE TITULOS E VALORES MOBILIARIOS LTD</x:v>
      </x:c>
      <x:c r="G2479" s="166" t="str">
        <x:v>BRL TRUST DISTRIBUIDORA DE TITULOS E VALORES MOBILIARIOS S.A.</x:v>
      </x:c>
      <x:c r="H2479" s="166" t="str">
        <x:v>Outros</x:v>
      </x:c>
      <x:c r="I2479" s="166" t="str">
        <x:v>Recuperação</x:v>
      </x:c>
      <x:c r="J2479" s="166" t="str">
        <x:v>CI</x:v>
      </x:c>
      <x:c r="K2479" s="172" t="n">
        <x:v>1</x:v>
      </x:c>
      <x:c r="L2479" s="185" t="str">
        <x:v>Não classificado</x:v>
      </x:c>
    </x:row>
    <x:row r="2480">
      <x:c r="A2480" s="175" t="str">
        <x:v>56.822.599/0001-01</x:v>
      </x:c>
      <x:c r="B2480" s="166" t="str">
        <x:v>DAY MAXX 4 FIDC DE RESPONSABILIDADE LIMITADA</x:v>
      </x:c>
      <x:c r="C2480" s="188" t="n">
        <x:v>11256977.32</x:v>
      </x:c>
      <x:c r="D2480" s="166" t="str">
        <x:v>DAYCOVAL ASSET MANAG</x:v>
      </x:c>
      <x:c r="E2480" s="166" t="str">
        <x:f>IFERROR(INDEX('Classif Gestoras'!$H$6:$H$462,MATCH(D2480,'Classif Gestoras'!$A$6:$A$462,0)),"Não classificada")</x:f>
        <x:v>Ligada a banco</x:v>
      </x:c>
      <x:c r="F2480" s="166" t="str">
        <x:v>BANCO DAYCOVAL S/A</x:v>
      </x:c>
      <x:c r="G2480" s="166" t="str">
        <x:v>BANCO DAYCOVAL S.A.</x:v>
      </x:c>
      <x:c r="H2480" s="166" t="str">
        <x:v>Fomento Mercantil</x:v>
      </x:c>
      <x:c r="I2480" s="166" t="str">
        <x:v>Fomento Mercantil</x:v>
      </x:c>
      <x:c r="J2480" s="166" t="str">
        <x:v>CI</x:v>
      </x:c>
      <x:c r="K2480" s="172" t="n">
        <x:v>1</x:v>
      </x:c>
      <x:c r="L2480" s="185" t="str">
        <x:v>Não classificado</x:v>
      </x:c>
    </x:row>
    <x:row r="2481">
      <x:c r="A2481" s="175" t="str">
        <x:v>46.494.768/0001-60</x:v>
      </x:c>
      <x:c r="B2481" s="166" t="str">
        <x:v>UNI PAY FUNDO DE INVESTIMENTO EM DIREITOS CREDITÓRIOS RESPONSABILIDADE LIMITADA</x:v>
      </x:c>
      <x:c r="C2481" s="188" t="n">
        <x:v>11242074.67</x:v>
      </x:c>
      <x:c r="D2481" s="166" t="str">
        <x:v>CONTEA CAPITAL</x:v>
      </x:c>
      <x:c r="E2481" s="166" t="str">
        <x:f>IFERROR(INDEX('Classif Gestoras'!$H$6:$H$462,MATCH(D2481,'Classif Gestoras'!$A$6:$A$462,0)),"Não classificada")</x:f>
        <x:v>Independente</x:v>
      </x:c>
      <x:c r="F2481" s="166" t="str">
        <x:v>VÓRTX DTVM</x:v>
      </x:c>
      <x:c r="G2481" s="166" t="str">
        <x:v>VORTX DISTRIBUIDORA DE TITULOS E VALORES MOBILIARIOS LTDA.</x:v>
      </x:c>
      <x:c r="H2481" s="166" t="str">
        <x:v>Outros</x:v>
      </x:c>
      <x:c r="I2481" s="166" t="str">
        <x:v>Multicarteira Outros</x:v>
      </x:c>
      <x:c r="J2481" s="166" t="str">
        <x:v>CI</x:v>
      </x:c>
      <x:c r="K2481" s="172" t="n">
        <x:v>1</x:v>
      </x:c>
      <x:c r="L2481" s="185" t="str">
        <x:v>Não classificado</x:v>
      </x:c>
    </x:row>
    <x:row r="2482">
      <x:c r="A2482" s="175" t="str">
        <x:v>21.605.486/0001-61</x:v>
      </x:c>
      <x:c r="B2482" s="166" t="str">
        <x:v>VALORTEC FUNDO DE INVESTIMENTOS EM DIREITOS CREDITÓRIOS</x:v>
      </x:c>
      <x:c r="C2482" s="188" t="n">
        <x:v>11228161.12</x:v>
      </x:c>
      <x:c r="D2482" s="166" t="str">
        <x:v>TERCON ASSET MANAGEMENT</x:v>
      </x:c>
      <x:c r="E2482" s="166" t="str">
        <x:f>IFERROR(INDEX('Classif Gestoras'!$H$6:$H$462,MATCH(D2482,'Classif Gestoras'!$A$6:$A$462,0)),"Não classificada")</x:f>
        <x:v>Independente</x:v>
      </x:c>
      <x:c r="F2482" s="166" t="str">
        <x:v>Singulare</x:v>
      </x:c>
      <x:c r="G2482" s="166" t="str">
        <x:v>QI CORRETORA DE TÍTULOS E VALORES MOBILIÁRIOS S.A.</x:v>
      </x:c>
      <x:c r="H2482" s="166" t="str">
        <x:v>Fomento Mercantil</x:v>
      </x:c>
      <x:c r="I2482" s="166" t="str">
        <x:v>Fomento Mercantil</x:v>
      </x:c>
      <x:c r="J2482" s="166" t="str">
        <x:v>CI</x:v>
      </x:c>
      <x:c r="K2482" s="172" t="n">
        <x:v>9</x:v>
      </x:c>
      <x:c r="L2482" s="185" t="str">
        <x:v>Não classificado</x:v>
      </x:c>
    </x:row>
    <x:row r="2483">
      <x:c r="A2483" s="175" t="str">
        <x:v>54.519.663/0001-46</x:v>
      </x:c>
      <x:c r="B2483" s="166" t="str">
        <x:v>MOSAICO ELITE FUNDO DE INVESTIMENTO EM DIREITOS CREDITÓRIOS</x:v>
      </x:c>
      <x:c r="C2483" s="188" t="n">
        <x:v>11225178.1</x:v>
      </x:c>
      <x:c r="D2483" s="166" t="str">
        <x:v>PESSOAS FISICAS</x:v>
      </x:c>
      <x:c r="E2483" s="166" t="str">
        <x:f>IFERROR(INDEX('Classif Gestoras'!$H$6:$H$462,MATCH(D2483,'Classif Gestoras'!$A$6:$A$462,0)),"Não classificada")</x:f>
        <x:v>Independente</x:v>
      </x:c>
      <x:c r="F2483" s="166" t="str">
        <x:v>OSLO DTVM S. A.</x:v>
      </x:c>
      <x:c r="G2483" s="166" t="str">
        <x:v>OSLO CAPITAL DISTRIBUIDORA DE TITULOS E VALORES MOBILIARIOS S.A.</x:v>
      </x:c>
      <x:c r="H2483" s="166" t="str">
        <x:v>Outros</x:v>
      </x:c>
      <x:c r="I2483" s="166" t="str">
        <x:v>Multicarteira Outros</x:v>
      </x:c>
      <x:c r="J2483" s="166" t="str">
        <x:v>CI</x:v>
      </x:c>
      <x:c r="K2483" s="172" t="n">
        <x:v>14</x:v>
      </x:c>
      <x:c r="L2483" s="185" t="str">
        <x:v>Não classificado</x:v>
      </x:c>
    </x:row>
    <x:row r="2484">
      <x:c r="A2484" s="175" t="str">
        <x:v>60.693.131/0001-23</x:v>
      </x:c>
      <x:c r="B2484" s="166" t="str">
        <x:v>Z8 FUNDO DE INVESTIMENTO EM DIREITOS CREDITÓRIOS</x:v>
      </x:c>
      <x:c r="C2484" s="188" t="n">
        <x:v>11204724.14</x:v>
      </x:c>
      <x:c r="D2484" s="166" t="str">
        <x:v>Redwood Asset Management</x:v>
      </x:c>
      <x:c r="E2484" s="166" t="str">
        <x:f>IFERROR(INDEX('Classif Gestoras'!$H$6:$H$462,MATCH(D2484,'Classif Gestoras'!$A$6:$A$462,0)),"Não classificada")</x:f>
        <x:v>Independente</x:v>
      </x:c>
      <x:c r="F2484" s="166" t="str">
        <x:v>PLANNER CV</x:v>
      </x:c>
      <x:c r="G2484" s="166" t="str">
        <x:v>PLANNER CORRETORA DE VALORES S.A.</x:v>
      </x:c>
      <x:c r="H2484" s="166" t="str">
        <x:v>Outros</x:v>
      </x:c>
      <x:c r="I2484" s="166" t="str">
        <x:v>Multicarteira Outros</x:v>
      </x:c>
      <x:c r="J2484" s="166" t="str">
        <x:v>CI</x:v>
      </x:c>
      <x:c r="K2484" s="172" t="n">
        <x:v>4</x:v>
      </x:c>
      <x:c r="L2484" s="185" t="str">
        <x:v>Não classificado</x:v>
      </x:c>
    </x:row>
    <x:row r="2485">
      <x:c r="A2485" s="175" t="str">
        <x:v>57.620.020/0001-82</x:v>
      </x:c>
      <x:c r="B2485" s="166" t="str">
        <x:v>REAL ESTATE RELATED FUNDO DE INVESTIMENTO EM DIREITOS CREDITÓRIOS</x:v>
      </x:c>
      <x:c r="C2485" s="188" t="n">
        <x:v>11190799.21</x:v>
      </x:c>
      <x:c r="D2485" s="166" t="str">
        <x:v>HGI Capital</x:v>
      </x:c>
      <x:c r="E2485" s="166" t="str">
        <x:f>IFERROR(INDEX('Classif Gestoras'!$H$6:$H$462,MATCH(D2485,'Classif Gestoras'!$A$6:$A$462,0)),"Não classificada")</x:f>
        <x:v>Independente</x:v>
      </x:c>
      <x:c r="F2485" s="166" t="str">
        <x:v>VÓRTX DTVM</x:v>
      </x:c>
      <x:c r="G2485" s="166" t="str">
        <x:v>VORTX DISTRIBUIDORA DE TITULOS E VALORES MOBILIARIOS LTDA.</x:v>
      </x:c>
      <x:c r="H2485" s="166" t="str">
        <x:v>Financeiro</x:v>
      </x:c>
      <x:c r="I2485" s="166" t="str">
        <x:v>Crédito Imobiliário</x:v>
      </x:c>
      <x:c r="J2485" s="166" t="str">
        <x:v>CI</x:v>
      </x:c>
      <x:c r="K2485" s="172" t="n">
        <x:v>1</x:v>
      </x:c>
      <x:c r="L2485" s="185" t="str">
        <x:v>Não classificado</x:v>
      </x:c>
    </x:row>
    <x:row r="2486">
      <x:c r="A2486" s="175" t="str">
        <x:v>62.682.937/0001-41</x:v>
      </x:c>
      <x:c r="B2486" s="166" t="str">
        <x:v>GIRO CRÉDITO FUNDO DE INVESTIMENTO EM DIREITOS CREDITÓRIOS</x:v>
      </x:c>
      <x:c r="C2486" s="188" t="n">
        <x:v>11091852.91</x:v>
      </x:c>
      <x:c r="D2486" s="166" t="str">
        <x:v>BTG Pactual Asset</x:v>
      </x:c>
      <x:c r="E2486" s="166" t="str">
        <x:f>IFERROR(INDEX('Classif Gestoras'!$H$6:$H$462,MATCH(D2486,'Classif Gestoras'!$A$6:$A$462,0)),"Não classificada")</x:f>
        <x:v>Ligada a banco</x:v>
      </x:c>
      <x:c r="F2486" s="166" t="str">
        <x:v>BTG Pactual Servicos Financeiros S/A DTVM</x:v>
      </x:c>
      <x:c r="G2486" s="166" t="str">
        <x:v>BANCO BTG PACTUAL S/A</x:v>
      </x:c>
      <x:c r="H2486" s="166" t="str">
        <x:v>Agro, Indústria e Comércio</x:v>
      </x:c>
      <x:c r="I2486" s="166" t="str">
        <x:v>Multicarteira Agro, Indústria e Comércio</x:v>
      </x:c>
      <x:c r="J2486" s="166" t="str">
        <x:v>CI</x:v>
      </x:c>
      <x:c r="K2486" s="172" t="n">
        <x:v>2</x:v>
      </x:c>
      <x:c r="L2486" s="185" t="str">
        <x:v>Não classificado</x:v>
      </x:c>
    </x:row>
    <x:row r="2487">
      <x:c r="A2487" s="175" t="str">
        <x:v>52.531.368/0001-80</x:v>
      </x:c>
      <x:c r="B2487" s="166" t="str">
        <x:v>VALENTE FUNDO DE INVESTIMENTO EM DIREITOS CREDITÓRIOS</x:v>
      </x:c>
      <x:c r="C2487" s="188" t="n">
        <x:v>11074394.93</x:v>
      </x:c>
      <x:c r="D2487" s="166" t="str">
        <x:v>Catálise Investimentos</x:v>
      </x:c>
      <x:c r="E2487" s="166" t="str">
        <x:f>IFERROR(INDEX('Classif Gestoras'!$H$6:$H$462,MATCH(D2487,'Classif Gestoras'!$A$6:$A$462,0)),"Não classificada")</x:f>
        <x:v>Independente</x:v>
      </x:c>
      <x:c r="F2487" s="166" t="str">
        <x:v>CATÁLISE DTVM</x:v>
      </x:c>
      <x:c r="G2487" s="166" t="str">
        <x:v>BANCO DAYCOVAL S.A.</x:v>
      </x:c>
      <x:c r="H2487" s="166" t="str">
        <x:v>Agro, Indústria e Comércio</x:v>
      </x:c>
      <x:c r="I2487" s="166" t="str">
        <x:v>Recebíveis Comerciais</x:v>
      </x:c>
      <x:c r="J2487" s="166" t="str">
        <x:v>CI</x:v>
      </x:c>
      <x:c r="K2487" s="172" t="n">
        <x:v>1</x:v>
      </x:c>
      <x:c r="L2487" s="185" t="str">
        <x:v>Não classificado</x:v>
      </x:c>
    </x:row>
    <x:row r="2488">
      <x:c r="A2488" s="175" t="str">
        <x:v>37.484.372/0001-40</x:v>
      </x:c>
      <x:c r="B2488" s="166" t="str">
        <x:v>FUNDO DE INVESTIMENTO EM DIREITOS CREDITÓRIOS ATIVOS JUDICIAIS II</x:v>
      </x:c>
      <x:c r="C2488" s="188" t="n">
        <x:v>11065877.42</x:v>
      </x:c>
      <x:c r="D2488" s="166" t="str">
        <x:v>Vista Real Estate</x:v>
      </x:c>
      <x:c r="E2488" s="166" t="str">
        <x:f>IFERROR(INDEX('Classif Gestoras'!$H$6:$H$462,MATCH(D2488,'Classif Gestoras'!$A$6:$A$462,0)),"Não classificada")</x:f>
        <x:v>Independente</x:v>
      </x:c>
      <x:c r="F2488" s="166" t="str">
        <x:v>BRL TRUST DTVM</x:v>
      </x:c>
      <x:c r="G2488" s="166" t="str">
        <x:v>BRL TRUST DISTRIBUIDORA DE TITULOS E VALORES MOBILIARIOS S.A.</x:v>
      </x:c>
      <x:c r="H2488" s="166" t="str">
        <x:v>Outros</x:v>
      </x:c>
      <x:c r="I2488" s="166" t="str">
        <x:v>Poder Público</x:v>
      </x:c>
      <x:c r="J2488" s="166" t="str">
        <x:v>CI</x:v>
      </x:c>
      <x:c r="K2488" s="172" t="n">
        <x:v>2</x:v>
      </x:c>
      <x:c r="L2488" s="185" t="str">
        <x:v>Não classificado</x:v>
      </x:c>
    </x:row>
    <x:row r="2489">
      <x:c r="A2489" s="175" t="str">
        <x:v>47.240.716/0001-20</x:v>
      </x:c>
      <x:c r="B2489" s="166" t="str">
        <x:v>PORTOSEG FUNDO DE INVESTIMENTO EM DIREITOS CREDITÓRIOS DE RESPONSABILIDADE ILIMITADA</x:v>
      </x:c>
      <x:c r="C2489" s="188" t="n">
        <x:v>10988502.92</x:v>
      </x:c>
      <x:c r="D2489" s="166" t="str">
        <x:v>TERCON ASSET MANAGEMENT</x:v>
      </x:c>
      <x:c r="E2489" s="166" t="str">
        <x:f>IFERROR(INDEX('Classif Gestoras'!$H$6:$H$462,MATCH(D2489,'Classif Gestoras'!$A$6:$A$462,0)),"Não classificada")</x:f>
        <x:v>Independente</x:v>
      </x:c>
      <x:c r="F2489" s="166" t="str">
        <x:v>BANCO DAYCOVAL S/A</x:v>
      </x:c>
      <x:c r="G2489" s="166" t="str">
        <x:v>BANCO DAYCOVAL S.A.</x:v>
      </x:c>
      <x:c r="H2489" s="166" t="str">
        <x:v>Outros</x:v>
      </x:c>
      <x:c r="I2489" s="166" t="str">
        <x:v>Multicarteira Outros</x:v>
      </x:c>
      <x:c r="J2489" s="166" t="str">
        <x:v>CI</x:v>
      </x:c>
      <x:c r="K2489" s="172" t="n">
        <x:v>1</x:v>
      </x:c>
      <x:c r="L2489" s="185" t="str">
        <x:v>Não classificado</x:v>
      </x:c>
    </x:row>
    <x:row r="2490">
      <x:c r="A2490" s="175" t="str">
        <x:v>59.388.724/0001-05</x:v>
      </x:c>
      <x:c r="B2490" s="166" t="str">
        <x:v>FUNDO DE INVESTIMENTO EM DIREITOS CREDITÓRIOS KREDITKARTE</x:v>
      </x:c>
      <x:c r="C2490" s="188" t="n">
        <x:v>10982046.86</x:v>
      </x:c>
      <x:c r="D2490" s="166" t="str">
        <x:v>REAG LEGAL CLAIMS GESTÃO DE ATIVOS</x:v>
      </x:c>
      <x:c r="E2490" s="166" t="str">
        <x:f>IFERROR(INDEX('Classif Gestoras'!$H$6:$H$462,MATCH(D2490,'Classif Gestoras'!$A$6:$A$462,0)),"Não classificada")</x:f>
        <x:v>Independente</x:v>
      </x:c>
      <x:c r="F2490" s="166" t="str">
        <x:v>PLANNER CV</x:v>
      </x:c>
      <x:c r="G2490" s="166" t="str">
        <x:v>PLANNER CORRETORA DE VALORES S.A.</x:v>
      </x:c>
      <x:c r="H2490" s="166" t="str">
        <x:v>Financeiro</x:v>
      </x:c>
      <x:c r="I2490" s="166" t="str">
        <x:v>Multicarteira Financeiro</x:v>
      </x:c>
      <x:c r="J2490" s="166" t="str">
        <x:v>CI</x:v>
      </x:c>
      <x:c r="K2490" s="172" t="n">
        <x:v>1</x:v>
      </x:c>
      <x:c r="L2490" s="185" t="str">
        <x:v>Não classificado</x:v>
      </x:c>
    </x:row>
    <x:row r="2491">
      <x:c r="A2491" s="175" t="str">
        <x:v>60.866.189/0001-21</x:v>
      </x:c>
      <x:c r="B2491" s="166" t="str">
        <x:v>ASHER FUNDO DE INVESTIMENTO EM DIREITOS CREDITÓRIOS</x:v>
      </x:c>
      <x:c r="C2491" s="188" t="n">
        <x:v>10970567.84</x:v>
      </x:c>
      <x:c r="D2491" s="166" t="str">
        <x:v>TERCON ASSET MANAGEMENT</x:v>
      </x:c>
      <x:c r="E2491" s="166" t="str">
        <x:f>IFERROR(INDEX('Classif Gestoras'!$H$6:$H$462,MATCH(D2491,'Classif Gestoras'!$A$6:$A$462,0)),"Não classificada")</x:f>
        <x:v>Independente</x:v>
      </x:c>
      <x:c r="F2491" s="166" t="str">
        <x:v>Singulare</x:v>
      </x:c>
      <x:c r="G2491" s="166" t="str">
        <x:v>QI CORRETORA DE TÍTULOS E VALORES MOBILIÁRIOS S.A.</x:v>
      </x:c>
      <x:c r="H2491" s="166" t="str">
        <x:v>Fomento Mercantil</x:v>
      </x:c>
      <x:c r="I2491" s="166" t="str">
        <x:v>Fomento Mercantil</x:v>
      </x:c>
      <x:c r="J2491" s="166" t="str">
        <x:v>CI</x:v>
      </x:c>
      <x:c r="K2491" s="172" t="n">
        <x:v>7</x:v>
      </x:c>
      <x:c r="L2491" s="185" t="str">
        <x:v>Não classificado</x:v>
      </x:c>
    </x:row>
    <x:row r="2492">
      <x:c r="A2492" s="175" t="str">
        <x:v>42.518.113/0001-23</x:v>
      </x:c>
      <x:c r="B2492" s="166" t="str">
        <x:v>SÃO CARLOS FUNDO DE INVESTIMENTO EM DIREITOS CREDITÓRIOS</x:v>
      </x:c>
      <x:c r="C2492" s="188" t="n">
        <x:v>10963188.12</x:v>
      </x:c>
      <x:c r="D2492" s="166" t="str">
        <x:v>PLANNER CV</x:v>
      </x:c>
      <x:c r="E2492" s="166" t="str">
        <x:f>IFERROR(INDEX('Classif Gestoras'!$H$6:$H$462,MATCH(D2492,'Classif Gestoras'!$A$6:$A$462,0)),"Não classificada")</x:f>
        <x:v>Independente</x:v>
      </x:c>
      <x:c r="F2492" s="166" t="str">
        <x:v>PLANNER CV</x:v>
      </x:c>
      <x:c r="G2492" s="166" t="str">
        <x:v>PLANNER CORRETORA DE VALORES S.A.</x:v>
      </x:c>
      <x:c r="H2492" s="166" t="str">
        <x:v>Outros</x:v>
      </x:c>
      <x:c r="I2492" s="166" t="str">
        <x:v>Multicarteira Outros</x:v>
      </x:c>
      <x:c r="J2492" s="166" t="str">
        <x:v>CI</x:v>
      </x:c>
      <x:c r="K2492" s="172" t="n">
        <x:v>1</x:v>
      </x:c>
      <x:c r="L2492" s="185" t="str">
        <x:v>Não classificado</x:v>
      </x:c>
    </x:row>
    <x:row r="2493">
      <x:c r="A2493" s="175" t="str">
        <x:v>62.075.485/0001-30</x:v>
      </x:c>
      <x:c r="B2493" s="166" t="str">
        <x:v>PB77 ACADEMIAS FUNDO DE INVESTIMENTO EM DIREITOS CREDITÓRIOS RESP LIMITADA</x:v>
      </x:c>
      <x:c r="C2493" s="188" t="n">
        <x:v>10955029.22</x:v>
      </x:c>
      <x:c r="D2493" s="166" t="str">
        <x:v>VERT Gestora de Recursos Financeiros Ltda.</x:v>
      </x:c>
      <x:c r="E2493" s="166" t="str">
        <x:f>IFERROR(INDEX('Classif Gestoras'!$H$6:$H$462,MATCH(D2493,'Classif Gestoras'!$A$6:$A$462,0)),"Não classificada")</x:f>
        <x:v>Independente</x:v>
      </x:c>
      <x:c r="F2493" s="166" t="str">
        <x:v>VERT Distribuidora de Títulos e Valores Mobiliários Ltd</x:v>
      </x:c>
      <x:c r="G2493" s="166" t="str">
        <x:v>VERT DISTRIBUIDORA DE TÍTULOS E VALORES MOBILIÁRIOS LTDA.</x:v>
      </x:c>
      <x:c r="H2493" s="166" t="str">
        <x:v>Agro, Indústria e Comércio</x:v>
      </x:c>
      <x:c r="I2493" s="166" t="str">
        <x:v>Crédito Corporativo</x:v>
      </x:c>
      <x:c r="J2493" s="166" t="str">
        <x:v>CI</x:v>
      </x:c>
      <x:c r="K2493" s="172" t="n">
        <x:v>2</x:v>
      </x:c>
      <x:c r="L2493" s="185" t="str">
        <x:v>Não classificado</x:v>
      </x:c>
    </x:row>
    <x:row r="2494">
      <x:c r="A2494" s="175" t="str">
        <x:v>52.259.737/0001-27</x:v>
      </x:c>
      <x:c r="B2494" s="166" t="str">
        <x:v>ISIDORO FUNDO DE INVESTIMENTO EM DIREITOS CREDITÓRIOS</x:v>
      </x:c>
      <x:c r="C2494" s="188" t="n">
        <x:v>10948777.56</x:v>
      </x:c>
      <x:c r="D2494" s="166" t="str">
        <x:v>Harbour Capital</x:v>
      </x:c>
      <x:c r="E2494" s="166" t="str">
        <x:f>IFERROR(INDEX('Classif Gestoras'!$H$6:$H$462,MATCH(D2494,'Classif Gestoras'!$A$6:$A$462,0)),"Não classificada")</x:f>
        <x:v>Independente</x:v>
      </x:c>
      <x:c r="F2494" s="166" t="str">
        <x:v>Singulare</x:v>
      </x:c>
      <x:c r="G2494" s="166" t="str">
        <x:v>QI CORRETORA DE TÍTULOS E VALORES MOBILIÁRIOS S.A.</x:v>
      </x:c>
      <x:c r="H2494" s="166" t="str">
        <x:v>Fomento Mercantil</x:v>
      </x:c>
      <x:c r="I2494" s="166" t="str">
        <x:v>Fomento Mercantil</x:v>
      </x:c>
      <x:c r="J2494" s="166" t="str">
        <x:v>CI</x:v>
      </x:c>
      <x:c r="K2494" s="172" t="n">
        <x:v>4</x:v>
      </x:c>
      <x:c r="L2494" s="185" t="str">
        <x:v>Não classificado</x:v>
      </x:c>
    </x:row>
    <x:row r="2495">
      <x:c r="A2495" s="175" t="str">
        <x:v>64.157.229/0001-17</x:v>
      </x:c>
      <x:c r="B2495" s="166" t="str">
        <x:v>RUMO NPL I FUNDO DE INVESTIMENTO EM DIREITOS CREDITÓRIOS NÃO-PADRONIZADOS</x:v>
      </x:c>
      <x:c r="C2495" s="188" t="n">
        <x:v>10925089.43</x:v>
      </x:c>
      <x:c r="D2495" s="166" t="str">
        <x:v>GV ATACAMA CAPITAL LTDA.</x:v>
      </x:c>
      <x:c r="E2495" s="166" t="str">
        <x:f>IFERROR(INDEX('Classif Gestoras'!$H$6:$H$462,MATCH(D2495,'Classif Gestoras'!$A$6:$A$462,0)),"Não classificada")</x:f>
        <x:v>Independente</x:v>
      </x:c>
      <x:c r="F2495" s="166" t="str">
        <x:v>Singulare</x:v>
      </x:c>
      <x:c r="G2495" s="166" t="str">
        <x:v>QI CORRETORA DE TÍTULOS E VALORES MOBILIÁRIOS S.A.</x:v>
      </x:c>
      <x:c r="H2495" s="166" t="str">
        <x:v>Outros</x:v>
      </x:c>
      <x:c r="I2495" s="166" t="str">
        <x:v>Multicarteira Outros</x:v>
      </x:c>
      <x:c r="J2495" s="166" t="str">
        <x:v>CI</x:v>
      </x:c>
      <x:c r="K2495" s="172" t="n">
        <x:v>1</x:v>
      </x:c>
      <x:c r="L2495" s="185" t="str">
        <x:v>Não classificado</x:v>
      </x:c>
    </x:row>
    <x:row r="2496">
      <x:c r="A2496" s="175" t="str">
        <x:v>52.165.424/0001-00</x:v>
      </x:c>
      <x:c r="B2496" s="166" t="str">
        <x:v>VOLTZ SUPPLY I FUNDO DE INVESTIMENTO EM DIREITOS CREDITÓRIOS RESPONSABILIDADE LIMITADA</x:v>
      </x:c>
      <x:c r="C2496" s="188" t="n">
        <x:v>10922145.06</x:v>
      </x:c>
      <x:c r="D2496" s="166" t="str">
        <x:v>POLÍGONO CAPITAL LTDA.</x:v>
      </x:c>
      <x:c r="E2496" s="166" t="str">
        <x:f>IFERROR(INDEX('Classif Gestoras'!$H$6:$H$462,MATCH(D2496,'Classif Gestoras'!$A$6:$A$462,0)),"Não classificada")</x:f>
        <x:v>Independente</x:v>
      </x:c>
      <x:c r="F2496" s="166" t="str">
        <x:v>BTG Pactual Servicos Financeiros S/A DTVM</x:v>
      </x:c>
      <x:c r="G2496" s="166" t="str">
        <x:v>BANCO BTG PACTUAL S/A</x:v>
      </x:c>
      <x:c r="H2496" s="166" t="str">
        <x:v>Outros</x:v>
      </x:c>
      <x:c r="I2496" s="166" t="str">
        <x:v>Multicarteira Outros</x:v>
      </x:c>
      <x:c r="J2496" s="166" t="str">
        <x:v>CI</x:v>
      </x:c>
      <x:c r="K2496" s="172" t="n">
        <x:v>9</x:v>
      </x:c>
      <x:c r="L2496" s="185" t="str">
        <x:v>Não classificado</x:v>
      </x:c>
    </x:row>
    <x:row r="2497">
      <x:c r="A2497" s="175" t="str">
        <x:v>45.145.516/0001-62</x:v>
      </x:c>
      <x:c r="B2497" s="166" t="str">
        <x:v>NEW DISTRESSED - FUNDO DE INVESTIMENTO EM DIREITOS CREDITÓRIOS</x:v>
      </x:c>
      <x:c r="C2497" s="188" t="n">
        <x:v>10903205.77</x:v>
      </x:c>
      <x:c r="D2497" s="166" t="str">
        <x:v>PLANNER CV</x:v>
      </x:c>
      <x:c r="E2497" s="166" t="str">
        <x:f>IFERROR(INDEX('Classif Gestoras'!$H$6:$H$462,MATCH(D2497,'Classif Gestoras'!$A$6:$A$462,0)),"Não classificada")</x:f>
        <x:v>Independente</x:v>
      </x:c>
      <x:c r="F2497" s="166" t="str">
        <x:v>PLANNER CV</x:v>
      </x:c>
      <x:c r="G2497" s="166" t="str">
        <x:v>TRUSTEE DISTRIBUIDORA DE TITULOS E VALORES MOBILIARIOS LTDA.</x:v>
      </x:c>
      <x:c r="H2497" s="166" t="str">
        <x:v>Outros</x:v>
      </x:c>
      <x:c r="I2497" s="166" t="str">
        <x:v>Multicarteira Outros</x:v>
      </x:c>
      <x:c r="J2497" s="166" t="str">
        <x:v>CI</x:v>
      </x:c>
      <x:c r="K2497" s="172" t="n">
        <x:v>1</x:v>
      </x:c>
      <x:c r="L2497" s="185" t="str">
        <x:v>Não classificado</x:v>
      </x:c>
    </x:row>
    <x:row r="2498">
      <x:c r="A2498" s="175" t="str">
        <x:v>60.315.951/0001-81</x:v>
      </x:c>
      <x:c r="B2498" s="166" t="str">
        <x:v>AVGA CAPITAL ARAUCÁRIA HIGH GRADE 30 FIC DE FIDC RESPONSABILIDADE LIMITADA</x:v>
      </x:c>
      <x:c r="C2498" s="188" t="n">
        <x:v>10883543.57</x:v>
      </x:c>
      <x:c r="D2498" s="166" t="str">
        <x:v>Tyr Gestao de Recursos Ltda</x:v>
      </x:c>
      <x:c r="E2498" s="166" t="str">
        <x:f>IFERROR(INDEX('Classif Gestoras'!$H$6:$H$462,MATCH(D2498,'Classif Gestoras'!$A$6:$A$462,0)),"Não classificada")</x:f>
        <x:v>Independente</x:v>
      </x:c>
      <x:c r="F2498" s="166" t="str">
        <x:v>BANCO DAYCOVAL S/A</x:v>
      </x:c>
      <x:c r="G2498" s="166" t="str">
        <x:v>BANCO DAYCOVAL S.A.</x:v>
      </x:c>
      <x:c r="H2498" s="166" t="str">
        <x:v>Outros</x:v>
      </x:c>
      <x:c r="I2498" s="166" t="str">
        <x:v>Multicarteira Outros</x:v>
      </x:c>
      <x:c r="J2498" s="166" t="str">
        <x:v>CI</x:v>
      </x:c>
      <x:c r="K2498" s="172" t="n">
        <x:v>23</x:v>
      </x:c>
      <x:c r="L2498" s="185" t="str">
        <x:v>Não classificado</x:v>
      </x:c>
    </x:row>
    <x:row r="2499">
      <x:c r="A2499" s="175" t="str">
        <x:v>58.325.399/0001-60</x:v>
      </x:c>
      <x:c r="B2499" s="166" t="str">
        <x:v>SET FUNDO DE INVESTIMENTO EM DIREITOS CREDITÓRIOS</x:v>
      </x:c>
      <x:c r="C2499" s="188" t="n">
        <x:v>10872796.64</x:v>
      </x:c>
      <x:c r="D2499" s="166" t="str">
        <x:v>Reag WM Gestora de Patrimônio Ltda</x:v>
      </x:c>
      <x:c r="E2499" s="166" t="str">
        <x:f>IFERROR(INDEX('Classif Gestoras'!$H$6:$H$462,MATCH(D2499,'Classif Gestoras'!$A$6:$A$462,0)),"Não classificada")</x:f>
        <x:v>Independente</x:v>
      </x:c>
      <x:c r="F2499" s="166" t="str">
        <x:v>PLANNER CV</x:v>
      </x:c>
      <x:c r="G2499" s="166" t="str">
        <x:v>PLANNER CORRETORA DE VALORES S.A.</x:v>
      </x:c>
      <x:c r="H2499" s="166" t="str">
        <x:v>Outros</x:v>
      </x:c>
      <x:c r="I2499" s="166" t="str">
        <x:v>Multicarteira Outros</x:v>
      </x:c>
      <x:c r="J2499" s="166" t="str">
        <x:v>CI</x:v>
      </x:c>
      <x:c r="K2499" s="172" t="n">
        <x:v>2</x:v>
      </x:c>
      <x:c r="L2499" s="185" t="str">
        <x:v>Não classificado</x:v>
      </x:c>
    </x:row>
    <x:row r="2500">
      <x:c r="A2500" s="175" t="str">
        <x:v>59.682.659/0001-18</x:v>
      </x:c>
      <x:c r="B2500" s="166" t="str">
        <x:v>LUPUS FUNDO DE INVESTIMENTO EM DIREITOS CREDITÓRIOS DE RESPONSABILIDADE LIMITADA</x:v>
      </x:c>
      <x:c r="C2500" s="188" t="n">
        <x:v>10864451.07</x:v>
      </x:c>
      <x:c r="D2500" s="166" t="str">
        <x:v>Catálise Investimentos</x:v>
      </x:c>
      <x:c r="E2500" s="166" t="str">
        <x:f>IFERROR(INDEX('Classif Gestoras'!$H$6:$H$462,MATCH(D2500,'Classif Gestoras'!$A$6:$A$462,0)),"Não classificada")</x:f>
        <x:v>Independente</x:v>
      </x:c>
      <x:c r="F2500" s="166" t="str">
        <x:v>CATÁLISE DTVM</x:v>
      </x:c>
      <x:c r="G2500" s="166" t="str">
        <x:v>BANCO DAYCOVAL S.A.</x:v>
      </x:c>
      <x:c r="H2500" s="166" t="str">
        <x:v>Agro, Indústria e Comércio</x:v>
      </x:c>
      <x:c r="I2500" s="166" t="str">
        <x:v>Multicarteira Agro, Indústria e Comércio</x:v>
      </x:c>
      <x:c r="J2500" s="166" t="str">
        <x:v>CI</x:v>
      </x:c>
      <x:c r="K2500" s="172" t="n">
        <x:v>4</x:v>
      </x:c>
      <x:c r="L2500" s="185" t="str">
        <x:v>Não classificado</x:v>
      </x:c>
    </x:row>
    <x:row r="2501">
      <x:c r="A2501" s="175" t="str">
        <x:v>58.003.612/0001-18</x:v>
      </x:c>
      <x:c r="B2501" s="166" t="str">
        <x:v>ACARI FUNDO DE INVESTIMENTO EM DIREITOS CREDITÓRIOS</x:v>
      </x:c>
      <x:c r="C2501" s="188" t="n">
        <x:v>10862073.07</x:v>
      </x:c>
      <x:c r="D2501" s="166" t="str">
        <x:v>REAG LEGAL CLAIMS GESTÃO DE ATIVOS</x:v>
      </x:c>
      <x:c r="E2501" s="166" t="str">
        <x:f>IFERROR(INDEX('Classif Gestoras'!$H$6:$H$462,MATCH(D2501,'Classif Gestoras'!$A$6:$A$462,0)),"Não classificada")</x:f>
        <x:v>Independente</x:v>
      </x:c>
      <x:c r="F2501" s="166" t="str">
        <x:v>PLANNER CV</x:v>
      </x:c>
      <x:c r="G2501" s="166" t="str">
        <x:v>PLANNER CORRETORA DE VALORES S.A.</x:v>
      </x:c>
      <x:c r="H2501" s="166" t="str">
        <x:v>Outros</x:v>
      </x:c>
      <x:c r="I2501" s="166" t="str">
        <x:v>Multicarteira Outros</x:v>
      </x:c>
      <x:c r="J2501" s="166" t="str">
        <x:v>CI</x:v>
      </x:c>
      <x:c r="K2501" s="172" t="n">
        <x:v>1</x:v>
      </x:c>
      <x:c r="L2501" s="185" t="str">
        <x:v>Não classificado</x:v>
      </x:c>
    </x:row>
    <x:row r="2502">
      <x:c r="A2502" s="175" t="str">
        <x:v>35.178.750/0001-32</x:v>
      </x:c>
      <x:c r="B2502" s="166" t="str">
        <x:v>DIVICASH FUNDO DE INVESTIMENTO EM DIREITOS CREDITORIOS RESPONSABILIDADE LIMITADA</x:v>
      </x:c>
      <x:c r="C2502" s="188" t="n">
        <x:v>10842510.11</x:v>
      </x:c>
      <x:c r="D2502" s="166" t="str">
        <x:v>Libertas Asset</x:v>
      </x:c>
      <x:c r="E2502" s="166" t="str">
        <x:f>IFERROR(INDEX('Classif Gestoras'!$H$6:$H$462,MATCH(D2502,'Classif Gestoras'!$A$6:$A$462,0)),"Não classificada")</x:f>
        <x:v>Independente</x:v>
      </x:c>
      <x:c r="F2502" s="166" t="str">
        <x:v>ACTUAL DTVM</x:v>
      </x:c>
      <x:c r="G2502" s="166" t="str">
        <x:v>LASTRO RDV DTVM LTDA</x:v>
      </x:c>
      <x:c r="H2502" s="166" t="str">
        <x:v>Fomento Mercantil</x:v>
      </x:c>
      <x:c r="I2502" s="166" t="str">
        <x:v>Fomento Mercantil</x:v>
      </x:c>
      <x:c r="J2502" s="166" t="str">
        <x:v>CI</x:v>
      </x:c>
      <x:c r="K2502" s="172" t="n">
        <x:v>1</x:v>
      </x:c>
      <x:c r="L2502" s="185" t="str">
        <x:v>Não classificado</x:v>
      </x:c>
    </x:row>
    <x:row r="2503">
      <x:c r="A2503" s="175" t="str">
        <x:v>60.421.627/0001-48</x:v>
      </x:c>
      <x:c r="B2503" s="166" t="str">
        <x:v>PRIMO CAPITAL III FUNDO DE INVESTIMENTO EM DIREITOS CREDITÓRIOS RESPONSABILIDADE LIMITADA</x:v>
      </x:c>
      <x:c r="C2503" s="188" t="n">
        <x:v>10836824.9</x:v>
      </x:c>
      <x:c r="D2503" s="166" t="str">
        <x:v>Multinvest Capital</x:v>
      </x:c>
      <x:c r="E2503" s="166" t="str">
        <x:f>IFERROR(INDEX('Classif Gestoras'!$H$6:$H$462,MATCH(D2503,'Classif Gestoras'!$A$6:$A$462,0)),"Não classificada")</x:f>
        <x:v>Independente</x:v>
      </x:c>
      <x:c r="F2503" s="166" t="str">
        <x:v>VÓRTX DTVM</x:v>
      </x:c>
      <x:c r="G2503" s="166" t="str">
        <x:v>VORTX DISTRIBUIDORA DE TITULOS E VALORES MOBILIARIOS LTDA.</x:v>
      </x:c>
      <x:c r="H2503" s="166" t="str">
        <x:v>Outros</x:v>
      </x:c>
      <x:c r="I2503" s="166" t="str">
        <x:v>Poder Público</x:v>
      </x:c>
      <x:c r="J2503" s="166" t="str">
        <x:v>CI</x:v>
      </x:c>
      <x:c r="K2503" s="172" t="n">
        <x:v>25</x:v>
      </x:c>
      <x:c r="L2503" s="185" t="str">
        <x:v>Não classificado</x:v>
      </x:c>
    </x:row>
    <x:row r="2504">
      <x:c r="A2504" s="175" t="str">
        <x:v>57.570.843/0001-40</x:v>
      </x:c>
      <x:c r="B2504" s="166" t="str">
        <x:v>GENIAL HORUS FUNDO DE INVESTIMENTO EM DIREITOS CREDITÓRIOS DE RESPONSABILIDADE LIMITADA</x:v>
      </x:c>
      <x:c r="C2504" s="188" t="n">
        <x:v>10836566.829999998</x:v>
      </x:c>
      <x:c r="D2504" s="166" t="str">
        <x:v>GENIAL GESTÃO LTDA.</x:v>
      </x:c>
      <x:c r="E2504" s="166" t="str">
        <x:f>IFERROR(INDEX('Classif Gestoras'!$H$6:$H$462,MATCH(D2504,'Classif Gestoras'!$A$6:$A$462,0)),"Não classificada")</x:f>
        <x:v>Ligada a banco</x:v>
      </x:c>
      <x:c r="F2504" s="166" t="str">
        <x:v>Banco Genial S.A.</x:v>
      </x:c>
      <x:c r="G2504" s="166" t="str">
        <x:v>BANCO GENIAL S.A.</x:v>
      </x:c>
      <x:c r="H2504" s="166" t="str">
        <x:v>Outros</x:v>
      </x:c>
      <x:c r="I2504" s="166" t="str">
        <x:v>Multicarteira Outros</x:v>
      </x:c>
      <x:c r="J2504" s="166" t="str">
        <x:v>CI</x:v>
      </x:c>
      <x:c r="K2504" s="172" t="n">
        <x:v>2</x:v>
      </x:c>
      <x:c r="L2504" s="185" t="str">
        <x:v>Não classificado</x:v>
      </x:c>
    </x:row>
    <x:row r="2505">
      <x:c r="A2505" s="175" t="str">
        <x:v>63.385.567/0001-43</x:v>
      </x:c>
      <x:c r="B2505" s="166" t="str">
        <x:v>AURI OPEN FUNDO DE INVESTIMENTO EM DIREITOS CREDITÓRIOS RESPONSABILIDADE LIMITADA</x:v>
      </x:c>
      <x:c r="C2505" s="188" t="n">
        <x:v>10818038.94</x:v>
      </x:c>
      <x:c r="D2505" s="166" t="str">
        <x:v>Bless Capital Gestora de Recursos Ltda.</x:v>
      </x:c>
      <x:c r="E2505" s="166" t="str">
        <x:f>IFERROR(INDEX('Classif Gestoras'!$H$6:$H$462,MATCH(D2505,'Classif Gestoras'!$A$6:$A$462,0)),"Não classificada")</x:f>
        <x:v>Independente</x:v>
      </x:c>
      <x:c r="F2505" s="166" t="str">
        <x:v>ID Corretora de Títulos e Valores Mobiliários S.A.</x:v>
      </x:c>
      <x:c r="G2505" s="166" t="str">
        <x:v>ID CORRETORA DE TITULOS E VALORES MOBILIARIOS S.A.</x:v>
      </x:c>
      <x:c r="H2505" s="166" t="str">
        <x:v>Fomento Mercantil</x:v>
      </x:c>
      <x:c r="I2505" s="166" t="str">
        <x:v>Fomento Mercantil</x:v>
      </x:c>
      <x:c r="J2505" s="166" t="str">
        <x:v>CI</x:v>
      </x:c>
      <x:c r="K2505" s="172" t="n">
        <x:v>12</x:v>
      </x:c>
      <x:c r="L2505" s="185" t="str">
        <x:v>Não classificado</x:v>
      </x:c>
    </x:row>
    <x:row r="2506">
      <x:c r="A2506" s="175" t="str">
        <x:v>36.232.996/0001-08</x:v>
      </x:c>
      <x:c r="B2506" s="166" t="str">
        <x:v>OXYGEN FUNDO DE INVESTIMENTO EM DIREITOS CREDITÓRIOS MULTISSETORIAL</x:v>
      </x:c>
      <x:c r="C2506" s="188" t="n">
        <x:v>10775481.66</x:v>
      </x:c>
      <x:c r="D2506" s="166" t="str">
        <x:v>OURO PRETO INVESTIMENTOS</x:v>
      </x:c>
      <x:c r="E2506" s="166" t="str">
        <x:f>IFERROR(INDEX('Classif Gestoras'!$H$6:$H$462,MATCH(D2506,'Classif Gestoras'!$A$6:$A$462,0)),"Não classificada")</x:f>
        <x:v>Independente</x:v>
      </x:c>
      <x:c r="F2506" s="166" t="str">
        <x:v>Singulare</x:v>
      </x:c>
      <x:c r="G2506" s="166" t="str">
        <x:v>QI CORRETORA DE TÍTULOS E VALORES MOBILIÁRIOS S.A.</x:v>
      </x:c>
      <x:c r="H2506" s="166" t="str">
        <x:v>Fomento Mercantil</x:v>
      </x:c>
      <x:c r="I2506" s="166" t="str">
        <x:v>Fomento Mercantil</x:v>
      </x:c>
      <x:c r="J2506" s="166" t="str">
        <x:v>CI</x:v>
      </x:c>
      <x:c r="K2506" s="172" t="n">
        <x:v>1</x:v>
      </x:c>
      <x:c r="L2506" s="185" t="str">
        <x:v>Não classificado</x:v>
      </x:c>
    </x:row>
    <x:row r="2507">
      <x:c r="A2507" s="175" t="str">
        <x:v>59.891.249/0001-87</x:v>
      </x:c>
      <x:c r="B2507" s="166" t="str">
        <x:v>SYNTHÉO FUNDO DE INVESTIMENTO EM DIREITOS CREDITÓRIOS</x:v>
      </x:c>
      <x:c r="C2507" s="188" t="n">
        <x:v>10746307.44</x:v>
      </x:c>
      <x:c r="D2507" s="166" t="str">
        <x:v>TERCON ASSET MANAGEMENT</x:v>
      </x:c>
      <x:c r="E2507" s="166" t="str">
        <x:f>IFERROR(INDEX('Classif Gestoras'!$H$6:$H$462,MATCH(D2507,'Classif Gestoras'!$A$6:$A$462,0)),"Não classificada")</x:f>
        <x:v>Independente</x:v>
      </x:c>
      <x:c r="F2507" s="166" t="str">
        <x:v>Singulare</x:v>
      </x:c>
      <x:c r="G2507" s="166" t="str">
        <x:v>QI CORRETORA DE TÍTULOS E VALORES MOBILIÁRIOS S.A.</x:v>
      </x:c>
      <x:c r="H2507" s="166" t="str">
        <x:v>Fomento Mercantil</x:v>
      </x:c>
      <x:c r="I2507" s="166" t="str">
        <x:v>Fomento Mercantil</x:v>
      </x:c>
      <x:c r="J2507" s="166" t="str">
        <x:v>CI</x:v>
      </x:c>
      <x:c r="K2507" s="172" t="n">
        <x:v>11</x:v>
      </x:c>
      <x:c r="L2507" s="185" t="str">
        <x:v>Não classificado</x:v>
      </x:c>
    </x:row>
    <x:row r="2508">
      <x:c r="A2508" s="175" t="str">
        <x:v>62.917.185/0001-50</x:v>
      </x:c>
      <x:c r="B2508" s="166" t="str">
        <x:v>NEXT CAPITAL FUNDO DE INVESTIMENTO EM DIREITOS CREDITÓRIOS MULTICARTEIRA FINANCEIRO</x:v>
      </x:c>
      <x:c r="C2508" s="188" t="n">
        <x:v>10716374.39</x:v>
      </x:c>
      <x:c r="D2508" s="166" t="str">
        <x:v>Harbour Capital</x:v>
      </x:c>
      <x:c r="E2508" s="166" t="str">
        <x:f>IFERROR(INDEX('Classif Gestoras'!$H$6:$H$462,MATCH(D2508,'Classif Gestoras'!$A$6:$A$462,0)),"Não classificada")</x:f>
        <x:v>Independente</x:v>
      </x:c>
      <x:c r="F2508" s="166" t="str">
        <x:v>Singulare</x:v>
      </x:c>
      <x:c r="G2508" s="166" t="str">
        <x:v>QI CORRETORA DE TÍTULOS E VALORES MOBILIÁRIOS S.A.</x:v>
      </x:c>
      <x:c r="H2508" s="166" t="str">
        <x:v>Fomento Mercantil</x:v>
      </x:c>
      <x:c r="I2508" s="166" t="str">
        <x:v>Fomento Mercantil</x:v>
      </x:c>
      <x:c r="J2508" s="166" t="str">
        <x:v>CI</x:v>
      </x:c>
      <x:c r="K2508" s="172" t="n">
        <x:v>8</x:v>
      </x:c>
      <x:c r="L2508" s="185" t="str">
        <x:v>Não classificado</x:v>
      </x:c>
    </x:row>
    <x:row r="2509">
      <x:c r="A2509" s="175" t="str">
        <x:v>63.699.134/0001-62</x:v>
      </x:c>
      <x:c r="B2509" s="166" t="str">
        <x:v>GELMAR FUNDO DE INVESTIMENTO EM DIREITOS CREDITÓRIOS</x:v>
      </x:c>
      <x:c r="C2509" s="188" t="n">
        <x:v>10704175.3</x:v>
      </x:c>
      <x:c r="D2509" s="166" t="str">
        <x:v>TERCON ASSET MANAGEMENT</x:v>
      </x:c>
      <x:c r="E2509" s="166" t="str">
        <x:f>IFERROR(INDEX('Classif Gestoras'!$H$6:$H$462,MATCH(D2509,'Classif Gestoras'!$A$6:$A$462,0)),"Não classificada")</x:f>
        <x:v>Independente</x:v>
      </x:c>
      <x:c r="F2509" s="166" t="str">
        <x:v>Limine Trust Distribuidora de Titulos e Valores Mobiliá</x:v>
      </x:c>
      <x:c r="G2509" s="166" t="str">
        <x:v>LIMINE TRUST DISTRIBUIDORA DE TITULOS E VALORES MOBILIARIOS LTDA.</x:v>
      </x:c>
      <x:c r="H2509" s="166" t="str">
        <x:v>Fomento Mercantil</x:v>
      </x:c>
      <x:c r="I2509" s="166" t="str">
        <x:v>Fomento Mercantil</x:v>
      </x:c>
      <x:c r="J2509" s="166" t="str">
        <x:v>CI</x:v>
      </x:c>
      <x:c r="K2509" s="172" t="n">
        <x:v>2</x:v>
      </x:c>
      <x:c r="L2509" s="185" t="str">
        <x:v>Não classificado</x:v>
      </x:c>
    </x:row>
    <x:row r="2510">
      <x:c r="A2510" s="175" t="str">
        <x:v>61.872.284/0001-09</x:v>
      </x:c>
      <x:c r="B2510" s="166" t="str">
        <x:v>ORIGIN FUNDO DE INVESTIMENTO EM DIREITOS CREDITÓRIOS RESPONSABILIDADE LIMITADA</x:v>
      </x:c>
      <x:c r="C2510" s="188" t="n">
        <x:v>10637023.51</x:v>
      </x:c>
      <x:c r="D2510" s="166" t="str">
        <x:v>Bless Capital Gestora de Recursos Ltda.</x:v>
      </x:c>
      <x:c r="E2510" s="166" t="str">
        <x:f>IFERROR(INDEX('Classif Gestoras'!$H$6:$H$462,MATCH(D2510,'Classif Gestoras'!$A$6:$A$462,0)),"Não classificada")</x:f>
        <x:v>Independente</x:v>
      </x:c>
      <x:c r="F2510" s="166" t="str">
        <x:v>ID Corretora de Títulos e Valores Mobiliários S.A.</x:v>
      </x:c>
      <x:c r="G2510" s="166" t="str">
        <x:v>ID CORRETORA DE TITULOS E VALORES MOBILIARIOS S.A.</x:v>
      </x:c>
      <x:c r="H2510" s="166" t="str">
        <x:v>Outros</x:v>
      </x:c>
      <x:c r="I2510" s="166" t="str">
        <x:v>Multicarteira Outros</x:v>
      </x:c>
      <x:c r="J2510" s="166" t="str">
        <x:v>CI</x:v>
      </x:c>
      <x:c r="K2510" s="172" t="n">
        <x:v>14</x:v>
      </x:c>
      <x:c r="L2510" s="185" t="str">
        <x:v>Não classificado</x:v>
      </x:c>
    </x:row>
    <x:row r="2511">
      <x:c r="A2511" s="175" t="str">
        <x:v>61.386.784/0001-22</x:v>
      </x:c>
      <x:c r="B2511" s="166" t="str">
        <x:v>STRATEGI KOSMOS EVERGREEN FUNDO DE INVESTIMENTO EM DIREITOS CREDITÓRIOS DE RESP LIMITADA</x:v>
      </x:c>
      <x:c r="C2511" s="188" t="n">
        <x:v>10636095.4</x:v>
      </x:c>
      <x:c r="D2511" s="166" t="str">
        <x:v>STRATEGI CAPITAL ASSET MANAGEMENT</x:v>
      </x:c>
      <x:c r="E2511" s="166" t="str">
        <x:f>IFERROR(INDEX('Classif Gestoras'!$H$6:$H$462,MATCH(D2511,'Classif Gestoras'!$A$6:$A$462,0)),"Não classificada")</x:f>
        <x:v>Independente</x:v>
      </x:c>
      <x:c r="F2511" s="166" t="str">
        <x:v>BANCO DAYCOVAL S/A</x:v>
      </x:c>
      <x:c r="G2511" s="166" t="str">
        <x:v>BANCO DAYCOVAL S.A.</x:v>
      </x:c>
      <x:c r="H2511" s="166" t="str">
        <x:v>Outros</x:v>
      </x:c>
      <x:c r="I2511" s="166" t="str">
        <x:v>Multicarteira Outros</x:v>
      </x:c>
      <x:c r="J2511" s="166" t="str">
        <x:v>CI</x:v>
      </x:c>
      <x:c r="K2511" s="172" t="n">
        <x:v>17</x:v>
      </x:c>
      <x:c r="L2511" s="185" t="str">
        <x:v>Não classificado</x:v>
      </x:c>
    </x:row>
    <x:row r="2512">
      <x:c r="A2512" s="175" t="str">
        <x:v>47.968.593/0001-48</x:v>
      </x:c>
      <x:c r="B2512" s="166" t="str">
        <x:v>FUEL II FUNDO DE INVESTIMENTO EM DIREITOS CREDITÓRIOS - RESPONSABILIDADE LIMITADA</x:v>
      </x:c>
      <x:c r="C2512" s="188" t="n">
        <x:v>10631591.410000002</x:v>
      </x:c>
      <x:c r="D2512" s="166" t="str">
        <x:v>SOSU CAPITAL GESTÃO DE INVESTIMENTOS LTDA.</x:v>
      </x:c>
      <x:c r="E2512" s="166" t="str">
        <x:f>IFERROR(INDEX('Classif Gestoras'!$H$6:$H$462,MATCH(D2512,'Classif Gestoras'!$A$6:$A$462,0)),"Não classificada")</x:f>
        <x:v>Independente</x:v>
      </x:c>
      <x:c r="F2512" s="166" t="str">
        <x:v>BRL TRUST DTVM</x:v>
      </x:c>
      <x:c r="G2512" s="166" t="str">
        <x:v>BRL TRUST DISTRIBUIDORA DE TITULOS E VALORES MOBILIARIOS S.A.</x:v>
      </x:c>
      <x:c r="H2512" s="166" t="str">
        <x:v>Outros</x:v>
      </x:c>
      <x:c r="I2512" s="166" t="str">
        <x:v>Poder Público</x:v>
      </x:c>
      <x:c r="J2512" s="166" t="str">
        <x:v>CI</x:v>
      </x:c>
      <x:c r="K2512" s="172" t="n">
        <x:v>7</x:v>
      </x:c>
      <x:c r="L2512" s="185" t="str">
        <x:v>Não classificado</x:v>
      </x:c>
    </x:row>
    <x:row r="2513">
      <x:c r="A2513" s="175" t="str">
        <x:v>63.358.336/0001-40</x:v>
      </x:c>
      <x:c r="B2513" s="166" t="str">
        <x:v>IMPAR PGEO FUNDO DE INVESTIMENTO EM DIREITOS CREDITÓRIOS AÇÕES JUDICIAIS</x:v>
      </x:c>
      <x:c r="C2513" s="188" t="n">
        <x:v>10616542.39</x:v>
      </x:c>
      <x:c r="D2513" s="166" t="str">
        <x:v>Gustavo Henrique Fonseca de Oliveira</x:v>
      </x:c>
      <x:c r="E2513" s="166" t="str">
        <x:f>IFERROR(INDEX('Classif Gestoras'!$H$6:$H$462,MATCH(D2513,'Classif Gestoras'!$A$6:$A$462,0)),"Não classificada")</x:f>
        <x:v>Independente</x:v>
      </x:c>
      <x:c r="F2513" s="166" t="str">
        <x:v>LIONS DTVM</x:v>
      </x:c>
      <x:c r="G2513" s="166" t="str">
        <x:v>LIONS TRUST DISTRIBUIDORA DE TÍTULOS E VALORES MOBILIÁRIOS LTDA.</x:v>
      </x:c>
      <x:c r="H2513" s="166" t="str">
        <x:v>Outros</x:v>
      </x:c>
      <x:c r="I2513" s="166" t="str">
        <x:v>Poder Público</x:v>
      </x:c>
      <x:c r="J2513" s="166" t="str">
        <x:v>CI</x:v>
      </x:c>
      <x:c r="K2513" s="172" t="n">
        <x:v>1</x:v>
      </x:c>
      <x:c r="L2513" s="185" t="str">
        <x:v>Não classificado</x:v>
      </x:c>
    </x:row>
    <x:row r="2514">
      <x:c r="A2514" s="175" t="str">
        <x:v>63.834.653/0001-96</x:v>
      </x:c>
      <x:c r="B2514" s="166" t="str">
        <x:v>APOLLO CT FUNDO DE INVESTIMENTO EM DIREITOS CREDITÓRIOS CRÉDITO CONSIGNADO PRIVADO - RESP LIMITADA</x:v>
      </x:c>
      <x:c r="C2514" s="188" t="n">
        <x:v>10612413.98</x:v>
      </x:c>
      <x:c r="D2514" s="166" t="str">
        <x:v>Riza Securitização e Carteiras</x:v>
      </x:c>
      <x:c r="E2514" s="166" t="str">
        <x:f>IFERROR(INDEX('Classif Gestoras'!$H$6:$H$462,MATCH(D2514,'Classif Gestoras'!$A$6:$A$462,0)),"Não classificada")</x:f>
        <x:v>Independente</x:v>
      </x:c>
      <x:c r="F2514" s="166" t="str">
        <x:v>Oliveira Trust DTVM</x:v>
      </x:c>
      <x:c r="G2514" s="166" t="str">
        <x:v>OLIVEIRA TRUST DTVM S.A.</x:v>
      </x:c>
      <x:c r="H2514" s="166" t="str">
        <x:v>Financeiro</x:v>
      </x:c>
      <x:c r="I2514" s="166" t="str">
        <x:v>Crédito Consignado</x:v>
      </x:c>
      <x:c r="J2514" s="166" t="str">
        <x:v>CI</x:v>
      </x:c>
      <x:c r="K2514" s="172" t="n">
        <x:v>4</x:v>
      </x:c>
      <x:c r="L2514" s="185" t="str">
        <x:v>Não classificado</x:v>
      </x:c>
    </x:row>
    <x:row r="2515">
      <x:c r="A2515" s="175" t="str">
        <x:v>66.573.074/0001-25</x:v>
      </x:c>
      <x:c r="B2515" s="166" t="str">
        <x:v>SEVEN CRÉDITO ESTRUTURADO 90 FUNDO DE INVESTIMENTO EM DIREITOS CREDITÓRIOS RESPONSABILIDADE LIMITADA</x:v>
      </x:c>
      <x:c r="C2515" s="188" t="n">
        <x:v>10591315.46</x:v>
      </x:c>
      <x:c r="D2515" s="166" t="str">
        <x:v>SVN Gestora de Recursos Ltda.</x:v>
      </x:c>
      <x:c r="E2515" s="166" t="str">
        <x:f>IFERROR(INDEX('Classif Gestoras'!$H$6:$H$462,MATCH(D2515,'Classif Gestoras'!$A$6:$A$462,0)),"Não classificada")</x:f>
        <x:v>Independente</x:v>
      </x:c>
      <x:c r="F2515" s="166" t="str">
        <x:v>XPI CCTVM S/A</x:v>
      </x:c>
      <x:c r="G2515" s="166" t="str">
        <x:v>OLIVEIRA TRUST DTVM S.A.</x:v>
      </x:c>
      <x:c r="H2515" s="166" t="str">
        <x:v>Outros</x:v>
      </x:c>
      <x:c r="I2515" s="166" t="str">
        <x:v>Multicarteira Outros</x:v>
      </x:c>
      <x:c r="J2515" s="166" t="str">
        <x:v>CI</x:v>
      </x:c>
      <x:c r="K2515" s="172" t="n">
        <x:v>1</x:v>
      </x:c>
      <x:c r="L2515" s="185" t="str">
        <x:v>Não classificado</x:v>
      </x:c>
    </x:row>
    <x:row r="2516">
      <x:c r="A2516" s="175" t="str">
        <x:v>61.969.359/0001-66</x:v>
      </x:c>
      <x:c r="B2516" s="166" t="str">
        <x:v>NEW MERIDIAN FUNDO DE INVESTIMENTO EM DIREITOS CREDITÓRIOS MULTICARTEIRA OUTROS DE RESP LIMITADA</x:v>
      </x:c>
      <x:c r="C2516" s="188" t="n">
        <x:v>10589161.66</x:v>
      </x:c>
      <x:c r="D2516" s="166" t="str">
        <x:v>Genial Investimentos Corretora de Valores Mobiliários S.A.</x:v>
      </x:c>
      <x:c r="E2516" s="166" t="str">
        <x:f>IFERROR(INDEX('Classif Gestoras'!$H$6:$H$462,MATCH(D2516,'Classif Gestoras'!$A$6:$A$462,0)),"Não classificada")</x:f>
        <x:v>Ligada a banco</x:v>
      </x:c>
      <x:c r="F2516" s="166" t="str">
        <x:v>Genial Investimentos Corretora de Valores Mobiliários S.A.</x:v>
      </x:c>
      <x:c r="G2516" s="166" t="str">
        <x:v>BANCO GENIAL S.A.</x:v>
      </x:c>
      <x:c r="H2516" s="166" t="str">
        <x:v>Outros</x:v>
      </x:c>
      <x:c r="I2516" s="166" t="str">
        <x:v>Multicarteira Outros</x:v>
      </x:c>
      <x:c r="J2516" s="166" t="str">
        <x:v>CI</x:v>
      </x:c>
      <x:c r="K2516" s="172" t="n">
        <x:v>12</x:v>
      </x:c>
      <x:c r="L2516" s="185" t="str">
        <x:v>Não classificado</x:v>
      </x:c>
    </x:row>
    <x:row r="2517">
      <x:c r="A2517" s="175" t="str">
        <x:v>32.525.711/0001-76</x:v>
      </x:c>
      <x:c r="B2517" s="166" t="str">
        <x:v>UNIÃO FUNDO DE INVESTIMENTO EM DIREITOS CREDITÓRIOS</x:v>
      </x:c>
      <x:c r="C2517" s="188" t="n">
        <x:v>10574121.150000002</x:v>
      </x:c>
      <x:c r="D2517" s="166" t="str">
        <x:v>Multiplica Capital</x:v>
      </x:c>
      <x:c r="E2517" s="166" t="str">
        <x:f>IFERROR(INDEX('Classif Gestoras'!$H$6:$H$462,MATCH(D2517,'Classif Gestoras'!$A$6:$A$462,0)),"Não classificada")</x:f>
        <x:v>Independente</x:v>
      </x:c>
      <x:c r="F2517" s="166" t="str">
        <x:v>Singulare</x:v>
      </x:c>
      <x:c r="G2517" s="166" t="str">
        <x:v>QI CORRETORA DE TÍTULOS E VALORES MOBILIÁRIOS S.A.</x:v>
      </x:c>
      <x:c r="H2517" s="166" t="str">
        <x:v>Outros</x:v>
      </x:c>
      <x:c r="I2517" s="166" t="str">
        <x:v>Multicarteira Outros</x:v>
      </x:c>
      <x:c r="J2517" s="166" t="str">
        <x:v>CIC</x:v>
      </x:c>
      <x:c r="K2517" s="172" t="n">
        <x:v>7</x:v>
      </x:c>
      <x:c r="L2517" s="185" t="str">
        <x:v>Não classificado</x:v>
      </x:c>
    </x:row>
    <x:row r="2518">
      <x:c r="A2518" s="175" t="str">
        <x:v>63.393.491/0001-06</x:v>
      </x:c>
      <x:c r="B2518" s="166" t="str">
        <x:v>TECOL FUNDO DE INVESTIMENTO EM DIREITOS CREDITÓRIOS</x:v>
      </x:c>
      <x:c r="C2518" s="188" t="n">
        <x:v>10572080.21</x:v>
      </x:c>
      <x:c r="D2518" s="166" t="str">
        <x:v>UC Gestora de Recursos</x:v>
      </x:c>
      <x:c r="E2518" s="166" t="str">
        <x:f>IFERROR(INDEX('Classif Gestoras'!$H$6:$H$462,MATCH(D2518,'Classif Gestoras'!$A$6:$A$462,0)),"Não classificada")</x:f>
        <x:v>Independente</x:v>
      </x:c>
      <x:c r="F2518" s="166" t="str">
        <x:v>WNT DTVM</x:v>
      </x:c>
      <x:c r="G2518" s="166" t="str">
        <x:v>WNT CAPITAL DISTRIBUIDORA DE TITULOS E VALORES MOBILIARIOS S.A.</x:v>
      </x:c>
      <x:c r="H2518" s="166" t="str">
        <x:v>Fomento Mercantil</x:v>
      </x:c>
      <x:c r="I2518" s="166" t="str">
        <x:v>Fomento Mercantil</x:v>
      </x:c>
      <x:c r="J2518" s="166" t="str">
        <x:v>CI</x:v>
      </x:c>
      <x:c r="K2518" s="172" t="n">
        <x:v>2</x:v>
      </x:c>
      <x:c r="L2518" s="185" t="str">
        <x:v>Não classificado</x:v>
      </x:c>
    </x:row>
    <x:row r="2519">
      <x:c r="A2519" s="175" t="str">
        <x:v>64.510.628/0001-10</x:v>
      </x:c>
      <x:c r="B2519" s="166" t="str">
        <x:v>NOX FUNDO DE INVESTIMENTO EM DIREITOS CREDITÓRIOS</x:v>
      </x:c>
      <x:c r="C2519" s="188" t="n">
        <x:v>10455476.32</x:v>
      </x:c>
      <x:c r="D2519" s="166" t="str">
        <x:v>Redwood Asset Management</x:v>
      </x:c>
      <x:c r="E2519" s="166" t="str">
        <x:f>IFERROR(INDEX('Classif Gestoras'!$H$6:$H$462,MATCH(D2519,'Classif Gestoras'!$A$6:$A$462,0)),"Não classificada")</x:f>
        <x:v>Independente</x:v>
      </x:c>
      <x:c r="F2519" s="166" t="str">
        <x:v>PLANNER CV</x:v>
      </x:c>
      <x:c r="G2519" s="166" t="str">
        <x:v>PLANNER CORRETORA DE VALORES S.A.</x:v>
      </x:c>
      <x:c r="H2519" s="166" t="str">
        <x:v>Fomento Mercantil</x:v>
      </x:c>
      <x:c r="I2519" s="166" t="str">
        <x:v>Fomento Mercantil</x:v>
      </x:c>
      <x:c r="J2519" s="166" t="str">
        <x:v>CI</x:v>
      </x:c>
      <x:c r="K2519" s="172" t="n">
        <x:v>10</x:v>
      </x:c>
      <x:c r="L2519" s="185" t="str">
        <x:v>Não classificado</x:v>
      </x:c>
    </x:row>
    <x:row r="2520">
      <x:c r="A2520" s="175" t="str">
        <x:v>51.326.028/0001-54</x:v>
      </x:c>
      <x:c r="B2520" s="166" t="str">
        <x:v>LARCA CONSIGNADO FUNDO DE INVESTIMENTO EM DIREITOS CREDITÓRIOS RESPONSABILIDADE LIMITADA</x:v>
      </x:c>
      <x:c r="C2520" s="188" t="n">
        <x:v>10442764.89</x:v>
      </x:c>
      <x:c r="D2520" s="166" t="str">
        <x:v>KP GESTÃO DE RECURSOS LTDA.</x:v>
      </x:c>
      <x:c r="E2520" s="166" t="str">
        <x:f>IFERROR(INDEX('Classif Gestoras'!$H$6:$H$462,MATCH(D2520,'Classif Gestoras'!$A$6:$A$462,0)),"Não classificada")</x:f>
        <x:v>Independente</x:v>
      </x:c>
      <x:c r="F2520" s="166" t="str">
        <x:v>BANCO DAYCOVAL S/A</x:v>
      </x:c>
      <x:c r="G2520" s="166" t="str">
        <x:v>BANCO DAYCOVAL S.A.</x:v>
      </x:c>
      <x:c r="H2520" s="166" t="str">
        <x:v>Financeiro</x:v>
      </x:c>
      <x:c r="I2520" s="166" t="str">
        <x:v>Crédito Pessoal</x:v>
      </x:c>
      <x:c r="J2520" s="166" t="str">
        <x:v>CI</x:v>
      </x:c>
      <x:c r="K2520" s="172" t="n">
        <x:v>13</x:v>
      </x:c>
      <x:c r="L2520" s="185" t="str">
        <x:v>Não classificado</x:v>
      </x:c>
    </x:row>
    <x:row r="2521">
      <x:c r="A2521" s="175" t="str">
        <x:v>45.829.761/0001-99</x:v>
      </x:c>
      <x:c r="B2521" s="166" t="str">
        <x:v>FARMERS FIRST I FUNDO DE INVESTIMENTO EM DIREITOS CREDITÓRIOS</x:v>
      </x:c>
      <x:c r="C2521" s="188" t="n">
        <x:v>10437059.34</x:v>
      </x:c>
      <x:c r="D2521" s="166" t="str">
        <x:v>CAPSICUM ASSETS GESTÃO DE RECURSOS LTDA</x:v>
      </x:c>
      <x:c r="E2521" s="166" t="str">
        <x:f>IFERROR(INDEX('Classif Gestoras'!$H$6:$H$462,MATCH(D2521,'Classif Gestoras'!$A$6:$A$462,0)),"Não classificada")</x:f>
        <x:v>Independente</x:v>
      </x:c>
      <x:c r="F2521" s="166" t="str">
        <x:v>Banco Genial S.A.</x:v>
      </x:c>
      <x:c r="G2521" s="166" t="str">
        <x:v>BANCO GENIAL S.A.</x:v>
      </x:c>
      <x:c r="H2521" s="166" t="str">
        <x:v>Agro, Indústria e Comércio</x:v>
      </x:c>
      <x:c r="I2521" s="166" t="str">
        <x:v>Multicarteira Agro, Indústria e Comércio</x:v>
      </x:c>
      <x:c r="J2521" s="166" t="str">
        <x:v>CI</x:v>
      </x:c>
      <x:c r="K2521" s="172" t="n">
        <x:v>25</x:v>
      </x:c>
      <x:c r="L2521" s="185" t="str">
        <x:v>Não classificado</x:v>
      </x:c>
    </x:row>
    <x:row r="2522">
      <x:c r="A2522" s="175" t="str">
        <x:v>34.027.549/0001-91</x:v>
      </x:c>
      <x:c r="B2522" s="166" t="str">
        <x:v>SMARTCRED FUNDO DE INVESTIMENTO EM DIREITOS CREDITÓRIOS</x:v>
      </x:c>
      <x:c r="C2522" s="188" t="n">
        <x:v>10420945.48</x:v>
      </x:c>
      <x:c r="D2522" s="166" t="str">
        <x:v>TERCON ASSET MANAGEMENT</x:v>
      </x:c>
      <x:c r="E2522" s="166" t="str">
        <x:f>IFERROR(INDEX('Classif Gestoras'!$H$6:$H$462,MATCH(D2522,'Classif Gestoras'!$A$6:$A$462,0)),"Não classificada")</x:f>
        <x:v>Independente</x:v>
      </x:c>
      <x:c r="F2522" s="166" t="str">
        <x:v>Singulare</x:v>
      </x:c>
      <x:c r="G2522" s="166" t="str">
        <x:v>QI CORRETORA DE TÍTULOS E VALORES MOBILIÁRIOS S.A.</x:v>
      </x:c>
      <x:c r="H2522" s="166" t="str">
        <x:v>Fomento Mercantil</x:v>
      </x:c>
      <x:c r="I2522" s="166" t="str">
        <x:v>Fomento Mercantil</x:v>
      </x:c>
      <x:c r="J2522" s="166" t="str">
        <x:v>CI</x:v>
      </x:c>
      <x:c r="K2522" s="172" t="n">
        <x:v>14</x:v>
      </x:c>
      <x:c r="L2522" s="185" t="str">
        <x:v>Não classificado</x:v>
      </x:c>
    </x:row>
    <x:row r="2523">
      <x:c r="A2523" s="175" t="str">
        <x:v>39.338.006/0001-09</x:v>
      </x:c>
      <x:c r="B2523" s="166" t="str">
        <x:v>EQUIPMED FUNDO DE INVESTIMENTO EM DIREITOS CREDITÓRIOS DE RESPONSABILIDADE LIMITADA</x:v>
      </x:c>
      <x:c r="C2523" s="188" t="n">
        <x:v>10374857.2</x:v>
      </x:c>
      <x:c r="D2523" s="166" t="str">
        <x:v>POLÍGONO CAPITAL LTDA.</x:v>
      </x:c>
      <x:c r="E2523" s="166" t="str">
        <x:f>IFERROR(INDEX('Classif Gestoras'!$H$6:$H$462,MATCH(D2523,'Classif Gestoras'!$A$6:$A$462,0)),"Não classificada")</x:f>
        <x:v>Independente</x:v>
      </x:c>
      <x:c r="F2523" s="166" t="str">
        <x:v>BANCO DAYCOVAL S/A</x:v>
      </x:c>
      <x:c r="G2523" s="166" t="str">
        <x:v>BANCO DAYCOVAL S.A.</x:v>
      </x:c>
      <x:c r="H2523" s="166" t="str">
        <x:v>Agro, Indústria e Comércio</x:v>
      </x:c>
      <x:c r="I2523" s="166" t="str">
        <x:v>Multicarteira Agro, Indústria e Comércio</x:v>
      </x:c>
      <x:c r="J2523" s="166" t="str">
        <x:v>CI</x:v>
      </x:c>
      <x:c r="K2523" s="172" t="n">
        <x:v>25</x:v>
      </x:c>
      <x:c r="L2523" s="185" t="str">
        <x:v>Não classificado</x:v>
      </x:c>
    </x:row>
    <x:row r="2524">
      <x:c r="A2524" s="175" t="str">
        <x:v>59.677.032/0001-79</x:v>
      </x:c>
      <x:c r="B2524" s="166" t="str">
        <x:v>BOS FUNDO DE INVESTIMENTO EM DIREITOS CREDITÓRIOS</x:v>
      </x:c>
      <x:c r="C2524" s="188" t="n">
        <x:v>10358776.18</x:v>
      </x:c>
      <x:c r="D2524" s="166" t="str">
        <x:v>TERCON ASSET MANAGEMENT</x:v>
      </x:c>
      <x:c r="E2524" s="166" t="str">
        <x:f>IFERROR(INDEX('Classif Gestoras'!$H$6:$H$462,MATCH(D2524,'Classif Gestoras'!$A$6:$A$462,0)),"Não classificada")</x:f>
        <x:v>Independente</x:v>
      </x:c>
      <x:c r="F2524" s="166" t="str">
        <x:v>Singulare</x:v>
      </x:c>
      <x:c r="G2524" s="166" t="str">
        <x:v>QI CORRETORA DE TÍTULOS E VALORES MOBILIÁRIOS S.A.</x:v>
      </x:c>
      <x:c r="H2524" s="166" t="str">
        <x:v>Fomento Mercantil</x:v>
      </x:c>
      <x:c r="I2524" s="166" t="str">
        <x:v>Fomento Mercantil</x:v>
      </x:c>
      <x:c r="J2524" s="166" t="str">
        <x:v>CI</x:v>
      </x:c>
      <x:c r="K2524" s="172" t="n">
        <x:v>2</x:v>
      </x:c>
      <x:c r="L2524" s="185" t="str">
        <x:v>Não classificado</x:v>
      </x:c>
    </x:row>
    <x:row r="2525">
      <x:c r="A2525" s="175" t="str">
        <x:v>59.827.367/0001-26</x:v>
      </x:c>
      <x:c r="B2525" s="166" t="str">
        <x:v>DOTZFIN FUNDO DE INVESTIMENTO EM DIREITOS CREDITÓRIOS - RESPONSABILIDADE LIMITADA</x:v>
      </x:c>
      <x:c r="C2525" s="188" t="n">
        <x:v>10315827.45</x:v>
      </x:c>
      <x:c r="D2525" s="166" t="str">
        <x:v>REAG GESTÃO DE CRÉDITO</x:v>
      </x:c>
      <x:c r="E2525" s="166" t="str">
        <x:f>IFERROR(INDEX('Classif Gestoras'!$H$6:$H$462,MATCH(D2525,'Classif Gestoras'!$A$6:$A$462,0)),"Não classificada")</x:f>
        <x:v>Independente</x:v>
      </x:c>
      <x:c r="F2525" s="166" t="str">
        <x:v>Banvox DTVM</x:v>
      </x:c>
      <x:c r="G2525" s="166" t="str">
        <x:v>BANVOX DISTRIBUIDORA DE TITULOS E VALORES MOBILIARIOS LTDA</x:v>
      </x:c>
      <x:c r="H2525" s="166" t="str">
        <x:v>Financeiro</x:v>
      </x:c>
      <x:c r="I2525" s="166" t="str">
        <x:v>Crédito Pessoal</x:v>
      </x:c>
      <x:c r="J2525" s="166" t="str">
        <x:v>CI</x:v>
      </x:c>
      <x:c r="K2525" s="172" t="n">
        <x:v>1</x:v>
      </x:c>
      <x:c r="L2525" s="185" t="str">
        <x:v>Não classificado</x:v>
      </x:c>
    </x:row>
    <x:row r="2526">
      <x:c r="A2526" s="175" t="str">
        <x:v>64.310.285/0001-40</x:v>
      </x:c>
      <x:c r="B2526" s="166" t="str">
        <x:v>INFRA CAPITAL FUNDO DE INVESTIMENTO EM DIREITOS CREDITÓRIOS</x:v>
      </x:c>
      <x:c r="C2526" s="188" t="n">
        <x:v>10312542.5</x:v>
      </x:c>
      <x:c r="D2526" s="166" t="str">
        <x:v>ASSET MANAGEMENT</x:v>
      </x:c>
      <x:c r="E2526" s="166" t="str">
        <x:f>IFERROR(INDEX('Classif Gestoras'!$H$6:$H$462,MATCH(D2526,'Classif Gestoras'!$A$6:$A$462,0)),"Não classificada")</x:f>
        <x:v>Independente</x:v>
      </x:c>
      <x:c r="F2526" s="166" t="str">
        <x:v>AZUMI DISTRIBUIDORA DE TÍTULOS E VALORES MOBILIÁRIOS LT</x:v>
      </x:c>
      <x:c r="G2526" s="166" t="str">
        <x:v>AZUMI DISTRIBUIDORA DE TÍTULOS E VALORES MOBILIÁRIOS LTDA.</x:v>
      </x:c>
      <x:c r="H2526" s="166" t="str">
        <x:v>Fomento Mercantil</x:v>
      </x:c>
      <x:c r="I2526" s="166" t="str">
        <x:v>Fomento Mercantil</x:v>
      </x:c>
      <x:c r="J2526" s="166" t="str">
        <x:v>CI</x:v>
      </x:c>
      <x:c r="K2526" s="172" t="n">
        <x:v>2</x:v>
      </x:c>
      <x:c r="L2526" s="185" t="str">
        <x:v>Não classificado</x:v>
      </x:c>
    </x:row>
    <x:row r="2527">
      <x:c r="A2527" s="175" t="str">
        <x:v>63.670.894/0001-47</x:v>
      </x:c>
      <x:c r="B2527" s="166" t="str">
        <x:v>CATÁLISE ARAUCÁRIA FUNDO DE INVESTIMENTO EM DIREITOS CREDITÓRIOS DE RESPONSABILIDADE LIMITADA</x:v>
      </x:c>
      <x:c r="C2527" s="188" t="n">
        <x:v>10303570.12</x:v>
      </x:c>
      <x:c r="D2527" s="166" t="str">
        <x:v>Catálise Investimentos</x:v>
      </x:c>
      <x:c r="E2527" s="166" t="str">
        <x:f>IFERROR(INDEX('Classif Gestoras'!$H$6:$H$462,MATCH(D2527,'Classif Gestoras'!$A$6:$A$462,0)),"Não classificada")</x:f>
        <x:v>Independente</x:v>
      </x:c>
      <x:c r="F2527" s="166" t="str">
        <x:v>CATÁLISE DTVM</x:v>
      </x:c>
      <x:c r="G2527" s="166" t="str">
        <x:v>BANCO DAYCOVAL S.A.</x:v>
      </x:c>
      <x:c r="H2527" s="166" t="str">
        <x:v>Agro, Indústria e Comércio</x:v>
      </x:c>
      <x:c r="I2527" s="166" t="str">
        <x:v>Multicarteira Agro, Indústria e Comércio</x:v>
      </x:c>
      <x:c r="J2527" s="166" t="str">
        <x:v>CI</x:v>
      </x:c>
      <x:c r="K2527" s="172" t="n">
        <x:v>5</x:v>
      </x:c>
      <x:c r="L2527" s="185" t="str">
        <x:v>Não classificado</x:v>
      </x:c>
    </x:row>
    <x:row r="2528">
      <x:c r="A2528" s="175" t="str">
        <x:v>51.226.491/0001-24</x:v>
      </x:c>
      <x:c r="B2528" s="166" t="str">
        <x:v>WL3 FUNDO DE INVESTIMENTO EM DIREITOS CREDITÓRIOS</x:v>
      </x:c>
      <x:c r="C2528" s="188" t="n">
        <x:v>10283291.48</x:v>
      </x:c>
      <x:c r="D2528" s="166" t="str">
        <x:v>PLANNER CV</x:v>
      </x:c>
      <x:c r="E2528" s="166" t="str">
        <x:f>IFERROR(INDEX('Classif Gestoras'!$H$6:$H$462,MATCH(D2528,'Classif Gestoras'!$A$6:$A$462,0)),"Não classificada")</x:f>
        <x:v>Independente</x:v>
      </x:c>
      <x:c r="F2528" s="166" t="str">
        <x:v>PLANNER CV</x:v>
      </x:c>
      <x:c r="G2528" s="166" t="str">
        <x:v>PLANNER CORRETORA DE VALORES S.A.</x:v>
      </x:c>
      <x:c r="H2528" s="166" t="str">
        <x:v>Outros</x:v>
      </x:c>
      <x:c r="I2528" s="166" t="str">
        <x:v>Multicarteira Outros</x:v>
      </x:c>
      <x:c r="J2528" s="166" t="str">
        <x:v>CI</x:v>
      </x:c>
      <x:c r="K2528" s="172" t="n">
        <x:v>1</x:v>
      </x:c>
      <x:c r="L2528" s="185" t="str">
        <x:v>Não classificado</x:v>
      </x:c>
    </x:row>
    <x:row r="2529">
      <x:c r="A2529" s="175" t="str">
        <x:v>59.151.364/0001-15</x:v>
      </x:c>
      <x:c r="B2529" s="166" t="str">
        <x:v>POSITIVO TEC FUNDO DE INVESTIMENTO EM DIREITOS CREDITORIOS - RECEBIVEIS COMERCIAIS DE RESP LTDA</x:v>
      </x:c>
      <x:c r="C2529" s="188" t="n">
        <x:v>10264425.63</x:v>
      </x:c>
      <x:c r="D2529" s="166" t="str">
        <x:v>VALORA RENDA FIXA ESTRUTURADOS LTDA.</x:v>
      </x:c>
      <x:c r="E2529" s="166" t="str">
        <x:f>IFERROR(INDEX('Classif Gestoras'!$H$6:$H$462,MATCH(D2529,'Classif Gestoras'!$A$6:$A$462,0)),"Não classificada")</x:f>
        <x:v>Independente</x:v>
      </x:c>
      <x:c r="F2529" s="166" t="str">
        <x:v>Oliveira Trust DTVM</x:v>
      </x:c>
      <x:c r="G2529" s="166" t="str">
        <x:v>OLIVEIRA TRUST DTVM S.A.</x:v>
      </x:c>
      <x:c r="H2529" s="166" t="str">
        <x:v>Agro, Indústria e Comércio</x:v>
      </x:c>
      <x:c r="I2529" s="166" t="str">
        <x:v>Recebíveis Comerciais</x:v>
      </x:c>
      <x:c r="J2529" s="166" t="str">
        <x:v>CI</x:v>
      </x:c>
      <x:c r="K2529" s="172" t="n">
        <x:v>8</x:v>
      </x:c>
      <x:c r="L2529" s="185" t="str">
        <x:v>Não classificado</x:v>
      </x:c>
    </x:row>
    <x:row r="2530">
      <x:c r="A2530" s="175" t="str">
        <x:v>64.171.337/0001-44</x:v>
      </x:c>
      <x:c r="B2530" s="166" t="str">
        <x:v>MELL.RO &amp; MANCHESTER FUNDO DE INVESTIMENTO EM DIREITOS CREDITÓRIOS</x:v>
      </x:c>
      <x:c r="C2530" s="188" t="n">
        <x:v>10258541.03</x:v>
      </x:c>
      <x:c r="D2530" s="166" t="str">
        <x:v>TERCON ASSET MANAGEMENT</x:v>
      </x:c>
      <x:c r="E2530" s="166" t="str">
        <x:f>IFERROR(INDEX('Classif Gestoras'!$H$6:$H$462,MATCH(D2530,'Classif Gestoras'!$A$6:$A$462,0)),"Não classificada")</x:f>
        <x:v>Independente</x:v>
      </x:c>
      <x:c r="F2530" s="166" t="str">
        <x:v>Limine Trust Distribuidora de Titulos e Valores Mobiliá</x:v>
      </x:c>
      <x:c r="G2530" s="166" t="str">
        <x:v>LIMINE TRUST DISTRIBUIDORA DE TITULOS E VALORES MOBILIARIOS LTDA.</x:v>
      </x:c>
      <x:c r="H2530" s="166" t="str">
        <x:v>Agro, Indústria e Comércio</x:v>
      </x:c>
      <x:c r="I2530" s="166" t="str">
        <x:v>Multicarteira Agro, Indústria e Comércio</x:v>
      </x:c>
      <x:c r="J2530" s="166" t="str">
        <x:v>CI</x:v>
      </x:c>
      <x:c r="K2530" s="172" t="n">
        <x:v>4</x:v>
      </x:c>
      <x:c r="L2530" s="185" t="str">
        <x:v>Não classificado</x:v>
      </x:c>
    </x:row>
    <x:row r="2531">
      <x:c r="A2531" s="175" t="str">
        <x:v>51.768.553/0001-20</x:v>
      </x:c>
      <x:c r="B2531" s="166" t="str">
        <x:v>PASQUINI FUNDO DE INVESTIMENTO EM DIREITOS CREDITÓRIOS MULTISEGMENTOS DE RESPONSABILIDADE LIMITADA</x:v>
      </x:c>
      <x:c r="C2531" s="188" t="n">
        <x:v>10238965.079999998</x:v>
      </x:c>
      <x:c r="D2531" s="166" t="str">
        <x:v>Petra Capital</x:v>
      </x:c>
      <x:c r="E2531" s="166" t="str">
        <x:f>IFERROR(INDEX('Classif Gestoras'!$H$6:$H$462,MATCH(D2531,'Classif Gestoras'!$A$6:$A$462,0)),"Não classificada")</x:f>
        <x:v>Independente</x:v>
      </x:c>
      <x:c r="F2531" s="166" t="str">
        <x:v>Finaxis Corretora de Títulos e Valores Mobiliários S.A.</x:v>
      </x:c>
      <x:c r="G2531" s="166" t="str">
        <x:v>BANCO FINAXIS S.A.</x:v>
      </x:c>
      <x:c r="H2531" s="166" t="str">
        <x:v>Outros</x:v>
      </x:c>
      <x:c r="I2531" s="166" t="str">
        <x:v>Multicarteira Outros</x:v>
      </x:c>
      <x:c r="J2531" s="166" t="str">
        <x:v>CI</x:v>
      </x:c>
      <x:c r="K2531" s="172" t="n">
        <x:v>1</x:v>
      </x:c>
      <x:c r="L2531" s="185" t="str">
        <x:v>Não classificado</x:v>
      </x:c>
    </x:row>
    <x:row r="2532">
      <x:c r="A2532" s="175" t="str">
        <x:v>51.388.032/0001-47</x:v>
      </x:c>
      <x:c r="B2532" s="166" t="str">
        <x:v>ACTUAL FUNDO DE INVESTIMENTO EM DIREITOS CREDITÓRIOS MULTISSETORIAL</x:v>
      </x:c>
      <x:c r="C2532" s="188" t="n">
        <x:v>10236615.400000002</x:v>
      </x:c>
      <x:c r="D2532" s="166" t="str">
        <x:v>ASSET MANAGEMENT</x:v>
      </x:c>
      <x:c r="E2532" s="166" t="str">
        <x:f>IFERROR(INDEX('Classif Gestoras'!$H$6:$H$462,MATCH(D2532,'Classif Gestoras'!$A$6:$A$462,0)),"Não classificada")</x:f>
        <x:v>Independente</x:v>
      </x:c>
      <x:c r="F2532" s="166" t="str">
        <x:v>AZUMI DISTRIBUIDORA DE TÍTULOS E VALORES MOBILIÁRIOS LT</x:v>
      </x:c>
      <x:c r="G2532" s="166" t="str">
        <x:v>AZUMI DISTRIBUIDORA DE TÍTULOS E VALORES MOBILIÁRIOS LTDA.</x:v>
      </x:c>
      <x:c r="H2532" s="166" t="str">
        <x:v>Outros</x:v>
      </x:c>
      <x:c r="I2532" s="166" t="str">
        <x:v>Multicarteira Outros</x:v>
      </x:c>
      <x:c r="J2532" s="166" t="str">
        <x:v>CI</x:v>
      </x:c>
      <x:c r="K2532" s="172" t="n">
        <x:v>11</x:v>
      </x:c>
      <x:c r="L2532" s="185" t="str">
        <x:v>Não classificado</x:v>
      </x:c>
    </x:row>
    <x:row r="2533">
      <x:c r="A2533" s="175" t="str">
        <x:v>26.704.185/0001-09</x:v>
      </x:c>
      <x:c r="B2533" s="166" t="str">
        <x:v>MTR 1 FUNDO DE INVESTIMENTO EM DIREITOS CREDITÓRIOS NÃO PADRONIZADOS</x:v>
      </x:c>
      <x:c r="C2533" s="188" t="n">
        <x:v>10206477.28</x:v>
      </x:c>
      <x:c r="D2533" s="166" t="str">
        <x:v>BURITI INVESTIMENTOS</x:v>
      </x:c>
      <x:c r="E2533" s="166" t="str">
        <x:f>IFERROR(INDEX('Classif Gestoras'!$H$6:$H$462,MATCH(D2533,'Classif Gestoras'!$A$6:$A$462,0)),"Não classificada")</x:f>
        <x:v>Independente</x:v>
      </x:c>
      <x:c r="F2533" s="166" t="str">
        <x:v>Singulare</x:v>
      </x:c>
      <x:c r="G2533" s="166" t="str">
        <x:v>QI CORRETORA DE TÍTULOS E VALORES MOBILIÁRIOS S.A.</x:v>
      </x:c>
      <x:c r="H2533" s="166" t="str">
        <x:v>Fomento Mercantil</x:v>
      </x:c>
      <x:c r="I2533" s="166" t="str">
        <x:v>Fomento Mercantil</x:v>
      </x:c>
      <x:c r="J2533" s="166" t="str">
        <x:v>CI</x:v>
      </x:c>
      <x:c r="K2533" s="172" t="n">
        <x:v>10</x:v>
      </x:c>
      <x:c r="L2533" s="185" t="str">
        <x:v>Não classificado</x:v>
      </x:c>
    </x:row>
    <x:row r="2534">
      <x:c r="A2534" s="175" t="str">
        <x:v>62.881.088/0001-55</x:v>
      </x:c>
      <x:c r="B2534" s="166" t="str">
        <x:v>FAKINI FUNDO DE INVESTIMENTO EM DIREITOS CREDITÓRIOS</x:v>
      </x:c>
      <x:c r="C2534" s="188" t="n">
        <x:v>10195482.45</x:v>
      </x:c>
      <x:c r="D2534" s="166" t="str">
        <x:v>SOMMA Investimentos</x:v>
      </x:c>
      <x:c r="E2534" s="166" t="str">
        <x:f>IFERROR(INDEX('Classif Gestoras'!$H$6:$H$462,MATCH(D2534,'Classif Gestoras'!$A$6:$A$462,0)),"Não classificada")</x:f>
        <x:v>Independente</x:v>
      </x:c>
      <x:c r="F2534" s="166" t="str">
        <x:v>Singulare</x:v>
      </x:c>
      <x:c r="G2534" s="166" t="str">
        <x:v>QI CORRETORA DE TÍTULOS E VALORES MOBILIÁRIOS S.A.</x:v>
      </x:c>
      <x:c r="H2534" s="166" t="str">
        <x:v>Fomento Mercantil</x:v>
      </x:c>
      <x:c r="I2534" s="166" t="str">
        <x:v>Fomento Mercantil</x:v>
      </x:c>
      <x:c r="J2534" s="166" t="str">
        <x:v>CI</x:v>
      </x:c>
      <x:c r="K2534" s="172" t="n">
        <x:v>5</x:v>
      </x:c>
      <x:c r="L2534" s="185" t="str">
        <x:v>Não classificado</x:v>
      </x:c>
    </x:row>
    <x:row r="2535">
      <x:c r="A2535" s="175" t="str">
        <x:v>43.164.614/0001-11</x:v>
      </x:c>
      <x:c r="B2535" s="166" t="str">
        <x:v>FUNDO DE RECUPERAÇÃO DE CRÉDITOS E ATIVOS FIDC RESP LIMITADA</x:v>
      </x:c>
      <x:c r="C2535" s="188" t="n">
        <x:v>10193571.89</x:v>
      </x:c>
      <x:c r="D2535" s="166" t="str">
        <x:v>JIVE INVESTMENTS</x:v>
      </x:c>
      <x:c r="E2535" s="166" t="str">
        <x:f>IFERROR(INDEX('Classif Gestoras'!$H$6:$H$462,MATCH(D2535,'Classif Gestoras'!$A$6:$A$462,0)),"Não classificada")</x:f>
        <x:v>Independente</x:v>
      </x:c>
      <x:c r="F2535" s="166" t="str">
        <x:v>MAF Distribuidora de Títulos e Valores Mobiliários S.A.</x:v>
      </x:c>
      <x:c r="G2535" s="166" t="str">
        <x:v>MAF DISTRIBUIDORA DE TITULOS E VALORES MOBILIARIOS S.A.</x:v>
      </x:c>
      <x:c r="H2535" s="166" t="str">
        <x:v>Outros</x:v>
      </x:c>
      <x:c r="I2535" s="166" t="str">
        <x:v>Recuperação</x:v>
      </x:c>
      <x:c r="J2535" s="166" t="str">
        <x:v>CI</x:v>
      </x:c>
      <x:c r="K2535" s="172" t="n">
        <x:v>1</x:v>
      </x:c>
      <x:c r="L2535" s="185" t="str">
        <x:v>Não classificado</x:v>
      </x:c>
    </x:row>
    <x:row r="2536">
      <x:c r="A2536" s="175" t="str">
        <x:v>60.707.702/0001-31</x:v>
      </x:c>
      <x:c r="B2536" s="166" t="str">
        <x:v>GHIA PRECATÓRIOS I FUNDO DE INVESTIMENTO EM DIREITOS CREDITÓRIOS</x:v>
      </x:c>
      <x:c r="C2536" s="188" t="n">
        <x:v>10162955.43</x:v>
      </x:c>
      <x:c r="D2536" s="166" t="str">
        <x:v>Ghia Asset Management</x:v>
      </x:c>
      <x:c r="E2536" s="166" t="str">
        <x:f>IFERROR(INDEX('Classif Gestoras'!$H$6:$H$462,MATCH(D2536,'Classif Gestoras'!$A$6:$A$462,0)),"Não classificada")</x:f>
        <x:v>Independente</x:v>
      </x:c>
      <x:c r="F2536" s="166" t="str">
        <x:v>BTG Pactual Servicos Financeiros S/A DTVM</x:v>
      </x:c>
      <x:c r="G2536" s="166" t="str">
        <x:v>BANCO BTG PACTUAL S/A</x:v>
      </x:c>
      <x:c r="H2536" s="166" t="str">
        <x:v>Outros</x:v>
      </x:c>
      <x:c r="I2536" s="166" t="str">
        <x:v>Poder Público</x:v>
      </x:c>
      <x:c r="J2536" s="166" t="str">
        <x:v>CI</x:v>
      </x:c>
      <x:c r="K2536" s="172" t="n">
        <x:v>1</x:v>
      </x:c>
      <x:c r="L2536" s="185" t="str">
        <x:v>Não classificado</x:v>
      </x:c>
    </x:row>
    <x:row r="2537">
      <x:c r="A2537" s="175" t="str">
        <x:v>61.374.410/0001-97</x:v>
      </x:c>
      <x:c r="B2537" s="166" t="str">
        <x:v>NEO CRÉDITO SPECIAL SITUATIONS FUNDO DE INVESTIMENTO EM DIREITOS CREDITÓRIOS RESP LIMITADA</x:v>
      </x:c>
      <x:c r="C2537" s="188" t="n">
        <x:v>10143844.170000002</x:v>
      </x:c>
      <x:c r="D2537" s="166" t="str">
        <x:v>SPECIAL SITUATIONS NEO GESTAO DE RECURSOS LTDA</x:v>
      </x:c>
      <x:c r="E2537" s="166" t="str">
        <x:f>IFERROR(INDEX('Classif Gestoras'!$H$6:$H$462,MATCH(D2537,'Classif Gestoras'!$A$6:$A$462,0)),"Não classificada")</x:f>
        <x:v>Independente</x:v>
      </x:c>
      <x:c r="F2537" s="166" t="str">
        <x:v>VÓRTX DTVM</x:v>
      </x:c>
      <x:c r="G2537" s="166" t="str">
        <x:v>VORTX DISTRIBUIDORA DE TITULOS E VALORES MOBILIARIOS LTDA.</x:v>
      </x:c>
      <x:c r="H2537" s="166" t="str">
        <x:v>Outros</x:v>
      </x:c>
      <x:c r="I2537" s="166" t="str">
        <x:v>Multicarteira Outros</x:v>
      </x:c>
      <x:c r="J2537" s="166" t="str">
        <x:v>CI</x:v>
      </x:c>
      <x:c r="K2537" s="172" t="n">
        <x:v>28</x:v>
      </x:c>
      <x:c r="L2537" s="185" t="str">
        <x:v>Não classificado</x:v>
      </x:c>
    </x:row>
    <x:row r="2538">
      <x:c r="A2538" s="175" t="str">
        <x:v>61.432.659/0001-01</x:v>
      </x:c>
      <x:c r="B2538" s="166" t="str">
        <x:v>KADESH FUNDO DE INVESTIMENTO EM DIREITOS CREDITÓRIOS</x:v>
      </x:c>
      <x:c r="C2538" s="188" t="n">
        <x:v>10117957.56</x:v>
      </x:c>
      <x:c r="D2538" s="166" t="str">
        <x:v>NORTH SEA CAPITAL</x:v>
      </x:c>
      <x:c r="E2538" s="166" t="str">
        <x:f>IFERROR(INDEX('Classif Gestoras'!$H$6:$H$462,MATCH(D2538,'Classif Gestoras'!$A$6:$A$462,0)),"Não classificada")</x:f>
        <x:v>Independente</x:v>
      </x:c>
      <x:c r="F2538" s="166" t="str">
        <x:v>Qore DTVM</x:v>
      </x:c>
      <x:c r="G2538" s="166" t="str">
        <x:v>QORE DISTRIBUIDORA DE TÍTULOS E VALORES MOBILIÁRIOS LTDA.</x:v>
      </x:c>
      <x:c r="H2538" s="166" t="str">
        <x:v>Outros</x:v>
      </x:c>
      <x:c r="I2538" s="166" t="str">
        <x:v>Multicarteira Outros</x:v>
      </x:c>
      <x:c r="J2538" s="166" t="str">
        <x:v>CI</x:v>
      </x:c>
      <x:c r="K2538" s="172" t="n">
        <x:v>1</x:v>
      </x:c>
      <x:c r="L2538" s="185" t="str">
        <x:v>Não classificado</x:v>
      </x:c>
    </x:row>
    <x:row r="2539">
      <x:c r="A2539" s="175" t="str">
        <x:v>64.656.842/0001-89</x:v>
      </x:c>
      <x:c r="B2539" s="166" t="str">
        <x:v>FUNDO DE INVESTIMENTO EM DIREITOS CREDITÓRIOS CONSIGNADO EXT SETHI - RESPONSABILIDADE LIMITADA</x:v>
      </x:c>
      <x:c r="C2539" s="188" t="n">
        <x:v>10111611.97</x:v>
      </x:c>
      <x:c r="D2539" s="166" t="str">
        <x:v>Ext Capital</x:v>
      </x:c>
      <x:c r="E2539" s="166" t="str">
        <x:f>IFERROR(INDEX('Classif Gestoras'!$H$6:$H$462,MATCH(D2539,'Classif Gestoras'!$A$6:$A$462,0)),"Não classificada")</x:f>
        <x:v>Independente</x:v>
      </x:c>
      <x:c r="F2539" s="166" t="str">
        <x:v>BANCO DAYCOVAL S/A</x:v>
      </x:c>
      <x:c r="G2539" s="166" t="str">
        <x:v>BANCO DAYCOVAL S.A.</x:v>
      </x:c>
      <x:c r="H2539" s="166" t="str">
        <x:v>Financeiro</x:v>
      </x:c>
      <x:c r="I2539" s="166" t="str">
        <x:v>Crédito Consignado</x:v>
      </x:c>
      <x:c r="J2539" s="166" t="str">
        <x:v>CI</x:v>
      </x:c>
      <x:c r="K2539" s="172" t="n">
        <x:v>3</x:v>
      </x:c>
      <x:c r="L2539" s="185" t="str">
        <x:v>Não classificado</x:v>
      </x:c>
    </x:row>
    <x:row r="2540">
      <x:c r="A2540" s="175" t="str">
        <x:v>63.823.888/0001-82</x:v>
      </x:c>
      <x:c r="B2540" s="166" t="str">
        <x:v>VETBANK FUNDO DE INVESTIMENTO EM DIREITOS CREDITÓRIOS RESPONSABILIDADE LIMITADA</x:v>
      </x:c>
      <x:c r="C2540" s="188" t="n">
        <x:v>10110864.590000002</x:v>
      </x:c>
      <x:c r="D2540" s="166" t="str">
        <x:v>Renova Gestora</x:v>
      </x:c>
      <x:c r="E2540" s="166" t="str">
        <x:f>IFERROR(INDEX('Classif Gestoras'!$H$6:$H$462,MATCH(D2540,'Classif Gestoras'!$A$6:$A$462,0)),"Não classificada")</x:f>
        <x:v>Independente</x:v>
      </x:c>
      <x:c r="F2540" s="166" t="str">
        <x:v>MONETAR DISTRIBUIDORA DE TITUL</x:v>
      </x:c>
      <x:c r="G2540" s="166" t="str">
        <x:v>TERRA INVESTIMENTOS DISTRIBUIDORA DE TITULOS E VALORES MOBILIARIOS LTDA</x:v>
      </x:c>
      <x:c r="H2540" s="166" t="str">
        <x:v>Outros</x:v>
      </x:c>
      <x:c r="I2540" s="166" t="str">
        <x:v>Multicarteira Outros</x:v>
      </x:c>
      <x:c r="J2540" s="166" t="str">
        <x:v>CI</x:v>
      </x:c>
      <x:c r="K2540" s="172" t="n">
        <x:v>1</x:v>
      </x:c>
      <x:c r="L2540" s="185" t="str">
        <x:v>Não classificado</x:v>
      </x:c>
    </x:row>
    <x:row r="2541">
      <x:c r="A2541" s="175" t="str">
        <x:v>32.969.493/0001-69</x:v>
      </x:c>
      <x:c r="B2541" s="166" t="str">
        <x:v>LIBER FUNDO DE INVESTIMENTO EM DIREITOS CREDITÓRIOS NÃO PADRONIZADO</x:v>
      </x:c>
      <x:c r="C2541" s="188" t="n">
        <x:v>10057664.33</x:v>
      </x:c>
      <x:c r="D2541" s="166" t="str">
        <x:v>GV ATACAMA CAPITAL LTDA.</x:v>
      </x:c>
      <x:c r="E2541" s="166" t="str">
        <x:f>IFERROR(INDEX('Classif Gestoras'!$H$6:$H$462,MATCH(D2541,'Classif Gestoras'!$A$6:$A$462,0)),"Não classificada")</x:f>
        <x:v>Independente</x:v>
      </x:c>
      <x:c r="F2541" s="166" t="str">
        <x:v>Singulare</x:v>
      </x:c>
      <x:c r="G2541" s="166" t="str">
        <x:v>QI CORRETORA DE TÍTULOS E VALORES MOBILIÁRIOS S.A.</x:v>
      </x:c>
      <x:c r="H2541" s="166" t="str">
        <x:v>Fomento Mercantil</x:v>
      </x:c>
      <x:c r="I2541" s="166" t="str">
        <x:v>Fomento Mercantil</x:v>
      </x:c>
      <x:c r="J2541" s="166" t="str">
        <x:v>CI</x:v>
      </x:c>
      <x:c r="K2541" s="172" t="n">
        <x:v>2</x:v>
      </x:c>
      <x:c r="L2541" s="185" t="str">
        <x:v>Não classificado</x:v>
      </x:c>
    </x:row>
    <x:row r="2542">
      <x:c r="A2542" s="175" t="str">
        <x:v>37.654.045/0001-90</x:v>
      </x:c>
      <x:c r="B2542" s="166" t="str">
        <x:v>QUATÁ NX FUNDO DE INVESTIMENTO EM DIREITOS CREDITÓRIOS - RESPONSABILIDADE LIMITADA</x:v>
      </x:c>
      <x:c r="C2542" s="188" t="n">
        <x:v>10056896.45</x:v>
      </x:c>
      <x:c r="D2542" s="166" t="str">
        <x:v>Quatá Investimentos</x:v>
      </x:c>
      <x:c r="E2542" s="166" t="str">
        <x:f>IFERROR(INDEX('Classif Gestoras'!$H$6:$H$462,MATCH(D2542,'Classif Gestoras'!$A$6:$A$462,0)),"Não classificada")</x:f>
        <x:v>Independente</x:v>
      </x:c>
      <x:c r="F2542" s="166" t="str">
        <x:v>BRL TRUST DTVM</x:v>
      </x:c>
      <x:c r="G2542" s="166" t="str">
        <x:v>BRL TRUST DISTRIBUIDORA DE TITULOS E VALORES MOBILIARIOS S.A.</x:v>
      </x:c>
      <x:c r="H2542" s="166" t="str">
        <x:v>Agro, Indústria e Comércio</x:v>
      </x:c>
      <x:c r="I2542" s="166" t="str">
        <x:v>Multicarteira Agro, Indústria e Comércio</x:v>
      </x:c>
      <x:c r="J2542" s="166" t="str">
        <x:v>CI</x:v>
      </x:c>
      <x:c r="K2542" s="172" t="n">
        <x:v>4</x:v>
      </x:c>
      <x:c r="L2542" s="185" t="str">
        <x:v>Não classificado</x:v>
      </x:c>
    </x:row>
    <x:row r="2543">
      <x:c r="A2543" s="175" t="str">
        <x:v>61.386.705/0001-83</x:v>
      </x:c>
      <x:c r="B2543" s="166" t="str">
        <x:v>PRANA CAPITAL PRIVATE CREDIT FIDC MULTICARTEIRA FINANCEIRO DE RESPLIMITADA</x:v>
      </x:c>
      <x:c r="C2543" s="188" t="n">
        <x:v>10003362.11</x:v>
      </x:c>
      <x:c r="D2543" s="166" t="str">
        <x:v>Harbour Capital</x:v>
      </x:c>
      <x:c r="E2543" s="166" t="str">
        <x:f>IFERROR(INDEX('Classif Gestoras'!$H$6:$H$462,MATCH(D2543,'Classif Gestoras'!$A$6:$A$462,0)),"Não classificada")</x:f>
        <x:v>Independente</x:v>
      </x:c>
      <x:c r="F2543" s="166" t="str">
        <x:v>BANCO DAYCOVAL S/A</x:v>
      </x:c>
      <x:c r="G2543" s="166" t="str">
        <x:v>BANCO DAYCOVAL S.A.</x:v>
      </x:c>
      <x:c r="H2543" s="166" t="str">
        <x:v>Outros</x:v>
      </x:c>
      <x:c r="I2543" s="166" t="str">
        <x:v>Multicarteira Outros</x:v>
      </x:c>
      <x:c r="J2543" s="166" t="str">
        <x:v>CI</x:v>
      </x:c>
      <x:c r="K2543" s="172" t="n">
        <x:v>42</x:v>
      </x:c>
      <x:c r="L2543" s="185" t="str">
        <x:v>Não classificado</x:v>
      </x:c>
    </x:row>
    <x:row r="2544">
      <x:c r="A2544" s="175" t="str">
        <x:v>64.145.940/0001-51</x:v>
      </x:c>
      <x:c r="B2544" s="166" t="str">
        <x:v>AZURE CONSIGNADOS III FUNDO DE INVESTIMENTO EM DIREITOS CREDITÓRIOS</x:v>
      </x:c>
      <x:c r="C2544" s="188" t="n">
        <x:v>9992622.77</x:v>
      </x:c>
      <x:c r="D2544" s="166" t="str">
        <x:v>Apuama Capital</x:v>
      </x:c>
      <x:c r="E2544" s="166" t="str">
        <x:f>IFERROR(INDEX('Classif Gestoras'!$H$6:$H$462,MATCH(D2544,'Classif Gestoras'!$A$6:$A$462,0)),"Não classificada")</x:f>
        <x:v>Independente</x:v>
      </x:c>
      <x:c r="F2544" s="166" t="str">
        <x:v>PLANNER CV</x:v>
      </x:c>
      <x:c r="G2544" s="166" t="str">
        <x:v>BANCO DAYCOVAL S.A.</x:v>
      </x:c>
      <x:c r="H2544" s="166" t="str">
        <x:v>Outros</x:v>
      </x:c>
      <x:c r="I2544" s="166" t="str">
        <x:v>Multicarteira Outros</x:v>
      </x:c>
      <x:c r="J2544" s="166" t="str">
        <x:v>CI</x:v>
      </x:c>
      <x:c r="K2544" s="172" t="n">
        <x:v>5</x:v>
      </x:c>
      <x:c r="L2544" s="185" t="str">
        <x:v>Não classificado</x:v>
      </x:c>
    </x:row>
    <x:row r="2545">
      <x:c r="A2545" s="175" t="str">
        <x:v>61.350.212/0001-93</x:v>
      </x:c>
      <x:c r="B2545" s="166" t="str">
        <x:v>HS FUNDO DE INVESTIMENTO EM DIREITOS CREDITÓRIOS NÃO-PADRONIZADOS RESPONSABILIDADE LIMITADA</x:v>
      </x:c>
      <x:c r="C2545" s="188" t="n">
        <x:v>9949169.87</x:v>
      </x:c>
      <x:c r="D2545" s="166" t="str">
        <x:v>GESTORA DE RECURSOS ID - GRID LTDA.</x:v>
      </x:c>
      <x:c r="E2545" s="166" t="str">
        <x:f>IFERROR(INDEX('Classif Gestoras'!$H$6:$H$462,MATCH(D2545,'Classif Gestoras'!$A$6:$A$462,0)),"Não classificada")</x:f>
        <x:v>Independente</x:v>
      </x:c>
      <x:c r="F2545" s="166" t="str">
        <x:v>ID Corretora de Títulos e Valores Mobiliários S.A.</x:v>
      </x:c>
      <x:c r="G2545" s="166" t="str">
        <x:v>ID CORRETORA DE TITULOS E VALORES MOBILIARIOS S.A.</x:v>
      </x:c>
      <x:c r="H2545" s="166" t="str">
        <x:v>Outros</x:v>
      </x:c>
      <x:c r="I2545" s="166" t="str">
        <x:v>Multicarteira Outros</x:v>
      </x:c>
      <x:c r="J2545" s="166" t="str">
        <x:v>CI</x:v>
      </x:c>
      <x:c r="K2545" s="172" t="n">
        <x:v>2</x:v>
      </x:c>
      <x:c r="L2545" s="185" t="str">
        <x:v>Não classificado</x:v>
      </x:c>
    </x:row>
    <x:row r="2546">
      <x:c r="A2546" s="175" t="str">
        <x:v>41.755.724/0001-22</x:v>
      </x:c>
      <x:c r="B2546" s="166" t="str">
        <x:v>LESTE CREDIT PRECATÓRIOS I FUNDO DE INVESTIMENTO EM DIREITOS CREDITÓRIOS RESPONSABILIDADE LIMITADA</x:v>
      </x:c>
      <x:c r="C2546" s="188" t="n">
        <x:v>9938235.63</x:v>
      </x:c>
      <x:c r="D2546" s="166" t="str">
        <x:v>Leste Credit Gestão de Recursos LTDA.</x:v>
      </x:c>
      <x:c r="E2546" s="166" t="str">
        <x:f>IFERROR(INDEX('Classif Gestoras'!$H$6:$H$462,MATCH(D2546,'Classif Gestoras'!$A$6:$A$462,0)),"Não classificada")</x:f>
        <x:v>Independente</x:v>
      </x:c>
      <x:c r="F2546" s="166" t="str">
        <x:v>PLANNER CV</x:v>
      </x:c>
      <x:c r="G2546" s="166" t="str">
        <x:v>PLANNER CORRETORA DE VALORES S.A.</x:v>
      </x:c>
      <x:c r="H2546" s="166" t="str">
        <x:v>Outros</x:v>
      </x:c>
      <x:c r="I2546" s="166" t="str">
        <x:v>Poder Público</x:v>
      </x:c>
      <x:c r="J2546" s="166" t="str">
        <x:v>CI</x:v>
      </x:c>
      <x:c r="K2546" s="172" t="n">
        <x:v>17</x:v>
      </x:c>
      <x:c r="L2546" s="185" t="str">
        <x:v>Não classificado</x:v>
      </x:c>
    </x:row>
    <x:row r="2547">
      <x:c r="A2547" s="175" t="str">
        <x:v>52.997.521/0001-69</x:v>
      </x:c>
      <x:c r="B2547" s="166" t="str">
        <x:v>UKF FUNDO DE INVESTIMENTO EM DIREITOS CREDITÓRIOS</x:v>
      </x:c>
      <x:c r="C2547" s="188" t="n">
        <x:v>9934167.93</x:v>
      </x:c>
      <x:c r="D2547" s="166" t="str">
        <x:v>Catálise Investimentos</x:v>
      </x:c>
      <x:c r="E2547" s="166" t="str">
        <x:f>IFERROR(INDEX('Classif Gestoras'!$H$6:$H$462,MATCH(D2547,'Classif Gestoras'!$A$6:$A$462,0)),"Não classificada")</x:f>
        <x:v>Independente</x:v>
      </x:c>
      <x:c r="F2547" s="166" t="str">
        <x:v>CATÁLISE DTVM</x:v>
      </x:c>
      <x:c r="G2547" s="166" t="str">
        <x:v>BANCO DAYCOVAL S.A.</x:v>
      </x:c>
      <x:c r="H2547" s="166" t="str">
        <x:v>Agro, Indústria e Comércio</x:v>
      </x:c>
      <x:c r="I2547" s="166" t="str">
        <x:v>Recebíveis Comerciais</x:v>
      </x:c>
      <x:c r="J2547" s="166" t="str">
        <x:v>CI</x:v>
      </x:c>
      <x:c r="K2547" s="172" t="n">
        <x:v>2</x:v>
      </x:c>
      <x:c r="L2547" s="185" t="str">
        <x:v>Não classificado</x:v>
      </x:c>
    </x:row>
    <x:row r="2548">
      <x:c r="A2548" s="175" t="str">
        <x:v>50.013.376/0001-09</x:v>
      </x:c>
      <x:c r="B2548" s="166" t="str">
        <x:v>GERAR CAPITAL FUNDO DE INVESTIMENTO EM DIREITOS CREDITÓRIOS DE CLASSE ÚNICA ABERTA</x:v>
      </x:c>
      <x:c r="C2548" s="188" t="n">
        <x:v>9896841.91</x:v>
      </x:c>
      <x:c r="D2548" s="166" t="str">
        <x:v>CARMEL GESTORA DE ATIVOS LTDA</x:v>
      </x:c>
      <x:c r="E2548" s="166" t="str">
        <x:f>IFERROR(INDEX('Classif Gestoras'!$H$6:$H$462,MATCH(D2548,'Classif Gestoras'!$A$6:$A$462,0)),"Não classificada")</x:f>
        <x:v>Independente</x:v>
      </x:c>
      <x:c r="F2548" s="166" t="str">
        <x:v>BRL TRUST DTVM</x:v>
      </x:c>
      <x:c r="G2548" s="166" t="str">
        <x:v>BRL TRUST DISTRIBUIDORA DE TITULOS E VALORES MOBILIARIOS S.A.</x:v>
      </x:c>
      <x:c r="H2548" s="166" t="str">
        <x:v>Fomento Mercantil</x:v>
      </x:c>
      <x:c r="I2548" s="166" t="str">
        <x:v>Fomento Mercantil</x:v>
      </x:c>
      <x:c r="J2548" s="166" t="str">
        <x:v>CI</x:v>
      </x:c>
      <x:c r="K2548" s="172" t="n">
        <x:v>11</x:v>
      </x:c>
      <x:c r="L2548" s="185" t="str">
        <x:v>Não classificado</x:v>
      </x:c>
    </x:row>
    <x:row r="2549">
      <x:c r="A2549" s="175" t="str">
        <x:v>61.896.279/0001-28</x:v>
      </x:c>
      <x:c r="B2549" s="166" t="str">
        <x:v>OTIMA FUNDO DE INVESTIMENTO EM DIREITOS CREDITÓRIOS</x:v>
      </x:c>
      <x:c r="C2549" s="188" t="n">
        <x:v>9874389.48</x:v>
      </x:c>
      <x:c r="D2549" s="166" t="str">
        <x:v>TERCON ASSET MANAGEMENT</x:v>
      </x:c>
      <x:c r="E2549" s="166" t="str">
        <x:f>IFERROR(INDEX('Classif Gestoras'!$H$6:$H$462,MATCH(D2549,'Classif Gestoras'!$A$6:$A$462,0)),"Não classificada")</x:f>
        <x:v>Independente</x:v>
      </x:c>
      <x:c r="F2549" s="166" t="str">
        <x:v>Singulare</x:v>
      </x:c>
      <x:c r="G2549" s="166" t="str">
        <x:v>QI CORRETORA DE TÍTULOS E VALORES MOBILIÁRIOS S.A.</x:v>
      </x:c>
      <x:c r="H2549" s="166" t="str">
        <x:v>Fomento Mercantil</x:v>
      </x:c>
      <x:c r="I2549" s="166" t="str">
        <x:v>Fomento Mercantil</x:v>
      </x:c>
      <x:c r="J2549" s="166" t="str">
        <x:v>CI</x:v>
      </x:c>
      <x:c r="K2549" s="172" t="n">
        <x:v>1</x:v>
      </x:c>
      <x:c r="L2549" s="185" t="str">
        <x:v>Não classificado</x:v>
      </x:c>
    </x:row>
    <x:row r="2550">
      <x:c r="A2550" s="175" t="str">
        <x:v>63.354.125/0001-30</x:v>
      </x:c>
      <x:c r="B2550" s="166" t="str">
        <x:v>NX CAPITAL FUNDO DE INVESTIMENTO EM DIREITOS CREDITÓRIOS NÃO PADRONIZADOS RESP LIMITADA</x:v>
      </x:c>
      <x:c r="C2550" s="188" t="n">
        <x:v>9789179.47</x:v>
      </x:c>
      <x:c r="D2550" s="166" t="str">
        <x:v>HÍBRIDO PARTNERS GESTORA DE RECURSOS LTDA.</x:v>
      </x:c>
      <x:c r="E2550" s="166" t="str">
        <x:f>IFERROR(INDEX('Classif Gestoras'!$H$6:$H$462,MATCH(D2550,'Classif Gestoras'!$A$6:$A$462,0)),"Não classificada")</x:f>
        <x:v>Independente</x:v>
      </x:c>
      <x:c r="F2550" s="166" t="str">
        <x:v>ID Corretora de Títulos e Valores Mobiliários S.A.</x:v>
      </x:c>
      <x:c r="G2550" s="166" t="str">
        <x:v>ID CORRETORA DE TITULOS E VALORES MOBILIARIOS S.A.</x:v>
      </x:c>
      <x:c r="H2550" s="166" t="str">
        <x:v>Outros</x:v>
      </x:c>
      <x:c r="I2550" s="166" t="str">
        <x:v>Multicarteira Outros</x:v>
      </x:c>
      <x:c r="J2550" s="166" t="str">
        <x:v>CI</x:v>
      </x:c>
      <x:c r="K2550" s="172" t="n">
        <x:v>11</x:v>
      </x:c>
      <x:c r="L2550" s="185" t="str">
        <x:v>Não classificado</x:v>
      </x:c>
    </x:row>
    <x:row r="2551">
      <x:c r="A2551" s="175" t="str">
        <x:v>09.239.216/0001-89</x:v>
      </x:c>
      <x:c r="B2551" s="166" t="str">
        <x:v>FUNDO DE INVESTIMENTO EM DIREITOS CREDITÓRIOS MULTISETORIAL SM LP</x:v>
      </x:c>
      <x:c r="C2551" s="188" t="n">
        <x:v>9784604.695</x:v>
      </x:c>
      <x:c r="D2551" s="166" t="str">
        <x:v>TERCON ASSET MANAGEMENT</x:v>
      </x:c>
      <x:c r="E2551" s="166" t="str">
        <x:f>IFERROR(INDEX('Classif Gestoras'!$H$6:$H$462,MATCH(D2551,'Classif Gestoras'!$A$6:$A$462,0)),"Não classificada")</x:f>
        <x:v>Independente</x:v>
      </x:c>
      <x:c r="F2551" s="166" t="str">
        <x:v>Singulare</x:v>
      </x:c>
      <x:c r="G2551" s="166" t="str">
        <x:v>QI CORRETORA DE TÍTULOS E VALORES MOBILIÁRIOS S.A.</x:v>
      </x:c>
      <x:c r="H2551" s="166" t="str">
        <x:v>Fomento Mercantil</x:v>
      </x:c>
      <x:c r="I2551" s="166" t="str">
        <x:v>Fomento Mercantil</x:v>
      </x:c>
      <x:c r="J2551" s="166" t="str">
        <x:v>CI</x:v>
      </x:c>
      <x:c r="K2551" s="172" t="n">
        <x:v>4</x:v>
      </x:c>
      <x:c r="L2551" s="185" t="str">
        <x:v>Não classificado</x:v>
      </x:c>
    </x:row>
    <x:row r="2552">
      <x:c r="A2552" s="175" t="str">
        <x:v>43.023.990/0001-96</x:v>
      </x:c>
      <x:c r="B2552" s="166" t="str">
        <x:v>FUNDO DE INVESTIMENTO EM DIREITOS CREDITÓRIOS QUASAR CB</x:v>
      </x:c>
      <x:c r="C2552" s="188" t="n">
        <x:v>9781519.839999998</x:v>
      </x:c>
      <x:c r="D2552" s="166" t="str">
        <x:v>REAG SPECIAL SITUATIONS</x:v>
      </x:c>
      <x:c r="E2552" s="166" t="str">
        <x:f>IFERROR(INDEX('Classif Gestoras'!$H$6:$H$462,MATCH(D2552,'Classif Gestoras'!$A$6:$A$462,0)),"Não classificada")</x:f>
        <x:v>Independente</x:v>
      </x:c>
      <x:c r="F2552" s="166" t="str">
        <x:v>Finvest Digital</x:v>
      </x:c>
      <x:c r="G2552" s="166" t="str">
        <x:v>FINVEST DISTRIBUIDORA DE TÍTULOS E VALORES MOBILIÁRIOS LTDA.</x:v>
      </x:c>
      <x:c r="H2552" s="166" t="str">
        <x:v>Agro, Indústria e Comércio</x:v>
      </x:c>
      <x:c r="I2552" s="166" t="str">
        <x:v>Crédito Corporativo</x:v>
      </x:c>
      <x:c r="J2552" s="166" t="str">
        <x:v>CI</x:v>
      </x:c>
      <x:c r="K2552" s="172" t="n">
        <x:v>9</x:v>
      </x:c>
      <x:c r="L2552" s="185" t="str">
        <x:v>Não classificado</x:v>
      </x:c>
    </x:row>
    <x:row r="2553">
      <x:c r="A2553" s="175" t="str">
        <x:v>62.124.934/0001-92</x:v>
      </x:c>
      <x:c r="B2553" s="166" t="str">
        <x:v>CNPJ 62124934000192</x:v>
      </x:c>
      <x:c r="C2553" s="188" t="n">
        <x:v>9778759.9</x:v>
      </x:c>
      <x:c r="D2553" s="166" t="str">
        <x:v>WNT Gestora de Recursos Ltda.</x:v>
      </x:c>
      <x:c r="E2553" s="166" t="str">
        <x:f>IFERROR(INDEX('Classif Gestoras'!$H$6:$H$462,MATCH(D2553,'Classif Gestoras'!$A$6:$A$462,0)),"Não classificada")</x:f>
        <x:v>Independente</x:v>
      </x:c>
      <x:c r="F2553" s="166" t="str">
        <x:v>WNT DTVM</x:v>
      </x:c>
      <x:c r="G2553" s="166" t="str">
        <x:v>Não identificado</x:v>
      </x:c>
      <x:c r="H2553" s="166" t="str">
        <x:v>Fomento Mercantil</x:v>
      </x:c>
      <x:c r="I2553" s="166" t="str">
        <x:v>Fomento Mercantil</x:v>
      </x:c>
      <x:c r="J2553" s="166" t="str">
        <x:v>CI</x:v>
      </x:c>
      <x:c r="K2553" s="172"/>
      <x:c r="L2553" s="185" t="str">
        <x:v>Não classificado</x:v>
      </x:c>
    </x:row>
    <x:row r="2554">
      <x:c r="A2554" s="175" t="str">
        <x:v>58.493.475/0001-47</x:v>
      </x:c>
      <x:c r="B2554" s="166" t="str">
        <x:v>PÉRGAMO FUNDO DE INVESTIMENTO EM DIREITOS CREDITÓRIOS</x:v>
      </x:c>
      <x:c r="C2554" s="188" t="n">
        <x:v>9740645.18</x:v>
      </x:c>
      <x:c r="D2554" s="166" t="str">
        <x:v>WNT Gestora de Recursos Ltda.</x:v>
      </x:c>
      <x:c r="E2554" s="166" t="str">
        <x:f>IFERROR(INDEX('Classif Gestoras'!$H$6:$H$462,MATCH(D2554,'Classif Gestoras'!$A$6:$A$462,0)),"Não classificada")</x:f>
        <x:v>Independente</x:v>
      </x:c>
      <x:c r="F2554" s="166" t="str">
        <x:v>WNT DTVM</x:v>
      </x:c>
      <x:c r="G2554" s="166" t="str">
        <x:v>WNT CAPITAL DISTRIBUIDORA DE TITULOS E VALORES MOBILIARIOS S.A.</x:v>
      </x:c>
      <x:c r="H2554" s="166" t="str">
        <x:v>Outros</x:v>
      </x:c>
      <x:c r="I2554" s="166" t="str">
        <x:v>Multicarteira Outros</x:v>
      </x:c>
      <x:c r="J2554" s="166" t="str">
        <x:v>CI</x:v>
      </x:c>
      <x:c r="K2554" s="172" t="n">
        <x:v>2</x:v>
      </x:c>
      <x:c r="L2554" s="185" t="str">
        <x:v>Não classificado</x:v>
      </x:c>
    </x:row>
    <x:row r="2555">
      <x:c r="A2555" s="175" t="str">
        <x:v>26.689.692/0001-10</x:v>
      </x:c>
      <x:c r="B2555" s="166" t="str">
        <x:v>ALGARVE FUNDO DE INVESTIMENTO EM DIREITOS CREDITÓRIOS</x:v>
      </x:c>
      <x:c r="C2555" s="188" t="n">
        <x:v>9700659</x:v>
      </x:c>
      <x:c r="D2555" s="166" t="str">
        <x:v>TRUSTEE DTVM</x:v>
      </x:c>
      <x:c r="E2555" s="166" t="str">
        <x:f>IFERROR(INDEX('Classif Gestoras'!$H$6:$H$462,MATCH(D2555,'Classif Gestoras'!$A$6:$A$462,0)),"Não classificada")</x:f>
        <x:v>Independente</x:v>
      </x:c>
      <x:c r="F2555" s="166" t="str">
        <x:v>TRUSTEE DTVM</x:v>
      </x:c>
      <x:c r="G2555" s="166" t="str">
        <x:v>TRUSTEE DISTRIBUIDORA DE TITULOS E VALORES MOBILIARIOS LTDA.</x:v>
      </x:c>
      <x:c r="H2555" s="166" t="str">
        <x:v>Outros</x:v>
      </x:c>
      <x:c r="I2555" s="166" t="str">
        <x:v>Multicarteira Outros</x:v>
      </x:c>
      <x:c r="J2555" s="166" t="str">
        <x:v>CI</x:v>
      </x:c>
      <x:c r="K2555" s="172" t="n">
        <x:v>2</x:v>
      </x:c>
      <x:c r="L2555" s="185" t="str">
        <x:v>Não classificado</x:v>
      </x:c>
    </x:row>
    <x:row r="2556">
      <x:c r="A2556" s="175" t="str">
        <x:v>34.553.995/0001-30</x:v>
      </x:c>
      <x:c r="B2556" s="166" t="str">
        <x:v>YIELD HUNTER - FUNDO DE INVESTIMENTO EM DIREITOS CREDITÓRIOS RESPONSABILIDADE LIMITADA</x:v>
      </x:c>
      <x:c r="C2556" s="188" t="n">
        <x:v>9685209.98</x:v>
      </x:c>
      <x:c r="D2556" s="166" t="str">
        <x:v>Strivo Gestora de Recursos S/A</x:v>
      </x:c>
      <x:c r="E2556" s="166" t="str">
        <x:f>IFERROR(INDEX('Classif Gestoras'!$H$6:$H$462,MATCH(D2556,'Classif Gestoras'!$A$6:$A$462,0)),"Não classificada")</x:f>
        <x:v>Independente</x:v>
      </x:c>
      <x:c r="F2556" s="166" t="str">
        <x:v>ID Corretora de Títulos e Valores Mobiliários S.A.</x:v>
      </x:c>
      <x:c r="G2556" s="166" t="str">
        <x:v>ID CORRETORA DE TITULOS E VALORES MOBILIARIOS S.A.</x:v>
      </x:c>
      <x:c r="H2556" s="166" t="str">
        <x:v>Outros</x:v>
      </x:c>
      <x:c r="I2556" s="166" t="str">
        <x:v>Multicarteira Outros</x:v>
      </x:c>
      <x:c r="J2556" s="166" t="str">
        <x:v>CI</x:v>
      </x:c>
      <x:c r="K2556" s="172" t="n">
        <x:v>1</x:v>
      </x:c>
      <x:c r="L2556" s="185" t="str">
        <x:v>Não classificado</x:v>
      </x:c>
    </x:row>
    <x:row r="2557">
      <x:c r="A2557" s="175" t="str">
        <x:v>52.315.385/0001-80</x:v>
      </x:c>
      <x:c r="B2557" s="166" t="str">
        <x:v>BACKSTAGE FUNDO DE INVESTIMENTO EM DIREITOS CREDITÓRIOS RESPONSABILIDADE LIMITADA</x:v>
      </x:c>
      <x:c r="C2557" s="188" t="n">
        <x:v>9678441.73</x:v>
      </x:c>
      <x:c r="D2557" s="166" t="str">
        <x:v>BTG Pactual Asset</x:v>
      </x:c>
      <x:c r="E2557" s="166" t="str">
        <x:f>IFERROR(INDEX('Classif Gestoras'!$H$6:$H$462,MATCH(D2557,'Classif Gestoras'!$A$6:$A$462,0)),"Não classificada")</x:f>
        <x:v>Ligada a banco</x:v>
      </x:c>
      <x:c r="F2557" s="166" t="str">
        <x:v>BTG Pactual Servicos Financeiros S/A DTVM</x:v>
      </x:c>
      <x:c r="G2557" s="166" t="str">
        <x:v>BANCO BTG PACTUAL S/A</x:v>
      </x:c>
      <x:c r="H2557" s="166" t="str">
        <x:v>Outros</x:v>
      </x:c>
      <x:c r="I2557" s="166" t="str">
        <x:v>Multicarteira Outros</x:v>
      </x:c>
      <x:c r="J2557" s="166" t="str">
        <x:v>CI</x:v>
      </x:c>
      <x:c r="K2557" s="172" t="n">
        <x:v>3</x:v>
      </x:c>
      <x:c r="L2557" s="185" t="str">
        <x:v>Não classificado</x:v>
      </x:c>
    </x:row>
    <x:row r="2558">
      <x:c r="A2558" s="175" t="str">
        <x:v>51.290.276/0001-92</x:v>
      </x:c>
      <x:c r="B2558" s="166" t="str">
        <x:v>BELAT BRASIL FUNDO DE INVESTIMENTO EM DIREITOS CREDITÓRIOS</x:v>
      </x:c>
      <x:c r="C2558" s="188" t="n">
        <x:v>9649374.84</x:v>
      </x:c>
      <x:c r="D2558" s="166" t="str">
        <x:v>FigTree Capital</x:v>
      </x:c>
      <x:c r="E2558" s="166" t="str">
        <x:f>IFERROR(INDEX('Classif Gestoras'!$H$6:$H$462,MATCH(D2558,'Classif Gestoras'!$A$6:$A$462,0)),"Não classificada")</x:f>
        <x:v>Independente</x:v>
      </x:c>
      <x:c r="F2558" s="166" t="str">
        <x:v>BRL TRUST DTVM</x:v>
      </x:c>
      <x:c r="G2558" s="166" t="str">
        <x:v>BRL TRUST DISTRIBUIDORA DE TITULOS E VALORES MOBILIARIOS S.A.</x:v>
      </x:c>
      <x:c r="H2558" s="166" t="str">
        <x:v>Outros</x:v>
      </x:c>
      <x:c r="I2558" s="166" t="str">
        <x:v>Multicarteira Outros</x:v>
      </x:c>
      <x:c r="J2558" s="166" t="str">
        <x:v>CI</x:v>
      </x:c>
      <x:c r="K2558" s="172" t="n">
        <x:v>15</x:v>
      </x:c>
      <x:c r="L2558" s="185" t="str">
        <x:v>Não classificado</x:v>
      </x:c>
    </x:row>
    <x:row r="2559">
      <x:c r="A2559" s="175" t="str">
        <x:v>48.982.247/0001-87</x:v>
      </x:c>
      <x:c r="B2559" s="166" t="str">
        <x:v>ALUGUEL INVEST FUNDO DE INVESTIMENTO EM DIREITOS CREDITÓRIOS - RESPONSABILIDADE LIMITADA</x:v>
      </x:c>
      <x:c r="C2559" s="188" t="n">
        <x:v>9638144.44</x:v>
      </x:c>
      <x:c r="D2559" s="166" t="str">
        <x:v>Moka Gestora de Recursos de Terceiros LTDA.</x:v>
      </x:c>
      <x:c r="E2559" s="166" t="str">
        <x:f>IFERROR(INDEX('Classif Gestoras'!$H$6:$H$462,MATCH(D2559,'Classif Gestoras'!$A$6:$A$462,0)),"Não classificada")</x:f>
        <x:v>Independente</x:v>
      </x:c>
      <x:c r="F2559" s="166" t="str">
        <x:v>Singulare</x:v>
      </x:c>
      <x:c r="G2559" s="166" t="str">
        <x:v>QI CORRETORA DE TÍTULOS E VALORES MOBILIÁRIOS S.A.</x:v>
      </x:c>
      <x:c r="H2559" s="166" t="str">
        <x:v>Fomento Mercantil</x:v>
      </x:c>
      <x:c r="I2559" s="166" t="str">
        <x:v>Fomento Mercantil</x:v>
      </x:c>
      <x:c r="J2559" s="166" t="str">
        <x:v>CI</x:v>
      </x:c>
      <x:c r="K2559" s="172" t="n">
        <x:v>1</x:v>
      </x:c>
      <x:c r="L2559" s="185" t="str">
        <x:v>Não classificado</x:v>
      </x:c>
    </x:row>
    <x:row r="2560">
      <x:c r="A2560" s="175" t="str">
        <x:v>57.074.057/0001-52</x:v>
      </x:c>
      <x:c r="B2560" s="166" t="str">
        <x:v>CNPJ 57074057000152</x:v>
      </x:c>
      <x:c r="C2560" s="188" t="n">
        <x:v>9623181.42</x:v>
      </x:c>
      <x:c r="D2560" s="166" t="str">
        <x:v>Galápagos</x:v>
      </x:c>
      <x:c r="E2560" s="166" t="str">
        <x:f>IFERROR(INDEX('Classif Gestoras'!$H$6:$H$462,MATCH(D2560,'Classif Gestoras'!$A$6:$A$462,0)),"Não classificada")</x:f>
        <x:v>Independente</x:v>
      </x:c>
      <x:c r="F2560" s="166" t="str">
        <x:v>VÓRTX DTVM</x:v>
      </x:c>
      <x:c r="G2560" s="166" t="str">
        <x:v>Não identificado</x:v>
      </x:c>
      <x:c r="H2560" s="166" t="str">
        <x:v>Agro, Indústria e Comércio</x:v>
      </x:c>
      <x:c r="I2560" s="166" t="str">
        <x:v>Agronegócio</x:v>
      </x:c>
      <x:c r="J2560" s="166" t="str">
        <x:v>CI</x:v>
      </x:c>
      <x:c r="K2560" s="172"/>
      <x:c r="L2560" s="185" t="str">
        <x:v>Não classificado</x:v>
      </x:c>
    </x:row>
    <x:row r="2561">
      <x:c r="A2561" s="175" t="str">
        <x:v>61.622.111/0001-24</x:v>
      </x:c>
      <x:c r="B2561" s="166" t="str">
        <x:v>WIND CUPERTINO FUNDO DE INVESTIMENTO EM DIREITOS CREDITÓRIOS - RESPONSABILIDADE LIMITADA</x:v>
      </x:c>
      <x:c r="C2561" s="188" t="n">
        <x:v>9621999.3</x:v>
      </x:c>
      <x:c r="D2561" s="166" t="str">
        <x:v>Cupertino Capital</x:v>
      </x:c>
      <x:c r="E2561" s="166" t="str">
        <x:f>IFERROR(INDEX('Classif Gestoras'!$H$6:$H$462,MATCH(D2561,'Classif Gestoras'!$A$6:$A$462,0)),"Não classificada")</x:f>
        <x:v>Independente</x:v>
      </x:c>
      <x:c r="F2561" s="166" t="str">
        <x:v>HEMERA DTVM</x:v>
      </x:c>
      <x:c r="G2561" s="166" t="str">
        <x:v>HEMERA DISTRIBUIDORA DE TITULOS E VALORES MOBILIARIOS LTDA</x:v>
      </x:c>
      <x:c r="H2561" s="166" t="str">
        <x:v>Fomento Mercantil</x:v>
      </x:c>
      <x:c r="I2561" s="166" t="str">
        <x:v>Fomento Mercantil</x:v>
      </x:c>
      <x:c r="J2561" s="166" t="str">
        <x:v>CI</x:v>
      </x:c>
      <x:c r="K2561" s="172" t="n">
        <x:v>9</x:v>
      </x:c>
      <x:c r="L2561" s="185" t="str">
        <x:v>Não classificado</x:v>
      </x:c>
    </x:row>
    <x:row r="2562">
      <x:c r="A2562" s="175" t="str">
        <x:v>58.821.092/0001-50</x:v>
      </x:c>
      <x:c r="B2562" s="166" t="str">
        <x:v>HOUSI FIDC DE CLASSE ÚNICA FECHADA DE RESPOSABILIDADE LIMITADA</x:v>
      </x:c>
      <x:c r="C2562" s="188" t="n">
        <x:v>9585146.89</x:v>
      </x:c>
      <x:c r="D2562" s="166" t="str">
        <x:v>CARMEL GESTORA DE ATIVOS LTDA</x:v>
      </x:c>
      <x:c r="E2562" s="166" t="str">
        <x:f>IFERROR(INDEX('Classif Gestoras'!$H$6:$H$462,MATCH(D2562,'Classif Gestoras'!$A$6:$A$462,0)),"Não classificada")</x:f>
        <x:v>Independente</x:v>
      </x:c>
      <x:c r="F2562" s="166" t="str">
        <x:v>BRL TRUST DTVM</x:v>
      </x:c>
      <x:c r="G2562" s="166" t="str">
        <x:v>BRL TRUST DISTRIBUIDORA DE TITULOS E VALORES MOBILIARIOS S.A.</x:v>
      </x:c>
      <x:c r="H2562" s="166" t="str">
        <x:v>Financeiro</x:v>
      </x:c>
      <x:c r="I2562" s="166" t="str">
        <x:v>Crédito Imobiliário</x:v>
      </x:c>
      <x:c r="J2562" s="166" t="str">
        <x:v>CI</x:v>
      </x:c>
      <x:c r="K2562" s="172" t="n">
        <x:v>2</x:v>
      </x:c>
      <x:c r="L2562" s="185" t="str">
        <x:v>Não classificado</x:v>
      </x:c>
    </x:row>
    <x:row r="2563">
      <x:c r="A2563" s="175" t="str">
        <x:v>28.536.554/0001-27</x:v>
      </x:c>
      <x:c r="B2563" s="166" t="str">
        <x:v>GÁTRIA II - FUNDO DE INVESTIMENTO EM DIREITOS CREDITÓRIOS - RESPONSABILIDADE LIMITADA</x:v>
      </x:c>
      <x:c r="C2563" s="188" t="n">
        <x:v>9574734.01</x:v>
      </x:c>
      <x:c r="D2563" s="166" t="str">
        <x:v>Mauá Capital Real Estate LTDA.</x:v>
      </x:c>
      <x:c r="E2563" s="166" t="str">
        <x:f>IFERROR(INDEX('Classif Gestoras'!$H$6:$H$462,MATCH(D2563,'Classif Gestoras'!$A$6:$A$462,0)),"Não classificada")</x:f>
        <x:v>Independente</x:v>
      </x:c>
      <x:c r="F2563" s="166" t="str">
        <x:v>Oliveira Trust DTVM</x:v>
      </x:c>
      <x:c r="G2563" s="166" t="str">
        <x:v>OLIVEIRA TRUST DTVM S.A.</x:v>
      </x:c>
      <x:c r="H2563" s="166" t="str">
        <x:v>Financeiro</x:v>
      </x:c>
      <x:c r="I2563" s="166" t="str">
        <x:v>Crédito Imobiliário</x:v>
      </x:c>
      <x:c r="J2563" s="166" t="str">
        <x:v>CI</x:v>
      </x:c>
      <x:c r="K2563" s="172" t="n">
        <x:v>1</x:v>
      </x:c>
      <x:c r="L2563" s="185" t="str">
        <x:v>Não classificado</x:v>
      </x:c>
    </x:row>
    <x:row r="2564">
      <x:c r="A2564" s="175" t="str">
        <x:v>26.861.630/0001-44</x:v>
      </x:c>
      <x:c r="B2564" s="166" t="str">
        <x:v>WELLINGTON FUNDO DE INVESTIMENTO EM DIREITOS CREDITÓRIOS - RESPONSABILIDADE LIMITADA</x:v>
      </x:c>
      <x:c r="C2564" s="188" t="n">
        <x:v>9509697.81</x:v>
      </x:c>
      <x:c r="D2564" s="166" t="str">
        <x:v>Vinci Soluções de Investimentos</x:v>
      </x:c>
      <x:c r="E2564" s="166" t="str">
        <x:f>IFERROR(INDEX('Classif Gestoras'!$H$6:$H$462,MATCH(D2564,'Classif Gestoras'!$A$6:$A$462,0)),"Não classificada")</x:f>
        <x:v>Independente</x:v>
      </x:c>
      <x:c r="F2564" s="166" t="str">
        <x:v>BRL TRUST DTVM</x:v>
      </x:c>
      <x:c r="G2564" s="166" t="str">
        <x:v>BRL TRUST DISTRIBUIDORA DE TITULOS E VALORES MOBILIARIOS S.A.</x:v>
      </x:c>
      <x:c r="H2564" s="166" t="str">
        <x:v>Outros</x:v>
      </x:c>
      <x:c r="I2564" s="166" t="str">
        <x:v>Recuperação</x:v>
      </x:c>
      <x:c r="J2564" s="166" t="str">
        <x:v>CI</x:v>
      </x:c>
      <x:c r="K2564" s="172" t="n">
        <x:v>1</x:v>
      </x:c>
      <x:c r="L2564" s="185" t="str">
        <x:v>Não classificado</x:v>
      </x:c>
    </x:row>
    <x:row r="2565">
      <x:c r="A2565" s="175" t="str">
        <x:v>28.849.641/0001-34</x:v>
      </x:c>
      <x:c r="B2565" s="166" t="str">
        <x:v>SQUID FUNDO DE INVESTIMENTO EM DIRETOS CREDITÓRIOS</x:v>
      </x:c>
      <x:c r="C2565" s="188" t="n">
        <x:v>9481923.37</x:v>
      </x:c>
      <x:c r="D2565" s="166" t="str">
        <x:v>Bless Capital Gestora de Recursos Ltda.</x:v>
      </x:c>
      <x:c r="E2565" s="166" t="str">
        <x:f>IFERROR(INDEX('Classif Gestoras'!$H$6:$H$462,MATCH(D2565,'Classif Gestoras'!$A$6:$A$462,0)),"Não classificada")</x:f>
        <x:v>Independente</x:v>
      </x:c>
      <x:c r="F2565" s="166" t="str">
        <x:v>ID Corretora de Títulos e Valores Mobiliários S.A.</x:v>
      </x:c>
      <x:c r="G2565" s="166" t="str">
        <x:v>ID CORRETORA DE TITULOS E VALORES MOBILIARIOS S.A.</x:v>
      </x:c>
      <x:c r="H2565" s="166" t="str">
        <x:v>Outros</x:v>
      </x:c>
      <x:c r="I2565" s="166" t="str">
        <x:v>Multicarteira Outros</x:v>
      </x:c>
      <x:c r="J2565" s="166" t="str">
        <x:v>CI</x:v>
      </x:c>
      <x:c r="K2565" s="172" t="n">
        <x:v>15</x:v>
      </x:c>
      <x:c r="L2565" s="185" t="str">
        <x:v>Não classificado</x:v>
      </x:c>
    </x:row>
    <x:row r="2566">
      <x:c r="A2566" s="175" t="str">
        <x:v>51.730.136/0001-98</x:v>
      </x:c>
      <x:c r="B2566" s="166" t="str">
        <x:v>INOVA CREDTECH IV FUNDO DE INVESTIMENTO EM DIREITOS CREDITÓRIOS NÃO-PADRONIZADOS</x:v>
      </x:c>
      <x:c r="C2566" s="188" t="n">
        <x:v>9440826.59</x:v>
      </x:c>
      <x:c r="D2566" s="166" t="str">
        <x:v>BERTHA CAPITAL</x:v>
      </x:c>
      <x:c r="E2566" s="166" t="str">
        <x:f>IFERROR(INDEX('Classif Gestoras'!$H$6:$H$462,MATCH(D2566,'Classif Gestoras'!$A$6:$A$462,0)),"Não classificada")</x:f>
        <x:v>Independente</x:v>
      </x:c>
      <x:c r="F2566" s="166" t="str">
        <x:v>AZUMI DISTRIBUIDORA DE TÍTULOS E VALORES MOBILIÁRIOS LT</x:v>
      </x:c>
      <x:c r="G2566" s="166" t="str">
        <x:v>AZUMI DISTRIBUIDORA DE TÍTULOS E VALORES MOBILIÁRIOS LTDA.</x:v>
      </x:c>
      <x:c r="H2566" s="166" t="str">
        <x:v>Outros</x:v>
      </x:c>
      <x:c r="I2566" s="166" t="str">
        <x:v>Multicarteira Outros</x:v>
      </x:c>
      <x:c r="J2566" s="166" t="str">
        <x:v>CI</x:v>
      </x:c>
      <x:c r="K2566" s="172" t="n">
        <x:v>1</x:v>
      </x:c>
      <x:c r="L2566" s="185" t="str">
        <x:v>Não classificado</x:v>
      </x:c>
    </x:row>
    <x:row r="2567">
      <x:c r="A2567" s="175" t="str">
        <x:v>36.517.586/0001-03</x:v>
      </x:c>
      <x:c r="B2567" s="166" t="str">
        <x:v>NEXUM FUNDO DE INVESTIMENTO EM DIREITOS CREDITÓRIOS</x:v>
      </x:c>
      <x:c r="C2567" s="188" t="n">
        <x:v>9432846.68</x:v>
      </x:c>
      <x:c r="D2567" s="166" t="str">
        <x:v>Quadrante Investimentos Ltda</x:v>
      </x:c>
      <x:c r="E2567" s="166" t="str">
        <x:f>IFERROR(INDEX('Classif Gestoras'!$H$6:$H$462,MATCH(D2567,'Classif Gestoras'!$A$6:$A$462,0)),"Não classificada")</x:f>
        <x:v>Independente</x:v>
      </x:c>
      <x:c r="F2567" s="166" t="str">
        <x:v>Finvest Digital</x:v>
      </x:c>
      <x:c r="G2567" s="166" t="str">
        <x:v>FINVEST DISTRIBUIDORA DE TÍTULOS E VALORES MOBILIÁRIOS LTDA.</x:v>
      </x:c>
      <x:c r="H2567" s="166" t="str">
        <x:v>Outros</x:v>
      </x:c>
      <x:c r="I2567" s="166" t="str">
        <x:v>Multicarteira Outros</x:v>
      </x:c>
      <x:c r="J2567" s="166" t="str">
        <x:v>CI</x:v>
      </x:c>
      <x:c r="K2567" s="172" t="n">
        <x:v>5</x:v>
      </x:c>
      <x:c r="L2567" s="185" t="str">
        <x:v>Não classificado</x:v>
      </x:c>
    </x:row>
    <x:row r="2568">
      <x:c r="A2568" s="175" t="str">
        <x:v>53.337.522/0001-40</x:v>
      </x:c>
      <x:c r="B2568" s="166" t="str">
        <x:v>CM FEDERAL II FUNDO DE INVESTIMENTO EM DIREITOS CREDITÓRIOS - RESPONSABILIDADE LIMITADA</x:v>
      </x:c>
      <x:c r="C2568" s="188" t="n">
        <x:v>9428277.76</x:v>
      </x:c>
      <x:c r="D2568" s="166" t="str">
        <x:v>BURITI INVESTIMENTOS</x:v>
      </x:c>
      <x:c r="E2568" s="166" t="str">
        <x:f>IFERROR(INDEX('Classif Gestoras'!$H$6:$H$462,MATCH(D2568,'Classif Gestoras'!$A$6:$A$462,0)),"Não classificada")</x:f>
        <x:v>Independente</x:v>
      </x:c>
      <x:c r="F2568" s="166" t="str">
        <x:v>Singulare</x:v>
      </x:c>
      <x:c r="G2568" s="166" t="str">
        <x:v>QI CORRETORA DE TÍTULOS E VALORES MOBILIÁRIOS S.A.</x:v>
      </x:c>
      <x:c r="H2568" s="166" t="str">
        <x:v>Outros</x:v>
      </x:c>
      <x:c r="I2568" s="166" t="str">
        <x:v>Multicarteira Outros</x:v>
      </x:c>
      <x:c r="J2568" s="166" t="str">
        <x:v>CI</x:v>
      </x:c>
      <x:c r="K2568" s="172" t="n">
        <x:v>5</x:v>
      </x:c>
      <x:c r="L2568" s="185" t="str">
        <x:v>Não classificado</x:v>
      </x:c>
    </x:row>
    <x:row r="2569">
      <x:c r="A2569" s="175" t="str">
        <x:v>47.151.680/0001-08</x:v>
      </x:c>
      <x:c r="B2569" s="166" t="str">
        <x:v>FARM TECH IBBA I FUNDO DE INVESTIMENTO EM DIREITOS CREDITÓRIOS RESPONSABILIDADE LIMITADA</x:v>
      </x:c>
      <x:c r="C2569" s="188" t="n">
        <x:v>9413409.31</x:v>
      </x:c>
      <x:c r="D2569" s="166" t="str">
        <x:v>Farmtech Gestão de Recursos Ltda.</x:v>
      </x:c>
      <x:c r="E2569" s="166" t="str">
        <x:f>IFERROR(INDEX('Classif Gestoras'!$H$6:$H$462,MATCH(D2569,'Classif Gestoras'!$A$6:$A$462,0)),"Não classificada")</x:f>
        <x:v>Independente</x:v>
      </x:c>
      <x:c r="F2569" s="166" t="str">
        <x:v>Oliveira Trust DTVM</x:v>
      </x:c>
      <x:c r="G2569" s="166" t="str">
        <x:v>OLIVEIRA TRUST DTVM S.A.</x:v>
      </x:c>
      <x:c r="H2569" s="166" t="str">
        <x:v>Agro, Indústria e Comércio</x:v>
      </x:c>
      <x:c r="I2569" s="166" t="str">
        <x:v>Recebíveis Comerciais</x:v>
      </x:c>
      <x:c r="J2569" s="166" t="str">
        <x:v>CI</x:v>
      </x:c>
      <x:c r="K2569" s="172" t="n">
        <x:v>3</x:v>
      </x:c>
      <x:c r="L2569" s="185" t="str">
        <x:v>Não classificado</x:v>
      </x:c>
    </x:row>
    <x:row r="2570">
      <x:c r="A2570" s="175" t="str">
        <x:v>42.299.351/0001-95</x:v>
      </x:c>
      <x:c r="B2570" s="166" t="str">
        <x:v>FIGTREE EDUCACIONAL FUNDO DE INVESTIMENTO EM DIREITOS CREDITÓRIOS - RESPONSABILIDADE LIMITADA</x:v>
      </x:c>
      <x:c r="C2570" s="188" t="n">
        <x:v>9382300.4</x:v>
      </x:c>
      <x:c r="D2570" s="166" t="str">
        <x:v>FigTree Capital</x:v>
      </x:c>
      <x:c r="E2570" s="166" t="str">
        <x:f>IFERROR(INDEX('Classif Gestoras'!$H$6:$H$462,MATCH(D2570,'Classif Gestoras'!$A$6:$A$462,0)),"Não classificada")</x:f>
        <x:v>Independente</x:v>
      </x:c>
      <x:c r="F2570" s="166" t="str">
        <x:v>BRL TRUST DTVM</x:v>
      </x:c>
      <x:c r="G2570" s="166" t="str">
        <x:v>BRL TRUST DISTRIBUIDORA DE TITULOS E VALORES MOBILIARIOS S.A.</x:v>
      </x:c>
      <x:c r="H2570" s="166" t="str">
        <x:v>Outros</x:v>
      </x:c>
      <x:c r="I2570" s="166" t="str">
        <x:v>Multicarteira Outros</x:v>
      </x:c>
      <x:c r="J2570" s="166" t="str">
        <x:v>CI</x:v>
      </x:c>
      <x:c r="K2570" s="172" t="n">
        <x:v>7</x:v>
      </x:c>
      <x:c r="L2570" s="185" t="str">
        <x:v>Não classificado</x:v>
      </x:c>
    </x:row>
    <x:row r="2571">
      <x:c r="A2571" s="175" t="str">
        <x:v>63.114.707/0001-49</x:v>
      </x:c>
      <x:c r="B2571" s="166" t="str">
        <x:v>G5 STAR II FUNDO DE INVESTIMENTO EM DIREITOS CREDITÓRIOS - NÃO PADRONIZADOS</x:v>
      </x:c>
      <x:c r="C2571" s="188" t="n">
        <x:v>9349240.6</x:v>
      </x:c>
      <x:c r="D2571" s="166" t="str">
        <x:v>G5 Adm. de Recursos</x:v>
      </x:c>
      <x:c r="E2571" s="166" t="str">
        <x:f>IFERROR(INDEX('Classif Gestoras'!$H$6:$H$462,MATCH(D2571,'Classif Gestoras'!$A$6:$A$462,0)),"Não classificada")</x:f>
        <x:v>Independente</x:v>
      </x:c>
      <x:c r="F2571" s="166" t="str">
        <x:v>Singulare</x:v>
      </x:c>
      <x:c r="G2571" s="166" t="str">
        <x:v>QI CORRETORA DE TÍTULOS E VALORES MOBILIÁRIOS S.A.</x:v>
      </x:c>
      <x:c r="H2571" s="166" t="str">
        <x:v>Fomento Mercantil</x:v>
      </x:c>
      <x:c r="I2571" s="166" t="str">
        <x:v>Fomento Mercantil</x:v>
      </x:c>
      <x:c r="J2571" s="166" t="str">
        <x:v>CI</x:v>
      </x:c>
      <x:c r="K2571" s="172" t="n">
        <x:v>1</x:v>
      </x:c>
      <x:c r="L2571" s="185" t="str">
        <x:v>Não classificado</x:v>
      </x:c>
    </x:row>
    <x:row r="2572">
      <x:c r="A2572" s="175" t="str">
        <x:v>35.265.104/0001-02</x:v>
      </x:c>
      <x:c r="B2572" s="166" t="str">
        <x:v>CNPJ 35265104000102</x:v>
      </x:c>
      <x:c r="C2572" s="188" t="n">
        <x:v>9342450.659999998</x:v>
      </x:c>
      <x:c r="D2572" s="166" t="str">
        <x:v>Libertas Asset</x:v>
      </x:c>
      <x:c r="E2572" s="166" t="str">
        <x:f>IFERROR(INDEX('Classif Gestoras'!$H$6:$H$462,MATCH(D2572,'Classif Gestoras'!$A$6:$A$462,0)),"Não classificada")</x:f>
        <x:v>Independente</x:v>
      </x:c>
      <x:c r="F2572" s="166" t="str">
        <x:v>ACTUAL DTVM</x:v>
      </x:c>
      <x:c r="G2572" s="166" t="str">
        <x:v>Não identificado</x:v>
      </x:c>
      <x:c r="H2572" s="166" t="str">
        <x:v>Fomento Mercantil</x:v>
      </x:c>
      <x:c r="I2572" s="166" t="str">
        <x:v>Fomento Mercantil</x:v>
      </x:c>
      <x:c r="J2572" s="166" t="str">
        <x:v>CI</x:v>
      </x:c>
      <x:c r="K2572" s="172"/>
      <x:c r="L2572" s="185" t="str">
        <x:v>Não classificado</x:v>
      </x:c>
    </x:row>
    <x:row r="2573">
      <x:c r="A2573" s="175" t="str">
        <x:v>60.309.214/0001-76</x:v>
      </x:c>
      <x:c r="B2573" s="166" t="str">
        <x:v>EXPOBAND FUNDO DE INVESTIMENTO EM DIREITOS CREDITORIOS RESPONSABILIDADE LIMITADA</x:v>
      </x:c>
      <x:c r="C2573" s="188" t="n">
        <x:v>9300376.34</x:v>
      </x:c>
      <x:c r="D2573" s="166" t="str">
        <x:v>Renova Gestora</x:v>
      </x:c>
      <x:c r="E2573" s="166" t="str">
        <x:f>IFERROR(INDEX('Classif Gestoras'!$H$6:$H$462,MATCH(D2573,'Classif Gestoras'!$A$6:$A$462,0)),"Não classificada")</x:f>
        <x:v>Independente</x:v>
      </x:c>
      <x:c r="F2573" s="166" t="str">
        <x:v>MONETAR DISTRIBUIDORA DE TITUL</x:v>
      </x:c>
      <x:c r="G2573" s="166" t="str">
        <x:v>TERRA INVESTIMENTOS DISTRIBUIDORA DE TITULOS E VALORES MOBILIARIOS LTDA</x:v>
      </x:c>
      <x:c r="H2573" s="166" t="str">
        <x:v>Outros</x:v>
      </x:c>
      <x:c r="I2573" s="166" t="str">
        <x:v>Multicarteira Outros</x:v>
      </x:c>
      <x:c r="J2573" s="166" t="str">
        <x:v>CI</x:v>
      </x:c>
      <x:c r="K2573" s="172" t="n">
        <x:v>4</x:v>
      </x:c>
      <x:c r="L2573" s="185" t="str">
        <x:v>Não classificado</x:v>
      </x:c>
    </x:row>
    <x:row r="2574">
      <x:c r="A2574" s="175" t="str">
        <x:v>48.327.323/0001-10</x:v>
      </x:c>
      <x:c r="B2574" s="166" t="str">
        <x:v>CASACRED FUNDO DE INVESTIMENTO EM DIREITOS CREDITÓRIOS</x:v>
      </x:c>
      <x:c r="C2574" s="188" t="n">
        <x:v>9268386.7</x:v>
      </x:c>
      <x:c r="D2574" s="166" t="str">
        <x:v>TERCON ASSET MANAGEMENT</x:v>
      </x:c>
      <x:c r="E2574" s="166" t="str">
        <x:f>IFERROR(INDEX('Classif Gestoras'!$H$6:$H$462,MATCH(D2574,'Classif Gestoras'!$A$6:$A$462,0)),"Não classificada")</x:f>
        <x:v>Independente</x:v>
      </x:c>
      <x:c r="F2574" s="166" t="str">
        <x:v>Singulare</x:v>
      </x:c>
      <x:c r="G2574" s="166" t="str">
        <x:v>QI CORRETORA DE TÍTULOS E VALORES MOBILIÁRIOS S.A.</x:v>
      </x:c>
      <x:c r="H2574" s="166" t="str">
        <x:v>Fomento Mercantil</x:v>
      </x:c>
      <x:c r="I2574" s="166" t="str">
        <x:v>Fomento Mercantil</x:v>
      </x:c>
      <x:c r="J2574" s="166" t="str">
        <x:v>CI</x:v>
      </x:c>
      <x:c r="K2574" s="172" t="n">
        <x:v>2</x:v>
      </x:c>
      <x:c r="L2574" s="185" t="str">
        <x:v>Não classificado</x:v>
      </x:c>
    </x:row>
    <x:row r="2575">
      <x:c r="A2575" s="175" t="str">
        <x:v>61.328.619/0001-14</x:v>
      </x:c>
      <x:c r="B2575" s="166" t="str">
        <x:v>FORTUNA BANK - FUNDO DE INVESTIMENTO EM DIREITOS CREDITÓRIOS NÃO-PADRONIZADOS</x:v>
      </x:c>
      <x:c r="C2575" s="188" t="n">
        <x:v>9260502.63</x:v>
      </x:c>
      <x:c r="D2575" s="166" t="str">
        <x:v>AZUMI ASSET</x:v>
      </x:c>
      <x:c r="E2575" s="166" t="str">
        <x:f>IFERROR(INDEX('Classif Gestoras'!$H$6:$H$462,MATCH(D2575,'Classif Gestoras'!$A$6:$A$462,0)),"Não classificada")</x:f>
        <x:v>Independente</x:v>
      </x:c>
      <x:c r="F2575" s="166" t="str">
        <x:v>AZUMI DISTRIBUIDORA DE TÍTULOS E VALORES MOBILIÁRIOS LT</x:v>
      </x:c>
      <x:c r="G2575" s="166" t="str">
        <x:v>AZUMI DISTRIBUIDORA DE TÍTULOS E VALORES MOBILIÁRIOS LTDA.</x:v>
      </x:c>
      <x:c r="H2575" s="166" t="str">
        <x:v>Fomento Mercantil</x:v>
      </x:c>
      <x:c r="I2575" s="166" t="str">
        <x:v>Fomento Mercantil</x:v>
      </x:c>
      <x:c r="J2575" s="166" t="str">
        <x:v>CI</x:v>
      </x:c>
      <x:c r="K2575" s="172" t="n">
        <x:v>5</x:v>
      </x:c>
      <x:c r="L2575" s="185" t="str">
        <x:v>Não classificado</x:v>
      </x:c>
    </x:row>
    <x:row r="2576">
      <x:c r="A2576" s="175" t="str">
        <x:v>42.196.361/0001-03</x:v>
      </x:c>
      <x:c r="B2576" s="166" t="str">
        <x:v>GRIFFIN INVESTMENTS FUNDO DE INVESTIMENTO EM DIREITOS CREDITÓRIOS NÃO PADRONIZADOS RESP LIMITADA</x:v>
      </x:c>
      <x:c r="C2576" s="188" t="n">
        <x:v>9221590.93</x:v>
      </x:c>
      <x:c r="D2576" s="166" t="str">
        <x:v>GESTORA DE RECURSOS ID - GRID LTDA.</x:v>
      </x:c>
      <x:c r="E2576" s="166" t="str">
        <x:f>IFERROR(INDEX('Classif Gestoras'!$H$6:$H$462,MATCH(D2576,'Classif Gestoras'!$A$6:$A$462,0)),"Não classificada")</x:f>
        <x:v>Independente</x:v>
      </x:c>
      <x:c r="F2576" s="166" t="str">
        <x:v>ID Corretora de Títulos e Valores Mobiliários S.A.</x:v>
      </x:c>
      <x:c r="G2576" s="166" t="str">
        <x:v>ID CORRETORA DE TITULOS E VALORES MOBILIARIOS S.A.</x:v>
      </x:c>
      <x:c r="H2576" s="166" t="str">
        <x:v>Outros</x:v>
      </x:c>
      <x:c r="I2576" s="166" t="str">
        <x:v>Multicarteira Outros</x:v>
      </x:c>
      <x:c r="J2576" s="166" t="str">
        <x:v>CI</x:v>
      </x:c>
      <x:c r="K2576" s="172" t="n">
        <x:v>1</x:v>
      </x:c>
      <x:c r="L2576" s="185" t="str">
        <x:v>Não classificado</x:v>
      </x:c>
    </x:row>
    <x:row r="2577">
      <x:c r="A2577" s="175" t="str">
        <x:v>40.211.684/0001-95</x:v>
      </x:c>
      <x:c r="B2577" s="166" t="str">
        <x:v>CREDINOV FUNDO DE INVESTIMENTO EM DIREITOS CREDITÓRIOS NÃO-PADRONIZADOS RESPONSABILIDADE LIMITADA</x:v>
      </x:c>
      <x:c r="C2577" s="188" t="n">
        <x:v>9193389.88</x:v>
      </x:c>
      <x:c r="D2577" s="166" t="str">
        <x:v>IDGR</x:v>
      </x:c>
      <x:c r="E2577" s="166" t="str">
        <x:f>IFERROR(INDEX('Classif Gestoras'!$H$6:$H$462,MATCH(D2577,'Classif Gestoras'!$A$6:$A$462,0)),"Não classificada")</x:f>
        <x:v>Independente</x:v>
      </x:c>
      <x:c r="F2577" s="166" t="str">
        <x:v>ID Corretora de Títulos e Valores Mobiliários S.A.</x:v>
      </x:c>
      <x:c r="G2577" s="166" t="str">
        <x:v>ID CORRETORA DE TITULOS E VALORES MOBILIARIOS S.A.</x:v>
      </x:c>
      <x:c r="H2577" s="166" t="str">
        <x:v>Outros</x:v>
      </x:c>
      <x:c r="I2577" s="166" t="str">
        <x:v>Multicarteira Outros</x:v>
      </x:c>
      <x:c r="J2577" s="166" t="str">
        <x:v>CI</x:v>
      </x:c>
      <x:c r="K2577" s="172" t="n">
        <x:v>3</x:v>
      </x:c>
      <x:c r="L2577" s="185" t="str">
        <x:v>Não classificado</x:v>
      </x:c>
    </x:row>
    <x:row r="2578">
      <x:c r="A2578" s="175" t="str">
        <x:v>40.101.938/0001-12</x:v>
      </x:c>
      <x:c r="B2578" s="166" t="str">
        <x:v>CENTRAL AGRO FUNDO DE INVESTIMENTO EM DIREITOS CREDITÓRIOS NÃO PADRONIZADO</x:v>
      </x:c>
      <x:c r="C2578" s="188" t="n">
        <x:v>9175472.44</x:v>
      </x:c>
      <x:c r="D2578" s="166" t="str">
        <x:v>GFS INVESTIMENTOS</x:v>
      </x:c>
      <x:c r="E2578" s="166" t="str">
        <x:f>IFERROR(INDEX('Classif Gestoras'!$H$6:$H$462,MATCH(D2578,'Classif Gestoras'!$A$6:$A$462,0)),"Não classificada")</x:f>
        <x:v>Independente</x:v>
      </x:c>
      <x:c r="F2578" s="166" t="str">
        <x:v>MONETAR DISTRIBUIDORA DE TITUL</x:v>
      </x:c>
      <x:c r="G2578" s="166" t="str">
        <x:v>TERRA INVESTIMENTOS DISTRIBUIDORA DE TITULOS E VALORES MOBILIARIOS LTDA</x:v>
      </x:c>
      <x:c r="H2578" s="166" t="str">
        <x:v>Outros</x:v>
      </x:c>
      <x:c r="I2578" s="166" t="str">
        <x:v>Multicarteira Outros</x:v>
      </x:c>
      <x:c r="J2578" s="166" t="str">
        <x:v>CI</x:v>
      </x:c>
      <x:c r="K2578" s="172" t="n">
        <x:v>1</x:v>
      </x:c>
      <x:c r="L2578" s="185" t="str">
        <x:v>Não classificado</x:v>
      </x:c>
    </x:row>
    <x:row r="2579">
      <x:c r="A2579" s="175" t="str">
        <x:v>52.953.168/0001-15</x:v>
      </x:c>
      <x:c r="B2579" s="166" t="str">
        <x:v>AGROBIOLÓGICA FUNDO DE INVESTIMENTO EM DIREITOS CREDITÓRIOS</x:v>
      </x:c>
      <x:c r="C2579" s="188" t="n">
        <x:v>9173821.73</x:v>
      </x:c>
      <x:c r="D2579" s="166" t="str">
        <x:v>Brave Asset</x:v>
      </x:c>
      <x:c r="E2579" s="166" t="str">
        <x:f>IFERROR(INDEX('Classif Gestoras'!$H$6:$H$462,MATCH(D2579,'Classif Gestoras'!$A$6:$A$462,0)),"Não classificada")</x:f>
        <x:v>Independente</x:v>
      </x:c>
      <x:c r="F2579" s="166" t="str">
        <x:v>BRL TRUST DTVM</x:v>
      </x:c>
      <x:c r="G2579" s="166" t="str">
        <x:v>BRL TRUST DISTRIBUIDORA DE TITULOS E VALORES MOBILIARIOS S.A.</x:v>
      </x:c>
      <x:c r="H2579" s="166" t="str">
        <x:v>Agro, Indústria e Comércio</x:v>
      </x:c>
      <x:c r="I2579" s="166" t="str">
        <x:v>Recebíveis Comerciais</x:v>
      </x:c>
      <x:c r="J2579" s="166" t="str">
        <x:v>CI</x:v>
      </x:c>
      <x:c r="K2579" s="172" t="n">
        <x:v>10</x:v>
      </x:c>
      <x:c r="L2579" s="185" t="str">
        <x:v>Não classificado</x:v>
      </x:c>
    </x:row>
    <x:row r="2580">
      <x:c r="A2580" s="175" t="str">
        <x:v>37.406.746/0001-00</x:v>
      </x:c>
      <x:c r="B2580" s="166" t="str">
        <x:v>CNPJ 37406746000100</x:v>
      </x:c>
      <x:c r="C2580" s="188" t="n">
        <x:v>9083304.08</x:v>
      </x:c>
      <x:c r="D2580" s="166" t="str">
        <x:v>Artesanal Investimentos</x:v>
      </x:c>
      <x:c r="E2580" s="166" t="str">
        <x:f>IFERROR(INDEX('Classif Gestoras'!$H$6:$H$462,MATCH(D2580,'Classif Gestoras'!$A$6:$A$462,0)),"Não classificada")</x:f>
        <x:v>Independente</x:v>
      </x:c>
      <x:c r="F2580" s="166" t="str">
        <x:v>Genial Investimentos Corretora de Valores Mobiliários S.A.</x:v>
      </x:c>
      <x:c r="G2580" s="166" t="str">
        <x:v>Não identificado</x:v>
      </x:c>
      <x:c r="H2580" s="166" t="str">
        <x:v>Outros</x:v>
      </x:c>
      <x:c r="I2580" s="166" t="str">
        <x:v>Multicarteira Outros</x:v>
      </x:c>
      <x:c r="J2580" s="166" t="str">
        <x:v>CI</x:v>
      </x:c>
      <x:c r="K2580" s="172"/>
      <x:c r="L2580" s="185" t="str">
        <x:v>Não classificado</x:v>
      </x:c>
    </x:row>
    <x:row r="2581">
      <x:c r="A2581" s="175" t="str">
        <x:v>58.649.649/0001-18</x:v>
      </x:c>
      <x:c r="B2581" s="166" t="str">
        <x:v>BI5 FUNDO DE INVESTIMENTO EM DIREITOS CREDITÓRIOS DE RESPONSABILIDADE LIMITADA</x:v>
      </x:c>
      <x:c r="C2581" s="188" t="n">
        <x:v>9057956.07</x:v>
      </x:c>
      <x:c r="D2581" s="166" t="str">
        <x:v>Renova Gestora</x:v>
      </x:c>
      <x:c r="E2581" s="166" t="str">
        <x:f>IFERROR(INDEX('Classif Gestoras'!$H$6:$H$462,MATCH(D2581,'Classif Gestoras'!$A$6:$A$462,0)),"Não classificada")</x:f>
        <x:v>Independente</x:v>
      </x:c>
      <x:c r="F2581" s="166" t="str">
        <x:v>MONETAR DISTRIBUIDORA DE TITUL</x:v>
      </x:c>
      <x:c r="G2581" s="166" t="str">
        <x:v>TERRA INVESTIMENTOS DISTRIBUIDORA DE TITULOS E VALORES MOBILIARIOS LTDA</x:v>
      </x:c>
      <x:c r="H2581" s="166" t="str">
        <x:v>Outros</x:v>
      </x:c>
      <x:c r="I2581" s="166" t="str">
        <x:v>Multicarteira Outros</x:v>
      </x:c>
      <x:c r="J2581" s="166" t="str">
        <x:v>CI</x:v>
      </x:c>
      <x:c r="K2581" s="172" t="n">
        <x:v>6</x:v>
      </x:c>
      <x:c r="L2581" s="185" t="str">
        <x:v>Não classificado</x:v>
      </x:c>
    </x:row>
    <x:row r="2582">
      <x:c r="A2582" s="175" t="str">
        <x:v>64.191.668/0001-46</x:v>
      </x:c>
      <x:c r="B2582" s="166" t="str">
        <x:v>CONCORDE FUNDO DE INVESTIMENTO EM DIREITOS CREDITÓRIOS - RESPONSABILIDADE LIMITADA</x:v>
      </x:c>
      <x:c r="C2582" s="188" t="n">
        <x:v>9044890.95</x:v>
      </x:c>
      <x:c r="D2582" s="166" t="str">
        <x:v>Menestys</x:v>
      </x:c>
      <x:c r="E2582" s="166" t="str">
        <x:f>IFERROR(INDEX('Classif Gestoras'!$H$6:$H$462,MATCH(D2582,'Classif Gestoras'!$A$6:$A$462,0)),"Não classificada")</x:f>
        <x:v>Independente</x:v>
      </x:c>
      <x:c r="F2582" s="166" t="str">
        <x:v>BRL TRUST DTVM</x:v>
      </x:c>
      <x:c r="G2582" s="166" t="str">
        <x:v>BRL TRUST DISTRIBUIDORA DE TITULOS E VALORES MOBILIARIOS S.A.</x:v>
      </x:c>
      <x:c r="H2582" s="166" t="str">
        <x:v>Financeiro</x:v>
      </x:c>
      <x:c r="I2582" s="166" t="str">
        <x:v>Crédito Consignado</x:v>
      </x:c>
      <x:c r="J2582" s="166" t="str">
        <x:v>CI</x:v>
      </x:c>
      <x:c r="K2582" s="172" t="n">
        <x:v>5</x:v>
      </x:c>
      <x:c r="L2582" s="185" t="str">
        <x:v>Não classificado</x:v>
      </x:c>
    </x:row>
    <x:row r="2583">
      <x:c r="A2583" s="175" t="str">
        <x:v>54.229.058/0001-30</x:v>
      </x:c>
      <x:c r="B2583" s="166" t="str">
        <x:v>CONTATO II FUNDO DE INVESTIMENTO EM DIREITOS CREDITÓRIOS MULTISSETORIAL - RESP LIMITADA</x:v>
      </x:c>
      <x:c r="C2583" s="188" t="n">
        <x:v>9044882.63</x:v>
      </x:c>
      <x:c r="D2583" s="166" t="str">
        <x:v>Solis</x:v>
      </x:c>
      <x:c r="E2583" s="166" t="str">
        <x:f>IFERROR(INDEX('Classif Gestoras'!$H$6:$H$462,MATCH(D2583,'Classif Gestoras'!$A$6:$A$462,0)),"Não classificada")</x:f>
        <x:v>Independente</x:v>
      </x:c>
      <x:c r="F2583" s="166" t="str">
        <x:v>HEMERA DTVM</x:v>
      </x:c>
      <x:c r="G2583" s="166" t="str">
        <x:v>HEMERA DISTRIBUIDORA DE TITULOS E VALORES MOBILIARIOS LTDA</x:v>
      </x:c>
      <x:c r="H2583" s="166" t="str">
        <x:v>Fomento Mercantil</x:v>
      </x:c>
      <x:c r="I2583" s="166" t="str">
        <x:v>Fomento Mercantil</x:v>
      </x:c>
      <x:c r="J2583" s="166" t="str">
        <x:v>CI</x:v>
      </x:c>
      <x:c r="K2583" s="172" t="n">
        <x:v>11</x:v>
      </x:c>
      <x:c r="L2583" s="185" t="str">
        <x:v>Não classificado</x:v>
      </x:c>
    </x:row>
    <x:row r="2584">
      <x:c r="A2584" s="175" t="str">
        <x:v>23.293.595/0001-16</x:v>
      </x:c>
      <x:c r="B2584" s="166" t="str">
        <x:v>FUNDO DE INVESTIMENTO EM DIREITOS CREDITÓRIOS PREMIER</x:v>
      </x:c>
      <x:c r="C2584" s="188" t="n">
        <x:v>9035718</x:v>
      </x:c>
      <x:c r="D2584" s="166" t="str">
        <x:v>REAG GESTÃO DE CRÉDITO</x:v>
      </x:c>
      <x:c r="E2584" s="166" t="str">
        <x:f>IFERROR(INDEX('Classif Gestoras'!$H$6:$H$462,MATCH(D2584,'Classif Gestoras'!$A$6:$A$462,0)),"Não classificada")</x:f>
        <x:v>Independente</x:v>
      </x:c>
      <x:c r="F2584" s="166" t="str">
        <x:v>Banvox DTVM</x:v>
      </x:c>
      <x:c r="G2584" s="166" t="str">
        <x:v>BANVOX DISTRIBUIDORA DE TITULOS E VALORES MOBILIARIOS LTDA</x:v>
      </x:c>
      <x:c r="H2584" s="166" t="str">
        <x:v>Fomento Mercantil</x:v>
      </x:c>
      <x:c r="I2584" s="166" t="str">
        <x:v>Fomento Mercantil</x:v>
      </x:c>
      <x:c r="J2584" s="166" t="str">
        <x:v>CI</x:v>
      </x:c>
      <x:c r="K2584" s="172" t="n">
        <x:v>80</x:v>
      </x:c>
      <x:c r="L2584" s="185" t="str">
        <x:v>Não classificado</x:v>
      </x:c>
    </x:row>
    <x:row r="2585">
      <x:c r="A2585" s="175" t="str">
        <x:v>63.398.882/0001-05</x:v>
      </x:c>
      <x:c r="B2585" s="166" t="str">
        <x:v>ROZAN FUNDO DE INVESTIMENTO EM DIREITOS CREDITÓRIOS</x:v>
      </x:c>
      <x:c r="C2585" s="188" t="n">
        <x:v>9028402.58</x:v>
      </x:c>
      <x:c r="D2585" s="166" t="str">
        <x:v>PRX CAPITAL</x:v>
      </x:c>
      <x:c r="E2585" s="166" t="str">
        <x:f>IFERROR(INDEX('Classif Gestoras'!$H$6:$H$462,MATCH(D2585,'Classif Gestoras'!$A$6:$A$462,0)),"Não classificada")</x:f>
        <x:v>Independente</x:v>
      </x:c>
      <x:c r="F2585" s="166" t="str">
        <x:v>PLANNER CV</x:v>
      </x:c>
      <x:c r="G2585" s="166" t="str">
        <x:v>PLANNER CORRETORA DE VALORES S.A.</x:v>
      </x:c>
      <x:c r="H2585" s="166" t="str">
        <x:v>Outros</x:v>
      </x:c>
      <x:c r="I2585" s="166" t="str">
        <x:v>Multicarteira Outros</x:v>
      </x:c>
      <x:c r="J2585" s="166" t="str">
        <x:v>CI</x:v>
      </x:c>
      <x:c r="K2585" s="172" t="n">
        <x:v>4</x:v>
      </x:c>
      <x:c r="L2585" s="185" t="str">
        <x:v>Não classificado</x:v>
      </x:c>
    </x:row>
    <x:row r="2586">
      <x:c r="A2586" s="175" t="str">
        <x:v>65.333.418/0001-66</x:v>
      </x:c>
      <x:c r="B2586" s="166" t="str">
        <x:v>VALORA GUARDIAN III FUNDO DE INVESTIMENTO EM DIREITOS CREDITÓRIOS RESPONSABILIDADE LIMITADA</x:v>
      </x:c>
      <x:c r="C2586" s="188" t="n">
        <x:v>9009391.71</x:v>
      </x:c>
      <x:c r="D2586" s="166" t="str">
        <x:v>VALORA RENDA FIXA LTDA.</x:v>
      </x:c>
      <x:c r="E2586" s="166" t="str">
        <x:f>IFERROR(INDEX('Classif Gestoras'!$H$6:$H$462,MATCH(D2586,'Classif Gestoras'!$A$6:$A$462,0)),"Não classificada")</x:f>
        <x:v>Independente</x:v>
      </x:c>
      <x:c r="F2586" s="166" t="str">
        <x:v>BTG Pactual Servicos Financeiros S/A DTVM</x:v>
      </x:c>
      <x:c r="G2586" s="166" t="str">
        <x:v>BANCO BTG PACTUAL S/A</x:v>
      </x:c>
      <x:c r="H2586" s="166" t="str">
        <x:v>Outros</x:v>
      </x:c>
      <x:c r="I2586" s="166" t="str">
        <x:v>Multicarteira Outros</x:v>
      </x:c>
      <x:c r="J2586" s="166" t="str">
        <x:v>CI</x:v>
      </x:c>
      <x:c r="K2586" s="172" t="n">
        <x:v>2</x:v>
      </x:c>
      <x:c r="L2586" s="185" t="str">
        <x:v>Não classificado</x:v>
      </x:c>
    </x:row>
    <x:row r="2587">
      <x:c r="A2587" s="175" t="str">
        <x:v>60.075.857/0001-00</x:v>
      </x:c>
      <x:c r="B2587" s="166" t="str">
        <x:v>EKKO FUNDO DE INVESTIMENTO EM DIREITOS CREDITÓRIOS</x:v>
      </x:c>
      <x:c r="C2587" s="188" t="n">
        <x:v>8989576.489999998</x:v>
      </x:c>
      <x:c r="D2587" s="166" t="str">
        <x:v>Redwood Asset Management</x:v>
      </x:c>
      <x:c r="E2587" s="166" t="str">
        <x:f>IFERROR(INDEX('Classif Gestoras'!$H$6:$H$462,MATCH(D2587,'Classif Gestoras'!$A$6:$A$462,0)),"Não classificada")</x:f>
        <x:v>Independente</x:v>
      </x:c>
      <x:c r="F2587" s="166" t="str">
        <x:v>PLANNER CV</x:v>
      </x:c>
      <x:c r="G2587" s="166" t="str">
        <x:v>PLANNER CORRETORA DE VALORES S.A.</x:v>
      </x:c>
      <x:c r="H2587" s="166" t="str">
        <x:v>Outros</x:v>
      </x:c>
      <x:c r="I2587" s="166" t="str">
        <x:v>Multicarteira Outros</x:v>
      </x:c>
      <x:c r="J2587" s="166" t="str">
        <x:v>CI</x:v>
      </x:c>
      <x:c r="K2587" s="172" t="n">
        <x:v>10</x:v>
      </x:c>
      <x:c r="L2587" s="185" t="str">
        <x:v>Não classificado</x:v>
      </x:c>
    </x:row>
    <x:row r="2588">
      <x:c r="A2588" s="175" t="str">
        <x:v>45.018.961/0001-61</x:v>
      </x:c>
      <x:c r="B2588" s="166" t="str">
        <x:v>NOVA ERA FUNDO DE INVESTIMENTO EM DIREITOS CREDITÓRIOS MULTISSETORIAL - RESPONSABILIDADE LIMITADA</x:v>
      </x:c>
      <x:c r="C2588" s="188" t="n">
        <x:v>8935225.379999999</x:v>
      </x:c>
      <x:c r="D2588" s="166" t="str">
        <x:v>OURO PRETO INVESTIMENTOS</x:v>
      </x:c>
      <x:c r="E2588" s="166" t="str">
        <x:f>IFERROR(INDEX('Classif Gestoras'!$H$6:$H$462,MATCH(D2588,'Classif Gestoras'!$A$6:$A$462,0)),"Não classificada")</x:f>
        <x:v>Independente</x:v>
      </x:c>
      <x:c r="F2588" s="166" t="str">
        <x:v>ID Corretora de Títulos e Valores Mobiliários S.A.</x:v>
      </x:c>
      <x:c r="G2588" s="166" t="str">
        <x:v>ID CORRETORA DE TITULOS E VALORES MOBILIARIOS S.A.</x:v>
      </x:c>
      <x:c r="H2588" s="166" t="str">
        <x:v>Outros</x:v>
      </x:c>
      <x:c r="I2588" s="166" t="str">
        <x:v>Multicarteira Outros</x:v>
      </x:c>
      <x:c r="J2588" s="166" t="str">
        <x:v>CI</x:v>
      </x:c>
      <x:c r="K2588" s="172" t="n">
        <x:v>7</x:v>
      </x:c>
      <x:c r="L2588" s="185" t="str">
        <x:v>Não classificado</x:v>
      </x:c>
    </x:row>
    <x:row r="2589">
      <x:c r="A2589" s="175" t="str">
        <x:v>60.499.242/0001-01</x:v>
      </x:c>
      <x:c r="B2589" s="166" t="str">
        <x:v>FIRST PERSONAL LOAN I FUNDO DE INVESTIMENTOS EM DIREITOS CREDITÓRIOS</x:v>
      </x:c>
      <x:c r="C2589" s="188" t="n">
        <x:v>8926129.61</x:v>
      </x:c>
      <x:c r="D2589" s="166" t="str">
        <x:v>ASSET MANAGEMENT</x:v>
      </x:c>
      <x:c r="E2589" s="166" t="str">
        <x:f>IFERROR(INDEX('Classif Gestoras'!$H$6:$H$462,MATCH(D2589,'Classif Gestoras'!$A$6:$A$462,0)),"Não classificada")</x:f>
        <x:v>Independente</x:v>
      </x:c>
      <x:c r="F2589" s="166" t="str">
        <x:v>AZUMI DISTRIBUIDORA DE TÍTULOS E VALORES MOBILIÁRIOS LT</x:v>
      </x:c>
      <x:c r="G2589" s="166" t="str">
        <x:v>AZUMI DISTRIBUIDORA DE TÍTULOS E VALORES MOBILIÁRIOS LTDA.</x:v>
      </x:c>
      <x:c r="H2589" s="166" t="str">
        <x:v>Outros</x:v>
      </x:c>
      <x:c r="I2589" s="166" t="str">
        <x:v>Multicarteira Outros</x:v>
      </x:c>
      <x:c r="J2589" s="166" t="str">
        <x:v>CI</x:v>
      </x:c>
      <x:c r="K2589" s="172" t="n">
        <x:v>2</x:v>
      </x:c>
      <x:c r="L2589" s="185" t="str">
        <x:v>Não classificado</x:v>
      </x:c>
    </x:row>
    <x:row r="2590">
      <x:c r="A2590" s="175" t="str">
        <x:v>41.537.932/0001-55</x:v>
      </x:c>
      <x:c r="B2590" s="166" t="str">
        <x:v>RADIX TURBO FUNDO DE INVESTIMENTO EM DIREITOS CREDITÓRIOS - RESPONSABILIDADE LIMITADA</x:v>
      </x:c>
      <x:c r="C2590" s="188" t="n">
        <x:v>8925031.950000001</x:v>
      </x:c>
      <x:c r="D2590" s="166" t="str">
        <x:v>SOSU CAPITAL GESTÃO DE INVESTIMENTOS LTDA.</x:v>
      </x:c>
      <x:c r="E2590" s="166" t="str">
        <x:f>IFERROR(INDEX('Classif Gestoras'!$H$6:$H$462,MATCH(D2590,'Classif Gestoras'!$A$6:$A$462,0)),"Não classificada")</x:f>
        <x:v>Independente</x:v>
      </x:c>
      <x:c r="F2590" s="166" t="str">
        <x:v>BRL TRUST DTVM</x:v>
      </x:c>
      <x:c r="G2590" s="166" t="str">
        <x:v>BRL TRUST DISTRIBUIDORA DE TITULOS E VALORES MOBILIARIOS S.A.</x:v>
      </x:c>
      <x:c r="H2590" s="166" t="str">
        <x:v>Outros</x:v>
      </x:c>
      <x:c r="I2590" s="166" t="str">
        <x:v>Poder Público</x:v>
      </x:c>
      <x:c r="J2590" s="166" t="str">
        <x:v>CI</x:v>
      </x:c>
      <x:c r="K2590" s="172" t="n">
        <x:v>35</x:v>
      </x:c>
      <x:c r="L2590" s="185" t="str">
        <x:v>Não classificado</x:v>
      </x:c>
    </x:row>
    <x:row r="2591">
      <x:c r="A2591" s="175" t="str">
        <x:v>56.834.392/0001-49</x:v>
      </x:c>
      <x:c r="B2591" s="166" t="str">
        <x:v>RAT FUNDO DE INVESTIMENTO EM DIREITOS CREDITÓRIOS RESPONSABILIDADE LIMITADA</x:v>
      </x:c>
      <x:c r="C2591" s="188" t="n">
        <x:v>8907948.47</x:v>
      </x:c>
      <x:c r="D2591" s="166" t="str">
        <x:v>ALTAVISTA CAPITAL</x:v>
      </x:c>
      <x:c r="E2591" s="166" t="str">
        <x:f>IFERROR(INDEX('Classif Gestoras'!$H$6:$H$462,MATCH(D2591,'Classif Gestoras'!$A$6:$A$462,0)),"Não classificada")</x:f>
        <x:v>Independente</x:v>
      </x:c>
      <x:c r="F2591" s="166" t="str">
        <x:v>PLANNER CV</x:v>
      </x:c>
      <x:c r="G2591" s="166" t="str">
        <x:v>PLANNER CORRETORA DE VALORES S.A.</x:v>
      </x:c>
      <x:c r="H2591" s="166" t="str">
        <x:v>Outros</x:v>
      </x:c>
      <x:c r="I2591" s="166" t="str">
        <x:v>Multicarteira Outros</x:v>
      </x:c>
      <x:c r="J2591" s="166" t="str">
        <x:v>CI</x:v>
      </x:c>
      <x:c r="K2591" s="172" t="n">
        <x:v>1</x:v>
      </x:c>
      <x:c r="L2591" s="185" t="str">
        <x:v>Não classificado</x:v>
      </x:c>
    </x:row>
    <x:row r="2592">
      <x:c r="A2592" s="175" t="str">
        <x:v>54.233.886/0001-42</x:v>
      </x:c>
      <x:c r="B2592" s="166" t="str">
        <x:v>SHR FUNDO DE INVESTIMENTO EM DIREITOS CREDITÓRIOS RESPONSABILIDADE LIMITADA</x:v>
      </x:c>
      <x:c r="C2592" s="188" t="n">
        <x:v>8882359.67</x:v>
      </x:c>
      <x:c r="D2592" s="166" t="str">
        <x:v>AUGME CAPITAL GESTÃO DE RECURSOS LTDA.</x:v>
      </x:c>
      <x:c r="E2592" s="166" t="str">
        <x:f>IFERROR(INDEX('Classif Gestoras'!$H$6:$H$462,MATCH(D2592,'Classif Gestoras'!$A$6:$A$462,0)),"Não classificada")</x:f>
        <x:v>Independente</x:v>
      </x:c>
      <x:c r="F2592" s="166" t="str">
        <x:v>BANCO DAYCOVAL S/A</x:v>
      </x:c>
      <x:c r="G2592" s="166" t="str">
        <x:v>BANCO DAYCOVAL S.A.</x:v>
      </x:c>
      <x:c r="H2592" s="166" t="str">
        <x:v>Outros</x:v>
      </x:c>
      <x:c r="I2592" s="166" t="str">
        <x:v>Multicarteira Outros</x:v>
      </x:c>
      <x:c r="J2592" s="166" t="str">
        <x:v>CI</x:v>
      </x:c>
      <x:c r="K2592" s="172" t="n">
        <x:v>25</x:v>
      </x:c>
      <x:c r="L2592" s="185" t="str">
        <x:v>Não classificado</x:v>
      </x:c>
    </x:row>
    <x:row r="2593">
      <x:c r="A2593" s="175" t="str">
        <x:v>38.001.854/0001-65</x:v>
      </x:c>
      <x:c r="B2593" s="166" t="str">
        <x:v>ALCANCE FUNDO DE INVESTIMENTO EM DIREITOS CREDITÓRIOS</x:v>
      </x:c>
      <x:c r="C2593" s="188" t="n">
        <x:v>8876892.51</x:v>
      </x:c>
      <x:c r="D2593" s="166" t="str">
        <x:v>Libertas Asset</x:v>
      </x:c>
      <x:c r="E2593" s="166" t="str">
        <x:f>IFERROR(INDEX('Classif Gestoras'!$H$6:$H$462,MATCH(D2593,'Classif Gestoras'!$A$6:$A$462,0)),"Não classificada")</x:f>
        <x:v>Independente</x:v>
      </x:c>
      <x:c r="F2593" s="166" t="str">
        <x:v>ACTUAL DTVM</x:v>
      </x:c>
      <x:c r="G2593" s="166" t="str">
        <x:v>LASTRO RDV DTVM LTDA</x:v>
      </x:c>
      <x:c r="H2593" s="166" t="str">
        <x:v>Fomento Mercantil</x:v>
      </x:c>
      <x:c r="I2593" s="166" t="str">
        <x:v>Fomento Mercantil</x:v>
      </x:c>
      <x:c r="J2593" s="166" t="str">
        <x:v>CI</x:v>
      </x:c>
      <x:c r="K2593" s="172" t="n">
        <x:v>1</x:v>
      </x:c>
      <x:c r="L2593" s="185" t="str">
        <x:v>Não classificado</x:v>
      </x:c>
    </x:row>
    <x:row r="2594">
      <x:c r="A2594" s="175" t="str">
        <x:v>45.525.103/0001-03</x:v>
      </x:c>
      <x:c r="B2594" s="166" t="str">
        <x:v>JOB FUNDO DE INVESTIMENTO EM DIREITOS CREDITÓRIOS - RESPONSABILIDADE LIMITADA</x:v>
      </x:c>
      <x:c r="C2594" s="188" t="n">
        <x:v>8870578.66</x:v>
      </x:c>
      <x:c r="D2594" s="166" t="str">
        <x:v>REAG BERKANA</x:v>
      </x:c>
      <x:c r="E2594" s="166" t="str">
        <x:f>IFERROR(INDEX('Classif Gestoras'!$H$6:$H$462,MATCH(D2594,'Classif Gestoras'!$A$6:$A$462,0)),"Não classificada")</x:f>
        <x:v>Independente</x:v>
      </x:c>
      <x:c r="F2594" s="166" t="str">
        <x:v>ID Corretora de Títulos e Valores Mobiliários S.A.</x:v>
      </x:c>
      <x:c r="G2594" s="166" t="str">
        <x:v>ID CORRETORA DE TITULOS E VALORES MOBILIARIOS S.A.</x:v>
      </x:c>
      <x:c r="H2594" s="166" t="str">
        <x:v>Agro, Indústria e Comércio</x:v>
      </x:c>
      <x:c r="I2594" s="166" t="str">
        <x:v>Agronegócio</x:v>
      </x:c>
      <x:c r="J2594" s="166" t="str">
        <x:v>CI</x:v>
      </x:c>
      <x:c r="K2594" s="172" t="n">
        <x:v>1</x:v>
      </x:c>
      <x:c r="L2594" s="185" t="str">
        <x:v>Não classificado</x:v>
      </x:c>
    </x:row>
    <x:row r="2595">
      <x:c r="A2595" s="175" t="str">
        <x:v>42.627.753/0001-71</x:v>
      </x:c>
      <x:c r="B2595" s="166" t="str">
        <x:v>LB FUNDO DE INVESTIMENTO EM DIREITOS CREDITORIOS</x:v>
      </x:c>
      <x:c r="C2595" s="188" t="n">
        <x:v>8863030.48</x:v>
      </x:c>
      <x:c r="D2595" s="166" t="str">
        <x:v>Mosaico Gestora de Recursos Ltda.</x:v>
      </x:c>
      <x:c r="E2595" s="166" t="str">
        <x:f>IFERROR(INDEX('Classif Gestoras'!$H$6:$H$462,MATCH(D2595,'Classif Gestoras'!$A$6:$A$462,0)),"Não classificada")</x:f>
        <x:v>Independente</x:v>
      </x:c>
      <x:c r="F2595" s="166" t="str">
        <x:v>OSLO DTVM S. A.</x:v>
      </x:c>
      <x:c r="G2595" s="166" t="str">
        <x:v>OSLO CAPITAL DISTRIBUIDORA DE TITULOS E VALORES MOBILIARIOS S.A.</x:v>
      </x:c>
      <x:c r="H2595" s="166" t="str">
        <x:v>Financeiro</x:v>
      </x:c>
      <x:c r="I2595" s="166" t="str">
        <x:v>Multicarteira Financeiro</x:v>
      </x:c>
      <x:c r="J2595" s="166" t="str">
        <x:v>CI</x:v>
      </x:c>
      <x:c r="K2595" s="172" t="n">
        <x:v>13</x:v>
      </x:c>
      <x:c r="L2595" s="185" t="str">
        <x:v>Não classificado</x:v>
      </x:c>
    </x:row>
    <x:row r="2596">
      <x:c r="A2596" s="175" t="str">
        <x:v>53.314.685/0001-07</x:v>
      </x:c>
      <x:c r="B2596" s="166" t="str">
        <x:v>BACCO CLAIMS FUNDO DE INVESTIMENTO EM DIREITOS CREDITÓRIOS NÃO PADRONIZADOS</x:v>
      </x:c>
      <x:c r="C2596" s="188" t="n">
        <x:v>8827902.61</x:v>
      </x:c>
      <x:c r="D2596" s="166" t="str">
        <x:v>Redwood Asset Management</x:v>
      </x:c>
      <x:c r="E2596" s="166" t="str">
        <x:f>IFERROR(INDEX('Classif Gestoras'!$H$6:$H$462,MATCH(D2596,'Classif Gestoras'!$A$6:$A$462,0)),"Não classificada")</x:f>
        <x:v>Independente</x:v>
      </x:c>
      <x:c r="F2596" s="166" t="str">
        <x:v>PLANNER CV</x:v>
      </x:c>
      <x:c r="G2596" s="166" t="str">
        <x:v>PLANNER CORRETORA DE VALORES S.A.</x:v>
      </x:c>
      <x:c r="H2596" s="166" t="str">
        <x:v>Fomento Mercantil</x:v>
      </x:c>
      <x:c r="I2596" s="166" t="str">
        <x:v>Fomento Mercantil</x:v>
      </x:c>
      <x:c r="J2596" s="166" t="str">
        <x:v>CI</x:v>
      </x:c>
      <x:c r="K2596" s="172" t="n">
        <x:v>7</x:v>
      </x:c>
      <x:c r="L2596" s="185" t="str">
        <x:v>Não classificado</x:v>
      </x:c>
    </x:row>
    <x:row r="2597">
      <x:c r="A2597" s="175" t="str">
        <x:v>59.744.260/0001-14</x:v>
      </x:c>
      <x:c r="B2597" s="166" t="str">
        <x:v>HBF FUNDO DE INVESTIMENTO DIREITOS CREDITÓRIOS DE RESPONSABILIDADE LIMITADA</x:v>
      </x:c>
      <x:c r="C2597" s="188" t="n">
        <x:v>8801230.92</x:v>
      </x:c>
      <x:c r="D2597" s="166" t="str">
        <x:v>Catálise Investimentos</x:v>
      </x:c>
      <x:c r="E2597" s="166" t="str">
        <x:f>IFERROR(INDEX('Classif Gestoras'!$H$6:$H$462,MATCH(D2597,'Classif Gestoras'!$A$6:$A$462,0)),"Não classificada")</x:f>
        <x:v>Independente</x:v>
      </x:c>
      <x:c r="F2597" s="166" t="str">
        <x:v>CATÁLISE DTVM</x:v>
      </x:c>
      <x:c r="G2597" s="166" t="str">
        <x:v>BANCO DAYCOVAL S.A.</x:v>
      </x:c>
      <x:c r="H2597" s="166" t="str">
        <x:v>Outros</x:v>
      </x:c>
      <x:c r="I2597" s="166" t="str">
        <x:v>Multicarteira Outros</x:v>
      </x:c>
      <x:c r="J2597" s="166" t="str">
        <x:v>CI</x:v>
      </x:c>
      <x:c r="K2597" s="172" t="n">
        <x:v>1</x:v>
      </x:c>
      <x:c r="L2597" s="185" t="str">
        <x:v>Não classificado</x:v>
      </x:c>
    </x:row>
    <x:row r="2598">
      <x:c r="A2598" s="175" t="str">
        <x:v>29.292.189/0001-15</x:v>
      </x:c>
      <x:c r="B2598" s="166" t="str">
        <x:v>FUNDO DE INVESTIMENTO EM DIREITOS CREDITORIOS HENDRIKSEN</x:v>
      </x:c>
      <x:c r="C2598" s="188" t="n">
        <x:v>8791623.43</x:v>
      </x:c>
      <x:c r="D2598" s="166" t="str">
        <x:v>Redwood Asset Management</x:v>
      </x:c>
      <x:c r="E2598" s="166" t="str">
        <x:f>IFERROR(INDEX('Classif Gestoras'!$H$6:$H$462,MATCH(D2598,'Classif Gestoras'!$A$6:$A$462,0)),"Não classificada")</x:f>
        <x:v>Independente</x:v>
      </x:c>
      <x:c r="F2598" s="166" t="str">
        <x:v>PLANNER CV</x:v>
      </x:c>
      <x:c r="G2598" s="166" t="str">
        <x:v>PLANNER CORRETORA DE VALORES S.A.</x:v>
      </x:c>
      <x:c r="H2598" s="166" t="str">
        <x:v>Outros</x:v>
      </x:c>
      <x:c r="I2598" s="166" t="str">
        <x:v>Multicarteira Outros</x:v>
      </x:c>
      <x:c r="J2598" s="166" t="str">
        <x:v>CI</x:v>
      </x:c>
      <x:c r="K2598" s="172" t="n">
        <x:v>1</x:v>
      </x:c>
      <x:c r="L2598" s="185" t="str">
        <x:v>Não classificado</x:v>
      </x:c>
    </x:row>
    <x:row r="2599">
      <x:c r="A2599" s="175" t="str">
        <x:v>58.902.072/0001-04</x:v>
      </x:c>
      <x:c r="B2599" s="166" t="str">
        <x:v>TIVIO VÉRTICE HY 90 FUNDO DE INVESTIMENTO EM DIREITOS CREDITÓRIOS - RESPONSABILIDADE LIMITADA</x:v>
      </x:c>
      <x:c r="C2599" s="188" t="n">
        <x:v>8791333.14</x:v>
      </x:c>
      <x:c r="D2599" s="166" t="str">
        <x:v>Tivio Capital</x:v>
      </x:c>
      <x:c r="E2599" s="166" t="str">
        <x:f>IFERROR(INDEX('Classif Gestoras'!$H$6:$H$462,MATCH(D2599,'Classif Gestoras'!$A$6:$A$462,0)),"Não classificada")</x:f>
        <x:v>Independente</x:v>
      </x:c>
      <x:c r="F2599" s="166" t="str">
        <x:v>BNY MELLON SERVICOS</x:v>
      </x:c>
      <x:c r="G2599" s="166" t="str">
        <x:v>BNY MELLON BANCO S.A.</x:v>
      </x:c>
      <x:c r="H2599" s="166" t="str">
        <x:v>Outros</x:v>
      </x:c>
      <x:c r="I2599" s="166" t="str">
        <x:v>Multicarteira Outros</x:v>
      </x:c>
      <x:c r="J2599" s="166" t="str">
        <x:v>CI</x:v>
      </x:c>
      <x:c r="K2599" s="172" t="n">
        <x:v>4</x:v>
      </x:c>
      <x:c r="L2599" s="185" t="str">
        <x:v>Não classificado</x:v>
      </x:c>
    </x:row>
    <x:row r="2600">
      <x:c r="A2600" s="175" t="str">
        <x:v>59.815.957/0001-39</x:v>
      </x:c>
      <x:c r="B2600" s="166" t="str">
        <x:v>CANOA FUNDO DE INVESTIMENTO EM DIREITOS CREDITÓRIOS</x:v>
      </x:c>
      <x:c r="C2600" s="188" t="n">
        <x:v>8784440.35</x:v>
      </x:c>
      <x:c r="D2600" s="166" t="str">
        <x:v>Acura Gestora de Recursos LTDA.</x:v>
      </x:c>
      <x:c r="E2600" s="166" t="str">
        <x:f>IFERROR(INDEX('Classif Gestoras'!$H$6:$H$462,MATCH(D2600,'Classif Gestoras'!$A$6:$A$462,0)),"Não classificada")</x:f>
        <x:v>Independente</x:v>
      </x:c>
      <x:c r="F2600" s="166" t="str">
        <x:v>SEFER DTVM</x:v>
      </x:c>
      <x:c r="G2600" s="166" t="str">
        <x:v>SEFER INVESTIMENTOS DISTRIBUIDORA DE TÍTULOS E VALORES MOBILIÁRIOS LTDA.</x:v>
      </x:c>
      <x:c r="H2600" s="166" t="str">
        <x:v>Outros</x:v>
      </x:c>
      <x:c r="I2600" s="166" t="str">
        <x:v>Poder Público</x:v>
      </x:c>
      <x:c r="J2600" s="166" t="str">
        <x:v>CI</x:v>
      </x:c>
      <x:c r="K2600" s="172" t="n">
        <x:v>15</x:v>
      </x:c>
      <x:c r="L2600" s="185" t="str">
        <x:v>Não classificado</x:v>
      </x:c>
    </x:row>
    <x:row r="2601">
      <x:c r="A2601" s="175" t="str">
        <x:v>51.477.774/0001-49</x:v>
      </x:c>
      <x:c r="B2601" s="166" t="str">
        <x:v>ATIBANK FUNDO DE INVESTIMENTO EM DIREITOS CREDITÓRIOS</x:v>
      </x:c>
      <x:c r="C2601" s="188" t="n">
        <x:v>8773486.1</x:v>
      </x:c>
      <x:c r="D2601" s="166" t="str">
        <x:v>OKEAN INVEST</x:v>
      </x:c>
      <x:c r="E2601" s="166" t="str">
        <x:f>IFERROR(INDEX('Classif Gestoras'!$H$6:$H$462,MATCH(D2601,'Classif Gestoras'!$A$6:$A$462,0)),"Não classificada")</x:f>
        <x:v>Independente</x:v>
      </x:c>
      <x:c r="F2601" s="166" t="str">
        <x:v>Finvest Digital</x:v>
      </x:c>
      <x:c r="G2601" s="166" t="str">
        <x:v>FINVEST DISTRIBUIDORA DE TÍTULOS E VALORES MOBILIÁRIOS LTDA.</x:v>
      </x:c>
      <x:c r="H2601" s="166" t="str">
        <x:v>Outros</x:v>
      </x:c>
      <x:c r="I2601" s="166" t="str">
        <x:v>Multicarteira Outros</x:v>
      </x:c>
      <x:c r="J2601" s="166" t="str">
        <x:v>CI</x:v>
      </x:c>
      <x:c r="K2601" s="172" t="n">
        <x:v>2</x:v>
      </x:c>
      <x:c r="L2601" s="185" t="str">
        <x:v>Não classificado</x:v>
      </x:c>
    </x:row>
    <x:row r="2602">
      <x:c r="A2602" s="175" t="str">
        <x:v>53.271.925/0001-33</x:v>
      </x:c>
      <x:c r="B2602" s="166" t="str">
        <x:v>USHUAIA FUNDO DE INVESTIMENTO EM DIREITOS CREDITÓRIOS</x:v>
      </x:c>
      <x:c r="C2602" s="188" t="n">
        <x:v>8762489.58</x:v>
      </x:c>
      <x:c r="D2602" s="166" t="str">
        <x:v>PATAGÔNIA CAPITAL</x:v>
      </x:c>
      <x:c r="E2602" s="166" t="str">
        <x:f>IFERROR(INDEX('Classif Gestoras'!$H$6:$H$462,MATCH(D2602,'Classif Gestoras'!$A$6:$A$462,0)),"Não classificada")</x:f>
        <x:v>Independente</x:v>
      </x:c>
      <x:c r="F2602" s="166" t="str">
        <x:v>VÓRTX DTVM</x:v>
      </x:c>
      <x:c r="G2602" s="166" t="str">
        <x:v>VORTX DISTRIBUIDORA DE TITULOS E VALORES MOBILIARIOS LTDA.</x:v>
      </x:c>
      <x:c r="H2602" s="166" t="str">
        <x:v>Financeiro</x:v>
      </x:c>
      <x:c r="I2602" s="166" t="str">
        <x:v>Multicarteira Financeiro</x:v>
      </x:c>
      <x:c r="J2602" s="166" t="str">
        <x:v>CI</x:v>
      </x:c>
      <x:c r="K2602" s="172" t="n">
        <x:v>1</x:v>
      </x:c>
      <x:c r="L2602" s="185" t="str">
        <x:v>Não classificado</x:v>
      </x:c>
    </x:row>
    <x:row r="2603">
      <x:c r="A2603" s="175" t="str">
        <x:v>55.610.024/0001-54</x:v>
      </x:c>
      <x:c r="B2603" s="166" t="str">
        <x:v>DEFFENDER FUNDO DE INVESTIMENTO EM DIREITOS CREDITÓRIOS RESPONSABILIDADE LIMITADA</x:v>
      </x:c>
      <x:c r="C2603" s="188" t="n">
        <x:v>8746436.709999999</x:v>
      </x:c>
      <x:c r="D2603" s="166" t="str">
        <x:v>Bless Capital Gestora de Recursos Ltda.</x:v>
      </x:c>
      <x:c r="E2603" s="166" t="str">
        <x:f>IFERROR(INDEX('Classif Gestoras'!$H$6:$H$462,MATCH(D2603,'Classif Gestoras'!$A$6:$A$462,0)),"Não classificada")</x:f>
        <x:v>Independente</x:v>
      </x:c>
      <x:c r="F2603" s="166" t="str">
        <x:v>ID Corretora de Títulos e Valores Mobiliários S.A.</x:v>
      </x:c>
      <x:c r="G2603" s="166" t="str">
        <x:v>ID CORRETORA DE TITULOS E VALORES MOBILIARIOS S.A.</x:v>
      </x:c>
      <x:c r="H2603" s="166" t="str">
        <x:v>Outros</x:v>
      </x:c>
      <x:c r="I2603" s="166" t="str">
        <x:v>Multicarteira Outros</x:v>
      </x:c>
      <x:c r="J2603" s="166" t="str">
        <x:v>CI</x:v>
      </x:c>
      <x:c r="K2603" s="172" t="n">
        <x:v>1</x:v>
      </x:c>
      <x:c r="L2603" s="185" t="str">
        <x:v>Não classificado</x:v>
      </x:c>
    </x:row>
    <x:row r="2604">
      <x:c r="A2604" s="175" t="str">
        <x:v>39.611.075/0001-44</x:v>
      </x:c>
      <x:c r="B2604" s="166" t="str">
        <x:v>AUGME VD FUNDO DE INVESTIMENTO EM DIREITOS CREDITÓRIOS</x:v>
      </x:c>
      <x:c r="C2604" s="188" t="n">
        <x:v>8729342.43</x:v>
      </x:c>
      <x:c r="D2604" s="166" t="str">
        <x:v>AUGME CAPITAL GESTÃO DE RECURSOS LTDA.</x:v>
      </x:c>
      <x:c r="E2604" s="166" t="str">
        <x:f>IFERROR(INDEX('Classif Gestoras'!$H$6:$H$462,MATCH(D2604,'Classif Gestoras'!$A$6:$A$462,0)),"Não classificada")</x:f>
        <x:v>Independente</x:v>
      </x:c>
      <x:c r="F2604" s="166" t="str">
        <x:v>BANCO DAYCOVAL S/A</x:v>
      </x:c>
      <x:c r="G2604" s="166" t="str">
        <x:v>BANCO DAYCOVAL S.A.</x:v>
      </x:c>
      <x:c r="H2604" s="166" t="str">
        <x:v>Outros</x:v>
      </x:c>
      <x:c r="I2604" s="166" t="str">
        <x:v>Multicarteira Outros</x:v>
      </x:c>
      <x:c r="J2604" s="166" t="str">
        <x:v>CIC</x:v>
      </x:c>
      <x:c r="K2604" s="172" t="n">
        <x:v>1</x:v>
      </x:c>
      <x:c r="L2604" s="185" t="str">
        <x:v>Não classificado</x:v>
      </x:c>
    </x:row>
    <x:row r="2605">
      <x:c r="A2605" s="175" t="str">
        <x:v>59.695.914/0001-67</x:v>
      </x:c>
      <x:c r="B2605" s="166" t="str">
        <x:v>ÁPICE CREDIT FUNDO DE INVESTIMENTO EM DIREITOS CREDITÓRIOS DE RESPONSABILIDADE LIMITADA</x:v>
      </x:c>
      <x:c r="C2605" s="188" t="n">
        <x:v>8712593.24</x:v>
      </x:c>
      <x:c r="D2605" s="166" t="str">
        <x:v>Catálise Investimentos</x:v>
      </x:c>
      <x:c r="E2605" s="166" t="str">
        <x:f>IFERROR(INDEX('Classif Gestoras'!$H$6:$H$462,MATCH(D2605,'Classif Gestoras'!$A$6:$A$462,0)),"Não classificada")</x:f>
        <x:v>Independente</x:v>
      </x:c>
      <x:c r="F2605" s="166" t="str">
        <x:v>CATÁLISE DTVM</x:v>
      </x:c>
      <x:c r="G2605" s="166" t="str">
        <x:v>BANCO DAYCOVAL S.A.</x:v>
      </x:c>
      <x:c r="H2605" s="166" t="str">
        <x:v>Outros</x:v>
      </x:c>
      <x:c r="I2605" s="166" t="str">
        <x:v>Multicarteira Outros</x:v>
      </x:c>
      <x:c r="J2605" s="166" t="str">
        <x:v>CI</x:v>
      </x:c>
      <x:c r="K2605" s="172" t="n">
        <x:v>1</x:v>
      </x:c>
      <x:c r="L2605" s="185" t="str">
        <x:v>Não classificado</x:v>
      </x:c>
    </x:row>
    <x:row r="2606">
      <x:c r="A2606" s="175" t="str">
        <x:v>41.820.715/0001-78</x:v>
      </x:c>
      <x:c r="B2606" s="166" t="str">
        <x:v>ATALHOCRED FUNDO DE INVESTIMENTO EM DIREITOS CREDITÓRIOS RESPONSABILIDADE LIMITADA</x:v>
      </x:c>
      <x:c r="C2606" s="188" t="n">
        <x:v>8697056.28</x:v>
      </x:c>
      <x:c r="D2606" s="166" t="str">
        <x:v>BS2 ASSET MANAGEMENT – ADMINISTRADORA DE RECURSOS LTDA.</x:v>
      </x:c>
      <x:c r="E2606" s="166" t="str">
        <x:f>IFERROR(INDEX('Classif Gestoras'!$H$6:$H$462,MATCH(D2606,'Classif Gestoras'!$A$6:$A$462,0)),"Não classificada")</x:f>
        <x:v>Independente</x:v>
      </x:c>
      <x:c r="F2606" s="166" t="str">
        <x:v>MONETAR DISTRIBUIDORA DE TITUL</x:v>
      </x:c>
      <x:c r="G2606" s="166" t="str">
        <x:v>TERRA INVESTIMENTOS DISTRIBUIDORA DE TITULOS E VALORES MOBILIARIOS LTDA</x:v>
      </x:c>
      <x:c r="H2606" s="166" t="str">
        <x:v>Outros</x:v>
      </x:c>
      <x:c r="I2606" s="166" t="str">
        <x:v>Recuperação</x:v>
      </x:c>
      <x:c r="J2606" s="166" t="str">
        <x:v>CI</x:v>
      </x:c>
      <x:c r="K2606" s="172" t="n">
        <x:v>3</x:v>
      </x:c>
      <x:c r="L2606" s="185" t="str">
        <x:v>Não classificado</x:v>
      </x:c>
    </x:row>
    <x:row r="2607">
      <x:c r="A2607" s="175" t="str">
        <x:v>63.529.345/0001-57</x:v>
      </x:c>
      <x:c r="B2607" s="166" t="str">
        <x:v>AVGA CAPITAL JUSTIX LEGAL CLAIMS FUNDO DE INVESTIMENTO EM DIREITOS CREDITÓRIOS RESP LIMITADA</x:v>
      </x:c>
      <x:c r="C2607" s="188" t="n">
        <x:v>8678452.73</x:v>
      </x:c>
      <x:c r="D2607" s="166" t="str">
        <x:v>GESTORA DE RECURSOS ID - GRID LTDA.</x:v>
      </x:c>
      <x:c r="E2607" s="166" t="str">
        <x:f>IFERROR(INDEX('Classif Gestoras'!$H$6:$H$462,MATCH(D2607,'Classif Gestoras'!$A$6:$A$462,0)),"Não classificada")</x:f>
        <x:v>Independente</x:v>
      </x:c>
      <x:c r="F2607" s="166" t="str">
        <x:v>ID Corretora de Títulos e Valores Mobiliários S.A.</x:v>
      </x:c>
      <x:c r="G2607" s="166" t="str">
        <x:v>ID CORRETORA DE TITULOS E VALORES MOBILIARIOS S.A.</x:v>
      </x:c>
      <x:c r="H2607" s="166" t="str">
        <x:v>Fomento Mercantil</x:v>
      </x:c>
      <x:c r="I2607" s="166" t="str">
        <x:v>Fomento Mercantil</x:v>
      </x:c>
      <x:c r="J2607" s="166" t="str">
        <x:v>CI</x:v>
      </x:c>
      <x:c r="K2607" s="172" t="n">
        <x:v>5</x:v>
      </x:c>
      <x:c r="L2607" s="185" t="str">
        <x:v>Não classificado</x:v>
      </x:c>
    </x:row>
    <x:row r="2608">
      <x:c r="A2608" s="175" t="str">
        <x:v>61.385.760/0001-59</x:v>
      </x:c>
      <x:c r="B2608" s="166" t="str">
        <x:v>TRÍVIA FUNDO DE INVESTIMENTO EM DIREITOS CREDITÓRIOS</x:v>
      </x:c>
      <x:c r="C2608" s="188" t="n">
        <x:v>8674665.049999999</x:v>
      </x:c>
      <x:c r="D2608" s="166" t="str">
        <x:v>Redwood Asset Management</x:v>
      </x:c>
      <x:c r="E2608" s="166" t="str">
        <x:f>IFERROR(INDEX('Classif Gestoras'!$H$6:$H$462,MATCH(D2608,'Classif Gestoras'!$A$6:$A$462,0)),"Não classificada")</x:f>
        <x:v>Independente</x:v>
      </x:c>
      <x:c r="F2608" s="166" t="str">
        <x:v>PLANNER CV</x:v>
      </x:c>
      <x:c r="G2608" s="166" t="str">
        <x:v>PLANNER CORRETORA DE VALORES S.A.</x:v>
      </x:c>
      <x:c r="H2608" s="166" t="str">
        <x:v>Outros</x:v>
      </x:c>
      <x:c r="I2608" s="166" t="str">
        <x:v>Multicarteira Outros</x:v>
      </x:c>
      <x:c r="J2608" s="166" t="str">
        <x:v>CI</x:v>
      </x:c>
      <x:c r="K2608" s="172" t="n">
        <x:v>1</x:v>
      </x:c>
      <x:c r="L2608" s="185" t="str">
        <x:v>Não classificado</x:v>
      </x:c>
    </x:row>
    <x:row r="2609">
      <x:c r="A2609" s="175" t="str">
        <x:v>60.604.288/0001-35</x:v>
      </x:c>
      <x:c r="B2609" s="166" t="str">
        <x:v>VRD FUNDO DE INVESTIMENTO EM DIREITOS CREDITÓRIOS NÃO-PADRONIZADOS</x:v>
      </x:c>
      <x:c r="C2609" s="188" t="n">
        <x:v>8674619.94</x:v>
      </x:c>
      <x:c r="D2609" s="166" t="str">
        <x:v>ASSET MANAGEMENT</x:v>
      </x:c>
      <x:c r="E2609" s="166" t="str">
        <x:f>IFERROR(INDEX('Classif Gestoras'!$H$6:$H$462,MATCH(D2609,'Classif Gestoras'!$A$6:$A$462,0)),"Não classificada")</x:f>
        <x:v>Independente</x:v>
      </x:c>
      <x:c r="F2609" s="166" t="str">
        <x:v>AZUMI DISTRIBUIDORA DE TÍTULOS E VALORES MOBILIÁRIOS LT</x:v>
      </x:c>
      <x:c r="G2609" s="166" t="str">
        <x:v>AZUMI DISTRIBUIDORA DE TÍTULOS E VALORES MOBILIÁRIOS LTDA.</x:v>
      </x:c>
      <x:c r="H2609" s="166" t="str">
        <x:v>Outros</x:v>
      </x:c>
      <x:c r="I2609" s="166" t="str">
        <x:v>Multicarteira Outros</x:v>
      </x:c>
      <x:c r="J2609" s="166" t="str">
        <x:v>CI</x:v>
      </x:c>
      <x:c r="K2609" s="172" t="n">
        <x:v>2</x:v>
      </x:c>
      <x:c r="L2609" s="185" t="str">
        <x:v>Não classificado</x:v>
      </x:c>
    </x:row>
    <x:row r="2610">
      <x:c r="A2610" s="175" t="str">
        <x:v>49.466.992/0001-36</x:v>
      </x:c>
      <x:c r="B2610" s="166" t="str">
        <x:v>MARCA I FUNDO DE INVESTIMENTO EM DIREITOS CREDITÓRIOS</x:v>
      </x:c>
      <x:c r="C2610" s="188" t="n">
        <x:v>8674604.51</x:v>
      </x:c>
      <x:c r="D2610" s="166" t="str">
        <x:v>TERCON ASSET MANAGEMENT</x:v>
      </x:c>
      <x:c r="E2610" s="166" t="str">
        <x:f>IFERROR(INDEX('Classif Gestoras'!$H$6:$H$462,MATCH(D2610,'Classif Gestoras'!$A$6:$A$462,0)),"Não classificada")</x:f>
        <x:v>Independente</x:v>
      </x:c>
      <x:c r="F2610" s="166" t="str">
        <x:v>Limine Trust Distribuidora de Titulos e Valores Mobiliá</x:v>
      </x:c>
      <x:c r="G2610" s="166" t="str">
        <x:v>LIMINE TRUST DISTRIBUIDORA DE TITULOS E VALORES MOBILIARIOS LTDA.</x:v>
      </x:c>
      <x:c r="H2610" s="166" t="str">
        <x:v>Outros</x:v>
      </x:c>
      <x:c r="I2610" s="166" t="str">
        <x:v>Multicarteira Outros</x:v>
      </x:c>
      <x:c r="J2610" s="166" t="str">
        <x:v>CI</x:v>
      </x:c>
      <x:c r="K2610" s="172" t="n">
        <x:v>2</x:v>
      </x:c>
      <x:c r="L2610" s="185" t="str">
        <x:v>Não classificado</x:v>
      </x:c>
    </x:row>
    <x:row r="2611">
      <x:c r="A2611" s="175" t="str">
        <x:v>27.944.815/0001-85</x:v>
      </x:c>
      <x:c r="B2611" s="166" t="str">
        <x:v>PRIMEIRA LINHA FUNDO DE INVESTIMENTO EM DIREITOS CREDITORIOS MULTISSETORIAL</x:v>
      </x:c>
      <x:c r="C2611" s="188" t="n">
        <x:v>8670240.65</x:v>
      </x:c>
      <x:c r="D2611" s="166" t="str">
        <x:v>OURO PRETO INVESTIMENTOS</x:v>
      </x:c>
      <x:c r="E2611" s="166" t="str">
        <x:f>IFERROR(INDEX('Classif Gestoras'!$H$6:$H$462,MATCH(D2611,'Classif Gestoras'!$A$6:$A$462,0)),"Não classificada")</x:f>
        <x:v>Independente</x:v>
      </x:c>
      <x:c r="F2611" s="166" t="str">
        <x:v>Singulare</x:v>
      </x:c>
      <x:c r="G2611" s="166" t="str">
        <x:v>QI CORRETORA DE TÍTULOS E VALORES MOBILIÁRIOS S.A.</x:v>
      </x:c>
      <x:c r="H2611" s="166" t="str">
        <x:v>Fomento Mercantil</x:v>
      </x:c>
      <x:c r="I2611" s="166" t="str">
        <x:v>Fomento Mercantil</x:v>
      </x:c>
      <x:c r="J2611" s="166" t="str">
        <x:v>CI</x:v>
      </x:c>
      <x:c r="K2611" s="172" t="n">
        <x:v>1</x:v>
      </x:c>
      <x:c r="L2611" s="185" t="str">
        <x:v>Não classificado</x:v>
      </x:c>
    </x:row>
    <x:row r="2612">
      <x:c r="A2612" s="175" t="str">
        <x:v>23.884.789/0001-96</x:v>
      </x:c>
      <x:c r="B2612" s="166" t="str">
        <x:v>III FIDC POLO RECUPERAÇÃO DE CRÉDITO FUNDO DE INVESTIMENTO EM DIREITOS CREDITÓRIOS</x:v>
      </x:c>
      <x:c r="C2612" s="188" t="n">
        <x:v>8664647.060000002</x:v>
      </x:c>
      <x:c r="D2612" s="166" t="str">
        <x:v>Polo Capital Gestão de Recurso</x:v>
      </x:c>
      <x:c r="E2612" s="166" t="str">
        <x:f>IFERROR(INDEX('Classif Gestoras'!$H$6:$H$462,MATCH(D2612,'Classif Gestoras'!$A$6:$A$462,0)),"Não classificada")</x:f>
        <x:v>Independente</x:v>
      </x:c>
      <x:c r="F2612" s="166" t="str">
        <x:v>BEM - DIST. DE TÍTUL</x:v>
      </x:c>
      <x:c r="G2612" s="166" t="str">
        <x:v>BANCO BRADESCO S.A.</x:v>
      </x:c>
      <x:c r="H2612" s="166" t="str">
        <x:v>Outros</x:v>
      </x:c>
      <x:c r="I2612" s="166" t="str">
        <x:v>Recuperação</x:v>
      </x:c>
      <x:c r="J2612" s="166" t="str">
        <x:v>CI</x:v>
      </x:c>
      <x:c r="K2612" s="172" t="n">
        <x:v>5</x:v>
      </x:c>
      <x:c r="L2612" s="185" t="str">
        <x:v>Não classificado</x:v>
      </x:c>
    </x:row>
    <x:row r="2613">
      <x:c r="A2613" s="175" t="str">
        <x:v>17.043.211/0001-04</x:v>
      </x:c>
      <x:c r="B2613" s="166" t="str">
        <x:v>VHY I FUNDO DE INVESTIMENTO EM DIREITOS CREDITÓRIOS MULTISEGMENTOS DE RESPONSABILIDADE LIMITADA</x:v>
      </x:c>
      <x:c r="C2613" s="188" t="n">
        <x:v>8626915.91</x:v>
      </x:c>
      <x:c r="D2613" s="166" t="str">
        <x:v>Vinci Gestora de Recursos LTDA</x:v>
      </x:c>
      <x:c r="E2613" s="166" t="str">
        <x:f>IFERROR(INDEX('Classif Gestoras'!$H$6:$H$462,MATCH(D2613,'Classif Gestoras'!$A$6:$A$462,0)),"Não classificada")</x:f>
        <x:v>Independente</x:v>
      </x:c>
      <x:c r="F2613" s="166" t="str">
        <x:v>Banco Finaxis S.A.</x:v>
      </x:c>
      <x:c r="G2613" s="166" t="str">
        <x:v>BANCO FINAXIS S.A.</x:v>
      </x:c>
      <x:c r="H2613" s="166" t="str">
        <x:v>Outros</x:v>
      </x:c>
      <x:c r="I2613" s="166" t="str">
        <x:v>Multicarteira Outros</x:v>
      </x:c>
      <x:c r="J2613" s="166" t="str">
        <x:v>CI</x:v>
      </x:c>
      <x:c r="K2613" s="172" t="n">
        <x:v>4</x:v>
      </x:c>
      <x:c r="L2613" s="185" t="str">
        <x:v>Não classificado</x:v>
      </x:c>
    </x:row>
    <x:row r="2614">
      <x:c r="A2614" s="175" t="str">
        <x:v>65.930.239/0001-06</x:v>
      </x:c>
      <x:c r="B2614" s="166" t="str">
        <x:v>PET FUNDO DE INVESTIMENTO EM DIREITOS CREDITÓRIOS</x:v>
      </x:c>
      <x:c r="C2614" s="188" t="n">
        <x:v>8614472.9</x:v>
      </x:c>
      <x:c r="D2614" s="166" t="str">
        <x:v>NEBRASKA CAPITAL</x:v>
      </x:c>
      <x:c r="E2614" s="166" t="str">
        <x:f>IFERROR(INDEX('Classif Gestoras'!$H$6:$H$462,MATCH(D2614,'Classif Gestoras'!$A$6:$A$462,0)),"Não classificada")</x:f>
        <x:v>Independente</x:v>
      </x:c>
      <x:c r="F2614" s="166" t="str">
        <x:v>BTG Pactual Servicos Financeiros S/A DTVM</x:v>
      </x:c>
      <x:c r="G2614" s="166" t="str">
        <x:v>BANCO BTG PACTUAL S/A</x:v>
      </x:c>
      <x:c r="H2614" s="166" t="str">
        <x:v>Outros</x:v>
      </x:c>
      <x:c r="I2614" s="166" t="str">
        <x:v>Multicarteira Outros</x:v>
      </x:c>
      <x:c r="J2614" s="166" t="str">
        <x:v>CI</x:v>
      </x:c>
      <x:c r="K2614" s="172" t="n">
        <x:v>1</x:v>
      </x:c>
      <x:c r="L2614" s="185" t="str">
        <x:v>Não classificado</x:v>
      </x:c>
    </x:row>
    <x:row r="2615">
      <x:c r="A2615" s="175" t="str">
        <x:v>52.363.837/0001-07</x:v>
      </x:c>
      <x:c r="B2615" s="166" t="str">
        <x:v>FAMA GAIA SOCIOBIOECONOMIA FUNDO DE INVESTIMENTO EM DIREITOS CREDITÓRIOS INVESTIMENTO SUSTENTÁVEL</x:v>
      </x:c>
      <x:c r="C2615" s="188" t="n">
        <x:v>8613875.54</x:v>
      </x:c>
      <x:c r="D2615" s="166" t="str">
        <x:v>fama re.capital</x:v>
      </x:c>
      <x:c r="E2615" s="166" t="str">
        <x:f>IFERROR(INDEX('Classif Gestoras'!$H$6:$H$462,MATCH(D2615,'Classif Gestoras'!$A$6:$A$462,0)),"Não classificada")</x:f>
        <x:v>Independente</x:v>
      </x:c>
      <x:c r="F2615" s="166" t="str">
        <x:v>OSLO DTVM S. A.</x:v>
      </x:c>
      <x:c r="G2615" s="166" t="str">
        <x:v>OSLO CAPITAL DISTRIBUIDORA DE TITULOS E VALORES MOBILIARIOS S.A.</x:v>
      </x:c>
      <x:c r="H2615" s="166" t="str">
        <x:v>Outros</x:v>
      </x:c>
      <x:c r="I2615" s="166" t="str">
        <x:v>Multicarteira Outros</x:v>
      </x:c>
      <x:c r="J2615" s="166" t="str">
        <x:v>CI</x:v>
      </x:c>
      <x:c r="K2615" s="172" t="n">
        <x:v>13</x:v>
      </x:c>
      <x:c r="L2615" s="185" t="str">
        <x:v>Não classificado</x:v>
      </x:c>
    </x:row>
    <x:row r="2616">
      <x:c r="A2616" s="175" t="str">
        <x:v>22.003.571/0001-12</x:v>
      </x:c>
      <x:c r="B2616" s="166" t="str">
        <x:v>INVESTOR FUNDO DE INVESTIMENTO EM DIREITOS CREDITÓRIOS</x:v>
      </x:c>
      <x:c r="C2616" s="188" t="n">
        <x:v>8586186.799999999</x:v>
      </x:c>
      <x:c r="D2616" s="166" t="str">
        <x:v>TERCON ASSET MANAGEMENT</x:v>
      </x:c>
      <x:c r="E2616" s="166" t="str">
        <x:f>IFERROR(INDEX('Classif Gestoras'!$H$6:$H$462,MATCH(D2616,'Classif Gestoras'!$A$6:$A$462,0)),"Não classificada")</x:f>
        <x:v>Independente</x:v>
      </x:c>
      <x:c r="F2616" s="166" t="str">
        <x:v>Singulare</x:v>
      </x:c>
      <x:c r="G2616" s="166" t="str">
        <x:v>QI CORRETORA DE TÍTULOS E VALORES MOBILIÁRIOS S.A.</x:v>
      </x:c>
      <x:c r="H2616" s="166" t="str">
        <x:v>Fomento Mercantil</x:v>
      </x:c>
      <x:c r="I2616" s="166" t="str">
        <x:v>Fomento Mercantil</x:v>
      </x:c>
      <x:c r="J2616" s="166" t="str">
        <x:v>CI</x:v>
      </x:c>
      <x:c r="K2616" s="172" t="n">
        <x:v>12</x:v>
      </x:c>
      <x:c r="L2616" s="185" t="str">
        <x:v>Não classificado</x:v>
      </x:c>
    </x:row>
    <x:row r="2617">
      <x:c r="A2617" s="175" t="str">
        <x:v>62.791.919/0001-06</x:v>
      </x:c>
      <x:c r="B2617" s="166" t="str">
        <x:v>BE FUND FUNDO DE INVESTIMENTO EM DIREITOS CREDITÓRIOS RESPONSABILIDADE LIMITADA</x:v>
      </x:c>
      <x:c r="C2617" s="188" t="n">
        <x:v>8539186.84</x:v>
      </x:c>
      <x:c r="D2617" s="166" t="str">
        <x:v>MORRO CAPITAL GESTORA DE RECURSOS LTDA</x:v>
      </x:c>
      <x:c r="E2617" s="166" t="str">
        <x:f>IFERROR(INDEX('Classif Gestoras'!$H$6:$H$462,MATCH(D2617,'Classif Gestoras'!$A$6:$A$462,0)),"Não classificada")</x:f>
        <x:v>Independente</x:v>
      </x:c>
      <x:c r="F2617" s="166" t="str">
        <x:v>ID Corretora de Títulos e Valores Mobiliários S.A.</x:v>
      </x:c>
      <x:c r="G2617" s="166" t="str">
        <x:v>ID CORRETORA DE TITULOS E VALORES MOBILIARIOS S.A.</x:v>
      </x:c>
      <x:c r="H2617" s="166" t="str">
        <x:v>Outros</x:v>
      </x:c>
      <x:c r="I2617" s="166" t="str">
        <x:v>Multicarteira Outros</x:v>
      </x:c>
      <x:c r="J2617" s="166" t="str">
        <x:v>CI</x:v>
      </x:c>
      <x:c r="K2617" s="172" t="n">
        <x:v>3</x:v>
      </x:c>
      <x:c r="L2617" s="185" t="str">
        <x:v>Não classificado</x:v>
      </x:c>
    </x:row>
    <x:row r="2618">
      <x:c r="A2618" s="175" t="str">
        <x:v>53.033.766/0001-39</x:v>
      </x:c>
      <x:c r="B2618" s="166" t="str">
        <x:v>PROSPERITÀ FUNDO DE INVESTIMENTO EM DIREITOS CREDITÓRIOS</x:v>
      </x:c>
      <x:c r="C2618" s="188" t="n">
        <x:v>8468803.48</x:v>
      </x:c>
      <x:c r="D2618" s="166" t="str">
        <x:v>FIDD Administração de Recursos Ltda.</x:v>
      </x:c>
      <x:c r="E2618" s="166" t="str">
        <x:f>IFERROR(INDEX('Classif Gestoras'!$H$6:$H$462,MATCH(D2618,'Classif Gestoras'!$A$6:$A$462,0)),"Não classificada")</x:f>
        <x:v>Independente</x:v>
      </x:c>
      <x:c r="F2618" s="166" t="str">
        <x:v>FIDD DISTRIBUIDORA DE TITULOS E VALORES MOBILIARIOS LTD</x:v>
      </x:c>
      <x:c r="G2618" s="166" t="str">
        <x:v>FIDD DISTRIBUIDORA DE TITULOS E VALORES MOBILIARIOS LTDA.</x:v>
      </x:c>
      <x:c r="H2618" s="166" t="str">
        <x:v>Outros</x:v>
      </x:c>
      <x:c r="I2618" s="166" t="str">
        <x:v>Multicarteira Outros</x:v>
      </x:c>
      <x:c r="J2618" s="166" t="str">
        <x:v>CI</x:v>
      </x:c>
      <x:c r="K2618" s="172" t="n">
        <x:v>2</x:v>
      </x:c>
      <x:c r="L2618" s="185" t="str">
        <x:v>Não classificado</x:v>
      </x:c>
    </x:row>
    <x:row r="2619">
      <x:c r="A2619" s="175" t="str">
        <x:v>52.348.286/0001-02</x:v>
      </x:c>
      <x:c r="B2619" s="166" t="str">
        <x:v>EXP RF CONSERVADOR FEEDER - FIDC</x:v>
      </x:c>
      <x:c r="C2619" s="188" t="n">
        <x:v>8459739.65</x:v>
      </x:c>
      <x:c r="D2619" s="166" t="str">
        <x:v>IDGR</x:v>
      </x:c>
      <x:c r="E2619" s="166" t="str">
        <x:f>IFERROR(INDEX('Classif Gestoras'!$H$6:$H$462,MATCH(D2619,'Classif Gestoras'!$A$6:$A$462,0)),"Não classificada")</x:f>
        <x:v>Independente</x:v>
      </x:c>
      <x:c r="F2619" s="166" t="str">
        <x:v>ID Corretora de Títulos e Valores Mobiliários S.A.</x:v>
      </x:c>
      <x:c r="G2619" s="166" t="str">
        <x:v>ID CORRETORA DE TITULOS E VALORES MOBILIARIOS S.A.</x:v>
      </x:c>
      <x:c r="H2619" s="166" t="str">
        <x:v>Outros</x:v>
      </x:c>
      <x:c r="I2619" s="166" t="str">
        <x:v>Multicarteira Outros</x:v>
      </x:c>
      <x:c r="J2619" s="166" t="str">
        <x:v>CI</x:v>
      </x:c>
      <x:c r="K2619" s="172" t="n">
        <x:v>0</x:v>
      </x:c>
      <x:c r="L2619" s="185" t="str">
        <x:v>Não classificado</x:v>
      </x:c>
    </x:row>
    <x:row r="2620">
      <x:c r="A2620" s="175" t="str">
        <x:v>61.575.850/0001-02</x:v>
      </x:c>
      <x:c r="B2620" s="166" t="str">
        <x:v>LEXEDGE I FUNDO DE INVESTIMENTO EM DIREITOS CREDITÓRIOS - RESPONSABILIDADE LIMITADA</x:v>
      </x:c>
      <x:c r="C2620" s="188" t="n">
        <x:v>8448073.729999999</x:v>
      </x:c>
      <x:c r="D2620" s="166" t="str">
        <x:v>OURO PRETO INVESTIMENTOS</x:v>
      </x:c>
      <x:c r="E2620" s="166" t="str">
        <x:f>IFERROR(INDEX('Classif Gestoras'!$H$6:$H$462,MATCH(D2620,'Classif Gestoras'!$A$6:$A$462,0)),"Não classificada")</x:f>
        <x:v>Independente</x:v>
      </x:c>
      <x:c r="F2620" s="166" t="str">
        <x:v>Singulare</x:v>
      </x:c>
      <x:c r="G2620" s="166" t="str">
        <x:v>QI CORRETORA DE TÍTULOS E VALORES MOBILIÁRIOS S.A.</x:v>
      </x:c>
      <x:c r="H2620" s="166" t="str">
        <x:v>Outros</x:v>
      </x:c>
      <x:c r="I2620" s="166" t="str">
        <x:v>Poder Público</x:v>
      </x:c>
      <x:c r="J2620" s="166" t="str">
        <x:v>CI</x:v>
      </x:c>
      <x:c r="K2620" s="172" t="n">
        <x:v>12</x:v>
      </x:c>
      <x:c r="L2620" s="185" t="str">
        <x:v>Não classificado</x:v>
      </x:c>
    </x:row>
    <x:row r="2621">
      <x:c r="A2621" s="175" t="str">
        <x:v>48.053.945/0001-06</x:v>
      </x:c>
      <x:c r="B2621" s="166" t="str">
        <x:v>XP C1 FUNDO DE INVESTIMENTO EM DIREITOS CREDITÓRIOS NÃO-PADRONIZADOS</x:v>
      </x:c>
      <x:c r="C2621" s="188" t="n">
        <x:v>8444528</x:v>
      </x:c>
      <x:c r="D2621" s="166" t="str">
        <x:v>Vista Real Estate</x:v>
      </x:c>
      <x:c r="E2621" s="166" t="str">
        <x:f>IFERROR(INDEX('Classif Gestoras'!$H$6:$H$462,MATCH(D2621,'Classif Gestoras'!$A$6:$A$462,0)),"Não classificada")</x:f>
        <x:v>Independente</x:v>
      </x:c>
      <x:c r="F2621" s="166" t="str">
        <x:v>BRL TRUST DTVM</x:v>
      </x:c>
      <x:c r="G2621" s="166" t="str">
        <x:v>BRL TRUST DISTRIBUIDORA DE TITULOS E VALORES MOBILIARIOS S.A.</x:v>
      </x:c>
      <x:c r="H2621" s="166" t="str">
        <x:v>Agro, Indústria e Comércio</x:v>
      </x:c>
      <x:c r="I2621" s="166" t="str">
        <x:v>Multicarteira Agro, Indústria e Comércio</x:v>
      </x:c>
      <x:c r="J2621" s="166" t="str">
        <x:v>CI</x:v>
      </x:c>
      <x:c r="K2621" s="172" t="n">
        <x:v>2</x:v>
      </x:c>
      <x:c r="L2621" s="185" t="str">
        <x:v>Não classificado</x:v>
      </x:c>
    </x:row>
    <x:row r="2622">
      <x:c r="A2622" s="175" t="str">
        <x:v>63.464.230/0001-21</x:v>
      </x:c>
      <x:c r="B2622" s="166" t="str">
        <x:v>NEO SEED FUNDO DE INVESTIMENTO EM DIREITOS CREDITÓRIOS - RESPONSABILIDADE LIMITADA</x:v>
      </x:c>
      <x:c r="C2622" s="188" t="n">
        <x:v>8419506.71</x:v>
      </x:c>
      <x:c r="D2622" s="166" t="str">
        <x:v>SPECIAL SITUATIONS NEO GESTAO DE RECURSOS LTDA</x:v>
      </x:c>
      <x:c r="E2622" s="166" t="str">
        <x:f>IFERROR(INDEX('Classif Gestoras'!$H$6:$H$462,MATCH(D2622,'Classif Gestoras'!$A$6:$A$462,0)),"Não classificada")</x:f>
        <x:v>Independente</x:v>
      </x:c>
      <x:c r="F2622" s="166" t="str">
        <x:v>VÓRTX DTVM</x:v>
      </x:c>
      <x:c r="G2622" s="166" t="str">
        <x:v>VORTX DISTRIBUIDORA DE TITULOS E VALORES MOBILIARIOS LTDA.</x:v>
      </x:c>
      <x:c r="H2622" s="166" t="str">
        <x:v>Outros</x:v>
      </x:c>
      <x:c r="I2622" s="166" t="str">
        <x:v>Multicarteira Outros</x:v>
      </x:c>
      <x:c r="J2622" s="166" t="str">
        <x:v>CI</x:v>
      </x:c>
      <x:c r="K2622" s="172" t="n">
        <x:v>18</x:v>
      </x:c>
      <x:c r="L2622" s="185" t="str">
        <x:v>Não classificado</x:v>
      </x:c>
    </x:row>
    <x:row r="2623">
      <x:c r="A2623" s="175" t="str">
        <x:v>37.910.672/0001-44</x:v>
      </x:c>
      <x:c r="B2623" s="166" t="str">
        <x:v>CNPJ 37910672000144</x:v>
      </x:c>
      <x:c r="C2623" s="188" t="n">
        <x:v>8414260.4</x:v>
      </x:c>
      <x:c r="D2623" s="166" t="str">
        <x:v>Libertas Asset</x:v>
      </x:c>
      <x:c r="E2623" s="166" t="str">
        <x:f>IFERROR(INDEX('Classif Gestoras'!$H$6:$H$462,MATCH(D2623,'Classif Gestoras'!$A$6:$A$462,0)),"Não classificada")</x:f>
        <x:v>Independente</x:v>
      </x:c>
      <x:c r="F2623" s="166" t="str">
        <x:v>ACTUAL DTVM</x:v>
      </x:c>
      <x:c r="G2623" s="166" t="str">
        <x:v>Não identificado</x:v>
      </x:c>
      <x:c r="H2623" s="166" t="str">
        <x:v>Fomento Mercantil</x:v>
      </x:c>
      <x:c r="I2623" s="166" t="str">
        <x:v>Fomento Mercantil</x:v>
      </x:c>
      <x:c r="J2623" s="166" t="str">
        <x:v>CI</x:v>
      </x:c>
      <x:c r="K2623" s="172"/>
      <x:c r="L2623" s="185" t="str">
        <x:v>Não classificado</x:v>
      </x:c>
    </x:row>
    <x:row r="2624">
      <x:c r="A2624" s="175" t="str">
        <x:v>51.920.831/0001-12</x:v>
      </x:c>
      <x:c r="B2624" s="166" t="str">
        <x:v>INOVA CREDTECH II FUNDO DE INVESTIMENTOS EM DIREITOS CREDITÓRIOS</x:v>
      </x:c>
      <x:c r="C2624" s="188" t="n">
        <x:v>8371341.34</x:v>
      </x:c>
      <x:c r="D2624" s="166" t="str">
        <x:v>BERTHA CAPITAL</x:v>
      </x:c>
      <x:c r="E2624" s="166" t="str">
        <x:f>IFERROR(INDEX('Classif Gestoras'!$H$6:$H$462,MATCH(D2624,'Classif Gestoras'!$A$6:$A$462,0)),"Não classificada")</x:f>
        <x:v>Independente</x:v>
      </x:c>
      <x:c r="F2624" s="166" t="str">
        <x:v>MONETAR DISTRIBUIDORA DE TITUL</x:v>
      </x:c>
      <x:c r="G2624" s="166" t="str">
        <x:v>TERRA INVESTIMENTOS DISTRIBUIDORA DE TITULOS E VALORES MOBILIARIOS LTDA</x:v>
      </x:c>
      <x:c r="H2624" s="166" t="str">
        <x:v>Outros</x:v>
      </x:c>
      <x:c r="I2624" s="166" t="str">
        <x:v>Recuperação</x:v>
      </x:c>
      <x:c r="J2624" s="166" t="str">
        <x:v>CI</x:v>
      </x:c>
      <x:c r="K2624" s="172" t="n">
        <x:v>2</x:v>
      </x:c>
      <x:c r="L2624" s="185" t="str">
        <x:v>Não classificado</x:v>
      </x:c>
    </x:row>
    <x:row r="2625">
      <x:c r="A2625" s="175" t="str">
        <x:v>44.272.660/0001-05</x:v>
      </x:c>
      <x:c r="B2625" s="166" t="str">
        <x:v>PRECATO III FUNDO DE INVESTIMENTO EM DIREITOS CREDITÓRIOS DE RESPONSABILIDADE LIMITADA</x:v>
      </x:c>
      <x:c r="C2625" s="188" t="n">
        <x:v>8362480.48</x:v>
      </x:c>
      <x:c r="D2625" s="166" t="str">
        <x:v>TAG Investimentos</x:v>
      </x:c>
      <x:c r="E2625" s="166" t="str">
        <x:f>IFERROR(INDEX('Classif Gestoras'!$H$6:$H$462,MATCH(D2625,'Classif Gestoras'!$A$6:$A$462,0)),"Não classificada")</x:f>
        <x:v>Independente</x:v>
      </x:c>
      <x:c r="F2625" s="166" t="str">
        <x:v>VÓRTX DTVM</x:v>
      </x:c>
      <x:c r="G2625" s="166" t="str">
        <x:v>VORTX DISTRIBUIDORA DE TITULOS E VALORES MOBILIARIOS LTDA.</x:v>
      </x:c>
      <x:c r="H2625" s="166" t="str">
        <x:v>Outros</x:v>
      </x:c>
      <x:c r="I2625" s="166" t="str">
        <x:v>Poder Público</x:v>
      </x:c>
      <x:c r="J2625" s="166" t="str">
        <x:v>CI</x:v>
      </x:c>
      <x:c r="K2625" s="172" t="n">
        <x:v>7</x:v>
      </x:c>
      <x:c r="L2625" s="185" t="str">
        <x:v>Não classificado</x:v>
      </x:c>
    </x:row>
    <x:row r="2626">
      <x:c r="A2626" s="175" t="str">
        <x:v>60.809.123/0001-08</x:v>
      </x:c>
      <x:c r="B2626" s="166" t="str">
        <x:v>QCX FUNDO DE INVESTIMENTO EM DIREITOS CREDITÓRIOS</x:v>
      </x:c>
      <x:c r="C2626" s="188" t="n">
        <x:v>8331980.93</x:v>
      </x:c>
      <x:c r="D2626" s="166" t="str">
        <x:v>ICON CAPITAL</x:v>
      </x:c>
      <x:c r="E2626" s="166" t="str">
        <x:f>IFERROR(INDEX('Classif Gestoras'!$H$6:$H$462,MATCH(D2626,'Classif Gestoras'!$A$6:$A$462,0)),"Não classificada")</x:f>
        <x:v>Independente</x:v>
      </x:c>
      <x:c r="F2626" s="166" t="str">
        <x:v>FIDD DISTRIBUIDORA DE TITULOS E VALORES MOBILIARIOS LTD</x:v>
      </x:c>
      <x:c r="G2626" s="166" t="str">
        <x:v>FIDD DISTRIBUIDORA DE TITULOS E VALORES MOBILIARIOS LTDA.</x:v>
      </x:c>
      <x:c r="H2626" s="166" t="str">
        <x:v>Outros</x:v>
      </x:c>
      <x:c r="I2626" s="166" t="str">
        <x:v>Multicarteira Outros</x:v>
      </x:c>
      <x:c r="J2626" s="166" t="str">
        <x:v>CI</x:v>
      </x:c>
      <x:c r="K2626" s="172" t="n">
        <x:v>1</x:v>
      </x:c>
      <x:c r="L2626" s="185" t="str">
        <x:v>Não classificado</x:v>
      </x:c>
    </x:row>
    <x:row r="2627">
      <x:c r="A2627" s="175" t="str">
        <x:v>60.779.517/0001-52</x:v>
      </x:c>
      <x:c r="B2627" s="166" t="str">
        <x:v>ALPINE ASPEN FUNDO DE INVESTIMENTO EM DIREITOS CREDITÓRIOS NÃO-PADRONIZADOS</x:v>
      </x:c>
      <x:c r="C2627" s="188" t="n">
        <x:v>8311886.48</x:v>
      </x:c>
      <x:c r="D2627" s="166" t="str">
        <x:v>ASSET MANAGEMENT</x:v>
      </x:c>
      <x:c r="E2627" s="166" t="str">
        <x:f>IFERROR(INDEX('Classif Gestoras'!$H$6:$H$462,MATCH(D2627,'Classif Gestoras'!$A$6:$A$462,0)),"Não classificada")</x:f>
        <x:v>Independente</x:v>
      </x:c>
      <x:c r="F2627" s="166" t="str">
        <x:v>AZUMI DISTRIBUIDORA DE TÍTULOS E VALORES MOBILIÁRIOS LT</x:v>
      </x:c>
      <x:c r="G2627" s="166" t="str">
        <x:v>AZUMI DISTRIBUIDORA DE TÍTULOS E VALORES MOBILIÁRIOS LTDA.</x:v>
      </x:c>
      <x:c r="H2627" s="166" t="str">
        <x:v>Financeiro</x:v>
      </x:c>
      <x:c r="I2627" s="166" t="str">
        <x:v>Multicarteira Financeiro</x:v>
      </x:c>
      <x:c r="J2627" s="166" t="str">
        <x:v>CI</x:v>
      </x:c>
      <x:c r="K2627" s="172" t="n">
        <x:v>4</x:v>
      </x:c>
      <x:c r="L2627" s="185" t="str">
        <x:v>Não classificado</x:v>
      </x:c>
    </x:row>
    <x:row r="2628">
      <x:c r="A2628" s="175" t="str">
        <x:v>41.341.232/0001-90</x:v>
      </x:c>
      <x:c r="B2628" s="166" t="str">
        <x:v>HOLDER FUNDO DE INVESTIMENTO EM DIREITOS CREDITÓRIOS NÃO PADRONIZADOS</x:v>
      </x:c>
      <x:c r="C2628" s="188" t="n">
        <x:v>8310397.039999998</x:v>
      </x:c>
      <x:c r="D2628" s="166" t="str">
        <x:v>Harbour Capital</x:v>
      </x:c>
      <x:c r="E2628" s="166" t="str">
        <x:f>IFERROR(INDEX('Classif Gestoras'!$H$6:$H$462,MATCH(D2628,'Classif Gestoras'!$A$6:$A$462,0)),"Não classificada")</x:f>
        <x:v>Independente</x:v>
      </x:c>
      <x:c r="F2628" s="166" t="str">
        <x:v>AZUMI DISTRIBUIDORA DE TÍTULOS E VALORES MOBILIÁRIOS LT</x:v>
      </x:c>
      <x:c r="G2628" s="166" t="str">
        <x:v>AZUMI DISTRIBUIDORA DE TÍTULOS E VALORES MOBILIÁRIOS LTDA.</x:v>
      </x:c>
      <x:c r="H2628" s="166" t="str">
        <x:v>Financeiro</x:v>
      </x:c>
      <x:c r="I2628" s="166" t="str">
        <x:v>Crédito Imobiliário</x:v>
      </x:c>
      <x:c r="J2628" s="166" t="str">
        <x:v>CI</x:v>
      </x:c>
      <x:c r="K2628" s="172" t="n">
        <x:v>1</x:v>
      </x:c>
      <x:c r="L2628" s="185" t="str">
        <x:v>Não classificado</x:v>
      </x:c>
    </x:row>
    <x:row r="2629">
      <x:c r="A2629" s="175" t="str">
        <x:v>63.809.103/0001-17</x:v>
      </x:c>
      <x:c r="B2629" s="166" t="str">
        <x:v>NOVUS CRÉDITO HIGH YIELD FUNDO DE INVESTIMENTO EM DIREITOS CREDITÓRIOS</x:v>
      </x:c>
      <x:c r="C2629" s="188" t="n">
        <x:v>8293387.14</x:v>
      </x:c>
      <x:c r="D2629" s="166" t="str">
        <x:v>Novus Capital</x:v>
      </x:c>
      <x:c r="E2629" s="166" t="str">
        <x:f>IFERROR(INDEX('Classif Gestoras'!$H$6:$H$462,MATCH(D2629,'Classif Gestoras'!$A$6:$A$462,0)),"Não classificada")</x:f>
        <x:v>Independente</x:v>
      </x:c>
      <x:c r="F2629" s="166" t="str">
        <x:v>XPI CCTVM S/A</x:v>
      </x:c>
      <x:c r="G2629" s="166" t="str">
        <x:v>OLIVEIRA TRUST DTVM S.A.</x:v>
      </x:c>
      <x:c r="H2629" s="166" t="str">
        <x:v>Fomento Mercantil</x:v>
      </x:c>
      <x:c r="I2629" s="166" t="str">
        <x:v>Fomento Mercantil</x:v>
      </x:c>
      <x:c r="J2629" s="166" t="str">
        <x:v>CI</x:v>
      </x:c>
      <x:c r="K2629" s="172" t="n">
        <x:v>1</x:v>
      </x:c>
      <x:c r="L2629" s="185" t="str">
        <x:v>Não classificado</x:v>
      </x:c>
    </x:row>
    <x:row r="2630">
      <x:c r="A2630" s="175" t="str">
        <x:v>51.943.508/0001-64</x:v>
      </x:c>
      <x:c r="B2630" s="166" t="str">
        <x:v>CARMEL FUNDO DE INVESTIMENTO EM DIREITOS CREDITÓRIOS</x:v>
      </x:c>
      <x:c r="C2630" s="188" t="n">
        <x:v>8290157.77</x:v>
      </x:c>
      <x:c r="D2630" s="166" t="str">
        <x:v>Redwood Asset Management</x:v>
      </x:c>
      <x:c r="E2630" s="166" t="str">
        <x:f>IFERROR(INDEX('Classif Gestoras'!$H$6:$H$462,MATCH(D2630,'Classif Gestoras'!$A$6:$A$462,0)),"Não classificada")</x:f>
        <x:v>Independente</x:v>
      </x:c>
      <x:c r="F2630" s="166" t="str">
        <x:v>PLANNER CV</x:v>
      </x:c>
      <x:c r="G2630" s="166" t="str">
        <x:v>PLANNER CORRETORA DE VALORES S.A.</x:v>
      </x:c>
      <x:c r="H2630" s="166" t="str">
        <x:v>Outros</x:v>
      </x:c>
      <x:c r="I2630" s="166" t="str">
        <x:v>Multicarteira Outros</x:v>
      </x:c>
      <x:c r="J2630" s="166" t="str">
        <x:v>CI</x:v>
      </x:c>
      <x:c r="K2630" s="172" t="n">
        <x:v>1</x:v>
      </x:c>
      <x:c r="L2630" s="185" t="str">
        <x:v>Não classificado</x:v>
      </x:c>
    </x:row>
    <x:row r="2631">
      <x:c r="A2631" s="175" t="str">
        <x:v>44.613.189/0001-63</x:v>
      </x:c>
      <x:c r="B2631" s="166" t="str">
        <x:v>BIOMA INVESTIMENTOS FIAGRO EM DIREITOS CREDITÓRIOS</x:v>
      </x:c>
      <x:c r="C2631" s="188" t="n">
        <x:v>8263246.750000002</x:v>
      </x:c>
      <x:c r="D2631" s="166" t="str">
        <x:v>GFS INVESTIMENTOS</x:v>
      </x:c>
      <x:c r="E2631" s="166" t="str">
        <x:f>IFERROR(INDEX('Classif Gestoras'!$H$6:$H$462,MATCH(D2631,'Classif Gestoras'!$A$6:$A$462,0)),"Não classificada")</x:f>
        <x:v>Independente</x:v>
      </x:c>
      <x:c r="F2631" s="166" t="str">
        <x:v>PLANNER CV</x:v>
      </x:c>
      <x:c r="G2631" s="166" t="str">
        <x:v>PLANNER CORRETORA DE VALORES S.A.</x:v>
      </x:c>
      <x:c r="H2631" s="166" t="str">
        <x:v>Agro, Indústria e Comércio</x:v>
      </x:c>
      <x:c r="I2631" s="166" t="str">
        <x:v>Agronegócio</x:v>
      </x:c>
      <x:c r="J2631" s="166" t="str">
        <x:v>CI</x:v>
      </x:c>
      <x:c r="K2631" s="172" t="n">
        <x:v>14</x:v>
      </x:c>
      <x:c r="L2631" s="185" t="str">
        <x:v>Não classificado</x:v>
      </x:c>
    </x:row>
    <x:row r="2632">
      <x:c r="A2632" s="175" t="str">
        <x:v>55.659.693/0001-10</x:v>
      </x:c>
      <x:c r="B2632" s="166" t="str">
        <x:v>CONSULT PRECATÓRIOS E RECEBÍVEIS FUNDO DE INVESTIMENTO EM DIREITOS CREDITÓRIOS RESP LIMITADA</x:v>
      </x:c>
      <x:c r="C2632" s="188" t="n">
        <x:v>8250179.88</x:v>
      </x:c>
      <x:c r="D2632" s="166" t="str">
        <x:v>Bless Capital Gestora de Recursos Ltda.</x:v>
      </x:c>
      <x:c r="E2632" s="166" t="str">
        <x:f>IFERROR(INDEX('Classif Gestoras'!$H$6:$H$462,MATCH(D2632,'Classif Gestoras'!$A$6:$A$462,0)),"Não classificada")</x:f>
        <x:v>Independente</x:v>
      </x:c>
      <x:c r="F2632" s="166" t="str">
        <x:v>ID Corretora de Títulos e Valores Mobiliários S.A.</x:v>
      </x:c>
      <x:c r="G2632" s="166" t="str">
        <x:v>ID CORRETORA DE TITULOS E VALORES MOBILIARIOS S.A.</x:v>
      </x:c>
      <x:c r="H2632" s="166" t="str">
        <x:v>Outros</x:v>
      </x:c>
      <x:c r="I2632" s="166" t="str">
        <x:v>Multicarteira Outros</x:v>
      </x:c>
      <x:c r="J2632" s="166" t="str">
        <x:v>CI</x:v>
      </x:c>
      <x:c r="K2632" s="172" t="n">
        <x:v>4</x:v>
      </x:c>
      <x:c r="L2632" s="185" t="str">
        <x:v>Não classificado</x:v>
      </x:c>
    </x:row>
    <x:row r="2633">
      <x:c r="A2633" s="175" t="str">
        <x:v>61.177.258/0001-52</x:v>
      </x:c>
      <x:c r="B2633" s="166" t="str">
        <x:v>JPA AGRO I FUNDO DE INVESTIMENTO EM DIREITOS CREDITÓRIOS DE RESPONSABILIDADE LIMITADA</x:v>
      </x:c>
      <x:c r="C2633" s="188" t="n">
        <x:v>8219456.23</x:v>
      </x:c>
      <x:c r="D2633" s="166" t="str">
        <x:v>TAG Investimentos</x:v>
      </x:c>
      <x:c r="E2633" s="166" t="str">
        <x:f>IFERROR(INDEX('Classif Gestoras'!$H$6:$H$462,MATCH(D2633,'Classif Gestoras'!$A$6:$A$462,0)),"Não classificada")</x:f>
        <x:v>Independente</x:v>
      </x:c>
      <x:c r="F2633" s="166" t="str">
        <x:v>VÓRTX DTVM</x:v>
      </x:c>
      <x:c r="G2633" s="166" t="str">
        <x:v>VORTX DISTRIBUIDORA DE TITULOS E VALORES MOBILIARIOS LTDA.</x:v>
      </x:c>
      <x:c r="H2633" s="166" t="str">
        <x:v>Outros</x:v>
      </x:c>
      <x:c r="I2633" s="166" t="str">
        <x:v>Multicarteira Outros</x:v>
      </x:c>
      <x:c r="J2633" s="166" t="str">
        <x:v>CI</x:v>
      </x:c>
      <x:c r="K2633" s="172" t="n">
        <x:v>2</x:v>
      </x:c>
      <x:c r="L2633" s="185" t="str">
        <x:v>Não classificado</x:v>
      </x:c>
    </x:row>
    <x:row r="2634">
      <x:c r="A2634" s="175" t="str">
        <x:v>33.953.549/0001-50</x:v>
      </x:c>
      <x:c r="B2634" s="166" t="str">
        <x:v>AGROSS FUNDO DE INVESTIMENTO EM DIREITOS CREDITÓRIOS</x:v>
      </x:c>
      <x:c r="C2634" s="188" t="n">
        <x:v>8180748.87</x:v>
      </x:c>
      <x:c r="D2634" s="166" t="str">
        <x:v>Redwood Asset Management</x:v>
      </x:c>
      <x:c r="E2634" s="166" t="str">
        <x:f>IFERROR(INDEX('Classif Gestoras'!$H$6:$H$462,MATCH(D2634,'Classif Gestoras'!$A$6:$A$462,0)),"Não classificada")</x:f>
        <x:v>Independente</x:v>
      </x:c>
      <x:c r="F2634" s="166" t="str">
        <x:v>PLANNER CV</x:v>
      </x:c>
      <x:c r="G2634" s="166" t="str">
        <x:v>PLANNER CORRETORA DE VALORES S.A.</x:v>
      </x:c>
      <x:c r="H2634" s="166" t="str">
        <x:v>Outros</x:v>
      </x:c>
      <x:c r="I2634" s="166" t="str">
        <x:v>Multicarteira Outros</x:v>
      </x:c>
      <x:c r="J2634" s="166" t="str">
        <x:v>CI</x:v>
      </x:c>
      <x:c r="K2634" s="172" t="n">
        <x:v>3</x:v>
      </x:c>
      <x:c r="L2634" s="185" t="str">
        <x:v>Não classificado</x:v>
      </x:c>
    </x:row>
    <x:row r="2635">
      <x:c r="A2635" s="175" t="str">
        <x:v>18.289.873/0001-21</x:v>
      </x:c>
      <x:c r="B2635" s="166" t="str">
        <x:v>FUNDO DE INVEST. EM DIR. CREDITÓRIOS BB VOTORANTIM HIGHLAND INFRAESTRUTURA RESPONSABILIDADE LIMITADA</x:v>
      </x:c>
      <x:c r="C2635" s="188" t="n">
        <x:v>8144979.379999999</x:v>
      </x:c>
      <x:c r="D2635" s="166" t="str">
        <x:v>Tivio Capital</x:v>
      </x:c>
      <x:c r="E2635" s="166" t="str">
        <x:f>IFERROR(INDEX('Classif Gestoras'!$H$6:$H$462,MATCH(D2635,'Classif Gestoras'!$A$6:$A$462,0)),"Não classificada")</x:f>
        <x:v>Independente</x:v>
      </x:c>
      <x:c r="F2635" s="166" t="str">
        <x:v>BB Asset Management</x:v>
      </x:c>
      <x:c r="G2635" s="166" t="str">
        <x:v>Não identificado</x:v>
      </x:c>
      <x:c r="H2635" s="166" t="str">
        <x:v>Agro, Indústria e Comércio</x:v>
      </x:c>
      <x:c r="I2635" s="166" t="str">
        <x:v>Infraestrutura</x:v>
      </x:c>
      <x:c r="J2635" s="166" t="str">
        <x:v>CI</x:v>
      </x:c>
      <x:c r="K2635" s="172" t="n">
        <x:v>262</x:v>
      </x:c>
      <x:c r="L2635" s="185" t="str">
        <x:v>Não classificado</x:v>
      </x:c>
    </x:row>
    <x:row r="2636">
      <x:c r="A2636" s="175" t="str">
        <x:v>47.669.450/0001-35</x:v>
      </x:c>
      <x:c r="B2636" s="166" t="str">
        <x:v>MAKALU FUNDO DE INVESTIMENTO EM DIREITOS CREDITÓRIOS RESPONSABILIDADE LIMITADA</x:v>
      </x:c>
      <x:c r="C2636" s="188" t="n">
        <x:v>8142391.06</x:v>
      </x:c>
      <x:c r="D2636" s="166" t="str">
        <x:v>MAKALU</x:v>
      </x:c>
      <x:c r="E2636" s="166" t="str">
        <x:f>IFERROR(INDEX('Classif Gestoras'!$H$6:$H$462,MATCH(D2636,'Classif Gestoras'!$A$6:$A$462,0)),"Não classificada")</x:f>
        <x:v>Independente</x:v>
      </x:c>
      <x:c r="F2636" s="166" t="str">
        <x:v>Finaxis Corretora de Títulos e Valores Mobiliários S.A.</x:v>
      </x:c>
      <x:c r="G2636" s="166" t="str">
        <x:v>BANCO FINAXIS S.A.</x:v>
      </x:c>
      <x:c r="H2636" s="166" t="str">
        <x:v>Agro, Indústria e Comércio</x:v>
      </x:c>
      <x:c r="I2636" s="166" t="str">
        <x:v>Agronegócio</x:v>
      </x:c>
      <x:c r="J2636" s="166" t="str">
        <x:v>CI</x:v>
      </x:c>
      <x:c r="K2636" s="172" t="n">
        <x:v>2</x:v>
      </x:c>
      <x:c r="L2636" s="185" t="str">
        <x:v>Não classificado</x:v>
      </x:c>
    </x:row>
    <x:row r="2637">
      <x:c r="A2637" s="175" t="str">
        <x:v>42.321.262/0001-06</x:v>
      </x:c>
      <x:c r="B2637" s="166" t="str">
        <x:v>SAINT-TROPEZ FUNDO DE INVESTIMENTO EM DIREITOS CREDITÓRIOS</x:v>
      </x:c>
      <x:c r="C2637" s="188" t="n">
        <x:v>8121891.19</x:v>
      </x:c>
      <x:c r="D2637" s="166" t="str">
        <x:v>EUV CAPITAL</x:v>
      </x:c>
      <x:c r="E2637" s="166" t="str">
        <x:f>IFERROR(INDEX('Classif Gestoras'!$H$6:$H$462,MATCH(D2637,'Classif Gestoras'!$A$6:$A$462,0)),"Não classificada")</x:f>
        <x:v>Independente</x:v>
      </x:c>
      <x:c r="F2637" s="166" t="str">
        <x:v>FIDD DISTRIBUIDORA DE TITULOS E VALORES MOBILIARIOS LTD</x:v>
      </x:c>
      <x:c r="G2637" s="166" t="str">
        <x:v>FIDD DISTRIBUIDORA DE TITULOS E VALORES MOBILIARIOS LTDA.</x:v>
      </x:c>
      <x:c r="H2637" s="166" t="str">
        <x:v>Outros</x:v>
      </x:c>
      <x:c r="I2637" s="166" t="str">
        <x:v>Multicarteira Outros</x:v>
      </x:c>
      <x:c r="J2637" s="166" t="str">
        <x:v>CI</x:v>
      </x:c>
      <x:c r="K2637" s="172" t="n">
        <x:v>1</x:v>
      </x:c>
      <x:c r="L2637" s="185" t="str">
        <x:v>Não classificado</x:v>
      </x:c>
    </x:row>
    <x:row r="2638">
      <x:c r="A2638" s="175" t="str">
        <x:v>46.075.403/0001-09</x:v>
      </x:c>
      <x:c r="B2638" s="166" t="str">
        <x:v>HUBCRED FUNDO DE INVESTIMENTO EM DIREITOS CREDITÓRIOS</x:v>
      </x:c>
      <x:c r="C2638" s="188" t="n">
        <x:v>8096249.76</x:v>
      </x:c>
      <x:c r="D2638" s="166" t="str">
        <x:v>BRL TRUST DTVM</x:v>
      </x:c>
      <x:c r="E2638" s="166" t="str">
        <x:f>IFERROR(INDEX('Classif Gestoras'!$H$6:$H$462,MATCH(D2638,'Classif Gestoras'!$A$6:$A$462,0)),"Não classificada")</x:f>
        <x:v>Independente</x:v>
      </x:c>
      <x:c r="F2638" s="166" t="str">
        <x:v>BRL TRUST DTVM</x:v>
      </x:c>
      <x:c r="G2638" s="166" t="str">
        <x:v>BRL TRUST DISTRIBUIDORA DE TITULOS E VALORES MOBILIARIOS S.A.</x:v>
      </x:c>
      <x:c r="H2638" s="166" t="str">
        <x:v>Outros</x:v>
      </x:c>
      <x:c r="I2638" s="166" t="str">
        <x:v>Multicarteira Outros</x:v>
      </x:c>
      <x:c r="J2638" s="166" t="str">
        <x:v>CI</x:v>
      </x:c>
      <x:c r="K2638" s="172" t="n">
        <x:v>2</x:v>
      </x:c>
      <x:c r="L2638" s="185" t="str">
        <x:v>Não classificado</x:v>
      </x:c>
    </x:row>
    <x:row r="2639">
      <x:c r="A2639" s="175" t="str">
        <x:v>58.238.421/0001-35</x:v>
      </x:c>
      <x:c r="B2639" s="166" t="str">
        <x:v>SEVEN MP FUNDO DE INVESTIMENTO EM DIREITOS CREDITÓRIOS</x:v>
      </x:c>
      <x:c r="C2639" s="188" t="n">
        <x:v>8095949.33</x:v>
      </x:c>
      <x:c r="D2639" s="166" t="str">
        <x:v>ASSET MANAGEMENT</x:v>
      </x:c>
      <x:c r="E2639" s="166" t="str">
        <x:f>IFERROR(INDEX('Classif Gestoras'!$H$6:$H$462,MATCH(D2639,'Classif Gestoras'!$A$6:$A$462,0)),"Não classificada")</x:f>
        <x:v>Independente</x:v>
      </x:c>
      <x:c r="F2639" s="166" t="str">
        <x:v>AZUMI DISTRIBUIDORA DE TÍTULOS E VALORES MOBILIÁRIOS LT</x:v>
      </x:c>
      <x:c r="G2639" s="166" t="str">
        <x:v>AZUMI DISTRIBUIDORA DE TÍTULOS E VALORES MOBILIÁRIOS LTDA.</x:v>
      </x:c>
      <x:c r="H2639" s="166" t="str">
        <x:v>Outros</x:v>
      </x:c>
      <x:c r="I2639" s="166" t="str">
        <x:v>Multicarteira Outros</x:v>
      </x:c>
      <x:c r="J2639" s="166" t="str">
        <x:v>CI</x:v>
      </x:c>
      <x:c r="K2639" s="172" t="n">
        <x:v>8</x:v>
      </x:c>
      <x:c r="L2639" s="185" t="str">
        <x:v>Não classificado</x:v>
      </x:c>
    </x:row>
    <x:row r="2640">
      <x:c r="A2640" s="175" t="str">
        <x:v>63.615.161/0001-00</x:v>
      </x:c>
      <x:c r="B2640" s="166" t="str">
        <x:v>ROBBIN PAGAMENTOS I FUNDO DE INVESTIMENTO EM DIREITOS CREDITÓRIOS - RESPONSABILIDADE LIMITADA</x:v>
      </x:c>
      <x:c r="C2640" s="188" t="n">
        <x:v>8089191.18</x:v>
      </x:c>
      <x:c r="D2640" s="166" t="str">
        <x:v>AUGME CAPITAL GESTÃO DE RECURSOS LTDA.</x:v>
      </x:c>
      <x:c r="E2640" s="166" t="str">
        <x:f>IFERROR(INDEX('Classif Gestoras'!$H$6:$H$462,MATCH(D2640,'Classif Gestoras'!$A$6:$A$462,0)),"Não classificada")</x:f>
        <x:v>Independente</x:v>
      </x:c>
      <x:c r="F2640" s="166" t="str">
        <x:v>BANCO DAYCOVAL S/A</x:v>
      </x:c>
      <x:c r="G2640" s="166" t="str">
        <x:v>BANCO DAYCOVAL S.A.</x:v>
      </x:c>
      <x:c r="H2640" s="166" t="str">
        <x:v>Outros</x:v>
      </x:c>
      <x:c r="I2640" s="166" t="str">
        <x:v>Multicarteira Outros</x:v>
      </x:c>
      <x:c r="J2640" s="166" t="str">
        <x:v>CI</x:v>
      </x:c>
      <x:c r="K2640" s="172" t="n">
        <x:v>11</x:v>
      </x:c>
      <x:c r="L2640" s="185" t="str">
        <x:v>Não classificado</x:v>
      </x:c>
    </x:row>
    <x:row r="2641">
      <x:c r="A2641" s="175" t="str">
        <x:v>48.885.265/0001-40</x:v>
      </x:c>
      <x:c r="B2641" s="166" t="str">
        <x:v>WONEBANK 2 FUNDO DE INVESTIMENTO EM DIREITOS CREDITÓRIOS</x:v>
      </x:c>
      <x:c r="C2641" s="188" t="n">
        <x:v>8035757.95</x:v>
      </x:c>
      <x:c r="D2641" s="166" t="str">
        <x:v>FigTree Capital</x:v>
      </x:c>
      <x:c r="E2641" s="166" t="str">
        <x:f>IFERROR(INDEX('Classif Gestoras'!$H$6:$H$462,MATCH(D2641,'Classif Gestoras'!$A$6:$A$462,0)),"Não classificada")</x:f>
        <x:v>Independente</x:v>
      </x:c>
      <x:c r="F2641" s="166" t="str">
        <x:v>BRL TRUST DTVM</x:v>
      </x:c>
      <x:c r="G2641" s="166" t="str">
        <x:v>BRL TRUST DISTRIBUIDORA DE TITULOS E VALORES MOBILIARIOS S.A.</x:v>
      </x:c>
      <x:c r="H2641" s="166" t="str">
        <x:v>Outros</x:v>
      </x:c>
      <x:c r="I2641" s="166" t="str">
        <x:v>Multicarteira Outros</x:v>
      </x:c>
      <x:c r="J2641" s="166" t="str">
        <x:v>CI</x:v>
      </x:c>
      <x:c r="K2641" s="172" t="n">
        <x:v>2</x:v>
      </x:c>
      <x:c r="L2641" s="185" t="str">
        <x:v>Não classificado</x:v>
      </x:c>
    </x:row>
    <x:row r="2642">
      <x:c r="A2642" s="175" t="str">
        <x:v>53.429.996/0001-11</x:v>
      </x:c>
      <x:c r="B2642" s="166" t="str">
        <x:v>SC FUNDO DE INVESTIMENTO DIREITOS CREDITÓRIOS RESPONSABILIDADE ILIMITADA</x:v>
      </x:c>
      <x:c r="C2642" s="188" t="n">
        <x:v>8031206.83</x:v>
      </x:c>
      <x:c r="D2642" s="166" t="str">
        <x:v>Catálise Investimentos</x:v>
      </x:c>
      <x:c r="E2642" s="166" t="str">
        <x:f>IFERROR(INDEX('Classif Gestoras'!$H$6:$H$462,MATCH(D2642,'Classif Gestoras'!$A$6:$A$462,0)),"Não classificada")</x:f>
        <x:v>Independente</x:v>
      </x:c>
      <x:c r="F2642" s="166" t="str">
        <x:v>CATÁLISE DTVM</x:v>
      </x:c>
      <x:c r="G2642" s="166" t="str">
        <x:v>BANCO DAYCOVAL S.A.</x:v>
      </x:c>
      <x:c r="H2642" s="166" t="str">
        <x:v>Agro, Indústria e Comércio</x:v>
      </x:c>
      <x:c r="I2642" s="166" t="str">
        <x:v>Recebíveis Comerciais</x:v>
      </x:c>
      <x:c r="J2642" s="166" t="str">
        <x:v>CI</x:v>
      </x:c>
      <x:c r="K2642" s="172" t="n">
        <x:v>1</x:v>
      </x:c>
      <x:c r="L2642" s="185" t="str">
        <x:v>Não classificado</x:v>
      </x:c>
    </x:row>
    <x:row r="2643">
      <x:c r="A2643" s="175" t="str">
        <x:v>42.288.547/0001-84</x:v>
      </x:c>
      <x:c r="B2643" s="166" t="str">
        <x:v>JGP ESTRUTURADOS II FUNDO DE INVESTIMENTO EM DIREITOS CREDITÓRIOS - RESPONSABILIDADE LIMITADA</x:v>
      </x:c>
      <x:c r="C2643" s="188" t="n">
        <x:v>8005999.6</x:v>
      </x:c>
      <x:c r="D2643" s="166" t="str">
        <x:v>JGP Gestão de Crédito LTDA.</x:v>
      </x:c>
      <x:c r="E2643" s="166" t="str">
        <x:f>IFERROR(INDEX('Classif Gestoras'!$H$6:$H$462,MATCH(D2643,'Classif Gestoras'!$A$6:$A$462,0)),"Não classificada")</x:f>
        <x:v>Independente</x:v>
      </x:c>
      <x:c r="F2643" s="166" t="str">
        <x:v>BNY MELLON SERVICOS</x:v>
      </x:c>
      <x:c r="G2643" s="166" t="str">
        <x:v>BNY MELLON BANCO S.A.</x:v>
      </x:c>
      <x:c r="H2643" s="166" t="str">
        <x:v>Outros</x:v>
      </x:c>
      <x:c r="I2643" s="166" t="str">
        <x:v>Multicarteira Outros</x:v>
      </x:c>
      <x:c r="J2643" s="166" t="str">
        <x:v>CI</x:v>
      </x:c>
      <x:c r="K2643" s="172" t="n">
        <x:v>2</x:v>
      </x:c>
      <x:c r="L2643" s="185" t="str">
        <x:v>Não classificado</x:v>
      </x:c>
    </x:row>
    <x:row r="2644">
      <x:c r="A2644" s="175" t="str">
        <x:v>33.701.265/0001-76</x:v>
      </x:c>
      <x:c r="B2644" s="166" t="str">
        <x:v>FXN CAPITAL FUNDO DE INVESTIMENTOS EM DIREITOS CREDITORIOS</x:v>
      </x:c>
      <x:c r="C2644" s="188" t="n">
        <x:v>7995465.629999999</x:v>
      </x:c>
      <x:c r="D2644" s="166" t="str">
        <x:v>Libertas Asset</x:v>
      </x:c>
      <x:c r="E2644" s="166" t="str">
        <x:f>IFERROR(INDEX('Classif Gestoras'!$H$6:$H$462,MATCH(D2644,'Classif Gestoras'!$A$6:$A$462,0)),"Não classificada")</x:f>
        <x:v>Independente</x:v>
      </x:c>
      <x:c r="F2644" s="166" t="str">
        <x:v>ACTUAL DTVM</x:v>
      </x:c>
      <x:c r="G2644" s="166" t="str">
        <x:v>LASTRO RDV DTVM LTDA</x:v>
      </x:c>
      <x:c r="H2644" s="166" t="str">
        <x:v>Fomento Mercantil</x:v>
      </x:c>
      <x:c r="I2644" s="166" t="str">
        <x:v>Fomento Mercantil</x:v>
      </x:c>
      <x:c r="J2644" s="166" t="str">
        <x:v>CI</x:v>
      </x:c>
      <x:c r="K2644" s="172" t="n">
        <x:v>7</x:v>
      </x:c>
      <x:c r="L2644" s="185" t="str">
        <x:v>Não classificado</x:v>
      </x:c>
    </x:row>
    <x:row r="2645">
      <x:c r="A2645" s="175" t="str">
        <x:v>64.276.414/0001-20</x:v>
      </x:c>
      <x:c r="B2645" s="166" t="str">
        <x:v>KUARÁ COMETA FUNDO DE INVESTIMENTO EM DIREITOS CREDITÓRIOS</x:v>
      </x:c>
      <x:c r="C2645" s="188" t="n">
        <x:v>7932285.47</x:v>
      </x:c>
      <x:c r="D2645" s="166" t="str">
        <x:v>TERCON ASSET MANAGEMENT</x:v>
      </x:c>
      <x:c r="E2645" s="166" t="str">
        <x:f>IFERROR(INDEX('Classif Gestoras'!$H$6:$H$462,MATCH(D2645,'Classif Gestoras'!$A$6:$A$462,0)),"Não classificada")</x:f>
        <x:v>Independente</x:v>
      </x:c>
      <x:c r="F2645" s="166" t="str">
        <x:v>Limine Trust Distribuidora de Titulos e Valores Mobiliá</x:v>
      </x:c>
      <x:c r="G2645" s="166" t="str">
        <x:v>LIMINE TRUST DISTRIBUIDORA DE TITULOS E VALORES MOBILIARIOS LTDA.</x:v>
      </x:c>
      <x:c r="H2645" s="166" t="str">
        <x:v>Fomento Mercantil</x:v>
      </x:c>
      <x:c r="I2645" s="166" t="str">
        <x:v>Fomento Mercantil</x:v>
      </x:c>
      <x:c r="J2645" s="166" t="str">
        <x:v>CI</x:v>
      </x:c>
      <x:c r="K2645" s="172" t="n">
        <x:v>7</x:v>
      </x:c>
      <x:c r="L2645" s="185" t="str">
        <x:v>Não classificado</x:v>
      </x:c>
    </x:row>
    <x:row r="2646">
      <x:c r="A2646" s="175" t="str">
        <x:v>55.331.747/0001-14</x:v>
      </x:c>
      <x:c r="B2646" s="166" t="str">
        <x:v>QUATTRINI FUNDO DE INVESTIMENTO EM DIREITOS CREDITÓRIOS</x:v>
      </x:c>
      <x:c r="C2646" s="188" t="n">
        <x:v>7886490.82</x:v>
      </x:c>
      <x:c r="D2646" s="166" t="str">
        <x:v>Multiplica Capital</x:v>
      </x:c>
      <x:c r="E2646" s="166" t="str">
        <x:f>IFERROR(INDEX('Classif Gestoras'!$H$6:$H$462,MATCH(D2646,'Classif Gestoras'!$A$6:$A$462,0)),"Não classificada")</x:f>
        <x:v>Independente</x:v>
      </x:c>
      <x:c r="F2646" s="166" t="str">
        <x:v>PLANNER CV</x:v>
      </x:c>
      <x:c r="G2646" s="166" t="str">
        <x:v>PLANNER CORRETORA DE VALORES S.A.</x:v>
      </x:c>
      <x:c r="H2646" s="166" t="str">
        <x:v>Fomento Mercantil</x:v>
      </x:c>
      <x:c r="I2646" s="166" t="str">
        <x:v>Fomento Mercantil</x:v>
      </x:c>
      <x:c r="J2646" s="166" t="str">
        <x:v>CI</x:v>
      </x:c>
      <x:c r="K2646" s="172" t="n">
        <x:v>1</x:v>
      </x:c>
      <x:c r="L2646" s="185" t="str">
        <x:v>Não classificado</x:v>
      </x:c>
    </x:row>
    <x:row r="2647">
      <x:c r="A2647" s="175" t="str">
        <x:v>44.302.374/0001-37</x:v>
      </x:c>
      <x:c r="B2647" s="166" t="str">
        <x:v>CREDILOG - FUNDO DE INVESTIMENTO EM DIREITOS CREDITÓRIOS NÃO-PADRONIZADOS</x:v>
      </x:c>
      <x:c r="C2647" s="188" t="n">
        <x:v>7885118.65</x:v>
      </x:c>
      <x:c r="D2647" s="166" t="str">
        <x:v>Catálise Investimentos</x:v>
      </x:c>
      <x:c r="E2647" s="166" t="str">
        <x:f>IFERROR(INDEX('Classif Gestoras'!$H$6:$H$462,MATCH(D2647,'Classif Gestoras'!$A$6:$A$462,0)),"Não classificada")</x:f>
        <x:v>Independente</x:v>
      </x:c>
      <x:c r="F2647" s="166" t="str">
        <x:v>CATÁLISE DTVM</x:v>
      </x:c>
      <x:c r="G2647" s="166" t="str">
        <x:v>BANCO DAYCOVAL S.A.</x:v>
      </x:c>
      <x:c r="H2647" s="166" t="str">
        <x:v>Agro, Indústria e Comércio</x:v>
      </x:c>
      <x:c r="I2647" s="166" t="str">
        <x:v>Multicarteira Agro, Indústria e Comércio</x:v>
      </x:c>
      <x:c r="J2647" s="166" t="str">
        <x:v>CI</x:v>
      </x:c>
      <x:c r="K2647" s="172" t="n">
        <x:v>1</x:v>
      </x:c>
      <x:c r="L2647" s="185" t="str">
        <x:v>Não classificado</x:v>
      </x:c>
    </x:row>
    <x:row r="2648">
      <x:c r="A2648" s="175" t="str">
        <x:v>29.152.752/0001-50</x:v>
      </x:c>
      <x:c r="B2648" s="166" t="str">
        <x:v>CHEVAL FUNDO DE INVESTIMENTO EM DIREITOS CREDITÓRIOS</x:v>
      </x:c>
      <x:c r="C2648" s="188" t="n">
        <x:v>7868354.31</x:v>
      </x:c>
      <x:c r="D2648" s="166" t="str">
        <x:v>WNT Gestora de Recursos Ltda.</x:v>
      </x:c>
      <x:c r="E2648" s="166" t="str">
        <x:f>IFERROR(INDEX('Classif Gestoras'!$H$6:$H$462,MATCH(D2648,'Classif Gestoras'!$A$6:$A$462,0)),"Não classificada")</x:f>
        <x:v>Independente</x:v>
      </x:c>
      <x:c r="F2648" s="166" t="str">
        <x:v>WNT DTVM</x:v>
      </x:c>
      <x:c r="G2648" s="166" t="str">
        <x:v>WNT CAPITAL DISTRIBUIDORA DE TITULOS E VALORES MOBILIARIOS S.A.</x:v>
      </x:c>
      <x:c r="H2648" s="166" t="str">
        <x:v>Outros</x:v>
      </x:c>
      <x:c r="I2648" s="166" t="str">
        <x:v>Multicarteira Outros</x:v>
      </x:c>
      <x:c r="J2648" s="166" t="str">
        <x:v>CI</x:v>
      </x:c>
      <x:c r="K2648" s="172" t="n">
        <x:v>1</x:v>
      </x:c>
      <x:c r="L2648" s="185" t="str">
        <x:v>Não classificado</x:v>
      </x:c>
    </x:row>
    <x:row r="2649">
      <x:c r="A2649" s="175" t="str">
        <x:v>65.190.945/0001-69</x:v>
      </x:c>
      <x:c r="B2649" s="166" t="str">
        <x:v>STARK INFRA FUNDO DE INVESTIMENTO EM DIREITOS CREDITÓRIOS</x:v>
      </x:c>
      <x:c r="C2649" s="188" t="n">
        <x:v>7829550.98</x:v>
      </x:c>
      <x:c r="D2649" s="166" t="str">
        <x:v>ASSET MANAGEMENT</x:v>
      </x:c>
      <x:c r="E2649" s="166" t="str">
        <x:f>IFERROR(INDEX('Classif Gestoras'!$H$6:$H$462,MATCH(D2649,'Classif Gestoras'!$A$6:$A$462,0)),"Não classificada")</x:f>
        <x:v>Independente</x:v>
      </x:c>
      <x:c r="F2649" s="166" t="str">
        <x:v>AZUMI DISTRIBUIDORA DE TÍTULOS E VALORES MOBILIÁRIOS LT</x:v>
      </x:c>
      <x:c r="G2649" s="166" t="str">
        <x:v>AZUMI DISTRIBUIDORA DE TÍTULOS E VALORES MOBILIÁRIOS LTDA.</x:v>
      </x:c>
      <x:c r="H2649" s="166" t="str">
        <x:v>Fomento Mercantil</x:v>
      </x:c>
      <x:c r="I2649" s="166" t="str">
        <x:v>Fomento Mercantil</x:v>
      </x:c>
      <x:c r="J2649" s="166" t="str">
        <x:v>CI</x:v>
      </x:c>
      <x:c r="K2649" s="172" t="n">
        <x:v>2</x:v>
      </x:c>
      <x:c r="L2649" s="185" t="str">
        <x:v>Não classificado</x:v>
      </x:c>
    </x:row>
    <x:row r="2650">
      <x:c r="A2650" s="175" t="str">
        <x:v>35.686.610/0001-75</x:v>
      </x:c>
      <x:c r="B2650" s="166" t="str">
        <x:v>IRONSIDE - FUNDO DE INVESTIMENTO EM DIREITOS CREDITÓRIOS NÃOPADRONIZADOS</x:v>
      </x:c>
      <x:c r="C2650" s="188" t="n">
        <x:v>7818973.36</x:v>
      </x:c>
      <x:c r="D2650" s="166" t="str">
        <x:v>Redwood Asset Management</x:v>
      </x:c>
      <x:c r="E2650" s="166" t="str">
        <x:f>IFERROR(INDEX('Classif Gestoras'!$H$6:$H$462,MATCH(D2650,'Classif Gestoras'!$A$6:$A$462,0)),"Não classificada")</x:f>
        <x:v>Independente</x:v>
      </x:c>
      <x:c r="F2650" s="166" t="str">
        <x:v>PLANNER CV</x:v>
      </x:c>
      <x:c r="G2650" s="166" t="str">
        <x:v>PLANNER CORRETORA DE VALORES S.A.</x:v>
      </x:c>
      <x:c r="H2650" s="166" t="str">
        <x:v>Outros</x:v>
      </x:c>
      <x:c r="I2650" s="166" t="str">
        <x:v>Multicarteira Outros</x:v>
      </x:c>
      <x:c r="J2650" s="166" t="str">
        <x:v>CI</x:v>
      </x:c>
      <x:c r="K2650" s="172" t="n">
        <x:v>1</x:v>
      </x:c>
      <x:c r="L2650" s="185" t="str">
        <x:v>Não classificado</x:v>
      </x:c>
    </x:row>
    <x:row r="2651">
      <x:c r="A2651" s="175" t="str">
        <x:v>61.917.809/0001-77</x:v>
      </x:c>
      <x:c r="B2651" s="166" t="str">
        <x:v>SAMPA FUNDO DE INVESTIMENTO EM DIREITOS CREDITORIOS</x:v>
      </x:c>
      <x:c r="C2651" s="188" t="n">
        <x:v>7742871.21</x:v>
      </x:c>
      <x:c r="D2651" s="166" t="str">
        <x:v>AF Invest</x:v>
      </x:c>
      <x:c r="E2651" s="166" t="str">
        <x:f>IFERROR(INDEX('Classif Gestoras'!$H$6:$H$462,MATCH(D2651,'Classif Gestoras'!$A$6:$A$462,0)),"Não classificada")</x:f>
        <x:v>Independente</x:v>
      </x:c>
      <x:c r="F2651" s="166" t="str">
        <x:v>ACTUAL DTVM</x:v>
      </x:c>
      <x:c r="G2651" s="166" t="str">
        <x:v>TRUSTEE DISTRIBUIDORA DE TITULOS E VALORES MOBILIARIOS LTDA.</x:v>
      </x:c>
      <x:c r="H2651" s="166" t="str">
        <x:v>Outros</x:v>
      </x:c>
      <x:c r="I2651" s="166" t="str">
        <x:v>Multicarteira Outros</x:v>
      </x:c>
      <x:c r="J2651" s="166" t="str">
        <x:v>CI</x:v>
      </x:c>
      <x:c r="K2651" s="172" t="n">
        <x:v>1</x:v>
      </x:c>
      <x:c r="L2651" s="185" t="str">
        <x:v>Não classificado</x:v>
      </x:c>
    </x:row>
    <x:row r="2652">
      <x:c r="A2652" s="175" t="str">
        <x:v>54.506.814/0001-21</x:v>
      </x:c>
      <x:c r="B2652" s="166" t="str">
        <x:v>CAJUÍNA FUNDO DE INVESTIMENTO EM DIREITOS CREDITÓRIOS</x:v>
      </x:c>
      <x:c r="C2652" s="188" t="n">
        <x:v>7742738.59</x:v>
      </x:c>
      <x:c r="D2652" s="166" t="str">
        <x:v>Siguler Guff Gestora de Investimentos (Asset Management</x:v>
      </x:c>
      <x:c r="E2652" s="166" t="str">
        <x:f>IFERROR(INDEX('Classif Gestoras'!$H$6:$H$462,MATCH(D2652,'Classif Gestoras'!$A$6:$A$462,0)),"Não classificada")</x:f>
        <x:v>Independente</x:v>
      </x:c>
      <x:c r="F2652" s="166" t="str">
        <x:v>BTG Pactual Servicos Financeiros S/A DTVM</x:v>
      </x:c>
      <x:c r="G2652" s="166" t="str">
        <x:v>BANCO BTG PACTUAL S/A</x:v>
      </x:c>
      <x:c r="H2652" s="166" t="str">
        <x:v>Outros</x:v>
      </x:c>
      <x:c r="I2652" s="166" t="str">
        <x:v>Poder Público</x:v>
      </x:c>
      <x:c r="J2652" s="166" t="str">
        <x:v>CI</x:v>
      </x:c>
      <x:c r="K2652" s="172" t="n">
        <x:v>1</x:v>
      </x:c>
      <x:c r="L2652" s="185" t="str">
        <x:v>Não classificado</x:v>
      </x:c>
    </x:row>
    <x:row r="2653">
      <x:c r="A2653" s="175" t="str">
        <x:v>51.869.304/0001-20</x:v>
      </x:c>
      <x:c r="B2653" s="166" t="str">
        <x:v>LORD FUNDO DE INVESTIMENTO EM DIREITOS CREDITÓRIOS</x:v>
      </x:c>
      <x:c r="C2653" s="188" t="n">
        <x:v>7732339.59</x:v>
      </x:c>
      <x:c r="D2653" s="166" t="str">
        <x:v>OKEAN INVEST</x:v>
      </x:c>
      <x:c r="E2653" s="166" t="str">
        <x:f>IFERROR(INDEX('Classif Gestoras'!$H$6:$H$462,MATCH(D2653,'Classif Gestoras'!$A$6:$A$462,0)),"Não classificada")</x:f>
        <x:v>Independente</x:v>
      </x:c>
      <x:c r="F2653" s="166" t="str">
        <x:v>Finvest Digital</x:v>
      </x:c>
      <x:c r="G2653" s="166" t="str">
        <x:v>FINVEST DISTRIBUIDORA DE TÍTULOS E VALORES MOBILIÁRIOS LTDA.</x:v>
      </x:c>
      <x:c r="H2653" s="166" t="str">
        <x:v>Fomento Mercantil</x:v>
      </x:c>
      <x:c r="I2653" s="166" t="str">
        <x:v>Fomento Mercantil</x:v>
      </x:c>
      <x:c r="J2653" s="166" t="str">
        <x:v>CI</x:v>
      </x:c>
      <x:c r="K2653" s="172" t="n">
        <x:v>7</x:v>
      </x:c>
      <x:c r="L2653" s="185" t="str">
        <x:v>Não classificado</x:v>
      </x:c>
    </x:row>
    <x:row r="2654">
      <x:c r="A2654" s="175" t="str">
        <x:v>43.444.591/0001-07</x:v>
      </x:c>
      <x:c r="B2654" s="166" t="str">
        <x:v>FUNDO DE INVESTIMENTO EM DIREITOS CREDITÓRIOS OUZE - RESPONSABILIDADE LIMITADA</x:v>
      </x:c>
      <x:c r="C2654" s="188" t="n">
        <x:v>7724875.46</x:v>
      </x:c>
      <x:c r="D2654" s="166" t="str">
        <x:v>Blue Solutions</x:v>
      </x:c>
      <x:c r="E2654" s="166" t="str">
        <x:f>IFERROR(INDEX('Classif Gestoras'!$H$6:$H$462,MATCH(D2654,'Classif Gestoras'!$A$6:$A$462,0)),"Não classificada")</x:f>
        <x:v>Independente</x:v>
      </x:c>
      <x:c r="F2654" s="166" t="str">
        <x:v>Banvox DTVM</x:v>
      </x:c>
      <x:c r="G2654" s="166" t="str">
        <x:v>BANVOX DISTRIBUIDORA DE TITULOS E VALORES MOBILIARIOS LTDA</x:v>
      </x:c>
      <x:c r="H2654" s="166" t="str">
        <x:v>Financeiro</x:v>
      </x:c>
      <x:c r="I2654" s="166" t="str">
        <x:v>Crédito Pessoal</x:v>
      </x:c>
      <x:c r="J2654" s="166" t="str">
        <x:v>CI</x:v>
      </x:c>
      <x:c r="K2654" s="172" t="n">
        <x:v>1</x:v>
      </x:c>
      <x:c r="L2654" s="185" t="str">
        <x:v>Não classificado</x:v>
      </x:c>
    </x:row>
    <x:row r="2655">
      <x:c r="A2655" s="175" t="str">
        <x:v>62.435.419/0001-23</x:v>
      </x:c>
      <x:c r="B2655" s="166" t="str">
        <x:v>LUPI DUPLICATAS E RECEBÍVEIS FUNDO DE INVESTIMENTO EM DIREITOS CREDITÓRIOS</x:v>
      </x:c>
      <x:c r="C2655" s="188" t="n">
        <x:v>7708690.37</x:v>
      </x:c>
      <x:c r="D2655" s="166" t="str">
        <x:v>Catálise Investimentos</x:v>
      </x:c>
      <x:c r="E2655" s="166" t="str">
        <x:f>IFERROR(INDEX('Classif Gestoras'!$H$6:$H$462,MATCH(D2655,'Classif Gestoras'!$A$6:$A$462,0)),"Não classificada")</x:f>
        <x:v>Independente</x:v>
      </x:c>
      <x:c r="F2655" s="166" t="str">
        <x:v>CATÁLISE DTVM</x:v>
      </x:c>
      <x:c r="G2655" s="166" t="str">
        <x:v>BANCO DAYCOVAL S.A.</x:v>
      </x:c>
      <x:c r="H2655" s="166" t="str">
        <x:v>Agro, Indústria e Comércio</x:v>
      </x:c>
      <x:c r="I2655" s="166" t="str">
        <x:v>Recebíveis Comerciais</x:v>
      </x:c>
      <x:c r="J2655" s="166" t="str">
        <x:v>CI</x:v>
      </x:c>
      <x:c r="K2655" s="172" t="n">
        <x:v>1</x:v>
      </x:c>
      <x:c r="L2655" s="185" t="str">
        <x:v>Não classificado</x:v>
      </x:c>
    </x:row>
    <x:row r="2656">
      <x:c r="A2656" s="175" t="str">
        <x:v>60.716.732/0001-04</x:v>
      </x:c>
      <x:c r="B2656" s="166" t="str">
        <x:v>FUNDO DE INVESTIMENTO EM DIREITOS CREDITÓRIOS LE CAPITAL</x:v>
      </x:c>
      <x:c r="C2656" s="188" t="n">
        <x:v>7706417.19</x:v>
      </x:c>
      <x:c r="D2656" s="166" t="str">
        <x:v>QUAESTUS GESTÃO DE INVESTIMENTOS LTDA.</x:v>
      </x:c>
      <x:c r="E2656" s="166" t="str">
        <x:f>IFERROR(INDEX('Classif Gestoras'!$H$6:$H$462,MATCH(D2656,'Classif Gestoras'!$A$6:$A$462,0)),"Não classificada")</x:f>
        <x:v>Independente</x:v>
      </x:c>
      <x:c r="F2656" s="166" t="str">
        <x:v>MONETAR DISTRIBUIDORA DE TITUL</x:v>
      </x:c>
      <x:c r="G2656" s="166" t="str">
        <x:v>TERRA INVESTIMENTOS DISTRIBUIDORA DE TITULOS E VALORES MOBILIARIOS LTDA</x:v>
      </x:c>
      <x:c r="H2656" s="166" t="str">
        <x:v>Outros</x:v>
      </x:c>
      <x:c r="I2656" s="166" t="str">
        <x:v>Multicarteira Outros</x:v>
      </x:c>
      <x:c r="J2656" s="166" t="str">
        <x:v>CI</x:v>
      </x:c>
      <x:c r="K2656" s="172" t="n">
        <x:v>1</x:v>
      </x:c>
      <x:c r="L2656" s="185" t="str">
        <x:v>Não classificado</x:v>
      </x:c>
    </x:row>
    <x:row r="2657">
      <x:c r="A2657" s="175" t="str">
        <x:v>17.498.332/0001-40</x:v>
      </x:c>
      <x:c r="B2657" s="166" t="str">
        <x:v>CANADA INVEST FUNDO DE INVESTIMENTO EM DIREITOS CREDITÓRIOS MULTISSETORIAL</x:v>
      </x:c>
      <x:c r="C2657" s="188" t="n">
        <x:v>7704053.64</x:v>
      </x:c>
      <x:c r="D2657" s="166" t="str">
        <x:v>OURO PRETO INVESTIMENTOS</x:v>
      </x:c>
      <x:c r="E2657" s="166" t="str">
        <x:f>IFERROR(INDEX('Classif Gestoras'!$H$6:$H$462,MATCH(D2657,'Classif Gestoras'!$A$6:$A$462,0)),"Não classificada")</x:f>
        <x:v>Independente</x:v>
      </x:c>
      <x:c r="F2657" s="166" t="str">
        <x:v>Limine Trust Distribuidora de Titulos e Valores Mobiliá</x:v>
      </x:c>
      <x:c r="G2657" s="166" t="str">
        <x:v>LASTRO RDV DTVM LTDA</x:v>
      </x:c>
      <x:c r="H2657" s="166" t="str">
        <x:v>Fomento Mercantil</x:v>
      </x:c>
      <x:c r="I2657" s="166" t="str">
        <x:v>Fomento Mercantil</x:v>
      </x:c>
      <x:c r="J2657" s="166" t="str">
        <x:v>CI</x:v>
      </x:c>
      <x:c r="K2657" s="172" t="n">
        <x:v>2</x:v>
      </x:c>
      <x:c r="L2657" s="185" t="str">
        <x:v>Não classificado</x:v>
      </x:c>
    </x:row>
    <x:row r="2658">
      <x:c r="A2658" s="175" t="str">
        <x:v>61.866.286/0001-87</x:v>
      </x:c>
      <x:c r="B2658" s="166" t="str">
        <x:v>CVPAR OPPORTUNITY FUNDO DE INVESTIMENTO EM DIREITOS CREDITÓRIOS RESPONSABILIDADE LIMITADA</x:v>
      </x:c>
      <x:c r="C2658" s="188" t="n">
        <x:v>7663786.940000001</x:v>
      </x:c>
      <x:c r="D2658" s="166" t="str">
        <x:v>CVPAR Investimentos ltda</x:v>
      </x:c>
      <x:c r="E2658" s="166" t="str">
        <x:f>IFERROR(INDEX('Classif Gestoras'!$H$6:$H$462,MATCH(D2658,'Classif Gestoras'!$A$6:$A$462,0)),"Não classificada")</x:f>
        <x:v>Independente</x:v>
      </x:c>
      <x:c r="F2658" s="166" t="str">
        <x:v>ID Corretora de Títulos e Valores Mobiliários S.A.</x:v>
      </x:c>
      <x:c r="G2658" s="166" t="str">
        <x:v>ID CORRETORA DE TITULOS E VALORES MOBILIARIOS S.A.</x:v>
      </x:c>
      <x:c r="H2658" s="166" t="str">
        <x:v>Outros</x:v>
      </x:c>
      <x:c r="I2658" s="166" t="str">
        <x:v>Multicarteira Outros</x:v>
      </x:c>
      <x:c r="J2658" s="166" t="str">
        <x:v>CI</x:v>
      </x:c>
      <x:c r="K2658" s="172" t="n">
        <x:v>2</x:v>
      </x:c>
      <x:c r="L2658" s="185" t="str">
        <x:v>Não classificado</x:v>
      </x:c>
    </x:row>
    <x:row r="2659">
      <x:c r="A2659" s="175" t="str">
        <x:v>63.190.032/0001-17</x:v>
      </x:c>
      <x:c r="B2659" s="166" t="str">
        <x:v>AVANCE PROSPERITY CAPITAL FUNDO DE INVESTIMENTO EM DIREITOS CREDITÓRIOS</x:v>
      </x:c>
      <x:c r="C2659" s="188" t="n">
        <x:v>7608215.15</x:v>
      </x:c>
      <x:c r="D2659" s="166" t="str">
        <x:v>SOMMA Investimentos</x:v>
      </x:c>
      <x:c r="E2659" s="166" t="str">
        <x:f>IFERROR(INDEX('Classif Gestoras'!$H$6:$H$462,MATCH(D2659,'Classif Gestoras'!$A$6:$A$462,0)),"Não classificada")</x:f>
        <x:v>Independente</x:v>
      </x:c>
      <x:c r="F2659" s="166" t="str">
        <x:v>Singulare</x:v>
      </x:c>
      <x:c r="G2659" s="166" t="str">
        <x:v>QI CORRETORA DE TÍTULOS E VALORES MOBILIÁRIOS S.A.</x:v>
      </x:c>
      <x:c r="H2659" s="166" t="str">
        <x:v>Fomento Mercantil</x:v>
      </x:c>
      <x:c r="I2659" s="166" t="str">
        <x:v>Fomento Mercantil</x:v>
      </x:c>
      <x:c r="J2659" s="166" t="str">
        <x:v>CI</x:v>
      </x:c>
      <x:c r="K2659" s="172" t="n">
        <x:v>3</x:v>
      </x:c>
      <x:c r="L2659" s="185" t="str">
        <x:v>Não classificado</x:v>
      </x:c>
    </x:row>
    <x:row r="2660">
      <x:c r="A2660" s="175" t="str">
        <x:v>41.579.651/0001-65</x:v>
      </x:c>
      <x:c r="B2660" s="166" t="str">
        <x:v>ALLCHEM CRED FUND FUNDO DE INVESTIMENTO EM DIREITOS CREDITÓRIOS NÃO PADRONIZADOS</x:v>
      </x:c>
      <x:c r="C2660" s="188" t="n">
        <x:v>7550609.64</x:v>
      </x:c>
      <x:c r="D2660" s="166" t="str">
        <x:v>ALTAVISTA CAPITAL</x:v>
      </x:c>
      <x:c r="E2660" s="166" t="str">
        <x:f>IFERROR(INDEX('Classif Gestoras'!$H$6:$H$462,MATCH(D2660,'Classif Gestoras'!$A$6:$A$462,0)),"Não classificada")</x:f>
        <x:v>Independente</x:v>
      </x:c>
      <x:c r="F2660" s="166" t="str">
        <x:v>PLANNER CV</x:v>
      </x:c>
      <x:c r="G2660" s="166" t="str">
        <x:v>PLANNER CORRETORA DE VALORES S.A.</x:v>
      </x:c>
      <x:c r="H2660" s="166" t="str">
        <x:v>Outros</x:v>
      </x:c>
      <x:c r="I2660" s="166" t="str">
        <x:v>Poder Público</x:v>
      </x:c>
      <x:c r="J2660" s="166" t="str">
        <x:v>CI</x:v>
      </x:c>
      <x:c r="K2660" s="172" t="n">
        <x:v>3</x:v>
      </x:c>
      <x:c r="L2660" s="185" t="str">
        <x:v>Não classificado</x:v>
      </x:c>
    </x:row>
    <x:row r="2661">
      <x:c r="A2661" s="175" t="str">
        <x:v>35.449.141/0001-70</x:v>
      </x:c>
      <x:c r="B2661" s="166" t="str">
        <x:v>CHIMERA NPL I FUNDO DE INVESTIMENTO EM DIREITOS CREDITÓRIOS DE RESPONSABILIDADE LIMITADA</x:v>
      </x:c>
      <x:c r="C2661" s="188" t="n">
        <x:v>7544908.81</x:v>
      </x:c>
      <x:c r="D2661" s="166" t="str">
        <x:v>Chimera Capital Asset Management Ltda.</x:v>
      </x:c>
      <x:c r="E2661" s="166" t="str">
        <x:f>IFERROR(INDEX('Classif Gestoras'!$H$6:$H$462,MATCH(D2661,'Classif Gestoras'!$A$6:$A$462,0)),"Não classificada")</x:f>
        <x:v>Independente</x:v>
      </x:c>
      <x:c r="F2661" s="166" t="str">
        <x:v>VÓRTX DTVM</x:v>
      </x:c>
      <x:c r="G2661" s="166" t="str">
        <x:v>VORTX DISTRIBUIDORA DE TITULOS E VALORES MOBILIARIOS LTDA.</x:v>
      </x:c>
      <x:c r="H2661" s="166" t="str">
        <x:v>Outros</x:v>
      </x:c>
      <x:c r="I2661" s="166" t="str">
        <x:v>Multicarteira Outros</x:v>
      </x:c>
      <x:c r="J2661" s="166" t="str">
        <x:v>CI</x:v>
      </x:c>
      <x:c r="K2661" s="172" t="n">
        <x:v>1</x:v>
      </x:c>
      <x:c r="L2661" s="185" t="str">
        <x:v>Não classificado</x:v>
      </x:c>
    </x:row>
    <x:row r="2662">
      <x:c r="A2662" s="175" t="str">
        <x:v>25.695.170/0001-69</x:v>
      </x:c>
      <x:c r="B2662" s="166" t="str">
        <x:v>INVESTCAMP FUNDO DE INVESTIMENTO EM DIREITOS CREDITÓRIOS</x:v>
      </x:c>
      <x:c r="C2662" s="188" t="n">
        <x:v>7524206.71</x:v>
      </x:c>
      <x:c r="D2662" s="166" t="str">
        <x:v>TERCON ASSET MANAGEMENT</x:v>
      </x:c>
      <x:c r="E2662" s="166" t="str">
        <x:f>IFERROR(INDEX('Classif Gestoras'!$H$6:$H$462,MATCH(D2662,'Classif Gestoras'!$A$6:$A$462,0)),"Não classificada")</x:f>
        <x:v>Independente</x:v>
      </x:c>
      <x:c r="F2662" s="166" t="str">
        <x:v>Singulare</x:v>
      </x:c>
      <x:c r="G2662" s="166" t="str">
        <x:v>QI CORRETORA DE TÍTULOS E VALORES MOBILIÁRIOS S.A.</x:v>
      </x:c>
      <x:c r="H2662" s="166" t="str">
        <x:v>Fomento Mercantil</x:v>
      </x:c>
      <x:c r="I2662" s="166" t="str">
        <x:v>Fomento Mercantil</x:v>
      </x:c>
      <x:c r="J2662" s="166" t="str">
        <x:v>CI</x:v>
      </x:c>
      <x:c r="K2662" s="172" t="n">
        <x:v>17</x:v>
      </x:c>
      <x:c r="L2662" s="185" t="str">
        <x:v>Não classificado</x:v>
      </x:c>
    </x:row>
    <x:row r="2663">
      <x:c r="A2663" s="175" t="str">
        <x:v>53.962.745/0001-06</x:v>
      </x:c>
      <x:c r="B2663" s="166" t="str">
        <x:v>GLOBAL FUTURA FUNDO DE INVESTIMENTO EM DIREITOS CREDITÓRIOS DE RESPONSABILIDADE LIMITADA</x:v>
      </x:c>
      <x:c r="C2663" s="188" t="n">
        <x:v>7517832.98</x:v>
      </x:c>
      <x:c r="D2663" s="166" t="str">
        <x:v>Catálise Investimentos</x:v>
      </x:c>
      <x:c r="E2663" s="166" t="str">
        <x:f>IFERROR(INDEX('Classif Gestoras'!$H$6:$H$462,MATCH(D2663,'Classif Gestoras'!$A$6:$A$462,0)),"Não classificada")</x:f>
        <x:v>Independente</x:v>
      </x:c>
      <x:c r="F2663" s="166" t="str">
        <x:v>CATÁLISE DTVM</x:v>
      </x:c>
      <x:c r="G2663" s="166" t="str">
        <x:v>BANCO DAYCOVAL S.A.</x:v>
      </x:c>
      <x:c r="H2663" s="166" t="str">
        <x:v>Agro, Indústria e Comércio</x:v>
      </x:c>
      <x:c r="I2663" s="166" t="str">
        <x:v>Multicarteira Agro, Indústria e Comércio</x:v>
      </x:c>
      <x:c r="J2663" s="166" t="str">
        <x:v>CI</x:v>
      </x:c>
      <x:c r="K2663" s="172" t="n">
        <x:v>1</x:v>
      </x:c>
      <x:c r="L2663" s="185" t="str">
        <x:v>Não classificado</x:v>
      </x:c>
    </x:row>
    <x:row r="2664">
      <x:c r="A2664" s="175" t="str">
        <x:v>49.683.264/0001-86</x:v>
      </x:c>
      <x:c r="B2664" s="166" t="str">
        <x:v>CNPJ 49683264000186</x:v>
      </x:c>
      <x:c r="C2664" s="188" t="n">
        <x:v>7514720.88</x:v>
      </x:c>
      <x:c r="D2664" s="166" t="str">
        <x:v>Brave Asset</x:v>
      </x:c>
      <x:c r="E2664" s="166" t="str">
        <x:f>IFERROR(INDEX('Classif Gestoras'!$H$6:$H$462,MATCH(D2664,'Classif Gestoras'!$A$6:$A$462,0)),"Não classificada")</x:f>
        <x:v>Independente</x:v>
      </x:c>
      <x:c r="F2664" s="166" t="str">
        <x:v>AZUMI DISTRIBUIDORA DE TÍTULOS E VALORES MOBILIÁRIOS LT</x:v>
      </x:c>
      <x:c r="G2664" s="166" t="str">
        <x:v>Não identificado</x:v>
      </x:c>
      <x:c r="H2664" s="166" t="str">
        <x:v>Agro, Indústria e Comércio</x:v>
      </x:c>
      <x:c r="I2664" s="166" t="str">
        <x:v>Agronegócio</x:v>
      </x:c>
      <x:c r="J2664" s="166" t="str">
        <x:v>CI</x:v>
      </x:c>
      <x:c r="K2664" s="172"/>
      <x:c r="L2664" s="185" t="str">
        <x:v>Não classificado</x:v>
      </x:c>
    </x:row>
    <x:row r="2665">
      <x:c r="A2665" s="175" t="str">
        <x:v>55.411.764/0001-61</x:v>
      </x:c>
      <x:c r="B2665" s="166" t="str">
        <x:v>OPENSEA FUNDO DE INVESTIMENTO EM DIREITOS CREDITÓRIOS</x:v>
      </x:c>
      <x:c r="C2665" s="188" t="n">
        <x:v>7506572.68</x:v>
      </x:c>
      <x:c r="D2665" s="166" t="str">
        <x:v>RJ Gestão de Recursos Ltda.</x:v>
      </x:c>
      <x:c r="E2665" s="166" t="str">
        <x:f>IFERROR(INDEX('Classif Gestoras'!$H$6:$H$462,MATCH(D2665,'Classif Gestoras'!$A$6:$A$462,0)),"Não classificada")</x:f>
        <x:v>Independente</x:v>
      </x:c>
      <x:c r="F2665" s="166" t="str">
        <x:v>Singulare</x:v>
      </x:c>
      <x:c r="G2665" s="166" t="str">
        <x:v>QI CORRETORA DE TÍTULOS E VALORES MOBILIÁRIOS S.A.</x:v>
      </x:c>
      <x:c r="H2665" s="166" t="str">
        <x:v>Outros</x:v>
      </x:c>
      <x:c r="I2665" s="166" t="str">
        <x:v>Poder Público</x:v>
      </x:c>
      <x:c r="J2665" s="166" t="str">
        <x:v>CI</x:v>
      </x:c>
      <x:c r="K2665" s="172" t="n">
        <x:v>5</x:v>
      </x:c>
      <x:c r="L2665" s="185" t="str">
        <x:v>Não classificado</x:v>
      </x:c>
    </x:row>
    <x:row r="2666">
      <x:c r="A2666" s="175" t="str">
        <x:v>61.543.748/0001-25</x:v>
      </x:c>
      <x:c r="B2666" s="166" t="str">
        <x:v>ORIZ JUS CPS FUNDO DE INVESTIMENTO EM DIREITOS CREDITÓRIOS - RESPONSABILIDADE LIMITADA</x:v>
      </x:c>
      <x:c r="C2666" s="188" t="n">
        <x:v>7506450.22</x:v>
      </x:c>
      <x:c r="D2666" s="166" t="str">
        <x:v>ORIZ ASSET MANAGEMENT LTDA.</x:v>
      </x:c>
      <x:c r="E2666" s="166" t="str">
        <x:f>IFERROR(INDEX('Classif Gestoras'!$H$6:$H$462,MATCH(D2666,'Classif Gestoras'!$A$6:$A$462,0)),"Não classificada")</x:f>
        <x:v>Independente</x:v>
      </x:c>
      <x:c r="F2666" s="166" t="str">
        <x:v>Limine Trust Distribuidora de Titulos e Valores Mobiliá</x:v>
      </x:c>
      <x:c r="G2666" s="166" t="str">
        <x:v>LIMINE TRUST DISTRIBUIDORA DE TITULOS E VALORES MOBILIARIOS LTDA.</x:v>
      </x:c>
      <x:c r="H2666" s="166" t="str">
        <x:v>Outros</x:v>
      </x:c>
      <x:c r="I2666" s="166" t="str">
        <x:v>Poder Público</x:v>
      </x:c>
      <x:c r="J2666" s="166" t="str">
        <x:v>CI</x:v>
      </x:c>
      <x:c r="K2666" s="172" t="n">
        <x:v>13</x:v>
      </x:c>
      <x:c r="L2666" s="185" t="str">
        <x:v>Não classificado</x:v>
      </x:c>
    </x:row>
    <x:row r="2667">
      <x:c r="A2667" s="175" t="str">
        <x:v>50.555.970/0001-21</x:v>
      </x:c>
      <x:c r="B2667" s="166" t="str">
        <x:v>SIRIUS FUNDO DE INVESTIMENTO EM DIREITOS CREDITÓRIOS</x:v>
      </x:c>
      <x:c r="C2667" s="188" t="n">
        <x:v>7499200.82</x:v>
      </x:c>
      <x:c r="D2667" s="166" t="str">
        <x:v>URCA CAPITAL PARTNERS</x:v>
      </x:c>
      <x:c r="E2667" s="166" t="str">
        <x:f>IFERROR(INDEX('Classif Gestoras'!$H$6:$H$462,MATCH(D2667,'Classif Gestoras'!$A$6:$A$462,0)),"Não classificada")</x:f>
        <x:v>Independente</x:v>
      </x:c>
      <x:c r="F2667" s="166" t="str">
        <x:v>PLANNER CV</x:v>
      </x:c>
      <x:c r="G2667" s="166" t="str">
        <x:v>PLANNER CORRETORA DE VALORES S.A.</x:v>
      </x:c>
      <x:c r="H2667" s="166" t="str">
        <x:v>Outros</x:v>
      </x:c>
      <x:c r="I2667" s="166" t="str">
        <x:v>Poder Público</x:v>
      </x:c>
      <x:c r="J2667" s="166" t="str">
        <x:v>CI</x:v>
      </x:c>
      <x:c r="K2667" s="172" t="n">
        <x:v>9</x:v>
      </x:c>
      <x:c r="L2667" s="185" t="str">
        <x:v>Não classificado</x:v>
      </x:c>
    </x:row>
    <x:row r="2668">
      <x:c r="A2668" s="175" t="str">
        <x:v>51.137.439/0001-00</x:v>
      </x:c>
      <x:c r="B2668" s="166" t="str">
        <x:v>FINANCIA GROUP FUNDO DE INVESTIMENTO EM DIREITOS CREDITÓRIOS</x:v>
      </x:c>
      <x:c r="C2668" s="188" t="n">
        <x:v>7444697.549999998</x:v>
      </x:c>
      <x:c r="D2668" s="166" t="str">
        <x:v>TERCON ASSET MANAGEMENT</x:v>
      </x:c>
      <x:c r="E2668" s="166" t="str">
        <x:f>IFERROR(INDEX('Classif Gestoras'!$H$6:$H$462,MATCH(D2668,'Classif Gestoras'!$A$6:$A$462,0)),"Não classificada")</x:f>
        <x:v>Independente</x:v>
      </x:c>
      <x:c r="F2668" s="166" t="str">
        <x:v>Singulare</x:v>
      </x:c>
      <x:c r="G2668" s="166" t="str">
        <x:v>QI CORRETORA DE TÍTULOS E VALORES MOBILIÁRIOS S.A.</x:v>
      </x:c>
      <x:c r="H2668" s="166" t="str">
        <x:v>Fomento Mercantil</x:v>
      </x:c>
      <x:c r="I2668" s="166" t="str">
        <x:v>Fomento Mercantil</x:v>
      </x:c>
      <x:c r="J2668" s="166" t="str">
        <x:v>CI</x:v>
      </x:c>
      <x:c r="K2668" s="172" t="n">
        <x:v>5</x:v>
      </x:c>
      <x:c r="L2668" s="185" t="str">
        <x:v>Não classificado</x:v>
      </x:c>
    </x:row>
    <x:row r="2669">
      <x:c r="A2669" s="175" t="str">
        <x:v>41.820.379/0001-63</x:v>
      </x:c>
      <x:c r="B2669" s="166" t="str">
        <x:v>SL FUNDO DE INVESTIMENTO EM DIREITOS CREDITÓRIOS - RESPONSABILIDADE LIMITADA</x:v>
      </x:c>
      <x:c r="C2669" s="188" t="n">
        <x:v>7427087.9</x:v>
      </x:c>
      <x:c r="D2669" s="166" t="str">
        <x:v>BLP CAPITAL</x:v>
      </x:c>
      <x:c r="E2669" s="166" t="str">
        <x:f>IFERROR(INDEX('Classif Gestoras'!$H$6:$H$462,MATCH(D2669,'Classif Gestoras'!$A$6:$A$462,0)),"Não classificada")</x:f>
        <x:v>Independente</x:v>
      </x:c>
      <x:c r="F2669" s="166" t="str">
        <x:v>BRL TRUST DTVM</x:v>
      </x:c>
      <x:c r="G2669" s="166" t="str">
        <x:v>BRL TRUST DISTRIBUIDORA DE TITULOS E VALORES MOBILIARIOS S.A.</x:v>
      </x:c>
      <x:c r="H2669" s="166" t="str">
        <x:v>Outros</x:v>
      </x:c>
      <x:c r="I2669" s="166" t="str">
        <x:v>Poder Público</x:v>
      </x:c>
      <x:c r="J2669" s="166" t="str">
        <x:v>CI</x:v>
      </x:c>
      <x:c r="K2669" s="172" t="n">
        <x:v>3</x:v>
      </x:c>
      <x:c r="L2669" s="185" t="str">
        <x:v>Não classificado</x:v>
      </x:c>
    </x:row>
    <x:row r="2670">
      <x:c r="A2670" s="175" t="str">
        <x:v>57.342.603/0001-99</x:v>
      </x:c>
      <x:c r="B2670" s="166" t="str">
        <x:v>CNPJ 57342603000199</x:v>
      </x:c>
      <x:c r="C2670" s="188" t="n">
        <x:v>7398751.56</x:v>
      </x:c>
      <x:c r="D2670" s="166" t="str">
        <x:v>Tyr Gestao de Recursos Ltda</x:v>
      </x:c>
      <x:c r="E2670" s="166" t="str">
        <x:f>IFERROR(INDEX('Classif Gestoras'!$H$6:$H$462,MATCH(D2670,'Classif Gestoras'!$A$6:$A$462,0)),"Não classificada")</x:f>
        <x:v>Independente</x:v>
      </x:c>
      <x:c r="F2670" s="166" t="str">
        <x:v>ID Corretora de Títulos e Valores Mobiliários S.A.</x:v>
      </x:c>
      <x:c r="G2670" s="166" t="str">
        <x:v>Não identificado</x:v>
      </x:c>
      <x:c r="H2670" s="166" t="str">
        <x:v>Fomento Mercantil</x:v>
      </x:c>
      <x:c r="I2670" s="166" t="str">
        <x:v>Fomento Mercantil</x:v>
      </x:c>
      <x:c r="J2670" s="166" t="str">
        <x:v>CI</x:v>
      </x:c>
      <x:c r="K2670" s="172"/>
      <x:c r="L2670" s="185" t="str">
        <x:v>Não classificado</x:v>
      </x:c>
    </x:row>
    <x:row r="2671">
      <x:c r="A2671" s="175" t="str">
        <x:v>20.649.717/0001-76</x:v>
      </x:c>
      <x:c r="B2671" s="166" t="str">
        <x:v>ELDORADO I FUNDO DE INVESTIMENTO EM DIREITOS CREDITÓRIOS NÃO PADRONIZADOS</x:v>
      </x:c>
      <x:c r="C2671" s="188" t="n">
        <x:v>7383443.170000002</x:v>
      </x:c>
      <x:c r="D2671" s="166" t="str">
        <x:v>AGG Investimentos Ltda.</x:v>
      </x:c>
      <x:c r="E2671" s="166" t="str">
        <x:f>IFERROR(INDEX('Classif Gestoras'!$H$6:$H$462,MATCH(D2671,'Classif Gestoras'!$A$6:$A$462,0)),"Não classificada")</x:f>
        <x:v>Independente</x:v>
      </x:c>
      <x:c r="F2671" s="166" t="str">
        <x:v>MONETAR DISTRIBUIDORA DE TITUL</x:v>
      </x:c>
      <x:c r="G2671" s="166" t="str">
        <x:v>TERRA INVESTIMENTOS DISTRIBUIDORA DE TITULOS E VALORES MOBILIARIOS LTDA</x:v>
      </x:c>
      <x:c r="H2671" s="166" t="str">
        <x:v>Agro, Indústria e Comércio</x:v>
      </x:c>
      <x:c r="I2671" s="166" t="str">
        <x:v>Recebíveis Comerciais</x:v>
      </x:c>
      <x:c r="J2671" s="166" t="str">
        <x:v>CI</x:v>
      </x:c>
      <x:c r="K2671" s="172" t="n">
        <x:v>2</x:v>
      </x:c>
      <x:c r="L2671" s="185" t="str">
        <x:v>Não classificado</x:v>
      </x:c>
    </x:row>
    <x:row r="2672">
      <x:c r="A2672" s="175" t="str">
        <x:v>13.327.334/0001-16</x:v>
      </x:c>
      <x:c r="B2672" s="166" t="str">
        <x:v>UNAVANTI FUNDO DE INVESTIMENTO EM DIREITOS CREDITÓRIOS</x:v>
      </x:c>
      <x:c r="C2672" s="188" t="n">
        <x:v>7353059.96</x:v>
      </x:c>
      <x:c r="D2672" s="166" t="str">
        <x:v>TERCON ASSET MANAGEMENT</x:v>
      </x:c>
      <x:c r="E2672" s="166" t="str">
        <x:f>IFERROR(INDEX('Classif Gestoras'!$H$6:$H$462,MATCH(D2672,'Classif Gestoras'!$A$6:$A$462,0)),"Não classificada")</x:f>
        <x:v>Independente</x:v>
      </x:c>
      <x:c r="F2672" s="166" t="str">
        <x:v>Limine Trust Distribuidora de Titulos e Valores Mobiliá</x:v>
      </x:c>
      <x:c r="G2672" s="166" t="str">
        <x:v>LIMINE TRUST DISTRIBUIDORA DE TITULOS E VALORES MOBILIARIOS LTDA.</x:v>
      </x:c>
      <x:c r="H2672" s="166" t="str">
        <x:v>Fomento Mercantil</x:v>
      </x:c>
      <x:c r="I2672" s="166" t="str">
        <x:v>Fomento Mercantil</x:v>
      </x:c>
      <x:c r="J2672" s="166" t="str">
        <x:v>CI</x:v>
      </x:c>
      <x:c r="K2672" s="172" t="n">
        <x:v>6</x:v>
      </x:c>
      <x:c r="L2672" s="185" t="str">
        <x:v>Não classificado</x:v>
      </x:c>
    </x:row>
    <x:row r="2673">
      <x:c r="A2673" s="175" t="str">
        <x:v>51.919.474/0001-72</x:v>
      </x:c>
      <x:c r="B2673" s="166" t="str">
        <x:v>RAMAPI FUNDO DE INVESTIMENTO EM DIREITOS CREDITÓRIOS</x:v>
      </x:c>
      <x:c r="C2673" s="188" t="n">
        <x:v>7304745.3</x:v>
      </x:c>
      <x:c r="D2673" s="166" t="str">
        <x:v>TERCON ASSET MANAGEMENT</x:v>
      </x:c>
      <x:c r="E2673" s="166" t="str">
        <x:f>IFERROR(INDEX('Classif Gestoras'!$H$6:$H$462,MATCH(D2673,'Classif Gestoras'!$A$6:$A$462,0)),"Não classificada")</x:f>
        <x:v>Independente</x:v>
      </x:c>
      <x:c r="F2673" s="166" t="str">
        <x:v>Singulare</x:v>
      </x:c>
      <x:c r="G2673" s="166" t="str">
        <x:v>QI CORRETORA DE TÍTULOS E VALORES MOBILIÁRIOS S.A.</x:v>
      </x:c>
      <x:c r="H2673" s="166" t="str">
        <x:v>Fomento Mercantil</x:v>
      </x:c>
      <x:c r="I2673" s="166" t="str">
        <x:v>Fomento Mercantil</x:v>
      </x:c>
      <x:c r="J2673" s="166" t="str">
        <x:v>CI</x:v>
      </x:c>
      <x:c r="K2673" s="172" t="n">
        <x:v>7</x:v>
      </x:c>
      <x:c r="L2673" s="185" t="str">
        <x:v>Não classificado</x:v>
      </x:c>
    </x:row>
    <x:row r="2674">
      <x:c r="A2674" s="175" t="str">
        <x:v>37.511.729/0001-32</x:v>
      </x:c>
      <x:c r="B2674" s="166" t="str">
        <x:v>FUEL FUNDO DE INVESTIMENTO EM DIREITOS CREDITÓRIOS - RESPONSABILIDADE LIMITADA</x:v>
      </x:c>
      <x:c r="C2674" s="188" t="n">
        <x:v>7249852.92</x:v>
      </x:c>
      <x:c r="D2674" s="166" t="str">
        <x:v>SOSU CAPITAL GESTÃO DE INVESTIMENTOS LTDA.</x:v>
      </x:c>
      <x:c r="E2674" s="166" t="str">
        <x:f>IFERROR(INDEX('Classif Gestoras'!$H$6:$H$462,MATCH(D2674,'Classif Gestoras'!$A$6:$A$462,0)),"Não classificada")</x:f>
        <x:v>Independente</x:v>
      </x:c>
      <x:c r="F2674" s="166" t="str">
        <x:v>BRL TRUST DTVM</x:v>
      </x:c>
      <x:c r="G2674" s="166" t="str">
        <x:v>BRL TRUST DISTRIBUIDORA DE TITULOS E VALORES MOBILIARIOS S.A.</x:v>
      </x:c>
      <x:c r="H2674" s="166" t="str">
        <x:v>Outros</x:v>
      </x:c>
      <x:c r="I2674" s="166" t="str">
        <x:v>Poder Público</x:v>
      </x:c>
      <x:c r="J2674" s="166" t="str">
        <x:v>CI</x:v>
      </x:c>
      <x:c r="K2674" s="172" t="n">
        <x:v>3</x:v>
      </x:c>
      <x:c r="L2674" s="185" t="str">
        <x:v>Não classificado</x:v>
      </x:c>
    </x:row>
    <x:row r="2675">
      <x:c r="A2675" s="175" t="str">
        <x:v>51.982.989/0001-17</x:v>
      </x:c>
      <x:c r="B2675" s="166" t="str">
        <x:v>PARAGUAÇU PRECATÓRIOS I FUNDO DE INVESTIMENTO EM DIREITOS CREDITÓRIOS</x:v>
      </x:c>
      <x:c r="C2675" s="188" t="n">
        <x:v>7213622.35</x:v>
      </x:c>
      <x:c r="D2675" s="166" t="str">
        <x:v>Paraguaçu Investimentos</x:v>
      </x:c>
      <x:c r="E2675" s="166" t="str">
        <x:f>IFERROR(INDEX('Classif Gestoras'!$H$6:$H$462,MATCH(D2675,'Classif Gestoras'!$A$6:$A$462,0)),"Não classificada")</x:f>
        <x:v>Independente</x:v>
      </x:c>
      <x:c r="F2675" s="166" t="str">
        <x:v>PLANNER CV</x:v>
      </x:c>
      <x:c r="G2675" s="166" t="str">
        <x:v>PLANNER CORRETORA DE VALORES S.A.</x:v>
      </x:c>
      <x:c r="H2675" s="166" t="str">
        <x:v>Outros</x:v>
      </x:c>
      <x:c r="I2675" s="166" t="str">
        <x:v>Poder Público</x:v>
      </x:c>
      <x:c r="J2675" s="166" t="str">
        <x:v>CI</x:v>
      </x:c>
      <x:c r="K2675" s="172" t="n">
        <x:v>1</x:v>
      </x:c>
      <x:c r="L2675" s="185" t="str">
        <x:v>Não classificado</x:v>
      </x:c>
    </x:row>
    <x:row r="2676">
      <x:c r="A2676" s="175" t="str">
        <x:v>49.974.540/0001-65</x:v>
      </x:c>
      <x:c r="B2676" s="166" t="str">
        <x:v>HT3 II FUNDO DE INVESTIMENTO EM DIREITOS CREDITÓRIOS NÃO PADRONIZADO</x:v>
      </x:c>
      <x:c r="C2676" s="188" t="n">
        <x:v>7168257.57</x:v>
      </x:c>
      <x:c r="D2676" s="166" t="str">
        <x:v>Bless Capital Gestora de Recursos Ltda.</x:v>
      </x:c>
      <x:c r="E2676" s="166" t="str">
        <x:f>IFERROR(INDEX('Classif Gestoras'!$H$6:$H$462,MATCH(D2676,'Classif Gestoras'!$A$6:$A$462,0)),"Não classificada")</x:f>
        <x:v>Independente</x:v>
      </x:c>
      <x:c r="F2676" s="166" t="str">
        <x:v>ID Corretora de Títulos e Valores Mobiliários S.A.</x:v>
      </x:c>
      <x:c r="G2676" s="166" t="str">
        <x:v>ID CORRETORA DE TITULOS E VALORES MOBILIARIOS S.A.</x:v>
      </x:c>
      <x:c r="H2676" s="166" t="str">
        <x:v>Outros</x:v>
      </x:c>
      <x:c r="I2676" s="166" t="str">
        <x:v>Multicarteira Outros</x:v>
      </x:c>
      <x:c r="J2676" s="166" t="str">
        <x:v>CI</x:v>
      </x:c>
      <x:c r="K2676" s="172" t="n">
        <x:v>1</x:v>
      </x:c>
      <x:c r="L2676" s="185" t="str">
        <x:v>Não classificado</x:v>
      </x:c>
    </x:row>
    <x:row r="2677">
      <x:c r="A2677" s="175" t="str">
        <x:v>58.088.190/0001-20</x:v>
      </x:c>
      <x:c r="B2677" s="166" t="str">
        <x:v>MAIS TODOS PF FUNDO DE INVESTIMENTO EM DIREITOS CREDITÓRIOS FINANCEIRO RESPONSABILIDADE LIMITADA</x:v>
      </x:c>
      <x:c r="C2677" s="188" t="n">
        <x:v>7163484.68</x:v>
      </x:c>
      <x:c r="D2677" s="166" t="str">
        <x:v>VALORA RENDA FIXA LTDA.</x:v>
      </x:c>
      <x:c r="E2677" s="166" t="str">
        <x:f>IFERROR(INDEX('Classif Gestoras'!$H$6:$H$462,MATCH(D2677,'Classif Gestoras'!$A$6:$A$462,0)),"Não classificada")</x:f>
        <x:v>Independente</x:v>
      </x:c>
      <x:c r="F2677" s="166" t="str">
        <x:v>ID Corretora de Títulos e Valores Mobiliários S.A.</x:v>
      </x:c>
      <x:c r="G2677" s="166" t="str">
        <x:v>BANCO DAYCOVAL S.A.</x:v>
      </x:c>
      <x:c r="H2677" s="166" t="str">
        <x:v>Financeiro</x:v>
      </x:c>
      <x:c r="I2677" s="166" t="str">
        <x:v>Multicarteira Financeiro</x:v>
      </x:c>
      <x:c r="J2677" s="166" t="str">
        <x:v>CI</x:v>
      </x:c>
      <x:c r="K2677" s="172" t="n">
        <x:v>14</x:v>
      </x:c>
      <x:c r="L2677" s="185" t="str">
        <x:v>Não classificado</x:v>
      </x:c>
    </x:row>
    <x:row r="2678">
      <x:c r="A2678" s="175" t="str">
        <x:v>36.977.085/0001-00</x:v>
      </x:c>
      <x:c r="B2678" s="166" t="str">
        <x:v>KITE FINANCE FUNDO DE INVESTIMENTO EM DIREITOS CRÉDITÓRIOS RESPONSABILIDADE LIMITADA</x:v>
      </x:c>
      <x:c r="C2678" s="188" t="n">
        <x:v>7161159.93</x:v>
      </x:c>
      <x:c r="D2678" s="166" t="str">
        <x:v>Libertas Asset</x:v>
      </x:c>
      <x:c r="E2678" s="166" t="str">
        <x:f>IFERROR(INDEX('Classif Gestoras'!$H$6:$H$462,MATCH(D2678,'Classif Gestoras'!$A$6:$A$462,0)),"Não classificada")</x:f>
        <x:v>Independente</x:v>
      </x:c>
      <x:c r="F2678" s="166" t="str">
        <x:v>ACTUAL DTVM</x:v>
      </x:c>
      <x:c r="G2678" s="166" t="str">
        <x:v>LASTRO RDV DTVM LTDA</x:v>
      </x:c>
      <x:c r="H2678" s="166" t="str">
        <x:v>Fomento Mercantil</x:v>
      </x:c>
      <x:c r="I2678" s="166" t="str">
        <x:v>Fomento Mercantil</x:v>
      </x:c>
      <x:c r="J2678" s="166" t="str">
        <x:v>CI</x:v>
      </x:c>
      <x:c r="K2678" s="172" t="n">
        <x:v>2</x:v>
      </x:c>
      <x:c r="L2678" s="185" t="str">
        <x:v>Não classificado</x:v>
      </x:c>
    </x:row>
    <x:row r="2679">
      <x:c r="A2679" s="175" t="str">
        <x:v>49.261.110/0001-04</x:v>
      </x:c>
      <x:c r="B2679" s="166" t="str">
        <x:v>SIMPLEX FUNDO DE INVESTIMENTO EM DIREITOS CREDITÓRIOS</x:v>
      </x:c>
      <x:c r="C2679" s="188" t="n">
        <x:v>7158216.449999999</x:v>
      </x:c>
      <x:c r="D2679" s="166" t="str">
        <x:v>ASSET MANAGEMENT</x:v>
      </x:c>
      <x:c r="E2679" s="166" t="str">
        <x:f>IFERROR(INDEX('Classif Gestoras'!$H$6:$H$462,MATCH(D2679,'Classif Gestoras'!$A$6:$A$462,0)),"Não classificada")</x:f>
        <x:v>Independente</x:v>
      </x:c>
      <x:c r="F2679" s="166" t="str">
        <x:v>AZUMI DISTRIBUIDORA DE TÍTULOS E VALORES MOBILIÁRIOS LT</x:v>
      </x:c>
      <x:c r="G2679" s="166" t="str">
        <x:v>AZUMI DISTRIBUIDORA DE TÍTULOS E VALORES MOBILIÁRIOS LTDA.</x:v>
      </x:c>
      <x:c r="H2679" s="166" t="str">
        <x:v>Outros</x:v>
      </x:c>
      <x:c r="I2679" s="166" t="str">
        <x:v>Multicarteira Outros</x:v>
      </x:c>
      <x:c r="J2679" s="166" t="str">
        <x:v>CI</x:v>
      </x:c>
      <x:c r="K2679" s="172" t="n">
        <x:v>2</x:v>
      </x:c>
      <x:c r="L2679" s="185" t="str">
        <x:v>Não classificado</x:v>
      </x:c>
    </x:row>
    <x:row r="2680">
      <x:c r="A2680" s="175" t="str">
        <x:v>53.314.518/0001-66</x:v>
      </x:c>
      <x:c r="B2680" s="166" t="str">
        <x:v>ÁGATA FUNDO DE INVESTIMENTO EM DIREITOS CREDITÓRIOS</x:v>
      </x:c>
      <x:c r="C2680" s="188" t="n">
        <x:v>7157494.66</x:v>
      </x:c>
      <x:c r="D2680" s="166" t="str">
        <x:v>SMART AGRO INVESTIMENTOS LTDA.</x:v>
      </x:c>
      <x:c r="E2680" s="166" t="str">
        <x:f>IFERROR(INDEX('Classif Gestoras'!$H$6:$H$462,MATCH(D2680,'Classif Gestoras'!$A$6:$A$462,0)),"Não classificada")</x:f>
        <x:v>Independente</x:v>
      </x:c>
      <x:c r="F2680" s="166" t="str">
        <x:v>TRUSTEE DTVM</x:v>
      </x:c>
      <x:c r="G2680" s="166" t="str">
        <x:v>TRUSTEE DISTRIBUIDORA DE TITULOS E VALORES MOBILIARIOS LTDA.</x:v>
      </x:c>
      <x:c r="H2680" s="166" t="str">
        <x:v>Outros</x:v>
      </x:c>
      <x:c r="I2680" s="166" t="str">
        <x:v>Multicarteira Outros</x:v>
      </x:c>
      <x:c r="J2680" s="166" t="str">
        <x:v>CI</x:v>
      </x:c>
      <x:c r="K2680" s="172" t="n">
        <x:v>1</x:v>
      </x:c>
      <x:c r="L2680" s="185" t="str">
        <x:v>Não classificado</x:v>
      </x:c>
    </x:row>
    <x:row r="2681">
      <x:c r="A2681" s="175" t="str">
        <x:v>62.082.498/0001-36</x:v>
      </x:c>
      <x:c r="B2681" s="166" t="str">
        <x:v>CELESTIS FUNDO DE INVESTIMENTO EM DIREITOS CREDITÓRIOS DE RESPONSABILIDADE LIMITADA</x:v>
      </x:c>
      <x:c r="C2681" s="188" t="n">
        <x:v>7093293.05</x:v>
      </x:c>
      <x:c r="D2681" s="166" t="str">
        <x:v>Catálise Investimentos</x:v>
      </x:c>
      <x:c r="E2681" s="166" t="str">
        <x:f>IFERROR(INDEX('Classif Gestoras'!$H$6:$H$462,MATCH(D2681,'Classif Gestoras'!$A$6:$A$462,0)),"Não classificada")</x:f>
        <x:v>Independente</x:v>
      </x:c>
      <x:c r="F2681" s="166" t="str">
        <x:v>CATÁLISE DTVM</x:v>
      </x:c>
      <x:c r="G2681" s="166" t="str">
        <x:v>BANCO DAYCOVAL S.A.</x:v>
      </x:c>
      <x:c r="H2681" s="166" t="str">
        <x:v>Agro, Indústria e Comércio</x:v>
      </x:c>
      <x:c r="I2681" s="166" t="str">
        <x:v>Recebíveis Comerciais</x:v>
      </x:c>
      <x:c r="J2681" s="166" t="str">
        <x:v>CI</x:v>
      </x:c>
      <x:c r="K2681" s="172" t="n">
        <x:v>1</x:v>
      </x:c>
      <x:c r="L2681" s="185" t="str">
        <x:v>Não classificado</x:v>
      </x:c>
    </x:row>
    <x:row r="2682">
      <x:c r="A2682" s="175" t="str">
        <x:v>63.915.937/0001-07</x:v>
      </x:c>
      <x:c r="B2682" s="166" t="str">
        <x:v>GP7 CRÉDITO ESPECIAL FUNDO DE INVESTIMENTO EM DIREITOS CREDITÓRIOS - REC COMERCIAIS - RESP LIMITADA</x:v>
      </x:c>
      <x:c r="C2682" s="188" t="n">
        <x:v>7083823.36</x:v>
      </x:c>
      <x:c r="D2682" s="166" t="str">
        <x:v>DAYCOVAL ASSET MANAG</x:v>
      </x:c>
      <x:c r="E2682" s="166" t="str">
        <x:f>IFERROR(INDEX('Classif Gestoras'!$H$6:$H$462,MATCH(D2682,'Classif Gestoras'!$A$6:$A$462,0)),"Não classificada")</x:f>
        <x:v>Ligada a banco</x:v>
      </x:c>
      <x:c r="F2682" s="166" t="str">
        <x:v>BANCO DAYCOVAL S/A</x:v>
      </x:c>
      <x:c r="G2682" s="166" t="str">
        <x:v>BANCO DAYCOVAL S.A.</x:v>
      </x:c>
      <x:c r="H2682" s="166" t="str">
        <x:v>Agro, Indústria e Comércio</x:v>
      </x:c>
      <x:c r="I2682" s="166" t="str">
        <x:v>Recebíveis Comerciais</x:v>
      </x:c>
      <x:c r="J2682" s="166" t="str">
        <x:v>CI</x:v>
      </x:c>
      <x:c r="K2682" s="172" t="n">
        <x:v>8</x:v>
      </x:c>
      <x:c r="L2682" s="185" t="str">
        <x:v>Não classificado</x:v>
      </x:c>
    </x:row>
    <x:row r="2683">
      <x:c r="A2683" s="175" t="str">
        <x:v>43.616.659/0001-80</x:v>
      </x:c>
      <x:c r="B2683" s="166" t="str">
        <x:v>TALÓ 1 FUNDO DE INVESTIMENTO EM DIREITOS CREDITÓRIOS RESPONSABILIDADE LIMITADA</x:v>
      </x:c>
      <x:c r="C2683" s="188" t="n">
        <x:v>7081126.95</x:v>
      </x:c>
      <x:c r="D2683" s="166" t="str">
        <x:v>Farmtech Gestão de Recursos Ltda.</x:v>
      </x:c>
      <x:c r="E2683" s="166" t="str">
        <x:f>IFERROR(INDEX('Classif Gestoras'!$H$6:$H$462,MATCH(D2683,'Classif Gestoras'!$A$6:$A$462,0)),"Não classificada")</x:f>
        <x:v>Independente</x:v>
      </x:c>
      <x:c r="F2683" s="166" t="str">
        <x:v>Oliveira Trust DTVM</x:v>
      </x:c>
      <x:c r="G2683" s="166" t="str">
        <x:v>OLIVEIRA TRUST DTVM S.A.</x:v>
      </x:c>
      <x:c r="H2683" s="166" t="str">
        <x:v>Agro, Indústria e Comércio</x:v>
      </x:c>
      <x:c r="I2683" s="166" t="str">
        <x:v>Agronegócio</x:v>
      </x:c>
      <x:c r="J2683" s="166" t="str">
        <x:v>CI</x:v>
      </x:c>
      <x:c r="K2683" s="172" t="n">
        <x:v>1</x:v>
      </x:c>
      <x:c r="L2683" s="185" t="str">
        <x:v>Não classificado</x:v>
      </x:c>
    </x:row>
    <x:row r="2684">
      <x:c r="A2684" s="175" t="str">
        <x:v>55.726.318/0001-46</x:v>
      </x:c>
      <x:c r="B2684" s="166" t="str">
        <x:v>AGRO REAL FUNDO DE INVESTIMENTO EM DIREITOS CREDITÓRIOS FIAGRO</x:v>
      </x:c>
      <x:c r="C2684" s="188" t="n">
        <x:v>7005928.37</x:v>
      </x:c>
      <x:c r="D2684" s="166" t="str">
        <x:v>GFS INVESTIMENTOS</x:v>
      </x:c>
      <x:c r="E2684" s="166" t="str">
        <x:f>IFERROR(INDEX('Classif Gestoras'!$H$6:$H$462,MATCH(D2684,'Classif Gestoras'!$A$6:$A$462,0)),"Não classificada")</x:f>
        <x:v>Independente</x:v>
      </x:c>
      <x:c r="F2684" s="166" t="str">
        <x:v>PLANNER CV</x:v>
      </x:c>
      <x:c r="G2684" s="166" t="str">
        <x:v>PLANNER CORRETORA DE VALORES S.A.</x:v>
      </x:c>
      <x:c r="H2684" s="166" t="str">
        <x:v>Agro, Indústria e Comércio</x:v>
      </x:c>
      <x:c r="I2684" s="166" t="str">
        <x:v>Agronegócio</x:v>
      </x:c>
      <x:c r="J2684" s="166" t="str">
        <x:v>CI</x:v>
      </x:c>
      <x:c r="K2684" s="172" t="n">
        <x:v>8</x:v>
      </x:c>
      <x:c r="L2684" s="185" t="str">
        <x:v>Não classificado</x:v>
      </x:c>
    </x:row>
    <x:row r="2685">
      <x:c r="A2685" s="175" t="str">
        <x:v>49.959.636/0001-54</x:v>
      </x:c>
      <x:c r="B2685" s="166" t="str">
        <x:v>LUMINA 1 CRÉDITOS JUDICIAIS FUNDO DE INVESTIMENTO EM DIREITOS CREDITÓRIOS RESPONSABILIDADE LIMITADA</x:v>
      </x:c>
      <x:c r="C2685" s="188" t="n">
        <x:v>7004243.890000001</x:v>
      </x:c>
      <x:c r="D2685" s="166" t="str">
        <x:v>Lumina</x:v>
      </x:c>
      <x:c r="E2685" s="166" t="str">
        <x:f>IFERROR(INDEX('Classif Gestoras'!$H$6:$H$462,MATCH(D2685,'Classif Gestoras'!$A$6:$A$462,0)),"Não classificada")</x:f>
        <x:v>Independente</x:v>
      </x:c>
      <x:c r="F2685" s="166" t="str">
        <x:v>BTG Pactual Servicos Financeiros S/A DTVM</x:v>
      </x:c>
      <x:c r="G2685" s="166" t="str">
        <x:v>BANCO BTG PACTUAL S/A</x:v>
      </x:c>
      <x:c r="H2685" s="166" t="str">
        <x:v>Outros</x:v>
      </x:c>
      <x:c r="I2685" s="166" t="str">
        <x:v>Multicarteira Outros</x:v>
      </x:c>
      <x:c r="J2685" s="166" t="str">
        <x:v>CI</x:v>
      </x:c>
      <x:c r="K2685" s="172" t="n">
        <x:v>7</x:v>
      </x:c>
      <x:c r="L2685" s="185" t="str">
        <x:v>Não classificado</x:v>
      </x:c>
    </x:row>
    <x:row r="2686">
      <x:c r="A2686" s="175" t="str">
        <x:v>50.362.898/0001-16</x:v>
      </x:c>
      <x:c r="B2686" s="166" t="str">
        <x:v>INOVA3 FUNDO DE INVESTIMENTO EM DIREITOS CREDITÓRIOS - RESPONSABILIDADE LIMITADA</x:v>
      </x:c>
      <x:c r="C2686" s="188" t="n">
        <x:v>6999696.239999999</x:v>
      </x:c>
      <x:c r="D2686" s="166" t="str">
        <x:v>D3 Capital</x:v>
      </x:c>
      <x:c r="E2686" s="166" t="str">
        <x:f>IFERROR(INDEX('Classif Gestoras'!$H$6:$H$462,MATCH(D2686,'Classif Gestoras'!$A$6:$A$462,0)),"Não classificada")</x:f>
        <x:v>Independente</x:v>
      </x:c>
      <x:c r="F2686" s="166" t="str">
        <x:v>MONETAR DISTRIBUIDORA DE TITUL</x:v>
      </x:c>
      <x:c r="G2686" s="166" t="str">
        <x:v>TERRA INVESTIMENTOS DISTRIBUIDORA DE TITULOS E VALORES MOBILIARIOS LTDA</x:v>
      </x:c>
      <x:c r="H2686" s="166" t="str">
        <x:v>Outros</x:v>
      </x:c>
      <x:c r="I2686" s="166" t="str">
        <x:v>Multicarteira Outros</x:v>
      </x:c>
      <x:c r="J2686" s="166" t="str">
        <x:v>CI</x:v>
      </x:c>
      <x:c r="K2686" s="172" t="n">
        <x:v>4</x:v>
      </x:c>
      <x:c r="L2686" s="185" t="str">
        <x:v>Não classificado</x:v>
      </x:c>
    </x:row>
    <x:row r="2687">
      <x:c r="A2687" s="175" t="str">
        <x:v>62.194.613/0001-64</x:v>
      </x:c>
      <x:c r="B2687" s="166" t="str">
        <x:v>ENGENIUM FUNDO DE INVESTIMENTO EM DIREITOS CREDITÓRIOS DE RESPONSABILIDADE LIMITADA</x:v>
      </x:c>
      <x:c r="C2687" s="188" t="n">
        <x:v>6994892.01</x:v>
      </x:c>
      <x:c r="D2687" s="166" t="str">
        <x:v>Catálise Investimentos</x:v>
      </x:c>
      <x:c r="E2687" s="166" t="str">
        <x:f>IFERROR(INDEX('Classif Gestoras'!$H$6:$H$462,MATCH(D2687,'Classif Gestoras'!$A$6:$A$462,0)),"Não classificada")</x:f>
        <x:v>Independente</x:v>
      </x:c>
      <x:c r="F2687" s="166" t="str">
        <x:v>CATÁLISE DTVM</x:v>
      </x:c>
      <x:c r="G2687" s="166" t="str">
        <x:v>BANCO DAYCOVAL S.A.</x:v>
      </x:c>
      <x:c r="H2687" s="166" t="str">
        <x:v>Agro, Indústria e Comércio</x:v>
      </x:c>
      <x:c r="I2687" s="166" t="str">
        <x:v>Multicarteira Agro, Indústria e Comércio</x:v>
      </x:c>
      <x:c r="J2687" s="166" t="str">
        <x:v>CI</x:v>
      </x:c>
      <x:c r="K2687" s="172" t="n">
        <x:v>1</x:v>
      </x:c>
      <x:c r="L2687" s="185" t="str">
        <x:v>Não classificado</x:v>
      </x:c>
    </x:row>
    <x:row r="2688">
      <x:c r="A2688" s="175" t="str">
        <x:v>60.686.437/0001-52</x:v>
      </x:c>
      <x:c r="B2688" s="166" t="str">
        <x:v>EXPOENTE MERCANTIL FUNDO DE INVESTIMENTO EM DIREITOS CREDITÓRIOS</x:v>
      </x:c>
      <x:c r="C2688" s="188" t="n">
        <x:v>6986956.31</x:v>
      </x:c>
      <x:c r="D2688" s="166" t="str">
        <x:v>TERCON ASSET MANAGEMENT</x:v>
      </x:c>
      <x:c r="E2688" s="166" t="str">
        <x:f>IFERROR(INDEX('Classif Gestoras'!$H$6:$H$462,MATCH(D2688,'Classif Gestoras'!$A$6:$A$462,0)),"Não classificada")</x:f>
        <x:v>Independente</x:v>
      </x:c>
      <x:c r="F2688" s="166" t="str">
        <x:v>Limine Trust Distribuidora de Titulos e Valores Mobiliá</x:v>
      </x:c>
      <x:c r="G2688" s="166" t="str">
        <x:v>LIMINE TRUST DISTRIBUIDORA DE TITULOS E VALORES MOBILIARIOS LTDA.</x:v>
      </x:c>
      <x:c r="H2688" s="166" t="str">
        <x:v>Fomento Mercantil</x:v>
      </x:c>
      <x:c r="I2688" s="166" t="str">
        <x:v>Fomento Mercantil</x:v>
      </x:c>
      <x:c r="J2688" s="166" t="str">
        <x:v>CI</x:v>
      </x:c>
      <x:c r="K2688" s="172" t="n">
        <x:v>1</x:v>
      </x:c>
      <x:c r="L2688" s="185" t="str">
        <x:v>Não classificado</x:v>
      </x:c>
    </x:row>
    <x:row r="2689">
      <x:c r="A2689" s="175" t="str">
        <x:v>61.925.720/0001-52</x:v>
      </x:c>
      <x:c r="B2689" s="166" t="str">
        <x:v>BARUCH FUNDO DE INVESTIMENTO EM DIREITOS CREDITÓRIOS RESPONSABILIDADE LIMITADA</x:v>
      </x:c>
      <x:c r="C2689" s="188" t="n">
        <x:v>6972172.399999999</x:v>
      </x:c>
      <x:c r="D2689" s="166" t="str">
        <x:v>MORRO CAPITAL GESTORA DE RECURSOS LTDA</x:v>
      </x:c>
      <x:c r="E2689" s="166" t="str">
        <x:f>IFERROR(INDEX('Classif Gestoras'!$H$6:$H$462,MATCH(D2689,'Classif Gestoras'!$A$6:$A$462,0)),"Não classificada")</x:f>
        <x:v>Independente</x:v>
      </x:c>
      <x:c r="F2689" s="166" t="str">
        <x:v>ID Corretora de Títulos e Valores Mobiliários S.A.</x:v>
      </x:c>
      <x:c r="G2689" s="166" t="str">
        <x:v>ID CORRETORA DE TITULOS E VALORES MOBILIARIOS S.A.</x:v>
      </x:c>
      <x:c r="H2689" s="166" t="str">
        <x:v>Outros</x:v>
      </x:c>
      <x:c r="I2689" s="166" t="str">
        <x:v>Multicarteira Outros</x:v>
      </x:c>
      <x:c r="J2689" s="166" t="str">
        <x:v>CI</x:v>
      </x:c>
      <x:c r="K2689" s="172" t="n">
        <x:v>2</x:v>
      </x:c>
      <x:c r="L2689" s="185" t="str">
        <x:v>Não classificado</x:v>
      </x:c>
    </x:row>
    <x:row r="2690">
      <x:c r="A2690" s="175" t="str">
        <x:v>57.821.748/0001-72</x:v>
      </x:c>
      <x:c r="B2690" s="166" t="str">
        <x:v>TBN FUNDO DE INVESTIMENTO EM DIREITOS CREDITÓRIOS NÃO - PADRONIZADO</x:v>
      </x:c>
      <x:c r="C2690" s="188" t="n">
        <x:v>6940998.920000001</x:v>
      </x:c>
      <x:c r="D2690" s="166" t="str">
        <x:v>ASSET MANAGEMENT</x:v>
      </x:c>
      <x:c r="E2690" s="166" t="str">
        <x:f>IFERROR(INDEX('Classif Gestoras'!$H$6:$H$462,MATCH(D2690,'Classif Gestoras'!$A$6:$A$462,0)),"Não classificada")</x:f>
        <x:v>Independente</x:v>
      </x:c>
      <x:c r="F2690" s="166" t="str">
        <x:v>AZUMI DISTRIBUIDORA DE TÍTULOS E VALORES MOBILIÁRIOS LT</x:v>
      </x:c>
      <x:c r="G2690" s="166" t="str">
        <x:v>AZUMI DISTRIBUIDORA DE TÍTULOS E VALORES MOBILIÁRIOS LTDA.</x:v>
      </x:c>
      <x:c r="H2690" s="166" t="str">
        <x:v>Outros</x:v>
      </x:c>
      <x:c r="I2690" s="166" t="str">
        <x:v>Multicarteira Outros</x:v>
      </x:c>
      <x:c r="J2690" s="166" t="str">
        <x:v>CI</x:v>
      </x:c>
      <x:c r="K2690" s="172" t="n">
        <x:v>1</x:v>
      </x:c>
      <x:c r="L2690" s="185" t="str">
        <x:v>Não classificado</x:v>
      </x:c>
    </x:row>
    <x:row r="2691">
      <x:c r="A2691" s="175" t="str">
        <x:v>40.365.928/0001-94</x:v>
      </x:c>
      <x:c r="B2691" s="166" t="str">
        <x:v>FARM II FUNDO DE INVESTIMENTO EM DIREITOS CREDITÓRIOS RESPONSABILIDADE LIMITADA</x:v>
      </x:c>
      <x:c r="C2691" s="188" t="n">
        <x:v>6940964.870000001</x:v>
      </x:c>
      <x:c r="D2691" s="166" t="str">
        <x:v>Farmtech Gestão de Recursos Ltda.</x:v>
      </x:c>
      <x:c r="E2691" s="166" t="str">
        <x:f>IFERROR(INDEX('Classif Gestoras'!$H$6:$H$462,MATCH(D2691,'Classif Gestoras'!$A$6:$A$462,0)),"Não classificada")</x:f>
        <x:v>Independente</x:v>
      </x:c>
      <x:c r="F2691" s="166" t="str">
        <x:v>BTG Pactual Servicos Financeiros S/A DTVM</x:v>
      </x:c>
      <x:c r="G2691" s="166" t="str">
        <x:v>BANCO BTG PACTUAL S/A</x:v>
      </x:c>
      <x:c r="H2691" s="166" t="str">
        <x:v>Agro, Indústria e Comércio</x:v>
      </x:c>
      <x:c r="I2691" s="166" t="str">
        <x:v>Agronegócio</x:v>
      </x:c>
      <x:c r="J2691" s="166" t="str">
        <x:v>CIC</x:v>
      </x:c>
      <x:c r="K2691" s="172" t="n">
        <x:v>81</x:v>
      </x:c>
      <x:c r="L2691" s="185" t="str">
        <x:v>Não classificado</x:v>
      </x:c>
    </x:row>
    <x:row r="2692">
      <x:c r="A2692" s="175" t="str">
        <x:v>62.193.694/0001-88</x:v>
      </x:c>
      <x:c r="B2692" s="166" t="str">
        <x:v>VERA CRUZ III ATIVOS JUDICIAIS PROCESSO DE CONHECIMENTO FIDC RESP LIMITADA</x:v>
      </x:c>
      <x:c r="C2692" s="188" t="n">
        <x:v>6903387.6</x:v>
      </x:c>
      <x:c r="D2692" s="166" t="str">
        <x:v>CRD Capital Administração de Recursos Ltda</x:v>
      </x:c>
      <x:c r="E2692" s="166" t="str">
        <x:f>IFERROR(INDEX('Classif Gestoras'!$H$6:$H$462,MATCH(D2692,'Classif Gestoras'!$A$6:$A$462,0)),"Não classificada")</x:f>
        <x:v>Independente</x:v>
      </x:c>
      <x:c r="F2692" s="166" t="str">
        <x:v>FIDD DISTRIBUIDORA DE TITULOS E VALORES MOBILIARIOS LTD</x:v>
      </x:c>
      <x:c r="G2692" s="166" t="str">
        <x:v>FIDD DISTRIBUIDORA DE TITULOS E VALORES MOBILIARIOS LTDA.</x:v>
      </x:c>
      <x:c r="H2692" s="166" t="str">
        <x:v>Outros</x:v>
      </x:c>
      <x:c r="I2692" s="166" t="str">
        <x:v>Poder Público</x:v>
      </x:c>
      <x:c r="J2692" s="166" t="str">
        <x:v>CI</x:v>
      </x:c>
      <x:c r="K2692" s="172" t="n">
        <x:v>11</x:v>
      </x:c>
      <x:c r="L2692" s="185" t="str">
        <x:v>Não classificado</x:v>
      </x:c>
    </x:row>
    <x:row r="2693">
      <x:c r="A2693" s="175" t="str">
        <x:v>55.328.569/0001-72</x:v>
      </x:c>
      <x:c r="B2693" s="166" t="str">
        <x:v>PARATII FUNDO DE INVESTIMENTO EM DIREITOS CREDITÓRIOS RESPONSABILIDADE LIMITADA</x:v>
      </x:c>
      <x:c r="C2693" s="188" t="n">
        <x:v>6866333.81</x:v>
      </x:c>
      <x:c r="D2693" s="166" t="str">
        <x:v>4i Capital Ltda</x:v>
      </x:c>
      <x:c r="E2693" s="166" t="str">
        <x:f>IFERROR(INDEX('Classif Gestoras'!$H$6:$H$462,MATCH(D2693,'Classif Gestoras'!$A$6:$A$462,0)),"Não classificada")</x:f>
        <x:v>Independente</x:v>
      </x:c>
      <x:c r="F2693" s="166" t="str">
        <x:v>PLANNER CV</x:v>
      </x:c>
      <x:c r="G2693" s="166" t="str">
        <x:v>PLANNER CORRETORA DE VALORES S.A.</x:v>
      </x:c>
      <x:c r="H2693" s="166" t="str">
        <x:v>Outros</x:v>
      </x:c>
      <x:c r="I2693" s="166" t="str">
        <x:v>Multicarteira Outros</x:v>
      </x:c>
      <x:c r="J2693" s="166" t="str">
        <x:v>CI</x:v>
      </x:c>
      <x:c r="K2693" s="172" t="n">
        <x:v>1</x:v>
      </x:c>
      <x:c r="L2693" s="185" t="str">
        <x:v>Não classificado</x:v>
      </x:c>
    </x:row>
    <x:row r="2694">
      <x:c r="A2694" s="175" t="str">
        <x:v>56.034.650/0001-02</x:v>
      </x:c>
      <x:c r="B2694" s="166" t="str">
        <x:v>TTMR FUNDO DE INVESTIMENTO EM DIREITOS CREDITÓRIOS - RESPONSABILIDADE LIMITADA</x:v>
      </x:c>
      <x:c r="C2694" s="188" t="n">
        <x:v>6862531.57</x:v>
      </x:c>
      <x:c r="D2694" s="166" t="str">
        <x:v>Oliveira Trust Servicer</x:v>
      </x:c>
      <x:c r="E2694" s="166" t="str">
        <x:f>IFERROR(INDEX('Classif Gestoras'!$H$6:$H$462,MATCH(D2694,'Classif Gestoras'!$A$6:$A$462,0)),"Não classificada")</x:f>
        <x:v>Independente</x:v>
      </x:c>
      <x:c r="F2694" s="166" t="str">
        <x:v>Oliveira Trust DTVM</x:v>
      </x:c>
      <x:c r="G2694" s="166" t="str">
        <x:v>OLIVEIRA TRUST DTVM S.A.</x:v>
      </x:c>
      <x:c r="H2694" s="166" t="str">
        <x:v>Financeiro</x:v>
      </x:c>
      <x:c r="I2694" s="166" t="str">
        <x:v>Crédito Pessoal</x:v>
      </x:c>
      <x:c r="J2694" s="166" t="str">
        <x:v>CI</x:v>
      </x:c>
      <x:c r="K2694" s="172" t="n">
        <x:v>1</x:v>
      </x:c>
      <x:c r="L2694" s="185" t="str">
        <x:v>Não classificado</x:v>
      </x:c>
    </x:row>
    <x:row r="2695">
      <x:c r="A2695" s="175" t="str">
        <x:v>59.060.623/0001-00</x:v>
      </x:c>
      <x:c r="B2695" s="166" t="str">
        <x:v>LUMI FUNDO DE INVESTIMENTO EM DIREITOS CREDITÓRIOS</x:v>
      </x:c>
      <x:c r="C2695" s="188" t="n">
        <x:v>6848680.119999999</x:v>
      </x:c>
      <x:c r="D2695" s="166" t="str">
        <x:v>DAYCOVAL ASSET MANAG</x:v>
      </x:c>
      <x:c r="E2695" s="166" t="str">
        <x:f>IFERROR(INDEX('Classif Gestoras'!$H$6:$H$462,MATCH(D2695,'Classif Gestoras'!$A$6:$A$462,0)),"Não classificada")</x:f>
        <x:v>Ligada a banco</x:v>
      </x:c>
      <x:c r="F2695" s="166" t="str">
        <x:v>BANCO DAYCOVAL S/A</x:v>
      </x:c>
      <x:c r="G2695" s="166" t="str">
        <x:v>BANCO DAYCOVAL S.A.</x:v>
      </x:c>
      <x:c r="H2695" s="166" t="str">
        <x:v>Financeiro</x:v>
      </x:c>
      <x:c r="I2695" s="166" t="str">
        <x:v>Multicarteira Financeiro</x:v>
      </x:c>
      <x:c r="J2695" s="166" t="str">
        <x:v>CI</x:v>
      </x:c>
      <x:c r="K2695" s="172" t="n">
        <x:v>6</x:v>
      </x:c>
      <x:c r="L2695" s="185" t="str">
        <x:v>Não classificado</x:v>
      </x:c>
    </x:row>
    <x:row r="2696">
      <x:c r="A2696" s="175" t="str">
        <x:v>55.157.099/0001-21</x:v>
      </x:c>
      <x:c r="B2696" s="166" t="str">
        <x:v>GOLDEN TREE FUNDO DE INVESTIMENTO EM DIREITOS CREDITÓRIOS CONSIGNADO PRIVADO</x:v>
      </x:c>
      <x:c r="C2696" s="188" t="n">
        <x:v>6833739.65</x:v>
      </x:c>
      <x:c r="D2696" s="166" t="str">
        <x:v>Positiva Investimentos Ltda</x:v>
      </x:c>
      <x:c r="E2696" s="166" t="str">
        <x:f>IFERROR(INDEX('Classif Gestoras'!$H$6:$H$462,MATCH(D2696,'Classif Gestoras'!$A$6:$A$462,0)),"Não classificada")</x:f>
        <x:v>Independente</x:v>
      </x:c>
      <x:c r="F2696" s="166" t="str">
        <x:v>SEFER DTVM</x:v>
      </x:c>
      <x:c r="G2696" s="166" t="str">
        <x:v>SEFER INVESTIMENTOS DISTRIBUIDORA DE TÍTULOS E VALORES MOBILIÁRIOS LTDA.</x:v>
      </x:c>
      <x:c r="H2696" s="166" t="str">
        <x:v>Financeiro</x:v>
      </x:c>
      <x:c r="I2696" s="166" t="str">
        <x:v>Crédito Consignado</x:v>
      </x:c>
      <x:c r="J2696" s="166" t="str">
        <x:v>CI</x:v>
      </x:c>
      <x:c r="K2696" s="172" t="n">
        <x:v>0</x:v>
      </x:c>
      <x:c r="L2696" s="185" t="str">
        <x:v>Não classificado</x:v>
      </x:c>
    </x:row>
    <x:row r="2697">
      <x:c r="A2697" s="175" t="str">
        <x:v>62.215.593/0001-60</x:v>
      </x:c>
      <x:c r="B2697" s="166" t="str">
        <x:v>BPSINV FUNDO DE INVESTIMENTO EM DIREITOS CREDITÓRIOS</x:v>
      </x:c>
      <x:c r="C2697" s="188" t="n">
        <x:v>6817908.65</x:v>
      </x:c>
      <x:c r="D2697" s="166" t="str">
        <x:v>Menestys</x:v>
      </x:c>
      <x:c r="E2697" s="166" t="str">
        <x:f>IFERROR(INDEX('Classif Gestoras'!$H$6:$H$462,MATCH(D2697,'Classif Gestoras'!$A$6:$A$462,0)),"Não classificada")</x:f>
        <x:v>Independente</x:v>
      </x:c>
      <x:c r="F2697" s="166" t="str">
        <x:v>FIDD DISTRIBUIDORA DE TITULOS E VALORES MOBILIARIOS LTD</x:v>
      </x:c>
      <x:c r="G2697" s="166" t="str">
        <x:v>FIDD DISTRIBUIDORA DE TITULOS E VALORES MOBILIARIOS LTDA.</x:v>
      </x:c>
      <x:c r="H2697" s="166" t="str">
        <x:v>Agro, Indústria e Comércio</x:v>
      </x:c>
      <x:c r="I2697" s="166" t="str">
        <x:v>Multicarteira Agro, Indústria e Comércio</x:v>
      </x:c>
      <x:c r="J2697" s="166" t="str">
        <x:v>CI</x:v>
      </x:c>
      <x:c r="K2697" s="172" t="n">
        <x:v>5</x:v>
      </x:c>
      <x:c r="L2697" s="185" t="str">
        <x:v>Não classificado</x:v>
      </x:c>
    </x:row>
    <x:row r="2698">
      <x:c r="A2698" s="175" t="str">
        <x:v>63.697.245/0001-30</x:v>
      </x:c>
      <x:c r="B2698" s="166" t="str">
        <x:v>NERA TRUST FUNDO DE INVESTIMENTO EM DIREITOS CREDITÓRIOS - RESPONSABILIDADE LIMITAD</x:v>
      </x:c>
      <x:c r="C2698" s="188" t="n">
        <x:v>6794100.54</x:v>
      </x:c>
      <x:c r="D2698" s="166" t="str">
        <x:v>TERCON ASSET MANAGEMENT</x:v>
      </x:c>
      <x:c r="E2698" s="166" t="str">
        <x:f>IFERROR(INDEX('Classif Gestoras'!$H$6:$H$462,MATCH(D2698,'Classif Gestoras'!$A$6:$A$462,0)),"Não classificada")</x:f>
        <x:v>Independente</x:v>
      </x:c>
      <x:c r="F2698" s="166" t="str">
        <x:v>Limine Trust Distribuidora de Titulos e Valores Mobiliá</x:v>
      </x:c>
      <x:c r="G2698" s="166" t="str">
        <x:v>LIMINE TRUST DISTRIBUIDORA DE TITULOS E VALORES MOBILIARIOS LTDA.</x:v>
      </x:c>
      <x:c r="H2698" s="166" t="str">
        <x:v>Outros</x:v>
      </x:c>
      <x:c r="I2698" s="166" t="str">
        <x:v>Multicarteira Outros</x:v>
      </x:c>
      <x:c r="J2698" s="166" t="str">
        <x:v>CI</x:v>
      </x:c>
      <x:c r="K2698" s="172" t="n">
        <x:v>1</x:v>
      </x:c>
      <x:c r="L2698" s="185" t="str">
        <x:v>Não classificado</x:v>
      </x:c>
    </x:row>
    <x:row r="2699">
      <x:c r="A2699" s="175" t="str">
        <x:v>62.853.435/0001-36</x:v>
      </x:c>
      <x:c r="B2699" s="166" t="str">
        <x:v>CAP FUNDO DE INVESTIMENTO EM DIREITOS CREDITÓRIOS RESPONSABILIDADE LIMITADA</x:v>
      </x:c>
      <x:c r="C2699" s="188" t="n">
        <x:v>6774447.38</x:v>
      </x:c>
      <x:c r="D2699" s="166" t="str">
        <x:v>Renova Gestora</x:v>
      </x:c>
      <x:c r="E2699" s="166" t="str">
        <x:f>IFERROR(INDEX('Classif Gestoras'!$H$6:$H$462,MATCH(D2699,'Classif Gestoras'!$A$6:$A$462,0)),"Não classificada")</x:f>
        <x:v>Independente</x:v>
      </x:c>
      <x:c r="F2699" s="166" t="str">
        <x:v>MONETAR DISTRIBUIDORA DE TITUL</x:v>
      </x:c>
      <x:c r="G2699" s="166" t="str">
        <x:v>TERRA INVESTIMENTOS DISTRIBUIDORA DE TITULOS E VALORES MOBILIARIOS LTDA</x:v>
      </x:c>
      <x:c r="H2699" s="166" t="str">
        <x:v>Outros</x:v>
      </x:c>
      <x:c r="I2699" s="166" t="str">
        <x:v>Multicarteira Outros</x:v>
      </x:c>
      <x:c r="J2699" s="166" t="str">
        <x:v>CI</x:v>
      </x:c>
      <x:c r="K2699" s="172" t="n">
        <x:v>3</x:v>
      </x:c>
      <x:c r="L2699" s="185" t="str">
        <x:v>Não classificado</x:v>
      </x:c>
    </x:row>
    <x:row r="2700">
      <x:c r="A2700" s="175" t="str">
        <x:v>53.926.245/0001-00</x:v>
      </x:c>
      <x:c r="B2700" s="166" t="str">
        <x:v>FRAM CAPITAL FUNDO DE INVESTIMENTO EM DIREITOS CREDITÓRIOS CONSIGNADO I RESPONSABILIDADE LIMITADA</x:v>
      </x:c>
      <x:c r="C2700" s="188" t="n">
        <x:v>6744869.86</x:v>
      </x:c>
      <x:c r="D2700" s="166" t="str">
        <x:v>Fram Capital Gestão de Ativos Ltda</x:v>
      </x:c>
      <x:c r="E2700" s="166" t="str">
        <x:f>IFERROR(INDEX('Classif Gestoras'!$H$6:$H$462,MATCH(D2700,'Classif Gestoras'!$A$6:$A$462,0)),"Não classificada")</x:f>
        <x:v>Independente</x:v>
      </x:c>
      <x:c r="F2700" s="166" t="str">
        <x:v>VÓRTX DTVM</x:v>
      </x:c>
      <x:c r="G2700" s="166" t="str">
        <x:v>VORTX DISTRIBUIDORA DE TITULOS E VALORES MOBILIARIOS LTDA.</x:v>
      </x:c>
      <x:c r="H2700" s="166" t="str">
        <x:v>Financeiro</x:v>
      </x:c>
      <x:c r="I2700" s="166" t="str">
        <x:v>Crédito Consignado</x:v>
      </x:c>
      <x:c r="J2700" s="166" t="str">
        <x:v>CI</x:v>
      </x:c>
      <x:c r="K2700" s="172" t="n">
        <x:v>35</x:v>
      </x:c>
      <x:c r="L2700" s="185" t="str">
        <x:v>Não classificado</x:v>
      </x:c>
    </x:row>
    <x:row r="2701">
      <x:c r="A2701" s="175" t="str">
        <x:v>62.164.403/0001-23</x:v>
      </x:c>
      <x:c r="B2701" s="166" t="str">
        <x:v>BLUEFIC FUNDO DE INVESTIMENTO EM DIREITOS CREDITÓRIOS RESPONSABILIDADE LIMITADA</x:v>
      </x:c>
      <x:c r="C2701" s="188" t="n">
        <x:v>6738309.63</x:v>
      </x:c>
      <x:c r="D2701" s="166" t="str">
        <x:v>PATAGÔNIA CAPITAL</x:v>
      </x:c>
      <x:c r="E2701" s="166" t="str">
        <x:f>IFERROR(INDEX('Classif Gestoras'!$H$6:$H$462,MATCH(D2701,'Classif Gestoras'!$A$6:$A$462,0)),"Não classificada")</x:f>
        <x:v>Independente</x:v>
      </x:c>
      <x:c r="F2701" s="166" t="str">
        <x:v>ID Corretora de Títulos e Valores Mobiliários S.A.</x:v>
      </x:c>
      <x:c r="G2701" s="166" t="str">
        <x:v>ID CORRETORA DE TITULOS E VALORES MOBILIARIOS S.A.</x:v>
      </x:c>
      <x:c r="H2701" s="166" t="str">
        <x:v>Outros</x:v>
      </x:c>
      <x:c r="I2701" s="166" t="str">
        <x:v>Multicarteira Outros</x:v>
      </x:c>
      <x:c r="J2701" s="166" t="str">
        <x:v>CI</x:v>
      </x:c>
      <x:c r="K2701" s="172" t="n">
        <x:v>1</x:v>
      </x:c>
      <x:c r="L2701" s="185" t="str">
        <x:v>Não classificado</x:v>
      </x:c>
    </x:row>
    <x:row r="2702">
      <x:c r="A2702" s="175" t="str">
        <x:v>27.216.590/0001-40</x:v>
      </x:c>
      <x:c r="B2702" s="166" t="str">
        <x:v>CNPJ 27216590000140</x:v>
      </x:c>
      <x:c r="C2702" s="188" t="n">
        <x:v>6735959.53</x:v>
      </x:c>
      <x:c r="D2702" s="166" t="str">
        <x:v>Emerald Gestão de Investimento</x:v>
      </x:c>
      <x:c r="E2702" s="166" t="str">
        <x:f>IFERROR(INDEX('Classif Gestoras'!$H$6:$H$462,MATCH(D2702,'Classif Gestoras'!$A$6:$A$462,0)),"Não classificada")</x:f>
        <x:v>Independente</x:v>
      </x:c>
      <x:c r="F2702" s="166" t="str">
        <x:v>BANCO J. SAFRA S/A</x:v>
      </x:c>
      <x:c r="G2702" s="166" t="str">
        <x:v>Não identificado</x:v>
      </x:c>
      <x:c r="H2702" s="166" t="str">
        <x:v>Outros</x:v>
      </x:c>
      <x:c r="I2702" s="166" t="str">
        <x:v>Poder Público</x:v>
      </x:c>
      <x:c r="J2702" s="166" t="str">
        <x:v>CI</x:v>
      </x:c>
      <x:c r="K2702" s="172"/>
      <x:c r="L2702" s="185" t="str">
        <x:v>Não classificado</x:v>
      </x:c>
    </x:row>
    <x:row r="2703">
      <x:c r="A2703" s="175" t="str">
        <x:v>64.633.435/0001-56</x:v>
      </x:c>
      <x:c r="B2703" s="166" t="str">
        <x:v>YAALEH MEIOS DE PAGAMENTO FUNDO DE INVESTIMENTOS EM DIREITOS CREDITÓRIOS - RESPONSABILIDADE LIMITADA</x:v>
      </x:c>
      <x:c r="C2703" s="188" t="n">
        <x:v>6713202.460000001</x:v>
      </x:c>
      <x:c r="D2703" s="166" t="str">
        <x:v>Apuama Capital</x:v>
      </x:c>
      <x:c r="E2703" s="166" t="str">
        <x:f>IFERROR(INDEX('Classif Gestoras'!$H$6:$H$462,MATCH(D2703,'Classif Gestoras'!$A$6:$A$462,0)),"Não classificada")</x:f>
        <x:v>Independente</x:v>
      </x:c>
      <x:c r="F2703" s="166" t="str">
        <x:v>Singulare</x:v>
      </x:c>
      <x:c r="G2703" s="166" t="str">
        <x:v>QI CORRETORA DE TÍTULOS E VALORES MOBILIÁRIOS S.A.</x:v>
      </x:c>
      <x:c r="H2703" s="166" t="str">
        <x:v>Agro, Indústria e Comércio</x:v>
      </x:c>
      <x:c r="I2703" s="166" t="str">
        <x:v>Recebíveis Comerciais</x:v>
      </x:c>
      <x:c r="J2703" s="166" t="str">
        <x:v>CI</x:v>
      </x:c>
      <x:c r="K2703" s="172" t="n">
        <x:v>2</x:v>
      </x:c>
      <x:c r="L2703" s="185" t="str">
        <x:v>Não classificado</x:v>
      </x:c>
    </x:row>
    <x:row r="2704">
      <x:c r="A2704" s="175" t="str">
        <x:v>61.263.184/0001-77</x:v>
      </x:c>
      <x:c r="B2704" s="166" t="str">
        <x:v>VB II FUNDO DE INVESTIMENTO EM DIREITOS CREDITÓRIOS FINANCEIROS</x:v>
      </x:c>
      <x:c r="C2704" s="188" t="n">
        <x:v>6694375.89</x:v>
      </x:c>
      <x:c r="D2704" s="166" t="str">
        <x:v>BLUEWAVE ASSET LTDA</x:v>
      </x:c>
      <x:c r="E2704" s="166" t="str">
        <x:f>IFERROR(INDEX('Classif Gestoras'!$H$6:$H$462,MATCH(D2704,'Classif Gestoras'!$A$6:$A$462,0)),"Não classificada")</x:f>
        <x:v>Independente</x:v>
      </x:c>
      <x:c r="F2704" s="166" t="str">
        <x:v>Finvest Digital</x:v>
      </x:c>
      <x:c r="G2704" s="166" t="str">
        <x:v>FINVEST DISTRIBUIDORA DE TÍTULOS E VALORES MOBILIÁRIOS LTDA.</x:v>
      </x:c>
      <x:c r="H2704" s="166" t="str">
        <x:v>Financeiro</x:v>
      </x:c>
      <x:c r="I2704" s="166" t="str">
        <x:v>Multicarteira Financeiro</x:v>
      </x:c>
      <x:c r="J2704" s="166" t="str">
        <x:v>CI</x:v>
      </x:c>
      <x:c r="K2704" s="172" t="n">
        <x:v>1</x:v>
      </x:c>
      <x:c r="L2704" s="185" t="str">
        <x:v>Não classificado</x:v>
      </x:c>
    </x:row>
    <x:row r="2705">
      <x:c r="A2705" s="175" t="str">
        <x:v>64.112.934/0001-06</x:v>
      </x:c>
      <x:c r="B2705" s="166" t="str">
        <x:v>GUARDIAN APP CRÉDITO CONSIGNADO FUNDO DE INVESTIMENTO EM DIREITOS CREDITÓRIOS RL</x:v>
      </x:c>
      <x:c r="C2705" s="188" t="n">
        <x:v>6656983.26</x:v>
      </x:c>
      <x:c r="D2705" s="166" t="str">
        <x:v>Guardian Crédito</x:v>
      </x:c>
      <x:c r="E2705" s="166" t="str">
        <x:f>IFERROR(INDEX('Classif Gestoras'!$H$6:$H$462,MATCH(D2705,'Classif Gestoras'!$A$6:$A$462,0)),"Não classificada")</x:f>
        <x:v>Independente</x:v>
      </x:c>
      <x:c r="F2705" s="166" t="str">
        <x:v>BANCO DAYCOVAL S/A</x:v>
      </x:c>
      <x:c r="G2705" s="166" t="str">
        <x:v>BANCO DAYCOVAL S.A.</x:v>
      </x:c>
      <x:c r="H2705" s="166" t="str">
        <x:v>Financeiro</x:v>
      </x:c>
      <x:c r="I2705" s="166" t="str">
        <x:v>Crédito Consignado</x:v>
      </x:c>
      <x:c r="J2705" s="166" t="str">
        <x:v>CI</x:v>
      </x:c>
      <x:c r="K2705" s="172" t="n">
        <x:v>7</x:v>
      </x:c>
      <x:c r="L2705" s="185" t="str">
        <x:v>Não classificado</x:v>
      </x:c>
    </x:row>
    <x:row r="2706">
      <x:c r="A2706" s="175" t="str">
        <x:v>56.944.509/0001-47</x:v>
      </x:c>
      <x:c r="B2706" s="166" t="str">
        <x:v>LC JUD FUNDO DE INVESTIMENTO EM DIREITOS CREDITÓRIOS</x:v>
      </x:c>
      <x:c r="C2706" s="188" t="n">
        <x:v>6642291.96</x:v>
      </x:c>
      <x:c r="D2706" s="166" t="str">
        <x:v>Legatus Asset Management</x:v>
      </x:c>
      <x:c r="E2706" s="166" t="str">
        <x:f>IFERROR(INDEX('Classif Gestoras'!$H$6:$H$462,MATCH(D2706,'Classif Gestoras'!$A$6:$A$462,0)),"Não classificada")</x:f>
        <x:v>Independente</x:v>
      </x:c>
      <x:c r="F2706" s="166" t="str">
        <x:v>PLANNER CV</x:v>
      </x:c>
      <x:c r="G2706" s="166" t="str">
        <x:v>PLANNER CORRETORA DE VALORES S.A.</x:v>
      </x:c>
      <x:c r="H2706" s="166" t="str">
        <x:v>Outros</x:v>
      </x:c>
      <x:c r="I2706" s="166" t="str">
        <x:v>Multicarteira Outros</x:v>
      </x:c>
      <x:c r="J2706" s="166" t="str">
        <x:v>CI</x:v>
      </x:c>
      <x:c r="K2706" s="172" t="n">
        <x:v>4</x:v>
      </x:c>
      <x:c r="L2706" s="185" t="str">
        <x:v>Não classificado</x:v>
      </x:c>
    </x:row>
    <x:row r="2707">
      <x:c r="A2707" s="175" t="str">
        <x:v>29.226.634/0001-49</x:v>
      </x:c>
      <x:c r="B2707" s="166" t="str">
        <x:v>ARATU FUNDO DE INVESTIMENTO EM DIREITOS CREDITORIOS</x:v>
      </x:c>
      <x:c r="C2707" s="188" t="n">
        <x:v>6594950.920000001</x:v>
      </x:c>
      <x:c r="D2707" s="166" t="str">
        <x:v>Global Gestão e Investimentos</x:v>
      </x:c>
      <x:c r="E2707" s="166" t="str">
        <x:f>IFERROR(INDEX('Classif Gestoras'!$H$6:$H$462,MATCH(D2707,'Classif Gestoras'!$A$6:$A$462,0)),"Não classificada")</x:f>
        <x:v>Independente</x:v>
      </x:c>
      <x:c r="F2707" s="166" t="str">
        <x:v>MONETAR DISTRIBUIDORA DE TITUL</x:v>
      </x:c>
      <x:c r="G2707" s="166" t="str">
        <x:v>TERRA INVESTIMENTOS DISTRIBUIDORA DE TITULOS E VALORES MOBILIARIOS LTDA</x:v>
      </x:c>
      <x:c r="H2707" s="166" t="str">
        <x:v>Outros</x:v>
      </x:c>
      <x:c r="I2707" s="166" t="str">
        <x:v>Multicarteira Outros</x:v>
      </x:c>
      <x:c r="J2707" s="166" t="str">
        <x:v>CI</x:v>
      </x:c>
      <x:c r="K2707" s="172" t="n">
        <x:v>1</x:v>
      </x:c>
      <x:c r="L2707" s="185" t="str">
        <x:v>Não classificado</x:v>
      </x:c>
    </x:row>
    <x:row r="2708">
      <x:c r="A2708" s="175" t="str">
        <x:v>55.752.712/0001-59</x:v>
      </x:c>
      <x:c r="B2708" s="166" t="str">
        <x:v>ROMA CONSIGNADO FUNDO DE INVESTIMENTO EM DIREITOS CREDITÓRIOS</x:v>
      </x:c>
      <x:c r="C2708" s="188" t="n">
        <x:v>6586762.13</x:v>
      </x:c>
      <x:c r="D2708" s="166" t="str">
        <x:v>B.Side Wealth</x:v>
      </x:c>
      <x:c r="E2708" s="166" t="str">
        <x:f>IFERROR(INDEX('Classif Gestoras'!$H$6:$H$462,MATCH(D2708,'Classif Gestoras'!$A$6:$A$462,0)),"Não classificada")</x:f>
        <x:v>Independente</x:v>
      </x:c>
      <x:c r="F2708" s="166" t="str">
        <x:v>ID Corretora de Títulos e Valores Mobiliários S.A.</x:v>
      </x:c>
      <x:c r="G2708" s="166" t="str">
        <x:v>TERRA INVESTIMENTOS DISTRIBUIDORA DE TITULOS E VALORES MOBILIARIOS LTDA</x:v>
      </x:c>
      <x:c r="H2708" s="166" t="str">
        <x:v>Financeiro</x:v>
      </x:c>
      <x:c r="I2708" s="166" t="str">
        <x:v>Crédito Consignado</x:v>
      </x:c>
      <x:c r="J2708" s="166" t="str">
        <x:v>CI</x:v>
      </x:c>
      <x:c r="K2708" s="172" t="n">
        <x:v>54</x:v>
      </x:c>
      <x:c r="L2708" s="185" t="str">
        <x:v>Não classificado</x:v>
      </x:c>
    </x:row>
    <x:row r="2709">
      <x:c r="A2709" s="175" t="str">
        <x:v>07.507.899/0001-82</x:v>
      </x:c>
      <x:c r="B2709" s="166" t="str">
        <x:v>GP FIDC FCVS</x:v>
      </x:c>
      <x:c r="C2709" s="188" t="n">
        <x:v>6556127.71</x:v>
      </x:c>
      <x:c r="D2709" s="166" t="str">
        <x:v>BRZ Investimentos</x:v>
      </x:c>
      <x:c r="E2709" s="166" t="str">
        <x:f>IFERROR(INDEX('Classif Gestoras'!$H$6:$H$462,MATCH(D2709,'Classif Gestoras'!$A$6:$A$462,0)),"Não classificada")</x:f>
        <x:v>Independente</x:v>
      </x:c>
      <x:c r="F2709" s="166" t="str">
        <x:v>Oliveira Trust DTVM</x:v>
      </x:c>
      <x:c r="G2709" s="166" t="str">
        <x:v>OLIVEIRA TRUST DTVM S.A.</x:v>
      </x:c>
      <x:c r="H2709" s="166" t="str">
        <x:v>Financeiro</x:v>
      </x:c>
      <x:c r="I2709" s="166" t="str">
        <x:v>Crédito Imobiliário</x:v>
      </x:c>
      <x:c r="J2709" s="166" t="str">
        <x:v>CI</x:v>
      </x:c>
      <x:c r="K2709" s="172" t="n">
        <x:v>15</x:v>
      </x:c>
      <x:c r="L2709" s="185" t="str">
        <x:v>Não classificado</x:v>
      </x:c>
    </x:row>
    <x:row r="2710">
      <x:c r="A2710" s="175" t="str">
        <x:v>44.680.424/0001-10</x:v>
      </x:c>
      <x:c r="B2710" s="166" t="str">
        <x:v>SANTA BÁRBARA FUNDO DE INVESTIMENTO EM DIREITOS CREDITÓRIOS MULTISSETORIAL- RESP LIMITADA</x:v>
      </x:c>
      <x:c r="C2710" s="188" t="n">
        <x:v>6521484.359999999</x:v>
      </x:c>
      <x:c r="D2710" s="166" t="str">
        <x:v>OURO PRETO INVESTIMENTOS</x:v>
      </x:c>
      <x:c r="E2710" s="166" t="str">
        <x:f>IFERROR(INDEX('Classif Gestoras'!$H$6:$H$462,MATCH(D2710,'Classif Gestoras'!$A$6:$A$462,0)),"Não classificada")</x:f>
        <x:v>Independente</x:v>
      </x:c>
      <x:c r="F2710" s="166" t="str">
        <x:v>ID Corretora de Títulos e Valores Mobiliários S.A.</x:v>
      </x:c>
      <x:c r="G2710" s="166" t="str">
        <x:v>ID CORRETORA DE TITULOS E VALORES MOBILIARIOS S.A.</x:v>
      </x:c>
      <x:c r="H2710" s="166" t="str">
        <x:v>Outros</x:v>
      </x:c>
      <x:c r="I2710" s="166" t="str">
        <x:v>Multicarteira Outros</x:v>
      </x:c>
      <x:c r="J2710" s="166" t="str">
        <x:v>CI</x:v>
      </x:c>
      <x:c r="K2710" s="172" t="n">
        <x:v>5</x:v>
      </x:c>
      <x:c r="L2710" s="185" t="str">
        <x:v>Não classificado</x:v>
      </x:c>
    </x:row>
    <x:row r="2711">
      <x:c r="A2711" s="175" t="str">
        <x:v>13.963.456/0001-07</x:v>
      </x:c>
      <x:c r="B2711" s="166" t="str">
        <x:v>VHE FUNDO DE INVESTIMENTO EM DIREITOS CREDITÓRIOS SEGMENTO FINANCEIRO</x:v>
      </x:c>
      <x:c r="C2711" s="188" t="n">
        <x:v>6518418.75</x:v>
      </x:c>
      <x:c r="D2711" s="166" t="str">
        <x:v>PARAMIS INVESTIMENTOS</x:v>
      </x:c>
      <x:c r="E2711" s="166" t="str">
        <x:f>IFERROR(INDEX('Classif Gestoras'!$H$6:$H$462,MATCH(D2711,'Classif Gestoras'!$A$6:$A$462,0)),"Não classificada")</x:f>
        <x:v>Independente</x:v>
      </x:c>
      <x:c r="F2711" s="166" t="str">
        <x:v>Finaxis Corretora de Títulos e Valores Mobiliários S.A.</x:v>
      </x:c>
      <x:c r="G2711" s="166" t="str">
        <x:v>BANCO FINAXIS S.A.</x:v>
      </x:c>
      <x:c r="H2711" s="166" t="str">
        <x:v>Financeiro</x:v>
      </x:c>
      <x:c r="I2711" s="166" t="str">
        <x:v>Crédito Imobiliário</x:v>
      </x:c>
      <x:c r="J2711" s="166" t="str">
        <x:v>CI</x:v>
      </x:c>
      <x:c r="K2711" s="172" t="n">
        <x:v>8</x:v>
      </x:c>
      <x:c r="L2711" s="185" t="str">
        <x:v>Não classificado</x:v>
      </x:c>
    </x:row>
    <x:row r="2712">
      <x:c r="A2712" s="175" t="str">
        <x:v>60.305.004/0001-00</x:v>
      </x:c>
      <x:c r="B2712" s="166" t="str">
        <x:v>GUARDIAN WAREHOUSE II FUNDO DE INVESTIMENTO EM DIREITOS CREDITÓRIOS - RESPONSABILIDADE LIMITADA</x:v>
      </x:c>
      <x:c r="C2712" s="188" t="n">
        <x:v>6504164.71</x:v>
      </x:c>
      <x:c r="D2712" s="166" t="str">
        <x:v>Guardian Gestora</x:v>
      </x:c>
      <x:c r="E2712" s="166" t="str">
        <x:f>IFERROR(INDEX('Classif Gestoras'!$H$6:$H$462,MATCH(D2712,'Classif Gestoras'!$A$6:$A$462,0)),"Não classificada")</x:f>
        <x:v>Independente</x:v>
      </x:c>
      <x:c r="F2712" s="166" t="str">
        <x:v>Banvox DTVM</x:v>
      </x:c>
      <x:c r="G2712" s="166" t="str">
        <x:v>BANVOX DISTRIBUIDORA DE TITULOS E VALORES MOBILIARIOS LTDA</x:v>
      </x:c>
      <x:c r="H2712" s="166" t="str">
        <x:v>Financeiro</x:v>
      </x:c>
      <x:c r="I2712" s="166" t="str">
        <x:v>Crédito Consignado</x:v>
      </x:c>
      <x:c r="J2712" s="166" t="str">
        <x:v>CI</x:v>
      </x:c>
      <x:c r="K2712" s="172" t="n">
        <x:v>1</x:v>
      </x:c>
      <x:c r="L2712" s="185" t="str">
        <x:v>Não classificado</x:v>
      </x:c>
    </x:row>
    <x:row r="2713">
      <x:c r="A2713" s="175" t="str">
        <x:v>26.560.778/0001-49</x:v>
      </x:c>
      <x:c r="B2713" s="166" t="str">
        <x:v>MASSAU FUNDO DE INVESTIMENTO EM DIREITOS CREDITORIOS</x:v>
      </x:c>
      <x:c r="C2713" s="188" t="n">
        <x:v>6464238.2299999995</x:v>
      </x:c>
      <x:c r="D2713" s="166" t="str">
        <x:v>Acura Gestora de Recursos LTDA.</x:v>
      </x:c>
      <x:c r="E2713" s="166" t="str">
        <x:f>IFERROR(INDEX('Classif Gestoras'!$H$6:$H$462,MATCH(D2713,'Classif Gestoras'!$A$6:$A$462,0)),"Não classificada")</x:f>
        <x:v>Independente</x:v>
      </x:c>
      <x:c r="F2713" s="166" t="str">
        <x:v>SEFER DTVM</x:v>
      </x:c>
      <x:c r="G2713" s="166" t="str">
        <x:v>SEFER INVESTIMENTOS DISTRIBUIDORA DE TÍTULOS E VALORES MOBILIÁRIOS LTDA.</x:v>
      </x:c>
      <x:c r="H2713" s="166" t="str">
        <x:v>Outros</x:v>
      </x:c>
      <x:c r="I2713" s="166" t="str">
        <x:v>Multicarteira Outros</x:v>
      </x:c>
      <x:c r="J2713" s="166" t="str">
        <x:v>CI</x:v>
      </x:c>
      <x:c r="K2713" s="172" t="n">
        <x:v>1</x:v>
      </x:c>
      <x:c r="L2713" s="185" t="str">
        <x:v>Não classificado</x:v>
      </x:c>
    </x:row>
    <x:row r="2714">
      <x:c r="A2714" s="175" t="str">
        <x:v>62.838.279/0001-34</x:v>
      </x:c>
      <x:c r="B2714" s="166" t="str">
        <x:v>TRENTINO FUNDO DE INVESTIMENTO EM DIREITOS CREDITÓRIO</x:v>
      </x:c>
      <x:c r="C2714" s="188" t="n">
        <x:v>6443045.92</x:v>
      </x:c>
      <x:c r="D2714" s="166" t="str">
        <x:v>WNT Gestora de Recursos Ltda.</x:v>
      </x:c>
      <x:c r="E2714" s="166" t="str">
        <x:f>IFERROR(INDEX('Classif Gestoras'!$H$6:$H$462,MATCH(D2714,'Classif Gestoras'!$A$6:$A$462,0)),"Não classificada")</x:f>
        <x:v>Independente</x:v>
      </x:c>
      <x:c r="F2714" s="166" t="str">
        <x:v>WNT DTVM</x:v>
      </x:c>
      <x:c r="G2714" s="166" t="str">
        <x:v>WNT CAPITAL DISTRIBUIDORA DE TITULOS E VALORES MOBILIARIOS S.A.</x:v>
      </x:c>
      <x:c r="H2714" s="166" t="str">
        <x:v>Fomento Mercantil</x:v>
      </x:c>
      <x:c r="I2714" s="166" t="str">
        <x:v>Fomento Mercantil</x:v>
      </x:c>
      <x:c r="J2714" s="166" t="str">
        <x:v>CI</x:v>
      </x:c>
      <x:c r="K2714" s="172" t="n">
        <x:v>1</x:v>
      </x:c>
      <x:c r="L2714" s="185" t="str">
        <x:v>Não classificado</x:v>
      </x:c>
    </x:row>
    <x:row r="2715">
      <x:c r="A2715" s="175" t="str">
        <x:v>60.572.029/0001-70</x:v>
      </x:c>
      <x:c r="B2715" s="166" t="str">
        <x:v>ALLU FUNDO DE INVESTIMENTO EM DIREITOS CREDITÓRIOS RESPONSABILIDADE LIMITADA</x:v>
      </x:c>
      <x:c r="C2715" s="188" t="n">
        <x:v>6436357.9399999995</x:v>
      </x:c>
      <x:c r="D2715" s="166" t="str">
        <x:v>VERT Gestora de Recursos Financeiros Ltda.</x:v>
      </x:c>
      <x:c r="E2715" s="166" t="str">
        <x:f>IFERROR(INDEX('Classif Gestoras'!$H$6:$H$462,MATCH(D2715,'Classif Gestoras'!$A$6:$A$462,0)),"Não classificada")</x:f>
        <x:v>Independente</x:v>
      </x:c>
      <x:c r="F2715" s="166" t="str">
        <x:v>VERT Distribuidora de Títulos e Valores Mobiliários Ltd</x:v>
      </x:c>
      <x:c r="G2715" s="166" t="str">
        <x:v>VERT DISTRIBUIDORA DE TÍTULOS E VALORES MOBILIÁRIOS LTDA.</x:v>
      </x:c>
      <x:c r="H2715" s="166" t="str">
        <x:v>Outros</x:v>
      </x:c>
      <x:c r="I2715" s="166" t="str">
        <x:v>Multicarteira Outros</x:v>
      </x:c>
      <x:c r="J2715" s="166" t="str">
        <x:v>CI</x:v>
      </x:c>
      <x:c r="K2715" s="172" t="n">
        <x:v>15</x:v>
      </x:c>
      <x:c r="L2715" s="185" t="str">
        <x:v>Não classificado</x:v>
      </x:c>
    </x:row>
    <x:row r="2716">
      <x:c r="A2716" s="175" t="str">
        <x:v>61.926.527/0001-36</x:v>
      </x:c>
      <x:c r="B2716" s="166" t="str">
        <x:v>BANNOCKBURN FUNDO DE INVESTIMENTO EM DIREITOS CREDITÓRIOS</x:v>
      </x:c>
      <x:c r="C2716" s="188" t="n">
        <x:v>6421963.72</x:v>
      </x:c>
      <x:c r="D2716" s="166" t="str">
        <x:v>Redwood Asset Management</x:v>
      </x:c>
      <x:c r="E2716" s="166" t="str">
        <x:f>IFERROR(INDEX('Classif Gestoras'!$H$6:$H$462,MATCH(D2716,'Classif Gestoras'!$A$6:$A$462,0)),"Não classificada")</x:f>
        <x:v>Independente</x:v>
      </x:c>
      <x:c r="F2716" s="166" t="str">
        <x:v>PLANNER CV</x:v>
      </x:c>
      <x:c r="G2716" s="166" t="str">
        <x:v>PLANNER CORRETORA DE VALORES S.A.</x:v>
      </x:c>
      <x:c r="H2716" s="166" t="str">
        <x:v>Outros</x:v>
      </x:c>
      <x:c r="I2716" s="166" t="str">
        <x:v>Multicarteira Outros</x:v>
      </x:c>
      <x:c r="J2716" s="166" t="str">
        <x:v>CI</x:v>
      </x:c>
      <x:c r="K2716" s="172" t="n">
        <x:v>1</x:v>
      </x:c>
      <x:c r="L2716" s="185" t="str">
        <x:v>Não classificado</x:v>
      </x:c>
    </x:row>
    <x:row r="2717">
      <x:c r="A2717" s="175" t="str">
        <x:v>54.589.341/0001-73</x:v>
      </x:c>
      <x:c r="B2717" s="166" t="str">
        <x:v>D. ANDRADE PRECATÓRIOS - FUNDO DE INVESTIMENTO EM DIREITOS CREDITÓRIOS</x:v>
      </x:c>
      <x:c r="C2717" s="188" t="n">
        <x:v>6414465.87</x:v>
      </x:c>
      <x:c r="D2717" s="166" t="str">
        <x:v>Redwood Asset Management</x:v>
      </x:c>
      <x:c r="E2717" s="166" t="str">
        <x:f>IFERROR(INDEX('Classif Gestoras'!$H$6:$H$462,MATCH(D2717,'Classif Gestoras'!$A$6:$A$462,0)),"Não classificada")</x:f>
        <x:v>Independente</x:v>
      </x:c>
      <x:c r="F2717" s="166" t="str">
        <x:v>PLANNER CV</x:v>
      </x:c>
      <x:c r="G2717" s="166" t="str">
        <x:v>PLANNER CORRETORA DE VALORES S.A.</x:v>
      </x:c>
      <x:c r="H2717" s="166" t="str">
        <x:v>Outros</x:v>
      </x:c>
      <x:c r="I2717" s="166" t="str">
        <x:v>Poder Público</x:v>
      </x:c>
      <x:c r="J2717" s="166" t="str">
        <x:v>CI</x:v>
      </x:c>
      <x:c r="K2717" s="172" t="n">
        <x:v>1</x:v>
      </x:c>
      <x:c r="L2717" s="185" t="str">
        <x:v>Não classificado</x:v>
      </x:c>
    </x:row>
    <x:row r="2718">
      <x:c r="A2718" s="175" t="str">
        <x:v>54.774.876/0001-14</x:v>
      </x:c>
      <x:c r="B2718" s="166" t="str">
        <x:v>MONEY MONEY FUNDO DE INVESTIMENTO EM DIREITOS CREDITÓRIOS - RESPONSABILIDADE LIMITADA</x:v>
      </x:c>
      <x:c r="C2718" s="188" t="n">
        <x:v>6412962.33</x:v>
      </x:c>
      <x:c r="D2718" s="166" t="str">
        <x:v>VERT Gestora de Recursos Financeiros Ltda.</x:v>
      </x:c>
      <x:c r="E2718" s="166" t="str">
        <x:f>IFERROR(INDEX('Classif Gestoras'!$H$6:$H$462,MATCH(D2718,'Classif Gestoras'!$A$6:$A$462,0)),"Não classificada")</x:f>
        <x:v>Independente</x:v>
      </x:c>
      <x:c r="F2718" s="166" t="str">
        <x:v>VERT Distribuidora de Títulos e Valores Mobiliários Ltd</x:v>
      </x:c>
      <x:c r="G2718" s="166" t="str">
        <x:v>VERT DISTRIBUIDORA DE TÍTULOS E VALORES MOBILIÁRIOS LTDA.</x:v>
      </x:c>
      <x:c r="H2718" s="166" t="str">
        <x:v>Financeiro</x:v>
      </x:c>
      <x:c r="I2718" s="166" t="str">
        <x:v>Crédito Pessoal</x:v>
      </x:c>
      <x:c r="J2718" s="166" t="str">
        <x:v>CI</x:v>
      </x:c>
      <x:c r="K2718" s="172" t="n">
        <x:v>4</x:v>
      </x:c>
      <x:c r="L2718" s="185" t="str">
        <x:v>Não classificado</x:v>
      </x:c>
    </x:row>
    <x:row r="2719">
      <x:c r="A2719" s="175" t="str">
        <x:v>61.145.490/0001-09</x:v>
      </x:c>
      <x:c r="B2719" s="166" t="str">
        <x:v>EOS FINANCIAMENTO FUNDO DE INVESTIMENTO EM DIREITOS CREDITÓRIOS DE RESPONSABILIDADE LIMITADA</x:v>
      </x:c>
      <x:c r="C2719" s="188" t="n">
        <x:v>6356026.57</x:v>
      </x:c>
      <x:c r="D2719" s="166" t="str">
        <x:v>VALORA RENDA FIXA ESTRUTURADOS LTDA.</x:v>
      </x:c>
      <x:c r="E2719" s="166" t="str">
        <x:f>IFERROR(INDEX('Classif Gestoras'!$H$6:$H$462,MATCH(D2719,'Classif Gestoras'!$A$6:$A$462,0)),"Não classificada")</x:f>
        <x:v>Independente</x:v>
      </x:c>
      <x:c r="F2719" s="166" t="str">
        <x:v>VERT Distribuidora de Títulos e Valores Mobiliários Ltd</x:v>
      </x:c>
      <x:c r="G2719" s="166" t="str">
        <x:v>VERT DISTRIBUIDORA DE TÍTULOS E VALORES MOBILIÁRIOS LTDA.</x:v>
      </x:c>
      <x:c r="H2719" s="166" t="str">
        <x:v>Agro, Indústria e Comércio</x:v>
      </x:c>
      <x:c r="I2719" s="166" t="str">
        <x:v>Recebíveis Comerciais</x:v>
      </x:c>
      <x:c r="J2719" s="166" t="str">
        <x:v>CI</x:v>
      </x:c>
      <x:c r="K2719" s="172" t="n">
        <x:v>3</x:v>
      </x:c>
      <x:c r="L2719" s="185" t="str">
        <x:v>Não classificado</x:v>
      </x:c>
    </x:row>
    <x:row r="2720">
      <x:c r="A2720" s="175" t="str">
        <x:v>63.866.828/0001-47</x:v>
      </x:c>
      <x:c r="B2720" s="166" t="str">
        <x:v>SPORTSWISE FUNDO DE INVESTIMENTO EM DIREITOS CREDITÓRIOS MULTICARTEIRA DE RESPONSABILIDADE LIMITAD</x:v>
      </x:c>
      <x:c r="C2720" s="188" t="n">
        <x:v>6329270.85</x:v>
      </x:c>
      <x:c r="D2720" s="166" t="str">
        <x:v>Riza Securitização e Carteiras</x:v>
      </x:c>
      <x:c r="E2720" s="166" t="str">
        <x:f>IFERROR(INDEX('Classif Gestoras'!$H$6:$H$462,MATCH(D2720,'Classif Gestoras'!$A$6:$A$462,0)),"Não classificada")</x:f>
        <x:v>Independente</x:v>
      </x:c>
      <x:c r="F2720" s="166" t="str">
        <x:v>Genial Investimentos Corretora de Valores Mobiliários S.A.</x:v>
      </x:c>
      <x:c r="G2720" s="166" t="str">
        <x:v>BANCO GENIAL S.A.</x:v>
      </x:c>
      <x:c r="H2720" s="166" t="str">
        <x:v>Outros</x:v>
      </x:c>
      <x:c r="I2720" s="166" t="str">
        <x:v>Multicarteira Outros</x:v>
      </x:c>
      <x:c r="J2720" s="166" t="str">
        <x:v>CI</x:v>
      </x:c>
      <x:c r="K2720" s="172" t="n">
        <x:v>4</x:v>
      </x:c>
      <x:c r="L2720" s="185" t="str">
        <x:v>Não classificado</x:v>
      </x:c>
    </x:row>
    <x:row r="2721">
      <x:c r="A2721" s="175" t="str">
        <x:v>31.030.854/0001-44</x:v>
      </x:c>
      <x:c r="B2721" s="166" t="str">
        <x:v>GRIF CRÉDITO PULVERIZADO FUNDO DE INVESTIMENTO EM DIREITOS CREDITÓRIOS DE RESPONSABILIDADE LIMITADA</x:v>
      </x:c>
      <x:c r="C2721" s="188" t="n">
        <x:v>6318647.16</x:v>
      </x:c>
      <x:c r="D2721" s="166" t="str">
        <x:v>GRIF CAPITAL</x:v>
      </x:c>
      <x:c r="E2721" s="166" t="str">
        <x:f>IFERROR(INDEX('Classif Gestoras'!$H$6:$H$462,MATCH(D2721,'Classif Gestoras'!$A$6:$A$462,0)),"Não classificada")</x:f>
        <x:v>Independente</x:v>
      </x:c>
      <x:c r="F2721" s="166" t="str">
        <x:v>VÓRTX DTVM</x:v>
      </x:c>
      <x:c r="G2721" s="166" t="str">
        <x:v>VORTX DISTRIBUIDORA DE TITULOS E VALORES MOBILIARIOS LTDA.</x:v>
      </x:c>
      <x:c r="H2721" s="166" t="str">
        <x:v>Financeiro</x:v>
      </x:c>
      <x:c r="I2721" s="166" t="str">
        <x:v>Crédito Consignado</x:v>
      </x:c>
      <x:c r="J2721" s="166" t="str">
        <x:v>CI</x:v>
      </x:c>
      <x:c r="K2721" s="172" t="n">
        <x:v>2</x:v>
      </x:c>
      <x:c r="L2721" s="185" t="str">
        <x:v>Não classificado</x:v>
      </x:c>
    </x:row>
    <x:row r="2722">
      <x:c r="A2722" s="175" t="str">
        <x:v>30.177.946/0001-99</x:v>
      </x:c>
      <x:c r="B2722" s="166" t="str">
        <x:v>CPV PS DUPLICATA FUNDO DE INVESTIMENTO EM DIREITOS CREDITÓRIOS</x:v>
      </x:c>
      <x:c r="C2722" s="188" t="n">
        <x:v>6317276.04</x:v>
      </x:c>
      <x:c r="D2722" s="166" t="str">
        <x:v>CPV ASSET</x:v>
      </x:c>
      <x:c r="E2722" s="166" t="str">
        <x:f>IFERROR(INDEX('Classif Gestoras'!$H$6:$H$462,MATCH(D2722,'Classif Gestoras'!$A$6:$A$462,0)),"Não classificada")</x:f>
        <x:v>Independente</x:v>
      </x:c>
      <x:c r="F2722" s="166" t="str">
        <x:v>Limine Trust Distribuidora de Titulos e Valores Mobiliá</x:v>
      </x:c>
      <x:c r="G2722" s="166" t="str">
        <x:v>LIMINE TRUST DISTRIBUIDORA DE TITULOS E VALORES MOBILIARIOS LTDA.</x:v>
      </x:c>
      <x:c r="H2722" s="166" t="str">
        <x:v>Outros</x:v>
      </x:c>
      <x:c r="I2722" s="166" t="str">
        <x:v>Multicarteira Outros</x:v>
      </x:c>
      <x:c r="J2722" s="166" t="str">
        <x:v>CI</x:v>
      </x:c>
      <x:c r="K2722" s="172" t="n">
        <x:v>6</x:v>
      </x:c>
      <x:c r="L2722" s="185" t="str">
        <x:v>Não classificado</x:v>
      </x:c>
    </x:row>
    <x:row r="2723">
      <x:c r="A2723" s="175" t="str">
        <x:v>64.029.467/0001-47</x:v>
      </x:c>
      <x:c r="B2723" s="166" t="str">
        <x:v>ROAD CAPITAL &amp; PRECATUR LEGAL CLAIMS OPPORTUNITIES I FIDC RESPONSABILIDADE LIMITADA</x:v>
      </x:c>
      <x:c r="C2723" s="188" t="n">
        <x:v>6308935.7700000005</x:v>
      </x:c>
      <x:c r="D2723" s="166" t="str">
        <x:v>Bless Capital Gestora de Recursos Ltda.</x:v>
      </x:c>
      <x:c r="E2723" s="166" t="str">
        <x:f>IFERROR(INDEX('Classif Gestoras'!$H$6:$H$462,MATCH(D2723,'Classif Gestoras'!$A$6:$A$462,0)),"Não classificada")</x:f>
        <x:v>Independente</x:v>
      </x:c>
      <x:c r="F2723" s="166" t="str">
        <x:v>ID Corretora de Títulos e Valores Mobiliários S.A.</x:v>
      </x:c>
      <x:c r="G2723" s="166" t="str">
        <x:v>ID CORRETORA DE TITULOS E VALORES MOBILIARIOS S.A.</x:v>
      </x:c>
      <x:c r="H2723" s="166" t="str">
        <x:v>Fomento Mercantil</x:v>
      </x:c>
      <x:c r="I2723" s="166" t="str">
        <x:v>Fomento Mercantil</x:v>
      </x:c>
      <x:c r="J2723" s="166" t="str">
        <x:v>CI</x:v>
      </x:c>
      <x:c r="K2723" s="172" t="n">
        <x:v>17</x:v>
      </x:c>
      <x:c r="L2723" s="185" t="str">
        <x:v>Não classificado</x:v>
      </x:c>
    </x:row>
    <x:row r="2724">
      <x:c r="A2724" s="175" t="str">
        <x:v>61.817.344/0001-82</x:v>
      </x:c>
      <x:c r="B2724" s="166" t="str">
        <x:v>HELFEN FUNDO DE INVESTIMENTO EM DIREITOS CREDITÓRIOS RESPONSABILIDADE LIMITADA</x:v>
      </x:c>
      <x:c r="C2724" s="188" t="n">
        <x:v>6302616.48</x:v>
      </x:c>
      <x:c r="D2724" s="166" t="str">
        <x:v>Catálise Investimentos</x:v>
      </x:c>
      <x:c r="E2724" s="166" t="str">
        <x:f>IFERROR(INDEX('Classif Gestoras'!$H$6:$H$462,MATCH(D2724,'Classif Gestoras'!$A$6:$A$462,0)),"Não classificada")</x:f>
        <x:v>Independente</x:v>
      </x:c>
      <x:c r="F2724" s="166" t="str">
        <x:v>FIDD DISTRIBUIDORA DE TITULOS E VALORES MOBILIARIOS LTD</x:v>
      </x:c>
      <x:c r="G2724" s="166" t="str">
        <x:v>FIDD DISTRIBUIDORA DE TITULOS E VALORES MOBILIARIOS LTDA.</x:v>
      </x:c>
      <x:c r="H2724" s="166" t="str">
        <x:v>Agro, Indústria e Comércio</x:v>
      </x:c>
      <x:c r="I2724" s="166" t="str">
        <x:v>Multicarteira Agro, Indústria e Comércio</x:v>
      </x:c>
      <x:c r="J2724" s="166" t="str">
        <x:v>CI</x:v>
      </x:c>
      <x:c r="K2724" s="172" t="n">
        <x:v>3</x:v>
      </x:c>
      <x:c r="L2724" s="185" t="str">
        <x:v>Não classificado</x:v>
      </x:c>
    </x:row>
    <x:row r="2725">
      <x:c r="A2725" s="175" t="str">
        <x:v>59.400.011/0001-01</x:v>
      </x:c>
      <x:c r="B2725" s="166" t="str">
        <x:v>VSG LEGAL I FIDC DE RESP LIMITADA</x:v>
      </x:c>
      <x:c r="C2725" s="188" t="n">
        <x:v>6300390.1</x:v>
      </x:c>
      <x:c r="D2725" s="166" t="str">
        <x:v>V-CAPITAL GESTAO DE RECURSOS E INVESTIMENTOS LTDA</x:v>
      </x:c>
      <x:c r="E2725" s="166" t="str">
        <x:f>IFERROR(INDEX('Classif Gestoras'!$H$6:$H$462,MATCH(D2725,'Classif Gestoras'!$A$6:$A$462,0)),"Não classificada")</x:f>
        <x:v>Independente</x:v>
      </x:c>
      <x:c r="F2725" s="166" t="str">
        <x:v>BANCO DAYCOVAL S/A</x:v>
      </x:c>
      <x:c r="G2725" s="166" t="str">
        <x:v>BANCO DAYCOVAL S.A.</x:v>
      </x:c>
      <x:c r="H2725" s="166" t="str">
        <x:v>Fomento Mercantil</x:v>
      </x:c>
      <x:c r="I2725" s="166" t="str">
        <x:v>Fomento Mercantil</x:v>
      </x:c>
      <x:c r="J2725" s="166" t="str">
        <x:v>CI</x:v>
      </x:c>
      <x:c r="K2725" s="172" t="n">
        <x:v>50</x:v>
      </x:c>
      <x:c r="L2725" s="185" t="str">
        <x:v>Não classificado</x:v>
      </x:c>
    </x:row>
    <x:row r="2726">
      <x:c r="A2726" s="175" t="str">
        <x:v>64.191.967/0001-80</x:v>
      </x:c>
      <x:c r="B2726" s="166" t="str">
        <x:v>FUNDO DE INVESTIMENTO EM DIREITOS CREDITÓRIOS ERFOLG PARANAPANEMA CRÉDITOS PÚBLICOS RESP LIMITADA</x:v>
      </x:c>
      <x:c r="C2726" s="188" t="n">
        <x:v>6296926.75</x:v>
      </x:c>
      <x:c r="D2726" s="166" t="str">
        <x:v>ERFOLG</x:v>
      </x:c>
      <x:c r="E2726" s="166" t="str">
        <x:f>IFERROR(INDEX('Classif Gestoras'!$H$6:$H$462,MATCH(D2726,'Classif Gestoras'!$A$6:$A$462,0)),"Não classificada")</x:f>
        <x:v>Independente</x:v>
      </x:c>
      <x:c r="F2726" s="166" t="str">
        <x:v>PLANNER CV</x:v>
      </x:c>
      <x:c r="G2726" s="166" t="str">
        <x:v>PLANNER CORRETORA DE VALORES S.A.</x:v>
      </x:c>
      <x:c r="H2726" s="166" t="str">
        <x:v>Outros</x:v>
      </x:c>
      <x:c r="I2726" s="166" t="str">
        <x:v>Poder Público</x:v>
      </x:c>
      <x:c r="J2726" s="166" t="str">
        <x:v>CI</x:v>
      </x:c>
      <x:c r="K2726" s="172" t="n">
        <x:v>2</x:v>
      </x:c>
      <x:c r="L2726" s="185" t="str">
        <x:v>Não classificado</x:v>
      </x:c>
    </x:row>
    <x:row r="2727">
      <x:c r="A2727" s="175" t="str">
        <x:v>59.931.773/0001-34</x:v>
      </x:c>
      <x:c r="B2727" s="166" t="str">
        <x:v>IBCB CREDIÁRIO FUNDO DE INVESTIMENTO EM DIREITOS CREDITÓRIOS - RESPONSABILIDADE LIMITADA</x:v>
      </x:c>
      <x:c r="C2727" s="188" t="n">
        <x:v>6237539.47</x:v>
      </x:c>
      <x:c r="D2727" s="166" t="str">
        <x:v>Intrabank Asset</x:v>
      </x:c>
      <x:c r="E2727" s="166" t="str">
        <x:f>IFERROR(INDEX('Classif Gestoras'!$H$6:$H$462,MATCH(D2727,'Classif Gestoras'!$A$6:$A$462,0)),"Não classificada")</x:f>
        <x:v>Independente</x:v>
      </x:c>
      <x:c r="F2727" s="166" t="str">
        <x:v>HEMERA DTVM</x:v>
      </x:c>
      <x:c r="G2727" s="166" t="str">
        <x:v>HEMERA DISTRIBUIDORA DE TITULOS E VALORES MOBILIARIOS LTDA</x:v>
      </x:c>
      <x:c r="H2727" s="166" t="str">
        <x:v>Financeiro</x:v>
      </x:c>
      <x:c r="I2727" s="166" t="str">
        <x:v>Crédito Pessoal</x:v>
      </x:c>
      <x:c r="J2727" s="166" t="str">
        <x:v>CI</x:v>
      </x:c>
      <x:c r="K2727" s="172" t="n">
        <x:v>1</x:v>
      </x:c>
      <x:c r="L2727" s="185" t="str">
        <x:v>Não classificado</x:v>
      </x:c>
    </x:row>
    <x:row r="2728">
      <x:c r="A2728" s="175" t="str">
        <x:v>29.242.916/0001-30</x:v>
      </x:c>
      <x:c r="B2728" s="166" t="str">
        <x:v>JUNTOS CAPITAL FUNDO DE INVESTIMENTO EM DIREITOS CREDITÓRIOS</x:v>
      </x:c>
      <x:c r="C2728" s="188" t="n">
        <x:v>6236006.469999999</x:v>
      </x:c>
      <x:c r="D2728" s="166" t="str">
        <x:v>TERCON ASSET MANAGEMENT</x:v>
      </x:c>
      <x:c r="E2728" s="166" t="str">
        <x:f>IFERROR(INDEX('Classif Gestoras'!$H$6:$H$462,MATCH(D2728,'Classif Gestoras'!$A$6:$A$462,0)),"Não classificada")</x:f>
        <x:v>Independente</x:v>
      </x:c>
      <x:c r="F2728" s="166" t="str">
        <x:v>Singulare</x:v>
      </x:c>
      <x:c r="G2728" s="166" t="str">
        <x:v>QI CORRETORA DE TÍTULOS E VALORES MOBILIÁRIOS S.A.</x:v>
      </x:c>
      <x:c r="H2728" s="166" t="str">
        <x:v>Outros</x:v>
      </x:c>
      <x:c r="I2728" s="166" t="str">
        <x:v>Multicarteira Outros</x:v>
      </x:c>
      <x:c r="J2728" s="166" t="str">
        <x:v>CI</x:v>
      </x:c>
      <x:c r="K2728" s="172" t="n">
        <x:v>6</x:v>
      </x:c>
      <x:c r="L2728" s="185" t="str">
        <x:v>Não classificado</x:v>
      </x:c>
    </x:row>
    <x:row r="2729">
      <x:c r="A2729" s="175" t="str">
        <x:v>54.902.792/0001-19</x:v>
      </x:c>
      <x:c r="B2729" s="166" t="str">
        <x:v>GP AUDAX FUNDO DE INVESTIMENTO EM DIREITOS CREDITÓRIOS</x:v>
      </x:c>
      <x:c r="C2729" s="188" t="n">
        <x:v>6215904.010000001</x:v>
      </x:c>
      <x:c r="D2729" s="166" t="str">
        <x:v>TERCON ASSET MANAGEMENT</x:v>
      </x:c>
      <x:c r="E2729" s="166" t="str">
        <x:f>IFERROR(INDEX('Classif Gestoras'!$H$6:$H$462,MATCH(D2729,'Classif Gestoras'!$A$6:$A$462,0)),"Não classificada")</x:f>
        <x:v>Independente</x:v>
      </x:c>
      <x:c r="F2729" s="166" t="str">
        <x:v>Singulare</x:v>
      </x:c>
      <x:c r="G2729" s="166" t="str">
        <x:v>QI CORRETORA DE TÍTULOS E VALORES MOBILIÁRIOS S.A.</x:v>
      </x:c>
      <x:c r="H2729" s="166" t="str">
        <x:v>Fomento Mercantil</x:v>
      </x:c>
      <x:c r="I2729" s="166" t="str">
        <x:v>Fomento Mercantil</x:v>
      </x:c>
      <x:c r="J2729" s="166" t="str">
        <x:v>CI</x:v>
      </x:c>
      <x:c r="K2729" s="172" t="n">
        <x:v>2</x:v>
      </x:c>
      <x:c r="L2729" s="185" t="str">
        <x:v>Não classificado</x:v>
      </x:c>
    </x:row>
    <x:row r="2730">
      <x:c r="A2730" s="175" t="str">
        <x:v>26.459.235/0001-30</x:v>
      </x:c>
      <x:c r="B2730" s="166" t="str">
        <x:v>LATACHE III FUNDO DE INVESTIMENTO EM DIREITOS CREDITÓRIOS NÃO PADRONIZADOS</x:v>
      </x:c>
      <x:c r="C2730" s="188" t="n">
        <x:v>6185040.88</x:v>
      </x:c>
      <x:c r="D2730" s="166" t="str">
        <x:v>Latache Capital</x:v>
      </x:c>
      <x:c r="E2730" s="166" t="str">
        <x:f>IFERROR(INDEX('Classif Gestoras'!$H$6:$H$462,MATCH(D2730,'Classif Gestoras'!$A$6:$A$462,0)),"Não classificada")</x:f>
        <x:v>Independente</x:v>
      </x:c>
      <x:c r="F2730" s="166" t="str">
        <x:v>PLANNER CV</x:v>
      </x:c>
      <x:c r="G2730" s="166" t="str">
        <x:v>PLANNER CORRETORA DE VALORES S.A.</x:v>
      </x:c>
      <x:c r="H2730" s="166" t="str">
        <x:v>Outros</x:v>
      </x:c>
      <x:c r="I2730" s="166" t="str">
        <x:v>Multicarteira Outros</x:v>
      </x:c>
      <x:c r="J2730" s="166" t="str">
        <x:v>CI</x:v>
      </x:c>
      <x:c r="K2730" s="172" t="n">
        <x:v>1</x:v>
      </x:c>
      <x:c r="L2730" s="185" t="str">
        <x:v>Não classificado</x:v>
      </x:c>
    </x:row>
    <x:row r="2731">
      <x:c r="A2731" s="175" t="str">
        <x:v>48.069.210/0001-62</x:v>
      </x:c>
      <x:c r="B2731" s="166" t="str">
        <x:v>G3 FUNDO DE INVESTIMENTO EM DIREITOS CREDITÓRIOS</x:v>
      </x:c>
      <x:c r="C2731" s="188" t="n">
        <x:v>6183232.11</x:v>
      </x:c>
      <x:c r="D2731" s="166" t="str">
        <x:v>ASSET MANAGEMENT</x:v>
      </x:c>
      <x:c r="E2731" s="166" t="str">
        <x:f>IFERROR(INDEX('Classif Gestoras'!$H$6:$H$462,MATCH(D2731,'Classif Gestoras'!$A$6:$A$462,0)),"Não classificada")</x:f>
        <x:v>Independente</x:v>
      </x:c>
      <x:c r="F2731" s="166" t="str">
        <x:v>AZUMI DISTRIBUIDORA DE TÍTULOS E VALORES MOBILIÁRIOS LT</x:v>
      </x:c>
      <x:c r="G2731" s="166" t="str">
        <x:v>AZUMI DISTRIBUIDORA DE TÍTULOS E VALORES MOBILIÁRIOS LTDA.</x:v>
      </x:c>
      <x:c r="H2731" s="166" t="str">
        <x:v>Outros</x:v>
      </x:c>
      <x:c r="I2731" s="166" t="str">
        <x:v>Multicarteira Outros</x:v>
      </x:c>
      <x:c r="J2731" s="166" t="str">
        <x:v>CI</x:v>
      </x:c>
      <x:c r="K2731" s="172" t="n">
        <x:v>7</x:v>
      </x:c>
      <x:c r="L2731" s="185" t="str">
        <x:v>Não classificado</x:v>
      </x:c>
    </x:row>
    <x:row r="2732">
      <x:c r="A2732" s="175" t="str">
        <x:v>50.995.214/0001-13</x:v>
      </x:c>
      <x:c r="B2732" s="166" t="str">
        <x:v>ORION FUNDO DE INVESTIMENTO EM DIREITOS CREDITÓRIOS RESPONDABILIDADE LIMITADA</x:v>
      </x:c>
      <x:c r="C2732" s="188" t="n">
        <x:v>6165021.49</x:v>
      </x:c>
      <x:c r="D2732" s="166" t="str">
        <x:v>IDGR</x:v>
      </x:c>
      <x:c r="E2732" s="166" t="str">
        <x:f>IFERROR(INDEX('Classif Gestoras'!$H$6:$H$462,MATCH(D2732,'Classif Gestoras'!$A$6:$A$462,0)),"Não classificada")</x:f>
        <x:v>Independente</x:v>
      </x:c>
      <x:c r="F2732" s="166" t="str">
        <x:v>ID Corretora de Títulos e Valores Mobiliários S.A.</x:v>
      </x:c>
      <x:c r="G2732" s="166" t="str">
        <x:v>ID CORRETORA DE TITULOS E VALORES MOBILIARIOS S.A.</x:v>
      </x:c>
      <x:c r="H2732" s="166" t="str">
        <x:v>Outros</x:v>
      </x:c>
      <x:c r="I2732" s="166" t="str">
        <x:v>Multicarteira Outros</x:v>
      </x:c>
      <x:c r="J2732" s="166" t="str">
        <x:v>CI</x:v>
      </x:c>
      <x:c r="K2732" s="172" t="n">
        <x:v>11</x:v>
      </x:c>
      <x:c r="L2732" s="185" t="str">
        <x:v>Não classificado</x:v>
      </x:c>
    </x:row>
    <x:row r="2733">
      <x:c r="A2733" s="175" t="str">
        <x:v>60.696.527/0001-24</x:v>
      </x:c>
      <x:c r="B2733" s="166" t="str">
        <x:v>BVGARANTIA FUNDO DE INVESTIMENTO EM DIREITOS CREDITÓRIOS.</x:v>
      </x:c>
      <x:c r="C2733" s="188" t="n">
        <x:v>6152063.99</x:v>
      </x:c>
      <x:c r="D2733" s="166" t="str">
        <x:v>Catálise Investimentos</x:v>
      </x:c>
      <x:c r="E2733" s="166" t="str">
        <x:f>IFERROR(INDEX('Classif Gestoras'!$H$6:$H$462,MATCH(D2733,'Classif Gestoras'!$A$6:$A$462,0)),"Não classificada")</x:f>
        <x:v>Independente</x:v>
      </x:c>
      <x:c r="F2733" s="166" t="str">
        <x:v>CATÁLISE DTVM</x:v>
      </x:c>
      <x:c r="G2733" s="166" t="str">
        <x:v>BANCO DAYCOVAL S.A.</x:v>
      </x:c>
      <x:c r="H2733" s="166" t="str">
        <x:v>Fomento Mercantil</x:v>
      </x:c>
      <x:c r="I2733" s="166" t="str">
        <x:v>Fomento Mercantil</x:v>
      </x:c>
      <x:c r="J2733" s="166" t="str">
        <x:v>CI</x:v>
      </x:c>
      <x:c r="K2733" s="172" t="n">
        <x:v>1</x:v>
      </x:c>
      <x:c r="L2733" s="185" t="str">
        <x:v>Não classificado</x:v>
      </x:c>
    </x:row>
    <x:row r="2734">
      <x:c r="A2734" s="175" t="str">
        <x:v>47.279.999/0001-13</x:v>
      </x:c>
      <x:c r="B2734" s="166" t="str">
        <x:v>LIFE CAPITAL PARTNERS FUNDO DE INVESTIMENTO EM DIREITOS CREDITÓRIOS</x:v>
      </x:c>
      <x:c r="C2734" s="188" t="n">
        <x:v>6135746.41</x:v>
      </x:c>
      <x:c r="D2734" s="166" t="str">
        <x:v>LCP GESTORA DE RECURSOS LTDA</x:v>
      </x:c>
      <x:c r="E2734" s="166" t="str">
        <x:f>IFERROR(INDEX('Classif Gestoras'!$H$6:$H$462,MATCH(D2734,'Classif Gestoras'!$A$6:$A$462,0)),"Não classificada")</x:f>
        <x:v>Independente</x:v>
      </x:c>
      <x:c r="F2734" s="166" t="str">
        <x:v>VÓRTX DTVM</x:v>
      </x:c>
      <x:c r="G2734" s="166" t="str">
        <x:v>VORTX DISTRIBUIDORA DE TITULOS E VALORES MOBILIARIOS LTDA.</x:v>
      </x:c>
      <x:c r="H2734" s="166" t="str">
        <x:v>Financeiro</x:v>
      </x:c>
      <x:c r="I2734" s="166" t="str">
        <x:v>Crédito Imobiliário</x:v>
      </x:c>
      <x:c r="J2734" s="166" t="str">
        <x:v>CI</x:v>
      </x:c>
      <x:c r="K2734" s="172" t="n">
        <x:v>1</x:v>
      </x:c>
      <x:c r="L2734" s="185" t="str">
        <x:v>Não classificado</x:v>
      </x:c>
    </x:row>
    <x:row r="2735">
      <x:c r="A2735" s="175" t="str">
        <x:v>54.427.293/0001-17</x:v>
      </x:c>
      <x:c r="B2735" s="166" t="str">
        <x:v>FOCO CAPITAL FIAGRO EM DIREITOS CREDITÓRIOS RESPONSABILIDADE LIMITADA</x:v>
      </x:c>
      <x:c r="C2735" s="188" t="n">
        <x:v>6130694.82</x:v>
      </x:c>
      <x:c r="D2735" s="166" t="str">
        <x:v>Tyr Gestao de Recursos Ltda</x:v>
      </x:c>
      <x:c r="E2735" s="166" t="str">
        <x:f>IFERROR(INDEX('Classif Gestoras'!$H$6:$H$462,MATCH(D2735,'Classif Gestoras'!$A$6:$A$462,0)),"Não classificada")</x:f>
        <x:v>Independente</x:v>
      </x:c>
      <x:c r="F2735" s="166" t="str">
        <x:v>ID Corretora de Títulos e Valores Mobiliários S.A.</x:v>
      </x:c>
      <x:c r="G2735" s="166" t="str">
        <x:v>ID CORRETORA DE TITULOS E VALORES MOBILIARIOS S.A.</x:v>
      </x:c>
      <x:c r="H2735" s="166" t="str">
        <x:v>Agro, Indústria e Comércio</x:v>
      </x:c>
      <x:c r="I2735" s="166" t="str">
        <x:v>Agronegócio</x:v>
      </x:c>
      <x:c r="J2735" s="166" t="str">
        <x:v>CI</x:v>
      </x:c>
      <x:c r="K2735" s="172" t="n">
        <x:v>134</x:v>
      </x:c>
      <x:c r="L2735" s="185" t="str">
        <x:v>Não classificado</x:v>
      </x:c>
    </x:row>
    <x:row r="2736">
      <x:c r="A2736" s="175" t="str">
        <x:v>66.598.676/0001-37</x:v>
      </x:c>
      <x:c r="B2736" s="166" t="str">
        <x:v>FAETA FUNDO DE INVESTIMENTO EM DIREITOS CREDITORIOS RESPONSABILIDADE LIMITADA</x:v>
      </x:c>
      <x:c r="C2736" s="188" t="n">
        <x:v>6111648.61</x:v>
      </x:c>
      <x:c r="D2736" s="166" t="str">
        <x:v>AF Invest</x:v>
      </x:c>
      <x:c r="E2736" s="166" t="str">
        <x:f>IFERROR(INDEX('Classif Gestoras'!$H$6:$H$462,MATCH(D2736,'Classif Gestoras'!$A$6:$A$462,0)),"Não classificada")</x:f>
        <x:v>Independente</x:v>
      </x:c>
      <x:c r="F2736" s="166" t="str">
        <x:v>ACTUAL DTVM</x:v>
      </x:c>
      <x:c r="G2736" s="166" t="str">
        <x:v>LASTRO RDV DTVM LTDA</x:v>
      </x:c>
      <x:c r="H2736" s="166" t="str">
        <x:v>Outros</x:v>
      </x:c>
      <x:c r="I2736" s="166" t="str">
        <x:v>Multicarteira Outros</x:v>
      </x:c>
      <x:c r="J2736" s="166" t="str">
        <x:v>CI</x:v>
      </x:c>
      <x:c r="K2736" s="172" t="n">
        <x:v>1</x:v>
      </x:c>
      <x:c r="L2736" s="185" t="str">
        <x:v>Não classificado</x:v>
      </x:c>
    </x:row>
    <x:row r="2737">
      <x:c r="A2737" s="175" t="str">
        <x:v>59.556.339/0001-11</x:v>
      </x:c>
      <x:c r="B2737" s="166" t="str">
        <x:v>BNVT CRÉDITO CORPORATIVO - FUNDO DE INVESTIMENTO EM DIREITOS CREDITÓRIOS RESPONSABILIDADE LIMITADA</x:v>
      </x:c>
      <x:c r="C2737" s="188" t="n">
        <x:v>6102982.699999999</x:v>
      </x:c>
      <x:c r="D2737" s="166" t="str">
        <x:v>BENAVENT ASSET LTDA</x:v>
      </x:c>
      <x:c r="E2737" s="166" t="str">
        <x:f>IFERROR(INDEX('Classif Gestoras'!$H$6:$H$462,MATCH(D2737,'Classif Gestoras'!$A$6:$A$462,0)),"Não classificada")</x:f>
        <x:v>Independente</x:v>
      </x:c>
      <x:c r="F2737" s="166" t="str">
        <x:v>PLANNER CV</x:v>
      </x:c>
      <x:c r="G2737" s="166" t="str">
        <x:v>PLANNER CORRETORA DE VALORES S.A.</x:v>
      </x:c>
      <x:c r="H2737" s="166" t="str">
        <x:v>Outros</x:v>
      </x:c>
      <x:c r="I2737" s="166" t="str">
        <x:v>Multicarteira Outros</x:v>
      </x:c>
      <x:c r="J2737" s="166" t="str">
        <x:v>CI</x:v>
      </x:c>
      <x:c r="K2737" s="172" t="n">
        <x:v>16</x:v>
      </x:c>
      <x:c r="L2737" s="185" t="str">
        <x:v>Não classificado</x:v>
      </x:c>
    </x:row>
    <x:row r="2738">
      <x:c r="A2738" s="175" t="str">
        <x:v>40.365.962/0001-69</x:v>
      </x:c>
      <x:c r="B2738" s="166" t="str">
        <x:v>FINANCIAMENTO DE VEÍCULOS RECEIVABLES I FUNDO DE INVESTIMENTO EM DIREITOS CREDITÓRIOS</x:v>
      </x:c>
      <x:c r="C2738" s="188" t="n">
        <x:v>6100020.68</x:v>
      </x:c>
      <x:c r="D2738" s="166" t="str">
        <x:v>BTG Pactual Asset</x:v>
      </x:c>
      <x:c r="E2738" s="166" t="str">
        <x:f>IFERROR(INDEX('Classif Gestoras'!$H$6:$H$462,MATCH(D2738,'Classif Gestoras'!$A$6:$A$462,0)),"Não classificada")</x:f>
        <x:v>Ligada a banco</x:v>
      </x:c>
      <x:c r="F2738" s="166" t="str">
        <x:v>BTG Pactual Servicos Financeiros S/A DTVM</x:v>
      </x:c>
      <x:c r="G2738" s="166" t="str">
        <x:v>BANCO BTG PACTUAL S/A</x:v>
      </x:c>
      <x:c r="H2738" s="166" t="str">
        <x:v>Financeiro</x:v>
      </x:c>
      <x:c r="I2738" s="166" t="str">
        <x:v>Multicarteira Financeiro</x:v>
      </x:c>
      <x:c r="J2738" s="166" t="str">
        <x:v>CI</x:v>
      </x:c>
      <x:c r="K2738" s="172" t="n">
        <x:v>1</x:v>
      </x:c>
      <x:c r="L2738" s="185" t="str">
        <x:v>Não classificado</x:v>
      </x:c>
    </x:row>
    <x:row r="2739">
      <x:c r="A2739" s="175" t="str">
        <x:v>65.463.011/0001-53</x:v>
      </x:c>
      <x:c r="B2739" s="166" t="str">
        <x:v>AV1 CONSIG FUNDO DE DIREITO CREDITORIO DE RESPONSABILIDADE LIMITADA</x:v>
      </x:c>
      <x:c r="C2739" s="188" t="n">
        <x:v>6077586.860000001</x:v>
      </x:c>
      <x:c r="D2739" s="166" t="str">
        <x:v>EVEREST CAPITAL OFFICE LTDA</x:v>
      </x:c>
      <x:c r="E2739" s="166" t="str">
        <x:f>IFERROR(INDEX('Classif Gestoras'!$H$6:$H$462,MATCH(D2739,'Classif Gestoras'!$A$6:$A$462,0)),"Não classificada")</x:f>
        <x:v>Independente</x:v>
      </x:c>
      <x:c r="F2739" s="166" t="str">
        <x:v>ACTUAL DTVM</x:v>
      </x:c>
      <x:c r="G2739" s="166" t="str">
        <x:v>TRUSTEE DISTRIBUIDORA DE TITULOS E VALORES MOBILIARIOS LTDA.</x:v>
      </x:c>
      <x:c r="H2739" s="166" t="str">
        <x:v>Fomento Mercantil</x:v>
      </x:c>
      <x:c r="I2739" s="166" t="str">
        <x:v>Fomento Mercantil</x:v>
      </x:c>
      <x:c r="J2739" s="166" t="str">
        <x:v>CI</x:v>
      </x:c>
      <x:c r="K2739" s="172" t="n">
        <x:v>1</x:v>
      </x:c>
      <x:c r="L2739" s="185" t="str">
        <x:v>Não classificado</x:v>
      </x:c>
    </x:row>
    <x:row r="2740">
      <x:c r="A2740" s="175" t="str">
        <x:v>54.979.338/0001-66</x:v>
      </x:c>
      <x:c r="B2740" s="166" t="str">
        <x:v>MEDITERRANEO FUNDO DE INVESTIMENTO EM DIREITOS CREDITÓRIOS</x:v>
      </x:c>
      <x:c r="C2740" s="188" t="n">
        <x:v>6052536.92</x:v>
      </x:c>
      <x:c r="D2740" s="166" t="str">
        <x:v>LAV ASSET MANAGEMENT GESTÃO DE RECURSOS LTDA.</x:v>
      </x:c>
      <x:c r="E2740" s="166" t="str">
        <x:f>IFERROR(INDEX('Classif Gestoras'!$H$6:$H$462,MATCH(D2740,'Classif Gestoras'!$A$6:$A$462,0)),"Não classificada")</x:f>
        <x:v>Independente</x:v>
      </x:c>
      <x:c r="F2740" s="166" t="str">
        <x:v>Singulare</x:v>
      </x:c>
      <x:c r="G2740" s="166" t="str">
        <x:v>QI CORRETORA DE TÍTULOS E VALORES MOBILIÁRIOS S.A.</x:v>
      </x:c>
      <x:c r="H2740" s="166" t="str">
        <x:v>Outros</x:v>
      </x:c>
      <x:c r="I2740" s="166" t="str">
        <x:v>Multicarteira Outros</x:v>
      </x:c>
      <x:c r="J2740" s="166" t="str">
        <x:v>CI</x:v>
      </x:c>
      <x:c r="K2740" s="172" t="n">
        <x:v>4</x:v>
      </x:c>
      <x:c r="L2740" s="185" t="str">
        <x:v>Não classificado</x:v>
      </x:c>
    </x:row>
    <x:row r="2741">
      <x:c r="A2741" s="175" t="str">
        <x:v>36.114.991/0001-80</x:v>
      </x:c>
      <x:c r="B2741" s="166" t="str">
        <x:v>D7 - FUNDO DE INVESTIMENTO EM DIREITOS CREDITÓRIOS</x:v>
      </x:c>
      <x:c r="C2741" s="188" t="n">
        <x:v>6052352.87</x:v>
      </x:c>
      <x:c r="D2741" s="166" t="str">
        <x:v>Blue Solutions</x:v>
      </x:c>
      <x:c r="E2741" s="166" t="str">
        <x:f>IFERROR(INDEX('Classif Gestoras'!$H$6:$H$462,MATCH(D2741,'Classif Gestoras'!$A$6:$A$462,0)),"Não classificada")</x:f>
        <x:v>Independente</x:v>
      </x:c>
      <x:c r="F2741" s="166" t="str">
        <x:v>TRUSTEE DTVM</x:v>
      </x:c>
      <x:c r="G2741" s="166" t="str">
        <x:v>TRUSTEE DISTRIBUIDORA DE TITULOS E VALORES MOBILIARIOS LTDA.</x:v>
      </x:c>
      <x:c r="H2741" s="166" t="str">
        <x:v>Outros</x:v>
      </x:c>
      <x:c r="I2741" s="166" t="str">
        <x:v>Multicarteira Outros</x:v>
      </x:c>
      <x:c r="J2741" s="166" t="str">
        <x:v>CI</x:v>
      </x:c>
      <x:c r="K2741" s="172" t="n">
        <x:v>1</x:v>
      </x:c>
      <x:c r="L2741" s="185" t="str">
        <x:v>Não classificado</x:v>
      </x:c>
    </x:row>
    <x:row r="2742">
      <x:c r="A2742" s="175" t="str">
        <x:v>62.124.571/0001-95</x:v>
      </x:c>
      <x:c r="B2742" s="166" t="str">
        <x:v>ARC TATICO FUNDO DE INVESTIMENTO EM DIREITOS CREDITÓRIOS</x:v>
      </x:c>
      <x:c r="C2742" s="188" t="n">
        <x:v>6040635.09</x:v>
      </x:c>
      <x:c r="D2742" s="166" t="str">
        <x:v>ARC Capital</x:v>
      </x:c>
      <x:c r="E2742" s="166" t="str">
        <x:f>IFERROR(INDEX('Classif Gestoras'!$H$6:$H$462,MATCH(D2742,'Classif Gestoras'!$A$6:$A$462,0)),"Não classificada")</x:f>
        <x:v>Independente</x:v>
      </x:c>
      <x:c r="F2742" s="166" t="str">
        <x:v>Oliveira Trust DTVM</x:v>
      </x:c>
      <x:c r="G2742" s="166" t="str">
        <x:v>OLIVEIRA TRUST DTVM S.A.</x:v>
      </x:c>
      <x:c r="H2742" s="166" t="str">
        <x:v>Outros</x:v>
      </x:c>
      <x:c r="I2742" s="166" t="str">
        <x:v>Multicarteira Outros</x:v>
      </x:c>
      <x:c r="J2742" s="166" t="str">
        <x:v>CI</x:v>
      </x:c>
      <x:c r="K2742" s="172" t="n">
        <x:v>1</x:v>
      </x:c>
      <x:c r="L2742" s="185" t="str">
        <x:v>Não classificado</x:v>
      </x:c>
    </x:row>
    <x:row r="2743">
      <x:c r="A2743" s="175" t="str">
        <x:v>51.269.820/0001-14</x:v>
      </x:c>
      <x:c r="B2743" s="166" t="str">
        <x:v>ALGARVE MORPHEUS FUNDO DE INVESTIMENTO EM DE RESPONSABILIDADE LIMITADA</x:v>
      </x:c>
      <x:c r="C2743" s="188" t="n">
        <x:v>6030177.83</x:v>
      </x:c>
      <x:c r="D2743" s="166" t="str">
        <x:v>Algarve Capital</x:v>
      </x:c>
      <x:c r="E2743" s="166" t="str">
        <x:f>IFERROR(INDEX('Classif Gestoras'!$H$6:$H$462,MATCH(D2743,'Classif Gestoras'!$A$6:$A$462,0)),"Não classificada")</x:f>
        <x:v>Independente</x:v>
      </x:c>
      <x:c r="F2743" s="166" t="str">
        <x:v>BANCO DAYCOVAL S/A</x:v>
      </x:c>
      <x:c r="G2743" s="166" t="str">
        <x:v>BANCO DAYCOVAL S.A.</x:v>
      </x:c>
      <x:c r="H2743" s="166" t="str">
        <x:v>Outros</x:v>
      </x:c>
      <x:c r="I2743" s="166" t="str">
        <x:v>Poder Público</x:v>
      </x:c>
      <x:c r="J2743" s="166" t="str">
        <x:v>CI</x:v>
      </x:c>
      <x:c r="K2743" s="172" t="n">
        <x:v>1</x:v>
      </x:c>
      <x:c r="L2743" s="185" t="str">
        <x:v>Não classificado</x:v>
      </x:c>
    </x:row>
    <x:row r="2744">
      <x:c r="A2744" s="175" t="str">
        <x:v>59.987.689/0001-32</x:v>
      </x:c>
      <x:c r="B2744" s="166" t="str">
        <x:v>HCAM PRECATÓRIOS FUNDO DE INVESTIMENTO EM DIREITOS CREDITÓRIOS</x:v>
      </x:c>
      <x:c r="C2744" s="188" t="n">
        <x:v>6015377.57</x:v>
      </x:c>
      <x:c r="D2744" s="166" t="str">
        <x:v>HCAM LTDA.</x:v>
      </x:c>
      <x:c r="E2744" s="166" t="str">
        <x:f>IFERROR(INDEX('Classif Gestoras'!$H$6:$H$462,MATCH(D2744,'Classif Gestoras'!$A$6:$A$462,0)),"Não classificada")</x:f>
        <x:v>Independente</x:v>
      </x:c>
      <x:c r="F2744" s="166" t="str">
        <x:v>BTG Pactual Servicos Financeiros S/A DTVM</x:v>
      </x:c>
      <x:c r="G2744" s="166" t="str">
        <x:v>BANCO BTG PACTUAL S/A</x:v>
      </x:c>
      <x:c r="H2744" s="166" t="str">
        <x:v>Outros</x:v>
      </x:c>
      <x:c r="I2744" s="166" t="str">
        <x:v>Poder Público</x:v>
      </x:c>
      <x:c r="J2744" s="166" t="str">
        <x:v>CI</x:v>
      </x:c>
      <x:c r="K2744" s="172" t="n">
        <x:v>17</x:v>
      </x:c>
      <x:c r="L2744" s="185" t="str">
        <x:v>Não classificado</x:v>
      </x:c>
    </x:row>
    <x:row r="2745">
      <x:c r="A2745" s="175" t="str">
        <x:v>62.800.922/0001-30</x:v>
      </x:c>
      <x:c r="B2745" s="166" t="str">
        <x:v>LIFT EVENT CAPITAL I FUNDO DE INVESTIMENTO EM DIREITOS CREDITÓRIOS RESPONSABILIDADE LIMITADA</x:v>
      </x:c>
      <x:c r="C2745" s="188" t="n">
        <x:v>6001002.56</x:v>
      </x:c>
      <x:c r="D2745" s="166" t="str">
        <x:v>Namari Capital Gestão de Recursos Ltda.</x:v>
      </x:c>
      <x:c r="E2745" s="166" t="str">
        <x:f>IFERROR(INDEX('Classif Gestoras'!$H$6:$H$462,MATCH(D2745,'Classif Gestoras'!$A$6:$A$462,0)),"Não classificada")</x:f>
        <x:v>Independente</x:v>
      </x:c>
      <x:c r="F2745" s="166" t="str">
        <x:v>BANCO DAYCOVAL S/A</x:v>
      </x:c>
      <x:c r="G2745" s="166" t="str">
        <x:v>BANCO DAYCOVAL S.A.</x:v>
      </x:c>
      <x:c r="H2745" s="166" t="str">
        <x:v>Financeiro</x:v>
      </x:c>
      <x:c r="I2745" s="166" t="str">
        <x:v>Multicarteira Financeiro</x:v>
      </x:c>
      <x:c r="J2745" s="166" t="str">
        <x:v>CI</x:v>
      </x:c>
      <x:c r="K2745" s="172" t="n">
        <x:v>22</x:v>
      </x:c>
      <x:c r="L2745" s="185" t="str">
        <x:v>Não classificado</x:v>
      </x:c>
    </x:row>
    <x:row r="2746">
      <x:c r="A2746" s="175" t="str">
        <x:v>50.941.133/0001-30</x:v>
      </x:c>
      <x:c r="B2746" s="166" t="str">
        <x:v>THP CAPITAL FUNDO DE INVESTIMENTO EM DIREITOS CREDITÓRIOS NÃO PADRONIZADOS</x:v>
      </x:c>
      <x:c r="C2746" s="188" t="n">
        <x:v>5976627.17</x:v>
      </x:c>
      <x:c r="D2746" s="166" t="str">
        <x:v>G5 Adm. de Recursos</x:v>
      </x:c>
      <x:c r="E2746" s="166" t="str">
        <x:f>IFERROR(INDEX('Classif Gestoras'!$H$6:$H$462,MATCH(D2746,'Classif Gestoras'!$A$6:$A$462,0)),"Não classificada")</x:f>
        <x:v>Independente</x:v>
      </x:c>
      <x:c r="F2746" s="166" t="str">
        <x:v>Singulare</x:v>
      </x:c>
      <x:c r="G2746" s="166" t="str">
        <x:v>QI CORRETORA DE TÍTULOS E VALORES MOBILIÁRIOS S.A.</x:v>
      </x:c>
      <x:c r="H2746" s="166" t="str">
        <x:v>Outros</x:v>
      </x:c>
      <x:c r="I2746" s="166" t="str">
        <x:v>Multicarteira Outros</x:v>
      </x:c>
      <x:c r="J2746" s="166" t="str">
        <x:v>CI</x:v>
      </x:c>
      <x:c r="K2746" s="172" t="n">
        <x:v>2</x:v>
      </x:c>
      <x:c r="L2746" s="185" t="str">
        <x:v>Não classificado</x:v>
      </x:c>
    </x:row>
    <x:row r="2747">
      <x:c r="A2747" s="175" t="str">
        <x:v>54.323.848/0001-80</x:v>
      </x:c>
      <x:c r="B2747" s="166" t="str">
        <x:v>RAMAN FUNDO DE INVESTIMENTO EM DIREITOS CREDITÓRIOS CONSIGNADO PUBLICO</x:v>
      </x:c>
      <x:c r="C2747" s="188" t="n">
        <x:v>5972033.16</x:v>
      </x:c>
      <x:c r="D2747" s="166" t="str">
        <x:v>UC Gestora de Recursos</x:v>
      </x:c>
      <x:c r="E2747" s="166" t="str">
        <x:f>IFERROR(INDEX('Classif Gestoras'!$H$6:$H$462,MATCH(D2747,'Classif Gestoras'!$A$6:$A$462,0)),"Não classificada")</x:f>
        <x:v>Independente</x:v>
      </x:c>
      <x:c r="F2747" s="166" t="str">
        <x:v>QI DISTRIBUIDORA DE TITULOS E VALORES MOBILIARIOS LTDA</x:v>
      </x:c>
      <x:c r="G2747" s="166" t="str">
        <x:v>PLANNER CORRETORA DE VALORES S.A.</x:v>
      </x:c>
      <x:c r="H2747" s="166" t="str">
        <x:v>Outros</x:v>
      </x:c>
      <x:c r="I2747" s="166" t="str">
        <x:v>Crédito Consignado</x:v>
      </x:c>
      <x:c r="J2747" s="166" t="str">
        <x:v>CI</x:v>
      </x:c>
      <x:c r="K2747" s="172" t="n">
        <x:v>6</x:v>
      </x:c>
      <x:c r="L2747" s="185" t="str">
        <x:v>Não classificado</x:v>
      </x:c>
    </x:row>
    <x:row r="2748">
      <x:c r="A2748" s="175" t="str">
        <x:v>63.491.326/0001-89</x:v>
      </x:c>
      <x:c r="B2748" s="166" t="str">
        <x:v>AK INVESTIMENTOS FUNDO DE INVESTIMENTO EM DIREITOS CREDITÓRIOS</x:v>
      </x:c>
      <x:c r="C2748" s="188" t="n">
        <x:v>5951127.409999999</x:v>
      </x:c>
      <x:c r="D2748" s="166" t="str">
        <x:v>Redwood Asset Management</x:v>
      </x:c>
      <x:c r="E2748" s="166" t="str">
        <x:f>IFERROR(INDEX('Classif Gestoras'!$H$6:$H$462,MATCH(D2748,'Classif Gestoras'!$A$6:$A$462,0)),"Não classificada")</x:f>
        <x:v>Independente</x:v>
      </x:c>
      <x:c r="F2748" s="166" t="str">
        <x:v>PLANNER CV</x:v>
      </x:c>
      <x:c r="G2748" s="166" t="str">
        <x:v>PLANNER CORRETORA DE VALORES S.A.</x:v>
      </x:c>
      <x:c r="H2748" s="166" t="str">
        <x:v>Outros</x:v>
      </x:c>
      <x:c r="I2748" s="166" t="str">
        <x:v>Multicarteira Outros</x:v>
      </x:c>
      <x:c r="J2748" s="166" t="str">
        <x:v>CI</x:v>
      </x:c>
      <x:c r="K2748" s="172" t="n">
        <x:v>2</x:v>
      </x:c>
      <x:c r="L2748" s="185" t="str">
        <x:v>Não classificado</x:v>
      </x:c>
    </x:row>
    <x:row r="2749">
      <x:c r="A2749" s="175" t="str">
        <x:v>62.860.514/0001-74</x:v>
      </x:c>
      <x:c r="B2749" s="166" t="str">
        <x:v>ALLEGHE FUNDO DE INVESTIMENTO EM DIREITOS CREDITÓRIOS MULTISSEGMENTOS</x:v>
      </x:c>
      <x:c r="C2749" s="188" t="n">
        <x:v>5920488.15</x:v>
      </x:c>
      <x:c r="D2749" s="166" t="str">
        <x:v>Petra Capital</x:v>
      </x:c>
      <x:c r="E2749" s="166" t="str">
        <x:f>IFERROR(INDEX('Classif Gestoras'!$H$6:$H$462,MATCH(D2749,'Classif Gestoras'!$A$6:$A$462,0)),"Não classificada")</x:f>
        <x:v>Independente</x:v>
      </x:c>
      <x:c r="F2749" s="166" t="str">
        <x:v>Finaxis Corretora de Títulos e Valores Mobiliários S.A.</x:v>
      </x:c>
      <x:c r="G2749" s="166" t="str">
        <x:v>BANCO FINAXIS S.A.</x:v>
      </x:c>
      <x:c r="H2749" s="166" t="str">
        <x:v>Agro, Indústria e Comércio</x:v>
      </x:c>
      <x:c r="I2749" s="166" t="str">
        <x:v>Recebíveis Comerciais</x:v>
      </x:c>
      <x:c r="J2749" s="166" t="str">
        <x:v>CI</x:v>
      </x:c>
      <x:c r="K2749" s="172" t="n">
        <x:v>2</x:v>
      </x:c>
      <x:c r="L2749" s="185" t="str">
        <x:v>Não classificado</x:v>
      </x:c>
    </x:row>
    <x:row r="2750">
      <x:c r="A2750" s="175" t="str">
        <x:v>55.825.226/0001-13</x:v>
      </x:c>
      <x:c r="B2750" s="166" t="str">
        <x:v>FRAM CAPITAL VIGGO FUNDO DE INVESTIMENTO EM DIREITOS CREDITÓRIOS</x:v>
      </x:c>
      <x:c r="C2750" s="188" t="n">
        <x:v>5901954</x:v>
      </x:c>
      <x:c r="D2750" s="166" t="str">
        <x:v>Fram Capital Gestão de Ativos Ltda</x:v>
      </x:c>
      <x:c r="E2750" s="166" t="str">
        <x:f>IFERROR(INDEX('Classif Gestoras'!$H$6:$H$462,MATCH(D2750,'Classif Gestoras'!$A$6:$A$462,0)),"Não classificada")</x:f>
        <x:v>Independente</x:v>
      </x:c>
      <x:c r="F2750" s="166" t="str">
        <x:v>OSLO DTVM S. A.</x:v>
      </x:c>
      <x:c r="G2750" s="166" t="str">
        <x:v>OSLO CAPITAL DISTRIBUIDORA DE TITULOS E VALORES MOBILIARIOS S.A.</x:v>
      </x:c>
      <x:c r="H2750" s="166" t="str">
        <x:v>Outros</x:v>
      </x:c>
      <x:c r="I2750" s="166" t="str">
        <x:v>Multicarteira Outros</x:v>
      </x:c>
      <x:c r="J2750" s="166" t="str">
        <x:v>CI</x:v>
      </x:c>
      <x:c r="K2750" s="172" t="n">
        <x:v>6</x:v>
      </x:c>
      <x:c r="L2750" s="185" t="str">
        <x:v>Não classificado</x:v>
      </x:c>
    </x:row>
    <x:row r="2751">
      <x:c r="A2751" s="175" t="str">
        <x:v>58.599.510/0001-07</x:v>
      </x:c>
      <x:c r="B2751" s="166" t="str">
        <x:v>TRIO FUNDO DE INVESTIMENTO EM DIREITOS CREDITÓRIOS - RESPONSABILIDADE LIMITADA</x:v>
      </x:c>
      <x:c r="C2751" s="188" t="n">
        <x:v>5867403.86</x:v>
      </x:c>
      <x:c r="D2751" s="166" t="str">
        <x:v>OURO PRETO INVESTIMENTOS</x:v>
      </x:c>
      <x:c r="E2751" s="166" t="str">
        <x:f>IFERROR(INDEX('Classif Gestoras'!$H$6:$H$462,MATCH(D2751,'Classif Gestoras'!$A$6:$A$462,0)),"Não classificada")</x:f>
        <x:v>Independente</x:v>
      </x:c>
      <x:c r="F2751" s="166" t="str">
        <x:v>Limine Trust Distribuidora de Titulos e Valores Mobiliá</x:v>
      </x:c>
      <x:c r="G2751" s="166" t="str">
        <x:v>LIMINE TRUST DISTRIBUIDORA DE TITULOS E VALORES MOBILIARIOS LTDA.</x:v>
      </x:c>
      <x:c r="H2751" s="166" t="str">
        <x:v>Fomento Mercantil</x:v>
      </x:c>
      <x:c r="I2751" s="166" t="str">
        <x:v>Fomento Mercantil</x:v>
      </x:c>
      <x:c r="J2751" s="166" t="str">
        <x:v>CI</x:v>
      </x:c>
      <x:c r="K2751" s="172" t="n">
        <x:v>9</x:v>
      </x:c>
      <x:c r="L2751" s="185" t="str">
        <x:v>Não classificado</x:v>
      </x:c>
    </x:row>
    <x:row r="2752">
      <x:c r="A2752" s="175" t="str">
        <x:v>46.285.178/0001-27</x:v>
      </x:c>
      <x:c r="B2752" s="166" t="str">
        <x:v>INNOV FUNDO DE INVESTIMENTO EM DIREITOS CREDITÓRIOS</x:v>
      </x:c>
      <x:c r="C2752" s="188" t="n">
        <x:v>5856507.09</x:v>
      </x:c>
      <x:c r="D2752" s="166" t="str">
        <x:v>TERCON ASSET MANAGEMENT</x:v>
      </x:c>
      <x:c r="E2752" s="166" t="str">
        <x:f>IFERROR(INDEX('Classif Gestoras'!$H$6:$H$462,MATCH(D2752,'Classif Gestoras'!$A$6:$A$462,0)),"Não classificada")</x:f>
        <x:v>Independente</x:v>
      </x:c>
      <x:c r="F2752" s="166" t="str">
        <x:v>Singulare</x:v>
      </x:c>
      <x:c r="G2752" s="166" t="str">
        <x:v>QI CORRETORA DE TÍTULOS E VALORES MOBILIÁRIOS S.A.</x:v>
      </x:c>
      <x:c r="H2752" s="166" t="str">
        <x:v>Fomento Mercantil</x:v>
      </x:c>
      <x:c r="I2752" s="166" t="str">
        <x:v>Fomento Mercantil</x:v>
      </x:c>
      <x:c r="J2752" s="166" t="str">
        <x:v>CI</x:v>
      </x:c>
      <x:c r="K2752" s="172" t="n">
        <x:v>10</x:v>
      </x:c>
      <x:c r="L2752" s="185" t="str">
        <x:v>Não classificado</x:v>
      </x:c>
    </x:row>
    <x:row r="2753">
      <x:c r="A2753" s="175" t="str">
        <x:v>62.667.208/0001-16</x:v>
      </x:c>
      <x:c r="B2753" s="166" t="str">
        <x:v>FUNDO DE INVESTIMENTO EM DIREITOS CREDITÓRIOS ATIVOS SELECIONADOS 2 - RESPONSABILIDADE LIMITADA</x:v>
      </x:c>
      <x:c r="C2753" s="188" t="n">
        <x:v>5855442.140000001</x:v>
      </x:c>
      <x:c r="D2753" s="166" t="str">
        <x:v>ROOT CAPITAL</x:v>
      </x:c>
      <x:c r="E2753" s="166" t="str">
        <x:f>IFERROR(INDEX('Classif Gestoras'!$H$6:$H$462,MATCH(D2753,'Classif Gestoras'!$A$6:$A$462,0)),"Não classificada")</x:f>
        <x:v>Independente</x:v>
      </x:c>
      <x:c r="F2753" s="166" t="str">
        <x:v>BNY MELLON SERVICOS</x:v>
      </x:c>
      <x:c r="G2753" s="166" t="str">
        <x:v>BNY MELLON BANCO S.A.</x:v>
      </x:c>
      <x:c r="H2753" s="166" t="str">
        <x:v>Outros</x:v>
      </x:c>
      <x:c r="I2753" s="166" t="str">
        <x:v>Multicarteira Outros</x:v>
      </x:c>
      <x:c r="J2753" s="166" t="str">
        <x:v>CI</x:v>
      </x:c>
      <x:c r="K2753" s="172" t="n">
        <x:v>2</x:v>
      </x:c>
      <x:c r="L2753" s="185" t="str">
        <x:v>Não classificado</x:v>
      </x:c>
    </x:row>
    <x:row r="2754">
      <x:c r="A2754" s="175" t="str">
        <x:v>53.969.337/0001-78</x:v>
      </x:c>
      <x:c r="B2754" s="166" t="str">
        <x:v>DIAMANTE FUNDO DE INVESTIMENTO EM DIREITOS CREDITÓRIOS DE CLASSE ÚNICA FECHADA</x:v>
      </x:c>
      <x:c r="C2754" s="188" t="n">
        <x:v>5821234.99</x:v>
      </x:c>
      <x:c r="D2754" s="166" t="str">
        <x:v>CARMEL GESTORA DE ATIVOS LTDA</x:v>
      </x:c>
      <x:c r="E2754" s="166" t="str">
        <x:f>IFERROR(INDEX('Classif Gestoras'!$H$6:$H$462,MATCH(D2754,'Classif Gestoras'!$A$6:$A$462,0)),"Não classificada")</x:f>
        <x:v>Independente</x:v>
      </x:c>
      <x:c r="F2754" s="166" t="str">
        <x:v>Singulare</x:v>
      </x:c>
      <x:c r="G2754" s="166" t="str">
        <x:v>QI CORRETORA DE TÍTULOS E VALORES MOBILIÁRIOS S.A.</x:v>
      </x:c>
      <x:c r="H2754" s="166" t="str">
        <x:v>Financeiro</x:v>
      </x:c>
      <x:c r="I2754" s="166" t="str">
        <x:v>Crédito Imobiliário</x:v>
      </x:c>
      <x:c r="J2754" s="166" t="str">
        <x:v>CI</x:v>
      </x:c>
      <x:c r="K2754" s="172" t="n">
        <x:v>1</x:v>
      </x:c>
      <x:c r="L2754" s="185" t="str">
        <x:v>Não classificado</x:v>
      </x:c>
    </x:row>
    <x:row r="2755">
      <x:c r="A2755" s="175" t="str">
        <x:v>06.081.379/0001-98</x:v>
      </x:c>
      <x:c r="B2755" s="166" t="str">
        <x:v>KOL FUNDO DE INVESTIMENTO EM DIREITOS CREDITÓRIOS NÃO-PADRONIZADOS</x:v>
      </x:c>
      <x:c r="C2755" s="188" t="n">
        <x:v>5810594.12</x:v>
      </x:c>
      <x:c r="D2755" s="166" t="str">
        <x:v>RJI Investimentos</x:v>
      </x:c>
      <x:c r="E2755" s="166" t="str">
        <x:f>IFERROR(INDEX('Classif Gestoras'!$H$6:$H$462,MATCH(D2755,'Classif Gestoras'!$A$6:$A$462,0)),"Não classificada")</x:f>
        <x:v>Independente</x:v>
      </x:c>
      <x:c r="F2755" s="166" t="str">
        <x:v>RJI Investimentos</x:v>
      </x:c>
      <x:c r="G2755" s="166" t="str">
        <x:v>RJI CORRETORA DE TÍTULOS E VALORES MOBILIÁRIOS LTDA.</x:v>
      </x:c>
      <x:c r="H2755" s="166" t="str">
        <x:v>Financeiro</x:v>
      </x:c>
      <x:c r="I2755" s="166" t="str">
        <x:v>Crédito Imobiliário</x:v>
      </x:c>
      <x:c r="J2755" s="166" t="str">
        <x:v>CI</x:v>
      </x:c>
      <x:c r="K2755" s="172" t="n">
        <x:v>1</x:v>
      </x:c>
      <x:c r="L2755" s="185" t="str">
        <x:v>Não classificado</x:v>
      </x:c>
    </x:row>
    <x:row r="2756">
      <x:c r="A2756" s="175" t="str">
        <x:v>58.615.962/0001-35</x:v>
      </x:c>
      <x:c r="B2756" s="166" t="str">
        <x:v>ADVANCED II FUNDO DE INVESTIMENTOS EM DIREITOS CREDITORIOS</x:v>
      </x:c>
      <x:c r="C2756" s="188" t="n">
        <x:v>5799090.22</x:v>
      </x:c>
      <x:c r="D2756" s="166" t="str">
        <x:v>Hinov Capital</x:v>
      </x:c>
      <x:c r="E2756" s="166" t="str">
        <x:f>IFERROR(INDEX('Classif Gestoras'!$H$6:$H$462,MATCH(D2756,'Classif Gestoras'!$A$6:$A$462,0)),"Não classificada")</x:f>
        <x:v>Independente</x:v>
      </x:c>
      <x:c r="F2756" s="166" t="str">
        <x:v>ACTUAL DTVM</x:v>
      </x:c>
      <x:c r="G2756" s="166" t="str">
        <x:v>TRUSTEE DISTRIBUIDORA DE TITULOS E VALORES MOBILIARIOS LTDA.</x:v>
      </x:c>
      <x:c r="H2756" s="166" t="str">
        <x:v>Fomento Mercantil</x:v>
      </x:c>
      <x:c r="I2756" s="166" t="str">
        <x:v>Fomento Mercantil</x:v>
      </x:c>
      <x:c r="J2756" s="166" t="str">
        <x:v>CI</x:v>
      </x:c>
      <x:c r="K2756" s="172" t="n">
        <x:v>4</x:v>
      </x:c>
      <x:c r="L2756" s="185" t="str">
        <x:v>Não classificado</x:v>
      </x:c>
    </x:row>
    <x:row r="2757">
      <x:c r="A2757" s="175" t="str">
        <x:v>49.920.810/0001-55</x:v>
      </x:c>
      <x:c r="B2757" s="166" t="str">
        <x:v>FUNDO DE INVESTIMENTO EM DIREITOS CREDITÓRIOS TMX FINANCE</x:v>
      </x:c>
      <x:c r="C2757" s="188" t="n">
        <x:v>5786117.55</x:v>
      </x:c>
      <x:c r="D2757" s="166" t="str">
        <x:v>VALORA RENDA FIXA ESTRUTURADOS LTDA.</x:v>
      </x:c>
      <x:c r="E2757" s="166" t="str">
        <x:f>IFERROR(INDEX('Classif Gestoras'!$H$6:$H$462,MATCH(D2757,'Classif Gestoras'!$A$6:$A$462,0)),"Não classificada")</x:f>
        <x:v>Independente</x:v>
      </x:c>
      <x:c r="F2757" s="166" t="str">
        <x:v>BANCO DAYCOVAL S/A</x:v>
      </x:c>
      <x:c r="G2757" s="166" t="str">
        <x:v>BANCO DAYCOVAL S.A.</x:v>
      </x:c>
      <x:c r="H2757" s="166" t="str">
        <x:v>Financeiro</x:v>
      </x:c>
      <x:c r="I2757" s="166" t="str">
        <x:v>Multicarteira Financeiro</x:v>
      </x:c>
      <x:c r="J2757" s="166" t="str">
        <x:v>CI</x:v>
      </x:c>
      <x:c r="K2757" s="172" t="n">
        <x:v>8</x:v>
      </x:c>
      <x:c r="L2757" s="185" t="str">
        <x:v>Não classificado</x:v>
      </x:c>
    </x:row>
    <x:row r="2758">
      <x:c r="A2758" s="175" t="str">
        <x:v>53.095.984/0001-06</x:v>
      </x:c>
      <x:c r="B2758" s="166" t="str">
        <x:v>ROYAL CAPITAL GREEN FUNDO DE INVESTIMENTO EM DIREITOS CREDITÓRIOS CRÉDITO CORPORATIVO</x:v>
      </x:c>
      <x:c r="C2758" s="188" t="n">
        <x:v>5777949.47</x:v>
      </x:c>
      <x:c r="D2758" s="166" t="str">
        <x:v>Harbour Capital</x:v>
      </x:c>
      <x:c r="E2758" s="166" t="str">
        <x:f>IFERROR(INDEX('Classif Gestoras'!$H$6:$H$462,MATCH(D2758,'Classif Gestoras'!$A$6:$A$462,0)),"Não classificada")</x:f>
        <x:v>Independente</x:v>
      </x:c>
      <x:c r="F2758" s="166" t="str">
        <x:v>Singulare</x:v>
      </x:c>
      <x:c r="G2758" s="166" t="str">
        <x:v>QI CORRETORA DE TÍTULOS E VALORES MOBILIÁRIOS S.A.</x:v>
      </x:c>
      <x:c r="H2758" s="166" t="str">
        <x:v>Fomento Mercantil</x:v>
      </x:c>
      <x:c r="I2758" s="166" t="str">
        <x:v>Fomento Mercantil</x:v>
      </x:c>
      <x:c r="J2758" s="166" t="str">
        <x:v>CI</x:v>
      </x:c>
      <x:c r="K2758" s="172" t="n">
        <x:v>2</x:v>
      </x:c>
      <x:c r="L2758" s="185" t="str">
        <x:v>Não classificado</x:v>
      </x:c>
    </x:row>
    <x:row r="2759">
      <x:c r="A2759" s="175" t="str">
        <x:v>60.974.918/0001-63</x:v>
      </x:c>
      <x:c r="B2759" s="166" t="str">
        <x:v>LIVEN FUNDO DE INVESTIMENTO EM DIREITOS CREDITÓRIOS</x:v>
      </x:c>
      <x:c r="C2759" s="188" t="n">
        <x:v>5764264.46</x:v>
      </x:c>
      <x:c r="D2759" s="166" t="str">
        <x:v>OURO PRETO INVESTIMENTOS</x:v>
      </x:c>
      <x:c r="E2759" s="166" t="str">
        <x:f>IFERROR(INDEX('Classif Gestoras'!$H$6:$H$462,MATCH(D2759,'Classif Gestoras'!$A$6:$A$462,0)),"Não classificada")</x:f>
        <x:v>Independente</x:v>
      </x:c>
      <x:c r="F2759" s="166" t="str">
        <x:v>Limine Trust Distribuidora de Titulos e Valores Mobiliá</x:v>
      </x:c>
      <x:c r="G2759" s="166" t="str">
        <x:v>LIMINE TRUST DISTRIBUIDORA DE TITULOS E VALORES MOBILIARIOS LTDA.</x:v>
      </x:c>
      <x:c r="H2759" s="166" t="str">
        <x:v>Agro, Indústria e Comércio</x:v>
      </x:c>
      <x:c r="I2759" s="166" t="str">
        <x:v>Multicarteira Agro, Indústria e Comércio</x:v>
      </x:c>
      <x:c r="J2759" s="166" t="str">
        <x:v>CI</x:v>
      </x:c>
      <x:c r="K2759" s="172" t="n">
        <x:v>3</x:v>
      </x:c>
      <x:c r="L2759" s="185" t="str">
        <x:v>Não classificado</x:v>
      </x:c>
    </x:row>
    <x:row r="2760">
      <x:c r="A2760" s="175" t="str">
        <x:v>57.922.500/0001-06</x:v>
      </x:c>
      <x:c r="B2760" s="166" t="str">
        <x:v>AGGA PROSPERITAS FUNDO DE INVESTIMENTO EM DIREITOS CREDITÓRIOS</x:v>
      </x:c>
      <x:c r="C2760" s="188" t="n">
        <x:v>5747649.880000001</x:v>
      </x:c>
      <x:c r="D2760" s="166" t="str">
        <x:v>G5 Adm. de Recursos</x:v>
      </x:c>
      <x:c r="E2760" s="166" t="str">
        <x:f>IFERROR(INDEX('Classif Gestoras'!$H$6:$H$462,MATCH(D2760,'Classif Gestoras'!$A$6:$A$462,0)),"Não classificada")</x:f>
        <x:v>Independente</x:v>
      </x:c>
      <x:c r="F2760" s="166" t="str">
        <x:v>Singulare</x:v>
      </x:c>
      <x:c r="G2760" s="166" t="str">
        <x:v>QI CORRETORA DE TÍTULOS E VALORES MOBILIÁRIOS S.A.</x:v>
      </x:c>
      <x:c r="H2760" s="166" t="str">
        <x:v>Outros</x:v>
      </x:c>
      <x:c r="I2760" s="166" t="str">
        <x:v>Multicarteira Outros</x:v>
      </x:c>
      <x:c r="J2760" s="166" t="str">
        <x:v>CI</x:v>
      </x:c>
      <x:c r="K2760" s="172" t="n">
        <x:v>13</x:v>
      </x:c>
      <x:c r="L2760" s="185" t="str">
        <x:v>Não classificado</x:v>
      </x:c>
    </x:row>
    <x:row r="2761">
      <x:c r="A2761" s="175" t="str">
        <x:v>56.095.121/0001-19</x:v>
      </x:c>
      <x:c r="B2761" s="166" t="str">
        <x:v>HUNTER FUNDO DE INVESTIMENTO EM DIREITOS CREDITÓRIOS NÃO-PADRONIZADOS RESPONSABILIDADE LIMITADA</x:v>
      </x:c>
      <x:c r="C2761" s="188" t="n">
        <x:v>5684754.22</x:v>
      </x:c>
      <x:c r="D2761" s="166" t="str">
        <x:v>GESTORA DE RECURSOS ID - GRID LTDA.</x:v>
      </x:c>
      <x:c r="E2761" s="166" t="str">
        <x:f>IFERROR(INDEX('Classif Gestoras'!$H$6:$H$462,MATCH(D2761,'Classif Gestoras'!$A$6:$A$462,0)),"Não classificada")</x:f>
        <x:v>Independente</x:v>
      </x:c>
      <x:c r="F2761" s="166" t="str">
        <x:v>ID Corretora de Títulos e Valores Mobiliários S.A.</x:v>
      </x:c>
      <x:c r="G2761" s="166" t="str">
        <x:v>ID CORRETORA DE TITULOS E VALORES MOBILIARIOS S.A.</x:v>
      </x:c>
      <x:c r="H2761" s="166" t="str">
        <x:v>Outros</x:v>
      </x:c>
      <x:c r="I2761" s="166" t="str">
        <x:v>Multicarteira Outros</x:v>
      </x:c>
      <x:c r="J2761" s="166" t="str">
        <x:v>CI</x:v>
      </x:c>
      <x:c r="K2761" s="172" t="n">
        <x:v>2</x:v>
      </x:c>
      <x:c r="L2761" s="185" t="str">
        <x:v>Não classificado</x:v>
      </x:c>
    </x:row>
    <x:row r="2762">
      <x:c r="A2762" s="175" t="str">
        <x:v>57.420.245/0001-95</x:v>
      </x:c>
      <x:c r="B2762" s="166" t="str">
        <x:v>FEATBANK FUNDO DE INVESTIMENTO EM DIREITOS CREDITÓRIOS</x:v>
      </x:c>
      <x:c r="C2762" s="188" t="n">
        <x:v>5676141.4799999995</x:v>
      </x:c>
      <x:c r="D2762" s="166" t="str">
        <x:v>Featbank Asset Management</x:v>
      </x:c>
      <x:c r="E2762" s="166" t="str">
        <x:f>IFERROR(INDEX('Classif Gestoras'!$H$6:$H$462,MATCH(D2762,'Classif Gestoras'!$A$6:$A$462,0)),"Não classificada")</x:f>
        <x:v>Independente</x:v>
      </x:c>
      <x:c r="F2762" s="166" t="str">
        <x:v>FIDD DISTRIBUIDORA DE TITULOS E VALORES MOBILIARIOS LTD</x:v>
      </x:c>
      <x:c r="G2762" s="166" t="str">
        <x:v>FIDD DISTRIBUIDORA DE TITULOS E VALORES MOBILIARIOS LTDA.</x:v>
      </x:c>
      <x:c r="H2762" s="166" t="str">
        <x:v>Outros</x:v>
      </x:c>
      <x:c r="I2762" s="166" t="str">
        <x:v>Multicarteira Outros</x:v>
      </x:c>
      <x:c r="J2762" s="166" t="str">
        <x:v>CI</x:v>
      </x:c>
      <x:c r="K2762" s="172" t="n">
        <x:v>1</x:v>
      </x:c>
      <x:c r="L2762" s="185" t="str">
        <x:v>Não classificado</x:v>
      </x:c>
    </x:row>
    <x:row r="2763">
      <x:c r="A2763" s="175" t="str">
        <x:v>51.861.911/0001-44</x:v>
      </x:c>
      <x:c r="B2763" s="166" t="str">
        <x:v>VANGUARD II FUNDO DE INVESTIMENTO EM DIREITOS CREDITÓRIOS</x:v>
      </x:c>
      <x:c r="C2763" s="188" t="n">
        <x:v>5665216.38</x:v>
      </x:c>
      <x:c r="D2763" s="166" t="str">
        <x:v>Hinov Capital</x:v>
      </x:c>
      <x:c r="E2763" s="166" t="str">
        <x:f>IFERROR(INDEX('Classif Gestoras'!$H$6:$H$462,MATCH(D2763,'Classif Gestoras'!$A$6:$A$462,0)),"Não classificada")</x:f>
        <x:v>Independente</x:v>
      </x:c>
      <x:c r="F2763" s="166" t="str">
        <x:v>ACTUAL DTVM</x:v>
      </x:c>
      <x:c r="G2763" s="166" t="str">
        <x:v>TRUSTEE DISTRIBUIDORA DE TITULOS E VALORES MOBILIARIOS LTDA.</x:v>
      </x:c>
      <x:c r="H2763" s="166" t="str">
        <x:v>Fomento Mercantil</x:v>
      </x:c>
      <x:c r="I2763" s="166" t="str">
        <x:v>Fomento Mercantil</x:v>
      </x:c>
      <x:c r="J2763" s="166" t="str">
        <x:v>CI</x:v>
      </x:c>
      <x:c r="K2763" s="172" t="n">
        <x:v>18</x:v>
      </x:c>
      <x:c r="L2763" s="185" t="str">
        <x:v>Não classificado</x:v>
      </x:c>
    </x:row>
    <x:row r="2764">
      <x:c r="A2764" s="175" t="str">
        <x:v>35.765.949/0001-67</x:v>
      </x:c>
      <x:c r="B2764" s="166" t="str">
        <x:v>FRUIT CREEK CRÉDITOS JUDICIAIS FUNDO DE INVESTIMENTO EM DIREITOS CREDITÓRIOS</x:v>
      </x:c>
      <x:c r="C2764" s="188" t="n">
        <x:v>5640658.834099999</x:v>
      </x:c>
      <x:c r="D2764" s="166" t="str">
        <x:v>Quadra Gestão de Recursos S.A.</x:v>
      </x:c>
      <x:c r="E2764" s="166" t="str">
        <x:f>IFERROR(INDEX('Classif Gestoras'!$H$6:$H$462,MATCH(D2764,'Classif Gestoras'!$A$6:$A$462,0)),"Não classificada")</x:f>
        <x:v>Independente</x:v>
      </x:c>
      <x:c r="F2764" s="166" t="str">
        <x:v>BTG Pactual Servicos Financeiros S/A DTVM</x:v>
      </x:c>
      <x:c r="G2764" s="166" t="str">
        <x:v>BANCO BTG PACTUAL S/A</x:v>
      </x:c>
      <x:c r="H2764" s="166" t="str">
        <x:v>Outros</x:v>
      </x:c>
      <x:c r="I2764" s="166" t="str">
        <x:v>Multicarteira Outros</x:v>
      </x:c>
      <x:c r="J2764" s="166" t="str">
        <x:v>CI</x:v>
      </x:c>
      <x:c r="K2764" s="172" t="n">
        <x:v>3</x:v>
      </x:c>
      <x:c r="L2764" s="185" t="str">
        <x:v>Não classificado</x:v>
      </x:c>
    </x:row>
    <x:row r="2765">
      <x:c r="A2765" s="175" t="str">
        <x:v>60.646.521/0001-42</x:v>
      </x:c>
      <x:c r="B2765" s="166" t="str">
        <x:v>RIPRESA FUNDO DE INVESTIMENTO EM DIREITOS CREDITÓRIOS</x:v>
      </x:c>
      <x:c r="C2765" s="188" t="n">
        <x:v>5600665.880000001</x:v>
      </x:c>
      <x:c r="D2765" s="166" t="str">
        <x:v>B.Side Wealth</x:v>
      </x:c>
      <x:c r="E2765" s="166" t="str">
        <x:f>IFERROR(INDEX('Classif Gestoras'!$H$6:$H$462,MATCH(D2765,'Classif Gestoras'!$A$6:$A$462,0)),"Não classificada")</x:f>
        <x:v>Independente</x:v>
      </x:c>
      <x:c r="F2765" s="166" t="str">
        <x:v>MONETAR DISTRIBUIDORA DE TITUL</x:v>
      </x:c>
      <x:c r="G2765" s="166" t="str">
        <x:v>TERRA INVESTIMENTOS DISTRIBUIDORA DE TITULOS E VALORES MOBILIARIOS LTDA</x:v>
      </x:c>
      <x:c r="H2765" s="166" t="str">
        <x:v>Financeiro</x:v>
      </x:c>
      <x:c r="I2765" s="166" t="str">
        <x:v>Crédito Pessoal</x:v>
      </x:c>
      <x:c r="J2765" s="166" t="str">
        <x:v>CI</x:v>
      </x:c>
      <x:c r="K2765" s="172" t="n">
        <x:v>1</x:v>
      </x:c>
      <x:c r="L2765" s="185" t="str">
        <x:v>Não classificado</x:v>
      </x:c>
    </x:row>
    <x:row r="2766">
      <x:c r="A2766" s="175" t="str">
        <x:v>54.072.485/0001-58</x:v>
      </x:c>
      <x:c r="B2766" s="166" t="str">
        <x:v>GRUPO JC FUNDO DE INVESTIMENTO EM DIREITOS CREDITÓRIOS</x:v>
      </x:c>
      <x:c r="C2766" s="188" t="n">
        <x:v>5600230.920000001</x:v>
      </x:c>
      <x:c r="D2766" s="166" t="str">
        <x:v>BTG Pactual Asset</x:v>
      </x:c>
      <x:c r="E2766" s="166" t="str">
        <x:f>IFERROR(INDEX('Classif Gestoras'!$H$6:$H$462,MATCH(D2766,'Classif Gestoras'!$A$6:$A$462,0)),"Não classificada")</x:f>
        <x:v>Ligada a banco</x:v>
      </x:c>
      <x:c r="F2766" s="166" t="str">
        <x:v>BTG Pactual Servicos Financeiros S/A DTVM</x:v>
      </x:c>
      <x:c r="G2766" s="166" t="str">
        <x:v>BANCO BTG PACTUAL S/A</x:v>
      </x:c>
      <x:c r="H2766" s="166" t="str">
        <x:v>Outros</x:v>
      </x:c>
      <x:c r="I2766" s="166" t="str">
        <x:v>Multicarteira Outros</x:v>
      </x:c>
      <x:c r="J2766" s="166" t="str">
        <x:v>CI</x:v>
      </x:c>
      <x:c r="K2766" s="172" t="n">
        <x:v>7</x:v>
      </x:c>
      <x:c r="L2766" s="185" t="str">
        <x:v>Não classificado</x:v>
      </x:c>
    </x:row>
    <x:row r="2767">
      <x:c r="A2767" s="175" t="str">
        <x:v>12.956.543/0001-66</x:v>
      </x:c>
      <x:c r="B2767" s="166" t="str">
        <x:v>CAMBUI FINANÇAS FUNDO DE INVESTIMENTO EM DIREITOS CREDITÓRIOS MULTISSETORIAL LP</x:v>
      </x:c>
      <x:c r="C2767" s="188" t="n">
        <x:v>5574052.839999999</x:v>
      </x:c>
      <x:c r="D2767" s="166" t="str">
        <x:v>TERCON ASSET MANAGEMENT</x:v>
      </x:c>
      <x:c r="E2767" s="166" t="str">
        <x:f>IFERROR(INDEX('Classif Gestoras'!$H$6:$H$462,MATCH(D2767,'Classif Gestoras'!$A$6:$A$462,0)),"Não classificada")</x:f>
        <x:v>Independente</x:v>
      </x:c>
      <x:c r="F2767" s="166" t="str">
        <x:v>Singulare</x:v>
      </x:c>
      <x:c r="G2767" s="166" t="str">
        <x:v>QI CORRETORA DE TÍTULOS E VALORES MOBILIÁRIOS S.A.</x:v>
      </x:c>
      <x:c r="H2767" s="166" t="str">
        <x:v>Fomento Mercantil</x:v>
      </x:c>
      <x:c r="I2767" s="166" t="str">
        <x:v>Fomento Mercantil</x:v>
      </x:c>
      <x:c r="J2767" s="166" t="str">
        <x:v>CI</x:v>
      </x:c>
      <x:c r="K2767" s="172" t="n">
        <x:v>8</x:v>
      </x:c>
      <x:c r="L2767" s="185" t="str">
        <x:v>Não classificado</x:v>
      </x:c>
    </x:row>
    <x:row r="2768">
      <x:c r="A2768" s="175" t="str">
        <x:v>28.671.036/0001-16</x:v>
      </x:c>
      <x:c r="B2768" s="166" t="str">
        <x:v>WFR FUNDO DE INVESTIMENTO EM DIREITOS CREDITÓRIOS NÃO-PADRONIZADOS MULTISSETORIAL</x:v>
      </x:c>
      <x:c r="C2768" s="188" t="n">
        <x:v>5548910.819999999</x:v>
      </x:c>
      <x:c r="D2768" s="166" t="str">
        <x:v>OURO PRETO INVESTIMENTOS</x:v>
      </x:c>
      <x:c r="E2768" s="166" t="str">
        <x:f>IFERROR(INDEX('Classif Gestoras'!$H$6:$H$462,MATCH(D2768,'Classif Gestoras'!$A$6:$A$462,0)),"Não classificada")</x:f>
        <x:v>Independente</x:v>
      </x:c>
      <x:c r="F2768" s="166" t="str">
        <x:v>Singulare</x:v>
      </x:c>
      <x:c r="G2768" s="166" t="str">
        <x:v>QI CORRETORA DE TÍTULOS E VALORES MOBILIÁRIOS S.A.</x:v>
      </x:c>
      <x:c r="H2768" s="166" t="str">
        <x:v>Fomento Mercantil</x:v>
      </x:c>
      <x:c r="I2768" s="166" t="str">
        <x:v>Fomento Mercantil</x:v>
      </x:c>
      <x:c r="J2768" s="166" t="str">
        <x:v>CI</x:v>
      </x:c>
      <x:c r="K2768" s="172" t="n">
        <x:v>6</x:v>
      </x:c>
      <x:c r="L2768" s="185" t="str">
        <x:v>Não classificado</x:v>
      </x:c>
    </x:row>
    <x:row r="2769">
      <x:c r="A2769" s="175" t="str">
        <x:v>43.806.417/0001-59</x:v>
      </x:c>
      <x:c r="B2769" s="166" t="str">
        <x:v>RADIX TRIMARÃ FUNDO DE INVESTIMENTO EM DIREITOS CREDITÓRIOS - RESPONSABILIDADE LIMITADA</x:v>
      </x:c>
      <x:c r="C2769" s="188" t="n">
        <x:v>5536005.090000001</x:v>
      </x:c>
      <x:c r="D2769" s="166" t="str">
        <x:v>SOSU CAPITAL GESTÃO DE INVESTIMENTOS LTDA.</x:v>
      </x:c>
      <x:c r="E2769" s="166" t="str">
        <x:f>IFERROR(INDEX('Classif Gestoras'!$H$6:$H$462,MATCH(D2769,'Classif Gestoras'!$A$6:$A$462,0)),"Não classificada")</x:f>
        <x:v>Independente</x:v>
      </x:c>
      <x:c r="F2769" s="166" t="str">
        <x:v>BRL TRUST DTVM</x:v>
      </x:c>
      <x:c r="G2769" s="166" t="str">
        <x:v>BRL TRUST DISTRIBUIDORA DE TITULOS E VALORES MOBILIARIOS S.A.</x:v>
      </x:c>
      <x:c r="H2769" s="166" t="str">
        <x:v>Outros</x:v>
      </x:c>
      <x:c r="I2769" s="166" t="str">
        <x:v>Poder Público</x:v>
      </x:c>
      <x:c r="J2769" s="166" t="str">
        <x:v>CI</x:v>
      </x:c>
      <x:c r="K2769" s="172" t="n">
        <x:v>1</x:v>
      </x:c>
      <x:c r="L2769" s="185" t="str">
        <x:v>Não classificado</x:v>
      </x:c>
    </x:row>
    <x:row r="2770">
      <x:c r="A2770" s="175" t="str">
        <x:v>64.414.126/0001-95</x:v>
      </x:c>
      <x:c r="B2770" s="166" t="str">
        <x:v>ATLAS HUB II FUNDO DE INVESTIMENTO EM DIREITOS CREDITÓRIOS DE RESPONSABILIDADE LIMITADA</x:v>
      </x:c>
      <x:c r="C2770" s="188" t="n">
        <x:v>5513128.17</x:v>
      </x:c>
      <x:c r="D2770" s="166" t="str">
        <x:v>BRZ Gestão de Recursos</x:v>
      </x:c>
      <x:c r="E2770" s="166" t="str">
        <x:f>IFERROR(INDEX('Classif Gestoras'!$H$6:$H$462,MATCH(D2770,'Classif Gestoras'!$A$6:$A$462,0)),"Não classificada")</x:f>
        <x:v>Independente</x:v>
      </x:c>
      <x:c r="F2770" s="166" t="str">
        <x:v>BANCO DAYCOVAL S/A</x:v>
      </x:c>
      <x:c r="G2770" s="166" t="str">
        <x:v>BANCO DAYCOVAL S.A.</x:v>
      </x:c>
      <x:c r="H2770" s="166" t="str">
        <x:v>Outros</x:v>
      </x:c>
      <x:c r="I2770" s="166" t="str">
        <x:v>Multicarteira Outros</x:v>
      </x:c>
      <x:c r="J2770" s="166" t="str">
        <x:v>CI</x:v>
      </x:c>
      <x:c r="K2770" s="172" t="n">
        <x:v>10</x:v>
      </x:c>
      <x:c r="L2770" s="185" t="str">
        <x:v>Não classificado</x:v>
      </x:c>
    </x:row>
    <x:row r="2771">
      <x:c r="A2771" s="175" t="str">
        <x:v>63.219.990/0001-73</x:v>
      </x:c>
      <x:c r="B2771" s="166" t="str">
        <x:v>NEXA FUNDO DE INVESTIMENTO EM DIREITOS CREDITÓRIOS</x:v>
      </x:c>
      <x:c r="C2771" s="188" t="n">
        <x:v>5477055.15</x:v>
      </x:c>
      <x:c r="D2771" s="166" t="str">
        <x:v>ROCHA OPÇÕES DE INVESTIMENTOS</x:v>
      </x:c>
      <x:c r="E2771" s="166" t="str">
        <x:f>IFERROR(INDEX('Classif Gestoras'!$H$6:$H$462,MATCH(D2771,'Classif Gestoras'!$A$6:$A$462,0)),"Não classificada")</x:f>
        <x:v>Independente</x:v>
      </x:c>
      <x:c r="F2771" s="166" t="str">
        <x:v>SEFER DTVM</x:v>
      </x:c>
      <x:c r="G2771" s="166" t="str">
        <x:v>SEFER INVESTIMENTOS DISTRIBUIDORA DE TÍTULOS E VALORES MOBILIÁRIOS LTDA.</x:v>
      </x:c>
      <x:c r="H2771" s="166" t="str">
        <x:v>Outros</x:v>
      </x:c>
      <x:c r="I2771" s="166" t="str">
        <x:v>Multicarteira Outros</x:v>
      </x:c>
      <x:c r="J2771" s="166" t="str">
        <x:v>CI</x:v>
      </x:c>
      <x:c r="K2771" s="172" t="n">
        <x:v>0</x:v>
      </x:c>
      <x:c r="L2771" s="185" t="str">
        <x:v>Não classificado</x:v>
      </x:c>
    </x:row>
    <x:row r="2772">
      <x:c r="A2772" s="175" t="str">
        <x:v>45.853.950/0001-05</x:v>
      </x:c>
      <x:c r="B2772" s="166" t="str">
        <x:v>FUNDO DE INVESTIMENTO EM DIREITOS CREDITÓRIOS BEES BANK RESPONSABILIDADE LIMITADA</x:v>
      </x:c>
      <x:c r="C2772" s="188" t="n">
        <x:v>5473143.15</x:v>
      </x:c>
      <x:c r="D2772" s="166" t="str">
        <x:v>BRL TRUST DTVM</x:v>
      </x:c>
      <x:c r="E2772" s="166" t="str">
        <x:f>IFERROR(INDEX('Classif Gestoras'!$H$6:$H$462,MATCH(D2772,'Classif Gestoras'!$A$6:$A$462,0)),"Não classificada")</x:f>
        <x:v>Independente</x:v>
      </x:c>
      <x:c r="F2772" s="166" t="str">
        <x:v>BRL TRUST DTVM</x:v>
      </x:c>
      <x:c r="G2772" s="166" t="str">
        <x:v>BRL TRUST DISTRIBUIDORA DE TITULOS E VALORES MOBILIARIOS S.A.</x:v>
      </x:c>
      <x:c r="H2772" s="166" t="str">
        <x:v>Outros</x:v>
      </x:c>
      <x:c r="I2772" s="166" t="str">
        <x:v>Multicarteira Outros</x:v>
      </x:c>
      <x:c r="J2772" s="166" t="str">
        <x:v>CI</x:v>
      </x:c>
      <x:c r="K2772" s="172" t="n">
        <x:v>1</x:v>
      </x:c>
      <x:c r="L2772" s="185" t="str">
        <x:v>Não classificado</x:v>
      </x:c>
    </x:row>
    <x:row r="2773">
      <x:c r="A2773" s="175" t="str">
        <x:v>62.639.652/0001-28</x:v>
      </x:c>
      <x:c r="B2773" s="166" t="str">
        <x:v>PAYJOY II FUNDO DE INVESTIMENTO EM DIREITOS CREDITÓRIOS RECEBÍVEIS COMERCIAIS</x:v>
      </x:c>
      <x:c r="C2773" s="188" t="n">
        <x:v>5441105.32</x:v>
      </x:c>
      <x:c r="D2773" s="166" t="str">
        <x:v>Integral Investimentos</x:v>
      </x:c>
      <x:c r="E2773" s="166" t="str">
        <x:f>IFERROR(INDEX('Classif Gestoras'!$H$6:$H$462,MATCH(D2773,'Classif Gestoras'!$A$6:$A$462,0)),"Não classificada")</x:f>
        <x:v>Independente</x:v>
      </x:c>
      <x:c r="F2773" s="166" t="str">
        <x:v>INTEGRAL ACCESS DTVM</x:v>
      </x:c>
      <x:c r="G2773" s="166" t="str">
        <x:v>OSLO CAPITAL DISTRIBUIDORA DE TITULOS E VALORES MOBILIARIOS S.A.</x:v>
      </x:c>
      <x:c r="H2773" s="166" t="str">
        <x:v>Agro, Indústria e Comércio</x:v>
      </x:c>
      <x:c r="I2773" s="166" t="str">
        <x:v>Recebíveis Comerciais</x:v>
      </x:c>
      <x:c r="J2773" s="166" t="str">
        <x:v>CI</x:v>
      </x:c>
      <x:c r="K2773" s="172" t="n">
        <x:v>2</x:v>
      </x:c>
      <x:c r="L2773" s="185" t="str">
        <x:v>Não classificado</x:v>
      </x:c>
    </x:row>
    <x:row r="2774">
      <x:c r="A2774" s="175" t="str">
        <x:v>62.958.931/0001-54</x:v>
      </x:c>
      <x:c r="B2774" s="166" t="str">
        <x:v>BNVT ITA RENT FUNDO DE INVESTIMENTOS EM DIREITOS CREDITÓRIOS</x:v>
      </x:c>
      <x:c r="C2774" s="188" t="n">
        <x:v>5426777.85</x:v>
      </x:c>
      <x:c r="D2774" s="166" t="str">
        <x:v>BENAVENT ASSET LTDA</x:v>
      </x:c>
      <x:c r="E2774" s="166" t="str">
        <x:f>IFERROR(INDEX('Classif Gestoras'!$H$6:$H$462,MATCH(D2774,'Classif Gestoras'!$A$6:$A$462,0)),"Não classificada")</x:f>
        <x:v>Independente</x:v>
      </x:c>
      <x:c r="F2774" s="166" t="str">
        <x:v>PLANNER CV</x:v>
      </x:c>
      <x:c r="G2774" s="166" t="str">
        <x:v>PLANNER CORRETORA DE VALORES S.A.</x:v>
      </x:c>
      <x:c r="H2774" s="166" t="str">
        <x:v>Financeiro</x:v>
      </x:c>
      <x:c r="I2774" s="166" t="str">
        <x:v>Multicarteira Financeiro</x:v>
      </x:c>
      <x:c r="J2774" s="166" t="str">
        <x:v>CI</x:v>
      </x:c>
      <x:c r="K2774" s="172" t="n">
        <x:v>2</x:v>
      </x:c>
      <x:c r="L2774" s="185" t="str">
        <x:v>Não classificado</x:v>
      </x:c>
    </x:row>
    <x:row r="2775">
      <x:c r="A2775" s="175" t="str">
        <x:v>14.788.370/0001-40</x:v>
      </x:c>
      <x:c r="B2775" s="166" t="str">
        <x:v>FUNDO DE INVESTIMENTO EM DIREITOS CREDITÓRIOS HUNGRIA</x:v>
      </x:c>
      <x:c r="C2775" s="188" t="n">
        <x:v>5385036.180000001</x:v>
      </x:c>
      <x:c r="D2775" s="166" t="str">
        <x:v>Vila Rica Capital</x:v>
      </x:c>
      <x:c r="E2775" s="166" t="str">
        <x:f>IFERROR(INDEX('Classif Gestoras'!$H$6:$H$462,MATCH(D2775,'Classif Gestoras'!$A$6:$A$462,0)),"Não classificada")</x:f>
        <x:v>Independente</x:v>
      </x:c>
      <x:c r="F2775" s="166" t="str">
        <x:v>BRL TRUST DTVM</x:v>
      </x:c>
      <x:c r="G2775" s="166" t="str">
        <x:v>BRL TRUST DISTRIBUIDORA DE TITULOS E VALORES MOBILIARIOS S.A.</x:v>
      </x:c>
      <x:c r="H2775" s="166" t="str">
        <x:v>Outros</x:v>
      </x:c>
      <x:c r="I2775" s="166" t="str">
        <x:v>Multicarteira Outros</x:v>
      </x:c>
      <x:c r="J2775" s="166" t="str">
        <x:v>CI</x:v>
      </x:c>
      <x:c r="K2775" s="172" t="n">
        <x:v>1</x:v>
      </x:c>
      <x:c r="L2775" s="185" t="str">
        <x:v>Não classificado</x:v>
      </x:c>
    </x:row>
    <x:row r="2776">
      <x:c r="A2776" s="175" t="str">
        <x:v>38.134.439/0001-80</x:v>
      </x:c>
      <x:c r="B2776" s="166" t="str">
        <x:v>TCN FUNDO DE INVESTIMENTO EM DIREITOS CREDITÓRIOS NÃO-PADRONIZADOS RESPONSABILIDADE LIMITADA</x:v>
      </x:c>
      <x:c r="C2776" s="188" t="n">
        <x:v>5382976.21</x:v>
      </x:c>
      <x:c r="D2776" s="166" t="str">
        <x:v>Strivo Gestora de Recursos S/A</x:v>
      </x:c>
      <x:c r="E2776" s="166" t="str">
        <x:f>IFERROR(INDEX('Classif Gestoras'!$H$6:$H$462,MATCH(D2776,'Classif Gestoras'!$A$6:$A$462,0)),"Não classificada")</x:f>
        <x:v>Independente</x:v>
      </x:c>
      <x:c r="F2776" s="166" t="str">
        <x:v>ID Corretora de Títulos e Valores Mobiliários S.A.</x:v>
      </x:c>
      <x:c r="G2776" s="166" t="str">
        <x:v>ID CORRETORA DE TITULOS E VALORES MOBILIARIOS S.A.</x:v>
      </x:c>
      <x:c r="H2776" s="166" t="str">
        <x:v>Outros</x:v>
      </x:c>
      <x:c r="I2776" s="166" t="str">
        <x:v>Multicarteira Outros</x:v>
      </x:c>
      <x:c r="J2776" s="166" t="str">
        <x:v>CI</x:v>
      </x:c>
      <x:c r="K2776" s="172" t="n">
        <x:v>0</x:v>
      </x:c>
      <x:c r="L2776" s="185" t="str">
        <x:v>Não classificado</x:v>
      </x:c>
    </x:row>
    <x:row r="2777">
      <x:c r="A2777" s="175" t="str">
        <x:v>63.829.575/0001-31</x:v>
      </x:c>
      <x:c r="B2777" s="166" t="str">
        <x:v>ARION PRECATÓRIOS FUNDO DE INVESTIMENTO EM DIREITOS CREDITÓRIOS NÃO-PADRONIZADOS</x:v>
      </x:c>
      <x:c r="C2777" s="188" t="n">
        <x:v>5378773.260000001</x:v>
      </x:c>
      <x:c r="D2777" s="166" t="str">
        <x:v>OURO PRETO INVESTIMENTOS</x:v>
      </x:c>
      <x:c r="E2777" s="166" t="str">
        <x:f>IFERROR(INDEX('Classif Gestoras'!$H$6:$H$462,MATCH(D2777,'Classif Gestoras'!$A$6:$A$462,0)),"Não classificada")</x:f>
        <x:v>Independente</x:v>
      </x:c>
      <x:c r="F2777" s="166" t="str">
        <x:v>Singulare</x:v>
      </x:c>
      <x:c r="G2777" s="166" t="str">
        <x:v>QI CORRETORA DE TÍTULOS E VALORES MOBILIÁRIOS S.A.</x:v>
      </x:c>
      <x:c r="H2777" s="166" t="str">
        <x:v>Outros</x:v>
      </x:c>
      <x:c r="I2777" s="166" t="str">
        <x:v>Poder Público</x:v>
      </x:c>
      <x:c r="J2777" s="166" t="str">
        <x:v>CI</x:v>
      </x:c>
      <x:c r="K2777" s="172" t="n">
        <x:v>15</x:v>
      </x:c>
      <x:c r="L2777" s="185" t="str">
        <x:v>Não classificado</x:v>
      </x:c>
    </x:row>
    <x:row r="2778">
      <x:c r="A2778" s="175" t="str">
        <x:v>62.809.011/0001-74</x:v>
      </x:c>
      <x:c r="B2778" s="166" t="str">
        <x:v>VECTRO CAPITAL FUNDO DE INVESTIMENTO EM DIREITOS CREDITÓRIOS</x:v>
      </x:c>
      <x:c r="C2778" s="188" t="n">
        <x:v>5311876.87</x:v>
      </x:c>
      <x:c r="D2778" s="166" t="str">
        <x:v>XMS Investimentos</x:v>
      </x:c>
      <x:c r="E2778" s="166" t="str">
        <x:f>IFERROR(INDEX('Classif Gestoras'!$H$6:$H$462,MATCH(D2778,'Classif Gestoras'!$A$6:$A$462,0)),"Não classificada")</x:f>
        <x:v>Independente</x:v>
      </x:c>
      <x:c r="F2778" s="166" t="str">
        <x:v>MONETAR DISTRIBUIDORA DE TITUL</x:v>
      </x:c>
      <x:c r="G2778" s="166" t="str">
        <x:v>TERRA INVESTIMENTOS DISTRIBUIDORA DE TITULOS E VALORES MOBILIARIOS LTDA</x:v>
      </x:c>
      <x:c r="H2778" s="166" t="str">
        <x:v>Fomento Mercantil</x:v>
      </x:c>
      <x:c r="I2778" s="166" t="str">
        <x:v>Fomento Mercantil</x:v>
      </x:c>
      <x:c r="J2778" s="166" t="str">
        <x:v>CI</x:v>
      </x:c>
      <x:c r="K2778" s="172" t="n">
        <x:v>4</x:v>
      </x:c>
      <x:c r="L2778" s="185" t="str">
        <x:v>Não classificado</x:v>
      </x:c>
    </x:row>
    <x:row r="2779">
      <x:c r="A2779" s="175" t="str">
        <x:v>45.693.226/0001-53</x:v>
      </x:c>
      <x:c r="B2779" s="166" t="str">
        <x:v>CREDITO AGRO FUNDO DE INVESTIMENTO EM DIREITOS CREDITÓRIOS NÃO-PADRONIZADOS RESP LIMITADA</x:v>
      </x:c>
      <x:c r="C2779" s="188" t="n">
        <x:v>5294525.17</x:v>
      </x:c>
      <x:c r="D2779" s="166" t="str">
        <x:v>Oikos Capital</x:v>
      </x:c>
      <x:c r="E2779" s="166" t="str">
        <x:f>IFERROR(INDEX('Classif Gestoras'!$H$6:$H$462,MATCH(D2779,'Classif Gestoras'!$A$6:$A$462,0)),"Não classificada")</x:f>
        <x:v>Independente</x:v>
      </x:c>
      <x:c r="F2779" s="166" t="str">
        <x:v>ID Corretora de Títulos e Valores Mobiliários S.A.</x:v>
      </x:c>
      <x:c r="G2779" s="166" t="str">
        <x:v>ID CORRETORA DE TITULOS E VALORES MOBILIARIOS S.A.</x:v>
      </x:c>
      <x:c r="H2779" s="166" t="str">
        <x:v>Outros</x:v>
      </x:c>
      <x:c r="I2779" s="166" t="str">
        <x:v>Multicarteira Outros</x:v>
      </x:c>
      <x:c r="J2779" s="166" t="str">
        <x:v>CI</x:v>
      </x:c>
      <x:c r="K2779" s="172" t="n">
        <x:v>6</x:v>
      </x:c>
      <x:c r="L2779" s="185" t="str">
        <x:v>Não classificado</x:v>
      </x:c>
    </x:row>
    <x:row r="2780">
      <x:c r="A2780" s="175" t="str">
        <x:v>55.891.858/0001-85</x:v>
      </x:c>
      <x:c r="B2780" s="166" t="str">
        <x:v>DAYTONA FUNDO DE INVESTIMENTO EM DIREITOS CREDITÓRIOS NÃO-PADRONIZADOS RESPONSABILIDADE LIMITADA</x:v>
      </x:c>
      <x:c r="C2780" s="188" t="n">
        <x:v>5221642.87</x:v>
      </x:c>
      <x:c r="D2780" s="166" t="str">
        <x:v>GESTORA DE RECURSOS ID - GRID LTDA.</x:v>
      </x:c>
      <x:c r="E2780" s="166" t="str">
        <x:f>IFERROR(INDEX('Classif Gestoras'!$H$6:$H$462,MATCH(D2780,'Classif Gestoras'!$A$6:$A$462,0)),"Não classificada")</x:f>
        <x:v>Independente</x:v>
      </x:c>
      <x:c r="F2780" s="166" t="str">
        <x:v>ID Corretora de Títulos e Valores Mobiliários S.A.</x:v>
      </x:c>
      <x:c r="G2780" s="166" t="str">
        <x:v>ID CORRETORA DE TITULOS E VALORES MOBILIARIOS S.A.</x:v>
      </x:c>
      <x:c r="H2780" s="166" t="str">
        <x:v>Outros</x:v>
      </x:c>
      <x:c r="I2780" s="166" t="str">
        <x:v>Multicarteira Outros</x:v>
      </x:c>
      <x:c r="J2780" s="166" t="str">
        <x:v>CI</x:v>
      </x:c>
      <x:c r="K2780" s="172" t="n">
        <x:v>2</x:v>
      </x:c>
      <x:c r="L2780" s="185" t="str">
        <x:v>Não classificado</x:v>
      </x:c>
    </x:row>
    <x:row r="2781">
      <x:c r="A2781" s="175" t="str">
        <x:v>55.747.288/0001-54</x:v>
      </x:c>
      <x:c r="B2781" s="166" t="str">
        <x:v>TOP SETORIAL FUNDO DE INVESTIMENTO EM DIREITOS CREDITÓRIOS</x:v>
      </x:c>
      <x:c r="C2781" s="188" t="n">
        <x:v>5199575.59</x:v>
      </x:c>
      <x:c r="D2781" s="166" t="str">
        <x:v>ASSET MANAGEMENT</x:v>
      </x:c>
      <x:c r="E2781" s="166" t="str">
        <x:f>IFERROR(INDEX('Classif Gestoras'!$H$6:$H$462,MATCH(D2781,'Classif Gestoras'!$A$6:$A$462,0)),"Não classificada")</x:f>
        <x:v>Independente</x:v>
      </x:c>
      <x:c r="F2781" s="166" t="str">
        <x:v>AZUMI DISTRIBUIDORA DE TÍTULOS E VALORES MOBILIÁRIOS LT</x:v>
      </x:c>
      <x:c r="G2781" s="166" t="str">
        <x:v>AZUMI DISTRIBUIDORA DE TÍTULOS E VALORES MOBILIÁRIOS LTDA.</x:v>
      </x:c>
      <x:c r="H2781" s="166" t="str">
        <x:v>Outros</x:v>
      </x:c>
      <x:c r="I2781" s="166" t="str">
        <x:v>Multicarteira Outros</x:v>
      </x:c>
      <x:c r="J2781" s="166" t="str">
        <x:v>CI</x:v>
      </x:c>
      <x:c r="K2781" s="172" t="n">
        <x:v>6</x:v>
      </x:c>
      <x:c r="L2781" s="185" t="str">
        <x:v>Não classificado</x:v>
      </x:c>
    </x:row>
    <x:row r="2782">
      <x:c r="A2782" s="175" t="str">
        <x:v>45.425.498/0001-72</x:v>
      </x:c>
      <x:c r="B2782" s="166" t="str">
        <x:v>K-FINANCE FUNDO DE INVESTIMENTO EM DIREITOS CREDITORIOS NAO PADRONIZADOS</x:v>
      </x:c>
      <x:c r="C2782" s="188" t="n">
        <x:v>5164615.74</x:v>
      </x:c>
      <x:c r="D2782" s="166" t="str">
        <x:v>Menestys</x:v>
      </x:c>
      <x:c r="E2782" s="166" t="str">
        <x:f>IFERROR(INDEX('Classif Gestoras'!$H$6:$H$462,MATCH(D2782,'Classif Gestoras'!$A$6:$A$462,0)),"Não classificada")</x:f>
        <x:v>Independente</x:v>
      </x:c>
      <x:c r="F2782" s="166" t="str">
        <x:v>Qore DTVM</x:v>
      </x:c>
      <x:c r="G2782" s="166" t="str">
        <x:v>QORE DISTRIBUIDORA DE TÍTULOS E VALORES MOBILIÁRIOS LTDA.</x:v>
      </x:c>
      <x:c r="H2782" s="166" t="str">
        <x:v>Agro, Indústria e Comércio</x:v>
      </x:c>
      <x:c r="I2782" s="166" t="str">
        <x:v>Multicarteira Agro, Indústria e Comércio</x:v>
      </x:c>
      <x:c r="J2782" s="166" t="str">
        <x:v>CI</x:v>
      </x:c>
      <x:c r="K2782" s="172" t="n">
        <x:v>1</x:v>
      </x:c>
      <x:c r="L2782" s="185" t="str">
        <x:v>Não classificado</x:v>
      </x:c>
    </x:row>
    <x:row r="2783">
      <x:c r="A2783" s="175" t="str">
        <x:v>61.386.747/0001-14</x:v>
      </x:c>
      <x:c r="B2783" s="166" t="str">
        <x:v>FIDC VALE CONSIGNADO FINANCEIRO RESP LIMITADA</x:v>
      </x:c>
      <x:c r="C2783" s="188" t="n">
        <x:v>5157460.069999999</x:v>
      </x:c>
      <x:c r="D2783" s="166" t="str">
        <x:v>VALORA RENDA FIXA ESTRUTURADOS LTDA.</x:v>
      </x:c>
      <x:c r="E2783" s="166" t="str">
        <x:f>IFERROR(INDEX('Classif Gestoras'!$H$6:$H$462,MATCH(D2783,'Classif Gestoras'!$A$6:$A$462,0)),"Não classificada")</x:f>
        <x:v>Independente</x:v>
      </x:c>
      <x:c r="F2783" s="166" t="str">
        <x:v>BANCO DAYCOVAL S/A</x:v>
      </x:c>
      <x:c r="G2783" s="166" t="str">
        <x:v>BANCO DAYCOVAL S.A.</x:v>
      </x:c>
      <x:c r="H2783" s="166" t="str">
        <x:v>Financeiro</x:v>
      </x:c>
      <x:c r="I2783" s="166" t="str">
        <x:v>Multicarteira Financeiro</x:v>
      </x:c>
      <x:c r="J2783" s="166" t="str">
        <x:v>CI</x:v>
      </x:c>
      <x:c r="K2783" s="172" t="n">
        <x:v>13</x:v>
      </x:c>
      <x:c r="L2783" s="185" t="str">
        <x:v>Não classificado</x:v>
      </x:c>
    </x:row>
    <x:row r="2784">
      <x:c r="A2784" s="175" t="str">
        <x:v>64.041.032/0001-18</x:v>
      </x:c>
      <x:c r="B2784" s="166" t="str">
        <x:v>MTRIOS FUNDO DE INVESTIMENTO EM DIREITOS CREDITÓRIOS</x:v>
      </x:c>
      <x:c r="C2784" s="188" t="n">
        <x:v>5085158.5</x:v>
      </x:c>
      <x:c r="D2784" s="166" t="str">
        <x:v>CERES ASSET</x:v>
      </x:c>
      <x:c r="E2784" s="166" t="str">
        <x:f>IFERROR(INDEX('Classif Gestoras'!$H$6:$H$462,MATCH(D2784,'Classif Gestoras'!$A$6:$A$462,0)),"Não classificada")</x:f>
        <x:v>Independente</x:v>
      </x:c>
      <x:c r="F2784" s="166" t="str">
        <x:v>Singulare</x:v>
      </x:c>
      <x:c r="G2784" s="166" t="str">
        <x:v>QI CORRETORA DE TÍTULOS E VALORES MOBILIÁRIOS S.A.</x:v>
      </x:c>
      <x:c r="H2784" s="166" t="str">
        <x:v>Agro, Indústria e Comércio</x:v>
      </x:c>
      <x:c r="I2784" s="166" t="str">
        <x:v>Multicarteira Agro, Indústria e Comércio</x:v>
      </x:c>
      <x:c r="J2784" s="166" t="str">
        <x:v>CI</x:v>
      </x:c>
      <x:c r="K2784" s="172" t="n">
        <x:v>1</x:v>
      </x:c>
      <x:c r="L2784" s="185" t="str">
        <x:v>Não classificado</x:v>
      </x:c>
    </x:row>
    <x:row r="2785">
      <x:c r="A2785" s="175" t="str">
        <x:v>58.341.346/0001-33</x:v>
      </x:c>
      <x:c r="B2785" s="166" t="str">
        <x:v>SOLAR MONT BLANC FUNDO DE INVESTIMENTO EM DIREITOS CREDITÓRIOS</x:v>
      </x:c>
      <x:c r="C2785" s="188" t="n">
        <x:v>5068429.78</x:v>
      </x:c>
      <x:c r="D2785" s="166" t="str">
        <x:v>Iggy Investimentos</x:v>
      </x:c>
      <x:c r="E2785" s="166" t="str">
        <x:f>IFERROR(INDEX('Classif Gestoras'!$H$6:$H$462,MATCH(D2785,'Classif Gestoras'!$A$6:$A$462,0)),"Não classificada")</x:f>
        <x:v>Independente</x:v>
      </x:c>
      <x:c r="F2785" s="166" t="str">
        <x:v>Singulare</x:v>
      </x:c>
      <x:c r="G2785" s="166" t="str">
        <x:v>QI CORRETORA DE TÍTULOS E VALORES MOBILIÁRIOS S.A.</x:v>
      </x:c>
      <x:c r="H2785" s="166" t="str">
        <x:v>Fomento Mercantil</x:v>
      </x:c>
      <x:c r="I2785" s="166" t="str">
        <x:v>Fomento Mercantil</x:v>
      </x:c>
      <x:c r="J2785" s="166" t="str">
        <x:v>CI</x:v>
      </x:c>
      <x:c r="K2785" s="172" t="n">
        <x:v>4</x:v>
      </x:c>
      <x:c r="L2785" s="185" t="str">
        <x:v>Não classificado</x:v>
      </x:c>
    </x:row>
    <x:row r="2786">
      <x:c r="A2786" s="175" t="str">
        <x:v>47.984.230/0001-04</x:v>
      </x:c>
      <x:c r="B2786" s="166" t="str">
        <x:v>JUGIS I PRIVATE CLAIMS FUNDO DE INVESTIMENTO EM DIREITOS CREDITÓRIOS</x:v>
      </x:c>
      <x:c r="C2786" s="188" t="n">
        <x:v>5062213.220000001</x:v>
      </x:c>
      <x:c r="D2786" s="166" t="str">
        <x:v>JUGIS CAPITAL GESTÃO DE RECURSOS LTDA.</x:v>
      </x:c>
      <x:c r="E2786" s="166" t="str">
        <x:f>IFERROR(INDEX('Classif Gestoras'!$H$6:$H$462,MATCH(D2786,'Classif Gestoras'!$A$6:$A$462,0)),"Não classificada")</x:f>
        <x:v>Independente</x:v>
      </x:c>
      <x:c r="F2786" s="166" t="str">
        <x:v>MAF Distribuidora de Títulos e Valores Mobiliários S.A.</x:v>
      </x:c>
      <x:c r="G2786" s="166" t="str">
        <x:v>MAF DISTRIBUIDORA DE TITULOS E VALORES MOBILIARIOS S.A.</x:v>
      </x:c>
      <x:c r="H2786" s="166" t="str">
        <x:v>Outros</x:v>
      </x:c>
      <x:c r="I2786" s="166" t="str">
        <x:v>Multicarteira Outros</x:v>
      </x:c>
      <x:c r="J2786" s="166" t="str">
        <x:v>CI</x:v>
      </x:c>
      <x:c r="K2786" s="172" t="n">
        <x:v>1</x:v>
      </x:c>
      <x:c r="L2786" s="185" t="str">
        <x:v>Não classificado</x:v>
      </x:c>
    </x:row>
    <x:row r="2787">
      <x:c r="A2787" s="175" t="str">
        <x:v>41.970.123/0001-32</x:v>
      </x:c>
      <x:c r="B2787" s="166" t="str">
        <x:v>VECTOR EDGE FUNDO DE INVESTIMENTO EM DIREITOS CREDITORIOS</x:v>
      </x:c>
      <x:c r="C2787" s="188" t="n">
        <x:v>5006943.7700000005</x:v>
      </x:c>
      <x:c r="D2787" s="166" t="str">
        <x:v>POLÍGONO CAPITAL LTDA.</x:v>
      </x:c>
      <x:c r="E2787" s="166" t="str">
        <x:f>IFERROR(INDEX('Classif Gestoras'!$H$6:$H$462,MATCH(D2787,'Classif Gestoras'!$A$6:$A$462,0)),"Não classificada")</x:f>
        <x:v>Independente</x:v>
      </x:c>
      <x:c r="F2787" s="166" t="str">
        <x:v>Finvest Digital</x:v>
      </x:c>
      <x:c r="G2787" s="166" t="str">
        <x:v>FINVEST DISTRIBUIDORA DE TÍTULOS E VALORES MOBILIÁRIOS LTDA.</x:v>
      </x:c>
      <x:c r="H2787" s="166" t="str">
        <x:v>Financeiro</x:v>
      </x:c>
      <x:c r="I2787" s="166" t="str">
        <x:v>Multicarteira Financeiro</x:v>
      </x:c>
      <x:c r="J2787" s="166" t="str">
        <x:v>CI</x:v>
      </x:c>
      <x:c r="K2787" s="172" t="n">
        <x:v>2</x:v>
      </x:c>
      <x:c r="L2787" s="185" t="str">
        <x:v>Não classificado</x:v>
      </x:c>
    </x:row>
    <x:row r="2788">
      <x:c r="A2788" s="175" t="str">
        <x:v>66.572.273/0001-19</x:v>
      </x:c>
      <x:c r="B2788" s="166" t="str">
        <x:v>RIDOLFINVEST 3 FUNDO DE INVESTIMENTO EM DIREITOS CREDITÓRIOS</x:v>
      </x:c>
      <x:c r="C2788" s="188" t="n">
        <x:v>5004616.45</x:v>
      </x:c>
      <x:c r="D2788" s="166" t="str">
        <x:v>Leen Capital</x:v>
      </x:c>
      <x:c r="E2788" s="166" t="str">
        <x:f>IFERROR(INDEX('Classif Gestoras'!$H$6:$H$462,MATCH(D2788,'Classif Gestoras'!$A$6:$A$462,0)),"Não classificada")</x:f>
        <x:v>Independente</x:v>
      </x:c>
      <x:c r="F2788" s="166" t="str">
        <x:v>BRL TRUST DTVM</x:v>
      </x:c>
      <x:c r="G2788" s="166" t="str">
        <x:v>BRL TRUST DISTRIBUIDORA DE TITULOS E VALORES MOBILIARIOS S.A.</x:v>
      </x:c>
      <x:c r="H2788" s="166" t="str">
        <x:v>Outros</x:v>
      </x:c>
      <x:c r="I2788" s="166" t="str">
        <x:v>Poder Público</x:v>
      </x:c>
      <x:c r="J2788" s="166" t="str">
        <x:v>CI</x:v>
      </x:c>
      <x:c r="K2788" s="172" t="n">
        <x:v>1</x:v>
      </x:c>
      <x:c r="L2788" s="185" t="str">
        <x:v>Não classificado</x:v>
      </x:c>
    </x:row>
    <x:row r="2789">
      <x:c r="A2789" s="175" t="str">
        <x:v>61.279.682/0001-08</x:v>
      </x:c>
      <x:c r="B2789" s="166" t="str">
        <x:v>ESMERALDA FUNDO DE INVESTIMENTO EM DIREITOS CREDITÓRIOS NÃO-PADRONIZADOS</x:v>
      </x:c>
      <x:c r="C2789" s="188" t="n">
        <x:v>4984356.58</x:v>
      </x:c>
      <x:c r="D2789" s="166" t="str">
        <x:v>ASSET MANAGEMENT</x:v>
      </x:c>
      <x:c r="E2789" s="166" t="str">
        <x:f>IFERROR(INDEX('Classif Gestoras'!$H$6:$H$462,MATCH(D2789,'Classif Gestoras'!$A$6:$A$462,0)),"Não classificada")</x:f>
        <x:v>Independente</x:v>
      </x:c>
      <x:c r="F2789" s="166" t="str">
        <x:v>AZUMI DISTRIBUIDORA DE TÍTULOS E VALORES MOBILIÁRIOS LT</x:v>
      </x:c>
      <x:c r="G2789" s="166" t="str">
        <x:v>AZUMI DISTRIBUIDORA DE TÍTULOS E VALORES MOBILIÁRIOS LTDA.</x:v>
      </x:c>
      <x:c r="H2789" s="166" t="str">
        <x:v>Fomento Mercantil</x:v>
      </x:c>
      <x:c r="I2789" s="166" t="str">
        <x:v>Fomento Mercantil</x:v>
      </x:c>
      <x:c r="J2789" s="166" t="str">
        <x:v>CI</x:v>
      </x:c>
      <x:c r="K2789" s="172" t="n">
        <x:v>2</x:v>
      </x:c>
      <x:c r="L2789" s="185" t="str">
        <x:v>Não classificado</x:v>
      </x:c>
    </x:row>
    <x:row r="2790">
      <x:c r="A2790" s="175" t="str">
        <x:v>63.606.839/0001-98</x:v>
      </x:c>
      <x:c r="B2790" s="166" t="str">
        <x:v>FORTEZZA FUNDO DE INVESTIMENTO EM DIREITOS CREDITÓRIOS CRÉDITO CORPORATIVO</x:v>
      </x:c>
      <x:c r="C2790" s="188" t="n">
        <x:v>4975980.52</x:v>
      </x:c>
      <x:c r="D2790" s="166" t="str">
        <x:v>Harbour Capital</x:v>
      </x:c>
      <x:c r="E2790" s="166" t="str">
        <x:f>IFERROR(INDEX('Classif Gestoras'!$H$6:$H$462,MATCH(D2790,'Classif Gestoras'!$A$6:$A$462,0)),"Não classificada")</x:f>
        <x:v>Independente</x:v>
      </x:c>
      <x:c r="F2790" s="166" t="str">
        <x:v>AZUMI DISTRIBUIDORA DE TÍTULOS E VALORES MOBILIÁRIOS LT</x:v>
      </x:c>
      <x:c r="G2790" s="166" t="str">
        <x:v>AZUMI DISTRIBUIDORA DE TÍTULOS E VALORES MOBILIÁRIOS LTDA.</x:v>
      </x:c>
      <x:c r="H2790" s="166" t="str">
        <x:v>Fomento Mercantil</x:v>
      </x:c>
      <x:c r="I2790" s="166" t="str">
        <x:v>Fomento Mercantil</x:v>
      </x:c>
      <x:c r="J2790" s="166" t="str">
        <x:v>CI</x:v>
      </x:c>
      <x:c r="K2790" s="172" t="n">
        <x:v>3</x:v>
      </x:c>
      <x:c r="L2790" s="185" t="str">
        <x:v>Não classificado</x:v>
      </x:c>
    </x:row>
    <x:row r="2791">
      <x:c r="A2791" s="175" t="str">
        <x:v>56.975.898/0001-78</x:v>
      </x:c>
      <x:c r="B2791" s="166" t="str">
        <x:v>ESQUADRO FUNDO DE INVESTIMENTO EM DIREITOS CREDITÓRIOS</x:v>
      </x:c>
      <x:c r="C2791" s="188" t="n">
        <x:v>4964734.42</x:v>
      </x:c>
      <x:c r="D2791" s="166" t="str">
        <x:v>OURO PRETO INVESTIMENTOS</x:v>
      </x:c>
      <x:c r="E2791" s="166" t="str">
        <x:f>IFERROR(INDEX('Classif Gestoras'!$H$6:$H$462,MATCH(D2791,'Classif Gestoras'!$A$6:$A$462,0)),"Não classificada")</x:f>
        <x:v>Independente</x:v>
      </x:c>
      <x:c r="F2791" s="166" t="str">
        <x:v>Singulare</x:v>
      </x:c>
      <x:c r="G2791" s="166" t="str">
        <x:v>QI CORRETORA DE TÍTULOS E VALORES MOBILIÁRIOS S.A.</x:v>
      </x:c>
      <x:c r="H2791" s="166" t="str">
        <x:v>Fomento Mercantil</x:v>
      </x:c>
      <x:c r="I2791" s="166" t="str">
        <x:v>Fomento Mercantil</x:v>
      </x:c>
      <x:c r="J2791" s="166" t="str">
        <x:v>CI</x:v>
      </x:c>
      <x:c r="K2791" s="172" t="n">
        <x:v>5</x:v>
      </x:c>
      <x:c r="L2791" s="185" t="str">
        <x:v>Não classificado</x:v>
      </x:c>
    </x:row>
    <x:row r="2792">
      <x:c r="A2792" s="175" t="str">
        <x:v>62.543.489/0001-03</x:v>
      </x:c>
      <x:c r="B2792" s="166" t="str">
        <x:v>IALA FUNDO DE INVESTIMENTO EM DIREITOS CREDITÓRIOS</x:v>
      </x:c>
      <x:c r="C2792" s="188" t="n">
        <x:v>4950787.890000001</x:v>
      </x:c>
      <x:c r="D2792" s="166" t="str">
        <x:v>TERCON ASSET MANAGEMENT</x:v>
      </x:c>
      <x:c r="E2792" s="166" t="str">
        <x:f>IFERROR(INDEX('Classif Gestoras'!$H$6:$H$462,MATCH(D2792,'Classif Gestoras'!$A$6:$A$462,0)),"Não classificada")</x:f>
        <x:v>Independente</x:v>
      </x:c>
      <x:c r="F2792" s="166" t="str">
        <x:v>MONETAR DISTRIBUIDORA DE TITUL</x:v>
      </x:c>
      <x:c r="G2792" s="166" t="str">
        <x:v>TERRA INVESTIMENTOS DISTRIBUIDORA DE TITULOS E VALORES MOBILIARIOS LTDA</x:v>
      </x:c>
      <x:c r="H2792" s="166" t="str">
        <x:v>Fomento Mercantil</x:v>
      </x:c>
      <x:c r="I2792" s="166" t="str">
        <x:v>Fomento Mercantil</x:v>
      </x:c>
      <x:c r="J2792" s="166" t="str">
        <x:v>CI</x:v>
      </x:c>
      <x:c r="K2792" s="172" t="n">
        <x:v>2</x:v>
      </x:c>
      <x:c r="L2792" s="185" t="str">
        <x:v>Não classificado</x:v>
      </x:c>
    </x:row>
    <x:row r="2793">
      <x:c r="A2793" s="175" t="str">
        <x:v>64.656.407/0001-54</x:v>
      </x:c>
      <x:c r="B2793" s="166" t="str">
        <x:v>FUNDO DE INVESTIMENTO EM DIREITOS CREDITÓRIOS 360 CONSIGNADO</x:v>
      </x:c>
      <x:c r="C2793" s="188" t="n">
        <x:v>4915740.96</x:v>
      </x:c>
      <x:c r="D2793" s="166" t="str">
        <x:v>VALORA RENDA FIXA ESTRUTURADOS LTDA.</x:v>
      </x:c>
      <x:c r="E2793" s="166" t="str">
        <x:f>IFERROR(INDEX('Classif Gestoras'!$H$6:$H$462,MATCH(D2793,'Classif Gestoras'!$A$6:$A$462,0)),"Não classificada")</x:f>
        <x:v>Independente</x:v>
      </x:c>
      <x:c r="F2793" s="166" t="str">
        <x:v>BANCO DAYCOVAL S/A</x:v>
      </x:c>
      <x:c r="G2793" s="166" t="str">
        <x:v>BANCO DAYCOVAL S.A.</x:v>
      </x:c>
      <x:c r="H2793" s="166" t="str">
        <x:v>Financeiro</x:v>
      </x:c>
      <x:c r="I2793" s="166" t="str">
        <x:v>Crédito Consignado</x:v>
      </x:c>
      <x:c r="J2793" s="166" t="str">
        <x:v>CI</x:v>
      </x:c>
      <x:c r="K2793" s="172" t="n">
        <x:v>5</x:v>
      </x:c>
      <x:c r="L2793" s="185" t="str">
        <x:v>Não classificado</x:v>
      </x:c>
    </x:row>
    <x:row r="2794">
      <x:c r="A2794" s="175" t="str">
        <x:v>54.012.401/0001-90</x:v>
      </x:c>
      <x:c r="B2794" s="166" t="str">
        <x:v>MB JIVE INCOME FUND FUNDO DE INVESTIMENTO EM DIREITOS CREDITÓRIOS - RESPONSABILIDADE LIMITADA</x:v>
      </x:c>
      <x:c r="C2794" s="188" t="n">
        <x:v>4912058.109999999</x:v>
      </x:c>
      <x:c r="D2794" s="166" t="str">
        <x:v>JIVE INVESTMENTS</x:v>
      </x:c>
      <x:c r="E2794" s="166" t="str">
        <x:f>IFERROR(INDEX('Classif Gestoras'!$H$6:$H$462,MATCH(D2794,'Classif Gestoras'!$A$6:$A$462,0)),"Não classificada")</x:f>
        <x:v>Independente</x:v>
      </x:c>
      <x:c r="F2794" s="166" t="str">
        <x:v>MAF Distribuidora de Títulos e Valores Mobiliários S.A.</x:v>
      </x:c>
      <x:c r="G2794" s="166" t="str">
        <x:v>MAF DISTRIBUIDORA DE TITULOS E VALORES MOBILIARIOS S.A.</x:v>
      </x:c>
      <x:c r="H2794" s="166" t="str">
        <x:v>Outros</x:v>
      </x:c>
      <x:c r="I2794" s="166" t="str">
        <x:v>Poder Público</x:v>
      </x:c>
      <x:c r="J2794" s="166" t="str">
        <x:v>CI</x:v>
      </x:c>
      <x:c r="K2794" s="172" t="n">
        <x:v>2</x:v>
      </x:c>
      <x:c r="L2794" s="185" t="str">
        <x:v>Não classificado</x:v>
      </x:c>
    </x:row>
    <x:row r="2795">
      <x:c r="A2795" s="175" t="str">
        <x:v>08.845.618/0001-64</x:v>
      </x:c>
      <x:c r="B2795" s="166" t="str">
        <x:v>FIDC MULTISETORIAL MAXIMUM</x:v>
      </x:c>
      <x:c r="C2795" s="188" t="n">
        <x:v>4905112.620000001</x:v>
      </x:c>
      <x:c r="D2795" s="166" t="str">
        <x:v>BNY MELLON SERVICOS</x:v>
      </x:c>
      <x:c r="E2795" s="166" t="str">
        <x:f>IFERROR(INDEX('Classif Gestoras'!$H$6:$H$462,MATCH(D2795,'Classif Gestoras'!$A$6:$A$462,0)),"Não classificada")</x:f>
        <x:v>Independente</x:v>
      </x:c>
      <x:c r="F2795" s="166" t="str">
        <x:v>BNY MELLON SERVICOS</x:v>
      </x:c>
      <x:c r="G2795" s="166" t="str">
        <x:v>BNY MELLON BANCO S.A.</x:v>
      </x:c>
      <x:c r="H2795" s="166" t="str">
        <x:v>Fomento Mercantil</x:v>
      </x:c>
      <x:c r="I2795" s="166" t="str">
        <x:v>Fomento Mercantil</x:v>
      </x:c>
      <x:c r="J2795" s="166" t="str">
        <x:v>CI</x:v>
      </x:c>
      <x:c r="K2795" s="172" t="n">
        <x:v>478</x:v>
      </x:c>
      <x:c r="L2795" s="185" t="str">
        <x:v>Não classificado</x:v>
      </x:c>
    </x:row>
    <x:row r="2796">
      <x:c r="A2796" s="175" t="str">
        <x:v>58.570.039/0001-24</x:v>
      </x:c>
      <x:c r="B2796" s="166" t="str">
        <x:v>CACTUS FUNDO DE INVESTIMENTO EM DIREITOS CREDITÓRIOS</x:v>
      </x:c>
      <x:c r="C2796" s="188" t="n">
        <x:v>4850334.2</x:v>
      </x:c>
      <x:c r="D2796" s="166" t="str">
        <x:v>Iggy Investimentos</x:v>
      </x:c>
      <x:c r="E2796" s="166" t="str">
        <x:f>IFERROR(INDEX('Classif Gestoras'!$H$6:$H$462,MATCH(D2796,'Classif Gestoras'!$A$6:$A$462,0)),"Não classificada")</x:f>
        <x:v>Independente</x:v>
      </x:c>
      <x:c r="F2796" s="166" t="str">
        <x:v>Singulare</x:v>
      </x:c>
      <x:c r="G2796" s="166" t="str">
        <x:v>QI CORRETORA DE TÍTULOS E VALORES MOBILIÁRIOS S.A.</x:v>
      </x:c>
      <x:c r="H2796" s="166" t="str">
        <x:v>Fomento Mercantil</x:v>
      </x:c>
      <x:c r="I2796" s="166" t="str">
        <x:v>Fomento Mercantil</x:v>
      </x:c>
      <x:c r="J2796" s="166" t="str">
        <x:v>CI</x:v>
      </x:c>
      <x:c r="K2796" s="172" t="n">
        <x:v>3</x:v>
      </x:c>
      <x:c r="L2796" s="185" t="str">
        <x:v>Não classificado</x:v>
      </x:c>
    </x:row>
    <x:row r="2797">
      <x:c r="A2797" s="175" t="str">
        <x:v>42.866.928/0001-01</x:v>
      </x:c>
      <x:c r="B2797" s="166" t="str">
        <x:v>SETTE FUNDO DE INVESTIMENTO EM DIREITOS CREDITÓRIOS RESPONSABILIDADE LIMITADA</x:v>
      </x:c>
      <x:c r="C2797" s="188" t="n">
        <x:v>4784077.49</x:v>
      </x:c>
      <x:c r="D2797" s="166" t="str">
        <x:v>Libertas Asset</x:v>
      </x:c>
      <x:c r="E2797" s="166" t="str">
        <x:f>IFERROR(INDEX('Classif Gestoras'!$H$6:$H$462,MATCH(D2797,'Classif Gestoras'!$A$6:$A$462,0)),"Não classificada")</x:f>
        <x:v>Independente</x:v>
      </x:c>
      <x:c r="F2797" s="166" t="str">
        <x:v>ACTUAL DTVM</x:v>
      </x:c>
      <x:c r="G2797" s="166" t="str">
        <x:v>LASTRO RDV DTVM LTDA</x:v>
      </x:c>
      <x:c r="H2797" s="166" t="str">
        <x:v>Fomento Mercantil</x:v>
      </x:c>
      <x:c r="I2797" s="166" t="str">
        <x:v>Fomento Mercantil</x:v>
      </x:c>
      <x:c r="J2797" s="166" t="str">
        <x:v>CI</x:v>
      </x:c>
      <x:c r="K2797" s="172" t="n">
        <x:v>2</x:v>
      </x:c>
      <x:c r="L2797" s="185" t="str">
        <x:v>Não classificado</x:v>
      </x:c>
    </x:row>
    <x:row r="2798">
      <x:c r="A2798" s="175" t="str">
        <x:v>64.509.633/0001-02</x:v>
      </x:c>
      <x:c r="B2798" s="166" t="str">
        <x:v>AMETISTA CONSIGNADO III FUNDO DE INVESTIMENTO EM DIREITOS CREDITÓRIOS</x:v>
      </x:c>
      <x:c r="C2798" s="188" t="n">
        <x:v>4748561.579999999</x:v>
      </x:c>
      <x:c r="D2798" s="166" t="str">
        <x:v>FICTOR ASSET</x:v>
      </x:c>
      <x:c r="E2798" s="166" t="str">
        <x:f>IFERROR(INDEX('Classif Gestoras'!$H$6:$H$462,MATCH(D2798,'Classif Gestoras'!$A$6:$A$462,0)),"Não classificada")</x:f>
        <x:v>Independente</x:v>
      </x:c>
      <x:c r="F2798" s="166" t="str">
        <x:v>Qore DTVM</x:v>
      </x:c>
      <x:c r="G2798" s="166" t="str">
        <x:v>QORE DISTRIBUIDORA DE TÍTULOS E VALORES MOBILIÁRIOS LTDA.</x:v>
      </x:c>
      <x:c r="H2798" s="166" t="str">
        <x:v>Financeiro</x:v>
      </x:c>
      <x:c r="I2798" s="166" t="str">
        <x:v>Crédito Consignado</x:v>
      </x:c>
      <x:c r="J2798" s="166" t="str">
        <x:v>CI</x:v>
      </x:c>
      <x:c r="K2798" s="172" t="n">
        <x:v>1</x:v>
      </x:c>
      <x:c r="L2798" s="185" t="str">
        <x:v>Não classificado</x:v>
      </x:c>
    </x:row>
    <x:row r="2799">
      <x:c r="A2799" s="175" t="str">
        <x:v>19.832.159/0001-09</x:v>
      </x:c>
      <x:c r="B2799" s="166" t="str">
        <x:v>INX SSPI BONDS FUNDO DE INVESTIMENTO EM DIREITOS CREDITÓRIOS NÃO-PADRONIZADOS</x:v>
      </x:c>
      <x:c r="C2799" s="188" t="n">
        <x:v>4743578.210000001</x:v>
      </x:c>
      <x:c r="D2799" s="166" t="str">
        <x:v>Veritas Capital Management</x:v>
      </x:c>
      <x:c r="E2799" s="166" t="str">
        <x:f>IFERROR(INDEX('Classif Gestoras'!$H$6:$H$462,MATCH(D2799,'Classif Gestoras'!$A$6:$A$462,0)),"Não classificada")</x:f>
        <x:v>Independente</x:v>
      </x:c>
      <x:c r="F2799" s="166" t="str">
        <x:v>RJI Investimentos</x:v>
      </x:c>
      <x:c r="G2799" s="166" t="str">
        <x:v>RJI CORRETORA DE TÍTULOS E VALORES MOBILIÁRIOS LTDA.</x:v>
      </x:c>
      <x:c r="H2799" s="166" t="str">
        <x:v>Outros</x:v>
      </x:c>
      <x:c r="I2799" s="166" t="str">
        <x:v>Poder Público</x:v>
      </x:c>
      <x:c r="J2799" s="166" t="str">
        <x:v>CI</x:v>
      </x:c>
      <x:c r="K2799" s="172" t="n">
        <x:v>4</x:v>
      </x:c>
      <x:c r="L2799" s="185" t="str">
        <x:v>Não classificado</x:v>
      </x:c>
    </x:row>
    <x:row r="2800">
      <x:c r="A2800" s="175" t="str">
        <x:v>62.159.963/0001-90</x:v>
      </x:c>
      <x:c r="B2800" s="166" t="str">
        <x:v>GUARDIAN CONSIGNADO FEDERAL FIDC RESP LIMITADA</x:v>
      </x:c>
      <x:c r="C2800" s="188" t="n">
        <x:v>4735097.67</x:v>
      </x:c>
      <x:c r="D2800" s="166" t="str">
        <x:v>Guardian Crédito</x:v>
      </x:c>
      <x:c r="E2800" s="166" t="str">
        <x:f>IFERROR(INDEX('Classif Gestoras'!$H$6:$H$462,MATCH(D2800,'Classif Gestoras'!$A$6:$A$462,0)),"Não classificada")</x:f>
        <x:v>Independente</x:v>
      </x:c>
      <x:c r="F2800" s="166" t="str">
        <x:v>BANCO DAYCOVAL S/A</x:v>
      </x:c>
      <x:c r="G2800" s="166" t="str">
        <x:v>BANCO DAYCOVAL S.A.</x:v>
      </x:c>
      <x:c r="H2800" s="166" t="str">
        <x:v>Financeiro</x:v>
      </x:c>
      <x:c r="I2800" s="166" t="str">
        <x:v>Crédito Consignado</x:v>
      </x:c>
      <x:c r="J2800" s="166" t="str">
        <x:v>CI</x:v>
      </x:c>
      <x:c r="K2800" s="172" t="n">
        <x:v>1</x:v>
      </x:c>
      <x:c r="L2800" s="185" t="str">
        <x:v>Não classificado</x:v>
      </x:c>
    </x:row>
    <x:row r="2801">
      <x:c r="A2801" s="175" t="str">
        <x:v>39.703.077/0001-63</x:v>
      </x:c>
      <x:c r="B2801" s="166" t="str">
        <x:v>QANTIC IONIQ FUNDO DE INVESTIMENTO EM DIREITOS CREDITÓRIOS</x:v>
      </x:c>
      <x:c r="C2801" s="188" t="n">
        <x:v>4716581.88</x:v>
      </x:c>
      <x:c r="D2801" s="166" t="str">
        <x:v>GV ATACAMA CAPITAL LTDA.</x:v>
      </x:c>
      <x:c r="E2801" s="166" t="str">
        <x:f>IFERROR(INDEX('Classif Gestoras'!$H$6:$H$462,MATCH(D2801,'Classif Gestoras'!$A$6:$A$462,0)),"Não classificada")</x:f>
        <x:v>Independente</x:v>
      </x:c>
      <x:c r="F2801" s="166" t="str">
        <x:v>Singulare</x:v>
      </x:c>
      <x:c r="G2801" s="166" t="str">
        <x:v>QI CORRETORA DE TÍTULOS E VALORES MOBILIÁRIOS S.A.</x:v>
      </x:c>
      <x:c r="H2801" s="166" t="str">
        <x:v>Fomento Mercantil</x:v>
      </x:c>
      <x:c r="I2801" s="166" t="str">
        <x:v>Fomento Mercantil</x:v>
      </x:c>
      <x:c r="J2801" s="166" t="str">
        <x:v>CI</x:v>
      </x:c>
      <x:c r="K2801" s="172" t="n">
        <x:v>5</x:v>
      </x:c>
      <x:c r="L2801" s="185" t="str">
        <x:v>Não classificado</x:v>
      </x:c>
    </x:row>
    <x:row r="2802">
      <x:c r="A2802" s="175" t="str">
        <x:v>60.113.723/0001-29</x:v>
      </x:c>
      <x:c r="B2802" s="166" t="str">
        <x:v>FAIR DRIVE FUNDO DE INVESTIMENTO EM DIREITOS CREDITÓRIOS DE RESPONSABILIDADE LIMITADA</x:v>
      </x:c>
      <x:c r="C2802" s="188" t="n">
        <x:v>4710429.390000001</x:v>
      </x:c>
      <x:c r="D2802" s="166" t="str">
        <x:v>Horizonte Capital Gestão de Investimentos LTDA</x:v>
      </x:c>
      <x:c r="E2802" s="166" t="str">
        <x:f>IFERROR(INDEX('Classif Gestoras'!$H$6:$H$462,MATCH(D2802,'Classif Gestoras'!$A$6:$A$462,0)),"Não classificada")</x:f>
        <x:v>Independente</x:v>
      </x:c>
      <x:c r="F2802" s="166" t="str">
        <x:v>FIDD DISTRIBUIDORA DE TITULOS E VALORES MOBILIARIOS LTD</x:v>
      </x:c>
      <x:c r="G2802" s="166" t="str">
        <x:v>FIDD DISTRIBUIDORA DE TITULOS E VALORES MOBILIARIOS LTDA.</x:v>
      </x:c>
      <x:c r="H2802" s="166" t="str">
        <x:v>Agro, Indústria e Comércio</x:v>
      </x:c>
      <x:c r="I2802" s="166" t="str">
        <x:v>Crédito Corporativo</x:v>
      </x:c>
      <x:c r="J2802" s="166" t="str">
        <x:v>CI</x:v>
      </x:c>
      <x:c r="K2802" s="172" t="n">
        <x:v>5</x:v>
      </x:c>
      <x:c r="L2802" s="185" t="str">
        <x:v>Não classificado</x:v>
      </x:c>
    </x:row>
    <x:row r="2803">
      <x:c r="A2803" s="175" t="str">
        <x:v>65.276.225/0001-10</x:v>
      </x:c>
      <x:c r="B2803" s="166" t="str">
        <x:v>EP ACESS SOSU OPPORTUNITIES III FIDC RESPONSABILIDADE LIMITADA</x:v>
      </x:c>
      <x:c r="C2803" s="188" t="n">
        <x:v>4685859.29</x:v>
      </x:c>
      <x:c r="D2803" s="166" t="str">
        <x:v>Etti Partners</x:v>
      </x:c>
      <x:c r="E2803" s="166" t="str">
        <x:f>IFERROR(INDEX('Classif Gestoras'!$H$6:$H$462,MATCH(D2803,'Classif Gestoras'!$A$6:$A$462,0)),"Não classificada")</x:f>
        <x:v>Independente</x:v>
      </x:c>
      <x:c r="F2803" s="166" t="str">
        <x:v>BRL TRUST DTVM</x:v>
      </x:c>
      <x:c r="G2803" s="166" t="str">
        <x:v>BRL TRUST DISTRIBUIDORA DE TITULOS E VALORES MOBILIARIOS S.A.</x:v>
      </x:c>
      <x:c r="H2803" s="166" t="str">
        <x:v>Outros</x:v>
      </x:c>
      <x:c r="I2803" s="166" t="str">
        <x:v>Multicarteira Outros</x:v>
      </x:c>
      <x:c r="J2803" s="166" t="str">
        <x:v>CI</x:v>
      </x:c>
      <x:c r="K2803" s="172" t="n">
        <x:v>16</x:v>
      </x:c>
      <x:c r="L2803" s="185" t="str">
        <x:v>Não classificado</x:v>
      </x:c>
    </x:row>
    <x:row r="2804">
      <x:c r="A2804" s="175" t="str">
        <x:v>32.396.488/0001-04</x:v>
      </x:c>
      <x:c r="B2804" s="166" t="str">
        <x:v>CNPJ 32396488000104</x:v>
      </x:c>
      <x:c r="C2804" s="188" t="n">
        <x:v>4680729.46</x:v>
      </x:c>
      <x:c r="D2804" s="166" t="str">
        <x:v>WNT Gestora de Recursos Ltda.</x:v>
      </x:c>
      <x:c r="E2804" s="166" t="str">
        <x:f>IFERROR(INDEX('Classif Gestoras'!$H$6:$H$462,MATCH(D2804,'Classif Gestoras'!$A$6:$A$462,0)),"Não classificada")</x:f>
        <x:v>Independente</x:v>
      </x:c>
      <x:c r="F2804" s="166" t="str">
        <x:v>WNT DTVM</x:v>
      </x:c>
      <x:c r="G2804" s="166" t="str">
        <x:v>Não identificado</x:v>
      </x:c>
      <x:c r="H2804" s="166" t="str">
        <x:v>Financeiro</x:v>
      </x:c>
      <x:c r="I2804" s="166" t="str">
        <x:v>Crédito Pessoal</x:v>
      </x:c>
      <x:c r="J2804" s="166" t="str">
        <x:v>CI</x:v>
      </x:c>
      <x:c r="K2804" s="172"/>
      <x:c r="L2804" s="185" t="str">
        <x:v>Não classificado</x:v>
      </x:c>
    </x:row>
    <x:row r="2805">
      <x:c r="A2805" s="175" t="str">
        <x:v>53.808.205/0001-64</x:v>
      </x:c>
      <x:c r="B2805" s="166" t="str">
        <x:v>FUNDO DE INVESTIMENTO EM DIREITOS CREDITÓRIOS GYMCRED - RESPONSABILIDADE LIMITADA</x:v>
      </x:c>
      <x:c r="C2805" s="188" t="n">
        <x:v>4673388.26</x:v>
      </x:c>
      <x:c r="D2805" s="166" t="str">
        <x:v>Iron Capital</x:v>
      </x:c>
      <x:c r="E2805" s="166" t="str">
        <x:f>IFERROR(INDEX('Classif Gestoras'!$H$6:$H$462,MATCH(D2805,'Classif Gestoras'!$A$6:$A$462,0)),"Não classificada")</x:f>
        <x:v>Independente</x:v>
      </x:c>
      <x:c r="F2805" s="166" t="str">
        <x:v>ID Corretora de Títulos e Valores Mobiliários S.A.</x:v>
      </x:c>
      <x:c r="G2805" s="166" t="str">
        <x:v>ID CORRETORA DE TITULOS E VALORES MOBILIARIOS S.A.</x:v>
      </x:c>
      <x:c r="H2805" s="166" t="str">
        <x:v>Outros</x:v>
      </x:c>
      <x:c r="I2805" s="166" t="str">
        <x:v>Multicarteira Outros</x:v>
      </x:c>
      <x:c r="J2805" s="166" t="str">
        <x:v>CI</x:v>
      </x:c>
      <x:c r="K2805" s="172" t="n">
        <x:v>19</x:v>
      </x:c>
      <x:c r="L2805" s="185" t="str">
        <x:v>Não classificado</x:v>
      </x:c>
    </x:row>
    <x:row r="2806">
      <x:c r="A2806" s="175" t="str">
        <x:v>58.494.685/0001-50</x:v>
      </x:c>
      <x:c r="B2806" s="166" t="str">
        <x:v>PRINCIPIAPAY CRÉDITO EDUCAÇÃO FUNDO DE INVESTIMENTO EM DIREITOS CREDITÓRIOS FINANCEIROS RESPONSABILI</x:v>
      </x:c>
      <x:c r="C2806" s="188" t="n">
        <x:v>4665954.23</x:v>
      </x:c>
      <x:c r="D2806" s="166" t="str">
        <x:v>Milênio Capital</x:v>
      </x:c>
      <x:c r="E2806" s="166" t="str">
        <x:f>IFERROR(INDEX('Classif Gestoras'!$H$6:$H$462,MATCH(D2806,'Classif Gestoras'!$A$6:$A$462,0)),"Não classificada")</x:f>
        <x:v>Independente</x:v>
      </x:c>
      <x:c r="F2806" s="166" t="str">
        <x:v>VÓRTX DTVM</x:v>
      </x:c>
      <x:c r="G2806" s="166" t="str">
        <x:v>VORTX DISTRIBUIDORA DE TITULOS E VALORES MOBILIARIOS LTDA.</x:v>
      </x:c>
      <x:c r="H2806" s="166" t="str">
        <x:v>Financeiro</x:v>
      </x:c>
      <x:c r="I2806" s="166" t="str">
        <x:v>Crédito Pessoal</x:v>
      </x:c>
      <x:c r="J2806" s="166" t="str">
        <x:v>CI</x:v>
      </x:c>
      <x:c r="K2806" s="172" t="n">
        <x:v>12</x:v>
      </x:c>
      <x:c r="L2806" s="185" t="str">
        <x:v>Não classificado</x:v>
      </x:c>
    </x:row>
    <x:row r="2807">
      <x:c r="A2807" s="175" t="str">
        <x:v>63.680.237/0001-80</x:v>
      </x:c>
      <x:c r="B2807" s="166" t="str">
        <x:v>H2A FUNDO DE INVESTIMENTO EM DIREITOS CREDITÓRIOS MULTISSEGMENTOS</x:v>
      </x:c>
      <x:c r="C2807" s="188" t="n">
        <x:v>4654972.28</x:v>
      </x:c>
      <x:c r="D2807" s="166" t="str">
        <x:v>Petra Capital</x:v>
      </x:c>
      <x:c r="E2807" s="166" t="str">
        <x:f>IFERROR(INDEX('Classif Gestoras'!$H$6:$H$462,MATCH(D2807,'Classif Gestoras'!$A$6:$A$462,0)),"Não classificada")</x:f>
        <x:v>Independente</x:v>
      </x:c>
      <x:c r="F2807" s="166" t="str">
        <x:v>Finaxis Corretora de Títulos e Valores Mobiliários S.A.</x:v>
      </x:c>
      <x:c r="G2807" s="166" t="str">
        <x:v>BANCO FINAXIS S.A.</x:v>
      </x:c>
      <x:c r="H2807" s="166" t="str">
        <x:v>Outros</x:v>
      </x:c>
      <x:c r="I2807" s="166" t="str">
        <x:v>Multicarteira Outros</x:v>
      </x:c>
      <x:c r="J2807" s="166" t="str">
        <x:v>CI</x:v>
      </x:c>
      <x:c r="K2807" s="172" t="n">
        <x:v>6</x:v>
      </x:c>
      <x:c r="L2807" s="185" t="str">
        <x:v>Não classificado</x:v>
      </x:c>
    </x:row>
    <x:row r="2808">
      <x:c r="A2808" s="175" t="str">
        <x:v>56.265.097/0001-19</x:v>
      </x:c>
      <x:c r="B2808" s="166" t="str">
        <x:v>ORIZ JUS II FUNDO DE INVESTIMENTO EM DIREITOS CREDITÓRIOS</x:v>
      </x:c>
      <x:c r="C2808" s="188" t="n">
        <x:v>4649886.779999999</x:v>
      </x:c>
      <x:c r="D2808" s="166" t="str">
        <x:v>ORIZ ASSET MANAGEMENT LTDA.</x:v>
      </x:c>
      <x:c r="E2808" s="166" t="str">
        <x:f>IFERROR(INDEX('Classif Gestoras'!$H$6:$H$462,MATCH(D2808,'Classif Gestoras'!$A$6:$A$462,0)),"Não classificada")</x:f>
        <x:v>Independente</x:v>
      </x:c>
      <x:c r="F2808" s="166" t="str">
        <x:v>BANCO DAYCOVAL S/A</x:v>
      </x:c>
      <x:c r="G2808" s="166" t="str">
        <x:v>BANCO DAYCOVAL S.A.</x:v>
      </x:c>
      <x:c r="H2808" s="166" t="str">
        <x:v>Outros</x:v>
      </x:c>
      <x:c r="I2808" s="166" t="str">
        <x:v>Poder Público</x:v>
      </x:c>
      <x:c r="J2808" s="166" t="str">
        <x:v>CI</x:v>
      </x:c>
      <x:c r="K2808" s="172" t="n">
        <x:v>3</x:v>
      </x:c>
      <x:c r="L2808" s="185" t="str">
        <x:v>Não classificado</x:v>
      </x:c>
    </x:row>
    <x:row r="2809">
      <x:c r="A2809" s="175" t="str">
        <x:v>45.144.799/0001-28</x:v>
      </x:c>
      <x:c r="B2809" s="166" t="str">
        <x:v>TOMORROW NOW FUNDO DE INVESTIMENTO EM DIREITOS CREDITÓRIOS DE RESPONSABILIDADE LIMITADA</x:v>
      </x:c>
      <x:c r="C2809" s="188" t="n">
        <x:v>4583548.04</x:v>
      </x:c>
      <x:c r="D2809" s="166" t="str">
        <x:v>Aventis Asset</x:v>
      </x:c>
      <x:c r="E2809" s="166" t="str">
        <x:f>IFERROR(INDEX('Classif Gestoras'!$H$6:$H$462,MATCH(D2809,'Classif Gestoras'!$A$6:$A$462,0)),"Não classificada")</x:f>
        <x:v>Independente</x:v>
      </x:c>
      <x:c r="F2809" s="166" t="str">
        <x:v>BANCO DAYCOVAL S/A</x:v>
      </x:c>
      <x:c r="G2809" s="166" t="str">
        <x:v>BANCO DAYCOVAL S.A.</x:v>
      </x:c>
      <x:c r="H2809" s="166" t="str">
        <x:v>Agro, Indústria e Comércio</x:v>
      </x:c>
      <x:c r="I2809" s="166" t="str">
        <x:v>Recebíveis Comerciais</x:v>
      </x:c>
      <x:c r="J2809" s="166" t="str">
        <x:v>CI</x:v>
      </x:c>
      <x:c r="K2809" s="172" t="n">
        <x:v>1</x:v>
      </x:c>
      <x:c r="L2809" s="185" t="str">
        <x:v>Não classificado</x:v>
      </x:c>
    </x:row>
    <x:row r="2810">
      <x:c r="A2810" s="175" t="str">
        <x:v>43.271.544/0001-09</x:v>
      </x:c>
      <x:c r="B2810" s="166" t="str">
        <x:v>CBZ I FUNDO DE INVESTIMENTO EM DIREITOS CREDITORIOS</x:v>
      </x:c>
      <x:c r="C2810" s="188" t="n">
        <x:v>4548189.91</x:v>
      </x:c>
      <x:c r="D2810" s="166" t="str">
        <x:v>SKADE Capital</x:v>
      </x:c>
      <x:c r="E2810" s="166" t="str">
        <x:f>IFERROR(INDEX('Classif Gestoras'!$H$6:$H$462,MATCH(D2810,'Classif Gestoras'!$A$6:$A$462,0)),"Não classificada")</x:f>
        <x:v>Independente</x:v>
      </x:c>
      <x:c r="F2810" s="166" t="str">
        <x:v>LASTRO RDV DIST. DE</x:v>
      </x:c>
      <x:c r="G2810" s="166" t="str">
        <x:v>LASTRO RDV DTVM LTDA</x:v>
      </x:c>
      <x:c r="H2810" s="166" t="str">
        <x:v>Fomento Mercantil</x:v>
      </x:c>
      <x:c r="I2810" s="166" t="str">
        <x:v>Fomento Mercantil</x:v>
      </x:c>
      <x:c r="J2810" s="166" t="str">
        <x:v>CI</x:v>
      </x:c>
      <x:c r="K2810" s="172" t="n">
        <x:v>1</x:v>
      </x:c>
      <x:c r="L2810" s="185" t="str">
        <x:v>Não classificado</x:v>
      </x:c>
    </x:row>
    <x:row r="2811">
      <x:c r="A2811" s="175" t="str">
        <x:v>31.523.773/0001-86</x:v>
      </x:c>
      <x:c r="B2811" s="166" t="str">
        <x:v>FUNDO DE INVESTIMENTO EM DIREITOS CREDITÓRIOS ALI CRÉDITO</x:v>
      </x:c>
      <x:c r="C2811" s="188" t="n">
        <x:v>4507174.73</x:v>
      </x:c>
      <x:c r="D2811" s="166" t="str">
        <x:v>Solis</x:v>
      </x:c>
      <x:c r="E2811" s="166" t="str">
        <x:f>IFERROR(INDEX('Classif Gestoras'!$H$6:$H$462,MATCH(D2811,'Classif Gestoras'!$A$6:$A$462,0)),"Não classificada")</x:f>
        <x:v>Independente</x:v>
      </x:c>
      <x:c r="F2811" s="166" t="str">
        <x:v>HEMERA DTVM</x:v>
      </x:c>
      <x:c r="G2811" s="166" t="str">
        <x:v>HEMERA DISTRIBUIDORA DE TITULOS E VALORES MOBILIARIOS LTDA</x:v>
      </x:c>
      <x:c r="H2811" s="166" t="str">
        <x:v>Financeiro</x:v>
      </x:c>
      <x:c r="I2811" s="166" t="str">
        <x:v>Multicarteira Financeiro</x:v>
      </x:c>
      <x:c r="J2811" s="166" t="str">
        <x:v>CI</x:v>
      </x:c>
      <x:c r="K2811" s="172" t="n">
        <x:v>1</x:v>
      </x:c>
      <x:c r="L2811" s="185" t="str">
        <x:v>Não classificado</x:v>
      </x:c>
    </x:row>
    <x:row r="2812">
      <x:c r="A2812" s="175" t="str">
        <x:v>65.100.186/0001-04</x:v>
      </x:c>
      <x:c r="B2812" s="166" t="str">
        <x:v>SALAMANDER FUNDO DE INVESTIMENTO EM DIREITOS CREDITÓRIOS CRÉDITO CONSIGNADO PRIVADO - RESP. LIMITADA</x:v>
      </x:c>
      <x:c r="C2812" s="188" t="n">
        <x:v>4493503.64</x:v>
      </x:c>
      <x:c r="D2812" s="166" t="str">
        <x:v>Strata Capital</x:v>
      </x:c>
      <x:c r="E2812" s="166" t="str">
        <x:f>IFERROR(INDEX('Classif Gestoras'!$H$6:$H$462,MATCH(D2812,'Classif Gestoras'!$A$6:$A$462,0)),"Não classificada")</x:f>
        <x:v>Independente</x:v>
      </x:c>
      <x:c r="F2812" s="166" t="str">
        <x:v>VERT Distribuidora de Títulos e Valores Mobiliários Ltd</x:v>
      </x:c>
      <x:c r="G2812" s="166" t="str">
        <x:v>VERT DISTRIBUIDORA DE TÍTULOS E VALORES MOBILIÁRIOS LTDA.</x:v>
      </x:c>
      <x:c r="H2812" s="166" t="str">
        <x:v>Financeiro</x:v>
      </x:c>
      <x:c r="I2812" s="166" t="str">
        <x:v>Crédito Consignado</x:v>
      </x:c>
      <x:c r="J2812" s="166" t="str">
        <x:v>CI</x:v>
      </x:c>
      <x:c r="K2812" s="172" t="n">
        <x:v>1</x:v>
      </x:c>
      <x:c r="L2812" s="185" t="str">
        <x:v>Não classificado</x:v>
      </x:c>
    </x:row>
    <x:row r="2813">
      <x:c r="A2813" s="175" t="str">
        <x:v>45.512.077/0001-89</x:v>
      </x:c>
      <x:c r="B2813" s="166" t="str">
        <x:v>ALEVI FUNDO DE INVESTIMENTO EM DIREITOS CREDITÓRIOS</x:v>
      </x:c>
      <x:c r="C2813" s="188" t="n">
        <x:v>4431361.5200000005</x:v>
      </x:c>
      <x:c r="D2813" s="166" t="str">
        <x:v>Redwood Asset Management</x:v>
      </x:c>
      <x:c r="E2813" s="166" t="str">
        <x:f>IFERROR(INDEX('Classif Gestoras'!$H$6:$H$462,MATCH(D2813,'Classif Gestoras'!$A$6:$A$462,0)),"Não classificada")</x:f>
        <x:v>Independente</x:v>
      </x:c>
      <x:c r="F2813" s="166" t="str">
        <x:v>PLANNER CV</x:v>
      </x:c>
      <x:c r="G2813" s="166" t="str">
        <x:v>PLANNER CORRETORA DE VALORES S.A.</x:v>
      </x:c>
      <x:c r="H2813" s="166" t="str">
        <x:v>Fomento Mercantil</x:v>
      </x:c>
      <x:c r="I2813" s="166" t="str">
        <x:v>Fomento Mercantil</x:v>
      </x:c>
      <x:c r="J2813" s="166" t="str">
        <x:v>CI</x:v>
      </x:c>
      <x:c r="K2813" s="172" t="n">
        <x:v>1</x:v>
      </x:c>
      <x:c r="L2813" s="185" t="str">
        <x:v>Não classificado</x:v>
      </x:c>
    </x:row>
    <x:row r="2814">
      <x:c r="A2814" s="175" t="str">
        <x:v>49.999.307/0001-37</x:v>
      </x:c>
      <x:c r="B2814" s="166" t="str">
        <x:v>ATIVOS ESTRATÉGICOS LOCAIS FUNDO DE INVESTIMENTO EM DIREITOS CREDITÓRIOS</x:v>
      </x:c>
      <x:c r="C2814" s="188" t="n">
        <x:v>4393498.8</x:v>
      </x:c>
      <x:c r="D2814" s="166" t="str">
        <x:v>FIDD Administração de Recursos Ltda.</x:v>
      </x:c>
      <x:c r="E2814" s="166" t="str">
        <x:f>IFERROR(INDEX('Classif Gestoras'!$H$6:$H$462,MATCH(D2814,'Classif Gestoras'!$A$6:$A$462,0)),"Não classificada")</x:f>
        <x:v>Independente</x:v>
      </x:c>
      <x:c r="F2814" s="166" t="str">
        <x:v>FIDD DISTRIBUIDORA DE TITULOS E VALORES MOBILIARIOS LTD</x:v>
      </x:c>
      <x:c r="G2814" s="166" t="str">
        <x:v>FIDD DISTRIBUIDORA DE TITULOS E VALORES MOBILIARIOS LTDA.</x:v>
      </x:c>
      <x:c r="H2814" s="166" t="str">
        <x:v>Agro, Indústria e Comércio</x:v>
      </x:c>
      <x:c r="I2814" s="166" t="str">
        <x:v>Crédito Corporativo</x:v>
      </x:c>
      <x:c r="J2814" s="166" t="str">
        <x:v>CI</x:v>
      </x:c>
      <x:c r="K2814" s="172" t="n">
        <x:v>1</x:v>
      </x:c>
      <x:c r="L2814" s="185" t="str">
        <x:v>Não classificado</x:v>
      </x:c>
    </x:row>
    <x:row r="2815">
      <x:c r="A2815" s="175" t="str">
        <x:v>62.705.336/0001-07</x:v>
      </x:c>
      <x:c r="B2815" s="166" t="str">
        <x:v>SALVADOR FUNDO DE INVESTIMENTO EM DIREITOS CREDITÓRIOS CRÉDITO CONSIGNADO RESPONSABILIDADE LIMITADA</x:v>
      </x:c>
      <x:c r="C2815" s="188" t="n">
        <x:v>4361899.15</x:v>
      </x:c>
      <x:c r="D2815" s="166" t="str">
        <x:v>VERT Gestora de Recursos Financeiros Ltda.</x:v>
      </x:c>
      <x:c r="E2815" s="166" t="str">
        <x:f>IFERROR(INDEX('Classif Gestoras'!$H$6:$H$462,MATCH(D2815,'Classif Gestoras'!$A$6:$A$462,0)),"Não classificada")</x:f>
        <x:v>Independente</x:v>
      </x:c>
      <x:c r="F2815" s="166" t="str">
        <x:v>VERT Distribuidora de Títulos e Valores Mobiliários Ltd</x:v>
      </x:c>
      <x:c r="G2815" s="166" t="str">
        <x:v>VERT DISTRIBUIDORA DE TÍTULOS E VALORES MOBILIÁRIOS LTDA.</x:v>
      </x:c>
      <x:c r="H2815" s="166" t="str">
        <x:v>Financeiro</x:v>
      </x:c>
      <x:c r="I2815" s="166" t="str">
        <x:v>Multicarteira Financeiro</x:v>
      </x:c>
      <x:c r="J2815" s="166" t="str">
        <x:v>CI</x:v>
      </x:c>
      <x:c r="K2815" s="172" t="n">
        <x:v>17</x:v>
      </x:c>
      <x:c r="L2815" s="185" t="str">
        <x:v>Não classificado</x:v>
      </x:c>
    </x:row>
    <x:row r="2816">
      <x:c r="A2816" s="175" t="str">
        <x:v>61.043.596/0001-00</x:v>
      </x:c>
      <x:c r="B2816" s="166" t="str">
        <x:v>LA VIE PFO FUNDO DE INVESTIMENTO EM DIREITOS CREDITÓRIOS</x:v>
      </x:c>
      <x:c r="C2816" s="188" t="n">
        <x:v>4359323.29</x:v>
      </x:c>
      <x:c r="D2816" s="166" t="str">
        <x:v>Redwood Asset Management</x:v>
      </x:c>
      <x:c r="E2816" s="166" t="str">
        <x:f>IFERROR(INDEX('Classif Gestoras'!$H$6:$H$462,MATCH(D2816,'Classif Gestoras'!$A$6:$A$462,0)),"Não classificada")</x:f>
        <x:v>Independente</x:v>
      </x:c>
      <x:c r="F2816" s="166" t="str">
        <x:v>PLANNER CV</x:v>
      </x:c>
      <x:c r="G2816" s="166" t="str">
        <x:v>PLANNER CORRETORA DE VALORES S.A.</x:v>
      </x:c>
      <x:c r="H2816" s="166" t="str">
        <x:v>Outros</x:v>
      </x:c>
      <x:c r="I2816" s="166" t="str">
        <x:v>Multicarteira Outros</x:v>
      </x:c>
      <x:c r="J2816" s="166" t="str">
        <x:v>CI</x:v>
      </x:c>
      <x:c r="K2816" s="172" t="n">
        <x:v>2</x:v>
      </x:c>
      <x:c r="L2816" s="185" t="str">
        <x:v>Não classificado</x:v>
      </x:c>
    </x:row>
    <x:row r="2817">
      <x:c r="A2817" s="175" t="str">
        <x:v>64.167.223/0001-20</x:v>
      </x:c>
      <x:c r="B2817" s="166" t="str">
        <x:v>FUNDO DE INVESTIMENTO EM DIREITOS CREDITÓRIOS BRAVE SHIELD RESPONSABILIDADE LIMITADA</x:v>
      </x:c>
      <x:c r="C2817" s="188" t="n">
        <x:v>4342620.13</x:v>
      </x:c>
      <x:c r="D2817" s="166" t="str">
        <x:v>Brave Asset</x:v>
      </x:c>
      <x:c r="E2817" s="166" t="str">
        <x:f>IFERROR(INDEX('Classif Gestoras'!$H$6:$H$462,MATCH(D2817,'Classif Gestoras'!$A$6:$A$462,0)),"Não classificada")</x:f>
        <x:v>Independente</x:v>
      </x:c>
      <x:c r="F2817" s="166" t="str">
        <x:v>VÓRTX DTVM</x:v>
      </x:c>
      <x:c r="G2817" s="166" t="str">
        <x:v>VORTX DISTRIBUIDORA DE TITULOS E VALORES MOBILIARIOS LTDA.</x:v>
      </x:c>
      <x:c r="H2817" s="166" t="str">
        <x:v>Outros</x:v>
      </x:c>
      <x:c r="I2817" s="166" t="str">
        <x:v>Crédito Imobiliário</x:v>
      </x:c>
      <x:c r="J2817" s="166" t="str">
        <x:v>CI</x:v>
      </x:c>
      <x:c r="K2817" s="172" t="n">
        <x:v>6</x:v>
      </x:c>
      <x:c r="L2817" s="185" t="str">
        <x:v>Não classificado</x:v>
      </x:c>
    </x:row>
    <x:row r="2818">
      <x:c r="A2818" s="175" t="str">
        <x:v>43.648.593/0001-00</x:v>
      </x:c>
      <x:c r="B2818" s="166" t="str">
        <x:v>FC MONEY FUNDO DE INVESTIMENTO EM DIREITOS CREDITÓRIOS RESPONSABILIDADE LIMITADA</x:v>
      </x:c>
      <x:c r="C2818" s="188" t="n">
        <x:v>4328364.87</x:v>
      </x:c>
      <x:c r="D2818" s="166" t="str">
        <x:v>CONTEA CAPITAL</x:v>
      </x:c>
      <x:c r="E2818" s="166" t="str">
        <x:f>IFERROR(INDEX('Classif Gestoras'!$H$6:$H$462,MATCH(D2818,'Classif Gestoras'!$A$6:$A$462,0)),"Não classificada")</x:f>
        <x:v>Independente</x:v>
      </x:c>
      <x:c r="F2818" s="166" t="str">
        <x:v>ID Corretora de Títulos e Valores Mobiliários S.A.</x:v>
      </x:c>
      <x:c r="G2818" s="166" t="str">
        <x:v>ID CORRETORA DE TITULOS E VALORES MOBILIARIOS S.A.</x:v>
      </x:c>
      <x:c r="H2818" s="166" t="str">
        <x:v>Outros</x:v>
      </x:c>
      <x:c r="I2818" s="166" t="str">
        <x:v>Multicarteira Outros</x:v>
      </x:c>
      <x:c r="J2818" s="166" t="str">
        <x:v>CI</x:v>
      </x:c>
      <x:c r="K2818" s="172" t="n">
        <x:v>10</x:v>
      </x:c>
      <x:c r="L2818" s="185" t="str">
        <x:v>Não classificado</x:v>
      </x:c>
    </x:row>
    <x:row r="2819">
      <x:c r="A2819" s="175" t="str">
        <x:v>55.330.962/0001-09</x:v>
      </x:c>
      <x:c r="B2819" s="166" t="str">
        <x:v>LEGATUS FUNDO DE INVESTIMENTO EM DIREITOS CREDITÓRIOS</x:v>
      </x:c>
      <x:c r="C2819" s="188" t="n">
        <x:v>4322707.11</x:v>
      </x:c>
      <x:c r="D2819" s="166" t="str">
        <x:v>Legatus Asset Management</x:v>
      </x:c>
      <x:c r="E2819" s="166" t="str">
        <x:f>IFERROR(INDEX('Classif Gestoras'!$H$6:$H$462,MATCH(D2819,'Classif Gestoras'!$A$6:$A$462,0)),"Não classificada")</x:f>
        <x:v>Independente</x:v>
      </x:c>
      <x:c r="F2819" s="166" t="str">
        <x:v>PLANNER CV</x:v>
      </x:c>
      <x:c r="G2819" s="166" t="str">
        <x:v>PLANNER CORRETORA DE VALORES S.A.</x:v>
      </x:c>
      <x:c r="H2819" s="166" t="str">
        <x:v>Outros</x:v>
      </x:c>
      <x:c r="I2819" s="166" t="str">
        <x:v>Multicarteira Outros</x:v>
      </x:c>
      <x:c r="J2819" s="166" t="str">
        <x:v>CI</x:v>
      </x:c>
      <x:c r="K2819" s="172" t="n">
        <x:v>11</x:v>
      </x:c>
      <x:c r="L2819" s="185" t="str">
        <x:v>Não classificado</x:v>
      </x:c>
    </x:row>
    <x:row r="2820">
      <x:c r="A2820" s="175" t="str">
        <x:v>54.246.795/0001-41</x:v>
      </x:c>
      <x:c r="B2820" s="166" t="str">
        <x:v>LOGÍSTICA BR I FUNDO DE INVESTIMENTO EM DIREITOS CREDITÓRIOS DE RESPONSABILIDADE ILIMITADA - LONGO P</x:v>
      </x:c>
      <x:c r="C2820" s="188" t="n">
        <x:v>4292766.220000001</x:v>
      </x:c>
      <x:c r="D2820" s="166" t="str">
        <x:v>ASAROCK ASSET MANAGEMENT</x:v>
      </x:c>
      <x:c r="E2820" s="166" t="str">
        <x:f>IFERROR(INDEX('Classif Gestoras'!$H$6:$H$462,MATCH(D2820,'Classif Gestoras'!$A$6:$A$462,0)),"Não classificada")</x:f>
        <x:v>Independente</x:v>
      </x:c>
      <x:c r="F2820" s="166" t="str">
        <x:v>ID Corretora de Títulos e Valores Mobiliários S.A.</x:v>
      </x:c>
      <x:c r="G2820" s="166" t="str">
        <x:v>ID CORRETORA DE TITULOS E VALORES MOBILIARIOS S.A.</x:v>
      </x:c>
      <x:c r="H2820" s="166" t="str">
        <x:v>Outros</x:v>
      </x:c>
      <x:c r="I2820" s="166" t="str">
        <x:v>Multicarteira Outros</x:v>
      </x:c>
      <x:c r="J2820" s="166" t="str">
        <x:v>CI</x:v>
      </x:c>
      <x:c r="K2820" s="172" t="n">
        <x:v>4</x:v>
      </x:c>
      <x:c r="L2820" s="185" t="str">
        <x:v>Não classificado</x:v>
      </x:c>
    </x:row>
    <x:row r="2821">
      <x:c r="A2821" s="175" t="str">
        <x:v>60.371.387/0001-14</x:v>
      </x:c>
      <x:c r="B2821" s="166" t="str">
        <x:v>FUNDO DE INVESTIMENTO EM DIREITOS CREDITÓRIOS NEXT CONSIG</x:v>
      </x:c>
      <x:c r="C2821" s="188" t="n">
        <x:v>4270639.06</x:v>
      </x:c>
      <x:c r="D2821" s="166" t="str">
        <x:v>ELLO ASSET MANAGEMENT</x:v>
      </x:c>
      <x:c r="E2821" s="166" t="str">
        <x:f>IFERROR(INDEX('Classif Gestoras'!$H$6:$H$462,MATCH(D2821,'Classif Gestoras'!$A$6:$A$462,0)),"Não classificada")</x:f>
        <x:v>Independente</x:v>
      </x:c>
      <x:c r="F2821" s="166" t="str">
        <x:v>ACTUAL DTVM</x:v>
      </x:c>
      <x:c r="G2821" s="166" t="str">
        <x:v>LASTRO RDV DTVM LTDA</x:v>
      </x:c>
      <x:c r="H2821" s="166" t="str">
        <x:v>Fomento Mercantil</x:v>
      </x:c>
      <x:c r="I2821" s="166" t="str">
        <x:v>Fomento Mercantil</x:v>
      </x:c>
      <x:c r="J2821" s="166" t="str">
        <x:v>CI</x:v>
      </x:c>
      <x:c r="K2821" s="172" t="n">
        <x:v>2</x:v>
      </x:c>
      <x:c r="L2821" s="185" t="str">
        <x:v>Não classificado</x:v>
      </x:c>
    </x:row>
    <x:row r="2822">
      <x:c r="A2822" s="175" t="str">
        <x:v>63.672.361/0001-02</x:v>
      </x:c>
      <x:c r="B2822" s="166" t="str">
        <x:v>GUARDIAN WAREHOUSE III FUNDO DE INVESTIMENTO EM DIREITOS CREDITÓRIOS RESPONSABILIDADE LIMITADA</x:v>
      </x:c>
      <x:c r="C2822" s="188" t="n">
        <x:v>4259415.25</x:v>
      </x:c>
      <x:c r="D2822" s="166" t="str">
        <x:v>Guardian Crédito</x:v>
      </x:c>
      <x:c r="E2822" s="166" t="str">
        <x:f>IFERROR(INDEX('Classif Gestoras'!$H$6:$H$462,MATCH(D2822,'Classif Gestoras'!$A$6:$A$462,0)),"Não classificada")</x:f>
        <x:v>Independente</x:v>
      </x:c>
      <x:c r="F2822" s="166" t="str">
        <x:v>BANCO DAYCOVAL S/A</x:v>
      </x:c>
      <x:c r="G2822" s="166" t="str">
        <x:v>BANCO DAYCOVAL S.A.</x:v>
      </x:c>
      <x:c r="H2822" s="166" t="str">
        <x:v>Financeiro</x:v>
      </x:c>
      <x:c r="I2822" s="166" t="str">
        <x:v>Crédito Consignado</x:v>
      </x:c>
      <x:c r="J2822" s="166" t="str">
        <x:v>CI</x:v>
      </x:c>
      <x:c r="K2822" s="172" t="n">
        <x:v>1</x:v>
      </x:c>
      <x:c r="L2822" s="185" t="str">
        <x:v>Não classificado</x:v>
      </x:c>
    </x:row>
    <x:row r="2823">
      <x:c r="A2823" s="175" t="str">
        <x:v>61.228.553/0001-90</x:v>
      </x:c>
      <x:c r="B2823" s="166" t="str">
        <x:v>BDM FUNDO DE INVESTIMENTO EM DIREITOS CREDITÓRIOS RESPONSABILIDADE LIMITADA</x:v>
      </x:c>
      <x:c r="C2823" s="188" t="n">
        <x:v>4236074.94</x:v>
      </x:c>
      <x:c r="D2823" s="166" t="str">
        <x:v>Hyperion</x:v>
      </x:c>
      <x:c r="E2823" s="166" t="str">
        <x:f>IFERROR(INDEX('Classif Gestoras'!$H$6:$H$462,MATCH(D2823,'Classif Gestoras'!$A$6:$A$462,0)),"Não classificada")</x:f>
        <x:v>Independente</x:v>
      </x:c>
      <x:c r="F2823" s="166" t="str">
        <x:v>ID Corretora de Títulos e Valores Mobiliários S.A.</x:v>
      </x:c>
      <x:c r="G2823" s="166" t="str">
        <x:v>ID CORRETORA DE TITULOS E VALORES MOBILIARIOS S.A.</x:v>
      </x:c>
      <x:c r="H2823" s="166" t="str">
        <x:v>Outros</x:v>
      </x:c>
      <x:c r="I2823" s="166" t="str">
        <x:v>Multicarteira Outros</x:v>
      </x:c>
      <x:c r="J2823" s="166" t="str">
        <x:v>CI</x:v>
      </x:c>
      <x:c r="K2823" s="172" t="n">
        <x:v>1</x:v>
      </x:c>
      <x:c r="L2823" s="185" t="str">
        <x:v>Não classificado</x:v>
      </x:c>
    </x:row>
    <x:row r="2824">
      <x:c r="A2824" s="175" t="str">
        <x:v>57.941.435/0001-58</x:v>
      </x:c>
      <x:c r="B2824" s="166" t="str">
        <x:v>EJM FUNDO DE INVESTIMENTO EM DIREITOS CREDITÓRIOS DE RESPONSABILIDADE LIMITADA</x:v>
      </x:c>
      <x:c r="C2824" s="188" t="n">
        <x:v>4223682.92</x:v>
      </x:c>
      <x:c r="D2824" s="166" t="str">
        <x:v>Catálise Investimentos</x:v>
      </x:c>
      <x:c r="E2824" s="166" t="str">
        <x:f>IFERROR(INDEX('Classif Gestoras'!$H$6:$H$462,MATCH(D2824,'Classif Gestoras'!$A$6:$A$462,0)),"Não classificada")</x:f>
        <x:v>Independente</x:v>
      </x:c>
      <x:c r="F2824" s="166" t="str">
        <x:v>CATÁLISE DTVM</x:v>
      </x:c>
      <x:c r="G2824" s="166" t="str">
        <x:v>BANCO DAYCOVAL S.A.</x:v>
      </x:c>
      <x:c r="H2824" s="166" t="str">
        <x:v>Agro, Indústria e Comércio</x:v>
      </x:c>
      <x:c r="I2824" s="166" t="str">
        <x:v>Recebíveis Comerciais</x:v>
      </x:c>
      <x:c r="J2824" s="166" t="str">
        <x:v>CI</x:v>
      </x:c>
      <x:c r="K2824" s="172" t="n">
        <x:v>2</x:v>
      </x:c>
      <x:c r="L2824" s="185" t="str">
        <x:v>Não classificado</x:v>
      </x:c>
    </x:row>
    <x:row r="2825">
      <x:c r="A2825" s="175" t="str">
        <x:v>51.199.121/0001-45</x:v>
      </x:c>
      <x:c r="B2825" s="166" t="str">
        <x:v>2MONEY FUNDO DE INVESTIMENTO EM DIREITOS CREDITÓRIOS NÃO-PADRONIZADOS RESPONSABILIDADE LIMITADA</x:v>
      </x:c>
      <x:c r="C2825" s="188" t="n">
        <x:v>4217809.109999999</x:v>
      </x:c>
      <x:c r="D2825" s="166" t="str">
        <x:v>GESTORA DE RECURSOS ID - GRID LTDA.</x:v>
      </x:c>
      <x:c r="E2825" s="166" t="str">
        <x:f>IFERROR(INDEX('Classif Gestoras'!$H$6:$H$462,MATCH(D2825,'Classif Gestoras'!$A$6:$A$462,0)),"Não classificada")</x:f>
        <x:v>Independente</x:v>
      </x:c>
      <x:c r="F2825" s="166" t="str">
        <x:v>ID Corretora de Títulos e Valores Mobiliários S.A.</x:v>
      </x:c>
      <x:c r="G2825" s="166" t="str">
        <x:v>ID CORRETORA DE TITULOS E VALORES MOBILIARIOS S.A.</x:v>
      </x:c>
      <x:c r="H2825" s="166" t="str">
        <x:v>Outros</x:v>
      </x:c>
      <x:c r="I2825" s="166" t="str">
        <x:v>Multicarteira Outros</x:v>
      </x:c>
      <x:c r="J2825" s="166" t="str">
        <x:v>CI</x:v>
      </x:c>
      <x:c r="K2825" s="172" t="n">
        <x:v>4</x:v>
      </x:c>
      <x:c r="L2825" s="185" t="str">
        <x:v>Não classificado</x:v>
      </x:c>
    </x:row>
    <x:row r="2826">
      <x:c r="A2826" s="175" t="str">
        <x:v>37.703.020/0001-39</x:v>
      </x:c>
      <x:c r="B2826" s="166" t="str">
        <x:v>VIOLIN 8432 CRÉDITOS JUDICIAIS FUNDO DE INVESTIMENTO EM DIREITOS CREDITÓRIOS</x:v>
      </x:c>
      <x:c r="C2826" s="188" t="n">
        <x:v>4198703.76</x:v>
      </x:c>
      <x:c r="D2826" s="166" t="str">
        <x:v>LASS CAPITAL</x:v>
      </x:c>
      <x:c r="E2826" s="166" t="str">
        <x:f>IFERROR(INDEX('Classif Gestoras'!$H$6:$H$462,MATCH(D2826,'Classif Gestoras'!$A$6:$A$462,0)),"Não classificada")</x:f>
        <x:v>Independente</x:v>
      </x:c>
      <x:c r="F2826" s="166" t="str">
        <x:v>BTG Pactual Servicos Financeiros S/A DTVM</x:v>
      </x:c>
      <x:c r="G2826" s="166" t="str">
        <x:v>BANCO BTG PACTUAL S/A</x:v>
      </x:c>
      <x:c r="H2826" s="166" t="str">
        <x:v>Outros</x:v>
      </x:c>
      <x:c r="I2826" s="166" t="str">
        <x:v>Poder Público</x:v>
      </x:c>
      <x:c r="J2826" s="166" t="str">
        <x:v>CI</x:v>
      </x:c>
      <x:c r="K2826" s="172" t="n">
        <x:v>4</x:v>
      </x:c>
      <x:c r="L2826" s="185" t="str">
        <x:v>Não classificado</x:v>
      </x:c>
    </x:row>
    <x:row r="2827">
      <x:c r="A2827" s="175" t="str">
        <x:v>64.039.601/0001-90</x:v>
      </x:c>
      <x:c r="B2827" s="166" t="str">
        <x:v>ATRIUM FINANCE FUNDO DE INVESTIMENTO EM DIREITOS CREDITÓRIOS RESPONSABILIDADE LIMITADA</x:v>
      </x:c>
      <x:c r="C2827" s="188" t="n">
        <x:v>4183643.91</x:v>
      </x:c>
      <x:c r="D2827" s="166" t="str">
        <x:v>XVI Capital</x:v>
      </x:c>
      <x:c r="E2827" s="166" t="str">
        <x:f>IFERROR(INDEX('Classif Gestoras'!$H$6:$H$462,MATCH(D2827,'Classif Gestoras'!$A$6:$A$462,0)),"Não classificada")</x:f>
        <x:v>Independente</x:v>
      </x:c>
      <x:c r="F2827" s="166" t="str">
        <x:v>LASTRO RDV DIST. DE</x:v>
      </x:c>
      <x:c r="G2827" s="166" t="str">
        <x:v>LASTRO RDV DTVM LTDA</x:v>
      </x:c>
      <x:c r="H2827" s="166" t="str">
        <x:v>Outros</x:v>
      </x:c>
      <x:c r="I2827" s="166" t="str">
        <x:v>Multicarteira Outros</x:v>
      </x:c>
      <x:c r="J2827" s="166" t="str">
        <x:v>CI</x:v>
      </x:c>
      <x:c r="K2827" s="172" t="n">
        <x:v>2</x:v>
      </x:c>
      <x:c r="L2827" s="185" t="str">
        <x:v>Não classificado</x:v>
      </x:c>
    </x:row>
    <x:row r="2828">
      <x:c r="A2828" s="175" t="str">
        <x:v>65.324.403/0001-31</x:v>
      </x:c>
      <x:c r="B2828" s="166" t="str">
        <x:v>BLACK RIVER FUNDO DE INVESTIMENTO EM DIREITOS CREDITÓRIOS</x:v>
      </x:c>
      <x:c r="C2828" s="188" t="n">
        <x:v>4130568.68</x:v>
      </x:c>
      <x:c r="D2828" s="166" t="str">
        <x:v>TERCON ASSET MANAGEMENT</x:v>
      </x:c>
      <x:c r="E2828" s="166" t="str">
        <x:f>IFERROR(INDEX('Classif Gestoras'!$H$6:$H$462,MATCH(D2828,'Classif Gestoras'!$A$6:$A$462,0)),"Não classificada")</x:f>
        <x:v>Independente</x:v>
      </x:c>
      <x:c r="F2828" s="166" t="str">
        <x:v>Limine Trust Distribuidora de Titulos e Valores Mobiliá</x:v>
      </x:c>
      <x:c r="G2828" s="166" t="str">
        <x:v>LIMINE TRUST DISTRIBUIDORA DE TITULOS E VALORES MOBILIARIOS LTDA.</x:v>
      </x:c>
      <x:c r="H2828" s="166" t="str">
        <x:v>Fomento Mercantil</x:v>
      </x:c>
      <x:c r="I2828" s="166" t="str">
        <x:v>Fomento Mercantil</x:v>
      </x:c>
      <x:c r="J2828" s="166" t="str">
        <x:v>CI</x:v>
      </x:c>
      <x:c r="K2828" s="172" t="n">
        <x:v>8</x:v>
      </x:c>
      <x:c r="L2828" s="185" t="str">
        <x:v>Não classificado</x:v>
      </x:c>
    </x:row>
    <x:row r="2829">
      <x:c r="A2829" s="175" t="str">
        <x:v>61.228.249/0001-43</x:v>
      </x:c>
      <x:c r="B2829" s="166" t="str">
        <x:v>BS PLUS 2 FUNDO DE INVESTIMENTO EM DIREITOS CREDITÓRIOS</x:v>
      </x:c>
      <x:c r="C2829" s="188" t="n">
        <x:v>4127320.37</x:v>
      </x:c>
      <x:c r="D2829" s="166" t="str">
        <x:v>V8 Capital</x:v>
      </x:c>
      <x:c r="E2829" s="166" t="str">
        <x:f>IFERROR(INDEX('Classif Gestoras'!$H$6:$H$462,MATCH(D2829,'Classif Gestoras'!$A$6:$A$462,0)),"Não classificada")</x:f>
        <x:v>Independente</x:v>
      </x:c>
      <x:c r="F2829" s="166" t="str">
        <x:v>Singulare</x:v>
      </x:c>
      <x:c r="G2829" s="166" t="str">
        <x:v>QI CORRETORA DE TÍTULOS E VALORES MOBILIÁRIOS S.A.</x:v>
      </x:c>
      <x:c r="H2829" s="166" t="str">
        <x:v>Outros</x:v>
      </x:c>
      <x:c r="I2829" s="166" t="str">
        <x:v>Multicarteira Outros</x:v>
      </x:c>
      <x:c r="J2829" s="166" t="str">
        <x:v>CI</x:v>
      </x:c>
      <x:c r="K2829" s="172" t="n">
        <x:v>1</x:v>
      </x:c>
      <x:c r="L2829" s="185" t="str">
        <x:v>Não classificado</x:v>
      </x:c>
    </x:row>
    <x:row r="2830">
      <x:c r="A2830" s="175" t="str">
        <x:v>60.776.251/0001-94</x:v>
      </x:c>
      <x:c r="B2830" s="166" t="str">
        <x:v>MACRO FUNDO DE INVESTIMENTO EM DIREITOS CREDITORIOS</x:v>
      </x:c>
      <x:c r="C2830" s="188" t="n">
        <x:v>4125245.01</x:v>
      </x:c>
      <x:c r="D2830" s="166" t="str">
        <x:v>Libertas Asset</x:v>
      </x:c>
      <x:c r="E2830" s="166" t="str">
        <x:f>IFERROR(INDEX('Classif Gestoras'!$H$6:$H$462,MATCH(D2830,'Classif Gestoras'!$A$6:$A$462,0)),"Não classificada")</x:f>
        <x:v>Independente</x:v>
      </x:c>
      <x:c r="F2830" s="166" t="str">
        <x:v>ACTUAL DTVM</x:v>
      </x:c>
      <x:c r="G2830" s="166" t="str">
        <x:v>TRUSTEE DISTRIBUIDORA DE TITULOS E VALORES MOBILIARIOS LTDA.</x:v>
      </x:c>
      <x:c r="H2830" s="166" t="str">
        <x:v>Fomento Mercantil</x:v>
      </x:c>
      <x:c r="I2830" s="166" t="str">
        <x:v>Fomento Mercantil</x:v>
      </x:c>
      <x:c r="J2830" s="166" t="str">
        <x:v>CI</x:v>
      </x:c>
      <x:c r="K2830" s="172" t="n">
        <x:v>1</x:v>
      </x:c>
      <x:c r="L2830" s="185" t="str">
        <x:v>Não classificado</x:v>
      </x:c>
    </x:row>
    <x:row r="2831">
      <x:c r="A2831" s="175" t="str">
        <x:v>10.896.292/0001-46</x:v>
      </x:c>
      <x:c r="B2831" s="166" t="str">
        <x:v>INCENTIVO MULTISETORIAL I - FIDC</x:v>
      </x:c>
      <x:c r="C2831" s="188" t="n">
        <x:v>4123941.82</x:v>
      </x:c>
      <x:c r="D2831" s="166" t="str">
        <x:v>GENIAL GESTÃO LTDA.</x:v>
      </x:c>
      <x:c r="E2831" s="166" t="str">
        <x:f>IFERROR(INDEX('Classif Gestoras'!$H$6:$H$462,MATCH(D2831,'Classif Gestoras'!$A$6:$A$462,0)),"Não classificada")</x:f>
        <x:v>Ligada a banco</x:v>
      </x:c>
      <x:c r="F2831" s="166" t="str">
        <x:v>RJI Investimentos</x:v>
      </x:c>
      <x:c r="G2831" s="166" t="str">
        <x:v>RJI CORRETORA DE TÍTULOS E VALORES MOBILIÁRIOS LTDA.</x:v>
      </x:c>
      <x:c r="H2831" s="166" t="str">
        <x:v>Outros</x:v>
      </x:c>
      <x:c r="I2831" s="166" t="str">
        <x:v>Multicarteira Outros</x:v>
      </x:c>
      <x:c r="J2831" s="166" t="str">
        <x:v>CI</x:v>
      </x:c>
      <x:c r="K2831" s="172" t="n">
        <x:v>20</x:v>
      </x:c>
      <x:c r="L2831" s="185" t="str">
        <x:v>Não classificado</x:v>
      </x:c>
    </x:row>
    <x:row r="2832">
      <x:c r="A2832" s="175" t="str">
        <x:v>51.764.889/0001-14</x:v>
      </x:c>
      <x:c r="B2832" s="166" t="str">
        <x:v>BIGTRADE SUNO FUNDO DE INVESTIMENTO - RESP LIMITADA - DIREITOS CREDITÓRIOS</x:v>
      </x:c>
      <x:c r="C2832" s="188" t="n">
        <x:v>4086976.18</x:v>
      </x:c>
      <x:c r="D2832" s="166" t="str">
        <x:v>SUNO ASSET MANAGEMENT</x:v>
      </x:c>
      <x:c r="E2832" s="166" t="str">
        <x:f>IFERROR(INDEX('Classif Gestoras'!$H$6:$H$462,MATCH(D2832,'Classif Gestoras'!$A$6:$A$462,0)),"Não classificada")</x:f>
        <x:v>Independente</x:v>
      </x:c>
      <x:c r="F2832" s="166" t="str">
        <x:v>BANCO DAYCOVAL S/A</x:v>
      </x:c>
      <x:c r="G2832" s="166" t="str">
        <x:v>BANCO DAYCOVAL S.A.</x:v>
      </x:c>
      <x:c r="H2832" s="166" t="str">
        <x:v>Agro, Indústria e Comércio</x:v>
      </x:c>
      <x:c r="I2832" s="166" t="str">
        <x:v>Agronegócio</x:v>
      </x:c>
      <x:c r="J2832" s="166" t="str">
        <x:v>CI</x:v>
      </x:c>
      <x:c r="K2832" s="172" t="n">
        <x:v>2</x:v>
      </x:c>
      <x:c r="L2832" s="185" t="str">
        <x:v>Não classificado</x:v>
      </x:c>
    </x:row>
    <x:row r="2833">
      <x:c r="A2833" s="175" t="str">
        <x:v>23.273.905/0001-30</x:v>
      </x:c>
      <x:c r="B2833" s="166" t="str">
        <x:v>CREDSHOW FUNDO DE INVESTIMENTO EM DIREITOS CREDITÓRIOS NÃO-PADRONIZADOS VAREJO</x:v>
      </x:c>
      <x:c r="C2833" s="188" t="n">
        <x:v>4013023.58</x:v>
      </x:c>
      <x:c r="D2833" s="166" t="str">
        <x:v>OURO PRETO INVESTIMENTOS</x:v>
      </x:c>
      <x:c r="E2833" s="166" t="str">
        <x:f>IFERROR(INDEX('Classif Gestoras'!$H$6:$H$462,MATCH(D2833,'Classif Gestoras'!$A$6:$A$462,0)),"Não classificada")</x:f>
        <x:v>Independente</x:v>
      </x:c>
      <x:c r="F2833" s="166" t="str">
        <x:v>Singulare</x:v>
      </x:c>
      <x:c r="G2833" s="166" t="str">
        <x:v>QI CORRETORA DE TÍTULOS E VALORES MOBILIÁRIOS S.A.</x:v>
      </x:c>
      <x:c r="H2833" s="166" t="str">
        <x:v>Fomento Mercantil</x:v>
      </x:c>
      <x:c r="I2833" s="166" t="str">
        <x:v>Fomento Mercantil</x:v>
      </x:c>
      <x:c r="J2833" s="166" t="str">
        <x:v>CI</x:v>
      </x:c>
      <x:c r="K2833" s="172" t="n">
        <x:v>4</x:v>
      </x:c>
      <x:c r="L2833" s="185" t="str">
        <x:v>Não classificado</x:v>
      </x:c>
    </x:row>
    <x:row r="2834">
      <x:c r="A2834" s="175" t="str">
        <x:v>64.111.898/0001-58</x:v>
      </x:c>
      <x:c r="B2834" s="166" t="str">
        <x:v>4L FUNDO DE INVESTIMENTO EM DIREITOS CREDITÓRIOS DE CLASSE ÚNICA FECHADA</x:v>
      </x:c>
      <x:c r="C2834" s="188" t="n">
        <x:v>3989436.94</x:v>
      </x:c>
      <x:c r="D2834" s="166" t="str">
        <x:v>CARMEL GESTORA DE ATIVOS LTDA</x:v>
      </x:c>
      <x:c r="E2834" s="166" t="str">
        <x:f>IFERROR(INDEX('Classif Gestoras'!$H$6:$H$462,MATCH(D2834,'Classif Gestoras'!$A$6:$A$462,0)),"Não classificada")</x:f>
        <x:v>Independente</x:v>
      </x:c>
      <x:c r="F2834" s="166" t="str">
        <x:v>BRL TRUST DTVM</x:v>
      </x:c>
      <x:c r="G2834" s="166" t="str">
        <x:v>BRL TRUST DISTRIBUIDORA DE TITULOS E VALORES MOBILIARIOS S.A.</x:v>
      </x:c>
      <x:c r="H2834" s="166" t="str">
        <x:v>Agro, Indústria e Comércio</x:v>
      </x:c>
      <x:c r="I2834" s="166" t="str">
        <x:v>Multicarteira Agro, Indústria e Comércio</x:v>
      </x:c>
      <x:c r="J2834" s="166" t="str">
        <x:v>CI</x:v>
      </x:c>
      <x:c r="K2834" s="172" t="n">
        <x:v>4</x:v>
      </x:c>
      <x:c r="L2834" s="185" t="str">
        <x:v>Não classificado</x:v>
      </x:c>
    </x:row>
    <x:row r="2835">
      <x:c r="A2835" s="175" t="str">
        <x:v>63.974.556/0001-07</x:v>
      </x:c>
      <x:c r="B2835" s="166" t="str">
        <x:v>EVOLUTION FUNDO DE INVESTIMENTO EM DIREITOS CREDITÓRIOS</x:v>
      </x:c>
      <x:c r="C2835" s="188" t="n">
        <x:v>3951476.59</x:v>
      </x:c>
      <x:c r="D2835" s="166" t="str">
        <x:v>Iggy Investimentos</x:v>
      </x:c>
      <x:c r="E2835" s="166" t="str">
        <x:f>IFERROR(INDEX('Classif Gestoras'!$H$6:$H$462,MATCH(D2835,'Classif Gestoras'!$A$6:$A$462,0)),"Não classificada")</x:f>
        <x:v>Independente</x:v>
      </x:c>
      <x:c r="F2835" s="166" t="str">
        <x:v>MONETAR DISTRIBUIDORA DE TITUL</x:v>
      </x:c>
      <x:c r="G2835" s="166" t="str">
        <x:v>TERRA INVESTIMENTOS DISTRIBUIDORA DE TITULOS E VALORES MOBILIARIOS LTDA</x:v>
      </x:c>
      <x:c r="H2835" s="166" t="str">
        <x:v>Outros</x:v>
      </x:c>
      <x:c r="I2835" s="166" t="str">
        <x:v>Multicarteira Outros</x:v>
      </x:c>
      <x:c r="J2835" s="166" t="str">
        <x:v>CI</x:v>
      </x:c>
      <x:c r="K2835" s="172" t="n">
        <x:v>9</x:v>
      </x:c>
      <x:c r="L2835" s="185" t="str">
        <x:v>Não classificado</x:v>
      </x:c>
    </x:row>
    <x:row r="2836">
      <x:c r="A2836" s="175" t="str">
        <x:v>58.113.703/0001-06</x:v>
      </x:c>
      <x:c r="B2836" s="166" t="str">
        <x:v>IDEAL FUNDO DE INVESTIMENTO EM DIREITOS CREDITÓRIOS</x:v>
      </x:c>
      <x:c r="C2836" s="188" t="n">
        <x:v>3871425.51</x:v>
      </x:c>
      <x:c r="D2836" s="166" t="str">
        <x:v>TERCON ASSET MANAGEMENT</x:v>
      </x:c>
      <x:c r="E2836" s="166" t="str">
        <x:f>IFERROR(INDEX('Classif Gestoras'!$H$6:$H$462,MATCH(D2836,'Classif Gestoras'!$A$6:$A$462,0)),"Não classificada")</x:f>
        <x:v>Independente</x:v>
      </x:c>
      <x:c r="F2836" s="166" t="str">
        <x:v>Singulare</x:v>
      </x:c>
      <x:c r="G2836" s="166" t="str">
        <x:v>QI CORRETORA DE TÍTULOS E VALORES MOBILIÁRIOS S.A.</x:v>
      </x:c>
      <x:c r="H2836" s="166" t="str">
        <x:v>Fomento Mercantil</x:v>
      </x:c>
      <x:c r="I2836" s="166" t="str">
        <x:v>Fomento Mercantil</x:v>
      </x:c>
      <x:c r="J2836" s="166" t="str">
        <x:v>CI</x:v>
      </x:c>
      <x:c r="K2836" s="172" t="n">
        <x:v>1</x:v>
      </x:c>
      <x:c r="L2836" s="185" t="str">
        <x:v>Não classificado</x:v>
      </x:c>
    </x:row>
    <x:row r="2837">
      <x:c r="A2837" s="175" t="str">
        <x:v>66.193.864/0001-85</x:v>
      </x:c>
      <x:c r="B2837" s="166" t="str">
        <x:v>BLACK STONE FUNDO DE INVESTIMENTO EM DIREITOS CREDITÓRIOS RESPONSABILIDADE LIMITADA</x:v>
      </x:c>
      <x:c r="C2837" s="188" t="n">
        <x:v>3808327.44</x:v>
      </x:c>
      <x:c r="D2837" s="166" t="str">
        <x:v>AWR Gestão de Recursos</x:v>
      </x:c>
      <x:c r="E2837" s="166" t="str">
        <x:f>IFERROR(INDEX('Classif Gestoras'!$H$6:$H$462,MATCH(D2837,'Classif Gestoras'!$A$6:$A$462,0)),"Não classificada")</x:f>
        <x:v>Independente</x:v>
      </x:c>
      <x:c r="F2837" s="166" t="str">
        <x:v>Oliveira Trust DTVM</x:v>
      </x:c>
      <x:c r="G2837" s="166" t="str">
        <x:v>OLIVEIRA TRUST DTVM S.A.</x:v>
      </x:c>
      <x:c r="H2837" s="166" t="str">
        <x:v>Agro, Indústria e Comércio</x:v>
      </x:c>
      <x:c r="I2837" s="166" t="str">
        <x:v>Recebíveis Comerciais</x:v>
      </x:c>
      <x:c r="J2837" s="166" t="str">
        <x:v>CI</x:v>
      </x:c>
      <x:c r="K2837" s="172" t="n">
        <x:v>1</x:v>
      </x:c>
      <x:c r="L2837" s="185" t="str">
        <x:v>Não classificado</x:v>
      </x:c>
    </x:row>
    <x:row r="2838">
      <x:c r="A2838" s="175" t="str">
        <x:v>49.788.461/0001-60</x:v>
      </x:c>
      <x:c r="B2838" s="166" t="str">
        <x:v>NICE FUNDO DE INVESTIMENTO EM DIREITOS CREDITÓRIOS NÃO PADRONIZADOS</x:v>
      </x:c>
      <x:c r="C2838" s="188" t="n">
        <x:v>3806927.88</x:v>
      </x:c>
      <x:c r="D2838" s="166" t="str">
        <x:v>Terra Asset Management</x:v>
      </x:c>
      <x:c r="E2838" s="166" t="str">
        <x:f>IFERROR(INDEX('Classif Gestoras'!$H$6:$H$462,MATCH(D2838,'Classif Gestoras'!$A$6:$A$462,0)),"Não classificada")</x:f>
        <x:v>Independente</x:v>
      </x:c>
      <x:c r="F2838" s="166" t="str">
        <x:v>MONETAR DISTRIBUIDORA DE TITUL</x:v>
      </x:c>
      <x:c r="G2838" s="166" t="str">
        <x:v>TERRA INVESTIMENTOS DISTRIBUIDORA DE TITULOS E VALORES MOBILIARIOS LTDA</x:v>
      </x:c>
      <x:c r="H2838" s="166" t="str">
        <x:v>Outros</x:v>
      </x:c>
      <x:c r="I2838" s="166" t="str">
        <x:v>Multicarteira Outros</x:v>
      </x:c>
      <x:c r="J2838" s="166" t="str">
        <x:v>CI</x:v>
      </x:c>
      <x:c r="K2838" s="172" t="n">
        <x:v>1</x:v>
      </x:c>
      <x:c r="L2838" s="185" t="str">
        <x:v>Não classificado</x:v>
      </x:c>
    </x:row>
    <x:row r="2839">
      <x:c r="A2839" s="175" t="str">
        <x:v>26.913.775/0001-41</x:v>
      </x:c>
      <x:c r="B2839" s="166" t="str">
        <x:v>LESTE ARBITRAGEM FUNDO DE INVESTIMENTO EM DIREITOS CREDITÓRIOS DE RESPONSABILIDADE LIMITADA</x:v>
      </x:c>
      <x:c r="C2839" s="188" t="n">
        <x:v>3798345.42</x:v>
      </x:c>
      <x:c r="D2839" s="166" t="str">
        <x:v>VM Consultoria Empresarial Ltd</x:v>
      </x:c>
      <x:c r="E2839" s="166" t="str">
        <x:f>IFERROR(INDEX('Classif Gestoras'!$H$6:$H$462,MATCH(D2839,'Classif Gestoras'!$A$6:$A$462,0)),"Não classificada")</x:f>
        <x:v>Independente</x:v>
      </x:c>
      <x:c r="F2839" s="166" t="str">
        <x:v>Banco Genial S.A.</x:v>
      </x:c>
      <x:c r="G2839" s="166" t="str">
        <x:v>BANCO GENIAL S.A.</x:v>
      </x:c>
      <x:c r="H2839" s="166" t="str">
        <x:v>Outros</x:v>
      </x:c>
      <x:c r="I2839" s="166" t="str">
        <x:v>Multicarteira Outros</x:v>
      </x:c>
      <x:c r="J2839" s="166" t="str">
        <x:v>CI</x:v>
      </x:c>
      <x:c r="K2839" s="172" t="n">
        <x:v>1</x:v>
      </x:c>
      <x:c r="L2839" s="185" t="str">
        <x:v>Não classificado</x:v>
      </x:c>
    </x:row>
    <x:row r="2840">
      <x:c r="A2840" s="175" t="str">
        <x:v>36.814.213/0001-02</x:v>
      </x:c>
      <x:c r="B2840" s="166" t="str">
        <x:v>LINCOLN FUNDO DE INVESTIMENTO EM DIREITOS CREDITÓRIOS NÃO-PADRONIZADOS</x:v>
      </x:c>
      <x:c r="C2840" s="188" t="n">
        <x:v>3785892.68</x:v>
      </x:c>
      <x:c r="D2840" s="166" t="str">
        <x:v>WNT Gestora de Recursos Ltda.</x:v>
      </x:c>
      <x:c r="E2840" s="166" t="str">
        <x:f>IFERROR(INDEX('Classif Gestoras'!$H$6:$H$462,MATCH(D2840,'Classif Gestoras'!$A$6:$A$462,0)),"Não classificada")</x:f>
        <x:v>Independente</x:v>
      </x:c>
      <x:c r="F2840" s="166" t="str">
        <x:v>WNT DTVM</x:v>
      </x:c>
      <x:c r="G2840" s="166" t="str">
        <x:v>WNT CAPITAL DISTRIBUIDORA DE TITULOS E VALORES MOBILIARIOS S.A.</x:v>
      </x:c>
      <x:c r="H2840" s="166" t="str">
        <x:v>Outros</x:v>
      </x:c>
      <x:c r="I2840" s="166" t="str">
        <x:v>Multicarteira Outros</x:v>
      </x:c>
      <x:c r="J2840" s="166" t="str">
        <x:v>CI</x:v>
      </x:c>
      <x:c r="K2840" s="172" t="n">
        <x:v>5</x:v>
      </x:c>
      <x:c r="L2840" s="185" t="str">
        <x:v>Não classificado</x:v>
      </x:c>
    </x:row>
    <x:row r="2841">
      <x:c r="A2841" s="175" t="str">
        <x:v>13.554.539/0001-34</x:v>
      </x:c>
      <x:c r="B2841" s="166" t="str">
        <x:v>MARIN FUNDO DE INVESTIMENTO EM DIREITOS CREDITÓRIOS MULTISSETORIAL</x:v>
      </x:c>
      <x:c r="C2841" s="188" t="n">
        <x:v>3784822.37</x:v>
      </x:c>
      <x:c r="D2841" s="166" t="str">
        <x:v>MARIN INVESTIMENTOS</x:v>
      </x:c>
      <x:c r="E2841" s="166" t="str">
        <x:f>IFERROR(INDEX('Classif Gestoras'!$H$6:$H$462,MATCH(D2841,'Classif Gestoras'!$A$6:$A$462,0)),"Não classificada")</x:f>
        <x:v>Independente</x:v>
      </x:c>
      <x:c r="F2841" s="166" t="str">
        <x:v>PLANNER CV</x:v>
      </x:c>
      <x:c r="G2841" s="166" t="str">
        <x:v>PLANNER CORRETORA DE VALORES S.A.</x:v>
      </x:c>
      <x:c r="H2841" s="166" t="str">
        <x:v>Fomento Mercantil</x:v>
      </x:c>
      <x:c r="I2841" s="166" t="str">
        <x:v>Fomento Mercantil</x:v>
      </x:c>
      <x:c r="J2841" s="166" t="str">
        <x:v>CI</x:v>
      </x:c>
      <x:c r="K2841" s="172" t="n">
        <x:v>6</x:v>
      </x:c>
      <x:c r="L2841" s="185" t="str">
        <x:v>Não classificado</x:v>
      </x:c>
    </x:row>
    <x:row r="2842">
      <x:c r="A2842" s="175" t="str">
        <x:v>55.070.804/0001-59</x:v>
      </x:c>
      <x:c r="B2842" s="166" t="str">
        <x:v>ESTRATÉGIA VINCULADA II FUNDO DE INVESTIMENTO EM DIREITOS CREDITÓRIOS - RESPONSABILIDADE LIMITADA</x:v>
      </x:c>
      <x:c r="C2842" s="188" t="n">
        <x:v>3779533.19</x:v>
      </x:c>
      <x:c r="D2842" s="166" t="str">
        <x:v>Oliveira Trust Servicer</x:v>
      </x:c>
      <x:c r="E2842" s="166" t="str">
        <x:f>IFERROR(INDEX('Classif Gestoras'!$H$6:$H$462,MATCH(D2842,'Classif Gestoras'!$A$6:$A$462,0)),"Não classificada")</x:f>
        <x:v>Independente</x:v>
      </x:c>
      <x:c r="F2842" s="166" t="str">
        <x:v>Oliveira Trust DTVM</x:v>
      </x:c>
      <x:c r="G2842" s="166" t="str">
        <x:v>OLIVEIRA TRUST DTVM S.A.</x:v>
      </x:c>
      <x:c r="H2842" s="166" t="str">
        <x:v>Financeiro</x:v>
      </x:c>
      <x:c r="I2842" s="166" t="str">
        <x:v>Multicarteira Financeiro</x:v>
      </x:c>
      <x:c r="J2842" s="166" t="str">
        <x:v>CI</x:v>
      </x:c>
      <x:c r="K2842" s="172" t="n">
        <x:v>14</x:v>
      </x:c>
      <x:c r="L2842" s="185" t="str">
        <x:v>Não classificado</x:v>
      </x:c>
    </x:row>
    <x:row r="2843">
      <x:c r="A2843" s="175" t="str">
        <x:v>60.681.487/0001-47</x:v>
      </x:c>
      <x:c r="B2843" s="166" t="str">
        <x:v>SIM FUNDO DE INVESTIMENTO EM DIREITOS CREDITÓRIOS</x:v>
      </x:c>
      <x:c r="C2843" s="188" t="n">
        <x:v>3776431.41</x:v>
      </x:c>
      <x:c r="D2843" s="166" t="str">
        <x:v>TERCON ASSET MANAGEMENT</x:v>
      </x:c>
      <x:c r="E2843" s="166" t="str">
        <x:f>IFERROR(INDEX('Classif Gestoras'!$H$6:$H$462,MATCH(D2843,'Classif Gestoras'!$A$6:$A$462,0)),"Não classificada")</x:f>
        <x:v>Independente</x:v>
      </x:c>
      <x:c r="F2843" s="166" t="str">
        <x:v>Limine Trust Distribuidora de Titulos e Valores Mobiliá</x:v>
      </x:c>
      <x:c r="G2843" s="166" t="str">
        <x:v>LIMINE TRUST DISTRIBUIDORA DE TITULOS E VALORES MOBILIARIOS LTDA.</x:v>
      </x:c>
      <x:c r="H2843" s="166" t="str">
        <x:v>Fomento Mercantil</x:v>
      </x:c>
      <x:c r="I2843" s="166" t="str">
        <x:v>Fomento Mercantil</x:v>
      </x:c>
      <x:c r="J2843" s="166" t="str">
        <x:v>CI</x:v>
      </x:c>
      <x:c r="K2843" s="172" t="n">
        <x:v>1</x:v>
      </x:c>
      <x:c r="L2843" s="185" t="str">
        <x:v>Não classificado</x:v>
      </x:c>
    </x:row>
    <x:row r="2844">
      <x:c r="A2844" s="175" t="str">
        <x:v>56.320.097/0001-74</x:v>
      </x:c>
      <x:c r="B2844" s="166" t="str">
        <x:v>VERAXS THERAS FUNDO DE INVESTIMENTO EM DIREITOS CREDITÓRIOS NÃO PADRONIZADO DE RESP LIMITADA</x:v>
      </x:c>
      <x:c r="C2844" s="188" t="n">
        <x:v>3696418.65</x:v>
      </x:c>
      <x:c r="D2844" s="166" t="str">
        <x:v>EAGLE CAPITAL</x:v>
      </x:c>
      <x:c r="E2844" s="166" t="str">
        <x:f>IFERROR(INDEX('Classif Gestoras'!$H$6:$H$462,MATCH(D2844,'Classif Gestoras'!$A$6:$A$462,0)),"Não classificada")</x:f>
        <x:v>Independente</x:v>
      </x:c>
      <x:c r="F2844" s="166" t="str">
        <x:v>MONETAR DISTRIBUIDORA DE TITUL</x:v>
      </x:c>
      <x:c r="G2844" s="166" t="str">
        <x:v>TERRA INVESTIMENTOS DISTRIBUIDORA DE TITULOS E VALORES MOBILIARIOS LTDA</x:v>
      </x:c>
      <x:c r="H2844" s="166" t="str">
        <x:v>Outros</x:v>
      </x:c>
      <x:c r="I2844" s="166" t="str">
        <x:v>Multicarteira Outros</x:v>
      </x:c>
      <x:c r="J2844" s="166" t="str">
        <x:v>CI</x:v>
      </x:c>
      <x:c r="K2844" s="172" t="n">
        <x:v>16</x:v>
      </x:c>
      <x:c r="L2844" s="185" t="str">
        <x:v>Não classificado</x:v>
      </x:c>
    </x:row>
    <x:row r="2845">
      <x:c r="A2845" s="175" t="str">
        <x:v>65.835.536/0001-72</x:v>
      </x:c>
      <x:c r="B2845" s="166" t="str">
        <x:v>XLP FUNDO DE INVESTIMENTO EM DIREITOS CREDITÓRIOS</x:v>
      </x:c>
      <x:c r="C2845" s="188" t="n">
        <x:v>3639296.24</x:v>
      </x:c>
      <x:c r="D2845" s="166" t="str">
        <x:v>FIDD Administração de Recursos Ltda.</x:v>
      </x:c>
      <x:c r="E2845" s="166" t="str">
        <x:f>IFERROR(INDEX('Classif Gestoras'!$H$6:$H$462,MATCH(D2845,'Classif Gestoras'!$A$6:$A$462,0)),"Não classificada")</x:f>
        <x:v>Independente</x:v>
      </x:c>
      <x:c r="F2845" s="166" t="str">
        <x:v>FIDD DISTRIBUIDORA DE TITULOS E VALORES MOBILIARIOS LTD</x:v>
      </x:c>
      <x:c r="G2845" s="166" t="str">
        <x:v>FIDD DISTRIBUIDORA DE TITULOS E VALORES MOBILIARIOS LTDA.</x:v>
      </x:c>
      <x:c r="H2845" s="166" t="str">
        <x:v>Outros</x:v>
      </x:c>
      <x:c r="I2845" s="166" t="str">
        <x:v>Recuperação</x:v>
      </x:c>
      <x:c r="J2845" s="166" t="str">
        <x:v>CI</x:v>
      </x:c>
      <x:c r="K2845" s="172" t="n">
        <x:v>1</x:v>
      </x:c>
      <x:c r="L2845" s="185" t="str">
        <x:v>Não classificado</x:v>
      </x:c>
    </x:row>
    <x:row r="2846">
      <x:c r="A2846" s="175" t="str">
        <x:v>49.853.069/0001-57</x:v>
      </x:c>
      <x:c r="B2846" s="166" t="str">
        <x:v>INTERTRADE FUNDO DE INVESTIMENTO EM DIREITOS CRÉDITÓRIOS</x:v>
      </x:c>
      <x:c r="C2846" s="188" t="n">
        <x:v>3629773.65</x:v>
      </x:c>
      <x:c r="D2846" s="166" t="str">
        <x:v>RJI Investimentos</x:v>
      </x:c>
      <x:c r="E2846" s="166" t="str">
        <x:f>IFERROR(INDEX('Classif Gestoras'!$H$6:$H$462,MATCH(D2846,'Classif Gestoras'!$A$6:$A$462,0)),"Não classificada")</x:f>
        <x:v>Independente</x:v>
      </x:c>
      <x:c r="F2846" s="166" t="str">
        <x:v>RJI Investimentos</x:v>
      </x:c>
      <x:c r="G2846" s="166" t="str">
        <x:v>RJI CORRETORA DE TÍTULOS E VALORES MOBILIÁRIOS LTDA.</x:v>
      </x:c>
      <x:c r="H2846" s="166" t="str">
        <x:v>Agro, Indústria e Comércio</x:v>
      </x:c>
      <x:c r="I2846" s="166" t="str">
        <x:v>Multicarteira Agro, Indústria e Comércio</x:v>
      </x:c>
      <x:c r="J2846" s="166" t="str">
        <x:v>CI</x:v>
      </x:c>
      <x:c r="K2846" s="172" t="n">
        <x:v>4</x:v>
      </x:c>
      <x:c r="L2846" s="185" t="str">
        <x:v>Não classificado</x:v>
      </x:c>
    </x:row>
    <x:row r="2847">
      <x:c r="A2847" s="175" t="str">
        <x:v>50.692.376/0001-82</x:v>
      </x:c>
      <x:c r="B2847" s="166" t="str">
        <x:v>BOLSA DE CRÉDITOS FUNDO DE INVESTIMENTO EM DIREITOS CREDITÓRIOS</x:v>
      </x:c>
      <x:c r="C2847" s="188" t="n">
        <x:v>3625105.55</x:v>
      </x:c>
      <x:c r="D2847" s="166" t="str">
        <x:v>OURO PRETO INVESTIMENTOS</x:v>
      </x:c>
      <x:c r="E2847" s="166" t="str">
        <x:f>IFERROR(INDEX('Classif Gestoras'!$H$6:$H$462,MATCH(D2847,'Classif Gestoras'!$A$6:$A$462,0)),"Não classificada")</x:f>
        <x:v>Independente</x:v>
      </x:c>
      <x:c r="F2847" s="166" t="str">
        <x:v>Limine Trust Distribuidora de Titulos e Valores Mobiliá</x:v>
      </x:c>
      <x:c r="G2847" s="166" t="str">
        <x:v>LIMINE TRUST DISTRIBUIDORA DE TITULOS E VALORES MOBILIARIOS LTDA.</x:v>
      </x:c>
      <x:c r="H2847" s="166" t="str">
        <x:v>Outros</x:v>
      </x:c>
      <x:c r="I2847" s="166" t="str">
        <x:v>Multicarteira Outros</x:v>
      </x:c>
      <x:c r="J2847" s="166" t="str">
        <x:v>CI</x:v>
      </x:c>
      <x:c r="K2847" s="172" t="n">
        <x:v>4</x:v>
      </x:c>
      <x:c r="L2847" s="185" t="str">
        <x:v>Não classificado</x:v>
      </x:c>
    </x:row>
    <x:row r="2848">
      <x:c r="A2848" s="175" t="str">
        <x:v>64.439.483/0001-08</x:v>
      </x:c>
      <x:c r="B2848" s="166" t="str">
        <x:v>THE STANDARD FUND - FUNDO DE INVESTIMENTO EM DIREITOS CREDITÓRIOS - RESPONSABILIDADE LIMITADA</x:v>
      </x:c>
      <x:c r="C2848" s="188" t="n">
        <x:v>3591260.37</x:v>
      </x:c>
      <x:c r="D2848" s="166" t="str">
        <x:v>BURITI INVESTIMENTOS</x:v>
      </x:c>
      <x:c r="E2848" s="166" t="str">
        <x:f>IFERROR(INDEX('Classif Gestoras'!$H$6:$H$462,MATCH(D2848,'Classif Gestoras'!$A$6:$A$462,0)),"Não classificada")</x:f>
        <x:v>Independente</x:v>
      </x:c>
      <x:c r="F2848" s="166" t="str">
        <x:v>Baru DTVM</x:v>
      </x:c>
      <x:c r="G2848" s="166" t="str">
        <x:v>BARU DISTRIBUIDORA DE TÍTULOS E VALORES MOBILIÁRIOS LTDA.</x:v>
      </x:c>
      <x:c r="H2848" s="166" t="str">
        <x:v>Outros</x:v>
      </x:c>
      <x:c r="I2848" s="166" t="str">
        <x:v>Multicarteira Outros</x:v>
      </x:c>
      <x:c r="J2848" s="166" t="str">
        <x:v>CI</x:v>
      </x:c>
      <x:c r="K2848" s="172" t="n">
        <x:v>2</x:v>
      </x:c>
      <x:c r="L2848" s="185" t="str">
        <x:v>Não classificado</x:v>
      </x:c>
    </x:row>
    <x:row r="2849">
      <x:c r="A2849" s="175" t="str">
        <x:v>41.609.997/0001-69</x:v>
      </x:c>
      <x:c r="B2849" s="166" t="str">
        <x:v>ACERTO GRUPO INTER - FUNDO DE INVESTIMENTO EM DIREITOS CREDITÓRIOS - NÃO PADRONIZADOS</x:v>
      </x:c>
      <x:c r="C2849" s="188" t="n">
        <x:v>3578397.31</x:v>
      </x:c>
      <x:c r="D2849" s="166" t="str">
        <x:v>PRISMA PRIVATE CREDIT</x:v>
      </x:c>
      <x:c r="E2849" s="166" t="str">
        <x:f>IFERROR(INDEX('Classif Gestoras'!$H$6:$H$462,MATCH(D2849,'Classif Gestoras'!$A$6:$A$462,0)),"Não classificada")</x:f>
        <x:v>Independente</x:v>
      </x:c>
      <x:c r="F2849" s="166" t="str">
        <x:v>Singulare</x:v>
      </x:c>
      <x:c r="G2849" s="166" t="str">
        <x:v>QI CORRETORA DE TÍTULOS E VALORES MOBILIÁRIOS S.A.</x:v>
      </x:c>
      <x:c r="H2849" s="166" t="str">
        <x:v>Outros</x:v>
      </x:c>
      <x:c r="I2849" s="166" t="str">
        <x:v>Multicarteira Outros</x:v>
      </x:c>
      <x:c r="J2849" s="166" t="str">
        <x:v>CI</x:v>
      </x:c>
      <x:c r="K2849" s="172" t="n">
        <x:v>5</x:v>
      </x:c>
      <x:c r="L2849" s="185" t="str">
        <x:v>Não classificado</x:v>
      </x:c>
    </x:row>
    <x:row r="2850">
      <x:c r="A2850" s="175" t="str">
        <x:v>53.323.047/0001-52</x:v>
      </x:c>
      <x:c r="B2850" s="166" t="str">
        <x:v>EDUCBANK FUNDO DE INVESTIMENTO EM DIREITOS CREDITÓRIOS</x:v>
      </x:c>
      <x:c r="C2850" s="188" t="n">
        <x:v>3555170.25</x:v>
      </x:c>
      <x:c r="D2850" s="166" t="str">
        <x:v>CONTEA CAPITAL</x:v>
      </x:c>
      <x:c r="E2850" s="166" t="str">
        <x:f>IFERROR(INDEX('Classif Gestoras'!$H$6:$H$462,MATCH(D2850,'Classif Gestoras'!$A$6:$A$462,0)),"Não classificada")</x:f>
        <x:v>Independente</x:v>
      </x:c>
      <x:c r="F2850" s="166" t="str">
        <x:v>VÓRTX DTVM</x:v>
      </x:c>
      <x:c r="G2850" s="166" t="str">
        <x:v>VORTX DISTRIBUIDORA DE TITULOS E VALORES MOBILIARIOS LTDA.</x:v>
      </x:c>
      <x:c r="H2850" s="166" t="str">
        <x:v>Fomento Mercantil</x:v>
      </x:c>
      <x:c r="I2850" s="166" t="str">
        <x:v>Fomento Mercantil</x:v>
      </x:c>
      <x:c r="J2850" s="166" t="str">
        <x:v>CI</x:v>
      </x:c>
      <x:c r="K2850" s="172" t="n">
        <x:v>8</x:v>
      </x:c>
      <x:c r="L2850" s="185" t="str">
        <x:v>Não classificado</x:v>
      </x:c>
    </x:row>
    <x:row r="2851">
      <x:c r="A2851" s="175" t="str">
        <x:v>39.863.075/0001-31</x:v>
      </x:c>
      <x:c r="B2851" s="166" t="str">
        <x:v>FINANZA PRIME FUNDO DE INVESTIMENTO EM DIREITOS CREDITORIOS</x:v>
      </x:c>
      <x:c r="C2851" s="188" t="n">
        <x:v>3538415.3099999996</x:v>
      </x:c>
      <x:c r="D2851" s="166" t="str">
        <x:v>TERCON ASSET MANAGEMENT</x:v>
      </x:c>
      <x:c r="E2851" s="166" t="str">
        <x:f>IFERROR(INDEX('Classif Gestoras'!$H$6:$H$462,MATCH(D2851,'Classif Gestoras'!$A$6:$A$462,0)),"Não classificada")</x:f>
        <x:v>Independente</x:v>
      </x:c>
      <x:c r="F2851" s="166" t="str">
        <x:v>Singulare</x:v>
      </x:c>
      <x:c r="G2851" s="166" t="str">
        <x:v>QI CORRETORA DE TÍTULOS E VALORES MOBILIÁRIOS S.A.</x:v>
      </x:c>
      <x:c r="H2851" s="166" t="str">
        <x:v>Fomento Mercantil</x:v>
      </x:c>
      <x:c r="I2851" s="166" t="str">
        <x:v>Fomento Mercantil</x:v>
      </x:c>
      <x:c r="J2851" s="166" t="str">
        <x:v>CI</x:v>
      </x:c>
      <x:c r="K2851" s="172" t="n">
        <x:v>1</x:v>
      </x:c>
      <x:c r="L2851" s="185" t="str">
        <x:v>Não classificado</x:v>
      </x:c>
    </x:row>
    <x:row r="2852">
      <x:c r="A2852" s="175" t="str">
        <x:v>38.455.405/0001-97</x:v>
      </x:c>
      <x:c r="B2852" s="166" t="str">
        <x:v>WELLESLEY II FUNDO DE INVESTIMENTO EM DIREITOS CREDITÓRIOS</x:v>
      </x:c>
      <x:c r="C2852" s="188" t="n">
        <x:v>3532567.1500000004</x:v>
      </x:c>
      <x:c r="D2852" s="166" t="str">
        <x:v>PACTUAL CAPITAL PART</x:v>
      </x:c>
      <x:c r="E2852" s="166" t="str">
        <x:f>IFERROR(INDEX('Classif Gestoras'!$H$6:$H$462,MATCH(D2852,'Classif Gestoras'!$A$6:$A$462,0)),"Não classificada")</x:f>
        <x:v>Independente</x:v>
      </x:c>
      <x:c r="F2852" s="166" t="str">
        <x:v>BTG Pactual Servicos Financeiros S/A DTVM</x:v>
      </x:c>
      <x:c r="G2852" s="166" t="str">
        <x:v>BANCO BTG PACTUAL S/A</x:v>
      </x:c>
      <x:c r="H2852" s="166" t="str">
        <x:v>Outros</x:v>
      </x:c>
      <x:c r="I2852" s="166" t="str">
        <x:v>Multicarteira Outros</x:v>
      </x:c>
      <x:c r="J2852" s="166" t="str">
        <x:v>CI</x:v>
      </x:c>
      <x:c r="K2852" s="172" t="n">
        <x:v>1</x:v>
      </x:c>
      <x:c r="L2852" s="185" t="str">
        <x:v>Não classificado</x:v>
      </x:c>
    </x:row>
    <x:row r="2853">
      <x:c r="A2853" s="175" t="str">
        <x:v>40.996.065/0001-53</x:v>
      </x:c>
      <x:c r="B2853" s="166" t="str">
        <x:v>FARMTECH FUNDO DE INVESTIMENTO EM DIREITOS CREDITÓRIOS DO AGRONEGÓCIO - RESPONSABILIDADE LIMITADA</x:v>
      </x:c>
      <x:c r="C2853" s="188" t="n">
        <x:v>3519445.29</x:v>
      </x:c>
      <x:c r="D2853" s="166" t="str">
        <x:v>Farmtech Gestão de Recursos Ltda.</x:v>
      </x:c>
      <x:c r="E2853" s="166" t="str">
        <x:f>IFERROR(INDEX('Classif Gestoras'!$H$6:$H$462,MATCH(D2853,'Classif Gestoras'!$A$6:$A$462,0)),"Não classificada")</x:f>
        <x:v>Independente</x:v>
      </x:c>
      <x:c r="F2853" s="166" t="str">
        <x:v>Oliveira Trust DTVM</x:v>
      </x:c>
      <x:c r="G2853" s="166" t="str">
        <x:v>OLIVEIRA TRUST DTVM S.A.</x:v>
      </x:c>
      <x:c r="H2853" s="166" t="str">
        <x:v>Agro, Indústria e Comércio</x:v>
      </x:c>
      <x:c r="I2853" s="166" t="str">
        <x:v>Recebíveis Comerciais</x:v>
      </x:c>
      <x:c r="J2853" s="166" t="str">
        <x:v>CI</x:v>
      </x:c>
      <x:c r="K2853" s="172" t="n">
        <x:v>3</x:v>
      </x:c>
      <x:c r="L2853" s="185" t="str">
        <x:v>Não classificado</x:v>
      </x:c>
    </x:row>
    <x:row r="2854">
      <x:c r="A2854" s="175" t="str">
        <x:v>26.812.976/0001-52</x:v>
      </x:c>
      <x:c r="B2854" s="166" t="str">
        <x:v>FUNDO DE INVESTIMENTO EM DIREITOS CREDITÓRIOS EMPÍRICA IMOBILIÁRIO MULTI</x:v>
      </x:c>
      <x:c r="C2854" s="188" t="n">
        <x:v>3492479.28</x:v>
      </x:c>
      <x:c r="D2854" s="166" t="str">
        <x:v>REAG GESTÃO DE CRÉDITO</x:v>
      </x:c>
      <x:c r="E2854" s="166" t="str">
        <x:f>IFERROR(INDEX('Classif Gestoras'!$H$6:$H$462,MATCH(D2854,'Classif Gestoras'!$A$6:$A$462,0)),"Não classificada")</x:f>
        <x:v>Independente</x:v>
      </x:c>
      <x:c r="F2854" s="166" t="str">
        <x:v>REAG DTVM</x:v>
      </x:c>
      <x:c r="G2854" s="166" t="str">
        <x:v>FIDD DISTRIBUIDORA DE TITULOS E VALORES MOBILIARIOS LTDA.</x:v>
      </x:c>
      <x:c r="H2854" s="166" t="str">
        <x:v>Financeiro</x:v>
      </x:c>
      <x:c r="I2854" s="166" t="str">
        <x:v>Crédito Imobiliário</x:v>
      </x:c>
      <x:c r="J2854" s="166" t="str">
        <x:v>CI</x:v>
      </x:c>
      <x:c r="K2854" s="172" t="n">
        <x:v>3</x:v>
      </x:c>
      <x:c r="L2854" s="185" t="str">
        <x:v>Não classificado</x:v>
      </x:c>
    </x:row>
    <x:row r="2855">
      <x:c r="A2855" s="175" t="str">
        <x:v>54.827.590/0001-50</x:v>
      </x:c>
      <x:c r="B2855" s="166" t="str">
        <x:v>GUARDIAN MULTI CONSIGNADO IX FUNDO DE INVESTIMENTO EM DIREITOS CREDITÓRIOS RESPONSABILIDADE LIMITADA</x:v>
      </x:c>
      <x:c r="C2855" s="188" t="n">
        <x:v>3431007.7800000003</x:v>
      </x:c>
      <x:c r="D2855" s="166" t="str">
        <x:v>Guardian Gestora</x:v>
      </x:c>
      <x:c r="E2855" s="166" t="str">
        <x:f>IFERROR(INDEX('Classif Gestoras'!$H$6:$H$462,MATCH(D2855,'Classif Gestoras'!$A$6:$A$462,0)),"Não classificada")</x:f>
        <x:v>Independente</x:v>
      </x:c>
      <x:c r="F2855" s="166" t="str">
        <x:v>BANCO DAYCOVAL S/A</x:v>
      </x:c>
      <x:c r="G2855" s="166" t="str">
        <x:v>BANCO DAYCOVAL S.A.</x:v>
      </x:c>
      <x:c r="H2855" s="166" t="str">
        <x:v>Financeiro</x:v>
      </x:c>
      <x:c r="I2855" s="166" t="str">
        <x:v>Crédito Consignado</x:v>
      </x:c>
      <x:c r="J2855" s="166" t="str">
        <x:v>CI</x:v>
      </x:c>
      <x:c r="K2855" s="172" t="n">
        <x:v>5</x:v>
      </x:c>
      <x:c r="L2855" s="185" t="str">
        <x:v>Não classificado</x:v>
      </x:c>
    </x:row>
    <x:row r="2856">
      <x:c r="A2856" s="175" t="str">
        <x:v>63.565.588/0001-40</x:v>
      </x:c>
      <x:c r="B2856" s="166" t="str">
        <x:v>VIVO PAY III FUNDO DE INVESTIMENTO EM DIREITOS CREDITÓRIOS RESPONSABILIDADE LIMITADA</x:v>
      </x:c>
      <x:c r="C2856" s="188" t="n">
        <x:v>3424955.8</x:v>
      </x:c>
      <x:c r="D2856" s="166" t="str">
        <x:v>QI GESTAO DE RECURSOS LTDA</x:v>
      </x:c>
      <x:c r="E2856" s="166" t="str">
        <x:f>IFERROR(INDEX('Classif Gestoras'!$H$6:$H$462,MATCH(D2856,'Classif Gestoras'!$A$6:$A$462,0)),"Não classificada")</x:f>
        <x:v>Independente</x:v>
      </x:c>
      <x:c r="F2856" s="166" t="str">
        <x:v>Singulare</x:v>
      </x:c>
      <x:c r="G2856" s="166" t="str">
        <x:v>Não identificado</x:v>
      </x:c>
      <x:c r="H2856" s="166" t="str">
        <x:v>Financeiro</x:v>
      </x:c>
      <x:c r="I2856" s="166" t="str">
        <x:v>Multicarteira Financeiro</x:v>
      </x:c>
      <x:c r="J2856" s="166" t="str">
        <x:v>CI</x:v>
      </x:c>
      <x:c r="K2856" s="172" t="n">
        <x:v>1</x:v>
      </x:c>
      <x:c r="L2856" s="185" t="str">
        <x:v>Não classificado</x:v>
      </x:c>
    </x:row>
    <x:row r="2857">
      <x:c r="A2857" s="175" t="str">
        <x:v>58.051.964/0001-49</x:v>
      </x:c>
      <x:c r="B2857" s="166" t="str">
        <x:v>ENE2 LEGAL CLAIMS FUNDO DE INVESTIMENTO EM DIREITOS CREDITÓRIOS DE CLASSE ÚNICA FECHADA</x:v>
      </x:c>
      <x:c r="C2857" s="188" t="n">
        <x:v>3409475.8699999996</x:v>
      </x:c>
      <x:c r="D2857" s="166" t="str">
        <x:v>CARMEL GESTORA DE ATIVOS LTDA</x:v>
      </x:c>
      <x:c r="E2857" s="166" t="str">
        <x:f>IFERROR(INDEX('Classif Gestoras'!$H$6:$H$462,MATCH(D2857,'Classif Gestoras'!$A$6:$A$462,0)),"Não classificada")</x:f>
        <x:v>Independente</x:v>
      </x:c>
      <x:c r="F2857" s="166" t="str">
        <x:v>BRL TRUST DTVM</x:v>
      </x:c>
      <x:c r="G2857" s="166" t="str">
        <x:v>BRL TRUST DISTRIBUIDORA DE TITULOS E VALORES MOBILIARIOS S.A.</x:v>
      </x:c>
      <x:c r="H2857" s="166" t="str">
        <x:v>Outros</x:v>
      </x:c>
      <x:c r="I2857" s="166" t="str">
        <x:v>Multicarteira Outros</x:v>
      </x:c>
      <x:c r="J2857" s="166" t="str">
        <x:v>CI</x:v>
      </x:c>
      <x:c r="K2857" s="172" t="n">
        <x:v>5</x:v>
      </x:c>
      <x:c r="L2857" s="185" t="str">
        <x:v>Não classificado</x:v>
      </x:c>
    </x:row>
    <x:row r="2858">
      <x:c r="A2858" s="175" t="str">
        <x:v>61.690.116/0001-94</x:v>
      </x:c>
      <x:c r="B2858" s="166" t="str">
        <x:v>XC CAPITAL FUNDO DE INVESTIMENTO EM DIREITOS CREDITÓRIOS</x:v>
      </x:c>
      <x:c r="C2858" s="188" t="n">
        <x:v>3334728.5</x:v>
      </x:c>
      <x:c r="D2858" s="166" t="str">
        <x:v>ASSET MANAGEMENT</x:v>
      </x:c>
      <x:c r="E2858" s="166" t="str">
        <x:f>IFERROR(INDEX('Classif Gestoras'!$H$6:$H$462,MATCH(D2858,'Classif Gestoras'!$A$6:$A$462,0)),"Não classificada")</x:f>
        <x:v>Independente</x:v>
      </x:c>
      <x:c r="F2858" s="166" t="str">
        <x:v>AZUMI DISTRIBUIDORA DE TÍTULOS E VALORES MOBILIÁRIOS LT</x:v>
      </x:c>
      <x:c r="G2858" s="166" t="str">
        <x:v>AZUMI DISTRIBUIDORA DE TÍTULOS E VALORES MOBILIÁRIOS LTDA.</x:v>
      </x:c>
      <x:c r="H2858" s="166" t="str">
        <x:v>Fomento Mercantil</x:v>
      </x:c>
      <x:c r="I2858" s="166" t="str">
        <x:v>Fomento Mercantil</x:v>
      </x:c>
      <x:c r="J2858" s="166" t="str">
        <x:v>CI</x:v>
      </x:c>
      <x:c r="K2858" s="172" t="n">
        <x:v>1</x:v>
      </x:c>
      <x:c r="L2858" s="185" t="str">
        <x:v>Não classificado</x:v>
      </x:c>
    </x:row>
    <x:row r="2859">
      <x:c r="A2859" s="175" t="str">
        <x:v>10.759.034/0001-18</x:v>
      </x:c>
      <x:c r="B2859" s="166" t="str">
        <x:v>PC FUNDO DE INVESTIMENTO EM DIREITOS CREDITÓRIOS - RESPONSABILIDADE LIMITADA</x:v>
      </x:c>
      <x:c r="C2859" s="188" t="n">
        <x:v>3327412.0600000005</x:v>
      </x:c>
      <x:c r="D2859" s="166" t="str">
        <x:v>Pátria Investimentos Ltda.</x:v>
      </x:c>
      <x:c r="E2859" s="166" t="str">
        <x:f>IFERROR(INDEX('Classif Gestoras'!$H$6:$H$462,MATCH(D2859,'Classif Gestoras'!$A$6:$A$462,0)),"Não classificada")</x:f>
        <x:v>Independente</x:v>
      </x:c>
      <x:c r="F2859" s="166" t="str">
        <x:v>Banvox DTVM</x:v>
      </x:c>
      <x:c r="G2859" s="166" t="str">
        <x:v>BANVOX DISTRIBUIDORA DE TITULOS E VALORES MOBILIARIOS LTDA</x:v>
      </x:c>
      <x:c r="H2859" s="166" t="str">
        <x:v>Outros</x:v>
      </x:c>
      <x:c r="I2859" s="166" t="str">
        <x:v>Multicarteira Outros</x:v>
      </x:c>
      <x:c r="J2859" s="166" t="str">
        <x:v>CI</x:v>
      </x:c>
      <x:c r="K2859" s="172" t="n">
        <x:v>5</x:v>
      </x:c>
      <x:c r="L2859" s="185" t="str">
        <x:v>Não classificado</x:v>
      </x:c>
    </x:row>
    <x:row r="2860">
      <x:c r="A2860" s="175" t="str">
        <x:v>51.250.816/0001-04</x:v>
      </x:c>
      <x:c r="B2860" s="166" t="str">
        <x:v>SATOSHINOMIKS FUNDO DE INVESTIMENTO EM DIREITOS CREDITÓRIOS</x:v>
      </x:c>
      <x:c r="C2860" s="188" t="n">
        <x:v>3292261.27</x:v>
      </x:c>
      <x:c r="D2860" s="166" t="str">
        <x:v>Iggy Investimentos</x:v>
      </x:c>
      <x:c r="E2860" s="166" t="str">
        <x:f>IFERROR(INDEX('Classif Gestoras'!$H$6:$H$462,MATCH(D2860,'Classif Gestoras'!$A$6:$A$462,0)),"Não classificada")</x:f>
        <x:v>Independente</x:v>
      </x:c>
      <x:c r="F2860" s="166" t="str">
        <x:v>Banvox DTVM</x:v>
      </x:c>
      <x:c r="G2860" s="166" t="str">
        <x:v>BANVOX DISTRIBUIDORA DE TITULOS E VALORES MOBILIARIOS LTDA</x:v>
      </x:c>
      <x:c r="H2860" s="166" t="str">
        <x:v>Outros</x:v>
      </x:c>
      <x:c r="I2860" s="166" t="str">
        <x:v>Multicarteira Outros</x:v>
      </x:c>
      <x:c r="J2860" s="166" t="str">
        <x:v>CI</x:v>
      </x:c>
      <x:c r="K2860" s="172" t="n">
        <x:v>2</x:v>
      </x:c>
      <x:c r="L2860" s="185" t="str">
        <x:v>Não classificado</x:v>
      </x:c>
    </x:row>
    <x:row r="2861">
      <x:c r="A2861" s="175" t="str">
        <x:v>60.209.130/0001-60</x:v>
      </x:c>
      <x:c r="B2861" s="166" t="str">
        <x:v>WFOUR FUNDO DE INVESTIMENTO EM DIREITOS CREDITORIOS</x:v>
      </x:c>
      <x:c r="C2861" s="188" t="n">
        <x:v>3276448.87</x:v>
      </x:c>
      <x:c r="D2861" s="166" t="str">
        <x:v>Libertas Asset</x:v>
      </x:c>
      <x:c r="E2861" s="166" t="str">
        <x:f>IFERROR(INDEX('Classif Gestoras'!$H$6:$H$462,MATCH(D2861,'Classif Gestoras'!$A$6:$A$462,0)),"Não classificada")</x:f>
        <x:v>Independente</x:v>
      </x:c>
      <x:c r="F2861" s="166" t="str">
        <x:v>ACTUAL DTVM</x:v>
      </x:c>
      <x:c r="G2861" s="166" t="str">
        <x:v>TRUSTEE DISTRIBUIDORA DE TITULOS E VALORES MOBILIARIOS LTDA.</x:v>
      </x:c>
      <x:c r="H2861" s="166" t="str">
        <x:v>Fomento Mercantil</x:v>
      </x:c>
      <x:c r="I2861" s="166" t="str">
        <x:v>Fomento Mercantil</x:v>
      </x:c>
      <x:c r="J2861" s="166" t="str">
        <x:v>CI</x:v>
      </x:c>
      <x:c r="K2861" s="172" t="n">
        <x:v>1</x:v>
      </x:c>
      <x:c r="L2861" s="185" t="str">
        <x:v>Não classificado</x:v>
      </x:c>
    </x:row>
    <x:row r="2862">
      <x:c r="A2862" s="175" t="str">
        <x:v>61.119.767/0001-29</x:v>
      </x:c>
      <x:c r="B2862" s="166" t="str">
        <x:v>JUD 01 FUNDO DE INVESTIMENTOS EM DIREITOS CREDITÓRIOS NÃO PADRONIZADOS RESPONSABILIDADE LIMITADA</x:v>
      </x:c>
      <x:c r="C2862" s="188" t="n">
        <x:v>3274023.02</x:v>
      </x:c>
      <x:c r="D2862" s="166" t="str">
        <x:v>HÍBRIDO PARTNERS GESTORA DE RECURSOS LTDA.</x:v>
      </x:c>
      <x:c r="E2862" s="166" t="str">
        <x:f>IFERROR(INDEX('Classif Gestoras'!$H$6:$H$462,MATCH(D2862,'Classif Gestoras'!$A$6:$A$462,0)),"Não classificada")</x:f>
        <x:v>Independente</x:v>
      </x:c>
      <x:c r="F2862" s="166" t="str">
        <x:v>ID Corretora de Títulos e Valores Mobiliários S.A.</x:v>
      </x:c>
      <x:c r="G2862" s="166" t="str">
        <x:v>ID CORRETORA DE TITULOS E VALORES MOBILIARIOS S.A.</x:v>
      </x:c>
      <x:c r="H2862" s="166" t="str">
        <x:v>Outros</x:v>
      </x:c>
      <x:c r="I2862" s="166" t="str">
        <x:v>Multicarteira Outros</x:v>
      </x:c>
      <x:c r="J2862" s="166" t="str">
        <x:v>CI</x:v>
      </x:c>
      <x:c r="K2862" s="172" t="n">
        <x:v>1</x:v>
      </x:c>
      <x:c r="L2862" s="185" t="str">
        <x:v>Não classificado</x:v>
      </x:c>
    </x:row>
    <x:row r="2863">
      <x:c r="A2863" s="175" t="str">
        <x:v>61.220.673/0001-41</x:v>
      </x:c>
      <x:c r="B2863" s="166" t="str">
        <x:v>VISION FIDC - CRÉDITOS EM RECUPERAÇÃO JUDICIAL - RESP LIMITADA</x:v>
      </x:c>
      <x:c r="C2863" s="188" t="n">
        <x:v>3262904.3899999997</x:v>
      </x:c>
      <x:c r="D2863" s="166" t="str">
        <x:v>Vision Brazil</x:v>
      </x:c>
      <x:c r="E2863" s="166" t="str">
        <x:f>IFERROR(INDEX('Classif Gestoras'!$H$6:$H$462,MATCH(D2863,'Classif Gestoras'!$A$6:$A$462,0)),"Não classificada")</x:f>
        <x:v>Independente</x:v>
      </x:c>
      <x:c r="F2863" s="166" t="str">
        <x:v>BANCO DAYCOVAL S/A</x:v>
      </x:c>
      <x:c r="G2863" s="166" t="str">
        <x:v>BANCO DAYCOVAL S.A.</x:v>
      </x:c>
      <x:c r="H2863" s="166" t="str">
        <x:v>Outros</x:v>
      </x:c>
      <x:c r="I2863" s="166" t="str">
        <x:v>Recuperação</x:v>
      </x:c>
      <x:c r="J2863" s="166" t="str">
        <x:v>CI</x:v>
      </x:c>
      <x:c r="K2863" s="172" t="n">
        <x:v>2</x:v>
      </x:c>
      <x:c r="L2863" s="185" t="str">
        <x:v>Não classificado</x:v>
      </x:c>
    </x:row>
    <x:row r="2864">
      <x:c r="A2864" s="175" t="str">
        <x:v>64.406.642/0001-78</x:v>
      </x:c>
      <x:c r="B2864" s="166" t="str">
        <x:v>PASSAÚNA FUNDO DE INVESTIMENTO EM COTAS DE FUNDOS DE INVESTIMENTO EM DIREITOS CREDITÓRIOS RESP LIMIT</x:v>
      </x:c>
      <x:c r="C2864" s="188" t="n">
        <x:v>3243368.8600000003</x:v>
      </x:c>
      <x:c r="D2864" s="166" t="str">
        <x:v>Harbour Capital</x:v>
      </x:c>
      <x:c r="E2864" s="166" t="str">
        <x:f>IFERROR(INDEX('Classif Gestoras'!$H$6:$H$462,MATCH(D2864,'Classif Gestoras'!$A$6:$A$462,0)),"Não classificada")</x:f>
        <x:v>Independente</x:v>
      </x:c>
      <x:c r="F2864" s="166" t="str">
        <x:v>AZUMI DISTRIBUIDORA DE TÍTULOS E VALORES MOBILIÁRIOS LT</x:v>
      </x:c>
      <x:c r="G2864" s="166" t="str">
        <x:v>AZUMI DISTRIBUIDORA DE TÍTULOS E VALORES MOBILIÁRIOS LTDA.</x:v>
      </x:c>
      <x:c r="H2864" s="166" t="str">
        <x:v>Financeiro</x:v>
      </x:c>
      <x:c r="I2864" s="166" t="str">
        <x:v>Multicarteira Financeiro</x:v>
      </x:c>
      <x:c r="J2864" s="166" t="str">
        <x:v>CI</x:v>
      </x:c>
      <x:c r="K2864" s="172" t="n">
        <x:v>1</x:v>
      </x:c>
      <x:c r="L2864" s="185" t="str">
        <x:v>Não classificado</x:v>
      </x:c>
    </x:row>
    <x:row r="2865">
      <x:c r="A2865" s="175" t="str">
        <x:v>33.736.744/0001-28</x:v>
      </x:c>
      <x:c r="B2865" s="166" t="str">
        <x:v>VOLPATO - FUNDO DE INVESTIMENTO EM DIREITOS CREDITÓRIOS</x:v>
      </x:c>
      <x:c r="C2865" s="188" t="n">
        <x:v>3231953.65</x:v>
      </x:c>
      <x:c r="D2865" s="166" t="str">
        <x:v>Iron Capital</x:v>
      </x:c>
      <x:c r="E2865" s="166" t="str">
        <x:f>IFERROR(INDEX('Classif Gestoras'!$H$6:$H$462,MATCH(D2865,'Classif Gestoras'!$A$6:$A$462,0)),"Não classificada")</x:f>
        <x:v>Independente</x:v>
      </x:c>
      <x:c r="F2865" s="166" t="str">
        <x:v>VÓRTX DTVM</x:v>
      </x:c>
      <x:c r="G2865" s="166" t="str">
        <x:v>VORTX DISTRIBUIDORA DE TITULOS E VALORES MOBILIARIOS LTDA.</x:v>
      </x:c>
      <x:c r="H2865" s="166" t="str">
        <x:v>Fomento Mercantil</x:v>
      </x:c>
      <x:c r="I2865" s="166" t="str">
        <x:v>Fomento Mercantil</x:v>
      </x:c>
      <x:c r="J2865" s="166" t="str">
        <x:v>CI</x:v>
      </x:c>
      <x:c r="K2865" s="172" t="n">
        <x:v>2</x:v>
      </x:c>
      <x:c r="L2865" s="185" t="str">
        <x:v>Não classificado</x:v>
      </x:c>
    </x:row>
    <x:row r="2866">
      <x:c r="A2866" s="175" t="str">
        <x:v>53.327.560/0001-11</x:v>
      </x:c>
      <x:c r="B2866" s="166" t="str">
        <x:v>LEVANTE - MICROCRÉDITO FUNDO DE INVESTIMENTO EM DIREITOS CREDITÓRIOS</x:v>
      </x:c>
      <x:c r="C2866" s="188" t="n">
        <x:v>3229682.060000001</x:v>
      </x:c>
      <x:c r="D2866" s="166" t="str">
        <x:v>3J Gestora de Recursos Ltda.</x:v>
      </x:c>
      <x:c r="E2866" s="166" t="str">
        <x:f>IFERROR(INDEX('Classif Gestoras'!$H$6:$H$462,MATCH(D2866,'Classif Gestoras'!$A$6:$A$462,0)),"Não classificada")</x:f>
        <x:v>Independente</x:v>
      </x:c>
      <x:c r="F2866" s="166" t="str">
        <x:v>Singulare</x:v>
      </x:c>
      <x:c r="G2866" s="166" t="str">
        <x:v>VERT DISTRIBUIDORA DE TÍTULOS E VALORES MOBILIÁRIOS LTDA.</x:v>
      </x:c>
      <x:c r="H2866" s="166" t="str">
        <x:v>Outros</x:v>
      </x:c>
      <x:c r="I2866" s="166" t="str">
        <x:v>Multicarteira Outros</x:v>
      </x:c>
      <x:c r="J2866" s="166" t="str">
        <x:v>CI</x:v>
      </x:c>
      <x:c r="K2866" s="172" t="n">
        <x:v>40</x:v>
      </x:c>
      <x:c r="L2866" s="185" t="str">
        <x:v>Não classificado</x:v>
      </x:c>
    </x:row>
    <x:row r="2867">
      <x:c r="A2867" s="175" t="str">
        <x:v>55.626.024/0001-42</x:v>
      </x:c>
      <x:c r="B2867" s="166" t="str">
        <x:v>INSOL FUNDO DE INVESTIMENTO EM DIREITOS CREDITÓRIOS DE RESPONSABILIDADE LIMITADA</x:v>
      </x:c>
      <x:c r="C2867" s="188" t="n">
        <x:v>3199595.12</x:v>
      </x:c>
      <x:c r="D2867" s="166" t="str">
        <x:v>Merito DTVM</x:v>
      </x:c>
      <x:c r="E2867" s="166" t="str">
        <x:f>IFERROR(INDEX('Classif Gestoras'!$H$6:$H$462,MATCH(D2867,'Classif Gestoras'!$A$6:$A$462,0)),"Não classificada")</x:f>
        <x:v>Independente</x:v>
      </x:c>
      <x:c r="F2867" s="166" t="str">
        <x:v>Merito DTVM</x:v>
      </x:c>
      <x:c r="G2867" s="166" t="str">
        <x:v>MERITO DISTRIBUIDORA DE TITULOS E VALORES MOBILIARIOS LTDA.</x:v>
      </x:c>
      <x:c r="H2867" s="166" t="str">
        <x:v>Outros</x:v>
      </x:c>
      <x:c r="I2867" s="166" t="str">
        <x:v>Multicarteira Outros</x:v>
      </x:c>
      <x:c r="J2867" s="166" t="str">
        <x:v>CI</x:v>
      </x:c>
      <x:c r="K2867" s="172" t="n">
        <x:v>4</x:v>
      </x:c>
      <x:c r="L2867" s="185" t="str">
        <x:v>Não classificado</x:v>
      </x:c>
    </x:row>
    <x:row r="2868">
      <x:c r="A2868" s="175" t="str">
        <x:v>62.741.028/0001-37</x:v>
      </x:c>
      <x:c r="B2868" s="166" t="str">
        <x:v>CO FUNDO DE INVESTIMENTOS EM DIREITOS CREDITORIOS</x:v>
      </x:c>
      <x:c r="C2868" s="188" t="n">
        <x:v>3190149.01</x:v>
      </x:c>
      <x:c r="D2868" s="166" t="str">
        <x:v>ASSET MANAGEMENT</x:v>
      </x:c>
      <x:c r="E2868" s="166" t="str">
        <x:f>IFERROR(INDEX('Classif Gestoras'!$H$6:$H$462,MATCH(D2868,'Classif Gestoras'!$A$6:$A$462,0)),"Não classificada")</x:f>
        <x:v>Independente</x:v>
      </x:c>
      <x:c r="F2868" s="166" t="str">
        <x:v>AZUMI DISTRIBUIDORA DE TÍTULOS E VALORES MOBILIÁRIOS LT</x:v>
      </x:c>
      <x:c r="G2868" s="166" t="str">
        <x:v>AZUMI DISTRIBUIDORA DE TÍTULOS E VALORES MOBILIÁRIOS LTDA.</x:v>
      </x:c>
      <x:c r="H2868" s="166" t="str">
        <x:v>Fomento Mercantil</x:v>
      </x:c>
      <x:c r="I2868" s="166" t="str">
        <x:v>Fomento Mercantil</x:v>
      </x:c>
      <x:c r="J2868" s="166" t="str">
        <x:v>CI</x:v>
      </x:c>
      <x:c r="K2868" s="172" t="n">
        <x:v>2</x:v>
      </x:c>
      <x:c r="L2868" s="185" t="str">
        <x:v>Não classificado</x:v>
      </x:c>
    </x:row>
    <x:row r="2869">
      <x:c r="A2869" s="175" t="str">
        <x:v>52.430.088/0001-85</x:v>
      </x:c>
      <x:c r="B2869" s="166" t="str">
        <x:v>GUARDIAN MULTI CONSIGNADO V FUNDO DE INVESTIMENTO EM DIREITOS CREDITÓRIOS-RESPONSABILIDADE LIMITADA</x:v>
      </x:c>
      <x:c r="C2869" s="188" t="n">
        <x:v>3141668.94</x:v>
      </x:c>
      <x:c r="D2869" s="166" t="str">
        <x:v>Guardian Gestora</x:v>
      </x:c>
      <x:c r="E2869" s="166" t="str">
        <x:f>IFERROR(INDEX('Classif Gestoras'!$H$6:$H$462,MATCH(D2869,'Classif Gestoras'!$A$6:$A$462,0)),"Não classificada")</x:f>
        <x:v>Independente</x:v>
      </x:c>
      <x:c r="F2869" s="166" t="str">
        <x:v>QI DISTRIBUIDORA DE TITULOS E VALORES MOBILIARIOS LTDA</x:v>
      </x:c>
      <x:c r="G2869" s="166" t="str">
        <x:v>LASTRO RDV DTVM LTDA</x:v>
      </x:c>
      <x:c r="H2869" s="166" t="str">
        <x:v>Financeiro</x:v>
      </x:c>
      <x:c r="I2869" s="166" t="str">
        <x:v>Crédito Pessoal</x:v>
      </x:c>
      <x:c r="J2869" s="166" t="str">
        <x:v>CI</x:v>
      </x:c>
      <x:c r="K2869" s="172" t="n">
        <x:v>1</x:v>
      </x:c>
      <x:c r="L2869" s="185" t="str">
        <x:v>Não classificado</x:v>
      </x:c>
    </x:row>
    <x:row r="2870">
      <x:c r="A2870" s="175" t="str">
        <x:v>63.995.636/0001-30</x:v>
      </x:c>
      <x:c r="B2870" s="166" t="str">
        <x:v>CREDPACK FUNDO DE INVESTIMENTO EM DIREITOS CREDITÓRIOS</x:v>
      </x:c>
      <x:c r="C2870" s="188" t="n">
        <x:v>3091287.6599999997</x:v>
      </x:c>
      <x:c r="D2870" s="166" t="str">
        <x:v>OKEAN INVEST</x:v>
      </x:c>
      <x:c r="E2870" s="166" t="str">
        <x:f>IFERROR(INDEX('Classif Gestoras'!$H$6:$H$462,MATCH(D2870,'Classif Gestoras'!$A$6:$A$462,0)),"Não classificada")</x:f>
        <x:v>Independente</x:v>
      </x:c>
      <x:c r="F2870" s="166" t="str">
        <x:v>Finvest Digital</x:v>
      </x:c>
      <x:c r="G2870" s="166" t="str">
        <x:v>FINVEST DISTRIBUIDORA DE TÍTULOS E VALORES MOBILIÁRIOS LTDA.</x:v>
      </x:c>
      <x:c r="H2870" s="166" t="str">
        <x:v>Fomento Mercantil</x:v>
      </x:c>
      <x:c r="I2870" s="166" t="str">
        <x:v>Fomento Mercantil</x:v>
      </x:c>
      <x:c r="J2870" s="166" t="str">
        <x:v>CI</x:v>
      </x:c>
      <x:c r="K2870" s="172" t="n">
        <x:v>1</x:v>
      </x:c>
      <x:c r="L2870" s="185" t="str">
        <x:v>Não classificado</x:v>
      </x:c>
    </x:row>
    <x:row r="2871">
      <x:c r="A2871" s="175" t="str">
        <x:v>55.790.739/0001-36</x:v>
      </x:c>
      <x:c r="B2871" s="166" t="str">
        <x:v>PAZ FUNDO DE INVESTIMENTO EM DIREITOS CREDITÓRIOS RESPONSABILIDADE LIMITADA</x:v>
      </x:c>
      <x:c r="C2871" s="188" t="n">
        <x:v>3073008.83</x:v>
      </x:c>
      <x:c r="D2871" s="166" t="str">
        <x:v>Lumina</x:v>
      </x:c>
      <x:c r="E2871" s="166" t="str">
        <x:f>IFERROR(INDEX('Classif Gestoras'!$H$6:$H$462,MATCH(D2871,'Classif Gestoras'!$A$6:$A$462,0)),"Não classificada")</x:f>
        <x:v>Independente</x:v>
      </x:c>
      <x:c r="F2871" s="166" t="str">
        <x:v>Singulare</x:v>
      </x:c>
      <x:c r="G2871" s="166" t="str">
        <x:v>QI CORRETORA DE TÍTULOS E VALORES MOBILIÁRIOS S.A.</x:v>
      </x:c>
      <x:c r="H2871" s="166" t="str">
        <x:v>Outros</x:v>
      </x:c>
      <x:c r="I2871" s="166" t="str">
        <x:v>Multicarteira Outros</x:v>
      </x:c>
      <x:c r="J2871" s="166" t="str">
        <x:v>CI</x:v>
      </x:c>
      <x:c r="K2871" s="172" t="n">
        <x:v>7</x:v>
      </x:c>
      <x:c r="L2871" s="185" t="str">
        <x:v>Não classificado</x:v>
      </x:c>
    </x:row>
    <x:row r="2872">
      <x:c r="A2872" s="175" t="str">
        <x:v>64.432.874/0001-09</x:v>
      </x:c>
      <x:c r="B2872" s="166" t="str">
        <x:v>TEC BRASIL CAPITAL FUNDO DE INVESTIMENTO EM DIREITOS CREDITORIOS</x:v>
      </x:c>
      <x:c r="C2872" s="188" t="n">
        <x:v>3062860.21</x:v>
      </x:c>
      <x:c r="D2872" s="166" t="str">
        <x:v>VESTRA CAPITAL</x:v>
      </x:c>
      <x:c r="E2872" s="166" t="str">
        <x:f>IFERROR(INDEX('Classif Gestoras'!$H$6:$H$462,MATCH(D2872,'Classif Gestoras'!$A$6:$A$462,0)),"Não classificada")</x:f>
        <x:v>Independente</x:v>
      </x:c>
      <x:c r="F2872" s="166" t="str">
        <x:v>AZUMI DISTRIBUIDORA DE TÍTULOS E VALORES MOBILIÁRIOS LT</x:v>
      </x:c>
      <x:c r="G2872" s="166" t="str">
        <x:v>AZUMI DISTRIBUIDORA DE TÍTULOS E VALORES MOBILIÁRIOS LTDA.</x:v>
      </x:c>
      <x:c r="H2872" s="166" t="str">
        <x:v>Outros</x:v>
      </x:c>
      <x:c r="I2872" s="166" t="str">
        <x:v>Multicarteira Outros</x:v>
      </x:c>
      <x:c r="J2872" s="166" t="str">
        <x:v>CI</x:v>
      </x:c>
      <x:c r="K2872" s="172" t="n">
        <x:v>3</x:v>
      </x:c>
      <x:c r="L2872" s="185" t="str">
        <x:v>Não classificado</x:v>
      </x:c>
    </x:row>
    <x:row r="2873">
      <x:c r="A2873" s="175" t="str">
        <x:v>63.653.518/0001-44</x:v>
      </x:c>
      <x:c r="B2873" s="166" t="str">
        <x:v>BANREG FUNDO DE INVESTIMENTO EM DIREITOS CREDITÓRIOS</x:v>
      </x:c>
      <x:c r="C2873" s="188" t="n">
        <x:v>3061310.44</x:v>
      </x:c>
      <x:c r="D2873" s="166" t="str">
        <x:v>QUAESTUS GESTÃO DE INVESTIMENTOS LTDA.</x:v>
      </x:c>
      <x:c r="E2873" s="166" t="str">
        <x:f>IFERROR(INDEX('Classif Gestoras'!$H$6:$H$462,MATCH(D2873,'Classif Gestoras'!$A$6:$A$462,0)),"Não classificada")</x:f>
        <x:v>Independente</x:v>
      </x:c>
      <x:c r="F2873" s="166" t="str">
        <x:v>MONETAR DISTRIBUIDORA DE TITUL</x:v>
      </x:c>
      <x:c r="G2873" s="166" t="str">
        <x:v>TERRA INVESTIMENTOS DISTRIBUIDORA DE TITULOS E VALORES MOBILIARIOS LTDA</x:v>
      </x:c>
      <x:c r="H2873" s="166" t="str">
        <x:v>Fomento Mercantil</x:v>
      </x:c>
      <x:c r="I2873" s="166" t="str">
        <x:v>Fomento Mercantil</x:v>
      </x:c>
      <x:c r="J2873" s="166" t="str">
        <x:v>CI</x:v>
      </x:c>
      <x:c r="K2873" s="172" t="n">
        <x:v>2</x:v>
      </x:c>
      <x:c r="L2873" s="185" t="str">
        <x:v>Não classificado</x:v>
      </x:c>
    </x:row>
    <x:row r="2874">
      <x:c r="A2874" s="175" t="str">
        <x:v>59.665.305/0001-65</x:v>
      </x:c>
      <x:c r="B2874" s="166" t="str">
        <x:v>SATYA FUNDO DE INVESTIMENTO EM DIREITOS CREDITÓRIOS DE RESPONSABILIDADE LIMITADA</x:v>
      </x:c>
      <x:c r="C2874" s="188" t="n">
        <x:v>3031777.5500000003</x:v>
      </x:c>
      <x:c r="D2874" s="166" t="str">
        <x:v>Catálise Investimentos</x:v>
      </x:c>
      <x:c r="E2874" s="166" t="str">
        <x:f>IFERROR(INDEX('Classif Gestoras'!$H$6:$H$462,MATCH(D2874,'Classif Gestoras'!$A$6:$A$462,0)),"Não classificada")</x:f>
        <x:v>Independente</x:v>
      </x:c>
      <x:c r="F2874" s="166" t="str">
        <x:v>BANCO DAYCOVAL S/A</x:v>
      </x:c>
      <x:c r="G2874" s="166" t="str">
        <x:v>BANCO DAYCOVAL S.A.</x:v>
      </x:c>
      <x:c r="H2874" s="166" t="str">
        <x:v>Financeiro</x:v>
      </x:c>
      <x:c r="I2874" s="166" t="str">
        <x:v>Multicarteira Financeiro</x:v>
      </x:c>
      <x:c r="J2874" s="166" t="str">
        <x:v>CI</x:v>
      </x:c>
      <x:c r="K2874" s="172" t="n">
        <x:v>1</x:v>
      </x:c>
      <x:c r="L2874" s="185" t="str">
        <x:v>Não classificado</x:v>
      </x:c>
    </x:row>
    <x:row r="2875">
      <x:c r="A2875" s="175" t="str">
        <x:v>26.000.055/0001-95</x:v>
      </x:c>
      <x:c r="B2875" s="166" t="str">
        <x:v>SILVER STONE FUNDO DE INVESTIMENTO EM DIREITOS CREDITÓRIOS MULTISSETORIAL</x:v>
      </x:c>
      <x:c r="C2875" s="188" t="n">
        <x:v>3025264.4</x:v>
      </x:c>
      <x:c r="D2875" s="166" t="str">
        <x:v>OURO PRETO INVESTIMENTOS</x:v>
      </x:c>
      <x:c r="E2875" s="166" t="str">
        <x:f>IFERROR(INDEX('Classif Gestoras'!$H$6:$H$462,MATCH(D2875,'Classif Gestoras'!$A$6:$A$462,0)),"Não classificada")</x:f>
        <x:v>Independente</x:v>
      </x:c>
      <x:c r="F2875" s="166" t="str">
        <x:v>Limine Trust Distribuidora de Titulos e Valores Mobiliá</x:v>
      </x:c>
      <x:c r="G2875" s="166" t="str">
        <x:v>LIMINE TRUST DISTRIBUIDORA DE TITULOS E VALORES MOBILIARIOS LTDA.</x:v>
      </x:c>
      <x:c r="H2875" s="166" t="str">
        <x:v>Outros</x:v>
      </x:c>
      <x:c r="I2875" s="166" t="str">
        <x:v>Multicarteira Outros</x:v>
      </x:c>
      <x:c r="J2875" s="166" t="str">
        <x:v>CI</x:v>
      </x:c>
      <x:c r="K2875" s="172" t="n">
        <x:v>1</x:v>
      </x:c>
      <x:c r="L2875" s="185" t="str">
        <x:v>Não classificado</x:v>
      </x:c>
    </x:row>
    <x:row r="2876">
      <x:c r="A2876" s="175" t="str">
        <x:v>57.671.358/0001-63</x:v>
      </x:c>
      <x:c r="B2876" s="166" t="str">
        <x:v>ASTRO SAÚDE FUNDO DE INVESTIMENTO EM DIREITOS CREDITÓRIOS DE RESPONSABILIDADE LIMITADA</x:v>
      </x:c>
      <x:c r="C2876" s="188" t="n">
        <x:v>3024959.39</x:v>
      </x:c>
      <x:c r="D2876" s="166" t="str">
        <x:v>Kuará Capital</x:v>
      </x:c>
      <x:c r="E2876" s="166" t="str">
        <x:f>IFERROR(INDEX('Classif Gestoras'!$H$6:$H$462,MATCH(D2876,'Classif Gestoras'!$A$6:$A$462,0)),"Não classificada")</x:f>
        <x:v>Independente</x:v>
      </x:c>
      <x:c r="F2876" s="166" t="str">
        <x:v>MONETAR DISTRIBUIDORA DE TITUL</x:v>
      </x:c>
      <x:c r="G2876" s="166" t="str">
        <x:v>TERRA INVESTIMENTOS DISTRIBUIDORA DE TITULOS E VALORES MOBILIARIOS LTDA</x:v>
      </x:c>
      <x:c r="H2876" s="166" t="str">
        <x:v>Outros</x:v>
      </x:c>
      <x:c r="I2876" s="166" t="str">
        <x:v>Multicarteira Outros</x:v>
      </x:c>
      <x:c r="J2876" s="166" t="str">
        <x:v>CI</x:v>
      </x:c>
      <x:c r="K2876" s="172" t="n">
        <x:v>10</x:v>
      </x:c>
      <x:c r="L2876" s="185" t="str">
        <x:v>Não classificado</x:v>
      </x:c>
    </x:row>
    <x:row r="2877">
      <x:c r="A2877" s="175" t="str">
        <x:v>54.990.152/0001-08</x:v>
      </x:c>
      <x:c r="B2877" s="166" t="str">
        <x:v>FUNDO DE INVESTIMENTO EM DIREITOS CREDITÓRIOS K8 CONSIGNADOS - RESPONSABILIDADE LIMITADA</x:v>
      </x:c>
      <x:c r="C2877" s="188" t="n">
        <x:v>3018031.71</x:v>
      </x:c>
      <x:c r="D2877" s="166" t="str">
        <x:v>Iter</x:v>
      </x:c>
      <x:c r="E2877" s="166" t="str">
        <x:f>IFERROR(INDEX('Classif Gestoras'!$H$6:$H$462,MATCH(D2877,'Classif Gestoras'!$A$6:$A$462,0)),"Não classificada")</x:f>
        <x:v>Independente</x:v>
      </x:c>
      <x:c r="F2877" s="166" t="str">
        <x:v>Banvox DTVM</x:v>
      </x:c>
      <x:c r="G2877" s="166" t="str">
        <x:v>BANVOX DISTRIBUIDORA DE TITULOS E VALORES MOBILIARIOS LTDA</x:v>
      </x:c>
      <x:c r="H2877" s="166" t="str">
        <x:v>Financeiro</x:v>
      </x:c>
      <x:c r="I2877" s="166" t="str">
        <x:v>Crédito Consignado</x:v>
      </x:c>
      <x:c r="J2877" s="166" t="str">
        <x:v>CI</x:v>
      </x:c>
      <x:c r="K2877" s="172" t="n">
        <x:v>10</x:v>
      </x:c>
      <x:c r="L2877" s="185" t="str">
        <x:v>Não classificado</x:v>
      </x:c>
    </x:row>
    <x:row r="2878">
      <x:c r="A2878" s="175" t="str">
        <x:v>62.682.407/0001-01</x:v>
      </x:c>
      <x:c r="B2878" s="166" t="str">
        <x:v>PURUNÃ FUNDO DE INVESTIMENTO EM DIREITOS CREDITÓRIOS DE RESPONSABILIDADE LIMITADA</x:v>
      </x:c>
      <x:c r="C2878" s="188" t="n">
        <x:v>3007885.19</x:v>
      </x:c>
      <x:c r="D2878" s="166" t="str">
        <x:v>Catálise Investimentos</x:v>
      </x:c>
      <x:c r="E2878" s="166" t="str">
        <x:f>IFERROR(INDEX('Classif Gestoras'!$H$6:$H$462,MATCH(D2878,'Classif Gestoras'!$A$6:$A$462,0)),"Não classificada")</x:f>
        <x:v>Independente</x:v>
      </x:c>
      <x:c r="F2878" s="166" t="str">
        <x:v>CATÁLISE DTVM</x:v>
      </x:c>
      <x:c r="G2878" s="166" t="str">
        <x:v>BANCO DAYCOVAL S.A.</x:v>
      </x:c>
      <x:c r="H2878" s="166" t="str">
        <x:v>Agro, Indústria e Comércio</x:v>
      </x:c>
      <x:c r="I2878" s="166" t="str">
        <x:v>Recebíveis Comerciais</x:v>
      </x:c>
      <x:c r="J2878" s="166" t="str">
        <x:v>CI</x:v>
      </x:c>
      <x:c r="K2878" s="172" t="n">
        <x:v>1</x:v>
      </x:c>
      <x:c r="L2878" s="185" t="str">
        <x:v>Não classificado</x:v>
      </x:c>
    </x:row>
    <x:row r="2879">
      <x:c r="A2879" s="175" t="str">
        <x:v>51.596.429/0001-24</x:v>
      </x:c>
      <x:c r="B2879" s="166" t="str">
        <x:v>LC I FUNDO DE INVESTIMENTO EM DIREITOS CREDITÓRIOS</x:v>
      </x:c>
      <x:c r="C2879" s="188" t="n">
        <x:v>2993794.29</x:v>
      </x:c>
      <x:c r="D2879" s="166" t="str">
        <x:v>Legatus Asset Management</x:v>
      </x:c>
      <x:c r="E2879" s="166" t="str">
        <x:f>IFERROR(INDEX('Classif Gestoras'!$H$6:$H$462,MATCH(D2879,'Classif Gestoras'!$A$6:$A$462,0)),"Não classificada")</x:f>
        <x:v>Independente</x:v>
      </x:c>
      <x:c r="F2879" s="166" t="str">
        <x:v>PLANNER CV</x:v>
      </x:c>
      <x:c r="G2879" s="166" t="str">
        <x:v>PLANNER CORRETORA DE VALORES S.A.</x:v>
      </x:c>
      <x:c r="H2879" s="166" t="str">
        <x:v>Outros</x:v>
      </x:c>
      <x:c r="I2879" s="166" t="str">
        <x:v>Multicarteira Outros</x:v>
      </x:c>
      <x:c r="J2879" s="166" t="str">
        <x:v>CI</x:v>
      </x:c>
      <x:c r="K2879" s="172" t="n">
        <x:v>10</x:v>
      </x:c>
      <x:c r="L2879" s="185" t="str">
        <x:v>Não classificado</x:v>
      </x:c>
    </x:row>
    <x:row r="2880">
      <x:c r="A2880" s="175" t="str">
        <x:v>24.237.625/0001-30</x:v>
      </x:c>
      <x:c r="B2880" s="166" t="str">
        <x:v>TERRA NOVA FUNDO DE INVESTIMENTO EM DIREITOS CREDITORIOS</x:v>
      </x:c>
      <x:c r="C2880" s="188" t="n">
        <x:v>2991520.37</x:v>
      </x:c>
      <x:c r="D2880" s="166" t="str">
        <x:v>Bless Capital Gestora de Recursos Ltda.</x:v>
      </x:c>
      <x:c r="E2880" s="166" t="str">
        <x:f>IFERROR(INDEX('Classif Gestoras'!$H$6:$H$462,MATCH(D2880,'Classif Gestoras'!$A$6:$A$462,0)),"Não classificada")</x:f>
        <x:v>Independente</x:v>
      </x:c>
      <x:c r="F2880" s="166" t="str">
        <x:v>ID Corretora de Títulos e Valores Mobiliários S.A.</x:v>
      </x:c>
      <x:c r="G2880" s="166" t="str">
        <x:v>ID CORRETORA DE TITULOS E VALORES MOBILIARIOS S.A.</x:v>
      </x:c>
      <x:c r="H2880" s="166" t="str">
        <x:v>Fomento Mercantil</x:v>
      </x:c>
      <x:c r="I2880" s="166" t="str">
        <x:v>Fomento Mercantil</x:v>
      </x:c>
      <x:c r="J2880" s="166" t="str">
        <x:v>CI</x:v>
      </x:c>
      <x:c r="K2880" s="172" t="n">
        <x:v>1</x:v>
      </x:c>
      <x:c r="L2880" s="185" t="str">
        <x:v>Não classificado</x:v>
      </x:c>
    </x:row>
    <x:row r="2881">
      <x:c r="A2881" s="175" t="str">
        <x:v>65.804.305/0001-00</x:v>
      </x:c>
      <x:c r="B2881" s="166" t="str">
        <x:v>TAG SS II FIDC RESPONSABILIDADE LIMITADA</x:v>
      </x:c>
      <x:c r="C2881" s="188" t="n">
        <x:v>2991383.24</x:v>
      </x:c>
      <x:c r="D2881" s="166" t="str">
        <x:v>TAG Investimentos</x:v>
      </x:c>
      <x:c r="E2881" s="166" t="str">
        <x:f>IFERROR(INDEX('Classif Gestoras'!$H$6:$H$462,MATCH(D2881,'Classif Gestoras'!$A$6:$A$462,0)),"Não classificada")</x:f>
        <x:v>Independente</x:v>
      </x:c>
      <x:c r="F2881" s="166" t="str">
        <x:v>BANCO DAYCOVAL S/A</x:v>
      </x:c>
      <x:c r="G2881" s="166" t="str">
        <x:v>BANCO DAYCOVAL S.A.</x:v>
      </x:c>
      <x:c r="H2881" s="166" t="str">
        <x:v>Outros</x:v>
      </x:c>
      <x:c r="I2881" s="166" t="str">
        <x:v>Poder Público</x:v>
      </x:c>
      <x:c r="J2881" s="166" t="str">
        <x:v>CI</x:v>
      </x:c>
      <x:c r="K2881" s="172" t="n">
        <x:v>1</x:v>
      </x:c>
      <x:c r="L2881" s="185" t="str">
        <x:v>Não classificado</x:v>
      </x:c>
    </x:row>
    <x:row r="2882">
      <x:c r="A2882" s="175" t="str">
        <x:v>66.320.254/0001-03</x:v>
      </x:c>
      <x:c r="B2882" s="166" t="str">
        <x:v>FUNDO DE INVESTIMENTO EM DIREITOS CREDITÓRIOS SOLVERA VAREJO RESPONSABILIDADE LIMITADA</x:v>
      </x:c>
      <x:c r="C2882" s="188" t="n">
        <x:v>2988081.8099999996</x:v>
      </x:c>
      <x:c r="D2882" s="166" t="str">
        <x:v>Rio das Pedras Investimentos</x:v>
      </x:c>
      <x:c r="E2882" s="166" t="str">
        <x:f>IFERROR(INDEX('Classif Gestoras'!$H$6:$H$462,MATCH(D2882,'Classif Gestoras'!$A$6:$A$462,0)),"Não classificada")</x:f>
        <x:v>Independente</x:v>
      </x:c>
      <x:c r="F2882" s="166" t="str">
        <x:v>Singulare</x:v>
      </x:c>
      <x:c r="G2882" s="166" t="str">
        <x:v>QI CORRETORA DE TÍTULOS E VALORES MOBILIÁRIOS S.A.</x:v>
      </x:c>
      <x:c r="H2882" s="166" t="str">
        <x:v>Financeiro</x:v>
      </x:c>
      <x:c r="I2882" s="166" t="str">
        <x:v>Multicarteira Financeiro</x:v>
      </x:c>
      <x:c r="J2882" s="166" t="str">
        <x:v>CI</x:v>
      </x:c>
      <x:c r="K2882" s="172" t="n">
        <x:v>1</x:v>
      </x:c>
      <x:c r="L2882" s="185" t="str">
        <x:v>Não classificado</x:v>
      </x:c>
    </x:row>
    <x:row r="2883">
      <x:c r="A2883" s="175" t="str">
        <x:v>64.191.286/0001-12</x:v>
      </x:c>
      <x:c r="B2883" s="166" t="str">
        <x:v>FUNDESTAP FUNDO DE INVESTIMENTO EM DIREITOS CREDITÓRIOS</x:v>
      </x:c>
      <x:c r="C2883" s="188" t="n">
        <x:v>2970090.06</x:v>
      </x:c>
      <x:c r="D2883" s="166" t="str">
        <x:v>Veritas Capital Management</x:v>
      </x:c>
      <x:c r="E2883" s="166" t="str">
        <x:f>IFERROR(INDEX('Classif Gestoras'!$H$6:$H$462,MATCH(D2883,'Classif Gestoras'!$A$6:$A$462,0)),"Não classificada")</x:f>
        <x:v>Independente</x:v>
      </x:c>
      <x:c r="F2883" s="166" t="str">
        <x:v>PLANNER CV</x:v>
      </x:c>
      <x:c r="G2883" s="166" t="str">
        <x:v>PLANNER CORRETORA DE VALORES S.A.</x:v>
      </x:c>
      <x:c r="H2883" s="166" t="str">
        <x:v>Outros</x:v>
      </x:c>
      <x:c r="I2883" s="166" t="str">
        <x:v>Multicarteira Outros</x:v>
      </x:c>
      <x:c r="J2883" s="166" t="str">
        <x:v>CI</x:v>
      </x:c>
      <x:c r="K2883" s="172" t="n">
        <x:v>3</x:v>
      </x:c>
      <x:c r="L2883" s="185" t="str">
        <x:v>Não classificado</x:v>
      </x:c>
    </x:row>
    <x:row r="2884">
      <x:c r="A2884" s="175" t="str">
        <x:v>63.244.964/0001-03</x:v>
      </x:c>
      <x:c r="B2884" s="166" t="str">
        <x:v>CHAPADA FUNDO DE INVESTIMENTO EM DIREITOS CREDITÓRIOS RESPONSABILIDADE LIMITADA</x:v>
      </x:c>
      <x:c r="C2884" s="188" t="n">
        <x:v>2968544.94</x:v>
      </x:c>
      <x:c r="D2884" s="166" t="str">
        <x:v>Renova Gestora</x:v>
      </x:c>
      <x:c r="E2884" s="166" t="str">
        <x:f>IFERROR(INDEX('Classif Gestoras'!$H$6:$H$462,MATCH(D2884,'Classif Gestoras'!$A$6:$A$462,0)),"Não classificada")</x:f>
        <x:v>Independente</x:v>
      </x:c>
      <x:c r="F2884" s="166" t="str">
        <x:v>MONETAR DISTRIBUIDORA DE TITUL</x:v>
      </x:c>
      <x:c r="G2884" s="166" t="str">
        <x:v>TERRA INVESTIMENTOS DISTRIBUIDORA DE TITULOS E VALORES MOBILIARIOS LTDA</x:v>
      </x:c>
      <x:c r="H2884" s="166" t="str">
        <x:v>Outros</x:v>
      </x:c>
      <x:c r="I2884" s="166" t="str">
        <x:v>Multicarteira Outros</x:v>
      </x:c>
      <x:c r="J2884" s="166" t="str">
        <x:v>CI</x:v>
      </x:c>
      <x:c r="K2884" s="172" t="n">
        <x:v>4</x:v>
      </x:c>
      <x:c r="L2884" s="185" t="str">
        <x:v>Não classificado</x:v>
      </x:c>
    </x:row>
    <x:row r="2885">
      <x:c r="A2885" s="175" t="str">
        <x:v>41.218.800/0001-60</x:v>
      </x:c>
      <x:c r="B2885" s="166" t="str">
        <x:v>FUNDO DE INVESTIMENTO EM DIREITOS CREDITÓRIOS VALYSSPI</x:v>
      </x:c>
      <x:c r="C2885" s="188" t="n">
        <x:v>2944116.2399999993</x:v>
      </x:c>
      <x:c r="D2885" s="166" t="str">
        <x:v>VALORA RENDA FIXA ESTRUTURADOS LTDA.</x:v>
      </x:c>
      <x:c r="E2885" s="166" t="str">
        <x:f>IFERROR(INDEX('Classif Gestoras'!$H$6:$H$462,MATCH(D2885,'Classif Gestoras'!$A$6:$A$462,0)),"Não classificada")</x:f>
        <x:v>Independente</x:v>
      </x:c>
      <x:c r="F2885" s="166" t="str">
        <x:v>BANCO DAYCOVAL S/A</x:v>
      </x:c>
      <x:c r="G2885" s="166" t="str">
        <x:v>BANCO DAYCOVAL S.A.</x:v>
      </x:c>
      <x:c r="H2885" s="166" t="str">
        <x:v>Outros</x:v>
      </x:c>
      <x:c r="I2885" s="166" t="str">
        <x:v>Poder Público</x:v>
      </x:c>
      <x:c r="J2885" s="166" t="str">
        <x:v>CI</x:v>
      </x:c>
      <x:c r="K2885" s="172" t="n">
        <x:v>9</x:v>
      </x:c>
      <x:c r="L2885" s="185" t="str">
        <x:v>Não classificado</x:v>
      </x:c>
    </x:row>
    <x:row r="2886">
      <x:c r="A2886" s="175" t="str">
        <x:v>61.281.837/0001-40</x:v>
      </x:c>
      <x:c r="B2886" s="166" t="str">
        <x:v>HCAM PETRO FUNDO DE INVESTIMENTO EM DIREITOS CREDITÓRIOS</x:v>
      </x:c>
      <x:c r="C2886" s="188" t="n">
        <x:v>2931685.97</x:v>
      </x:c>
      <x:c r="D2886" s="166" t="str">
        <x:v>HCAM LTDA.</x:v>
      </x:c>
      <x:c r="E2886" s="166" t="str">
        <x:f>IFERROR(INDEX('Classif Gestoras'!$H$6:$H$462,MATCH(D2886,'Classif Gestoras'!$A$6:$A$462,0)),"Não classificada")</x:f>
        <x:v>Independente</x:v>
      </x:c>
      <x:c r="F2886" s="166" t="str">
        <x:v>Limine Trust Distribuidora de Titulos e Valores Mobiliá</x:v>
      </x:c>
      <x:c r="G2886" s="166" t="str">
        <x:v>LIMINE TRUST DISTRIBUIDORA DE TITULOS E VALORES MOBILIARIOS LTDA.</x:v>
      </x:c>
      <x:c r="H2886" s="166" t="str">
        <x:v>Fomento Mercantil</x:v>
      </x:c>
      <x:c r="I2886" s="166" t="str">
        <x:v>Fomento Mercantil</x:v>
      </x:c>
      <x:c r="J2886" s="166" t="str">
        <x:v>CI</x:v>
      </x:c>
      <x:c r="K2886" s="172" t="n">
        <x:v>13</x:v>
      </x:c>
      <x:c r="L2886" s="185" t="str">
        <x:v>Não classificado</x:v>
      </x:c>
    </x:row>
    <x:row r="2887">
      <x:c r="A2887" s="175" t="str">
        <x:v>61.084.525/0001-47</x:v>
      </x:c>
      <x:c r="B2887" s="166" t="str">
        <x:v>GARRA FUNDO DE INVESTIMENTO EM DIREITOS CREDITÓRIOS</x:v>
      </x:c>
      <x:c r="C2887" s="188" t="n">
        <x:v>2908491.89</x:v>
      </x:c>
      <x:c r="D2887" s="166" t="str">
        <x:v>Harbour Capital</x:v>
      </x:c>
      <x:c r="E2887" s="166" t="str">
        <x:f>IFERROR(INDEX('Classif Gestoras'!$H$6:$H$462,MATCH(D2887,'Classif Gestoras'!$A$6:$A$462,0)),"Não classificada")</x:f>
        <x:v>Independente</x:v>
      </x:c>
      <x:c r="F2887" s="166" t="str">
        <x:v>AZUMI DISTRIBUIDORA DE TÍTULOS E VALORES MOBILIÁRIOS LT</x:v>
      </x:c>
      <x:c r="G2887" s="166" t="str">
        <x:v>AZUMI DISTRIBUIDORA DE TÍTULOS E VALORES MOBILIÁRIOS LTDA.</x:v>
      </x:c>
      <x:c r="H2887" s="166" t="str">
        <x:v>Outros</x:v>
      </x:c>
      <x:c r="I2887" s="166" t="str">
        <x:v>Multicarteira Outros</x:v>
      </x:c>
      <x:c r="J2887" s="166" t="str">
        <x:v>CI</x:v>
      </x:c>
      <x:c r="K2887" s="172" t="n">
        <x:v>2</x:v>
      </x:c>
      <x:c r="L2887" s="185" t="str">
        <x:v>Não classificado</x:v>
      </x:c>
    </x:row>
    <x:row r="2888">
      <x:c r="A2888" s="175" t="str">
        <x:v>47.425.860/0001-30</x:v>
      </x:c>
      <x:c r="B2888" s="166" t="str">
        <x:v>ATICCA DIGITAL FUNDO DE INVESTIMENTO EM DIREITOS CREDITÓRIOS</x:v>
      </x:c>
      <x:c r="C2888" s="188" t="n">
        <x:v>2893141.35</x:v>
      </x:c>
      <x:c r="D2888" s="166" t="str">
        <x:v>OURO PRETO INVESTIMENTOS</x:v>
      </x:c>
      <x:c r="E2888" s="166" t="str">
        <x:f>IFERROR(INDEX('Classif Gestoras'!$H$6:$H$462,MATCH(D2888,'Classif Gestoras'!$A$6:$A$462,0)),"Não classificada")</x:f>
        <x:v>Independente</x:v>
      </x:c>
      <x:c r="F2888" s="166" t="str">
        <x:v>Limine Trust Distribuidora de Titulos e Valores Mobiliá</x:v>
      </x:c>
      <x:c r="G2888" s="166" t="str">
        <x:v>LIMINE TRUST DISTRIBUIDORA DE TITULOS E VALORES MOBILIARIOS LTDA.</x:v>
      </x:c>
      <x:c r="H2888" s="166" t="str">
        <x:v>Fomento Mercantil</x:v>
      </x:c>
      <x:c r="I2888" s="166" t="str">
        <x:v>Fomento Mercantil</x:v>
      </x:c>
      <x:c r="J2888" s="166" t="str">
        <x:v>CI</x:v>
      </x:c>
      <x:c r="K2888" s="172" t="n">
        <x:v>2</x:v>
      </x:c>
      <x:c r="L2888" s="185" t="str">
        <x:v>Não classificado</x:v>
      </x:c>
    </x:row>
    <x:row r="2889">
      <x:c r="A2889" s="175" t="str">
        <x:v>62.540.865/0001-06</x:v>
      </x:c>
      <x:c r="B2889" s="166" t="str">
        <x:v>BARAC FUNDO DE INVESTIMENTO EM DIREITOS CREDITÓRIOS</x:v>
      </x:c>
      <x:c r="C2889" s="188" t="n">
        <x:v>2887637.99</x:v>
      </x:c>
      <x:c r="D2889" s="166" t="str">
        <x:v>Moka Gestora de Recursos de Terceiros LTDA.</x:v>
      </x:c>
      <x:c r="E2889" s="166" t="str">
        <x:f>IFERROR(INDEX('Classif Gestoras'!$H$6:$H$462,MATCH(D2889,'Classif Gestoras'!$A$6:$A$462,0)),"Não classificada")</x:f>
        <x:v>Independente</x:v>
      </x:c>
      <x:c r="F2889" s="166" t="str">
        <x:v>Singulare</x:v>
      </x:c>
      <x:c r="G2889" s="166" t="str">
        <x:v>QI CORRETORA DE TÍTULOS E VALORES MOBILIÁRIOS S.A.</x:v>
      </x:c>
      <x:c r="H2889" s="166" t="str">
        <x:v>Outros</x:v>
      </x:c>
      <x:c r="I2889" s="166" t="str">
        <x:v>Multicarteira Outros</x:v>
      </x:c>
      <x:c r="J2889" s="166" t="str">
        <x:v>CI</x:v>
      </x:c>
      <x:c r="K2889" s="172" t="n">
        <x:v>4</x:v>
      </x:c>
      <x:c r="L2889" s="185" t="str">
        <x:v>Não classificado</x:v>
      </x:c>
    </x:row>
    <x:row r="2890">
      <x:c r="A2890" s="175" t="str">
        <x:v>60.306.067/0001-80</x:v>
      </x:c>
      <x:c r="B2890" s="166" t="str">
        <x:v>CASH FUNDO DE INVESTIMENTO EM DIREITOS CREDITORIOS</x:v>
      </x:c>
      <x:c r="C2890" s="188" t="n">
        <x:v>2884353.16</x:v>
      </x:c>
      <x:c r="D2890" s="166" t="str">
        <x:v>Libertas Asset</x:v>
      </x:c>
      <x:c r="E2890" s="166" t="str">
        <x:f>IFERROR(INDEX('Classif Gestoras'!$H$6:$H$462,MATCH(D2890,'Classif Gestoras'!$A$6:$A$462,0)),"Não classificada")</x:f>
        <x:v>Independente</x:v>
      </x:c>
      <x:c r="F2890" s="166" t="str">
        <x:v>ACTUAL DTVM</x:v>
      </x:c>
      <x:c r="G2890" s="166" t="str">
        <x:v>TRUSTEE DISTRIBUIDORA DE TITULOS E VALORES MOBILIARIOS LTDA.</x:v>
      </x:c>
      <x:c r="H2890" s="166" t="str">
        <x:v>Fomento Mercantil</x:v>
      </x:c>
      <x:c r="I2890" s="166" t="str">
        <x:v>Fomento Mercantil</x:v>
      </x:c>
      <x:c r="J2890" s="166" t="str">
        <x:v>CI</x:v>
      </x:c>
      <x:c r="K2890" s="172" t="n">
        <x:v>6</x:v>
      </x:c>
      <x:c r="L2890" s="185" t="str">
        <x:v>Não classificado</x:v>
      </x:c>
    </x:row>
    <x:row r="2891">
      <x:c r="A2891" s="175" t="str">
        <x:v>60.864.701/0001-09</x:v>
      </x:c>
      <x:c r="B2891" s="166" t="str">
        <x:v>NEXUS TRADE FUNDO DE INVESTIMENTO EM DIREITOS CREDITORIOS</x:v>
      </x:c>
      <x:c r="C2891" s="188" t="n">
        <x:v>2879261.2699999996</x:v>
      </x:c>
      <x:c r="D2891" s="166" t="str">
        <x:v>Quartzo Invest</x:v>
      </x:c>
      <x:c r="E2891" s="166" t="str">
        <x:f>IFERROR(INDEX('Classif Gestoras'!$H$6:$H$462,MATCH(D2891,'Classif Gestoras'!$A$6:$A$462,0)),"Não classificada")</x:f>
        <x:v>Independente</x:v>
      </x:c>
      <x:c r="F2891" s="166" t="str">
        <x:v>ACTUAL DTVM</x:v>
      </x:c>
      <x:c r="G2891" s="166" t="str">
        <x:v>TRUSTEE DISTRIBUIDORA DE TITULOS E VALORES MOBILIARIOS LTDA.</x:v>
      </x:c>
      <x:c r="H2891" s="166" t="str">
        <x:v>Outros</x:v>
      </x:c>
      <x:c r="I2891" s="166" t="str">
        <x:v>Multicarteira Outros</x:v>
      </x:c>
      <x:c r="J2891" s="166" t="str">
        <x:v>CI</x:v>
      </x:c>
      <x:c r="K2891" s="172" t="n">
        <x:v>1</x:v>
      </x:c>
      <x:c r="L2891" s="185" t="str">
        <x:v>Não classificado</x:v>
      </x:c>
    </x:row>
    <x:row r="2892">
      <x:c r="A2892" s="175" t="str">
        <x:v>64.023.072/0001-37</x:v>
      </x:c>
      <x:c r="B2892" s="166" t="str">
        <x:v>AXEN BANK FUNDO DE INVESTIMENTO EM DIREITOS CREDITÓRIOS</x:v>
      </x:c>
      <x:c r="C2892" s="188" t="n">
        <x:v>2878423.6100000003</x:v>
      </x:c>
      <x:c r="D2892" s="166" t="str">
        <x:v>Redwood Asset Management</x:v>
      </x:c>
      <x:c r="E2892" s="166" t="str">
        <x:f>IFERROR(INDEX('Classif Gestoras'!$H$6:$H$462,MATCH(D2892,'Classif Gestoras'!$A$6:$A$462,0)),"Não classificada")</x:f>
        <x:v>Independente</x:v>
      </x:c>
      <x:c r="F2892" s="166" t="str">
        <x:v>PLANNER CV</x:v>
      </x:c>
      <x:c r="G2892" s="166" t="str">
        <x:v>PLANNER CORRETORA DE VALORES S.A.</x:v>
      </x:c>
      <x:c r="H2892" s="166" t="str">
        <x:v>Outros</x:v>
      </x:c>
      <x:c r="I2892" s="166" t="str">
        <x:v>Multicarteira Outros</x:v>
      </x:c>
      <x:c r="J2892" s="166" t="str">
        <x:v>CI</x:v>
      </x:c>
      <x:c r="K2892" s="172" t="n">
        <x:v>1</x:v>
      </x:c>
      <x:c r="L2892" s="185" t="str">
        <x:v>Não classificado</x:v>
      </x:c>
    </x:row>
    <x:row r="2893">
      <x:c r="A2893" s="175" t="str">
        <x:v>43.866.327/0001-53</x:v>
      </x:c>
      <x:c r="B2893" s="166" t="str">
        <x:v>FG NOW FUNDO DE INVESTIMENTO EM DIREITOS CREDITÓRIOS</x:v>
      </x:c>
      <x:c r="C2893" s="188" t="n">
        <x:v>2817349.56</x:v>
      </x:c>
      <x:c r="D2893" s="166" t="str">
        <x:v>Solis</x:v>
      </x:c>
      <x:c r="E2893" s="166" t="str">
        <x:f>IFERROR(INDEX('Classif Gestoras'!$H$6:$H$462,MATCH(D2893,'Classif Gestoras'!$A$6:$A$462,0)),"Não classificada")</x:f>
        <x:v>Independente</x:v>
      </x:c>
      <x:c r="F2893" s="166" t="str">
        <x:v>VÓRTX DTVM</x:v>
      </x:c>
      <x:c r="G2893" s="166" t="str">
        <x:v>VORTX DISTRIBUIDORA DE TITULOS E VALORES MOBILIARIOS LTDA.</x:v>
      </x:c>
      <x:c r="H2893" s="166" t="str">
        <x:v>Financeiro</x:v>
      </x:c>
      <x:c r="I2893" s="166" t="str">
        <x:v>Crédito Pessoal</x:v>
      </x:c>
      <x:c r="J2893" s="166" t="str">
        <x:v>CI</x:v>
      </x:c>
      <x:c r="K2893" s="172" t="n">
        <x:v>5</x:v>
      </x:c>
      <x:c r="L2893" s="185" t="str">
        <x:v>Não classificado</x:v>
      </x:c>
    </x:row>
    <x:row r="2894">
      <x:c r="A2894" s="175" t="str">
        <x:v>53.323.818/0001-01</x:v>
      </x:c>
      <x:c r="B2894" s="166" t="str">
        <x:v>JAFFA II FUNDO DE INVESTIMENTO EM DIREITOS CREDITÓRIOS NÃO PADRONIZADOS</x:v>
      </x:c>
      <x:c r="C2894" s="188" t="n">
        <x:v>2808013.0300000003</x:v>
      </x:c>
      <x:c r="D2894" s="166" t="str">
        <x:v>Bless Capital Gestora de Recursos Ltda.</x:v>
      </x:c>
      <x:c r="E2894" s="166" t="str">
        <x:f>IFERROR(INDEX('Classif Gestoras'!$H$6:$H$462,MATCH(D2894,'Classif Gestoras'!$A$6:$A$462,0)),"Não classificada")</x:f>
        <x:v>Independente</x:v>
      </x:c>
      <x:c r="F2894" s="166" t="str">
        <x:v>ID Corretora de Títulos e Valores Mobiliários S.A.</x:v>
      </x:c>
      <x:c r="G2894" s="166" t="str">
        <x:v>ID CORRETORA DE TITULOS E VALORES MOBILIARIOS S.A.</x:v>
      </x:c>
      <x:c r="H2894" s="166" t="str">
        <x:v>Fomento Mercantil</x:v>
      </x:c>
      <x:c r="I2894" s="166" t="str">
        <x:v>Fomento Mercantil</x:v>
      </x:c>
      <x:c r="J2894" s="166" t="str">
        <x:v>CI</x:v>
      </x:c>
      <x:c r="K2894" s="172" t="n">
        <x:v>1</x:v>
      </x:c>
      <x:c r="L2894" s="185" t="str">
        <x:v>Não classificado</x:v>
      </x:c>
    </x:row>
    <x:row r="2895">
      <x:c r="A2895" s="175" t="str">
        <x:v>57.993.612/0001-40</x:v>
      </x:c>
      <x:c r="B2895" s="166" t="str">
        <x:v>D&amp;C JUDICIAIS II - FUNDO DE INVESTIMENTO EM DIREITOS CREDITÓRIOS RECUPERAÇÃO DE CRÉDITO</x:v>
      </x:c>
      <x:c r="C2895" s="188" t="n">
        <x:v>2807482.15</x:v>
      </x:c>
      <x:c r="D2895" s="166" t="str">
        <x:v>Iggy Investimentos</x:v>
      </x:c>
      <x:c r="E2895" s="166" t="str">
        <x:f>IFERROR(INDEX('Classif Gestoras'!$H$6:$H$462,MATCH(D2895,'Classif Gestoras'!$A$6:$A$462,0)),"Não classificada")</x:f>
        <x:v>Independente</x:v>
      </x:c>
      <x:c r="F2895" s="166" t="str">
        <x:v>Banvox DTVM</x:v>
      </x:c>
      <x:c r="G2895" s="166" t="str">
        <x:v>BANVOX DISTRIBUIDORA DE TITULOS E VALORES MOBILIARIOS LTDA</x:v>
      </x:c>
      <x:c r="H2895" s="166" t="str">
        <x:v>Outros</x:v>
      </x:c>
      <x:c r="I2895" s="166" t="str">
        <x:v>Recuperação</x:v>
      </x:c>
      <x:c r="J2895" s="166" t="str">
        <x:v>CI</x:v>
      </x:c>
      <x:c r="K2895" s="172" t="n">
        <x:v>1</x:v>
      </x:c>
      <x:c r="L2895" s="185" t="str">
        <x:v>Não classificado</x:v>
      </x:c>
    </x:row>
    <x:row r="2896">
      <x:c r="A2896" s="175" t="str">
        <x:v>65.343.842/0001-91</x:v>
      </x:c>
      <x:c r="B2896" s="166" t="str">
        <x:v>CONECTEPOWER FUNDO DE INVESTIMENTO EM DIREITOS CREDITÓRIOS RESPONSABILIDADE LIMITADA</x:v>
      </x:c>
      <x:c r="C2896" s="188" t="n">
        <x:v>2795828.04</x:v>
      </x:c>
      <x:c r="D2896" s="166" t="str">
        <x:v>AUGME CAPITAL GESTÃO DE RECURSOS LTDA.</x:v>
      </x:c>
      <x:c r="E2896" s="166" t="str">
        <x:f>IFERROR(INDEX('Classif Gestoras'!$H$6:$H$462,MATCH(D2896,'Classif Gestoras'!$A$6:$A$462,0)),"Não classificada")</x:f>
        <x:v>Independente</x:v>
      </x:c>
      <x:c r="F2896" s="166" t="str">
        <x:v>BANCO DAYCOVAL S/A</x:v>
      </x:c>
      <x:c r="G2896" s="166" t="str">
        <x:v>BANCO DAYCOVAL S.A.</x:v>
      </x:c>
      <x:c r="H2896" s="166" t="str">
        <x:v>Outros</x:v>
      </x:c>
      <x:c r="I2896" s="166" t="str">
        <x:v>Multicarteira Outros</x:v>
      </x:c>
      <x:c r="J2896" s="166" t="str">
        <x:v>CI</x:v>
      </x:c>
      <x:c r="K2896" s="172" t="n">
        <x:v>2</x:v>
      </x:c>
      <x:c r="L2896" s="185" t="str">
        <x:v>Não classificado</x:v>
      </x:c>
    </x:row>
    <x:row r="2897">
      <x:c r="A2897" s="175" t="str">
        <x:v>11.468.192/0001-81</x:v>
      </x:c>
      <x:c r="B2897" s="166" t="str">
        <x:v>DEL CRED NP FUNDO DE INVESTIMENTO EM DIREITOS CREDITÓRIOS NÃO PADRONIZADOS MULTISSETORIAL</x:v>
      </x:c>
      <x:c r="C2897" s="188" t="n">
        <x:v>2791852.3000000003</x:v>
      </x:c>
      <x:c r="D2897" s="166" t="str">
        <x:v>TERCON ASSET MANAGEMENT</x:v>
      </x:c>
      <x:c r="E2897" s="166" t="str">
        <x:f>IFERROR(INDEX('Classif Gestoras'!$H$6:$H$462,MATCH(D2897,'Classif Gestoras'!$A$6:$A$462,0)),"Não classificada")</x:f>
        <x:v>Independente</x:v>
      </x:c>
      <x:c r="F2897" s="166" t="str">
        <x:v>Limine Trust Distribuidora de Titulos e Valores Mobiliá</x:v>
      </x:c>
      <x:c r="G2897" s="166" t="str">
        <x:v>LIMINE TRUST DISTRIBUIDORA DE TITULOS E VALORES MOBILIARIOS LTDA.</x:v>
      </x:c>
      <x:c r="H2897" s="166" t="str">
        <x:v>Fomento Mercantil</x:v>
      </x:c>
      <x:c r="I2897" s="166" t="str">
        <x:v>Fomento Mercantil</x:v>
      </x:c>
      <x:c r="J2897" s="166" t="str">
        <x:v>CI</x:v>
      </x:c>
      <x:c r="K2897" s="172" t="n">
        <x:v>3</x:v>
      </x:c>
      <x:c r="L2897" s="185" t="str">
        <x:v>Não classificado</x:v>
      </x:c>
    </x:row>
    <x:row r="2898">
      <x:c r="A2898" s="175" t="str">
        <x:v>37.266.557/0001-89</x:v>
      </x:c>
      <x:c r="B2898" s="166" t="str">
        <x:v>FUNDO DE INVESTIMENTO EM DIREITOS CREDITÓRIOS TM II RESPONSABILIDADE LIMITADA</x:v>
      </x:c>
      <x:c r="C2898" s="188" t="n">
        <x:v>2763443.0599999996</x:v>
      </x:c>
      <x:c r="D2898" s="166" t="str">
        <x:v>Oliveira Trust Servicer</x:v>
      </x:c>
      <x:c r="E2898" s="166" t="str">
        <x:f>IFERROR(INDEX('Classif Gestoras'!$H$6:$H$462,MATCH(D2898,'Classif Gestoras'!$A$6:$A$462,0)),"Não classificada")</x:f>
        <x:v>Independente</x:v>
      </x:c>
      <x:c r="F2898" s="166" t="str">
        <x:v>Oliveira Trust DTVM</x:v>
      </x:c>
      <x:c r="G2898" s="166" t="str">
        <x:v>OLIVEIRA TRUST DTVM S.A.</x:v>
      </x:c>
      <x:c r="H2898" s="166" t="str">
        <x:v>Fomento Mercantil</x:v>
      </x:c>
      <x:c r="I2898" s="166" t="str">
        <x:v>Fomento Mercantil</x:v>
      </x:c>
      <x:c r="J2898" s="166" t="str">
        <x:v>CI</x:v>
      </x:c>
      <x:c r="K2898" s="172" t="n">
        <x:v>2</x:v>
      </x:c>
      <x:c r="L2898" s="185" t="str">
        <x:v>Não classificado</x:v>
      </x:c>
    </x:row>
    <x:row r="2899">
      <x:c r="A2899" s="175" t="str">
        <x:v>43.076.377/0001-37</x:v>
      </x:c>
      <x:c r="B2899" s="166" t="str">
        <x:v>MAX FINANCEIRA FUNDO DE INVESTIMENTO EM DIREITOS CREDITORIOS</x:v>
      </x:c>
      <x:c r="C2899" s="188" t="n">
        <x:v>2734072.1</x:v>
      </x:c>
      <x:c r="D2899" s="166" t="str">
        <x:v>Libertas Asset</x:v>
      </x:c>
      <x:c r="E2899" s="166" t="str">
        <x:f>IFERROR(INDEX('Classif Gestoras'!$H$6:$H$462,MATCH(D2899,'Classif Gestoras'!$A$6:$A$462,0)),"Não classificada")</x:f>
        <x:v>Independente</x:v>
      </x:c>
      <x:c r="F2899" s="166" t="str">
        <x:v>ACTUAL DTVM</x:v>
      </x:c>
      <x:c r="G2899" s="166" t="str">
        <x:v>TRUSTEE DISTRIBUIDORA DE TITULOS E VALORES MOBILIARIOS LTDA.</x:v>
      </x:c>
      <x:c r="H2899" s="166" t="str">
        <x:v>Fomento Mercantil</x:v>
      </x:c>
      <x:c r="I2899" s="166" t="str">
        <x:v>Fomento Mercantil</x:v>
      </x:c>
      <x:c r="J2899" s="166" t="str">
        <x:v>CI</x:v>
      </x:c>
      <x:c r="K2899" s="172" t="n">
        <x:v>4</x:v>
      </x:c>
      <x:c r="L2899" s="185" t="str">
        <x:v>Não classificado</x:v>
      </x:c>
    </x:row>
    <x:row r="2900">
      <x:c r="A2900" s="175" t="str">
        <x:v>47.669.160/0001-91</x:v>
      </x:c>
      <x:c r="B2900" s="166" t="str">
        <x:v>XAMA! FUNDO DE INVESTIMENTO EM DIREITOS CREDITÓRIOS NÃO-PADRONIZADOS</x:v>
      </x:c>
      <x:c r="C2900" s="188" t="n">
        <x:v>2733901.14</x:v>
      </x:c>
      <x:c r="D2900" s="166" t="str">
        <x:v>Planalto Capital</x:v>
      </x:c>
      <x:c r="E2900" s="166" t="str">
        <x:f>IFERROR(INDEX('Classif Gestoras'!$H$6:$H$462,MATCH(D2900,'Classif Gestoras'!$A$6:$A$462,0)),"Não classificada")</x:f>
        <x:v>Independente</x:v>
      </x:c>
      <x:c r="F2900" s="166" t="str">
        <x:v>AZUMI DISTRIBUIDORA DE TÍTULOS E VALORES MOBILIÁRIOS LT</x:v>
      </x:c>
      <x:c r="G2900" s="166" t="str">
        <x:v>AZUMI DISTRIBUIDORA DE TÍTULOS E VALORES MOBILIÁRIOS LTDA.</x:v>
      </x:c>
      <x:c r="H2900" s="166" t="str">
        <x:v>Outros</x:v>
      </x:c>
      <x:c r="I2900" s="166" t="str">
        <x:v>Multicarteira Outros</x:v>
      </x:c>
      <x:c r="J2900" s="166" t="str">
        <x:v>CI</x:v>
      </x:c>
      <x:c r="K2900" s="172" t="n">
        <x:v>11</x:v>
      </x:c>
      <x:c r="L2900" s="185" t="str">
        <x:v>Não classificado</x:v>
      </x:c>
    </x:row>
    <x:row r="2901">
      <x:c r="A2901" s="175" t="str">
        <x:v>32.287.668/0001-58</x:v>
      </x:c>
      <x:c r="B2901" s="166" t="str">
        <x:v>ARKOS FUNDO DE INVESTIMENTO EM COTAS DE FUNDOS DE INVESTIMENTO EM DIREITOS CREDITÓRIOS</x:v>
      </x:c>
      <x:c r="C2901" s="188" t="n">
        <x:v>2720037.72</x:v>
      </x:c>
      <x:c r="D2901" s="166" t="str">
        <x:v>H2 CAPITAL</x:v>
      </x:c>
      <x:c r="E2901" s="166" t="str">
        <x:f>IFERROR(INDEX('Classif Gestoras'!$H$6:$H$462,MATCH(D2901,'Classif Gestoras'!$A$6:$A$462,0)),"Não classificada")</x:f>
        <x:v>Independente</x:v>
      </x:c>
      <x:c r="F2901" s="166" t="str">
        <x:v>FIDD DISTRIBUIDORA DE TITULOS E VALORES MOBILIARIOS LTD</x:v>
      </x:c>
      <x:c r="G2901" s="166" t="str">
        <x:v>FIDD DISTRIBUIDORA DE TITULOS E VALORES MOBILIARIOS LTDA.</x:v>
      </x:c>
      <x:c r="H2901" s="166" t="str">
        <x:v>Outros</x:v>
      </x:c>
      <x:c r="I2901" s="166" t="str">
        <x:v>Multicarteira Outros</x:v>
      </x:c>
      <x:c r="J2901" s="166" t="str">
        <x:v>CI</x:v>
      </x:c>
      <x:c r="K2901" s="172" t="n">
        <x:v>5</x:v>
      </x:c>
      <x:c r="L2901" s="185" t="str">
        <x:v>Não classificado</x:v>
      </x:c>
    </x:row>
    <x:row r="2902">
      <x:c r="A2902" s="175" t="str">
        <x:v>10.740.479/0001-56</x:v>
      </x:c>
      <x:c r="B2902" s="166" t="str">
        <x:v>FUNDO DE INVESTIMENTO EM DIREITOS CREDITÓRIOS CAIXA HABITAÇÃO</x:v>
      </x:c>
      <x:c r="C2902" s="188" t="n">
        <x:v>2685323.86</x:v>
      </x:c>
      <x:c r="D2902" s="166" t="str">
        <x:v>Caixa Econ. Federal</x:v>
      </x:c>
      <x:c r="E2902" s="166" t="str">
        <x:f>IFERROR(INDEX('Classif Gestoras'!$H$6:$H$462,MATCH(D2902,'Classif Gestoras'!$A$6:$A$462,0)),"Não classificada")</x:f>
        <x:v>Ligada a banco</x:v>
      </x:c>
      <x:c r="F2902" s="166" t="str">
        <x:v>Caixa Econ. Federal</x:v>
      </x:c>
      <x:c r="G2902" s="166" t="str">
        <x:v>BRL TRUST DISTRIBUIDORA DE TITULOS E VALORES MOBILIARIOS S.A.</x:v>
      </x:c>
      <x:c r="H2902" s="166" t="str">
        <x:v>Financeiro</x:v>
      </x:c>
      <x:c r="I2902" s="166" t="str">
        <x:v>Crédito Imobiliário</x:v>
      </x:c>
      <x:c r="J2902" s="166" t="str">
        <x:v>CI</x:v>
      </x:c>
      <x:c r="K2902" s="172" t="n">
        <x:v>1</x:v>
      </x:c>
      <x:c r="L2902" s="185" t="str">
        <x:v>Não classificado</x:v>
      </x:c>
    </x:row>
    <x:row r="2903">
      <x:c r="A2903" s="175" t="str">
        <x:v>61.594.518/0001-95</x:v>
      </x:c>
      <x:c r="B2903" s="166" t="str">
        <x:v>BUCKS FUNDO DE INVESTIMENTO EM DIREITOS CREDITÓRIOS</x:v>
      </x:c>
      <x:c r="C2903" s="188" t="n">
        <x:v>2681293.75</x:v>
      </x:c>
      <x:c r="D2903" s="166" t="str">
        <x:v>Perenne Investimentos</x:v>
      </x:c>
      <x:c r="E2903" s="166" t="str">
        <x:f>IFERROR(INDEX('Classif Gestoras'!$H$6:$H$462,MATCH(D2903,'Classif Gestoras'!$A$6:$A$462,0)),"Não classificada")</x:f>
        <x:v>Independente</x:v>
      </x:c>
      <x:c r="F2903" s="166" t="str">
        <x:v>BTG Pactual Servicos Financeiros S/A DTVM</x:v>
      </x:c>
      <x:c r="G2903" s="166" t="str">
        <x:v>BANCO BTG PACTUAL S/A</x:v>
      </x:c>
      <x:c r="H2903" s="166" t="str">
        <x:v>Outros</x:v>
      </x:c>
      <x:c r="I2903" s="166" t="str">
        <x:v>Multicarteira Outros</x:v>
      </x:c>
      <x:c r="J2903" s="166" t="str">
        <x:v>CI</x:v>
      </x:c>
      <x:c r="K2903" s="172" t="n">
        <x:v>3</x:v>
      </x:c>
      <x:c r="L2903" s="185" t="str">
        <x:v>Não classificado</x:v>
      </x:c>
    </x:row>
    <x:row r="2904">
      <x:c r="A2904" s="175" t="str">
        <x:v>64.868.438/0001-79</x:v>
      </x:c>
      <x:c r="B2904" s="166" t="str">
        <x:v>FXN FUNDO DE INVESTIMENTO EM DIREITOS CREDITÓRIOS EDUCACIONAIS - RESPONSABILIDADE LIMITADA</x:v>
      </x:c>
      <x:c r="C2904" s="188" t="n">
        <x:v>2600058.63</x:v>
      </x:c>
      <x:c r="D2904" s="166" t="str">
        <x:v>Intrabank Asset</x:v>
      </x:c>
      <x:c r="E2904" s="166" t="str">
        <x:f>IFERROR(INDEX('Classif Gestoras'!$H$6:$H$462,MATCH(D2904,'Classif Gestoras'!$A$6:$A$462,0)),"Não classificada")</x:f>
        <x:v>Independente</x:v>
      </x:c>
      <x:c r="F2904" s="166" t="str">
        <x:v>HEMERA DTVM</x:v>
      </x:c>
      <x:c r="G2904" s="166" t="str">
        <x:v>HEMERA DISTRIBUIDORA DE TITULOS E VALORES MOBILIARIOS LTDA</x:v>
      </x:c>
      <x:c r="H2904" s="166" t="str">
        <x:v>Outros</x:v>
      </x:c>
      <x:c r="I2904" s="166" t="str">
        <x:v>Multicarteira Outros</x:v>
      </x:c>
      <x:c r="J2904" s="166" t="str">
        <x:v>CI</x:v>
      </x:c>
      <x:c r="K2904" s="172" t="n">
        <x:v>2</x:v>
      </x:c>
      <x:c r="L2904" s="185" t="str">
        <x:v>Não classificado</x:v>
      </x:c>
    </x:row>
    <x:row r="2905">
      <x:c r="A2905" s="175" t="str">
        <x:v>34.691.300/0001-86</x:v>
      </x:c>
      <x:c r="B2905" s="166" t="str">
        <x:v>ALPHA CRÉDITO - FUNDO DE INVESTIMENTO EM DIREITOS CREDITÓRIOS</x:v>
      </x:c>
      <x:c r="C2905" s="188" t="n">
        <x:v>2586543.4800000004</x:v>
      </x:c>
      <x:c r="D2905" s="166" t="str">
        <x:v>Legatus Asset Management</x:v>
      </x:c>
      <x:c r="E2905" s="166" t="str">
        <x:f>IFERROR(INDEX('Classif Gestoras'!$H$6:$H$462,MATCH(D2905,'Classif Gestoras'!$A$6:$A$462,0)),"Não classificada")</x:f>
        <x:v>Independente</x:v>
      </x:c>
      <x:c r="F2905" s="166" t="str">
        <x:v>ID Corretora de Títulos e Valores Mobiliários S.A.</x:v>
      </x:c>
      <x:c r="G2905" s="166" t="str">
        <x:v>ID CORRETORA DE TITULOS E VALORES MOBILIARIOS S.A.</x:v>
      </x:c>
      <x:c r="H2905" s="166" t="str">
        <x:v>Agro, Indústria e Comércio</x:v>
      </x:c>
      <x:c r="I2905" s="166" t="str">
        <x:v>Multicarteira Agro, Indústria e Comércio</x:v>
      </x:c>
      <x:c r="J2905" s="166" t="str">
        <x:v>CI</x:v>
      </x:c>
      <x:c r="K2905" s="172" t="n">
        <x:v>67</x:v>
      </x:c>
      <x:c r="L2905" s="185" t="str">
        <x:v>Não classificado</x:v>
      </x:c>
    </x:row>
    <x:row r="2906">
      <x:c r="A2906" s="175" t="str">
        <x:v>59.079.987/0001-24</x:v>
      </x:c>
      <x:c r="B2906" s="166" t="str">
        <x:v>CONCRETO II FUNDO DE INVESTIMENTO EM DIREITOS CREDITÓRIOS NÃO-PADRONIZADOS RESP LIMITADA</x:v>
      </x:c>
      <x:c r="C2906" s="188" t="n">
        <x:v>2578185.83</x:v>
      </x:c>
      <x:c r="D2906" s="166" t="str">
        <x:v>Bless Capital Gestora de Recursos Ltda.</x:v>
      </x:c>
      <x:c r="E2906" s="166" t="str">
        <x:f>IFERROR(INDEX('Classif Gestoras'!$H$6:$H$462,MATCH(D2906,'Classif Gestoras'!$A$6:$A$462,0)),"Não classificada")</x:f>
        <x:v>Independente</x:v>
      </x:c>
      <x:c r="F2906" s="166" t="str">
        <x:v>ID Corretora de Títulos e Valores Mobiliários S.A.</x:v>
      </x:c>
      <x:c r="G2906" s="166" t="str">
        <x:v>ID CORRETORA DE TITULOS E VALORES MOBILIARIOS S.A.</x:v>
      </x:c>
      <x:c r="H2906" s="166" t="str">
        <x:v>Outros</x:v>
      </x:c>
      <x:c r="I2906" s="166" t="str">
        <x:v>Multicarteira Outros</x:v>
      </x:c>
      <x:c r="J2906" s="166" t="str">
        <x:v>CI</x:v>
      </x:c>
      <x:c r="K2906" s="172" t="n">
        <x:v>45</x:v>
      </x:c>
      <x:c r="L2906" s="185" t="str">
        <x:v>Não classificado</x:v>
      </x:c>
    </x:row>
    <x:row r="2907">
      <x:c r="A2907" s="175" t="str">
        <x:v>45.383.797/0001-91</x:v>
      </x:c>
      <x:c r="B2907" s="166" t="str">
        <x:v>NICE 2TM FUNDO DE INVESTIMENTO EM DIREITOS CREDITÓRIOS</x:v>
      </x:c>
      <x:c r="C2907" s="188" t="n">
        <x:v>2571394.78</x:v>
      </x:c>
      <x:c r="D2907" s="166" t="str">
        <x:v>Iggy Investimentos</x:v>
      </x:c>
      <x:c r="E2907" s="166" t="str">
        <x:f>IFERROR(INDEX('Classif Gestoras'!$H$6:$H$462,MATCH(D2907,'Classif Gestoras'!$A$6:$A$462,0)),"Não classificada")</x:f>
        <x:v>Independente</x:v>
      </x:c>
      <x:c r="F2907" s="166" t="str">
        <x:v>Banvox DTVM</x:v>
      </x:c>
      <x:c r="G2907" s="166" t="str">
        <x:v>BANVOX DISTRIBUIDORA DE TITULOS E VALORES MOBILIARIOS LTDA</x:v>
      </x:c>
      <x:c r="H2907" s="166" t="str">
        <x:v>Fomento Mercantil</x:v>
      </x:c>
      <x:c r="I2907" s="166" t="str">
        <x:v>Fomento Mercantil</x:v>
      </x:c>
      <x:c r="J2907" s="166" t="str">
        <x:v>CI</x:v>
      </x:c>
      <x:c r="K2907" s="172" t="n">
        <x:v>1</x:v>
      </x:c>
      <x:c r="L2907" s="185" t="str">
        <x:v>Não classificado</x:v>
      </x:c>
    </x:row>
    <x:row r="2908">
      <x:c r="A2908" s="175" t="str">
        <x:v>64.127.465/0001-90</x:v>
      </x:c>
      <x:c r="B2908" s="166" t="str">
        <x:v>VF AUTO FUNDO DE INVESTIMENTO EM DIREITOS CREDITÓRIOS - RESPONSABILIDADE LIMITADA</x:v>
      </x:c>
      <x:c r="C2908" s="188" t="n">
        <x:v>2557075.88</x:v>
      </x:c>
      <x:c r="D2908" s="166" t="str">
        <x:v>BLUEWAVE ASSET LTDA</x:v>
      </x:c>
      <x:c r="E2908" s="166" t="str">
        <x:f>IFERROR(INDEX('Classif Gestoras'!$H$6:$H$462,MATCH(D2908,'Classif Gestoras'!$A$6:$A$462,0)),"Não classificada")</x:f>
        <x:v>Independente</x:v>
      </x:c>
      <x:c r="F2908" s="166" t="str">
        <x:v>Finvest Digital</x:v>
      </x:c>
      <x:c r="G2908" s="166" t="str">
        <x:v>FINVEST DISTRIBUIDORA DE TÍTULOS E VALORES MOBILIÁRIOS LTDA.</x:v>
      </x:c>
      <x:c r="H2908" s="166" t="str">
        <x:v>Outros</x:v>
      </x:c>
      <x:c r="I2908" s="166" t="str">
        <x:v>Multicarteira Outros</x:v>
      </x:c>
      <x:c r="J2908" s="166" t="str">
        <x:v>CI</x:v>
      </x:c>
      <x:c r="K2908" s="172" t="n">
        <x:v>2</x:v>
      </x:c>
      <x:c r="L2908" s="185" t="str">
        <x:v>Não classificado</x:v>
      </x:c>
    </x:row>
    <x:row r="2909">
      <x:c r="A2909" s="175" t="str">
        <x:v>62.628.909/0001-46</x:v>
      </x:c>
      <x:c r="B2909" s="166" t="str">
        <x:v>SPT CAPITAL FUNDO DE INVESTIMENTO EM DIREITOS CREDITORIOS</x:v>
      </x:c>
      <x:c r="C2909" s="188" t="n">
        <x:v>2548258.23</x:v>
      </x:c>
      <x:c r="D2909" s="166" t="str">
        <x:v>Hinov Capital</x:v>
      </x:c>
      <x:c r="E2909" s="166" t="str">
        <x:f>IFERROR(INDEX('Classif Gestoras'!$H$6:$H$462,MATCH(D2909,'Classif Gestoras'!$A$6:$A$462,0)),"Não classificada")</x:f>
        <x:v>Independente</x:v>
      </x:c>
      <x:c r="F2909" s="166" t="str">
        <x:v>ACTUAL DTVM</x:v>
      </x:c>
      <x:c r="G2909" s="166" t="str">
        <x:v>TRUSTEE DISTRIBUIDORA DE TITULOS E VALORES MOBILIARIOS LTDA.</x:v>
      </x:c>
      <x:c r="H2909" s="166" t="str">
        <x:v>Outros</x:v>
      </x:c>
      <x:c r="I2909" s="166" t="str">
        <x:v>Multicarteira Outros</x:v>
      </x:c>
      <x:c r="J2909" s="166" t="str">
        <x:v>CI</x:v>
      </x:c>
      <x:c r="K2909" s="172" t="n">
        <x:v>3</x:v>
      </x:c>
      <x:c r="L2909" s="185" t="str">
        <x:v>Não classificado</x:v>
      </x:c>
    </x:row>
    <x:row r="2910">
      <x:c r="A2910" s="175" t="str">
        <x:v>61.171.158/0001-19</x:v>
      </x:c>
      <x:c r="B2910" s="166" t="str">
        <x:v>BLUE OPPORTUNITY PLUS FUNDO DE INVESTIMENTO EM DIREITOS CREDITÓRIOS - CLASSE A</x:v>
      </x:c>
      <x:c r="C2910" s="188" t="n">
        <x:v>2538350.8499999996</x:v>
      </x:c>
      <x:c r="D2910" s="166" t="str">
        <x:v>Blue Solutions</x:v>
      </x:c>
      <x:c r="E2910" s="166" t="str">
        <x:f>IFERROR(INDEX('Classif Gestoras'!$H$6:$H$462,MATCH(D2910,'Classif Gestoras'!$A$6:$A$462,0)),"Não classificada")</x:f>
        <x:v>Independente</x:v>
      </x:c>
      <x:c r="F2910" s="166" t="str">
        <x:v>Banvox DTVM</x:v>
      </x:c>
      <x:c r="G2910" s="166" t="str">
        <x:v>BANVOX DISTRIBUIDORA DE TITULOS E VALORES MOBILIARIOS LTDA</x:v>
      </x:c>
      <x:c r="H2910" s="166" t="str">
        <x:v>Outros</x:v>
      </x:c>
      <x:c r="I2910" s="166" t="str">
        <x:v>Multicarteira Outros</x:v>
      </x:c>
      <x:c r="J2910" s="166" t="str">
        <x:v>CI</x:v>
      </x:c>
      <x:c r="K2910" s="172" t="n">
        <x:v>2</x:v>
      </x:c>
      <x:c r="L2910" s="185" t="str">
        <x:v>Não classificado</x:v>
      </x:c>
    </x:row>
    <x:row r="2911">
      <x:c r="A2911" s="175" t="str">
        <x:v>63.241.235/0001-95</x:v>
      </x:c>
      <x:c r="B2911" s="166" t="str">
        <x:v>CONDOCASH III FUNDO DE INVESTIMENTO EM DIREITOS CREDITÓRIOS</x:v>
      </x:c>
      <x:c r="C2911" s="188" t="n">
        <x:v>2514504.11</x:v>
      </x:c>
      <x:c r="D2911" s="166" t="str">
        <x:v>REAG SPECIAL SITUATIONS</x:v>
      </x:c>
      <x:c r="E2911" s="166" t="str">
        <x:f>IFERROR(INDEX('Classif Gestoras'!$H$6:$H$462,MATCH(D2911,'Classif Gestoras'!$A$6:$A$462,0)),"Não classificada")</x:f>
        <x:v>Independente</x:v>
      </x:c>
      <x:c r="F2911" s="166" t="str">
        <x:v>Finvest Digital</x:v>
      </x:c>
      <x:c r="G2911" s="166" t="str">
        <x:v>FINVEST DISTRIBUIDORA DE TÍTULOS E VALORES MOBILIÁRIOS LTDA.</x:v>
      </x:c>
      <x:c r="H2911" s="166" t="str">
        <x:v>Fomento Mercantil</x:v>
      </x:c>
      <x:c r="I2911" s="166" t="str">
        <x:v>Fomento Mercantil</x:v>
      </x:c>
      <x:c r="J2911" s="166" t="str">
        <x:v>CI</x:v>
      </x:c>
      <x:c r="K2911" s="172" t="n">
        <x:v>3</x:v>
      </x:c>
      <x:c r="L2911" s="185" t="str">
        <x:v>Não classificado</x:v>
      </x:c>
    </x:row>
    <x:row r="2912">
      <x:c r="A2912" s="175" t="str">
        <x:v>62.782.703/0001-76</x:v>
      </x:c>
      <x:c r="B2912" s="166" t="str">
        <x:v>PORTI FUNDO DE INVESTIMENTO EM DIREITOS CREDITÓRIOS</x:v>
      </x:c>
      <x:c r="C2912" s="188" t="n">
        <x:v>2506282.45</x:v>
      </x:c>
      <x:c r="D2912" s="166" t="str">
        <x:v>D3 Capital</x:v>
      </x:c>
      <x:c r="E2912" s="166" t="str">
        <x:f>IFERROR(INDEX('Classif Gestoras'!$H$6:$H$462,MATCH(D2912,'Classif Gestoras'!$A$6:$A$462,0)),"Não classificada")</x:f>
        <x:v>Independente</x:v>
      </x:c>
      <x:c r="F2912" s="166" t="str">
        <x:v>MONETAR DISTRIBUIDORA DE TITUL</x:v>
      </x:c>
      <x:c r="G2912" s="166" t="str">
        <x:v>TERRA INVESTIMENTOS DISTRIBUIDORA DE TITULOS E VALORES MOBILIARIOS LTDA</x:v>
      </x:c>
      <x:c r="H2912" s="166" t="str">
        <x:v>Outros</x:v>
      </x:c>
      <x:c r="I2912" s="166" t="str">
        <x:v>Multicarteira Outros</x:v>
      </x:c>
      <x:c r="J2912" s="166" t="str">
        <x:v>CI</x:v>
      </x:c>
      <x:c r="K2912" s="172" t="n">
        <x:v>6</x:v>
      </x:c>
      <x:c r="L2912" s="185" t="str">
        <x:v>Não classificado</x:v>
      </x:c>
    </x:row>
    <x:row r="2913">
      <x:c r="A2913" s="175" t="str">
        <x:v>23.077.070/0001-43</x:v>
      </x:c>
      <x:c r="B2913" s="166" t="str">
        <x:v>CHEHOHA FUNDO DE INVESTIMENTO EM DIREITOS CREDITÓRIOS MULTISEGMENTOS</x:v>
      </x:c>
      <x:c r="C2913" s="188" t="n">
        <x:v>2504728.87</x:v>
      </x:c>
      <x:c r="D2913" s="166" t="str">
        <x:v>Petra Capital</x:v>
      </x:c>
      <x:c r="E2913" s="166" t="str">
        <x:f>IFERROR(INDEX('Classif Gestoras'!$H$6:$H$462,MATCH(D2913,'Classif Gestoras'!$A$6:$A$462,0)),"Não classificada")</x:f>
        <x:v>Independente</x:v>
      </x:c>
      <x:c r="F2913" s="166" t="str">
        <x:v>Finaxis Corretora de Títulos e Valores Mobiliários S.A.</x:v>
      </x:c>
      <x:c r="G2913" s="166" t="str">
        <x:v>BANCO FINAXIS S.A.</x:v>
      </x:c>
      <x:c r="H2913" s="166" t="str">
        <x:v>Outros</x:v>
      </x:c>
      <x:c r="I2913" s="166" t="str">
        <x:v>Multicarteira Outros</x:v>
      </x:c>
      <x:c r="J2913" s="166" t="str">
        <x:v>CI</x:v>
      </x:c>
      <x:c r="K2913" s="172" t="n">
        <x:v>1</x:v>
      </x:c>
      <x:c r="L2913" s="185" t="str">
        <x:v>Não classificado</x:v>
      </x:c>
    </x:row>
    <x:row r="2914">
      <x:c r="A2914" s="175" t="str">
        <x:v>14.330.038/0001-37</x:v>
      </x:c>
      <x:c r="B2914" s="166" t="str">
        <x:v>FUNDO DE INVESTIMENTO EM DIREITOS CREDITÓRIOS F ACB - FINANCEIRO</x:v>
      </x:c>
      <x:c r="C2914" s="188" t="n">
        <x:v>2492691.93</x:v>
      </x:c>
      <x:c r="D2914" s="166" t="str">
        <x:v>Bradesco Asset</x:v>
      </x:c>
      <x:c r="E2914" s="166" t="str">
        <x:f>IFERROR(INDEX('Classif Gestoras'!$H$6:$H$462,MATCH(D2914,'Classif Gestoras'!$A$6:$A$462,0)),"Não classificada")</x:f>
        <x:v>Ligada a banco</x:v>
      </x:c>
      <x:c r="F2914" s="166" t="str">
        <x:v>BEM - DIST. DE TÍTUL</x:v>
      </x:c>
      <x:c r="G2914" s="166" t="str">
        <x:v>Não identificado</x:v>
      </x:c>
      <x:c r="H2914" s="166" t="str">
        <x:v>Financeiro</x:v>
      </x:c>
      <x:c r="I2914" s="166" t="str">
        <x:v>Crédito Consignado</x:v>
      </x:c>
      <x:c r="J2914" s="166" t="str">
        <x:v>CI</x:v>
      </x:c>
      <x:c r="K2914" s="172" t="n">
        <x:v>2</x:v>
      </x:c>
      <x:c r="L2914" s="185" t="str">
        <x:v>Não classificado</x:v>
      </x:c>
    </x:row>
    <x:row r="2915">
      <x:c r="A2915" s="175" t="str">
        <x:v>41.391.264/0001-09</x:v>
      </x:c>
      <x:c r="B2915" s="166" t="str">
        <x:v>ULEND FUNDO DE INVESTIMENTO EM DIREITOS CREDITORIOS</x:v>
      </x:c>
      <x:c r="C2915" s="188" t="n">
        <x:v>2489415.4699999997</x:v>
      </x:c>
      <x:c r="D2915" s="166" t="str">
        <x:v>Solis</x:v>
      </x:c>
      <x:c r="E2915" s="166" t="str">
        <x:f>IFERROR(INDEX('Classif Gestoras'!$H$6:$H$462,MATCH(D2915,'Classif Gestoras'!$A$6:$A$462,0)),"Não classificada")</x:f>
        <x:v>Independente</x:v>
      </x:c>
      <x:c r="F2915" s="166" t="str">
        <x:v>FIDD DISTRIBUIDORA DE TITULOS E VALORES MOBILIARIOS LTD</x:v>
      </x:c>
      <x:c r="G2915" s="166" t="str">
        <x:v>FIDD DISTRIBUIDORA DE TITULOS E VALORES MOBILIARIOS LTDA.</x:v>
      </x:c>
      <x:c r="H2915" s="166" t="str">
        <x:v>Agro, Indústria e Comércio</x:v>
      </x:c>
      <x:c r="I2915" s="166" t="str">
        <x:v>Crédito Corporativo</x:v>
      </x:c>
      <x:c r="J2915" s="166" t="str">
        <x:v>CI</x:v>
      </x:c>
      <x:c r="K2915" s="172" t="n">
        <x:v>2</x:v>
      </x:c>
      <x:c r="L2915" s="185" t="str">
        <x:v>Não classificado</x:v>
      </x:c>
    </x:row>
    <x:row r="2916">
      <x:c r="A2916" s="175" t="str">
        <x:v>63.249.135/0001-05</x:v>
      </x:c>
      <x:c r="B2916" s="166" t="str">
        <x:v>TRUST FORT FUNDO DE INVESTIMENTO EM DIREITOS CREDITÓRIOS</x:v>
      </x:c>
      <x:c r="C2916" s="188" t="n">
        <x:v>2450648.4499999997</x:v>
      </x:c>
      <x:c r="D2916" s="166" t="str">
        <x:v>ASSET MANAGEMENT</x:v>
      </x:c>
      <x:c r="E2916" s="166" t="str">
        <x:f>IFERROR(INDEX('Classif Gestoras'!$H$6:$H$462,MATCH(D2916,'Classif Gestoras'!$A$6:$A$462,0)),"Não classificada")</x:f>
        <x:v>Independente</x:v>
      </x:c>
      <x:c r="F2916" s="166" t="str">
        <x:v>AZUMI DISTRIBUIDORA DE TÍTULOS E VALORES MOBILIÁRIOS LT</x:v>
      </x:c>
      <x:c r="G2916" s="166" t="str">
        <x:v>AZUMI DISTRIBUIDORA DE TÍTULOS E VALORES MOBILIÁRIOS LTDA.</x:v>
      </x:c>
      <x:c r="H2916" s="166" t="str">
        <x:v>Fomento Mercantil</x:v>
      </x:c>
      <x:c r="I2916" s="166" t="str">
        <x:v>Fomento Mercantil</x:v>
      </x:c>
      <x:c r="J2916" s="166" t="str">
        <x:v>CI</x:v>
      </x:c>
      <x:c r="K2916" s="172" t="n">
        <x:v>2</x:v>
      </x:c>
      <x:c r="L2916" s="185" t="str">
        <x:v>Não classificado</x:v>
      </x:c>
    </x:row>
    <x:row r="2917">
      <x:c r="A2917" s="175" t="str">
        <x:v>51.507.981/0001-07</x:v>
      </x:c>
      <x:c r="B2917" s="166" t="str">
        <x:v>EVEN CREDIT FUNDO DE INVESTIMENTO EM DIREITOS CREDITÓRIOS - RESPONSABILIDADE LIMITADA</x:v>
      </x:c>
      <x:c r="C2917" s="188" t="n">
        <x:v>2447080.0200000005</x:v>
      </x:c>
      <x:c r="D2917" s="166" t="str">
        <x:v>F3 ROCK</x:v>
      </x:c>
      <x:c r="E2917" s="166" t="str">
        <x:f>IFERROR(INDEX('Classif Gestoras'!$H$6:$H$462,MATCH(D2917,'Classif Gestoras'!$A$6:$A$462,0)),"Não classificada")</x:f>
        <x:v>Independente</x:v>
      </x:c>
      <x:c r="F2917" s="166" t="str">
        <x:v>PLANNER CV</x:v>
      </x:c>
      <x:c r="G2917" s="166" t="str">
        <x:v>PLANNER CORRETORA DE VALORES S.A.</x:v>
      </x:c>
      <x:c r="H2917" s="166" t="str">
        <x:v>Outros</x:v>
      </x:c>
      <x:c r="I2917" s="166" t="str">
        <x:v>Multicarteira Outros</x:v>
      </x:c>
      <x:c r="J2917" s="166" t="str">
        <x:v>CI</x:v>
      </x:c>
      <x:c r="K2917" s="172" t="n">
        <x:v>2</x:v>
      </x:c>
      <x:c r="L2917" s="185" t="str">
        <x:v>Não classificado</x:v>
      </x:c>
    </x:row>
    <x:row r="2918">
      <x:c r="A2918" s="175" t="str">
        <x:v>60.761.188/0001-12</x:v>
      </x:c>
      <x:c r="B2918" s="166" t="str">
        <x:v>FUNDO DE INVESTIMENTO EM DIREITOS CREDITÓRIOS SEMEAR EMPRESAS - RESPONSABILIDADE LIMITADA</x:v>
      </x:c>
      <x:c r="C2918" s="188" t="n">
        <x:v>2413675.74</x:v>
      </x:c>
      <x:c r="D2918" s="166" t="str">
        <x:v>SKADE Capital</x:v>
      </x:c>
      <x:c r="E2918" s="166" t="str">
        <x:f>IFERROR(INDEX('Classif Gestoras'!$H$6:$H$462,MATCH(D2918,'Classif Gestoras'!$A$6:$A$462,0)),"Não classificada")</x:f>
        <x:v>Independente</x:v>
      </x:c>
      <x:c r="F2918" s="166" t="str">
        <x:v>LASTRO RDV DIST. DE</x:v>
      </x:c>
      <x:c r="G2918" s="166" t="str">
        <x:v>LASTRO RDV DTVM LTDA</x:v>
      </x:c>
      <x:c r="H2918" s="166" t="str">
        <x:v>Fomento Mercantil</x:v>
      </x:c>
      <x:c r="I2918" s="166" t="str">
        <x:v>Fomento Mercantil</x:v>
      </x:c>
      <x:c r="J2918" s="166" t="str">
        <x:v>CI</x:v>
      </x:c>
      <x:c r="K2918" s="172" t="n">
        <x:v>2</x:v>
      </x:c>
      <x:c r="L2918" s="185" t="str">
        <x:v>Não classificado</x:v>
      </x:c>
    </x:row>
    <x:row r="2919">
      <x:c r="A2919" s="175" t="str">
        <x:v>47.669.241/0001-91</x:v>
      </x:c>
      <x:c r="B2919" s="166" t="str">
        <x:v>FIGURATI FUNDO DE INVESTIMENTO EM DIREITOS CREDITÓRIOS NÃO-PADRONIZADOS</x:v>
      </x:c>
      <x:c r="C2919" s="188" t="n">
        <x:v>2411311.76</x:v>
      </x:c>
      <x:c r="D2919" s="166" t="str">
        <x:v>AZUMI ASSET</x:v>
      </x:c>
      <x:c r="E2919" s="166" t="str">
        <x:f>IFERROR(INDEX('Classif Gestoras'!$H$6:$H$462,MATCH(D2919,'Classif Gestoras'!$A$6:$A$462,0)),"Não classificada")</x:f>
        <x:v>Independente</x:v>
      </x:c>
      <x:c r="F2919" s="166" t="str">
        <x:v>AZUMI DISTRIBUIDORA DE TÍTULOS E VALORES MOBILIÁRIOS LT</x:v>
      </x:c>
      <x:c r="G2919" s="166" t="str">
        <x:v>AZUMI DISTRIBUIDORA DE TÍTULOS E VALORES MOBILIÁRIOS LTDA.</x:v>
      </x:c>
      <x:c r="H2919" s="166" t="str">
        <x:v>Outros</x:v>
      </x:c>
      <x:c r="I2919" s="166" t="str">
        <x:v>Multicarteira Outros</x:v>
      </x:c>
      <x:c r="J2919" s="166" t="str">
        <x:v>CI</x:v>
      </x:c>
      <x:c r="K2919" s="172" t="n">
        <x:v>1</x:v>
      </x:c>
      <x:c r="L2919" s="185" t="str">
        <x:v>Não classificado</x:v>
      </x:c>
    </x:row>
    <x:row r="2920">
      <x:c r="A2920" s="175" t="str">
        <x:v>59.548.957/0001-10</x:v>
      </x:c>
      <x:c r="B2920" s="166" t="str">
        <x:v>MAVERICK FUNDO DE INVESTIMENTO EM DIREITOS CREDITÓRIOS RESPONSABILIDADE LIMITADA</x:v>
      </x:c>
      <x:c r="C2920" s="188" t="n">
        <x:v>2367468.16</x:v>
      </x:c>
      <x:c r="D2920" s="166" t="str">
        <x:v>Hyperion</x:v>
      </x:c>
      <x:c r="E2920" s="166" t="str">
        <x:f>IFERROR(INDEX('Classif Gestoras'!$H$6:$H$462,MATCH(D2920,'Classif Gestoras'!$A$6:$A$462,0)),"Não classificada")</x:f>
        <x:v>Independente</x:v>
      </x:c>
      <x:c r="F2920" s="166" t="str">
        <x:v>ID Corretora de Títulos e Valores Mobiliários S.A.</x:v>
      </x:c>
      <x:c r="G2920" s="166" t="str">
        <x:v>ID CORRETORA DE TITULOS E VALORES MOBILIARIOS S.A.</x:v>
      </x:c>
      <x:c r="H2920" s="166" t="str">
        <x:v>Outros</x:v>
      </x:c>
      <x:c r="I2920" s="166" t="str">
        <x:v>Multicarteira Outros</x:v>
      </x:c>
      <x:c r="J2920" s="166" t="str">
        <x:v>CI</x:v>
      </x:c>
      <x:c r="K2920" s="172" t="n">
        <x:v>10</x:v>
      </x:c>
      <x:c r="L2920" s="185" t="str">
        <x:v>Não classificado</x:v>
      </x:c>
    </x:row>
    <x:row r="2921">
      <x:c r="A2921" s="175" t="str">
        <x:v>59.871.316/0001-00</x:v>
      </x:c>
      <x:c r="B2921" s="166" t="str">
        <x:v>UNION CAPITAL FUNDO DE INVESTIMENTO EM DIREITOS CREDITÓRIOS</x:v>
      </x:c>
      <x:c r="C2921" s="188" t="n">
        <x:v>2365855.41</x:v>
      </x:c>
      <x:c r="D2921" s="166" t="str">
        <x:v>ICON CAPITAL</x:v>
      </x:c>
      <x:c r="E2921" s="166" t="str">
        <x:f>IFERROR(INDEX('Classif Gestoras'!$H$6:$H$462,MATCH(D2921,'Classif Gestoras'!$A$6:$A$462,0)),"Não classificada")</x:f>
        <x:v>Independente</x:v>
      </x:c>
      <x:c r="F2921" s="166" t="str">
        <x:v>REAG DTVM</x:v>
      </x:c>
      <x:c r="G2921" s="166" t="str">
        <x:v>FIDD DISTRIBUIDORA DE TITULOS E VALORES MOBILIARIOS LTDA.</x:v>
      </x:c>
      <x:c r="H2921" s="166" t="str">
        <x:v>Outros</x:v>
      </x:c>
      <x:c r="I2921" s="166" t="str">
        <x:v>Multicarteira Outros</x:v>
      </x:c>
      <x:c r="J2921" s="166" t="str">
        <x:v>CI</x:v>
      </x:c>
      <x:c r="K2921" s="172" t="n">
        <x:v>5</x:v>
      </x:c>
      <x:c r="L2921" s="185" t="str">
        <x:v>Não classificado</x:v>
      </x:c>
    </x:row>
    <x:row r="2922">
      <x:c r="A2922" s="175" t="str">
        <x:v>28.254.193/0001-26</x:v>
      </x:c>
      <x:c r="B2922" s="166" t="str">
        <x:v>BLP PRECATÓRIO III-FUNDO DE INVESTIMENTO EM DIREITOS CREDITÓRIOS NÃO-PADRONIZADOS DE RESP. LIMITADA</x:v>
      </x:c>
      <x:c r="C2922" s="188" t="n">
        <x:v>2359410.47</x:v>
      </x:c>
      <x:c r="D2922" s="166" t="str">
        <x:v>BLP CAPITAL</x:v>
      </x:c>
      <x:c r="E2922" s="166" t="str">
        <x:f>IFERROR(INDEX('Classif Gestoras'!$H$6:$H$462,MATCH(D2922,'Classif Gestoras'!$A$6:$A$462,0)),"Não classificada")</x:f>
        <x:v>Independente</x:v>
      </x:c>
      <x:c r="F2922" s="166" t="str">
        <x:v>TRUSTEE DTVM</x:v>
      </x:c>
      <x:c r="G2922" s="166" t="str">
        <x:v>TRUSTEE DISTRIBUIDORA DE TITULOS E VALORES MOBILIARIOS LTDA.</x:v>
      </x:c>
      <x:c r="H2922" s="166" t="str">
        <x:v>Outros</x:v>
      </x:c>
      <x:c r="I2922" s="166" t="str">
        <x:v>Poder Público</x:v>
      </x:c>
      <x:c r="J2922" s="166" t="str">
        <x:v>CI</x:v>
      </x:c>
      <x:c r="K2922" s="172" t="n">
        <x:v>25</x:v>
      </x:c>
      <x:c r="L2922" s="185" t="str">
        <x:v>Não classificado</x:v>
      </x:c>
    </x:row>
    <x:row r="2923">
      <x:c r="A2923" s="175" t="str">
        <x:v>49.829.816/0001-11</x:v>
      </x:c>
      <x:c r="B2923" s="166" t="str">
        <x:v>FUNDO DE INVESTIMENTO EM DIREITOS CREDITÓRIOS 800</x:v>
      </x:c>
      <x:c r="C2923" s="188" t="n">
        <x:v>2356990.38</x:v>
      </x:c>
      <x:c r="D2923" s="166" t="str">
        <x:v>H2 CAPITAL</x:v>
      </x:c>
      <x:c r="E2923" s="166" t="str">
        <x:f>IFERROR(INDEX('Classif Gestoras'!$H$6:$H$462,MATCH(D2923,'Classif Gestoras'!$A$6:$A$462,0)),"Não classificada")</x:f>
        <x:v>Independente</x:v>
      </x:c>
      <x:c r="F2923" s="166" t="str">
        <x:v>BANCO DAYCOVAL S/A</x:v>
      </x:c>
      <x:c r="G2923" s="166" t="str">
        <x:v>BANCO DAYCOVAL S.A.</x:v>
      </x:c>
      <x:c r="H2923" s="166" t="str">
        <x:v>Agro, Indústria e Comércio</x:v>
      </x:c>
      <x:c r="I2923" s="166" t="str">
        <x:v>Recebíveis Comerciais</x:v>
      </x:c>
      <x:c r="J2923" s="166" t="str">
        <x:v>CI</x:v>
      </x:c>
      <x:c r="K2923" s="172" t="n">
        <x:v>1</x:v>
      </x:c>
      <x:c r="L2923" s="185" t="str">
        <x:v>Não classificado</x:v>
      </x:c>
    </x:row>
    <x:row r="2924">
      <x:c r="A2924" s="175" t="str">
        <x:v>55.913.770/0001-17</x:v>
      </x:c>
      <x:c r="B2924" s="166" t="str">
        <x:v>JUNTOS PELO RS FUNDO DE INVESTIMENTO EM DIREITOS CREDITÓRIOS</x:v>
      </x:c>
      <x:c r="C2924" s="188" t="n">
        <x:v>2329108.03</x:v>
      </x:c>
      <x:c r="D2924" s="166" t="str">
        <x:v>BTG Pactual Asset</x:v>
      </x:c>
      <x:c r="E2924" s="166" t="str">
        <x:f>IFERROR(INDEX('Classif Gestoras'!$H$6:$H$462,MATCH(D2924,'Classif Gestoras'!$A$6:$A$462,0)),"Não classificada")</x:f>
        <x:v>Ligada a banco</x:v>
      </x:c>
      <x:c r="F2924" s="166" t="str">
        <x:v>BTG Pactual Servicos Financeiros S/A DTVM</x:v>
      </x:c>
      <x:c r="G2924" s="166" t="str">
        <x:v>BANCO BTG PACTUAL S/A</x:v>
      </x:c>
      <x:c r="H2924" s="166" t="str">
        <x:v>Outros</x:v>
      </x:c>
      <x:c r="I2924" s="166" t="str">
        <x:v>Multicarteira Outros</x:v>
      </x:c>
      <x:c r="J2924" s="166" t="str">
        <x:v>CI</x:v>
      </x:c>
      <x:c r="K2924" s="172" t="n">
        <x:v>1</x:v>
      </x:c>
      <x:c r="L2924" s="185" t="str">
        <x:v>Não classificado</x:v>
      </x:c>
    </x:row>
    <x:row r="2925">
      <x:c r="A2925" s="175" t="str">
        <x:v>45.355.605/0001-33</x:v>
      </x:c>
      <x:c r="B2925" s="166" t="str">
        <x:v>NEB II FUNDO DE INVESTIMENTO EM DIREITOS CREDITÓRIOS RESPONSABILIDADE LIMITADA</x:v>
      </x:c>
      <x:c r="C2925" s="188" t="n">
        <x:v>2317161.8</x:v>
      </x:c>
      <x:c r="D2925" s="166" t="str">
        <x:v>JIVE INVESTMENTS</x:v>
      </x:c>
      <x:c r="E2925" s="166" t="str">
        <x:f>IFERROR(INDEX('Classif Gestoras'!$H$6:$H$462,MATCH(D2925,'Classif Gestoras'!$A$6:$A$462,0)),"Não classificada")</x:f>
        <x:v>Independente</x:v>
      </x:c>
      <x:c r="F2925" s="166" t="str">
        <x:v>BTG Pactual Servicos Financeiros S/A DTVM</x:v>
      </x:c>
      <x:c r="G2925" s="166" t="str">
        <x:v>BANCO BTG PACTUAL S/A</x:v>
      </x:c>
      <x:c r="H2925" s="166" t="str">
        <x:v>Outros</x:v>
      </x:c>
      <x:c r="I2925" s="166" t="str">
        <x:v>Poder Público</x:v>
      </x:c>
      <x:c r="J2925" s="166" t="str">
        <x:v>CI</x:v>
      </x:c>
      <x:c r="K2925" s="172" t="n">
        <x:v>4</x:v>
      </x:c>
      <x:c r="L2925" s="185" t="str">
        <x:v>Não classificado</x:v>
      </x:c>
    </x:row>
    <x:row r="2926">
      <x:c r="A2926" s="175" t="str">
        <x:v>57.391.695/0001-05</x:v>
      </x:c>
      <x:c r="B2926" s="166" t="str">
        <x:v>SIMPLIX FGTS FUNDO DE INVESTIMENTO EM DIREITOS CREDITÓRIOS FINANCEIROS DE RESPONSABILIDADE LIMITADA</x:v>
      </x:c>
      <x:c r="C2926" s="188" t="n">
        <x:v>2293645.08</x:v>
      </x:c>
      <x:c r="D2926" s="166" t="str">
        <x:v>SIMPLIX ASSET MANAGEMENT LTDA.</x:v>
      </x:c>
      <x:c r="E2926" s="166" t="str">
        <x:f>IFERROR(INDEX('Classif Gestoras'!$H$6:$H$462,MATCH(D2926,'Classif Gestoras'!$A$6:$A$462,0)),"Não classificada")</x:f>
        <x:v>Independente</x:v>
      </x:c>
      <x:c r="F2926" s="166" t="str">
        <x:v>BANCO DAYCOVAL S/A</x:v>
      </x:c>
      <x:c r="G2926" s="166" t="str">
        <x:v>BANCO DAYCOVAL S.A.</x:v>
      </x:c>
      <x:c r="H2926" s="166" t="str">
        <x:v>Financeiro</x:v>
      </x:c>
      <x:c r="I2926" s="166" t="str">
        <x:v>Crédito Pessoal</x:v>
      </x:c>
      <x:c r="J2926" s="166" t="str">
        <x:v>CI</x:v>
      </x:c>
      <x:c r="K2926" s="172" t="n">
        <x:v>5</x:v>
      </x:c>
      <x:c r="L2926" s="185" t="str">
        <x:v>Não classificado</x:v>
      </x:c>
    </x:row>
    <x:row r="2927">
      <x:c r="A2927" s="175" t="str">
        <x:v>63.983.416/0001-97</x:v>
      </x:c>
      <x:c r="B2927" s="166" t="str">
        <x:v>MS SAÚDE I FUNDO DE INVESTIMENTO EM DIREITOS CREDITÓRIOS</x:v>
      </x:c>
      <x:c r="C2927" s="188" t="n">
        <x:v>2283597.56</x:v>
      </x:c>
      <x:c r="D2927" s="166" t="str">
        <x:v>BTG Pactual Asset</x:v>
      </x:c>
      <x:c r="E2927" s="166" t="str">
        <x:f>IFERROR(INDEX('Classif Gestoras'!$H$6:$H$462,MATCH(D2927,'Classif Gestoras'!$A$6:$A$462,0)),"Não classificada")</x:f>
        <x:v>Ligada a banco</x:v>
      </x:c>
      <x:c r="F2927" s="166" t="str">
        <x:v>BTG Pactual Servicos Financeiros S/A DTVM</x:v>
      </x:c>
      <x:c r="G2927" s="166" t="str">
        <x:v>BANCO BTG PACTUAL S/A</x:v>
      </x:c>
      <x:c r="H2927" s="166" t="str">
        <x:v>Outros</x:v>
      </x:c>
      <x:c r="I2927" s="166" t="str">
        <x:v>Multicarteira Outros</x:v>
      </x:c>
      <x:c r="J2927" s="166" t="str">
        <x:v>CI</x:v>
      </x:c>
      <x:c r="K2927" s="172" t="n">
        <x:v>0</x:v>
      </x:c>
      <x:c r="L2927" s="185" t="str">
        <x:v>Não classificado</x:v>
      </x:c>
    </x:row>
    <x:row r="2928">
      <x:c r="A2928" s="175" t="str">
        <x:v>64.438.386/0001-09</x:v>
      </x:c>
      <x:c r="B2928" s="166" t="str">
        <x:v>HEAD CRÉDITO AO TRABALHADOR FUNDO DE INVESTIMENTO EM DIREITOS CREDITÓRIOS RESP LIMITADA</x:v>
      </x:c>
      <x:c r="C2928" s="188" t="n">
        <x:v>2279409.94</x:v>
      </x:c>
      <x:c r="D2928" s="166" t="str">
        <x:v>HEADINVEST ASSET</x:v>
      </x:c>
      <x:c r="E2928" s="166" t="str">
        <x:f>IFERROR(INDEX('Classif Gestoras'!$H$6:$H$462,MATCH(D2928,'Classif Gestoras'!$A$6:$A$462,0)),"Não classificada")</x:f>
        <x:v>Independente</x:v>
      </x:c>
      <x:c r="F2928" s="166" t="str">
        <x:v>Oliveira Trust DTVM</x:v>
      </x:c>
      <x:c r="G2928" s="166" t="str">
        <x:v>OLIVEIRA TRUST DTVM S.A.</x:v>
      </x:c>
      <x:c r="H2928" s="166" t="str">
        <x:v>Financeiro</x:v>
      </x:c>
      <x:c r="I2928" s="166" t="str">
        <x:v>Crédito Consignado</x:v>
      </x:c>
      <x:c r="J2928" s="166" t="str">
        <x:v>CI</x:v>
      </x:c>
      <x:c r="K2928" s="172" t="n">
        <x:v>1</x:v>
      </x:c>
      <x:c r="L2928" s="185" t="str">
        <x:v>Não classificado</x:v>
      </x:c>
    </x:row>
    <x:row r="2929">
      <x:c r="A2929" s="175" t="str">
        <x:v>62.339.639/0001-53</x:v>
      </x:c>
      <x:c r="B2929" s="166" t="str">
        <x:v>M SKY FUNDO DE INVESTIMENTO EM DIREITOS CREDITÓRIOS DE RESPONSABILIDADE LIMITADA</x:v>
      </x:c>
      <x:c r="C2929" s="188" t="n">
        <x:v>2277360.66</x:v>
      </x:c>
      <x:c r="D2929" s="166" t="str">
        <x:v>Multinvest Capital</x:v>
      </x:c>
      <x:c r="E2929" s="166" t="str">
        <x:f>IFERROR(INDEX('Classif Gestoras'!$H$6:$H$462,MATCH(D2929,'Classif Gestoras'!$A$6:$A$462,0)),"Não classificada")</x:f>
        <x:v>Independente</x:v>
      </x:c>
      <x:c r="F2929" s="166" t="str">
        <x:v>BANCO DAYCOVAL S/A</x:v>
      </x:c>
      <x:c r="G2929" s="166" t="str">
        <x:v>BANCO DAYCOVAL S.A.</x:v>
      </x:c>
      <x:c r="H2929" s="166" t="str">
        <x:v>Outros</x:v>
      </x:c>
      <x:c r="I2929" s="166" t="str">
        <x:v>Multicarteira Outros</x:v>
      </x:c>
      <x:c r="J2929" s="166" t="str">
        <x:v>CI</x:v>
      </x:c>
      <x:c r="K2929" s="172" t="n">
        <x:v>14</x:v>
      </x:c>
      <x:c r="L2929" s="185" t="str">
        <x:v>Não classificado</x:v>
      </x:c>
    </x:row>
    <x:row r="2930">
      <x:c r="A2930" s="175" t="str">
        <x:v>44.273.371/0001-12</x:v>
      </x:c>
      <x:c r="B2930" s="166" t="str">
        <x:v>GRYPHON FUNDO DE INVESTIMENTO EM DIREITOS CREDITÓRIOS NÃO PADRONIZADOS</x:v>
      </x:c>
      <x:c r="C2930" s="188" t="n">
        <x:v>2258700.56</x:v>
      </x:c>
      <x:c r="D2930" s="166" t="str">
        <x:v>BURITI INVESTIMENTOS</x:v>
      </x:c>
      <x:c r="E2930" s="166" t="str">
        <x:f>IFERROR(INDEX('Classif Gestoras'!$H$6:$H$462,MATCH(D2930,'Classif Gestoras'!$A$6:$A$462,0)),"Não classificada")</x:f>
        <x:v>Independente</x:v>
      </x:c>
      <x:c r="F2930" s="166" t="str">
        <x:v>Singulare</x:v>
      </x:c>
      <x:c r="G2930" s="166" t="str">
        <x:v>QI CORRETORA DE TÍTULOS E VALORES MOBILIÁRIOS S.A.</x:v>
      </x:c>
      <x:c r="H2930" s="166" t="str">
        <x:v>Outros</x:v>
      </x:c>
      <x:c r="I2930" s="166" t="str">
        <x:v>Multicarteira Outros</x:v>
      </x:c>
      <x:c r="J2930" s="166" t="str">
        <x:v>CI</x:v>
      </x:c>
      <x:c r="K2930" s="172" t="n">
        <x:v>7</x:v>
      </x:c>
      <x:c r="L2930" s="185" t="str">
        <x:v>Não classificado</x:v>
      </x:c>
    </x:row>
    <x:row r="2931">
      <x:c r="A2931" s="175" t="str">
        <x:v>61.784.056/0001-79</x:v>
      </x:c>
      <x:c r="B2931" s="166" t="str">
        <x:v>TV LAR FUNDO DE INVESTIMENTO EM DIREITOS CREDITÓRIOS PADRONIZADOS RESPONSABILIDADE LIMITADA</x:v>
      </x:c>
      <x:c r="C2931" s="188" t="n">
        <x:v>2250677.64</x:v>
      </x:c>
      <x:c r="D2931" s="166" t="str">
        <x:v>Tyr Gestao de Recursos Ltda</x:v>
      </x:c>
      <x:c r="E2931" s="166" t="str">
        <x:f>IFERROR(INDEX('Classif Gestoras'!$H$6:$H$462,MATCH(D2931,'Classif Gestoras'!$A$6:$A$462,0)),"Não classificada")</x:f>
        <x:v>Independente</x:v>
      </x:c>
      <x:c r="F2931" s="166" t="str">
        <x:v>ID Corretora de Títulos e Valores Mobiliários S.A.</x:v>
      </x:c>
      <x:c r="G2931" s="166" t="str">
        <x:v>ID CORRETORA DE TITULOS E VALORES MOBILIARIOS S.A.</x:v>
      </x:c>
      <x:c r="H2931" s="166" t="str">
        <x:v>Outros</x:v>
      </x:c>
      <x:c r="I2931" s="166" t="str">
        <x:v>Multicarteira Outros</x:v>
      </x:c>
      <x:c r="J2931" s="166" t="str">
        <x:v>CI</x:v>
      </x:c>
      <x:c r="K2931" s="172" t="n">
        <x:v>1</x:v>
      </x:c>
      <x:c r="L2931" s="185" t="str">
        <x:v>Não classificado</x:v>
      </x:c>
    </x:row>
    <x:row r="2932">
      <x:c r="A2932" s="175" t="str">
        <x:v>65.014.891/0001-80</x:v>
      </x:c>
      <x:c r="B2932" s="166" t="str">
        <x:v>VIA MOBIL FUNDO DE INVESTIMENTO EM DIREITOS CREDITÓRIOS</x:v>
      </x:c>
      <x:c r="C2932" s="188" t="n">
        <x:v>2223063.06</x:v>
      </x:c>
      <x:c r="D2932" s="166" t="str">
        <x:v>ASSET MANAGEMENT</x:v>
      </x:c>
      <x:c r="E2932" s="166" t="str">
        <x:f>IFERROR(INDEX('Classif Gestoras'!$H$6:$H$462,MATCH(D2932,'Classif Gestoras'!$A$6:$A$462,0)),"Não classificada")</x:f>
        <x:v>Independente</x:v>
      </x:c>
      <x:c r="F2932" s="166" t="str">
        <x:v>AZUMI DISTRIBUIDORA DE TÍTULOS E VALORES MOBILIÁRIOS LT</x:v>
      </x:c>
      <x:c r="G2932" s="166" t="str">
        <x:v>AZUMI DISTRIBUIDORA DE TÍTULOS E VALORES MOBILIÁRIOS LTDA.</x:v>
      </x:c>
      <x:c r="H2932" s="166" t="str">
        <x:v>Fomento Mercantil</x:v>
      </x:c>
      <x:c r="I2932" s="166" t="str">
        <x:v>Fomento Mercantil</x:v>
      </x:c>
      <x:c r="J2932" s="166" t="str">
        <x:v>CI</x:v>
      </x:c>
      <x:c r="K2932" s="172" t="n">
        <x:v>2</x:v>
      </x:c>
      <x:c r="L2932" s="185" t="str">
        <x:v>Não classificado</x:v>
      </x:c>
    </x:row>
    <x:row r="2933">
      <x:c r="A2933" s="175" t="str">
        <x:v>58.114.447/0001-71</x:v>
      </x:c>
      <x:c r="B2933" s="166" t="str">
        <x:v>ADIGITAL FUNDO DE INVESTIMENTO EM DIREITOS CREDITÓRIOS RESPONSABILIDADE LIMITADA</x:v>
      </x:c>
      <x:c r="C2933" s="188" t="n">
        <x:v>2222664.82</x:v>
      </x:c>
      <x:c r="D2933" s="166" t="str">
        <x:v>GESTORA DE RECURSOS ID - GRID LTDA.</x:v>
      </x:c>
      <x:c r="E2933" s="166" t="str">
        <x:f>IFERROR(INDEX('Classif Gestoras'!$H$6:$H$462,MATCH(D2933,'Classif Gestoras'!$A$6:$A$462,0)),"Não classificada")</x:f>
        <x:v>Independente</x:v>
      </x:c>
      <x:c r="F2933" s="166" t="str">
        <x:v>ID Corretora de Títulos e Valores Mobiliários S.A.</x:v>
      </x:c>
      <x:c r="G2933" s="166" t="str">
        <x:v>ID CORRETORA DE TITULOS E VALORES MOBILIARIOS S.A.</x:v>
      </x:c>
      <x:c r="H2933" s="166" t="str">
        <x:v>Outros</x:v>
      </x:c>
      <x:c r="I2933" s="166" t="str">
        <x:v>Multicarteira Outros</x:v>
      </x:c>
      <x:c r="J2933" s="166" t="str">
        <x:v>CI</x:v>
      </x:c>
      <x:c r="K2933" s="172" t="n">
        <x:v>0</x:v>
      </x:c>
      <x:c r="L2933" s="185" t="str">
        <x:v>Não classificado</x:v>
      </x:c>
    </x:row>
    <x:row r="2934">
      <x:c r="A2934" s="175" t="str">
        <x:v>51.253.601/0001-47</x:v>
      </x:c>
      <x:c r="B2934" s="166" t="str">
        <x:v>AID BANK FUNDO DE INVESTIMENTO EM DIREITOS CREDITÓRIOS MULTISSETORIAL</x:v>
      </x:c>
      <x:c r="C2934" s="188" t="n">
        <x:v>2172872.01</x:v>
      </x:c>
      <x:c r="D2934" s="166" t="str">
        <x:v>OURO PRETO INVESTIMENTOS</x:v>
      </x:c>
      <x:c r="E2934" s="166" t="str">
        <x:f>IFERROR(INDEX('Classif Gestoras'!$H$6:$H$462,MATCH(D2934,'Classif Gestoras'!$A$6:$A$462,0)),"Não classificada")</x:f>
        <x:v>Independente</x:v>
      </x:c>
      <x:c r="F2934" s="166" t="str">
        <x:v>Limine Trust Distribuidora de Titulos e Valores Mobiliá</x:v>
      </x:c>
      <x:c r="G2934" s="166" t="str">
        <x:v>LIMINE TRUST DISTRIBUIDORA DE TITULOS E VALORES MOBILIARIOS LTDA.</x:v>
      </x:c>
      <x:c r="H2934" s="166" t="str">
        <x:v>Outros</x:v>
      </x:c>
      <x:c r="I2934" s="166" t="str">
        <x:v>Multicarteira Outros</x:v>
      </x:c>
      <x:c r="J2934" s="166" t="str">
        <x:v>CI</x:v>
      </x:c>
      <x:c r="K2934" s="172" t="n">
        <x:v>6</x:v>
      </x:c>
      <x:c r="L2934" s="185" t="str">
        <x:v>Não classificado</x:v>
      </x:c>
    </x:row>
    <x:row r="2935">
      <x:c r="A2935" s="175" t="str">
        <x:v>61.079.347/0001-66</x:v>
      </x:c>
      <x:c r="B2935" s="166" t="str">
        <x:v>VERITAS FUNDO DE INVESTIMENTO EM DIREITOS CREDITÓRIOS</x:v>
      </x:c>
      <x:c r="C2935" s="188" t="n">
        <x:v>2140980.79</x:v>
      </x:c>
      <x:c r="D2935" s="166" t="str">
        <x:v>ERFOLG</x:v>
      </x:c>
      <x:c r="E2935" s="166" t="str">
        <x:f>IFERROR(INDEX('Classif Gestoras'!$H$6:$H$462,MATCH(D2935,'Classif Gestoras'!$A$6:$A$462,0)),"Não classificada")</x:f>
        <x:v>Independente</x:v>
      </x:c>
      <x:c r="F2935" s="166" t="str">
        <x:v>PLANNER CV</x:v>
      </x:c>
      <x:c r="G2935" s="166" t="str">
        <x:v>PLANNER CORRETORA DE VALORES S.A.</x:v>
      </x:c>
      <x:c r="H2935" s="166" t="str">
        <x:v>Outros</x:v>
      </x:c>
      <x:c r="I2935" s="166" t="str">
        <x:v>Multicarteira Outros</x:v>
      </x:c>
      <x:c r="J2935" s="166" t="str">
        <x:v>CI</x:v>
      </x:c>
      <x:c r="K2935" s="172" t="n">
        <x:v>2</x:v>
      </x:c>
      <x:c r="L2935" s="185" t="str">
        <x:v>Não classificado</x:v>
      </x:c>
    </x:row>
    <x:row r="2936">
      <x:c r="A2936" s="175" t="str">
        <x:v>61.515.560/0001-73</x:v>
      </x:c>
      <x:c r="B2936" s="166" t="str">
        <x:v>WECAR I FUNDO DE INVESTIMENTO EM DIREITOS CREDITÓRIOS RESPONSABILIDADE LIMITADA</x:v>
      </x:c>
      <x:c r="C2936" s="188" t="n">
        <x:v>2100515.27</x:v>
      </x:c>
      <x:c r="D2936" s="166" t="str">
        <x:v>Mosaico Gestora de Recursos Ltda.</x:v>
      </x:c>
      <x:c r="E2936" s="166" t="str">
        <x:f>IFERROR(INDEX('Classif Gestoras'!$H$6:$H$462,MATCH(D2936,'Classif Gestoras'!$A$6:$A$462,0)),"Não classificada")</x:f>
        <x:v>Independente</x:v>
      </x:c>
      <x:c r="F2936" s="166" t="str">
        <x:v>PLANNER CV</x:v>
      </x:c>
      <x:c r="G2936" s="166" t="str">
        <x:v>PLANNER CORRETORA DE VALORES S.A.</x:v>
      </x:c>
      <x:c r="H2936" s="166" t="str">
        <x:v>Outros</x:v>
      </x:c>
      <x:c r="I2936" s="166" t="str">
        <x:v>Multicarteira Outros</x:v>
      </x:c>
      <x:c r="J2936" s="166" t="str">
        <x:v>CI</x:v>
      </x:c>
      <x:c r="K2936" s="172" t="n">
        <x:v>8</x:v>
      </x:c>
      <x:c r="L2936" s="185" t="str">
        <x:v>Não classificado</x:v>
      </x:c>
    </x:row>
    <x:row r="2937">
      <x:c r="A2937" s="175" t="str">
        <x:v>63.947.096/0001-10</x:v>
      </x:c>
      <x:c r="B2937" s="166" t="str">
        <x:v>STT2 FUNDO DE INVESTIMENTO EM DIREITOS CREDITÓRIOS</x:v>
      </x:c>
      <x:c r="C2937" s="188" t="n">
        <x:v>2092706.17</x:v>
      </x:c>
      <x:c r="D2937" s="166" t="str">
        <x:v>Strata Capital</x:v>
      </x:c>
      <x:c r="E2937" s="166" t="str">
        <x:f>IFERROR(INDEX('Classif Gestoras'!$H$6:$H$462,MATCH(D2937,'Classif Gestoras'!$A$6:$A$462,0)),"Não classificada")</x:f>
        <x:v>Independente</x:v>
      </x:c>
      <x:c r="F2937" s="166" t="str">
        <x:v>BANCO DAYCOVAL S/A</x:v>
      </x:c>
      <x:c r="G2937" s="166" t="str">
        <x:v>BANCO DAYCOVAL S.A.</x:v>
      </x:c>
      <x:c r="H2937" s="166" t="str">
        <x:v>Outros</x:v>
      </x:c>
      <x:c r="I2937" s="166" t="str">
        <x:v>Multicarteira Outros</x:v>
      </x:c>
      <x:c r="J2937" s="166" t="str">
        <x:v>CI</x:v>
      </x:c>
      <x:c r="K2937" s="172" t="n">
        <x:v>1</x:v>
      </x:c>
      <x:c r="L2937" s="185" t="str">
        <x:v>Não classificado</x:v>
      </x:c>
    </x:row>
    <x:row r="2938">
      <x:c r="A2938" s="175" t="str">
        <x:v>57.090.601/0001-50</x:v>
      </x:c>
      <x:c r="B2938" s="166" t="str">
        <x:v>MACCA FUNDO DE INVESTIMENTO EM DIREITOS CREDITÓRIOS RESPONSABILIDADE LIMITADA</x:v>
      </x:c>
      <x:c r="C2938" s="188" t="n">
        <x:v>2083377.6</x:v>
      </x:c>
      <x:c r="D2938" s="166" t="str">
        <x:v>Fronteira Invest</x:v>
      </x:c>
      <x:c r="E2938" s="166" t="str">
        <x:f>IFERROR(INDEX('Classif Gestoras'!$H$6:$H$462,MATCH(D2938,'Classif Gestoras'!$A$6:$A$462,0)),"Não classificada")</x:f>
        <x:v>Independente</x:v>
      </x:c>
      <x:c r="F2938" s="166" t="str">
        <x:v>Baru DTVM</x:v>
      </x:c>
      <x:c r="G2938" s="166" t="str">
        <x:v>BARU DISTRIBUIDORA DE TÍTULOS E VALORES MOBILIÁRIOS LTDA.</x:v>
      </x:c>
      <x:c r="H2938" s="166" t="str">
        <x:v>Financeiro</x:v>
      </x:c>
      <x:c r="I2938" s="166" t="str">
        <x:v>Crédito Consignado</x:v>
      </x:c>
      <x:c r="J2938" s="166" t="str">
        <x:v>CI</x:v>
      </x:c>
      <x:c r="K2938" s="172" t="n">
        <x:v>1</x:v>
      </x:c>
      <x:c r="L2938" s="185" t="str">
        <x:v>Não classificado</x:v>
      </x:c>
    </x:row>
    <x:row r="2939">
      <x:c r="A2939" s="175" t="str">
        <x:v>52.327.088/0001-54</x:v>
      </x:c>
      <x:c r="B2939" s="166" t="str">
        <x:v>CNPJ 52327088000154</x:v>
      </x:c>
      <x:c r="C2939" s="188" t="n">
        <x:v>2060687.43</x:v>
      </x:c>
      <x:c r="D2939" s="166" t="str">
        <x:v>GENIAL GESTÃO LTDA.</x:v>
      </x:c>
      <x:c r="E2939" s="166" t="str">
        <x:f>IFERROR(INDEX('Classif Gestoras'!$H$6:$H$462,MATCH(D2939,'Classif Gestoras'!$A$6:$A$462,0)),"Não classificada")</x:f>
        <x:v>Ligada a banco</x:v>
      </x:c>
      <x:c r="F2939" s="166" t="str">
        <x:v>Banco Genial S.A.</x:v>
      </x:c>
      <x:c r="G2939" s="166" t="str">
        <x:v>Não identificado</x:v>
      </x:c>
      <x:c r="H2939" s="166" t="str">
        <x:v>Outros</x:v>
      </x:c>
      <x:c r="I2939" s="166" t="str">
        <x:v>Multicarteira Outros</x:v>
      </x:c>
      <x:c r="J2939" s="166" t="str">
        <x:v>CI</x:v>
      </x:c>
      <x:c r="K2939" s="172"/>
      <x:c r="L2939" s="185" t="str">
        <x:v>Não classificado</x:v>
      </x:c>
    </x:row>
    <x:row r="2940">
      <x:c r="A2940" s="175" t="str">
        <x:v>60.811.152/0001-04</x:v>
      </x:c>
      <x:c r="B2940" s="166" t="str">
        <x:v>ITAÚNA MULTI TESES FUNDO DE INVESTIMENTO EM DIREITOS CREDITÓRIOS RESPONSABILIDADE LIMITADA</x:v>
      </x:c>
      <x:c r="C2940" s="188" t="n">
        <x:v>2058100.07</x:v>
      </x:c>
      <x:c r="D2940" s="166" t="str">
        <x:v>ITAÚNA CAPITAL LTDA.</x:v>
      </x:c>
      <x:c r="E2940" s="166" t="str">
        <x:f>IFERROR(INDEX('Classif Gestoras'!$H$6:$H$462,MATCH(D2940,'Classif Gestoras'!$A$6:$A$462,0)),"Não classificada")</x:f>
        <x:v>Ligada a banco</x:v>
      </x:c>
      <x:c r="F2940" s="166" t="str">
        <x:v>VÓRTX DTVM</x:v>
      </x:c>
      <x:c r="G2940" s="166" t="str">
        <x:v>VORTX DISTRIBUIDORA DE TITULOS E VALORES MOBILIARIOS LTDA.</x:v>
      </x:c>
      <x:c r="H2940" s="166" t="str">
        <x:v>Outros</x:v>
      </x:c>
      <x:c r="I2940" s="166" t="str">
        <x:v>Multicarteira Outros</x:v>
      </x:c>
      <x:c r="J2940" s="166" t="str">
        <x:v>CI</x:v>
      </x:c>
      <x:c r="K2940" s="172" t="n">
        <x:v>32</x:v>
      </x:c>
      <x:c r="L2940" s="185" t="str">
        <x:v>Não classificado</x:v>
      </x:c>
    </x:row>
    <x:row r="2941">
      <x:c r="A2941" s="175" t="str">
        <x:v>55.690.923/0001-04</x:v>
      </x:c>
      <x:c r="B2941" s="166" t="str">
        <x:v>CAPITAL DIRETO FUNDO DE INVESTIMENTO EM DIREITOS CREDITÓRIOS NÃO PADRONIZADO</x:v>
      </x:c>
      <x:c r="C2941" s="188" t="n">
        <x:v>1993897.22</x:v>
      </x:c>
      <x:c r="D2941" s="166" t="str">
        <x:v>ASSET MANAGEMENT</x:v>
      </x:c>
      <x:c r="E2941" s="166" t="str">
        <x:f>IFERROR(INDEX('Classif Gestoras'!$H$6:$H$462,MATCH(D2941,'Classif Gestoras'!$A$6:$A$462,0)),"Não classificada")</x:f>
        <x:v>Independente</x:v>
      </x:c>
      <x:c r="F2941" s="166" t="str">
        <x:v>AZUMI DISTRIBUIDORA DE TÍTULOS E VALORES MOBILIÁRIOS LT</x:v>
      </x:c>
      <x:c r="G2941" s="166" t="str">
        <x:v>AZUMI DISTRIBUIDORA DE TÍTULOS E VALORES MOBILIÁRIOS LTDA.</x:v>
      </x:c>
      <x:c r="H2941" s="166" t="str">
        <x:v>Fomento Mercantil</x:v>
      </x:c>
      <x:c r="I2941" s="166" t="str">
        <x:v>Fomento Mercantil</x:v>
      </x:c>
      <x:c r="J2941" s="166" t="str">
        <x:v>CI</x:v>
      </x:c>
      <x:c r="K2941" s="172" t="n">
        <x:v>4</x:v>
      </x:c>
      <x:c r="L2941" s="185" t="str">
        <x:v>Não classificado</x:v>
      </x:c>
    </x:row>
    <x:row r="2942">
      <x:c r="A2942" s="175" t="str">
        <x:v>47.669.281/0001-33</x:v>
      </x:c>
      <x:c r="B2942" s="166" t="str">
        <x:v>AGAZZII FUNDO DE INVESTIMENTO EM DIREITOS CREDITORIOS NÃO-PADRONIZADOS</x:v>
      </x:c>
      <x:c r="C2942" s="188" t="n">
        <x:v>1993280.46</x:v>
      </x:c>
      <x:c r="D2942" s="166" t="str">
        <x:v>Harbour Capital</x:v>
      </x:c>
      <x:c r="E2942" s="166" t="str">
        <x:f>IFERROR(INDEX('Classif Gestoras'!$H$6:$H$462,MATCH(D2942,'Classif Gestoras'!$A$6:$A$462,0)),"Não classificada")</x:f>
        <x:v>Independente</x:v>
      </x:c>
      <x:c r="F2942" s="166" t="str">
        <x:v>AZUMI DISTRIBUIDORA DE TÍTULOS E VALORES MOBILIÁRIOS LT</x:v>
      </x:c>
      <x:c r="G2942" s="166" t="str">
        <x:v>AZUMI DISTRIBUIDORA DE TÍTULOS E VALORES MOBILIÁRIOS LTDA.</x:v>
      </x:c>
      <x:c r="H2942" s="166" t="str">
        <x:v>Outros</x:v>
      </x:c>
      <x:c r="I2942" s="166" t="str">
        <x:v>Multicarteira Outros</x:v>
      </x:c>
      <x:c r="J2942" s="166" t="str">
        <x:v>CI</x:v>
      </x:c>
      <x:c r="K2942" s="172" t="n">
        <x:v>2</x:v>
      </x:c>
      <x:c r="L2942" s="185" t="str">
        <x:v>Não classificado</x:v>
      </x:c>
    </x:row>
    <x:row r="2943">
      <x:c r="A2943" s="175" t="str">
        <x:v>65.536.925/0001-05</x:v>
      </x:c>
      <x:c r="B2943" s="166" t="str">
        <x:v>IMPPAR FUNDO DE INVESTIMENTO EM DIREITOS CREDITÓRIOS</x:v>
      </x:c>
      <x:c r="C2943" s="188" t="n">
        <x:v>1991748.42</x:v>
      </x:c>
      <x:c r="D2943" s="166" t="str">
        <x:v>Redwood Asset Management</x:v>
      </x:c>
      <x:c r="E2943" s="166" t="str">
        <x:f>IFERROR(INDEX('Classif Gestoras'!$H$6:$H$462,MATCH(D2943,'Classif Gestoras'!$A$6:$A$462,0)),"Não classificada")</x:f>
        <x:v>Independente</x:v>
      </x:c>
      <x:c r="F2943" s="166" t="str">
        <x:v>PLANNER CV</x:v>
      </x:c>
      <x:c r="G2943" s="166" t="str">
        <x:v>PLANNER CORRETORA DE VALORES S.A.</x:v>
      </x:c>
      <x:c r="H2943" s="166" t="str">
        <x:v>Outros</x:v>
      </x:c>
      <x:c r="I2943" s="166" t="str">
        <x:v>Multicarteira Outros</x:v>
      </x:c>
      <x:c r="J2943" s="166" t="str">
        <x:v>CI</x:v>
      </x:c>
      <x:c r="K2943" s="172" t="n">
        <x:v>1</x:v>
      </x:c>
      <x:c r="L2943" s="185" t="str">
        <x:v>Não classificado</x:v>
      </x:c>
    </x:row>
    <x:row r="2944">
      <x:c r="A2944" s="175" t="str">
        <x:v>66.107.567/0001-70</x:v>
      </x:c>
      <x:c r="B2944" s="166" t="str">
        <x:v>ATLAS PARTNERS FUNDO DE INVESTIMENTO EM DIREITOS CREDITÓRIOS CRÉDITO CORPORATIVO</x:v>
      </x:c>
      <x:c r="C2944" s="188" t="n">
        <x:v>1981546.06</x:v>
      </x:c>
      <x:c r="D2944" s="166" t="str">
        <x:v>Harbour Capital</x:v>
      </x:c>
      <x:c r="E2944" s="166" t="str">
        <x:f>IFERROR(INDEX('Classif Gestoras'!$H$6:$H$462,MATCH(D2944,'Classif Gestoras'!$A$6:$A$462,0)),"Não classificada")</x:f>
        <x:v>Independente</x:v>
      </x:c>
      <x:c r="F2944" s="166" t="str">
        <x:v>AZUMI DISTRIBUIDORA DE TÍTULOS E VALORES MOBILIÁRIOS LT</x:v>
      </x:c>
      <x:c r="G2944" s="166" t="str">
        <x:v>AZUMI DISTRIBUIDORA DE TÍTULOS E VALORES MOBILIÁRIOS LTDA.</x:v>
      </x:c>
      <x:c r="H2944" s="166" t="str">
        <x:v>Fomento Mercantil</x:v>
      </x:c>
      <x:c r="I2944" s="166" t="str">
        <x:v>Fomento Mercantil</x:v>
      </x:c>
      <x:c r="J2944" s="166" t="str">
        <x:v>CI</x:v>
      </x:c>
      <x:c r="K2944" s="172" t="n">
        <x:v>1</x:v>
      </x:c>
      <x:c r="L2944" s="185" t="str">
        <x:v>Não classificado</x:v>
      </x:c>
    </x:row>
    <x:row r="2945">
      <x:c r="A2945" s="175" t="str">
        <x:v>54.760.649/0001-30</x:v>
      </x:c>
      <x:c r="B2945" s="166" t="str">
        <x:v>IMPULSE CREDIT I FUNDO DE INVESTIMENTO EM DIREITOS CREDITÓRIOS NÃO PADRONIZADOS</x:v>
      </x:c>
      <x:c r="C2945" s="188" t="n">
        <x:v>1971623.77</x:v>
      </x:c>
      <x:c r="D2945" s="166" t="str">
        <x:v>BLUEWAVE ASSET LTDA</x:v>
      </x:c>
      <x:c r="E2945" s="166" t="str">
        <x:f>IFERROR(INDEX('Classif Gestoras'!$H$6:$H$462,MATCH(D2945,'Classif Gestoras'!$A$6:$A$462,0)),"Não classificada")</x:f>
        <x:v>Independente</x:v>
      </x:c>
      <x:c r="F2945" s="166" t="str">
        <x:v>MONETAR DISTRIBUIDORA DE TITUL</x:v>
      </x:c>
      <x:c r="G2945" s="166" t="str">
        <x:v>TERRA INVESTIMENTOS DISTRIBUIDORA DE TITULOS E VALORES MOBILIARIOS LTDA</x:v>
      </x:c>
      <x:c r="H2945" s="166" t="str">
        <x:v>Outros</x:v>
      </x:c>
      <x:c r="I2945" s="166" t="str">
        <x:v>Multicarteira Outros</x:v>
      </x:c>
      <x:c r="J2945" s="166" t="str">
        <x:v>CI</x:v>
      </x:c>
      <x:c r="K2945" s="172" t="n">
        <x:v>13</x:v>
      </x:c>
      <x:c r="L2945" s="185" t="str">
        <x:v>Não classificado</x:v>
      </x:c>
    </x:row>
    <x:row r="2946">
      <x:c r="A2946" s="175" t="str">
        <x:v>64.078.580/0001-12</x:v>
      </x:c>
      <x:c r="B2946" s="166" t="str">
        <x:v>NTZ ALPHA PARTNERS FUNDO DE INVESTIMENTO EM DIREITOS CREDITÓRIOS - RESPONSABILIDADE LIMITADA</x:v>
      </x:c>
      <x:c r="C2946" s="188" t="n">
        <x:v>1968482.92</x:v>
      </x:c>
      <x:c r="D2946" s="166" t="str">
        <x:v>Netz Asset</x:v>
      </x:c>
      <x:c r="E2946" s="166" t="str">
        <x:f>IFERROR(INDEX('Classif Gestoras'!$H$6:$H$462,MATCH(D2946,'Classif Gestoras'!$A$6:$A$462,0)),"Não classificada")</x:f>
        <x:v>Independente</x:v>
      </x:c>
      <x:c r="F2946" s="166" t="str">
        <x:v>VÓRTX DTVM</x:v>
      </x:c>
      <x:c r="G2946" s="166" t="str">
        <x:v>VORTX DISTRIBUIDORA DE TITULOS E VALORES MOBILIARIOS LTDA.</x:v>
      </x:c>
      <x:c r="H2946" s="166" t="str">
        <x:v>Outros</x:v>
      </x:c>
      <x:c r="I2946" s="166" t="str">
        <x:v>Multicarteira Outros</x:v>
      </x:c>
      <x:c r="J2946" s="166" t="str">
        <x:v>CI</x:v>
      </x:c>
      <x:c r="K2946" s="172" t="n">
        <x:v>23</x:v>
      </x:c>
      <x:c r="L2946" s="185" t="str">
        <x:v>Não classificado</x:v>
      </x:c>
    </x:row>
    <x:row r="2947">
      <x:c r="A2947" s="175" t="str">
        <x:v>42.196.346/0001-57</x:v>
      </x:c>
      <x:c r="B2947" s="166" t="str">
        <x:v>VIA CAPITAL ADAMANTUS FUNDO DE INVESTIMENTO EM DIREITOS CREDITORIOS MULTISSETORIAL</x:v>
      </x:c>
      <x:c r="C2947" s="188" t="n">
        <x:v>1943061.33</x:v>
      </x:c>
      <x:c r="D2947" s="166" t="str">
        <x:v>OURO PRETO INVESTIMENTOS</x:v>
      </x:c>
      <x:c r="E2947" s="166" t="str">
        <x:f>IFERROR(INDEX('Classif Gestoras'!$H$6:$H$462,MATCH(D2947,'Classif Gestoras'!$A$6:$A$462,0)),"Não classificada")</x:f>
        <x:v>Independente</x:v>
      </x:c>
      <x:c r="F2947" s="166" t="str">
        <x:v>ID Corretora de Títulos e Valores Mobiliários S.A.</x:v>
      </x:c>
      <x:c r="G2947" s="166" t="str">
        <x:v>ID CORRETORA DE TITULOS E VALORES MOBILIARIOS S.A.</x:v>
      </x:c>
      <x:c r="H2947" s="166" t="str">
        <x:v>Outros</x:v>
      </x:c>
      <x:c r="I2947" s="166" t="str">
        <x:v>Multicarteira Outros</x:v>
      </x:c>
      <x:c r="J2947" s="166" t="str">
        <x:v>CI</x:v>
      </x:c>
      <x:c r="K2947" s="172" t="n">
        <x:v>9</x:v>
      </x:c>
      <x:c r="L2947" s="185" t="str">
        <x:v>Não classificado</x:v>
      </x:c>
    </x:row>
    <x:row r="2948">
      <x:c r="A2948" s="175" t="str">
        <x:v>27.984.909/0001-88</x:v>
      </x:c>
      <x:c r="B2948" s="166" t="str">
        <x:v>FUNDO DE INVESTIMENTO EM DIREITOS CREDITÓRIOS CONSORCIEI I - RESPONSABILIDADE LIMITADA</x:v>
      </x:c>
      <x:c r="C2948" s="188" t="n">
        <x:v>1942306.81</x:v>
      </x:c>
      <x:c r="D2948" s="166" t="str">
        <x:v>TERA CAPITAL</x:v>
      </x:c>
      <x:c r="E2948" s="166" t="str">
        <x:f>IFERROR(INDEX('Classif Gestoras'!$H$6:$H$462,MATCH(D2948,'Classif Gestoras'!$A$6:$A$462,0)),"Não classificada")</x:f>
        <x:v>Independente</x:v>
      </x:c>
      <x:c r="F2948" s="166" t="str">
        <x:v>BANCO DAYCOVAL S/A</x:v>
      </x:c>
      <x:c r="G2948" s="166" t="str">
        <x:v>BANCO DAYCOVAL S.A.</x:v>
      </x:c>
      <x:c r="H2948" s="166" t="str">
        <x:v>Outros</x:v>
      </x:c>
      <x:c r="I2948" s="166" t="str">
        <x:v>Multicarteira Outros</x:v>
      </x:c>
      <x:c r="J2948" s="166" t="str">
        <x:v>CI</x:v>
      </x:c>
      <x:c r="K2948" s="172" t="n">
        <x:v>28</x:v>
      </x:c>
      <x:c r="L2948" s="185" t="str">
        <x:v>Não classificado</x:v>
      </x:c>
    </x:row>
    <x:row r="2949">
      <x:c r="A2949" s="175" t="str">
        <x:v>55.581.309/0001-04</x:v>
      </x:c>
      <x:c r="B2949" s="166" t="str">
        <x:v>ESÓDIMA FUNDO DE INVESTIMENTO EM DIREITOS CREDITÓRIOS - RESPONSABILIDADE LIMITADA</x:v>
      </x:c>
      <x:c r="C2949" s="188" t="n">
        <x:v>1927210.6999999995</x:v>
      </x:c>
      <x:c r="D2949" s="166" t="str">
        <x:v>ANTHARUS GESTORA DE RECURSOS LTDA</x:v>
      </x:c>
      <x:c r="E2949" s="166" t="str">
        <x:f>IFERROR(INDEX('Classif Gestoras'!$H$6:$H$462,MATCH(D2949,'Classif Gestoras'!$A$6:$A$462,0)),"Não classificada")</x:f>
        <x:v>Independente</x:v>
      </x:c>
      <x:c r="F2949" s="166" t="str">
        <x:v>HEMERA DTVM</x:v>
      </x:c>
      <x:c r="G2949" s="166" t="str">
        <x:v>HEMERA DISTRIBUIDORA DE TITULOS E VALORES MOBILIARIOS LTDA</x:v>
      </x:c>
      <x:c r="H2949" s="166" t="str">
        <x:v>Outros</x:v>
      </x:c>
      <x:c r="I2949" s="166" t="str">
        <x:v>Multicarteira Outros</x:v>
      </x:c>
      <x:c r="J2949" s="166" t="str">
        <x:v>CI</x:v>
      </x:c>
      <x:c r="K2949" s="172" t="n">
        <x:v>9</x:v>
      </x:c>
      <x:c r="L2949" s="185" t="str">
        <x:v>Não classificado</x:v>
      </x:c>
    </x:row>
    <x:row r="2950">
      <x:c r="A2950" s="175" t="str">
        <x:v>47.117.740/0001-76</x:v>
      </x:c>
      <x:c r="B2950" s="166" t="str">
        <x:v>ELLEVE NPL FUNDO DE INVESTIMENTO EM DIREITOS CREDITÓRIOS - RESPONSABILIDADE LIMITADA</x:v>
      </x:c>
      <x:c r="C2950" s="188" t="n">
        <x:v>1920339.86</x:v>
      </x:c>
      <x:c r="D2950" s="166" t="str">
        <x:v>Solis</x:v>
      </x:c>
      <x:c r="E2950" s="166" t="str">
        <x:f>IFERROR(INDEX('Classif Gestoras'!$H$6:$H$462,MATCH(D2950,'Classif Gestoras'!$A$6:$A$462,0)),"Não classificada")</x:f>
        <x:v>Independente</x:v>
      </x:c>
      <x:c r="F2950" s="166" t="str">
        <x:v>HEMERA DTVM</x:v>
      </x:c>
      <x:c r="G2950" s="166" t="str">
        <x:v>HEMERA DISTRIBUIDORA DE TITULOS E VALORES MOBILIARIOS LTDA</x:v>
      </x:c>
      <x:c r="H2950" s="166" t="str">
        <x:v>Outros</x:v>
      </x:c>
      <x:c r="I2950" s="166" t="str">
        <x:v>Recuperação</x:v>
      </x:c>
      <x:c r="J2950" s="166" t="str">
        <x:v>CI</x:v>
      </x:c>
      <x:c r="K2950" s="172" t="n">
        <x:v>7</x:v>
      </x:c>
      <x:c r="L2950" s="185" t="str">
        <x:v>Não classificado</x:v>
      </x:c>
    </x:row>
    <x:row r="2951">
      <x:c r="A2951" s="175" t="str">
        <x:v>65.425.932/0001-21</x:v>
      </x:c>
      <x:c r="B2951" s="166" t="str">
        <x:v>KESH FUNDO DE INVESTIMENTO EM DIREITOS CREDITÓRIOS FINANCEIRO DE RESPONSABILIDADE LIMITADA</x:v>
      </x:c>
      <x:c r="C2951" s="188" t="n">
        <x:v>1870637.23</x:v>
      </x:c>
      <x:c r="D2951" s="166" t="str">
        <x:v>VM Consultoria Empresarial Ltd</x:v>
      </x:c>
      <x:c r="E2951" s="166" t="str">
        <x:f>IFERROR(INDEX('Classif Gestoras'!$H$6:$H$462,MATCH(D2951,'Classif Gestoras'!$A$6:$A$462,0)),"Não classificada")</x:f>
        <x:v>Independente</x:v>
      </x:c>
      <x:c r="F2951" s="166" t="str">
        <x:v>Genial Investimentos Corretora de Valores Mobiliários S.A.</x:v>
      </x:c>
      <x:c r="G2951" s="166" t="str">
        <x:v>BANCO GENIAL S.A.</x:v>
      </x:c>
      <x:c r="H2951" s="166" t="str">
        <x:v>Financeiro</x:v>
      </x:c>
      <x:c r="I2951" s="166" t="str">
        <x:v>Multicarteira Financeiro</x:v>
      </x:c>
      <x:c r="J2951" s="166" t="str">
        <x:v>CI</x:v>
      </x:c>
      <x:c r="K2951" s="172" t="n">
        <x:v>1</x:v>
      </x:c>
      <x:c r="L2951" s="185" t="str">
        <x:v>Não classificado</x:v>
      </x:c>
    </x:row>
    <x:row r="2952">
      <x:c r="A2952" s="175" t="str">
        <x:v>45.359.065/0001-66</x:v>
      </x:c>
      <x:c r="B2952" s="166" t="str">
        <x:v>JCI IV B - FUNDO DE INVESTIMENTO EM DIREITOS CREDITÓRIOS RESPONSABILIDADE LIMITADA</x:v>
      </x:c>
      <x:c r="C2952" s="188" t="n">
        <x:v>1854254.05</x:v>
      </x:c>
      <x:c r="D2952" s="166" t="str">
        <x:v>JIVE INVESTMENTS</x:v>
      </x:c>
      <x:c r="E2952" s="166" t="str">
        <x:f>IFERROR(INDEX('Classif Gestoras'!$H$6:$H$462,MATCH(D2952,'Classif Gestoras'!$A$6:$A$462,0)),"Não classificada")</x:f>
        <x:v>Independente</x:v>
      </x:c>
      <x:c r="F2952" s="166" t="str">
        <x:v>XPI CCTVM S/A</x:v>
      </x:c>
      <x:c r="G2952" s="166" t="str">
        <x:v>OLIVEIRA TRUST DTVM S.A.</x:v>
      </x:c>
      <x:c r="H2952" s="166" t="str">
        <x:v>Outros</x:v>
      </x:c>
      <x:c r="I2952" s="166" t="str">
        <x:v>Multicarteira Outros</x:v>
      </x:c>
      <x:c r="J2952" s="166" t="str">
        <x:v>CI</x:v>
      </x:c>
      <x:c r="K2952" s="172" t="n">
        <x:v>1</x:v>
      </x:c>
      <x:c r="L2952" s="185" t="str">
        <x:v>Não classificado</x:v>
      </x:c>
    </x:row>
    <x:row r="2953">
      <x:c r="A2953" s="175" t="str">
        <x:v>60.079.965/0001-43</x:v>
      </x:c>
      <x:c r="B2953" s="166" t="str">
        <x:v>AXXIS FUNDO DE INVESTIMENTO EM DIREITOS CREDITÓRIOS</x:v>
      </x:c>
      <x:c r="C2953" s="188" t="n">
        <x:v>1851714.55</x:v>
      </x:c>
      <x:c r="D2953" s="166" t="str">
        <x:v>ASSET MANAGEMENT</x:v>
      </x:c>
      <x:c r="E2953" s="166" t="str">
        <x:f>IFERROR(INDEX('Classif Gestoras'!$H$6:$H$462,MATCH(D2953,'Classif Gestoras'!$A$6:$A$462,0)),"Não classificada")</x:f>
        <x:v>Independente</x:v>
      </x:c>
      <x:c r="F2953" s="166" t="str">
        <x:v>AZUMI DISTRIBUIDORA DE TÍTULOS E VALORES MOBILIÁRIOS LT</x:v>
      </x:c>
      <x:c r="G2953" s="166" t="str">
        <x:v>AZUMI DISTRIBUIDORA DE TÍTULOS E VALORES MOBILIÁRIOS LTDA.</x:v>
      </x:c>
      <x:c r="H2953" s="166" t="str">
        <x:v>Fomento Mercantil</x:v>
      </x:c>
      <x:c r="I2953" s="166" t="str">
        <x:v>Fomento Mercantil</x:v>
      </x:c>
      <x:c r="J2953" s="166" t="str">
        <x:v>CI</x:v>
      </x:c>
      <x:c r="K2953" s="172" t="n">
        <x:v>2</x:v>
      </x:c>
      <x:c r="L2953" s="185" t="str">
        <x:v>Não classificado</x:v>
      </x:c>
    </x:row>
    <x:row r="2954">
      <x:c r="A2954" s="175" t="str">
        <x:v>26.286.853/0001-25</x:v>
      </x:c>
      <x:c r="B2954" s="166" t="str">
        <x:v>MILAS FUNDO DE INVESTIMENTO EM DIREITOS CREDITÓRIOS NÃO PADRONIZADOS RESPONSABILIDADE LIMITADA</x:v>
      </x:c>
      <x:c r="C2954" s="188" t="n">
        <x:v>1846476.54</x:v>
      </x:c>
      <x:c r="D2954" s="166" t="str">
        <x:v>Quadra Gestão de Recursos S.A.</x:v>
      </x:c>
      <x:c r="E2954" s="166" t="str">
        <x:f>IFERROR(INDEX('Classif Gestoras'!$H$6:$H$462,MATCH(D2954,'Classif Gestoras'!$A$6:$A$462,0)),"Não classificada")</x:f>
        <x:v>Independente</x:v>
      </x:c>
      <x:c r="F2954" s="166" t="str">
        <x:v>Oliveira Trust DTVM</x:v>
      </x:c>
      <x:c r="G2954" s="166" t="str">
        <x:v>OLIVEIRA TRUST DTVM S.A.</x:v>
      </x:c>
      <x:c r="H2954" s="166" t="str">
        <x:v>Outros</x:v>
      </x:c>
      <x:c r="I2954" s="166" t="str">
        <x:v>Multicarteira Outros</x:v>
      </x:c>
      <x:c r="J2954" s="166" t="str">
        <x:v>CI</x:v>
      </x:c>
      <x:c r="K2954" s="172" t="n">
        <x:v>42</x:v>
      </x:c>
      <x:c r="L2954" s="185" t="str">
        <x:v>Não classificado</x:v>
      </x:c>
    </x:row>
    <x:row r="2955">
      <x:c r="A2955" s="175" t="str">
        <x:v>22.061.694/0001-00</x:v>
      </x:c>
      <x:c r="B2955" s="166" t="str">
        <x:v>FUNDO DE INVESTIMENTO EM DIREITOS CREDITÓRIOS BREOF REAL ESTATE CREDIT RESPONSABILIDADE LIMITADA</x:v>
      </x:c>
      <x:c r="C2955" s="188" t="n">
        <x:v>1841163.96</x:v>
      </x:c>
      <x:c r="D2955" s="166" t="str">
        <x:v>Pátria VBI Real Estate Gestão de Carteiras S.A.</x:v>
      </x:c>
      <x:c r="E2955" s="166" t="str">
        <x:f>IFERROR(INDEX('Classif Gestoras'!$H$6:$H$462,MATCH(D2955,'Classif Gestoras'!$A$6:$A$462,0)),"Não classificada")</x:f>
        <x:v>Independente</x:v>
      </x:c>
      <x:c r="F2955" s="166" t="str">
        <x:v>BRL TRUST DTVM</x:v>
      </x:c>
      <x:c r="G2955" s="166" t="str">
        <x:v>BRL TRUST DISTRIBUIDORA DE TITULOS E VALORES MOBILIARIOS S.A.</x:v>
      </x:c>
      <x:c r="H2955" s="166" t="str">
        <x:v>Outros</x:v>
      </x:c>
      <x:c r="I2955" s="166" t="str">
        <x:v>Multicarteira Outros</x:v>
      </x:c>
      <x:c r="J2955" s="166" t="str">
        <x:v>CI</x:v>
      </x:c>
      <x:c r="K2955" s="172" t="n">
        <x:v>6</x:v>
      </x:c>
      <x:c r="L2955" s="185" t="str">
        <x:v>Não classificado</x:v>
      </x:c>
    </x:row>
    <x:row r="2956">
      <x:c r="A2956" s="175" t="str">
        <x:v>53.273.245/0001-59</x:v>
      </x:c>
      <x:c r="B2956" s="166" t="str">
        <x:v>RECARGAPAY MILENIO VD II FUNDO DE INVESTIMENTO EM DIREITOS CREDITÓRIOS FINANCEIROS</x:v>
      </x:c>
      <x:c r="C2956" s="188" t="n">
        <x:v>1820280.29</x:v>
      </x:c>
      <x:c r="D2956" s="166" t="str">
        <x:v>Milênio Capital</x:v>
      </x:c>
      <x:c r="E2956" s="166" t="str">
        <x:f>IFERROR(INDEX('Classif Gestoras'!$H$6:$H$462,MATCH(D2956,'Classif Gestoras'!$A$6:$A$462,0)),"Não classificada")</x:f>
        <x:v>Independente</x:v>
      </x:c>
      <x:c r="F2956" s="166" t="str">
        <x:v>Singulare</x:v>
      </x:c>
      <x:c r="G2956" s="166" t="str">
        <x:v>QI CORRETORA DE TÍTULOS E VALORES MOBILIÁRIOS S.A.</x:v>
      </x:c>
      <x:c r="H2956" s="166" t="str">
        <x:v>Financeiro</x:v>
      </x:c>
      <x:c r="I2956" s="166" t="str">
        <x:v>Multicarteira Financeiro</x:v>
      </x:c>
      <x:c r="J2956" s="166" t="str">
        <x:v>CI</x:v>
      </x:c>
      <x:c r="K2956" s="172" t="n">
        <x:v>10</x:v>
      </x:c>
      <x:c r="L2956" s="185" t="str">
        <x:v>Não classificado</x:v>
      </x:c>
    </x:row>
    <x:row r="2957">
      <x:c r="A2957" s="175" t="str">
        <x:v>62.359.769/0001-58</x:v>
      </x:c>
      <x:c r="B2957" s="166" t="str">
        <x:v>ELITE CRED FUNDO DE INVESTIMENTO EM DIREITOS CREDITÓRIOS</x:v>
      </x:c>
      <x:c r="C2957" s="188" t="n">
        <x:v>1818570</x:v>
      </x:c>
      <x:c r="D2957" s="166" t="str">
        <x:v>OURO PRETO INVESTIMENTOS</x:v>
      </x:c>
      <x:c r="E2957" s="166" t="str">
        <x:f>IFERROR(INDEX('Classif Gestoras'!$H$6:$H$462,MATCH(D2957,'Classif Gestoras'!$A$6:$A$462,0)),"Não classificada")</x:f>
        <x:v>Independente</x:v>
      </x:c>
      <x:c r="F2957" s="166" t="str">
        <x:v>MONETAR DISTRIBUIDORA DE TITUL</x:v>
      </x:c>
      <x:c r="G2957" s="166" t="str">
        <x:v>TERRA INVESTIMENTOS DISTRIBUIDORA DE TITULOS E VALORES MOBILIARIOS LTDA</x:v>
      </x:c>
      <x:c r="H2957" s="166" t="str">
        <x:v>Fomento Mercantil</x:v>
      </x:c>
      <x:c r="I2957" s="166" t="str">
        <x:v>Fomento Mercantil</x:v>
      </x:c>
      <x:c r="J2957" s="166" t="str">
        <x:v>CI</x:v>
      </x:c>
      <x:c r="K2957" s="172" t="n">
        <x:v>4</x:v>
      </x:c>
      <x:c r="L2957" s="185" t="str">
        <x:v>Não classificado</x:v>
      </x:c>
    </x:row>
    <x:row r="2958">
      <x:c r="A2958" s="175" t="str">
        <x:v>63.693.909/0001-92</x:v>
      </x:c>
      <x:c r="B2958" s="166" t="str">
        <x:v>ACÁCIA FUNDO DE INVESTIMENTO EM DIREITOS CREDITÓRIOS RESPONSABILIDADE LIMITADA</x:v>
      </x:c>
      <x:c r="C2958" s="188" t="n">
        <x:v>1809907.36</x:v>
      </x:c>
      <x:c r="D2958" s="166" t="str">
        <x:v>Kanastra</x:v>
      </x:c>
      <x:c r="E2958" s="166" t="str">
        <x:f>IFERROR(INDEX('Classif Gestoras'!$H$6:$H$462,MATCH(D2958,'Classif Gestoras'!$A$6:$A$462,0)),"Não classificada")</x:f>
        <x:v>Independente</x:v>
      </x:c>
      <x:c r="F2958" s="166" t="str">
        <x:v>INTRAG DIST. DE TÍTU</x:v>
      </x:c>
      <x:c r="G2958" s="166" t="str">
        <x:v>LIMINE TRUST DISTRIBUIDORA DE TITULOS E VALORES MOBILIARIOS LTDA.</x:v>
      </x:c>
      <x:c r="H2958" s="166" t="str">
        <x:v>Fomento Mercantil</x:v>
      </x:c>
      <x:c r="I2958" s="166" t="str">
        <x:v>Fomento Mercantil</x:v>
      </x:c>
      <x:c r="J2958" s="166" t="str">
        <x:v>CI</x:v>
      </x:c>
      <x:c r="K2958" s="172" t="n">
        <x:v>1</x:v>
      </x:c>
      <x:c r="L2958" s="185" t="str">
        <x:v>Não classificado</x:v>
      </x:c>
    </x:row>
    <x:row r="2959">
      <x:c r="A2959" s="175" t="str">
        <x:v>62.342.629/0001-77</x:v>
      </x:c>
      <x:c r="B2959" s="166" t="str">
        <x:v>HEALTH I FUNDO DE INVESTIMENTO EM DIREITOS CREDITÓRIOS - RESPONSABILIDADE LIMITADA</x:v>
      </x:c>
      <x:c r="C2959" s="188" t="n">
        <x:v>1798039.78</x:v>
      </x:c>
      <x:c r="D2959" s="166" t="str">
        <x:v>BLUEWAVE ASSET LTDA</x:v>
      </x:c>
      <x:c r="E2959" s="166" t="str">
        <x:f>IFERROR(INDEX('Classif Gestoras'!$H$6:$H$462,MATCH(D2959,'Classif Gestoras'!$A$6:$A$462,0)),"Não classificada")</x:f>
        <x:v>Independente</x:v>
      </x:c>
      <x:c r="F2959" s="166" t="str">
        <x:v>MONETAR DISTRIBUIDORA DE TITUL</x:v>
      </x:c>
      <x:c r="G2959" s="166" t="str">
        <x:v>TERRA INVESTIMENTOS DISTRIBUIDORA DE TITULOS E VALORES MOBILIARIOS LTDA</x:v>
      </x:c>
      <x:c r="H2959" s="166" t="str">
        <x:v>Fomento Mercantil</x:v>
      </x:c>
      <x:c r="I2959" s="166" t="str">
        <x:v>Fomento Mercantil</x:v>
      </x:c>
      <x:c r="J2959" s="166" t="str">
        <x:v>CI</x:v>
      </x:c>
      <x:c r="K2959" s="172" t="n">
        <x:v>7</x:v>
      </x:c>
      <x:c r="L2959" s="185" t="str">
        <x:v>Não classificado</x:v>
      </x:c>
    </x:row>
    <x:row r="2960">
      <x:c r="A2960" s="175" t="str">
        <x:v>29.226.688/0001-04</x:v>
      </x:c>
      <x:c r="B2960" s="166" t="str">
        <x:v>CNPJ 29226688000104</x:v>
      </x:c>
      <x:c r="C2960" s="188" t="n">
        <x:v>1754836.95</x:v>
      </x:c>
      <x:c r="D2960" s="166" t="str">
        <x:v>Quatá Investimentos</x:v>
      </x:c>
      <x:c r="E2960" s="166" t="str">
        <x:f>IFERROR(INDEX('Classif Gestoras'!$H$6:$H$462,MATCH(D2960,'Classif Gestoras'!$A$6:$A$462,0)),"Não classificada")</x:f>
        <x:v>Independente</x:v>
      </x:c>
      <x:c r="F2960" s="166" t="str">
        <x:v>BRL TRUST DTVM</x:v>
      </x:c>
      <x:c r="G2960" s="166" t="str">
        <x:v>Não identificado</x:v>
      </x:c>
      <x:c r="H2960" s="166" t="str">
        <x:v>Agro, Indústria e Comércio</x:v>
      </x:c>
      <x:c r="I2960" s="166" t="str">
        <x:v>Recebíveis Comerciais</x:v>
      </x:c>
      <x:c r="J2960" s="166" t="str">
        <x:v>CI</x:v>
      </x:c>
      <x:c r="K2960" s="172"/>
      <x:c r="L2960" s="185" t="str">
        <x:v>Não classificado</x:v>
      </x:c>
    </x:row>
    <x:row r="2961">
      <x:c r="A2961" s="175" t="str">
        <x:v>46.420.562/0001-95</x:v>
      </x:c>
      <x:c r="B2961" s="166" t="str">
        <x:v>PRIMO CAPITAL I FUNDO DE INVESTIMENTO EM DIREITOS CREDITÓRIOS DE RESPONSABILIDADE LIMITADA</x:v>
      </x:c>
      <x:c r="C2961" s="188" t="n">
        <x:v>1697240.4</x:v>
      </x:c>
      <x:c r="D2961" s="166" t="str">
        <x:v>Multinvest Capital</x:v>
      </x:c>
      <x:c r="E2961" s="166" t="str">
        <x:f>IFERROR(INDEX('Classif Gestoras'!$H$6:$H$462,MATCH(D2961,'Classif Gestoras'!$A$6:$A$462,0)),"Não classificada")</x:f>
        <x:v>Independente</x:v>
      </x:c>
      <x:c r="F2961" s="166" t="str">
        <x:v>BANCO DAYCOVAL S/A</x:v>
      </x:c>
      <x:c r="G2961" s="166" t="str">
        <x:v>BANCO DAYCOVAL S.A.</x:v>
      </x:c>
      <x:c r="H2961" s="166" t="str">
        <x:v>Outros</x:v>
      </x:c>
      <x:c r="I2961" s="166" t="str">
        <x:v>Poder Público</x:v>
      </x:c>
      <x:c r="J2961" s="166" t="str">
        <x:v>CI</x:v>
      </x:c>
      <x:c r="K2961" s="172" t="n">
        <x:v>10</x:v>
      </x:c>
      <x:c r="L2961" s="185" t="str">
        <x:v>Não classificado</x:v>
      </x:c>
    </x:row>
    <x:row r="2962">
      <x:c r="A2962" s="175" t="str">
        <x:v>54.965.252/0001-84</x:v>
      </x:c>
      <x:c r="B2962" s="166" t="str">
        <x:v>KRENAK FUNDO DE INVESTIMENTOS EM DIREITOS CREDITORIOS</x:v>
      </x:c>
      <x:c r="C2962" s="188" t="n">
        <x:v>1688514.5499999998</x:v>
      </x:c>
      <x:c r="D2962" s="166" t="str">
        <x:v>Global Gestão e Investimentos</x:v>
      </x:c>
      <x:c r="E2962" s="166" t="str">
        <x:f>IFERROR(INDEX('Classif Gestoras'!$H$6:$H$462,MATCH(D2962,'Classif Gestoras'!$A$6:$A$462,0)),"Não classificada")</x:f>
        <x:v>Independente</x:v>
      </x:c>
      <x:c r="F2962" s="166" t="str">
        <x:v>ACTUAL DTVM</x:v>
      </x:c>
      <x:c r="G2962" s="166" t="str">
        <x:v>TRUSTEE DISTRIBUIDORA DE TITULOS E VALORES MOBILIARIOS LTDA.</x:v>
      </x:c>
      <x:c r="H2962" s="166" t="str">
        <x:v>Fomento Mercantil</x:v>
      </x:c>
      <x:c r="I2962" s="166" t="str">
        <x:v>Fomento Mercantil</x:v>
      </x:c>
      <x:c r="J2962" s="166" t="str">
        <x:v>CI</x:v>
      </x:c>
      <x:c r="K2962" s="172" t="n">
        <x:v>1</x:v>
      </x:c>
      <x:c r="L2962" s="185" t="str">
        <x:v>Não classificado</x:v>
      </x:c>
    </x:row>
    <x:row r="2963">
      <x:c r="A2963" s="175" t="str">
        <x:v>36.335.619/0001-02</x:v>
      </x:c>
      <x:c r="B2963" s="166" t="str">
        <x:v>FUNDO DE INVESTIMENTO EM DIREITOS CREDITÓRIOS PROVI INCOME SHARE AGREEMENT RESPONSABILIDADE LIMITADA</x:v>
      </x:c>
      <x:c r="C2963" s="188" t="n">
        <x:v>1685879.3</x:v>
      </x:c>
      <x:c r="D2963" s="166" t="str">
        <x:v>VERT Gestora de Recursos Financeiros Ltda.</x:v>
      </x:c>
      <x:c r="E2963" s="166" t="str">
        <x:f>IFERROR(INDEX('Classif Gestoras'!$H$6:$H$462,MATCH(D2963,'Classif Gestoras'!$A$6:$A$462,0)),"Não classificada")</x:f>
        <x:v>Independente</x:v>
      </x:c>
      <x:c r="F2963" s="166" t="str">
        <x:v>VERT Distribuidora de Títulos e Valores Mobiliários Ltd</x:v>
      </x:c>
      <x:c r="G2963" s="166" t="str">
        <x:v>VERT DISTRIBUIDORA DE TÍTULOS E VALORES MOBILIÁRIOS LTDA.</x:v>
      </x:c>
      <x:c r="H2963" s="166" t="str">
        <x:v>Financeiro</x:v>
      </x:c>
      <x:c r="I2963" s="166" t="str">
        <x:v>Crédito Pessoal</x:v>
      </x:c>
      <x:c r="J2963" s="166" t="str">
        <x:v>CI</x:v>
      </x:c>
      <x:c r="K2963" s="172" t="n">
        <x:v>1</x:v>
      </x:c>
      <x:c r="L2963" s="185" t="str">
        <x:v>Não classificado</x:v>
      </x:c>
    </x:row>
    <x:row r="2964">
      <x:c r="A2964" s="175" t="str">
        <x:v>14.109.346/0001-37</x:v>
      </x:c>
      <x:c r="B2964" s="166" t="str">
        <x:v>FUNDO DE INVESTIMENTOS EM DIREITOS CREDITÓRIOS MULTISEGMENTOS NPL IPANEMA II</x:v>
      </x:c>
      <x:c r="C2964" s="188" t="n">
        <x:v>1654334.53</x:v>
      </x:c>
      <x:c r="D2964" s="166" t="str">
        <x:v>BRL TRUST DTVM</x:v>
      </x:c>
      <x:c r="E2964" s="166" t="str">
        <x:f>IFERROR(INDEX('Classif Gestoras'!$H$6:$H$462,MATCH(D2964,'Classif Gestoras'!$A$6:$A$462,0)),"Não classificada")</x:f>
        <x:v>Independente</x:v>
      </x:c>
      <x:c r="F2964" s="166" t="str">
        <x:v>BRL TRUST DTVM</x:v>
      </x:c>
      <x:c r="G2964" s="166" t="str">
        <x:v>BRL TRUST DISTRIBUIDORA DE TITULOS E VALORES MOBILIARIOS S.A.</x:v>
      </x:c>
      <x:c r="H2964" s="166" t="str">
        <x:v>Outros</x:v>
      </x:c>
      <x:c r="I2964" s="166" t="str">
        <x:v>Multicarteira Outros</x:v>
      </x:c>
      <x:c r="J2964" s="166" t="str">
        <x:v>CI</x:v>
      </x:c>
      <x:c r="K2964" s="172" t="n">
        <x:v>1</x:v>
      </x:c>
      <x:c r="L2964" s="185" t="str">
        <x:v>Não classificado</x:v>
      </x:c>
    </x:row>
    <x:row r="2965">
      <x:c r="A2965" s="175" t="str">
        <x:v>42.926.752/0001-28</x:v>
      </x:c>
      <x:c r="B2965" s="166" t="str">
        <x:v>QR CREDITO CRIPTO I - FUNDO DE INVESTIMENTOS EM DIREITOS CREDITORIOS</x:v>
      </x:c>
      <x:c r="C2965" s="188" t="n">
        <x:v>1626200.8299999998</x:v>
      </x:c>
      <x:c r="D2965" s="166" t="str">
        <x:v>QR Asset</x:v>
      </x:c>
      <x:c r="E2965" s="166" t="str">
        <x:f>IFERROR(INDEX('Classif Gestoras'!$H$6:$H$462,MATCH(D2965,'Classif Gestoras'!$A$6:$A$462,0)),"Não classificada")</x:f>
        <x:v>Independente</x:v>
      </x:c>
      <x:c r="F2965" s="166" t="str">
        <x:v>VÓRTX DTVM</x:v>
      </x:c>
      <x:c r="G2965" s="166" t="str">
        <x:v>VORTX DISTRIBUIDORA DE TITULOS E VALORES MOBILIARIOS LTDA.</x:v>
      </x:c>
      <x:c r="H2965" s="166" t="str">
        <x:v>Fomento Mercantil</x:v>
      </x:c>
      <x:c r="I2965" s="166" t="str">
        <x:v>Fomento Mercantil</x:v>
      </x:c>
      <x:c r="J2965" s="166" t="str">
        <x:v>CI</x:v>
      </x:c>
      <x:c r="K2965" s="172" t="n">
        <x:v>1</x:v>
      </x:c>
      <x:c r="L2965" s="185" t="str">
        <x:v>Não classificado</x:v>
      </x:c>
    </x:row>
    <x:row r="2966">
      <x:c r="A2966" s="175" t="str">
        <x:v>28.254.169/0001-97</x:v>
      </x:c>
      <x:c r="B2966" s="166" t="str">
        <x:v>VEGA FUNDO DE INVESTIMENTO EM DIREITOS CREDITÓRIOS MULTISSETORIAL RESPONSABILIDADE LIMITADA</x:v>
      </x:c>
      <x:c r="C2966" s="188" t="n">
        <x:v>1605850.93</x:v>
      </x:c>
      <x:c r="D2966" s="166" t="str">
        <x:v>Tyr Gestao de Recursos Ltda</x:v>
      </x:c>
      <x:c r="E2966" s="166" t="str">
        <x:f>IFERROR(INDEX('Classif Gestoras'!$H$6:$H$462,MATCH(D2966,'Classif Gestoras'!$A$6:$A$462,0)),"Não classificada")</x:f>
        <x:v>Independente</x:v>
      </x:c>
      <x:c r="F2966" s="166" t="str">
        <x:v>ID Corretora de Títulos e Valores Mobiliários S.A.</x:v>
      </x:c>
      <x:c r="G2966" s="166" t="str">
        <x:v>ID CORRETORA DE TITULOS E VALORES MOBILIARIOS S.A.</x:v>
      </x:c>
      <x:c r="H2966" s="166" t="str">
        <x:v>Fomento Mercantil</x:v>
      </x:c>
      <x:c r="I2966" s="166" t="str">
        <x:v>Fomento Mercantil</x:v>
      </x:c>
      <x:c r="J2966" s="166" t="str">
        <x:v>CI</x:v>
      </x:c>
      <x:c r="K2966" s="172" t="n">
        <x:v>2</x:v>
      </x:c>
      <x:c r="L2966" s="185" t="str">
        <x:v>Não classificado</x:v>
      </x:c>
    </x:row>
    <x:row r="2967">
      <x:c r="A2967" s="175" t="str">
        <x:v>57.127.130/0001-07</x:v>
      </x:c>
      <x:c r="B2967" s="166" t="str">
        <x:v>HBCJ FUNDO DE INVESTIMENTO EM DIREITOS CREDITÓRIOS - RESPONSABILIDADE LIMITADA</x:v>
      </x:c>
      <x:c r="C2967" s="188" t="n">
        <x:v>1600287.38</x:v>
      </x:c>
      <x:c r="D2967" s="166" t="str">
        <x:v>ASAROCK ASSET MANAGEMENT</x:v>
      </x:c>
      <x:c r="E2967" s="166" t="str">
        <x:f>IFERROR(INDEX('Classif Gestoras'!$H$6:$H$462,MATCH(D2967,'Classif Gestoras'!$A$6:$A$462,0)),"Não classificada")</x:f>
        <x:v>Independente</x:v>
      </x:c>
      <x:c r="F2967" s="166" t="str">
        <x:v>Singulare</x:v>
      </x:c>
      <x:c r="G2967" s="166" t="str">
        <x:v>QI CORRETORA DE TÍTULOS E VALORES MOBILIÁRIOS S.A.</x:v>
      </x:c>
      <x:c r="H2967" s="166" t="str">
        <x:v>Outros</x:v>
      </x:c>
      <x:c r="I2967" s="166" t="str">
        <x:v>Multicarteira Outros</x:v>
      </x:c>
      <x:c r="J2967" s="166" t="str">
        <x:v>CI</x:v>
      </x:c>
      <x:c r="K2967" s="172" t="n">
        <x:v>2</x:v>
      </x:c>
      <x:c r="L2967" s="185" t="str">
        <x:v>Não classificado</x:v>
      </x:c>
    </x:row>
    <x:row r="2968">
      <x:c r="A2968" s="175" t="str">
        <x:v>61.140.138/0001-80</x:v>
      </x:c>
      <x:c r="B2968" s="166" t="str">
        <x:v>FUNDO DE INVESTIMENTOS EM DIREITOS CREDITÓRIOS INTEGRA</x:v>
      </x:c>
      <x:c r="C2968" s="188" t="n">
        <x:v>1567963.41</x:v>
      </x:c>
      <x:c r="D2968" s="166" t="str">
        <x:v>Iggy Investimentos</x:v>
      </x:c>
      <x:c r="E2968" s="166" t="str">
        <x:f>IFERROR(INDEX('Classif Gestoras'!$H$6:$H$462,MATCH(D2968,'Classif Gestoras'!$A$6:$A$462,0)),"Não classificada")</x:f>
        <x:v>Independente</x:v>
      </x:c>
      <x:c r="F2968" s="166" t="str">
        <x:v>Banvox DTVM</x:v>
      </x:c>
      <x:c r="G2968" s="166" t="str">
        <x:v>BANVOX DISTRIBUIDORA DE TITULOS E VALORES MOBILIARIOS LTDA</x:v>
      </x:c>
      <x:c r="H2968" s="166" t="str">
        <x:v>Outros</x:v>
      </x:c>
      <x:c r="I2968" s="166" t="str">
        <x:v>Multicarteira Outros</x:v>
      </x:c>
      <x:c r="J2968" s="166" t="str">
        <x:v>CI</x:v>
      </x:c>
      <x:c r="K2968" s="172" t="n">
        <x:v>3</x:v>
      </x:c>
      <x:c r="L2968" s="185" t="str">
        <x:v>Não classificado</x:v>
      </x:c>
    </x:row>
    <x:row r="2969">
      <x:c r="A2969" s="175" t="str">
        <x:v>42.860.984/0001-20</x:v>
      </x:c>
      <x:c r="B2969" s="166" t="str">
        <x:v>CONDOBLUE I FUNDO DE INVESTIMENTO EM DIREITOS CREDITÓRIOS RESPONSABILIDADE LIMITADA</x:v>
      </x:c>
      <x:c r="C2969" s="188" t="n">
        <x:v>1565479.7799999998</x:v>
      </x:c>
      <x:c r="D2969" s="166" t="str">
        <x:v>PATAGÔNIA CAPITAL</x:v>
      </x:c>
      <x:c r="E2969" s="166" t="str">
        <x:f>IFERROR(INDEX('Classif Gestoras'!$H$6:$H$462,MATCH(D2969,'Classif Gestoras'!$A$6:$A$462,0)),"Não classificada")</x:f>
        <x:v>Independente</x:v>
      </x:c>
      <x:c r="F2969" s="166" t="str">
        <x:v>ID Corretora de Títulos e Valores Mobiliários S.A.</x:v>
      </x:c>
      <x:c r="G2969" s="166" t="str">
        <x:v>ID CORRETORA DE TITULOS E VALORES MOBILIARIOS S.A.</x:v>
      </x:c>
      <x:c r="H2969" s="166" t="str">
        <x:v>Outros</x:v>
      </x:c>
      <x:c r="I2969" s="166" t="str">
        <x:v>Multicarteira Outros</x:v>
      </x:c>
      <x:c r="J2969" s="166" t="str">
        <x:v>CI</x:v>
      </x:c>
      <x:c r="K2969" s="172" t="n">
        <x:v>21</x:v>
      </x:c>
      <x:c r="L2969" s="185" t="str">
        <x:v>Não classificado</x:v>
      </x:c>
    </x:row>
    <x:row r="2970">
      <x:c r="A2970" s="175" t="str">
        <x:v>20.867.468/0001-95</x:v>
      </x:c>
      <x:c r="B2970" s="166" t="str">
        <x:v>INTERSECTOR CRÉDITO ESTUDANTIL FUNDO DE INVESTIMENTO EM DIREITOS CREDITÓRIOS</x:v>
      </x:c>
      <x:c r="C2970" s="188" t="n">
        <x:v>1551157.0299999998</x:v>
      </x:c>
      <x:c r="D2970" s="166" t="str">
        <x:v>GRAPHEN INVESTIMENTOS</x:v>
      </x:c>
      <x:c r="E2970" s="166" t="str">
        <x:f>IFERROR(INDEX('Classif Gestoras'!$H$6:$H$462,MATCH(D2970,'Classif Gestoras'!$A$6:$A$462,0)),"Não classificada")</x:f>
        <x:v>Independente</x:v>
      </x:c>
      <x:c r="F2970" s="166" t="str">
        <x:v>Singulare</x:v>
      </x:c>
      <x:c r="G2970" s="166" t="str">
        <x:v>QI CORRETORA DE TÍTULOS E VALORES MOBILIÁRIOS S.A.</x:v>
      </x:c>
      <x:c r="H2970" s="166" t="str">
        <x:v>Outros</x:v>
      </x:c>
      <x:c r="I2970" s="166" t="str">
        <x:v>Multicarteira Outros</x:v>
      </x:c>
      <x:c r="J2970" s="166" t="str">
        <x:v>CI</x:v>
      </x:c>
      <x:c r="K2970" s="172" t="n">
        <x:v>18</x:v>
      </x:c>
      <x:c r="L2970" s="185" t="str">
        <x:v>Não classificado</x:v>
      </x:c>
    </x:row>
    <x:row r="2971">
      <x:c r="A2971" s="175" t="str">
        <x:v>35.865.981/0001-14</x:v>
      </x:c>
      <x:c r="B2971" s="166" t="str">
        <x:v>THUNDER FUNDO DE INVESTIMENTO EM DIREITOS CREDITÓRIOS</x:v>
      </x:c>
      <x:c r="C2971" s="188" t="n">
        <x:v>1539394.37</x:v>
      </x:c>
      <x:c r="D2971" s="166" t="str">
        <x:v>MAM ASSET MANAGEMENT</x:v>
      </x:c>
      <x:c r="E2971" s="166" t="str">
        <x:f>IFERROR(INDEX('Classif Gestoras'!$H$6:$H$462,MATCH(D2971,'Classif Gestoras'!$A$6:$A$462,0)),"Não classificada")</x:f>
        <x:v>Independente</x:v>
      </x:c>
      <x:c r="F2971" s="166" t="str">
        <x:v>TRUSTEE DTVM</x:v>
      </x:c>
      <x:c r="G2971" s="166" t="str">
        <x:v>TRUSTEE DISTRIBUIDORA DE TITULOS E VALORES MOBILIARIOS LTDA.</x:v>
      </x:c>
      <x:c r="H2971" s="166" t="str">
        <x:v>Outros</x:v>
      </x:c>
      <x:c r="I2971" s="166" t="str">
        <x:v>Multicarteira Outros</x:v>
      </x:c>
      <x:c r="J2971" s="166" t="str">
        <x:v>CI</x:v>
      </x:c>
      <x:c r="K2971" s="172" t="n">
        <x:v>1</x:v>
      </x:c>
      <x:c r="L2971" s="185" t="str">
        <x:v>Não classificado</x:v>
      </x:c>
    </x:row>
    <x:row r="2972">
      <x:c r="A2972" s="175" t="str">
        <x:v>35.715.919/0001-46</x:v>
      </x:c>
      <x:c r="B2972" s="166" t="str">
        <x:v>ORYX FUNDO DE INVESTIMENTO EM DIREITOS CREDITORIOS</x:v>
      </x:c>
      <x:c r="C2972" s="188" t="n">
        <x:v>1512725.67</x:v>
      </x:c>
      <x:c r="D2972" s="166" t="str">
        <x:v>Multiplica Capital</x:v>
      </x:c>
      <x:c r="E2972" s="166" t="str">
        <x:f>IFERROR(INDEX('Classif Gestoras'!$H$6:$H$462,MATCH(D2972,'Classif Gestoras'!$A$6:$A$462,0)),"Não classificada")</x:f>
        <x:v>Independente</x:v>
      </x:c>
      <x:c r="F2972" s="166" t="str">
        <x:v>PLANNER CV</x:v>
      </x:c>
      <x:c r="G2972" s="166" t="str">
        <x:v>PLANNER CORRETORA DE VALORES S.A.</x:v>
      </x:c>
      <x:c r="H2972" s="166" t="str">
        <x:v>Agro, Indústria e Comércio</x:v>
      </x:c>
      <x:c r="I2972" s="166" t="str">
        <x:v>Multicarteira Agro, Indústria e Comércio</x:v>
      </x:c>
      <x:c r="J2972" s="166" t="str">
        <x:v>CI</x:v>
      </x:c>
      <x:c r="K2972" s="172" t="n">
        <x:v>3</x:v>
      </x:c>
      <x:c r="L2972" s="185" t="str">
        <x:v>Não classificado</x:v>
      </x:c>
    </x:row>
    <x:row r="2973">
      <x:c r="A2973" s="175" t="str">
        <x:v>24.814.759/0001-76</x:v>
      </x:c>
      <x:c r="B2973" s="166" t="str">
        <x:v>FUNDO DE INVESTIMENTO EM DIREITOS CREDITÓRIOS MAIS LOTES - RESPONSABILIDADE LIMITADA</x:v>
      </x:c>
      <x:c r="C2973" s="188" t="n">
        <x:v>1504391.4600000002</x:v>
      </x:c>
      <x:c r="D2973" s="166" t="str">
        <x:v>BLUEWAVE ASSET LTDA</x:v>
      </x:c>
      <x:c r="E2973" s="166" t="str">
        <x:f>IFERROR(INDEX('Classif Gestoras'!$H$6:$H$462,MATCH(D2973,'Classif Gestoras'!$A$6:$A$462,0)),"Não classificada")</x:f>
        <x:v>Independente</x:v>
      </x:c>
      <x:c r="F2973" s="166" t="str">
        <x:v>PLANNER CV</x:v>
      </x:c>
      <x:c r="G2973" s="166" t="str">
        <x:v>PLANNER CORRETORA DE VALORES S.A.</x:v>
      </x:c>
      <x:c r="H2973" s="166" t="str">
        <x:v>Financeiro</x:v>
      </x:c>
      <x:c r="I2973" s="166" t="str">
        <x:v>Crédito Imobiliário</x:v>
      </x:c>
      <x:c r="J2973" s="166" t="str">
        <x:v>CI</x:v>
      </x:c>
      <x:c r="K2973" s="172" t="n">
        <x:v>1</x:v>
      </x:c>
      <x:c r="L2973" s="185" t="str">
        <x:v>Não classificado</x:v>
      </x:c>
    </x:row>
    <x:row r="2974">
      <x:c r="A2974" s="175" t="str">
        <x:v>64.076.604/0001-02</x:v>
      </x:c>
      <x:c r="B2974" s="166" t="str">
        <x:v>PLM FUNDO DE INVESTIMENTO EM DIREITOS CREDITÓRIOS</x:v>
      </x:c>
      <x:c r="C2974" s="188" t="n">
        <x:v>1497839.8</x:v>
      </x:c>
      <x:c r="D2974" s="166" t="str">
        <x:v>Prisma Claims Ltda.</x:v>
      </x:c>
      <x:c r="E2974" s="166" t="str">
        <x:f>IFERROR(INDEX('Classif Gestoras'!$H$6:$H$462,MATCH(D2974,'Classif Gestoras'!$A$6:$A$462,0)),"Não classificada")</x:f>
        <x:v>Independente</x:v>
      </x:c>
      <x:c r="F2974" s="166" t="str">
        <x:v>FIDD DISTRIBUIDORA DE TITULOS E VALORES MOBILIARIOS LTD</x:v>
      </x:c>
      <x:c r="G2974" s="166" t="str">
        <x:v>FIDD DISTRIBUIDORA DE TITULOS E VALORES MOBILIARIOS LTDA.</x:v>
      </x:c>
      <x:c r="H2974" s="166" t="str">
        <x:v>Outros</x:v>
      </x:c>
      <x:c r="I2974" s="166" t="str">
        <x:v>Multicarteira Outros</x:v>
      </x:c>
      <x:c r="J2974" s="166" t="str">
        <x:v>CI</x:v>
      </x:c>
      <x:c r="K2974" s="172" t="n">
        <x:v>10</x:v>
      </x:c>
      <x:c r="L2974" s="185" t="str">
        <x:v>Não classificado</x:v>
      </x:c>
    </x:row>
    <x:row r="2975">
      <x:c r="A2975" s="175" t="str">
        <x:v>40.794.358/0001-58</x:v>
      </x:c>
      <x:c r="B2975" s="166" t="str">
        <x:v>AUTO LOANS FUNDO DE INVESTIMENTO EM DIREITOS CREDITÓRIOS RESPONSABILIDADE LIMITADA</x:v>
      </x:c>
      <x:c r="C2975" s="188" t="n">
        <x:v>1495045.52</x:v>
      </x:c>
      <x:c r="D2975" s="166" t="str">
        <x:v>VERT Gestora de Recursos Financeiros Ltda.</x:v>
      </x:c>
      <x:c r="E2975" s="166" t="str">
        <x:f>IFERROR(INDEX('Classif Gestoras'!$H$6:$H$462,MATCH(D2975,'Classif Gestoras'!$A$6:$A$462,0)),"Não classificada")</x:f>
        <x:v>Independente</x:v>
      </x:c>
      <x:c r="F2975" s="166" t="str">
        <x:v>BRL TRUST DTVM</x:v>
      </x:c>
      <x:c r="G2975" s="166" t="str">
        <x:v>BRL TRUST DISTRIBUIDORA DE TITULOS E VALORES MOBILIARIOS S.A.</x:v>
      </x:c>
      <x:c r="H2975" s="166" t="str">
        <x:v>Financeiro</x:v>
      </x:c>
      <x:c r="I2975" s="166" t="str">
        <x:v>Financiamento de Veículos</x:v>
      </x:c>
      <x:c r="J2975" s="166" t="str">
        <x:v>CI</x:v>
      </x:c>
      <x:c r="K2975" s="172" t="n">
        <x:v>9</x:v>
      </x:c>
      <x:c r="L2975" s="185" t="str">
        <x:v>Não classificado</x:v>
      </x:c>
    </x:row>
    <x:row r="2976">
      <x:c r="A2976" s="175" t="str">
        <x:v>53.125.179/0001-70</x:v>
      </x:c>
      <x:c r="B2976" s="166" t="str">
        <x:v>SQUID UNO FUNDO DE INVESTIMENTO EM DIREITOS CREDITÓRIOS RESPONSABILIDADE LIMITADA</x:v>
      </x:c>
      <x:c r="C2976" s="188" t="n">
        <x:v>1493367.75</x:v>
      </x:c>
      <x:c r="D2976" s="166" t="str">
        <x:v>Bless Capital Gestora de Recursos Ltda.</x:v>
      </x:c>
      <x:c r="E2976" s="166" t="str">
        <x:f>IFERROR(INDEX('Classif Gestoras'!$H$6:$H$462,MATCH(D2976,'Classif Gestoras'!$A$6:$A$462,0)),"Não classificada")</x:f>
        <x:v>Independente</x:v>
      </x:c>
      <x:c r="F2976" s="166" t="str">
        <x:v>ID Corretora de Títulos e Valores Mobiliários S.A.</x:v>
      </x:c>
      <x:c r="G2976" s="166" t="str">
        <x:v>ID CORRETORA DE TITULOS E VALORES MOBILIARIOS S.A.</x:v>
      </x:c>
      <x:c r="H2976" s="166" t="str">
        <x:v>Outros</x:v>
      </x:c>
      <x:c r="I2976" s="166" t="str">
        <x:v>Multicarteira Outros</x:v>
      </x:c>
      <x:c r="J2976" s="166" t="str">
        <x:v>CI</x:v>
      </x:c>
      <x:c r="K2976" s="172" t="n">
        <x:v>1</x:v>
      </x:c>
      <x:c r="L2976" s="185" t="str">
        <x:v>Não classificado</x:v>
      </x:c>
    </x:row>
    <x:row r="2977">
      <x:c r="A2977" s="175" t="str">
        <x:v>57.585.602/0001-75</x:v>
      </x:c>
      <x:c r="B2977" s="166" t="str">
        <x:v>AURIN INVEST FUNDO DE INVESTIMENTO EM DIREITOS CREDITÓRIOS NÃO-PADRONIZADOS - RESP. LIMITADA</x:v>
      </x:c>
      <x:c r="C2977" s="188" t="n">
        <x:v>1485321.63</x:v>
      </x:c>
      <x:c r="D2977" s="166" t="str">
        <x:v>ASSET MANAGEMENT</x:v>
      </x:c>
      <x:c r="E2977" s="166" t="str">
        <x:f>IFERROR(INDEX('Classif Gestoras'!$H$6:$H$462,MATCH(D2977,'Classif Gestoras'!$A$6:$A$462,0)),"Não classificada")</x:f>
        <x:v>Independente</x:v>
      </x:c>
      <x:c r="F2977" s="166" t="str">
        <x:v>AZUMI DISTRIBUIDORA DE TÍTULOS E VALORES MOBILIÁRIOS LT</x:v>
      </x:c>
      <x:c r="G2977" s="166" t="str">
        <x:v>AZUMI DISTRIBUIDORA DE TÍTULOS E VALORES MOBILIÁRIOS LTDA.</x:v>
      </x:c>
      <x:c r="H2977" s="166" t="str">
        <x:v>Outros</x:v>
      </x:c>
      <x:c r="I2977" s="166" t="str">
        <x:v>Multicarteira Outros</x:v>
      </x:c>
      <x:c r="J2977" s="166" t="str">
        <x:v>CI</x:v>
      </x:c>
      <x:c r="K2977" s="172" t="n">
        <x:v>1</x:v>
      </x:c>
      <x:c r="L2977" s="185" t="str">
        <x:v>Não classificado</x:v>
      </x:c>
    </x:row>
    <x:row r="2978">
      <x:c r="A2978" s="175" t="str">
        <x:v>61.291.607/0001-62</x:v>
      </x:c>
      <x:c r="B2978" s="166" t="str">
        <x:v>VENDER MAIS REZULTZ FIDC SEGMENTO FINANCEIRO RESPONSABILIDADE LIMITADA</x:v>
      </x:c>
      <x:c r="C2978" s="188" t="n">
        <x:v>1460639.51</x:v>
      </x:c>
      <x:c r="D2978" s="166" t="str">
        <x:v>VERT Gestora de Recursos Financeiros Ltda.</x:v>
      </x:c>
      <x:c r="E2978" s="166" t="str">
        <x:f>IFERROR(INDEX('Classif Gestoras'!$H$6:$H$462,MATCH(D2978,'Classif Gestoras'!$A$6:$A$462,0)),"Não classificada")</x:f>
        <x:v>Independente</x:v>
      </x:c>
      <x:c r="F2978" s="166" t="str">
        <x:v>VERT Distribuidora de Títulos e Valores Mobiliários Ltd</x:v>
      </x:c>
      <x:c r="G2978" s="166" t="str">
        <x:v>VERT DISTRIBUIDORA DE TÍTULOS E VALORES MOBILIÁRIOS LTDA.</x:v>
      </x:c>
      <x:c r="H2978" s="166" t="str">
        <x:v>Agro, Indústria e Comércio</x:v>
      </x:c>
      <x:c r="I2978" s="166" t="str">
        <x:v>Multicarteira Agro, Indústria e Comércio</x:v>
      </x:c>
      <x:c r="J2978" s="166" t="str">
        <x:v>CI</x:v>
      </x:c>
      <x:c r="K2978" s="172" t="n">
        <x:v>1</x:v>
      </x:c>
      <x:c r="L2978" s="185" t="str">
        <x:v>Não classificado</x:v>
      </x:c>
    </x:row>
    <x:row r="2979">
      <x:c r="A2979" s="175" t="str">
        <x:v>12.330.846/0001-79</x:v>
      </x:c>
      <x:c r="B2979" s="166" t="str">
        <x:v>LHOTSE FUNDO DE INVESTIMENTO EM DIREITOS CREDITÓRIOS</x:v>
      </x:c>
      <x:c r="C2979" s="188" t="n">
        <x:v>1447496.73</x:v>
      </x:c>
      <x:c r="D2979" s="166" t="str">
        <x:v>Veritas Capital Management</x:v>
      </x:c>
      <x:c r="E2979" s="166" t="str">
        <x:f>IFERROR(INDEX('Classif Gestoras'!$H$6:$H$462,MATCH(D2979,'Classif Gestoras'!$A$6:$A$462,0)),"Não classificada")</x:f>
        <x:v>Independente</x:v>
      </x:c>
      <x:c r="F2979" s="166" t="str">
        <x:v>MONETAR DISTRIBUIDORA DE TITUL</x:v>
      </x:c>
      <x:c r="G2979" s="166" t="str">
        <x:v>TERRA INVESTIMENTOS DISTRIBUIDORA DE TITULOS E VALORES MOBILIARIOS LTDA</x:v>
      </x:c>
      <x:c r="H2979" s="166" t="str">
        <x:v>Outros</x:v>
      </x:c>
      <x:c r="I2979" s="166" t="str">
        <x:v>Multicarteira Outros</x:v>
      </x:c>
      <x:c r="J2979" s="166" t="str">
        <x:v>CI</x:v>
      </x:c>
      <x:c r="K2979" s="172" t="n">
        <x:v>1</x:v>
      </x:c>
      <x:c r="L2979" s="185" t="str">
        <x:v>Não classificado</x:v>
      </x:c>
    </x:row>
    <x:row r="2980">
      <x:c r="A2980" s="175" t="str">
        <x:v>60.617.627/0001-18</x:v>
      </x:c>
      <x:c r="B2980" s="166" t="str">
        <x:v>MS CAPITAL FUNDO DE INVESTIMENTO EM DIREITOS CREDITÓRIOS</x:v>
      </x:c>
      <x:c r="C2980" s="188" t="n">
        <x:v>1444033.4099999997</x:v>
      </x:c>
      <x:c r="D2980" s="166" t="str">
        <x:v>FigTree Capital</x:v>
      </x:c>
      <x:c r="E2980" s="166" t="str">
        <x:f>IFERROR(INDEX('Classif Gestoras'!$H$6:$H$462,MATCH(D2980,'Classif Gestoras'!$A$6:$A$462,0)),"Não classificada")</x:f>
        <x:v>Independente</x:v>
      </x:c>
      <x:c r="F2980" s="166" t="str">
        <x:v>BRL TRUST DTVM</x:v>
      </x:c>
      <x:c r="G2980" s="166" t="str">
        <x:v>BRL TRUST DISTRIBUIDORA DE TITULOS E VALORES MOBILIARIOS S.A.</x:v>
      </x:c>
      <x:c r="H2980" s="166" t="str">
        <x:v>Fomento Mercantil</x:v>
      </x:c>
      <x:c r="I2980" s="166" t="str">
        <x:v>Fomento Mercantil</x:v>
      </x:c>
      <x:c r="J2980" s="166" t="str">
        <x:v>CI</x:v>
      </x:c>
      <x:c r="K2980" s="172" t="n">
        <x:v>3</x:v>
      </x:c>
      <x:c r="L2980" s="185" t="str">
        <x:v>Não classificado</x:v>
      </x:c>
    </x:row>
    <x:row r="2981">
      <x:c r="A2981" s="175" t="str">
        <x:v>32.321.319/0001-05</x:v>
      </x:c>
      <x:c r="B2981" s="166" t="str">
        <x:v>BRAFIC CONSTRUÇÃO CIVIL FI EM DIREITOS CREDITÓRIOS NÃO-PADRONIZADOS RESPONSABILIDADE LIMITADA</x:v>
      </x:c>
      <x:c r="C2981" s="188" t="n">
        <x:v>1424538.2399999998</x:v>
      </x:c>
      <x:c r="D2981" s="166" t="str">
        <x:v>BS2 ASSET MANAGEMENT – ADMINISTRADORA DE RECURSOS LTDA.</x:v>
      </x:c>
      <x:c r="E2981" s="166" t="str">
        <x:f>IFERROR(INDEX('Classif Gestoras'!$H$6:$H$462,MATCH(D2981,'Classif Gestoras'!$A$6:$A$462,0)),"Não classificada")</x:f>
        <x:v>Independente</x:v>
      </x:c>
      <x:c r="F2981" s="166" t="str">
        <x:v>ID Corretora de Títulos e Valores Mobiliários S.A.</x:v>
      </x:c>
      <x:c r="G2981" s="166" t="str">
        <x:v>ID CORRETORA DE TITULOS E VALORES MOBILIARIOS S.A.</x:v>
      </x:c>
      <x:c r="H2981" s="166" t="str">
        <x:v>Outros</x:v>
      </x:c>
      <x:c r="I2981" s="166" t="str">
        <x:v>Multicarteira Outros</x:v>
      </x:c>
      <x:c r="J2981" s="166" t="str">
        <x:v>CI</x:v>
      </x:c>
      <x:c r="K2981" s="172" t="n">
        <x:v>2</x:v>
      </x:c>
      <x:c r="L2981" s="185" t="str">
        <x:v>Não classificado</x:v>
      </x:c>
    </x:row>
    <x:row r="2982">
      <x:c r="A2982" s="175" t="str">
        <x:v>60.049.648/0001-84</x:v>
      </x:c>
      <x:c r="B2982" s="166" t="str">
        <x:v>CEOPAG CREDIT STRATEGY FIDC RECEBÍVEIS COMERCIAIS RESPONSABILIDADE LIMITADA</x:v>
      </x:c>
      <x:c r="C2982" s="188" t="n">
        <x:v>1411480.7500000005</x:v>
      </x:c>
      <x:c r="D2982" s="166" t="str">
        <x:v>Iggy Investimentos</x:v>
      </x:c>
      <x:c r="E2982" s="166" t="str">
        <x:f>IFERROR(INDEX('Classif Gestoras'!$H$6:$H$462,MATCH(D2982,'Classif Gestoras'!$A$6:$A$462,0)),"Não classificada")</x:f>
        <x:v>Independente</x:v>
      </x:c>
      <x:c r="F2982" s="166" t="str">
        <x:v>BANCO DAYCOVAL S/A</x:v>
      </x:c>
      <x:c r="G2982" s="166" t="str">
        <x:v>BANCO DAYCOVAL S.A.</x:v>
      </x:c>
      <x:c r="H2982" s="166" t="str">
        <x:v>Agro, Indústria e Comércio</x:v>
      </x:c>
      <x:c r="I2982" s="166" t="str">
        <x:v>Recebíveis Comerciais</x:v>
      </x:c>
      <x:c r="J2982" s="166" t="str">
        <x:v>CI</x:v>
      </x:c>
      <x:c r="K2982" s="172" t="n">
        <x:v>3</x:v>
      </x:c>
      <x:c r="L2982" s="185" t="str">
        <x:v>Não classificado</x:v>
      </x:c>
    </x:row>
    <x:row r="2983">
      <x:c r="A2983" s="175" t="str">
        <x:v>65.570.364/0001-52</x:v>
      </x:c>
      <x:c r="B2983" s="166" t="str">
        <x:v>VÉRTICE FUNDO DE INVESTIMENTO EM DIREITOS CREDITORIOS</x:v>
      </x:c>
      <x:c r="C2983" s="188" t="n">
        <x:v>1390108.88</x:v>
      </x:c>
      <x:c r="D2983" s="166" t="str">
        <x:v>Libertas Asset</x:v>
      </x:c>
      <x:c r="E2983" s="166" t="str">
        <x:f>IFERROR(INDEX('Classif Gestoras'!$H$6:$H$462,MATCH(D2983,'Classif Gestoras'!$A$6:$A$462,0)),"Não classificada")</x:f>
        <x:v>Independente</x:v>
      </x:c>
      <x:c r="F2983" s="166" t="str">
        <x:v>ACTUAL DTVM</x:v>
      </x:c>
      <x:c r="G2983" s="166" t="str">
        <x:v>TRUSTEE DISTRIBUIDORA DE TITULOS E VALORES MOBILIARIOS LTDA.</x:v>
      </x:c>
      <x:c r="H2983" s="166" t="str">
        <x:v>Fomento Mercantil</x:v>
      </x:c>
      <x:c r="I2983" s="166" t="str">
        <x:v>Fomento Mercantil</x:v>
      </x:c>
      <x:c r="J2983" s="166" t="str">
        <x:v>CI</x:v>
      </x:c>
      <x:c r="K2983" s="172" t="n">
        <x:v>1</x:v>
      </x:c>
      <x:c r="L2983" s="185" t="str">
        <x:v>Não classificado</x:v>
      </x:c>
    </x:row>
    <x:row r="2984">
      <x:c r="A2984" s="175" t="str">
        <x:v>58.880.077/0001-83</x:v>
      </x:c>
      <x:c r="B2984" s="166" t="str">
        <x:v>FUNDO DE INVESTIMENTO EM DIREITOS CREDITÓRIOS DTBR RESPONSABILIDADE LIMITADA</x:v>
      </x:c>
      <x:c r="C2984" s="188" t="n">
        <x:v>1353889.13</x:v>
      </x:c>
      <x:c r="D2984" s="166" t="str">
        <x:v>Galápagos</x:v>
      </x:c>
      <x:c r="E2984" s="166" t="str">
        <x:f>IFERROR(INDEX('Classif Gestoras'!$H$6:$H$462,MATCH(D2984,'Classif Gestoras'!$A$6:$A$462,0)),"Não classificada")</x:f>
        <x:v>Independente</x:v>
      </x:c>
      <x:c r="F2984" s="166" t="str">
        <x:v>VÓRTX DTVM</x:v>
      </x:c>
      <x:c r="G2984" s="166" t="str">
        <x:v>VORTX DISTRIBUIDORA DE TITULOS E VALORES MOBILIARIOS LTDA.</x:v>
      </x:c>
      <x:c r="H2984" s="166" t="str">
        <x:v>Outros</x:v>
      </x:c>
      <x:c r="I2984" s="166" t="str">
        <x:v>Multicarteira Outros</x:v>
      </x:c>
      <x:c r="J2984" s="166" t="str">
        <x:v>CI</x:v>
      </x:c>
      <x:c r="K2984" s="172" t="n">
        <x:v>1</x:v>
      </x:c>
      <x:c r="L2984" s="185" t="str">
        <x:v>Não classificado</x:v>
      </x:c>
    </x:row>
    <x:row r="2985">
      <x:c r="A2985" s="175" t="str">
        <x:v>48.937.046/0001-68</x:v>
      </x:c>
      <x:c r="B2985" s="166" t="str">
        <x:v>GCDC FUNDO DE INVESTIMENTO EM DIREITOS CREDITORIOS</x:v>
      </x:c>
      <x:c r="C2985" s="188" t="n">
        <x:v>1353442.33</x:v>
      </x:c>
      <x:c r="D2985" s="166" t="str">
        <x:v>Legatus Asset Management</x:v>
      </x:c>
      <x:c r="E2985" s="166" t="str">
        <x:f>IFERROR(INDEX('Classif Gestoras'!$H$6:$H$462,MATCH(D2985,'Classif Gestoras'!$A$6:$A$462,0)),"Não classificada")</x:f>
        <x:v>Independente</x:v>
      </x:c>
      <x:c r="F2985" s="166" t="str">
        <x:v>PLANNER CV</x:v>
      </x:c>
      <x:c r="G2985" s="166" t="str">
        <x:v>PLANNER CORRETORA DE VALORES S.A.</x:v>
      </x:c>
      <x:c r="H2985" s="166" t="str">
        <x:v>Outros</x:v>
      </x:c>
      <x:c r="I2985" s="166" t="str">
        <x:v>Multicarteira Outros</x:v>
      </x:c>
      <x:c r="J2985" s="166" t="str">
        <x:v>CI</x:v>
      </x:c>
      <x:c r="K2985" s="172" t="n">
        <x:v>1</x:v>
      </x:c>
      <x:c r="L2985" s="185" t="str">
        <x:v>Não classificado</x:v>
      </x:c>
    </x:row>
    <x:row r="2986">
      <x:c r="A2986" s="175" t="str">
        <x:v>54.276.269/0001-24</x:v>
      </x:c>
      <x:c r="B2986" s="166" t="str">
        <x:v>VULCANO FUNDO DE INVESTIMENTO EM DIREITOS CREDITÓRIOS</x:v>
      </x:c>
      <x:c r="C2986" s="188" t="n">
        <x:v>1350575.85</x:v>
      </x:c>
      <x:c r="D2986" s="166" t="str">
        <x:v>WNT Gestora de Recursos Ltda.</x:v>
      </x:c>
      <x:c r="E2986" s="166" t="str">
        <x:f>IFERROR(INDEX('Classif Gestoras'!$H$6:$H$462,MATCH(D2986,'Classif Gestoras'!$A$6:$A$462,0)),"Não classificada")</x:f>
        <x:v>Independente</x:v>
      </x:c>
      <x:c r="F2986" s="166" t="str">
        <x:v>TRUSTEE DTVM</x:v>
      </x:c>
      <x:c r="G2986" s="166" t="str">
        <x:v>TRUSTEE DISTRIBUIDORA DE TITULOS E VALORES MOBILIARIOS LTDA.</x:v>
      </x:c>
      <x:c r="H2986" s="166" t="str">
        <x:v>Outros</x:v>
      </x:c>
      <x:c r="I2986" s="166" t="str">
        <x:v>Multicarteira Outros</x:v>
      </x:c>
      <x:c r="J2986" s="166" t="str">
        <x:v>CI</x:v>
      </x:c>
      <x:c r="K2986" s="172" t="n">
        <x:v>3</x:v>
      </x:c>
      <x:c r="L2986" s="185" t="str">
        <x:v>Não classificado</x:v>
      </x:c>
    </x:row>
    <x:row r="2987">
      <x:c r="A2987" s="175" t="str">
        <x:v>61.452.743/0001-97</x:v>
      </x:c>
      <x:c r="B2987" s="166" t="str">
        <x:v>PIEMONTE FUNDO DE INVESTIMENTO EM DIREITOS CREDITÓRIOS RESPONSABILIDADE LIMITADA</x:v>
      </x:c>
      <x:c r="C2987" s="188" t="n">
        <x:v>1347843.9400000002</x:v>
      </x:c>
      <x:c r="D2987" s="166" t="str">
        <x:v>CONTEA CAPITAL</x:v>
      </x:c>
      <x:c r="E2987" s="166" t="str">
        <x:f>IFERROR(INDEX('Classif Gestoras'!$H$6:$H$462,MATCH(D2987,'Classif Gestoras'!$A$6:$A$462,0)),"Não classificada")</x:f>
        <x:v>Independente</x:v>
      </x:c>
      <x:c r="F2987" s="166" t="str">
        <x:v>VÓRTX DTVM</x:v>
      </x:c>
      <x:c r="G2987" s="166" t="str">
        <x:v>VORTX DISTRIBUIDORA DE TITULOS E VALORES MOBILIARIOS LTDA.</x:v>
      </x:c>
      <x:c r="H2987" s="166" t="str">
        <x:v>Financeiro</x:v>
      </x:c>
      <x:c r="I2987" s="166" t="str">
        <x:v>Crédito Pessoal</x:v>
      </x:c>
      <x:c r="J2987" s="166" t="str">
        <x:v>CI</x:v>
      </x:c>
      <x:c r="K2987" s="172" t="n">
        <x:v>1</x:v>
      </x:c>
      <x:c r="L2987" s="185" t="str">
        <x:v>Não classificado</x:v>
      </x:c>
    </x:row>
    <x:row r="2988">
      <x:c r="A2988" s="175" t="str">
        <x:v>55.132.551/0001-09</x:v>
      </x:c>
      <x:c r="B2988" s="166" t="str">
        <x:v>GUINNESS FUNDO DE INVESTIMENTO EM COTAS DE FUNDOS DE INVESTIMENTO EM DIREITOS CREDITÓRIOS</x:v>
      </x:c>
      <x:c r="C2988" s="188" t="n">
        <x:v>1343465.28</x:v>
      </x:c>
      <x:c r="D2988" s="166" t="str">
        <x:v>Iggy Investimentos</x:v>
      </x:c>
      <x:c r="E2988" s="166" t="str">
        <x:f>IFERROR(INDEX('Classif Gestoras'!$H$6:$H$462,MATCH(D2988,'Classif Gestoras'!$A$6:$A$462,0)),"Não classificada")</x:f>
        <x:v>Independente</x:v>
      </x:c>
      <x:c r="F2988" s="166" t="str">
        <x:v>Banvox DTVM</x:v>
      </x:c>
      <x:c r="G2988" s="166" t="str">
        <x:v>BANVOX DISTRIBUIDORA DE TITULOS E VALORES MOBILIARIOS LTDA</x:v>
      </x:c>
      <x:c r="H2988" s="166" t="str">
        <x:v>Outros</x:v>
      </x:c>
      <x:c r="I2988" s="166" t="str">
        <x:v>Recuperação</x:v>
      </x:c>
      <x:c r="J2988" s="166" t="str">
        <x:v>CI</x:v>
      </x:c>
      <x:c r="K2988" s="172" t="n">
        <x:v>3</x:v>
      </x:c>
      <x:c r="L2988" s="185" t="str">
        <x:v>Não classificado</x:v>
      </x:c>
    </x:row>
    <x:row r="2989">
      <x:c r="A2989" s="175" t="str">
        <x:v>55.135.135/0001-56</x:v>
      </x:c>
      <x:c r="B2989" s="166" t="str">
        <x:v>ATENA FUNDO DE INVESTIMENTO EM DIREITOS CREDITÓRIOS RECUPERAÇÃO DE CRÉDITO</x:v>
      </x:c>
      <x:c r="C2989" s="188" t="n">
        <x:v>1340211.64</x:v>
      </x:c>
      <x:c r="D2989" s="166" t="str">
        <x:v>Iggy Investimentos</x:v>
      </x:c>
      <x:c r="E2989" s="166" t="str">
        <x:f>IFERROR(INDEX('Classif Gestoras'!$H$6:$H$462,MATCH(D2989,'Classif Gestoras'!$A$6:$A$462,0)),"Não classificada")</x:f>
        <x:v>Independente</x:v>
      </x:c>
      <x:c r="F2989" s="166" t="str">
        <x:v>Banvox DTVM</x:v>
      </x:c>
      <x:c r="G2989" s="166" t="str">
        <x:v>BANVOX DISTRIBUIDORA DE TITULOS E VALORES MOBILIARIOS LTDA</x:v>
      </x:c>
      <x:c r="H2989" s="166" t="str">
        <x:v>Outros</x:v>
      </x:c>
      <x:c r="I2989" s="166" t="str">
        <x:v>Recuperação</x:v>
      </x:c>
      <x:c r="J2989" s="166" t="str">
        <x:v>CI</x:v>
      </x:c>
      <x:c r="K2989" s="172" t="n">
        <x:v>1</x:v>
      </x:c>
      <x:c r="L2989" s="185" t="str">
        <x:v>Não classificado</x:v>
      </x:c>
    </x:row>
    <x:row r="2990">
      <x:c r="A2990" s="175" t="str">
        <x:v>55.106.170/0001-47</x:v>
      </x:c>
      <x:c r="B2990" s="166" t="str">
        <x:v>FUNDO DE INVESTIMENTO EM DIREITOS CREDITÓRIOS DR. SIM</x:v>
      </x:c>
      <x:c r="C2990" s="188" t="n">
        <x:v>1337351.44</x:v>
      </x:c>
      <x:c r="D2990" s="166" t="str">
        <x:v>WNT Gestora de Recursos Ltda.</x:v>
      </x:c>
      <x:c r="E2990" s="166" t="str">
        <x:f>IFERROR(INDEX('Classif Gestoras'!$H$6:$H$462,MATCH(D2990,'Classif Gestoras'!$A$6:$A$462,0)),"Não classificada")</x:f>
        <x:v>Independente</x:v>
      </x:c>
      <x:c r="F2990" s="166" t="str">
        <x:v>WNT DTVM</x:v>
      </x:c>
      <x:c r="G2990" s="166" t="str">
        <x:v>WNT CAPITAL DISTRIBUIDORA DE TITULOS E VALORES MOBILIARIOS S.A.</x:v>
      </x:c>
      <x:c r="H2990" s="166" t="str">
        <x:v>Outros</x:v>
      </x:c>
      <x:c r="I2990" s="166" t="str">
        <x:v>Multicarteira Outros</x:v>
      </x:c>
      <x:c r="J2990" s="166" t="str">
        <x:v>CI</x:v>
      </x:c>
      <x:c r="K2990" s="172" t="n">
        <x:v>5</x:v>
      </x:c>
      <x:c r="L2990" s="185" t="str">
        <x:v>Não classificado</x:v>
      </x:c>
    </x:row>
    <x:row r="2991">
      <x:c r="A2991" s="175" t="str">
        <x:v>59.986.514/0001-00</x:v>
      </x:c>
      <x:c r="B2991" s="166" t="str">
        <x:v>ALZ FUNDO DE INVESTIMENTO EM DIREITOS CREDITÓRIOS</x:v>
      </x:c>
      <x:c r="C2991" s="188" t="n">
        <x:v>1298384.77</x:v>
      </x:c>
      <x:c r="D2991" s="166" t="str">
        <x:v>ICON CAPITAL</x:v>
      </x:c>
      <x:c r="E2991" s="166" t="str">
        <x:f>IFERROR(INDEX('Classif Gestoras'!$H$6:$H$462,MATCH(D2991,'Classif Gestoras'!$A$6:$A$462,0)),"Não classificada")</x:f>
        <x:v>Independente</x:v>
      </x:c>
      <x:c r="F2991" s="166" t="str">
        <x:v>PLANNER CV</x:v>
      </x:c>
      <x:c r="G2991" s="166" t="str">
        <x:v>PLANNER CORRETORA DE VALORES S.A.</x:v>
      </x:c>
      <x:c r="H2991" s="166" t="str">
        <x:v>Outros</x:v>
      </x:c>
      <x:c r="I2991" s="166" t="str">
        <x:v>Multicarteira Outros</x:v>
      </x:c>
      <x:c r="J2991" s="166" t="str">
        <x:v>CI</x:v>
      </x:c>
      <x:c r="K2991" s="172" t="n">
        <x:v>4</x:v>
      </x:c>
      <x:c r="L2991" s="185" t="str">
        <x:v>Não classificado</x:v>
      </x:c>
    </x:row>
    <x:row r="2992">
      <x:c r="A2992" s="175" t="str">
        <x:v>50.990.958/0001-45</x:v>
      </x:c>
      <x:c r="B2992" s="166" t="str">
        <x:v>PETUNIA FUNDO DE INVESTIMENTO EM DIREITOS CREDITÓRIOS</x:v>
      </x:c>
      <x:c r="C2992" s="188" t="n">
        <x:v>1273103.45</x:v>
      </x:c>
      <x:c r="D2992" s="166" t="str">
        <x:v>SMART AGRO INVESTIMENTOS LTDA.</x:v>
      </x:c>
      <x:c r="E2992" s="166" t="str">
        <x:f>IFERROR(INDEX('Classif Gestoras'!$H$6:$H$462,MATCH(D2992,'Classif Gestoras'!$A$6:$A$462,0)),"Não classificada")</x:f>
        <x:v>Independente</x:v>
      </x:c>
      <x:c r="F2992" s="166" t="str">
        <x:v>TRUSTEE DTVM</x:v>
      </x:c>
      <x:c r="G2992" s="166" t="str">
        <x:v>TRUSTEE DISTRIBUIDORA DE TITULOS E VALORES MOBILIARIOS LTDA.</x:v>
      </x:c>
      <x:c r="H2992" s="166" t="str">
        <x:v>Fomento Mercantil</x:v>
      </x:c>
      <x:c r="I2992" s="166" t="str">
        <x:v>Fomento Mercantil</x:v>
      </x:c>
      <x:c r="J2992" s="166" t="str">
        <x:v>CI</x:v>
      </x:c>
      <x:c r="K2992" s="172" t="n">
        <x:v>2</x:v>
      </x:c>
      <x:c r="L2992" s="185" t="str">
        <x:v>Não classificado</x:v>
      </x:c>
    </x:row>
    <x:row r="2993">
      <x:c r="A2993" s="175" t="str">
        <x:v>28.849.649/0001-09</x:v>
      </x:c>
      <x:c r="B2993" s="166" t="str">
        <x:v>FUNDO DE INVESTIMENTO EM DIREITOS CREDITÓRIOS EMPÍRICA A55 SAAS</x:v>
      </x:c>
      <x:c r="C2993" s="188" t="n">
        <x:v>1271868.4899999998</x:v>
      </x:c>
      <x:c r="D2993" s="166" t="str">
        <x:v>REAG GESTÃO DE CRÉDITO</x:v>
      </x:c>
      <x:c r="E2993" s="166" t="str">
        <x:f>IFERROR(INDEX('Classif Gestoras'!$H$6:$H$462,MATCH(D2993,'Classif Gestoras'!$A$6:$A$462,0)),"Não classificada")</x:f>
        <x:v>Independente</x:v>
      </x:c>
      <x:c r="F2993" s="166" t="str">
        <x:v>Banvox DTVM</x:v>
      </x:c>
      <x:c r="G2993" s="166" t="str">
        <x:v>BANVOX DISTRIBUIDORA DE TITULOS E VALORES MOBILIARIOS LTDA</x:v>
      </x:c>
      <x:c r="H2993" s="166" t="str">
        <x:v>Outros</x:v>
      </x:c>
      <x:c r="I2993" s="166" t="str">
        <x:v>Multicarteira Outros</x:v>
      </x:c>
      <x:c r="J2993" s="166" t="str">
        <x:v>CI</x:v>
      </x:c>
      <x:c r="K2993" s="172" t="n">
        <x:v>25</x:v>
      </x:c>
      <x:c r="L2993" s="185" t="str">
        <x:v>Não classificado</x:v>
      </x:c>
    </x:row>
    <x:row r="2994">
      <x:c r="A2994" s="175" t="str">
        <x:v>65.500.424/0001-60</x:v>
      </x:c>
      <x:c r="B2994" s="166" t="str">
        <x:v>SÃO MIGUEL FUNDO DE INVESTIMENTO EM DIREITOS CREDITÓRIOS - RESPONSABILIDADE LIMITADA</x:v>
      </x:c>
      <x:c r="C2994" s="188" t="n">
        <x:v>1268070.5099999998</x:v>
      </x:c>
      <x:c r="D2994" s="166" t="str">
        <x:v>Galápagos</x:v>
      </x:c>
      <x:c r="E2994" s="166" t="str">
        <x:f>IFERROR(INDEX('Classif Gestoras'!$H$6:$H$462,MATCH(D2994,'Classif Gestoras'!$A$6:$A$462,0)),"Não classificada")</x:f>
        <x:v>Independente</x:v>
      </x:c>
      <x:c r="F2994" s="166" t="str">
        <x:v>VÓRTX DTVM</x:v>
      </x:c>
      <x:c r="G2994" s="166" t="str">
        <x:v>VORTX DISTRIBUIDORA DE TITULOS E VALORES MOBILIARIOS LTDA.</x:v>
      </x:c>
      <x:c r="H2994" s="166" t="str">
        <x:v>Outros</x:v>
      </x:c>
      <x:c r="I2994" s="166" t="str">
        <x:v>Recuperação</x:v>
      </x:c>
      <x:c r="J2994" s="166" t="str">
        <x:v>CI</x:v>
      </x:c>
      <x:c r="K2994" s="172" t="n">
        <x:v>5</x:v>
      </x:c>
      <x:c r="L2994" s="185" t="str">
        <x:v>Não classificado</x:v>
      </x:c>
    </x:row>
    <x:row r="2995">
      <x:c r="A2995" s="175" t="str">
        <x:v>58.496.558/0001-90</x:v>
      </x:c>
      <x:c r="B2995" s="166" t="str">
        <x:v>PIAVE FUNDO DE INVESTIMENTO EM DIREITOS CREDITÓRIOS</x:v>
      </x:c>
      <x:c r="C2995" s="188" t="n">
        <x:v>1251883.48</x:v>
      </x:c>
      <x:c r="D2995" s="166" t="str">
        <x:v>BURITI INVESTIMENTOS</x:v>
      </x:c>
      <x:c r="E2995" s="166" t="str">
        <x:f>IFERROR(INDEX('Classif Gestoras'!$H$6:$H$462,MATCH(D2995,'Classif Gestoras'!$A$6:$A$462,0)),"Não classificada")</x:f>
        <x:v>Independente</x:v>
      </x:c>
      <x:c r="F2995" s="166" t="str">
        <x:v>Singulare</x:v>
      </x:c>
      <x:c r="G2995" s="166" t="str">
        <x:v>BARU DISTRIBUIDORA DE TÍTULOS E VALORES MOBILIÁRIOS LTDA.</x:v>
      </x:c>
      <x:c r="H2995" s="166" t="str">
        <x:v>Outros</x:v>
      </x:c>
      <x:c r="I2995" s="166" t="str">
        <x:v>Multicarteira Outros</x:v>
      </x:c>
      <x:c r="J2995" s="166" t="str">
        <x:v>CI</x:v>
      </x:c>
      <x:c r="K2995" s="172" t="n">
        <x:v>1</x:v>
      </x:c>
      <x:c r="L2995" s="185" t="str">
        <x:v>Não classificado</x:v>
      </x:c>
    </x:row>
    <x:row r="2996">
      <x:c r="A2996" s="175" t="str">
        <x:v>62.348.002/0001-23</x:v>
      </x:c>
      <x:c r="B2996" s="166" t="str">
        <x:v>AMAZON FUNDO DE INVESTIMENTO EM DIREITOS CREDITÓRIOS NÃO - PADRONIZADOS - RESPONSABILIDADE LIMITADA</x:v>
      </x:c>
      <x:c r="C2996" s="188" t="n">
        <x:v>1250815.61</x:v>
      </x:c>
      <x:c r="D2996" s="166" t="str">
        <x:v>Yards Asset Gestão de Recursos Ltda.</x:v>
      </x:c>
      <x:c r="E2996" s="166" t="str">
        <x:f>IFERROR(INDEX('Classif Gestoras'!$H$6:$H$462,MATCH(D2996,'Classif Gestoras'!$A$6:$A$462,0)),"Não classificada")</x:f>
        <x:v>Independente</x:v>
      </x:c>
      <x:c r="F2996" s="166" t="str">
        <x:v>Qore DTVM</x:v>
      </x:c>
      <x:c r="G2996" s="166" t="str">
        <x:v>QORE DISTRIBUIDORA DE TÍTULOS E VALORES MOBILIÁRIOS LTDA.</x:v>
      </x:c>
      <x:c r="H2996" s="166" t="str">
        <x:v>Outros</x:v>
      </x:c>
      <x:c r="I2996" s="166" t="str">
        <x:v>Multicarteira Outros</x:v>
      </x:c>
      <x:c r="J2996" s="166" t="str">
        <x:v>CI</x:v>
      </x:c>
      <x:c r="K2996" s="172" t="n">
        <x:v>2</x:v>
      </x:c>
      <x:c r="L2996" s="185" t="str">
        <x:v>Não classificado</x:v>
      </x:c>
    </x:row>
    <x:row r="2997">
      <x:c r="A2997" s="175" t="str">
        <x:v>57.008.828/0001-03</x:v>
      </x:c>
      <x:c r="B2997" s="166" t="str">
        <x:v>KUARÁ GS2 IGSC I FUNDO DE INVESTIMENTO EM DIREITOS CREDITÓRIOS RESPONSABILIDADE LIMITADA</x:v>
      </x:c>
      <x:c r="C2997" s="188" t="n">
        <x:v>1248024.34</x:v>
      </x:c>
      <x:c r="D2997" s="166" t="str">
        <x:v>Kuará Capital</x:v>
      </x:c>
      <x:c r="E2997" s="166" t="str">
        <x:f>IFERROR(INDEX('Classif Gestoras'!$H$6:$H$462,MATCH(D2997,'Classif Gestoras'!$A$6:$A$462,0)),"Não classificada")</x:f>
        <x:v>Independente</x:v>
      </x:c>
      <x:c r="F2997" s="166" t="str">
        <x:v>MONETAR DISTRIBUIDORA DE TITUL</x:v>
      </x:c>
      <x:c r="G2997" s="166" t="str">
        <x:v>TERRA INVESTIMENTOS DISTRIBUIDORA DE TITULOS E VALORES MOBILIARIOS LTDA</x:v>
      </x:c>
      <x:c r="H2997" s="166" t="str">
        <x:v>Outros</x:v>
      </x:c>
      <x:c r="I2997" s="166" t="str">
        <x:v>Multicarteira Outros</x:v>
      </x:c>
      <x:c r="J2997" s="166" t="str">
        <x:v>CI</x:v>
      </x:c>
      <x:c r="K2997" s="172" t="n">
        <x:v>7</x:v>
      </x:c>
      <x:c r="L2997" s="185" t="str">
        <x:v>Não classificado</x:v>
      </x:c>
    </x:row>
    <x:row r="2998">
      <x:c r="A2998" s="175" t="str">
        <x:v>53.743.401/0001-06</x:v>
      </x:c>
      <x:c r="B2998" s="166" t="str">
        <x:v>FORSETI FUNDO DE INVESTIMENTO EM DIREITOS CREDITÓRIOS</x:v>
      </x:c>
      <x:c r="C2998" s="188" t="n">
        <x:v>1247329.89</x:v>
      </x:c>
      <x:c r="D2998" s="166" t="str">
        <x:v>NORTH SEA CAPITAL</x:v>
      </x:c>
      <x:c r="E2998" s="166" t="str">
        <x:f>IFERROR(INDEX('Classif Gestoras'!$H$6:$H$462,MATCH(D2998,'Classif Gestoras'!$A$6:$A$462,0)),"Não classificada")</x:f>
        <x:v>Independente</x:v>
      </x:c>
      <x:c r="F2998" s="166" t="str">
        <x:v>Qore DTVM</x:v>
      </x:c>
      <x:c r="G2998" s="166" t="str">
        <x:v>QORE DISTRIBUIDORA DE TÍTULOS E VALORES MOBILIÁRIOS LTDA.</x:v>
      </x:c>
      <x:c r="H2998" s="166" t="str">
        <x:v>Outros</x:v>
      </x:c>
      <x:c r="I2998" s="166" t="str">
        <x:v>Multicarteira Outros</x:v>
      </x:c>
      <x:c r="J2998" s="166" t="str">
        <x:v>CI</x:v>
      </x:c>
      <x:c r="K2998" s="172" t="n">
        <x:v>2</x:v>
      </x:c>
      <x:c r="L2998" s="185" t="str">
        <x:v>Não classificado</x:v>
      </x:c>
    </x:row>
    <x:row r="2999">
      <x:c r="A2999" s="175" t="str">
        <x:v>25.354.121/0001-62</x:v>
      </x:c>
      <x:c r="B2999" s="166" t="str">
        <x:v>MONEFY FUNDO DE INVESTIMENTO EM DIREITOS CREDITÓRIOS MULTISSETORIAL RESPONSABILIDADE LIMITADA</x:v>
      </x:c>
      <x:c r="C2999" s="188" t="n">
        <x:v>1224726.2500000002</x:v>
      </x:c>
      <x:c r="D2999" s="166" t="str">
        <x:v>Bless Capital Gestora de Recursos Ltda.</x:v>
      </x:c>
      <x:c r="E2999" s="166" t="str">
        <x:f>IFERROR(INDEX('Classif Gestoras'!$H$6:$H$462,MATCH(D2999,'Classif Gestoras'!$A$6:$A$462,0)),"Não classificada")</x:f>
        <x:v>Independente</x:v>
      </x:c>
      <x:c r="F2999" s="166" t="str">
        <x:v>ID Corretora de Títulos e Valores Mobiliários S.A.</x:v>
      </x:c>
      <x:c r="G2999" s="166" t="str">
        <x:v>ID CORRETORA DE TITULOS E VALORES MOBILIARIOS S.A.</x:v>
      </x:c>
      <x:c r="H2999" s="166" t="str">
        <x:v>Fomento Mercantil</x:v>
      </x:c>
      <x:c r="I2999" s="166" t="str">
        <x:v>Fomento Mercantil</x:v>
      </x:c>
      <x:c r="J2999" s="166" t="str">
        <x:v>CI</x:v>
      </x:c>
      <x:c r="K2999" s="172" t="n">
        <x:v>0</x:v>
      </x:c>
      <x:c r="L2999" s="185" t="str">
        <x:v>Não classificado</x:v>
      </x:c>
    </x:row>
    <x:row r="3000">
      <x:c r="A3000" s="175" t="str">
        <x:v>57.017.012/0001-46</x:v>
      </x:c>
      <x:c r="B3000" s="166" t="str">
        <x:v>MABC FUNDO DE INVESTIMENTO EM DIREITOS CREDITORIOS</x:v>
      </x:c>
      <x:c r="C3000" s="188" t="n">
        <x:v>1211335.75</x:v>
      </x:c>
      <x:c r="D3000" s="166" t="str">
        <x:v>AF Invest</x:v>
      </x:c>
      <x:c r="E3000" s="166" t="str">
        <x:f>IFERROR(INDEX('Classif Gestoras'!$H$6:$H$462,MATCH(D3000,'Classif Gestoras'!$A$6:$A$462,0)),"Não classificada")</x:f>
        <x:v>Independente</x:v>
      </x:c>
      <x:c r="F3000" s="166" t="str">
        <x:v>ACTUAL DTVM</x:v>
      </x:c>
      <x:c r="G3000" s="166" t="str">
        <x:v>TRUSTEE DISTRIBUIDORA DE TITULOS E VALORES MOBILIARIOS LTDA.</x:v>
      </x:c>
      <x:c r="H3000" s="166" t="str">
        <x:v>Fomento Mercantil</x:v>
      </x:c>
      <x:c r="I3000" s="166" t="str">
        <x:v>Fomento Mercantil</x:v>
      </x:c>
      <x:c r="J3000" s="166" t="str">
        <x:v>CI</x:v>
      </x:c>
      <x:c r="K3000" s="172" t="n">
        <x:v>1</x:v>
      </x:c>
      <x:c r="L3000" s="185" t="str">
        <x:v>Não classificado</x:v>
      </x:c>
    </x:row>
    <x:row r="3001">
      <x:c r="A3001" s="175" t="str">
        <x:v>38.315.167/0001-14</x:v>
      </x:c>
      <x:c r="B3001" s="166" t="str">
        <x:v>AQUILA BR FUNDO DE INVESTIMENTO EM DIREITOS CREDITÓRIOS - RESPONSABILIDADE LIMITADA</x:v>
      </x:c>
      <x:c r="C3001" s="188" t="n">
        <x:v>1209531.79</x:v>
      </x:c>
      <x:c r="D3001" s="166" t="str">
        <x:v>M8 Partners</x:v>
      </x:c>
      <x:c r="E3001" s="166" t="str">
        <x:f>IFERROR(INDEX('Classif Gestoras'!$H$6:$H$462,MATCH(D3001,'Classif Gestoras'!$A$6:$A$462,0)),"Não classificada")</x:f>
        <x:v>Independente</x:v>
      </x:c>
      <x:c r="F3001" s="166" t="str">
        <x:v>HEMERA DTVM</x:v>
      </x:c>
      <x:c r="G3001" s="166" t="str">
        <x:v>HEMERA DISTRIBUIDORA DE TITULOS E VALORES MOBILIARIOS LTDA</x:v>
      </x:c>
      <x:c r="H3001" s="166" t="str">
        <x:v>Financeiro</x:v>
      </x:c>
      <x:c r="I3001" s="166" t="str">
        <x:v>Multicarteira Financeiro</x:v>
      </x:c>
      <x:c r="J3001" s="166" t="str">
        <x:v>CI</x:v>
      </x:c>
      <x:c r="K3001" s="172" t="n">
        <x:v>1</x:v>
      </x:c>
      <x:c r="L3001" s="185" t="str">
        <x:v>Não classificado</x:v>
      </x:c>
    </x:row>
    <x:row r="3002">
      <x:c r="A3002" s="175" t="str">
        <x:v>39.819.737/0001-76</x:v>
      </x:c>
      <x:c r="B3002" s="166" t="str">
        <x:v>RISKNOW FUNDO DE INVESTIMENTO EM DIREITOS CREDITÓRIOS IMOBILIÁRIO</x:v>
      </x:c>
      <x:c r="C3002" s="188" t="n">
        <x:v>1204620.02</x:v>
      </x:c>
      <x:c r="D3002" s="166" t="str">
        <x:v>PATAGÔNIA CAPITAL</x:v>
      </x:c>
      <x:c r="E3002" s="166" t="str">
        <x:f>IFERROR(INDEX('Classif Gestoras'!$H$6:$H$462,MATCH(D3002,'Classif Gestoras'!$A$6:$A$462,0)),"Não classificada")</x:f>
        <x:v>Independente</x:v>
      </x:c>
      <x:c r="F3002" s="166" t="str">
        <x:v>VÓRTX DTVM</x:v>
      </x:c>
      <x:c r="G3002" s="166" t="str">
        <x:v>VORTX DISTRIBUIDORA DE TITULOS E VALORES MOBILIARIOS LTDA.</x:v>
      </x:c>
      <x:c r="H3002" s="166" t="str">
        <x:v>Financeiro</x:v>
      </x:c>
      <x:c r="I3002" s="166" t="str">
        <x:v>Crédito Imobiliário</x:v>
      </x:c>
      <x:c r="J3002" s="166" t="str">
        <x:v>CI</x:v>
      </x:c>
      <x:c r="K3002" s="172" t="n">
        <x:v>5</x:v>
      </x:c>
      <x:c r="L3002" s="185" t="str">
        <x:v>Não classificado</x:v>
      </x:c>
    </x:row>
    <x:row r="3003">
      <x:c r="A3003" s="175" t="str">
        <x:v>62.698.155/0001-09</x:v>
      </x:c>
      <x:c r="B3003" s="166" t="str">
        <x:v>DORA FUNDO DE INVESTIMENTO EM DIREITOS CREDITÓRIOS</x:v>
      </x:c>
      <x:c r="C3003" s="188" t="n">
        <x:v>1203616.76</x:v>
      </x:c>
      <x:c r="D3003" s="166" t="str">
        <x:v>Legatus Asset Management</x:v>
      </x:c>
      <x:c r="E3003" s="166" t="str">
        <x:f>IFERROR(INDEX('Classif Gestoras'!$H$6:$H$462,MATCH(D3003,'Classif Gestoras'!$A$6:$A$462,0)),"Não classificada")</x:f>
        <x:v>Independente</x:v>
      </x:c>
      <x:c r="F3003" s="166" t="str">
        <x:v>PLANNER CV</x:v>
      </x:c>
      <x:c r="G3003" s="166" t="str">
        <x:v>PLANNER CORRETORA DE VALORES S.A.</x:v>
      </x:c>
      <x:c r="H3003" s="166" t="str">
        <x:v>Outros</x:v>
      </x:c>
      <x:c r="I3003" s="166" t="str">
        <x:v>Multicarteira Outros</x:v>
      </x:c>
      <x:c r="J3003" s="166" t="str">
        <x:v>CI</x:v>
      </x:c>
      <x:c r="K3003" s="172" t="n">
        <x:v>3</x:v>
      </x:c>
      <x:c r="L3003" s="185" t="str">
        <x:v>Não classificado</x:v>
      </x:c>
    </x:row>
    <x:row r="3004">
      <x:c r="A3004" s="175" t="str">
        <x:v>57.153.497/0001-03</x:v>
      </x:c>
      <x:c r="B3004" s="166" t="str">
        <x:v>ITHAKA FUNDO DE INVESTIMENTO EM DIREITOS CREDITÓRIOS</x:v>
      </x:c>
      <x:c r="C3004" s="188" t="n">
        <x:v>1200801.2100000002</x:v>
      </x:c>
      <x:c r="D3004" s="166" t="str">
        <x:v>Redwood Asset Management</x:v>
      </x:c>
      <x:c r="E3004" s="166" t="str">
        <x:f>IFERROR(INDEX('Classif Gestoras'!$H$6:$H$462,MATCH(D3004,'Classif Gestoras'!$A$6:$A$462,0)),"Não classificada")</x:f>
        <x:v>Independente</x:v>
      </x:c>
      <x:c r="F3004" s="166" t="str">
        <x:v>PLANNER CV</x:v>
      </x:c>
      <x:c r="G3004" s="166" t="str">
        <x:v>PLANNER CORRETORA DE VALORES S.A.</x:v>
      </x:c>
      <x:c r="H3004" s="166" t="str">
        <x:v>Outros</x:v>
      </x:c>
      <x:c r="I3004" s="166" t="str">
        <x:v>Multicarteira Outros</x:v>
      </x:c>
      <x:c r="J3004" s="166" t="str">
        <x:v>CI</x:v>
      </x:c>
      <x:c r="K3004" s="172" t="n">
        <x:v>4</x:v>
      </x:c>
      <x:c r="L3004" s="185" t="str">
        <x:v>Não classificado</x:v>
      </x:c>
    </x:row>
    <x:row r="3005">
      <x:c r="A3005" s="175" t="str">
        <x:v>55.174.856/0001-75</x:v>
      </x:c>
      <x:c r="B3005" s="166" t="str">
        <x:v>PONTAL FUNDO DE INVESTIMENTO EM DIREITOS CREDITÓRIOS</x:v>
      </x:c>
      <x:c r="C3005" s="188" t="n">
        <x:v>1197778.2</x:v>
      </x:c>
      <x:c r="D3005" s="166" t="str">
        <x:v>Redwood Asset Management</x:v>
      </x:c>
      <x:c r="E3005" s="166" t="str">
        <x:f>IFERROR(INDEX('Classif Gestoras'!$H$6:$H$462,MATCH(D3005,'Classif Gestoras'!$A$6:$A$462,0)),"Não classificada")</x:f>
        <x:v>Independente</x:v>
      </x:c>
      <x:c r="F3005" s="166" t="str">
        <x:v>PLANNER CV</x:v>
      </x:c>
      <x:c r="G3005" s="166" t="str">
        <x:v>PLANNER CORRETORA DE VALORES S.A.</x:v>
      </x:c>
      <x:c r="H3005" s="166" t="str">
        <x:v>Agro, Indústria e Comércio</x:v>
      </x:c>
      <x:c r="I3005" s="166" t="str">
        <x:v>Recebíveis Comerciais</x:v>
      </x:c>
      <x:c r="J3005" s="166" t="str">
        <x:v>CI</x:v>
      </x:c>
      <x:c r="K3005" s="172" t="n">
        <x:v>1</x:v>
      </x:c>
      <x:c r="L3005" s="185" t="str">
        <x:v>Não classificado</x:v>
      </x:c>
    </x:row>
    <x:row r="3006">
      <x:c r="A3006" s="175" t="str">
        <x:v>46.879.122/0001-09</x:v>
      </x:c>
      <x:c r="B3006" s="166" t="str">
        <x:v>CNPJ 46879122000109</x:v>
      </x:c>
      <x:c r="C3006" s="188" t="n">
        <x:v>1192583.2899999998</x:v>
      </x:c>
      <x:c r="D3006" s="166" t="str">
        <x:v>REAG PORTFOLIO SOLUTIONS</x:v>
      </x:c>
      <x:c r="E3006" s="166" t="str">
        <x:f>IFERROR(INDEX('Classif Gestoras'!$H$6:$H$462,MATCH(D3006,'Classif Gestoras'!$A$6:$A$462,0)),"Não classificada")</x:f>
        <x:v>Independente</x:v>
      </x:c>
      <x:c r="F3006" s="166" t="str">
        <x:v>REAG DTVM</x:v>
      </x:c>
      <x:c r="G3006" s="166" t="str">
        <x:v>Não identificado</x:v>
      </x:c>
      <x:c r="H3006" s="166" t="str">
        <x:v>Outros</x:v>
      </x:c>
      <x:c r="I3006" s="166" t="str">
        <x:v>Multicategoria</x:v>
      </x:c>
      <x:c r="J3006" s="166" t="str">
        <x:v>CI</x:v>
      </x:c>
      <x:c r="K3006" s="172"/>
      <x:c r="L3006" s="185" t="str">
        <x:v>Não classificado</x:v>
      </x:c>
    </x:row>
    <x:row r="3007">
      <x:c r="A3007" s="175" t="str">
        <x:v>61.544.063/0001-01</x:v>
      </x:c>
      <x:c r="B3007" s="166" t="str">
        <x:v>CREDIÁRIO AMERICANAS FUNDO DE INVESTIMENTO EM DIREITOS CREDITÓRIOS DE RESPONSABILIDADE LIMITADA</x:v>
      </x:c>
      <x:c r="C3007" s="188" t="n">
        <x:v>1183451.5699999998</x:v>
      </x:c>
      <x:c r="D3007" s="166" t="str">
        <x:v>POLÍGONO CAPITAL LTDA.</x:v>
      </x:c>
      <x:c r="E3007" s="166" t="str">
        <x:f>IFERROR(INDEX('Classif Gestoras'!$H$6:$H$462,MATCH(D3007,'Classif Gestoras'!$A$6:$A$462,0)),"Não classificada")</x:f>
        <x:v>Independente</x:v>
      </x:c>
      <x:c r="F3007" s="166" t="str">
        <x:v>Genial Investimentos Corretora de Valores Mobiliários S.A.</x:v>
      </x:c>
      <x:c r="G3007" s="166" t="str">
        <x:v>BANCO GENIAL S.A.</x:v>
      </x:c>
      <x:c r="H3007" s="166" t="str">
        <x:v>Agro, Indústria e Comércio</x:v>
      </x:c>
      <x:c r="I3007" s="166" t="str">
        <x:v>Recebíveis Comerciais</x:v>
      </x:c>
      <x:c r="J3007" s="166" t="str">
        <x:v>CI</x:v>
      </x:c>
      <x:c r="K3007" s="172" t="n">
        <x:v>1</x:v>
      </x:c>
      <x:c r="L3007" s="185" t="str">
        <x:v>Não classificado</x:v>
      </x:c>
    </x:row>
    <x:row r="3008">
      <x:c r="A3008" s="175" t="str">
        <x:v>17.012.685/0001-99</x:v>
      </x:c>
      <x:c r="B3008" s="166" t="str">
        <x:v>CAPITAL FUNDO DE INVESTIMENTO EM DIREITOS CREDITÓRIOS</x:v>
      </x:c>
      <x:c r="C3008" s="188" t="n">
        <x:v>1181922.3521000005</x:v>
      </x:c>
      <x:c r="D3008" s="166" t="str">
        <x:v>PESSOAS FISICAS</x:v>
      </x:c>
      <x:c r="E3008" s="166" t="str">
        <x:f>IFERROR(INDEX('Classif Gestoras'!$H$6:$H$462,MATCH(D3008,'Classif Gestoras'!$A$6:$A$462,0)),"Não classificada")</x:f>
        <x:v>Independente</x:v>
      </x:c>
      <x:c r="F3008" s="166" t="str">
        <x:v>BTG Pactual Servicos Financeiros S/A DTVM</x:v>
      </x:c>
      <x:c r="G3008" s="166" t="str">
        <x:v>BANCO BTG PACTUAL S/A</x:v>
      </x:c>
      <x:c r="H3008" s="166" t="str">
        <x:v>Outros</x:v>
      </x:c>
      <x:c r="I3008" s="166" t="str">
        <x:v>Multicarteira Outros</x:v>
      </x:c>
      <x:c r="J3008" s="166" t="str">
        <x:v>CI</x:v>
      </x:c>
      <x:c r="K3008" s="172" t="n">
        <x:v>3</x:v>
      </x:c>
      <x:c r="L3008" s="185" t="str">
        <x:v>Não classificado</x:v>
      </x:c>
    </x:row>
    <x:row r="3009">
      <x:c r="A3009" s="175" t="str">
        <x:v>42.432.319/0001-36</x:v>
      </x:c>
      <x:c r="B3009" s="166" t="str">
        <x:v>FUNDO DE INVESTIMENTO EM DIREITOS CREDITÓRIOS BIZCAPITAL FINPASS PME RESPONSABILIDADE LIMITADA</x:v>
      </x:c>
      <x:c r="C3009" s="188" t="n">
        <x:v>1172733.33</x:v>
      </x:c>
      <x:c r="D3009" s="166" t="str">
        <x:v>REAG GESTÃO DE CRÉDITO</x:v>
      </x:c>
      <x:c r="E3009" s="166" t="str">
        <x:f>IFERROR(INDEX('Classif Gestoras'!$H$6:$H$462,MATCH(D3009,'Classif Gestoras'!$A$6:$A$462,0)),"Não classificada")</x:f>
        <x:v>Independente</x:v>
      </x:c>
      <x:c r="F3009" s="166" t="str">
        <x:v>Banvox DTVM</x:v>
      </x:c>
      <x:c r="G3009" s="166" t="str">
        <x:v>BANVOX DISTRIBUIDORA DE TITULOS E VALORES MOBILIARIOS LTDA</x:v>
      </x:c>
      <x:c r="H3009" s="166" t="str">
        <x:v>Outros</x:v>
      </x:c>
      <x:c r="I3009" s="166" t="str">
        <x:v>Multicarteira Outros</x:v>
      </x:c>
      <x:c r="J3009" s="166" t="str">
        <x:v>CI</x:v>
      </x:c>
      <x:c r="K3009" s="172" t="n">
        <x:v>31</x:v>
      </x:c>
      <x:c r="L3009" s="185" t="str">
        <x:v>Não classificado</x:v>
      </x:c>
    </x:row>
    <x:row r="3010">
      <x:c r="A3010" s="175" t="str">
        <x:v>59.503.278/0001-24</x:v>
      </x:c>
      <x:c r="B3010" s="166" t="str">
        <x:v>ASTREIA FUNDO DE INVESTIMENTO EM DIREITOS CREDITÓRIOS</x:v>
      </x:c>
      <x:c r="C3010" s="188" t="n">
        <x:v>1148059.42</x:v>
      </x:c>
      <x:c r="D3010" s="166" t="str">
        <x:v>Multiplica Capital</x:v>
      </x:c>
      <x:c r="E3010" s="166" t="str">
        <x:f>IFERROR(INDEX('Classif Gestoras'!$H$6:$H$462,MATCH(D3010,'Classif Gestoras'!$A$6:$A$462,0)),"Não classificada")</x:f>
        <x:v>Independente</x:v>
      </x:c>
      <x:c r="F3010" s="166" t="str">
        <x:v>PLANNER CV</x:v>
      </x:c>
      <x:c r="G3010" s="166" t="str">
        <x:v>PLANNER CORRETORA DE VALORES S.A.</x:v>
      </x:c>
      <x:c r="H3010" s="166" t="str">
        <x:v>Outros</x:v>
      </x:c>
      <x:c r="I3010" s="166" t="str">
        <x:v>Multicarteira Outros</x:v>
      </x:c>
      <x:c r="J3010" s="166" t="str">
        <x:v>CI</x:v>
      </x:c>
      <x:c r="K3010" s="172" t="n">
        <x:v>3</x:v>
      </x:c>
      <x:c r="L3010" s="185" t="str">
        <x:v>Não classificado</x:v>
      </x:c>
    </x:row>
    <x:row r="3011">
      <x:c r="A3011" s="175" t="str">
        <x:v>26.199.799/0001-80</x:v>
      </x:c>
      <x:c r="B3011" s="166" t="str">
        <x:v>TARISUL FUNDO DE INVESTIMENTO EM DIREITOS CREDITÓRIOS MULTISSETORIAL</x:v>
      </x:c>
      <x:c r="C3011" s="188" t="n">
        <x:v>1147041.53</x:v>
      </x:c>
      <x:c r="D3011" s="166" t="str">
        <x:v>OURO PRETO INVESTIMENTOS</x:v>
      </x:c>
      <x:c r="E3011" s="166" t="str">
        <x:f>IFERROR(INDEX('Classif Gestoras'!$H$6:$H$462,MATCH(D3011,'Classif Gestoras'!$A$6:$A$462,0)),"Não classificada")</x:f>
        <x:v>Independente</x:v>
      </x:c>
      <x:c r="F3011" s="166" t="str">
        <x:v>Singulare</x:v>
      </x:c>
      <x:c r="G3011" s="166" t="str">
        <x:v>QI CORRETORA DE TÍTULOS E VALORES MOBILIÁRIOS S.A.</x:v>
      </x:c>
      <x:c r="H3011" s="166" t="str">
        <x:v>Fomento Mercantil</x:v>
      </x:c>
      <x:c r="I3011" s="166" t="str">
        <x:v>Fomento Mercantil</x:v>
      </x:c>
      <x:c r="J3011" s="166" t="str">
        <x:v>CI</x:v>
      </x:c>
      <x:c r="K3011" s="172" t="n">
        <x:v>7</x:v>
      </x:c>
      <x:c r="L3011" s="185" t="str">
        <x:v>Não classificado</x:v>
      </x:c>
    </x:row>
    <x:row r="3012">
      <x:c r="A3012" s="175" t="str">
        <x:v>46.450.551/0001-58</x:v>
      </x:c>
      <x:c r="B3012" s="166" t="str">
        <x:v>D365 FUNDO DE INVESTIMENTO EM DIREITOS CREDITÓRIOS</x:v>
      </x:c>
      <x:c r="C3012" s="188" t="n">
        <x:v>1144353.48</x:v>
      </x:c>
      <x:c r="D3012" s="166" t="str">
        <x:v>DAYCOVAL ASSET MANAG</x:v>
      </x:c>
      <x:c r="E3012" s="166" t="str">
        <x:f>IFERROR(INDEX('Classif Gestoras'!$H$6:$H$462,MATCH(D3012,'Classif Gestoras'!$A$6:$A$462,0)),"Não classificada")</x:f>
        <x:v>Ligada a banco</x:v>
      </x:c>
      <x:c r="F3012" s="166" t="str">
        <x:v>BANCO DAYCOVAL S/A</x:v>
      </x:c>
      <x:c r="G3012" s="166" t="str">
        <x:v>BANCO DAYCOVAL S.A.</x:v>
      </x:c>
      <x:c r="H3012" s="166" t="str">
        <x:v>Outros</x:v>
      </x:c>
      <x:c r="I3012" s="166" t="str">
        <x:v>Multicarteira Outros</x:v>
      </x:c>
      <x:c r="J3012" s="166" t="str">
        <x:v>CI</x:v>
      </x:c>
      <x:c r="K3012" s="172" t="n">
        <x:v>1</x:v>
      </x:c>
      <x:c r="L3012" s="185" t="str">
        <x:v>Não classificado</x:v>
      </x:c>
    </x:row>
    <x:row r="3013">
      <x:c r="A3013" s="175" t="str">
        <x:v>63.462.870/0001-00</x:v>
      </x:c>
      <x:c r="B3013" s="166" t="str">
        <x:v>NAD CAPITAL OSHER FUNDO DE INVESTIMENTO EM DIREITOS CREDITÓRIOS</x:v>
      </x:c>
      <x:c r="C3013" s="188" t="n">
        <x:v>1136622.69</x:v>
      </x:c>
      <x:c r="D3013" s="166" t="str">
        <x:v>R CAPITAL ASSET MANAGEMENT INVESTIMENTOS S.A.</x:v>
      </x:c>
      <x:c r="E3013" s="166" t="str">
        <x:f>IFERROR(INDEX('Classif Gestoras'!$H$6:$H$462,MATCH(D3013,'Classif Gestoras'!$A$6:$A$462,0)),"Não classificada")</x:f>
        <x:v>Independente</x:v>
      </x:c>
      <x:c r="F3013" s="166" t="str">
        <x:v>Qore DTVM</x:v>
      </x:c>
      <x:c r="G3013" s="166" t="str">
        <x:v>QORE DISTRIBUIDORA DE TÍTULOS E VALORES MOBILIÁRIOS LTDA.</x:v>
      </x:c>
      <x:c r="H3013" s="166" t="str">
        <x:v>Outros</x:v>
      </x:c>
      <x:c r="I3013" s="166" t="str">
        <x:v>Multicarteira Outros</x:v>
      </x:c>
      <x:c r="J3013" s="166" t="str">
        <x:v>CI</x:v>
      </x:c>
      <x:c r="K3013" s="172" t="n">
        <x:v>5</x:v>
      </x:c>
      <x:c r="L3013" s="185" t="str">
        <x:v>Não classificado</x:v>
      </x:c>
    </x:row>
    <x:row r="3014">
      <x:c r="A3014" s="175" t="str">
        <x:v>61.805.739/0001-65</x:v>
      </x:c>
      <x:c r="B3014" s="166" t="str">
        <x:v>AGRICORE FUNDO DE INVESTIMENTO EM DIREITOS CREDITÓRIOS RESPONSABILIDADE LIMITADA</x:v>
      </x:c>
      <x:c r="C3014" s="188" t="n">
        <x:v>1129547.84</x:v>
      </x:c>
      <x:c r="D3014" s="166" t="str">
        <x:v>Catálise Investimentos</x:v>
      </x:c>
      <x:c r="E3014" s="166" t="str">
        <x:f>IFERROR(INDEX('Classif Gestoras'!$H$6:$H$462,MATCH(D3014,'Classif Gestoras'!$A$6:$A$462,0)),"Não classificada")</x:f>
        <x:v>Independente</x:v>
      </x:c>
      <x:c r="F3014" s="166" t="str">
        <x:v>FIDD DISTRIBUIDORA DE TITULOS E VALORES MOBILIARIOS LTD</x:v>
      </x:c>
      <x:c r="G3014" s="166" t="str">
        <x:v>FIDD DISTRIBUIDORA DE TITULOS E VALORES MOBILIARIOS LTDA.</x:v>
      </x:c>
      <x:c r="H3014" s="166" t="str">
        <x:v>Outros</x:v>
      </x:c>
      <x:c r="I3014" s="166" t="str">
        <x:v>Multicarteira Outros</x:v>
      </x:c>
      <x:c r="J3014" s="166" t="str">
        <x:v>CI</x:v>
      </x:c>
      <x:c r="K3014" s="172" t="n">
        <x:v>2</x:v>
      </x:c>
      <x:c r="L3014" s="185" t="str">
        <x:v>Não classificado</x:v>
      </x:c>
    </x:row>
    <x:row r="3015">
      <x:c r="A3015" s="175" t="str">
        <x:v>59.331.492/0001-40</x:v>
      </x:c>
      <x:c r="B3015" s="166" t="str">
        <x:v>YELLOW CAPITAL I FUNDO DE INVESTIMENTO EM DIREITOS CREDITÓRIOS MULTISSETORIAL - RESP ILIMITADA</x:v>
      </x:c>
      <x:c r="C3015" s="188" t="n">
        <x:v>1114515.7049999998</x:v>
      </x:c>
      <x:c r="D3015" s="166" t="str">
        <x:v>OURO PRETO INVESTIMENTOS</x:v>
      </x:c>
      <x:c r="E3015" s="166" t="str">
        <x:f>IFERROR(INDEX('Classif Gestoras'!$H$6:$H$462,MATCH(D3015,'Classif Gestoras'!$A$6:$A$462,0)),"Não classificada")</x:f>
        <x:v>Independente</x:v>
      </x:c>
      <x:c r="F3015" s="166" t="str">
        <x:v>Limine Trust Distribuidora de Titulos e Valores Mobiliá</x:v>
      </x:c>
      <x:c r="G3015" s="166" t="str">
        <x:v>LIMINE TRUST DISTRIBUIDORA DE TITULOS E VALORES MOBILIARIOS LTDA.</x:v>
      </x:c>
      <x:c r="H3015" s="166" t="str">
        <x:v>Fomento Mercantil</x:v>
      </x:c>
      <x:c r="I3015" s="166" t="str">
        <x:v>Fomento Mercantil</x:v>
      </x:c>
      <x:c r="J3015" s="166" t="str">
        <x:v>CI</x:v>
      </x:c>
      <x:c r="K3015" s="172" t="n">
        <x:v>4</x:v>
      </x:c>
      <x:c r="L3015" s="185" t="str">
        <x:v>Não classificado</x:v>
      </x:c>
    </x:row>
    <x:row r="3016">
      <x:c r="A3016" s="175" t="str">
        <x:v>57.133.534/0001-03</x:v>
      </x:c>
      <x:c r="B3016" s="166" t="str">
        <x:v>JIF INFRA - FUNDO DE INVESTIMENTO EM DIREITOS CREDITÓRIOS CRÉDITO PRIVADO</x:v>
      </x:c>
      <x:c r="C3016" s="188" t="n">
        <x:v>1098742.09</x:v>
      </x:c>
      <x:c r="D3016" s="166" t="str">
        <x:v>JIVE HIGH YIELD GESTÃO DE RECURSOS LTDA</x:v>
      </x:c>
      <x:c r="E3016" s="166" t="str">
        <x:f>IFERROR(INDEX('Classif Gestoras'!$H$6:$H$462,MATCH(D3016,'Classif Gestoras'!$A$6:$A$462,0)),"Não classificada")</x:f>
        <x:v>Independente</x:v>
      </x:c>
      <x:c r="F3016" s="166" t="str">
        <x:v>BANCO DAYCOVAL S/A</x:v>
      </x:c>
      <x:c r="G3016" s="166" t="str">
        <x:v>BANCO DAYCOVAL S.A.</x:v>
      </x:c>
      <x:c r="H3016" s="166" t="str">
        <x:v>Financeiro</x:v>
      </x:c>
      <x:c r="I3016" s="166" t="str">
        <x:v>Multicarteira Financeiro</x:v>
      </x:c>
      <x:c r="J3016" s="166" t="str">
        <x:v>CI</x:v>
      </x:c>
      <x:c r="K3016" s="172" t="n">
        <x:v>1</x:v>
      </x:c>
      <x:c r="L3016" s="185" t="str">
        <x:v>Não classificado</x:v>
      </x:c>
    </x:row>
    <x:row r="3017">
      <x:c r="A3017" s="175" t="str">
        <x:v>54.214.825/0001-38</x:v>
      </x:c>
      <x:c r="B3017" s="166" t="str">
        <x:v>KOB 1 FUNDO DE INVESTIMENTO EM DIREITOS CREDITÓRIOS - RESPONSABILIDADE LIMITADA</x:v>
      </x:c>
      <x:c r="C3017" s="188" t="n">
        <x:v>1096750.41</x:v>
      </x:c>
      <x:c r="D3017" s="166" t="str">
        <x:v>Vectis Gestão</x:v>
      </x:c>
      <x:c r="E3017" s="166" t="str">
        <x:f>IFERROR(INDEX('Classif Gestoras'!$H$6:$H$462,MATCH(D3017,'Classif Gestoras'!$A$6:$A$462,0)),"Não classificada")</x:f>
        <x:v>Independente</x:v>
      </x:c>
      <x:c r="F3017" s="166" t="str">
        <x:v>VÓRTX DTVM</x:v>
      </x:c>
      <x:c r="G3017" s="166" t="str">
        <x:v>VORTX DISTRIBUIDORA DE TITULOS E VALORES MOBILIARIOS LTDA.</x:v>
      </x:c>
      <x:c r="H3017" s="166" t="str">
        <x:v>Outros</x:v>
      </x:c>
      <x:c r="I3017" s="166" t="str">
        <x:v>Multicarteira Outros</x:v>
      </x:c>
      <x:c r="J3017" s="166" t="str">
        <x:v>CI</x:v>
      </x:c>
      <x:c r="K3017" s="172" t="n">
        <x:v>1</x:v>
      </x:c>
      <x:c r="L3017" s="185" t="str">
        <x:v>Não classificado</x:v>
      </x:c>
    </x:row>
    <x:row r="3018">
      <x:c r="A3018" s="175" t="str">
        <x:v>50.356.663/0001-11</x:v>
      </x:c>
      <x:c r="B3018" s="166" t="str">
        <x:v>ABF VISION FUNDO DE INVESTIMENTO EM DIREITOS CREDITÓRIOS NÃO-PADRONIZADOS</x:v>
      </x:c>
      <x:c r="C3018" s="188" t="n">
        <x:v>1091570.1799999997</x:v>
      </x:c>
      <x:c r="D3018" s="166" t="str">
        <x:v>AZUMI ASSET</x:v>
      </x:c>
      <x:c r="E3018" s="166" t="str">
        <x:f>IFERROR(INDEX('Classif Gestoras'!$H$6:$H$462,MATCH(D3018,'Classif Gestoras'!$A$6:$A$462,0)),"Não classificada")</x:f>
        <x:v>Independente</x:v>
      </x:c>
      <x:c r="F3018" s="166" t="str">
        <x:v>AZUMI DISTRIBUIDORA DE TÍTULOS E VALORES MOBILIÁRIOS LT</x:v>
      </x:c>
      <x:c r="G3018" s="166" t="str">
        <x:v>AZUMI DISTRIBUIDORA DE TÍTULOS E VALORES MOBILIÁRIOS LTDA.</x:v>
      </x:c>
      <x:c r="H3018" s="166" t="str">
        <x:v>Outros</x:v>
      </x:c>
      <x:c r="I3018" s="166" t="str">
        <x:v>Multicarteira Outros</x:v>
      </x:c>
      <x:c r="J3018" s="166" t="str">
        <x:v>CI</x:v>
      </x:c>
      <x:c r="K3018" s="172" t="n">
        <x:v>7</x:v>
      </x:c>
      <x:c r="L3018" s="185" t="str">
        <x:v>Não classificado</x:v>
      </x:c>
    </x:row>
    <x:row r="3019">
      <x:c r="A3019" s="175" t="str">
        <x:v>51.517.938/0001-14</x:v>
      </x:c>
      <x:c r="B3019" s="166" t="str">
        <x:v>PLX FUNDO DE INVESTIMENTO EM DIREITOS CREDITÓRIOS</x:v>
      </x:c>
      <x:c r="C3019" s="188" t="n">
        <x:v>1089682.89</x:v>
      </x:c>
      <x:c r="D3019" s="166" t="str">
        <x:v>FIDD Administração de Recursos Ltda.</x:v>
      </x:c>
      <x:c r="E3019" s="166" t="str">
        <x:f>IFERROR(INDEX('Classif Gestoras'!$H$6:$H$462,MATCH(D3019,'Classif Gestoras'!$A$6:$A$462,0)),"Não classificada")</x:f>
        <x:v>Independente</x:v>
      </x:c>
      <x:c r="F3019" s="166" t="str">
        <x:v>FIDD DISTRIBUIDORA DE TITULOS E VALORES MOBILIARIOS LTD</x:v>
      </x:c>
      <x:c r="G3019" s="166" t="str">
        <x:v>FIDD DISTRIBUIDORA DE TITULOS E VALORES MOBILIARIOS LTDA.</x:v>
      </x:c>
      <x:c r="H3019" s="166" t="str">
        <x:v>Outros</x:v>
      </x:c>
      <x:c r="I3019" s="166" t="str">
        <x:v>Recuperação</x:v>
      </x:c>
      <x:c r="J3019" s="166" t="str">
        <x:v>CI</x:v>
      </x:c>
      <x:c r="K3019" s="172" t="n">
        <x:v>9</x:v>
      </x:c>
      <x:c r="L3019" s="185" t="str">
        <x:v>Não classificado</x:v>
      </x:c>
    </x:row>
    <x:row r="3020">
      <x:c r="A3020" s="175" t="str">
        <x:v>63.310.209/0001-71</x:v>
      </x:c>
      <x:c r="B3020" s="166" t="str">
        <x:v>ORIGINAL II FUNDO DE INVESTIMENTO EM DIREITOS CREDITÓRIOS</x:v>
      </x:c>
      <x:c r="C3020" s="188" t="n">
        <x:v>1083958.63</x:v>
      </x:c>
      <x:c r="D3020" s="166" t="str">
        <x:v>M8 Partners</x:v>
      </x:c>
      <x:c r="E3020" s="166" t="str">
        <x:f>IFERROR(INDEX('Classif Gestoras'!$H$6:$H$462,MATCH(D3020,'Classif Gestoras'!$A$6:$A$462,0)),"Não classificada")</x:f>
        <x:v>Independente</x:v>
      </x:c>
      <x:c r="F3020" s="166" t="str">
        <x:v>Singulare</x:v>
      </x:c>
      <x:c r="G3020" s="166" t="str">
        <x:v>Não identificado</x:v>
      </x:c>
      <x:c r="H3020" s="166" t="str">
        <x:v>Outros</x:v>
      </x:c>
      <x:c r="I3020" s="166" t="str">
        <x:v>Multicarteira Outros</x:v>
      </x:c>
      <x:c r="J3020" s="166" t="str">
        <x:v>CI</x:v>
      </x:c>
      <x:c r="K3020" s="172" t="n">
        <x:v>1</x:v>
      </x:c>
      <x:c r="L3020" s="185" t="str">
        <x:v>Não classificado</x:v>
      </x:c>
    </x:row>
    <x:row r="3021">
      <x:c r="A3021" s="175" t="str">
        <x:v>53.197.397/0001-10</x:v>
      </x:c>
      <x:c r="B3021" s="166" t="str">
        <x:v>CIRRUS FUNDO DE INVESTIMENTO EM DIREITOS CREDITÓRIOS</x:v>
      </x:c>
      <x:c r="C3021" s="188" t="n">
        <x:v>1066676.88</x:v>
      </x:c>
      <x:c r="D3021" s="166" t="str">
        <x:v>FOURCE GESTAO DE RECURSOS LTDA</x:v>
      </x:c>
      <x:c r="E3021" s="166" t="str">
        <x:f>IFERROR(INDEX('Classif Gestoras'!$H$6:$H$462,MATCH(D3021,'Classif Gestoras'!$A$6:$A$462,0)),"Não classificada")</x:f>
        <x:v>Independente</x:v>
      </x:c>
      <x:c r="F3021" s="166" t="str">
        <x:v>ACTUAL DTVM</x:v>
      </x:c>
      <x:c r="G3021" s="166" t="str">
        <x:v>LASTRO RDV DTVM LTDA</x:v>
      </x:c>
      <x:c r="H3021" s="166" t="str">
        <x:v>Outros</x:v>
      </x:c>
      <x:c r="I3021" s="166" t="str">
        <x:v>Multicarteira Outros</x:v>
      </x:c>
      <x:c r="J3021" s="166" t="str">
        <x:v>CI</x:v>
      </x:c>
      <x:c r="K3021" s="172" t="n">
        <x:v>1</x:v>
      </x:c>
      <x:c r="L3021" s="185" t="str">
        <x:v>Não classificado</x:v>
      </x:c>
    </x:row>
    <x:row r="3022">
      <x:c r="A3022" s="175" t="str">
        <x:v>11.675.457/0001-12</x:v>
      </x:c>
      <x:c r="B3022" s="166" t="str">
        <x:v>FUNDO DE INVESTIMENTO EM DIREITOS CREDITORIOS MULTISETORIAL MASTER</x:v>
      </x:c>
      <x:c r="C3022" s="188" t="n">
        <x:v>1056694.33</x:v>
      </x:c>
      <x:c r="D3022" s="166" t="str">
        <x:v>Plural</x:v>
      </x:c>
      <x:c r="E3022" s="166" t="str">
        <x:f>IFERROR(INDEX('Classif Gestoras'!$H$6:$H$462,MATCH(D3022,'Classif Gestoras'!$A$6:$A$462,0)),"Não classificada")</x:f>
        <x:v>Ligada a banco</x:v>
      </x:c>
      <x:c r="F3022" s="166" t="str">
        <x:v>Genial Investimentos Corretora de Valores Mobiliários S.A.</x:v>
      </x:c>
      <x:c r="G3022" s="166" t="str">
        <x:v>BANCO GENIAL S.A.</x:v>
      </x:c>
      <x:c r="H3022" s="166" t="str">
        <x:v>Agro, Indústria e Comércio</x:v>
      </x:c>
      <x:c r="I3022" s="166" t="str">
        <x:v>Crédito Corporativo</x:v>
      </x:c>
      <x:c r="J3022" s="166" t="str">
        <x:v>CI</x:v>
      </x:c>
      <x:c r="K3022" s="172" t="n">
        <x:v>23</x:v>
      </x:c>
      <x:c r="L3022" s="185" t="str">
        <x:v>Não classificado</x:v>
      </x:c>
    </x:row>
    <x:row r="3023">
      <x:c r="A3023" s="175" t="str">
        <x:v>59.172.572/0001-09</x:v>
      </x:c>
      <x:c r="B3023" s="166" t="str">
        <x:v>CASAS BAHIA CDC FUNDO DE INVESTIMENTO EM DIREITOS CREDITÓRIOS LP RESPONSABILIDADE LIMITADA</x:v>
      </x:c>
      <x:c r="C3023" s="188" t="n">
        <x:v>1042834.88</x:v>
      </x:c>
      <x:c r="D3023" s="166" t="str">
        <x:v>RedAsset Gestão de Recursos Ltda.</x:v>
      </x:c>
      <x:c r="E3023" s="166" t="str">
        <x:f>IFERROR(INDEX('Classif Gestoras'!$H$6:$H$462,MATCH(D3023,'Classif Gestoras'!$A$6:$A$462,0)),"Não classificada")</x:f>
        <x:v>Independente</x:v>
      </x:c>
      <x:c r="F3023" s="166" t="str">
        <x:v>Finaxis Corretora de Títulos e Valores Mobiliários S.A.</x:v>
      </x:c>
      <x:c r="G3023" s="166" t="str">
        <x:v>BANCO FINAXIS S.A.</x:v>
      </x:c>
      <x:c r="H3023" s="166" t="str">
        <x:v>Outros</x:v>
      </x:c>
      <x:c r="I3023" s="166" t="str">
        <x:v>Multicarteira Outros</x:v>
      </x:c>
      <x:c r="J3023" s="166" t="str">
        <x:v>CI</x:v>
      </x:c>
      <x:c r="K3023" s="172" t="n">
        <x:v>1</x:v>
      </x:c>
      <x:c r="L3023" s="185" t="str">
        <x:v>Não classificado</x:v>
      </x:c>
    </x:row>
    <x:row r="3024">
      <x:c r="A3024" s="175" t="str">
        <x:v>63.103.274/0001-26</x:v>
      </x:c>
      <x:c r="B3024" s="166" t="str">
        <x:v>TAX AGRO CASH FUNDO DE INVESTIMENTO EM DIREITOS CREDITÓRIOS</x:v>
      </x:c>
      <x:c r="C3024" s="188" t="n">
        <x:v>1039942.88</x:v>
      </x:c>
      <x:c r="D3024" s="166" t="str">
        <x:v>OKEAN INVEST</x:v>
      </x:c>
      <x:c r="E3024" s="166" t="str">
        <x:f>IFERROR(INDEX('Classif Gestoras'!$H$6:$H$462,MATCH(D3024,'Classif Gestoras'!$A$6:$A$462,0)),"Não classificada")</x:f>
        <x:v>Independente</x:v>
      </x:c>
      <x:c r="F3024" s="166" t="str">
        <x:v>Finvest Digital</x:v>
      </x:c>
      <x:c r="G3024" s="166" t="str">
        <x:v>FINVEST DISTRIBUIDORA DE TÍTULOS E VALORES MOBILIÁRIOS LTDA.</x:v>
      </x:c>
      <x:c r="H3024" s="166" t="str">
        <x:v>Outros</x:v>
      </x:c>
      <x:c r="I3024" s="166" t="str">
        <x:v>Multicarteira Outros</x:v>
      </x:c>
      <x:c r="J3024" s="166" t="str">
        <x:v>CI</x:v>
      </x:c>
      <x:c r="K3024" s="172" t="n">
        <x:v>2</x:v>
      </x:c>
      <x:c r="L3024" s="185" t="str">
        <x:v>Não classificado</x:v>
      </x:c>
    </x:row>
    <x:row r="3025">
      <x:c r="A3025" s="175" t="str">
        <x:v>29.284.795/0001-99</x:v>
      </x:c>
      <x:c r="B3025" s="166" t="str">
        <x:v>CANAVIEIRAS - FUNDO DE INVESTIMENTO EM DIREITOS CREDITÓRIOS NÃO-PADRONIZADOS - FIDC NP</x:v>
      </x:c>
      <x:c r="C3025" s="188" t="n">
        <x:v>1030338.1</x:v>
      </x:c>
      <x:c r="D3025" s="166" t="str">
        <x:v>Alameda Gestora de Investimentos Ltda</x:v>
      </x:c>
      <x:c r="E3025" s="166" t="str">
        <x:f>IFERROR(INDEX('Classif Gestoras'!$H$6:$H$462,MATCH(D3025,'Classif Gestoras'!$A$6:$A$462,0)),"Não classificada")</x:f>
        <x:v>Independente</x:v>
      </x:c>
      <x:c r="F3025" s="166" t="str">
        <x:v>Qore DTVM</x:v>
      </x:c>
      <x:c r="G3025" s="166" t="str">
        <x:v>QORE DISTRIBUIDORA DE TÍTULOS E VALORES MOBILIÁRIOS LTDA.</x:v>
      </x:c>
      <x:c r="H3025" s="166" t="str">
        <x:v>Outros</x:v>
      </x:c>
      <x:c r="I3025" s="166" t="str">
        <x:v>Multicarteira Outros</x:v>
      </x:c>
      <x:c r="J3025" s="166" t="str">
        <x:v>CI</x:v>
      </x:c>
      <x:c r="K3025" s="172" t="n">
        <x:v>1</x:v>
      </x:c>
      <x:c r="L3025" s="185" t="str">
        <x:v>Não classificado</x:v>
      </x:c>
    </x:row>
    <x:row r="3026">
      <x:c r="A3026" s="175" t="str">
        <x:v>63.884.884/0001-04</x:v>
      </x:c>
      <x:c r="B3026" s="166" t="str">
        <x:v>ÍMPAR SEGURALTA FUNDO DE INVESTIMENTO EM DIREITOS CREDITÓRIOS COMISSÕES DE SERVIÇOS</x:v>
      </x:c>
      <x:c r="C3026" s="188" t="n">
        <x:v>1029422.74</x:v>
      </x:c>
      <x:c r="D3026" s="166" t="str">
        <x:v>Gustavo Henrique Fonseca de Oliveira</x:v>
      </x:c>
      <x:c r="E3026" s="166" t="str">
        <x:f>IFERROR(INDEX('Classif Gestoras'!$H$6:$H$462,MATCH(D3026,'Classif Gestoras'!$A$6:$A$462,0)),"Não classificada")</x:f>
        <x:v>Independente</x:v>
      </x:c>
      <x:c r="F3026" s="166" t="str">
        <x:v>LIONS DTVM</x:v>
      </x:c>
      <x:c r="G3026" s="166" t="str">
        <x:v>LIONS TRUST DISTRIBUIDORA DE TÍTULOS E VALORES MOBILIÁRIOS LTDA.</x:v>
      </x:c>
      <x:c r="H3026" s="166" t="str">
        <x:v>Agro, Indústria e Comércio</x:v>
      </x:c>
      <x:c r="I3026" s="166" t="str">
        <x:v>Recebíveis Comerciais</x:v>
      </x:c>
      <x:c r="J3026" s="166" t="str">
        <x:v>CI</x:v>
      </x:c>
      <x:c r="K3026" s="172" t="n">
        <x:v>3</x:v>
      </x:c>
      <x:c r="L3026" s="185" t="str">
        <x:v>Não classificado</x:v>
      </x:c>
    </x:row>
    <x:row r="3027">
      <x:c r="A3027" s="175" t="str">
        <x:v>63.287.717/0001-86</x:v>
      </x:c>
      <x:c r="B3027" s="166" t="str">
        <x:v>BERAKAH FUNDO DE INVESTIMENTO EM DIREITOS CREDITÓRIOS</x:v>
      </x:c>
      <x:c r="C3027" s="188" t="n">
        <x:v>1017099.3</x:v>
      </x:c>
      <x:c r="D3027" s="166" t="str">
        <x:v>Menestys</x:v>
      </x:c>
      <x:c r="E3027" s="166" t="str">
        <x:f>IFERROR(INDEX('Classif Gestoras'!$H$6:$H$462,MATCH(D3027,'Classif Gestoras'!$A$6:$A$462,0)),"Não classificada")</x:f>
        <x:v>Independente</x:v>
      </x:c>
      <x:c r="F3027" s="166" t="str">
        <x:v>FIDD DISTRIBUIDORA DE TITULOS E VALORES MOBILIARIOS LTD</x:v>
      </x:c>
      <x:c r="G3027" s="166" t="str">
        <x:v>FIDD DISTRIBUIDORA DE TITULOS E VALORES MOBILIARIOS LTDA.</x:v>
      </x:c>
      <x:c r="H3027" s="166" t="str">
        <x:v>Agro, Indústria e Comércio</x:v>
      </x:c>
      <x:c r="I3027" s="166" t="str">
        <x:v>Multicarteira Agro, Indústria e Comércio</x:v>
      </x:c>
      <x:c r="J3027" s="166" t="str">
        <x:v>CI</x:v>
      </x:c>
      <x:c r="K3027" s="172" t="n">
        <x:v>3</x:v>
      </x:c>
      <x:c r="L3027" s="185" t="str">
        <x:v>Não classificado</x:v>
      </x:c>
    </x:row>
    <x:row r="3028">
      <x:c r="A3028" s="175" t="str">
        <x:v>47.425.887/0001-23</x:v>
      </x:c>
      <x:c r="B3028" s="166" t="str">
        <x:v>FUNDO DE INVESTIMENTO EM DIREITOS CREDITÓRIOS NEON UP</x:v>
      </x:c>
      <x:c r="C3028" s="188" t="n">
        <x:v>1012167.24</x:v>
      </x:c>
      <x:c r="D3028" s="166" t="str">
        <x:v>VALORA RENDA FIXA LTDA.</x:v>
      </x:c>
      <x:c r="E3028" s="166" t="str">
        <x:f>IFERROR(INDEX('Classif Gestoras'!$H$6:$H$462,MATCH(D3028,'Classif Gestoras'!$A$6:$A$462,0)),"Não classificada")</x:f>
        <x:v>Independente</x:v>
      </x:c>
      <x:c r="F3028" s="166" t="str">
        <x:v>Singulare</x:v>
      </x:c>
      <x:c r="G3028" s="166" t="str">
        <x:v>QI CORRETORA DE TÍTULOS E VALORES MOBILIÁRIOS S.A.</x:v>
      </x:c>
      <x:c r="H3028" s="166" t="str">
        <x:v>Financeiro</x:v>
      </x:c>
      <x:c r="I3028" s="166" t="str">
        <x:v>Crédito Pessoal</x:v>
      </x:c>
      <x:c r="J3028" s="166" t="str">
        <x:v>CI</x:v>
      </x:c>
      <x:c r="K3028" s="172" t="n">
        <x:v>1</x:v>
      </x:c>
      <x:c r="L3028" s="185" t="str">
        <x:v>Não classificado</x:v>
      </x:c>
    </x:row>
    <x:row r="3029">
      <x:c r="A3029" s="175" t="str">
        <x:v>55.159.493/0001-07</x:v>
      </x:c>
      <x:c r="B3029" s="166" t="str">
        <x:v>FUNDO DE INVESTIMENTO EM DIREITOS CREDITORIOS NEW EDAN II</x:v>
      </x:c>
      <x:c r="C3029" s="188" t="n">
        <x:v>1008496.09</x:v>
      </x:c>
      <x:c r="D3029" s="166" t="str">
        <x:v>Redwood Asset Management</x:v>
      </x:c>
      <x:c r="E3029" s="166" t="str">
        <x:f>IFERROR(INDEX('Classif Gestoras'!$H$6:$H$462,MATCH(D3029,'Classif Gestoras'!$A$6:$A$462,0)),"Não classificada")</x:f>
        <x:v>Independente</x:v>
      </x:c>
      <x:c r="F3029" s="166" t="str">
        <x:v>PLANNER CV</x:v>
      </x:c>
      <x:c r="G3029" s="166" t="str">
        <x:v>PLANNER CORRETORA DE VALORES S.A.</x:v>
      </x:c>
      <x:c r="H3029" s="166" t="str">
        <x:v>Outros</x:v>
      </x:c>
      <x:c r="I3029" s="166" t="str">
        <x:v>Multicarteira Outros</x:v>
      </x:c>
      <x:c r="J3029" s="166" t="str">
        <x:v>CI</x:v>
      </x:c>
      <x:c r="K3029" s="172" t="n">
        <x:v>1</x:v>
      </x:c>
      <x:c r="L3029" s="185" t="str">
        <x:v>Não classificado</x:v>
      </x:c>
    </x:row>
    <x:row r="3030">
      <x:c r="A3030" s="175" t="str">
        <x:v>52.714.676/0001-40</x:v>
      </x:c>
      <x:c r="B3030" s="166" t="str">
        <x:v>PROUST FUNDO DE INVESTIMENTO EM DIREITOS CREDITÓRIOS</x:v>
      </x:c>
      <x:c r="C3030" s="188" t="n">
        <x:v>1002900.21</x:v>
      </x:c>
      <x:c r="D3030" s="166" t="str">
        <x:v>Geribá Investimentos Ltda.</x:v>
      </x:c>
      <x:c r="E3030" s="166" t="str">
        <x:f>IFERROR(INDEX('Classif Gestoras'!$H$6:$H$462,MATCH(D3030,'Classif Gestoras'!$A$6:$A$462,0)),"Não classificada")</x:f>
        <x:v>Independente</x:v>
      </x:c>
      <x:c r="F3030" s="166" t="str">
        <x:v>Singulare</x:v>
      </x:c>
      <x:c r="G3030" s="166" t="str">
        <x:v>QI CORRETORA DE TÍTULOS E VALORES MOBILIÁRIOS S.A.</x:v>
      </x:c>
      <x:c r="H3030" s="166" t="str">
        <x:v>Outros</x:v>
      </x:c>
      <x:c r="I3030" s="166" t="str">
        <x:v>Multicarteira Outros</x:v>
      </x:c>
      <x:c r="J3030" s="166" t="str">
        <x:v>CI</x:v>
      </x:c>
      <x:c r="K3030" s="172" t="n">
        <x:v>1</x:v>
      </x:c>
      <x:c r="L3030" s="185" t="str">
        <x:v>Não classificado</x:v>
      </x:c>
    </x:row>
    <x:row r="3031">
      <x:c r="A3031" s="175" t="str">
        <x:v>17.206.614/0001-27</x:v>
      </x:c>
      <x:c r="B3031" s="166" t="str">
        <x:v>CNPJ 17206614000127</x:v>
      </x:c>
      <x:c r="C3031" s="188" t="n">
        <x:v>1002421.99</x:v>
      </x:c>
      <x:c r="D3031" s="166" t="str">
        <x:v>Emerald Gestão de Investimento</x:v>
      </x:c>
      <x:c r="E3031" s="166" t="str">
        <x:f>IFERROR(INDEX('Classif Gestoras'!$H$6:$H$462,MATCH(D3031,'Classif Gestoras'!$A$6:$A$462,0)),"Não classificada")</x:f>
        <x:v>Independente</x:v>
      </x:c>
      <x:c r="F3031" s="166" t="str">
        <x:v>BANCO J. SAFRA S/A</x:v>
      </x:c>
      <x:c r="G3031" s="166" t="str">
        <x:v>Não identificado</x:v>
      </x:c>
      <x:c r="H3031" s="166" t="str">
        <x:v>Outros</x:v>
      </x:c>
      <x:c r="I3031" s="166" t="str">
        <x:v>Poder Público</x:v>
      </x:c>
      <x:c r="J3031" s="166" t="str">
        <x:v>CI</x:v>
      </x:c>
      <x:c r="K3031" s="172"/>
      <x:c r="L3031" s="185" t="str">
        <x:v>Não classificado</x:v>
      </x:c>
    </x:row>
    <x:row r="3032">
      <x:c r="A3032" s="175" t="str">
        <x:v>41.282.794/0001-00</x:v>
      </x:c>
      <x:c r="B3032" s="166" t="str">
        <x:v>FRONTEIRA HIGH YIELD FUNDO DE INVESTIMENTO EM DIREITOS CREDITÓRIOS DE RESPONSABILIDADE LIMITADA</x:v>
      </x:c>
      <x:c r="C3032" s="188" t="n">
        <x:v>1000663.07</x:v>
      </x:c>
      <x:c r="D3032" s="166" t="str">
        <x:v>Fronteira Invest</x:v>
      </x:c>
      <x:c r="E3032" s="166" t="str">
        <x:f>IFERROR(INDEX('Classif Gestoras'!$H$6:$H$462,MATCH(D3032,'Classif Gestoras'!$A$6:$A$462,0)),"Não classificada")</x:f>
        <x:v>Independente</x:v>
      </x:c>
      <x:c r="F3032" s="166" t="str">
        <x:v>BANCO DAYCOVAL S/A</x:v>
      </x:c>
      <x:c r="G3032" s="166" t="str">
        <x:v>BANCO DAYCOVAL S.A.</x:v>
      </x:c>
      <x:c r="H3032" s="166" t="str">
        <x:v>Outros</x:v>
      </x:c>
      <x:c r="I3032" s="166" t="str">
        <x:v>Multicarteira Outros</x:v>
      </x:c>
      <x:c r="J3032" s="166" t="str">
        <x:v>CI</x:v>
      </x:c>
      <x:c r="K3032" s="172" t="n">
        <x:v>1</x:v>
      </x:c>
      <x:c r="L3032" s="185" t="str">
        <x:v>Não classificado</x:v>
      </x:c>
    </x:row>
    <x:row r="3033">
      <x:c r="A3033" s="175" t="str">
        <x:v>30.283.991/0001-28</x:v>
      </x:c>
      <x:c r="B3033" s="166" t="str">
        <x:v>ZEUS FUNDO DE INVESTIMENTO EM DIREITOS CREDITÓRIOS NÃO PADRONIZADOS</x:v>
      </x:c>
      <x:c r="C3033" s="188" t="n">
        <x:v>995837.54</x:v>
      </x:c>
      <x:c r="D3033" s="166" t="str">
        <x:v>G5 Adm. de Recursos</x:v>
      </x:c>
      <x:c r="E3033" s="166" t="str">
        <x:f>IFERROR(INDEX('Classif Gestoras'!$H$6:$H$462,MATCH(D3033,'Classif Gestoras'!$A$6:$A$462,0)),"Não classificada")</x:f>
        <x:v>Independente</x:v>
      </x:c>
      <x:c r="F3033" s="166" t="str">
        <x:v>Singulare</x:v>
      </x:c>
      <x:c r="G3033" s="166" t="str">
        <x:v>QI CORRETORA DE TÍTULOS E VALORES MOBILIÁRIOS S.A.</x:v>
      </x:c>
      <x:c r="H3033" s="166" t="str">
        <x:v>Outros</x:v>
      </x:c>
      <x:c r="I3033" s="166" t="str">
        <x:v>Multicarteira Outros</x:v>
      </x:c>
      <x:c r="J3033" s="166" t="str">
        <x:v>CI</x:v>
      </x:c>
      <x:c r="K3033" s="172" t="n">
        <x:v>1</x:v>
      </x:c>
      <x:c r="L3033" s="185" t="str">
        <x:v>Não classificado</x:v>
      </x:c>
    </x:row>
    <x:row r="3034">
      <x:c r="A3034" s="175" t="str">
        <x:v>64.097.712/0001-53</x:v>
      </x:c>
      <x:c r="B3034" s="166" t="str">
        <x:v>CUSTOM CREDIT FUNDO DE INVESTIMENTO EM DIREITOS CREDITÓRIOS - RESPONSABILIDADE LIMITADA</x:v>
      </x:c>
      <x:c r="C3034" s="188" t="n">
        <x:v>989616.21</x:v>
      </x:c>
      <x:c r="D3034" s="166" t="str">
        <x:v>BLUEWAVE ASSET LTDA</x:v>
      </x:c>
      <x:c r="E3034" s="166" t="str">
        <x:f>IFERROR(INDEX('Classif Gestoras'!$H$6:$H$462,MATCH(D3034,'Classif Gestoras'!$A$6:$A$462,0)),"Não classificada")</x:f>
        <x:v>Independente</x:v>
      </x:c>
      <x:c r="F3034" s="166" t="str">
        <x:v>MONETAR DISTRIBUIDORA DE TITUL</x:v>
      </x:c>
      <x:c r="G3034" s="166" t="str">
        <x:v>TERRA INVESTIMENTOS DISTRIBUIDORA DE TITULOS E VALORES MOBILIARIOS LTDA</x:v>
      </x:c>
      <x:c r="H3034" s="166" t="str">
        <x:v>Outros</x:v>
      </x:c>
      <x:c r="I3034" s="166" t="str">
        <x:v>Multicarteira Outros</x:v>
      </x:c>
      <x:c r="J3034" s="166" t="str">
        <x:v>CI</x:v>
      </x:c>
      <x:c r="K3034" s="172" t="n">
        <x:v>4</x:v>
      </x:c>
      <x:c r="L3034" s="185" t="str">
        <x:v>Não classificado</x:v>
      </x:c>
    </x:row>
    <x:row r="3035">
      <x:c r="A3035" s="175" t="str">
        <x:v>64.126.192/0001-60</x:v>
      </x:c>
      <x:c r="B3035" s="166" t="str">
        <x:v>ALPHA PRO FUNDO DE INVESTIMENTO EM DIREITOS CREDITÓRIOS</x:v>
      </x:c>
      <x:c r="C3035" s="188" t="n">
        <x:v>969292.73</x:v>
      </x:c>
      <x:c r="D3035" s="166" t="str">
        <x:v>OKEAN INVEST</x:v>
      </x:c>
      <x:c r="E3035" s="166" t="str">
        <x:f>IFERROR(INDEX('Classif Gestoras'!$H$6:$H$462,MATCH(D3035,'Classif Gestoras'!$A$6:$A$462,0)),"Não classificada")</x:f>
        <x:v>Independente</x:v>
      </x:c>
      <x:c r="F3035" s="166" t="str">
        <x:v>Finvest Digital</x:v>
      </x:c>
      <x:c r="G3035" s="166" t="str">
        <x:v>FINVEST DISTRIBUIDORA DE TÍTULOS E VALORES MOBILIÁRIOS LTDA.</x:v>
      </x:c>
      <x:c r="H3035" s="166" t="str">
        <x:v>Outros</x:v>
      </x:c>
      <x:c r="I3035" s="166" t="str">
        <x:v>Multicarteira Outros</x:v>
      </x:c>
      <x:c r="J3035" s="166" t="str">
        <x:v>CI</x:v>
      </x:c>
      <x:c r="K3035" s="172" t="n">
        <x:v>5</x:v>
      </x:c>
      <x:c r="L3035" s="185" t="str">
        <x:v>Não classificado</x:v>
      </x:c>
    </x:row>
    <x:row r="3036">
      <x:c r="A3036" s="175" t="str">
        <x:v>64.809.660/0001-09</x:v>
      </x:c>
      <x:c r="B3036" s="166" t="str">
        <x:v>CRÉDITOS COLATERALIZADOS I FIDC DE CLASSE ÚNICA FECHADA DE RESPONSABILIDADE LIMITADA</x:v>
      </x:c>
      <x:c r="C3036" s="188" t="n">
        <x:v>949024.67</x:v>
      </x:c>
      <x:c r="D3036" s="166" t="str">
        <x:v>CARMEL GESTORA DE ATIVOS LTDA</x:v>
      </x:c>
      <x:c r="E3036" s="166" t="str">
        <x:f>IFERROR(INDEX('Classif Gestoras'!$H$6:$H$462,MATCH(D3036,'Classif Gestoras'!$A$6:$A$462,0)),"Não classificada")</x:f>
        <x:v>Independente</x:v>
      </x:c>
      <x:c r="F3036" s="166" t="str">
        <x:v>BRL TRUST DTVM</x:v>
      </x:c>
      <x:c r="G3036" s="166" t="str">
        <x:v>BRL TRUST DISTRIBUIDORA DE TITULOS E VALORES MOBILIARIOS S.A.</x:v>
      </x:c>
      <x:c r="H3036" s="166" t="str">
        <x:v>Financeiro</x:v>
      </x:c>
      <x:c r="I3036" s="166" t="str">
        <x:v>Crédito Pessoal</x:v>
      </x:c>
      <x:c r="J3036" s="166" t="str">
        <x:v>CI</x:v>
      </x:c>
      <x:c r="K3036" s="172" t="n">
        <x:v>1</x:v>
      </x:c>
      <x:c r="L3036" s="185" t="str">
        <x:v>Não classificado</x:v>
      </x:c>
    </x:row>
    <x:row r="3037">
      <x:c r="A3037" s="175" t="str">
        <x:v>57.937.985/0001-01</x:v>
      </x:c>
      <x:c r="B3037" s="166" t="str">
        <x:v>MOSAICO MULTICONSIGNADO I FUNDO DE INVESTIMENTO EM DIREITOS CREDITÓRIOS FINANCEIROS DE RESP LIMITADA</x:v>
      </x:c>
      <x:c r="C3037" s="188" t="n">
        <x:v>932728.23</x:v>
      </x:c>
      <x:c r="D3037" s="166" t="str">
        <x:v>Mosaico Gestora de Recursos Ltda.</x:v>
      </x:c>
      <x:c r="E3037" s="166" t="str">
        <x:f>IFERROR(INDEX('Classif Gestoras'!$H$6:$H$462,MATCH(D3037,'Classif Gestoras'!$A$6:$A$462,0)),"Não classificada")</x:f>
        <x:v>Independente</x:v>
      </x:c>
      <x:c r="F3037" s="166" t="str">
        <x:v>BANCO DAYCOVAL S/A</x:v>
      </x:c>
      <x:c r="G3037" s="166" t="str">
        <x:v>BANCO DAYCOVAL S.A.</x:v>
      </x:c>
      <x:c r="H3037" s="166" t="str">
        <x:v>Financeiro</x:v>
      </x:c>
      <x:c r="I3037" s="166" t="str">
        <x:v>Crédito Consignado</x:v>
      </x:c>
      <x:c r="J3037" s="166" t="str">
        <x:v>CI</x:v>
      </x:c>
      <x:c r="K3037" s="172" t="n">
        <x:v>3</x:v>
      </x:c>
      <x:c r="L3037" s="185" t="str">
        <x:v>Não classificado</x:v>
      </x:c>
    </x:row>
    <x:row r="3038">
      <x:c r="A3038" s="175" t="str">
        <x:v>62.475.218/0001-50</x:v>
      </x:c>
      <x:c r="B3038" s="166" t="str">
        <x:v>FIG NOBILE FUNDO DE INVESTIMENTO EM DIREITOS CREDITÓRIOS DE RESPONSABILIDADE LIMITADA</x:v>
      </x:c>
      <x:c r="C3038" s="188" t="n">
        <x:v>929899.02</x:v>
      </x:c>
      <x:c r="D3038" s="166" t="str">
        <x:v>Catálise Investimentos</x:v>
      </x:c>
      <x:c r="E3038" s="166" t="str">
        <x:f>IFERROR(INDEX('Classif Gestoras'!$H$6:$H$462,MATCH(D3038,'Classif Gestoras'!$A$6:$A$462,0)),"Não classificada")</x:f>
        <x:v>Independente</x:v>
      </x:c>
      <x:c r="F3038" s="166" t="str">
        <x:v>CATÁLISE DTVM</x:v>
      </x:c>
      <x:c r="G3038" s="166" t="str">
        <x:v>BANCO DAYCOVAL S.A.</x:v>
      </x:c>
      <x:c r="H3038" s="166" t="str">
        <x:v>Financeiro</x:v>
      </x:c>
      <x:c r="I3038" s="166" t="str">
        <x:v>Multicarteira Financeiro</x:v>
      </x:c>
      <x:c r="J3038" s="166" t="str">
        <x:v>CI</x:v>
      </x:c>
      <x:c r="K3038" s="172" t="n">
        <x:v>1</x:v>
      </x:c>
      <x:c r="L3038" s="185" t="str">
        <x:v>Não classificado</x:v>
      </x:c>
    </x:row>
    <x:row r="3039">
      <x:c r="A3039" s="175" t="str">
        <x:v>31.368.812/0001-18</x:v>
      </x:c>
      <x:c r="B3039" s="166" t="str">
        <x:v>FUNDO DE INVESTIMENTO EM DIREITOS CREDITÓRIOS BIZCAPITAL EMPÍRICA PME RESPONSABILIDADE LIMITADA</x:v>
      </x:c>
      <x:c r="C3039" s="188" t="n">
        <x:v>924812.6899999998</x:v>
      </x:c>
      <x:c r="D3039" s="166" t="str">
        <x:v>REAG GESTÃO DE CRÉDITO</x:v>
      </x:c>
      <x:c r="E3039" s="166" t="str">
        <x:f>IFERROR(INDEX('Classif Gestoras'!$H$6:$H$462,MATCH(D3039,'Classif Gestoras'!$A$6:$A$462,0)),"Não classificada")</x:f>
        <x:v>Independente</x:v>
      </x:c>
      <x:c r="F3039" s="166" t="str">
        <x:v>BRL TRUST DTVM</x:v>
      </x:c>
      <x:c r="G3039" s="166" t="str">
        <x:v>BRL TRUST DISTRIBUIDORA DE TITULOS E VALORES MOBILIARIOS S.A.</x:v>
      </x:c>
      <x:c r="H3039" s="166" t="str">
        <x:v>Agro, Indústria e Comércio</x:v>
      </x:c>
      <x:c r="I3039" s="166" t="str">
        <x:v>Crédito Corporativo</x:v>
      </x:c>
      <x:c r="J3039" s="166" t="str">
        <x:v>CI</x:v>
      </x:c>
      <x:c r="K3039" s="172" t="n">
        <x:v>11</x:v>
      </x:c>
      <x:c r="L3039" s="185" t="str">
        <x:v>Não classificado</x:v>
      </x:c>
    </x:row>
    <x:row r="3040">
      <x:c r="A3040" s="175" t="str">
        <x:v>60.757.582/0001-87</x:v>
      </x:c>
      <x:c r="B3040" s="166" t="str">
        <x:v>NOVO OLHAR FUNDO DE INVESTIMENTO EM DIREITOS CREDITÓRIOS RESPONSABILIDADE LIMITADA</x:v>
      </x:c>
      <x:c r="C3040" s="188" t="n">
        <x:v>914215.93</x:v>
      </x:c>
      <x:c r="D3040" s="166" t="str">
        <x:v>Multiplica Capital</x:v>
      </x:c>
      <x:c r="E3040" s="166" t="str">
        <x:f>IFERROR(INDEX('Classif Gestoras'!$H$6:$H$462,MATCH(D3040,'Classif Gestoras'!$A$6:$A$462,0)),"Não classificada")</x:f>
        <x:v>Independente</x:v>
      </x:c>
      <x:c r="F3040" s="166" t="str">
        <x:v>Singulare</x:v>
      </x:c>
      <x:c r="G3040" s="166" t="str">
        <x:v>QI CORRETORA DE TÍTULOS E VALORES MOBILIÁRIOS S.A.</x:v>
      </x:c>
      <x:c r="H3040" s="166" t="str">
        <x:v>Fomento Mercantil</x:v>
      </x:c>
      <x:c r="I3040" s="166" t="str">
        <x:v>Fomento Mercantil</x:v>
      </x:c>
      <x:c r="J3040" s="166" t="str">
        <x:v>CI</x:v>
      </x:c>
      <x:c r="K3040" s="172" t="n">
        <x:v>1</x:v>
      </x:c>
      <x:c r="L3040" s="185" t="str">
        <x:v>Não classificado</x:v>
      </x:c>
    </x:row>
    <x:row r="3041">
      <x:c r="A3041" s="175" t="str">
        <x:v>45.899.588/0001-03</x:v>
      </x:c>
      <x:c r="B3041" s="166" t="str">
        <x:v>FIDÚCIA FUNDO DE INVESTIMENTO EM DIREITOS CREDITÓRIOS - NÃO PADRONIZADOS</x:v>
      </x:c>
      <x:c r="C3041" s="188" t="n">
        <x:v>881222.93</x:v>
      </x:c>
      <x:c r="D3041" s="166" t="str">
        <x:v>GESTORA DE RECURSOS ID - GRID LTDA.</x:v>
      </x:c>
      <x:c r="E3041" s="166" t="str">
        <x:f>IFERROR(INDEX('Classif Gestoras'!$H$6:$H$462,MATCH(D3041,'Classif Gestoras'!$A$6:$A$462,0)),"Não classificada")</x:f>
        <x:v>Independente</x:v>
      </x:c>
      <x:c r="F3041" s="166" t="str">
        <x:v>ID Corretora de Títulos e Valores Mobiliários S.A.</x:v>
      </x:c>
      <x:c r="G3041" s="166" t="str">
        <x:v>ID CORRETORA DE TITULOS E VALORES MOBILIARIOS S.A.</x:v>
      </x:c>
      <x:c r="H3041" s="166" t="str">
        <x:v>Financeiro</x:v>
      </x:c>
      <x:c r="I3041" s="166" t="str">
        <x:v>Multicarteira Financeiro</x:v>
      </x:c>
      <x:c r="J3041" s="166" t="str">
        <x:v>CI</x:v>
      </x:c>
      <x:c r="K3041" s="172" t="n">
        <x:v>8</x:v>
      </x:c>
      <x:c r="L3041" s="185" t="str">
        <x:v>Não classificado</x:v>
      </x:c>
    </x:row>
    <x:row r="3042">
      <x:c r="A3042" s="175" t="str">
        <x:v>46.405.748/0001-75</x:v>
      </x:c>
      <x:c r="B3042" s="166" t="str">
        <x:v>CARBON CORP FUNDO DE INVESTIMENTO EM DIREITOS CREDITÓRIOS DE RESPONSABILIDADE LIMITADA</x:v>
      </x:c>
      <x:c r="C3042" s="188" t="n">
        <x:v>880771.6299999999</x:v>
      </x:c>
      <x:c r="D3042" s="166" t="str">
        <x:v>POLÍGONO CAPITAL LTDA.</x:v>
      </x:c>
      <x:c r="E3042" s="166" t="str">
        <x:f>IFERROR(INDEX('Classif Gestoras'!$H$6:$H$462,MATCH(D3042,'Classif Gestoras'!$A$6:$A$462,0)),"Não classificada")</x:f>
        <x:v>Independente</x:v>
      </x:c>
      <x:c r="F3042" s="166" t="str">
        <x:v>BANCO DAYCOVAL S/A</x:v>
      </x:c>
      <x:c r="G3042" s="166" t="str">
        <x:v>BANCO DAYCOVAL S.A.</x:v>
      </x:c>
      <x:c r="H3042" s="166" t="str">
        <x:v>Fomento Mercantil</x:v>
      </x:c>
      <x:c r="I3042" s="166" t="str">
        <x:v>Fomento Mercantil</x:v>
      </x:c>
      <x:c r="J3042" s="166" t="str">
        <x:v>CI</x:v>
      </x:c>
      <x:c r="K3042" s="172" t="n">
        <x:v>2</x:v>
      </x:c>
      <x:c r="L3042" s="185" t="str">
        <x:v>Não classificado</x:v>
      </x:c>
    </x:row>
    <x:row r="3043">
      <x:c r="A3043" s="175" t="str">
        <x:v>55.102.194/0001-28</x:v>
      </x:c>
      <x:c r="B3043" s="166" t="str">
        <x:v>NEW ERA FUNDO DE INVESTIMENTO EM DIREITOS CREDITÓRIOS</x:v>
      </x:c>
      <x:c r="C3043" s="188" t="n">
        <x:v>861150.75</x:v>
      </x:c>
      <x:c r="D3043" s="166" t="str">
        <x:v>Fortis Gestora de Recursos LTDA</x:v>
      </x:c>
      <x:c r="E3043" s="166" t="str">
        <x:f>IFERROR(INDEX('Classif Gestoras'!$H$6:$H$462,MATCH(D3043,'Classif Gestoras'!$A$6:$A$462,0)),"Não classificada")</x:f>
        <x:v>Independente</x:v>
      </x:c>
      <x:c r="F3043" s="166" t="str">
        <x:v>ACTUAL DTVM</x:v>
      </x:c>
      <x:c r="G3043" s="166" t="str">
        <x:v>TRUSTEE DISTRIBUIDORA DE TITULOS E VALORES MOBILIARIOS LTDA.</x:v>
      </x:c>
      <x:c r="H3043" s="166" t="str">
        <x:v>Outros</x:v>
      </x:c>
      <x:c r="I3043" s="166" t="str">
        <x:v>Multicarteira Outros</x:v>
      </x:c>
      <x:c r="J3043" s="166" t="str">
        <x:v>CI</x:v>
      </x:c>
      <x:c r="K3043" s="172" t="n">
        <x:v>2</x:v>
      </x:c>
      <x:c r="L3043" s="185" t="str">
        <x:v>Não classificado</x:v>
      </x:c>
    </x:row>
    <x:row r="3044">
      <x:c r="A3044" s="175" t="str">
        <x:v>08.093.745/0001-54</x:v>
      </x:c>
      <x:c r="B3044" s="166" t="str">
        <x:v>V1 FUNDO DE INVESTIMENTO EM DIREITOS CREDITÓRIOS - MULTICARTEIRA</x:v>
      </x:c>
      <x:c r="C3044" s="188" t="n">
        <x:v>841183.1199999999</x:v>
      </x:c>
      <x:c r="D3044" s="166" t="str">
        <x:v>Vision Brazil</x:v>
      </x:c>
      <x:c r="E3044" s="166" t="str">
        <x:f>IFERROR(INDEX('Classif Gestoras'!$H$6:$H$462,MATCH(D3044,'Classif Gestoras'!$A$6:$A$462,0)),"Não classificada")</x:f>
        <x:v>Independente</x:v>
      </x:c>
      <x:c r="F3044" s="166" t="str">
        <x:v>Singulare</x:v>
      </x:c>
      <x:c r="G3044" s="166" t="str">
        <x:v>QI CORRETORA DE TÍTULOS E VALORES MOBILIÁRIOS S.A.</x:v>
      </x:c>
      <x:c r="H3044" s="166" t="str">
        <x:v>Outros</x:v>
      </x:c>
      <x:c r="I3044" s="166" t="str">
        <x:v>Multicarteira Outros</x:v>
      </x:c>
      <x:c r="J3044" s="166" t="str">
        <x:v>CI</x:v>
      </x:c>
      <x:c r="K3044" s="172" t="n">
        <x:v>2</x:v>
      </x:c>
      <x:c r="L3044" s="185" t="str">
        <x:v>Não classificado</x:v>
      </x:c>
    </x:row>
    <x:row r="3045">
      <x:c r="A3045" s="175" t="str">
        <x:v>63.025.180/0001-86</x:v>
      </x:c>
      <x:c r="B3045" s="166" t="str">
        <x:v>CLASSE A DO BLOXS FUNDO DE INVESTIMENTO EM DIREITOS CREDITÓRIOS - MULTICLASSE</x:v>
      </x:c>
      <x:c r="C3045" s="188" t="n">
        <x:v>835072.15</x:v>
      </x:c>
      <x:c r="D3045" s="166" t="str">
        <x:v>Bloxs Asset</x:v>
      </x:c>
      <x:c r="E3045" s="166" t="str">
        <x:f>IFERROR(INDEX('Classif Gestoras'!$H$6:$H$462,MATCH(D3045,'Classif Gestoras'!$A$6:$A$462,0)),"Não classificada")</x:f>
        <x:v>Independente</x:v>
      </x:c>
      <x:c r="F3045" s="166" t="str">
        <x:v>MONETAR DISTRIBUIDORA DE TITUL</x:v>
      </x:c>
      <x:c r="G3045" s="166" t="str">
        <x:v>TERRA INVESTIMENTOS DISTRIBUIDORA DE TITULOS E VALORES MOBILIARIOS LTDA</x:v>
      </x:c>
      <x:c r="H3045" s="166" t="str">
        <x:v>Outros</x:v>
      </x:c>
      <x:c r="I3045" s="166" t="str">
        <x:v>Multicarteira Outros</x:v>
      </x:c>
      <x:c r="J3045" s="166" t="str">
        <x:v>CI</x:v>
      </x:c>
      <x:c r="K3045" s="172" t="n">
        <x:v>1</x:v>
      </x:c>
      <x:c r="L3045" s="185" t="str">
        <x:v>Não classificado</x:v>
      </x:c>
    </x:row>
    <x:row r="3046">
      <x:c r="A3046" s="175" t="str">
        <x:v>50.908.218/0001-17</x:v>
      </x:c>
      <x:c r="B3046" s="166" t="str">
        <x:v>CF PRIME FUNDO DE INVESTIMENTO EM DIREITOS CREDITÓRIOS</x:v>
      </x:c>
      <x:c r="C3046" s="188" t="n">
        <x:v>835032.62</x:v>
      </x:c>
      <x:c r="D3046" s="166" t="str">
        <x:v>Fortis Gestora de Recursos LTDA</x:v>
      </x:c>
      <x:c r="E3046" s="166" t="str">
        <x:f>IFERROR(INDEX('Classif Gestoras'!$H$6:$H$462,MATCH(D3046,'Classif Gestoras'!$A$6:$A$462,0)),"Não classificada")</x:f>
        <x:v>Independente</x:v>
      </x:c>
      <x:c r="F3046" s="166" t="str">
        <x:v>PLANNER CV</x:v>
      </x:c>
      <x:c r="G3046" s="166" t="str">
        <x:v>PLANNER CORRETORA DE VALORES S.A.</x:v>
      </x:c>
      <x:c r="H3046" s="166" t="str">
        <x:v>Outros</x:v>
      </x:c>
      <x:c r="I3046" s="166" t="str">
        <x:v>Multicarteira Outros</x:v>
      </x:c>
      <x:c r="J3046" s="166" t="str">
        <x:v>CI</x:v>
      </x:c>
      <x:c r="K3046" s="172" t="n">
        <x:v>1</x:v>
      </x:c>
      <x:c r="L3046" s="185" t="str">
        <x:v>Não classificado</x:v>
      </x:c>
    </x:row>
    <x:row r="3047">
      <x:c r="A3047" s="175" t="str">
        <x:v>11.989.256/0001-90</x:v>
      </x:c>
      <x:c r="B3047" s="166" t="str">
        <x:v>FIDC MULTISETORIAL MASTER II</x:v>
      </x:c>
      <x:c r="C3047" s="188" t="n">
        <x:v>807849.01</x:v>
      </x:c>
      <x:c r="D3047" s="166" t="str">
        <x:v>GENIAL GESTÃO LTDA.</x:v>
      </x:c>
      <x:c r="E3047" s="166" t="str">
        <x:f>IFERROR(INDEX('Classif Gestoras'!$H$6:$H$462,MATCH(D3047,'Classif Gestoras'!$A$6:$A$462,0)),"Não classificada")</x:f>
        <x:v>Ligada a banco</x:v>
      </x:c>
      <x:c r="F3047" s="166" t="str">
        <x:v>Genial Investimentos Corretora de Valores Mobiliários S.A.</x:v>
      </x:c>
      <x:c r="G3047" s="166" t="str">
        <x:v>BANCO GENIAL S.A.</x:v>
      </x:c>
      <x:c r="H3047" s="166" t="str">
        <x:v>Agro, Indústria e Comércio</x:v>
      </x:c>
      <x:c r="I3047" s="166" t="str">
        <x:v>Crédito Corporativo</x:v>
      </x:c>
      <x:c r="J3047" s="166" t="str">
        <x:v>CI</x:v>
      </x:c>
      <x:c r="K3047" s="172" t="n">
        <x:v>34</x:v>
      </x:c>
      <x:c r="L3047" s="185" t="str">
        <x:v>Não classificado</x:v>
      </x:c>
    </x:row>
    <x:row r="3048">
      <x:c r="A3048" s="175" t="str">
        <x:v>12.144.737/0001-67</x:v>
      </x:c>
      <x:c r="B3048" s="166" t="str">
        <x:v>CREDIT BRASIL FUNDO DE INVESTIMENTO EM DIREITOS CREDITÓRIOS MULTISSETORIAL MASTER - EM LIQUIDAÇÃO</x:v>
      </x:c>
      <x:c r="C3048" s="188" t="n">
        <x:v>804310.58</x:v>
      </x:c>
      <x:c r="D3048" s="166" t="str">
        <x:v>Petra Capital</x:v>
      </x:c>
      <x:c r="E3048" s="166" t="str">
        <x:f>IFERROR(INDEX('Classif Gestoras'!$H$6:$H$462,MATCH(D3048,'Classif Gestoras'!$A$6:$A$462,0)),"Não classificada")</x:f>
        <x:v>Independente</x:v>
      </x:c>
      <x:c r="F3048" s="166" t="str">
        <x:v>Finaxis Corretora de Títulos e Valores Mobiliários S.A.</x:v>
      </x:c>
      <x:c r="G3048" s="166" t="str">
        <x:v>BANCO FINAXIS S.A.</x:v>
      </x:c>
      <x:c r="H3048" s="166" t="str">
        <x:v>Fomento Mercantil</x:v>
      </x:c>
      <x:c r="I3048" s="166" t="str">
        <x:v>Fomento Mercantil</x:v>
      </x:c>
      <x:c r="J3048" s="166" t="str">
        <x:v>CI</x:v>
      </x:c>
      <x:c r="K3048" s="172" t="n">
        <x:v>59</x:v>
      </x:c>
      <x:c r="L3048" s="185" t="str">
        <x:v>Não classificado</x:v>
      </x:c>
    </x:row>
    <x:row r="3049">
      <x:c r="A3049" s="175" t="str">
        <x:v>53.214.328/0001-77</x:v>
      </x:c>
      <x:c r="B3049" s="166" t="str">
        <x:v>ANFEH-SIRIUS FUNDO DE INVESTIMENTO EM DIREITOS CREDITÓRIOS - RESPONSABILIDADE LIMITADA</x:v>
      </x:c>
      <x:c r="C3049" s="188" t="n">
        <x:v>782738.71</x:v>
      </x:c>
      <x:c r="D3049" s="166" t="str">
        <x:v>BURITI INVESTIMENTOS</x:v>
      </x:c>
      <x:c r="E3049" s="166" t="str">
        <x:f>IFERROR(INDEX('Classif Gestoras'!$H$6:$H$462,MATCH(D3049,'Classif Gestoras'!$A$6:$A$462,0)),"Não classificada")</x:f>
        <x:v>Independente</x:v>
      </x:c>
      <x:c r="F3049" s="166" t="str">
        <x:v>Singulare</x:v>
      </x:c>
      <x:c r="G3049" s="166" t="str">
        <x:v>QI CORRETORA DE TÍTULOS E VALORES MOBILIÁRIOS S.A.</x:v>
      </x:c>
      <x:c r="H3049" s="166" t="str">
        <x:v>Outros</x:v>
      </x:c>
      <x:c r="I3049" s="166" t="str">
        <x:v>Multicarteira Outros</x:v>
      </x:c>
      <x:c r="J3049" s="166" t="str">
        <x:v>CI</x:v>
      </x:c>
      <x:c r="K3049" s="172" t="n">
        <x:v>1</x:v>
      </x:c>
      <x:c r="L3049" s="185" t="str">
        <x:v>Não classificado</x:v>
      </x:c>
    </x:row>
    <x:row r="3050">
      <x:c r="A3050" s="175" t="str">
        <x:v>54.462.450/0001-25</x:v>
      </x:c>
      <x:c r="B3050" s="166" t="str">
        <x:v>BRATISLAVA FUNDO DE INVESTIMENTO EM DIREITOS CREDITÓRIOS</x:v>
      </x:c>
      <x:c r="C3050" s="188" t="n">
        <x:v>778521.7099999998</x:v>
      </x:c>
      <x:c r="D3050" s="166" t="str">
        <x:v>UC Gestora de Recursos</x:v>
      </x:c>
      <x:c r="E3050" s="166" t="str">
        <x:f>IFERROR(INDEX('Classif Gestoras'!$H$6:$H$462,MATCH(D3050,'Classif Gestoras'!$A$6:$A$462,0)),"Não classificada")</x:f>
        <x:v>Independente</x:v>
      </x:c>
      <x:c r="F3050" s="166" t="str">
        <x:v>WNT DTVM</x:v>
      </x:c>
      <x:c r="G3050" s="166" t="str">
        <x:v>Não identificado</x:v>
      </x:c>
      <x:c r="H3050" s="166" t="str">
        <x:v>Financeiro</x:v>
      </x:c>
      <x:c r="I3050" s="166" t="str">
        <x:v>Multicarteira Financeiro</x:v>
      </x:c>
      <x:c r="J3050" s="166" t="str">
        <x:v>CI</x:v>
      </x:c>
      <x:c r="K3050" s="172" t="n">
        <x:v>4</x:v>
      </x:c>
      <x:c r="L3050" s="185" t="str">
        <x:v>Não classificado</x:v>
      </x:c>
    </x:row>
    <x:row r="3051">
      <x:c r="A3051" s="175" t="str">
        <x:v>59.936.269/0001-27</x:v>
      </x:c>
      <x:c r="B3051" s="166" t="str">
        <x:v>ALTIS FUNDO DE INVESTIMENTO EM DIREITOS CREDITÓRIOS RESPONSABILIDADE LIMITADA</x:v>
      </x:c>
      <x:c r="C3051" s="188" t="n">
        <x:v>745363.78</x:v>
      </x:c>
      <x:c r="D3051" s="166" t="str">
        <x:v>Mont Capital Gestão e Administração</x:v>
      </x:c>
      <x:c r="E3051" s="166" t="str">
        <x:f>IFERROR(INDEX('Classif Gestoras'!$H$6:$H$462,MATCH(D3051,'Classif Gestoras'!$A$6:$A$462,0)),"Não classificada")</x:f>
        <x:v>Independente</x:v>
      </x:c>
      <x:c r="F3051" s="166" t="str">
        <x:v>Limine Trust Distribuidora de Titulos e Valores Mobiliá</x:v>
      </x:c>
      <x:c r="G3051" s="166" t="str">
        <x:v>QI CORRETORA DE TÍTULOS E VALORES MOBILIÁRIOS S.A.</x:v>
      </x:c>
      <x:c r="H3051" s="166" t="str">
        <x:v>Fomento Mercantil</x:v>
      </x:c>
      <x:c r="I3051" s="166" t="str">
        <x:v>Fomento Mercantil</x:v>
      </x:c>
      <x:c r="J3051" s="166" t="str">
        <x:v>CI</x:v>
      </x:c>
      <x:c r="K3051" s="172" t="n">
        <x:v>3</x:v>
      </x:c>
      <x:c r="L3051" s="185" t="str">
        <x:v>Não classificado</x:v>
      </x:c>
    </x:row>
    <x:row r="3052">
      <x:c r="A3052" s="175" t="str">
        <x:v>35.844.801/0001-18</x:v>
      </x:c>
      <x:c r="B3052" s="166" t="str">
        <x:v>NF FUNDO DE INVESTIMENTO EM DIREITOS CREDITÓRIOS</x:v>
      </x:c>
      <x:c r="C3052" s="188" t="n">
        <x:v>728600.4899999999</x:v>
      </x:c>
      <x:c r="D3052" s="166" t="str">
        <x:v>Apuama Capital</x:v>
      </x:c>
      <x:c r="E3052" s="166" t="str">
        <x:f>IFERROR(INDEX('Classif Gestoras'!$H$6:$H$462,MATCH(D3052,'Classif Gestoras'!$A$6:$A$462,0)),"Não classificada")</x:f>
        <x:v>Independente</x:v>
      </x:c>
      <x:c r="F3052" s="166" t="str">
        <x:v>TRUSTEE DTVM</x:v>
      </x:c>
      <x:c r="G3052" s="166" t="str">
        <x:v>TRUSTEE DISTRIBUIDORA DE TITULOS E VALORES MOBILIARIOS LTDA.</x:v>
      </x:c>
      <x:c r="H3052" s="166" t="str">
        <x:v>Outros</x:v>
      </x:c>
      <x:c r="I3052" s="166" t="str">
        <x:v>Multicarteira Outros</x:v>
      </x:c>
      <x:c r="J3052" s="166" t="str">
        <x:v>CI</x:v>
      </x:c>
      <x:c r="K3052" s="172" t="n">
        <x:v>3</x:v>
      </x:c>
      <x:c r="L3052" s="185" t="str">
        <x:v>Não classificado</x:v>
      </x:c>
    </x:row>
    <x:row r="3053">
      <x:c r="A3053" s="175" t="str">
        <x:v>63.881.926/0001-53</x:v>
      </x:c>
      <x:c r="B3053" s="166" t="str">
        <x:v>ITAIM DELTA NPL FUNDO DE INVESTIMENTO EM DIREITOS CREDITÓRIOS</x:v>
      </x:c>
      <x:c r="C3053" s="188" t="n">
        <x:v>713383.74</x:v>
      </x:c>
      <x:c r="D3053" s="166" t="str">
        <x:v>QUAESTUS GESTÃO DE INVESTIMENTOS LTDA.</x:v>
      </x:c>
      <x:c r="E3053" s="166" t="str">
        <x:f>IFERROR(INDEX('Classif Gestoras'!$H$6:$H$462,MATCH(D3053,'Classif Gestoras'!$A$6:$A$462,0)),"Não classificada")</x:f>
        <x:v>Independente</x:v>
      </x:c>
      <x:c r="F3053" s="166" t="str">
        <x:v>MONETAR DISTRIBUIDORA DE TITUL</x:v>
      </x:c>
      <x:c r="G3053" s="166" t="str">
        <x:v>TERRA INVESTIMENTOS DISTRIBUIDORA DE TITULOS E VALORES MOBILIARIOS LTDA</x:v>
      </x:c>
      <x:c r="H3053" s="166" t="str">
        <x:v>Fomento Mercantil</x:v>
      </x:c>
      <x:c r="I3053" s="166" t="str">
        <x:v>Fomento Mercantil</x:v>
      </x:c>
      <x:c r="J3053" s="166" t="str">
        <x:v>CI</x:v>
      </x:c>
      <x:c r="K3053" s="172" t="n">
        <x:v>3</x:v>
      </x:c>
      <x:c r="L3053" s="185" t="str">
        <x:v>Não classificado</x:v>
      </x:c>
    </x:row>
    <x:row r="3054">
      <x:c r="A3054" s="175" t="str">
        <x:v>55.554.537/0001-95</x:v>
      </x:c>
      <x:c r="B3054" s="166" t="str">
        <x:v>ITAMARACÁ FUNDO DE INVESTIMENTO EM DIREITOS CREDITÓRIOS RESPONSABILIDADE LIMITADA</x:v>
      </x:c>
      <x:c r="C3054" s="188" t="n">
        <x:v>711485.81</x:v>
      </x:c>
      <x:c r="D3054" s="166" t="str">
        <x:v>Geribá Investimentos Ltda.</x:v>
      </x:c>
      <x:c r="E3054" s="166" t="str">
        <x:f>IFERROR(INDEX('Classif Gestoras'!$H$6:$H$462,MATCH(D3054,'Classif Gestoras'!$A$6:$A$462,0)),"Não classificada")</x:f>
        <x:v>Independente</x:v>
      </x:c>
      <x:c r="F3054" s="166" t="str">
        <x:v>MONETAR DISTRIBUIDORA DE TITUL</x:v>
      </x:c>
      <x:c r="G3054" s="166" t="str">
        <x:v>TERRA INVESTIMENTOS DISTRIBUIDORA DE TITULOS E VALORES MOBILIARIOS LTDA</x:v>
      </x:c>
      <x:c r="H3054" s="166" t="str">
        <x:v>Outros</x:v>
      </x:c>
      <x:c r="I3054" s="166" t="str">
        <x:v>Multicarteira Outros</x:v>
      </x:c>
      <x:c r="J3054" s="166" t="str">
        <x:v>CI</x:v>
      </x:c>
      <x:c r="K3054" s="172" t="n">
        <x:v>13</x:v>
      </x:c>
      <x:c r="L3054" s="185" t="str">
        <x:v>Não classificado</x:v>
      </x:c>
    </x:row>
    <x:row r="3055">
      <x:c r="A3055" s="175" t="str">
        <x:v>16.858.989/0001-09</x:v>
      </x:c>
      <x:c r="B3055" s="166" t="str">
        <x:v>OURO MAX FUNDO DE INVESTIMENTO EM DIREITOS CREDITÓRIOS - RESPONSABILIDADE LIMITADA</x:v>
      </x:c>
      <x:c r="C3055" s="188" t="n">
        <x:v>706104.8099999999</x:v>
      </x:c>
      <x:c r="D3055" s="166" t="str">
        <x:v>OURO PRETO INVESTIMENTOS</x:v>
      </x:c>
      <x:c r="E3055" s="166" t="str">
        <x:f>IFERROR(INDEX('Classif Gestoras'!$H$6:$H$462,MATCH(D3055,'Classif Gestoras'!$A$6:$A$462,0)),"Não classificada")</x:f>
        <x:v>Independente</x:v>
      </x:c>
      <x:c r="F3055" s="166" t="str">
        <x:v>ID Corretora de Títulos e Valores Mobiliários S.A.</x:v>
      </x:c>
      <x:c r="G3055" s="166" t="str">
        <x:v>ID CORRETORA DE TITULOS E VALORES MOBILIARIOS S.A.</x:v>
      </x:c>
      <x:c r="H3055" s="166" t="str">
        <x:v>Outros</x:v>
      </x:c>
      <x:c r="I3055" s="166" t="str">
        <x:v>Poder Público</x:v>
      </x:c>
      <x:c r="J3055" s="166" t="str">
        <x:v>CI</x:v>
      </x:c>
      <x:c r="K3055" s="172" t="n">
        <x:v>0</x:v>
      </x:c>
      <x:c r="L3055" s="185" t="str">
        <x:v>Não classificado</x:v>
      </x:c>
    </x:row>
    <x:row r="3056">
      <x:c r="A3056" s="175" t="str">
        <x:v>61.641.310/0001-80</x:v>
      </x:c>
      <x:c r="B3056" s="166" t="str">
        <x:v>EXEMPLAR FIDC MULTICARTEIRA FINANCEIRO DE RESP LIMITADA</x:v>
      </x:c>
      <x:c r="C3056" s="188" t="n">
        <x:v>705774.68</x:v>
      </x:c>
      <x:c r="D3056" s="166" t="str">
        <x:v>Harbour Capital</x:v>
      </x:c>
      <x:c r="E3056" s="166" t="str">
        <x:f>IFERROR(INDEX('Classif Gestoras'!$H$6:$H$462,MATCH(D3056,'Classif Gestoras'!$A$6:$A$462,0)),"Não classificada")</x:f>
        <x:v>Independente</x:v>
      </x:c>
      <x:c r="F3056" s="166" t="str">
        <x:v>BANCO DAYCOVAL S/A</x:v>
      </x:c>
      <x:c r="G3056" s="166" t="str">
        <x:v>BANCO DAYCOVAL S.A.</x:v>
      </x:c>
      <x:c r="H3056" s="166" t="str">
        <x:v>Outros</x:v>
      </x:c>
      <x:c r="I3056" s="166" t="str">
        <x:v>Multicarteira Outros</x:v>
      </x:c>
      <x:c r="J3056" s="166" t="str">
        <x:v>CI</x:v>
      </x:c>
      <x:c r="K3056" s="172" t="n">
        <x:v>10</x:v>
      </x:c>
      <x:c r="L3056" s="185" t="str">
        <x:v>Não classificado</x:v>
      </x:c>
    </x:row>
    <x:row r="3057">
      <x:c r="A3057" s="175" t="str">
        <x:v>38.284.301/0001-67</x:v>
      </x:c>
      <x:c r="B3057" s="166" t="str">
        <x:v>SAV NEXOOS FUNDO DE INVESTIMENTO EM DIREITOS CREDITÓRIOS</x:v>
      </x:c>
      <x:c r="C3057" s="188" t="n">
        <x:v>659855.8</x:v>
      </x:c>
      <x:c r="D3057" s="166" t="str">
        <x:v>Solis</x:v>
      </x:c>
      <x:c r="E3057" s="166" t="str">
        <x:f>IFERROR(INDEX('Classif Gestoras'!$H$6:$H$462,MATCH(D3057,'Classif Gestoras'!$A$6:$A$462,0)),"Não classificada")</x:f>
        <x:v>Independente</x:v>
      </x:c>
      <x:c r="F3057" s="166" t="str">
        <x:v>HEMERA DTVM</x:v>
      </x:c>
      <x:c r="G3057" s="166" t="str">
        <x:v>HEMERA DISTRIBUIDORA DE TITULOS E VALORES MOBILIARIOS LTDA</x:v>
      </x:c>
      <x:c r="H3057" s="166" t="str">
        <x:v>Agro, Indústria e Comércio</x:v>
      </x:c>
      <x:c r="I3057" s="166" t="str">
        <x:v>Crédito Corporativo</x:v>
      </x:c>
      <x:c r="J3057" s="166" t="str">
        <x:v>CI</x:v>
      </x:c>
      <x:c r="K3057" s="172" t="n">
        <x:v>4</x:v>
      </x:c>
      <x:c r="L3057" s="185" t="str">
        <x:v>Não classificado</x:v>
      </x:c>
    </x:row>
    <x:row r="3058">
      <x:c r="A3058" s="175" t="str">
        <x:v>64.064.985/0001-00</x:v>
      </x:c>
      <x:c r="B3058" s="166" t="str">
        <x:v>LESTE PRECATÓRIOS IV FUNDO DE INVESTIMENTO EM DIREITOS CREDITÓRIOS DE RESPONSABILIDADE LIMITADA</x:v>
      </x:c>
      <x:c r="C3058" s="188" t="n">
        <x:v>571823.38</x:v>
      </x:c>
      <x:c r="D3058" s="166" t="str">
        <x:v>VM Consultoria Empresarial Ltd</x:v>
      </x:c>
      <x:c r="E3058" s="166" t="str">
        <x:f>IFERROR(INDEX('Classif Gestoras'!$H$6:$H$462,MATCH(D3058,'Classif Gestoras'!$A$6:$A$462,0)),"Não classificada")</x:f>
        <x:v>Independente</x:v>
      </x:c>
      <x:c r="F3058" s="166" t="str">
        <x:v>VÓRTX DTVM</x:v>
      </x:c>
      <x:c r="G3058" s="166" t="str">
        <x:v>VORTX DISTRIBUIDORA DE TITULOS E VALORES MOBILIARIOS LTDA.</x:v>
      </x:c>
      <x:c r="H3058" s="166" t="str">
        <x:v>Outros</x:v>
      </x:c>
      <x:c r="I3058" s="166" t="str">
        <x:v>Poder Público</x:v>
      </x:c>
      <x:c r="J3058" s="166" t="str">
        <x:v>CI</x:v>
      </x:c>
      <x:c r="K3058" s="172" t="n">
        <x:v>20</x:v>
      </x:c>
      <x:c r="L3058" s="185" t="str">
        <x:v>Não classificado</x:v>
      </x:c>
    </x:row>
    <x:row r="3059">
      <x:c r="A3059" s="175" t="str">
        <x:v>57.976.577/0001-50</x:v>
      </x:c>
      <x:c r="B3059" s="166" t="str">
        <x:v>OKLAHOMA FUNDO DE INVESTIMENTO EM DIREITOS CREDITÓRIOS</x:v>
      </x:c>
      <x:c r="C3059" s="188" t="n">
        <x:v>498159.4300000001</x:v>
      </x:c>
      <x:c r="D3059" s="166" t="str">
        <x:v>OURO PRETO INVESTIMENTOS</x:v>
      </x:c>
      <x:c r="E3059" s="166" t="str">
        <x:f>IFERROR(INDEX('Classif Gestoras'!$H$6:$H$462,MATCH(D3059,'Classif Gestoras'!$A$6:$A$462,0)),"Não classificada")</x:f>
        <x:v>Independente</x:v>
      </x:c>
      <x:c r="F3059" s="166" t="str">
        <x:v>Limine Trust Distribuidora de Titulos e Valores Mobiliá</x:v>
      </x:c>
      <x:c r="G3059" s="166" t="str">
        <x:v>LIMINE TRUST DISTRIBUIDORA DE TITULOS E VALORES MOBILIARIOS LTDA.</x:v>
      </x:c>
      <x:c r="H3059" s="166" t="str">
        <x:v>Outros</x:v>
      </x:c>
      <x:c r="I3059" s="166" t="str">
        <x:v>Multicarteira Outros</x:v>
      </x:c>
      <x:c r="J3059" s="166" t="str">
        <x:v>CI</x:v>
      </x:c>
      <x:c r="K3059" s="172" t="n">
        <x:v>4</x:v>
      </x:c>
      <x:c r="L3059" s="185" t="str">
        <x:v>Não classificado</x:v>
      </x:c>
    </x:row>
    <x:row r="3060">
      <x:c r="A3060" s="175" t="str">
        <x:v>66.376.024/0001-58</x:v>
      </x:c>
      <x:c r="B3060" s="166" t="str">
        <x:v>SOMMA COASTAL FUNDO DE INVESTIMENTO EM DIREITOS CREDITÓRIOS DE PRECATÓRIOS</x:v>
      </x:c>
      <x:c r="C3060" s="188" t="n">
        <x:v>481908.43</x:v>
      </x:c>
      <x:c r="D3060" s="166" t="str">
        <x:v>SOMMA Investimentos</x:v>
      </x:c>
      <x:c r="E3060" s="166" t="str">
        <x:f>IFERROR(INDEX('Classif Gestoras'!$H$6:$H$462,MATCH(D3060,'Classif Gestoras'!$A$6:$A$462,0)),"Não classificada")</x:f>
        <x:v>Independente</x:v>
      </x:c>
      <x:c r="F3060" s="166" t="str">
        <x:v>Singulare</x:v>
      </x:c>
      <x:c r="G3060" s="166" t="str">
        <x:v>QI CORRETORA DE TÍTULOS E VALORES MOBILIÁRIOS S.A.</x:v>
      </x:c>
      <x:c r="H3060" s="166" t="str">
        <x:v>Outros</x:v>
      </x:c>
      <x:c r="I3060" s="166" t="str">
        <x:v>Poder Público</x:v>
      </x:c>
      <x:c r="J3060" s="166" t="str">
        <x:v>CI</x:v>
      </x:c>
      <x:c r="K3060" s="172" t="n">
        <x:v>10</x:v>
      </x:c>
      <x:c r="L3060" s="185" t="str">
        <x:v>Não classificado</x:v>
      </x:c>
    </x:row>
    <x:row r="3061">
      <x:c r="A3061" s="175" t="str">
        <x:v>44.271.111/0001-08</x:v>
      </x:c>
      <x:c r="B3061" s="166" t="str">
        <x:v>GUARDIAN CAPITAL CONSIG I FUNDO DE INVESTIMENTO EM DIREITOS CREDITÓRIOS CONSIGNADOS</x:v>
      </x:c>
      <x:c r="C3061" s="188" t="n">
        <x:v>477405.21</x:v>
      </x:c>
      <x:c r="D3061" s="166" t="str">
        <x:v>Guardian Gestora</x:v>
      </x:c>
      <x:c r="E3061" s="166" t="str">
        <x:f>IFERROR(INDEX('Classif Gestoras'!$H$6:$H$462,MATCH(D3061,'Classif Gestoras'!$A$6:$A$462,0)),"Não classificada")</x:f>
        <x:v>Independente</x:v>
      </x:c>
      <x:c r="F3061" s="166" t="str">
        <x:v>Banvox DTVM</x:v>
      </x:c>
      <x:c r="G3061" s="166" t="str">
        <x:v>BANVOX DISTRIBUIDORA DE TITULOS E VALORES MOBILIARIOS LTDA</x:v>
      </x:c>
      <x:c r="H3061" s="166" t="str">
        <x:v>Financeiro</x:v>
      </x:c>
      <x:c r="I3061" s="166" t="str">
        <x:v>Crédito Consignado</x:v>
      </x:c>
      <x:c r="J3061" s="166" t="str">
        <x:v>CI</x:v>
      </x:c>
      <x:c r="K3061" s="172" t="n">
        <x:v>2</x:v>
      </x:c>
      <x:c r="L3061" s="185" t="str">
        <x:v>Não classificado</x:v>
      </x:c>
    </x:row>
    <x:row r="3062">
      <x:c r="A3062" s="175" t="str">
        <x:v>64.454.678/0001-27</x:v>
      </x:c>
      <x:c r="B3062" s="166" t="str">
        <x:v>FROGPAY FUNDO DE INVESTIMENTO EM DIREITOS CREDITÓRIOS</x:v>
      </x:c>
      <x:c r="C3062" s="188" t="n">
        <x:v>474765.0099999999</x:v>
      </x:c>
      <x:c r="D3062" s="166" t="str">
        <x:v>BS2 ASSET MANAGEMENT – ADMINISTRADORA DE RECURSOS LTDA.</x:v>
      </x:c>
      <x:c r="E3062" s="166" t="str">
        <x:f>IFERROR(INDEX('Classif Gestoras'!$H$6:$H$462,MATCH(D3062,'Classif Gestoras'!$A$6:$A$462,0)),"Não classificada")</x:f>
        <x:v>Independente</x:v>
      </x:c>
      <x:c r="F3062" s="166" t="str">
        <x:v>FIDD DISTRIBUIDORA DE TITULOS E VALORES MOBILIARIOS LTD</x:v>
      </x:c>
      <x:c r="G3062" s="166" t="str">
        <x:v>FIDD DISTRIBUIDORA DE TITULOS E VALORES MOBILIARIOS LTDA.</x:v>
      </x:c>
      <x:c r="H3062" s="166" t="str">
        <x:v>Agro, Indústria e Comércio</x:v>
      </x:c>
      <x:c r="I3062" s="166" t="str">
        <x:v>Multicarteira Agro, Indústria e Comércio</x:v>
      </x:c>
      <x:c r="J3062" s="166" t="str">
        <x:v>CI</x:v>
      </x:c>
      <x:c r="K3062" s="172" t="n">
        <x:v>2</x:v>
      </x:c>
      <x:c r="L3062" s="185" t="str">
        <x:v>Não classificado</x:v>
      </x:c>
    </x:row>
    <x:row r="3063">
      <x:c r="A3063" s="175" t="str">
        <x:v>57.474.036/0001-24</x:v>
      </x:c>
      <x:c r="B3063" s="166" t="str">
        <x:v>C18 FUNDO DE INVESTIMENTO EM DIREITOS CREDITÓRIOS</x:v>
      </x:c>
      <x:c r="C3063" s="188" t="n">
        <x:v>471871.12</x:v>
      </x:c>
      <x:c r="D3063" s="166" t="str">
        <x:v>M8 Partners</x:v>
      </x:c>
      <x:c r="E3063" s="166" t="str">
        <x:f>IFERROR(INDEX('Classif Gestoras'!$H$6:$H$462,MATCH(D3063,'Classif Gestoras'!$A$6:$A$462,0)),"Não classificada")</x:f>
        <x:v>Independente</x:v>
      </x:c>
      <x:c r="F3063" s="166" t="str">
        <x:v>Oliveira Trust DTVM</x:v>
      </x:c>
      <x:c r="G3063" s="166" t="str">
        <x:v>OLIVEIRA TRUST DTVM S.A.</x:v>
      </x:c>
      <x:c r="H3063" s="166" t="str">
        <x:v>Agro, Indústria e Comércio</x:v>
      </x:c>
      <x:c r="I3063" s="166" t="str">
        <x:v>Recebíveis Comerciais</x:v>
      </x:c>
      <x:c r="J3063" s="166" t="str">
        <x:v>CI</x:v>
      </x:c>
      <x:c r="K3063" s="172" t="n">
        <x:v>1</x:v>
      </x:c>
      <x:c r="L3063" s="185" t="str">
        <x:v>Não classificado</x:v>
      </x:c>
    </x:row>
    <x:row r="3064">
      <x:c r="A3064" s="175" t="str">
        <x:v>65.675.575/0001-50</x:v>
      </x:c>
      <x:c r="B3064" s="166" t="str">
        <x:v>R2 FUNDO DE INVESTIMENTO EM DIREITOS CREDITÓRIOS</x:v>
      </x:c>
      <x:c r="C3064" s="188" t="n">
        <x:v>470753.96</x:v>
      </x:c>
      <x:c r="D3064" s="166" t="str">
        <x:v>QI GESTAO DE RECURSOS LTDA</x:v>
      </x:c>
      <x:c r="E3064" s="166" t="str">
        <x:f>IFERROR(INDEX('Classif Gestoras'!$H$6:$H$462,MATCH(D3064,'Classif Gestoras'!$A$6:$A$462,0)),"Não classificada")</x:f>
        <x:v>Independente</x:v>
      </x:c>
      <x:c r="F3064" s="166" t="str">
        <x:v>Singulare</x:v>
      </x:c>
      <x:c r="G3064" s="166" t="str">
        <x:v>QI CORRETORA DE TÍTULOS E VALORES MOBILIÁRIOS S.A.</x:v>
      </x:c>
      <x:c r="H3064" s="166" t="str">
        <x:v>Outros</x:v>
      </x:c>
      <x:c r="I3064" s="166" t="str">
        <x:v>Multicarteira Outros</x:v>
      </x:c>
      <x:c r="J3064" s="166" t="str">
        <x:v>CI</x:v>
      </x:c>
      <x:c r="K3064" s="172" t="n">
        <x:v>1</x:v>
      </x:c>
      <x:c r="L3064" s="185" t="str">
        <x:v>Não classificado</x:v>
      </x:c>
    </x:row>
    <x:row r="3065">
      <x:c r="A3065" s="175" t="str">
        <x:v>51.732.995/0001-16</x:v>
      </x:c>
      <x:c r="B3065" s="166" t="str">
        <x:v>TESLA FUNDO DE INVESTIMENTO EM DIREITOS CREDITÓRIOS MULTISSETORIAL</x:v>
      </x:c>
      <x:c r="C3065" s="188" t="n">
        <x:v>470403.7800000001</x:v>
      </x:c>
      <x:c r="D3065" s="166" t="str">
        <x:v>OURO PRETO INVESTIMENTOS</x:v>
      </x:c>
      <x:c r="E3065" s="166" t="str">
        <x:f>IFERROR(INDEX('Classif Gestoras'!$H$6:$H$462,MATCH(D3065,'Classif Gestoras'!$A$6:$A$462,0)),"Não classificada")</x:f>
        <x:v>Independente</x:v>
      </x:c>
      <x:c r="F3065" s="166" t="str">
        <x:v>Limine Trust Distribuidora de Titulos e Valores Mobiliá</x:v>
      </x:c>
      <x:c r="G3065" s="166" t="str">
        <x:v>LIMINE TRUST DISTRIBUIDORA DE TITULOS E VALORES MOBILIARIOS LTDA.</x:v>
      </x:c>
      <x:c r="H3065" s="166" t="str">
        <x:v>Outros</x:v>
      </x:c>
      <x:c r="I3065" s="166" t="str">
        <x:v>Multicarteira Outros</x:v>
      </x:c>
      <x:c r="J3065" s="166" t="str">
        <x:v>CI</x:v>
      </x:c>
      <x:c r="K3065" s="172" t="n">
        <x:v>10</x:v>
      </x:c>
      <x:c r="L3065" s="185" t="str">
        <x:v>Não classificado</x:v>
      </x:c>
    </x:row>
    <x:row r="3066">
      <x:c r="A3066" s="175" t="str">
        <x:v>40.597.272/0001-35</x:v>
      </x:c>
      <x:c r="B3066" s="166" t="str">
        <x:v>JUS GLOBAL INVESTMENT FUNDO DE INVESTIMENTO EM DIREITOS CREDITÓRIOS</x:v>
      </x:c>
      <x:c r="C3066" s="188" t="n">
        <x:v>458317.16</x:v>
      </x:c>
      <x:c r="D3066" s="166" t="str">
        <x:v>Redwood Asset Management</x:v>
      </x:c>
      <x:c r="E3066" s="166" t="str">
        <x:f>IFERROR(INDEX('Classif Gestoras'!$H$6:$H$462,MATCH(D3066,'Classif Gestoras'!$A$6:$A$462,0)),"Não classificada")</x:f>
        <x:v>Independente</x:v>
      </x:c>
      <x:c r="F3066" s="166" t="str">
        <x:v>PLANNER CV</x:v>
      </x:c>
      <x:c r="G3066" s="166" t="str">
        <x:v>PLANNER CORRETORA DE VALORES S.A.</x:v>
      </x:c>
      <x:c r="H3066" s="166" t="str">
        <x:v>Outros</x:v>
      </x:c>
      <x:c r="I3066" s="166" t="str">
        <x:v>Multicarteira Outros</x:v>
      </x:c>
      <x:c r="J3066" s="166" t="str">
        <x:v>CI</x:v>
      </x:c>
      <x:c r="K3066" s="172" t="n">
        <x:v>1</x:v>
      </x:c>
      <x:c r="L3066" s="185" t="str">
        <x:v>Não classificado</x:v>
      </x:c>
    </x:row>
    <x:row r="3067">
      <x:c r="A3067" s="175" t="str">
        <x:v>54.248.993/0001-44</x:v>
      </x:c>
      <x:c r="B3067" s="166" t="str">
        <x:v>TRINITÁ FUNDO DE INVESTIMENTO EM DIREITOS CREDITÓRIOS</x:v>
      </x:c>
      <x:c r="C3067" s="188" t="n">
        <x:v>438632.38</x:v>
      </x:c>
      <x:c r="D3067" s="166" t="str">
        <x:v>Positiva Investimentos Ltda</x:v>
      </x:c>
      <x:c r="E3067" s="166" t="str">
        <x:f>IFERROR(INDEX('Classif Gestoras'!$H$6:$H$462,MATCH(D3067,'Classif Gestoras'!$A$6:$A$462,0)),"Não classificada")</x:f>
        <x:v>Independente</x:v>
      </x:c>
      <x:c r="F3067" s="166" t="str">
        <x:v>SEFER DTVM</x:v>
      </x:c>
      <x:c r="G3067" s="166" t="str">
        <x:v>SEFER INVESTIMENTOS DISTRIBUIDORA DE TÍTULOS E VALORES MOBILIÁRIOS LTDA.</x:v>
      </x:c>
      <x:c r="H3067" s="166" t="str">
        <x:v>Fomento Mercantil</x:v>
      </x:c>
      <x:c r="I3067" s="166" t="str">
        <x:v>Fomento Mercantil</x:v>
      </x:c>
      <x:c r="J3067" s="166" t="str">
        <x:v>CI</x:v>
      </x:c>
      <x:c r="K3067" s="172" t="n">
        <x:v>0</x:v>
      </x:c>
      <x:c r="L3067" s="185" t="str">
        <x:v>Não classificado</x:v>
      </x:c>
    </x:row>
    <x:row r="3068">
      <x:c r="A3068" s="175" t="str">
        <x:v>29.085.410/0001-64</x:v>
      </x:c>
      <x:c r="B3068" s="166" t="str">
        <x:v>NEB FUNDO DE INVESTIMENTO EM DIREITOS CREDITÓRIOS RESPONSABILIDADE LIMITADA</x:v>
      </x:c>
      <x:c r="C3068" s="188" t="n">
        <x:v>391928.9801</x:v>
      </x:c>
      <x:c r="D3068" s="166" t="str">
        <x:v>JIVE INVESTMENTS</x:v>
      </x:c>
      <x:c r="E3068" s="166" t="str">
        <x:f>IFERROR(INDEX('Classif Gestoras'!$H$6:$H$462,MATCH(D3068,'Classif Gestoras'!$A$6:$A$462,0)),"Não classificada")</x:f>
        <x:v>Independente</x:v>
      </x:c>
      <x:c r="F3068" s="166" t="str">
        <x:v>BTG Pactual Servicos Financeiros S/A DTVM</x:v>
      </x:c>
      <x:c r="G3068" s="166" t="str">
        <x:v>BANCO BTG PACTUAL S/A</x:v>
      </x:c>
      <x:c r="H3068" s="166" t="str">
        <x:v>Outros</x:v>
      </x:c>
      <x:c r="I3068" s="166" t="str">
        <x:v>Poder Público</x:v>
      </x:c>
      <x:c r="J3068" s="166" t="str">
        <x:v>CI</x:v>
      </x:c>
      <x:c r="K3068" s="172" t="n">
        <x:v>2</x:v>
      </x:c>
      <x:c r="L3068" s="185" t="str">
        <x:v>Não classificado</x:v>
      </x:c>
    </x:row>
    <x:row r="3069">
      <x:c r="A3069" s="175" t="str">
        <x:v>63.119.756/0001-74</x:v>
      </x:c>
      <x:c r="B3069" s="166" t="str">
        <x:v>ALIANZA FUNDO DE INVESTIMENTO EM DIREITOS CREDITÓRIOS</x:v>
      </x:c>
      <x:c r="C3069" s="188" t="n">
        <x:v>381355.46</x:v>
      </x:c>
      <x:c r="D3069" s="166" t="str">
        <x:v>ALTAVISTA CAPITAL</x:v>
      </x:c>
      <x:c r="E3069" s="166" t="str">
        <x:f>IFERROR(INDEX('Classif Gestoras'!$H$6:$H$462,MATCH(D3069,'Classif Gestoras'!$A$6:$A$462,0)),"Não classificada")</x:f>
        <x:v>Independente</x:v>
      </x:c>
      <x:c r="F3069" s="166" t="str">
        <x:v>PLANNER CV</x:v>
      </x:c>
      <x:c r="G3069" s="166" t="str">
        <x:v>PLANNER CORRETORA DE VALORES S.A.</x:v>
      </x:c>
      <x:c r="H3069" s="166" t="str">
        <x:v>Outros</x:v>
      </x:c>
      <x:c r="I3069" s="166" t="str">
        <x:v>Multicarteira Outros</x:v>
      </x:c>
      <x:c r="J3069" s="166" t="str">
        <x:v>CI</x:v>
      </x:c>
      <x:c r="K3069" s="172" t="n">
        <x:v>1</x:v>
      </x:c>
      <x:c r="L3069" s="185" t="str">
        <x:v>Não classificado</x:v>
      </x:c>
    </x:row>
    <x:row r="3070">
      <x:c r="A3070" s="175" t="str">
        <x:v>32.388.193/0001-96</x:v>
      </x:c>
      <x:c r="B3070" s="166" t="str">
        <x:v>PSS KYROS FUNDO DE INVESTIMENTO EM DIREITOS CREDITÓRIOS - NÃO PADRONIZADOS</x:v>
      </x:c>
      <x:c r="C3070" s="188" t="n">
        <x:v>333222.41</x:v>
      </x:c>
      <x:c r="D3070" s="166" t="str">
        <x:v>Prisma Capital Ltda.</x:v>
      </x:c>
      <x:c r="E3070" s="166" t="str">
        <x:f>IFERROR(INDEX('Classif Gestoras'!$H$6:$H$462,MATCH(D3070,'Classif Gestoras'!$A$6:$A$462,0)),"Não classificada")</x:f>
        <x:v>Independente</x:v>
      </x:c>
      <x:c r="F3070" s="166" t="str">
        <x:v>Singulare</x:v>
      </x:c>
      <x:c r="G3070" s="166" t="str">
        <x:v>QI CORRETORA DE TÍTULOS E VALORES MOBILIÁRIOS S.A.</x:v>
      </x:c>
      <x:c r="H3070" s="166" t="str">
        <x:v>Outros</x:v>
      </x:c>
      <x:c r="I3070" s="166" t="str">
        <x:v>Multicarteira Outros</x:v>
      </x:c>
      <x:c r="J3070" s="166" t="str">
        <x:v>CI</x:v>
      </x:c>
      <x:c r="K3070" s="172" t="n">
        <x:v>4</x:v>
      </x:c>
      <x:c r="L3070" s="185" t="str">
        <x:v>Não classificado</x:v>
      </x:c>
    </x:row>
    <x:row r="3071">
      <x:c r="A3071" s="175" t="str">
        <x:v>55.102.997/0001-82</x:v>
      </x:c>
      <x:c r="B3071" s="166" t="str">
        <x:v>ARC FIAGRO - DIREITOS CREDITÓRIOS - RESPONSABILIDADE LIMITADA</x:v>
      </x:c>
      <x:c r="C3071" s="188" t="n">
        <x:v>331911.96</x:v>
      </x:c>
      <x:c r="D3071" s="166" t="str">
        <x:v>Aventis Asset</x:v>
      </x:c>
      <x:c r="E3071" s="166" t="str">
        <x:f>IFERROR(INDEX('Classif Gestoras'!$H$6:$H$462,MATCH(D3071,'Classif Gestoras'!$A$6:$A$462,0)),"Não classificada")</x:f>
        <x:v>Independente</x:v>
      </x:c>
      <x:c r="F3071" s="166" t="str">
        <x:v>VÓRTX DTVM</x:v>
      </x:c>
      <x:c r="G3071" s="166" t="str">
        <x:v>VORTX DISTRIBUIDORA DE TITULOS E VALORES MOBILIARIOS LTDA.</x:v>
      </x:c>
      <x:c r="H3071" s="166" t="str">
        <x:v>Agro, Indústria e Comércio</x:v>
      </x:c>
      <x:c r="I3071" s="166" t="str">
        <x:v>Agronegócio</x:v>
      </x:c>
      <x:c r="J3071" s="166" t="str">
        <x:v>CI</x:v>
      </x:c>
      <x:c r="K3071" s="172" t="n">
        <x:v>12</x:v>
      </x:c>
      <x:c r="L3071" s="185" t="str">
        <x:v>Não classificado</x:v>
      </x:c>
    </x:row>
    <x:row r="3072">
      <x:c r="A3072" s="175" t="str">
        <x:v>48.313.595/0001-61</x:v>
      </x:c>
      <x:c r="B3072" s="166" t="str">
        <x:v>IBBA AGRO BR FUNDO DE INVESTIMENTO EM DIREITOS CREDITÓRIOS</x:v>
      </x:c>
      <x:c r="C3072" s="188" t="n">
        <x:v>299223.23</x:v>
      </x:c>
      <x:c r="D3072" s="166" t="str">
        <x:v>BURITI INVESTIMENTOS</x:v>
      </x:c>
      <x:c r="E3072" s="166" t="str">
        <x:f>IFERROR(INDEX('Classif Gestoras'!$H$6:$H$462,MATCH(D3072,'Classif Gestoras'!$A$6:$A$462,0)),"Não classificada")</x:f>
        <x:v>Independente</x:v>
      </x:c>
      <x:c r="F3072" s="166" t="str">
        <x:v>Singulare</x:v>
      </x:c>
      <x:c r="G3072" s="166" t="str">
        <x:v>QI CORRETORA DE TÍTULOS E VALORES MOBILIÁRIOS S.A.</x:v>
      </x:c>
      <x:c r="H3072" s="166" t="str">
        <x:v>Agro, Indústria e Comércio</x:v>
      </x:c>
      <x:c r="I3072" s="166" t="str">
        <x:v>Agronegócio</x:v>
      </x:c>
      <x:c r="J3072" s="166" t="str">
        <x:v>CI</x:v>
      </x:c>
      <x:c r="K3072" s="172" t="n">
        <x:v>4</x:v>
      </x:c>
      <x:c r="L3072" s="185" t="str">
        <x:v>Não classificado</x:v>
      </x:c>
    </x:row>
    <x:row r="3073">
      <x:c r="A3073" s="175" t="str">
        <x:v>57.691.078/0001-17</x:v>
      </x:c>
      <x:c r="B3073" s="166" t="str">
        <x:v>MENTORE II FUNDO DE INVESTIMENTO EM DIREITOS CREDITÓRIOS</x:v>
      </x:c>
      <x:c r="C3073" s="188" t="n">
        <x:v>289228.89</x:v>
      </x:c>
      <x:c r="D3073" s="166" t="str">
        <x:v>Solis</x:v>
      </x:c>
      <x:c r="E3073" s="166" t="str">
        <x:f>IFERROR(INDEX('Classif Gestoras'!$H$6:$H$462,MATCH(D3073,'Classif Gestoras'!$A$6:$A$462,0)),"Não classificada")</x:f>
        <x:v>Independente</x:v>
      </x:c>
      <x:c r="F3073" s="166" t="str">
        <x:v>HEMERA DTVM</x:v>
      </x:c>
      <x:c r="G3073" s="166" t="str">
        <x:v>HEMERA DISTRIBUIDORA DE TITULOS E VALORES MOBILIARIOS LTDA</x:v>
      </x:c>
      <x:c r="H3073" s="166" t="str">
        <x:v>Financeiro</x:v>
      </x:c>
      <x:c r="I3073" s="166" t="str">
        <x:v>Crédito Pessoal</x:v>
      </x:c>
      <x:c r="J3073" s="166" t="str">
        <x:v>CI</x:v>
      </x:c>
      <x:c r="K3073" s="172" t="n">
        <x:v>1</x:v>
      </x:c>
      <x:c r="L3073" s="185" t="str">
        <x:v>Não classificado</x:v>
      </x:c>
    </x:row>
    <x:row r="3074">
      <x:c r="A3074" s="175" t="str">
        <x:v>48.963.776/0001-33</x:v>
      </x:c>
      <x:c r="B3074" s="166" t="str">
        <x:v>C051 FUNDO DE INVESTIMENTO EM DIREITOS CREDITÓRIOS RESPONSABILIDADE LIMITADA</x:v>
      </x:c>
      <x:c r="C3074" s="188" t="n">
        <x:v>283040.08</x:v>
      </x:c>
      <x:c r="D3074" s="166" t="str">
        <x:v>CAPITANIA CAPITAL</x:v>
      </x:c>
      <x:c r="E3074" s="166" t="str">
        <x:f>IFERROR(INDEX('Classif Gestoras'!$H$6:$H$462,MATCH(D3074,'Classif Gestoras'!$A$6:$A$462,0)),"Não classificada")</x:f>
        <x:v>Independente</x:v>
      </x:c>
      <x:c r="F3074" s="166" t="str">
        <x:v>BTG Pactual Servicos Financeiros S/A DTVM</x:v>
      </x:c>
      <x:c r="G3074" s="166" t="str">
        <x:v>BANCO BTG PACTUAL S/A</x:v>
      </x:c>
      <x:c r="H3074" s="166" t="str">
        <x:v>Outros</x:v>
      </x:c>
      <x:c r="I3074" s="166" t="str">
        <x:v>Multicarteira Outros</x:v>
      </x:c>
      <x:c r="J3074" s="166" t="str">
        <x:v>CI</x:v>
      </x:c>
      <x:c r="K3074" s="172" t="n">
        <x:v>1</x:v>
      </x:c>
      <x:c r="L3074" s="185" t="str">
        <x:v>Não classificado</x:v>
      </x:c>
    </x:row>
    <x:row r="3075">
      <x:c r="A3075" s="175" t="str">
        <x:v>13.711.061/0001-09</x:v>
      </x:c>
      <x:c r="B3075" s="166" t="str">
        <x:v>4SSETS - FUNDO DE INVESTIMENTO EM DIREITOS CREDITÓRIOS</x:v>
      </x:c>
      <x:c r="C3075" s="188" t="n">
        <x:v>275574.19</x:v>
      </x:c>
      <x:c r="D3075" s="166" t="str">
        <x:v>SZ CAPITAL LTDA</x:v>
      </x:c>
      <x:c r="E3075" s="166" t="str">
        <x:f>IFERROR(INDEX('Classif Gestoras'!$H$6:$H$462,MATCH(D3075,'Classif Gestoras'!$A$6:$A$462,0)),"Não classificada")</x:f>
        <x:v>Independente</x:v>
      </x:c>
      <x:c r="F3075" s="166" t="str">
        <x:v>ACTUAL DTVM</x:v>
      </x:c>
      <x:c r="G3075" s="166" t="str">
        <x:v>LASTRO RDV DTVM LTDA</x:v>
      </x:c>
      <x:c r="H3075" s="166" t="str">
        <x:v>Outros</x:v>
      </x:c>
      <x:c r="I3075" s="166" t="str">
        <x:v>Multicarteira Outros</x:v>
      </x:c>
      <x:c r="J3075" s="166" t="str">
        <x:v>CI</x:v>
      </x:c>
      <x:c r="K3075" s="172" t="n">
        <x:v>1</x:v>
      </x:c>
      <x:c r="L3075" s="185" t="str">
        <x:v>Não classificado</x:v>
      </x:c>
    </x:row>
    <x:row r="3076">
      <x:c r="A3076" s="175" t="str">
        <x:v>22.998.896/0001-82</x:v>
      </x:c>
      <x:c r="B3076" s="166" t="str">
        <x:v>BRASIL PLURAL SPECIAL SITUATIONS FUNDO DE INVESTIMENTO EM DIREITOS CREDITÓRIOS</x:v>
      </x:c>
      <x:c r="C3076" s="188" t="n">
        <x:v>269240.61</x:v>
      </x:c>
      <x:c r="D3076" s="166" t="str">
        <x:v>Plural</x:v>
      </x:c>
      <x:c r="E3076" s="166" t="str">
        <x:f>IFERROR(INDEX('Classif Gestoras'!$H$6:$H$462,MATCH(D3076,'Classif Gestoras'!$A$6:$A$462,0)),"Não classificada")</x:f>
        <x:v>Ligada a banco</x:v>
      </x:c>
      <x:c r="F3076" s="166" t="str">
        <x:v>Genial Investimentos Corretora de Valores Mobiliários S.A.</x:v>
      </x:c>
      <x:c r="G3076" s="166" t="str">
        <x:v>BANCO GENIAL S.A.</x:v>
      </x:c>
      <x:c r="H3076" s="166" t="str">
        <x:v>Agro, Indústria e Comércio</x:v>
      </x:c>
      <x:c r="I3076" s="166" t="str">
        <x:v>Crédito Corporativo</x:v>
      </x:c>
      <x:c r="J3076" s="166" t="str">
        <x:v>CI</x:v>
      </x:c>
      <x:c r="K3076" s="172" t="n">
        <x:v>1</x:v>
      </x:c>
      <x:c r="L3076" s="185" t="str">
        <x:v>Não classificado</x:v>
      </x:c>
    </x:row>
    <x:row r="3077">
      <x:c r="A3077" s="175" t="str">
        <x:v>54.327.130/0001-62</x:v>
      </x:c>
      <x:c r="B3077" s="166" t="str">
        <x:v>ST 1006 FUNDO DE INVESTIMENTO EM DIREITOS CREDITÓRIOS RESPONSABILIDADE LIMITADA</x:v>
      </x:c>
      <x:c r="C3077" s="188" t="n">
        <x:v>254507.82</x:v>
      </x:c>
      <x:c r="D3077" s="166" t="str">
        <x:v>Strata Capital</x:v>
      </x:c>
      <x:c r="E3077" s="166" t="str">
        <x:f>IFERROR(INDEX('Classif Gestoras'!$H$6:$H$462,MATCH(D3077,'Classif Gestoras'!$A$6:$A$462,0)),"Não classificada")</x:f>
        <x:v>Independente</x:v>
      </x:c>
      <x:c r="F3077" s="166" t="str">
        <x:v>BANCO DAYCOVAL S/A</x:v>
      </x:c>
      <x:c r="G3077" s="166" t="str">
        <x:v>BANCO DAYCOVAL S.A.</x:v>
      </x:c>
      <x:c r="H3077" s="166" t="str">
        <x:v>Outros</x:v>
      </x:c>
      <x:c r="I3077" s="166" t="str">
        <x:v>Multicarteira Outros</x:v>
      </x:c>
      <x:c r="J3077" s="166" t="str">
        <x:v>CI</x:v>
      </x:c>
      <x:c r="K3077" s="172" t="n">
        <x:v>4</x:v>
      </x:c>
      <x:c r="L3077" s="185" t="str">
        <x:v>Não classificado</x:v>
      </x:c>
    </x:row>
    <x:row r="3078">
      <x:c r="A3078" s="175" t="str">
        <x:v>61.516.625/0001-03</x:v>
      </x:c>
      <x:c r="B3078" s="166" t="str">
        <x:v>LEDOROTAY FUNDO DE INVESTIMENTO EM DIREITOS CREDITÓRIOS DE RESPONSABILIDADE ILIMITADA</x:v>
      </x:c>
      <x:c r="C3078" s="188" t="n">
        <x:v>249254.13</x:v>
      </x:c>
      <x:c r="D3078" s="166" t="str">
        <x:v>BLUEWAVE ASSET LTDA</x:v>
      </x:c>
      <x:c r="E3078" s="166" t="str">
        <x:f>IFERROR(INDEX('Classif Gestoras'!$H$6:$H$462,MATCH(D3078,'Classif Gestoras'!$A$6:$A$462,0)),"Não classificada")</x:f>
        <x:v>Independente</x:v>
      </x:c>
      <x:c r="F3078" s="166" t="str">
        <x:v>Merito DTVM</x:v>
      </x:c>
      <x:c r="G3078" s="166" t="str">
        <x:v>MERITO DISTRIBUIDORA DE TITULOS E VALORES MOBILIARIOS LTDA.</x:v>
      </x:c>
      <x:c r="H3078" s="166" t="str">
        <x:v>Outros</x:v>
      </x:c>
      <x:c r="I3078" s="166" t="str">
        <x:v>Multicarteira Outros</x:v>
      </x:c>
      <x:c r="J3078" s="166" t="str">
        <x:v>CI</x:v>
      </x:c>
      <x:c r="K3078" s="172" t="n">
        <x:v>5</x:v>
      </x:c>
      <x:c r="L3078" s="185" t="str">
        <x:v>Não classificado</x:v>
      </x:c>
    </x:row>
    <x:row r="3079">
      <x:c r="A3079" s="175" t="str">
        <x:v>55.852.782/0001-89</x:v>
      </x:c>
      <x:c r="B3079" s="166" t="str">
        <x:v>ZERAZERO FUNDO DE INVESTIMENTO EM DIREITOS CREDITÓRIOS RESPONSABILIDADE LIMITADA</x:v>
      </x:c>
      <x:c r="C3079" s="188" t="n">
        <x:v>244459.66</x:v>
      </x:c>
      <x:c r="D3079" s="166" t="str">
        <x:v>GESTORA DE RECURSOS ID - GRID LTDA.</x:v>
      </x:c>
      <x:c r="E3079" s="166" t="str">
        <x:f>IFERROR(INDEX('Classif Gestoras'!$H$6:$H$462,MATCH(D3079,'Classif Gestoras'!$A$6:$A$462,0)),"Não classificada")</x:f>
        <x:v>Independente</x:v>
      </x:c>
      <x:c r="F3079" s="166" t="str">
        <x:v>ID Corretora de Títulos e Valores Mobiliários S.A.</x:v>
      </x:c>
      <x:c r="G3079" s="166" t="str">
        <x:v>ID CORRETORA DE TITULOS E VALORES MOBILIARIOS S.A.</x:v>
      </x:c>
      <x:c r="H3079" s="166" t="str">
        <x:v>Outros</x:v>
      </x:c>
      <x:c r="I3079" s="166" t="str">
        <x:v>Multicarteira Outros</x:v>
      </x:c>
      <x:c r="J3079" s="166" t="str">
        <x:v>CI</x:v>
      </x:c>
      <x:c r="K3079" s="172" t="n">
        <x:v>4</x:v>
      </x:c>
      <x:c r="L3079" s="185" t="str">
        <x:v>Não classificado</x:v>
      </x:c>
    </x:row>
    <x:row r="3080">
      <x:c r="A3080" s="175" t="str">
        <x:v>46.557.432/0001-07</x:v>
      </x:c>
      <x:c r="B3080" s="166" t="str">
        <x:v>ACELERA CASH FUNDO DE INVESTIMENTO EM DIREITOS CREDITÓRIOS</x:v>
      </x:c>
      <x:c r="C3080" s="188" t="n">
        <x:v>197118.55</x:v>
      </x:c>
      <x:c r="D3080" s="166" t="str">
        <x:v>OURO PRETO INVESTIMENTOS</x:v>
      </x:c>
      <x:c r="E3080" s="166" t="str">
        <x:f>IFERROR(INDEX('Classif Gestoras'!$H$6:$H$462,MATCH(D3080,'Classif Gestoras'!$A$6:$A$462,0)),"Não classificada")</x:f>
        <x:v>Independente</x:v>
      </x:c>
      <x:c r="F3080" s="166" t="str">
        <x:v>ID Corretora de Títulos e Valores Mobiliários S.A.</x:v>
      </x:c>
      <x:c r="G3080" s="166" t="str">
        <x:v>ID CORRETORA DE TITULOS E VALORES MOBILIARIOS S.A.</x:v>
      </x:c>
      <x:c r="H3080" s="166" t="str">
        <x:v>Outros</x:v>
      </x:c>
      <x:c r="I3080" s="166" t="str">
        <x:v>Multicarteira Outros</x:v>
      </x:c>
      <x:c r="J3080" s="166" t="str">
        <x:v>CI</x:v>
      </x:c>
      <x:c r="K3080" s="172" t="n">
        <x:v>17</x:v>
      </x:c>
      <x:c r="L3080" s="185" t="str">
        <x:v>Não classificado</x:v>
      </x:c>
    </x:row>
    <x:row r="3081">
      <x:c r="A3081" s="175" t="str">
        <x:v>60.331.197/0001-73</x:v>
      </x:c>
      <x:c r="B3081" s="166" t="str">
        <x:v>BRAEVO FUNDO DE INVESTIMENTO EM DIREITOS CREDITÓRIOS</x:v>
      </x:c>
      <x:c r="C3081" s="188" t="n">
        <x:v>197008.43</x:v>
      </x:c>
      <x:c r="D3081" s="166" t="str">
        <x:v>OURO PRETO INVESTIMENTOS</x:v>
      </x:c>
      <x:c r="E3081" s="166" t="str">
        <x:f>IFERROR(INDEX('Classif Gestoras'!$H$6:$H$462,MATCH(D3081,'Classif Gestoras'!$A$6:$A$462,0)),"Não classificada")</x:f>
        <x:v>Independente</x:v>
      </x:c>
      <x:c r="F3081" s="166" t="str">
        <x:v>Limine Trust Distribuidora de Titulos e Valores Mobiliá</x:v>
      </x:c>
      <x:c r="G3081" s="166" t="str">
        <x:v>LIMINE TRUST DISTRIBUIDORA DE TITULOS E VALORES MOBILIARIOS LTDA.</x:v>
      </x:c>
      <x:c r="H3081" s="166" t="str">
        <x:v>Financeiro</x:v>
      </x:c>
      <x:c r="I3081" s="166" t="str">
        <x:v>Crédito Imobiliário</x:v>
      </x:c>
      <x:c r="J3081" s="166" t="str">
        <x:v>CI</x:v>
      </x:c>
      <x:c r="K3081" s="172" t="n">
        <x:v>6</x:v>
      </x:c>
      <x:c r="L3081" s="185" t="str">
        <x:v>Não classificado</x:v>
      </x:c>
    </x:row>
    <x:row r="3082">
      <x:c r="A3082" s="175" t="str">
        <x:v>57.779.658/0001-60</x:v>
      </x:c>
      <x:c r="B3082" s="166" t="str">
        <x:v>GUARDIAN WAREHOUSE FUNDO DE INVESTIMENTO EM DIREITOS CREDITÓRIOS - RESPONSABILIDADE LIMITADA</x:v>
      </x:c>
      <x:c r="C3082" s="188" t="n">
        <x:v>194180.77</x:v>
      </x:c>
      <x:c r="D3082" s="166" t="str">
        <x:v>Guardian Gestora</x:v>
      </x:c>
      <x:c r="E3082" s="166" t="str">
        <x:f>IFERROR(INDEX('Classif Gestoras'!$H$6:$H$462,MATCH(D3082,'Classif Gestoras'!$A$6:$A$462,0)),"Não classificada")</x:f>
        <x:v>Independente</x:v>
      </x:c>
      <x:c r="F3082" s="166" t="str">
        <x:v>Banvox DTVM</x:v>
      </x:c>
      <x:c r="G3082" s="166" t="str">
        <x:v>BANVOX DISTRIBUIDORA DE TITULOS E VALORES MOBILIARIOS LTDA</x:v>
      </x:c>
      <x:c r="H3082" s="166" t="str">
        <x:v>Financeiro</x:v>
      </x:c>
      <x:c r="I3082" s="166" t="str">
        <x:v>Crédito Consignado</x:v>
      </x:c>
      <x:c r="J3082" s="166" t="str">
        <x:v>CI</x:v>
      </x:c>
      <x:c r="K3082" s="172" t="n">
        <x:v>1</x:v>
      </x:c>
      <x:c r="L3082" s="185" t="str">
        <x:v>Não classificado</x:v>
      </x:c>
    </x:row>
    <x:row r="3083">
      <x:c r="A3083" s="175" t="str">
        <x:v>36.312.154/0001-66</x:v>
      </x:c>
      <x:c r="B3083" s="166" t="str">
        <x:v>FUNDO DE INVESTIMENTO EM DIREITOS CREDITÓRIOS SEBRAE MPE</x:v>
      </x:c>
      <x:c r="C3083" s="188" t="n">
        <x:v>188290.81</x:v>
      </x:c>
      <x:c r="D3083" s="166" t="str">
        <x:v>VERT Gestora de Recursos Financeiros Ltda.</x:v>
      </x:c>
      <x:c r="E3083" s="166" t="str">
        <x:f>IFERROR(INDEX('Classif Gestoras'!$H$6:$H$462,MATCH(D3083,'Classif Gestoras'!$A$6:$A$462,0)),"Não classificada")</x:f>
        <x:v>Independente</x:v>
      </x:c>
      <x:c r="F3083" s="166" t="str">
        <x:v>BRL TRUST DTVM</x:v>
      </x:c>
      <x:c r="G3083" s="166" t="str">
        <x:v>BRL TRUST DISTRIBUIDORA DE TITULOS E VALORES MOBILIARIOS S.A.</x:v>
      </x:c>
      <x:c r="H3083" s="166" t="str">
        <x:v>Outros</x:v>
      </x:c>
      <x:c r="I3083" s="166" t="str">
        <x:v>Multicarteira Outros</x:v>
      </x:c>
      <x:c r="J3083" s="166" t="str">
        <x:v>CI</x:v>
      </x:c>
      <x:c r="K3083" s="172" t="n">
        <x:v>1</x:v>
      </x:c>
      <x:c r="L3083" s="185" t="str">
        <x:v>Não classificado</x:v>
      </x:c>
    </x:row>
    <x:row r="3084">
      <x:c r="A3084" s="175" t="str">
        <x:v>55.665.127/0001-11</x:v>
      </x:c>
      <x:c r="B3084" s="166" t="str">
        <x:v>WH INVEST FUNDO DE INVESTIMENTO EM DIREITOS CREDITÓRIOS RESPONSABILIDADE LIMITADA</x:v>
      </x:c>
      <x:c r="C3084" s="188" t="n">
        <x:v>173903.04</x:v>
      </x:c>
      <x:c r="D3084" s="166" t="str">
        <x:v>IDGR</x:v>
      </x:c>
      <x:c r="E3084" s="166" t="str">
        <x:f>IFERROR(INDEX('Classif Gestoras'!$H$6:$H$462,MATCH(D3084,'Classif Gestoras'!$A$6:$A$462,0)),"Não classificada")</x:f>
        <x:v>Independente</x:v>
      </x:c>
      <x:c r="F3084" s="166" t="str">
        <x:v>ID Corretora de Títulos e Valores Mobiliários S.A.</x:v>
      </x:c>
      <x:c r="G3084" s="166" t="str">
        <x:v>ID CORRETORA DE TITULOS E VALORES MOBILIARIOS S.A.</x:v>
      </x:c>
      <x:c r="H3084" s="166" t="str">
        <x:v>Outros</x:v>
      </x:c>
      <x:c r="I3084" s="166" t="str">
        <x:v>Multicarteira Outros</x:v>
      </x:c>
      <x:c r="J3084" s="166" t="str">
        <x:v>CI</x:v>
      </x:c>
      <x:c r="K3084" s="172" t="n">
        <x:v>7</x:v>
      </x:c>
      <x:c r="L3084" s="185" t="str">
        <x:v>Não classificado</x:v>
      </x:c>
    </x:row>
    <x:row r="3085">
      <x:c r="A3085" s="175" t="str">
        <x:v>52.997.952/0001-25</x:v>
      </x:c>
      <x:c r="B3085" s="166" t="str">
        <x:v>ST 1004 FUNDO DE INVESTIMENTO EM DIREITOS CREDITÓRIOS RESPONSABILIDADE LIMITADA</x:v>
      </x:c>
      <x:c r="C3085" s="188" t="n">
        <x:v>123330.56</x:v>
      </x:c>
      <x:c r="D3085" s="166" t="str">
        <x:v>Strata Capital</x:v>
      </x:c>
      <x:c r="E3085" s="166" t="str">
        <x:f>IFERROR(INDEX('Classif Gestoras'!$H$6:$H$462,MATCH(D3085,'Classif Gestoras'!$A$6:$A$462,0)),"Não classificada")</x:f>
        <x:v>Independente</x:v>
      </x:c>
      <x:c r="F3085" s="166" t="str">
        <x:v>BANCO DAYCOVAL S/A</x:v>
      </x:c>
      <x:c r="G3085" s="166" t="str">
        <x:v>BANCO DAYCOVAL S.A.</x:v>
      </x:c>
      <x:c r="H3085" s="166" t="str">
        <x:v>Outros</x:v>
      </x:c>
      <x:c r="I3085" s="166" t="str">
        <x:v>Multicarteira Outros</x:v>
      </x:c>
      <x:c r="J3085" s="166" t="str">
        <x:v>CI</x:v>
      </x:c>
      <x:c r="K3085" s="172" t="n">
        <x:v>4</x:v>
      </x:c>
      <x:c r="L3085" s="185" t="str">
        <x:v>Não classificado</x:v>
      </x:c>
    </x:row>
    <x:row r="3086">
      <x:c r="A3086" s="175" t="str">
        <x:v>50.519.168/0001-86</x:v>
      </x:c>
      <x:c r="B3086" s="166" t="str">
        <x:v>STRUTTURA AGRO FUNDO DE INVESTIMENTO EM DIREITOS CREDITÓRIOS DO AGRONEGÓCIO DE RESPONSABILIDADE LTDA</x:v>
      </x:c>
      <x:c r="C3086" s="188" t="n">
        <x:v>120927.41</x:v>
      </x:c>
      <x:c r="D3086" s="166" t="str">
        <x:v>CERES ASSET</x:v>
      </x:c>
      <x:c r="E3086" s="166" t="str">
        <x:f>IFERROR(INDEX('Classif Gestoras'!$H$6:$H$462,MATCH(D3086,'Classif Gestoras'!$A$6:$A$462,0)),"Não classificada")</x:f>
        <x:v>Independente</x:v>
      </x:c>
      <x:c r="F3086" s="166" t="str">
        <x:v>Oliveira Trust DTVM</x:v>
      </x:c>
      <x:c r="G3086" s="166" t="str">
        <x:v>OLIVEIRA TRUST DTVM S.A.</x:v>
      </x:c>
      <x:c r="H3086" s="166" t="str">
        <x:v>Agro, Indústria e Comércio</x:v>
      </x:c>
      <x:c r="I3086" s="166" t="str">
        <x:v>Agronegócio</x:v>
      </x:c>
      <x:c r="J3086" s="166" t="str">
        <x:v>CI</x:v>
      </x:c>
      <x:c r="K3086" s="172" t="n">
        <x:v>1</x:v>
      </x:c>
      <x:c r="L3086" s="185" t="str">
        <x:v>Não classificado</x:v>
      </x:c>
    </x:row>
    <x:row r="3087">
      <x:c r="A3087" s="175" t="str">
        <x:v>53.073.603/0001-80</x:v>
      </x:c>
      <x:c r="B3087" s="166" t="str">
        <x:v>ST 1005 FUNDO DE INVESTIMENTO EM DIREITOS CREDITÓRIOS RESPONSABILIDADE LIMITADA</x:v>
      </x:c>
      <x:c r="C3087" s="188" t="n">
        <x:v>114633.35</x:v>
      </x:c>
      <x:c r="D3087" s="166" t="str">
        <x:v>Strata Capital</x:v>
      </x:c>
      <x:c r="E3087" s="166" t="str">
        <x:f>IFERROR(INDEX('Classif Gestoras'!$H$6:$H$462,MATCH(D3087,'Classif Gestoras'!$A$6:$A$462,0)),"Não classificada")</x:f>
        <x:v>Independente</x:v>
      </x:c>
      <x:c r="F3087" s="166" t="str">
        <x:v>BANCO DAYCOVAL S/A</x:v>
      </x:c>
      <x:c r="G3087" s="166" t="str">
        <x:v>BANCO DAYCOVAL S.A.</x:v>
      </x:c>
      <x:c r="H3087" s="166" t="str">
        <x:v>Financeiro</x:v>
      </x:c>
      <x:c r="I3087" s="166" t="str">
        <x:v>Multicarteira Financeiro</x:v>
      </x:c>
      <x:c r="J3087" s="166" t="str">
        <x:v>CI</x:v>
      </x:c>
      <x:c r="K3087" s="172" t="n">
        <x:v>6</x:v>
      </x:c>
      <x:c r="L3087" s="185" t="str">
        <x:v>Não classificado</x:v>
      </x:c>
    </x:row>
    <x:row r="3088">
      <x:c r="A3088" s="175" t="str">
        <x:v>51.326.602/0001-74</x:v>
      </x:c>
      <x:c r="B3088" s="166" t="str">
        <x:v>FUNDO DE INVESTIMENTO EM DIREITOS CREDITÓRIOS TELLUS RESPONSABILIDADE LIMITADA</x:v>
      </x:c>
      <x:c r="C3088" s="188" t="n">
        <x:v>90974.38</x:v>
      </x:c>
      <x:c r="D3088" s="166" t="str">
        <x:v>VERT Gestora de Recursos Financeiros Ltda.</x:v>
      </x:c>
      <x:c r="E3088" s="166" t="str">
        <x:f>IFERROR(INDEX('Classif Gestoras'!$H$6:$H$462,MATCH(D3088,'Classif Gestoras'!$A$6:$A$462,0)),"Não classificada")</x:f>
        <x:v>Independente</x:v>
      </x:c>
      <x:c r="F3088" s="166" t="str">
        <x:v>VERT Distribuidora de Títulos e Valores Mobiliários Ltd</x:v>
      </x:c>
      <x:c r="G3088" s="166" t="str">
        <x:v>VERT DISTRIBUIDORA DE TÍTULOS E VALORES MOBILIÁRIOS LTDA.</x:v>
      </x:c>
      <x:c r="H3088" s="166" t="str">
        <x:v>Financeiro</x:v>
      </x:c>
      <x:c r="I3088" s="166" t="str">
        <x:v>Crédito Imobiliário</x:v>
      </x:c>
      <x:c r="J3088" s="166" t="str">
        <x:v>CI</x:v>
      </x:c>
      <x:c r="K3088" s="172" t="n">
        <x:v>2</x:v>
      </x:c>
      <x:c r="L3088" s="185" t="str">
        <x:v>Não classificado</x:v>
      </x:c>
    </x:row>
    <x:row r="3089">
      <x:c r="A3089" s="175" t="str">
        <x:v>13.633.964/0001-19</x:v>
      </x:c>
      <x:c r="B3089" s="166" t="str">
        <x:v>FUNDO DE INVESTIMENTO EM DIREITOS CREDITORIOS MULTISSETORIAL INVEST DUNAS LP</x:v>
      </x:c>
      <x:c r="C3089" s="188" t="n">
        <x:v>76467.32</x:v>
      </x:c>
      <x:c r="D3089" s="166" t="str">
        <x:v>QUELUZ ASSET</x:v>
      </x:c>
      <x:c r="E3089" s="166" t="str">
        <x:f>IFERROR(INDEX('Classif Gestoras'!$H$6:$H$462,MATCH(D3089,'Classif Gestoras'!$A$6:$A$462,0)),"Não classificada")</x:f>
        <x:v>Independente</x:v>
      </x:c>
      <x:c r="F3089" s="166" t="str">
        <x:v>Singulare</x:v>
      </x:c>
      <x:c r="G3089" s="166" t="str">
        <x:v>QI CORRETORA DE TÍTULOS E VALORES MOBILIÁRIOS S.A.</x:v>
      </x:c>
      <x:c r="H3089" s="166" t="str">
        <x:v>Outros</x:v>
      </x:c>
      <x:c r="I3089" s="166" t="str">
        <x:v>Multicarteira Outros</x:v>
      </x:c>
      <x:c r="J3089" s="166" t="str">
        <x:v>CI</x:v>
      </x:c>
      <x:c r="K3089" s="172" t="n">
        <x:v>30</x:v>
      </x:c>
      <x:c r="L3089" s="185" t="str">
        <x:v>Não classificado</x:v>
      </x:c>
    </x:row>
    <x:row r="3090">
      <x:c r="A3090" s="175" t="str">
        <x:v>59.272.723/0001-92</x:v>
      </x:c>
      <x:c r="B3090" s="166" t="str">
        <x:v>POLÍGONO MASTER PRO III FUNDO DE INVESTIMENTO EM DIREITOS CREDITÓRIOS</x:v>
      </x:c>
      <x:c r="C3090" s="188" t="n">
        <x:v>70252.28</x:v>
      </x:c>
      <x:c r="D3090" s="166" t="str">
        <x:v>POLÍGONO CAPITAL LTDA.</x:v>
      </x:c>
      <x:c r="E3090" s="166" t="str">
        <x:f>IFERROR(INDEX('Classif Gestoras'!$H$6:$H$462,MATCH(D3090,'Classif Gestoras'!$A$6:$A$462,0)),"Não classificada")</x:f>
        <x:v>Independente</x:v>
      </x:c>
      <x:c r="F3090" s="166" t="str">
        <x:v>BTG Pactual Servicos Financeiros S/A DTVM</x:v>
      </x:c>
      <x:c r="G3090" s="166" t="str">
        <x:v>BANCO BTG PACTUAL S/A</x:v>
      </x:c>
      <x:c r="H3090" s="166" t="str">
        <x:v>Outros</x:v>
      </x:c>
      <x:c r="I3090" s="166" t="str">
        <x:v>Multicarteira Outros</x:v>
      </x:c>
      <x:c r="J3090" s="166" t="str">
        <x:v>CIPC</x:v>
      </x:c>
      <x:c r="K3090" s="172" t="n">
        <x:v>8</x:v>
      </x:c>
      <x:c r="L3090" s="185" t="str">
        <x:v>Não classificado</x:v>
      </x:c>
    </x:row>
    <x:row r="3091">
      <x:c r="A3091" s="175" t="str">
        <x:v>24.445.360/0001-65</x:v>
      </x:c>
      <x:c r="B3091" s="166" t="str">
        <x:v>AR BANK FUNDO DE INVESTIMENTO EM DIREITOS CREDITORIOS IMOBILIÁRIOS I</x:v>
      </x:c>
      <x:c r="C3091" s="188" t="n">
        <x:v>65632.67</x:v>
      </x:c>
      <x:c r="D3091" s="166" t="str">
        <x:v>GRAPHEN INVESTIMENTOS</x:v>
      </x:c>
      <x:c r="E3091" s="166" t="str">
        <x:f>IFERROR(INDEX('Classif Gestoras'!$H$6:$H$462,MATCH(D3091,'Classif Gestoras'!$A$6:$A$462,0)),"Não classificada")</x:f>
        <x:v>Independente</x:v>
      </x:c>
      <x:c r="F3091" s="166" t="str">
        <x:v>PLANNER CV</x:v>
      </x:c>
      <x:c r="G3091" s="166" t="str">
        <x:v>PLANNER CORRETORA DE VALORES S.A.</x:v>
      </x:c>
      <x:c r="H3091" s="166" t="str">
        <x:v>Financeiro</x:v>
      </x:c>
      <x:c r="I3091" s="166" t="str">
        <x:v>Crédito Imobiliário</x:v>
      </x:c>
      <x:c r="J3091" s="166" t="str">
        <x:v>CI</x:v>
      </x:c>
      <x:c r="K3091" s="172" t="n">
        <x:v>10</x:v>
      </x:c>
      <x:c r="L3091" s="185" t="str">
        <x:v>Não classificado</x:v>
      </x:c>
    </x:row>
    <x:row r="3092">
      <x:c r="A3092" s="175" t="str">
        <x:v>06.018.364/0001-85</x:v>
      </x:c>
      <x:c r="B3092" s="166" t="str">
        <x:v>FUNDO DE INVESTIMENTO EM DIREITOS CREDITÓRIOS - FIDC PREMIUM</x:v>
      </x:c>
      <x:c r="C3092" s="188" t="n">
        <x:v>47416.18</x:v>
      </x:c>
      <x:c r="D3092" s="166" t="str">
        <x:v>GRAPHEN INVESTIMENTOS</x:v>
      </x:c>
      <x:c r="E3092" s="166" t="str">
        <x:f>IFERROR(INDEX('Classif Gestoras'!$H$6:$H$462,MATCH(D3092,'Classif Gestoras'!$A$6:$A$462,0)),"Não classificada")</x:f>
        <x:v>Independente</x:v>
      </x:c>
      <x:c r="F3092" s="166" t="str">
        <x:v>Finaxis Corretora de Títulos e Valores Mobiliários S.A.</x:v>
      </x:c>
      <x:c r="G3092" s="166" t="str">
        <x:v>BANCO FINAXIS S.A.</x:v>
      </x:c>
      <x:c r="H3092" s="166" t="str">
        <x:v>Outros</x:v>
      </x:c>
      <x:c r="I3092" s="166" t="str">
        <x:v>Multicarteira Outros</x:v>
      </x:c>
      <x:c r="J3092" s="166" t="str">
        <x:v>CI</x:v>
      </x:c>
      <x:c r="K3092" s="172" t="n">
        <x:v>99</x:v>
      </x:c>
      <x:c r="L3092" s="185" t="str">
        <x:v>Não classificado</x:v>
      </x:c>
    </x:row>
    <x:row r="3093">
      <x:c r="A3093" s="175" t="str">
        <x:v>12.401.806/0001-70</x:v>
      </x:c>
      <x:c r="B3093" s="166" t="str">
        <x:v>AIMORES FIDC-NP - RESPONSABILIDADE LIMITADA</x:v>
      </x:c>
      <x:c r="C3093" s="188" t="n">
        <x:v>45842.8</x:v>
      </x:c>
      <x:c r="D3093" s="166" t="str">
        <x:v>ATIVA ASSET LTDA</x:v>
      </x:c>
      <x:c r="E3093" s="166" t="str">
        <x:f>IFERROR(INDEX('Classif Gestoras'!$H$6:$H$462,MATCH(D3093,'Classif Gestoras'!$A$6:$A$462,0)),"Não classificada")</x:f>
        <x:v>Independente</x:v>
      </x:c>
      <x:c r="F3093" s="166" t="str">
        <x:v>Ativa S/A CTCV</x:v>
      </x:c>
      <x:c r="G3093" s="166" t="str">
        <x:v>ATIVA INVESTIMENTOS S.A. C.T.C.V.</x:v>
      </x:c>
      <x:c r="H3093" s="166" t="str">
        <x:v>Financeiro</x:v>
      </x:c>
      <x:c r="I3093" s="166" t="str">
        <x:v>Crédito Imobiliário</x:v>
      </x:c>
      <x:c r="J3093" s="166" t="str">
        <x:v>CI</x:v>
      </x:c>
      <x:c r="K3093" s="172" t="n">
        <x:v>1</x:v>
      </x:c>
      <x:c r="L3093" s="185" t="str">
        <x:v>Não classificado</x:v>
      </x:c>
    </x:row>
    <x:row r="3094">
      <x:c r="A3094" s="175" t="str">
        <x:v>48.960.844/0001-00</x:v>
      </x:c>
      <x:c r="B3094" s="166" t="str">
        <x:v>BADWATER FUNDO DE INVESTIMENTO EM DIREITOS CREDITÓRIOS NÃO-PADRONIZADO</x:v>
      </x:c>
      <x:c r="C3094" s="188" t="n">
        <x:v>34223.04</x:v>
      </x:c>
      <x:c r="D3094" s="166" t="str">
        <x:v>Redwood Asset Management</x:v>
      </x:c>
      <x:c r="E3094" s="166" t="str">
        <x:f>IFERROR(INDEX('Classif Gestoras'!$H$6:$H$462,MATCH(D3094,'Classif Gestoras'!$A$6:$A$462,0)),"Não classificada")</x:f>
        <x:v>Independente</x:v>
      </x:c>
      <x:c r="F3094" s="166" t="str">
        <x:v>PLANNER CV</x:v>
      </x:c>
      <x:c r="G3094" s="166" t="str">
        <x:v>PLANNER CORRETORA DE VALORES S.A.</x:v>
      </x:c>
      <x:c r="H3094" s="166" t="str">
        <x:v>Outros</x:v>
      </x:c>
      <x:c r="I3094" s="166" t="str">
        <x:v>Multicarteira Outros</x:v>
      </x:c>
      <x:c r="J3094" s="166" t="str">
        <x:v>CI</x:v>
      </x:c>
      <x:c r="K3094" s="172" t="n">
        <x:v>1</x:v>
      </x:c>
      <x:c r="L3094" s="185" t="str">
        <x:v>Não classificado</x:v>
      </x:c>
    </x:row>
    <x:row r="3095">
      <x:c r="A3095" s="175" t="str">
        <x:v>29.319.754/0001-90</x:v>
      </x:c>
      <x:c r="B3095" s="166" t="str">
        <x:v>ALGARVE II FUNDO DE INVESTIMENTO EM DIREITOS CREDITÓRIOS</x:v>
      </x:c>
      <x:c r="C3095" s="188" t="n">
        <x:v>30856.83</x:v>
      </x:c>
      <x:c r="D3095" s="166" t="str">
        <x:v>Algarve Capital</x:v>
      </x:c>
      <x:c r="E3095" s="166" t="str">
        <x:f>IFERROR(INDEX('Classif Gestoras'!$H$6:$H$462,MATCH(D3095,'Classif Gestoras'!$A$6:$A$462,0)),"Não classificada")</x:f>
        <x:v>Independente</x:v>
      </x:c>
      <x:c r="F3095" s="166" t="str">
        <x:v>TRUSTEE DTVM</x:v>
      </x:c>
      <x:c r="G3095" s="166" t="str">
        <x:v>TRUSTEE DISTRIBUIDORA DE TITULOS E VALORES MOBILIARIOS LTDA.</x:v>
      </x:c>
      <x:c r="H3095" s="166" t="str">
        <x:v>Outros</x:v>
      </x:c>
      <x:c r="I3095" s="166" t="str">
        <x:v>Poder Público</x:v>
      </x:c>
      <x:c r="J3095" s="166" t="str">
        <x:v>CI</x:v>
      </x:c>
      <x:c r="K3095" s="172" t="n">
        <x:v>4</x:v>
      </x:c>
      <x:c r="L3095" s="185" t="str">
        <x:v>Não classificado</x:v>
      </x:c>
    </x:row>
    <x:row r="3096">
      <x:c r="A3096" s="175" t="str">
        <x:v>20.998.938/0001-50</x:v>
      </x:c>
      <x:c r="B3096" s="166" t="str">
        <x:v>BRASFOR II FUNDO DE INVESTIMENTO EM DIREITOS CREDITÓRIOS MULTISEGMENTOS - EM LIQUIDAÇÃO</x:v>
      </x:c>
      <x:c r="C3096" s="188" t="n">
        <x:v>30691.17</x:v>
      </x:c>
      <x:c r="D3096" s="166" t="str">
        <x:v>Brave Asset</x:v>
      </x:c>
      <x:c r="E3096" s="166" t="str">
        <x:f>IFERROR(INDEX('Classif Gestoras'!$H$6:$H$462,MATCH(D3096,'Classif Gestoras'!$A$6:$A$462,0)),"Não classificada")</x:f>
        <x:v>Independente</x:v>
      </x:c>
      <x:c r="F3096" s="166" t="str">
        <x:v>Finaxis Corretora de Títulos e Valores Mobiliários S.A.</x:v>
      </x:c>
      <x:c r="G3096" s="166" t="str">
        <x:v>BANCO FINAXIS S.A.</x:v>
      </x:c>
      <x:c r="H3096" s="166" t="str">
        <x:v>Fomento Mercantil</x:v>
      </x:c>
      <x:c r="I3096" s="166" t="str">
        <x:v>Fomento Mercantil</x:v>
      </x:c>
      <x:c r="J3096" s="166" t="str">
        <x:v>CI</x:v>
      </x:c>
      <x:c r="K3096" s="172" t="n">
        <x:v>1</x:v>
      </x:c>
      <x:c r="L3096" s="185" t="str">
        <x:v>Não classificado</x:v>
      </x:c>
    </x:row>
    <x:row r="3097">
      <x:c r="A3097" s="175" t="str">
        <x:v>62.946.467/0001-86</x:v>
      </x:c>
      <x:c r="B3097" s="166" t="str">
        <x:v>SANE &amp; PETRO FUNDO DE INVESTIMENTO EM DIREITOS CREDITÓRIOS</x:v>
      </x:c>
      <x:c r="C3097" s="188" t="n">
        <x:v>25752.22</x:v>
      </x:c>
      <x:c r="D3097" s="166" t="str">
        <x:v>OKEAN INVEST</x:v>
      </x:c>
      <x:c r="E3097" s="166" t="str">
        <x:f>IFERROR(INDEX('Classif Gestoras'!$H$6:$H$462,MATCH(D3097,'Classif Gestoras'!$A$6:$A$462,0)),"Não classificada")</x:f>
        <x:v>Independente</x:v>
      </x:c>
      <x:c r="F3097" s="166" t="str">
        <x:v>Finvest Digital</x:v>
      </x:c>
      <x:c r="G3097" s="166" t="str">
        <x:v>FINVEST DISTRIBUIDORA DE TÍTULOS E VALORES MOBILIÁRIOS LTDA.</x:v>
      </x:c>
      <x:c r="H3097" s="166" t="str">
        <x:v>Fomento Mercantil</x:v>
      </x:c>
      <x:c r="I3097" s="166" t="str">
        <x:v>Fomento Mercantil</x:v>
      </x:c>
      <x:c r="J3097" s="166" t="str">
        <x:v>CI</x:v>
      </x:c>
      <x:c r="K3097" s="172" t="n">
        <x:v>1</x:v>
      </x:c>
      <x:c r="L3097" s="185" t="str">
        <x:v>Não classificado</x:v>
      </x:c>
    </x:row>
    <x:row r="3098">
      <x:c r="A3098" s="175" t="str">
        <x:v>59.201.781/0001-25</x:v>
      </x:c>
      <x:c r="B3098" s="166" t="str">
        <x:v>INTI ENERGIAS DO BRASIL FUNDO DE INVESTIMENTO EM DIREITOS CREDITÓRIOS,</x:v>
      </x:c>
      <x:c r="C3098" s="188" t="n">
        <x:v>15930.8</x:v>
      </x:c>
      <x:c r="D3098" s="166" t="str">
        <x:v>Redwood Asset Management</x:v>
      </x:c>
      <x:c r="E3098" s="166" t="str">
        <x:f>IFERROR(INDEX('Classif Gestoras'!$H$6:$H$462,MATCH(D3098,'Classif Gestoras'!$A$6:$A$462,0)),"Não classificada")</x:f>
        <x:v>Independente</x:v>
      </x:c>
      <x:c r="F3098" s="166" t="str">
        <x:v>PLANNER CV</x:v>
      </x:c>
      <x:c r="G3098" s="166" t="str">
        <x:v>PLANNER CORRETORA DE VALORES S.A.</x:v>
      </x:c>
      <x:c r="H3098" s="166" t="str">
        <x:v>Outros</x:v>
      </x:c>
      <x:c r="I3098" s="166" t="str">
        <x:v>Multicarteira Outros</x:v>
      </x:c>
      <x:c r="J3098" s="166" t="str">
        <x:v>CI</x:v>
      </x:c>
      <x:c r="K3098" s="172" t="n">
        <x:v>1</x:v>
      </x:c>
      <x:c r="L3098" s="185" t="str">
        <x:v>Não classificado</x:v>
      </x:c>
    </x:row>
    <x:row r="3099">
      <x:c r="A3099" s="175" t="str">
        <x:v>63.887.027/0001-68</x:v>
      </x:c>
      <x:c r="B3099" s="166" t="str">
        <x:v>ADIANTA PLANTÃO FUNDO DE INVESTIMENTO EM DIREITOS CREDITÓRIOS NÃO-PADRONIZADOS - RESPONSABILIDADE LI</x:v>
      </x:c>
      <x:c r="C3099" s="188" t="n">
        <x:v>4266.39</x:v>
      </x:c>
      <x:c r="D3099" s="166" t="str">
        <x:v>Planalto Capital</x:v>
      </x:c>
      <x:c r="E3099" s="166" t="str">
        <x:f>IFERROR(INDEX('Classif Gestoras'!$H$6:$H$462,MATCH(D3099,'Classif Gestoras'!$A$6:$A$462,0)),"Não classificada")</x:f>
        <x:v>Independente</x:v>
      </x:c>
      <x:c r="F3099" s="166" t="str">
        <x:v>AZUMI DISTRIBUIDORA DE TÍTULOS E VALORES MOBILIÁRIOS LT</x:v>
      </x:c>
      <x:c r="G3099" s="166" t="str">
        <x:v>AZUMI DISTRIBUIDORA DE TÍTULOS E VALORES MOBILIÁRIOS LTDA.</x:v>
      </x:c>
      <x:c r="H3099" s="166" t="str">
        <x:v>Outros</x:v>
      </x:c>
      <x:c r="I3099" s="166" t="str">
        <x:v>Multicarteira Outros</x:v>
      </x:c>
      <x:c r="J3099" s="166" t="str">
        <x:v>CI</x:v>
      </x:c>
      <x:c r="K3099" s="172" t="n">
        <x:v>7</x:v>
      </x:c>
      <x:c r="L3099" s="185" t="str">
        <x:v>Não classificado</x:v>
      </x:c>
    </x:row>
    <x:row r="3100">
      <x:c r="A3100" s="175" t="str">
        <x:v>57.441.997/0001-32</x:v>
      </x:c>
      <x:c r="B3100" s="166" t="str">
        <x:v>F4RES FUNDO DE INVESTIMENTO EM DIREITOS CREDITÓRIOS RESPONSABILIDADE LIMITADA</x:v>
      </x:c>
      <x:c r="C3100" s="188" t="n">
        <x:v>1757.79</x:v>
      </x:c>
      <x:c r="D3100" s="166" t="str">
        <x:v>Bless Capital Gestora de Recursos Ltda.</x:v>
      </x:c>
      <x:c r="E3100" s="166" t="str">
        <x:f>IFERROR(INDEX('Classif Gestoras'!$H$6:$H$462,MATCH(D3100,'Classif Gestoras'!$A$6:$A$462,0)),"Não classificada")</x:f>
        <x:v>Independente</x:v>
      </x:c>
      <x:c r="F3100" s="166" t="str">
        <x:v>ID Corretora de Títulos e Valores Mobiliários S.A.</x:v>
      </x:c>
      <x:c r="G3100" s="166" t="str">
        <x:v>ID CORRETORA DE TITULOS E VALORES MOBILIARIOS S.A.</x:v>
      </x:c>
      <x:c r="H3100" s="166" t="str">
        <x:v>Outros</x:v>
      </x:c>
      <x:c r="I3100" s="166" t="str">
        <x:v>Multicarteira Outros</x:v>
      </x:c>
      <x:c r="J3100" s="166" t="str">
        <x:v>CI</x:v>
      </x:c>
      <x:c r="K3100" s="172" t="n">
        <x:v>0</x:v>
      </x:c>
      <x:c r="L3100" s="185" t="str">
        <x:v>Não classificado</x:v>
      </x:c>
    </x:row>
    <x:row r="3101">
      <x:c r="A3101" s="175" t="str">
        <x:v>20.998.956/0001-31</x:v>
      </x:c>
      <x:c r="B3101" s="166" t="str">
        <x:v>CNPJ 20998956000131</x:v>
      </x:c>
      <x:c r="C3101" s="188" t="n">
        <x:v>0.05</x:v>
      </x:c>
      <x:c r="D3101" s="166" t="str">
        <x:v>Privatto Administração de Patrimonio Ltda</x:v>
      </x:c>
      <x:c r="E3101" s="166" t="str">
        <x:f>IFERROR(INDEX('Classif Gestoras'!$H$6:$H$462,MATCH(D3101,'Classif Gestoras'!$A$6:$A$462,0)),"Não classificada")</x:f>
        <x:v>Independente</x:v>
      </x:c>
      <x:c r="F3101" s="166" t="str">
        <x:v>ID Corretora de Títulos e Valores Mobiliários S.A.</x:v>
      </x:c>
      <x:c r="G3101" s="166" t="str">
        <x:v>Não identificado</x:v>
      </x:c>
      <x:c r="H3101" s="166" t="str">
        <x:v>Fomento Mercantil</x:v>
      </x:c>
      <x:c r="I3101" s="166" t="str">
        <x:v>Fomento Mercantil</x:v>
      </x:c>
      <x:c r="J3101" s="166" t="str">
        <x:v>CI</x:v>
      </x:c>
      <x:c r="K3101" s="172"/>
      <x:c r="L3101" s="185" t="str">
        <x:v>Não classificado</x:v>
      </x:c>
    </x:row>
    <x:row r="3102">
      <x:c r="A3102" s="175" t="str">
        <x:v>23.246.620/0001-00</x:v>
      </x:c>
      <x:c r="B3102" s="166" t="str">
        <x:v>FUNDO DE INVESTIMENTO EM DIREITOS CREDITÓRIOS MARTE FORNECEDORES</x:v>
      </x:c>
      <x:c r="C3102" s="188" t="n">
        <x:v>0.02</x:v>
      </x:c>
      <x:c r="D3102" s="166" t="str">
        <x:v>BRAX INVESTIMENTOS</x:v>
      </x:c>
      <x:c r="E3102" s="166" t="str">
        <x:f>IFERROR(INDEX('Classif Gestoras'!$H$6:$H$462,MATCH(D3102,'Classif Gestoras'!$A$6:$A$462,0)),"Não classificada")</x:f>
        <x:v>Independente</x:v>
      </x:c>
      <x:c r="F3102" s="166" t="str">
        <x:v>Singulare</x:v>
      </x:c>
      <x:c r="G3102" s="166" t="str">
        <x:v>QI CORRETORA DE TÍTULOS E VALORES MOBILIÁRIOS S.A.</x:v>
      </x:c>
      <x:c r="H3102" s="166" t="str">
        <x:v>Fomento Mercantil</x:v>
      </x:c>
      <x:c r="I3102" s="166" t="str">
        <x:v>Fomento Mercantil</x:v>
      </x:c>
      <x:c r="J3102" s="166" t="str">
        <x:v>CI</x:v>
      </x:c>
      <x:c r="K3102" s="172" t="n">
        <x:v>4</x:v>
      </x:c>
      <x:c r="L3102" s="185" t="str">
        <x:v>Não classificado</x:v>
      </x:c>
    </x:row>
    <x:row r="3103">
      <x:c r="A3103" s="175" t="str">
        <x:v>50.948.197/0001-63</x:v>
      </x:c>
      <x:c r="B3103" s="166" t="str">
        <x:v>CESSIONÁRIO 2 FUNDO DE INVESTIMENTO EM DIREITOS CREDITÓRIOS NÃO-PADRONIZADOS RESP LIMITADA</x:v>
      </x:c>
      <x:c r="C3103" s="188" t="n">
        <x:v>0.01</x:v>
      </x:c>
      <x:c r="D3103" s="166" t="str">
        <x:v>IDGR</x:v>
      </x:c>
      <x:c r="E3103" s="166" t="str">
        <x:f>IFERROR(INDEX('Classif Gestoras'!$H$6:$H$462,MATCH(D3103,'Classif Gestoras'!$A$6:$A$462,0)),"Não classificada")</x:f>
        <x:v>Independente</x:v>
      </x:c>
      <x:c r="F3103" s="166" t="str">
        <x:v>ID Corretora de Títulos e Valores Mobiliários S.A.</x:v>
      </x:c>
      <x:c r="G3103" s="166" t="str">
        <x:v>ID CORRETORA DE TITULOS E VALORES MOBILIARIOS S.A.</x:v>
      </x:c>
      <x:c r="H3103" s="166" t="str">
        <x:v>Outros</x:v>
      </x:c>
      <x:c r="I3103" s="166" t="str">
        <x:v>Multicarteira Outros</x:v>
      </x:c>
      <x:c r="J3103" s="166" t="str">
        <x:v>CI</x:v>
      </x:c>
      <x:c r="K3103" s="172" t="n">
        <x:v>0</x:v>
      </x:c>
      <x:c r="L3103" s="185" t="str">
        <x:v>Não classificado</x:v>
      </x:c>
    </x:row>
    <x:row r="3104">
      <x:c r="A3104" s="175" t="str">
        <x:v>27.467.600/0001-10</x:v>
      </x:c>
      <x:c r="B3104" s="166" t="str">
        <x:v>FUNDO DE INVESTIMENTO EM DIREITOS CREDITORIOS LOTEAMENTO</x:v>
      </x:c>
      <x:c r="C3104" s="188" t="n">
        <x:v>0.01</x:v>
      </x:c>
      <x:c r="D3104" s="166" t="str">
        <x:v>REAG GESTÃO DE CRÉDITO</x:v>
      </x:c>
      <x:c r="E3104" s="166" t="str">
        <x:f>IFERROR(INDEX('Classif Gestoras'!$H$6:$H$462,MATCH(D3104,'Classif Gestoras'!$A$6:$A$462,0)),"Não classificada")</x:f>
        <x:v>Independente</x:v>
      </x:c>
      <x:c r="F3104" s="166" t="str">
        <x:v>Oliveira Trust DTVM</x:v>
      </x:c>
      <x:c r="G3104" s="166" t="str">
        <x:v>OLIVEIRA TRUST DTVM S.A.</x:v>
      </x:c>
      <x:c r="H3104" s="166" t="str">
        <x:v>Outros</x:v>
      </x:c>
      <x:c r="I3104" s="166" t="str">
        <x:v>Multicarteira Outros</x:v>
      </x:c>
      <x:c r="J3104" s="166" t="str">
        <x:v>CI</x:v>
      </x:c>
      <x:c r="K3104" s="172" t="n">
        <x:v>2</x:v>
      </x:c>
      <x:c r="L3104" s="185" t="str">
        <x:v>Não classificado</x:v>
      </x:c>
    </x:row>
    <x:row r="3105">
      <x:c r="A3105" s="175" t="str">
        <x:v>21.254.455/0001-03</x:v>
      </x:c>
      <x:c r="B3105" s="166" t="str">
        <x:v>PAULISTA INVEST FUNDO DE INVESTIMENTO EM DIREITOS CREDITÓRIOS MULTISSETORIAL</x:v>
      </x:c>
      <x:c r="C3105" s="188" t="n">
        <x:v>0.01</x:v>
      </x:c>
      <x:c r="D3105" s="166" t="str">
        <x:v>OURO PRETO INVESTIMENTOS</x:v>
      </x:c>
      <x:c r="E3105" s="166" t="str">
        <x:f>IFERROR(INDEX('Classif Gestoras'!$H$6:$H$462,MATCH(D3105,'Classif Gestoras'!$A$6:$A$462,0)),"Não classificada")</x:f>
        <x:v>Independente</x:v>
      </x:c>
      <x:c r="F3105" s="166" t="str">
        <x:v>Singulare</x:v>
      </x:c>
      <x:c r="G3105" s="166" t="str">
        <x:v>QI CORRETORA DE TÍTULOS E VALORES MOBILIÁRIOS S.A.</x:v>
      </x:c>
      <x:c r="H3105" s="166" t="str">
        <x:v>Fomento Mercantil</x:v>
      </x:c>
      <x:c r="I3105" s="166" t="str">
        <x:v>Fomento Mercantil</x:v>
      </x:c>
      <x:c r="J3105" s="166" t="str">
        <x:v>CI</x:v>
      </x:c>
      <x:c r="K3105" s="172" t="n">
        <x:v>0</x:v>
      </x:c>
      <x:c r="L3105" s="185" t="str">
        <x:v>Não classificado</x:v>
      </x:c>
    </x:row>
    <x:row r="3106">
      <x:c r="A3106" s="175" t="str">
        <x:v>22.588.302/0001-65</x:v>
      </x:c>
      <x:c r="B3106" s="166" t="str">
        <x:v>ONE FUNDO DE INVESTIMENTO EM DIREITOS CREDITÓRIOS NÃO-PADRONIZADOS</x:v>
      </x:c>
      <x:c r="C3106" s="188" t="n">
        <x:v>0.01</x:v>
      </x:c>
      <x:c r="D3106" s="166" t="str">
        <x:v>Veritas Capital Management</x:v>
      </x:c>
      <x:c r="E3106" s="166" t="str">
        <x:f>IFERROR(INDEX('Classif Gestoras'!$H$6:$H$462,MATCH(D3106,'Classif Gestoras'!$A$6:$A$462,0)),"Não classificada")</x:f>
        <x:v>Independente</x:v>
      </x:c>
      <x:c r="F3106" s="166" t="str">
        <x:v>RJI Investimentos</x:v>
      </x:c>
      <x:c r="G3106" s="166" t="str">
        <x:v>RJI CORRETORA DE TÍTULOS E VALORES MOBILIÁRIOS LTDA.</x:v>
      </x:c>
      <x:c r="H3106" s="166" t="str">
        <x:v>Outros</x:v>
      </x:c>
      <x:c r="I3106" s="166" t="str">
        <x:v>Multicarteira Outros</x:v>
      </x:c>
      <x:c r="J3106" s="166" t="str">
        <x:v>CI</x:v>
      </x:c>
      <x:c r="K3106" s="172" t="n">
        <x:v>6</x:v>
      </x:c>
      <x:c r="L3106" s="185" t="str">
        <x:v>Não classificado</x:v>
      </x:c>
    </x:row>
    <x:row r="3107">
      <x:c r="A3107" s="175" t="str">
        <x:v>12.138.862/0001-64</x:v>
      </x:c>
      <x:c r="B3107" s="166" t="str">
        <x:v>FUNDO DE INVESTIMENTO EM DIREITOS CREDITÓRIOS MULTISETORIAL SILVERADO MAXIMUM II</x:v>
      </x:c>
      <x:c r="C3107" s="188" t="n">
        <x:v>0.01</x:v>
      </x:c>
      <x:c r="D3107" s="166" t="str">
        <x:v>GENIAL GESTÃO LTDA.</x:v>
      </x:c>
      <x:c r="E3107" s="166" t="str">
        <x:f>IFERROR(INDEX('Classif Gestoras'!$H$6:$H$462,MATCH(D3107,'Classif Gestoras'!$A$6:$A$462,0)),"Não classificada")</x:f>
        <x:v>Ligada a banco</x:v>
      </x:c>
      <x:c r="F3107" s="166" t="str">
        <x:v>Banco Genial S.A.</x:v>
      </x:c>
      <x:c r="G3107" s="166" t="str">
        <x:v>BANCO GENIAL S.A.</x:v>
      </x:c>
      <x:c r="H3107" s="166" t="str">
        <x:v>Fomento Mercantil</x:v>
      </x:c>
      <x:c r="I3107" s="166" t="str">
        <x:v>Fomento Mercantil</x:v>
      </x:c>
      <x:c r="J3107" s="166" t="str">
        <x:v>CI</x:v>
      </x:c>
      <x:c r="K3107" s="172" t="n">
        <x:v>202</x:v>
      </x:c>
      <x:c r="L3107" s="185" t="str">
        <x:v>Não classificado</x:v>
      </x:c>
    </x:row>
    <x:row r="3108">
      <x:c r="A3108" s="175" t="str">
        <x:v>42.067.109/0001-96</x:v>
      </x:c>
      <x:c r="B3108" s="166" t="str">
        <x:v>CNPJ 42067109000196</x:v>
      </x:c>
      <x:c r="C3108" s="188" t="n">
        <x:v>0</x:v>
      </x:c>
      <x:c r="D3108" s="166" t="str">
        <x:v>GENIAL GESTÃO LTDA.</x:v>
      </x:c>
      <x:c r="E3108" s="166" t="str">
        <x:f>IFERROR(INDEX('Classif Gestoras'!$H$6:$H$462,MATCH(D3108,'Classif Gestoras'!$A$6:$A$462,0)),"Não classificada")</x:f>
        <x:v>Ligada a banco</x:v>
      </x:c>
      <x:c r="F3108" s="166" t="str">
        <x:v>Banco Genial S.A.</x:v>
      </x:c>
      <x:c r="G3108" s="166" t="str">
        <x:v>Não identificado</x:v>
      </x:c>
      <x:c r="H3108" s="166" t="str">
        <x:v>Agro, Indústria e Comércio</x:v>
      </x:c>
      <x:c r="I3108" s="166" t="str">
        <x:v>Recebíveis Comerciais</x:v>
      </x:c>
      <x:c r="J3108" s="166" t="str">
        <x:v>CI</x:v>
      </x:c>
      <x:c r="K3108" s="172"/>
      <x:c r="L3108" s="185" t="str">
        <x:v>Não classificado</x:v>
      </x:c>
    </x:row>
    <x:row r="3109">
      <x:c r="A3109" s="175" t="str">
        <x:v>52.856.414/0001-10</x:v>
      </x:c>
      <x:c r="B3109" s="166" t="str">
        <x:v>DW CRÉDITOS FUNDO DE INVESTIMENTO EM DIREITOS CREDITÓRIOS</x:v>
      </x:c>
      <x:c r="C3109" s="188" t="n">
        <x:v>0</x:v>
      </x:c>
      <x:c r="D3109" s="166" t="str">
        <x:v>PACTUAL CAPITAL PART</x:v>
      </x:c>
      <x:c r="E3109" s="166" t="str">
        <x:f>IFERROR(INDEX('Classif Gestoras'!$H$6:$H$462,MATCH(D3109,'Classif Gestoras'!$A$6:$A$462,0)),"Não classificada")</x:f>
        <x:v>Independente</x:v>
      </x:c>
      <x:c r="F3109" s="166" t="str">
        <x:v>BTG Pactual Servicos Financeiros S/A DTVM</x:v>
      </x:c>
      <x:c r="G3109" s="166" t="str">
        <x:v>ATIVA INVESTIMENTOS S.A. C.T.C.V.</x:v>
      </x:c>
      <x:c r="H3109" s="166" t="str">
        <x:v>Outros</x:v>
      </x:c>
      <x:c r="I3109" s="166" t="str">
        <x:v>Multicarteira Outros</x:v>
      </x:c>
      <x:c r="J3109" s="166" t="str">
        <x:v>CI</x:v>
      </x:c>
      <x:c r="K3109" s="172" t="n">
        <x:v>1</x:v>
      </x:c>
      <x:c r="L3109" s="185" t="str">
        <x:v>Não classificado</x:v>
      </x:c>
    </x:row>
    <x:row r="3110">
      <x:c r="A3110" s="175" t="str">
        <x:v>60.617.666/0001-15</x:v>
      </x:c>
      <x:c r="B3110" s="166" t="str">
        <x:v>BETEL FUNDO DE INVESTIMENTO EM DIREITOS CREDITÓRIOS</x:v>
      </x:c>
      <x:c r="C3110" s="188" t="n">
        <x:v>0</x:v>
      </x:c>
      <x:c r="D3110" s="166" t="str">
        <x:v>REAG PORTFOLIO SOLUTIONS</x:v>
      </x:c>
      <x:c r="E3110" s="166" t="str">
        <x:f>IFERROR(INDEX('Classif Gestoras'!$H$6:$H$462,MATCH(D3110,'Classif Gestoras'!$A$6:$A$462,0)),"Não classificada")</x:f>
        <x:v>Independente</x:v>
      </x:c>
      <x:c r="F3110" s="166" t="str">
        <x:v>REAG DTVM</x:v>
      </x:c>
      <x:c r="G3110" s="166" t="str">
        <x:v>REAG TRUST DISTRIBUIDORA DE TITULOS E VALORES MOBILIARIOS S.A.</x:v>
      </x:c>
      <x:c r="H3110" s="166" t="str">
        <x:v>Outros</x:v>
      </x:c>
      <x:c r="I3110" s="166" t="str">
        <x:v>Multicarteira Outros</x:v>
      </x:c>
      <x:c r="J3110" s="166" t="str">
        <x:v>CI</x:v>
      </x:c>
      <x:c r="K3110" s="172" t="n">
        <x:v>1</x:v>
      </x:c>
      <x:c r="L3110" s="185" t="str">
        <x:v>Não classificado</x:v>
      </x:c>
    </x:row>
    <x:row r="3111">
      <x:c r="A3111" s="175" t="str">
        <x:v>57.377.862/0001-55</x:v>
      </x:c>
      <x:c r="B3111" s="166" t="str">
        <x:v>AEDGER FUNDO DE INVESTIMENTO EM DIREITOS CREDITÓRIOS NÃO PADRONIZADOS</x:v>
      </x:c>
      <x:c r="C3111" s="188" t="n">
        <x:v>0</x:v>
      </x:c>
      <x:c r="D3111" s="166" t="str">
        <x:v>Reag Jus</x:v>
      </x:c>
      <x:c r="E3111" s="166" t="str">
        <x:f>IFERROR(INDEX('Classif Gestoras'!$H$6:$H$462,MATCH(D3111,'Classif Gestoras'!$A$6:$A$462,0)),"Não classificada")</x:f>
        <x:v>Independente</x:v>
      </x:c>
      <x:c r="F3111" s="166" t="str">
        <x:v>REAG DTVM</x:v>
      </x:c>
      <x:c r="G3111" s="166" t="str">
        <x:v>REAG TRUST DISTRIBUIDORA DE TITULOS E VALORES MOBILIARIOS S.A.</x:v>
      </x:c>
      <x:c r="H3111" s="166" t="str">
        <x:v>Outros</x:v>
      </x:c>
      <x:c r="I3111" s="166" t="str">
        <x:v>Multicarteira Outros</x:v>
      </x:c>
      <x:c r="J3111" s="166" t="str">
        <x:v>CI</x:v>
      </x:c>
      <x:c r="K3111" s="172" t="n">
        <x:v>1</x:v>
      </x:c>
      <x:c r="L3111" s="185" t="str">
        <x:v>Não classificado</x:v>
      </x:c>
    </x:row>
    <x:row r="3112">
      <x:c r="A3112" s="175" t="str">
        <x:v>32.990.792/0001-85</x:v>
      </x:c>
      <x:c r="B3112" s="166" t="str">
        <x:v>STEEL BANK FUNDO DE INVESTIMENTO EM DIREITOS CREDITÓRIOS</x:v>
      </x:c>
      <x:c r="C3112" s="188" t="n">
        <x:v>0</x:v>
      </x:c>
      <x:c r="D3112" s="166" t="str">
        <x:v>TERCON ASSET MANAGEMENT</x:v>
      </x:c>
      <x:c r="E3112" s="166" t="str">
        <x:f>IFERROR(INDEX('Classif Gestoras'!$H$6:$H$462,MATCH(D3112,'Classif Gestoras'!$A$6:$A$462,0)),"Não classificada")</x:f>
        <x:v>Independente</x:v>
      </x:c>
      <x:c r="F3112" s="166" t="str">
        <x:v>Singulare</x:v>
      </x:c>
      <x:c r="G3112" s="166" t="str">
        <x:v>QI CORRETORA DE TÍTULOS E VALORES MOBILIÁRIOS S.A.</x:v>
      </x:c>
      <x:c r="H3112" s="166" t="str">
        <x:v>Fomento Mercantil</x:v>
      </x:c>
      <x:c r="I3112" s="166" t="str">
        <x:v>Fomento Mercantil</x:v>
      </x:c>
      <x:c r="J3112" s="166" t="str">
        <x:v>CI</x:v>
      </x:c>
      <x:c r="K3112" s="172" t="n">
        <x:v>0</x:v>
      </x:c>
      <x:c r="L3112" s="185" t="str">
        <x:v>Não classificado</x:v>
      </x:c>
    </x:row>
    <x:row r="3113">
      <x:c r="A3113" s="175" t="str">
        <x:v>45.703.173/0001-04</x:v>
      </x:c>
      <x:c r="B3113" s="166" t="str">
        <x:v>CNPJ 45703173000104</x:v>
      </x:c>
      <x:c r="C3113" s="188" t="n">
        <x:v>0</x:v>
      </x:c>
      <x:c r="D3113" s="166" t="str">
        <x:v>REAG SPECIALTY FINANCE</x:v>
      </x:c>
      <x:c r="E3113" s="166" t="str">
        <x:f>IFERROR(INDEX('Classif Gestoras'!$H$6:$H$462,MATCH(D3113,'Classif Gestoras'!$A$6:$A$462,0)),"Não classificada")</x:f>
        <x:v>Independente</x:v>
      </x:c>
      <x:c r="F3113" s="166" t="str">
        <x:v>REAG DTVM</x:v>
      </x:c>
      <x:c r="G3113" s="166" t="str">
        <x:v>Não identificado</x:v>
      </x:c>
      <x:c r="H3113" s="166" t="str">
        <x:v>Fomento Mercantil</x:v>
      </x:c>
      <x:c r="I3113" s="166" t="str">
        <x:v>Fomento Mercantil</x:v>
      </x:c>
      <x:c r="J3113" s="166" t="str">
        <x:v>CI</x:v>
      </x:c>
      <x:c r="K3113" s="172"/>
      <x:c r="L3113" s="185" t="str">
        <x:v>Não classificado</x:v>
      </x:c>
    </x:row>
    <x:row r="3114">
      <x:c r="A3114" s="175" t="str">
        <x:v>32.999.089/0001-38</x:v>
      </x:c>
      <x:c r="B3114" s="166" t="str">
        <x:v>STRUCTURE FUNDO DE INVESTIMENTO EM DIREITOS CREDITÓRIOS</x:v>
      </x:c>
      <x:c r="C3114" s="188" t="n">
        <x:v>0</x:v>
      </x:c>
      <x:c r="D3114" s="166" t="str">
        <x:v>WNT Gestora de Recursos Ltda.</x:v>
      </x:c>
      <x:c r="E3114" s="166" t="str">
        <x:f>IFERROR(INDEX('Classif Gestoras'!$H$6:$H$462,MATCH(D3114,'Classif Gestoras'!$A$6:$A$462,0)),"Não classificada")</x:f>
        <x:v>Independente</x:v>
      </x:c>
      <x:c r="F3114" s="166" t="str">
        <x:v>Singulare</x:v>
      </x:c>
      <x:c r="G3114" s="166" t="str">
        <x:v>WNT CAPITAL DISTRIBUIDORA DE TITULOS E VALORES MOBILIARIOS S.A.</x:v>
      </x:c>
      <x:c r="H3114" s="166" t="str">
        <x:v>Financeiro</x:v>
      </x:c>
      <x:c r="I3114" s="166" t="str">
        <x:v>Crédito Consignado</x:v>
      </x:c>
      <x:c r="J3114" s="166" t="str">
        <x:v>CI</x:v>
      </x:c>
      <x:c r="K3114" s="172" t="n">
        <x:v>18</x:v>
      </x:c>
      <x:c r="L3114" s="185" t="str">
        <x:v>Não classificado</x:v>
      </x:c>
    </x:row>
    <x:row r="3115">
      <x:c r="A3115" s="175" t="str">
        <x:v>55.251.626/0001-62</x:v>
      </x:c>
      <x:c r="B3115" s="166" t="str">
        <x:v>CNPJ 55251626000162</x:v>
      </x:c>
      <x:c r="C3115" s="188" t="n">
        <x:v>0</x:v>
      </x:c>
      <x:c r="D3115" s="166" t="str">
        <x:v>Eco Gestão de Ativos LTDA.</x:v>
      </x:c>
      <x:c r="E3115" s="166" t="str">
        <x:f>IFERROR(INDEX('Classif Gestoras'!$H$6:$H$462,MATCH(D3115,'Classif Gestoras'!$A$6:$A$462,0)),"Não classificada")</x:f>
        <x:v>Independente</x:v>
      </x:c>
      <x:c r="F3115" s="166" t="str">
        <x:v>BANCO DAYCOVAL S/A</x:v>
      </x:c>
      <x:c r="G3115" s="166" t="str">
        <x:v>Não identificado</x:v>
      </x:c>
      <x:c r="H3115" s="166" t="str">
        <x:v>Agro, Indústria e Comércio</x:v>
      </x:c>
      <x:c r="I3115" s="166" t="str">
        <x:v>Não se aplica</x:v>
      </x:c>
      <x:c r="J3115" s="166" t="str">
        <x:v>CI</x:v>
      </x:c>
      <x:c r="K3115" s="172"/>
      <x:c r="L3115" s="185" t="str">
        <x:v>Não classificado</x:v>
      </x:c>
    </x:row>
    <x:row r="3116">
      <x:c r="A3116" s="175" t="str">
        <x:v>45.703.190/0001-41</x:v>
      </x:c>
      <x:c r="B3116" s="166" t="str">
        <x:v>SSA FUNDO DE INVESTIMENTO EM DIREITO CREDITÓRIO NÃO PADRONIZADO</x:v>
      </x:c>
      <x:c r="C3116" s="188" t="n">
        <x:v>0</x:v>
      </x:c>
      <x:c r="D3116" s="166" t="str">
        <x:v>Reag Jus</x:v>
      </x:c>
      <x:c r="E3116" s="166" t="str">
        <x:f>IFERROR(INDEX('Classif Gestoras'!$H$6:$H$462,MATCH(D3116,'Classif Gestoras'!$A$6:$A$462,0)),"Não classificada")</x:f>
        <x:v>Independente</x:v>
      </x:c>
      <x:c r="F3116" s="166" t="str">
        <x:v>REAG DTVM</x:v>
      </x:c>
      <x:c r="G3116" s="166" t="str">
        <x:v>REAG TRUST DISTRIBUIDORA DE TITULOS E VALORES MOBILIARIOS S.A.</x:v>
      </x:c>
      <x:c r="H3116" s="166" t="str">
        <x:v>Outros</x:v>
      </x:c>
      <x:c r="I3116" s="166" t="str">
        <x:v>Multicarteira Outros</x:v>
      </x:c>
      <x:c r="J3116" s="166" t="str">
        <x:v>CI</x:v>
      </x:c>
      <x:c r="K3116" s="172" t="n">
        <x:v>2</x:v>
      </x:c>
      <x:c r="L3116" s="185" t="str">
        <x:v>Não classificado</x:v>
      </x:c>
    </x:row>
    <x:row r="3117">
      <x:c r="A3117" s="175" t="str">
        <x:v>55.240.138/0001-50</x:v>
      </x:c>
      <x:c r="B3117" s="166" t="str">
        <x:v>CNPJ 55240138000150</x:v>
      </x:c>
      <x:c r="C3117" s="188" t="n">
        <x:v>0</x:v>
      </x:c>
      <x:c r="D3117" s="166" t="str">
        <x:v>B6 GESTORA DE RECURSOS LTDA</x:v>
      </x:c>
      <x:c r="E3117" s="166" t="str">
        <x:f>IFERROR(INDEX('Classif Gestoras'!$H$6:$H$462,MATCH(D3117,'Classif Gestoras'!$A$6:$A$462,0)),"Não classificada")</x:f>
        <x:v>Independente</x:v>
      </x:c>
      <x:c r="F3117" s="166" t="str">
        <x:v>PLANNER CV</x:v>
      </x:c>
      <x:c r="G3117" s="166" t="str">
        <x:v>Não identificado</x:v>
      </x:c>
      <x:c r="H3117" s="166" t="str">
        <x:v>Financeiro</x:v>
      </x:c>
      <x:c r="I3117" s="166" t="str">
        <x:v>Crédito Pessoal</x:v>
      </x:c>
      <x:c r="J3117" s="166" t="str">
        <x:v>CI</x:v>
      </x:c>
      <x:c r="K3117" s="172"/>
      <x:c r="L3117" s="185" t="str">
        <x:v>Não classificado</x:v>
      </x:c>
    </x:row>
    <x:row r="3118">
      <x:c r="A3118" s="175" t="str">
        <x:v>42.031.108/0001-91</x:v>
      </x:c>
      <x:c r="B3118" s="166" t="str">
        <x:v>DES SABLES FUNDO DE INVESTIMENTO EM DIREITOS CREDITÓRIOS NÃO-PADRONIZADOS</x:v>
      </x:c>
      <x:c r="C3118" s="188" t="n">
        <x:v>0</x:v>
      </x:c>
      <x:c r="D3118" s="166" t="str">
        <x:v>Reag Jus</x:v>
      </x:c>
      <x:c r="E3118" s="166" t="str">
        <x:f>IFERROR(INDEX('Classif Gestoras'!$H$6:$H$462,MATCH(D3118,'Classif Gestoras'!$A$6:$A$462,0)),"Não classificada")</x:f>
        <x:v>Independente</x:v>
      </x:c>
      <x:c r="F3118" s="166" t="str">
        <x:v>REAG DTVM</x:v>
      </x:c>
      <x:c r="G3118" s="166" t="str">
        <x:v>ID CORRETORA DE TITULOS E VALORES MOBILIARIOS S.A.</x:v>
      </x:c>
      <x:c r="H3118" s="166" t="str">
        <x:v>Fomento Mercantil</x:v>
      </x:c>
      <x:c r="I3118" s="166" t="str">
        <x:v>Fomento Mercantil</x:v>
      </x:c>
      <x:c r="J3118" s="166" t="str">
        <x:v>CI</x:v>
      </x:c>
      <x:c r="K3118" s="172" t="n">
        <x:v>1</x:v>
      </x:c>
      <x:c r="L3118" s="185" t="str">
        <x:v>Não classificado</x:v>
      </x:c>
    </x:row>
    <x:row r="3119">
      <x:c r="A3119" s="175" t="str">
        <x:v>63.905.021/0001-76</x:v>
      </x:c>
      <x:c r="B3119" s="166" t="str">
        <x:v>STAR BLUE FUNDO DE INVESTIMENTO EM DIREITOS CREDITÓRIOS DE RESPONSABILIDADE LIMITADA</x:v>
      </x:c>
      <x:c r="C3119" s="188" t="n">
        <x:v>0</x:v>
      </x:c>
      <x:c r="D3119" s="166" t="str">
        <x:v>TAG Investimentos</x:v>
      </x:c>
      <x:c r="E3119" s="166" t="str">
        <x:f>IFERROR(INDEX('Classif Gestoras'!$H$6:$H$462,MATCH(D3119,'Classif Gestoras'!$A$6:$A$462,0)),"Não classificada")</x:f>
        <x:v>Independente</x:v>
      </x:c>
      <x:c r="F3119" s="166" t="str">
        <x:v>VÓRTX DTVM</x:v>
      </x:c>
      <x:c r="G3119" s="166" t="str">
        <x:v>VORTX DISTRIBUIDORA DE TITULOS E VALORES MOBILIARIOS LTDA.</x:v>
      </x:c>
      <x:c r="H3119" s="166" t="str">
        <x:v>Outros</x:v>
      </x:c>
      <x:c r="I3119" s="166" t="str">
        <x:v>Poder Público</x:v>
      </x:c>
      <x:c r="J3119" s="166" t="str">
        <x:v>CI</x:v>
      </x:c>
      <x:c r="K3119" s="172" t="n">
        <x:v>2</x:v>
      </x:c>
      <x:c r="L3119" s="185" t="str">
        <x:v>Não classificado</x:v>
      </x:c>
    </x:row>
    <x:row r="3120">
      <x:c r="A3120" s="175" t="str">
        <x:v>59.809.018/0001-81</x:v>
      </x:c>
      <x:c r="B3120" s="166" t="str">
        <x:v>CNPJ 59809018000181</x:v>
      </x:c>
      <x:c r="C3120" s="188" t="n">
        <x:v>0</x:v>
      </x:c>
      <x:c r="D3120" s="166" t="str">
        <x:v>ASSET MANAGEMENT</x:v>
      </x:c>
      <x:c r="E3120" s="166" t="str">
        <x:f>IFERROR(INDEX('Classif Gestoras'!$H$6:$H$462,MATCH(D3120,'Classif Gestoras'!$A$6:$A$462,0)),"Não classificada")</x:f>
        <x:v>Independente</x:v>
      </x:c>
      <x:c r="F3120" s="166" t="str">
        <x:v>AZUMI DISTRIBUIDORA DE TÍTULOS E VALORES MOBILIÁRIOS LT</x:v>
      </x:c>
      <x:c r="G3120" s="166" t="str">
        <x:v>Não identificado</x:v>
      </x:c>
      <x:c r="H3120" s="166" t="str">
        <x:v>Outros</x:v>
      </x:c>
      <x:c r="I3120" s="166" t="str">
        <x:v>Não se aplica</x:v>
      </x:c>
      <x:c r="J3120" s="166" t="str">
        <x:v>CI</x:v>
      </x:c>
      <x:c r="K3120" s="172"/>
      <x:c r="L3120" s="185" t="str">
        <x:v>Não classificado</x:v>
      </x:c>
    </x:row>
    <x:row r="3121">
      <x:c r="A3121" s="175" t="str">
        <x:v>41.992.740/0001-39</x:v>
      </x:c>
      <x:c r="B3121" s="166" t="str">
        <x:v>CNPJ 41992740000139</x:v>
      </x:c>
      <x:c r="C3121" s="188" t="n">
        <x:v>0</x:v>
      </x:c>
      <x:c r="D3121" s="166" t="str">
        <x:v>REAG GESTÃO DE CRÉDITO</x:v>
      </x:c>
      <x:c r="E3121" s="166" t="str">
        <x:f>IFERROR(INDEX('Classif Gestoras'!$H$6:$H$462,MATCH(D3121,'Classif Gestoras'!$A$6:$A$462,0)),"Não classificada")</x:f>
        <x:v>Independente</x:v>
      </x:c>
      <x:c r="F3121" s="166" t="str">
        <x:v>Banco Genial S.A.</x:v>
      </x:c>
      <x:c r="G3121" s="166" t="str">
        <x:v>Não identificado</x:v>
      </x:c>
      <x:c r="H3121" s="166" t="str">
        <x:v>Outros</x:v>
      </x:c>
      <x:c r="I3121" s="166" t="str">
        <x:v>Multicarteira Outros</x:v>
      </x:c>
      <x:c r="J3121" s="166" t="str">
        <x:v>CI</x:v>
      </x:c>
      <x:c r="K3121" s="172"/>
      <x:c r="L3121" s="185" t="str">
        <x:v>Não classificado</x:v>
      </x:c>
    </x:row>
    <x:row r="3122">
      <x:c r="A3122" s="175" t="str">
        <x:v>59.795.134/0001-99</x:v>
      </x:c>
      <x:c r="B3122" s="166" t="str">
        <x:v>CNPJ 59795134000199</x:v>
      </x:c>
      <x:c r="C3122" s="188" t="n">
        <x:v>0</x:v>
      </x:c>
      <x:c r="D3122" s="166" t="str">
        <x:v>REAG PORTFOLIO SOLUTIONS</x:v>
      </x:c>
      <x:c r="E3122" s="166" t="str">
        <x:f>IFERROR(INDEX('Classif Gestoras'!$H$6:$H$462,MATCH(D3122,'Classif Gestoras'!$A$6:$A$462,0)),"Não classificada")</x:f>
        <x:v>Independente</x:v>
      </x:c>
      <x:c r="F3122" s="166" t="str">
        <x:v>REAG DTVM</x:v>
      </x:c>
      <x:c r="G3122" s="166" t="str">
        <x:v>Não identificado</x:v>
      </x:c>
      <x:c r="H3122" s="166" t="str">
        <x:v>Outros</x:v>
      </x:c>
      <x:c r="I3122" s="166" t="str">
        <x:v>Não se aplica</x:v>
      </x:c>
      <x:c r="J3122" s="166" t="str">
        <x:v>CI</x:v>
      </x:c>
      <x:c r="K3122" s="172"/>
      <x:c r="L3122" s="185" t="str">
        <x:v>Não classificado</x:v>
      </x:c>
    </x:row>
    <x:row r="3123">
      <x:c r="A3123" s="175" t="str">
        <x:v>55.211.476/0001-63</x:v>
      </x:c>
      <x:c r="B3123" s="166" t="str">
        <x:v>CNPJ 55211476000163</x:v>
      </x:c>
      <x:c r="C3123" s="188" t="n">
        <x:v>0</x:v>
      </x:c>
      <x:c r="D3123" s="166" t="str">
        <x:v>TERCON ASSET MANAGEMENT</x:v>
      </x:c>
      <x:c r="E3123" s="166" t="str">
        <x:f>IFERROR(INDEX('Classif Gestoras'!$H$6:$H$462,MATCH(D3123,'Classif Gestoras'!$A$6:$A$462,0)),"Não classificada")</x:f>
        <x:v>Independente</x:v>
      </x:c>
      <x:c r="F3123" s="166" t="str">
        <x:v>MASTER S/A CORRETORA</x:v>
      </x:c>
      <x:c r="G3123" s="166" t="str">
        <x:v>Não identificado</x:v>
      </x:c>
      <x:c r="H3123" s="166" t="str">
        <x:v>Outros</x:v>
      </x:c>
      <x:c r="I3123" s="166" t="str">
        <x:v>Multicarteira Outros</x:v>
      </x:c>
      <x:c r="J3123" s="166" t="str">
        <x:v>CI</x:v>
      </x:c>
      <x:c r="K3123" s="172"/>
      <x:c r="L3123" s="185" t="str">
        <x:v>Não classificado</x:v>
      </x:c>
    </x:row>
    <x:row r="3124">
      <x:c r="A3124" s="175" t="str">
        <x:v>57.373.422/0001-20</x:v>
      </x:c>
      <x:c r="B3124" s="166" t="str">
        <x:v>CNPJ 57373422000120</x:v>
      </x:c>
      <x:c r="C3124" s="188" t="n">
        <x:v>0</x:v>
      </x:c>
      <x:c r="D3124" s="166" t="str">
        <x:v>Vila Rica Capital</x:v>
      </x:c>
      <x:c r="E3124" s="166" t="str">
        <x:f>IFERROR(INDEX('Classif Gestoras'!$H$6:$H$462,MATCH(D3124,'Classif Gestoras'!$A$6:$A$462,0)),"Não classificada")</x:f>
        <x:v>Independente</x:v>
      </x:c>
      <x:c r="F3124" s="166" t="str">
        <x:v>Intra Investimentos Distribuidora de Títulos e Valores Mobiliários LTDA.</x:v>
      </x:c>
      <x:c r="G3124" s="166" t="str">
        <x:v>Não identificado</x:v>
      </x:c>
      <x:c r="H3124" s="166" t="str">
        <x:v>Outros</x:v>
      </x:c>
      <x:c r="I3124" s="166" t="str">
        <x:v>Multicarteira Outros</x:v>
      </x:c>
      <x:c r="J3124" s="166" t="str">
        <x:v>CI</x:v>
      </x:c>
      <x:c r="K3124" s="172"/>
      <x:c r="L3124" s="185" t="str">
        <x:v>Não classificado</x:v>
      </x:c>
    </x:row>
    <x:row r="3125">
      <x:c r="A3125" s="175" t="str">
        <x:v>42.084.488/0001-22</x:v>
      </x:c>
      <x:c r="B3125" s="166" t="str">
        <x:v>ALENTEJO FUNDO DE INVESTIMENTO EM DIREITOS CREDITÓRIOS</x:v>
      </x:c>
      <x:c r="C3125" s="188" t="n">
        <x:v>0</x:v>
      </x:c>
      <x:c r="D3125" s="166" t="str">
        <x:v>Reag Administradora de Recursos Ltda</x:v>
      </x:c>
      <x:c r="E3125" s="166" t="str">
        <x:f>IFERROR(INDEX('Classif Gestoras'!$H$6:$H$462,MATCH(D3125,'Classif Gestoras'!$A$6:$A$462,0)),"Não classificada")</x:f>
        <x:v>Independente</x:v>
      </x:c>
      <x:c r="F3125" s="166" t="str">
        <x:v>REAG DTVM</x:v>
      </x:c>
      <x:c r="G3125" s="166" t="str">
        <x:v>REAG TRUST DISTRIBUIDORA DE TITULOS E VALORES MOBILIARIOS S.A.</x:v>
      </x:c>
      <x:c r="H3125" s="166" t="str">
        <x:v>Outros</x:v>
      </x:c>
      <x:c r="I3125" s="166" t="str">
        <x:v>Multicarteira Outros</x:v>
      </x:c>
      <x:c r="J3125" s="166" t="str">
        <x:v>CI</x:v>
      </x:c>
      <x:c r="K3125" s="172" t="n">
        <x:v>1</x:v>
      </x:c>
      <x:c r="L3125" s="185" t="str">
        <x:v>Não classificado</x:v>
      </x:c>
    </x:row>
    <x:row r="3126">
      <x:c r="A3126" s="175" t="str">
        <x:v>55.333.029/0001-87</x:v>
      </x:c>
      <x:c r="B3126" s="166" t="str">
        <x:v>POTI BANK FUNDO DE INVESTIMENTO EM DIREITOS CREDITÓRIOS</x:v>
      </x:c>
      <x:c r="C3126" s="188" t="n">
        <x:v>0</x:v>
      </x:c>
      <x:c r="D3126" s="166" t="str">
        <x:v>Reag Administradora de Recursos Ltda</x:v>
      </x:c>
      <x:c r="E3126" s="166" t="str">
        <x:f>IFERROR(INDEX('Classif Gestoras'!$H$6:$H$462,MATCH(D3126,'Classif Gestoras'!$A$6:$A$462,0)),"Não classificada")</x:f>
        <x:v>Independente</x:v>
      </x:c>
      <x:c r="F3126" s="166" t="str">
        <x:v>REAG DTVM</x:v>
      </x:c>
      <x:c r="G3126" s="166" t="str">
        <x:v>REAG TRUST DISTRIBUIDORA DE TITULOS E VALORES MOBILIARIOS S.A.</x:v>
      </x:c>
      <x:c r="H3126" s="166" t="str">
        <x:v>Outros</x:v>
      </x:c>
      <x:c r="I3126" s="166" t="str">
        <x:v>Multicarteira Outros</x:v>
      </x:c>
      <x:c r="J3126" s="166" t="str">
        <x:v>CI</x:v>
      </x:c>
      <x:c r="K3126" s="172" t="n">
        <x:v>5</x:v>
      </x:c>
      <x:c r="L3126" s="185" t="str">
        <x:v>Não classificado</x:v>
      </x:c>
    </x:row>
    <x:row r="3127">
      <x:c r="A3127" s="175" t="str">
        <x:v>55.476.342/0001-74</x:v>
      </x:c>
      <x:c r="B3127" s="166" t="str">
        <x:v>CNPJ 55476342000174</x:v>
      </x:c>
      <x:c r="C3127" s="188" t="n">
        <x:v>0</x:v>
      </x:c>
      <x:c r="D3127" s="166" t="str">
        <x:v>Kanastra</x:v>
      </x:c>
      <x:c r="E3127" s="166" t="str">
        <x:f>IFERROR(INDEX('Classif Gestoras'!$H$6:$H$462,MATCH(D3127,'Classif Gestoras'!$A$6:$A$462,0)),"Não classificada")</x:f>
        <x:v>Independente</x:v>
      </x:c>
      <x:c r="F3127" s="166" t="str">
        <x:v>VÓRTX DTVM</x:v>
      </x:c>
      <x:c r="G3127" s="166" t="str">
        <x:v>Não identificado</x:v>
      </x:c>
      <x:c r="H3127" s="166" t="str">
        <x:v>Agro, Indústria e Comércio</x:v>
      </x:c>
      <x:c r="I3127" s="166" t="str">
        <x:v>Não se aplica</x:v>
      </x:c>
      <x:c r="J3127" s="166" t="str">
        <x:v>CI</x:v>
      </x:c>
      <x:c r="K3127" s="172"/>
      <x:c r="L3127" s="185" t="str">
        <x:v>Não classificado</x:v>
      </x:c>
    </x:row>
    <x:row r="3128">
      <x:c r="A3128" s="175" t="str">
        <x:v>55.539.221/0001-24</x:v>
      </x:c>
      <x:c r="B3128" s="166" t="str">
        <x:v>CNPJ 55539221000124</x:v>
      </x:c>
      <x:c r="C3128" s="188" t="n">
        <x:v>0</x:v>
      </x:c>
      <x:c r="D3128" s="166" t="str">
        <x:v>Plural Investimentos Gestão de Recursos Ltda.</x:v>
      </x:c>
      <x:c r="E3128" s="166" t="str">
        <x:f>IFERROR(INDEX('Classif Gestoras'!$H$6:$H$462,MATCH(D3128,'Classif Gestoras'!$A$6:$A$462,0)),"Não classificada")</x:f>
        <x:v>Ligada a banco</x:v>
      </x:c>
      <x:c r="F3128" s="166" t="str">
        <x:v>Banco Genial S.A.</x:v>
      </x:c>
      <x:c r="G3128" s="166" t="str">
        <x:v>Não identificado</x:v>
      </x:c>
      <x:c r="H3128" s="166" t="str">
        <x:v>Financeiro</x:v>
      </x:c>
      <x:c r="I3128" s="166" t="str">
        <x:v>Crédito Consignado</x:v>
      </x:c>
      <x:c r="J3128" s="166" t="str">
        <x:v>CI</x:v>
      </x:c>
      <x:c r="K3128" s="172"/>
      <x:c r="L3128" s="185" t="str">
        <x:v>Não classificado</x:v>
      </x:c>
    </x:row>
    <x:row r="3129">
      <x:c r="A3129" s="175" t="str">
        <x:v>44.681.727/0001-57</x:v>
      </x:c>
      <x:c r="B3129" s="166" t="str">
        <x:v>TERRA BONA FUNDO DE INVESTIMENTO EM DIREITOS CREDITÓRIOS NÃO-PADRONIZADO</x:v>
      </x:c>
      <x:c r="C3129" s="188" t="n">
        <x:v>0</x:v>
      </x:c>
      <x:c r="D3129" s="166" t="str">
        <x:v>Reag Administradora de Recursos Ltda</x:v>
      </x:c>
      <x:c r="E3129" s="166" t="str">
        <x:f>IFERROR(INDEX('Classif Gestoras'!$H$6:$H$462,MATCH(D3129,'Classif Gestoras'!$A$6:$A$462,0)),"Não classificada")</x:f>
        <x:v>Independente</x:v>
      </x:c>
      <x:c r="F3129" s="166" t="str">
        <x:v>REAG DTVM</x:v>
      </x:c>
      <x:c r="G3129" s="166" t="str">
        <x:v>REAG TRUST DISTRIBUIDORA DE TITULOS E VALORES MOBILIARIOS S.A.</x:v>
      </x:c>
      <x:c r="H3129" s="166" t="str">
        <x:v>Outros</x:v>
      </x:c>
      <x:c r="I3129" s="166" t="str">
        <x:v>Multicarteira Outros</x:v>
      </x:c>
      <x:c r="J3129" s="166" t="str">
        <x:v>CI</x:v>
      </x:c>
      <x:c r="K3129" s="172" t="n">
        <x:v>1</x:v>
      </x:c>
      <x:c r="L3129" s="185" t="str">
        <x:v>Não classificado</x:v>
      </x:c>
    </x:row>
    <x:row r="3130">
      <x:c r="A3130" s="175" t="str">
        <x:v>60.531.763/0001-90</x:v>
      </x:c>
      <x:c r="B3130" s="166" t="str">
        <x:v>ALPHA AETERNUM FUNDO DE INVESTIMENTO EM DIREITOS CREDITÓRIOS</x:v>
      </x:c>
      <x:c r="C3130" s="188" t="n">
        <x:v>0</x:v>
      </x:c>
      <x:c r="D3130" s="166" t="str">
        <x:v>ATF</x:v>
      </x:c>
      <x:c r="E3130" s="166" t="str">
        <x:f>IFERROR(INDEX('Classif Gestoras'!$H$6:$H$462,MATCH(D3130,'Classif Gestoras'!$A$6:$A$462,0)),"Não classificada")</x:f>
        <x:v>Independente</x:v>
      </x:c>
      <x:c r="F3130" s="166" t="str">
        <x:v>FIDD DISTRIBUIDORA DE TITULOS E VALORES MOBILIARIOS LTD</x:v>
      </x:c>
      <x:c r="G3130" s="166" t="str">
        <x:v>LIMINE TRUST DISTRIBUIDORA DE TITULOS E VALORES MOBILIARIOS LTDA.</x:v>
      </x:c>
      <x:c r="H3130" s="166" t="str">
        <x:v>Fomento Mercantil</x:v>
      </x:c>
      <x:c r="I3130" s="166" t="str">
        <x:v>Fomento Mercantil</x:v>
      </x:c>
      <x:c r="J3130" s="166" t="str">
        <x:v>CI</x:v>
      </x:c>
      <x:c r="K3130" s="172" t="n">
        <x:v>3</x:v>
      </x:c>
      <x:c r="L3130" s="185" t="str">
        <x:v>Não classificado</x:v>
      </x:c>
    </x:row>
    <x:row r="3131">
      <x:c r="A3131" s="175" t="str">
        <x:v>55.501.349/0001-07</x:v>
      </x:c>
      <x:c r="B3131" s="166" t="str">
        <x:v>LAUSANNE FUNDO DE INVESTIMENTO EM DIREITOS CREDITÓRIOS NÃO PADRONIZADOS</x:v>
      </x:c>
      <x:c r="C3131" s="188" t="n">
        <x:v>0</x:v>
      </x:c>
      <x:c r="D3131" s="166" t="str">
        <x:v>Redwood Asset Management</x:v>
      </x:c>
      <x:c r="E3131" s="166" t="str">
        <x:f>IFERROR(INDEX('Classif Gestoras'!$H$6:$H$462,MATCH(D3131,'Classif Gestoras'!$A$6:$A$462,0)),"Não classificada")</x:f>
        <x:v>Independente</x:v>
      </x:c>
      <x:c r="F3131" s="166" t="str">
        <x:v>PLANNER CV</x:v>
      </x:c>
      <x:c r="G3131" s="166" t="str">
        <x:v>PLANNER CORRETORA DE VALORES S.A.</x:v>
      </x:c>
      <x:c r="H3131" s="166" t="str">
        <x:v>Outros</x:v>
      </x:c>
      <x:c r="I3131" s="166" t="str">
        <x:v>Multicarteira Outros</x:v>
      </x:c>
      <x:c r="J3131" s="166" t="str">
        <x:v>CI</x:v>
      </x:c>
      <x:c r="K3131" s="172" t="n">
        <x:v>13</x:v>
      </x:c>
      <x:c r="L3131" s="185" t="str">
        <x:v>Não classificado</x:v>
      </x:c>
    </x:row>
    <x:row r="3132">
      <x:c r="A3132" s="175" t="str">
        <x:v>52.794.422/0001-80</x:v>
      </x:c>
      <x:c r="B3132" s="166" t="str">
        <x:v>CNPJ 52794422000180</x:v>
      </x:c>
      <x:c r="C3132" s="188" t="n">
        <x:v>0</x:v>
      </x:c>
      <x:c r="D3132" s="166" t="str">
        <x:v>Quadra Gestão de Recursos S.A.</x:v>
      </x:c>
      <x:c r="E3132" s="166" t="str">
        <x:f>IFERROR(INDEX('Classif Gestoras'!$H$6:$H$462,MATCH(D3132,'Classif Gestoras'!$A$6:$A$462,0)),"Não classificada")</x:f>
        <x:v>Independente</x:v>
      </x:c>
      <x:c r="F3132" s="166" t="str">
        <x:v>BTG Pactual Servicos Financeiros S/A DTVM</x:v>
      </x:c>
      <x:c r="G3132" s="166" t="str">
        <x:v>Não identificado</x:v>
      </x:c>
      <x:c r="H3132" s="166" t="str">
        <x:v>Outros</x:v>
      </x:c>
      <x:c r="I3132" s="166" t="str">
        <x:v>Multicarteira Outros</x:v>
      </x:c>
      <x:c r="J3132" s="166" t="str">
        <x:v>CIPC</x:v>
      </x:c>
      <x:c r="K3132" s="172"/>
      <x:c r="L3132" s="185" t="str">
        <x:v>Não classificado</x:v>
      </x:c>
    </x:row>
    <x:row r="3133">
      <x:c r="A3133" s="175" t="str">
        <x:v>42.174.080/0001-41</x:v>
      </x:c>
      <x:c r="B3133" s="166" t="str">
        <x:v>CNPJ 42174080000141</x:v>
      </x:c>
      <x:c r="C3133" s="188" t="n">
        <x:v>0</x:v>
      </x:c>
      <x:c r="D3133" s="166" t="str">
        <x:v>ORRAM GESTÃO DE RECURSOS LTDA.</x:v>
      </x:c>
      <x:c r="E3133" s="166" t="str">
        <x:f>IFERROR(INDEX('Classif Gestoras'!$H$6:$H$462,MATCH(D3133,'Classif Gestoras'!$A$6:$A$462,0)),"Não classificada")</x:f>
        <x:v>Independente</x:v>
      </x:c>
      <x:c r="F3133" s="166" t="str">
        <x:v>FIDD DISTRIBUIDORA DE TITULOS E VALORES MOBILIARIOS LTD</x:v>
      </x:c>
      <x:c r="G3133" s="166" t="str">
        <x:v>Não identificado</x:v>
      </x:c>
      <x:c r="H3133" s="166" t="str">
        <x:v>Outros</x:v>
      </x:c>
      <x:c r="I3133" s="166" t="str">
        <x:v>Multicarteira Outros</x:v>
      </x:c>
      <x:c r="J3133" s="166" t="str">
        <x:v>CI</x:v>
      </x:c>
      <x:c r="K3133" s="172"/>
      <x:c r="L3133" s="185" t="str">
        <x:v>Não classificado</x:v>
      </x:c>
    </x:row>
    <x:row r="3134">
      <x:c r="A3134" s="175" t="str">
        <x:v>45.101.831/0001-98</x:v>
      </x:c>
      <x:c r="B3134" s="166" t="str">
        <x:v>ARISTA FUNDO DE INVESTIMENTO EM DIREITOS CREDITÓRIOS</x:v>
      </x:c>
      <x:c r="C3134" s="188" t="n">
        <x:v>0</x:v>
      </x:c>
      <x:c r="D3134" s="166" t="str">
        <x:v>WNT Gestora de Recursos Ltda.</x:v>
      </x:c>
      <x:c r="E3134" s="166" t="str">
        <x:f>IFERROR(INDEX('Classif Gestoras'!$H$6:$H$462,MATCH(D3134,'Classif Gestoras'!$A$6:$A$462,0)),"Não classificada")</x:f>
        <x:v>Independente</x:v>
      </x:c>
      <x:c r="F3134" s="166" t="str">
        <x:v>TRUSTEE DTVM</x:v>
      </x:c>
      <x:c r="G3134" s="166" t="str">
        <x:v>TRUSTEE DISTRIBUIDORA DE TITULOS E VALORES MOBILIARIOS LTDA.</x:v>
      </x:c>
      <x:c r="H3134" s="166" t="str">
        <x:v>Outros</x:v>
      </x:c>
      <x:c r="I3134" s="166" t="str">
        <x:v>Recuperação</x:v>
      </x:c>
      <x:c r="J3134" s="166" t="str">
        <x:v>CI</x:v>
      </x:c>
      <x:c r="K3134" s="172" t="n">
        <x:v>1</x:v>
      </x:c>
      <x:c r="L3134" s="185" t="str">
        <x:v>Não classificado</x:v>
      </x:c>
    </x:row>
    <x:row r="3135">
      <x:c r="A3135" s="175" t="str">
        <x:v>27.985.070/0001-00</x:v>
      </x:c>
      <x:c r="B3135" s="166" t="str">
        <x:v>CNPJ 27985070000100</x:v>
      </x:c>
      <x:c r="C3135" s="188" t="n">
        <x:v>0</x:v>
      </x:c>
      <x:c r="D3135" s="166" t="str">
        <x:v>REAG GESTÃO DE CRÉDITO</x:v>
      </x:c>
      <x:c r="E3135" s="166" t="str">
        <x:f>IFERROR(INDEX('Classif Gestoras'!$H$6:$H$462,MATCH(D3135,'Classif Gestoras'!$A$6:$A$462,0)),"Não classificada")</x:f>
        <x:v>Independente</x:v>
      </x:c>
      <x:c r="F3135" s="166" t="str">
        <x:v>Banvox DTVM</x:v>
      </x:c>
      <x:c r="G3135" s="166" t="str">
        <x:v>Não identificado</x:v>
      </x:c>
      <x:c r="H3135" s="166" t="str">
        <x:v>Financeiro</x:v>
      </x:c>
      <x:c r="I3135" s="166" t="str">
        <x:v>Financiamento de Veículos</x:v>
      </x:c>
      <x:c r="J3135" s="166" t="str">
        <x:v>CI</x:v>
      </x:c>
      <x:c r="K3135" s="172"/>
      <x:c r="L3135" s="185" t="str">
        <x:v>Não classificado</x:v>
      </x:c>
    </x:row>
    <x:row r="3136">
      <x:c r="A3136" s="175" t="str">
        <x:v>32.969.429/0001-88</x:v>
      </x:c>
      <x:c r="B3136" s="166" t="str">
        <x:v>FUNDO DE INVESTIMENTO EM DIREITOS CREDITÓRIOS SANTA CRUZ CAPITAL</x:v>
      </x:c>
      <x:c r="C3136" s="188" t="n">
        <x:v>0</x:v>
      </x:c>
      <x:c r="D3136" s="166" t="str">
        <x:v>Galápagos</x:v>
      </x:c>
      <x:c r="E3136" s="166" t="str">
        <x:f>IFERROR(INDEX('Classif Gestoras'!$H$6:$H$462,MATCH(D3136,'Classif Gestoras'!$A$6:$A$462,0)),"Não classificada")</x:f>
        <x:v>Independente</x:v>
      </x:c>
      <x:c r="F3136" s="166" t="str">
        <x:v>REAG DTVM</x:v>
      </x:c>
      <x:c r="G3136" s="166" t="str">
        <x:v>ID CORRETORA DE TITULOS E VALORES MOBILIARIOS S.A.</x:v>
      </x:c>
      <x:c r="H3136" s="166" t="str">
        <x:v>Fomento Mercantil</x:v>
      </x:c>
      <x:c r="I3136" s="166" t="str">
        <x:v>Fomento Mercantil</x:v>
      </x:c>
      <x:c r="J3136" s="166" t="str">
        <x:v>CI</x:v>
      </x:c>
      <x:c r="K3136" s="172" t="n">
        <x:v>14</x:v>
      </x:c>
      <x:c r="L3136" s="185" t="str">
        <x:v>Não classificado</x:v>
      </x:c>
    </x:row>
    <x:row r="3137">
      <x:c r="A3137" s="175" t="str">
        <x:v>28.849.674/0001-84</x:v>
      </x:c>
      <x:c r="B3137" s="166" t="str">
        <x:v>CNPJ 28849674000184</x:v>
      </x:c>
      <x:c r="C3137" s="188" t="n">
        <x:v>0</x:v>
      </x:c>
      <x:c r="D3137" s="166" t="str">
        <x:v>Harbour Capital</x:v>
      </x:c>
      <x:c r="E3137" s="166" t="str">
        <x:f>IFERROR(INDEX('Classif Gestoras'!$H$6:$H$462,MATCH(D3137,'Classif Gestoras'!$A$6:$A$462,0)),"Não classificada")</x:f>
        <x:v>Independente</x:v>
      </x:c>
      <x:c r="F3137" s="166" t="str">
        <x:v>MASTER S/A CORRETORA</x:v>
      </x:c>
      <x:c r="G3137" s="166" t="str">
        <x:v>Não identificado</x:v>
      </x:c>
      <x:c r="H3137" s="166" t="str">
        <x:v>Outros</x:v>
      </x:c>
      <x:c r="I3137" s="166" t="str">
        <x:v>Fomento Mercantil</x:v>
      </x:c>
      <x:c r="J3137" s="166" t="str">
        <x:v>CI</x:v>
      </x:c>
      <x:c r="K3137" s="172"/>
      <x:c r="L3137" s="185" t="str">
        <x:v>Não classificado</x:v>
      </x:c>
    </x:row>
    <x:row r="3138">
      <x:c r="A3138" s="175" t="str">
        <x:v>36.935.900/0001-78</x:v>
      </x:c>
      <x:c r="B3138" s="166" t="str">
        <x:v>CNPJ 36935900000178</x:v>
      </x:c>
      <x:c r="C3138" s="188" t="n">
        <x:v>0</x:v>
      </x:c>
      <x:c r="D3138" s="166" t="str">
        <x:v>REAG GESTÃO DE CRÉDITO</x:v>
      </x:c>
      <x:c r="E3138" s="166" t="str">
        <x:f>IFERROR(INDEX('Classif Gestoras'!$H$6:$H$462,MATCH(D3138,'Classif Gestoras'!$A$6:$A$462,0)),"Não classificada")</x:f>
        <x:v>Independente</x:v>
      </x:c>
      <x:c r="F3138" s="166" t="str">
        <x:v>Banvox DTVM</x:v>
      </x:c>
      <x:c r="G3138" s="166" t="str">
        <x:v>Não identificado</x:v>
      </x:c>
      <x:c r="H3138" s="166" t="str">
        <x:v>Financeiro</x:v>
      </x:c>
      <x:c r="I3138" s="166" t="str">
        <x:v>Financiamento de Veículos</x:v>
      </x:c>
      <x:c r="J3138" s="166" t="str">
        <x:v>CI</x:v>
      </x:c>
      <x:c r="K3138" s="172"/>
      <x:c r="L3138" s="185" t="str">
        <x:v>Não classificado</x:v>
      </x:c>
    </x:row>
    <x:row r="3139">
      <x:c r="A3139" s="175" t="str">
        <x:v>55.430.470/0001-87</x:v>
      </x:c>
      <x:c r="B3139" s="166" t="str">
        <x:v>CNPJ 55430470000187</x:v>
      </x:c>
      <x:c r="C3139" s="188" t="n">
        <x:v>0</x:v>
      </x:c>
      <x:c r="D3139" s="166" t="str">
        <x:v>CONTEA CAPITAL</x:v>
      </x:c>
      <x:c r="E3139" s="166" t="str">
        <x:f>IFERROR(INDEX('Classif Gestoras'!$H$6:$H$462,MATCH(D3139,'Classif Gestoras'!$A$6:$A$462,0)),"Não classificada")</x:f>
        <x:v>Independente</x:v>
      </x:c>
      <x:c r="F3139" s="166" t="str">
        <x:v>VÓRTX DTVM</x:v>
      </x:c>
      <x:c r="G3139" s="166" t="str">
        <x:v>Não identificado</x:v>
      </x:c>
      <x:c r="H3139" s="166" t="str">
        <x:v>Financeiro</x:v>
      </x:c>
      <x:c r="I3139" s="166" t="str">
        <x:v>Crédito Consignado</x:v>
      </x:c>
      <x:c r="J3139" s="166" t="str">
        <x:v>CI</x:v>
      </x:c>
      <x:c r="K3139" s="172"/>
      <x:c r="L3139" s="185" t="str">
        <x:v>Não classificado</x:v>
      </x:c>
    </x:row>
    <x:row r="3140">
      <x:c r="A3140" s="175" t="str">
        <x:v>60.614.968/0001-30</x:v>
      </x:c>
      <x:c r="B3140" s="166" t="str">
        <x:v>CNPJ 60614968000130</x:v>
      </x:c>
      <x:c r="C3140" s="188" t="n">
        <x:v>0</x:v>
      </x:c>
      <x:c r="D3140" s="166" t="str">
        <x:v>Kanastra</x:v>
      </x:c>
      <x:c r="E3140" s="166" t="str">
        <x:f>IFERROR(INDEX('Classif Gestoras'!$H$6:$H$462,MATCH(D3140,'Classif Gestoras'!$A$6:$A$462,0)),"Não classificada")</x:f>
        <x:v>Independente</x:v>
      </x:c>
      <x:c r="F3140" s="166" t="str">
        <x:v>Limine Trust Distribuidora de Titulos e Valores Mobiliá</x:v>
      </x:c>
      <x:c r="G3140" s="166" t="str">
        <x:v>Não identificado</x:v>
      </x:c>
      <x:c r="H3140" s="166" t="str">
        <x:v>Agro, Indústria e Comércio</x:v>
      </x:c>
      <x:c r="I3140" s="166" t="str">
        <x:v>Recebíveis Comerciais</x:v>
      </x:c>
      <x:c r="J3140" s="166" t="str">
        <x:v>CI</x:v>
      </x:c>
      <x:c r="K3140" s="172"/>
      <x:c r="L3140" s="185" t="str">
        <x:v>Não classificado</x:v>
      </x:c>
    </x:row>
    <x:row r="3141">
      <x:c r="A3141" s="175" t="str">
        <x:v>45.207.034/0001-90</x:v>
      </x:c>
      <x:c r="B3141" s="166" t="str">
        <x:v>CNPJ 45207034000190</x:v>
      </x:c>
      <x:c r="C3141" s="188" t="n">
        <x:v>0</x:v>
      </x:c>
      <x:c r="D3141" s="166" t="str">
        <x:v>TAG Investimentos</x:v>
      </x:c>
      <x:c r="E3141" s="166" t="str">
        <x:f>IFERROR(INDEX('Classif Gestoras'!$H$6:$H$462,MATCH(D3141,'Classif Gestoras'!$A$6:$A$462,0)),"Não classificada")</x:f>
        <x:v>Independente</x:v>
      </x:c>
      <x:c r="F3141" s="166" t="str">
        <x:v>VÓRTX DTVM</x:v>
      </x:c>
      <x:c r="G3141" s="166" t="str">
        <x:v>Não identificado</x:v>
      </x:c>
      <x:c r="H3141" s="166" t="str">
        <x:v>Outros</x:v>
      </x:c>
      <x:c r="I3141" s="166" t="str">
        <x:v>Poder Público</x:v>
      </x:c>
      <x:c r="J3141" s="166" t="str">
        <x:v>CI</x:v>
      </x:c>
      <x:c r="K3141" s="172"/>
      <x:c r="L3141" s="185" t="str">
        <x:v>Não classificado</x:v>
      </x:c>
    </x:row>
    <x:row r="3142">
      <x:c r="A3142" s="175" t="str">
        <x:v>55.383.671/0001-70</x:v>
      </x:c>
      <x:c r="B3142" s="166" t="str">
        <x:v>AGRO RECEBÍVEIS FUNDO DE INVESTIMENTO NAS CADEIAS PRODUTIVAS DO AGRONEGÓCIO RESP LIMITADA</x:v>
      </x:c>
      <x:c r="C3142" s="188" t="n">
        <x:v>0</x:v>
      </x:c>
      <x:c r="D3142" s="166" t="str">
        <x:v>Capitânia Invest</x:v>
      </x:c>
      <x:c r="E3142" s="166" t="str">
        <x:f>IFERROR(INDEX('Classif Gestoras'!$H$6:$H$462,MATCH(D3142,'Classif Gestoras'!$A$6:$A$462,0)),"Não classificada")</x:f>
        <x:v>Independente</x:v>
      </x:c>
      <x:c r="F3142" s="166" t="str">
        <x:v>Singulare</x:v>
      </x:c>
      <x:c r="G3142" s="166" t="str">
        <x:v>QI CORRETORA DE TÍTULOS E VALORES MOBILIÁRIOS S.A.</x:v>
      </x:c>
      <x:c r="H3142" s="166" t="str">
        <x:v>Outros</x:v>
      </x:c>
      <x:c r="I3142" s="166" t="str">
        <x:v>Não se aplica</x:v>
      </x:c>
      <x:c r="J3142" s="166" t="str">
        <x:v>CI</x:v>
      </x:c>
      <x:c r="K3142" s="172" t="n">
        <x:v>3</x:v>
      </x:c>
      <x:c r="L3142" s="185" t="str">
        <x:v>Não classificado</x:v>
      </x:c>
    </x:row>
    <x:row r="3143">
      <x:c r="A3143" s="175" t="str">
        <x:v>55.347.951/0001-23</x:v>
      </x:c>
      <x:c r="B3143" s="166" t="str">
        <x:v>MUGELLO FUNDO DE INVESTIMENTO EM DIREITOS CREDITÓRIOS</x:v>
      </x:c>
      <x:c r="C3143" s="188" t="n">
        <x:v>0</x:v>
      </x:c>
      <x:c r="D3143" s="166" t="str">
        <x:v>Reag Jus</x:v>
      </x:c>
      <x:c r="E3143" s="166" t="str">
        <x:f>IFERROR(INDEX('Classif Gestoras'!$H$6:$H$462,MATCH(D3143,'Classif Gestoras'!$A$6:$A$462,0)),"Não classificada")</x:f>
        <x:v>Independente</x:v>
      </x:c>
      <x:c r="F3143" s="166" t="str">
        <x:v>REAG DTVM</x:v>
      </x:c>
      <x:c r="G3143" s="166" t="str">
        <x:v>REAG TRUST DISTRIBUIDORA DE TITULOS E VALORES MOBILIARIOS S.A.</x:v>
      </x:c>
      <x:c r="H3143" s="166" t="str">
        <x:v>Outros</x:v>
      </x:c>
      <x:c r="I3143" s="166" t="str">
        <x:v>Multicarteira Outros</x:v>
      </x:c>
      <x:c r="J3143" s="166" t="str">
        <x:v>CI</x:v>
      </x:c>
      <x:c r="K3143" s="172" t="n">
        <x:v>1</x:v>
      </x:c>
      <x:c r="L3143" s="185" t="str">
        <x:v>Não classificado</x:v>
      </x:c>
    </x:row>
    <x:row r="3144">
      <x:c r="A3144" s="175" t="str">
        <x:v>52.842.504/0001-52</x:v>
      </x:c>
      <x:c r="B3144" s="166" t="str">
        <x:v>REAG SPORTAINMENT CLAIMS FUNDO DE INVESTIMENTO EM DIREITOS CREDITÓRIOS NÃO PADRONIZADO</x:v>
      </x:c>
      <x:c r="C3144" s="188" t="n">
        <x:v>0</x:v>
      </x:c>
      <x:c r="D3144" s="166" t="str">
        <x:v>REAG AMBIENTAL GESTÃO DE RECURSOS LTDA.</x:v>
      </x:c>
      <x:c r="E3144" s="166" t="str">
        <x:f>IFERROR(INDEX('Classif Gestoras'!$H$6:$H$462,MATCH(D3144,'Classif Gestoras'!$A$6:$A$462,0)),"Não classificada")</x:f>
        <x:v>Independente</x:v>
      </x:c>
      <x:c r="F3144" s="166" t="str">
        <x:v>REAG DTVM</x:v>
      </x:c>
      <x:c r="G3144" s="166" t="str">
        <x:v>REAG TRUST DISTRIBUIDORA DE TITULOS E VALORES MOBILIARIOS S.A.</x:v>
      </x:c>
      <x:c r="H3144" s="166" t="str">
        <x:v>Outros</x:v>
      </x:c>
      <x:c r="I3144" s="166" t="str">
        <x:v>Multicarteira Outros</x:v>
      </x:c>
      <x:c r="J3144" s="166" t="str">
        <x:v>CI</x:v>
      </x:c>
      <x:c r="K3144" s="172" t="n">
        <x:v>1</x:v>
      </x:c>
      <x:c r="L3144" s="185" t="str">
        <x:v>Não classificado</x:v>
      </x:c>
    </x:row>
    <x:row r="3145">
      <x:c r="A3145" s="175" t="str">
        <x:v>42.085.816/0001-05</x:v>
      </x:c>
      <x:c r="B3145" s="166" t="str">
        <x:v>CNPJ 42085816000105</x:v>
      </x:c>
      <x:c r="C3145" s="188" t="n">
        <x:v>0</x:v>
      </x:c>
      <x:c r="D3145" s="166" t="str">
        <x:v>GENIAL GESTÃO LTDA.</x:v>
      </x:c>
      <x:c r="E3145" s="166" t="str">
        <x:f>IFERROR(INDEX('Classif Gestoras'!$H$6:$H$462,MATCH(D3145,'Classif Gestoras'!$A$6:$A$462,0)),"Não classificada")</x:f>
        <x:v>Ligada a banco</x:v>
      </x:c>
      <x:c r="F3145" s="166" t="str">
        <x:v>Banco Genial S.A.</x:v>
      </x:c>
      <x:c r="G3145" s="166" t="str">
        <x:v>Não identificado</x:v>
      </x:c>
      <x:c r="H3145" s="166" t="str">
        <x:v>Agro, Indústria e Comércio</x:v>
      </x:c>
      <x:c r="I3145" s="166" t="str">
        <x:v>Recebíveis Comerciais</x:v>
      </x:c>
      <x:c r="J3145" s="166" t="str">
        <x:v>CI</x:v>
      </x:c>
      <x:c r="K3145" s="172"/>
      <x:c r="L3145" s="185" t="str">
        <x:v>Não classificado</x:v>
      </x:c>
    </x:row>
    <x:row r="3146">
      <x:c r="A3146" s="175" t="str">
        <x:v>28.880.344/0001-51</x:v>
      </x:c>
      <x:c r="B3146" s="166" t="str">
        <x:v>CARAVELAS - FUNDO DE INVESTIMENTO EM DIREITOS CREDITÓRIOS NÃO - PADRONIZADOS - FIDC NP</x:v>
      </x:c>
      <x:c r="C3146" s="188" t="n">
        <x:v>0</x:v>
      </x:c>
      <x:c r="D3146" s="166" t="str">
        <x:v>Florida Investimentos</x:v>
      </x:c>
      <x:c r="E3146" s="166" t="str">
        <x:f>IFERROR(INDEX('Classif Gestoras'!$H$6:$H$462,MATCH(D3146,'Classif Gestoras'!$A$6:$A$462,0)),"Não classificada")</x:f>
        <x:v>Independente</x:v>
      </x:c>
      <x:c r="F3146" s="166" t="str">
        <x:v>Intra Investimentos Distribuidora de Títulos e Valores Mobiliários LTDA.</x:v>
      </x:c>
      <x:c r="G3146" s="166" t="str">
        <x:v>INTRA INVESTIMENTOS DTVM LTDA</x:v>
      </x:c>
      <x:c r="H3146" s="166" t="str">
        <x:v>Outros</x:v>
      </x:c>
      <x:c r="I3146" s="166" t="str">
        <x:v>Multicarteira Outros</x:v>
      </x:c>
      <x:c r="J3146" s="166" t="str">
        <x:v>CI</x:v>
      </x:c>
      <x:c r="K3146" s="172" t="n">
        <x:v>1</x:v>
      </x:c>
      <x:c r="L3146" s="185" t="str">
        <x:v>Não classificado</x:v>
      </x:c>
    </x:row>
    <x:row r="3147">
      <x:c r="A3147" s="175" t="str">
        <x:v>45.207.608/0001-20</x:v>
      </x:c>
      <x:c r="B3147" s="166" t="str">
        <x:v>CNPJ 45207608000120</x:v>
      </x:c>
      <x:c r="C3147" s="188" t="n">
        <x:v>0</x:v>
      </x:c>
      <x:c r="D3147" s="166" t="str">
        <x:v>BTG Pactual Asset</x:v>
      </x:c>
      <x:c r="E3147" s="166" t="str">
        <x:f>IFERROR(INDEX('Classif Gestoras'!$H$6:$H$462,MATCH(D3147,'Classif Gestoras'!$A$6:$A$462,0)),"Não classificada")</x:f>
        <x:v>Ligada a banco</x:v>
      </x:c>
      <x:c r="F3147" s="166" t="str">
        <x:v>BTG Pactual Servicos Financeiros S/A DTVM</x:v>
      </x:c>
      <x:c r="G3147" s="166" t="str">
        <x:v>Não identificado</x:v>
      </x:c>
      <x:c r="H3147" s="166" t="str">
        <x:v>Financeiro</x:v>
      </x:c>
      <x:c r="I3147" s="166" t="str">
        <x:v>Crédito Consignado</x:v>
      </x:c>
      <x:c r="J3147" s="166" t="str">
        <x:v>CI</x:v>
      </x:c>
      <x:c r="K3147" s="172"/>
      <x:c r="L3147" s="185" t="str">
        <x:v>Não classificado</x:v>
      </x:c>
    </x:row>
    <x:row r="3148">
      <x:c r="A3148" s="175" t="str">
        <x:v>20.998.989/0001-81</x:v>
      </x:c>
      <x:c r="B3148" s="166" t="str">
        <x:v>VERUM II FUNDO DE INVESTIMENTO EM DIREITOS CREDITÓRIOS NÃO PADRONIZADOS RESPONSABILIDADE LIMITADA</x:v>
      </x:c>
      <x:c r="C3148" s="188" t="n">
        <x:v>0</x:v>
      </x:c>
      <x:c r="D3148" s="166" t="str">
        <x:v>Cedro Asset Management LTDA.</x:v>
      </x:c>
      <x:c r="E3148" s="166" t="str">
        <x:f>IFERROR(INDEX('Classif Gestoras'!$H$6:$H$462,MATCH(D3148,'Classif Gestoras'!$A$6:$A$462,0)),"Não classificada")</x:f>
        <x:v>Independente</x:v>
      </x:c>
      <x:c r="F3148" s="166" t="str">
        <x:v>Finaxis Corretora de Títulos e Valores Mobiliários S.A.</x:v>
      </x:c>
      <x:c r="G3148" s="166" t="str">
        <x:v>ID CORRETORA DE TITULOS E VALORES MOBILIARIOS S.A.</x:v>
      </x:c>
      <x:c r="H3148" s="166" t="str">
        <x:v>Outros</x:v>
      </x:c>
      <x:c r="I3148" s="166" t="str">
        <x:v>Multicarteira Outros</x:v>
      </x:c>
      <x:c r="J3148" s="166" t="str">
        <x:v>CI</x:v>
      </x:c>
      <x:c r="K3148" s="172" t="n">
        <x:v>1</x:v>
      </x:c>
      <x:c r="L3148" s="185" t="str">
        <x:v>Não classificado</x:v>
      </x:c>
    </x:row>
    <x:row r="3149">
      <x:c r="A3149" s="175" t="str">
        <x:v>55.344.996/0001-44</x:v>
      </x:c>
      <x:c r="B3149" s="166" t="str">
        <x:v>SCARLET FUNDO DE INVESTIMENTO EM DIREITOS CREDITÓRIOS NÃO-PADRONIZADOS</x:v>
      </x:c>
      <x:c r="C3149" s="188" t="n">
        <x:v>0</x:v>
      </x:c>
      <x:c r="D3149" s="166" t="str">
        <x:v>REAG SPECIALTY FINANCE</x:v>
      </x:c>
      <x:c r="E3149" s="166" t="str">
        <x:f>IFERROR(INDEX('Classif Gestoras'!$H$6:$H$462,MATCH(D3149,'Classif Gestoras'!$A$6:$A$462,0)),"Não classificada")</x:f>
        <x:v>Independente</x:v>
      </x:c>
      <x:c r="F3149" s="166" t="str">
        <x:v>REAG DTVM</x:v>
      </x:c>
      <x:c r="G3149" s="166" t="str">
        <x:v>REAG TRUST DISTRIBUIDORA DE TITULOS E VALORES MOBILIARIOS S.A.</x:v>
      </x:c>
      <x:c r="H3149" s="166" t="str">
        <x:v>Outros</x:v>
      </x:c>
      <x:c r="I3149" s="166" t="str">
        <x:v>Multicarteira Outros</x:v>
      </x:c>
      <x:c r="J3149" s="166" t="str">
        <x:v>CI</x:v>
      </x:c>
      <x:c r="K3149" s="172" t="n">
        <x:v>6</x:v>
      </x:c>
      <x:c r="L3149" s="185" t="str">
        <x:v>Não classificado</x:v>
      </x:c>
    </x:row>
    <x:row r="3150">
      <x:c r="A3150" s="175" t="str">
        <x:v>52.856.288/0001-02</x:v>
      </x:c>
      <x:c r="B3150" s="166" t="str">
        <x:v>CNPJ 52856288000102</x:v>
      </x:c>
      <x:c r="C3150" s="188" t="n">
        <x:v>0</x:v>
      </x:c>
      <x:c r="D3150" s="166" t="str">
        <x:v>GENIAL GESTÃO LTDA.</x:v>
      </x:c>
      <x:c r="E3150" s="166" t="str">
        <x:f>IFERROR(INDEX('Classif Gestoras'!$H$6:$H$462,MATCH(D3150,'Classif Gestoras'!$A$6:$A$462,0)),"Não classificada")</x:f>
        <x:v>Ligada a banco</x:v>
      </x:c>
      <x:c r="F3150" s="166" t="str">
        <x:v>Banco Genial S.A.</x:v>
      </x:c>
      <x:c r="G3150" s="166" t="str">
        <x:v>Não identificado</x:v>
      </x:c>
      <x:c r="H3150" s="166" t="str">
        <x:v>Agro, Indústria e Comércio</x:v>
      </x:c>
      <x:c r="I3150" s="166" t="str">
        <x:v>Não se aplica</x:v>
      </x:c>
      <x:c r="J3150" s="166" t="str">
        <x:v>CI</x:v>
      </x:c>
      <x:c r="K3150" s="172"/>
      <x:c r="L3150" s="185" t="str">
        <x:v>Não classificado</x:v>
      </x:c>
    </x:row>
    <x:row r="3151">
      <x:c r="A3151" s="175" t="str">
        <x:v>38.315.137/0001-08</x:v>
      </x:c>
      <x:c r="B3151" s="166" t="str">
        <x:v>FUNDO DE INVESTIMENTO EM DIREITOS CREDITÓRIOS ESTRUTURADO ZIG</x:v>
      </x:c>
      <x:c r="C3151" s="188" t="n">
        <x:v>0</x:v>
      </x:c>
      <x:c r="D3151" s="166" t="str">
        <x:v>Solis</x:v>
      </x:c>
      <x:c r="E3151" s="166" t="str">
        <x:f>IFERROR(INDEX('Classif Gestoras'!$H$6:$H$462,MATCH(D3151,'Classif Gestoras'!$A$6:$A$462,0)),"Não classificada")</x:f>
        <x:v>Independente</x:v>
      </x:c>
      <x:c r="F3151" s="166" t="str">
        <x:v>HEMERA DTVM</x:v>
      </x:c>
      <x:c r="G3151" s="166" t="str">
        <x:v>HEMERA DISTRIBUIDORA DE TITULOS E VALORES MOBILIARIOS LTDA</x:v>
      </x:c>
      <x:c r="H3151" s="166" t="str">
        <x:v>Outros</x:v>
      </x:c>
      <x:c r="I3151" s="166" t="str">
        <x:v>Multicarteira Outros</x:v>
      </x:c>
      <x:c r="J3151" s="166" t="str">
        <x:v>CI</x:v>
      </x:c>
      <x:c r="K3151" s="172" t="n">
        <x:v>0</x:v>
      </x:c>
      <x:c r="L3151" s="185" t="str">
        <x:v>Não classificado</x:v>
      </x:c>
    </x:row>
    <x:row r="3152">
      <x:c r="A3152" s="175" t="str">
        <x:v>41.970.246/0001-73</x:v>
      </x:c>
      <x:c r="B3152" s="166" t="str">
        <x:v>JASPE FUNDO DE INVESTIMENTO EM DIREITOS CREDITÓRIOS RESPONSABILIDADE LIMITADA</x:v>
      </x:c>
      <x:c r="C3152" s="188" t="n">
        <x:v>0</x:v>
      </x:c>
      <x:c r="D3152" s="166" t="str">
        <x:v>POLÍGONO CAPITAL LTDA.</x:v>
      </x:c>
      <x:c r="E3152" s="166" t="str">
        <x:f>IFERROR(INDEX('Classif Gestoras'!$H$6:$H$462,MATCH(D3152,'Classif Gestoras'!$A$6:$A$462,0)),"Não classificada")</x:f>
        <x:v>Independente</x:v>
      </x:c>
      <x:c r="F3152" s="166" t="str">
        <x:v>Finvest Digital</x:v>
      </x:c>
      <x:c r="G3152" s="166" t="str">
        <x:v>LIMINE TRUST DISTRIBUIDORA DE TITULOS E VALORES MOBILIARIOS LTDA.</x:v>
      </x:c>
      <x:c r="H3152" s="166" t="str">
        <x:v>Outros</x:v>
      </x:c>
      <x:c r="I3152" s="166" t="str">
        <x:v>Multicarteira Outros</x:v>
      </x:c>
      <x:c r="J3152" s="166" t="str">
        <x:v>CI</x:v>
      </x:c>
      <x:c r="K3152" s="172" t="n">
        <x:v>0</x:v>
      </x:c>
      <x:c r="L3152" s="185" t="str">
        <x:v>Não classificado</x:v>
      </x:c>
    </x:row>
    <x:row r="3153">
      <x:c r="A3153" s="175" t="str">
        <x:v>45.938.195/0001-53</x:v>
      </x:c>
      <x:c r="B3153" s="166" t="str">
        <x:v>FUNDO DE INVESTIMENTO EM DIREITOS CREDITÓRIOS TRADING I</x:v>
      </x:c>
      <x:c r="C3153" s="188" t="n">
        <x:v>0</x:v>
      </x:c>
      <x:c r="D3153" s="166" t="str">
        <x:v>REAG GESTÃO DE CRÉDITO</x:v>
      </x:c>
      <x:c r="E3153" s="166" t="str">
        <x:f>IFERROR(INDEX('Classif Gestoras'!$H$6:$H$462,MATCH(D3153,'Classif Gestoras'!$A$6:$A$462,0)),"Não classificada")</x:f>
        <x:v>Independente</x:v>
      </x:c>
      <x:c r="F3153" s="166" t="str">
        <x:v>REAG DTVM</x:v>
      </x:c>
      <x:c r="G3153" s="166" t="str">
        <x:v>REAG TRUST DISTRIBUIDORA DE TITULOS E VALORES MOBILIARIOS S.A.</x:v>
      </x:c>
      <x:c r="H3153" s="166" t="str">
        <x:v>Agro, Indústria e Comércio</x:v>
      </x:c>
      <x:c r="I3153" s="166" t="str">
        <x:v>Recebíveis Comerciais</x:v>
      </x:c>
      <x:c r="J3153" s="166" t="str">
        <x:v>CI</x:v>
      </x:c>
      <x:c r="K3153" s="172" t="n">
        <x:v>9</x:v>
      </x:c>
      <x:c r="L3153" s="185" t="str">
        <x:v>Não classificado</x:v>
      </x:c>
    </x:row>
    <x:row r="3154">
      <x:c r="A3154" s="175" t="str">
        <x:v>36.815.016/0001-08</x:v>
      </x:c>
      <x:c r="B3154" s="166" t="str">
        <x:v>CNPJ 36815016000108</x:v>
      </x:c>
      <x:c r="C3154" s="188" t="n">
        <x:v>0</x:v>
      </x:c>
      <x:c r="D3154" s="166" t="str">
        <x:v>Reag Administradora de Recursos Ltda</x:v>
      </x:c>
      <x:c r="E3154" s="166" t="str">
        <x:f>IFERROR(INDEX('Classif Gestoras'!$H$6:$H$462,MATCH(D3154,'Classif Gestoras'!$A$6:$A$462,0)),"Não classificada")</x:f>
        <x:v>Independente</x:v>
      </x:c>
      <x:c r="F3154" s="166" t="str">
        <x:v>REAG DTVM</x:v>
      </x:c>
      <x:c r="G3154" s="166" t="str">
        <x:v>Não identificado</x:v>
      </x:c>
      <x:c r="H3154" s="166" t="str">
        <x:v>Fomento Mercantil</x:v>
      </x:c>
      <x:c r="I3154" s="166" t="str">
        <x:v>Fomento Mercantil</x:v>
      </x:c>
      <x:c r="J3154" s="166" t="str">
        <x:v>CI</x:v>
      </x:c>
      <x:c r="K3154" s="172"/>
      <x:c r="L3154" s="185" t="str">
        <x:v>Não classificado</x:v>
      </x:c>
    </x:row>
    <x:row r="3155">
      <x:c r="A3155" s="175" t="str">
        <x:v>55.201.186/0001-39</x:v>
      </x:c>
      <x:c r="B3155" s="166" t="str">
        <x:v>KOLEOS FUNDO DE INVESTIMENTO EM DIREITOS CREDITÓRIOS</x:v>
      </x:c>
      <x:c r="C3155" s="188" t="n">
        <x:v>0</x:v>
      </x:c>
      <x:c r="D3155" s="166" t="str">
        <x:v>Reag Jus</x:v>
      </x:c>
      <x:c r="E3155" s="166" t="str">
        <x:f>IFERROR(INDEX('Classif Gestoras'!$H$6:$H$462,MATCH(D3155,'Classif Gestoras'!$A$6:$A$462,0)),"Não classificada")</x:f>
        <x:v>Independente</x:v>
      </x:c>
      <x:c r="F3155" s="166" t="str">
        <x:v>REAG DTVM</x:v>
      </x:c>
      <x:c r="G3155" s="166" t="str">
        <x:v>REAG TRUST DISTRIBUIDORA DE TITULOS E VALORES MOBILIARIOS S.A.</x:v>
      </x:c>
      <x:c r="H3155" s="166" t="str">
        <x:v>Outros</x:v>
      </x:c>
      <x:c r="I3155" s="166" t="str">
        <x:v>Multicarteira Outros</x:v>
      </x:c>
      <x:c r="J3155" s="166" t="str">
        <x:v>CI</x:v>
      </x:c>
      <x:c r="K3155" s="172" t="n">
        <x:v>1</x:v>
      </x:c>
      <x:c r="L3155" s="185" t="str">
        <x:v>Não classificado</x:v>
      </x:c>
    </x:row>
    <x:row r="3156">
      <x:c r="A3156" s="175" t="str">
        <x:v>33.536.066/0001-50</x:v>
      </x:c>
      <x:c r="B3156" s="166" t="str">
        <x:v>CNPJ 33536066000150</x:v>
      </x:c>
      <x:c r="C3156" s="188" t="n">
        <x:v>0</x:v>
      </x:c>
      <x:c r="D3156" s="166" t="str">
        <x:v>Oliveira Trust Servicer</x:v>
      </x:c>
      <x:c r="E3156" s="166" t="str">
        <x:f>IFERROR(INDEX('Classif Gestoras'!$H$6:$H$462,MATCH(D3156,'Classif Gestoras'!$A$6:$A$462,0)),"Não classificada")</x:f>
        <x:v>Independente</x:v>
      </x:c>
      <x:c r="F3156" s="166" t="str">
        <x:v>Oliveira Trust DTVM</x:v>
      </x:c>
      <x:c r="G3156" s="166" t="str">
        <x:v>Não identificado</x:v>
      </x:c>
      <x:c r="H3156" s="166" t="str">
        <x:v>Financeiro</x:v>
      </x:c>
      <x:c r="I3156" s="166" t="str">
        <x:v>Crédito Consignado</x:v>
      </x:c>
      <x:c r="J3156" s="166" t="str">
        <x:v>CI</x:v>
      </x:c>
      <x:c r="K3156" s="172"/>
      <x:c r="L3156" s="185" t="str">
        <x:v>Não classificado</x:v>
      </x:c>
    </x:row>
    <x:row r="3157">
      <x:c r="A3157" s="175" t="str">
        <x:v>51.752.029/0001-60</x:v>
      </x:c>
      <x:c r="B3157" s="166" t="str">
        <x:v>LATACHE LEGAL CLAIMS FUNDO DE INVESTIMENTO EM DIREITOS CREDITÓRIOS NÃO-PADRONIZADO</x:v>
      </x:c>
      <x:c r="C3157" s="188" t="n">
        <x:v>0</x:v>
      </x:c>
      <x:c r="D3157" s="166" t="str">
        <x:v>Latache Capital</x:v>
      </x:c>
      <x:c r="E3157" s="166" t="str">
        <x:f>IFERROR(INDEX('Classif Gestoras'!$H$6:$H$462,MATCH(D3157,'Classif Gestoras'!$A$6:$A$462,0)),"Não classificada")</x:f>
        <x:v>Independente</x:v>
      </x:c>
      <x:c r="F3157" s="166" t="str">
        <x:v>REAG DTVM</x:v>
      </x:c>
      <x:c r="G3157" s="166" t="str">
        <x:v>REAG TRUST DISTRIBUIDORA DE TITULOS E VALORES MOBILIARIOS S.A.</x:v>
      </x:c>
      <x:c r="H3157" s="166" t="str">
        <x:v>Outros</x:v>
      </x:c>
      <x:c r="I3157" s="166" t="str">
        <x:v>Multicarteira Outros</x:v>
      </x:c>
      <x:c r="J3157" s="166" t="str">
        <x:v>CI</x:v>
      </x:c>
      <x:c r="K3157" s="172" t="n">
        <x:v>1</x:v>
      </x:c>
      <x:c r="L3157" s="185" t="str">
        <x:v>Não classificado</x:v>
      </x:c>
    </x:row>
    <x:row r="3158">
      <x:c r="A3158" s="175" t="str">
        <x:v>41.705.933/0001-61</x:v>
      </x:c>
      <x:c r="B3158" s="166" t="str">
        <x:v>JADE FUNDO DE INVESTIMENTO EM DIREITOS CREDITÓRIOS RESPONSABILIDADE LIMITADA</x:v>
      </x:c>
      <x:c r="C3158" s="188" t="n">
        <x:v>0</x:v>
      </x:c>
      <x:c r="D3158" s="166" t="str">
        <x:v>POLÍGONO CAPITAL LTDA.</x:v>
      </x:c>
      <x:c r="E3158" s="166" t="str">
        <x:f>IFERROR(INDEX('Classif Gestoras'!$H$6:$H$462,MATCH(D3158,'Classif Gestoras'!$A$6:$A$462,0)),"Não classificada")</x:f>
        <x:v>Independente</x:v>
      </x:c>
      <x:c r="F3158" s="166" t="str">
        <x:v>Finvest Digital</x:v>
      </x:c>
      <x:c r="G3158" s="166" t="str">
        <x:v>Não identificado</x:v>
      </x:c>
      <x:c r="H3158" s="166" t="str">
        <x:v>Outros</x:v>
      </x:c>
      <x:c r="I3158" s="166" t="str">
        <x:v>Multicarteira Outros</x:v>
      </x:c>
      <x:c r="J3158" s="166" t="str">
        <x:v>CI</x:v>
      </x:c>
      <x:c r="K3158" s="172" t="n">
        <x:v>0</x:v>
      </x:c>
      <x:c r="L3158" s="185" t="str">
        <x:v>Não classificado</x:v>
      </x:c>
    </x:row>
    <x:row r="3159">
      <x:c r="A3159" s="175" t="str">
        <x:v>51.749.986/0001-38</x:v>
      </x:c>
      <x:c r="B3159" s="166" t="str">
        <x:v>IPO FUNDO DE INVESTIMENTO EM DIREITOS CREDITÓRIOS - RESPONSABILIDADE LIMITADA</x:v>
      </x:c>
      <x:c r="C3159" s="188" t="n">
        <x:v>0</x:v>
      </x:c>
      <x:c r="D3159" s="166" t="str">
        <x:v>QI GESTAO DE RECURSOS LTDA</x:v>
      </x:c>
      <x:c r="E3159" s="166" t="str">
        <x:f>IFERROR(INDEX('Classif Gestoras'!$H$6:$H$462,MATCH(D3159,'Classif Gestoras'!$A$6:$A$462,0)),"Não classificada")</x:f>
        <x:v>Independente</x:v>
      </x:c>
      <x:c r="F3159" s="166" t="str">
        <x:v>QI DISTRIBUIDORA DE TITULOS E VALORES MOBILIARIOS LTDA</x:v>
      </x:c>
      <x:c r="G3159" s="166" t="str">
        <x:v>LASTRO RDV DTVM LTDA</x:v>
      </x:c>
      <x:c r="H3159" s="166" t="str">
        <x:v>Outros</x:v>
      </x:c>
      <x:c r="I3159" s="166" t="str">
        <x:v>Multicarteira Outros</x:v>
      </x:c>
      <x:c r="J3159" s="166" t="str">
        <x:v>CI</x:v>
      </x:c>
      <x:c r="K3159" s="172" t="n">
        <x:v>0</x:v>
      </x:c>
      <x:c r="L3159" s="185" t="str">
        <x:v>Não classificado</x:v>
      </x:c>
    </x:row>
    <x:row r="3160">
      <x:c r="A3160" s="175" t="str">
        <x:v>59.656.036/0001-70</x:v>
      </x:c>
      <x:c r="B3160" s="166" t="str">
        <x:v>HELVETIA FUNDO DE INVESTIMENTO EM COTAS DE FUNDO DE INVESTIMENTO EM DIREITOS CREDITÓRIOS</x:v>
      </x:c>
      <x:c r="C3160" s="188" t="n">
        <x:v>0</x:v>
      </x:c>
      <x:c r="D3160" s="166" t="str">
        <x:v>Redwood Asset Management</x:v>
      </x:c>
      <x:c r="E3160" s="166" t="str">
        <x:f>IFERROR(INDEX('Classif Gestoras'!$H$6:$H$462,MATCH(D3160,'Classif Gestoras'!$A$6:$A$462,0)),"Não classificada")</x:f>
        <x:v>Independente</x:v>
      </x:c>
      <x:c r="F3160" s="166" t="str">
        <x:v>PLANNER CV</x:v>
      </x:c>
      <x:c r="G3160" s="166" t="str">
        <x:v>PLANNER CORRETORA DE VALORES S.A.</x:v>
      </x:c>
      <x:c r="H3160" s="166" t="str">
        <x:v>Outros</x:v>
      </x:c>
      <x:c r="I3160" s="166" t="str">
        <x:v>Multicarteira Outros</x:v>
      </x:c>
      <x:c r="J3160" s="166" t="str">
        <x:v>CI</x:v>
      </x:c>
      <x:c r="K3160" s="172" t="n">
        <x:v>6</x:v>
      </x:c>
      <x:c r="L3160" s="185" t="str">
        <x:v>Não classificado</x:v>
      </x:c>
    </x:row>
    <x:row r="3161">
      <x:c r="A3161" s="175" t="str">
        <x:v>41.673.465/0001-90</x:v>
      </x:c>
      <x:c r="B3161" s="166" t="str">
        <x:v>HILL FUNDO DE INVESTIMENTO EM DIREITOS CREDITÓRIOS NÃO PADRONIZADOS</x:v>
      </x:c>
      <x:c r="C3161" s="188" t="n">
        <x:v>0</x:v>
      </x:c>
      <x:c r="D3161" s="166" t="str">
        <x:v>Reag Jus</x:v>
      </x:c>
      <x:c r="E3161" s="166" t="str">
        <x:f>IFERROR(INDEX('Classif Gestoras'!$H$6:$H$462,MATCH(D3161,'Classif Gestoras'!$A$6:$A$462,0)),"Não classificada")</x:f>
        <x:v>Independente</x:v>
      </x:c>
      <x:c r="F3161" s="166" t="str">
        <x:v>REAG DTVM</x:v>
      </x:c>
      <x:c r="G3161" s="166" t="str">
        <x:v>REAG TRUST DISTRIBUIDORA DE TITULOS E VALORES MOBILIARIOS S.A.</x:v>
      </x:c>
      <x:c r="H3161" s="166" t="str">
        <x:v>Outros</x:v>
      </x:c>
      <x:c r="I3161" s="166" t="str">
        <x:v>Multicarteira Outros</x:v>
      </x:c>
      <x:c r="J3161" s="166" t="str">
        <x:v>CI</x:v>
      </x:c>
      <x:c r="K3161" s="172" t="n">
        <x:v>1</x:v>
      </x:c>
      <x:c r="L3161" s="185" t="str">
        <x:v>Não classificado</x:v>
      </x:c>
    </x:row>
    <x:row r="3162">
      <x:c r="A3162" s="175" t="str">
        <x:v>31.392.303/0001-20</x:v>
      </x:c>
      <x:c r="B3162" s="166" t="str">
        <x:v>CNPJ 31392303000120</x:v>
      </x:c>
      <x:c r="C3162" s="188" t="n">
        <x:v>0</x:v>
      </x:c>
      <x:c r="D3162" s="166" t="str">
        <x:v>Harbour Capital</x:v>
      </x:c>
      <x:c r="E3162" s="166" t="str">
        <x:f>IFERROR(INDEX('Classif Gestoras'!$H$6:$H$462,MATCH(D3162,'Classif Gestoras'!$A$6:$A$462,0)),"Não classificada")</x:f>
        <x:v>Independente</x:v>
      </x:c>
      <x:c r="F3162" s="166" t="str">
        <x:v>MASTER S/A CORRETORA</x:v>
      </x:c>
      <x:c r="G3162" s="166" t="str">
        <x:v>Não identificado</x:v>
      </x:c>
      <x:c r="H3162" s="166" t="str">
        <x:v>Outros</x:v>
      </x:c>
      <x:c r="I3162" s="166" t="str">
        <x:v>Fomento Mercantil</x:v>
      </x:c>
      <x:c r="J3162" s="166" t="str">
        <x:v>CI</x:v>
      </x:c>
      <x:c r="K3162" s="172"/>
      <x:c r="L3162" s="185" t="str">
        <x:v>Não classificado</x:v>
      </x:c>
    </x:row>
    <x:row r="3163">
      <x:c r="A3163" s="175" t="str">
        <x:v>41.649.863/0001-71</x:v>
      </x:c>
      <x:c r="B3163" s="166" t="str">
        <x:v>WALL FUNDO DE INVESTIMENTO EM DIREITOS CREDITÓRIOS</x:v>
      </x:c>
      <x:c r="C3163" s="188" t="n">
        <x:v>0</x:v>
      </x:c>
      <x:c r="D3163" s="166" t="str">
        <x:v>TERCON ASSET MANAGEMENT</x:v>
      </x:c>
      <x:c r="E3163" s="166" t="str">
        <x:f>IFERROR(INDEX('Classif Gestoras'!$H$6:$H$462,MATCH(D3163,'Classif Gestoras'!$A$6:$A$462,0)),"Não classificada")</x:f>
        <x:v>Independente</x:v>
      </x:c>
      <x:c r="F3163" s="166" t="str">
        <x:v>Singulare</x:v>
      </x:c>
      <x:c r="G3163" s="166" t="str">
        <x:v>LIMINE TRUST DISTRIBUIDORA DE TITULOS E VALORES MOBILIARIOS LTDA.</x:v>
      </x:c>
      <x:c r="H3163" s="166" t="str">
        <x:v>Fomento Mercantil</x:v>
      </x:c>
      <x:c r="I3163" s="166" t="str">
        <x:v>Fomento Mercantil</x:v>
      </x:c>
      <x:c r="J3163" s="166" t="str">
        <x:v>CI</x:v>
      </x:c>
      <x:c r="K3163" s="172" t="n">
        <x:v>1</x:v>
      </x:c>
      <x:c r="L3163" s="185" t="str">
        <x:v>Não classificado</x:v>
      </x:c>
    </x:row>
    <x:row r="3164">
      <x:c r="A3164" s="175" t="str">
        <x:v>53.193.689/0001-84</x:v>
      </x:c>
      <x:c r="B3164" s="166" t="str">
        <x:v>LUGANO FUNDO DE INVESTIMENTO EM DIREITOS CREDITÓRIOS NÃO PADRONIZADOS</x:v>
      </x:c>
      <x:c r="C3164" s="188" t="n">
        <x:v>0</x:v>
      </x:c>
      <x:c r="D3164" s="166" t="str">
        <x:v>Redwood Asset Management</x:v>
      </x:c>
      <x:c r="E3164" s="166" t="str">
        <x:f>IFERROR(INDEX('Classif Gestoras'!$H$6:$H$462,MATCH(D3164,'Classif Gestoras'!$A$6:$A$462,0)),"Não classificada")</x:f>
        <x:v>Independente</x:v>
      </x:c>
      <x:c r="F3164" s="166" t="str">
        <x:v>PLANNER CV</x:v>
      </x:c>
      <x:c r="G3164" s="166" t="str">
        <x:v>PLANNER CORRETORA DE VALORES S.A.</x:v>
      </x:c>
      <x:c r="H3164" s="166" t="str">
        <x:v>Fomento Mercantil</x:v>
      </x:c>
      <x:c r="I3164" s="166" t="str">
        <x:v>Fomento Mercantil</x:v>
      </x:c>
      <x:c r="J3164" s="166" t="str">
        <x:v>CI</x:v>
      </x:c>
      <x:c r="K3164" s="172" t="n">
        <x:v>15</x:v>
      </x:c>
      <x:c r="L3164" s="185" t="str">
        <x:v>Não classificado</x:v>
      </x:c>
    </x:row>
    <x:row r="3165">
      <x:c r="A3165" s="175" t="str">
        <x:v>51.707.901/0001-59</x:v>
      </x:c>
      <x:c r="B3165" s="166" t="str">
        <x:v>CNPJ 51707901000159</x:v>
      </x:c>
      <x:c r="C3165" s="188" t="n">
        <x:v>0</x:v>
      </x:c>
      <x:c r="D3165" s="166" t="str">
        <x:v>CERES ASSET</x:v>
      </x:c>
      <x:c r="E3165" s="166" t="str">
        <x:f>IFERROR(INDEX('Classif Gestoras'!$H$6:$H$462,MATCH(D3165,'Classif Gestoras'!$A$6:$A$462,0)),"Não classificada")</x:f>
        <x:v>Independente</x:v>
      </x:c>
      <x:c r="F3165" s="166" t="str">
        <x:v>Singulare</x:v>
      </x:c>
      <x:c r="G3165" s="166" t="str">
        <x:v>Não identificado</x:v>
      </x:c>
      <x:c r="H3165" s="166" t="str">
        <x:v>Agro, Indústria e Comércio</x:v>
      </x:c>
      <x:c r="I3165" s="166" t="str">
        <x:v>Não se aplica</x:v>
      </x:c>
      <x:c r="J3165" s="166" t="str">
        <x:v>CI</x:v>
      </x:c>
      <x:c r="K3165" s="172"/>
      <x:c r="L3165" s="185" t="str">
        <x:v>Não classificado</x:v>
      </x:c>
    </x:row>
    <x:row r="3166">
      <x:c r="A3166" s="175" t="str">
        <x:v>51.707.771/0001-54</x:v>
      </x:c>
      <x:c r="B3166" s="166" t="str">
        <x:v>ROVER FUNDO DE INVESTIMENTO EM DIREITOS CREDITÓRIOS</x:v>
      </x:c>
      <x:c r="C3166" s="188" t="n">
        <x:v>0</x:v>
      </x:c>
      <x:c r="D3166" s="166" t="str">
        <x:v>Reag Administradora de Recursos Ltda</x:v>
      </x:c>
      <x:c r="E3166" s="166" t="str">
        <x:f>IFERROR(INDEX('Classif Gestoras'!$H$6:$H$462,MATCH(D3166,'Classif Gestoras'!$A$6:$A$462,0)),"Não classificada")</x:f>
        <x:v>Independente</x:v>
      </x:c>
      <x:c r="F3166" s="166" t="str">
        <x:v>REAG DTVM</x:v>
      </x:c>
      <x:c r="G3166" s="166" t="str">
        <x:v>REAG TRUST DISTRIBUIDORA DE TITULOS E VALORES MOBILIARIOS S.A.</x:v>
      </x:c>
      <x:c r="H3166" s="166" t="str">
        <x:v>Outros</x:v>
      </x:c>
      <x:c r="I3166" s="166" t="str">
        <x:v>Multicarteira Outros</x:v>
      </x:c>
      <x:c r="J3166" s="166" t="str">
        <x:v>CI</x:v>
      </x:c>
      <x:c r="K3166" s="172" t="n">
        <x:v>3</x:v>
      </x:c>
      <x:c r="L3166" s="185" t="str">
        <x:v>Não classificado</x:v>
      </x:c>
    </x:row>
    <x:row r="3167">
      <x:c r="A3167" s="175" t="str">
        <x:v>46.879.163/0001-97</x:v>
      </x:c>
      <x:c r="B3167" s="166" t="str">
        <x:v>CAPITAL MULTICRÉDITOS FUNDO DE INVESTIMENTO EM DIREITOS CREDITÓRIOS NÃO-PADRONIZADO</x:v>
      </x:c>
      <x:c r="C3167" s="188" t="n">
        <x:v>0</x:v>
      </x:c>
      <x:c r="D3167" s="166" t="str">
        <x:v>GFS INVESTIMENTOS</x:v>
      </x:c>
      <x:c r="E3167" s="166" t="str">
        <x:f>IFERROR(INDEX('Classif Gestoras'!$H$6:$H$462,MATCH(D3167,'Classif Gestoras'!$A$6:$A$462,0)),"Não classificada")</x:f>
        <x:v>Independente</x:v>
      </x:c>
      <x:c r="F3167" s="166" t="str">
        <x:v>REAG DTVM</x:v>
      </x:c>
      <x:c r="G3167" s="166" t="str">
        <x:v>REAG TRUST DISTRIBUIDORA DE TITULOS E VALORES MOBILIARIOS S.A.</x:v>
      </x:c>
      <x:c r="H3167" s="166" t="str">
        <x:v>Outros</x:v>
      </x:c>
      <x:c r="I3167" s="166" t="str">
        <x:v>Multicarteira Outros</x:v>
      </x:c>
      <x:c r="J3167" s="166" t="str">
        <x:v>CI</x:v>
      </x:c>
      <x:c r="K3167" s="172" t="n">
        <x:v>2</x:v>
      </x:c>
      <x:c r="L3167" s="185" t="str">
        <x:v>Não classificado</x:v>
      </x:c>
    </x:row>
    <x:row r="3168">
      <x:c r="A3168" s="175" t="str">
        <x:v>22.397.315/0001-57</x:v>
      </x:c>
      <x:c r="B3168" s="166" t="str">
        <x:v>BLUMENAU FUNDO DE INVESTIMENTO EM DIREITOS CREDITÓRIOS</x:v>
      </x:c>
      <x:c r="C3168" s="188" t="n">
        <x:v>0</x:v>
      </x:c>
      <x:c r="D3168" s="166" t="str">
        <x:v>TERCON ASSET MANAGEMENT</x:v>
      </x:c>
      <x:c r="E3168" s="166" t="str">
        <x:f>IFERROR(INDEX('Classif Gestoras'!$H$6:$H$462,MATCH(D3168,'Classif Gestoras'!$A$6:$A$462,0)),"Não classificada")</x:f>
        <x:v>Independente</x:v>
      </x:c>
      <x:c r="F3168" s="166" t="str">
        <x:v>MASTER S/A CORRETORA</x:v>
      </x:c>
      <x:c r="G3168" s="166" t="str">
        <x:v>ID CORRETORA DE TITULOS E VALORES MOBILIARIOS S.A.</x:v>
      </x:c>
      <x:c r="H3168" s="166" t="str">
        <x:v>Fomento Mercantil</x:v>
      </x:c>
      <x:c r="I3168" s="166" t="str">
        <x:v>Fomento Mercantil</x:v>
      </x:c>
      <x:c r="J3168" s="166" t="str">
        <x:v>CI</x:v>
      </x:c>
      <x:c r="K3168" s="172" t="n">
        <x:v>7</x:v>
      </x:c>
      <x:c r="L3168" s="185" t="str">
        <x:v>Não classificado</x:v>
      </x:c>
    </x:row>
    <x:row r="3169">
      <x:c r="A3169" s="175" t="str">
        <x:v>46.879.210/0001-00</x:v>
      </x:c>
      <x:c r="B3169" s="166" t="str">
        <x:v>CNPJ 46879210000100</x:v>
      </x:c>
      <x:c r="C3169" s="188" t="n">
        <x:v>0</x:v>
      </x:c>
      <x:c r="D3169" s="166" t="str">
        <x:v>Reag Administradora de Recursos Ltda</x:v>
      </x:c>
      <x:c r="E3169" s="166" t="str">
        <x:f>IFERROR(INDEX('Classif Gestoras'!$H$6:$H$462,MATCH(D3169,'Classif Gestoras'!$A$6:$A$462,0)),"Não classificada")</x:f>
        <x:v>Independente</x:v>
      </x:c>
      <x:c r="F3169" s="166" t="str">
        <x:v>REAG DTVM</x:v>
      </x:c>
      <x:c r="G3169" s="166" t="str">
        <x:v>Não identificado</x:v>
      </x:c>
      <x:c r="H3169" s="166" t="str">
        <x:v>Outros</x:v>
      </x:c>
      <x:c r="I3169" s="166" t="str">
        <x:v>Multicarteira Outros</x:v>
      </x:c>
      <x:c r="J3169" s="166" t="str">
        <x:v>CI</x:v>
      </x:c>
      <x:c r="K3169" s="172"/>
      <x:c r="L3169" s="185" t="str">
        <x:v>Não classificado</x:v>
      </x:c>
    </x:row>
    <x:row r="3170">
      <x:c r="A3170" s="175" t="str">
        <x:v>46.879.223/0001-71</x:v>
      </x:c>
      <x:c r="B3170" s="166" t="str">
        <x:v>GOLDEN BRIDGE FUNDO DE INVESTIMENTO EM DIREITOS CREDITORIOS NAO PADRONIZADOS</x:v>
      </x:c>
      <x:c r="C3170" s="188" t="n">
        <x:v>0</x:v>
      </x:c>
      <x:c r="D3170" s="166" t="str">
        <x:v>Reag Administradora de Recursos Ltda</x:v>
      </x:c>
      <x:c r="E3170" s="166" t="str">
        <x:f>IFERROR(INDEX('Classif Gestoras'!$H$6:$H$462,MATCH(D3170,'Classif Gestoras'!$A$6:$A$462,0)),"Não classificada")</x:f>
        <x:v>Independente</x:v>
      </x:c>
      <x:c r="F3170" s="166" t="str">
        <x:v>REAG DTVM</x:v>
      </x:c>
      <x:c r="G3170" s="166" t="str">
        <x:v>REAG TRUST DISTRIBUIDORA DE TITULOS E VALORES MOBILIARIOS S.A.</x:v>
      </x:c>
      <x:c r="H3170" s="166" t="str">
        <x:v>Outros</x:v>
      </x:c>
      <x:c r="I3170" s="166" t="str">
        <x:v>Poder Público</x:v>
      </x:c>
      <x:c r="J3170" s="166" t="str">
        <x:v>CI</x:v>
      </x:c>
      <x:c r="K3170" s="172" t="n">
        <x:v>1</x:v>
      </x:c>
      <x:c r="L3170" s="185" t="str">
        <x:v>Não classificado</x:v>
      </x:c>
    </x:row>
    <x:row r="3171">
      <x:c r="A3171" s="175" t="str">
        <x:v>54.950.304/0001-49</x:v>
      </x:c>
      <x:c r="B3171" s="166" t="str">
        <x:v>VENTURE FINANCE FUNDO DE INVESTIMENTO EM DIREITOS CREDITÓRIOS</x:v>
      </x:c>
      <x:c r="C3171" s="188" t="n">
        <x:v>0</x:v>
      </x:c>
      <x:c r="D3171" s="166" t="str">
        <x:v>Acura Gestora de Recursos LTDA.</x:v>
      </x:c>
      <x:c r="E3171" s="166" t="str">
        <x:f>IFERROR(INDEX('Classif Gestoras'!$H$6:$H$462,MATCH(D3171,'Classif Gestoras'!$A$6:$A$462,0)),"Não classificada")</x:f>
        <x:v>Independente</x:v>
      </x:c>
      <x:c r="F3171" s="166" t="str">
        <x:v>SEFER DTVM</x:v>
      </x:c>
      <x:c r="G3171" s="166" t="str">
        <x:v>REAG TRUST DISTRIBUIDORA DE TITULOS E VALORES MOBILIARIOS S.A.</x:v>
      </x:c>
      <x:c r="H3171" s="166" t="str">
        <x:v>Outros</x:v>
      </x:c>
      <x:c r="I3171" s="166" t="str">
        <x:v>Multicarteira Outros</x:v>
      </x:c>
      <x:c r="J3171" s="166" t="str">
        <x:v>CI</x:v>
      </x:c>
      <x:c r="K3171" s="172" t="n">
        <x:v>1</x:v>
      </x:c>
      <x:c r="L3171" s="185" t="str">
        <x:v>Não classificado</x:v>
      </x:c>
    </x:row>
    <x:row r="3172">
      <x:c r="A3172" s="175" t="str">
        <x:v>46.909.301/0001-33</x:v>
      </x:c>
      <x:c r="B3172" s="166" t="str">
        <x:v>CNPJ 46909301000133</x:v>
      </x:c>
      <x:c r="C3172" s="188" t="n">
        <x:v>0</x:v>
      </x:c>
      <x:c r="D3172" s="166" t="str">
        <x:v>Reag Administradora de Recursos Ltda</x:v>
      </x:c>
      <x:c r="E3172" s="166" t="str">
        <x:f>IFERROR(INDEX('Classif Gestoras'!$H$6:$H$462,MATCH(D3172,'Classif Gestoras'!$A$6:$A$462,0)),"Não classificada")</x:f>
        <x:v>Independente</x:v>
      </x:c>
      <x:c r="F3172" s="166" t="str">
        <x:v>REAG DTVM</x:v>
      </x:c>
      <x:c r="G3172" s="166" t="str">
        <x:v>Não identificado</x:v>
      </x:c>
      <x:c r="H3172" s="166" t="str">
        <x:v>Outros</x:v>
      </x:c>
      <x:c r="I3172" s="166" t="str">
        <x:v>Multicarteira Outros</x:v>
      </x:c>
      <x:c r="J3172" s="166" t="str">
        <x:v>CI</x:v>
      </x:c>
      <x:c r="K3172" s="172"/>
      <x:c r="L3172" s="185" t="str">
        <x:v>Não classificado</x:v>
      </x:c>
    </x:row>
    <x:row r="3173">
      <x:c r="A3173" s="175" t="str">
        <x:v>54.852.109/0001-86</x:v>
      </x:c>
      <x:c r="B3173" s="166" t="str">
        <x:v>VALKYRIES FUNDO DE INVESTIMENTOS EM DIREITOS CREDITÓRIOS</x:v>
      </x:c>
      <x:c r="C3173" s="188" t="n">
        <x:v>0</x:v>
      </x:c>
      <x:c r="D3173" s="166" t="str">
        <x:v>Reag Jus</x:v>
      </x:c>
      <x:c r="E3173" s="166" t="str">
        <x:f>IFERROR(INDEX('Classif Gestoras'!$H$6:$H$462,MATCH(D3173,'Classif Gestoras'!$A$6:$A$462,0)),"Não classificada")</x:f>
        <x:v>Independente</x:v>
      </x:c>
      <x:c r="F3173" s="166" t="str">
        <x:v>REAG DTVM</x:v>
      </x:c>
      <x:c r="G3173" s="166" t="str">
        <x:v>REAG TRUST DISTRIBUIDORA DE TITULOS E VALORES MOBILIARIOS S.A.</x:v>
      </x:c>
      <x:c r="H3173" s="166" t="str">
        <x:v>Outros</x:v>
      </x:c>
      <x:c r="I3173" s="166" t="str">
        <x:v>Multicarteira Outros</x:v>
      </x:c>
      <x:c r="J3173" s="166" t="str">
        <x:v>CI</x:v>
      </x:c>
      <x:c r="K3173" s="172" t="n">
        <x:v>1</x:v>
      </x:c>
      <x:c r="L3173" s="185" t="str">
        <x:v>Não classificado</x:v>
      </x:c>
    </x:row>
    <x:row r="3174">
      <x:c r="A3174" s="175" t="str">
        <x:v>57.661.136/0001-60</x:v>
      </x:c>
      <x:c r="B3174" s="166" t="str">
        <x:v>CRAWFORD FUNDO DE INVESTIMENTO EM DIREITOS CREDITÓRIOS</x:v>
      </x:c>
      <x:c r="C3174" s="188" t="n">
        <x:v>0</x:v>
      </x:c>
      <x:c r="D3174" s="166" t="str">
        <x:v>Reag Jus</x:v>
      </x:c>
      <x:c r="E3174" s="166" t="str">
        <x:f>IFERROR(INDEX('Classif Gestoras'!$H$6:$H$462,MATCH(D3174,'Classif Gestoras'!$A$6:$A$462,0)),"Não classificada")</x:f>
        <x:v>Independente</x:v>
      </x:c>
      <x:c r="F3174" s="166" t="str">
        <x:v>REAG DTVM</x:v>
      </x:c>
      <x:c r="G3174" s="166" t="str">
        <x:v>Não identificado</x:v>
      </x:c>
      <x:c r="H3174" s="166" t="str">
        <x:v>Outros</x:v>
      </x:c>
      <x:c r="I3174" s="166" t="str">
        <x:v>Multicarteira Outros</x:v>
      </x:c>
      <x:c r="J3174" s="166" t="str">
        <x:v>CI</x:v>
      </x:c>
      <x:c r="K3174" s="172" t="n">
        <x:v>1</x:v>
      </x:c>
      <x:c r="L3174" s="185" t="str">
        <x:v>Não classificado</x:v>
      </x:c>
    </x:row>
    <x:row r="3175">
      <x:c r="A3175" s="175" t="str">
        <x:v>46.930.099/0001-21</x:v>
      </x:c>
      <x:c r="B3175" s="166" t="str">
        <x:v>BALLANGEN 82 FUNDO DE INVESTIMENTO EM DIREITOS CREDITÓRIOS NÃO-PADRONIZADOS</x:v>
      </x:c>
      <x:c r="C3175" s="188" t="n">
        <x:v>0</x:v>
      </x:c>
      <x:c r="D3175" s="166" t="str">
        <x:v>Reag Administradora de Recursos Ltda</x:v>
      </x:c>
      <x:c r="E3175" s="166" t="str">
        <x:f>IFERROR(INDEX('Classif Gestoras'!$H$6:$H$462,MATCH(D3175,'Classif Gestoras'!$A$6:$A$462,0)),"Não classificada")</x:f>
        <x:v>Independente</x:v>
      </x:c>
      <x:c r="F3175" s="166" t="str">
        <x:v>REAG DTVM</x:v>
      </x:c>
      <x:c r="G3175" s="166" t="str">
        <x:v>REAG TRUST DISTRIBUIDORA DE TITULOS E VALORES MOBILIARIOS S.A.</x:v>
      </x:c>
      <x:c r="H3175" s="166" t="str">
        <x:v>Outros</x:v>
      </x:c>
      <x:c r="I3175" s="166" t="str">
        <x:v>Multicarteira Outros</x:v>
      </x:c>
      <x:c r="J3175" s="166" t="str">
        <x:v>CI</x:v>
      </x:c>
      <x:c r="K3175" s="172" t="n">
        <x:v>1</x:v>
      </x:c>
      <x:c r="L3175" s="185" t="str">
        <x:v>Não classificado</x:v>
      </x:c>
    </x:row>
    <x:row r="3176">
      <x:c r="A3176" s="175" t="str">
        <x:v>46.930.133/0001-68</x:v>
      </x:c>
      <x:c r="B3176" s="166" t="str">
        <x:v>BARDU 82 FUNDO DE INVESTIMENTO EM DIREITOS CREDITORIOS NAO PADRONIZADOS</x:v>
      </x:c>
      <x:c r="C3176" s="188" t="n">
        <x:v>0</x:v>
      </x:c>
      <x:c r="D3176" s="166" t="str">
        <x:v>Reag Administradora de Recursos Ltda</x:v>
      </x:c>
      <x:c r="E3176" s="166" t="str">
        <x:f>IFERROR(INDEX('Classif Gestoras'!$H$6:$H$462,MATCH(D3176,'Classif Gestoras'!$A$6:$A$462,0)),"Não classificada")</x:f>
        <x:v>Independente</x:v>
      </x:c>
      <x:c r="F3176" s="166" t="str">
        <x:v>REAG DTVM</x:v>
      </x:c>
      <x:c r="G3176" s="166" t="str">
        <x:v>PLANNER CORRETORA DE VALORES S.A.</x:v>
      </x:c>
      <x:c r="H3176" s="166" t="str">
        <x:v>Fomento Mercantil</x:v>
      </x:c>
      <x:c r="I3176" s="166" t="str">
        <x:v>Fomento Mercantil</x:v>
      </x:c>
      <x:c r="J3176" s="166" t="str">
        <x:v>CI</x:v>
      </x:c>
      <x:c r="K3176" s="172" t="n">
        <x:v>1</x:v>
      </x:c>
      <x:c r="L3176" s="185" t="str">
        <x:v>Não classificado</x:v>
      </x:c>
    </x:row>
    <x:row r="3177">
      <x:c r="A3177" s="175" t="str">
        <x:v>47.085.563/0001-93</x:v>
      </x:c>
      <x:c r="B3177" s="166" t="str">
        <x:v>CNPJ 47085563000193</x:v>
      </x:c>
      <x:c r="C3177" s="188" t="n">
        <x:v>0</x:v>
      </x:c>
      <x:c r="D3177" s="166" t="str">
        <x:v>JIVE INVESTMENTS</x:v>
      </x:c>
      <x:c r="E3177" s="166" t="str">
        <x:f>IFERROR(INDEX('Classif Gestoras'!$H$6:$H$462,MATCH(D3177,'Classif Gestoras'!$A$6:$A$462,0)),"Não classificada")</x:f>
        <x:v>Independente</x:v>
      </x:c>
      <x:c r="F3177" s="166" t="str">
        <x:v>MAF Distribuidora de Títulos e Valores Mobiliários S.A.</x:v>
      </x:c>
      <x:c r="G3177" s="166" t="str">
        <x:v>Não identificado</x:v>
      </x:c>
      <x:c r="H3177" s="166" t="str">
        <x:v>Outros</x:v>
      </x:c>
      <x:c r="I3177" s="166" t="str">
        <x:v>Multicarteira Outros</x:v>
      </x:c>
      <x:c r="J3177" s="166" t="str">
        <x:v>CI</x:v>
      </x:c>
      <x:c r="K3177" s="172"/>
      <x:c r="L3177" s="185" t="str">
        <x:v>Não classificado</x:v>
      </x:c>
    </x:row>
    <x:row r="3178">
      <x:c r="A3178" s="175" t="str">
        <x:v>22.945.880/0001-01</x:v>
      </x:c>
      <x:c r="B3178" s="166" t="str">
        <x:v>REAG SPECIAL SITUATION FUNDO DE INVESTIMENTO EM DIREITOS CREDITÓRIOS ABERTO</x:v>
      </x:c>
      <x:c r="C3178" s="188" t="n">
        <x:v>0</x:v>
      </x:c>
      <x:c r="D3178" s="166" t="str">
        <x:v>Reag Administradora de Recursos Ltda</x:v>
      </x:c>
      <x:c r="E3178" s="166" t="str">
        <x:f>IFERROR(INDEX('Classif Gestoras'!$H$6:$H$462,MATCH(D3178,'Classif Gestoras'!$A$6:$A$462,0)),"Não classificada")</x:f>
        <x:v>Independente</x:v>
      </x:c>
      <x:c r="F3178" s="166" t="str">
        <x:v>REAG DTVM</x:v>
      </x:c>
      <x:c r="G3178" s="166" t="str">
        <x:v>REAG TRUST DISTRIBUIDORA DE TITULOS E VALORES MOBILIARIOS S.A.</x:v>
      </x:c>
      <x:c r="H3178" s="166" t="str">
        <x:v>Outros</x:v>
      </x:c>
      <x:c r="I3178" s="166" t="str">
        <x:v>Multicarteira Outros</x:v>
      </x:c>
      <x:c r="J3178" s="166" t="str">
        <x:v>CI</x:v>
      </x:c>
      <x:c r="K3178" s="172" t="n">
        <x:v>3</x:v>
      </x:c>
      <x:c r="L3178" s="185" t="str">
        <x:v>Não classificado</x:v>
      </x:c>
    </x:row>
    <x:row r="3179">
      <x:c r="A3179" s="175" t="str">
        <x:v>41.593.704/0001-00</x:v>
      </x:c>
      <x:c r="B3179" s="166" t="str">
        <x:v>INDÚSTRIA Q1 FUNDO DE INVESTIMENTO EM DIREITOS CREDITÓRIOS</x:v>
      </x:c>
      <x:c r="C3179" s="188" t="n">
        <x:v>0</x:v>
      </x:c>
      <x:c r="D3179" s="166" t="str">
        <x:v>Chimera Capital Asset Management Ltda.</x:v>
      </x:c>
      <x:c r="E3179" s="166" t="str">
        <x:f>IFERROR(INDEX('Classif Gestoras'!$H$6:$H$462,MATCH(D3179,'Classif Gestoras'!$A$6:$A$462,0)),"Não classificada")</x:f>
        <x:v>Independente</x:v>
      </x:c>
      <x:c r="F3179" s="166" t="str">
        <x:v>REAG DTVM</x:v>
      </x:c>
      <x:c r="G3179" s="166" t="str">
        <x:v>REAG TRUST DISTRIBUIDORA DE TITULOS E VALORES MOBILIARIOS S.A.</x:v>
      </x:c>
      <x:c r="H3179" s="166" t="str">
        <x:v>Outros</x:v>
      </x:c>
      <x:c r="I3179" s="166" t="str">
        <x:v>Multicarteira Outros</x:v>
      </x:c>
      <x:c r="J3179" s="166" t="str">
        <x:v>CI</x:v>
      </x:c>
      <x:c r="K3179" s="172" t="n">
        <x:v>5</x:v>
      </x:c>
      <x:c r="L3179" s="185" t="str">
        <x:v>Não classificado</x:v>
      </x:c>
    </x:row>
    <x:row r="3180">
      <x:c r="A3180" s="175" t="str">
        <x:v>13.344.834/0001-66</x:v>
      </x:c>
      <x:c r="B3180" s="166" t="str">
        <x:v>INCENTIVO FUNDO DE INVESTIMENTO EM DIREITOS CREDITÓRIOS MULTISSETORIAL II</x:v>
      </x:c>
      <x:c r="C3180" s="188" t="n">
        <x:v>0</x:v>
      </x:c>
      <x:c r="D3180" s="166" t="str">
        <x:v>GENIAL GESTÃO LTDA.</x:v>
      </x:c>
      <x:c r="E3180" s="166" t="str">
        <x:f>IFERROR(INDEX('Classif Gestoras'!$H$6:$H$462,MATCH(D3180,'Classif Gestoras'!$A$6:$A$462,0)),"Não classificada")</x:f>
        <x:v>Ligada a banco</x:v>
      </x:c>
      <x:c r="F3180" s="166" t="str">
        <x:v>RJI Investimentos</x:v>
      </x:c>
      <x:c r="G3180" s="166" t="str">
        <x:v>RJI CORRETORA DE TÍTULOS E VALORES MOBILIÁRIOS LTDA.</x:v>
      </x:c>
      <x:c r="H3180" s="166" t="str">
        <x:v>Outros</x:v>
      </x:c>
      <x:c r="I3180" s="166" t="str">
        <x:v>Multicarteira Outros</x:v>
      </x:c>
      <x:c r="J3180" s="166" t="str">
        <x:v>CI</x:v>
      </x:c>
      <x:c r="K3180" s="172" t="n">
        <x:v>12</x:v>
      </x:c>
      <x:c r="L3180" s="185" t="str">
        <x:v>Não classificado</x:v>
      </x:c>
    </x:row>
    <x:row r="3181">
      <x:c r="A3181" s="175" t="str">
        <x:v>53.147.924/0001-81</x:v>
      </x:c>
      <x:c r="B3181" s="166" t="str">
        <x:v>CNPJ 53147924000181</x:v>
      </x:c>
      <x:c r="C3181" s="188" t="n">
        <x:v>0</x:v>
      </x:c>
      <x:c r="D3181" s="166" t="str">
        <x:v>JGP Gestão de Crédito LTDA.</x:v>
      </x:c>
      <x:c r="E3181" s="166" t="str">
        <x:f>IFERROR(INDEX('Classif Gestoras'!$H$6:$H$462,MATCH(D3181,'Classif Gestoras'!$A$6:$A$462,0)),"Não classificada")</x:f>
        <x:v>Independente</x:v>
      </x:c>
      <x:c r="F3181" s="166" t="str">
        <x:v>Oliveira Trust DTVM</x:v>
      </x:c>
      <x:c r="G3181" s="166" t="str">
        <x:v>Não identificado</x:v>
      </x:c>
      <x:c r="H3181" s="166" t="str">
        <x:v>Agro, Indústria e Comércio</x:v>
      </x:c>
      <x:c r="I3181" s="166" t="str">
        <x:v>Não se aplica</x:v>
      </x:c>
      <x:c r="J3181" s="166" t="str">
        <x:v>CI</x:v>
      </x:c>
      <x:c r="K3181" s="172"/>
      <x:c r="L3181" s="185" t="str">
        <x:v>Não classificado</x:v>
      </x:c>
    </x:row>
    <x:row r="3182">
      <x:c r="A3182" s="175" t="str">
        <x:v>33.512.487/0001-40</x:v>
      </x:c>
      <x:c r="B3182" s="166" t="str">
        <x:v>CNPJ 33512487000140</x:v>
      </x:c>
      <x:c r="C3182" s="188" t="n">
        <x:v>0</x:v>
      </x:c>
      <x:c r="D3182" s="166" t="str">
        <x:v>Veritas Capital Management</x:v>
      </x:c>
      <x:c r="E3182" s="166" t="str">
        <x:f>IFERROR(INDEX('Classif Gestoras'!$H$6:$H$462,MATCH(D3182,'Classif Gestoras'!$A$6:$A$462,0)),"Não classificada")</x:f>
        <x:v>Independente</x:v>
      </x:c>
      <x:c r="F3182" s="166" t="str">
        <x:v>Banvox DTVM</x:v>
      </x:c>
      <x:c r="G3182" s="166" t="str">
        <x:v>Não identificado</x:v>
      </x:c>
      <x:c r="H3182" s="166" t="str">
        <x:v>Outros</x:v>
      </x:c>
      <x:c r="I3182" s="166" t="str">
        <x:v>Multicarteira Outros</x:v>
      </x:c>
      <x:c r="J3182" s="166" t="str">
        <x:v>CI</x:v>
      </x:c>
      <x:c r="K3182" s="172"/>
      <x:c r="L3182" s="185" t="str">
        <x:v>Não classificado</x:v>
      </x:c>
    </x:row>
    <x:row r="3183">
      <x:c r="A3183" s="175" t="str">
        <x:v>27.538.324/0001-34</x:v>
      </x:c>
      <x:c r="B3183" s="166" t="str">
        <x:v>FUNDO DE INVESTIMENTO EM DIREITOS CREDITÓRIOS DB CRÉDITO GLOBAL</x:v>
      </x:c>
      <x:c r="C3183" s="188" t="n">
        <x:v>0</x:v>
      </x:c>
      <x:c r="D3183" s="166" t="str">
        <x:v>ELLO ASSET MANAGEMENT</x:v>
      </x:c>
      <x:c r="E3183" s="166" t="str">
        <x:f>IFERROR(INDEX('Classif Gestoras'!$H$6:$H$462,MATCH(D3183,'Classif Gestoras'!$A$6:$A$462,0)),"Não classificada")</x:f>
        <x:v>Independente</x:v>
      </x:c>
      <x:c r="F3183" s="166" t="str">
        <x:v>Intra Investimentos Distribuidora de Títulos e Valores Mobiliários LTDA.</x:v>
      </x:c>
      <x:c r="G3183" s="166" t="str">
        <x:v>Não identificado</x:v>
      </x:c>
      <x:c r="H3183" s="166" t="str">
        <x:v>Outros</x:v>
      </x:c>
      <x:c r="I3183" s="166" t="str">
        <x:v>Multicarteira Outros</x:v>
      </x:c>
      <x:c r="J3183" s="166" t="str">
        <x:v>CI</x:v>
      </x:c>
      <x:c r="K3183" s="172" t="n">
        <x:v>5</x:v>
      </x:c>
      <x:c r="L3183" s="185" t="str">
        <x:v>Não classificado</x:v>
      </x:c>
    </x:row>
    <x:row r="3184">
      <x:c r="A3184" s="175" t="str">
        <x:v>46.073.588/0001-04</x:v>
      </x:c>
      <x:c r="B3184" s="166" t="str">
        <x:v>NANBAN II FUNDO DE INVESTIMENTO EM DIREITOS CREDITÓRIOS RESPONSABILIDADE LIMITADA</x:v>
      </x:c>
      <x:c r="C3184" s="188" t="n">
        <x:v>0</x:v>
      </x:c>
      <x:c r="D3184" s="166" t="str">
        <x:v>BRL TRUST DTVM</x:v>
      </x:c>
      <x:c r="E3184" s="166" t="str">
        <x:f>IFERROR(INDEX('Classif Gestoras'!$H$6:$H$462,MATCH(D3184,'Classif Gestoras'!$A$6:$A$462,0)),"Não classificada")</x:f>
        <x:v>Independente</x:v>
      </x:c>
      <x:c r="F3184" s="166" t="str">
        <x:v>BRL TRUST DTVM</x:v>
      </x:c>
      <x:c r="G3184" s="166" t="str">
        <x:v>ID CORRETORA DE TITULOS E VALORES MOBILIARIOS S.A.</x:v>
      </x:c>
      <x:c r="H3184" s="166" t="str">
        <x:v>Outros</x:v>
      </x:c>
      <x:c r="I3184" s="166" t="str">
        <x:v>Recuperação</x:v>
      </x:c>
      <x:c r="J3184" s="166" t="str">
        <x:v>CI</x:v>
      </x:c>
      <x:c r="K3184" s="172" t="n">
        <x:v>2</x:v>
      </x:c>
      <x:c r="L3184" s="185" t="str">
        <x:v>Não classificado</x:v>
      </x:c>
    </x:row>
    <x:row r="3185">
      <x:c r="A3185" s="175" t="str">
        <x:v>45.880.888/0001-32</x:v>
      </x:c>
      <x:c r="B3185" s="166" t="str">
        <x:v>CNPJ 45880888000132</x:v>
      </x:c>
      <x:c r="C3185" s="188" t="n">
        <x:v>0</x:v>
      </x:c>
      <x:c r="D3185" s="166" t="str">
        <x:v>Chimera Capital Asset Management Ltda.</x:v>
      </x:c>
      <x:c r="E3185" s="166" t="str">
        <x:f>IFERROR(INDEX('Classif Gestoras'!$H$6:$H$462,MATCH(D3185,'Classif Gestoras'!$A$6:$A$462,0)),"Não classificada")</x:f>
        <x:v>Independente</x:v>
      </x:c>
      <x:c r="F3185" s="166" t="str">
        <x:v>REAG DTVM</x:v>
      </x:c>
      <x:c r="G3185" s="166" t="str">
        <x:v>Não identificado</x:v>
      </x:c>
      <x:c r="H3185" s="166" t="str">
        <x:v>Agro, Indústria e Comércio</x:v>
      </x:c>
      <x:c r="I3185" s="166" t="str">
        <x:v>Crédito Corporativo</x:v>
      </x:c>
      <x:c r="J3185" s="166" t="str">
        <x:v>CI</x:v>
      </x:c>
      <x:c r="K3185" s="172"/>
      <x:c r="L3185" s="185" t="str">
        <x:v>Não classificado</x:v>
      </x:c>
    </x:row>
    <x:row r="3186">
      <x:c r="A3186" s="175" t="str">
        <x:v>52.967.434/0001-69</x:v>
      </x:c>
      <x:c r="B3186" s="166" t="str">
        <x:v>LEGACY FUNDO DE INVESTIMENTO EM DIREITOS CREDITÓRIOS</x:v>
      </x:c>
      <x:c r="C3186" s="188" t="n">
        <x:v>0</x:v>
      </x:c>
      <x:c r="D3186" s="166" t="str">
        <x:v>Reag Jus</x:v>
      </x:c>
      <x:c r="E3186" s="166" t="str">
        <x:f>IFERROR(INDEX('Classif Gestoras'!$H$6:$H$462,MATCH(D3186,'Classif Gestoras'!$A$6:$A$462,0)),"Não classificada")</x:f>
        <x:v>Independente</x:v>
      </x:c>
      <x:c r="F3186" s="166" t="str">
        <x:v>REAG DTVM</x:v>
      </x:c>
      <x:c r="G3186" s="166" t="str">
        <x:v>REAG TRUST DISTRIBUIDORA DE TITULOS E VALORES MOBILIARIOS S.A.</x:v>
      </x:c>
      <x:c r="H3186" s="166" t="str">
        <x:v>Outros</x:v>
      </x:c>
      <x:c r="I3186" s="166" t="str">
        <x:v>Multicarteira Outros</x:v>
      </x:c>
      <x:c r="J3186" s="166" t="str">
        <x:v>CI</x:v>
      </x:c>
      <x:c r="K3186" s="172" t="n">
        <x:v>1</x:v>
      </x:c>
      <x:c r="L3186" s="185" t="str">
        <x:v>Não classificado</x:v>
      </x:c>
    </x:row>
    <x:row r="3187">
      <x:c r="A3187" s="175" t="str">
        <x:v>45.899.684/0001-43</x:v>
      </x:c>
      <x:c r="B3187" s="166" t="str">
        <x:v>LEGALCERT FUNDO DE INVESTIMENTO EM DIREITOS CREDITÓRIOS NAO - PADRONIZADOS</x:v>
      </x:c>
      <x:c r="C3187" s="188" t="n">
        <x:v>0</x:v>
      </x:c>
      <x:c r="D3187" s="166" t="str">
        <x:v>IDGR</x:v>
      </x:c>
      <x:c r="E3187" s="166" t="str">
        <x:f>IFERROR(INDEX('Classif Gestoras'!$H$6:$H$462,MATCH(D3187,'Classif Gestoras'!$A$6:$A$462,0)),"Não classificada")</x:f>
        <x:v>Independente</x:v>
      </x:c>
      <x:c r="F3187" s="166" t="str">
        <x:v>ID Corretora de Títulos e Valores Mobiliários S.A.</x:v>
      </x:c>
      <x:c r="G3187" s="166" t="str">
        <x:v>ID CORRETORA DE TITULOS E VALORES MOBILIARIOS S.A.</x:v>
      </x:c>
      <x:c r="H3187" s="166" t="str">
        <x:v>Outros</x:v>
      </x:c>
      <x:c r="I3187" s="166" t="str">
        <x:v>Multicarteira Outros</x:v>
      </x:c>
      <x:c r="J3187" s="166" t="str">
        <x:v>CI</x:v>
      </x:c>
      <x:c r="K3187" s="172" t="n">
        <x:v>2</x:v>
      </x:c>
      <x:c r="L3187" s="185" t="str">
        <x:v>Não classificado</x:v>
      </x:c>
    </x:row>
    <x:row r="3188">
      <x:c r="A3188" s="175" t="str">
        <x:v>45.899.975/0001-31</x:v>
      </x:c>
      <x:c r="B3188" s="166" t="str">
        <x:v>KRONOS FUNDO DE INVESTIMENTO EM DIREITOS CREDITÓRIOS NÃO-PADRONIZADOS RESPONSABILIDADE LIMITADA</x:v>
      </x:c>
      <x:c r="C3188" s="188" t="n">
        <x:v>0</x:v>
      </x:c>
      <x:c r="D3188" s="166" t="str">
        <x:v>IDGR</x:v>
      </x:c>
      <x:c r="E3188" s="166" t="str">
        <x:f>IFERROR(INDEX('Classif Gestoras'!$H$6:$H$462,MATCH(D3188,'Classif Gestoras'!$A$6:$A$462,0)),"Não classificada")</x:f>
        <x:v>Independente</x:v>
      </x:c>
      <x:c r="F3188" s="166" t="str">
        <x:v>ID Corretora de Títulos e Valores Mobiliários S.A.</x:v>
      </x:c>
      <x:c r="G3188" s="166" t="str">
        <x:v>ID CORRETORA DE TITULOS E VALORES MOBILIARIOS S.A.</x:v>
      </x:c>
      <x:c r="H3188" s="166" t="str">
        <x:v>Outros</x:v>
      </x:c>
      <x:c r="I3188" s="166" t="str">
        <x:v>Multicarteira Outros</x:v>
      </x:c>
      <x:c r="J3188" s="166" t="str">
        <x:v>CI</x:v>
      </x:c>
      <x:c r="K3188" s="172" t="n">
        <x:v>0</x:v>
      </x:c>
      <x:c r="L3188" s="185" t="str">
        <x:v>Não classificado</x:v>
      </x:c>
    </x:row>
    <x:row r="3189">
      <x:c r="A3189" s="175" t="str">
        <x:v>33.076.242/0001-18</x:v>
      </x:c>
      <x:c r="B3189" s="166" t="str">
        <x:v>WORKCAP AGRO FUNDO DE INVESTIMENTO EM DIREITOS CREDITORIOS RESPONSABILIDADE LIMITADA</x:v>
      </x:c>
      <x:c r="C3189" s="188" t="n">
        <x:v>0</x:v>
      </x:c>
      <x:c r="D3189" s="166" t="str">
        <x:v>BTG Pactual Asset</x:v>
      </x:c>
      <x:c r="E3189" s="166" t="str">
        <x:f>IFERROR(INDEX('Classif Gestoras'!$H$6:$H$462,MATCH(D3189,'Classif Gestoras'!$A$6:$A$462,0)),"Não classificada")</x:f>
        <x:v>Ligada a banco</x:v>
      </x:c>
      <x:c r="F3189" s="166" t="str">
        <x:v>BTG Pactual Servicos Financeiros S/A DTVM</x:v>
      </x:c>
      <x:c r="G3189" s="166" t="str">
        <x:v>BANCO FINAXIS S.A.</x:v>
      </x:c>
      <x:c r="H3189" s="166" t="str">
        <x:v>Agro, Indústria e Comércio</x:v>
      </x:c>
      <x:c r="I3189" s="166" t="str">
        <x:v>Recebíveis Comerciais</x:v>
      </x:c>
      <x:c r="J3189" s="166" t="str">
        <x:v>CI</x:v>
      </x:c>
      <x:c r="K3189" s="172" t="n">
        <x:v>6</x:v>
      </x:c>
      <x:c r="L3189" s="185" t="str">
        <x:v>Não classificado</x:v>
      </x:c>
    </x:row>
    <x:row r="3190">
      <x:c r="A3190" s="175" t="str">
        <x:v>54.851.716/0001-21</x:v>
      </x:c>
      <x:c r="B3190" s="166" t="str">
        <x:v>PINPAG FUNDO DE INVESTIMENTO EM DIREITOS CREDITÓRIOS RESPONSABILIDADE LIMITADA</x:v>
      </x:c>
      <x:c r="C3190" s="188" t="n">
        <x:v>0</x:v>
      </x:c>
      <x:c r="D3190" s="166" t="str">
        <x:v>Catálise Investimentos</x:v>
      </x:c>
      <x:c r="E3190" s="166" t="str">
        <x:f>IFERROR(INDEX('Classif Gestoras'!$H$6:$H$462,MATCH(D3190,'Classif Gestoras'!$A$6:$A$462,0)),"Não classificada")</x:f>
        <x:v>Independente</x:v>
      </x:c>
      <x:c r="F3190" s="166" t="str">
        <x:v>BANCO DAYCOVAL S/A</x:v>
      </x:c>
      <x:c r="G3190" s="166" t="str">
        <x:v>BANCO DAYCOVAL S.A.</x:v>
      </x:c>
      <x:c r="H3190" s="166" t="str">
        <x:v>Agro, Indústria e Comércio</x:v>
      </x:c>
      <x:c r="I3190" s="166" t="str">
        <x:v>Recebíveis Comerciais</x:v>
      </x:c>
      <x:c r="J3190" s="166" t="str">
        <x:v>CI</x:v>
      </x:c>
      <x:c r="K3190" s="172" t="n">
        <x:v>0</x:v>
      </x:c>
      <x:c r="L3190" s="185" t="str">
        <x:v>Não classificado</x:v>
      </x:c>
    </x:row>
    <x:row r="3191">
      <x:c r="A3191" s="175" t="str">
        <x:v>11.902.354/0001-48</x:v>
      </x:c>
      <x:c r="B3191" s="166" t="str">
        <x:v>FM1 FUNDO DE INVESTIMENTO EM DIREITOS CREDITÓRIOS- RESPONSABILIDADE LIMITADA</x:v>
      </x:c>
      <x:c r="C3191" s="188" t="n">
        <x:v>0</x:v>
      </x:c>
      <x:c r="D3191" s="166" t="str">
        <x:v>BNY MELLON SERVICOS</x:v>
      </x:c>
      <x:c r="E3191" s="166" t="str">
        <x:f>IFERROR(INDEX('Classif Gestoras'!$H$6:$H$462,MATCH(D3191,'Classif Gestoras'!$A$6:$A$462,0)),"Não classificada")</x:f>
        <x:v>Independente</x:v>
      </x:c>
      <x:c r="F3191" s="166" t="str">
        <x:v>BNY MELLON SERVICOS</x:v>
      </x:c>
      <x:c r="G3191" s="166" t="str">
        <x:v>BNY MELLON BANCO S.A.</x:v>
      </x:c>
      <x:c r="H3191" s="166" t="str">
        <x:v>Outros</x:v>
      </x:c>
      <x:c r="I3191" s="166" t="str">
        <x:v>Multicarteira Outros</x:v>
      </x:c>
      <x:c r="J3191" s="166" t="str">
        <x:v>CI</x:v>
      </x:c>
      <x:c r="K3191" s="172" t="n">
        <x:v>14</x:v>
      </x:c>
      <x:c r="L3191" s="185" t="str">
        <x:v>Não classificado</x:v>
      </x:c>
    </x:row>
    <x:row r="3192">
      <x:c r="A3192" s="175" t="str">
        <x:v>36.741.133/0001-66</x:v>
      </x:c>
      <x:c r="B3192" s="166" t="str">
        <x:v>CNPJ 36741133000166</x:v>
      </x:c>
      <x:c r="C3192" s="188" t="n">
        <x:v>0</x:v>
      </x:c>
      <x:c r="D3192" s="166" t="str">
        <x:v>GESTORA DE RECURSOS ID - GRID LTDA.</x:v>
      </x:c>
      <x:c r="E3192" s="166" t="str">
        <x:f>IFERROR(INDEX('Classif Gestoras'!$H$6:$H$462,MATCH(D3192,'Classif Gestoras'!$A$6:$A$462,0)),"Não classificada")</x:f>
        <x:v>Independente</x:v>
      </x:c>
      <x:c r="F3192" s="166" t="str">
        <x:v>ID Corretora de Títulos e Valores Mobiliários S.A.</x:v>
      </x:c>
      <x:c r="G3192" s="166" t="str">
        <x:v>Não identificado</x:v>
      </x:c>
      <x:c r="H3192" s="166" t="str">
        <x:v>Outros</x:v>
      </x:c>
      <x:c r="I3192" s="166" t="str">
        <x:v>Não se aplica</x:v>
      </x:c>
      <x:c r="J3192" s="166" t="str">
        <x:v>CI</x:v>
      </x:c>
      <x:c r="K3192" s="172"/>
      <x:c r="L3192" s="185" t="str">
        <x:v>Não classificado</x:v>
      </x:c>
    </x:row>
    <x:row r="3193">
      <x:c r="A3193" s="175" t="str">
        <x:v>45.953.215/0001-65</x:v>
      </x:c>
      <x:c r="B3193" s="166" t="str">
        <x:v>CNPJ 45953215000165</x:v>
      </x:c>
      <x:c r="C3193" s="188" t="n">
        <x:v>0</x:v>
      </x:c>
      <x:c r="D3193" s="166" t="str">
        <x:v>Integral Investimentos</x:v>
      </x:c>
      <x:c r="E3193" s="166" t="str">
        <x:f>IFERROR(INDEX('Classif Gestoras'!$H$6:$H$462,MATCH(D3193,'Classif Gestoras'!$A$6:$A$462,0)),"Não classificada")</x:f>
        <x:v>Independente</x:v>
      </x:c>
      <x:c r="F3193" s="166" t="str">
        <x:v>Banco Genial S.A.</x:v>
      </x:c>
      <x:c r="G3193" s="166" t="str">
        <x:v>Não identificado</x:v>
      </x:c>
      <x:c r="H3193" s="166" t="str">
        <x:v>Agro, Indústria e Comércio</x:v>
      </x:c>
      <x:c r="I3193" s="166" t="str">
        <x:v>Crédito Corporativo</x:v>
      </x:c>
      <x:c r="J3193" s="166" t="str">
        <x:v>CI</x:v>
      </x:c>
      <x:c r="K3193" s="172"/>
      <x:c r="L3193" s="185" t="str">
        <x:v>Não classificado</x:v>
      </x:c>
    </x:row>
    <x:row r="3194">
      <x:c r="A3194" s="175" t="str">
        <x:v>51.863.941/0001-90</x:v>
      </x:c>
      <x:c r="B3194" s="166" t="str">
        <x:v>CNPJ 51863941000190</x:v>
      </x:c>
      <x:c r="C3194" s="188" t="n">
        <x:v>0</x:v>
      </x:c>
      <x:c r="D3194" s="166" t="str">
        <x:v>Eco Gestão de Ativos LTDA.</x:v>
      </x:c>
      <x:c r="E3194" s="166" t="str">
        <x:f>IFERROR(INDEX('Classif Gestoras'!$H$6:$H$462,MATCH(D3194,'Classif Gestoras'!$A$6:$A$462,0)),"Não classificada")</x:f>
        <x:v>Independente</x:v>
      </x:c>
      <x:c r="F3194" s="166" t="str">
        <x:v>BANCO DAYCOVAL S/A</x:v>
      </x:c>
      <x:c r="G3194" s="166" t="str">
        <x:v>Não identificado</x:v>
      </x:c>
      <x:c r="H3194" s="166" t="str">
        <x:v>Agro, Indústria e Comércio</x:v>
      </x:c>
      <x:c r="I3194" s="166" t="str">
        <x:v>Não se aplica</x:v>
      </x:c>
      <x:c r="J3194" s="166" t="str">
        <x:v>CI</x:v>
      </x:c>
      <x:c r="K3194" s="172"/>
      <x:c r="L3194" s="185" t="str">
        <x:v>Não classificado</x:v>
      </x:c>
    </x:row>
    <x:row r="3195">
      <x:c r="A3195" s="175" t="str">
        <x:v>41.970.097/0001-42</x:v>
      </x:c>
      <x:c r="B3195" s="166" t="str">
        <x:v>NAIA ZETTA VENTURE DEBT FUNDO DE INVESTIMENTO EM DIREITOS CREDITÓRIOS</x:v>
      </x:c>
      <x:c r="C3195" s="188" t="n">
        <x:v>0</x:v>
      </x:c>
      <x:c r="D3195" s="166" t="str">
        <x:v>Naia Capital Gestão e Consultoria Financeira Ltda.</x:v>
      </x:c>
      <x:c r="E3195" s="166" t="str">
        <x:f>IFERROR(INDEX('Classif Gestoras'!$H$6:$H$462,MATCH(D3195,'Classif Gestoras'!$A$6:$A$462,0)),"Não classificada")</x:f>
        <x:v>Independente</x:v>
      </x:c>
      <x:c r="F3195" s="166" t="str">
        <x:v>Finvest Digital</x:v>
      </x:c>
      <x:c r="G3195" s="166" t="str">
        <x:v>FINVEST DISTRIBUIDORA DE TÍTULOS E VALORES MOBILIÁRIOS LTDA.</x:v>
      </x:c>
      <x:c r="H3195" s="166" t="str">
        <x:v>Outros</x:v>
      </x:c>
      <x:c r="I3195" s="166" t="str">
        <x:v>Multicarteira Outros</x:v>
      </x:c>
      <x:c r="J3195" s="166" t="str">
        <x:v>CI</x:v>
      </x:c>
      <x:c r="K3195" s="172" t="n">
        <x:v>2</x:v>
      </x:c>
      <x:c r="L3195" s="185" t="str">
        <x:v>Não classificado</x:v>
      </x:c>
    </x:row>
    <x:row r="3196">
      <x:c r="A3196" s="175" t="str">
        <x:v>46.082.809/0001-00</x:v>
      </x:c>
      <x:c r="B3196" s="166" t="str">
        <x:v>CNPJ 46082809000100</x:v>
      </x:c>
      <x:c r="C3196" s="188" t="n">
        <x:v>0</x:v>
      </x:c>
      <x:c r="D3196" s="166" t="str">
        <x:v>Solis</x:v>
      </x:c>
      <x:c r="E3196" s="166" t="str">
        <x:f>IFERROR(INDEX('Classif Gestoras'!$H$6:$H$462,MATCH(D3196,'Classif Gestoras'!$A$6:$A$462,0)),"Não classificada")</x:f>
        <x:v>Independente</x:v>
      </x:c>
      <x:c r="F3196" s="166" t="str">
        <x:v>HEMERA DTVM</x:v>
      </x:c>
      <x:c r="G3196" s="166" t="str">
        <x:v>Não identificado</x:v>
      </x:c>
      <x:c r="H3196" s="166" t="str">
        <x:v>Financeiro</x:v>
      </x:c>
      <x:c r="I3196" s="166" t="str">
        <x:v>Crédito Consignado</x:v>
      </x:c>
      <x:c r="J3196" s="166" t="str">
        <x:v>CI</x:v>
      </x:c>
      <x:c r="K3196" s="172"/>
      <x:c r="L3196" s="185" t="str">
        <x:v>Não classificado</x:v>
      </x:c>
    </x:row>
    <x:row r="3197">
      <x:c r="A3197" s="175" t="str">
        <x:v>27.614.527/0001-62</x:v>
      </x:c>
      <x:c r="B3197" s="166" t="str">
        <x:v>CNPJ 27614527000162</x:v>
      </x:c>
      <x:c r="C3197" s="188" t="n">
        <x:v>0</x:v>
      </x:c>
      <x:c r="D3197" s="166" t="str">
        <x:v>ANGÁ ASSET MANAGEMENT</x:v>
      </x:c>
      <x:c r="E3197" s="166" t="str">
        <x:f>IFERROR(INDEX('Classif Gestoras'!$H$6:$H$462,MATCH(D3197,'Classif Gestoras'!$A$6:$A$462,0)),"Não classificada")</x:f>
        <x:v>Independente</x:v>
      </x:c>
      <x:c r="F3197" s="166" t="str">
        <x:v>BTG Pactual Servicos Financeiros S/A DTVM</x:v>
      </x:c>
      <x:c r="G3197" s="166" t="str">
        <x:v>Não identificado</x:v>
      </x:c>
      <x:c r="H3197" s="166" t="str">
        <x:v>Financeiro</x:v>
      </x:c>
      <x:c r="I3197" s="166" t="str">
        <x:v>Crédito Consignado</x:v>
      </x:c>
      <x:c r="J3197" s="166" t="str">
        <x:v>CI</x:v>
      </x:c>
      <x:c r="K3197" s="172"/>
      <x:c r="L3197" s="185" t="str">
        <x:v>Não classificado</x:v>
      </x:c>
    </x:row>
    <x:row r="3198">
      <x:c r="A3198" s="175" t="str">
        <x:v>53.032.051/0001-61</x:v>
      </x:c>
      <x:c r="B3198" s="166" t="str">
        <x:v>CNPJ 53032051000161</x:v>
      </x:c>
      <x:c r="C3198" s="188" t="n">
        <x:v>0</x:v>
      </x:c>
      <x:c r="D3198" s="166" t="str">
        <x:v>Milênio Capital</x:v>
      </x:c>
      <x:c r="E3198" s="166" t="str">
        <x:f>IFERROR(INDEX('Classif Gestoras'!$H$6:$H$462,MATCH(D3198,'Classif Gestoras'!$A$6:$A$462,0)),"Não classificada")</x:f>
        <x:v>Independente</x:v>
      </x:c>
      <x:c r="F3198" s="166" t="str">
        <x:v>VÓRTX DTVM</x:v>
      </x:c>
      <x:c r="G3198" s="166" t="str">
        <x:v>Não identificado</x:v>
      </x:c>
      <x:c r="H3198" s="166" t="str">
        <x:v>Financeiro</x:v>
      </x:c>
      <x:c r="I3198" s="166" t="str">
        <x:v>Crédito Pessoal</x:v>
      </x:c>
      <x:c r="J3198" s="166" t="str">
        <x:v>CI</x:v>
      </x:c>
      <x:c r="K3198" s="172"/>
      <x:c r="L3198" s="185" t="str">
        <x:v>Não classificado</x:v>
      </x:c>
    </x:row>
    <x:row r="3199">
      <x:c r="A3199" s="175" t="str">
        <x:v>60.707.793/0001-05</x:v>
      </x:c>
      <x:c r="B3199" s="166" t="str">
        <x:v>VIVACE SHOPPING FUNDO DE INVESTIMENTO EM DIREITOS CREDITÓRIOS</x:v>
      </x:c>
      <x:c r="C3199" s="188" t="n">
        <x:v>0</x:v>
      </x:c>
      <x:c r="D3199" s="166" t="str">
        <x:v>REAG PORTFOLIO SOLUTIONS</x:v>
      </x:c>
      <x:c r="E3199" s="166" t="str">
        <x:f>IFERROR(INDEX('Classif Gestoras'!$H$6:$H$462,MATCH(D3199,'Classif Gestoras'!$A$6:$A$462,0)),"Não classificada")</x:f>
        <x:v>Independente</x:v>
      </x:c>
      <x:c r="F3199" s="166" t="str">
        <x:v>REAG DTVM</x:v>
      </x:c>
      <x:c r="G3199" s="166" t="str">
        <x:v>REAG TRUST DISTRIBUIDORA DE TITULOS E VALORES MOBILIARIOS S.A.</x:v>
      </x:c>
      <x:c r="H3199" s="166" t="str">
        <x:v>Outros</x:v>
      </x:c>
      <x:c r="I3199" s="166" t="str">
        <x:v>Multicarteira Outros</x:v>
      </x:c>
      <x:c r="J3199" s="166" t="str">
        <x:v>CI</x:v>
      </x:c>
      <x:c r="K3199" s="172" t="n">
        <x:v>2</x:v>
      </x:c>
      <x:c r="L3199" s="185" t="str">
        <x:v>Não classificado</x:v>
      </x:c>
    </x:row>
    <x:row r="3200">
      <x:c r="A3200" s="175" t="str">
        <x:v>21.862.162/0001-09</x:v>
      </x:c>
      <x:c r="B3200" s="166" t="str">
        <x:v>CNPJ 21862162000109</x:v>
      </x:c>
      <x:c r="C3200" s="188" t="n">
        <x:v>0</x:v>
      </x:c>
      <x:c r="D3200" s="166" t="str">
        <x:v>ANGÁ ASSET MANAGEMENT</x:v>
      </x:c>
      <x:c r="E3200" s="166" t="str">
        <x:f>IFERROR(INDEX('Classif Gestoras'!$H$6:$H$462,MATCH(D3200,'Classif Gestoras'!$A$6:$A$462,0)),"Não classificada")</x:f>
        <x:v>Independente</x:v>
      </x:c>
      <x:c r="F3200" s="166" t="str">
        <x:v>NECTON INVESTIMENTOS</x:v>
      </x:c>
      <x:c r="G3200" s="166" t="str">
        <x:v>Não identificado</x:v>
      </x:c>
      <x:c r="H3200" s="166" t="str">
        <x:v>Financeiro</x:v>
      </x:c>
      <x:c r="I3200" s="166" t="str">
        <x:v>Crédito Consignado</x:v>
      </x:c>
      <x:c r="J3200" s="166" t="str">
        <x:v>CI</x:v>
      </x:c>
      <x:c r="K3200" s="172"/>
      <x:c r="L3200" s="185" t="str">
        <x:v>Não classificado</x:v>
      </x:c>
    </x:row>
    <x:row r="3201">
      <x:c r="A3201" s="175" t="str">
        <x:v>57.544.715/0001-22</x:v>
      </x:c>
      <x:c r="B3201" s="166" t="str">
        <x:v>CNPJ 57544715000122</x:v>
      </x:c>
      <x:c r="C3201" s="188" t="n">
        <x:v>0</x:v>
      </x:c>
      <x:c r="D3201" s="166" t="str">
        <x:v>Blue Solutions</x:v>
      </x:c>
      <x:c r="E3201" s="166" t="str">
        <x:f>IFERROR(INDEX('Classif Gestoras'!$H$6:$H$462,MATCH(D3201,'Classif Gestoras'!$A$6:$A$462,0)),"Não classificada")</x:f>
        <x:v>Independente</x:v>
      </x:c>
      <x:c r="F3201" s="166" t="str">
        <x:v>Banvox DTVM</x:v>
      </x:c>
      <x:c r="G3201" s="166" t="str">
        <x:v>Não identificado</x:v>
      </x:c>
      <x:c r="H3201" s="166" t="str">
        <x:v>Outros</x:v>
      </x:c>
      <x:c r="I3201" s="166" t="str">
        <x:v>Multicarteira Outros</x:v>
      </x:c>
      <x:c r="J3201" s="166" t="str">
        <x:v>CI</x:v>
      </x:c>
      <x:c r="K3201" s="172"/>
      <x:c r="L3201" s="185" t="str">
        <x:v>Não classificado</x:v>
      </x:c>
    </x:row>
    <x:row r="3202">
      <x:c r="A3202" s="175" t="str">
        <x:v>41.776.416/0001-83</x:v>
      </x:c>
      <x:c r="B3202" s="166" t="str">
        <x:v>RHODONITE FUNDO DE INVESTIMENTO EM DIREITOS CREDITÓRIOS NÃO-PADRONIZADOS</x:v>
      </x:c>
      <x:c r="C3202" s="188" t="n">
        <x:v>0</x:v>
      </x:c>
      <x:c r="D3202" s="166" t="str">
        <x:v>Reag Administradora de Recursos Ltda</x:v>
      </x:c>
      <x:c r="E3202" s="166" t="str">
        <x:f>IFERROR(INDEX('Classif Gestoras'!$H$6:$H$462,MATCH(D3202,'Classif Gestoras'!$A$6:$A$462,0)),"Não classificada")</x:f>
        <x:v>Independente</x:v>
      </x:c>
      <x:c r="F3202" s="166" t="str">
        <x:v>REAG DTVM</x:v>
      </x:c>
      <x:c r="G3202" s="166" t="str">
        <x:v>REAG TRUST DISTRIBUIDORA DE TITULOS E VALORES MOBILIARIOS S.A.</x:v>
      </x:c>
      <x:c r="H3202" s="166" t="str">
        <x:v>Fomento Mercantil</x:v>
      </x:c>
      <x:c r="I3202" s="166" t="str">
        <x:v>Fomento Mercantil</x:v>
      </x:c>
      <x:c r="J3202" s="166" t="str">
        <x:v>CI</x:v>
      </x:c>
      <x:c r="K3202" s="172" t="n">
        <x:v>2</x:v>
      </x:c>
      <x:c r="L3202" s="185" t="str">
        <x:v>Não classificado</x:v>
      </x:c>
    </x:row>
    <x:row r="3203">
      <x:c r="A3203" s="175" t="str">
        <x:v>33.512.396/0001-05</x:v>
      </x:c>
      <x:c r="B3203" s="166" t="str">
        <x:v>CNPJ 33512396000105</x:v>
      </x:c>
      <x:c r="C3203" s="188" t="n">
        <x:v>0</x:v>
      </x:c>
      <x:c r="D3203" s="166" t="str">
        <x:v>REAG GESTÃO DE CRÉDITO</x:v>
      </x:c>
      <x:c r="E3203" s="166" t="str">
        <x:f>IFERROR(INDEX('Classif Gestoras'!$H$6:$H$462,MATCH(D3203,'Classif Gestoras'!$A$6:$A$462,0)),"Não classificada")</x:f>
        <x:v>Independente</x:v>
      </x:c>
      <x:c r="F3203" s="166" t="str">
        <x:v>Banvox DTVM</x:v>
      </x:c>
      <x:c r="G3203" s="166" t="str">
        <x:v>Não identificado</x:v>
      </x:c>
      <x:c r="H3203" s="166" t="str">
        <x:v>Financeiro</x:v>
      </x:c>
      <x:c r="I3203" s="166" t="str">
        <x:v>Financiamento de Veículos</x:v>
      </x:c>
      <x:c r="J3203" s="166" t="str">
        <x:v>CI</x:v>
      </x:c>
      <x:c r="K3203" s="172"/>
      <x:c r="L3203" s="185" t="str">
        <x:v>Não classificado</x:v>
      </x:c>
    </x:row>
    <x:row r="3204">
      <x:c r="A3204" s="175" t="str">
        <x:v>63.729.457/0001-51</x:v>
      </x:c>
      <x:c r="B3204" s="166" t="str">
        <x:v>CNPJ 63729457000151</x:v>
      </x:c>
      <x:c r="C3204" s="188" t="n">
        <x:v>0</x:v>
      </x:c>
      <x:c r="D3204" s="166" t="str">
        <x:v>Quadra Gestão de Recursos S.A.</x:v>
      </x:c>
      <x:c r="E3204" s="166" t="str">
        <x:f>IFERROR(INDEX('Classif Gestoras'!$H$6:$H$462,MATCH(D3204,'Classif Gestoras'!$A$6:$A$462,0)),"Não classificada")</x:f>
        <x:v>Independente</x:v>
      </x:c>
      <x:c r="F3204" s="166" t="str">
        <x:v>BTG Pactual Servicos Financeiros S/A DTVM</x:v>
      </x:c>
      <x:c r="G3204" s="166" t="str">
        <x:v>Não identificado</x:v>
      </x:c>
      <x:c r="H3204" s="166" t="str">
        <x:v>Outros</x:v>
      </x:c>
      <x:c r="I3204" s="166" t="str">
        <x:v>Multicarteira Outros</x:v>
      </x:c>
      <x:c r="J3204" s="166" t="str">
        <x:v>CI</x:v>
      </x:c>
      <x:c r="K3204" s="172"/>
      <x:c r="L3204" s="185" t="str">
        <x:v>Não classificado</x:v>
      </x:c>
    </x:row>
    <x:row r="3205">
      <x:c r="A3205" s="175" t="str">
        <x:v>21.917.325/0001-03</x:v>
      </x:c>
      <x:c r="B3205" s="166" t="str">
        <x:v>LABRADOR FUNDO DE INVESTIMENTO EM DIREITOS CREDITÓRIOS</x:v>
      </x:c>
      <x:c r="C3205" s="188" t="n">
        <x:v>0</x:v>
      </x:c>
      <x:c r="D3205" s="166" t="str">
        <x:v>TERCON ASSET MANAGEMENT</x:v>
      </x:c>
      <x:c r="E3205" s="166" t="str">
        <x:f>IFERROR(INDEX('Classif Gestoras'!$H$6:$H$462,MATCH(D3205,'Classif Gestoras'!$A$6:$A$462,0)),"Não classificada")</x:f>
        <x:v>Independente</x:v>
      </x:c>
      <x:c r="F3205" s="166" t="str">
        <x:v>Limine Trust Distribuidora de Titulos e Valores Mobiliá</x:v>
      </x:c>
      <x:c r="G3205" s="166" t="str">
        <x:v>LIMINE TRUST DISTRIBUIDORA DE TITULOS E VALORES MOBILIARIOS LTDA.</x:v>
      </x:c>
      <x:c r="H3205" s="166" t="str">
        <x:v>Agro, Indústria e Comércio</x:v>
      </x:c>
      <x:c r="I3205" s="166" t="str">
        <x:v>Recebíveis Comerciais</x:v>
      </x:c>
      <x:c r="J3205" s="166" t="str">
        <x:v>CI</x:v>
      </x:c>
      <x:c r="K3205" s="172" t="n">
        <x:v>5</x:v>
      </x:c>
      <x:c r="L3205" s="185" t="str">
        <x:v>Não classificado</x:v>
      </x:c>
    </x:row>
    <x:row r="3206">
      <x:c r="A3206" s="175" t="str">
        <x:v>41.776.322/0001-04</x:v>
      </x:c>
      <x:c r="B3206" s="166" t="str">
        <x:v>CNPJ 41776322000104</x:v>
      </x:c>
      <x:c r="C3206" s="188" t="n">
        <x:v>0</x:v>
      </x:c>
      <x:c r="D3206" s="166" t="str">
        <x:v>Reag Administradora de Recursos Ltda</x:v>
      </x:c>
      <x:c r="E3206" s="166" t="str">
        <x:f>IFERROR(INDEX('Classif Gestoras'!$H$6:$H$462,MATCH(D3206,'Classif Gestoras'!$A$6:$A$462,0)),"Não classificada")</x:f>
        <x:v>Independente</x:v>
      </x:c>
      <x:c r="F3206" s="166" t="str">
        <x:v>REAG DTVM</x:v>
      </x:c>
      <x:c r="G3206" s="166" t="str">
        <x:v>Não identificado</x:v>
      </x:c>
      <x:c r="H3206" s="166" t="str">
        <x:v>Outros</x:v>
      </x:c>
      <x:c r="I3206" s="166" t="str">
        <x:v>Multicarteira Outros</x:v>
      </x:c>
      <x:c r="J3206" s="166" t="str">
        <x:v>CI</x:v>
      </x:c>
      <x:c r="K3206" s="172"/>
      <x:c r="L3206" s="185" t="str">
        <x:v>Não classificado</x:v>
      </x:c>
    </x:row>
    <x:row r="3207">
      <x:c r="A3207" s="175" t="str">
        <x:v>51.821.352/0001-49</x:v>
      </x:c>
      <x:c r="B3207" s="166" t="str">
        <x:v>CNPJ 51821352000149</x:v>
      </x:c>
      <x:c r="C3207" s="188" t="n">
        <x:v>0</x:v>
      </x:c>
      <x:c r="D3207" s="166" t="str">
        <x:v>D3 Capital</x:v>
      </x:c>
      <x:c r="E3207" s="166" t="str">
        <x:f>IFERROR(INDEX('Classif Gestoras'!$H$6:$H$462,MATCH(D3207,'Classif Gestoras'!$A$6:$A$462,0)),"Não classificada")</x:f>
        <x:v>Independente</x:v>
      </x:c>
      <x:c r="F3207" s="166" t="str">
        <x:v>AZUMI DISTRIBUIDORA DE TÍTULOS E VALORES MOBILIÁRIOS LT</x:v>
      </x:c>
      <x:c r="G3207" s="166" t="str">
        <x:v>Não identificado</x:v>
      </x:c>
      <x:c r="H3207" s="166" t="str">
        <x:v>Outros</x:v>
      </x:c>
      <x:c r="I3207" s="166" t="str">
        <x:v>Multicarteira Outros</x:v>
      </x:c>
      <x:c r="J3207" s="166" t="str">
        <x:v>CI</x:v>
      </x:c>
      <x:c r="K3207" s="172"/>
      <x:c r="L3207" s="185" t="str">
        <x:v>Não classificado</x:v>
      </x:c>
    </x:row>
    <x:row r="3208">
      <x:c r="A3208" s="175" t="str">
        <x:v>51.785.049/0001-38</x:v>
      </x:c>
      <x:c r="B3208" s="166" t="str">
        <x:v>CNPJ 51785049000138</x:v>
      </x:c>
      <x:c r="C3208" s="188" t="n">
        <x:v>0</x:v>
      </x:c>
      <x:c r="D3208" s="166" t="str">
        <x:v>Solis</x:v>
      </x:c>
      <x:c r="E3208" s="166" t="str">
        <x:f>IFERROR(INDEX('Classif Gestoras'!$H$6:$H$462,MATCH(D3208,'Classif Gestoras'!$A$6:$A$462,0)),"Não classificada")</x:f>
        <x:v>Independente</x:v>
      </x:c>
      <x:c r="F3208" s="166" t="str">
        <x:v>VÓRTX DTVM</x:v>
      </x:c>
      <x:c r="G3208" s="166" t="str">
        <x:v>Não identificado</x:v>
      </x:c>
      <x:c r="H3208" s="166" t="str">
        <x:v>Financeiro</x:v>
      </x:c>
      <x:c r="I3208" s="166" t="str">
        <x:v>Crédito Consignado</x:v>
      </x:c>
      <x:c r="J3208" s="166" t="str">
        <x:v>CI</x:v>
      </x:c>
      <x:c r="K3208" s="172"/>
      <x:c r="L3208" s="185" t="str">
        <x:v>Não classificado</x:v>
      </x:c>
    </x:row>
    <x:row r="3209">
      <x:c r="A3209" s="175" t="str">
        <x:v>33.256.023/0001-10</x:v>
      </x:c>
      <x:c r="B3209" s="166" t="str">
        <x:v>CNPJ 33256023000110</x:v>
      </x:c>
      <x:c r="C3209" s="188" t="n">
        <x:v>0</x:v>
      </x:c>
      <x:c r="D3209" s="166" t="str">
        <x:v>Fram Capital Gestão de Ativos Ltda</x:v>
      </x:c>
      <x:c r="E3209" s="166" t="str">
        <x:f>IFERROR(INDEX('Classif Gestoras'!$H$6:$H$462,MATCH(D3209,'Classif Gestoras'!$A$6:$A$462,0)),"Não classificada")</x:f>
        <x:v>Independente</x:v>
      </x:c>
      <x:c r="F3209" s="166" t="str">
        <x:v>OSLO DTVM S. A.</x:v>
      </x:c>
      <x:c r="G3209" s="166" t="str">
        <x:v>Não identificado</x:v>
      </x:c>
      <x:c r="H3209" s="166" t="str">
        <x:v>Outros</x:v>
      </x:c>
      <x:c r="I3209" s="166" t="str">
        <x:v>Multicarteira Outros</x:v>
      </x:c>
      <x:c r="J3209" s="166" t="str">
        <x:v>CI</x:v>
      </x:c>
      <x:c r="K3209" s="172"/>
      <x:c r="L3209" s="185" t="str">
        <x:v>Não classificado</x:v>
      </x:c>
    </x:row>
    <x:row r="3210">
      <x:c r="A3210" s="175" t="str">
        <x:v>61.529.519/0001-56</x:v>
      </x:c>
      <x:c r="B3210" s="166" t="str">
        <x:v>PACUÍBA II FUNDO DE INVESTIMENTO EM DIREITOS CREDITÓRIOS</x:v>
      </x:c>
      <x:c r="C3210" s="188" t="n">
        <x:v>0</x:v>
      </x:c>
      <x:c r="D3210" s="166" t="str">
        <x:v>Versal Finance Gestão de Recursos LTDA.</x:v>
      </x:c>
      <x:c r="E3210" s="166" t="str">
        <x:f>IFERROR(INDEX('Classif Gestoras'!$H$6:$H$462,MATCH(D3210,'Classif Gestoras'!$A$6:$A$462,0)),"Não classificada")</x:f>
        <x:v>Independente</x:v>
      </x:c>
      <x:c r="F3210" s="166" t="str">
        <x:v>PLANNER CV</x:v>
      </x:c>
      <x:c r="G3210" s="166" t="str">
        <x:v>PLANNER CORRETORA DE VALORES S.A.</x:v>
      </x:c>
      <x:c r="H3210" s="166" t="str">
        <x:v>Outros</x:v>
      </x:c>
      <x:c r="I3210" s="166" t="str">
        <x:v>Multicarteira Outros</x:v>
      </x:c>
      <x:c r="J3210" s="166" t="str">
        <x:v>CI</x:v>
      </x:c>
      <x:c r="K3210" s="172" t="n">
        <x:v>1</x:v>
      </x:c>
      <x:c r="L3210" s="185" t="str">
        <x:v>Não classificado</x:v>
      </x:c>
    </x:row>
    <x:row r="3211">
      <x:c r="A3211" s="175" t="str">
        <x:v>57.269.975/0001-37</x:v>
      </x:c>
      <x:c r="B3211" s="166" t="str">
        <x:v>TERPSÍCORE FUNDO DE INVESTIMENTO EM DIREITOS CREDITÓRIOS</x:v>
      </x:c>
      <x:c r="C3211" s="188" t="n">
        <x:v>0</x:v>
      </x:c>
      <x:c r="D3211" s="166" t="str">
        <x:v>Reag Jus</x:v>
      </x:c>
      <x:c r="E3211" s="166" t="str">
        <x:f>IFERROR(INDEX('Classif Gestoras'!$H$6:$H$462,MATCH(D3211,'Classif Gestoras'!$A$6:$A$462,0)),"Não classificada")</x:f>
        <x:v>Independente</x:v>
      </x:c>
      <x:c r="F3211" s="166" t="str">
        <x:v>REAG DTVM</x:v>
      </x:c>
      <x:c r="G3211" s="166" t="str">
        <x:v>REAG TRUST DISTRIBUIDORA DE TITULOS E VALORES MOBILIARIOS S.A.</x:v>
      </x:c>
      <x:c r="H3211" s="166" t="str">
        <x:v>Outros</x:v>
      </x:c>
      <x:c r="I3211" s="166" t="str">
        <x:v>Multicarteira Outros</x:v>
      </x:c>
      <x:c r="J3211" s="166" t="str">
        <x:v>CI</x:v>
      </x:c>
      <x:c r="K3211" s="172" t="n">
        <x:v>1</x:v>
      </x:c>
      <x:c r="L3211" s="185" t="str">
        <x:v>Não classificado</x:v>
      </x:c>
    </x:row>
    <x:row r="3212">
      <x:c r="A3212" s="175" t="str">
        <x:v>32.388.204/0001-38</x:v>
      </x:c>
      <x:c r="B3212" s="166" t="str">
        <x:v>CNPJ 32388204000138</x:v>
      </x:c>
      <x:c r="C3212" s="188" t="n">
        <x:v>0</x:v>
      </x:c>
      <x:c r="D3212" s="166" t="str">
        <x:v>SOSU CAPITAL GESTÃO DE INVESTIMENTOS LTDA.</x:v>
      </x:c>
      <x:c r="E3212" s="166" t="str">
        <x:f>IFERROR(INDEX('Classif Gestoras'!$H$6:$H$462,MATCH(D3212,'Classif Gestoras'!$A$6:$A$462,0)),"Não classificada")</x:f>
        <x:v>Independente</x:v>
      </x:c>
      <x:c r="F3212" s="166" t="str">
        <x:v>BRL TRUST DTVM</x:v>
      </x:c>
      <x:c r="G3212" s="166" t="str">
        <x:v>Não identificado</x:v>
      </x:c>
      <x:c r="H3212" s="166" t="str">
        <x:v>Outros</x:v>
      </x:c>
      <x:c r="I3212" s="166" t="str">
        <x:v>Poder Público</x:v>
      </x:c>
      <x:c r="J3212" s="166" t="str">
        <x:v>CI</x:v>
      </x:c>
      <x:c r="K3212" s="172"/>
      <x:c r="L3212" s="185" t="str">
        <x:v>Não classificado</x:v>
      </x:c>
    </x:row>
    <x:row r="3213">
      <x:c r="A3213" s="175" t="str">
        <x:v>43.145.848/0001-11</x:v>
      </x:c>
      <x:c r="B3213" s="166" t="str">
        <x:v>CAROUGE 41 FUNDO DE INVESTIMENTO EM DIREITOS CREDITÓRIOS NÃO PADRONIZADO</x:v>
      </x:c>
      <x:c r="C3213" s="188" t="n">
        <x:v>0</x:v>
      </x:c>
      <x:c r="D3213" s="166" t="str">
        <x:v>Latache Capital</x:v>
      </x:c>
      <x:c r="E3213" s="166" t="str">
        <x:f>IFERROR(INDEX('Classif Gestoras'!$H$6:$H$462,MATCH(D3213,'Classif Gestoras'!$A$6:$A$462,0)),"Não classificada")</x:f>
        <x:v>Independente</x:v>
      </x:c>
      <x:c r="F3213" s="166" t="str">
        <x:v>REAG DTVM</x:v>
      </x:c>
      <x:c r="G3213" s="166" t="str">
        <x:v>PLANNER CORRETORA DE VALORES S.A.</x:v>
      </x:c>
      <x:c r="H3213" s="166" t="str">
        <x:v>Outros</x:v>
      </x:c>
      <x:c r="I3213" s="166" t="str">
        <x:v>Multicarteira Outros</x:v>
      </x:c>
      <x:c r="J3213" s="166" t="str">
        <x:v>CI</x:v>
      </x:c>
      <x:c r="K3213" s="172" t="n">
        <x:v>4</x:v>
      </x:c>
      <x:c r="L3213" s="185" t="str">
        <x:v>Não classificado</x:v>
      </x:c>
    </x:row>
    <x:row r="3214">
      <x:c r="A3214" s="175" t="str">
        <x:v>55.928.021/0001-63</x:v>
      </x:c>
      <x:c r="B3214" s="166" t="str">
        <x:v>FUNDO DE INVESTIMENTO EM DIREITOS CREDITÓRIOS BDR KYIV I</x:v>
      </x:c>
      <x:c r="C3214" s="188" t="n">
        <x:v>0</x:v>
      </x:c>
      <x:c r="D3214" s="166" t="str">
        <x:v>BDR Asset</x:v>
      </x:c>
      <x:c r="E3214" s="166" t="str">
        <x:f>IFERROR(INDEX('Classif Gestoras'!$H$6:$H$462,MATCH(D3214,'Classif Gestoras'!$A$6:$A$462,0)),"Não classificada")</x:f>
        <x:v>Independente</x:v>
      </x:c>
      <x:c r="F3214" s="166" t="str">
        <x:v>VÓRTX DTVM</x:v>
      </x:c>
      <x:c r="G3214" s="166" t="str">
        <x:v>BANCO DAYCOVAL S.A.</x:v>
      </x:c>
      <x:c r="H3214" s="166" t="str">
        <x:v>Outros</x:v>
      </x:c>
      <x:c r="I3214" s="166" t="str">
        <x:v>Multicarteira Outros</x:v>
      </x:c>
      <x:c r="J3214" s="166" t="str">
        <x:v>CI</x:v>
      </x:c>
      <x:c r="K3214" s="172" t="n">
        <x:v>9</x:v>
      </x:c>
      <x:c r="L3214" s="185" t="str">
        <x:v>Não classificado</x:v>
      </x:c>
    </x:row>
    <x:row r="3215">
      <x:c r="A3215" s="175" t="str">
        <x:v>20.209.230/0001-72</x:v>
      </x:c>
      <x:c r="B3215" s="166" t="str">
        <x:v>MBM FUNDO DE INVESTIMENTO EM DIREITOS CREDITÓRIOS NÃO-PADRONIZADOS</x:v>
      </x:c>
      <x:c r="C3215" s="188" t="n">
        <x:v>0</x:v>
      </x:c>
      <x:c r="D3215" s="166" t="str">
        <x:v>Tyr Gestao de Recursos Ltda</x:v>
      </x:c>
      <x:c r="E3215" s="166" t="str">
        <x:f>IFERROR(INDEX('Classif Gestoras'!$H$6:$H$462,MATCH(D3215,'Classif Gestoras'!$A$6:$A$462,0)),"Não classificada")</x:f>
        <x:v>Independente</x:v>
      </x:c>
      <x:c r="F3215" s="166" t="str">
        <x:v>Intra Investimentos Distribuidora de Títulos e Valores Mobiliários LTDA.</x:v>
      </x:c>
      <x:c r="G3215" s="166" t="str">
        <x:v>INTRA INVESTIMENTOS DTVM LTDA</x:v>
      </x:c>
      <x:c r="H3215" s="166" t="str">
        <x:v>Fomento Mercantil</x:v>
      </x:c>
      <x:c r="I3215" s="166" t="str">
        <x:v>Fomento Mercantil</x:v>
      </x:c>
      <x:c r="J3215" s="166" t="str">
        <x:v>CI</x:v>
      </x:c>
      <x:c r="K3215" s="172" t="n">
        <x:v>2</x:v>
      </x:c>
      <x:c r="L3215" s="185" t="str">
        <x:v>Não classificado</x:v>
      </x:c>
    </x:row>
    <x:row r="3216">
      <x:c r="A3216" s="175" t="str">
        <x:v>52.286.115/0001-98</x:v>
      </x:c>
      <x:c r="B3216" s="166" t="str">
        <x:v>CNPJ 52286115000198</x:v>
      </x:c>
      <x:c r="C3216" s="188" t="n">
        <x:v>0</x:v>
      </x:c>
      <x:c r="D3216" s="166" t="str">
        <x:v>Milênio Capital</x:v>
      </x:c>
      <x:c r="E3216" s="166" t="str">
        <x:f>IFERROR(INDEX('Classif Gestoras'!$H$6:$H$462,MATCH(D3216,'Classif Gestoras'!$A$6:$A$462,0)),"Não classificada")</x:f>
        <x:v>Independente</x:v>
      </x:c>
      <x:c r="F3216" s="166" t="str">
        <x:v>Oliveira Trust DTVM</x:v>
      </x:c>
      <x:c r="G3216" s="166" t="str">
        <x:v>Não identificado</x:v>
      </x:c>
      <x:c r="H3216" s="166" t="str">
        <x:v>Agro, Indústria e Comércio</x:v>
      </x:c>
      <x:c r="I3216" s="166" t="str">
        <x:v>Agronegócio</x:v>
      </x:c>
      <x:c r="J3216" s="166" t="str">
        <x:v>CI</x:v>
      </x:c>
      <x:c r="K3216" s="172"/>
      <x:c r="L3216" s="185" t="str">
        <x:v>Não classificado</x:v>
      </x:c>
    </x:row>
    <x:row r="3217">
      <x:c r="A3217" s="175" t="str">
        <x:v>65.564.636/0001-01</x:v>
      </x:c>
      <x:c r="B3217" s="166" t="str">
        <x:v>NEO CONSIGNADO PRIVADO PULL I FUNDO DE INVESTIMENTO EM DIREITOS CREDITÓRIOS RESP LIMITADA</x:v>
      </x:c>
      <x:c r="C3217" s="188" t="n">
        <x:v>0</x:v>
      </x:c>
      <x:c r="D3217" s="166" t="str">
        <x:v>SPECIAL SITUATIONS NEO GESTAO DE RECURSOS LTDA</x:v>
      </x:c>
      <x:c r="E3217" s="166" t="str">
        <x:f>IFERROR(INDEX('Classif Gestoras'!$H$6:$H$462,MATCH(D3217,'Classif Gestoras'!$A$6:$A$462,0)),"Não classificada")</x:f>
        <x:v>Independente</x:v>
      </x:c>
      <x:c r="F3217" s="166" t="str">
        <x:v>VÓRTX DTVM</x:v>
      </x:c>
      <x:c r="G3217" s="166" t="str">
        <x:v>VORTX DISTRIBUIDORA DE TITULOS E VALORES MOBILIARIOS LTDA.</x:v>
      </x:c>
      <x:c r="H3217" s="166" t="str">
        <x:v>Financeiro</x:v>
      </x:c>
      <x:c r="I3217" s="166" t="str">
        <x:v>Crédito Consignado</x:v>
      </x:c>
      <x:c r="J3217" s="166" t="str">
        <x:v>CI</x:v>
      </x:c>
      <x:c r="K3217" s="172" t="n">
        <x:v>2</x:v>
      </x:c>
      <x:c r="L3217" s="185" t="str">
        <x:v>Não classificado</x:v>
      </x:c>
    </x:row>
    <x:row r="3218">
      <x:c r="A3218" s="175" t="str">
        <x:v>37.606.580/0001-75</x:v>
      </x:c>
      <x:c r="B3218" s="166" t="str">
        <x:v>OPENCO FUNDO DE INVESTIMENTO EM DIREITOS CREDITORIOS</x:v>
      </x:c>
      <x:c r="C3218" s="188" t="n">
        <x:v>0</x:v>
      </x:c>
      <x:c r="D3218" s="166" t="str">
        <x:v>VERT Gestora de Recursos Financeiros Ltda.</x:v>
      </x:c>
      <x:c r="E3218" s="166" t="str">
        <x:f>IFERROR(INDEX('Classif Gestoras'!$H$6:$H$462,MATCH(D3218,'Classif Gestoras'!$A$6:$A$462,0)),"Não classificada")</x:f>
        <x:v>Independente</x:v>
      </x:c>
      <x:c r="F3218" s="166" t="str">
        <x:v>VERT Distribuidora de Títulos e Valores Mobiliários Ltd</x:v>
      </x:c>
      <x:c r="G3218" s="166" t="str">
        <x:v>Não identificado</x:v>
      </x:c>
      <x:c r="H3218" s="166" t="str">
        <x:v>Financeiro</x:v>
      </x:c>
      <x:c r="I3218" s="166" t="str">
        <x:v>Crédito Pessoal</x:v>
      </x:c>
      <x:c r="J3218" s="166" t="str">
        <x:v>CI</x:v>
      </x:c>
      <x:c r="K3218" s="172" t="n">
        <x:v>0</x:v>
      </x:c>
      <x:c r="L3218" s="185" t="str">
        <x:v>Não classificado</x:v>
      </x:c>
    </x:row>
    <x:row r="3219">
      <x:c r="A3219" s="175" t="str">
        <x:v>43.164.899/0001-90</x:v>
      </x:c>
      <x:c r="B3219" s="166" t="str">
        <x:v>MÉLIUZ FUNDO DE INVESTIMENTO EM DIREITOS CREDITÓRIOS</x:v>
      </x:c>
      <x:c r="C3219" s="188" t="n">
        <x:v>0</x:v>
      </x:c>
      <x:c r="D3219" s="166" t="str">
        <x:v>POLÍGONO CAPITAL LTDA.</x:v>
      </x:c>
      <x:c r="E3219" s="166" t="str">
        <x:f>IFERROR(INDEX('Classif Gestoras'!$H$6:$H$462,MATCH(D3219,'Classif Gestoras'!$A$6:$A$462,0)),"Não classificada")</x:f>
        <x:v>Independente</x:v>
      </x:c>
      <x:c r="F3219" s="166" t="str">
        <x:v>Finvest Digital</x:v>
      </x:c>
      <x:c r="G3219" s="166" t="str">
        <x:v>FINVEST DISTRIBUIDORA DE TÍTULOS E VALORES MOBILIÁRIOS LTDA.</x:v>
      </x:c>
      <x:c r="H3219" s="166" t="str">
        <x:v>Financeiro</x:v>
      </x:c>
      <x:c r="I3219" s="166" t="str">
        <x:v>Multicarteira Financeiro</x:v>
      </x:c>
      <x:c r="J3219" s="166" t="str">
        <x:v>CI</x:v>
      </x:c>
      <x:c r="K3219" s="172" t="n">
        <x:v>0</x:v>
      </x:c>
      <x:c r="L3219" s="185" t="str">
        <x:v>Não classificado</x:v>
      </x:c>
    </x:row>
    <x:row r="3220">
      <x:c r="A3220" s="175" t="str">
        <x:v>42.605.393/0001-07</x:v>
      </x:c>
      <x:c r="B3220" s="166" t="str">
        <x:v>FUNDO DE INVESTIMENTO EM DIREITOS CREDITÓRIOS QUASAR DUCOCO</x:v>
      </x:c>
      <x:c r="C3220" s="188" t="n">
        <x:v>0</x:v>
      </x:c>
      <x:c r="D3220" s="166" t="str">
        <x:v>Chimera Capital Asset Management Ltda.</x:v>
      </x:c>
      <x:c r="E3220" s="166" t="str">
        <x:f>IFERROR(INDEX('Classif Gestoras'!$H$6:$H$462,MATCH(D3220,'Classif Gestoras'!$A$6:$A$462,0)),"Não classificada")</x:f>
        <x:v>Independente</x:v>
      </x:c>
      <x:c r="F3220" s="166" t="str">
        <x:v>REAG DTVM</x:v>
      </x:c>
      <x:c r="G3220" s="166" t="str">
        <x:v>REAG TRUST DISTRIBUIDORA DE TITULOS E VALORES MOBILIARIOS S.A.</x:v>
      </x:c>
      <x:c r="H3220" s="166" t="str">
        <x:v>Agro, Indústria e Comércio</x:v>
      </x:c>
      <x:c r="I3220" s="166" t="str">
        <x:v>Recebíveis Comerciais</x:v>
      </x:c>
      <x:c r="J3220" s="166" t="str">
        <x:v>CI</x:v>
      </x:c>
      <x:c r="K3220" s="172" t="n">
        <x:v>4</x:v>
      </x:c>
      <x:c r="L3220" s="185" t="str">
        <x:v>Não classificado</x:v>
      </x:c>
    </x:row>
    <x:row r="3221">
      <x:c r="A3221" s="175" t="str">
        <x:v>37.123.017/0001-46</x:v>
      </x:c>
      <x:c r="B3221" s="166" t="str">
        <x:v>CNPJ 37123017000146</x:v>
      </x:c>
      <x:c r="C3221" s="188" t="n">
        <x:v>0</x:v>
      </x:c>
      <x:c r="D3221" s="166" t="str">
        <x:v>Iron Capital</x:v>
      </x:c>
      <x:c r="E3221" s="166" t="str">
        <x:f>IFERROR(INDEX('Classif Gestoras'!$H$6:$H$462,MATCH(D3221,'Classif Gestoras'!$A$6:$A$462,0)),"Não classificada")</x:f>
        <x:v>Independente</x:v>
      </x:c>
      <x:c r="F3221" s="166" t="str">
        <x:v>VÓRTX DTVM</x:v>
      </x:c>
      <x:c r="G3221" s="166" t="str">
        <x:v>Não identificado</x:v>
      </x:c>
      <x:c r="H3221" s="166" t="str">
        <x:v>Financeiro</x:v>
      </x:c>
      <x:c r="I3221" s="166" t="str">
        <x:v>Crédito Consignado</x:v>
      </x:c>
      <x:c r="J3221" s="166" t="str">
        <x:v>CI</x:v>
      </x:c>
      <x:c r="K3221" s="172"/>
      <x:c r="L3221" s="185" t="str">
        <x:v>Não classificado</x:v>
      </x:c>
    </x:row>
    <x:row r="3222">
      <x:c r="A3222" s="175" t="str">
        <x:v>52.594.798/0001-40</x:v>
      </x:c>
      <x:c r="B3222" s="166" t="str">
        <x:v>CNPJ 52594798000140</x:v>
      </x:c>
      <x:c r="C3222" s="188" t="n">
        <x:v>0</x:v>
      </x:c>
      <x:c r="D3222" s="166" t="str">
        <x:v>ALTINVEST</x:v>
      </x:c>
      <x:c r="E3222" s="166" t="str">
        <x:f>IFERROR(INDEX('Classif Gestoras'!$H$6:$H$462,MATCH(D3222,'Classif Gestoras'!$A$6:$A$462,0)),"Não classificada")</x:f>
        <x:v>Independente</x:v>
      </x:c>
      <x:c r="F3222" s="166" t="str">
        <x:v>REAG DTVM</x:v>
      </x:c>
      <x:c r="G3222" s="166" t="str">
        <x:v>Não identificado</x:v>
      </x:c>
      <x:c r="H3222" s="166" t="str">
        <x:v>Financeiro</x:v>
      </x:c>
      <x:c r="I3222" s="166" t="str">
        <x:v>Crédito Consignado</x:v>
      </x:c>
      <x:c r="J3222" s="166" t="str">
        <x:v>CI</x:v>
      </x:c>
      <x:c r="K3222" s="172"/>
      <x:c r="L3222" s="185" t="str">
        <x:v>Não classificado</x:v>
      </x:c>
    </x:row>
    <x:row r="3223">
      <x:c r="A3223" s="175" t="str">
        <x:v>19.476.304/0001-58</x:v>
      </x:c>
      <x:c r="B3223" s="166" t="str">
        <x:v>LATACHE II DISTRESSED FUNDO DE INVESTIMENTO EM DIREITOS CREDITORIOS NAO PADRONIZADOS</x:v>
      </x:c>
      <x:c r="C3223" s="188" t="n">
        <x:v>0</x:v>
      </x:c>
      <x:c r="D3223" s="166" t="str">
        <x:v>Latache Capital</x:v>
      </x:c>
      <x:c r="E3223" s="166" t="str">
        <x:f>IFERROR(INDEX('Classif Gestoras'!$H$6:$H$462,MATCH(D3223,'Classif Gestoras'!$A$6:$A$462,0)),"Não classificada")</x:f>
        <x:v>Independente</x:v>
      </x:c>
      <x:c r="F3223" s="166" t="str">
        <x:v>PLANNER CV</x:v>
      </x:c>
      <x:c r="G3223" s="166" t="str">
        <x:v>PLANNER CORRETORA DE VALORES S.A.</x:v>
      </x:c>
      <x:c r="H3223" s="166" t="str">
        <x:v>Outros</x:v>
      </x:c>
      <x:c r="I3223" s="166" t="str">
        <x:v>Multicarteira Outros</x:v>
      </x:c>
      <x:c r="J3223" s="166" t="str">
        <x:v>CI</x:v>
      </x:c>
      <x:c r="K3223" s="172" t="n">
        <x:v>1</x:v>
      </x:c>
      <x:c r="L3223" s="185" t="str">
        <x:v>Não classificado</x:v>
      </x:c>
    </x:row>
    <x:row r="3224">
      <x:c r="A3224" s="175" t="str">
        <x:v>43.309.233/0001-83</x:v>
      </x:c>
      <x:c r="B3224" s="166" t="str">
        <x:v>CNPJ 43309233000183</x:v>
      </x:c>
      <x:c r="C3224" s="188" t="n">
        <x:v>0</x:v>
      </x:c>
      <x:c r="D3224" s="166" t="str">
        <x:v>Farmtech Gestão de Recursos Ltda.</x:v>
      </x:c>
      <x:c r="E3224" s="166" t="str">
        <x:f>IFERROR(INDEX('Classif Gestoras'!$H$6:$H$462,MATCH(D3224,'Classif Gestoras'!$A$6:$A$462,0)),"Não classificada")</x:f>
        <x:v>Independente</x:v>
      </x:c>
      <x:c r="F3224" s="166" t="str">
        <x:v>Oliveira Trust DTVM</x:v>
      </x:c>
      <x:c r="G3224" s="166" t="str">
        <x:v>Não identificado</x:v>
      </x:c>
      <x:c r="H3224" s="166" t="str">
        <x:v>Agro, Indústria e Comércio</x:v>
      </x:c>
      <x:c r="I3224" s="166" t="str">
        <x:v>Agronegócio</x:v>
      </x:c>
      <x:c r="J3224" s="166" t="str">
        <x:v>CI</x:v>
      </x:c>
      <x:c r="K3224" s="172"/>
      <x:c r="L3224" s="185" t="str">
        <x:v>Não classificado</x:v>
      </x:c>
    </x:row>
    <x:row r="3225">
      <x:c r="A3225" s="175" t="str">
        <x:v>32.274.625/0001-38</x:v>
      </x:c>
      <x:c r="B3225" s="166" t="str">
        <x:v>WELLESLEY FUNDO DE INVESTIMENTO EM DIREITOS CREDITÓRIOS RESPONSABILIDADE LIMITADA</x:v>
      </x:c>
      <x:c r="C3225" s="188" t="n">
        <x:v>0</x:v>
      </x:c>
      <x:c r="D3225" s="166" t="str">
        <x:v>MODAL ASSET</x:v>
      </x:c>
      <x:c r="E3225" s="166" t="str">
        <x:f>IFERROR(INDEX('Classif Gestoras'!$H$6:$H$462,MATCH(D3225,'Classif Gestoras'!$A$6:$A$462,0)),"Não classificada")</x:f>
        <x:v>Ligada a banco</x:v>
      </x:c>
      <x:c r="F3225" s="166" t="str">
        <x:v>MAF Distribuidora de Títulos e Valores Mobiliários S.A.</x:v>
      </x:c>
      <x:c r="G3225" s="166" t="str">
        <x:v>MAF DISTRIBUIDORA DE TITULOS E VALORES MOBILIARIOS S.A.</x:v>
      </x:c>
      <x:c r="H3225" s="166" t="str">
        <x:v>Outros</x:v>
      </x:c>
      <x:c r="I3225" s="166" t="str">
        <x:v>Multicarteira Outros</x:v>
      </x:c>
      <x:c r="J3225" s="166" t="str">
        <x:v>CI</x:v>
      </x:c>
      <x:c r="K3225" s="172" t="n">
        <x:v>1</x:v>
      </x:c>
      <x:c r="L3225" s="185" t="str">
        <x:v>Não classificado</x:v>
      </x:c>
    </x:row>
    <x:row r="3226">
      <x:c r="A3226" s="175" t="str">
        <x:v>37.645.417/0001-11</x:v>
      </x:c>
      <x:c r="B3226" s="166" t="str">
        <x:v>CNPJ 37645417000111</x:v>
      </x:c>
      <x:c r="C3226" s="188" t="n">
        <x:v>0</x:v>
      </x:c>
      <x:c r="D3226" s="166" t="str">
        <x:v>Brave Asset</x:v>
      </x:c>
      <x:c r="E3226" s="166" t="str">
        <x:f>IFERROR(INDEX('Classif Gestoras'!$H$6:$H$462,MATCH(D3226,'Classif Gestoras'!$A$6:$A$462,0)),"Não classificada")</x:f>
        <x:v>Independente</x:v>
      </x:c>
      <x:c r="F3226" s="166" t="str">
        <x:v>BRL TRUST DTVM</x:v>
      </x:c>
      <x:c r="G3226" s="166" t="str">
        <x:v>Não identificado</x:v>
      </x:c>
      <x:c r="H3226" s="166" t="str">
        <x:v>Agro, Indústria e Comércio</x:v>
      </x:c>
      <x:c r="I3226" s="166" t="str">
        <x:v>Não se aplica</x:v>
      </x:c>
      <x:c r="J3226" s="166" t="str">
        <x:v>CI</x:v>
      </x:c>
      <x:c r="K3226" s="172"/>
      <x:c r="L3226" s="185" t="str">
        <x:v>Não classificado</x:v>
      </x:c>
    </x:row>
    <x:row r="3227">
      <x:c r="A3227" s="175" t="str">
        <x:v>55.898.077/0001-12</x:v>
      </x:c>
      <x:c r="B3227" s="166" t="str">
        <x:v>TITÂNIA FUNDO DE INVESTIMENTO EM DIREITOS CREDITÓRIOS</x:v>
      </x:c>
      <x:c r="C3227" s="188" t="n">
        <x:v>0</x:v>
      </x:c>
      <x:c r="D3227" s="166" t="str">
        <x:v>Reag Jus</x:v>
      </x:c>
      <x:c r="E3227" s="166" t="str">
        <x:f>IFERROR(INDEX('Classif Gestoras'!$H$6:$H$462,MATCH(D3227,'Classif Gestoras'!$A$6:$A$462,0)),"Não classificada")</x:f>
        <x:v>Independente</x:v>
      </x:c>
      <x:c r="F3227" s="166" t="str">
        <x:v>REAG DTVM</x:v>
      </x:c>
      <x:c r="G3227" s="166" t="str">
        <x:v>REAG TRUST DISTRIBUIDORA DE TITULOS E VALORES MOBILIARIOS S.A.</x:v>
      </x:c>
      <x:c r="H3227" s="166" t="str">
        <x:v>Outros</x:v>
      </x:c>
      <x:c r="I3227" s="166" t="str">
        <x:v>Multicarteira Outros</x:v>
      </x:c>
      <x:c r="J3227" s="166" t="str">
        <x:v>CI</x:v>
      </x:c>
      <x:c r="K3227" s="172" t="n">
        <x:v>1</x:v>
      </x:c>
      <x:c r="L3227" s="185" t="str">
        <x:v>Não classificado</x:v>
      </x:c>
    </x:row>
    <x:row r="3228">
      <x:c r="A3228" s="175" t="str">
        <x:v>42.518.422/0001-01</x:v>
      </x:c>
      <x:c r="B3228" s="166" t="str">
        <x:v>ALVORADA SC FUNDO DE INVESTIMENTO NAS CADEIAS PRODUTIVAS DO AGRONEGÓCIO - FIDC RESP LIMITADA</x:v>
      </x:c>
      <x:c r="C3228" s="188" t="n">
        <x:v>0</x:v>
      </x:c>
      <x:c r="D3228" s="166" t="str">
        <x:v>Legatus Asset Management</x:v>
      </x:c>
      <x:c r="E3228" s="166" t="str">
        <x:f>IFERROR(INDEX('Classif Gestoras'!$H$6:$H$462,MATCH(D3228,'Classif Gestoras'!$A$6:$A$462,0)),"Não classificada")</x:f>
        <x:v>Independente</x:v>
      </x:c>
      <x:c r="F3228" s="166" t="str">
        <x:v>PLANNER CV</x:v>
      </x:c>
      <x:c r="G3228" s="166" t="str">
        <x:v>PLANNER CORRETORA DE VALORES S.A.</x:v>
      </x:c>
      <x:c r="H3228" s="166" t="str">
        <x:v>Outros</x:v>
      </x:c>
      <x:c r="I3228" s="166" t="str">
        <x:v>Não se aplica</x:v>
      </x:c>
      <x:c r="J3228" s="166" t="str">
        <x:v>CI</x:v>
      </x:c>
      <x:c r="K3228" s="172" t="n">
        <x:v>6</x:v>
      </x:c>
      <x:c r="L3228" s="185" t="str">
        <x:v>Não classificado</x:v>
      </x:c>
    </x:row>
    <x:row r="3229">
      <x:c r="A3229" s="175" t="str">
        <x:v>56.908.218/0001-01</x:v>
      </x:c>
      <x:c r="B3229" s="166" t="str">
        <x:v>CNPJ 56908218000101</x:v>
      </x:c>
      <x:c r="C3229" s="188" t="n">
        <x:v>0</x:v>
      </x:c>
      <x:c r="D3229" s="166" t="str">
        <x:v>Reag Administradora de Recursos Ltda</x:v>
      </x:c>
      <x:c r="E3229" s="166" t="str">
        <x:f>IFERROR(INDEX('Classif Gestoras'!$H$6:$H$462,MATCH(D3229,'Classif Gestoras'!$A$6:$A$462,0)),"Não classificada")</x:f>
        <x:v>Independente</x:v>
      </x:c>
      <x:c r="F3229" s="166" t="str">
        <x:v>REAG DTVM</x:v>
      </x:c>
      <x:c r="G3229" s="166" t="str">
        <x:v>Não identificado</x:v>
      </x:c>
      <x:c r="H3229" s="166" t="str">
        <x:v>Fomento Mercantil</x:v>
      </x:c>
      <x:c r="I3229" s="166" t="str">
        <x:v>Fomento Mercantil</x:v>
      </x:c>
      <x:c r="J3229" s="166" t="str">
        <x:v>CI</x:v>
      </x:c>
      <x:c r="K3229" s="172"/>
      <x:c r="L3229" s="185" t="str">
        <x:v>Não classificado</x:v>
      </x:c>
    </x:row>
    <x:row r="3230">
      <x:c r="A3230" s="175" t="str">
        <x:v>56.936.116/0001-91</x:v>
      </x:c>
      <x:c r="B3230" s="166" t="str">
        <x:v>CNPJ 56936116000191</x:v>
      </x:c>
      <x:c r="C3230" s="188" t="n">
        <x:v>0</x:v>
      </x:c>
      <x:c r="D3230" s="166" t="str">
        <x:v>FAR - FATOR ADMINIST</x:v>
      </x:c>
      <x:c r="E3230" s="166" t="str">
        <x:f>IFERROR(INDEX('Classif Gestoras'!$H$6:$H$462,MATCH(D3230,'Classif Gestoras'!$A$6:$A$462,0)),"Não classificada")</x:f>
        <x:v>Independente</x:v>
      </x:c>
      <x:c r="F3230" s="166" t="str">
        <x:v>Singulare</x:v>
      </x:c>
      <x:c r="G3230" s="166" t="str">
        <x:v>Não identificado</x:v>
      </x:c>
      <x:c r="H3230" s="166" t="str">
        <x:v>Agro, Indústria e Comércio</x:v>
      </x:c>
      <x:c r="I3230" s="166" t="str">
        <x:v>Não se aplica</x:v>
      </x:c>
      <x:c r="J3230" s="166" t="str">
        <x:v>CI</x:v>
      </x:c>
      <x:c r="K3230" s="172"/>
      <x:c r="L3230" s="185" t="str">
        <x:v>Não classificado</x:v>
      </x:c>
    </x:row>
    <x:row r="3231">
      <x:c r="A3231" s="175" t="str">
        <x:v>56.945.961/0001-23</x:v>
      </x:c>
      <x:c r="B3231" s="166" t="str">
        <x:v>VANTAGE FUNDO DE INVESTIMENTO EM DIREITOS CREDITÓRIOS</x:v>
      </x:c>
      <x:c r="C3231" s="188" t="n">
        <x:v>0</x:v>
      </x:c>
      <x:c r="D3231" s="166" t="str">
        <x:v>Reag Jus</x:v>
      </x:c>
      <x:c r="E3231" s="166" t="str">
        <x:f>IFERROR(INDEX('Classif Gestoras'!$H$6:$H$462,MATCH(D3231,'Classif Gestoras'!$A$6:$A$462,0)),"Não classificada")</x:f>
        <x:v>Independente</x:v>
      </x:c>
      <x:c r="F3231" s="166" t="str">
        <x:v>REAG DTVM</x:v>
      </x:c>
      <x:c r="G3231" s="166" t="str">
        <x:v>REAG TRUST DISTRIBUIDORA DE TITULOS E VALORES MOBILIARIOS S.A.</x:v>
      </x:c>
      <x:c r="H3231" s="166" t="str">
        <x:v>Outros</x:v>
      </x:c>
      <x:c r="I3231" s="166" t="str">
        <x:v>Multicarteira Outros</x:v>
      </x:c>
      <x:c r="J3231" s="166" t="str">
        <x:v>CI</x:v>
      </x:c>
      <x:c r="K3231" s="172" t="n">
        <x:v>1</x:v>
      </x:c>
      <x:c r="L3231" s="185" t="str">
        <x:v>Não classificado</x:v>
      </x:c>
    </x:row>
    <x:row r="3232">
      <x:c r="A3232" s="175" t="str">
        <x:v>43.616.501/0001-00</x:v>
      </x:c>
      <x:c r="B3232" s="166" t="str">
        <x:v>CNPJ 43616501000100</x:v>
      </x:c>
      <x:c r="C3232" s="188" t="n">
        <x:v>0</x:v>
      </x:c>
      <x:c r="D3232" s="166" t="str">
        <x:v>Milênio Capital</x:v>
      </x:c>
      <x:c r="E3232" s="166" t="str">
        <x:f>IFERROR(INDEX('Classif Gestoras'!$H$6:$H$462,MATCH(D3232,'Classif Gestoras'!$A$6:$A$462,0)),"Não classificada")</x:f>
        <x:v>Independente</x:v>
      </x:c>
      <x:c r="F3232" s="166" t="str">
        <x:v>Oliveira Trust DTVM</x:v>
      </x:c>
      <x:c r="G3232" s="166" t="str">
        <x:v>Não identificado</x:v>
      </x:c>
      <x:c r="H3232" s="166" t="str">
        <x:v>Agro, Indústria e Comércio</x:v>
      </x:c>
      <x:c r="I3232" s="166" t="str">
        <x:v>Não se aplica</x:v>
      </x:c>
      <x:c r="J3232" s="166" t="str">
        <x:v>CI</x:v>
      </x:c>
      <x:c r="K3232" s="172"/>
      <x:c r="L3232" s="185" t="str">
        <x:v>Não classificado</x:v>
      </x:c>
    </x:row>
    <x:row r="3233">
      <x:c r="A3233" s="175" t="str">
        <x:v>32.510.621/0001-01</x:v>
      </x:c>
      <x:c r="B3233" s="166" t="str">
        <x:v>CNPJ 32510621000101</x:v>
      </x:c>
      <x:c r="C3233" s="188" t="n">
        <x:v>0</x:v>
      </x:c>
      <x:c r="D3233" s="166" t="str">
        <x:v>Multiplica Capital</x:v>
      </x:c>
      <x:c r="E3233" s="166" t="str">
        <x:f>IFERROR(INDEX('Classif Gestoras'!$H$6:$H$462,MATCH(D3233,'Classif Gestoras'!$A$6:$A$462,0)),"Não classificada")</x:f>
        <x:v>Independente</x:v>
      </x:c>
      <x:c r="F3233" s="166" t="str">
        <x:v>Singulare</x:v>
      </x:c>
      <x:c r="G3233" s="166" t="str">
        <x:v>Não identificado</x:v>
      </x:c>
      <x:c r="H3233" s="166" t="str">
        <x:v>Fomento Mercantil</x:v>
      </x:c>
      <x:c r="I3233" s="166" t="str">
        <x:v>Fomento Mercantil</x:v>
      </x:c>
      <x:c r="J3233" s="166" t="str">
        <x:v>CI</x:v>
      </x:c>
      <x:c r="K3233" s="172"/>
      <x:c r="L3233" s="185" t="str">
        <x:v>Não classificado</x:v>
      </x:c>
    </x:row>
    <x:row r="3234">
      <x:c r="A3234" s="175" t="str">
        <x:v>56.971.420/0001-70</x:v>
      </x:c>
      <x:c r="B3234" s="166" t="str">
        <x:v>CNPJ 56971420000170</x:v>
      </x:c>
      <x:c r="C3234" s="188" t="n">
        <x:v>0</x:v>
      </x:c>
      <x:c r="D3234" s="166" t="str">
        <x:v>CARMEL GESTORA DE ATIVOS LTDA</x:v>
      </x:c>
      <x:c r="E3234" s="166" t="str">
        <x:f>IFERROR(INDEX('Classif Gestoras'!$H$6:$H$462,MATCH(D3234,'Classif Gestoras'!$A$6:$A$462,0)),"Não classificada")</x:f>
        <x:v>Independente</x:v>
      </x:c>
      <x:c r="F3234" s="166" t="str">
        <x:v>MONETAR DISTRIBUIDORA DE TITUL</x:v>
      </x:c>
      <x:c r="G3234" s="166" t="str">
        <x:v>Não identificado</x:v>
      </x:c>
      <x:c r="H3234" s="166" t="str">
        <x:v>Outros</x:v>
      </x:c>
      <x:c r="I3234" s="166" t="str">
        <x:v>Multicarteira Outros</x:v>
      </x:c>
      <x:c r="J3234" s="166" t="str">
        <x:v>CI</x:v>
      </x:c>
      <x:c r="K3234" s="172"/>
      <x:c r="L3234" s="185" t="str">
        <x:v>Não classificado</x:v>
      </x:c>
    </x:row>
    <x:row r="3235">
      <x:c r="A3235" s="175" t="str">
        <x:v>56.973.069/0001-56</x:v>
      </x:c>
      <x:c r="B3235" s="166" t="str">
        <x:v>FUNDO DE INVESTIMENTO EM DIREITOS CREDITÓRIOS DE RESPONSABILIDADE LIMITADA ABERTO UR</x:v>
      </x:c>
      <x:c r="C3235" s="188" t="n">
        <x:v>0</x:v>
      </x:c>
      <x:c r="D3235" s="166" t="str">
        <x:v>Brave Asset</x:v>
      </x:c>
      <x:c r="E3235" s="166" t="str">
        <x:f>IFERROR(INDEX('Classif Gestoras'!$H$6:$H$462,MATCH(D3235,'Classif Gestoras'!$A$6:$A$462,0)),"Não classificada")</x:f>
        <x:v>Independente</x:v>
      </x:c>
      <x:c r="F3235" s="166" t="str">
        <x:v>BANCO DAYCOVAL S/A</x:v>
      </x:c>
      <x:c r="G3235" s="166" t="str">
        <x:v>BANCO DAYCOVAL S.A.</x:v>
      </x:c>
      <x:c r="H3235" s="166" t="str">
        <x:v>Agro, Indústria e Comércio</x:v>
      </x:c>
      <x:c r="I3235" s="166" t="str">
        <x:v>Recebíveis Comerciais</x:v>
      </x:c>
      <x:c r="J3235" s="166" t="str">
        <x:v>CI</x:v>
      </x:c>
      <x:c r="K3235" s="172" t="n">
        <x:v>5</x:v>
      </x:c>
      <x:c r="L3235" s="185" t="str">
        <x:v>Não classificado</x:v>
      </x:c>
    </x:row>
    <x:row r="3236">
      <x:c r="A3236" s="175" t="str">
        <x:v>42.518.256/0001-35</x:v>
      </x:c>
      <x:c r="B3236" s="166" t="str">
        <x:v>CNPJ 42518256000135</x:v>
      </x:c>
      <x:c r="C3236" s="188" t="n">
        <x:v>0</x:v>
      </x:c>
      <x:c r="D3236" s="166" t="str">
        <x:v>Libertas Asset</x:v>
      </x:c>
      <x:c r="E3236" s="166" t="str">
        <x:f>IFERROR(INDEX('Classif Gestoras'!$H$6:$H$462,MATCH(D3236,'Classif Gestoras'!$A$6:$A$462,0)),"Não classificada")</x:f>
        <x:v>Independente</x:v>
      </x:c>
      <x:c r="F3236" s="166" t="str">
        <x:v>ACTUAL DTVM</x:v>
      </x:c>
      <x:c r="G3236" s="166" t="str">
        <x:v>Não identificado</x:v>
      </x:c>
      <x:c r="H3236" s="166" t="str">
        <x:v>Outros</x:v>
      </x:c>
      <x:c r="I3236" s="166" t="str">
        <x:v>Multicarteira Outros</x:v>
      </x:c>
      <x:c r="J3236" s="166" t="str">
        <x:v>CI</x:v>
      </x:c>
      <x:c r="K3236" s="172"/>
      <x:c r="L3236" s="185" t="str">
        <x:v>Não classificado</x:v>
      </x:c>
    </x:row>
    <x:row r="3237">
      <x:c r="A3237" s="175" t="str">
        <x:v>55.823.114/0001-23</x:v>
      </x:c>
      <x:c r="B3237" s="166" t="str">
        <x:v>MANSELL FUNDO DE INVESTIMENTO EM DIREITOS CREDITÓRIOS</x:v>
      </x:c>
      <x:c r="C3237" s="188" t="n">
        <x:v>0</x:v>
      </x:c>
      <x:c r="D3237" s="166" t="str">
        <x:v>Reag Jus</x:v>
      </x:c>
      <x:c r="E3237" s="166" t="str">
        <x:f>IFERROR(INDEX('Classif Gestoras'!$H$6:$H$462,MATCH(D3237,'Classif Gestoras'!$A$6:$A$462,0)),"Não classificada")</x:f>
        <x:v>Independente</x:v>
      </x:c>
      <x:c r="F3237" s="166" t="str">
        <x:v>REAG DTVM</x:v>
      </x:c>
      <x:c r="G3237" s="166" t="str">
        <x:v>REAG TRUST DISTRIBUIDORA DE TITULOS E VALORES MOBILIARIOS S.A.</x:v>
      </x:c>
      <x:c r="H3237" s="166" t="str">
        <x:v>Outros</x:v>
      </x:c>
      <x:c r="I3237" s="166" t="str">
        <x:v>Multicarteira Outros</x:v>
      </x:c>
      <x:c r="J3237" s="166" t="str">
        <x:v>CI</x:v>
      </x:c>
      <x:c r="K3237" s="172" t="n">
        <x:v>1</x:v>
      </x:c>
      <x:c r="L3237" s="185" t="str">
        <x:v>Não classificado</x:v>
      </x:c>
    </x:row>
    <x:row r="3238">
      <x:c r="A3238" s="175" t="str">
        <x:v>55.808.689/0001-77</x:v>
      </x:c>
      <x:c r="B3238" s="166" t="str">
        <x:v>CNPJ 55808689000177</x:v>
      </x:c>
      <x:c r="C3238" s="188" t="n">
        <x:v>0</x:v>
      </x:c>
      <x:c r="D3238" s="166" t="str">
        <x:v>Chimera Capital Asset Management Ltda.</x:v>
      </x:c>
      <x:c r="E3238" s="166" t="str">
        <x:f>IFERROR(INDEX('Classif Gestoras'!$H$6:$H$462,MATCH(D3238,'Classif Gestoras'!$A$6:$A$462,0)),"Não classificada")</x:f>
        <x:v>Independente</x:v>
      </x:c>
      <x:c r="F3238" s="166" t="str">
        <x:v>MONETAR DISTRIBUIDORA DE TITUL</x:v>
      </x:c>
      <x:c r="G3238" s="166" t="str">
        <x:v>Não identificado</x:v>
      </x:c>
      <x:c r="H3238" s="166" t="str">
        <x:v>Outros</x:v>
      </x:c>
      <x:c r="I3238" s="166" t="str">
        <x:v>Poder Público</x:v>
      </x:c>
      <x:c r="J3238" s="166" t="str">
        <x:v>CI</x:v>
      </x:c>
      <x:c r="K3238" s="172"/>
      <x:c r="L3238" s="185" t="str">
        <x:v>Não classificado</x:v>
      </x:c>
    </x:row>
    <x:row r="3239">
      <x:c r="A3239" s="175" t="str">
        <x:v>42.700.668/0001-91</x:v>
      </x:c>
      <x:c r="B3239" s="166" t="str">
        <x:v>GRAND - FUNDO DE INVESTIMENTO EM DIREITOS CREDITÓRIOS NÃO PADRONIZADOS RESPONSABILIDADE LIMITADA</x:v>
      </x:c>
      <x:c r="C3239" s="188" t="n">
        <x:v>0</x:v>
      </x:c>
      <x:c r="D3239" s="166" t="str">
        <x:v>GESTORA DE RECURSOS ID - GRID LTDA.</x:v>
      </x:c>
      <x:c r="E3239" s="166" t="str">
        <x:f>IFERROR(INDEX('Classif Gestoras'!$H$6:$H$462,MATCH(D3239,'Classif Gestoras'!$A$6:$A$462,0)),"Não classificada")</x:f>
        <x:v>Independente</x:v>
      </x:c>
      <x:c r="F3239" s="166" t="str">
        <x:v>DILLON S.A DTVM</x:v>
      </x:c>
      <x:c r="G3239" s="166" t="str">
        <x:v>Não identificado</x:v>
      </x:c>
      <x:c r="H3239" s="166" t="str">
        <x:v>Fomento Mercantil</x:v>
      </x:c>
      <x:c r="I3239" s="166" t="str">
        <x:v>Fomento Mercantil</x:v>
      </x:c>
      <x:c r="J3239" s="166" t="str">
        <x:v>CI</x:v>
      </x:c>
      <x:c r="K3239" s="172" t="n">
        <x:v>1</x:v>
      </x:c>
      <x:c r="L3239" s="185" t="str">
        <x:v>Não classificado</x:v>
      </x:c>
    </x:row>
    <x:row r="3240">
      <x:c r="A3240" s="175" t="str">
        <x:v>60.076.899/0001-58</x:v>
      </x:c>
      <x:c r="B3240" s="166" t="str">
        <x:v>BRASPRESS URBANO 2 FUNDO DE INVESTIMENTO EM DIREITOS CREDITÓRIOS</x:v>
      </x:c>
      <x:c r="C3240" s="188" t="n">
        <x:v>0</x:v>
      </x:c>
      <x:c r="D3240" s="166" t="str">
        <x:v>OURO PRETO INVESTIMENTOS</x:v>
      </x:c>
      <x:c r="E3240" s="166" t="str">
        <x:f>IFERROR(INDEX('Classif Gestoras'!$H$6:$H$462,MATCH(D3240,'Classif Gestoras'!$A$6:$A$462,0)),"Não classificada")</x:f>
        <x:v>Independente</x:v>
      </x:c>
      <x:c r="F3240" s="166" t="str">
        <x:v>Limine Trust Distribuidora de Titulos e Valores Mobiliá</x:v>
      </x:c>
      <x:c r="G3240" s="166" t="str">
        <x:v>LIMINE TRUST DISTRIBUIDORA DE TITULOS E VALORES MOBILIARIOS LTDA.</x:v>
      </x:c>
      <x:c r="H3240" s="166" t="str">
        <x:v>Outros</x:v>
      </x:c>
      <x:c r="I3240" s="166" t="str">
        <x:v>Multicarteira Outros</x:v>
      </x:c>
      <x:c r="J3240" s="166" t="str">
        <x:v>CI</x:v>
      </x:c>
      <x:c r="K3240" s="172" t="n">
        <x:v>2</x:v>
      </x:c>
      <x:c r="L3240" s="185" t="str">
        <x:v>Não classificado</x:v>
      </x:c>
    </x:row>
    <x:row r="3241">
      <x:c r="A3241" s="175" t="str">
        <x:v>43.104.412/0001-84</x:v>
      </x:c>
      <x:c r="B3241" s="166" t="str">
        <x:v>CNPJ 43104412000184</x:v>
      </x:c>
      <x:c r="C3241" s="188" t="n">
        <x:v>0</x:v>
      </x:c>
      <x:c r="D3241" s="166" t="str">
        <x:v>Kanastra</x:v>
      </x:c>
      <x:c r="E3241" s="166" t="str">
        <x:f>IFERROR(INDEX('Classif Gestoras'!$H$6:$H$462,MATCH(D3241,'Classif Gestoras'!$A$6:$A$462,0)),"Não classificada")</x:f>
        <x:v>Independente</x:v>
      </x:c>
      <x:c r="F3241" s="166" t="str">
        <x:v>Limine Trust Distribuidora de Titulos e Valores Mobiliá</x:v>
      </x:c>
      <x:c r="G3241" s="166" t="str">
        <x:v>Não identificado</x:v>
      </x:c>
      <x:c r="H3241" s="166" t="str">
        <x:v>Financeiro</x:v>
      </x:c>
      <x:c r="I3241" s="166" t="str">
        <x:v>Multicarteira Financeiro</x:v>
      </x:c>
      <x:c r="J3241" s="166" t="str">
        <x:v>CI</x:v>
      </x:c>
      <x:c r="K3241" s="172"/>
      <x:c r="L3241" s="185" t="str">
        <x:v>Não classificado</x:v>
      </x:c>
    </x:row>
    <x:row r="3242">
      <x:c r="A3242" s="175" t="str">
        <x:v>60.351.586/0001-60</x:v>
      </x:c>
      <x:c r="B3242" s="166" t="str">
        <x:v>CITRINO TEMPO CAPTOR II FUNDO DE INVESTIMENTO EM DIREITOS CREDITÓRIOS</x:v>
      </x:c>
      <x:c r="C3242" s="188" t="n">
        <x:v>0</x:v>
      </x:c>
      <x:c r="D3242" s="166" t="str">
        <x:v>Citrino Gestão de Recursos LTD</x:v>
      </x:c>
      <x:c r="E3242" s="166" t="str">
        <x:f>IFERROR(INDEX('Classif Gestoras'!$H$6:$H$462,MATCH(D3242,'Classif Gestoras'!$A$6:$A$462,0)),"Não classificada")</x:f>
        <x:v>Independente</x:v>
      </x:c>
      <x:c r="F3242" s="166" t="str">
        <x:v>Limine Trust Distribuidora de Titulos e Valores Mobiliá</x:v>
      </x:c>
      <x:c r="G3242" s="166" t="str">
        <x:v>LIMINE TRUST DISTRIBUIDORA DE TITULOS E VALORES MOBILIARIOS LTDA.</x:v>
      </x:c>
      <x:c r="H3242" s="166" t="str">
        <x:v>Outros</x:v>
      </x:c>
      <x:c r="I3242" s="166" t="str">
        <x:v>Multicarteira Outros</x:v>
      </x:c>
      <x:c r="J3242" s="166" t="str">
        <x:v>CI</x:v>
      </x:c>
      <x:c r="K3242" s="172" t="n">
        <x:v>2</x:v>
      </x:c>
      <x:c r="L3242" s="185" t="str">
        <x:v>Não classificado</x:v>
      </x:c>
    </x:row>
    <x:row r="3243">
      <x:c r="A3243" s="175" t="str">
        <x:v>43.104.380/0001-17</x:v>
      </x:c>
      <x:c r="B3243" s="166" t="str">
        <x:v>MIXTEL MULTI FUNDO DE INVESTIMENTO EM DIREITOS CREDITÓRIOS</x:v>
      </x:c>
      <x:c r="C3243" s="188" t="n">
        <x:v>0</x:v>
      </x:c>
      <x:c r="D3243" s="166" t="str">
        <x:v>BRL TRUST DTVM</x:v>
      </x:c>
      <x:c r="E3243" s="166" t="str">
        <x:f>IFERROR(INDEX('Classif Gestoras'!$H$6:$H$462,MATCH(D3243,'Classif Gestoras'!$A$6:$A$462,0)),"Não classificada")</x:f>
        <x:v>Independente</x:v>
      </x:c>
      <x:c r="F3243" s="166" t="str">
        <x:v>BRL TRUST DTVM</x:v>
      </x:c>
      <x:c r="G3243" s="166" t="str">
        <x:v>Não identificado</x:v>
      </x:c>
      <x:c r="H3243" s="166" t="str">
        <x:v>Agro, Indústria e Comércio</x:v>
      </x:c>
      <x:c r="I3243" s="166" t="str">
        <x:v>Recebíveis Comerciais</x:v>
      </x:c>
      <x:c r="J3243" s="166" t="str">
        <x:v>CI</x:v>
      </x:c>
      <x:c r="K3243" s="172" t="n">
        <x:v>4</x:v>
      </x:c>
      <x:c r="L3243" s="185" t="str">
        <x:v>Não classificado</x:v>
      </x:c>
    </x:row>
    <x:row r="3244">
      <x:c r="A3244" s="175" t="str">
        <x:v>28.472.333/0001-32</x:v>
      </x:c>
      <x:c r="B3244" s="166" t="str">
        <x:v>CNPJ 28472333000132</x:v>
      </x:c>
      <x:c r="C3244" s="188" t="n">
        <x:v>0</x:v>
      </x:c>
      <x:c r="D3244" s="166" t="str">
        <x:v>POLÍGONO CAPITAL LTDA.</x:v>
      </x:c>
      <x:c r="E3244" s="166" t="str">
        <x:f>IFERROR(INDEX('Classif Gestoras'!$H$6:$H$462,MATCH(D3244,'Classif Gestoras'!$A$6:$A$462,0)),"Não classificada")</x:f>
        <x:v>Independente</x:v>
      </x:c>
      <x:c r="F3244" s="166" t="str">
        <x:v>VÓRTX DTVM</x:v>
      </x:c>
      <x:c r="G3244" s="166" t="str">
        <x:v>Não identificado</x:v>
      </x:c>
      <x:c r="H3244" s="166" t="str">
        <x:v>Financeiro</x:v>
      </x:c>
      <x:c r="I3244" s="166" t="str">
        <x:v>Multicarteira Financeiro</x:v>
      </x:c>
      <x:c r="J3244" s="166" t="str">
        <x:v>CI</x:v>
      </x:c>
      <x:c r="K3244" s="172"/>
      <x:c r="L3244" s="185" t="str">
        <x:v>Não classificado</x:v>
      </x:c>
    </x:row>
    <x:row r="3245">
      <x:c r="A3245" s="175" t="str">
        <x:v>42.794.134/0001-71</x:v>
      </x:c>
      <x:c r="B3245" s="166" t="str">
        <x:v>CNPJ 42794134000171</x:v>
      </x:c>
      <x:c r="C3245" s="188" t="n">
        <x:v>0</x:v>
      </x:c>
      <x:c r="D3245" s="166" t="str">
        <x:v>REAG GESTÃO DE CRÉDITO</x:v>
      </x:c>
      <x:c r="E3245" s="166" t="str">
        <x:f>IFERROR(INDEX('Classif Gestoras'!$H$6:$H$462,MATCH(D3245,'Classif Gestoras'!$A$6:$A$462,0)),"Não classificada")</x:f>
        <x:v>Independente</x:v>
      </x:c>
      <x:c r="F3245" s="166" t="str">
        <x:v>Banvox DTVM</x:v>
      </x:c>
      <x:c r="G3245" s="166" t="str">
        <x:v>Não identificado</x:v>
      </x:c>
      <x:c r="H3245" s="166" t="str">
        <x:v>Financeiro</x:v>
      </x:c>
      <x:c r="I3245" s="166" t="str">
        <x:v>Financiamento de Veículos</x:v>
      </x:c>
      <x:c r="J3245" s="166" t="str">
        <x:v>CI</x:v>
      </x:c>
      <x:c r="K3245" s="172"/>
      <x:c r="L3245" s="185" t="str">
        <x:v>Não classificado</x:v>
      </x:c>
    </x:row>
    <x:row r="3246">
      <x:c r="A3246" s="175" t="str">
        <x:v>66.619.014/0001-04</x:v>
      </x:c>
      <x:c r="B3246" s="166" t="str">
        <x:v>CNPJ 66619014000104</x:v>
      </x:c>
      <x:c r="C3246" s="188" t="n">
        <x:v>0</x:v>
      </x:c>
      <x:c r="D3246" s="166" t="str">
        <x:v>REAG LEGAL CLAIMS GESTÃO DE ATIVOS</x:v>
      </x:c>
      <x:c r="E3246" s="166" t="str">
        <x:f>IFERROR(INDEX('Classif Gestoras'!$H$6:$H$462,MATCH(D3246,'Classif Gestoras'!$A$6:$A$462,0)),"Não classificada")</x:f>
        <x:v>Independente</x:v>
      </x:c>
      <x:c r="F3246" s="166" t="str">
        <x:v>PLANNER CV</x:v>
      </x:c>
      <x:c r="G3246" s="166" t="str">
        <x:v>Não identificado</x:v>
      </x:c>
      <x:c r="H3246" s="166" t="str">
        <x:v>Outros</x:v>
      </x:c>
      <x:c r="I3246" s="166" t="str">
        <x:v>Poder Público</x:v>
      </x:c>
      <x:c r="J3246" s="166" t="str">
        <x:v>CI</x:v>
      </x:c>
      <x:c r="K3246" s="172"/>
      <x:c r="L3246" s="185" t="str">
        <x:v>Não classificado</x:v>
      </x:c>
    </x:row>
    <x:row r="3247">
      <x:c r="A3247" s="175" t="str">
        <x:v>56.240.777/0001-88</x:v>
      </x:c>
      <x:c r="B3247" s="166" t="str">
        <x:v>CNPJ 56240777000188</x:v>
      </x:c>
      <x:c r="C3247" s="188" t="n">
        <x:v>0</x:v>
      </x:c>
      <x:c r="D3247" s="166" t="str">
        <x:v>EXA CAPITAL ASSET</x:v>
      </x:c>
      <x:c r="E3247" s="166" t="str">
        <x:f>IFERROR(INDEX('Classif Gestoras'!$H$6:$H$462,MATCH(D3247,'Classif Gestoras'!$A$6:$A$462,0)),"Não classificada")</x:f>
        <x:v>Independente</x:v>
      </x:c>
      <x:c r="F3247" s="166" t="str">
        <x:v>XPI CCTVM S/A</x:v>
      </x:c>
      <x:c r="G3247" s="166" t="str">
        <x:v>Não identificado</x:v>
      </x:c>
      <x:c r="H3247" s="166" t="str">
        <x:v>Agro, Indústria e Comércio</x:v>
      </x:c>
      <x:c r="I3247" s="166" t="str">
        <x:v>Não se aplica</x:v>
      </x:c>
      <x:c r="J3247" s="166" t="str">
        <x:v>CI</x:v>
      </x:c>
      <x:c r="K3247" s="172"/>
      <x:c r="L3247" s="185" t="str">
        <x:v>Não classificado</x:v>
      </x:c>
    </x:row>
    <x:row r="3248">
      <x:c r="A3248" s="175" t="str">
        <x:v>42.813.981/0001-36</x:v>
      </x:c>
      <x:c r="B3248" s="166" t="str">
        <x:v>METALFRIO SOLUTIONS FUNDO DE INVESTIMENTO EM DIREITOS CREDITÓRIOS</x:v>
      </x:c>
      <x:c r="C3248" s="188" t="n">
        <x:v>0</x:v>
      </x:c>
      <x:c r="D3248" s="166" t="str">
        <x:v>WNT Gestora de Recursos Ltda.</x:v>
      </x:c>
      <x:c r="E3248" s="166" t="str">
        <x:f>IFERROR(INDEX('Classif Gestoras'!$H$6:$H$462,MATCH(D3248,'Classif Gestoras'!$A$6:$A$462,0)),"Não classificada")</x:f>
        <x:v>Independente</x:v>
      </x:c>
      <x:c r="F3248" s="166" t="str">
        <x:v>Singulare</x:v>
      </x:c>
      <x:c r="G3248" s="166" t="str">
        <x:v>WNT CAPITAL DISTRIBUIDORA DE TITULOS E VALORES MOBILIARIOS S.A.</x:v>
      </x:c>
      <x:c r="H3248" s="166" t="str">
        <x:v>Outros</x:v>
      </x:c>
      <x:c r="I3248" s="166" t="str">
        <x:v>Multicarteira Outros</x:v>
      </x:c>
      <x:c r="J3248" s="166" t="str">
        <x:v>CI</x:v>
      </x:c>
      <x:c r="K3248" s="172" t="n">
        <x:v>1</x:v>
      </x:c>
      <x:c r="L3248" s="185" t="str">
        <x:v>Não classificado</x:v>
      </x:c>
    </x:row>
    <x:row r="3249">
      <x:c r="A3249" s="175" t="str">
        <x:v>56.190.298/0001-02</x:v>
      </x:c>
      <x:c r="B3249" s="166" t="str">
        <x:v>CNPJ 56190298000102</x:v>
      </x:c>
      <x:c r="C3249" s="188" t="n">
        <x:v>0</x:v>
      </x:c>
      <x:c r="D3249" s="166" t="str">
        <x:v>Kanastra</x:v>
      </x:c>
      <x:c r="E3249" s="166" t="str">
        <x:f>IFERROR(INDEX('Classif Gestoras'!$H$6:$H$462,MATCH(D3249,'Classif Gestoras'!$A$6:$A$462,0)),"Não classificada")</x:f>
        <x:v>Independente</x:v>
      </x:c>
      <x:c r="F3249" s="166" t="str">
        <x:v>Limine Trust Distribuidora de Titulos e Valores Mobiliá</x:v>
      </x:c>
      <x:c r="G3249" s="166" t="str">
        <x:v>Não identificado</x:v>
      </x:c>
      <x:c r="H3249" s="166" t="str">
        <x:v>Outros</x:v>
      </x:c>
      <x:c r="I3249" s="166" t="str">
        <x:v>Multicarteira Outros</x:v>
      </x:c>
      <x:c r="J3249" s="166" t="str">
        <x:v>CI</x:v>
      </x:c>
      <x:c r="K3249" s="172"/>
      <x:c r="L3249" s="185" t="str">
        <x:v>Não classificado</x:v>
      </x:c>
    </x:row>
    <x:row r="3250">
      <x:c r="A3250" s="175" t="str">
        <x:v>56.112.269/0001-14</x:v>
      </x:c>
      <x:c r="B3250" s="166" t="str">
        <x:v>CNPJ 56112269000114</x:v>
      </x:c>
      <x:c r="C3250" s="188" t="n">
        <x:v>0</x:v>
      </x:c>
      <x:c r="D3250" s="166" t="str">
        <x:v>BTG Pactual Asset</x:v>
      </x:c>
      <x:c r="E3250" s="166" t="str">
        <x:f>IFERROR(INDEX('Classif Gestoras'!$H$6:$H$462,MATCH(D3250,'Classif Gestoras'!$A$6:$A$462,0)),"Não classificada")</x:f>
        <x:v>Ligada a banco</x:v>
      </x:c>
      <x:c r="F3250" s="166" t="str">
        <x:v>BTG Pactual Servicos Financeiros S/A DTVM</x:v>
      </x:c>
      <x:c r="G3250" s="166" t="str">
        <x:v>Não identificado</x:v>
      </x:c>
      <x:c r="H3250" s="166" t="str">
        <x:v>Outros</x:v>
      </x:c>
      <x:c r="I3250" s="166" t="str">
        <x:v>Multicarteira Outros</x:v>
      </x:c>
      <x:c r="J3250" s="166" t="str">
        <x:v>CI</x:v>
      </x:c>
      <x:c r="K3250" s="172"/>
      <x:c r="L3250" s="185" t="str">
        <x:v>Não classificado</x:v>
      </x:c>
    </x:row>
    <x:row r="3251">
      <x:c r="A3251" s="175" t="str">
        <x:v>52.351.713/0001-01</x:v>
      </x:c>
      <x:c r="B3251" s="166" t="str">
        <x:v>CNPJ 52351713000101</x:v>
      </x:c>
      <x:c r="C3251" s="188" t="n">
        <x:v>0</x:v>
      </x:c>
      <x:c r="D3251" s="166" t="str">
        <x:v>Reag Administradora de Recursos Ltda</x:v>
      </x:c>
      <x:c r="E3251" s="166" t="str">
        <x:f>IFERROR(INDEX('Classif Gestoras'!$H$6:$H$462,MATCH(D3251,'Classif Gestoras'!$A$6:$A$462,0)),"Não classificada")</x:f>
        <x:v>Independente</x:v>
      </x:c>
      <x:c r="F3251" s="166" t="str">
        <x:v>REAG DTVM</x:v>
      </x:c>
      <x:c r="G3251" s="166" t="str">
        <x:v>Não identificado</x:v>
      </x:c>
      <x:c r="H3251" s="166" t="str">
        <x:v>Fomento Mercantil</x:v>
      </x:c>
      <x:c r="I3251" s="166" t="str">
        <x:v>Fomento Mercantil</x:v>
      </x:c>
      <x:c r="J3251" s="166" t="str">
        <x:v>CI</x:v>
      </x:c>
      <x:c r="K3251" s="172"/>
      <x:c r="L3251" s="185" t="str">
        <x:v>Não classificado</x:v>
      </x:c>
    </x:row>
    <x:row r="3252">
      <x:c r="A3252" s="175" t="str">
        <x:v>56.069.419/0001-54</x:v>
      </x:c>
      <x:c r="B3252" s="166" t="str">
        <x:v>CLEAM CAPITAL BANK FUNDO DE INVESTIMENTO EM DIREITOS CREDITÓRIOS</x:v>
      </x:c>
      <x:c r="C3252" s="188" t="n">
        <x:v>0</x:v>
      </x:c>
      <x:c r="D3252" s="166" t="str">
        <x:v>URBANO ADMINISTRAÇÃO DE RECURSOS LTDA</x:v>
      </x:c>
      <x:c r="E3252" s="166" t="str">
        <x:f>IFERROR(INDEX('Classif Gestoras'!$H$6:$H$462,MATCH(D3252,'Classif Gestoras'!$A$6:$A$462,0)),"Não classificada")</x:f>
        <x:v>Independente</x:v>
      </x:c>
      <x:c r="F3252" s="166" t="str">
        <x:v>Limine Trust Distribuidora de Titulos e Valores Mobiliá</x:v>
      </x:c>
      <x:c r="G3252" s="166" t="str">
        <x:v>LIMINE TRUST DISTRIBUIDORA DE TITULOS E VALORES MOBILIARIOS LTDA.</x:v>
      </x:c>
      <x:c r="H3252" s="166" t="str">
        <x:v>Fomento Mercantil</x:v>
      </x:c>
      <x:c r="I3252" s="166" t="str">
        <x:v>Fomento Mercantil</x:v>
      </x:c>
      <x:c r="J3252" s="166" t="str">
        <x:v>CI</x:v>
      </x:c>
      <x:c r="K3252" s="172" t="n">
        <x:v>3</x:v>
      </x:c>
      <x:c r="L3252" s="185" t="str">
        <x:v>Não classificado</x:v>
      </x:c>
    </x:row>
    <x:row r="3253">
      <x:c r="A3253" s="175" t="str">
        <x:v>42.860.938/0001-21</x:v>
      </x:c>
      <x:c r="B3253" s="166" t="str">
        <x:v>CNPJ 42860938000121</x:v>
      </x:c>
      <x:c r="C3253" s="188" t="n">
        <x:v>0</x:v>
      </x:c>
      <x:c r="D3253" s="166" t="str">
        <x:v>REAG GESTÃO DE CRÉDITO</x:v>
      </x:c>
      <x:c r="E3253" s="166" t="str">
        <x:f>IFERROR(INDEX('Classif Gestoras'!$H$6:$H$462,MATCH(D3253,'Classif Gestoras'!$A$6:$A$462,0)),"Não classificada")</x:f>
        <x:v>Independente</x:v>
      </x:c>
      <x:c r="F3253" s="166" t="str">
        <x:v>Banvox DTVM</x:v>
      </x:c>
      <x:c r="G3253" s="166" t="str">
        <x:v>Não identificado</x:v>
      </x:c>
      <x:c r="H3253" s="166" t="str">
        <x:v>Financeiro</x:v>
      </x:c>
      <x:c r="I3253" s="166" t="str">
        <x:v>Financiamento de Veículos</x:v>
      </x:c>
      <x:c r="J3253" s="166" t="str">
        <x:v>CI</x:v>
      </x:c>
      <x:c r="K3253" s="172"/>
      <x:c r="L3253" s="185" t="str">
        <x:v>Não classificado</x:v>
      </x:c>
    </x:row>
    <x:row r="3254">
      <x:c r="A3254" s="175" t="str">
        <x:v>56.052.655/0001-68</x:v>
      </x:c>
      <x:c r="B3254" s="166" t="str">
        <x:v>HORTÊNCIA FUNDO DE INVESTIMENTO EM DIREITOS CREDITÓRIOS</x:v>
      </x:c>
      <x:c r="C3254" s="188" t="n">
        <x:v>0</x:v>
      </x:c>
      <x:c r="D3254" s="166" t="str">
        <x:v>REAG PORTFOLIO SOLUTIONS</x:v>
      </x:c>
      <x:c r="E3254" s="166" t="str">
        <x:f>IFERROR(INDEX('Classif Gestoras'!$H$6:$H$462,MATCH(D3254,'Classif Gestoras'!$A$6:$A$462,0)),"Não classificada")</x:f>
        <x:v>Independente</x:v>
      </x:c>
      <x:c r="F3254" s="166" t="str">
        <x:v>REAG DTVM</x:v>
      </x:c>
      <x:c r="G3254" s="166" t="str">
        <x:v>REAG TRUST DISTRIBUIDORA DE TITULOS E VALORES MOBILIARIOS S.A.</x:v>
      </x:c>
      <x:c r="H3254" s="166" t="str">
        <x:v>Outros</x:v>
      </x:c>
      <x:c r="I3254" s="166" t="str">
        <x:v>Multicarteira Outros</x:v>
      </x:c>
      <x:c r="J3254" s="166" t="str">
        <x:v>CI</x:v>
      </x:c>
      <x:c r="K3254" s="172" t="n">
        <x:v>1</x:v>
      </x:c>
      <x:c r="L3254" s="185" t="str">
        <x:v>Não classificado</x:v>
      </x:c>
    </x:row>
    <x:row r="3255">
      <x:c r="A3255" s="175" t="str">
        <x:v>66.188.571/0001-00</x:v>
      </x:c>
      <x:c r="B3255" s="166" t="str">
        <x:v>IPCRED FUNDO DE INVESTIMENTO EM DIREITOS CREDITÓRIOS</x:v>
      </x:c>
      <x:c r="C3255" s="188" t="n">
        <x:v>0</x:v>
      </x:c>
      <x:c r="D3255" s="166" t="str">
        <x:v>RIOS ASSET</x:v>
      </x:c>
      <x:c r="E3255" s="166" t="str">
        <x:f>IFERROR(INDEX('Classif Gestoras'!$H$6:$H$462,MATCH(D3255,'Classif Gestoras'!$A$6:$A$462,0)),"Não classificada")</x:f>
        <x:v>Independente</x:v>
      </x:c>
      <x:c r="F3255" s="166" t="str">
        <x:v>AZUMI DISTRIBUIDORA DE TÍTULOS E VALORES MOBILIÁRIOS LT</x:v>
      </x:c>
      <x:c r="G3255" s="166" t="str">
        <x:v>AZUMI DISTRIBUIDORA DE TÍTULOS E VALORES MOBILIÁRIOS LTDA.</x:v>
      </x:c>
      <x:c r="H3255" s="166" t="str">
        <x:v>Fomento Mercantil</x:v>
      </x:c>
      <x:c r="I3255" s="166" t="str">
        <x:v>Fomento Mercantil</x:v>
      </x:c>
      <x:c r="J3255" s="166" t="str">
        <x:v>CI</x:v>
      </x:c>
      <x:c r="K3255" s="172" t="n">
        <x:v>2</x:v>
      </x:c>
      <x:c r="L3255" s="185" t="str">
        <x:v>Não classificado</x:v>
      </x:c>
    </x:row>
    <x:row r="3256">
      <x:c r="A3256" s="175" t="str">
        <x:v>52.512.069/0001-06</x:v>
      </x:c>
      <x:c r="B3256" s="166" t="str">
        <x:v>CNPJ 52512069000106</x:v>
      </x:c>
      <x:c r="C3256" s="188" t="n">
        <x:v>0</x:v>
      </x:c>
      <x:c r="D3256" s="166" t="str">
        <x:v>Bradesco Asset</x:v>
      </x:c>
      <x:c r="E3256" s="166" t="str">
        <x:f>IFERROR(INDEX('Classif Gestoras'!$H$6:$H$462,MATCH(D3256,'Classif Gestoras'!$A$6:$A$462,0)),"Não classificada")</x:f>
        <x:v>Ligada a banco</x:v>
      </x:c>
      <x:c r="F3256" s="166" t="str">
        <x:v>Oliveira Trust DTVM</x:v>
      </x:c>
      <x:c r="G3256" s="166" t="str">
        <x:v>Não identificado</x:v>
      </x:c>
      <x:c r="H3256" s="166" t="str">
        <x:v>Agro, Indústria e Comércio</x:v>
      </x:c>
      <x:c r="I3256" s="166" t="str">
        <x:v>Não se aplica</x:v>
      </x:c>
      <x:c r="J3256" s="166" t="str">
        <x:v>CI</x:v>
      </x:c>
      <x:c r="K3256" s="172"/>
      <x:c r="L3256" s="185" t="str">
        <x:v>Não classificado</x:v>
      </x:c>
    </x:row>
    <x:row r="3257">
      <x:c r="A3257" s="175" t="str">
        <x:v>56.049.721/0001-40</x:v>
      </x:c>
      <x:c r="B3257" s="166" t="str">
        <x:v>CNPJ 56049721000140</x:v>
      </x:c>
      <x:c r="C3257" s="188" t="n">
        <x:v>0</x:v>
      </x:c>
      <x:c r="D3257" s="166" t="str">
        <x:v>Reag Administradora de Recursos Ltda</x:v>
      </x:c>
      <x:c r="E3257" s="166" t="str">
        <x:f>IFERROR(INDEX('Classif Gestoras'!$H$6:$H$462,MATCH(D3257,'Classif Gestoras'!$A$6:$A$462,0)),"Não classificada")</x:f>
        <x:v>Independente</x:v>
      </x:c>
      <x:c r="F3257" s="166" t="str">
        <x:v>REAG DTVM</x:v>
      </x:c>
      <x:c r="G3257" s="166" t="str">
        <x:v>Não identificado</x:v>
      </x:c>
      <x:c r="H3257" s="166" t="str">
        <x:v>Financeiro</x:v>
      </x:c>
      <x:c r="I3257" s="166" t="str">
        <x:v>Crédito Consignado</x:v>
      </x:c>
      <x:c r="J3257" s="166" t="str">
        <x:v>CI</x:v>
      </x:c>
      <x:c r="K3257" s="172"/>
      <x:c r="L3257" s="185" t="str">
        <x:v>Não classificado</x:v>
      </x:c>
    </x:row>
    <x:row r="3258">
      <x:c r="A3258" s="175" t="str">
        <x:v>60.091.623/0001-49</x:v>
      </x:c>
      <x:c r="B3258" s="166" t="str">
        <x:v>BTG LEGATO PMFO 2 FUNDO DE INVESTIMENTO EM DIREITOS CREDITÓRIOS RESPONSABILIDADE LIMITADA</x:v>
      </x:c>
      <x:c r="C3258" s="188" t="n">
        <x:v>0</x:v>
      </x:c>
      <x:c r="D3258" s="166" t="str">
        <x:v>BTG Pactual Asset</x:v>
      </x:c>
      <x:c r="E3258" s="166" t="str">
        <x:f>IFERROR(INDEX('Classif Gestoras'!$H$6:$H$462,MATCH(D3258,'Classif Gestoras'!$A$6:$A$462,0)),"Não classificada")</x:f>
        <x:v>Ligada a banco</x:v>
      </x:c>
      <x:c r="F3258" s="166" t="str">
        <x:v>BTG Pactual Servicos Financeiros S/A DTVM</x:v>
      </x:c>
      <x:c r="G3258" s="166" t="str">
        <x:v>BANCO BTG PACTUAL S/A</x:v>
      </x:c>
      <x:c r="H3258" s="166" t="str">
        <x:v>Outros</x:v>
      </x:c>
      <x:c r="I3258" s="166" t="str">
        <x:v>Multicarteira Outros</x:v>
      </x:c>
      <x:c r="J3258" s="166" t="str">
        <x:v>CI</x:v>
      </x:c>
      <x:c r="K3258" s="172" t="n">
        <x:v>1</x:v>
      </x:c>
      <x:c r="L3258" s="185" t="str">
        <x:v>Não classificado</x:v>
      </x:c>
    </x:row>
    <x:row r="3259">
      <x:c r="A3259" s="175" t="str">
        <x:v>66.057.868/0001-36</x:v>
      </x:c>
      <x:c r="B3259" s="166" t="str">
        <x:v>AMETISTA III FUNDO DE INVESTIMENTOS EM DIREITOS CREDITÓRIOS - RESPONSABILIDADE LIMITADA</x:v>
      </x:c>
      <x:c r="C3259" s="188" t="n">
        <x:v>0</x:v>
      </x:c>
      <x:c r="D3259" s="166" t="str">
        <x:v>Solis</x:v>
      </x:c>
      <x:c r="E3259" s="166" t="str">
        <x:f>IFERROR(INDEX('Classif Gestoras'!$H$6:$H$462,MATCH(D3259,'Classif Gestoras'!$A$6:$A$462,0)),"Não classificada")</x:f>
        <x:v>Independente</x:v>
      </x:c>
      <x:c r="F3259" s="166" t="str">
        <x:v>VÓRTX DTVM</x:v>
      </x:c>
      <x:c r="G3259" s="166" t="str">
        <x:v>VORTX DISTRIBUIDORA DE TITULOS E VALORES MOBILIARIOS LTDA.</x:v>
      </x:c>
      <x:c r="H3259" s="166" t="str">
        <x:v>Financeiro</x:v>
      </x:c>
      <x:c r="I3259" s="166" t="str">
        <x:v>Crédito Consignado</x:v>
      </x:c>
      <x:c r="J3259" s="166" t="str">
        <x:v>CI</x:v>
      </x:c>
      <x:c r="K3259" s="172" t="n">
        <x:v>26</x:v>
      </x:c>
      <x:c r="L3259" s="185" t="str">
        <x:v>Não classificado</x:v>
      </x:c>
    </x:row>
    <x:row r="3260">
      <x:c r="A3260" s="175" t="str">
        <x:v>56.045.805/0001-06</x:v>
      </x:c>
      <x:c r="B3260" s="166" t="str">
        <x:v>BB CLAIM FUNDO DE INVESTIMENTO EM DIREITOS CREDITÓRIOS NÃO PADRONIZADOS</x:v>
      </x:c>
      <x:c r="C3260" s="188" t="n">
        <x:v>0</x:v>
      </x:c>
      <x:c r="D3260" s="166" t="str">
        <x:v>4i Capital Ltda</x:v>
      </x:c>
      <x:c r="E3260" s="166" t="str">
        <x:f>IFERROR(INDEX('Classif Gestoras'!$H$6:$H$462,MATCH(D3260,'Classif Gestoras'!$A$6:$A$462,0)),"Não classificada")</x:f>
        <x:v>Independente</x:v>
      </x:c>
      <x:c r="F3260" s="166" t="str">
        <x:v>REAG DTVM</x:v>
      </x:c>
      <x:c r="G3260" s="166" t="str">
        <x:v>REAG TRUST DISTRIBUIDORA DE TITULOS E VALORES MOBILIARIOS S.A.</x:v>
      </x:c>
      <x:c r="H3260" s="166" t="str">
        <x:v>Outros</x:v>
      </x:c>
      <x:c r="I3260" s="166" t="str">
        <x:v>Multicarteira Outros</x:v>
      </x:c>
      <x:c r="J3260" s="166" t="str">
        <x:v>CI</x:v>
      </x:c>
      <x:c r="K3260" s="172" t="n">
        <x:v>4</x:v>
      </x:c>
      <x:c r="L3260" s="185" t="str">
        <x:v>Não classificado</x:v>
      </x:c>
    </x:row>
    <x:row r="3261">
      <x:c r="A3261" s="175" t="str">
        <x:v>65.953.190/0001-07</x:v>
      </x:c>
      <x:c r="B3261" s="166" t="str">
        <x:v>VERIDIUM STRUCTURED FUNDO DE INVESTIMENTO EM DIREITOS CREDITÓRIOS</x:v>
      </x:c>
      <x:c r="C3261" s="188" t="n">
        <x:v>0</x:v>
      </x:c>
      <x:c r="D3261" s="166" t="str">
        <x:v>B.Side Wealth</x:v>
      </x:c>
      <x:c r="E3261" s="166" t="str">
        <x:f>IFERROR(INDEX('Classif Gestoras'!$H$6:$H$462,MATCH(D3261,'Classif Gestoras'!$A$6:$A$462,0)),"Não classificada")</x:f>
        <x:v>Independente</x:v>
      </x:c>
      <x:c r="F3261" s="166" t="str">
        <x:v>Qore DTVM</x:v>
      </x:c>
      <x:c r="G3261" s="166" t="str">
        <x:v>Não identificado</x:v>
      </x:c>
      <x:c r="H3261" s="166" t="str">
        <x:v>Outros</x:v>
      </x:c>
      <x:c r="I3261" s="166" t="str">
        <x:v>Multicarteira Outros</x:v>
      </x:c>
      <x:c r="J3261" s="166" t="str">
        <x:v>CI</x:v>
      </x:c>
      <x:c r="K3261" s="172" t="n">
        <x:v>2</x:v>
      </x:c>
      <x:c r="L3261" s="185" t="str">
        <x:v>Não classificado</x:v>
      </x:c>
    </x:row>
    <x:row r="3262">
      <x:c r="A3262" s="175" t="str">
        <x:v>56.746.022/0001-50</x:v>
      </x:c>
      <x:c r="B3262" s="166" t="str">
        <x:v>BJ FUNDO DE INVESTIMENTO EM DIREITOS CREDITÓRIOS</x:v>
      </x:c>
      <x:c r="C3262" s="188" t="n">
        <x:v>0</x:v>
      </x:c>
      <x:c r="D3262" s="166" t="str">
        <x:v>TERCON ASSET MANAGEMENT</x:v>
      </x:c>
      <x:c r="E3262" s="166" t="str">
        <x:f>IFERROR(INDEX('Classif Gestoras'!$H$6:$H$462,MATCH(D3262,'Classif Gestoras'!$A$6:$A$462,0)),"Não classificada")</x:f>
        <x:v>Independente</x:v>
      </x:c>
      <x:c r="F3262" s="166" t="str">
        <x:v>MASTER S/A CORRETORA</x:v>
      </x:c>
      <x:c r="G3262" s="166" t="str">
        <x:v>MASTER S/A CORRETORA DE CAMBIO, TITULOS E VALORES MOBILIARIOS</x:v>
      </x:c>
      <x:c r="H3262" s="166" t="str">
        <x:v>Fomento Mercantil</x:v>
      </x:c>
      <x:c r="I3262" s="166" t="str">
        <x:v>Fomento Mercantil</x:v>
      </x:c>
      <x:c r="J3262" s="166" t="str">
        <x:v>CI</x:v>
      </x:c>
      <x:c r="K3262" s="172" t="n">
        <x:v>1</x:v>
      </x:c>
      <x:c r="L3262" s="185" t="str">
        <x:v>Não classificado</x:v>
      </x:c>
    </x:row>
    <x:row r="3263">
      <x:c r="A3263" s="175" t="str">
        <x:v>60.252.007/0001-22</x:v>
      </x:c>
      <x:c r="B3263" s="166" t="str">
        <x:v>BAY FUNDO DE INVESTIMENTO EM DIREITOS CREDITÓRIOS</x:v>
      </x:c>
      <x:c r="C3263" s="188" t="n">
        <x:v>0</x:v>
      </x:c>
      <x:c r="D3263" s="166" t="str">
        <x:v>OURO PRETO INVESTIMENTOS</x:v>
      </x:c>
      <x:c r="E3263" s="166" t="str">
        <x:f>IFERROR(INDEX('Classif Gestoras'!$H$6:$H$462,MATCH(D3263,'Classif Gestoras'!$A$6:$A$462,0)),"Não classificada")</x:f>
        <x:v>Independente</x:v>
      </x:c>
      <x:c r="F3263" s="166" t="str">
        <x:v>Limine Trust Distribuidora de Titulos e Valores Mobiliá</x:v>
      </x:c>
      <x:c r="G3263" s="166" t="str">
        <x:v>LIMINE TRUST DISTRIBUIDORA DE TITULOS E VALORES MOBILIARIOS LTDA.</x:v>
      </x:c>
      <x:c r="H3263" s="166" t="str">
        <x:v>Financeiro</x:v>
      </x:c>
      <x:c r="I3263" s="166" t="str">
        <x:v>Multicarteira Financeiro</x:v>
      </x:c>
      <x:c r="J3263" s="166" t="str">
        <x:v>CI</x:v>
      </x:c>
      <x:c r="K3263" s="172" t="n">
        <x:v>3</x:v>
      </x:c>
      <x:c r="L3263" s="185" t="str">
        <x:v>Não classificado</x:v>
      </x:c>
    </x:row>
    <x:row r="3264">
      <x:c r="A3264" s="175" t="str">
        <x:v>65.880.344/0001-88</x:v>
      </x:c>
      <x:c r="B3264" s="166" t="str">
        <x:v>HCS VELA LASER FUNDO DE INVESTIMENTO EM DIREITOS CREDITÓRIOS RESPONSABILIDADE LIMITADA</x:v>
      </x:c>
      <x:c r="C3264" s="188" t="n">
        <x:v>0</x:v>
      </x:c>
      <x:c r="D3264" s="166" t="str">
        <x:v>HCS</x:v>
      </x:c>
      <x:c r="E3264" s="166" t="str">
        <x:f>IFERROR(INDEX('Classif Gestoras'!$H$6:$H$462,MATCH(D3264,'Classif Gestoras'!$A$6:$A$462,0)),"Não classificada")</x:f>
        <x:v>Independente</x:v>
      </x:c>
      <x:c r="F3264" s="166" t="str">
        <x:v>VÓRTX DTVM</x:v>
      </x:c>
      <x:c r="G3264" s="166" t="str">
        <x:v>VORTX DISTRIBUIDORA DE TITULOS E VALORES MOBILIARIOS LTDA.</x:v>
      </x:c>
      <x:c r="H3264" s="166" t="str">
        <x:v>Outros</x:v>
      </x:c>
      <x:c r="I3264" s="166" t="str">
        <x:v>Multicarteira Outros</x:v>
      </x:c>
      <x:c r="J3264" s="166" t="str">
        <x:v>CI</x:v>
      </x:c>
      <x:c r="K3264" s="172" t="n">
        <x:v>1</x:v>
      </x:c>
      <x:c r="L3264" s="185" t="str">
        <x:v>Não classificado</x:v>
      </x:c>
    </x:row>
    <x:row r="3265">
      <x:c r="A3265" s="175" t="str">
        <x:v>56.006.480/0001-52</x:v>
      </x:c>
      <x:c r="B3265" s="166" t="str">
        <x:v>RHODES FUNDO DE INVESTIMENTO EM DIREITOS CREDITÓRIOS</x:v>
      </x:c>
      <x:c r="C3265" s="188" t="n">
        <x:v>0</x:v>
      </x:c>
      <x:c r="D3265" s="166" t="str">
        <x:v>Positiva Investimentos Ltda</x:v>
      </x:c>
      <x:c r="E3265" s="166" t="str">
        <x:f>IFERROR(INDEX('Classif Gestoras'!$H$6:$H$462,MATCH(D3265,'Classif Gestoras'!$A$6:$A$462,0)),"Não classificada")</x:f>
        <x:v>Independente</x:v>
      </x:c>
      <x:c r="F3265" s="166" t="str">
        <x:v>PLANNER CV</x:v>
      </x:c>
      <x:c r="G3265" s="166" t="str">
        <x:v>QORE DISTRIBUIDORA DE TÍTULOS E VALORES MOBILIÁRIOS LTDA.</x:v>
      </x:c>
      <x:c r="H3265" s="166" t="str">
        <x:v>Outros</x:v>
      </x:c>
      <x:c r="I3265" s="166" t="str">
        <x:v>Multicarteira Outros</x:v>
      </x:c>
      <x:c r="J3265" s="166" t="str">
        <x:v>CI</x:v>
      </x:c>
      <x:c r="K3265" s="172" t="n">
        <x:v>1</x:v>
      </x:c>
      <x:c r="L3265" s="185" t="str">
        <x:v>Não classificado</x:v>
      </x:c>
    </x:row>
    <x:row r="3266">
      <x:c r="A3266" s="175" t="str">
        <x:v>42.921.964/0001-12</x:v>
      </x:c>
      <x:c r="B3266" s="166" t="str">
        <x:v>CNPJ 42921964000112</x:v>
      </x:c>
      <x:c r="C3266" s="188" t="n">
        <x:v>0</x:v>
      </x:c>
      <x:c r="D3266" s="166" t="str">
        <x:v>DAYCOVAL ASSET MANAG</x:v>
      </x:c>
      <x:c r="E3266" s="166" t="str">
        <x:f>IFERROR(INDEX('Classif Gestoras'!$H$6:$H$462,MATCH(D3266,'Classif Gestoras'!$A$6:$A$462,0)),"Não classificada")</x:f>
        <x:v>Ligada a banco</x:v>
      </x:c>
      <x:c r="F3266" s="166" t="str">
        <x:v>BANCO DAYCOVAL S/A</x:v>
      </x:c>
      <x:c r="G3266" s="166" t="str">
        <x:v>Não identificado</x:v>
      </x:c>
      <x:c r="H3266" s="166" t="str">
        <x:v>Financeiro</x:v>
      </x:c>
      <x:c r="I3266" s="166" t="str">
        <x:v>Multicarteira Financeiro</x:v>
      </x:c>
      <x:c r="J3266" s="166" t="str">
        <x:v>CI</x:v>
      </x:c>
      <x:c r="K3266" s="172"/>
      <x:c r="L3266" s="185" t="str">
        <x:v>Não classificado</x:v>
      </x:c>
    </x:row>
    <x:row r="3267">
      <x:c r="A3267" s="175" t="str">
        <x:v>60.261.285/0001-46</x:v>
      </x:c>
      <x:c r="B3267" s="166" t="str">
        <x:v>FUNDO DE INVESTIMENTO EM DIREITOS CREDITÓRIOS LEIRIA - RESPONSABILIDADE LIMITADA</x:v>
      </x:c>
      <x:c r="C3267" s="188" t="n">
        <x:v>0</x:v>
      </x:c>
      <x:c r="D3267" s="166" t="str">
        <x:v>Blue Solutions</x:v>
      </x:c>
      <x:c r="E3267" s="166" t="str">
        <x:f>IFERROR(INDEX('Classif Gestoras'!$H$6:$H$462,MATCH(D3267,'Classif Gestoras'!$A$6:$A$462,0)),"Não classificada")</x:f>
        <x:v>Independente</x:v>
      </x:c>
      <x:c r="F3267" s="166" t="str">
        <x:v>Banvox DTVM</x:v>
      </x:c>
      <x:c r="G3267" s="166" t="str">
        <x:v>BANVOX DISTRIBUIDORA DE TITULOS E VALORES MOBILIARIOS LTDA</x:v>
      </x:c>
      <x:c r="H3267" s="166" t="str">
        <x:v>Outros</x:v>
      </x:c>
      <x:c r="I3267" s="166" t="str">
        <x:v>Multicarteira Outros</x:v>
      </x:c>
      <x:c r="J3267" s="166" t="str">
        <x:v>CI</x:v>
      </x:c>
      <x:c r="K3267" s="172" t="n">
        <x:v>1</x:v>
      </x:c>
      <x:c r="L3267" s="185" t="str">
        <x:v>Não classificado</x:v>
      </x:c>
    </x:row>
    <x:row r="3268">
      <x:c r="A3268" s="175" t="str">
        <x:v>60.078.440/0001-93</x:v>
      </x:c>
      <x:c r="B3268" s="166" t="str">
        <x:v>ANTARES FUNDO DE INVESTIMENTO EM DIREITOS CREDITÓRIOS</x:v>
      </x:c>
      <x:c r="C3268" s="188" t="n">
        <x:v>0</x:v>
      </x:c>
      <x:c r="D3268" s="166" t="str">
        <x:v>Kanastra</x:v>
      </x:c>
      <x:c r="E3268" s="166" t="str">
        <x:f>IFERROR(INDEX('Classif Gestoras'!$H$6:$H$462,MATCH(D3268,'Classif Gestoras'!$A$6:$A$462,0)),"Não classificada")</x:f>
        <x:v>Independente</x:v>
      </x:c>
      <x:c r="F3268" s="166" t="str">
        <x:v>Limine Trust Distribuidora de Titulos e Valores Mobiliá</x:v>
      </x:c>
      <x:c r="G3268" s="166" t="str">
        <x:v>LIMINE TRUST DISTRIBUIDORA DE TITULOS E VALORES MOBILIARIOS LTDA.</x:v>
      </x:c>
      <x:c r="H3268" s="166" t="str">
        <x:v>Outros</x:v>
      </x:c>
      <x:c r="I3268" s="166" t="str">
        <x:v>Multicarteira Outros</x:v>
      </x:c>
      <x:c r="J3268" s="166" t="str">
        <x:v>CI</x:v>
      </x:c>
      <x:c r="K3268" s="172" t="n">
        <x:v>1</x:v>
      </x:c>
      <x:c r="L3268" s="185" t="str">
        <x:v>Não classificado</x:v>
      </x:c>
    </x:row>
    <x:row r="3269">
      <x:c r="A3269" s="175" t="str">
        <x:v>60.282.653/0001-32</x:v>
      </x:c>
      <x:c r="B3269" s="166" t="str">
        <x:v>VIATOR FUNDO DE INVESTIMENTO EM DIREITOS CREDITÓRIOS FEEDER RESPONSABILIDADE LIMITADA</x:v>
      </x:c>
      <x:c r="C3269" s="188" t="n">
        <x:v>0</x:v>
      </x:c>
      <x:c r="D3269" s="166" t="str">
        <x:v>GESTORA DE RECURSOS ID - GRID LTDA.</x:v>
      </x:c>
      <x:c r="E3269" s="166" t="str">
        <x:f>IFERROR(INDEX('Classif Gestoras'!$H$6:$H$462,MATCH(D3269,'Classif Gestoras'!$A$6:$A$462,0)),"Não classificada")</x:f>
        <x:v>Independente</x:v>
      </x:c>
      <x:c r="F3269" s="166" t="str">
        <x:v>ID Corretora de Títulos e Valores Mobiliários S.A.</x:v>
      </x:c>
      <x:c r="G3269" s="166" t="str">
        <x:v>ID CORRETORA DE TITULOS E VALORES MOBILIARIOS S.A.</x:v>
      </x:c>
      <x:c r="H3269" s="166" t="str">
        <x:v>Outros</x:v>
      </x:c>
      <x:c r="I3269" s="166" t="str">
        <x:v>Multicarteira Outros</x:v>
      </x:c>
      <x:c r="J3269" s="166" t="str">
        <x:v>CI</x:v>
      </x:c>
      <x:c r="K3269" s="172" t="n">
        <x:v>0</x:v>
      </x:c>
      <x:c r="L3269" s="185" t="str">
        <x:v>Não classificado</x:v>
      </x:c>
    </x:row>
    <x:row r="3270">
      <x:c r="A3270" s="175" t="str">
        <x:v>56.806.049/0001-90</x:v>
      </x:c>
      <x:c r="B3270" s="166" t="str">
        <x:v>CNPJ 56806049000190</x:v>
      </x:c>
      <x:c r="C3270" s="188" t="n">
        <x:v>0</x:v>
      </x:c>
      <x:c r="D3270" s="166" t="str">
        <x:v>OPEA GESTORA DE RECURSOS</x:v>
      </x:c>
      <x:c r="E3270" s="166" t="str">
        <x:f>IFERROR(INDEX('Classif Gestoras'!$H$6:$H$462,MATCH(D3270,'Classif Gestoras'!$A$6:$A$462,0)),"Não classificada")</x:f>
        <x:v>Independente</x:v>
      </x:c>
      <x:c r="F3270" s="166" t="str">
        <x:v>BANCO DAYCOVAL S/A</x:v>
      </x:c>
      <x:c r="G3270" s="166" t="str">
        <x:v>Não identificado</x:v>
      </x:c>
      <x:c r="H3270" s="166" t="str">
        <x:v>Financeiro</x:v>
      </x:c>
      <x:c r="I3270" s="166" t="str">
        <x:v>Não se aplica</x:v>
      </x:c>
      <x:c r="J3270" s="166" t="str">
        <x:v>CI</x:v>
      </x:c>
      <x:c r="K3270" s="172"/>
      <x:c r="L3270" s="185" t="str">
        <x:v>Não classificado</x:v>
      </x:c>
    </x:row>
    <x:row r="3271">
      <x:c r="A3271" s="175" t="str">
        <x:v>43.740.863/0001-08</x:v>
      </x:c>
      <x:c r="B3271" s="166" t="str">
        <x:v>MUFFY FUNDO DE INVESTIMENTO EM DIREITOS CREDITÓRIOS - NÃO PADRONIZADOS</x:v>
      </x:c>
      <x:c r="C3271" s="188" t="n">
        <x:v>0</x:v>
      </x:c>
      <x:c r="D3271" s="166" t="str">
        <x:v>Reag Administradora de Recursos Ltda</x:v>
      </x:c>
      <x:c r="E3271" s="166" t="str">
        <x:f>IFERROR(INDEX('Classif Gestoras'!$H$6:$H$462,MATCH(D3271,'Classif Gestoras'!$A$6:$A$462,0)),"Não classificada")</x:f>
        <x:v>Independente</x:v>
      </x:c>
      <x:c r="F3271" s="166" t="str">
        <x:v>REAG DTVM</x:v>
      </x:c>
      <x:c r="G3271" s="166" t="str">
        <x:v>REAG TRUST DISTRIBUIDORA DE TITULOS E VALORES MOBILIARIOS S.A.</x:v>
      </x:c>
      <x:c r="H3271" s="166" t="str">
        <x:v>Financeiro</x:v>
      </x:c>
      <x:c r="I3271" s="166" t="str">
        <x:v>Multicarteira Financeiro</x:v>
      </x:c>
      <x:c r="J3271" s="166" t="str">
        <x:v>CI</x:v>
      </x:c>
      <x:c r="K3271" s="172" t="n">
        <x:v>1</x:v>
      </x:c>
      <x:c r="L3271" s="185" t="str">
        <x:v>Não classificado</x:v>
      </x:c>
    </x:row>
    <x:row r="3272">
      <x:c r="A3272" s="175" t="str">
        <x:v>52.609.463/0001-59</x:v>
      </x:c>
      <x:c r="B3272" s="166" t="str">
        <x:v>STARK FUNDO DE INVESTIMENTO EM DIREITOS CREDITÓRIOS</x:v>
      </x:c>
      <x:c r="C3272" s="188" t="n">
        <x:v>0</x:v>
      </x:c>
      <x:c r="D3272" s="166" t="str">
        <x:v>Reag Jus</x:v>
      </x:c>
      <x:c r="E3272" s="166" t="str">
        <x:f>IFERROR(INDEX('Classif Gestoras'!$H$6:$H$462,MATCH(D3272,'Classif Gestoras'!$A$6:$A$462,0)),"Não classificada")</x:f>
        <x:v>Independente</x:v>
      </x:c>
      <x:c r="F3272" s="166" t="str">
        <x:v>REAG DTVM</x:v>
      </x:c>
      <x:c r="G3272" s="166" t="str">
        <x:v>REAG TRUST DISTRIBUIDORA DE TITULOS E VALORES MOBILIARIOS S.A.</x:v>
      </x:c>
      <x:c r="H3272" s="166" t="str">
        <x:v>Outros</x:v>
      </x:c>
      <x:c r="I3272" s="166" t="str">
        <x:v>Multicarteira Outros</x:v>
      </x:c>
      <x:c r="J3272" s="166" t="str">
        <x:v>CI</x:v>
      </x:c>
      <x:c r="K3272" s="172" t="n">
        <x:v>1</x:v>
      </x:c>
      <x:c r="L3272" s="185" t="str">
        <x:v>Não classificado</x:v>
      </x:c>
    </x:row>
    <x:row r="3273">
      <x:c r="A3273" s="175" t="str">
        <x:v>20.906.292/0001-33</x:v>
      </x:c>
      <x:c r="B3273" s="166" t="str">
        <x:v>TRUST FUNDO DE INVESTIMENTO EM DIREITOS CREDITÓRIOS</x:v>
      </x:c>
      <x:c r="C3273" s="188" t="n">
        <x:v>0</x:v>
      </x:c>
      <x:c r="D3273" s="166" t="str">
        <x:v>TERCON ASSET MANAGEMENT</x:v>
      </x:c>
      <x:c r="E3273" s="166" t="str">
        <x:f>IFERROR(INDEX('Classif Gestoras'!$H$6:$H$462,MATCH(D3273,'Classif Gestoras'!$A$6:$A$462,0)),"Não classificada")</x:f>
        <x:v>Independente</x:v>
      </x:c>
      <x:c r="F3273" s="166" t="str">
        <x:v>Limine Trust Distribuidora de Titulos e Valores Mobiliá</x:v>
      </x:c>
      <x:c r="G3273" s="166" t="str">
        <x:v>LIMINE TRUST DISTRIBUIDORA DE TITULOS E VALORES MOBILIARIOS LTDA.</x:v>
      </x:c>
      <x:c r="H3273" s="166" t="str">
        <x:v>Fomento Mercantil</x:v>
      </x:c>
      <x:c r="I3273" s="166" t="str">
        <x:v>Fomento Mercantil</x:v>
      </x:c>
      <x:c r="J3273" s="166" t="str">
        <x:v>CI</x:v>
      </x:c>
      <x:c r="K3273" s="172" t="n">
        <x:v>2</x:v>
      </x:c>
      <x:c r="L3273" s="185" t="str">
        <x:v>Não classificado</x:v>
      </x:c>
    </x:row>
    <x:row r="3274">
      <x:c r="A3274" s="175" t="str">
        <x:v>37.780.694/0001-37</x:v>
      </x:c>
      <x:c r="B3274" s="166" t="str">
        <x:v>SONAR PRECATÓRIOS FUNDO DE INVESTIMENTO EM DIREITOS CREDITÓRIOS</x:v>
      </x:c>
      <x:c r="C3274" s="188" t="n">
        <x:v>0</x:v>
      </x:c>
      <x:c r="D3274" s="166" t="str">
        <x:v>Sonar Investimentos</x:v>
      </x:c>
      <x:c r="E3274" s="166" t="str">
        <x:f>IFERROR(INDEX('Classif Gestoras'!$H$6:$H$462,MATCH(D3274,'Classif Gestoras'!$A$6:$A$462,0)),"Não classificada")</x:f>
        <x:v>Independente</x:v>
      </x:c>
      <x:c r="F3274" s="166" t="str">
        <x:v>Limine Trust Distribuidora de Titulos e Valores Mobiliá</x:v>
      </x:c>
      <x:c r="G3274" s="166" t="str">
        <x:v>LIMINE TRUST DISTRIBUIDORA DE TITULOS E VALORES MOBILIARIOS LTDA.</x:v>
      </x:c>
      <x:c r="H3274" s="166" t="str">
        <x:v>Outros</x:v>
      </x:c>
      <x:c r="I3274" s="166" t="str">
        <x:v>Multicarteira Outros</x:v>
      </x:c>
      <x:c r="J3274" s="166" t="str">
        <x:v>CI</x:v>
      </x:c>
      <x:c r="K3274" s="172" t="n">
        <x:v>16</x:v>
      </x:c>
      <x:c r="L3274" s="185" t="str">
        <x:v>Não classificado</x:v>
      </x:c>
    </x:row>
    <x:row r="3275">
      <x:c r="A3275" s="175" t="str">
        <x:v>55.686.549/0001-73</x:v>
      </x:c>
      <x:c r="B3275" s="166" t="str">
        <x:v>CNPJ 55686549000173</x:v>
      </x:c>
      <x:c r="C3275" s="188" t="n">
        <x:v>0</x:v>
      </x:c>
      <x:c r="D3275" s="166" t="str">
        <x:v>ARC Capital</x:v>
      </x:c>
      <x:c r="E3275" s="166" t="str">
        <x:f>IFERROR(INDEX('Classif Gestoras'!$H$6:$H$462,MATCH(D3275,'Classif Gestoras'!$A$6:$A$462,0)),"Não classificada")</x:f>
        <x:v>Independente</x:v>
      </x:c>
      <x:c r="F3275" s="166" t="str">
        <x:v>REAG DTVM</x:v>
      </x:c>
      <x:c r="G3275" s="166" t="str">
        <x:v>Não identificado</x:v>
      </x:c>
      <x:c r="H3275" s="166" t="str">
        <x:v>Financeiro</x:v>
      </x:c>
      <x:c r="I3275" s="166" t="str">
        <x:v>Não se aplica</x:v>
      </x:c>
      <x:c r="J3275" s="166" t="str">
        <x:v>CI</x:v>
      </x:c>
      <x:c r="K3275" s="172"/>
      <x:c r="L3275" s="185" t="str">
        <x:v>Não classificado</x:v>
      </x:c>
    </x:row>
    <x:row r="3276">
      <x:c r="A3276" s="175" t="str">
        <x:v>09.577.075/0001-04</x:v>
      </x:c>
      <x:c r="B3276" s="166" t="str">
        <x:v>CNPJ 09577075000104</x:v>
      </x:c>
      <x:c r="C3276" s="188" t="n">
        <x:v>0</x:v>
      </x:c>
      <x:c r="D3276" s="166" t="str">
        <x:v>Cultinvest Asset</x:v>
      </x:c>
      <x:c r="E3276" s="166" t="str">
        <x:f>IFERROR(INDEX('Classif Gestoras'!$H$6:$H$462,MATCH(D3276,'Classif Gestoras'!$A$6:$A$462,0)),"Não classificada")</x:f>
        <x:v>Independente</x:v>
      </x:c>
      <x:c r="F3276" s="166" t="str">
        <x:v>S3 Caceis Brasil Distribuidora de Títulos e Valores Mob</x:v>
      </x:c>
      <x:c r="G3276" s="166" t="str">
        <x:v>Não identificado</x:v>
      </x:c>
      <x:c r="H3276" s="166" t="str">
        <x:v>Financeiro</x:v>
      </x:c>
      <x:c r="I3276" s="166" t="str">
        <x:v>Financiamento de Veículos</x:v>
      </x:c>
      <x:c r="J3276" s="166" t="str">
        <x:v>CI</x:v>
      </x:c>
      <x:c r="K3276" s="172"/>
      <x:c r="L3276" s="185" t="str">
        <x:v>Não classificado</x:v>
      </x:c>
    </x:row>
    <x:row r="3277">
      <x:c r="A3277" s="175" t="str">
        <x:v>57.131.490/0001-82</x:v>
      </x:c>
      <x:c r="B3277" s="166" t="str">
        <x:v>CNPJ 57131490000182</x:v>
      </x:c>
      <x:c r="C3277" s="188" t="n">
        <x:v>0</x:v>
      </x:c>
      <x:c r="D3277" s="166" t="str">
        <x:v>FATOR INNOVATION LTDA</x:v>
      </x:c>
      <x:c r="E3277" s="166" t="str">
        <x:f>IFERROR(INDEX('Classif Gestoras'!$H$6:$H$462,MATCH(D3277,'Classif Gestoras'!$A$6:$A$462,0)),"Não classificada")</x:f>
        <x:v>Independente</x:v>
      </x:c>
      <x:c r="F3277" s="166" t="str">
        <x:v>Singulare</x:v>
      </x:c>
      <x:c r="G3277" s="166" t="str">
        <x:v>Não identificado</x:v>
      </x:c>
      <x:c r="H3277" s="166" t="str">
        <x:v>Agro, Indústria e Comércio</x:v>
      </x:c>
      <x:c r="I3277" s="166" t="str">
        <x:v>Não se aplica</x:v>
      </x:c>
      <x:c r="J3277" s="166" t="str">
        <x:v>CI</x:v>
      </x:c>
      <x:c r="K3277" s="172"/>
      <x:c r="L3277" s="185" t="str">
        <x:v>Não classificado</x:v>
      </x:c>
    </x:row>
    <x:row r="3278">
      <x:c r="A3278" s="175" t="str">
        <x:v>37.931.360/0001-17</x:v>
      </x:c>
      <x:c r="B3278" s="166" t="str">
        <x:v>CNPJ 37931360000117</x:v>
      </x:c>
      <x:c r="C3278" s="188" t="n">
        <x:v>0</x:v>
      </x:c>
      <x:c r="D3278" s="166" t="str">
        <x:v>BLUEWAVE ASSET LTDA</x:v>
      </x:c>
      <x:c r="E3278" s="166" t="str">
        <x:f>IFERROR(INDEX('Classif Gestoras'!$H$6:$H$462,MATCH(D3278,'Classif Gestoras'!$A$6:$A$462,0)),"Não classificada")</x:f>
        <x:v>Independente</x:v>
      </x:c>
      <x:c r="F3278" s="166" t="str">
        <x:v>VÓRTX DTVM</x:v>
      </x:c>
      <x:c r="G3278" s="166" t="str">
        <x:v>Não identificado</x:v>
      </x:c>
      <x:c r="H3278" s="166" t="str">
        <x:v>Agro, Indústria e Comércio</x:v>
      </x:c>
      <x:c r="I3278" s="166" t="str">
        <x:v>Recebíveis Comerciais</x:v>
      </x:c>
      <x:c r="J3278" s="166" t="str">
        <x:v>CI</x:v>
      </x:c>
      <x:c r="K3278" s="172"/>
      <x:c r="L3278" s="185" t="str">
        <x:v>Não classificado</x:v>
      </x:c>
    </x:row>
    <x:row r="3279">
      <x:c r="A3279" s="175" t="str">
        <x:v>32.156.003/0001-05</x:v>
      </x:c>
      <x:c r="B3279" s="166" t="str">
        <x:v>ATLÂNTICO CORPORATE FUNDO DE INVESTIMENTO EM DIREITOS CREDITÓRIOS NÃO - PADRONIZADOS</x:v>
      </x:c>
      <x:c r="C3279" s="188" t="n">
        <x:v>0</x:v>
      </x:c>
      <x:c r="D3279" s="166" t="str">
        <x:v>Hyperion</x:v>
      </x:c>
      <x:c r="E3279" s="166" t="str">
        <x:f>IFERROR(INDEX('Classif Gestoras'!$H$6:$H$462,MATCH(D3279,'Classif Gestoras'!$A$6:$A$462,0)),"Não classificada")</x:f>
        <x:v>Independente</x:v>
      </x:c>
      <x:c r="F3279" s="166" t="str">
        <x:v>SEFER DTVM</x:v>
      </x:c>
      <x:c r="G3279" s="166" t="str">
        <x:v>ID CORRETORA DE TITULOS E VALORES MOBILIARIOS S.A.</x:v>
      </x:c>
      <x:c r="H3279" s="166" t="str">
        <x:v>Outros</x:v>
      </x:c>
      <x:c r="I3279" s="166" t="str">
        <x:v>Multicarteira Outros</x:v>
      </x:c>
      <x:c r="J3279" s="166" t="str">
        <x:v>CI</x:v>
      </x:c>
      <x:c r="K3279" s="172" t="n">
        <x:v>2</x:v>
      </x:c>
      <x:c r="L3279" s="185" t="str">
        <x:v>Não classificado</x:v>
      </x:c>
    </x:row>
    <x:row r="3280">
      <x:c r="A3280" s="175" t="str">
        <x:v>42.317.295/0001-74</x:v>
      </x:c>
      <x:c r="B3280" s="166" t="str">
        <x:v>CONDOLIVRE FUNDO DE INVESTIMENTO EM DIREITOS CREDITÓRIOS - RESPONSABILIDADE LIMITADA</x:v>
      </x:c>
      <x:c r="C3280" s="188" t="n">
        <x:v>0</x:v>
      </x:c>
      <x:c r="D3280" s="166" t="str">
        <x:v>Kanastra</x:v>
      </x:c>
      <x:c r="E3280" s="166" t="str">
        <x:f>IFERROR(INDEX('Classif Gestoras'!$H$6:$H$462,MATCH(D3280,'Classif Gestoras'!$A$6:$A$462,0)),"Não classificada")</x:f>
        <x:v>Independente</x:v>
      </x:c>
      <x:c r="F3280" s="166" t="str">
        <x:v>Limine Trust Distribuidora de Titulos e Valores Mobiliá</x:v>
      </x:c>
      <x:c r="G3280" s="166" t="str">
        <x:v>VORTX DISTRIBUIDORA DE TITULOS E VALORES MOBILIARIOS LTDA.</x:v>
      </x:c>
      <x:c r="H3280" s="166" t="str">
        <x:v>Fomento Mercantil</x:v>
      </x:c>
      <x:c r="I3280" s="166" t="str">
        <x:v>Fomento Mercantil</x:v>
      </x:c>
      <x:c r="J3280" s="166" t="str">
        <x:v>CI</x:v>
      </x:c>
      <x:c r="K3280" s="172" t="n">
        <x:v>36</x:v>
      </x:c>
      <x:c r="L3280" s="185" t="str">
        <x:v>Não classificado</x:v>
      </x:c>
    </x:row>
    <x:row r="3281">
      <x:c r="A3281" s="175" t="str">
        <x:v>60.453.358/0001-00</x:v>
      </x:c>
      <x:c r="B3281" s="166" t="str">
        <x:v>CNPJ 60453358000100</x:v>
      </x:c>
      <x:c r="C3281" s="188" t="n">
        <x:v>0</x:v>
      </x:c>
      <x:c r="D3281" s="166" t="str">
        <x:v>Vega</x:v>
      </x:c>
      <x:c r="E3281" s="166" t="str">
        <x:f>IFERROR(INDEX('Classif Gestoras'!$H$6:$H$462,MATCH(D3281,'Classif Gestoras'!$A$6:$A$462,0)),"Não classificada")</x:f>
        <x:v>Independente</x:v>
      </x:c>
      <x:c r="F3281" s="166" t="str">
        <x:v>BTG Pactual Servicos Financeiros S/A DTVM</x:v>
      </x:c>
      <x:c r="G3281" s="166" t="str">
        <x:v>Não identificado</x:v>
      </x:c>
      <x:c r="H3281" s="166" t="str">
        <x:v>Outros</x:v>
      </x:c>
      <x:c r="I3281" s="166" t="str">
        <x:v>Multicarteira Outros</x:v>
      </x:c>
      <x:c r="J3281" s="166" t="str">
        <x:v>CIPC</x:v>
      </x:c>
      <x:c r="K3281" s="172"/>
      <x:c r="L3281" s="185" t="str">
        <x:v>Não classificado</x:v>
      </x:c>
    </x:row>
    <x:row r="3282">
      <x:c r="A3282" s="175" t="str">
        <x:v>52.112.288/0001-90</x:v>
      </x:c>
      <x:c r="B3282" s="166" t="str">
        <x:v>CNPJ 52112288000190</x:v>
      </x:c>
      <x:c r="C3282" s="188" t="n">
        <x:v>0</x:v>
      </x:c>
      <x:c r="D3282" s="166" t="str">
        <x:v>POLÍGONO CAPITAL LTDA.</x:v>
      </x:c>
      <x:c r="E3282" s="166" t="str">
        <x:f>IFERROR(INDEX('Classif Gestoras'!$H$6:$H$462,MATCH(D3282,'Classif Gestoras'!$A$6:$A$462,0)),"Não classificada")</x:f>
        <x:v>Independente</x:v>
      </x:c>
      <x:c r="F3282" s="166" t="str">
        <x:v>BTG Pactual Servicos Financeiros S/A DTVM</x:v>
      </x:c>
      <x:c r="G3282" s="166" t="str">
        <x:v>Não identificado</x:v>
      </x:c>
      <x:c r="H3282" s="166" t="str">
        <x:v>Fomento Mercantil</x:v>
      </x:c>
      <x:c r="I3282" s="166" t="str">
        <x:v>Fomento Mercantil</x:v>
      </x:c>
      <x:c r="J3282" s="166" t="str">
        <x:v>CI</x:v>
      </x:c>
      <x:c r="K3282" s="172"/>
      <x:c r="L3282" s="185" t="str">
        <x:v>Não classificado</x:v>
      </x:c>
    </x:row>
    <x:row r="3283">
      <x:c r="A3283" s="175" t="str">
        <x:v>42.299.306/0001-30</x:v>
      </x:c>
      <x:c r="B3283" s="166" t="str">
        <x:v>CNPJ 42299306000130</x:v>
      </x:c>
      <x:c r="C3283" s="188" t="n">
        <x:v>0</x:v>
      </x:c>
      <x:c r="D3283" s="166" t="str">
        <x:v>GENIAL GESTÃO LTDA.</x:v>
      </x:c>
      <x:c r="E3283" s="166" t="str">
        <x:f>IFERROR(INDEX('Classif Gestoras'!$H$6:$H$462,MATCH(D3283,'Classif Gestoras'!$A$6:$A$462,0)),"Não classificada")</x:f>
        <x:v>Ligada a banco</x:v>
      </x:c>
      <x:c r="F3283" s="166" t="str">
        <x:v>Banco Genial S.A.</x:v>
      </x:c>
      <x:c r="G3283" s="166" t="str">
        <x:v>Não identificado</x:v>
      </x:c>
      <x:c r="H3283" s="166" t="str">
        <x:v>Financeiro</x:v>
      </x:c>
      <x:c r="I3283" s="166" t="str">
        <x:v>Crédito Pessoal</x:v>
      </x:c>
      <x:c r="J3283" s="166" t="str">
        <x:v>CI</x:v>
      </x:c>
      <x:c r="K3283" s="172"/>
      <x:c r="L3283" s="185" t="str">
        <x:v>Não classificado</x:v>
      </x:c>
    </x:row>
    <x:row r="3284">
      <x:c r="A3284" s="175" t="str">
        <x:v>32.113.853/0001-26</x:v>
      </x:c>
      <x:c r="B3284" s="166" t="str">
        <x:v>CNPJ 32113853000126</x:v>
      </x:c>
      <x:c r="C3284" s="188" t="n">
        <x:v>0</x:v>
      </x:c>
      <x:c r="D3284" s="166" t="str">
        <x:v>OURO PRETO INVESTIMENTOS</x:v>
      </x:c>
      <x:c r="E3284" s="166" t="str">
        <x:f>IFERROR(INDEX('Classif Gestoras'!$H$6:$H$462,MATCH(D3284,'Classif Gestoras'!$A$6:$A$462,0)),"Não classificada")</x:f>
        <x:v>Independente</x:v>
      </x:c>
      <x:c r="F3284" s="166" t="str">
        <x:v>MONETAR DISTRIBUIDORA DE TITUL</x:v>
      </x:c>
      <x:c r="G3284" s="166" t="str">
        <x:v>Não identificado</x:v>
      </x:c>
      <x:c r="H3284" s="166" t="str">
        <x:v>Agro, Indústria e Comércio</x:v>
      </x:c>
      <x:c r="I3284" s="166" t="str">
        <x:v>Infraestrutura</x:v>
      </x:c>
      <x:c r="J3284" s="166" t="str">
        <x:v>CI</x:v>
      </x:c>
      <x:c r="K3284" s="172"/>
      <x:c r="L3284" s="185" t="str">
        <x:v>Não classificado</x:v>
      </x:c>
    </x:row>
    <x:row r="3285">
      <x:c r="A3285" s="175" t="str">
        <x:v>55.657.680/0001-02</x:v>
      </x:c>
      <x:c r="B3285" s="166" t="str">
        <x:v>CNPJ 55657680000102</x:v>
      </x:c>
      <x:c r="C3285" s="188" t="n">
        <x:v>0</x:v>
      </x:c>
      <x:c r="D3285" s="166" t="str">
        <x:v>Bocom BBM Corretora de Câmbio e Valores Mobiliários S.A</x:v>
      </x:c>
      <x:c r="E3285" s="166" t="str">
        <x:f>IFERROR(INDEX('Classif Gestoras'!$H$6:$H$462,MATCH(D3285,'Classif Gestoras'!$A$6:$A$462,0)),"Não classificada")</x:f>
        <x:v>Independente</x:v>
      </x:c>
      <x:c r="F3285" s="166" t="str">
        <x:v>BNY MELLON SERVICOS</x:v>
      </x:c>
      <x:c r="G3285" s="166" t="str">
        <x:v>Não identificado</x:v>
      </x:c>
      <x:c r="H3285" s="166" t="str">
        <x:v>Agro, Indústria e Comércio</x:v>
      </x:c>
      <x:c r="I3285" s="166" t="str">
        <x:v>Não se aplica</x:v>
      </x:c>
      <x:c r="J3285" s="166" t="str">
        <x:v>CI</x:v>
      </x:c>
      <x:c r="K3285" s="172"/>
      <x:c r="L3285" s="185" t="str">
        <x:v>Não classificado</x:v>
      </x:c>
    </x:row>
    <x:row r="3286">
      <x:c r="A3286" s="175" t="str">
        <x:v>55.626.390/0001-00</x:v>
      </x:c>
      <x:c r="B3286" s="166" t="str">
        <x:v>OX FUNDO DE INVESTIMENTO EM DIREITOS CREDITÓRIOS</x:v>
      </x:c>
      <x:c r="C3286" s="188" t="n">
        <x:v>0</x:v>
      </x:c>
      <x:c r="D3286" s="166" t="str">
        <x:v>ASSET MANAGEMENT</x:v>
      </x:c>
      <x:c r="E3286" s="166" t="str">
        <x:f>IFERROR(INDEX('Classif Gestoras'!$H$6:$H$462,MATCH(D3286,'Classif Gestoras'!$A$6:$A$462,0)),"Não classificada")</x:f>
        <x:v>Independente</x:v>
      </x:c>
      <x:c r="F3286" s="166" t="str">
        <x:v>AZUMI DISTRIBUIDORA DE TÍTULOS E VALORES MOBILIÁRIOS LT</x:v>
      </x:c>
      <x:c r="G3286" s="166" t="str">
        <x:v>AZUMI DISTRIBUIDORA DE TÍTULOS E VALORES MOBILIÁRIOS LTDA.</x:v>
      </x:c>
      <x:c r="H3286" s="166" t="str">
        <x:v>Fomento Mercantil</x:v>
      </x:c>
      <x:c r="I3286" s="166" t="str">
        <x:v>Fomento Mercantil</x:v>
      </x:c>
      <x:c r="J3286" s="166" t="str">
        <x:v>CI</x:v>
      </x:c>
      <x:c r="K3286" s="172" t="n">
        <x:v>1</x:v>
      </x:c>
      <x:c r="L3286" s="185" t="str">
        <x:v>Não classificado</x:v>
      </x:c>
    </x:row>
    <x:row r="3287">
      <x:c r="A3287" s="175" t="str">
        <x:v>57.187.234/0001-07</x:v>
      </x:c>
      <x:c r="B3287" s="166" t="str">
        <x:v>CNPJ 57187234000107</x:v>
      </x:c>
      <x:c r="C3287" s="188" t="n">
        <x:v>0</x:v>
      </x:c>
      <x:c r="D3287" s="166" t="str">
        <x:v>Milênio Capital</x:v>
      </x:c>
      <x:c r="E3287" s="166" t="str">
        <x:f>IFERROR(INDEX('Classif Gestoras'!$H$6:$H$462,MATCH(D3287,'Classif Gestoras'!$A$6:$A$462,0)),"Não classificada")</x:f>
        <x:v>Independente</x:v>
      </x:c>
      <x:c r="F3287" s="166" t="str">
        <x:v>Oliveira Trust DTVM</x:v>
      </x:c>
      <x:c r="G3287" s="166" t="str">
        <x:v>Não identificado</x:v>
      </x:c>
      <x:c r="H3287" s="166" t="str">
        <x:v>Agro, Indústria e Comércio</x:v>
      </x:c>
      <x:c r="I3287" s="166" t="str">
        <x:v>Não se aplica</x:v>
      </x:c>
      <x:c r="J3287" s="166" t="str">
        <x:v>CI</x:v>
      </x:c>
      <x:c r="K3287" s="172"/>
      <x:c r="L3287" s="185" t="str">
        <x:v>Não classificado</x:v>
      </x:c>
    </x:row>
    <x:row r="3288">
      <x:c r="A3288" s="175" t="str">
        <x:v>55.609.516/0001-20</x:v>
      </x:c>
      <x:c r="B3288" s="166" t="str">
        <x:v>SIGHT FUNDO DE INVESTIMENTO EM DIREITOS CREDITÓRIOS RESPONSABILIDADE LIMITADA</x:v>
      </x:c>
      <x:c r="C3288" s="188" t="n">
        <x:v>0</x:v>
      </x:c>
      <x:c r="D3288" s="166" t="str">
        <x:v>MAM ASSET MANAGEMENT</x:v>
      </x:c>
      <x:c r="E3288" s="166" t="str">
        <x:f>IFERROR(INDEX('Classif Gestoras'!$H$6:$H$462,MATCH(D3288,'Classif Gestoras'!$A$6:$A$462,0)),"Não classificada")</x:f>
        <x:v>Independente</x:v>
      </x:c>
      <x:c r="F3288" s="166" t="str">
        <x:v>MASTER S/A CORRETORA</x:v>
      </x:c>
      <x:c r="G3288" s="166" t="str">
        <x:v>ID CORRETORA DE TITULOS E VALORES MOBILIARIOS S.A.</x:v>
      </x:c>
      <x:c r="H3288" s="166" t="str">
        <x:v>Agro, Indústria e Comércio</x:v>
      </x:c>
      <x:c r="I3288" s="166" t="str">
        <x:v>Recebíveis Comerciais</x:v>
      </x:c>
      <x:c r="J3288" s="166" t="str">
        <x:v>CI</x:v>
      </x:c>
      <x:c r="K3288" s="172" t="n">
        <x:v>1</x:v>
      </x:c>
      <x:c r="L3288" s="185" t="str">
        <x:v>Não classificado</x:v>
      </x:c>
    </x:row>
    <x:row r="3289">
      <x:c r="A3289" s="175" t="str">
        <x:v>32.024.768/0001-91</x:v>
      </x:c>
      <x:c r="B3289" s="166" t="str">
        <x:v>CNPJ 32024768000191</x:v>
      </x:c>
      <x:c r="C3289" s="188" t="n">
        <x:v>0</x:v>
      </x:c>
      <x:c r="D3289" s="166" t="str">
        <x:v>GFS INVESTIMENTOS</x:v>
      </x:c>
      <x:c r="E3289" s="166" t="str">
        <x:f>IFERROR(INDEX('Classif Gestoras'!$H$6:$H$462,MATCH(D3289,'Classif Gestoras'!$A$6:$A$462,0)),"Não classificada")</x:f>
        <x:v>Independente</x:v>
      </x:c>
      <x:c r="F3289" s="166" t="str">
        <x:v>PLANNER CV</x:v>
      </x:c>
      <x:c r="G3289" s="166" t="str">
        <x:v>Não identificado</x:v>
      </x:c>
      <x:c r="H3289" s="166" t="str">
        <x:v>Fomento Mercantil</x:v>
      </x:c>
      <x:c r="I3289" s="166" t="str">
        <x:v>Fomento Mercantil</x:v>
      </x:c>
      <x:c r="J3289" s="166" t="str">
        <x:v>CI</x:v>
      </x:c>
      <x:c r="K3289" s="172"/>
      <x:c r="L3289" s="185" t="str">
        <x:v>Não classificado</x:v>
      </x:c>
    </x:row>
    <x:row r="3290">
      <x:c r="A3290" s="175" t="str">
        <x:v>44.395.626/0001-10</x:v>
      </x:c>
      <x:c r="B3290" s="166" t="str">
        <x:v>CNPJ 44395626000110</x:v>
      </x:c>
      <x:c r="C3290" s="188" t="n">
        <x:v>0</x:v>
      </x:c>
      <x:c r="D3290" s="166" t="str">
        <x:v>Iggy Investimentos</x:v>
      </x:c>
      <x:c r="E3290" s="166" t="str">
        <x:f>IFERROR(INDEX('Classif Gestoras'!$H$6:$H$462,MATCH(D3290,'Classif Gestoras'!$A$6:$A$462,0)),"Não classificada")</x:f>
        <x:v>Independente</x:v>
      </x:c>
      <x:c r="F3290" s="166" t="str">
        <x:v>Singulare</x:v>
      </x:c>
      <x:c r="G3290" s="166" t="str">
        <x:v>Não identificado</x:v>
      </x:c>
      <x:c r="H3290" s="166" t="str">
        <x:v>Fomento Mercantil</x:v>
      </x:c>
      <x:c r="I3290" s="166" t="str">
        <x:v>Fomento Mercantil</x:v>
      </x:c>
      <x:c r="J3290" s="166" t="str">
        <x:v>CI</x:v>
      </x:c>
      <x:c r="K3290" s="172"/>
      <x:c r="L3290" s="185" t="str">
        <x:v>Não classificado</x:v>
      </x:c>
    </x:row>
    <x:row r="3291">
      <x:c r="A3291" s="175" t="str">
        <x:v>52.719.781/0001-72</x:v>
      </x:c>
      <x:c r="B3291" s="166" t="str">
        <x:v>ST 3001 FUNDO DE INVESTIMENTO EM DIREITOS CREDITÓRIOS</x:v>
      </x:c>
      <x:c r="C3291" s="188" t="n">
        <x:v>0</x:v>
      </x:c>
      <x:c r="D3291" s="166" t="str">
        <x:v>Strata Capital</x:v>
      </x:c>
      <x:c r="E3291" s="166" t="str">
        <x:f>IFERROR(INDEX('Classif Gestoras'!$H$6:$H$462,MATCH(D3291,'Classif Gestoras'!$A$6:$A$462,0)),"Não classificada")</x:f>
        <x:v>Independente</x:v>
      </x:c>
      <x:c r="F3291" s="166" t="str">
        <x:v>PLANNER CV</x:v>
      </x:c>
      <x:c r="G3291" s="166" t="str">
        <x:v>ID CORRETORA DE TITULOS E VALORES MOBILIARIOS S.A.</x:v>
      </x:c>
      <x:c r="H3291" s="166" t="str">
        <x:v>Outros</x:v>
      </x:c>
      <x:c r="I3291" s="166" t="str">
        <x:v>Multicarteira Outros</x:v>
      </x:c>
      <x:c r="J3291" s="166" t="str">
        <x:v>CI</x:v>
      </x:c>
      <x:c r="K3291" s="172" t="n">
        <x:v>2</x:v>
      </x:c>
      <x:c r="L3291" s="185" t="str">
        <x:v>Não classificado</x:v>
      </x:c>
    </x:row>
    <x:row r="3292">
      <x:c r="A3292" s="175" t="str">
        <x:v>44.479.362/0001-82</x:v>
      </x:c>
      <x:c r="B3292" s="166" t="str">
        <x:v>GUAJUVIRA FUNDO DE INVESTIMENTO EM DIREITOS CREDITÓRIOS NÃO-PADRONIZADOS - RESPONSABILIDADE LIMITADA</x:v>
      </x:c>
      <x:c r="C3292" s="188" t="n">
        <x:v>0</x:v>
      </x:c>
      <x:c r="D3292" s="166" t="str">
        <x:v>Kanastra</x:v>
      </x:c>
      <x:c r="E3292" s="166" t="str">
        <x:f>IFERROR(INDEX('Classif Gestoras'!$H$6:$H$462,MATCH(D3292,'Classif Gestoras'!$A$6:$A$462,0)),"Não classificada")</x:f>
        <x:v>Independente</x:v>
      </x:c>
      <x:c r="F3292" s="166" t="str">
        <x:v>Limine Trust Distribuidora de Titulos e Valores Mobiliá</x:v>
      </x:c>
      <x:c r="G3292" s="166" t="str">
        <x:v>LIMINE TRUST DISTRIBUIDORA DE TITULOS E VALORES MOBILIARIOS LTDA.</x:v>
      </x:c>
      <x:c r="H3292" s="166" t="str">
        <x:v>Outros</x:v>
      </x:c>
      <x:c r="I3292" s="166" t="str">
        <x:v>Multicarteira Outros</x:v>
      </x:c>
      <x:c r="J3292" s="166" t="str">
        <x:v>CI</x:v>
      </x:c>
      <x:c r="K3292" s="172" t="n">
        <x:v>0</x:v>
      </x:c>
      <x:c r="L3292" s="185" t="str">
        <x:v>Não classificado</x:v>
      </x:c>
    </x:row>
    <x:row r="3293">
      <x:c r="A3293" s="175" t="str">
        <x:v>57.251.224/0001-93</x:v>
      </x:c>
      <x:c r="B3293" s="166" t="str">
        <x:v>CNPJ 57251224000193</x:v>
      </x:c>
      <x:c r="C3293" s="188" t="n">
        <x:v>0</x:v>
      </x:c>
      <x:c r="D3293" s="166" t="str">
        <x:v>Milênio Capital</x:v>
      </x:c>
      <x:c r="E3293" s="166" t="str">
        <x:f>IFERROR(INDEX('Classif Gestoras'!$H$6:$H$462,MATCH(D3293,'Classif Gestoras'!$A$6:$A$462,0)),"Não classificada")</x:f>
        <x:v>Independente</x:v>
      </x:c>
      <x:c r="F3293" s="166" t="str">
        <x:v>Oliveira Trust DTVM</x:v>
      </x:c>
      <x:c r="G3293" s="166" t="str">
        <x:v>Não identificado</x:v>
      </x:c>
      <x:c r="H3293" s="166" t="str">
        <x:v>Agro, Indústria e Comércio</x:v>
      </x:c>
      <x:c r="I3293" s="166" t="str">
        <x:v>Não se aplica</x:v>
      </x:c>
      <x:c r="J3293" s="166" t="str">
        <x:v>CI</x:v>
      </x:c>
      <x:c r="K3293" s="172"/>
      <x:c r="L3293" s="185" t="str">
        <x:v>Não classificado</x:v>
      </x:c>
    </x:row>
    <x:row r="3294">
      <x:c r="A3294" s="175" t="str">
        <x:v>44.585.657/0001-33</x:v>
      </x:c>
      <x:c r="B3294" s="166" t="str">
        <x:v>MONET FUNDO DE INVESTIMENTO EM DIREITOS CREDITÓRIOS NÃO PADRONIZADOS</x:v>
      </x:c>
      <x:c r="C3294" s="188" t="n">
        <x:v>0</x:v>
      </x:c>
      <x:c r="D3294" s="166" t="str">
        <x:v>ASSET MANAGEMENT</x:v>
      </x:c>
      <x:c r="E3294" s="166" t="str">
        <x:f>IFERROR(INDEX('Classif Gestoras'!$H$6:$H$462,MATCH(D3294,'Classif Gestoras'!$A$6:$A$462,0)),"Não classificada")</x:f>
        <x:v>Independente</x:v>
      </x:c>
      <x:c r="F3294" s="166" t="str">
        <x:v>AZUMI DISTRIBUIDORA DE TÍTULOS E VALORES MOBILIÁRIOS LT</x:v>
      </x:c>
      <x:c r="G3294" s="166" t="str">
        <x:v>AZUMI DISTRIBUIDORA DE TÍTULOS E VALORES MOBILIÁRIOS LTDA.</x:v>
      </x:c>
      <x:c r="H3294" s="166" t="str">
        <x:v>Outros</x:v>
      </x:c>
      <x:c r="I3294" s="166" t="str">
        <x:v>Multicarteira Outros</x:v>
      </x:c>
      <x:c r="J3294" s="166" t="str">
        <x:v>CI</x:v>
      </x:c>
      <x:c r="K3294" s="172" t="n">
        <x:v>0</x:v>
      </x:c>
      <x:c r="L3294" s="185" t="str">
        <x:v>Não classificado</x:v>
      </x:c>
    </x:row>
    <x:row r="3295">
      <x:c r="A3295" s="175" t="str">
        <x:v>57.258.316/0001-03</x:v>
      </x:c>
      <x:c r="B3295" s="166" t="str">
        <x:v>CNPJ 57258316000103</x:v>
      </x:c>
      <x:c r="C3295" s="188" t="n">
        <x:v>0</x:v>
      </x:c>
      <x:c r="D3295" s="166" t="str">
        <x:v>BAYCAP</x:v>
      </x:c>
      <x:c r="E3295" s="166" t="str">
        <x:f>IFERROR(INDEX('Classif Gestoras'!$H$6:$H$462,MATCH(D3295,'Classif Gestoras'!$A$6:$A$462,0)),"Não classificada")</x:f>
        <x:v>Independente</x:v>
      </x:c>
      <x:c r="F3295" s="166" t="str">
        <x:v>Limine Trust Distribuidora de Titulos e Valores Mobiliá</x:v>
      </x:c>
      <x:c r="G3295" s="166" t="str">
        <x:v>Não identificado</x:v>
      </x:c>
      <x:c r="H3295" s="166" t="str">
        <x:v>Financeiro</x:v>
      </x:c>
      <x:c r="I3295" s="166" t="str">
        <x:v>Crédito Imobiliário</x:v>
      </x:c>
      <x:c r="J3295" s="166" t="str">
        <x:v>CI</x:v>
      </x:c>
      <x:c r="K3295" s="172"/>
      <x:c r="L3295" s="185" t="str">
        <x:v>Não classificado</x:v>
      </x:c>
    </x:row>
    <x:row r="3296">
      <x:c r="A3296" s="175" t="str">
        <x:v>57.259.989/0001-70</x:v>
      </x:c>
      <x:c r="B3296" s="166" t="str">
        <x:v>CNPJ 57259989000170</x:v>
      </x:c>
      <x:c r="C3296" s="188" t="n">
        <x:v>0</x:v>
      </x:c>
      <x:c r="D3296" s="166" t="str">
        <x:v>OPEA GESTORA DE RECURSOS</x:v>
      </x:c>
      <x:c r="E3296" s="166" t="str">
        <x:f>IFERROR(INDEX('Classif Gestoras'!$H$6:$H$462,MATCH(D3296,'Classif Gestoras'!$A$6:$A$462,0)),"Não classificada")</x:f>
        <x:v>Independente</x:v>
      </x:c>
      <x:c r="F3296" s="166" t="str">
        <x:v>Oliveira Trust DTVM</x:v>
      </x:c>
      <x:c r="G3296" s="166" t="str">
        <x:v>Não identificado</x:v>
      </x:c>
      <x:c r="H3296" s="166" t="str">
        <x:v>Agro, Indústria e Comércio</x:v>
      </x:c>
      <x:c r="I3296" s="166" t="str">
        <x:v>Não se aplica</x:v>
      </x:c>
      <x:c r="J3296" s="166" t="str">
        <x:v>CI</x:v>
      </x:c>
      <x:c r="K3296" s="172"/>
      <x:c r="L3296" s="185" t="str">
        <x:v>Não classificado</x:v>
      </x:c>
    </x:row>
    <x:row r="3297">
      <x:c r="A3297" s="175" t="str">
        <x:v>60.493.763/0001-43</x:v>
      </x:c>
      <x:c r="B3297" s="166" t="str">
        <x:v>CLM II FUNDO DE INVESTIMENTO EM DIREITOS CREDITÓRIOS MULTISSETORIAL</x:v>
      </x:c>
      <x:c r="C3297" s="188" t="n">
        <x:v>0</x:v>
      </x:c>
      <x:c r="D3297" s="166" t="str">
        <x:v>OURO PRETO INVESTIMENTOS</x:v>
      </x:c>
      <x:c r="E3297" s="166" t="str">
        <x:f>IFERROR(INDEX('Classif Gestoras'!$H$6:$H$462,MATCH(D3297,'Classif Gestoras'!$A$6:$A$462,0)),"Não classificada")</x:f>
        <x:v>Independente</x:v>
      </x:c>
      <x:c r="F3297" s="166" t="str">
        <x:v>Limine Trust Distribuidora de Titulos e Valores Mobiliá</x:v>
      </x:c>
      <x:c r="G3297" s="166" t="str">
        <x:v>LIMINE TRUST DISTRIBUIDORA DE TITULOS E VALORES MOBILIARIOS LTDA.</x:v>
      </x:c>
      <x:c r="H3297" s="166" t="str">
        <x:v>Fomento Mercantil</x:v>
      </x:c>
      <x:c r="I3297" s="166" t="str">
        <x:v>Fomento Mercantil</x:v>
      </x:c>
      <x:c r="J3297" s="166" t="str">
        <x:v>CI</x:v>
      </x:c>
      <x:c r="K3297" s="172" t="n">
        <x:v>3</x:v>
      </x:c>
      <x:c r="L3297" s="185" t="str">
        <x:v>Não classificado</x:v>
      </x:c>
    </x:row>
    <x:row r="3298">
      <x:c r="A3298" s="175" t="str">
        <x:v>57.679.175/0001-94</x:v>
      </x:c>
      <x:c r="B3298" s="166" t="str">
        <x:v>ZANDVOORT FUNDO DE INVESTIMENTO EM DIREITOS CREDITÓRIOS NÃO PADRONIZADOS</x:v>
      </x:c>
      <x:c r="C3298" s="188" t="n">
        <x:v>0</x:v>
      </x:c>
      <x:c r="D3298" s="166" t="str">
        <x:v>Reag Jus</x:v>
      </x:c>
      <x:c r="E3298" s="166" t="str">
        <x:f>IFERROR(INDEX('Classif Gestoras'!$H$6:$H$462,MATCH(D3298,'Classif Gestoras'!$A$6:$A$462,0)),"Não classificada")</x:f>
        <x:v>Independente</x:v>
      </x:c>
      <x:c r="F3298" s="166" t="str">
        <x:v>REAG DTVM</x:v>
      </x:c>
      <x:c r="G3298" s="166" t="str">
        <x:v>REAG TRUST DISTRIBUIDORA DE TITULOS E VALORES MOBILIARIOS S.A.</x:v>
      </x:c>
      <x:c r="H3298" s="166" t="str">
        <x:v>Outros</x:v>
      </x:c>
      <x:c r="I3298" s="166" t="str">
        <x:v>Multicarteira Outros</x:v>
      </x:c>
      <x:c r="J3298" s="166" t="str">
        <x:v>CI</x:v>
      </x:c>
      <x:c r="K3298" s="172" t="n">
        <x:v>1</x:v>
      </x:c>
      <x:c r="L3298" s="185" t="str">
        <x:v>Não classificado</x:v>
      </x:c>
    </x:row>
    <x:row r="3299">
      <x:c r="A3299" s="175" t="str">
        <x:v>36.977.475/0001-80</x:v>
      </x:c>
      <x:c r="B3299" s="166" t="str">
        <x:v>CNPJ 36977475000180</x:v>
      </x:c>
      <x:c r="C3299" s="188" t="n">
        <x:v>0</x:v>
      </x:c>
      <x:c r="D3299" s="166" t="str">
        <x:v>Tyr Gestao de Recursos Ltda</x:v>
      </x:c>
      <x:c r="E3299" s="166" t="str">
        <x:f>IFERROR(INDEX('Classif Gestoras'!$H$6:$H$462,MATCH(D3299,'Classif Gestoras'!$A$6:$A$462,0)),"Não classificada")</x:f>
        <x:v>Independente</x:v>
      </x:c>
      <x:c r="F3299" s="166" t="str">
        <x:v>Intra Investimentos Distribuidora de Títulos e Valores Mobiliários LTDA.</x:v>
      </x:c>
      <x:c r="G3299" s="166" t="str">
        <x:v>Não identificado</x:v>
      </x:c>
      <x:c r="H3299" s="166" t="str">
        <x:v>Fomento Mercantil</x:v>
      </x:c>
      <x:c r="I3299" s="166" t="str">
        <x:v>Fomento Mercantil</x:v>
      </x:c>
      <x:c r="J3299" s="166" t="str">
        <x:v>CI</x:v>
      </x:c>
      <x:c r="K3299" s="172"/>
      <x:c r="L3299" s="185" t="str">
        <x:v>Não classificado</x:v>
      </x:c>
    </x:row>
    <x:row r="3300">
      <x:c r="A3300" s="175" t="str">
        <x:v>42.246.784/0001-82</x:v>
      </x:c>
      <x:c r="B3300" s="166" t="str">
        <x:v>CNPJ 42246784000182</x:v>
      </x:c>
      <x:c r="C3300" s="188" t="n">
        <x:v>0</x:v>
      </x:c>
      <x:c r="D3300" s="166" t="str">
        <x:v>TAG Investimentos</x:v>
      </x:c>
      <x:c r="E3300" s="166" t="str">
        <x:f>IFERROR(INDEX('Classif Gestoras'!$H$6:$H$462,MATCH(D3300,'Classif Gestoras'!$A$6:$A$462,0)),"Não classificada")</x:f>
        <x:v>Independente</x:v>
      </x:c>
      <x:c r="F3300" s="166" t="str">
        <x:v>VÓRTX DTVM</x:v>
      </x:c>
      <x:c r="G3300" s="166" t="str">
        <x:v>Não identificado</x:v>
      </x:c>
      <x:c r="H3300" s="166" t="str">
        <x:v>Outros</x:v>
      </x:c>
      <x:c r="I3300" s="166" t="str">
        <x:v>Multicarteira Outros</x:v>
      </x:c>
      <x:c r="J3300" s="166" t="str">
        <x:v>CI</x:v>
      </x:c>
      <x:c r="K3300" s="172"/>
      <x:c r="L3300" s="185" t="str">
        <x:v>Não classificado</x:v>
      </x:c>
    </x:row>
    <x:row r="3301">
      <x:c r="A3301" s="175" t="str">
        <x:v>57.268.846/0001-24</x:v>
      </x:c>
      <x:c r="B3301" s="166" t="str">
        <x:v>FANGIO FUNDO DE INVESTIMENTO EM DIREITOS CREDITÓRIOS</x:v>
      </x:c>
      <x:c r="C3301" s="188" t="n">
        <x:v>0</x:v>
      </x:c>
      <x:c r="D3301" s="166" t="str">
        <x:v>Reag Jus</x:v>
      </x:c>
      <x:c r="E3301" s="166" t="str">
        <x:f>IFERROR(INDEX('Classif Gestoras'!$H$6:$H$462,MATCH(D3301,'Classif Gestoras'!$A$6:$A$462,0)),"Não classificada")</x:f>
        <x:v>Independente</x:v>
      </x:c>
      <x:c r="F3301" s="166" t="str">
        <x:v>REAG DTVM</x:v>
      </x:c>
      <x:c r="G3301" s="166" t="str">
        <x:v>REAG TRUST DISTRIBUIDORA DE TITULOS E VALORES MOBILIARIOS S.A.</x:v>
      </x:c>
      <x:c r="H3301" s="166" t="str">
        <x:v>Outros</x:v>
      </x:c>
      <x:c r="I3301" s="166" t="str">
        <x:v>Multicarteira Outros</x:v>
      </x:c>
      <x:c r="J3301" s="166" t="str">
        <x:v>CI</x:v>
      </x:c>
      <x:c r="K3301" s="172" t="n">
        <x:v>1</x:v>
      </x:c>
      <x:c r="L3301" s="185" t="str">
        <x:v>Não classificado</x:v>
      </x:c>
    </x:row>
    <x:row r="3302">
      <x:c r="A3302" s="175" t="str">
        <x:v>37.036.208/0001-70</x:v>
      </x:c>
      <x:c r="B3302" s="166" t="str">
        <x:v>UNIQUE PRIME FUNDO DE INVESTIMENTO EM DIREITOS CREDITÓRIOS - RESPONSABILIDADE LIMITADA</x:v>
      </x:c>
      <x:c r="C3302" s="188" t="n">
        <x:v>0</x:v>
      </x:c>
      <x:c r="D3302" s="166" t="str">
        <x:v>Artesanal Investimentos</x:v>
      </x:c>
      <x:c r="E3302" s="166" t="str">
        <x:f>IFERROR(INDEX('Classif Gestoras'!$H$6:$H$462,MATCH(D3302,'Classif Gestoras'!$A$6:$A$462,0)),"Não classificada")</x:f>
        <x:v>Independente</x:v>
      </x:c>
      <x:c r="F3302" s="166" t="str">
        <x:v>Singulare</x:v>
      </x:c>
      <x:c r="G3302" s="166" t="str">
        <x:v>QI CORRETORA DE TÍTULOS E VALORES MOBILIÁRIOS S.A.</x:v>
      </x:c>
      <x:c r="H3302" s="166" t="str">
        <x:v>Outros</x:v>
      </x:c>
      <x:c r="I3302" s="166" t="str">
        <x:v>Fomento Mercantil</x:v>
      </x:c>
      <x:c r="J3302" s="166" t="str">
        <x:v>CI</x:v>
      </x:c>
      <x:c r="K3302" s="172" t="n">
        <x:v>0</x:v>
      </x:c>
      <x:c r="L3302" s="185" t="str">
        <x:v>Não classificado</x:v>
      </x:c>
    </x:row>
    <x:row r="3303">
      <x:c r="A3303" s="175" t="str">
        <x:v>42.357.817/0001-61</x:v>
      </x:c>
      <x:c r="B3303" s="166" t="str">
        <x:v>CONCRETO FUNDO DE INVESTIMENTO EM DIREITOS CREDITÓRIOS NÃO PADRONIZADOS RESP LIMITADA</x:v>
      </x:c>
      <x:c r="C3303" s="188" t="n">
        <x:v>0</x:v>
      </x:c>
      <x:c r="D3303" s="166" t="str">
        <x:v>SMART AGRO INVESTIMENTOS LTDA.</x:v>
      </x:c>
      <x:c r="E3303" s="166" t="str">
        <x:f>IFERROR(INDEX('Classif Gestoras'!$H$6:$H$462,MATCH(D3303,'Classif Gestoras'!$A$6:$A$462,0)),"Não classificada")</x:f>
        <x:v>Independente</x:v>
      </x:c>
      <x:c r="F3303" s="166" t="str">
        <x:v>SEFER DTVM</x:v>
      </x:c>
      <x:c r="G3303" s="166" t="str">
        <x:v>ID CORRETORA DE TITULOS E VALORES MOBILIARIOS S.A.</x:v>
      </x:c>
      <x:c r="H3303" s="166" t="str">
        <x:v>Fomento Mercantil</x:v>
      </x:c>
      <x:c r="I3303" s="166" t="str">
        <x:v>Fomento Mercantil</x:v>
      </x:c>
      <x:c r="J3303" s="166" t="str">
        <x:v>CI</x:v>
      </x:c>
      <x:c r="K3303" s="172" t="n">
        <x:v>18</x:v>
      </x:c>
      <x:c r="L3303" s="185" t="str">
        <x:v>Não classificado</x:v>
      </x:c>
    </x:row>
    <x:row r="3304">
      <x:c r="A3304" s="175" t="str">
        <x:v>64.988.177/0001-20</x:v>
      </x:c>
      <x:c r="B3304" s="166" t="str">
        <x:v>ALGARVE HANOVER FUNDO DE INVESTIMENTO EM DIREITOS CREDITÓRIOS RESPONSABILIDADE LIMITADA</x:v>
      </x:c>
      <x:c r="C3304" s="188" t="n">
        <x:v>0</x:v>
      </x:c>
      <x:c r="D3304" s="166" t="str">
        <x:v>Algarve Capital</x:v>
      </x:c>
      <x:c r="E3304" s="166" t="str">
        <x:f>IFERROR(INDEX('Classif Gestoras'!$H$6:$H$462,MATCH(D3304,'Classif Gestoras'!$A$6:$A$462,0)),"Não classificada")</x:f>
        <x:v>Independente</x:v>
      </x:c>
      <x:c r="F3304" s="166" t="str">
        <x:v>LIONS DTVM</x:v>
      </x:c>
      <x:c r="G3304" s="166" t="str">
        <x:v>LIONS TRUST DISTRIBUIDORA DE TÍTULOS E VALORES MOBILIÁRIOS LTDA.</x:v>
      </x:c>
      <x:c r="H3304" s="166" t="str">
        <x:v>Outros</x:v>
      </x:c>
      <x:c r="I3304" s="166" t="str">
        <x:v>Multicarteira Outros</x:v>
      </x:c>
      <x:c r="J3304" s="166" t="str">
        <x:v>CI</x:v>
      </x:c>
      <x:c r="K3304" s="172" t="n">
        <x:v>2</x:v>
      </x:c>
      <x:c r="L3304" s="185" t="str">
        <x:v>Não classificado</x:v>
      </x:c>
    </x:row>
    <x:row r="3305">
      <x:c r="A3305" s="175" t="str">
        <x:v>14.481.752/0001-26</x:v>
      </x:c>
      <x:c r="B3305" s="166" t="str">
        <x:v>CNPJ 14481752000126</x:v>
      </x:c>
      <x:c r="C3305" s="188" t="n">
        <x:v>0</x:v>
      </x:c>
      <x:c r="D3305" s="166" t="str">
        <x:v>PMFO ESPORTES, ARTES E ENTRETENIMENTO</x:v>
      </x:c>
      <x:c r="E3305" s="166" t="str">
        <x:f>IFERROR(INDEX('Classif Gestoras'!$H$6:$H$462,MATCH(D3305,'Classif Gestoras'!$A$6:$A$462,0)),"Não classificada")</x:f>
        <x:v>Independente</x:v>
      </x:c>
      <x:c r="F3305" s="166" t="str">
        <x:v>Singulare</x:v>
      </x:c>
      <x:c r="G3305" s="166" t="str">
        <x:v>Não identificado</x:v>
      </x:c>
      <x:c r="H3305" s="166" t="str">
        <x:v>Outros</x:v>
      </x:c>
      <x:c r="I3305" s="166" t="str">
        <x:v>Não se aplica</x:v>
      </x:c>
      <x:c r="J3305" s="166" t="str">
        <x:v>CI</x:v>
      </x:c>
      <x:c r="K3305" s="172"/>
      <x:c r="L3305" s="185" t="str">
        <x:v>Não classificado</x:v>
      </x:c>
    </x:row>
    <x:row r="3306">
      <x:c r="A3306" s="175" t="str">
        <x:v>52.609.670/0001-03</x:v>
      </x:c>
      <x:c r="B3306" s="166" t="str">
        <x:v>IRÍDIO FUNDO DE INVESTIMENTO EM DIREITOS CREDITÓRIOS</x:v>
      </x:c>
      <x:c r="C3306" s="188" t="n">
        <x:v>0</x:v>
      </x:c>
      <x:c r="D3306" s="166" t="str">
        <x:v>Reag Jus</x:v>
      </x:c>
      <x:c r="E3306" s="166" t="str">
        <x:f>IFERROR(INDEX('Classif Gestoras'!$H$6:$H$462,MATCH(D3306,'Classif Gestoras'!$A$6:$A$462,0)),"Não classificada")</x:f>
        <x:v>Independente</x:v>
      </x:c>
      <x:c r="F3306" s="166" t="str">
        <x:v>REAG DTVM</x:v>
      </x:c>
      <x:c r="G3306" s="166" t="str">
        <x:v>REAG TRUST DISTRIBUIDORA DE TITULOS E VALORES MOBILIARIOS S.A.</x:v>
      </x:c>
      <x:c r="H3306" s="166" t="str">
        <x:v>Outros</x:v>
      </x:c>
      <x:c r="I3306" s="166" t="str">
        <x:v>Multicarteira Outros</x:v>
      </x:c>
      <x:c r="J3306" s="166" t="str">
        <x:v>CI</x:v>
      </x:c>
      <x:c r="K3306" s="172" t="n">
        <x:v>1</x:v>
      </x:c>
      <x:c r="L3306" s="185" t="str">
        <x:v>Não classificado</x:v>
      </x:c>
    </x:row>
    <x:row r="3307">
      <x:c r="A3307" s="175" t="str">
        <x:v>57.028.406/0001-08</x:v>
      </x:c>
      <x:c r="B3307" s="166" t="str">
        <x:v>IS GREEN SOLFÁCIL VI FUNDO DE INVESTIMENTO EM DIREITOS CREDITÓRIOS RESPONSABILIDADE LIMITADA</x:v>
      </x:c>
      <x:c r="C3307" s="188" t="n">
        <x:v>0</x:v>
      </x:c>
      <x:c r="D3307" s="166" t="str">
        <x:v>Régia Capital Ltda</x:v>
      </x:c>
      <x:c r="E3307" s="166" t="str">
        <x:f>IFERROR(INDEX('Classif Gestoras'!$H$6:$H$462,MATCH(D3307,'Classif Gestoras'!$A$6:$A$462,0)),"Não classificada")</x:f>
        <x:v>Independente</x:v>
      </x:c>
      <x:c r="F3307" s="166" t="str">
        <x:v>Limine Trust Distribuidora de Titulos e Valores Mobiliá</x:v>
      </x:c>
      <x:c r="G3307" s="166" t="str">
        <x:v>LIMINE TRUST DISTRIBUIDORA DE TITULOS E VALORES MOBILIARIOS LTDA.</x:v>
      </x:c>
      <x:c r="H3307" s="166" t="str">
        <x:v>Financeiro</x:v>
      </x:c>
      <x:c r="I3307" s="166" t="str">
        <x:v>Crédito Pessoal</x:v>
      </x:c>
      <x:c r="J3307" s="166" t="str">
        <x:v>CI</x:v>
      </x:c>
      <x:c r="K3307" s="172" t="n">
        <x:v>13</x:v>
      </x:c>
      <x:c r="L3307" s="185" t="str">
        <x:v>Não classificado</x:v>
      </x:c>
    </x:row>
    <x:row r="3308">
      <x:c r="A3308" s="175" t="str">
        <x:v>43.809.819/0001-07</x:v>
      </x:c>
      <x:c r="B3308" s="166" t="str">
        <x:v>SARAFINA FUNDO DE INVESTIMENTO EM DIREITOS CREDITÓRIOS NÃO PADRONIZADOS</x:v>
      </x:c>
      <x:c r="C3308" s="188" t="n">
        <x:v>0</x:v>
      </x:c>
      <x:c r="D3308" s="166" t="str">
        <x:v>Reag Administradora de Recursos Ltda</x:v>
      </x:c>
      <x:c r="E3308" s="166" t="str">
        <x:f>IFERROR(INDEX('Classif Gestoras'!$H$6:$H$462,MATCH(D3308,'Classif Gestoras'!$A$6:$A$462,0)),"Não classificada")</x:f>
        <x:v>Independente</x:v>
      </x:c>
      <x:c r="F3308" s="166" t="str">
        <x:v>REAG DTVM</x:v>
      </x:c>
      <x:c r="G3308" s="166" t="str">
        <x:v>REAG TRUST DISTRIBUIDORA DE TITULOS E VALORES MOBILIARIOS S.A.</x:v>
      </x:c>
      <x:c r="H3308" s="166" t="str">
        <x:v>Fomento Mercantil</x:v>
      </x:c>
      <x:c r="I3308" s="166" t="str">
        <x:v>Fomento Mercantil</x:v>
      </x:c>
      <x:c r="J3308" s="166" t="str">
        <x:v>CI</x:v>
      </x:c>
      <x:c r="K3308" s="172" t="n">
        <x:v>1</x:v>
      </x:c>
      <x:c r="L3308" s="185" t="str">
        <x:v>Não classificado</x:v>
      </x:c>
    </x:row>
    <x:row r="3309">
      <x:c r="A3309" s="175" t="str">
        <x:v>12.138.813/0001-21</x:v>
      </x:c>
      <x:c r="B3309" s="166" t="str">
        <x:v>FUNDO DE INVESTIMENTO EM DIREITOS CREDITÓRIOS MULTISETORIAL MASTER III</x:v>
      </x:c>
      <x:c r="C3309" s="188" t="n">
        <x:v>0</x:v>
      </x:c>
      <x:c r="D3309" s="166" t="str">
        <x:v>Plural</x:v>
      </x:c>
      <x:c r="E3309" s="166" t="str">
        <x:f>IFERROR(INDEX('Classif Gestoras'!$H$6:$H$462,MATCH(D3309,'Classif Gestoras'!$A$6:$A$462,0)),"Não classificada")</x:f>
        <x:v>Ligada a banco</x:v>
      </x:c>
      <x:c r="F3309" s="166" t="str">
        <x:v>Genial Investimentos Corretora de Valores Mobiliários S.A.</x:v>
      </x:c>
      <x:c r="G3309" s="166" t="str">
        <x:v>BANCO GENIAL S.A.</x:v>
      </x:c>
      <x:c r="H3309" s="166" t="str">
        <x:v>Outros</x:v>
      </x:c>
      <x:c r="I3309" s="166" t="str">
        <x:v>Multicarteira Outros</x:v>
      </x:c>
      <x:c r="J3309" s="166" t="str">
        <x:v>CI</x:v>
      </x:c>
      <x:c r="K3309" s="172" t="n">
        <x:v>50</x:v>
      </x:c>
      <x:c r="L3309" s="185" t="str">
        <x:v>Não classificado</x:v>
      </x:c>
    </x:row>
    <x:row r="3310">
      <x:c r="A3310" s="175" t="str">
        <x:v>52.635.689/0001-24</x:v>
      </x:c>
      <x:c r="B3310" s="166" t="str">
        <x:v>CNPJ 52635689000124</x:v>
      </x:c>
      <x:c r="C3310" s="188" t="n">
        <x:v>0</x:v>
      </x:c>
      <x:c r="D3310" s="166" t="str">
        <x:v>IDGR</x:v>
      </x:c>
      <x:c r="E3310" s="166" t="str">
        <x:f>IFERROR(INDEX('Classif Gestoras'!$H$6:$H$462,MATCH(D3310,'Classif Gestoras'!$A$6:$A$462,0)),"Não classificada")</x:f>
        <x:v>Independente</x:v>
      </x:c>
      <x:c r="F3310" s="166" t="str">
        <x:v>ID Corretora de Títulos e Valores Mobiliários S.A.</x:v>
      </x:c>
      <x:c r="G3310" s="166" t="str">
        <x:v>Não identificado</x:v>
      </x:c>
      <x:c r="H3310" s="166" t="str">
        <x:v>Outros</x:v>
      </x:c>
      <x:c r="I3310" s="166" t="str">
        <x:v>Multicarteira Outros</x:v>
      </x:c>
      <x:c r="J3310" s="166" t="str">
        <x:v>CI</x:v>
      </x:c>
      <x:c r="K3310" s="172"/>
      <x:c r="L3310" s="185" t="str">
        <x:v>Não classificado</x:v>
      </x:c>
    </x:row>
    <x:row r="3311">
      <x:c r="A3311" s="175" t="str">
        <x:v>43.809.891/0001-34</x:v>
      </x:c>
      <x:c r="B3311" s="166" t="str">
        <x:v>ENGELBERG 41 FUNDO DE INVESTIMENTO EM DIREITOS CREDITÓRIOS NÃO-PADRONIZADOS</x:v>
      </x:c>
      <x:c r="C3311" s="188" t="n">
        <x:v>0</x:v>
      </x:c>
      <x:c r="D3311" s="166" t="str">
        <x:v>Reag Administradora de Recursos Ltda</x:v>
      </x:c>
      <x:c r="E3311" s="166" t="str">
        <x:f>IFERROR(INDEX('Classif Gestoras'!$H$6:$H$462,MATCH(D3311,'Classif Gestoras'!$A$6:$A$462,0)),"Não classificada")</x:f>
        <x:v>Independente</x:v>
      </x:c>
      <x:c r="F3311" s="166" t="str">
        <x:v>REAG DTVM</x:v>
      </x:c>
      <x:c r="G3311" s="166" t="str">
        <x:v>REAG TRUST DISTRIBUIDORA DE TITULOS E VALORES MOBILIARIOS S.A.</x:v>
      </x:c>
      <x:c r="H3311" s="166" t="str">
        <x:v>Outros</x:v>
      </x:c>
      <x:c r="I3311" s="166" t="str">
        <x:v>Recuperação</x:v>
      </x:c>
      <x:c r="J3311" s="166" t="str">
        <x:v>CI</x:v>
      </x:c>
      <x:c r="K3311" s="172" t="n">
        <x:v>6</x:v>
      </x:c>
      <x:c r="L3311" s="185" t="str">
        <x:v>Não classificado</x:v>
      </x:c>
    </x:row>
    <x:row r="3312">
      <x:c r="A3312" s="175" t="str">
        <x:v>52.200.745/0001-06</x:v>
      </x:c>
      <x:c r="B3312" s="166" t="str">
        <x:v>AKIREDE FUNDO DE INVESTIMENTO EM DIREITOS CREDITÓRIOS</x:v>
      </x:c>
      <x:c r="C3312" s="188" t="n">
        <x:v>0</x:v>
      </x:c>
      <x:c r="D3312" s="166" t="str">
        <x:v>TERCON ASSET MANAGEMENT</x:v>
      </x:c>
      <x:c r="E3312" s="166" t="str">
        <x:f>IFERROR(INDEX('Classif Gestoras'!$H$6:$H$462,MATCH(D3312,'Classif Gestoras'!$A$6:$A$462,0)),"Não classificada")</x:f>
        <x:v>Independente</x:v>
      </x:c>
      <x:c r="F3312" s="166" t="str">
        <x:v>Limine Trust Distribuidora de Titulos e Valores Mobiliá</x:v>
      </x:c>
      <x:c r="G3312" s="166" t="str">
        <x:v>LIMINE TRUST DISTRIBUIDORA DE TITULOS E VALORES MOBILIARIOS LTDA.</x:v>
      </x:c>
      <x:c r="H3312" s="166" t="str">
        <x:v>Outros</x:v>
      </x:c>
      <x:c r="I3312" s="166" t="str">
        <x:v>Multicarteira Outros</x:v>
      </x:c>
      <x:c r="J3312" s="166" t="str">
        <x:v>CI</x:v>
      </x:c>
      <x:c r="K3312" s="172" t="n">
        <x:v>9</x:v>
      </x:c>
      <x:c r="L3312" s="185" t="str">
        <x:v>Não classificado</x:v>
      </x:c>
    </x:row>
    <x:row r="3313">
      <x:c r="A3313" s="175" t="str">
        <x:v>43.866.371/0001-63</x:v>
      </x:c>
      <x:c r="B3313" s="166" t="str">
        <x:v>CNPJ 43866371000163</x:v>
      </x:c>
      <x:c r="C3313" s="188" t="n">
        <x:v>0</x:v>
      </x:c>
      <x:c r="D3313" s="166" t="str">
        <x:v>Milênio Capital</x:v>
      </x:c>
      <x:c r="E3313" s="166" t="str">
        <x:f>IFERROR(INDEX('Classif Gestoras'!$H$6:$H$462,MATCH(D3313,'Classif Gestoras'!$A$6:$A$462,0)),"Não classificada")</x:f>
        <x:v>Independente</x:v>
      </x:c>
      <x:c r="F3313" s="166" t="str">
        <x:v>VÓRTX DTVM</x:v>
      </x:c>
      <x:c r="G3313" s="166" t="str">
        <x:v>Não identificado</x:v>
      </x:c>
      <x:c r="H3313" s="166" t="str">
        <x:v>Agro, Indústria e Comércio</x:v>
      </x:c>
      <x:c r="I3313" s="166" t="str">
        <x:v>Recebíveis Comerciais</x:v>
      </x:c>
      <x:c r="J3313" s="166" t="str">
        <x:v>CI</x:v>
      </x:c>
      <x:c r="K3313" s="172"/>
      <x:c r="L3313" s="185" t="str">
        <x:v>Não classificado</x:v>
      </x:c>
    </x:row>
    <x:row r="3314">
      <x:c r="A3314" s="175" t="str">
        <x:v>43.946.439/0001-14</x:v>
      </x:c>
      <x:c r="B3314" s="166" t="str">
        <x:v>ATIVOS JUDICIAIS PEC - I - FUNDO DE INVESTIMENTO EM DIREITOS CREDITÓRIOS E DE RESP LIMITADA</x:v>
      </x:c>
      <x:c r="C3314" s="188" t="n">
        <x:v>0</x:v>
      </x:c>
      <x:c r="D3314" s="166" t="str">
        <x:v>Iron Capital</x:v>
      </x:c>
      <x:c r="E3314" s="166" t="str">
        <x:f>IFERROR(INDEX('Classif Gestoras'!$H$6:$H$462,MATCH(D3314,'Classif Gestoras'!$A$6:$A$462,0)),"Não classificada")</x:f>
        <x:v>Independente</x:v>
      </x:c>
      <x:c r="F3314" s="166" t="str">
        <x:v>TRUSTEE DTVM</x:v>
      </x:c>
      <x:c r="G3314" s="166" t="str">
        <x:v>ID CORRETORA DE TITULOS E VALORES MOBILIARIOS S.A.</x:v>
      </x:c>
      <x:c r="H3314" s="166" t="str">
        <x:v>Agro, Indústria e Comércio</x:v>
      </x:c>
      <x:c r="I3314" s="166" t="str">
        <x:v>Crédito Corporativo</x:v>
      </x:c>
      <x:c r="J3314" s="166" t="str">
        <x:v>CI</x:v>
      </x:c>
      <x:c r="K3314" s="172" t="n">
        <x:v>1</x:v>
      </x:c>
      <x:c r="L3314" s="185" t="str">
        <x:v>Não classificado</x:v>
      </x:c>
    </x:row>
    <x:row r="3315">
      <x:c r="A3315" s="175" t="str">
        <x:v>55.720.253/0001-21</x:v>
      </x:c>
      <x:c r="B3315" s="166" t="str">
        <x:v>ITAL FUNDO DE INVESTIMENTO EM DIREITOS CREDITÓRIOS NÃO PADRONIZADOS RESPONSABILIDADE ILIMITADA</x:v>
      </x:c>
      <x:c r="C3315" s="188" t="n">
        <x:v>0</x:v>
      </x:c>
      <x:c r="D3315" s="166" t="str">
        <x:v>Reag Administradora de Recursos Ltda</x:v>
      </x:c>
      <x:c r="E3315" s="166" t="str">
        <x:f>IFERROR(INDEX('Classif Gestoras'!$H$6:$H$462,MATCH(D3315,'Classif Gestoras'!$A$6:$A$462,0)),"Não classificada")</x:f>
        <x:v>Independente</x:v>
      </x:c>
      <x:c r="F3315" s="166" t="str">
        <x:v>REAG DTVM</x:v>
      </x:c>
      <x:c r="G3315" s="166" t="str">
        <x:v>REAG TRUST DISTRIBUIDORA DE TITULOS E VALORES MOBILIARIOS S.A.</x:v>
      </x:c>
      <x:c r="H3315" s="166" t="str">
        <x:v>Outros</x:v>
      </x:c>
      <x:c r="I3315" s="166" t="str">
        <x:v>Multicarteira Outros</x:v>
      </x:c>
      <x:c r="J3315" s="166" t="str">
        <x:v>CI</x:v>
      </x:c>
      <x:c r="K3315" s="172" t="n">
        <x:v>1</x:v>
      </x:c>
      <x:c r="L3315" s="185" t="str">
        <x:v>Não classificado</x:v>
      </x:c>
    </x:row>
    <x:row r="3316">
      <x:c r="A3316" s="175" t="str">
        <x:v>44.124.465/0001-20</x:v>
      </x:c>
      <x:c r="B3316" s="166" t="str">
        <x:v>CNPJ 44124465000120</x:v>
      </x:c>
      <x:c r="C3316" s="188" t="n">
        <x:v>0</x:v>
      </x:c>
      <x:c r="D3316" s="166" t="str">
        <x:v>Integral Investimentos</x:v>
      </x:c>
      <x:c r="E3316" s="166" t="str">
        <x:f>IFERROR(INDEX('Classif Gestoras'!$H$6:$H$462,MATCH(D3316,'Classif Gestoras'!$A$6:$A$462,0)),"Não classificada")</x:f>
        <x:v>Independente</x:v>
      </x:c>
      <x:c r="F3316" s="166" t="str">
        <x:v>Banco Genial S.A.</x:v>
      </x:c>
      <x:c r="G3316" s="166" t="str">
        <x:v>Não identificado</x:v>
      </x:c>
      <x:c r="H3316" s="166" t="str">
        <x:v>Agro, Indústria e Comércio</x:v>
      </x:c>
      <x:c r="I3316" s="166" t="str">
        <x:v>Recebíveis Comerciais</x:v>
      </x:c>
      <x:c r="J3316" s="166" t="str">
        <x:v>CI</x:v>
      </x:c>
      <x:c r="K3316" s="172"/>
      <x:c r="L3316" s="185" t="str">
        <x:v>Não classificado</x:v>
      </x:c>
    </x:row>
    <x:row r="3317">
      <x:c r="A3317" s="175" t="str">
        <x:v>64.685.957/0001-00</x:v>
      </x:c>
      <x:c r="B3317" s="166" t="str">
        <x:v>MAPLE CAPITAL FUNDO DE INVESTIMENTO EM DIREITOS CREDITORIOS</x:v>
      </x:c>
      <x:c r="C3317" s="188" t="n">
        <x:v>0</x:v>
      </x:c>
      <x:c r="D3317" s="166" t="str">
        <x:v>Fortis Gestora de Recursos LTDA</x:v>
      </x:c>
      <x:c r="E3317" s="166" t="str">
        <x:f>IFERROR(INDEX('Classif Gestoras'!$H$6:$H$462,MATCH(D3317,'Classif Gestoras'!$A$6:$A$462,0)),"Não classificada")</x:f>
        <x:v>Independente</x:v>
      </x:c>
      <x:c r="F3317" s="166" t="str">
        <x:v>ACTUAL DTVM</x:v>
      </x:c>
      <x:c r="G3317" s="166" t="str">
        <x:v>TRUSTEE DISTRIBUIDORA DE TITULOS E VALORES MOBILIARIOS LTDA.</x:v>
      </x:c>
      <x:c r="H3317" s="166" t="str">
        <x:v>Outros</x:v>
      </x:c>
      <x:c r="I3317" s="166" t="str">
        <x:v>Multicarteira Outros</x:v>
      </x:c>
      <x:c r="J3317" s="166" t="str">
        <x:v>CI</x:v>
      </x:c>
      <x:c r="K3317" s="172" t="n">
        <x:v>1</x:v>
      </x:c>
      <x:c r="L3317" s="185" t="str">
        <x:v>Não classificado</x:v>
      </x:c>
    </x:row>
    <x:row r="3318">
      <x:c r="A3318" s="175" t="str">
        <x:v>44.124.617/0001-94</x:v>
      </x:c>
      <x:c r="B3318" s="166" t="str">
        <x:v>CNPJ 44124617000194</x:v>
      </x:c>
      <x:c r="C3318" s="188" t="n">
        <x:v>0</x:v>
      </x:c>
      <x:c r="D3318" s="166" t="str">
        <x:v>GENIAL GESTÃO LTDA.</x:v>
      </x:c>
      <x:c r="E3318" s="166" t="str">
        <x:f>IFERROR(INDEX('Classif Gestoras'!$H$6:$H$462,MATCH(D3318,'Classif Gestoras'!$A$6:$A$462,0)),"Não classificada")</x:f>
        <x:v>Ligada a banco</x:v>
      </x:c>
      <x:c r="F3318" s="166" t="str">
        <x:v>Banco Genial S.A.</x:v>
      </x:c>
      <x:c r="G3318" s="166" t="str">
        <x:v>Não identificado</x:v>
      </x:c>
      <x:c r="H3318" s="166" t="str">
        <x:v>Agro, Indústria e Comércio</x:v>
      </x:c>
      <x:c r="I3318" s="166" t="str">
        <x:v>Recebíveis Comerciais</x:v>
      </x:c>
      <x:c r="J3318" s="166" t="str">
        <x:v>CI</x:v>
      </x:c>
      <x:c r="K3318" s="172"/>
      <x:c r="L3318" s="185" t="str">
        <x:v>Não classificado</x:v>
      </x:c>
    </x:row>
    <x:row r="3319">
      <x:c r="A3319" s="175" t="str">
        <x:v>55.711.612/0001-84</x:v>
      </x:c>
      <x:c r="B3319" s="166" t="str">
        <x:v>TARTUS FUNDO DE INVESTIMENTO EM DIREITOS CREDITÓRIOS NÃO PADRONIZADOS</x:v>
      </x:c>
      <x:c r="C3319" s="188" t="n">
        <x:v>0</x:v>
      </x:c>
      <x:c r="D3319" s="166" t="str">
        <x:v>Reag Jus</x:v>
      </x:c>
      <x:c r="E3319" s="166" t="str">
        <x:f>IFERROR(INDEX('Classif Gestoras'!$H$6:$H$462,MATCH(D3319,'Classif Gestoras'!$A$6:$A$462,0)),"Não classificada")</x:f>
        <x:v>Independente</x:v>
      </x:c>
      <x:c r="F3319" s="166" t="str">
        <x:v>REAG DTVM</x:v>
      </x:c>
      <x:c r="G3319" s="166" t="str">
        <x:v>REAG TRUST DISTRIBUIDORA DE TITULOS E VALORES MOBILIARIOS S.A.</x:v>
      </x:c>
      <x:c r="H3319" s="166" t="str">
        <x:v>Outros</x:v>
      </x:c>
      <x:c r="I3319" s="166" t="str">
        <x:v>Recuperação</x:v>
      </x:c>
      <x:c r="J3319" s="166" t="str">
        <x:v>CI</x:v>
      </x:c>
      <x:c r="K3319" s="172" t="n">
        <x:v>1</x:v>
      </x:c>
      <x:c r="L3319" s="185" t="str">
        <x:v>Não classificado</x:v>
      </x:c>
    </x:row>
    <x:row r="3320">
      <x:c r="A3320" s="175" t="str">
        <x:v>55.691.548/0001-17</x:v>
      </x:c>
      <x:c r="B3320" s="166" t="str">
        <x:v>LIQ FUNDO DE INVESTIMENTO NAS CADEIAS PRODUTIVAS AGROINDUSTRIAIS - FIAGRO - DIREITOS CREDITÓRIOS</x:v>
      </x:c>
      <x:c r="C3320" s="188" t="n">
        <x:v>0</x:v>
      </x:c>
      <x:c r="D3320" s="166" t="str">
        <x:v>ALTAVISTA CAPITAL</x:v>
      </x:c>
      <x:c r="E3320" s="166" t="str">
        <x:f>IFERROR(INDEX('Classif Gestoras'!$H$6:$H$462,MATCH(D3320,'Classif Gestoras'!$A$6:$A$462,0)),"Não classificada")</x:f>
        <x:v>Independente</x:v>
      </x:c>
      <x:c r="F3320" s="166" t="str">
        <x:v>PLANNER CV</x:v>
      </x:c>
      <x:c r="G3320" s="166" t="str">
        <x:v>PLANNER CORRETORA DE VALORES S.A.</x:v>
      </x:c>
      <x:c r="H3320" s="166" t="str">
        <x:v>Agro, Indústria e Comércio</x:v>
      </x:c>
      <x:c r="I3320" s="166" t="str">
        <x:v>Agronegócio</x:v>
      </x:c>
      <x:c r="J3320" s="166" t="str">
        <x:v>CI</x:v>
      </x:c>
      <x:c r="K3320" s="172" t="n">
        <x:v>1</x:v>
      </x:c>
      <x:c r="L3320" s="185" t="str">
        <x:v>Não classificado</x:v>
      </x:c>
    </x:row>
    <x:row r="3321">
      <x:c r="A3321" s="175" t="str">
        <x:v>52.200.741/0001-10</x:v>
      </x:c>
      <x:c r="B3321" s="166" t="str">
        <x:v>NORDE FUNDO DE INVESTIMENTO EM DIREITOS CREDITÓRIOS</x:v>
      </x:c>
      <x:c r="C3321" s="188" t="n">
        <x:v>0</x:v>
      </x:c>
      <x:c r="D3321" s="166" t="str">
        <x:v>Real Investor Asset Management</x:v>
      </x:c>
      <x:c r="E3321" s="166" t="str">
        <x:f>IFERROR(INDEX('Classif Gestoras'!$H$6:$H$462,MATCH(D3321,'Classif Gestoras'!$A$6:$A$462,0)),"Não classificada")</x:f>
        <x:v>Independente</x:v>
      </x:c>
      <x:c r="F3321" s="166" t="str">
        <x:v>Limine Trust Distribuidora de Titulos e Valores Mobiliá</x:v>
      </x:c>
      <x:c r="G3321" s="166" t="str">
        <x:v>LIMINE TRUST DISTRIBUIDORA DE TITULOS E VALORES MOBILIARIOS LTDA.</x:v>
      </x:c>
      <x:c r="H3321" s="166" t="str">
        <x:v>Outros</x:v>
      </x:c>
      <x:c r="I3321" s="166" t="str">
        <x:v>Multicarteira Outros</x:v>
      </x:c>
      <x:c r="J3321" s="166" t="str">
        <x:v>CI</x:v>
      </x:c>
      <x:c r="K3321" s="172" t="n">
        <x:v>1</x:v>
      </x:c>
      <x:c r="L3321" s="185" t="str">
        <x:v>Não classificado</x:v>
      </x:c>
    </x:row>
    <x:row r="3322">
      <x:c r="A3322" s="175" t="str">
        <x:v>44.173.269/0001-45</x:v>
      </x:c>
      <x:c r="B3322" s="166" t="str">
        <x:v>CNPJ 44173269000145</x:v>
      </x:c>
      <x:c r="C3322" s="188" t="n">
        <x:v>0</x:v>
      </x:c>
      <x:c r="D3322" s="166" t="str">
        <x:v>BTG Pactual Asset</x:v>
      </x:c>
      <x:c r="E3322" s="166" t="str">
        <x:f>IFERROR(INDEX('Classif Gestoras'!$H$6:$H$462,MATCH(D3322,'Classif Gestoras'!$A$6:$A$462,0)),"Não classificada")</x:f>
        <x:v>Ligada a banco</x:v>
      </x:c>
      <x:c r="F3322" s="166" t="str">
        <x:v>BTG Pactual Servicos Financeiros S/A DTVM</x:v>
      </x:c>
      <x:c r="G3322" s="166" t="str">
        <x:v>Não identificado</x:v>
      </x:c>
      <x:c r="H3322" s="166" t="str">
        <x:v>Agro, Indústria e Comércio</x:v>
      </x:c>
      <x:c r="I3322" s="166" t="str">
        <x:v>Não se aplica</x:v>
      </x:c>
      <x:c r="J3322" s="166" t="str">
        <x:v>CI</x:v>
      </x:c>
      <x:c r="K3322" s="172"/>
      <x:c r="L3322" s="185" t="str">
        <x:v>Não classificado</x:v>
      </x:c>
    </x:row>
    <x:row r="3323">
      <x:c r="A3323" s="175" t="str">
        <x:v>44.173.416/0001-87</x:v>
      </x:c>
      <x:c r="B3323" s="166" t="str">
        <x:v>CNPJ 44173416000187</x:v>
      </x:c>
      <x:c r="C3323" s="188" t="n">
        <x:v>0</x:v>
      </x:c>
      <x:c r="D3323" s="166" t="str">
        <x:v>BTG Gestora</x:v>
      </x:c>
      <x:c r="E3323" s="166" t="str">
        <x:f>IFERROR(INDEX('Classif Gestoras'!$H$6:$H$462,MATCH(D3323,'Classif Gestoras'!$A$6:$A$462,0)),"Não classificada")</x:f>
        <x:v>Ligada a banco</x:v>
      </x:c>
      <x:c r="F3323" s="166" t="str">
        <x:v>BTG Pactual Servicos Financeiros S/A DTVM</x:v>
      </x:c>
      <x:c r="G3323" s="166" t="str">
        <x:v>Não identificado</x:v>
      </x:c>
      <x:c r="H3323" s="166" t="str">
        <x:v>Agro, Indústria e Comércio</x:v>
      </x:c>
      <x:c r="I3323" s="166" t="str">
        <x:v>Não se aplica</x:v>
      </x:c>
      <x:c r="J3323" s="166" t="str">
        <x:v>CI</x:v>
      </x:c>
      <x:c r="K3323" s="172"/>
      <x:c r="L3323" s="185" t="str">
        <x:v>Não classificado</x:v>
      </x:c>
    </x:row>
    <x:row r="3324">
      <x:c r="A3324" s="175" t="str">
        <x:v>60.395.009/0001-70</x:v>
      </x:c>
      <x:c r="B3324" s="166" t="str">
        <x:v>EC CAPITAL MARKETS FUNDO DE INVESTIMENTO EM DIREITOS CREDITÓRIOS</x:v>
      </x:c>
      <x:c r="C3324" s="188" t="n">
        <x:v>0</x:v>
      </x:c>
      <x:c r="D3324" s="166" t="str">
        <x:v>REAG PORTFOLIO SOLUTIONS</x:v>
      </x:c>
      <x:c r="E3324" s="166" t="str">
        <x:f>IFERROR(INDEX('Classif Gestoras'!$H$6:$H$462,MATCH(D3324,'Classif Gestoras'!$A$6:$A$462,0)),"Não classificada")</x:f>
        <x:v>Independente</x:v>
      </x:c>
      <x:c r="F3324" s="166" t="str">
        <x:v>REAG DTVM</x:v>
      </x:c>
      <x:c r="G3324" s="166" t="str">
        <x:v>REAG TRUST DISTRIBUIDORA DE TITULOS E VALORES MOBILIARIOS S.A.</x:v>
      </x:c>
      <x:c r="H3324" s="166" t="str">
        <x:v>Agro, Indústria e Comércio</x:v>
      </x:c>
      <x:c r="I3324" s="166" t="str">
        <x:v>Crédito Corporativo</x:v>
      </x:c>
      <x:c r="J3324" s="166" t="str">
        <x:v>CI</x:v>
      </x:c>
      <x:c r="K3324" s="172" t="n">
        <x:v>1</x:v>
      </x:c>
      <x:c r="L3324" s="185" t="str">
        <x:v>Não classificado</x:v>
      </x:c>
    </x:row>
    <x:row r="3325">
      <x:c r="A3325" s="175" t="str">
        <x:v>57.076.795/0001-39</x:v>
      </x:c>
      <x:c r="B3325" s="166" t="str">
        <x:v>CNPJ 57076795000139</x:v>
      </x:c>
      <x:c r="C3325" s="188" t="n">
        <x:v>0</x:v>
      </x:c>
      <x:c r="D3325" s="166" t="str">
        <x:v>Éxes</x:v>
      </x:c>
      <x:c r="E3325" s="166" t="str">
        <x:f>IFERROR(INDEX('Classif Gestoras'!$H$6:$H$462,MATCH(D3325,'Classif Gestoras'!$A$6:$A$462,0)),"Não classificada")</x:f>
        <x:v>Independente</x:v>
      </x:c>
      <x:c r="F3325" s="166" t="str">
        <x:v>BTG Pactual Servicos Financeiros S/A DTVM</x:v>
      </x:c>
      <x:c r="G3325" s="166" t="str">
        <x:v>Não identificado</x:v>
      </x:c>
      <x:c r="H3325" s="166" t="str">
        <x:v>Agro, Indústria e Comércio</x:v>
      </x:c>
      <x:c r="I3325" s="166" t="str">
        <x:v>Não se aplica</x:v>
      </x:c>
      <x:c r="J3325" s="166" t="str">
        <x:v>CI</x:v>
      </x:c>
      <x:c r="K3325" s="172"/>
      <x:c r="L3325" s="185" t="str">
        <x:v>Não classificado</x:v>
      </x:c>
    </x:row>
    <x:row r="3326">
      <x:c r="A3326" s="175" t="str">
        <x:v>64.630.838/0001-41</x:v>
      </x:c>
      <x:c r="B3326" s="166" t="str">
        <x:v>MODDE PERFORMANCE FUNDO DE INVESTIMENTO EM DIREITOS CREDITÓRIOS DE RESPONSABILIDADE LIMITADA</x:v>
      </x:c>
      <x:c r="C3326" s="188" t="n">
        <x:v>0</x:v>
      </x:c>
      <x:c r="D3326" s="166" t="str">
        <x:v>OKEAN INVEST</x:v>
      </x:c>
      <x:c r="E3326" s="166" t="str">
        <x:f>IFERROR(INDEX('Classif Gestoras'!$H$6:$H$462,MATCH(D3326,'Classif Gestoras'!$A$6:$A$462,0)),"Não classificada")</x:f>
        <x:v>Independente</x:v>
      </x:c>
      <x:c r="F3326" s="166" t="str">
        <x:v>Singulare</x:v>
      </x:c>
      <x:c r="G3326" s="166" t="str">
        <x:v>Não identificado</x:v>
      </x:c>
      <x:c r="H3326" s="166" t="str">
        <x:v>Fomento Mercantil</x:v>
      </x:c>
      <x:c r="I3326" s="166" t="str">
        <x:v>Fomento Mercantil</x:v>
      </x:c>
      <x:c r="J3326" s="166" t="str">
        <x:v>CI</x:v>
      </x:c>
      <x:c r="K3326" s="172" t="n">
        <x:v>2</x:v>
      </x:c>
      <x:c r="L3326" s="185" t="str">
        <x:v>Não classificado</x:v>
      </x:c>
    </x:row>
    <x:row r="3327">
      <x:c r="A3327" s="175" t="str">
        <x:v>13.509.993/0001-73</x:v>
      </x:c>
      <x:c r="B3327" s="166" t="str">
        <x:v>CNPJ 13509993000173</x:v>
      </x:c>
      <x:c r="C3327" s="188" t="n">
        <x:v>0</x:v>
      </x:c>
      <x:c r="D3327" s="166" t="str">
        <x:v>Polo Capital Gestão de Recurso</x:v>
      </x:c>
      <x:c r="E3327" s="166" t="str">
        <x:f>IFERROR(INDEX('Classif Gestoras'!$H$6:$H$462,MATCH(D3327,'Classif Gestoras'!$A$6:$A$462,0)),"Não classificada")</x:f>
        <x:v>Independente</x:v>
      </x:c>
      <x:c r="F3327" s="166" t="str">
        <x:v>S3 Caceis Brasil Distribuidora de Títulos e Valores Mob</x:v>
      </x:c>
      <x:c r="G3327" s="166" t="str">
        <x:v>Não identificado</x:v>
      </x:c>
      <x:c r="H3327" s="166" t="str">
        <x:v>Outros</x:v>
      </x:c>
      <x:c r="I3327" s="166" t="str">
        <x:v>Multicategoria</x:v>
      </x:c>
      <x:c r="J3327" s="166" t="str">
        <x:v>CI</x:v>
      </x:c>
      <x:c r="K3327" s="172"/>
      <x:c r="L3327" s="185" t="str">
        <x:v>Não classificado</x:v>
      </x:c>
    </x:row>
    <x:row r="3328">
      <x:c r="A3328" s="175" t="str">
        <x:v>60.398.327/0001-95</x:v>
      </x:c>
      <x:c r="B3328" s="166" t="str">
        <x:v>CNPJ 60398327000195</x:v>
      </x:c>
      <x:c r="C3328" s="188" t="n">
        <x:v>0</x:v>
      </x:c>
      <x:c r="D3328" s="166" t="str">
        <x:v>Reag Jus</x:v>
      </x:c>
      <x:c r="E3328" s="166" t="str">
        <x:f>IFERROR(INDEX('Classif Gestoras'!$H$6:$H$462,MATCH(D3328,'Classif Gestoras'!$A$6:$A$462,0)),"Não classificada")</x:f>
        <x:v>Independente</x:v>
      </x:c>
      <x:c r="F3328" s="166" t="str">
        <x:v>REAG DTVM</x:v>
      </x:c>
      <x:c r="G3328" s="166" t="str">
        <x:v>Não identificado</x:v>
      </x:c>
      <x:c r="H3328" s="166" t="str">
        <x:v>Outros</x:v>
      </x:c>
      <x:c r="I3328" s="166" t="str">
        <x:v>Multiestratégia</x:v>
      </x:c>
      <x:c r="J3328" s="166" t="str">
        <x:v>CI</x:v>
      </x:c>
      <x:c r="K3328" s="172"/>
      <x:c r="L3328" s="185" t="str">
        <x:v>Não classificado</x:v>
      </x:c>
    </x:row>
    <x:row r="3329">
      <x:c r="A3329" s="175" t="str">
        <x:v>32.222.848/0001-51</x:v>
      </x:c>
      <x:c r="B3329" s="166" t="str">
        <x:v>CNPJ 32222848000151</x:v>
      </x:c>
      <x:c r="C3329" s="188" t="n">
        <x:v>0</x:v>
      </x:c>
      <x:c r="D3329" s="166" t="str">
        <x:v>ANGÁ ASSET MANAGEMENT</x:v>
      </x:c>
      <x:c r="E3329" s="166" t="str">
        <x:f>IFERROR(INDEX('Classif Gestoras'!$H$6:$H$462,MATCH(D3329,'Classif Gestoras'!$A$6:$A$462,0)),"Não classificada")</x:f>
        <x:v>Independente</x:v>
      </x:c>
      <x:c r="F3329" s="166" t="str">
        <x:v>BTG Pactual Servicos Financeiros S/A DTVM</x:v>
      </x:c>
      <x:c r="G3329" s="166" t="str">
        <x:v>Não identificado</x:v>
      </x:c>
      <x:c r="H3329" s="166" t="str">
        <x:v>Financeiro</x:v>
      </x:c>
      <x:c r="I3329" s="166" t="str">
        <x:v>Crédito Consignado</x:v>
      </x:c>
      <x:c r="J3329" s="166" t="str">
        <x:v>CI</x:v>
      </x:c>
      <x:c r="K3329" s="172"/>
      <x:c r="L3329" s="185" t="str">
        <x:v>Não classificado</x:v>
      </x:c>
    </x:row>
    <x:row r="3330">
      <x:c r="A3330" s="175" t="str">
        <x:v>32.182.678/0001-29</x:v>
      </x:c>
      <x:c r="B3330" s="166" t="str">
        <x:v>CNPJ 32182678000129</x:v>
      </x:c>
      <x:c r="C3330" s="188" t="n">
        <x:v>0</x:v>
      </x:c>
      <x:c r="D3330" s="166" t="str">
        <x:v>Riza Securitização e Carteiras</x:v>
      </x:c>
      <x:c r="E3330" s="166" t="str">
        <x:f>IFERROR(INDEX('Classif Gestoras'!$H$6:$H$462,MATCH(D3330,'Classif Gestoras'!$A$6:$A$462,0)),"Não classificada")</x:f>
        <x:v>Independente</x:v>
      </x:c>
      <x:c r="F3330" s="166" t="str">
        <x:v>OSLO DTVM S. A.</x:v>
      </x:c>
      <x:c r="G3330" s="166" t="str">
        <x:v>Não identificado</x:v>
      </x:c>
      <x:c r="H3330" s="166" t="str">
        <x:v>Agro, Indústria e Comércio</x:v>
      </x:c>
      <x:c r="I3330" s="166" t="str">
        <x:v>Recebíveis Comerciais</x:v>
      </x:c>
      <x:c r="J3330" s="166" t="str">
        <x:v>CI</x:v>
      </x:c>
      <x:c r="K3330" s="172"/>
      <x:c r="L3330" s="185" t="str">
        <x:v>Não classificado</x:v>
      </x:c>
    </x:row>
    <x:row r="3331">
      <x:c r="A3331" s="175" t="str">
        <x:v>32.159.534/0001-51</x:v>
      </x:c>
      <x:c r="B3331" s="166" t="str">
        <x:v>CNPJ 32159534000151</x:v>
      </x:c>
      <x:c r="C3331" s="188" t="n">
        <x:v>0</x:v>
      </x:c>
      <x:c r="D3331" s="166" t="str">
        <x:v>Itau Unibanco</x:v>
      </x:c>
      <x:c r="E3331" s="166" t="str">
        <x:f>IFERROR(INDEX('Classif Gestoras'!$H$6:$H$462,MATCH(D3331,'Classif Gestoras'!$A$6:$A$462,0)),"Não classificada")</x:f>
        <x:v>Ligada a banco</x:v>
      </x:c>
      <x:c r="F3331" s="166" t="str">
        <x:v>INTRAG DIST. DE TÍTU</x:v>
      </x:c>
      <x:c r="G3331" s="166" t="str">
        <x:v>Não identificado</x:v>
      </x:c>
      <x:c r="H3331" s="166" t="str">
        <x:v>Outros</x:v>
      </x:c>
      <x:c r="I3331" s="166" t="str">
        <x:v>Não se aplica</x:v>
      </x:c>
      <x:c r="J3331" s="166" t="str">
        <x:v>CI</x:v>
      </x:c>
      <x:c r="K3331" s="172"/>
      <x:c r="L3331" s="185" t="str">
        <x:v>Não classificado</x:v>
      </x:c>
    </x:row>
    <x:row r="3332">
      <x:c r="A3332" s="175" t="str">
        <x:v>60.399.596/0001-76</x:v>
      </x:c>
      <x:c r="B3332" s="166" t="str">
        <x:v>CNPJ 60399596000176</x:v>
      </x:c>
      <x:c r="C3332" s="188" t="n">
        <x:v>0</x:v>
      </x:c>
      <x:c r="D3332" s="166" t="str">
        <x:v>Reag Jus</x:v>
      </x:c>
      <x:c r="E3332" s="166" t="str">
        <x:f>IFERROR(INDEX('Classif Gestoras'!$H$6:$H$462,MATCH(D3332,'Classif Gestoras'!$A$6:$A$462,0)),"Não classificada")</x:f>
        <x:v>Independente</x:v>
      </x:c>
      <x:c r="F3332" s="166" t="str">
        <x:v>REAG DTVM</x:v>
      </x:c>
      <x:c r="G3332" s="166" t="str">
        <x:v>Não identificado</x:v>
      </x:c>
      <x:c r="H3332" s="166" t="str">
        <x:v>Outros</x:v>
      </x:c>
      <x:c r="I3332" s="166" t="str">
        <x:v>Multiestratégia</x:v>
      </x:c>
      <x:c r="J3332" s="166" t="str">
        <x:v>CI</x:v>
      </x:c>
      <x:c r="K3332" s="172"/>
      <x:c r="L3332" s="185" t="str">
        <x:v>Não classificado</x:v>
      </x:c>
    </x:row>
    <x:row r="3333">
      <x:c r="A3333" s="175" t="str">
        <x:v>44.668.806/0001-28</x:v>
      </x:c>
      <x:c r="B3333" s="166" t="str">
        <x:v>CNPJ 44668806000128</x:v>
      </x:c>
      <x:c r="C3333" s="188" t="n">
        <x:v>0</x:v>
      </x:c>
      <x:c r="D3333" s="166" t="str">
        <x:v>Hedge Alternative Investments</x:v>
      </x:c>
      <x:c r="E3333" s="166" t="str">
        <x:f>IFERROR(INDEX('Classif Gestoras'!$H$6:$H$462,MATCH(D3333,'Classif Gestoras'!$A$6:$A$462,0)),"Não classificada")</x:f>
        <x:v>Independente</x:v>
      </x:c>
      <x:c r="F3333" s="166" t="str">
        <x:v>HEDGE DTVM</x:v>
      </x:c>
      <x:c r="G3333" s="166" t="str">
        <x:v>Não identificado</x:v>
      </x:c>
      <x:c r="H3333" s="166" t="str">
        <x:v>Outros</x:v>
      </x:c>
      <x:c r="I3333" s="166" t="str">
        <x:v>Não se aplica</x:v>
      </x:c>
      <x:c r="J3333" s="166" t="str">
        <x:v>CI</x:v>
      </x:c>
      <x:c r="K3333" s="172"/>
      <x:c r="L3333" s="185" t="str">
        <x:v>Não classificado</x:v>
      </x:c>
    </x:row>
    <x:row r="3334">
      <x:c r="A3334" s="175" t="str">
        <x:v>41.520.452/0001-81</x:v>
      </x:c>
      <x:c r="B3334" s="166" t="str">
        <x:v>CNPJ 41520452000181</x:v>
      </x:c>
      <x:c r="C3334" s="188" t="n">
        <x:v>0</x:v>
      </x:c>
      <x:c r="D3334" s="166" t="str">
        <x:v>Catálise Investimentos</x:v>
      </x:c>
      <x:c r="E3334" s="166" t="str">
        <x:f>IFERROR(INDEX('Classif Gestoras'!$H$6:$H$462,MATCH(D3334,'Classif Gestoras'!$A$6:$A$462,0)),"Não classificada")</x:f>
        <x:v>Independente</x:v>
      </x:c>
      <x:c r="F3334" s="166" t="str">
        <x:v>Singulare</x:v>
      </x:c>
      <x:c r="G3334" s="166" t="str">
        <x:v>Não identificado</x:v>
      </x:c>
      <x:c r="H3334" s="166" t="str">
        <x:v>Agro, Indústria e Comércio</x:v>
      </x:c>
      <x:c r="I3334" s="166" t="str">
        <x:v>Não se aplica</x:v>
      </x:c>
      <x:c r="J3334" s="166" t="str">
        <x:v>CI</x:v>
      </x:c>
      <x:c r="K3334" s="172"/>
      <x:c r="L3334" s="185" t="str">
        <x:v>Não classificado</x:v>
      </x:c>
    </x:row>
    <x:row r="3335">
      <x:c r="A3335" s="175" t="str">
        <x:v>51.679.169/0001-50</x:v>
      </x:c>
      <x:c r="B3335" s="166" t="str">
        <x:v>CREDIT OPS II FUNDO DE INVESTIMENTO EM DIREITOS CREDITÓRIOS</x:v>
      </x:c>
      <x:c r="C3335" s="188" t="n">
        <x:v>0</x:v>
      </x:c>
      <x:c r="D3335" s="166" t="str">
        <x:v>Redwood Asset Management</x:v>
      </x:c>
      <x:c r="E3335" s="166" t="str">
        <x:f>IFERROR(INDEX('Classif Gestoras'!$H$6:$H$462,MATCH(D3335,'Classif Gestoras'!$A$6:$A$462,0)),"Não classificada")</x:f>
        <x:v>Independente</x:v>
      </x:c>
      <x:c r="F3335" s="166" t="str">
        <x:v>PLANNER CV</x:v>
      </x:c>
      <x:c r="G3335" s="166" t="str">
        <x:v>QORE DISTRIBUIDORA DE TÍTULOS E VALORES MOBILIÁRIOS LTDA.</x:v>
      </x:c>
      <x:c r="H3335" s="166" t="str">
        <x:v>Fomento Mercantil</x:v>
      </x:c>
      <x:c r="I3335" s="166" t="str">
        <x:v>Não se aplica</x:v>
      </x:c>
      <x:c r="J3335" s="166" t="str">
        <x:v>CI</x:v>
      </x:c>
      <x:c r="K3335" s="172" t="n">
        <x:v>1</x:v>
      </x:c>
      <x:c r="L3335" s="185" t="str">
        <x:v>Não classificado</x:v>
      </x:c>
    </x:row>
    <x:row r="3336">
      <x:c r="A3336" s="175" t="str">
        <x:v>58.304.663/0001-80</x:v>
      </x:c>
      <x:c r="B3336" s="166" t="str">
        <x:v>TCG IRON I FUNDO DE INVESTIMENTO EM DIREITOS CREDITÓRIOS - RESPONSABILIDADE LIMITADA</x:v>
      </x:c>
      <x:c r="C3336" s="188" t="n">
        <x:v>0</x:v>
      </x:c>
      <x:c r="D3336" s="166" t="str">
        <x:v>Bless Capital Gestora de Recursos Ltda.</x:v>
      </x:c>
      <x:c r="E3336" s="166" t="str">
        <x:f>IFERROR(INDEX('Classif Gestoras'!$H$6:$H$462,MATCH(D3336,'Classif Gestoras'!$A$6:$A$462,0)),"Não classificada")</x:f>
        <x:v>Independente</x:v>
      </x:c>
      <x:c r="F3336" s="166" t="str">
        <x:v>Limine Trust Distribuidora de Titulos e Valores Mobiliá</x:v>
      </x:c>
      <x:c r="G3336" s="166" t="str">
        <x:v>LIMINE TRUST DISTRIBUIDORA DE TITULOS E VALORES MOBILIARIOS LTDA.</x:v>
      </x:c>
      <x:c r="H3336" s="166" t="str">
        <x:v>Outros</x:v>
      </x:c>
      <x:c r="I3336" s="166" t="str">
        <x:v>Multicarteira Outros</x:v>
      </x:c>
      <x:c r="J3336" s="166" t="str">
        <x:v>CI</x:v>
      </x:c>
      <x:c r="K3336" s="172" t="n">
        <x:v>3</x:v>
      </x:c>
      <x:c r="L3336" s="185" t="str">
        <x:v>Não classificado</x:v>
      </x:c>
    </x:row>
    <x:row r="3337">
      <x:c r="A3337" s="175" t="str">
        <x:v>49.934.838/0001-41</x:v>
      </x:c>
      <x:c r="B3337" s="166" t="str">
        <x:v>TMOV FUNDO DE INVESTIMENTO EM DIREITOS CREDITÓRIOS</x:v>
      </x:c>
      <x:c r="C3337" s="188" t="n">
        <x:v>0</x:v>
      </x:c>
      <x:c r="D3337" s="166" t="str">
        <x:v>M8 Partners</x:v>
      </x:c>
      <x:c r="E3337" s="166" t="str">
        <x:f>IFERROR(INDEX('Classif Gestoras'!$H$6:$H$462,MATCH(D3337,'Classif Gestoras'!$A$6:$A$462,0)),"Não classificada")</x:f>
        <x:v>Independente</x:v>
      </x:c>
      <x:c r="F3337" s="166" t="str">
        <x:v>Singulare</x:v>
      </x:c>
      <x:c r="G3337" s="166" t="str">
        <x:v>QI CORRETORA DE TÍTULOS E VALORES MOBILIÁRIOS S.A.</x:v>
      </x:c>
      <x:c r="H3337" s="166" t="str">
        <x:v>Fomento Mercantil</x:v>
      </x:c>
      <x:c r="I3337" s="166" t="str">
        <x:v>Fomento Mercantil</x:v>
      </x:c>
      <x:c r="J3337" s="166" t="str">
        <x:v>CI</x:v>
      </x:c>
      <x:c r="K3337" s="172" t="n">
        <x:v>1</x:v>
      </x:c>
      <x:c r="L3337" s="185" t="str">
        <x:v>Não classificado</x:v>
      </x:c>
    </x:row>
    <x:row r="3338">
      <x:c r="A3338" s="175" t="str">
        <x:v>26.142.903/0001-09</x:v>
      </x:c>
      <x:c r="B3338" s="166" t="str">
        <x:v>AUSA FUNDO DE INVESTIMENTO EM DIREITOS CREDITÓRIOS NÃO PADRONIZADO IMOBILIÁRIO</x:v>
      </x:c>
      <x:c r="C3338" s="188" t="n">
        <x:v>0</x:v>
      </x:c>
      <x:c r="D3338" s="166" t="str">
        <x:v>POLÍGONO CAPITAL LTDA.</x:v>
      </x:c>
      <x:c r="E3338" s="166" t="str">
        <x:f>IFERROR(INDEX('Classif Gestoras'!$H$6:$H$462,MATCH(D3338,'Classif Gestoras'!$A$6:$A$462,0)),"Não classificada")</x:f>
        <x:v>Independente</x:v>
      </x:c>
      <x:c r="F3338" s="166" t="str">
        <x:v>Finvest Digital</x:v>
      </x:c>
      <x:c r="G3338" s="166" t="str">
        <x:v>Não identificado</x:v>
      </x:c>
      <x:c r="H3338" s="166" t="str">
        <x:v>Financeiro</x:v>
      </x:c>
      <x:c r="I3338" s="166" t="str">
        <x:v>Crédito Imobiliário</x:v>
      </x:c>
      <x:c r="J3338" s="166" t="str">
        <x:v>CI</x:v>
      </x:c>
      <x:c r="K3338" s="172" t="n">
        <x:v>0</x:v>
      </x:c>
      <x:c r="L3338" s="185" t="str">
        <x:v>Não classificado</x:v>
      </x:c>
    </x:row>
    <x:row r="3339">
      <x:c r="A3339" s="175" t="str">
        <x:v>30.077.584/0001-64</x:v>
      </x:c>
      <x:c r="B3339" s="166" t="str">
        <x:v>CNPJ 30077584000164</x:v>
      </x:c>
      <x:c r="C3339" s="188" t="n">
        <x:v>0</x:v>
      </x:c>
      <x:c r="D3339" s="166" t="str">
        <x:v>Vista Real Estate</x:v>
      </x:c>
      <x:c r="E3339" s="166" t="str">
        <x:f>IFERROR(INDEX('Classif Gestoras'!$H$6:$H$462,MATCH(D3339,'Classif Gestoras'!$A$6:$A$462,0)),"Não classificada")</x:f>
        <x:v>Independente</x:v>
      </x:c>
      <x:c r="F3339" s="166" t="str">
        <x:v>VÓRTX DTVM</x:v>
      </x:c>
      <x:c r="G3339" s="166" t="str">
        <x:v>Não identificado</x:v>
      </x:c>
      <x:c r="H3339" s="166" t="str">
        <x:v>Outros</x:v>
      </x:c>
      <x:c r="I3339" s="166" t="str">
        <x:v>Multicarteira Outros</x:v>
      </x:c>
      <x:c r="J3339" s="166" t="str">
        <x:v>CI</x:v>
      </x:c>
      <x:c r="K3339" s="172"/>
      <x:c r="L3339" s="185" t="str">
        <x:v>Não classificado</x:v>
      </x:c>
    </x:row>
    <x:row r="3340">
      <x:c r="A3340" s="175" t="str">
        <x:v>26.154.177/0001-36</x:v>
      </x:c>
      <x:c r="B3340" s="166" t="str">
        <x:v>CNPJ 26154177000136</x:v>
      </x:c>
      <x:c r="C3340" s="188" t="n">
        <x:v>0</x:v>
      </x:c>
      <x:c r="D3340" s="166" t="str">
        <x:v>REAG GESTÃO DE CRÉDITO</x:v>
      </x:c>
      <x:c r="E3340" s="166" t="str">
        <x:f>IFERROR(INDEX('Classif Gestoras'!$H$6:$H$462,MATCH(D3340,'Classif Gestoras'!$A$6:$A$462,0)),"Não classificada")</x:f>
        <x:v>Independente</x:v>
      </x:c>
      <x:c r="F3340" s="166" t="str">
        <x:v>Banvox DTVM</x:v>
      </x:c>
      <x:c r="G3340" s="166" t="str">
        <x:v>Não identificado</x:v>
      </x:c>
      <x:c r="H3340" s="166" t="str">
        <x:v>Financeiro</x:v>
      </x:c>
      <x:c r="I3340" s="166" t="str">
        <x:v>Financiamento de Veículos</x:v>
      </x:c>
      <x:c r="J3340" s="166" t="str">
        <x:v>CI</x:v>
      </x:c>
      <x:c r="K3340" s="172"/>
      <x:c r="L3340" s="185" t="str">
        <x:v>Não classificado</x:v>
      </x:c>
    </x:row>
    <x:row r="3341">
      <x:c r="A3341" s="175" t="str">
        <x:v>62.145.323/0001-20</x:v>
      </x:c>
      <x:c r="B3341" s="166" t="str">
        <x:v>FNX FUNDO DE INVESTIMENTO EM DIREITOS CREDITÓRIOS - RESPOSABILIDADE LIMITADA</x:v>
      </x:c>
      <x:c r="C3341" s="188" t="n">
        <x:v>0</x:v>
      </x:c>
      <x:c r="D3341" s="166" t="str">
        <x:v>Galápagos</x:v>
      </x:c>
      <x:c r="E3341" s="166" t="str">
        <x:f>IFERROR(INDEX('Classif Gestoras'!$H$6:$H$462,MATCH(D3341,'Classif Gestoras'!$A$6:$A$462,0)),"Não classificada")</x:f>
        <x:v>Independente</x:v>
      </x:c>
      <x:c r="F3341" s="166" t="str">
        <x:v>VÓRTX DTVM</x:v>
      </x:c>
      <x:c r="G3341" s="166" t="str">
        <x:v>VORTX DISTRIBUIDORA DE TITULOS E VALORES MOBILIARIOS LTDA.</x:v>
      </x:c>
      <x:c r="H3341" s="166" t="str">
        <x:v>Fomento Mercantil</x:v>
      </x:c>
      <x:c r="I3341" s="166" t="str">
        <x:v>Fomento Mercantil</x:v>
      </x:c>
      <x:c r="J3341" s="166" t="str">
        <x:v>CI</x:v>
      </x:c>
      <x:c r="K3341" s="172" t="n">
        <x:v>7</x:v>
      </x:c>
      <x:c r="L3341" s="185" t="str">
        <x:v>Não classificado</x:v>
      </x:c>
    </x:row>
    <x:row r="3342">
      <x:c r="A3342" s="175" t="str">
        <x:v>49.936.254/0001-05</x:v>
      </x:c>
      <x:c r="B3342" s="166" t="str">
        <x:v>FUNDO DE INVESTIMENTO EM DIREITOS CREDITÓRIOS CHRONOS - RESPONSABILIDADE LIMITADA</x:v>
      </x:c>
      <x:c r="C3342" s="188" t="n">
        <x:v>0</x:v>
      </x:c>
      <x:c r="D3342" s="166" t="str">
        <x:v>REAG GESTÃO DE CRÉDITO</x:v>
      </x:c>
      <x:c r="E3342" s="166" t="str">
        <x:f>IFERROR(INDEX('Classif Gestoras'!$H$6:$H$462,MATCH(D3342,'Classif Gestoras'!$A$6:$A$462,0)),"Não classificada")</x:f>
        <x:v>Independente</x:v>
      </x:c>
      <x:c r="F3342" s="166" t="str">
        <x:v>Banvox DTVM</x:v>
      </x:c>
      <x:c r="G3342" s="166" t="str">
        <x:v>LIMINE TRUST DISTRIBUIDORA DE TITULOS E VALORES MOBILIARIOS LTDA.</x:v>
      </x:c>
      <x:c r="H3342" s="166" t="str">
        <x:v>Financeiro</x:v>
      </x:c>
      <x:c r="I3342" s="166" t="str">
        <x:v>Crédito Imobiliário</x:v>
      </x:c>
      <x:c r="J3342" s="166" t="str">
        <x:v>CI</x:v>
      </x:c>
      <x:c r="K3342" s="172" t="n">
        <x:v>7</x:v>
      </x:c>
      <x:c r="L3342" s="185" t="str">
        <x:v>Não classificado</x:v>
      </x:c>
    </x:row>
    <x:row r="3343">
      <x:c r="A3343" s="175" t="str">
        <x:v>49.939.512/0001-07</x:v>
      </x:c>
      <x:c r="B3343" s="166" t="str">
        <x:v>CNPJ 49939512000107</x:v>
      </x:c>
      <x:c r="C3343" s="188" t="n">
        <x:v>0</x:v>
      </x:c>
      <x:c r="D3343" s="166" t="str">
        <x:v>BPS CAPITAL</x:v>
      </x:c>
      <x:c r="E3343" s="166" t="str">
        <x:f>IFERROR(INDEX('Classif Gestoras'!$H$6:$H$462,MATCH(D3343,'Classif Gestoras'!$A$6:$A$462,0)),"Não classificada")</x:f>
        <x:v>Independente</x:v>
      </x:c>
      <x:c r="F3343" s="166" t="str">
        <x:v>ID Corretora de Títulos e Valores Mobiliários S.A.</x:v>
      </x:c>
      <x:c r="G3343" s="166" t="str">
        <x:v>Não identificado</x:v>
      </x:c>
      <x:c r="H3343" s="166" t="str">
        <x:v>Outros</x:v>
      </x:c>
      <x:c r="I3343" s="166" t="str">
        <x:v>Multicarteira Outros</x:v>
      </x:c>
      <x:c r="J3343" s="166" t="str">
        <x:v>CI</x:v>
      </x:c>
      <x:c r="K3343" s="172"/>
      <x:c r="L3343" s="185" t="str">
        <x:v>Não classificado</x:v>
      </x:c>
    </x:row>
    <x:row r="3344">
      <x:c r="A3344" s="175" t="str">
        <x:v>35.138.055/0001-47</x:v>
      </x:c>
      <x:c r="B3344" s="166" t="str">
        <x:v>CNPJ 35138055000147</x:v>
      </x:c>
      <x:c r="C3344" s="188" t="n">
        <x:v>0</x:v>
      </x:c>
      <x:c r="D3344" s="166" t="str">
        <x:v>FigTree Capital</x:v>
      </x:c>
      <x:c r="E3344" s="166" t="str">
        <x:f>IFERROR(INDEX('Classif Gestoras'!$H$6:$H$462,MATCH(D3344,'Classif Gestoras'!$A$6:$A$462,0)),"Não classificada")</x:f>
        <x:v>Independente</x:v>
      </x:c>
      <x:c r="F3344" s="166" t="str">
        <x:v>BRL TRUST DTVM</x:v>
      </x:c>
      <x:c r="G3344" s="166" t="str">
        <x:v>Não identificado</x:v>
      </x:c>
      <x:c r="H3344" s="166" t="str">
        <x:v>Agro, Indústria e Comércio</x:v>
      </x:c>
      <x:c r="I3344" s="166" t="str">
        <x:v>Não se aplica</x:v>
      </x:c>
      <x:c r="J3344" s="166" t="str">
        <x:v>CI</x:v>
      </x:c>
      <x:c r="K3344" s="172"/>
      <x:c r="L3344" s="185" t="str">
        <x:v>Não classificado</x:v>
      </x:c>
    </x:row>
    <x:row r="3345">
      <x:c r="A3345" s="175" t="str">
        <x:v>29.883.183/0001-12</x:v>
      </x:c>
      <x:c r="B3345" s="166" t="str">
        <x:v>CNPJ 29883183000112</x:v>
      </x:c>
      <x:c r="C3345" s="188" t="n">
        <x:v>0</x:v>
      </x:c>
      <x:c r="D3345" s="166" t="str">
        <x:v>M8 Partners</x:v>
      </x:c>
      <x:c r="E3345" s="166" t="str">
        <x:f>IFERROR(INDEX('Classif Gestoras'!$H$6:$H$462,MATCH(D3345,'Classif Gestoras'!$A$6:$A$462,0)),"Não classificada")</x:f>
        <x:v>Independente</x:v>
      </x:c>
      <x:c r="F3345" s="166" t="str">
        <x:v>TRUSTEE DTVM</x:v>
      </x:c>
      <x:c r="G3345" s="166" t="str">
        <x:v>Não identificado</x:v>
      </x:c>
      <x:c r="H3345" s="166" t="str">
        <x:v>Outros</x:v>
      </x:c>
      <x:c r="I3345" s="166" t="str">
        <x:v>Multicarteira Outros</x:v>
      </x:c>
      <x:c r="J3345" s="166" t="str">
        <x:v>CI</x:v>
      </x:c>
      <x:c r="K3345" s="172"/>
      <x:c r="L3345" s="185" t="str">
        <x:v>Não classificado</x:v>
      </x:c>
    </x:row>
    <x:row r="3346">
      <x:c r="A3346" s="175" t="str">
        <x:v>58.477.763/0001-08</x:v>
      </x:c>
      <x:c r="B3346" s="166" t="str">
        <x:v>FUNDO DE INVESTIMENTO EM COTAS DE FUNDOS DE INVESTIMENTO EM DIREITOS CREDITÓRIOS CRITERIA</x:v>
      </x:c>
      <x:c r="C3346" s="188" t="n">
        <x:v>0</x:v>
      </x:c>
      <x:c r="D3346" s="166" t="str">
        <x:v>VGR - VERONA GESTORA DE RECURSOS LTDA</x:v>
      </x:c>
      <x:c r="E3346" s="166" t="str">
        <x:f>IFERROR(INDEX('Classif Gestoras'!$H$6:$H$462,MATCH(D3346,'Classif Gestoras'!$A$6:$A$462,0)),"Não classificada")</x:f>
        <x:v>Independente</x:v>
      </x:c>
      <x:c r="F3346" s="166" t="str">
        <x:v>Intra Investimentos Distribuidora de Títulos e Valores Mobiliários LTDA.</x:v>
      </x:c>
      <x:c r="G3346" s="166" t="str">
        <x:v>INTRA INVESTIMENTOS DTVM LTDA</x:v>
      </x:c>
      <x:c r="H3346" s="166" t="str">
        <x:v>Outros</x:v>
      </x:c>
      <x:c r="I3346" s="166" t="str">
        <x:v>Multicarteira Outros</x:v>
      </x:c>
      <x:c r="J3346" s="166" t="str">
        <x:v>CI</x:v>
      </x:c>
      <x:c r="K3346" s="172" t="n">
        <x:v>15</x:v>
      </x:c>
      <x:c r="L3346" s="185" t="str">
        <x:v>Não classificado</x:v>
      </x:c>
    </x:row>
    <x:row r="3347">
      <x:c r="A3347" s="175" t="str">
        <x:v>58.482.694/0001-20</x:v>
      </x:c>
      <x:c r="B3347" s="166" t="str">
        <x:v>BLIPS FUNDO DE INVESTIMENTO EM DIREITOS CREDITÓRIOS - RESPONSABILIDADE LIMITADA</x:v>
      </x:c>
      <x:c r="C3347" s="188" t="n">
        <x:v>0</x:v>
      </x:c>
      <x:c r="D3347" s="166" t="str">
        <x:v>Kanastra</x:v>
      </x:c>
      <x:c r="E3347" s="166" t="str">
        <x:f>IFERROR(INDEX('Classif Gestoras'!$H$6:$H$462,MATCH(D3347,'Classif Gestoras'!$A$6:$A$462,0)),"Não classificada")</x:f>
        <x:v>Independente</x:v>
      </x:c>
      <x:c r="F3347" s="166" t="str">
        <x:v>Limine Trust Distribuidora de Titulos e Valores Mobiliá</x:v>
      </x:c>
      <x:c r="G3347" s="166" t="str">
        <x:v>LIMINE TRUST DISTRIBUIDORA DE TITULOS E VALORES MOBILIARIOS LTDA.</x:v>
      </x:c>
      <x:c r="H3347" s="166" t="str">
        <x:v>Agro, Indústria e Comércio</x:v>
      </x:c>
      <x:c r="I3347" s="166" t="str">
        <x:v>Recebíveis Comerciais</x:v>
      </x:c>
      <x:c r="J3347" s="166" t="str">
        <x:v>CI</x:v>
      </x:c>
      <x:c r="K3347" s="172" t="n">
        <x:v>4</x:v>
      </x:c>
      <x:c r="L3347" s="185" t="str">
        <x:v>Não classificado</x:v>
      </x:c>
    </x:row>
    <x:row r="3348">
      <x:c r="A3348" s="175" t="str">
        <x:v>58.488.311/0001-21</x:v>
      </x:c>
      <x:c r="B3348" s="166" t="str">
        <x:v>CNPJ 58488311000121</x:v>
      </x:c>
      <x:c r="C3348" s="188" t="n">
        <x:v>0</x:v>
      </x:c>
      <x:c r="D3348" s="166" t="str">
        <x:v>AUGME CAPITAL GESTÃO DE RECURSOS LTDA.</x:v>
      </x:c>
      <x:c r="E3348" s="166" t="str">
        <x:f>IFERROR(INDEX('Classif Gestoras'!$H$6:$H$462,MATCH(D3348,'Classif Gestoras'!$A$6:$A$462,0)),"Não classificada")</x:f>
        <x:v>Independente</x:v>
      </x:c>
      <x:c r="F3348" s="166" t="str">
        <x:v>BANCO DAYCOVAL S/A</x:v>
      </x:c>
      <x:c r="G3348" s="166" t="str">
        <x:v>Não identificado</x:v>
      </x:c>
      <x:c r="H3348" s="166" t="str">
        <x:v>Outros</x:v>
      </x:c>
      <x:c r="I3348" s="166" t="str">
        <x:v>Multicarteira Outros</x:v>
      </x:c>
      <x:c r="J3348" s="166" t="str">
        <x:v>CIPC</x:v>
      </x:c>
      <x:c r="K3348" s="172"/>
      <x:c r="L3348" s="185" t="str">
        <x:v>Não classificado</x:v>
      </x:c>
    </x:row>
    <x:row r="3349">
      <x:c r="A3349" s="175" t="str">
        <x:v>54.003.830/0001-00</x:v>
      </x:c>
      <x:c r="B3349" s="166" t="str">
        <x:v>TRIUNPH FUNDO DE INVESTIMENTO EM DIREITOS CREDITÓRIOS NÃO PADRONIZADO</x:v>
      </x:c>
      <x:c r="C3349" s="188" t="n">
        <x:v>0</x:v>
      </x:c>
      <x:c r="D3349" s="166" t="str">
        <x:v>Reag Jus</x:v>
      </x:c>
      <x:c r="E3349" s="166" t="str">
        <x:f>IFERROR(INDEX('Classif Gestoras'!$H$6:$H$462,MATCH(D3349,'Classif Gestoras'!$A$6:$A$462,0)),"Não classificada")</x:f>
        <x:v>Independente</x:v>
      </x:c>
      <x:c r="F3349" s="166" t="str">
        <x:v>REAG DTVM</x:v>
      </x:c>
      <x:c r="G3349" s="166" t="str">
        <x:v>REAG TRUST DISTRIBUIDORA DE TITULOS E VALORES MOBILIARIOS S.A.</x:v>
      </x:c>
      <x:c r="H3349" s="166" t="str">
        <x:v>Outros</x:v>
      </x:c>
      <x:c r="I3349" s="166" t="str">
        <x:v>Multicarteira Outros</x:v>
      </x:c>
      <x:c r="J3349" s="166" t="str">
        <x:v>CI</x:v>
      </x:c>
      <x:c r="K3349" s="172" t="n">
        <x:v>1</x:v>
      </x:c>
      <x:c r="L3349" s="185" t="str">
        <x:v>Não classificado</x:v>
      </x:c>
    </x:row>
    <x:row r="3350">
      <x:c r="A3350" s="175" t="str">
        <x:v>26.199.686/0001-85</x:v>
      </x:c>
      <x:c r="B3350" s="166" t="str">
        <x:v>RIO DOCE FUNDO DE INVESTIMENTO EM DIREITOS CREDITÓRIOS NÃO PADRONIZADOS</x:v>
      </x:c>
      <x:c r="C3350" s="188" t="n">
        <x:v>0</x:v>
      </x:c>
      <x:c r="D3350" s="166" t="str">
        <x:v>Global Gestão e Investimentos</x:v>
      </x:c>
      <x:c r="E3350" s="166" t="str">
        <x:f>IFERROR(INDEX('Classif Gestoras'!$H$6:$H$462,MATCH(D3350,'Classif Gestoras'!$A$6:$A$462,0)),"Não classificada")</x:f>
        <x:v>Independente</x:v>
      </x:c>
      <x:c r="F3350" s="166" t="str">
        <x:v>Singulare</x:v>
      </x:c>
      <x:c r="G3350" s="166" t="str">
        <x:v>QI CORRETORA DE TÍTULOS E VALORES MOBILIÁRIOS S.A.</x:v>
      </x:c>
      <x:c r="H3350" s="166" t="str">
        <x:v>Fomento Mercantil</x:v>
      </x:c>
      <x:c r="I3350" s="166" t="str">
        <x:v>Fomento Mercantil</x:v>
      </x:c>
      <x:c r="J3350" s="166" t="str">
        <x:v>CI</x:v>
      </x:c>
      <x:c r="K3350" s="172" t="n">
        <x:v>0</x:v>
      </x:c>
      <x:c r="L3350" s="185" t="str">
        <x:v>Não classificado</x:v>
      </x:c>
    </x:row>
    <x:row r="3351">
      <x:c r="A3351" s="175" t="str">
        <x:v>61.349.077/0001-66</x:v>
      </x:c>
      <x:c r="B3351" s="166" t="str">
        <x:v>CNPJ 61349077000166</x:v>
      </x:c>
      <x:c r="C3351" s="188" t="n">
        <x:v>0</x:v>
      </x:c>
      <x:c r="D3351" s="166" t="str">
        <x:v>ASSET MANAGEMENT</x:v>
      </x:c>
      <x:c r="E3351" s="166" t="str">
        <x:f>IFERROR(INDEX('Classif Gestoras'!$H$6:$H$462,MATCH(D3351,'Classif Gestoras'!$A$6:$A$462,0)),"Não classificada")</x:f>
        <x:v>Independente</x:v>
      </x:c>
      <x:c r="F3351" s="166" t="str">
        <x:v>AZUMI DISTRIBUIDORA DE TÍTULOS E VALORES MOBILIÁRIOS LT</x:v>
      </x:c>
      <x:c r="G3351" s="166" t="str">
        <x:v>Não identificado</x:v>
      </x:c>
      <x:c r="H3351" s="166" t="str">
        <x:v>Outros</x:v>
      </x:c>
      <x:c r="I3351" s="166" t="str">
        <x:v>Não se aplica</x:v>
      </x:c>
      <x:c r="J3351" s="166" t="str">
        <x:v>CI</x:v>
      </x:c>
      <x:c r="K3351" s="172"/>
      <x:c r="L3351" s="185" t="str">
        <x:v>Não classificado</x:v>
      </x:c>
    </x:row>
    <x:row r="3352">
      <x:c r="A3352" s="175" t="str">
        <x:v>50.089.559/0001-08</x:v>
      </x:c>
      <x:c r="B3352" s="166" t="str">
        <x:v>CNPJ 50089559000108</x:v>
      </x:c>
      <x:c r="C3352" s="188" t="n">
        <x:v>0</x:v>
      </x:c>
      <x:c r="D3352" s="166" t="str">
        <x:v>FATOR INNOVATION LTDA</x:v>
      </x:c>
      <x:c r="E3352" s="166" t="str">
        <x:f>IFERROR(INDEX('Classif Gestoras'!$H$6:$H$462,MATCH(D3352,'Classif Gestoras'!$A$6:$A$462,0)),"Não classificada")</x:f>
        <x:v>Independente</x:v>
      </x:c>
      <x:c r="F3352" s="166" t="str">
        <x:v>Singulare</x:v>
      </x:c>
      <x:c r="G3352" s="166" t="str">
        <x:v>Não identificado</x:v>
      </x:c>
      <x:c r="H3352" s="166" t="str">
        <x:v>Agro, Indústria e Comércio</x:v>
      </x:c>
      <x:c r="I3352" s="166" t="str">
        <x:v>Não se aplica</x:v>
      </x:c>
      <x:c r="J3352" s="166" t="str">
        <x:v>CI</x:v>
      </x:c>
      <x:c r="K3352" s="172"/>
      <x:c r="L3352" s="185" t="str">
        <x:v>Não classificado</x:v>
      </x:c>
    </x:row>
    <x:row r="3353">
      <x:c r="A3353" s="175" t="str">
        <x:v>51.119.641/0001-09</x:v>
      </x:c>
      <x:c r="B3353" s="166" t="str">
        <x:v>FACIO FUNDO DE INVESTIMENTO EM DIREITOS CREDITÓRIOS FINANCEIROS DE RESPONSABILIDADE LIMITADA</x:v>
      </x:c>
      <x:c r="C3353" s="188" t="n">
        <x:v>0</x:v>
      </x:c>
      <x:c r="D3353" s="166" t="str">
        <x:v>Kanastra</x:v>
      </x:c>
      <x:c r="E3353" s="166" t="str">
        <x:f>IFERROR(INDEX('Classif Gestoras'!$H$6:$H$462,MATCH(D3353,'Classif Gestoras'!$A$6:$A$462,0)),"Não classificada")</x:f>
        <x:v>Independente</x:v>
      </x:c>
      <x:c r="F3353" s="166" t="str">
        <x:v>Limine Trust Distribuidora de Titulos e Valores Mobiliá</x:v>
      </x:c>
      <x:c r="G3353" s="166" t="str">
        <x:v>Não identificado</x:v>
      </x:c>
      <x:c r="H3353" s="166" t="str">
        <x:v>Financeiro</x:v>
      </x:c>
      <x:c r="I3353" s="166" t="str">
        <x:v>Crédito Pessoal</x:v>
      </x:c>
      <x:c r="J3353" s="166" t="str">
        <x:v>CI</x:v>
      </x:c>
      <x:c r="K3353" s="172" t="n">
        <x:v>0</x:v>
      </x:c>
      <x:c r="L3353" s="185" t="str">
        <x:v>Não classificado</x:v>
      </x:c>
    </x:row>
    <x:row r="3354">
      <x:c r="A3354" s="175" t="str">
        <x:v>58.517.380/0001-16</x:v>
      </x:c>
      <x:c r="B3354" s="166" t="str">
        <x:v>GENIAL REAL ESTATE FUNDO DE INVESTIMENTO EM DIREITOS CREDITÓRIOS DE RESPONSABILIDADE LIMITADA</x:v>
      </x:c>
      <x:c r="C3354" s="188" t="n">
        <x:v>0</x:v>
      </x:c>
      <x:c r="D3354" s="166" t="str">
        <x:v>GENIAL GESTÃO LTDA.</x:v>
      </x:c>
      <x:c r="E3354" s="166" t="str">
        <x:f>IFERROR(INDEX('Classif Gestoras'!$H$6:$H$462,MATCH(D3354,'Classif Gestoras'!$A$6:$A$462,0)),"Não classificada")</x:f>
        <x:v>Ligada a banco</x:v>
      </x:c>
      <x:c r="F3354" s="166" t="str">
        <x:v>Genial Investimentos Corretora de Valores Mobiliários S.A.</x:v>
      </x:c>
      <x:c r="G3354" s="166" t="str">
        <x:v>BANCO GENIAL S.A.</x:v>
      </x:c>
      <x:c r="H3354" s="166" t="str">
        <x:v>Financeiro</x:v>
      </x:c>
      <x:c r="I3354" s="166" t="str">
        <x:v>Crédito Imobiliário</x:v>
      </x:c>
      <x:c r="J3354" s="166" t="str">
        <x:v>CI</x:v>
      </x:c>
      <x:c r="K3354" s="172" t="n">
        <x:v>1</x:v>
      </x:c>
      <x:c r="L3354" s="185" t="str">
        <x:v>Não classificado</x:v>
      </x:c>
    </x:row>
    <x:row r="3355">
      <x:c r="A3355" s="175" t="str">
        <x:v>40.210.287/0001-07</x:v>
      </x:c>
      <x:c r="B3355" s="166" t="str">
        <x:v>CNPJ 40210287000107</x:v>
      </x:c>
      <x:c r="C3355" s="188" t="n">
        <x:v>0</x:v>
      </x:c>
      <x:c r="D3355" s="166" t="str">
        <x:v>Iron Capital</x:v>
      </x:c>
      <x:c r="E3355" s="166" t="str">
        <x:f>IFERROR(INDEX('Classif Gestoras'!$H$6:$H$462,MATCH(D3355,'Classif Gestoras'!$A$6:$A$462,0)),"Não classificada")</x:f>
        <x:v>Independente</x:v>
      </x:c>
      <x:c r="F3355" s="166" t="str">
        <x:v>VÓRTX DTVM</x:v>
      </x:c>
      <x:c r="G3355" s="166" t="str">
        <x:v>Não identificado</x:v>
      </x:c>
      <x:c r="H3355" s="166" t="str">
        <x:v>Financeiro</x:v>
      </x:c>
      <x:c r="I3355" s="166" t="str">
        <x:v>Crédito Consignado</x:v>
      </x:c>
      <x:c r="J3355" s="166" t="str">
        <x:v>CI</x:v>
      </x:c>
      <x:c r="K3355" s="172"/>
      <x:c r="L3355" s="185" t="str">
        <x:v>Não classificado</x:v>
      </x:c>
    </x:row>
    <x:row r="3356">
      <x:c r="A3356" s="175" t="str">
        <x:v>58.528.148/0001-83</x:v>
      </x:c>
      <x:c r="B3356" s="166" t="str">
        <x:v>SMASH FUNDO DE INVESTIMENTO EM DIREITOS CREDITÓRIOS NÃO PADRONIZADOS</x:v>
      </x:c>
      <x:c r="C3356" s="188" t="n">
        <x:v>0</x:v>
      </x:c>
      <x:c r="D3356" s="166" t="str">
        <x:v>REAG PORTFOLIO SOLUTIONS</x:v>
      </x:c>
      <x:c r="E3356" s="166" t="str">
        <x:f>IFERROR(INDEX('Classif Gestoras'!$H$6:$H$462,MATCH(D3356,'Classif Gestoras'!$A$6:$A$462,0)),"Não classificada")</x:f>
        <x:v>Independente</x:v>
      </x:c>
      <x:c r="F3356" s="166" t="str">
        <x:v>REAG DTVM</x:v>
      </x:c>
      <x:c r="G3356" s="166" t="str">
        <x:v>REAG TRUST DISTRIBUIDORA DE TITULOS E VALORES MOBILIARIOS S.A.</x:v>
      </x:c>
      <x:c r="H3356" s="166" t="str">
        <x:v>Outros</x:v>
      </x:c>
      <x:c r="I3356" s="166" t="str">
        <x:v>Multicarteira Outros</x:v>
      </x:c>
      <x:c r="J3356" s="166" t="str">
        <x:v>CI</x:v>
      </x:c>
      <x:c r="K3356" s="172" t="n">
        <x:v>1</x:v>
      </x:c>
      <x:c r="L3356" s="185" t="str">
        <x:v>Não classificado</x:v>
      </x:c>
    </x:row>
    <x:row r="3357">
      <x:c r="A3357" s="175" t="str">
        <x:v>58.528.925/0001-90</x:v>
      </x:c>
      <x:c r="B3357" s="166" t="str">
        <x:v>RR FUNDO DE INVESTIMENTO EM DIREITOS CREDITÓRIOS NÃO PADRONIZADOS</x:v>
      </x:c>
      <x:c r="C3357" s="188" t="n">
        <x:v>0</x:v>
      </x:c>
      <x:c r="D3357" s="166" t="str">
        <x:v>Reag Jus</x:v>
      </x:c>
      <x:c r="E3357" s="166" t="str">
        <x:f>IFERROR(INDEX('Classif Gestoras'!$H$6:$H$462,MATCH(D3357,'Classif Gestoras'!$A$6:$A$462,0)),"Não classificada")</x:f>
        <x:v>Independente</x:v>
      </x:c>
      <x:c r="F3357" s="166" t="str">
        <x:v>REAG DTVM</x:v>
      </x:c>
      <x:c r="G3357" s="166" t="str">
        <x:v>REAG TRUST DISTRIBUIDORA DE TITULOS E VALORES MOBILIARIOS S.A.</x:v>
      </x:c>
      <x:c r="H3357" s="166" t="str">
        <x:v>Outros</x:v>
      </x:c>
      <x:c r="I3357" s="166" t="str">
        <x:v>Multicarteira Outros</x:v>
      </x:c>
      <x:c r="J3357" s="166" t="str">
        <x:v>CI</x:v>
      </x:c>
      <x:c r="K3357" s="172" t="n">
        <x:v>1</x:v>
      </x:c>
      <x:c r="L3357" s="185" t="str">
        <x:v>Não classificado</x:v>
      </x:c>
    </x:row>
    <x:row r="3358">
      <x:c r="A3358" s="175" t="str">
        <x:v>50.133.597/0001-10</x:v>
      </x:c>
      <x:c r="B3358" s="166" t="str">
        <x:v>INSIGNA FUNDO DE INVESTIMENTO EM DIREITOS CREDITÓRIOS RESPONSABILIDADE LIMITADA</x:v>
      </x:c>
      <x:c r="C3358" s="188" t="n">
        <x:v>0</x:v>
      </x:c>
      <x:c r="D3358" s="166" t="str">
        <x:v>CONTEA CAPITAL</x:v>
      </x:c>
      <x:c r="E3358" s="166" t="str">
        <x:f>IFERROR(INDEX('Classif Gestoras'!$H$6:$H$462,MATCH(D3358,'Classif Gestoras'!$A$6:$A$462,0)),"Não classificada")</x:f>
        <x:v>Independente</x:v>
      </x:c>
      <x:c r="F3358" s="166" t="str">
        <x:v>ID Corretora de Títulos e Valores Mobiliários S.A.</x:v>
      </x:c>
      <x:c r="G3358" s="166" t="str">
        <x:v>ID CORRETORA DE TITULOS E VALORES MOBILIARIOS S.A.</x:v>
      </x:c>
      <x:c r="H3358" s="166" t="str">
        <x:v>Outros</x:v>
      </x:c>
      <x:c r="I3358" s="166" t="str">
        <x:v>Multicarteira Outros</x:v>
      </x:c>
      <x:c r="J3358" s="166" t="str">
        <x:v>CI</x:v>
      </x:c>
      <x:c r="K3358" s="172" t="n">
        <x:v>0</x:v>
      </x:c>
      <x:c r="L3358" s="185" t="str">
        <x:v>Não classificado</x:v>
      </x:c>
    </x:row>
    <x:row r="3359">
      <x:c r="A3359" s="175" t="str">
        <x:v>51.079.269/0001-46</x:v>
      </x:c>
      <x:c r="B3359" s="166" t="str">
        <x:v>CARNIVAL FUNDO DE INVESTIMENTO EM DIREITOS CREDITÓRIOS</x:v>
      </x:c>
      <x:c r="C3359" s="188" t="n">
        <x:v>0</x:v>
      </x:c>
      <x:c r="D3359" s="166" t="str">
        <x:v>Reag Administradora de Recursos Ltda</x:v>
      </x:c>
      <x:c r="E3359" s="166" t="str">
        <x:f>IFERROR(INDEX('Classif Gestoras'!$H$6:$H$462,MATCH(D3359,'Classif Gestoras'!$A$6:$A$462,0)),"Não classificada")</x:f>
        <x:v>Independente</x:v>
      </x:c>
      <x:c r="F3359" s="166" t="str">
        <x:v>REAG DTVM</x:v>
      </x:c>
      <x:c r="G3359" s="166" t="str">
        <x:v>REAG TRUST DISTRIBUIDORA DE TITULOS E VALORES MOBILIARIOS S.A.</x:v>
      </x:c>
      <x:c r="H3359" s="166" t="str">
        <x:v>Outros</x:v>
      </x:c>
      <x:c r="I3359" s="166" t="str">
        <x:v>Multicarteira Outros</x:v>
      </x:c>
      <x:c r="J3359" s="166" t="str">
        <x:v>CI</x:v>
      </x:c>
      <x:c r="K3359" s="172" t="n">
        <x:v>3</x:v>
      </x:c>
      <x:c r="L3359" s="185" t="str">
        <x:v>Não classificado</x:v>
      </x:c>
    </x:row>
    <x:row r="3360">
      <x:c r="A3360" s="175" t="str">
        <x:v>40.187.050/0001-44</x:v>
      </x:c>
      <x:c r="B3360" s="166" t="str">
        <x:v>CNPJ 40187050000144</x:v>
      </x:c>
      <x:c r="C3360" s="188" t="n">
        <x:v>0</x:v>
      </x:c>
      <x:c r="D3360" s="166" t="str">
        <x:v>GV ATACAMA CAPITAL LTDA.</x:v>
      </x:c>
      <x:c r="E3360" s="166" t="str">
        <x:f>IFERROR(INDEX('Classif Gestoras'!$H$6:$H$462,MATCH(D3360,'Classif Gestoras'!$A$6:$A$462,0)),"Não classificada")</x:f>
        <x:v>Independente</x:v>
      </x:c>
      <x:c r="F3360" s="166" t="str">
        <x:v>Singulare</x:v>
      </x:c>
      <x:c r="G3360" s="166" t="str">
        <x:v>Não identificado</x:v>
      </x:c>
      <x:c r="H3360" s="166" t="str">
        <x:v>Outros</x:v>
      </x:c>
      <x:c r="I3360" s="166" t="str">
        <x:v>Multiestratégia</x:v>
      </x:c>
      <x:c r="J3360" s="166" t="str">
        <x:v>CI</x:v>
      </x:c>
      <x:c r="K3360" s="172"/>
      <x:c r="L3360" s="185" t="str">
        <x:v>Não classificado</x:v>
      </x:c>
    </x:row>
    <x:row r="3361">
      <x:c r="A3361" s="175" t="str">
        <x:v>26.287.908/0001-11</x:v>
      </x:c>
      <x:c r="B3361" s="166" t="str">
        <x:v>CNPJ 26287908000111</x:v>
      </x:c>
      <x:c r="C3361" s="188" t="n">
        <x:v>0</x:v>
      </x:c>
      <x:c r="D3361" s="166" t="str">
        <x:v>ANGÁ ASSET MANAGEMENT</x:v>
      </x:c>
      <x:c r="E3361" s="166" t="str">
        <x:f>IFERROR(INDEX('Classif Gestoras'!$H$6:$H$462,MATCH(D3361,'Classif Gestoras'!$A$6:$A$462,0)),"Não classificada")</x:f>
        <x:v>Independente</x:v>
      </x:c>
      <x:c r="F3361" s="166" t="str">
        <x:v>BTG Pactual Servicos Financeiros S/A DTVM</x:v>
      </x:c>
      <x:c r="G3361" s="166" t="str">
        <x:v>Não identificado</x:v>
      </x:c>
      <x:c r="H3361" s="166" t="str">
        <x:v>Financeiro</x:v>
      </x:c>
      <x:c r="I3361" s="166" t="str">
        <x:v>Crédito Consignado</x:v>
      </x:c>
      <x:c r="J3361" s="166" t="str">
        <x:v>CI</x:v>
      </x:c>
      <x:c r="K3361" s="172"/>
      <x:c r="L3361" s="185" t="str">
        <x:v>Não classificado</x:v>
      </x:c>
    </x:row>
    <x:row r="3362">
      <x:c r="A3362" s="175" t="str">
        <x:v>50.182.107/0001-76</x:v>
      </x:c>
      <x:c r="B3362" s="166" t="str">
        <x:v>TIGER FUNDO DE INVESTIMENTO EM DIREITOS CREDITÓRIOS NÃO-PADRONIZADO</x:v>
      </x:c>
      <x:c r="C3362" s="188" t="n">
        <x:v>0</x:v>
      </x:c>
      <x:c r="D3362" s="166" t="str">
        <x:v>Reag Administradora de Recursos Ltda</x:v>
      </x:c>
      <x:c r="E3362" s="166" t="str">
        <x:f>IFERROR(INDEX('Classif Gestoras'!$H$6:$H$462,MATCH(D3362,'Classif Gestoras'!$A$6:$A$462,0)),"Não classificada")</x:f>
        <x:v>Independente</x:v>
      </x:c>
      <x:c r="F3362" s="166" t="str">
        <x:v>REAG DTVM</x:v>
      </x:c>
      <x:c r="G3362" s="166" t="str">
        <x:v>REAG TRUST DISTRIBUIDORA DE TITULOS E VALORES MOBILIARIOS S.A.</x:v>
      </x:c>
      <x:c r="H3362" s="166" t="str">
        <x:v>Outros</x:v>
      </x:c>
      <x:c r="I3362" s="166" t="str">
        <x:v>Multicarteira Outros</x:v>
      </x:c>
      <x:c r="J3362" s="166" t="str">
        <x:v>CI</x:v>
      </x:c>
      <x:c r="K3362" s="172" t="n">
        <x:v>3</x:v>
      </x:c>
      <x:c r="L3362" s="185" t="str">
        <x:v>Não classificado</x:v>
      </x:c>
    </x:row>
    <x:row r="3363">
      <x:c r="A3363" s="175" t="str">
        <x:v>26.405.893/0001-49</x:v>
      </x:c>
      <x:c r="B3363" s="166" t="str">
        <x:v>CNPJ 26405893000149</x:v>
      </x:c>
      <x:c r="C3363" s="188" t="n">
        <x:v>0</x:v>
      </x:c>
      <x:c r="D3363" s="166" t="str">
        <x:v>Quadra Gestão de Recursos S.A.</x:v>
      </x:c>
      <x:c r="E3363" s="166" t="str">
        <x:f>IFERROR(INDEX('Classif Gestoras'!$H$6:$H$462,MATCH(D3363,'Classif Gestoras'!$A$6:$A$462,0)),"Não classificada")</x:f>
        <x:v>Independente</x:v>
      </x:c>
      <x:c r="F3363" s="166" t="str">
        <x:v>VÓRTX DTVM</x:v>
      </x:c>
      <x:c r="G3363" s="166" t="str">
        <x:v>Não identificado</x:v>
      </x:c>
      <x:c r="H3363" s="166" t="str">
        <x:v>Outros</x:v>
      </x:c>
      <x:c r="I3363" s="166" t="str">
        <x:v>Multicarteira Outros</x:v>
      </x:c>
      <x:c r="J3363" s="166" t="str">
        <x:v>CI</x:v>
      </x:c>
      <x:c r="K3363" s="172"/>
      <x:c r="L3363" s="185" t="str">
        <x:v>Não classificado</x:v>
      </x:c>
    </x:row>
    <x:row r="3364">
      <x:c r="A3364" s="175" t="str">
        <x:v>54.095.003/0001-85</x:v>
      </x:c>
      <x:c r="B3364" s="166" t="str">
        <x:v>CNPJ 54095003000185</x:v>
      </x:c>
      <x:c r="C3364" s="188" t="n">
        <x:v>0</x:v>
      </x:c>
      <x:c r="D3364" s="166" t="str">
        <x:v>Redwood Asset Management</x:v>
      </x:c>
      <x:c r="E3364" s="166" t="str">
        <x:f>IFERROR(INDEX('Classif Gestoras'!$H$6:$H$462,MATCH(D3364,'Classif Gestoras'!$A$6:$A$462,0)),"Não classificada")</x:f>
        <x:v>Independente</x:v>
      </x:c>
      <x:c r="F3364" s="166" t="str">
        <x:v>PLANNER CV</x:v>
      </x:c>
      <x:c r="G3364" s="166" t="str">
        <x:v>Não identificado</x:v>
      </x:c>
      <x:c r="H3364" s="166" t="str">
        <x:v>Fomento Mercantil</x:v>
      </x:c>
      <x:c r="I3364" s="166" t="str">
        <x:v>Fomento Mercantil</x:v>
      </x:c>
      <x:c r="J3364" s="166" t="str">
        <x:v>CI</x:v>
      </x:c>
      <x:c r="K3364" s="172"/>
      <x:c r="L3364" s="185" t="str">
        <x:v>Não classificado</x:v>
      </x:c>
    </x:row>
    <x:row r="3365">
      <x:c r="A3365" s="175" t="str">
        <x:v>54.153.227/0001-04</x:v>
      </x:c>
      <x:c r="B3365" s="166" t="str">
        <x:v>FLYNN FUNDO DE INVESTIMENTO EM DIREITOS CREDITÓRIOS</x:v>
      </x:c>
      <x:c r="C3365" s="188" t="n">
        <x:v>0</x:v>
      </x:c>
      <x:c r="D3365" s="166" t="str">
        <x:v>Reag Jus</x:v>
      </x:c>
      <x:c r="E3365" s="166" t="str">
        <x:f>IFERROR(INDEX('Classif Gestoras'!$H$6:$H$462,MATCH(D3365,'Classif Gestoras'!$A$6:$A$462,0)),"Não classificada")</x:f>
        <x:v>Independente</x:v>
      </x:c>
      <x:c r="F3365" s="166" t="str">
        <x:v>REAG DTVM</x:v>
      </x:c>
      <x:c r="G3365" s="166" t="str">
        <x:v>REAG TRUST DISTRIBUIDORA DE TITULOS E VALORES MOBILIARIOS S.A.</x:v>
      </x:c>
      <x:c r="H3365" s="166" t="str">
        <x:v>Outros</x:v>
      </x:c>
      <x:c r="I3365" s="166" t="str">
        <x:v>Multicarteira Outros</x:v>
      </x:c>
      <x:c r="J3365" s="166" t="str">
        <x:v>CI</x:v>
      </x:c>
      <x:c r="K3365" s="172" t="n">
        <x:v>1</x:v>
      </x:c>
      <x:c r="L3365" s="185" t="str">
        <x:v>Não classificado</x:v>
      </x:c>
    </x:row>
    <x:row r="3366">
      <x:c r="A3366" s="175" t="str">
        <x:v>62.184.290/0001-28</x:v>
      </x:c>
      <x:c r="B3366" s="166" t="str">
        <x:v>AUER FUNDO DE INVESTIMENTO EM DIREITOS CREDITÓRIOS</x:v>
      </x:c>
      <x:c r="C3366" s="188" t="n">
        <x:v>0</x:v>
      </x:c>
      <x:c r="D3366" s="166" t="str">
        <x:v>Reag Jus</x:v>
      </x:c>
      <x:c r="E3366" s="166" t="str">
        <x:f>IFERROR(INDEX('Classif Gestoras'!$H$6:$H$462,MATCH(D3366,'Classif Gestoras'!$A$6:$A$462,0)),"Não classificada")</x:f>
        <x:v>Independente</x:v>
      </x:c>
      <x:c r="F3366" s="166" t="str">
        <x:v>REAG DTVM</x:v>
      </x:c>
      <x:c r="G3366" s="166" t="str">
        <x:v>REAG TRUST DISTRIBUIDORA DE TITULOS E VALORES MOBILIARIOS S.A.</x:v>
      </x:c>
      <x:c r="H3366" s="166" t="str">
        <x:v>Outros</x:v>
      </x:c>
      <x:c r="I3366" s="166" t="str">
        <x:v>Multicarteira Outros</x:v>
      </x:c>
      <x:c r="J3366" s="166" t="str">
        <x:v>CI</x:v>
      </x:c>
      <x:c r="K3366" s="172" t="n">
        <x:v>1</x:v>
      </x:c>
      <x:c r="L3366" s="185" t="str">
        <x:v>Não classificado</x:v>
      </x:c>
    </x:row>
    <x:row r="3367">
      <x:c r="A3367" s="175" t="str">
        <x:v>51.168.507/0001-90</x:v>
      </x:c>
      <x:c r="B3367" s="166" t="str">
        <x:v>AJAX FUNDO DE INVESTIMENTO EM DIREITOS CREDITORIOS</x:v>
      </x:c>
      <x:c r="C3367" s="188" t="n">
        <x:v>0</x:v>
      </x:c>
      <x:c r="D3367" s="166" t="str">
        <x:v>Reag Jus</x:v>
      </x:c>
      <x:c r="E3367" s="166" t="str">
        <x:f>IFERROR(INDEX('Classif Gestoras'!$H$6:$H$462,MATCH(D3367,'Classif Gestoras'!$A$6:$A$462,0)),"Não classificada")</x:f>
        <x:v>Independente</x:v>
      </x:c>
      <x:c r="F3367" s="166" t="str">
        <x:v>REAG DTVM</x:v>
      </x:c>
      <x:c r="G3367" s="166" t="str">
        <x:v>REAG TRUST DISTRIBUIDORA DE TITULOS E VALORES MOBILIARIOS S.A.</x:v>
      </x:c>
      <x:c r="H3367" s="166" t="str">
        <x:v>Outros</x:v>
      </x:c>
      <x:c r="I3367" s="166" t="str">
        <x:v>Multicarteira Outros</x:v>
      </x:c>
      <x:c r="J3367" s="166" t="str">
        <x:v>CI</x:v>
      </x:c>
      <x:c r="K3367" s="172" t="n">
        <x:v>1</x:v>
      </x:c>
      <x:c r="L3367" s="185" t="str">
        <x:v>Não classificado</x:v>
      </x:c>
    </x:row>
    <x:row r="3368">
      <x:c r="A3368" s="175" t="str">
        <x:v>08.927.488/0001-09</x:v>
      </x:c>
      <x:c r="B3368" s="166" t="str">
        <x:v>FIDC TRENDBANK BANCO DE FOMENTO - MULTISETORIAL</x:v>
      </x:c>
      <x:c r="C3368" s="188" t="n">
        <x:v>0</x:v>
      </x:c>
      <x:c r="D3368" s="166" t="str">
        <x:v>GENIAL GESTÃO LTDA.</x:v>
      </x:c>
      <x:c r="E3368" s="166" t="str">
        <x:f>IFERROR(INDEX('Classif Gestoras'!$H$6:$H$462,MATCH(D3368,'Classif Gestoras'!$A$6:$A$462,0)),"Não classificada")</x:f>
        <x:v>Ligada a banco</x:v>
      </x:c>
      <x:c r="F3368" s="166" t="str">
        <x:v>Banco Genial S.A.</x:v>
      </x:c>
      <x:c r="G3368" s="166" t="str">
        <x:v>BANCO GENIAL S.A.</x:v>
      </x:c>
      <x:c r="H3368" s="166" t="str">
        <x:v>Fomento Mercantil</x:v>
      </x:c>
      <x:c r="I3368" s="166" t="str">
        <x:v>Fomento Mercantil</x:v>
      </x:c>
      <x:c r="J3368" s="166" t="str">
        <x:v>CI</x:v>
      </x:c>
      <x:c r="K3368" s="172" t="n">
        <x:v>21</x:v>
      </x:c>
      <x:c r="L3368" s="185" t="str">
        <x:v>Não classificado</x:v>
      </x:c>
    </x:row>
    <x:row r="3369">
      <x:c r="A3369" s="175" t="str">
        <x:v>30.283.468/0001-00</x:v>
      </x:c>
      <x:c r="B3369" s="166" t="str">
        <x:v>CANAL 26 FUNDO DE INVESTIMENTO EM DIREITOS CREDITÓRIOS NÃO-PADRONIZADOS</x:v>
      </x:c>
      <x:c r="C3369" s="188" t="n">
        <x:v>0</x:v>
      </x:c>
      <x:c r="D3369" s="166" t="str">
        <x:v>G5 Adm. de Recursos</x:v>
      </x:c>
      <x:c r="E3369" s="166" t="str">
        <x:f>IFERROR(INDEX('Classif Gestoras'!$H$6:$H$462,MATCH(D3369,'Classif Gestoras'!$A$6:$A$462,0)),"Não classificada")</x:f>
        <x:v>Independente</x:v>
      </x:c>
      <x:c r="F3369" s="166" t="str">
        <x:v>Singulare</x:v>
      </x:c>
      <x:c r="G3369" s="166" t="str">
        <x:v>QI CORRETORA DE TÍTULOS E VALORES MOBILIÁRIOS S.A.</x:v>
      </x:c>
      <x:c r="H3369" s="166" t="str">
        <x:v>Outros</x:v>
      </x:c>
      <x:c r="I3369" s="166" t="str">
        <x:v>Multicarteira Outros</x:v>
      </x:c>
      <x:c r="J3369" s="166" t="str">
        <x:v>CI</x:v>
      </x:c>
      <x:c r="K3369" s="172" t="n">
        <x:v>1</x:v>
      </x:c>
      <x:c r="L3369" s="185" t="str">
        <x:v>Não classificado</x:v>
      </x:c>
    </x:row>
    <x:row r="3370">
      <x:c r="A3370" s="175" t="str">
        <x:v>49.637.238/0001-11</x:v>
      </x:c>
      <x:c r="B3370" s="166" t="str">
        <x:v>REAG FUNDO DE INVESTIMENTOS NAS CADEIAS PRODUTIVAS AGROINDUSTRIAIS FIAGRO - DIREITOS CREDITÓRIOS</x:v>
      </x:c>
      <x:c r="C3370" s="188" t="n">
        <x:v>0</x:v>
      </x:c>
      <x:c r="D3370" s="166" t="str">
        <x:v>Reag Administradora de Recursos Ltda</x:v>
      </x:c>
      <x:c r="E3370" s="166" t="str">
        <x:f>IFERROR(INDEX('Classif Gestoras'!$H$6:$H$462,MATCH(D3370,'Classif Gestoras'!$A$6:$A$462,0)),"Não classificada")</x:f>
        <x:v>Independente</x:v>
      </x:c>
      <x:c r="F3370" s="166" t="str">
        <x:v>REAG DTVM</x:v>
      </x:c>
      <x:c r="G3370" s="166" t="str">
        <x:v>REAG TRUST DISTRIBUIDORA DE TITULOS E VALORES MOBILIARIOS S.A.</x:v>
      </x:c>
      <x:c r="H3370" s="166" t="str">
        <x:v>Fomento Mercantil</x:v>
      </x:c>
      <x:c r="I3370" s="166" t="str">
        <x:v>Fomento Mercantil</x:v>
      </x:c>
      <x:c r="J3370" s="166" t="str">
        <x:v>CI</x:v>
      </x:c>
      <x:c r="K3370" s="172" t="n">
        <x:v>3</x:v>
      </x:c>
      <x:c r="L3370" s="185" t="str">
        <x:v>Não classificado</x:v>
      </x:c>
    </x:row>
    <x:row r="3371">
      <x:c r="A3371" s="175" t="str">
        <x:v>49.650.000/0001-26</x:v>
      </x:c>
      <x:c r="B3371" s="166" t="str">
        <x:v>CNPJ 49650000000126</x:v>
      </x:c>
      <x:c r="C3371" s="188" t="n">
        <x:v>0</x:v>
      </x:c>
      <x:c r="D3371" s="166" t="str">
        <x:v>Riza Securitização e Carteiras</x:v>
      </x:c>
      <x:c r="E3371" s="166" t="str">
        <x:f>IFERROR(INDEX('Classif Gestoras'!$H$6:$H$462,MATCH(D3371,'Classif Gestoras'!$A$6:$A$462,0)),"Não classificada")</x:f>
        <x:v>Independente</x:v>
      </x:c>
      <x:c r="F3371" s="166" t="str">
        <x:v>BTG Pactual Servicos Financeiros S/A DTVM</x:v>
      </x:c>
      <x:c r="G3371" s="166" t="str">
        <x:v>Não identificado</x:v>
      </x:c>
      <x:c r="H3371" s="166" t="str">
        <x:v>Outros</x:v>
      </x:c>
      <x:c r="I3371" s="166" t="str">
        <x:v>Multicarteira Outros</x:v>
      </x:c>
      <x:c r="J3371" s="166" t="str">
        <x:v>CI</x:v>
      </x:c>
      <x:c r="K3371" s="172"/>
      <x:c r="L3371" s="185" t="str">
        <x:v>Não classificado</x:v>
      </x:c>
    </x:row>
    <x:row r="3372">
      <x:c r="A3372" s="175" t="str">
        <x:v>58.312.065/0001-52</x:v>
      </x:c>
      <x:c r="B3372" s="166" t="str">
        <x:v>SDA FUNDO DE INVESTIMENTO EM DIREITOS CREDITÓRIOS - RESPONSABILIDADE LIMITADA</x:v>
      </x:c>
      <x:c r="C3372" s="188" t="n">
        <x:v>0</x:v>
      </x:c>
      <x:c r="D3372" s="166" t="str">
        <x:v>SQUALO CAPITAL GESTORA DE RECURSOS LTDA.</x:v>
      </x:c>
      <x:c r="E3372" s="166" t="str">
        <x:f>IFERROR(INDEX('Classif Gestoras'!$H$6:$H$462,MATCH(D3372,'Classif Gestoras'!$A$6:$A$462,0)),"Não classificada")</x:f>
        <x:v>Independente</x:v>
      </x:c>
      <x:c r="F3372" s="166" t="str">
        <x:v>Limine Trust Distribuidora de Titulos e Valores Mobiliá</x:v>
      </x:c>
      <x:c r="G3372" s="166" t="str">
        <x:v>LIMINE TRUST DISTRIBUIDORA DE TITULOS E VALORES MOBILIARIOS LTDA.</x:v>
      </x:c>
      <x:c r="H3372" s="166" t="str">
        <x:v>Outros</x:v>
      </x:c>
      <x:c r="I3372" s="166" t="str">
        <x:v>Multicarteira Outros</x:v>
      </x:c>
      <x:c r="J3372" s="166" t="str">
        <x:v>CI</x:v>
      </x:c>
      <x:c r="K3372" s="172" t="n">
        <x:v>13</x:v>
      </x:c>
      <x:c r="L3372" s="185" t="str">
        <x:v>Não classificado</x:v>
      </x:c>
    </x:row>
    <x:row r="3373">
      <x:c r="A3373" s="175" t="str">
        <x:v>49.691.846/0001-04</x:v>
      </x:c>
      <x:c r="B3373" s="166" t="str">
        <x:v>CNPJ 49691846000104</x:v>
      </x:c>
      <x:c r="C3373" s="188" t="n">
        <x:v>0</x:v>
      </x:c>
      <x:c r="D3373" s="166" t="str">
        <x:v>Kanastra</x:v>
      </x:c>
      <x:c r="E3373" s="166" t="str">
        <x:f>IFERROR(INDEX('Classif Gestoras'!$H$6:$H$462,MATCH(D3373,'Classif Gestoras'!$A$6:$A$462,0)),"Não classificada")</x:f>
        <x:v>Independente</x:v>
      </x:c>
      <x:c r="F3373" s="166" t="str">
        <x:v>Limine Trust Distribuidora de Titulos e Valores Mobiliá</x:v>
      </x:c>
      <x:c r="G3373" s="166" t="str">
        <x:v>Não identificado</x:v>
      </x:c>
      <x:c r="H3373" s="166" t="str">
        <x:v>Outros</x:v>
      </x:c>
      <x:c r="I3373" s="166" t="str">
        <x:v>Multicarteira Outros</x:v>
      </x:c>
      <x:c r="J3373" s="166" t="str">
        <x:v>CI</x:v>
      </x:c>
      <x:c r="K3373" s="172"/>
      <x:c r="L3373" s="185" t="str">
        <x:v>Não classificado</x:v>
      </x:c>
    </x:row>
    <x:row r="3374">
      <x:c r="A3374" s="175" t="str">
        <x:v>54.287.342/0001-63</x:v>
      </x:c>
      <x:c r="B3374" s="166" t="str">
        <x:v>CNPJ 54287342000163</x:v>
      </x:c>
      <x:c r="C3374" s="188" t="n">
        <x:v>0</x:v>
      </x:c>
      <x:c r="D3374" s="166" t="str">
        <x:v>ELLO ASSET MANAGEMENT</x:v>
      </x:c>
      <x:c r="E3374" s="166" t="str">
        <x:f>IFERROR(INDEX('Classif Gestoras'!$H$6:$H$462,MATCH(D3374,'Classif Gestoras'!$A$6:$A$462,0)),"Não classificada")</x:f>
        <x:v>Independente</x:v>
      </x:c>
      <x:c r="F3374" s="166" t="str">
        <x:v>VÓRTX DTVM</x:v>
      </x:c>
      <x:c r="G3374" s="166" t="str">
        <x:v>Não identificado</x:v>
      </x:c>
      <x:c r="H3374" s="166" t="str">
        <x:v>Financeiro</x:v>
      </x:c>
      <x:c r="I3374" s="166" t="str">
        <x:v>Crédito Consignado</x:v>
      </x:c>
      <x:c r="J3374" s="166" t="str">
        <x:v>CI</x:v>
      </x:c>
      <x:c r="K3374" s="172"/>
      <x:c r="L3374" s="185" t="str">
        <x:v>Não classificado</x:v>
      </x:c>
    </x:row>
    <x:row r="3375">
      <x:c r="A3375" s="175" t="str">
        <x:v>49.789.715/0001-64</x:v>
      </x:c>
      <x:c r="B3375" s="166" t="str">
        <x:v>ELETRONET FUNDO DE INVESTIMENTO EM DIREITOS CREDITÓRIOS</x:v>
      </x:c>
      <x:c r="C3375" s="188" t="n">
        <x:v>0</x:v>
      </x:c>
      <x:c r="D3375" s="166" t="str">
        <x:v>FAR - FATOR ADMINIST</x:v>
      </x:c>
      <x:c r="E3375" s="166" t="str">
        <x:f>IFERROR(INDEX('Classif Gestoras'!$H$6:$H$462,MATCH(D3375,'Classif Gestoras'!$A$6:$A$462,0)),"Não classificada")</x:f>
        <x:v>Independente</x:v>
      </x:c>
      <x:c r="F3375" s="166" t="str">
        <x:v>BANCO DAYCOVAL S/A</x:v>
      </x:c>
      <x:c r="G3375" s="166" t="str">
        <x:v>BANCO DAYCOVAL S.A.</x:v>
      </x:c>
      <x:c r="H3375" s="166" t="str">
        <x:v>Outros</x:v>
      </x:c>
      <x:c r="I3375" s="166" t="str">
        <x:v>Multicarteira Outros</x:v>
      </x:c>
      <x:c r="J3375" s="166" t="str">
        <x:v>CI</x:v>
      </x:c>
      <x:c r="K3375" s="172" t="n">
        <x:v>0</x:v>
      </x:c>
      <x:c r="L3375" s="185" t="str">
        <x:v>Não classificado</x:v>
      </x:c>
    </x:row>
    <x:row r="3376">
      <x:c r="A3376" s="175" t="str">
        <x:v>40.617.721/0001-60</x:v>
      </x:c>
      <x:c r="B3376" s="166" t="str">
        <x:v>MONTENEGRO FUNDO DE INVESTIMENTO EM DIREITOS CREDITÓRIOS NÃO PADRONIZADO</x:v>
      </x:c>
      <x:c r="C3376" s="188" t="n">
        <x:v>0</x:v>
      </x:c>
      <x:c r="D3376" s="166" t="str">
        <x:v>BURITI INVESTIMENTOS</x:v>
      </x:c>
      <x:c r="E3376" s="166" t="str">
        <x:f>IFERROR(INDEX('Classif Gestoras'!$H$6:$H$462,MATCH(D3376,'Classif Gestoras'!$A$6:$A$462,0)),"Não classificada")</x:f>
        <x:v>Independente</x:v>
      </x:c>
      <x:c r="F3376" s="166" t="str">
        <x:v>Singulare</x:v>
      </x:c>
      <x:c r="G3376" s="166" t="str">
        <x:v>BARU DISTRIBUIDORA DE TÍTULOS E VALORES MOBILIÁRIOS LTDA.</x:v>
      </x:c>
      <x:c r="H3376" s="166" t="str">
        <x:v>Outros</x:v>
      </x:c>
      <x:c r="I3376" s="166" t="str">
        <x:v>Multicarteira Outros</x:v>
      </x:c>
      <x:c r="J3376" s="166" t="str">
        <x:v>CI</x:v>
      </x:c>
      <x:c r="K3376" s="172" t="n">
        <x:v>3</x:v>
      </x:c>
      <x:c r="L3376" s="185" t="str">
        <x:v>Não classificado</x:v>
      </x:c>
    </x:row>
    <x:row r="3377">
      <x:c r="A3377" s="175" t="str">
        <x:v>11.641.910/0001-70</x:v>
      </x:c>
      <x:c r="B3377" s="166" t="str">
        <x:v>CNPJ 11641910000170</x:v>
      </x:c>
      <x:c r="C3377" s="188" t="n">
        <x:v>0</x:v>
      </x:c>
      <x:c r="D3377" s="166" t="str">
        <x:v>GRAPHEN INVESTIMENTOS</x:v>
      </x:c>
      <x:c r="E3377" s="166" t="str">
        <x:f>IFERROR(INDEX('Classif Gestoras'!$H$6:$H$462,MATCH(D3377,'Classif Gestoras'!$A$6:$A$462,0)),"Não classificada")</x:f>
        <x:v>Independente</x:v>
      </x:c>
      <x:c r="F3377" s="166" t="str">
        <x:v>SLW CVC LTDA</x:v>
      </x:c>
      <x:c r="G3377" s="166" t="str">
        <x:v>Não identificado</x:v>
      </x:c>
      <x:c r="H3377" s="166" t="str">
        <x:v>Outros</x:v>
      </x:c>
      <x:c r="I3377" s="166" t="str">
        <x:v>Poder Público</x:v>
      </x:c>
      <x:c r="J3377" s="166" t="str">
        <x:v>CI</x:v>
      </x:c>
      <x:c r="K3377" s="172"/>
      <x:c r="L3377" s="185" t="str">
        <x:v>Não classificado</x:v>
      </x:c>
    </x:row>
    <x:row r="3378">
      <x:c r="A3378" s="175" t="str">
        <x:v>49.815.297/0001-32</x:v>
      </x:c>
      <x:c r="B3378" s="166" t="str">
        <x:v>CNPJ 49815297000132</x:v>
      </x:c>
      <x:c r="C3378" s="188" t="n">
        <x:v>0</x:v>
      </x:c>
      <x:c r="D3378" s="166" t="str">
        <x:v>Multiplica Capital</x:v>
      </x:c>
      <x:c r="E3378" s="166" t="str">
        <x:f>IFERROR(INDEX('Classif Gestoras'!$H$6:$H$462,MATCH(D3378,'Classif Gestoras'!$A$6:$A$462,0)),"Não classificada")</x:f>
        <x:v>Independente</x:v>
      </x:c>
      <x:c r="F3378" s="166" t="str">
        <x:v>PLANNER CV</x:v>
      </x:c>
      <x:c r="G3378" s="166" t="str">
        <x:v>Não identificado</x:v>
      </x:c>
      <x:c r="H3378" s="166" t="str">
        <x:v>Fomento Mercantil</x:v>
      </x:c>
      <x:c r="I3378" s="166" t="str">
        <x:v>Fomento Mercantil</x:v>
      </x:c>
      <x:c r="J3378" s="166" t="str">
        <x:v>CI</x:v>
      </x:c>
      <x:c r="K3378" s="172"/>
      <x:c r="L3378" s="185" t="str">
        <x:v>Não classificado</x:v>
      </x:c>
    </x:row>
    <x:row r="3379">
      <x:c r="A3379" s="175" t="str">
        <x:v>53.304.046/0001-60</x:v>
      </x:c>
      <x:c r="B3379" s="166" t="str">
        <x:v>TAURUS FUNDO DE INVESTIMENTO EM DIREITOS CREDITÓRIOS</x:v>
      </x:c>
      <x:c r="C3379" s="188" t="n">
        <x:v>0</x:v>
      </x:c>
      <x:c r="D3379" s="166" t="str">
        <x:v>TRUSTEE DTVM</x:v>
      </x:c>
      <x:c r="E3379" s="166" t="str">
        <x:f>IFERROR(INDEX('Classif Gestoras'!$H$6:$H$462,MATCH(D3379,'Classif Gestoras'!$A$6:$A$462,0)),"Não classificada")</x:f>
        <x:v>Independente</x:v>
      </x:c>
      <x:c r="F3379" s="166" t="str">
        <x:v>MASTER S/A CORRETORA</x:v>
      </x:c>
      <x:c r="G3379" s="166" t="str">
        <x:v>MASTER S/A CORRETORA DE CAMBIO, TITULOS E VALORES MOBILIARIOS</x:v>
      </x:c>
      <x:c r="H3379" s="166" t="str">
        <x:v>Outros</x:v>
      </x:c>
      <x:c r="I3379" s="166" t="str">
        <x:v>Multicarteira Outros</x:v>
      </x:c>
      <x:c r="J3379" s="166" t="str">
        <x:v>CI</x:v>
      </x:c>
      <x:c r="K3379" s="172" t="n">
        <x:v>1</x:v>
      </x:c>
      <x:c r="L3379" s="185" t="str">
        <x:v>Não classificado</x:v>
      </x:c>
    </x:row>
    <x:row r="3380">
      <x:c r="A3380" s="175" t="str">
        <x:v>53.312.645/0001-26</x:v>
      </x:c>
      <x:c r="B3380" s="166" t="str">
        <x:v>CNPJ 53312645000126</x:v>
      </x:c>
      <x:c r="C3380" s="188" t="n">
        <x:v>0</x:v>
      </x:c>
      <x:c r="D3380" s="166" t="str">
        <x:v>ARC Capital</x:v>
      </x:c>
      <x:c r="E3380" s="166" t="str">
        <x:f>IFERROR(INDEX('Classif Gestoras'!$H$6:$H$462,MATCH(D3380,'Classif Gestoras'!$A$6:$A$462,0)),"Não classificada")</x:f>
        <x:v>Independente</x:v>
      </x:c>
      <x:c r="F3380" s="166" t="str">
        <x:v>REAG DTVM</x:v>
      </x:c>
      <x:c r="G3380" s="166" t="str">
        <x:v>Não identificado</x:v>
      </x:c>
      <x:c r="H3380" s="166" t="str">
        <x:v>Agro, Indústria e Comércio</x:v>
      </x:c>
      <x:c r="I3380" s="166" t="str">
        <x:v>Agronegócio</x:v>
      </x:c>
      <x:c r="J3380" s="166" t="str">
        <x:v>CI</x:v>
      </x:c>
      <x:c r="K3380" s="172"/>
      <x:c r="L3380" s="185" t="str">
        <x:v>Não classificado</x:v>
      </x:c>
    </x:row>
    <x:row r="3381">
      <x:c r="A3381" s="175" t="str">
        <x:v>26.111.863/0001-20</x:v>
      </x:c>
      <x:c r="B3381" s="166" t="str">
        <x:v>CNPJ 26111863000120</x:v>
      </x:c>
      <x:c r="C3381" s="188" t="n">
        <x:v>0</x:v>
      </x:c>
      <x:c r="D3381" s="166" t="str">
        <x:v>BLP CAPITAL</x:v>
      </x:c>
      <x:c r="E3381" s="166" t="str">
        <x:f>IFERROR(INDEX('Classif Gestoras'!$H$6:$H$462,MATCH(D3381,'Classif Gestoras'!$A$6:$A$462,0)),"Não classificada")</x:f>
        <x:v>Independente</x:v>
      </x:c>
      <x:c r="F3381" s="166" t="str">
        <x:v>TRUSTEE DTVM</x:v>
      </x:c>
      <x:c r="G3381" s="166" t="str">
        <x:v>Não identificado</x:v>
      </x:c>
      <x:c r="H3381" s="166" t="str">
        <x:v>Outros</x:v>
      </x:c>
      <x:c r="I3381" s="166" t="str">
        <x:v>Multicarteira Outros</x:v>
      </x:c>
      <x:c r="J3381" s="166" t="str">
        <x:v>CI</x:v>
      </x:c>
      <x:c r="K3381" s="172"/>
      <x:c r="L3381" s="185" t="str">
        <x:v>Não classificado</x:v>
      </x:c>
    </x:row>
    <x:row r="3382">
      <x:c r="A3382" s="175" t="str">
        <x:v>51.152.102/0001-63</x:v>
      </x:c>
      <x:c r="B3382" s="166" t="str">
        <x:v>HIGH TOWER FUNDO DE INVESTIMENTO EM DIREITOS CREDITÓRIOS NÃO-PADRONIZADOS</x:v>
      </x:c>
      <x:c r="C3382" s="188" t="n">
        <x:v>0</x:v>
      </x:c>
      <x:c r="D3382" s="166" t="str">
        <x:v>Reag Jus</x:v>
      </x:c>
      <x:c r="E3382" s="166" t="str">
        <x:f>IFERROR(INDEX('Classif Gestoras'!$H$6:$H$462,MATCH(D3382,'Classif Gestoras'!$A$6:$A$462,0)),"Não classificada")</x:f>
        <x:v>Independente</x:v>
      </x:c>
      <x:c r="F3382" s="166" t="str">
        <x:v>REAG DTVM</x:v>
      </x:c>
      <x:c r="G3382" s="166" t="str">
        <x:v>REAG TRUST DISTRIBUIDORA DE TITULOS E VALORES MOBILIARIOS S.A.</x:v>
      </x:c>
      <x:c r="H3382" s="166" t="str">
        <x:v>Outros</x:v>
      </x:c>
      <x:c r="I3382" s="166" t="str">
        <x:v>Multicarteira Outros</x:v>
      </x:c>
      <x:c r="J3382" s="166" t="str">
        <x:v>CI</x:v>
      </x:c>
      <x:c r="K3382" s="172" t="n">
        <x:v>1</x:v>
      </x:c>
      <x:c r="L3382" s="185" t="str">
        <x:v>Não classificado</x:v>
      </x:c>
    </x:row>
    <x:row r="3383">
      <x:c r="A3383" s="175" t="str">
        <x:v>40.365.982/0001-30</x:v>
      </x:c>
      <x:c r="B3383" s="166" t="str">
        <x:v>CNPJ 40365982000130</x:v>
      </x:c>
      <x:c r="C3383" s="188" t="n">
        <x:v>0</x:v>
      </x:c>
      <x:c r="D3383" s="166" t="str">
        <x:v>Quadra Gestão de Recursos S.A.</x:v>
      </x:c>
      <x:c r="E3383" s="166" t="str">
        <x:f>IFERROR(INDEX('Classif Gestoras'!$H$6:$H$462,MATCH(D3383,'Classif Gestoras'!$A$6:$A$462,0)),"Não classificada")</x:f>
        <x:v>Independente</x:v>
      </x:c>
      <x:c r="F3383" s="166" t="str">
        <x:v>BTG Pactual Servicos Financeiros S/A DTVM</x:v>
      </x:c>
      <x:c r="G3383" s="166" t="str">
        <x:v>Não identificado</x:v>
      </x:c>
      <x:c r="H3383" s="166" t="str">
        <x:v>Agro, Indústria e Comércio</x:v>
      </x:c>
      <x:c r="I3383" s="166" t="str">
        <x:v>Infraestrutura</x:v>
      </x:c>
      <x:c r="J3383" s="166" t="str">
        <x:v>CI</x:v>
      </x:c>
      <x:c r="K3383" s="172"/>
      <x:c r="L3383" s="185" t="str">
        <x:v>Não classificado</x:v>
      </x:c>
    </x:row>
    <x:row r="3384">
      <x:c r="A3384" s="175" t="str">
        <x:v>30.283.448/0001-20</x:v>
      </x:c>
      <x:c r="B3384" s="166" t="str">
        <x:v>CNPJ 30283448000120</x:v>
      </x:c>
      <x:c r="C3384" s="188" t="n">
        <x:v>0</x:v>
      </x:c>
      <x:c r="D3384" s="166" t="str">
        <x:v>FATOR INNOVATION LTDA</x:v>
      </x:c>
      <x:c r="E3384" s="166" t="str">
        <x:f>IFERROR(INDEX('Classif Gestoras'!$H$6:$H$462,MATCH(D3384,'Classif Gestoras'!$A$6:$A$462,0)),"Não classificada")</x:f>
        <x:v>Independente</x:v>
      </x:c>
      <x:c r="F3384" s="166" t="str">
        <x:v>Singulare</x:v>
      </x:c>
      <x:c r="G3384" s="166" t="str">
        <x:v>Não identificado</x:v>
      </x:c>
      <x:c r="H3384" s="166" t="str">
        <x:v>Agro, Indústria e Comércio</x:v>
      </x:c>
      <x:c r="I3384" s="166" t="str">
        <x:v>Não se aplica</x:v>
      </x:c>
      <x:c r="J3384" s="166" t="str">
        <x:v>CI</x:v>
      </x:c>
      <x:c r="K3384" s="172"/>
      <x:c r="L3384" s="185" t="str">
        <x:v>Não classificado</x:v>
      </x:c>
    </x:row>
    <x:row r="3385">
      <x:c r="A3385" s="175" t="str">
        <x:v>51.151.251/0001-08</x:v>
      </x:c>
      <x:c r="B3385" s="166" t="str">
        <x:v>RINDT FUNDO DE INVESTIMENTO EM DIREITOS CREDITÓRIOS</x:v>
      </x:c>
      <x:c r="C3385" s="188" t="n">
        <x:v>0</x:v>
      </x:c>
      <x:c r="D3385" s="166" t="str">
        <x:v>Reag Jus</x:v>
      </x:c>
      <x:c r="E3385" s="166" t="str">
        <x:f>IFERROR(INDEX('Classif Gestoras'!$H$6:$H$462,MATCH(D3385,'Classif Gestoras'!$A$6:$A$462,0)),"Não classificada")</x:f>
        <x:v>Independente</x:v>
      </x:c>
      <x:c r="F3385" s="166" t="str">
        <x:v>REAG DTVM</x:v>
      </x:c>
      <x:c r="G3385" s="166" t="str">
        <x:v>REAG TRUST DISTRIBUIDORA DE TITULOS E VALORES MOBILIARIOS S.A.</x:v>
      </x:c>
      <x:c r="H3385" s="166" t="str">
        <x:v>Outros</x:v>
      </x:c>
      <x:c r="I3385" s="166" t="str">
        <x:v>Multicarteira Outros</x:v>
      </x:c>
      <x:c r="J3385" s="166" t="str">
        <x:v>CI</x:v>
      </x:c>
      <x:c r="K3385" s="172" t="n">
        <x:v>1</x:v>
      </x:c>
      <x:c r="L3385" s="185" t="str">
        <x:v>Não classificado</x:v>
      </x:c>
    </x:row>
    <x:row r="3386">
      <x:c r="A3386" s="175" t="str">
        <x:v>39.273.613/0001-38</x:v>
      </x:c>
      <x:c r="B3386" s="166" t="str">
        <x:v>VANGUARD FUNDO DE INVESTIMENTO EM DIREITOS CREDITÓRIOS</x:v>
      </x:c>
      <x:c r="C3386" s="188" t="n">
        <x:v>0</x:v>
      </x:c>
      <x:c r="D3386" s="166" t="str">
        <x:v>TRUSTEE DTVM</x:v>
      </x:c>
      <x:c r="E3386" s="166" t="str">
        <x:f>IFERROR(INDEX('Classif Gestoras'!$H$6:$H$462,MATCH(D3386,'Classif Gestoras'!$A$6:$A$462,0)),"Não classificada")</x:f>
        <x:v>Independente</x:v>
      </x:c>
      <x:c r="F3386" s="166" t="str">
        <x:v>TRUSTEE DTVM</x:v>
      </x:c>
      <x:c r="G3386" s="166" t="str">
        <x:v>TRUSTEE DISTRIBUIDORA DE TITULOS E VALORES MOBILIARIOS LTDA.</x:v>
      </x:c>
      <x:c r="H3386" s="166" t="str">
        <x:v>Outros</x:v>
      </x:c>
      <x:c r="I3386" s="166" t="str">
        <x:v>Multicarteira Outros</x:v>
      </x:c>
      <x:c r="J3386" s="166" t="str">
        <x:v>CI</x:v>
      </x:c>
      <x:c r="K3386" s="172" t="n">
        <x:v>1</x:v>
      </x:c>
      <x:c r="L3386" s="185" t="str">
        <x:v>Não classificado</x:v>
      </x:c>
    </x:row>
    <x:row r="3387">
      <x:c r="A3387" s="175" t="str">
        <x:v>49.878.868/0001-88</x:v>
      </x:c>
      <x:c r="B3387" s="166" t="str">
        <x:v>AUGE CAPITAL FUNDO DE INVESTIMENTO EM DIREITOS CREDITÓRIOS PADRONIZADO</x:v>
      </x:c>
      <x:c r="C3387" s="188" t="n">
        <x:v>0</x:v>
      </x:c>
      <x:c r="D3387" s="166" t="str">
        <x:v>GFS INVESTIMENTOS</x:v>
      </x:c>
      <x:c r="E3387" s="166" t="str">
        <x:f>IFERROR(INDEX('Classif Gestoras'!$H$6:$H$462,MATCH(D3387,'Classif Gestoras'!$A$6:$A$462,0)),"Não classificada")</x:f>
        <x:v>Independente</x:v>
      </x:c>
      <x:c r="F3387" s="166" t="str">
        <x:v>PLANNER CV</x:v>
      </x:c>
      <x:c r="G3387" s="166" t="str">
        <x:v>PLANNER CORRETORA DE VALORES S.A.</x:v>
      </x:c>
      <x:c r="H3387" s="166" t="str">
        <x:v>Financeiro</x:v>
      </x:c>
      <x:c r="I3387" s="166" t="str">
        <x:v>Multicarteira Financeiro</x:v>
      </x:c>
      <x:c r="J3387" s="166" t="str">
        <x:v>CI</x:v>
      </x:c>
      <x:c r="K3387" s="172" t="n">
        <x:v>12</x:v>
      </x:c>
      <x:c r="L3387" s="185" t="str">
        <x:v>Não classificado</x:v>
      </x:c>
    </x:row>
    <x:row r="3388">
      <x:c r="A3388" s="175" t="str">
        <x:v>53.313.856/0001-83</x:v>
      </x:c>
      <x:c r="B3388" s="166" t="str">
        <x:v>RAIKKONEN FUNDO DE INVESTIMENTO EM DIREITOS CREDITÓRIOS</x:v>
      </x:c>
      <x:c r="C3388" s="188" t="n">
        <x:v>0</x:v>
      </x:c>
      <x:c r="D3388" s="166" t="str">
        <x:v>Reag Jus</x:v>
      </x:c>
      <x:c r="E3388" s="166" t="str">
        <x:f>IFERROR(INDEX('Classif Gestoras'!$H$6:$H$462,MATCH(D3388,'Classif Gestoras'!$A$6:$A$462,0)),"Não classificada")</x:f>
        <x:v>Independente</x:v>
      </x:c>
      <x:c r="F3388" s="166" t="str">
        <x:v>REAG DTVM</x:v>
      </x:c>
      <x:c r="G3388" s="166" t="str">
        <x:v>REAG TRUST DISTRIBUIDORA DE TITULOS E VALORES MOBILIARIOS S.A.</x:v>
      </x:c>
      <x:c r="H3388" s="166" t="str">
        <x:v>Outros</x:v>
      </x:c>
      <x:c r="I3388" s="166" t="str">
        <x:v>Multicarteira Outros</x:v>
      </x:c>
      <x:c r="J3388" s="166" t="str">
        <x:v>CI</x:v>
      </x:c>
      <x:c r="K3388" s="172" t="n">
        <x:v>1</x:v>
      </x:c>
      <x:c r="L3388" s="185" t="str">
        <x:v>Não classificado</x:v>
      </x:c>
    </x:row>
    <x:row r="3389">
      <x:c r="A3389" s="175" t="str">
        <x:v>58.375.913/0001-72</x:v>
      </x:c>
      <x:c r="B3389" s="166" t="str">
        <x:v>CNPJ 58375913000172</x:v>
      </x:c>
      <x:c r="C3389" s="188" t="n">
        <x:v>0</x:v>
      </x:c>
      <x:c r="D3389" s="166" t="str">
        <x:v>Plural Investimentos Gestão de Recursos Ltda.</x:v>
      </x:c>
      <x:c r="E3389" s="166" t="str">
        <x:f>IFERROR(INDEX('Classif Gestoras'!$H$6:$H$462,MATCH(D3389,'Classif Gestoras'!$A$6:$A$462,0)),"Não classificada")</x:f>
        <x:v>Ligada a banco</x:v>
      </x:c>
      <x:c r="F3389" s="166" t="str">
        <x:v>Genial Investimentos Corretora de Valores Mobiliários S.A.</x:v>
      </x:c>
      <x:c r="G3389" s="166" t="str">
        <x:v>Não identificado</x:v>
      </x:c>
      <x:c r="H3389" s="166" t="str">
        <x:v>Outros</x:v>
      </x:c>
      <x:c r="I3389" s="166" t="str">
        <x:v>Multicarteira Outros</x:v>
      </x:c>
      <x:c r="J3389" s="166" t="str">
        <x:v>CI</x:v>
      </x:c>
      <x:c r="K3389" s="172"/>
      <x:c r="L3389" s="185" t="str">
        <x:v>Não classificado</x:v>
      </x:c>
    </x:row>
    <x:row r="3390">
      <x:c r="A3390" s="175" t="str">
        <x:v>34.736.565/0001-53</x:v>
      </x:c>
      <x:c r="B3390" s="166" t="str">
        <x:v>CNPJ 34736565000153</x:v>
      </x:c>
      <x:c r="C3390" s="188" t="n">
        <x:v>0</x:v>
      </x:c>
      <x:c r="D3390" s="166" t="str">
        <x:v>POLÍGONO CAPITAL LTDA.</x:v>
      </x:c>
      <x:c r="E3390" s="166" t="str">
        <x:f>IFERROR(INDEX('Classif Gestoras'!$H$6:$H$462,MATCH(D3390,'Classif Gestoras'!$A$6:$A$462,0)),"Não classificada")</x:f>
        <x:v>Independente</x:v>
      </x:c>
      <x:c r="F3390" s="166" t="str">
        <x:v>Finvest Digital</x:v>
      </x:c>
      <x:c r="G3390" s="166" t="str">
        <x:v>Não identificado</x:v>
      </x:c>
      <x:c r="H3390" s="166" t="str">
        <x:v>Outros</x:v>
      </x:c>
      <x:c r="I3390" s="166" t="str">
        <x:v>Multicarteira Outros</x:v>
      </x:c>
      <x:c r="J3390" s="166" t="str">
        <x:v>CI</x:v>
      </x:c>
      <x:c r="K3390" s="172"/>
      <x:c r="L3390" s="185" t="str">
        <x:v>Não classificado</x:v>
      </x:c>
    </x:row>
    <x:row r="3391">
      <x:c r="A3391" s="175" t="str">
        <x:v>54.218.932/0001-34</x:v>
      </x:c>
      <x:c r="B3391" s="166" t="str">
        <x:v>CNPJ 54218932000134</x:v>
      </x:c>
      <x:c r="C3391" s="188" t="n">
        <x:v>0</x:v>
      </x:c>
      <x:c r="D3391" s="166" t="str">
        <x:v>REAG PORTFOLIO SOLUTIONS</x:v>
      </x:c>
      <x:c r="E3391" s="166" t="str">
        <x:f>IFERROR(INDEX('Classif Gestoras'!$H$6:$H$462,MATCH(D3391,'Classif Gestoras'!$A$6:$A$462,0)),"Não classificada")</x:f>
        <x:v>Independente</x:v>
      </x:c>
      <x:c r="F3391" s="166" t="str">
        <x:v>REAG DTVM</x:v>
      </x:c>
      <x:c r="G3391" s="166" t="str">
        <x:v>Não identificado</x:v>
      </x:c>
      <x:c r="H3391" s="166" t="str">
        <x:v>Outros</x:v>
      </x:c>
      <x:c r="I3391" s="166" t="str">
        <x:v>Não se aplica</x:v>
      </x:c>
      <x:c r="J3391" s="166" t="str">
        <x:v>CI</x:v>
      </x:c>
      <x:c r="K3391" s="172"/>
      <x:c r="L3391" s="185" t="str">
        <x:v>Não classificado</x:v>
      </x:c>
    </x:row>
    <x:row r="3392">
      <x:c r="A3392" s="175" t="str">
        <x:v>53.323.654/0001-12</x:v>
      </x:c>
      <x:c r="B3392" s="166" t="str">
        <x:v>CNPJ 53323654000112</x:v>
      </x:c>
      <x:c r="C3392" s="188" t="n">
        <x:v>0</x:v>
      </x:c>
      <x:c r="D3392" s="166" t="str">
        <x:v>BRL TRUST DTVM</x:v>
      </x:c>
      <x:c r="E3392" s="166" t="str">
        <x:f>IFERROR(INDEX('Classif Gestoras'!$H$6:$H$462,MATCH(D3392,'Classif Gestoras'!$A$6:$A$462,0)),"Não classificada")</x:f>
        <x:v>Independente</x:v>
      </x:c>
      <x:c r="F3392" s="166" t="str">
        <x:v>BRL TRUST DTVM</x:v>
      </x:c>
      <x:c r="G3392" s="166" t="str">
        <x:v>Não identificado</x:v>
      </x:c>
      <x:c r="H3392" s="166" t="str">
        <x:v>Outros</x:v>
      </x:c>
      <x:c r="I3392" s="166" t="str">
        <x:v>Não se aplica</x:v>
      </x:c>
      <x:c r="J3392" s="166" t="str">
        <x:v>CI</x:v>
      </x:c>
      <x:c r="K3392" s="172"/>
      <x:c r="L3392" s="185" t="str">
        <x:v>Não classificado</x:v>
      </x:c>
    </x:row>
    <x:row r="3393">
      <x:c r="A3393" s="175" t="str">
        <x:v>34.850.088/0001-52</x:v>
      </x:c>
      <x:c r="B3393" s="166" t="str">
        <x:v>CNPJ 34850088000152</x:v>
      </x:c>
      <x:c r="C3393" s="188" t="n">
        <x:v>0</x:v>
      </x:c>
      <x:c r="D3393" s="166" t="str">
        <x:v>GENIAL GESTÃO LTDA.</x:v>
      </x:c>
      <x:c r="E3393" s="166" t="str">
        <x:f>IFERROR(INDEX('Classif Gestoras'!$H$6:$H$462,MATCH(D3393,'Classif Gestoras'!$A$6:$A$462,0)),"Não classificada")</x:f>
        <x:v>Ligada a banco</x:v>
      </x:c>
      <x:c r="F3393" s="166" t="str">
        <x:v>Banco Genial S.A.</x:v>
      </x:c>
      <x:c r="G3393" s="166" t="str">
        <x:v>Não identificado</x:v>
      </x:c>
      <x:c r="H3393" s="166" t="str">
        <x:v>Agro, Indústria e Comércio</x:v>
      </x:c>
      <x:c r="I3393" s="166" t="str">
        <x:v>Recebíveis Comerciais</x:v>
      </x:c>
      <x:c r="J3393" s="166" t="str">
        <x:v>CI</x:v>
      </x:c>
      <x:c r="K3393" s="172"/>
      <x:c r="L3393" s="185" t="str">
        <x:v>Não classificado</x:v>
      </x:c>
    </x:row>
    <x:row r="3394">
      <x:c r="A3394" s="175" t="str">
        <x:v>53.864.983/0001-70</x:v>
      </x:c>
      <x:c r="B3394" s="166" t="str">
        <x:v>CNPJ 53864983000170</x:v>
      </x:c>
      <x:c r="C3394" s="188" t="n">
        <x:v>0</x:v>
      </x:c>
      <x:c r="D3394" s="166" t="str">
        <x:v>REAG PORTFOLIO SOLUTIONS</x:v>
      </x:c>
      <x:c r="E3394" s="166" t="str">
        <x:f>IFERROR(INDEX('Classif Gestoras'!$H$6:$H$462,MATCH(D3394,'Classif Gestoras'!$A$6:$A$462,0)),"Não classificada")</x:f>
        <x:v>Independente</x:v>
      </x:c>
      <x:c r="F3394" s="166" t="str">
        <x:v>REAG DTVM</x:v>
      </x:c>
      <x:c r="G3394" s="166" t="str">
        <x:v>Não identificado</x:v>
      </x:c>
      <x:c r="H3394" s="166" t="str">
        <x:v>Outros</x:v>
      </x:c>
      <x:c r="I3394" s="166" t="str">
        <x:v>Multicarteira Outros</x:v>
      </x:c>
      <x:c r="J3394" s="166" t="str">
        <x:v>CI</x:v>
      </x:c>
      <x:c r="K3394" s="172"/>
      <x:c r="L3394" s="185" t="str">
        <x:v>Não classificado</x:v>
      </x:c>
    </x:row>
    <x:row r="3395">
      <x:c r="A3395" s="175" t="str">
        <x:v>50.314.076/0001-60</x:v>
      </x:c>
      <x:c r="B3395" s="166" t="str">
        <x:v>AZO FUNDO DE INVESTIMENTO EM DIREITOS CREDITÓRIOS NÃO-PADRONIZADO</x:v>
      </x:c>
      <x:c r="C3395" s="188" t="n">
        <x:v>0</x:v>
      </x:c>
      <x:c r="D3395" s="166" t="str">
        <x:v>Reditus Investimentos LTDA</x:v>
      </x:c>
      <x:c r="E3395" s="166" t="str">
        <x:f>IFERROR(INDEX('Classif Gestoras'!$H$6:$H$462,MATCH(D3395,'Classif Gestoras'!$A$6:$A$462,0)),"Não classificada")</x:f>
        <x:v>Independente</x:v>
      </x:c>
      <x:c r="F3395" s="166" t="str">
        <x:v>Finvest Digital</x:v>
      </x:c>
      <x:c r="G3395" s="166" t="str">
        <x:v>REAG TRUST DISTRIBUIDORA DE TITULOS E VALORES MOBILIARIOS S.A.</x:v>
      </x:c>
      <x:c r="H3395" s="166" t="str">
        <x:v>Outros</x:v>
      </x:c>
      <x:c r="I3395" s="166" t="str">
        <x:v>Multicarteira Outros</x:v>
      </x:c>
      <x:c r="J3395" s="166" t="str">
        <x:v>CI</x:v>
      </x:c>
      <x:c r="K3395" s="172" t="n">
        <x:v>1</x:v>
      </x:c>
      <x:c r="L3395" s="185" t="str">
        <x:v>Não classificado</x:v>
      </x:c>
    </x:row>
    <x:row r="3396">
      <x:c r="A3396" s="175" t="str">
        <x:v>50.314.230/0001-01</x:v>
      </x:c>
      <x:c r="B3396" s="166" t="str">
        <x:v>CNPJ 50314230000101</x:v>
      </x:c>
      <x:c r="C3396" s="188" t="n">
        <x:v>0</x:v>
      </x:c>
      <x:c r="D3396" s="166" t="str">
        <x:v>Reditus Investimentos LTDA</x:v>
      </x:c>
      <x:c r="E3396" s="166" t="str">
        <x:f>IFERROR(INDEX('Classif Gestoras'!$H$6:$H$462,MATCH(D3396,'Classif Gestoras'!$A$6:$A$462,0)),"Não classificada")</x:f>
        <x:v>Independente</x:v>
      </x:c>
      <x:c r="F3396" s="166" t="str">
        <x:v>Finvest Digital</x:v>
      </x:c>
      <x:c r="G3396" s="166" t="str">
        <x:v>Não identificado</x:v>
      </x:c>
      <x:c r="H3396" s="166" t="str">
        <x:v>Outros</x:v>
      </x:c>
      <x:c r="I3396" s="166" t="str">
        <x:v>Multicarteira Outros</x:v>
      </x:c>
      <x:c r="J3396" s="166" t="str">
        <x:v>CI</x:v>
      </x:c>
      <x:c r="K3396" s="172"/>
      <x:c r="L3396" s="185" t="str">
        <x:v>Não classificado</x:v>
      </x:c>
    </x:row>
    <x:row r="3397">
      <x:c r="A3397" s="175" t="str">
        <x:v>58.774.196/0001-51</x:v>
      </x:c>
      <x:c r="B3397" s="166" t="str">
        <x:v>CNPJ 58774196000151</x:v>
      </x:c>
      <x:c r="C3397" s="188" t="n">
        <x:v>0</x:v>
      </x:c>
      <x:c r="D3397" s="166" t="str">
        <x:v>Milênio Capital</x:v>
      </x:c>
      <x:c r="E3397" s="166" t="str">
        <x:f>IFERROR(INDEX('Classif Gestoras'!$H$6:$H$462,MATCH(D3397,'Classif Gestoras'!$A$6:$A$462,0)),"Não classificada")</x:f>
        <x:v>Independente</x:v>
      </x:c>
      <x:c r="F3397" s="166" t="str">
        <x:v>Oliveira Trust DTVM</x:v>
      </x:c>
      <x:c r="G3397" s="166" t="str">
        <x:v>Não identificado</x:v>
      </x:c>
      <x:c r="H3397" s="166" t="str">
        <x:v>Agro, Indústria e Comércio</x:v>
      </x:c>
      <x:c r="I3397" s="166" t="str">
        <x:v>Multicarteira Agro, Indústria e Comércio</x:v>
      </x:c>
      <x:c r="J3397" s="166" t="str">
        <x:v>CI</x:v>
      </x:c>
      <x:c r="K3397" s="172"/>
      <x:c r="L3397" s="185" t="str">
        <x:v>Não classificado</x:v>
      </x:c>
    </x:row>
    <x:row r="3398">
      <x:c r="A3398" s="175" t="str">
        <x:v>58.594.260/0001-12</x:v>
      </x:c>
      <x:c r="B3398" s="166" t="str">
        <x:v>JIF CRÉDITOS III - FUNDO DE INVESTIMENTO EM DIREITOS CREDITÓRIOS CRÉDITO PRIVADO DE RESP ILIMITADA</x:v>
      </x:c>
      <x:c r="C3398" s="188" t="n">
        <x:v>0</x:v>
      </x:c>
      <x:c r="D3398" s="166" t="str">
        <x:v>JIVE HIGH YIELD GESTÃO DE RECURSOS LTDA</x:v>
      </x:c>
      <x:c r="E3398" s="166" t="str">
        <x:f>IFERROR(INDEX('Classif Gestoras'!$H$6:$H$462,MATCH(D3398,'Classif Gestoras'!$A$6:$A$462,0)),"Não classificada")</x:f>
        <x:v>Independente</x:v>
      </x:c>
      <x:c r="F3398" s="166" t="str">
        <x:v>BANCO DAYCOVAL S/A</x:v>
      </x:c>
      <x:c r="G3398" s="166" t="str">
        <x:v>BANCO DAYCOVAL S.A.</x:v>
      </x:c>
      <x:c r="H3398" s="166" t="str">
        <x:v>Outros</x:v>
      </x:c>
      <x:c r="I3398" s="166" t="str">
        <x:v>Multicarteira Outros</x:v>
      </x:c>
      <x:c r="J3398" s="166" t="str">
        <x:v>CI</x:v>
      </x:c>
      <x:c r="K3398" s="172" t="n">
        <x:v>0</x:v>
      </x:c>
      <x:c r="L3398" s="185" t="str">
        <x:v>Não classificado</x:v>
      </x:c>
    </x:row>
    <x:row r="3399">
      <x:c r="A3399" s="175" t="str">
        <x:v>58.595.391/0001-14</x:v>
      </x:c>
      <x:c r="B3399" s="166" t="str">
        <x:v>CNPJ 58595391000114</x:v>
      </x:c>
      <x:c r="C3399" s="188" t="n">
        <x:v>0</x:v>
      </x:c>
      <x:c r="D3399" s="166" t="str">
        <x:v>BTG Gestora</x:v>
      </x:c>
      <x:c r="E3399" s="166" t="str">
        <x:f>IFERROR(INDEX('Classif Gestoras'!$H$6:$H$462,MATCH(D3399,'Classif Gestoras'!$A$6:$A$462,0)),"Não classificada")</x:f>
        <x:v>Ligada a banco</x:v>
      </x:c>
      <x:c r="F3399" s="166" t="str">
        <x:v>BTG Pactual Servicos Financeiros S/A DTVM</x:v>
      </x:c>
      <x:c r="G3399" s="166" t="str">
        <x:v>Não identificado</x:v>
      </x:c>
      <x:c r="H3399" s="166" t="str">
        <x:v>Agro, Indústria e Comércio</x:v>
      </x:c>
      <x:c r="I3399" s="166" t="str">
        <x:v>Não se aplica</x:v>
      </x:c>
      <x:c r="J3399" s="166" t="str">
        <x:v>CI</x:v>
      </x:c>
      <x:c r="K3399" s="172"/>
      <x:c r="L3399" s="185" t="str">
        <x:v>Não classificado</x:v>
      </x:c>
    </x:row>
    <x:row r="3400">
      <x:c r="A3400" s="175" t="str">
        <x:v>39.664.088/0001-81</x:v>
      </x:c>
      <x:c r="B3400" s="166" t="str">
        <x:v>MS MULTI FUNDO DE INVESTIMENTO EM DIREITOS CREDITÓRIOS</x:v>
      </x:c>
      <x:c r="C3400" s="188" t="n">
        <x:v>0</x:v>
      </x:c>
      <x:c r="D3400" s="166" t="str">
        <x:v>M8 Partners</x:v>
      </x:c>
      <x:c r="E3400" s="166" t="str">
        <x:f>IFERROR(INDEX('Classif Gestoras'!$H$6:$H$462,MATCH(D3400,'Classif Gestoras'!$A$6:$A$462,0)),"Não classificada")</x:f>
        <x:v>Independente</x:v>
      </x:c>
      <x:c r="F3400" s="166" t="str">
        <x:v>HEMERA DTVM</x:v>
      </x:c>
      <x:c r="G3400" s="166" t="str">
        <x:v>QI CORRETORA DE TÍTULOS E VALORES MOBILIÁRIOS S.A.</x:v>
      </x:c>
      <x:c r="H3400" s="166" t="str">
        <x:v>Outros</x:v>
      </x:c>
      <x:c r="I3400" s="166" t="str">
        <x:v>Fomento Mercantil</x:v>
      </x:c>
      <x:c r="J3400" s="166" t="str">
        <x:v>CI</x:v>
      </x:c>
      <x:c r="K3400" s="172" t="n">
        <x:v>0</x:v>
      </x:c>
      <x:c r="L3400" s="185" t="str">
        <x:v>Não classificado</x:v>
      </x:c>
    </x:row>
    <x:row r="3401">
      <x:c r="A3401" s="175" t="str">
        <x:v>61.427.104/0001-71</x:v>
      </x:c>
      <x:c r="B3401" s="166" t="str">
        <x:v>CNPJ 61427104000171</x:v>
      </x:c>
      <x:c r="C3401" s="188" t="n">
        <x:v>0</x:v>
      </x:c>
      <x:c r="D3401" s="166" t="str">
        <x:v>TERCON ASSET MANAGEMENT</x:v>
      </x:c>
      <x:c r="E3401" s="166" t="str">
        <x:f>IFERROR(INDEX('Classif Gestoras'!$H$6:$H$462,MATCH(D3401,'Classif Gestoras'!$A$6:$A$462,0)),"Não classificada")</x:f>
        <x:v>Independente</x:v>
      </x:c>
      <x:c r="F3401" s="166" t="str">
        <x:v>MONETAR DISTRIBUIDORA DE TITUL</x:v>
      </x:c>
      <x:c r="G3401" s="166" t="str">
        <x:v>Não identificado</x:v>
      </x:c>
      <x:c r="H3401" s="166" t="str">
        <x:v>Outros</x:v>
      </x:c>
      <x:c r="I3401" s="166" t="str">
        <x:v>Multicarteira Outros</x:v>
      </x:c>
      <x:c r="J3401" s="166" t="str">
        <x:v>CI</x:v>
      </x:c>
      <x:c r="K3401" s="172"/>
      <x:c r="L3401" s="185" t="str">
        <x:v>Não classificado</x:v>
      </x:c>
    </x:row>
    <x:row r="3402">
      <x:c r="A3402" s="175" t="str">
        <x:v>35.823.530/0001-14</x:v>
      </x:c>
      <x:c r="B3402" s="166" t="str">
        <x:v>BANMINAS FUNDO DE INVESTIMENTO EM DIREITOS CREDITÓRIOS</x:v>
      </x:c>
      <x:c r="C3402" s="188" t="n">
        <x:v>0</x:v>
      </x:c>
      <x:c r="D3402" s="166" t="str">
        <x:v>TERCON ASSET MANAGEMENT</x:v>
      </x:c>
      <x:c r="E3402" s="166" t="str">
        <x:f>IFERROR(INDEX('Classif Gestoras'!$H$6:$H$462,MATCH(D3402,'Classif Gestoras'!$A$6:$A$462,0)),"Não classificada")</x:f>
        <x:v>Independente</x:v>
      </x:c>
      <x:c r="F3402" s="166" t="str">
        <x:v>MASTER S/A CORRETORA</x:v>
      </x:c>
      <x:c r="G3402" s="166" t="str">
        <x:v>LIMINE TRUST DISTRIBUIDORA DE TITULOS E VALORES MOBILIARIOS LTDA.</x:v>
      </x:c>
      <x:c r="H3402" s="166" t="str">
        <x:v>Outros</x:v>
      </x:c>
      <x:c r="I3402" s="166" t="str">
        <x:v>Multicarteira Outros</x:v>
      </x:c>
      <x:c r="J3402" s="166" t="str">
        <x:v>CI</x:v>
      </x:c>
      <x:c r="K3402" s="172" t="n">
        <x:v>6</x:v>
      </x:c>
      <x:c r="L3402" s="185" t="str">
        <x:v>Não classificado</x:v>
      </x:c>
    </x:row>
    <x:row r="3403">
      <x:c r="A3403" s="175" t="str">
        <x:v>58.600.779/0001-66</x:v>
      </x:c>
      <x:c r="B3403" s="166" t="str">
        <x:v>CNPJ 58600779000166</x:v>
      </x:c>
      <x:c r="C3403" s="188" t="n">
        <x:v>0</x:v>
      </x:c>
      <x:c r="D3403" s="166" t="str">
        <x:v>BTG Gestora</x:v>
      </x:c>
      <x:c r="E3403" s="166" t="str">
        <x:f>IFERROR(INDEX('Classif Gestoras'!$H$6:$H$462,MATCH(D3403,'Classif Gestoras'!$A$6:$A$462,0)),"Não classificada")</x:f>
        <x:v>Ligada a banco</x:v>
      </x:c>
      <x:c r="F3403" s="166" t="str">
        <x:v>BTG Pactual Servicos Financeiros S/A DTVM</x:v>
      </x:c>
      <x:c r="G3403" s="166" t="str">
        <x:v>Não identificado</x:v>
      </x:c>
      <x:c r="H3403" s="166" t="str">
        <x:v>Agro, Indústria e Comércio</x:v>
      </x:c>
      <x:c r="I3403" s="166" t="str">
        <x:v>Não se aplica</x:v>
      </x:c>
      <x:c r="J3403" s="166" t="str">
        <x:v>CI</x:v>
      </x:c>
      <x:c r="K3403" s="172"/>
      <x:c r="L3403" s="185" t="str">
        <x:v>Não classificado</x:v>
      </x:c>
    </x:row>
    <x:row r="3404">
      <x:c r="A3404" s="175" t="str">
        <x:v>50.971.775/0001-82</x:v>
      </x:c>
      <x:c r="B3404" s="166" t="str">
        <x:v>CNPJ 50971775000182</x:v>
      </x:c>
      <x:c r="C3404" s="188" t="n">
        <x:v>0</x:v>
      </x:c>
      <x:c r="D3404" s="166" t="str">
        <x:v>Oliveira Trust Servicer</x:v>
      </x:c>
      <x:c r="E3404" s="166" t="str">
        <x:f>IFERROR(INDEX('Classif Gestoras'!$H$6:$H$462,MATCH(D3404,'Classif Gestoras'!$A$6:$A$462,0)),"Não classificada")</x:f>
        <x:v>Independente</x:v>
      </x:c>
      <x:c r="F3404" s="166" t="str">
        <x:v>Oliveira Trust DTVM</x:v>
      </x:c>
      <x:c r="G3404" s="166" t="str">
        <x:v>Não identificado</x:v>
      </x:c>
      <x:c r="H3404" s="166" t="str">
        <x:v>Financeiro</x:v>
      </x:c>
      <x:c r="I3404" s="166" t="str">
        <x:v>Multicarteira Financeiro</x:v>
      </x:c>
      <x:c r="J3404" s="166" t="str">
        <x:v>CI</x:v>
      </x:c>
      <x:c r="K3404" s="172"/>
      <x:c r="L3404" s="185" t="str">
        <x:v>Não classificado</x:v>
      </x:c>
    </x:row>
    <x:row r="3405">
      <x:c r="A3405" s="175" t="str">
        <x:v>50.981.701/0001-27</x:v>
      </x:c>
      <x:c r="B3405" s="166" t="str">
        <x:v>CNPJ 50981701000127</x:v>
      </x:c>
      <x:c r="C3405" s="188" t="n">
        <x:v>0</x:v>
      </x:c>
      <x:c r="D3405" s="166" t="str">
        <x:v>PACTUAL CAPITAL PART</x:v>
      </x:c>
      <x:c r="E3405" s="166" t="str">
        <x:f>IFERROR(INDEX('Classif Gestoras'!$H$6:$H$462,MATCH(D3405,'Classif Gestoras'!$A$6:$A$462,0)),"Não classificada")</x:f>
        <x:v>Independente</x:v>
      </x:c>
      <x:c r="F3405" s="166" t="str">
        <x:v>BTG Pactual Servicos Financeiros S/A DTVM</x:v>
      </x:c>
      <x:c r="G3405" s="166" t="str">
        <x:v>Não identificado</x:v>
      </x:c>
      <x:c r="H3405" s="166" t="str">
        <x:v>Outros</x:v>
      </x:c>
      <x:c r="I3405" s="166" t="str">
        <x:v>Multicarteira Outros</x:v>
      </x:c>
      <x:c r="J3405" s="166" t="str">
        <x:v>CI</x:v>
      </x:c>
      <x:c r="K3405" s="172"/>
      <x:c r="L3405" s="185" t="str">
        <x:v>Não classificado</x:v>
      </x:c>
    </x:row>
    <x:row r="3406">
      <x:c r="A3406" s="175" t="str">
        <x:v>58.601.042/0001-68</x:v>
      </x:c>
      <x:c r="B3406" s="166" t="str">
        <x:v>M CASTRO CAPITAL FUNDO DE INVESTIMENTO EM DIREITOS CREDITÓRIOS - RESPONSABILIDADE LIMITADA</x:v>
      </x:c>
      <x:c r="C3406" s="188" t="n">
        <x:v>0</x:v>
      </x:c>
      <x:c r="D3406" s="166" t="str">
        <x:v>OURO PRETO INVESTIMENTOS</x:v>
      </x:c>
      <x:c r="E3406" s="166" t="str">
        <x:f>IFERROR(INDEX('Classif Gestoras'!$H$6:$H$462,MATCH(D3406,'Classif Gestoras'!$A$6:$A$462,0)),"Não classificada")</x:f>
        <x:v>Independente</x:v>
      </x:c>
      <x:c r="F3406" s="166" t="str">
        <x:v>Limine Trust Distribuidora de Titulos e Valores Mobiliá</x:v>
      </x:c>
      <x:c r="G3406" s="166" t="str">
        <x:v>LIMINE TRUST DISTRIBUIDORA DE TITULOS E VALORES MOBILIARIOS LTDA.</x:v>
      </x:c>
      <x:c r="H3406" s="166" t="str">
        <x:v>Fomento Mercantil</x:v>
      </x:c>
      <x:c r="I3406" s="166" t="str">
        <x:v>Fomento Mercantil</x:v>
      </x:c>
      <x:c r="J3406" s="166" t="str">
        <x:v>CI</x:v>
      </x:c>
      <x:c r="K3406" s="172" t="n">
        <x:v>1</x:v>
      </x:c>
      <x:c r="L3406" s="185" t="str">
        <x:v>Não classificado</x:v>
      </x:c>
    </x:row>
    <x:row r="3407">
      <x:c r="A3407" s="175" t="str">
        <x:v>51.066.346/0001-23</x:v>
      </x:c>
      <x:c r="B3407" s="166" t="str">
        <x:v>CNPJ 51066346000123</x:v>
      </x:c>
      <x:c r="C3407" s="188" t="n">
        <x:v>0</x:v>
      </x:c>
      <x:c r="D3407" s="166" t="str">
        <x:v>Reag Administradora de Recursos Ltda</x:v>
      </x:c>
      <x:c r="E3407" s="166" t="str">
        <x:f>IFERROR(INDEX('Classif Gestoras'!$H$6:$H$462,MATCH(D3407,'Classif Gestoras'!$A$6:$A$462,0)),"Não classificada")</x:f>
        <x:v>Independente</x:v>
      </x:c>
      <x:c r="F3407" s="166" t="str">
        <x:v>REAG DTVM</x:v>
      </x:c>
      <x:c r="G3407" s="166" t="str">
        <x:v>Não identificado</x:v>
      </x:c>
      <x:c r="H3407" s="166" t="str">
        <x:v>Outros</x:v>
      </x:c>
      <x:c r="I3407" s="166" t="str">
        <x:v>Não se aplica</x:v>
      </x:c>
      <x:c r="J3407" s="166" t="str">
        <x:v>CI</x:v>
      </x:c>
      <x:c r="K3407" s="172"/>
      <x:c r="L3407" s="185" t="str">
        <x:v>Não classificado</x:v>
      </x:c>
    </x:row>
    <x:row r="3408">
      <x:c r="A3408" s="175" t="str">
        <x:v>59.035.976/0001-42</x:v>
      </x:c>
      <x:c r="B3408" s="166" t="str">
        <x:v>CNPJ 59035976000142</x:v>
      </x:c>
      <x:c r="C3408" s="188" t="n">
        <x:v>0</x:v>
      </x:c>
      <x:c r="D3408" s="166" t="str">
        <x:v>Reag Jus</x:v>
      </x:c>
      <x:c r="E3408" s="166" t="str">
        <x:f>IFERROR(INDEX('Classif Gestoras'!$H$6:$H$462,MATCH(D3408,'Classif Gestoras'!$A$6:$A$462,0)),"Não classificada")</x:f>
        <x:v>Independente</x:v>
      </x:c>
      <x:c r="F3408" s="166" t="str">
        <x:v>REAG DTVM</x:v>
      </x:c>
      <x:c r="G3408" s="166" t="str">
        <x:v>Não identificado</x:v>
      </x:c>
      <x:c r="H3408" s="166" t="str">
        <x:v>Outros</x:v>
      </x:c>
      <x:c r="I3408" s="166" t="str">
        <x:v>Multicarteira Outros</x:v>
      </x:c>
      <x:c r="J3408" s="166" t="str">
        <x:v>CI</x:v>
      </x:c>
      <x:c r="K3408" s="172"/>
      <x:c r="L3408" s="185" t="str">
        <x:v>Não classificado</x:v>
      </x:c>
    </x:row>
    <x:row r="3409">
      <x:c r="A3409" s="175" t="str">
        <x:v>26.710.026/0001-17</x:v>
      </x:c>
      <x:c r="B3409" s="166" t="str">
        <x:v>ORION - FUNDO DE INVESTIMENTO EM DIREITOS CREDITÓRIOS</x:v>
      </x:c>
      <x:c r="C3409" s="188" t="n">
        <x:v>0</x:v>
      </x:c>
      <x:c r="D3409" s="166" t="str">
        <x:v>Quadra Gestão de Recursos S.A.</x:v>
      </x:c>
      <x:c r="E3409" s="166" t="str">
        <x:f>IFERROR(INDEX('Classif Gestoras'!$H$6:$H$462,MATCH(D3409,'Classif Gestoras'!$A$6:$A$462,0)),"Não classificada")</x:f>
        <x:v>Independente</x:v>
      </x:c>
      <x:c r="F3409" s="166" t="str">
        <x:v>MAF Distribuidora de Títulos e Valores Mobiliários S.A.</x:v>
      </x:c>
      <x:c r="G3409" s="166" t="str">
        <x:v>BANCO BTG PACTUAL S/A</x:v>
      </x:c>
      <x:c r="H3409" s="166" t="str">
        <x:v>Outros</x:v>
      </x:c>
      <x:c r="I3409" s="166" t="str">
        <x:v>Poder Público</x:v>
      </x:c>
      <x:c r="J3409" s="166" t="str">
        <x:v>CI</x:v>
      </x:c>
      <x:c r="K3409" s="172" t="n">
        <x:v>3</x:v>
      </x:c>
      <x:c r="L3409" s="185" t="str">
        <x:v>Não classificado</x:v>
      </x:c>
    </x:row>
    <x:row r="3410">
      <x:c r="A3410" s="175" t="str">
        <x:v>58.817.663/0001-83</x:v>
      </x:c>
      <x:c r="B3410" s="166" t="str">
        <x:v>MD LESTE IC PRECATÓRIOS FUNDO DE INVESTIMENTO EM DIREITOS CREDITÓRIOS - DE RESPONSABILIDADE LIMITADA</x:v>
      </x:c>
      <x:c r="C3410" s="188" t="n">
        <x:v>0</x:v>
      </x:c>
      <x:c r="D3410" s="166" t="str">
        <x:v>Leste Credit Gestão de Recursos LTDA.</x:v>
      </x:c>
      <x:c r="E3410" s="166" t="str">
        <x:f>IFERROR(INDEX('Classif Gestoras'!$H$6:$H$462,MATCH(D3410,'Classif Gestoras'!$A$6:$A$462,0)),"Não classificada")</x:f>
        <x:v>Independente</x:v>
      </x:c>
      <x:c r="F3410" s="166" t="str">
        <x:v>VÓRTX DTVM</x:v>
      </x:c>
      <x:c r="G3410" s="166" t="str">
        <x:v>VORTX DISTRIBUIDORA DE TITULOS E VALORES MOBILIARIOS LTDA.</x:v>
      </x:c>
      <x:c r="H3410" s="166" t="str">
        <x:v>Outros</x:v>
      </x:c>
      <x:c r="I3410" s="166" t="str">
        <x:v>Poder Público</x:v>
      </x:c>
      <x:c r="J3410" s="166" t="str">
        <x:v>CI</x:v>
      </x:c>
      <x:c r="K3410" s="172" t="n">
        <x:v>156</x:v>
      </x:c>
      <x:c r="L3410" s="185" t="str">
        <x:v>Não classificado</x:v>
      </x:c>
    </x:row>
    <x:row r="3411">
      <x:c r="A3411" s="175" t="str">
        <x:v>53.560.992/0001-78</x:v>
      </x:c>
      <x:c r="B3411" s="166" t="str">
        <x:v>CNPJ 53560992000178</x:v>
      </x:c>
      <x:c r="C3411" s="188" t="n">
        <x:v>0</x:v>
      </x:c>
      <x:c r="D3411" s="166" t="str">
        <x:v>CERES ASSET</x:v>
      </x:c>
      <x:c r="E3411" s="166" t="str">
        <x:f>IFERROR(INDEX('Classif Gestoras'!$H$6:$H$462,MATCH(D3411,'Classif Gestoras'!$A$6:$A$462,0)),"Não classificada")</x:f>
        <x:v>Independente</x:v>
      </x:c>
      <x:c r="F3411" s="166" t="str">
        <x:v>Singulare</x:v>
      </x:c>
      <x:c r="G3411" s="166" t="str">
        <x:v>Não identificado</x:v>
      </x:c>
      <x:c r="H3411" s="166" t="str">
        <x:v>Agro, Indústria e Comércio</x:v>
      </x:c>
      <x:c r="I3411" s="166" t="str">
        <x:v>Não se aplica</x:v>
      </x:c>
      <x:c r="J3411" s="166" t="str">
        <x:v>CI</x:v>
      </x:c>
      <x:c r="K3411" s="172"/>
      <x:c r="L3411" s="185" t="str">
        <x:v>Não classificado</x:v>
      </x:c>
    </x:row>
    <x:row r="3412">
      <x:c r="A3412" s="175" t="str">
        <x:v>39.591.404/0001-32</x:v>
      </x:c>
      <x:c r="B3412" s="166" t="str">
        <x:v>DENARIUS FUNDO DE INVESTIMENTO EM DIREITOS CREDITÓRIOS</x:v>
      </x:c>
      <x:c r="C3412" s="188" t="n">
        <x:v>0</x:v>
      </x:c>
      <x:c r="D3412" s="166" t="str">
        <x:v>H2 CAPITAL</x:v>
      </x:c>
      <x:c r="E3412" s="166" t="str">
        <x:f>IFERROR(INDEX('Classif Gestoras'!$H$6:$H$462,MATCH(D3412,'Classif Gestoras'!$A$6:$A$462,0)),"Não classificada")</x:f>
        <x:v>Independente</x:v>
      </x:c>
      <x:c r="F3412" s="166" t="str">
        <x:v>MASTER S/A CORRETORA</x:v>
      </x:c>
      <x:c r="G3412" s="166" t="str">
        <x:v>FIDD DISTRIBUIDORA DE TITULOS E VALORES MOBILIARIOS LTDA.</x:v>
      </x:c>
      <x:c r="H3412" s="166" t="str">
        <x:v>Outros</x:v>
      </x:c>
      <x:c r="I3412" s="166" t="str">
        <x:v>Multicarteira Outros</x:v>
      </x:c>
      <x:c r="J3412" s="166" t="str">
        <x:v>CI</x:v>
      </x:c>
      <x:c r="K3412" s="172" t="n">
        <x:v>2</x:v>
      </x:c>
      <x:c r="L3412" s="185" t="str">
        <x:v>Não classificado</x:v>
      </x:c>
    </x:row>
    <x:row r="3413">
      <x:c r="A3413" s="175" t="str">
        <x:v>29.330.482/0001-20</x:v>
      </x:c>
      <x:c r="B3413" s="166" t="str">
        <x:v>YUNUS NEGOCIOS SOCIAIS FUNDO DE INVESTIMENTO EM DIREITOS CREDITORIOS</x:v>
      </x:c>
      <x:c r="C3413" s="188" t="n">
        <x:v>0</x:v>
      </x:c>
      <x:c r="D3413" s="166" t="str">
        <x:v>Oliveira Trust DTVM</x:v>
      </x:c>
      <x:c r="E3413" s="166" t="str">
        <x:f>IFERROR(INDEX('Classif Gestoras'!$H$6:$H$462,MATCH(D3413,'Classif Gestoras'!$A$6:$A$462,0)),"Não classificada")</x:f>
        <x:v>Independente</x:v>
      </x:c>
      <x:c r="F3413" s="166" t="str">
        <x:v>Oliveira Trust DTVM</x:v>
      </x:c>
      <x:c r="G3413" s="166" t="str">
        <x:v>LIMINE TRUST DISTRIBUIDORA DE TITULOS E VALORES MOBILIARIOS LTDA.</x:v>
      </x:c>
      <x:c r="H3413" s="166" t="str">
        <x:v>Agro, Indústria e Comércio</x:v>
      </x:c>
      <x:c r="I3413" s="166" t="str">
        <x:v>Crédito Corporativo</x:v>
      </x:c>
      <x:c r="J3413" s="166" t="str">
        <x:v>CI</x:v>
      </x:c>
      <x:c r="K3413" s="172" t="n">
        <x:v>10</x:v>
      </x:c>
      <x:c r="L3413" s="185" t="str">
        <x:v>Não classificado</x:v>
      </x:c>
    </x:row>
    <x:row r="3414">
      <x:c r="A3414" s="175" t="str">
        <x:v>39.469.320/0001-20</x:v>
      </x:c>
      <x:c r="B3414" s="166" t="str">
        <x:v>VOLCANO FUNDO DE INVESTIMENTO EM DIREITOS CREDITÓRIOS</x:v>
      </x:c>
      <x:c r="C3414" s="188" t="n">
        <x:v>0</x:v>
      </x:c>
      <x:c r="D3414" s="166" t="str">
        <x:v>Galápagos</x:v>
      </x:c>
      <x:c r="E3414" s="166" t="str">
        <x:f>IFERROR(INDEX('Classif Gestoras'!$H$6:$H$462,MATCH(D3414,'Classif Gestoras'!$A$6:$A$462,0)),"Não classificada")</x:f>
        <x:v>Independente</x:v>
      </x:c>
      <x:c r="F3414" s="166" t="str">
        <x:v>Singulare</x:v>
      </x:c>
      <x:c r="G3414" s="166" t="str">
        <x:v>ID CORRETORA DE TITULOS E VALORES MOBILIARIOS S.A.</x:v>
      </x:c>
      <x:c r="H3414" s="166" t="str">
        <x:v>Fomento Mercantil</x:v>
      </x:c>
      <x:c r="I3414" s="166" t="str">
        <x:v>Multicarteira Outros</x:v>
      </x:c>
      <x:c r="J3414" s="166" t="str">
        <x:v>CI</x:v>
      </x:c>
      <x:c r="K3414" s="172" t="n">
        <x:v>1</x:v>
      </x:c>
      <x:c r="L3414" s="185" t="str">
        <x:v>Não classificado</x:v>
      </x:c>
    </x:row>
    <x:row r="3415">
      <x:c r="A3415" s="175" t="str">
        <x:v>61.434.898/0001-09</x:v>
      </x:c>
      <x:c r="B3415" s="166" t="str">
        <x:v>CNPJ 61434898000109</x:v>
      </x:c>
      <x:c r="C3415" s="188" t="n">
        <x:v>0</x:v>
      </x:c>
      <x:c r="D3415" s="166" t="str">
        <x:v>Vega</x:v>
      </x:c>
      <x:c r="E3415" s="166" t="str">
        <x:f>IFERROR(INDEX('Classif Gestoras'!$H$6:$H$462,MATCH(D3415,'Classif Gestoras'!$A$6:$A$462,0)),"Não classificada")</x:f>
        <x:v>Independente</x:v>
      </x:c>
      <x:c r="F3415" s="166" t="str">
        <x:v>BTG Pactual Servicos Financeiros S/A DTVM</x:v>
      </x:c>
      <x:c r="G3415" s="166" t="str">
        <x:v>Não identificado</x:v>
      </x:c>
      <x:c r="H3415" s="166" t="str">
        <x:v>Outros</x:v>
      </x:c>
      <x:c r="I3415" s="166" t="str">
        <x:v>Recuperação</x:v>
      </x:c>
      <x:c r="J3415" s="166" t="str">
        <x:v>CI</x:v>
      </x:c>
      <x:c r="K3415" s="172"/>
      <x:c r="L3415" s="185" t="str">
        <x:v>Não classificado</x:v>
      </x:c>
    </x:row>
    <x:row r="3416">
      <x:c r="A3416" s="175" t="str">
        <x:v>61.471.945/0001-86</x:v>
      </x:c>
      <x:c r="B3416" s="166" t="str">
        <x:v>CNPJ 61471945000186</x:v>
      </x:c>
      <x:c r="C3416" s="188" t="n">
        <x:v>0</x:v>
      </x:c>
      <x:c r="D3416" s="166" t="str">
        <x:v>Reag Jus</x:v>
      </x:c>
      <x:c r="E3416" s="166" t="str">
        <x:f>IFERROR(INDEX('Classif Gestoras'!$H$6:$H$462,MATCH(D3416,'Classif Gestoras'!$A$6:$A$462,0)),"Não classificada")</x:f>
        <x:v>Independente</x:v>
      </x:c>
      <x:c r="F3416" s="166" t="str">
        <x:v>REAG DTVM</x:v>
      </x:c>
      <x:c r="G3416" s="166" t="str">
        <x:v>Não identificado</x:v>
      </x:c>
      <x:c r="H3416" s="166" t="str">
        <x:v>Fomento Mercantil</x:v>
      </x:c>
      <x:c r="I3416" s="166" t="str">
        <x:v>Fomento Mercantil</x:v>
      </x:c>
      <x:c r="J3416" s="166" t="str">
        <x:v>CI</x:v>
      </x:c>
      <x:c r="K3416" s="172"/>
      <x:c r="L3416" s="185" t="str">
        <x:v>Não classificado</x:v>
      </x:c>
    </x:row>
    <x:row r="3417">
      <x:c r="A3417" s="175" t="str">
        <x:v>51.007.736/0001-22</x:v>
      </x:c>
      <x:c r="B3417" s="166" t="str">
        <x:v>LOGAN FUNDO DE INVESTIMENTO EM DIREITOS CREDITÓRIOS</x:v>
      </x:c>
      <x:c r="C3417" s="188" t="n">
        <x:v>0</x:v>
      </x:c>
      <x:c r="D3417" s="166" t="str">
        <x:v>Reag Jus</x:v>
      </x:c>
      <x:c r="E3417" s="166" t="str">
        <x:f>IFERROR(INDEX('Classif Gestoras'!$H$6:$H$462,MATCH(D3417,'Classif Gestoras'!$A$6:$A$462,0)),"Não classificada")</x:f>
        <x:v>Independente</x:v>
      </x:c>
      <x:c r="F3417" s="166" t="str">
        <x:v>REAG DTVM</x:v>
      </x:c>
      <x:c r="G3417" s="166" t="str">
        <x:v>REAG TRUST DISTRIBUIDORA DE TITULOS E VALORES MOBILIARIOS S.A.</x:v>
      </x:c>
      <x:c r="H3417" s="166" t="str">
        <x:v>Outros</x:v>
      </x:c>
      <x:c r="I3417" s="166" t="str">
        <x:v>Multicarteira Outros</x:v>
      </x:c>
      <x:c r="J3417" s="166" t="str">
        <x:v>CI</x:v>
      </x:c>
      <x:c r="K3417" s="172" t="n">
        <x:v>1</x:v>
      </x:c>
      <x:c r="L3417" s="185" t="str">
        <x:v>Não classificado</x:v>
      </x:c>
    </x:row>
    <x:row r="3418">
      <x:c r="A3418" s="175" t="str">
        <x:v>53.465.628/0001-29</x:v>
      </x:c>
      <x:c r="B3418" s="166" t="str">
        <x:v>CNPJ 53465628000129</x:v>
      </x:c>
      <x:c r="C3418" s="188" t="n">
        <x:v>0</x:v>
      </x:c>
      <x:c r="D3418" s="166" t="str">
        <x:v>Leste Credit Gestão de Recursos LTDA.</x:v>
      </x:c>
      <x:c r="E3418" s="166" t="str">
        <x:f>IFERROR(INDEX('Classif Gestoras'!$H$6:$H$462,MATCH(D3418,'Classif Gestoras'!$A$6:$A$462,0)),"Não classificada")</x:f>
        <x:v>Independente</x:v>
      </x:c>
      <x:c r="F3418" s="166" t="str">
        <x:v>VÓRTX DTVM</x:v>
      </x:c>
      <x:c r="G3418" s="166" t="str">
        <x:v>Não identificado</x:v>
      </x:c>
      <x:c r="H3418" s="166" t="str">
        <x:v>Financeiro</x:v>
      </x:c>
      <x:c r="I3418" s="166" t="str">
        <x:v>Crédito Consignado</x:v>
      </x:c>
      <x:c r="J3418" s="166" t="str">
        <x:v>CI</x:v>
      </x:c>
      <x:c r="K3418" s="172"/>
      <x:c r="L3418" s="185" t="str">
        <x:v>Não classificado</x:v>
      </x:c>
    </x:row>
    <x:row r="3419">
      <x:c r="A3419" s="175" t="str">
        <x:v>61.559.078/0001-35</x:v>
      </x:c>
      <x:c r="B3419" s="166" t="str">
        <x:v>CNPJ 61559078000135</x:v>
      </x:c>
      <x:c r="C3419" s="188" t="n">
        <x:v>0</x:v>
      </x:c>
      <x:c r="D3419" s="166" t="str">
        <x:v>WNT Gestora de Recursos Ltda.</x:v>
      </x:c>
      <x:c r="E3419" s="166" t="str">
        <x:f>IFERROR(INDEX('Classif Gestoras'!$H$6:$H$462,MATCH(D3419,'Classif Gestoras'!$A$6:$A$462,0)),"Não classificada")</x:f>
        <x:v>Independente</x:v>
      </x:c>
      <x:c r="F3419" s="166" t="str">
        <x:v>WNT DTVM</x:v>
      </x:c>
      <x:c r="G3419" s="166" t="str">
        <x:v>Não identificado</x:v>
      </x:c>
      <x:c r="H3419" s="166" t="str">
        <x:v>Outros</x:v>
      </x:c>
      <x:c r="I3419" s="166" t="str">
        <x:v>Multicarteira Outros</x:v>
      </x:c>
      <x:c r="J3419" s="166" t="str">
        <x:v>CI</x:v>
      </x:c>
      <x:c r="K3419" s="172"/>
      <x:c r="L3419" s="185" t="str">
        <x:v>Não classificado</x:v>
      </x:c>
    </x:row>
    <x:row r="3420">
      <x:c r="A3420" s="175" t="str">
        <x:v>51.030.502/0001-04</x:v>
      </x:c>
      <x:c r="B3420" s="166" t="str">
        <x:v>WILDE FUNDO DE INVESTIMENTO EM DIREITOS CREDITÓRIOS NÃO PADRONIZADOS</x:v>
      </x:c>
      <x:c r="C3420" s="188" t="n">
        <x:v>0</x:v>
      </x:c>
      <x:c r="D3420" s="166" t="str">
        <x:v>Reag Jus</x:v>
      </x:c>
      <x:c r="E3420" s="166" t="str">
        <x:f>IFERROR(INDEX('Classif Gestoras'!$H$6:$H$462,MATCH(D3420,'Classif Gestoras'!$A$6:$A$462,0)),"Não classificada")</x:f>
        <x:v>Independente</x:v>
      </x:c>
      <x:c r="F3420" s="166" t="str">
        <x:v>REAG DTVM</x:v>
      </x:c>
      <x:c r="G3420" s="166" t="str">
        <x:v>REAG TRUST DISTRIBUIDORA DE TITULOS E VALORES MOBILIARIOS S.A.</x:v>
      </x:c>
      <x:c r="H3420" s="166" t="str">
        <x:v>Outros</x:v>
      </x:c>
      <x:c r="I3420" s="166" t="str">
        <x:v>Multicarteira Outros</x:v>
      </x:c>
      <x:c r="J3420" s="166" t="str">
        <x:v>CI</x:v>
      </x:c>
      <x:c r="K3420" s="172" t="n">
        <x:v>1</x:v>
      </x:c>
      <x:c r="L3420" s="185" t="str">
        <x:v>Não classificado</x:v>
      </x:c>
    </x:row>
    <x:row r="3421">
      <x:c r="A3421" s="175" t="str">
        <x:v>58.949.333/0001-41</x:v>
      </x:c>
      <x:c r="B3421" s="166" t="str">
        <x:v>CNPJ 58949333000141</x:v>
      </x:c>
      <x:c r="C3421" s="188" t="n">
        <x:v>0</x:v>
      </x:c>
      <x:c r="D3421" s="166" t="str">
        <x:v>Blue Solutions</x:v>
      </x:c>
      <x:c r="E3421" s="166" t="str">
        <x:f>IFERROR(INDEX('Classif Gestoras'!$H$6:$H$462,MATCH(D3421,'Classif Gestoras'!$A$6:$A$462,0)),"Não classificada")</x:f>
        <x:v>Independente</x:v>
      </x:c>
      <x:c r="F3421" s="166" t="str">
        <x:v>Banvox DTVM</x:v>
      </x:c>
      <x:c r="G3421" s="166" t="str">
        <x:v>Não identificado</x:v>
      </x:c>
      <x:c r="H3421" s="166" t="str">
        <x:v>Outros</x:v>
      </x:c>
      <x:c r="I3421" s="166" t="str">
        <x:v>Multicarteira Outros</x:v>
      </x:c>
      <x:c r="J3421" s="166" t="str">
        <x:v>CI</x:v>
      </x:c>
      <x:c r="K3421" s="172"/>
      <x:c r="L3421" s="185" t="str">
        <x:v>Não classificado</x:v>
      </x:c>
    </x:row>
    <x:row r="3422">
      <x:c r="A3422" s="175" t="str">
        <x:v>58.982.241/0001-63</x:v>
      </x:c>
      <x:c r="B3422" s="166" t="str">
        <x:v>CNPJ 58982241000163</x:v>
      </x:c>
      <x:c r="C3422" s="188" t="n">
        <x:v>0</x:v>
      </x:c>
      <x:c r="D3422" s="166" t="str">
        <x:v>BTG Pactual Asset</x:v>
      </x:c>
      <x:c r="E3422" s="166" t="str">
        <x:f>IFERROR(INDEX('Classif Gestoras'!$H$6:$H$462,MATCH(D3422,'Classif Gestoras'!$A$6:$A$462,0)),"Não classificada")</x:f>
        <x:v>Ligada a banco</x:v>
      </x:c>
      <x:c r="F3422" s="166" t="str">
        <x:v>BTG Pactual Servicos Financeiros S/A DTVM</x:v>
      </x:c>
      <x:c r="G3422" s="166" t="str">
        <x:v>Não identificado</x:v>
      </x:c>
      <x:c r="H3422" s="166" t="str">
        <x:v>Agro, Indústria e Comércio</x:v>
      </x:c>
      <x:c r="I3422" s="166" t="str">
        <x:v>Agronegócio</x:v>
      </x:c>
      <x:c r="J3422" s="166" t="str">
        <x:v>CI</x:v>
      </x:c>
      <x:c r="K3422" s="172"/>
      <x:c r="L3422" s="185" t="str">
        <x:v>Não classificado</x:v>
      </x:c>
    </x:row>
    <x:row r="3423">
      <x:c r="A3423" s="175" t="str">
        <x:v>51.008.211/0001-01</x:v>
      </x:c>
      <x:c r="B3423" s="166" t="str">
        <x:v>CNPJ 51008211000101</x:v>
      </x:c>
      <x:c r="C3423" s="188" t="n">
        <x:v>0</x:v>
      </x:c>
      <x:c r="D3423" s="166" t="str">
        <x:v>OPEA GESTORA DE RECURSOS</x:v>
      </x:c>
      <x:c r="E3423" s="166" t="str">
        <x:f>IFERROR(INDEX('Classif Gestoras'!$H$6:$H$462,MATCH(D3423,'Classif Gestoras'!$A$6:$A$462,0)),"Não classificada")</x:f>
        <x:v>Independente</x:v>
      </x:c>
      <x:c r="F3423" s="166" t="str">
        <x:v>VÓRTX DTVM</x:v>
      </x:c>
      <x:c r="G3423" s="166" t="str">
        <x:v>Não identificado</x:v>
      </x:c>
      <x:c r="H3423" s="166" t="str">
        <x:v>Agro, Indústria e Comércio</x:v>
      </x:c>
      <x:c r="I3423" s="166" t="str">
        <x:v>Agronegócio</x:v>
      </x:c>
      <x:c r="J3423" s="166" t="str">
        <x:v>CI</x:v>
      </x:c>
      <x:c r="K3423" s="172"/>
      <x:c r="L3423" s="185" t="str">
        <x:v>Não classificado</x:v>
      </x:c>
    </x:row>
    <x:row r="3424">
      <x:c r="A3424" s="175" t="str">
        <x:v>50.860.854/0001-16</x:v>
      </x:c>
      <x:c r="B3424" s="166" t="str">
        <x:v>CNPJ 50860854000116</x:v>
      </x:c>
      <x:c r="C3424" s="188" t="n">
        <x:v>0</x:v>
      </x:c>
      <x:c r="D3424" s="166" t="str">
        <x:v>PRADA FINANCEIRA</x:v>
      </x:c>
      <x:c r="E3424" s="166" t="str">
        <x:f>IFERROR(INDEX('Classif Gestoras'!$H$6:$H$462,MATCH(D3424,'Classif Gestoras'!$A$6:$A$462,0)),"Não classificada")</x:f>
        <x:v>Independente</x:v>
      </x:c>
      <x:c r="F3424" s="166" t="str">
        <x:v>BANCO DAYCOVAL S/A</x:v>
      </x:c>
      <x:c r="G3424" s="166" t="str">
        <x:v>Não identificado</x:v>
      </x:c>
      <x:c r="H3424" s="166" t="str">
        <x:v>Agro, Indústria e Comércio</x:v>
      </x:c>
      <x:c r="I3424" s="166" t="str">
        <x:v>Não se aplica</x:v>
      </x:c>
      <x:c r="J3424" s="166" t="str">
        <x:v>CI</x:v>
      </x:c>
      <x:c r="K3424" s="172"/>
      <x:c r="L3424" s="185" t="str">
        <x:v>Não classificado</x:v>
      </x:c>
    </x:row>
    <x:row r="3425">
      <x:c r="A3425" s="175" t="str">
        <x:v>50.832.370/0001-63</x:v>
      </x:c>
      <x:c r="B3425" s="166" t="str">
        <x:v>CNPJ 50832370000163</x:v>
      </x:c>
      <x:c r="C3425" s="188" t="n">
        <x:v>0</x:v>
      </x:c>
      <x:c r="D3425" s="166" t="str">
        <x:v>B6 GESTORA DE RECURSOS LTDA</x:v>
      </x:c>
      <x:c r="E3425" s="166" t="str">
        <x:f>IFERROR(INDEX('Classif Gestoras'!$H$6:$H$462,MATCH(D3425,'Classif Gestoras'!$A$6:$A$462,0)),"Não classificada")</x:f>
        <x:v>Independente</x:v>
      </x:c>
      <x:c r="F3425" s="166" t="str">
        <x:v>REAG DTVM</x:v>
      </x:c>
      <x:c r="G3425" s="166" t="str">
        <x:v>Não identificado</x:v>
      </x:c>
      <x:c r="H3425" s="166" t="str">
        <x:v>Outros</x:v>
      </x:c>
      <x:c r="I3425" s="166" t="str">
        <x:v>Poder Público</x:v>
      </x:c>
      <x:c r="J3425" s="166" t="str">
        <x:v>CI</x:v>
      </x:c>
      <x:c r="K3425" s="172"/>
      <x:c r="L3425" s="185" t="str">
        <x:v>Não classificado</x:v>
      </x:c>
    </x:row>
    <x:row r="3426">
      <x:c r="A3426" s="175" t="str">
        <x:v>29.786.909/0001-07</x:v>
      </x:c>
      <x:c r="B3426" s="166" t="str">
        <x:v>LANCIA! FUNDO DE INVESTIMENTO EM DIREITOS CREDITÓRIOS</x:v>
      </x:c>
      <x:c r="C3426" s="188" t="n">
        <x:v>0</x:v>
      </x:c>
      <x:c r="D3426" s="166" t="str">
        <x:v>WNT Gestora de Recursos Ltda.</x:v>
      </x:c>
      <x:c r="E3426" s="166" t="str">
        <x:f>IFERROR(INDEX('Classif Gestoras'!$H$6:$H$462,MATCH(D3426,'Classif Gestoras'!$A$6:$A$462,0)),"Não classificada")</x:f>
        <x:v>Independente</x:v>
      </x:c>
      <x:c r="F3426" s="166" t="str">
        <x:v>REAG DTVM</x:v>
      </x:c>
      <x:c r="G3426" s="166" t="str">
        <x:v>REAG TRUST DISTRIBUIDORA DE TITULOS E VALORES MOBILIARIOS S.A.</x:v>
      </x:c>
      <x:c r="H3426" s="166" t="str">
        <x:v>Outros</x:v>
      </x:c>
      <x:c r="I3426" s="166" t="str">
        <x:v>Multicarteira Outros</x:v>
      </x:c>
      <x:c r="J3426" s="166" t="str">
        <x:v>CI</x:v>
      </x:c>
      <x:c r="K3426" s="172" t="n">
        <x:v>3</x:v>
      </x:c>
      <x:c r="L3426" s="185" t="str">
        <x:v>Não classificado</x:v>
      </x:c>
    </x:row>
    <x:row r="3427">
      <x:c r="A3427" s="175" t="str">
        <x:v>58.559.343/0001-70</x:v>
      </x:c>
      <x:c r="B3427" s="166" t="str">
        <x:v>NXT RF CONSERVADOR FUNDO DE INVESTIMENTO EM DIREITOS CREDITÓRIOS FEEDER RESPONSABILIDADE LIMITADA</x:v>
      </x:c>
      <x:c r="C3427" s="188" t="n">
        <x:v>0</x:v>
      </x:c>
      <x:c r="D3427" s="166" t="str">
        <x:v>GESTORA DE RECURSOS ID - GRID LTDA.</x:v>
      </x:c>
      <x:c r="E3427" s="166" t="str">
        <x:f>IFERROR(INDEX('Classif Gestoras'!$H$6:$H$462,MATCH(D3427,'Classif Gestoras'!$A$6:$A$462,0)),"Não classificada")</x:f>
        <x:v>Independente</x:v>
      </x:c>
      <x:c r="F3427" s="166" t="str">
        <x:v>ID Corretora de Títulos e Valores Mobiliários S.A.</x:v>
      </x:c>
      <x:c r="G3427" s="166" t="str">
        <x:v>ID CORRETORA DE TITULOS E VALORES MOBILIARIOS S.A.</x:v>
      </x:c>
      <x:c r="H3427" s="166" t="str">
        <x:v>Outros</x:v>
      </x:c>
      <x:c r="I3427" s="166" t="str">
        <x:v>Multicarteira Outros</x:v>
      </x:c>
      <x:c r="J3427" s="166" t="str">
        <x:v>CI</x:v>
      </x:c>
      <x:c r="K3427" s="172" t="n">
        <x:v>0</x:v>
      </x:c>
      <x:c r="L3427" s="185" t="str">
        <x:v>Não classificado</x:v>
      </x:c>
    </x:row>
    <x:row r="3428">
      <x:c r="A3428" s="175" t="str">
        <x:v>53.848.229/0001-47</x:v>
      </x:c>
      <x:c r="B3428" s="166" t="str">
        <x:v>FASHION FUNDO DE INVESTIMENTO EM DIREITOS CREDITÓRIOS NÃO PADRONIZADOS RESP ILIMITADA</x:v>
      </x:c>
      <x:c r="C3428" s="188" t="n">
        <x:v>0</x:v>
      </x:c>
      <x:c r="D3428" s="166" t="str">
        <x:v>Reag Jus</x:v>
      </x:c>
      <x:c r="E3428" s="166" t="str">
        <x:f>IFERROR(INDEX('Classif Gestoras'!$H$6:$H$462,MATCH(D3428,'Classif Gestoras'!$A$6:$A$462,0)),"Não classificada")</x:f>
        <x:v>Independente</x:v>
      </x:c>
      <x:c r="F3428" s="166" t="str">
        <x:v>REAG DTVM</x:v>
      </x:c>
      <x:c r="G3428" s="166" t="str">
        <x:v>REAG TRUST DISTRIBUIDORA DE TITULOS E VALORES MOBILIARIOS S.A.</x:v>
      </x:c>
      <x:c r="H3428" s="166" t="str">
        <x:v>Outros</x:v>
      </x:c>
      <x:c r="I3428" s="166" t="str">
        <x:v>Poder Público</x:v>
      </x:c>
      <x:c r="J3428" s="166" t="str">
        <x:v>CI</x:v>
      </x:c>
      <x:c r="K3428" s="172" t="n">
        <x:v>1</x:v>
      </x:c>
      <x:c r="L3428" s="185" t="str">
        <x:v>Não classificado</x:v>
      </x:c>
    </x:row>
    <x:row r="3429">
      <x:c r="A3429" s="175" t="str">
        <x:v>26.471.075/0001-44</x:v>
      </x:c>
      <x:c r="B3429" s="166" t="str">
        <x:v>JC 4870 V FUNDO DE INVESTIMENTO EM DIREITOS CREDITÓRIOS NÃO PADRONIZADOS - FIDC-NP</x:v>
      </x:c>
      <x:c r="C3429" s="188" t="n">
        <x:v>0</x:v>
      </x:c>
      <x:c r="D3429" s="166" t="str">
        <x:v>GV ATACAMA CAPITAL LTDA.</x:v>
      </x:c>
      <x:c r="E3429" s="166" t="str">
        <x:f>IFERROR(INDEX('Classif Gestoras'!$H$6:$H$462,MATCH(D3429,'Classif Gestoras'!$A$6:$A$462,0)),"Não classificada")</x:f>
        <x:v>Independente</x:v>
      </x:c>
      <x:c r="F3429" s="166" t="str">
        <x:v>Singulare</x:v>
      </x:c>
      <x:c r="G3429" s="166" t="str">
        <x:v>BANCO BTG PACTUAL S/A</x:v>
      </x:c>
      <x:c r="H3429" s="166" t="str">
        <x:v>Outros</x:v>
      </x:c>
      <x:c r="I3429" s="166" t="str">
        <x:v>Poder Público</x:v>
      </x:c>
      <x:c r="J3429" s="166" t="str">
        <x:v>CI</x:v>
      </x:c>
      <x:c r="K3429" s="172" t="n">
        <x:v>2</x:v>
      </x:c>
      <x:c r="L3429" s="185" t="str">
        <x:v>Não classificado</x:v>
      </x:c>
    </x:row>
    <x:row r="3430">
      <x:c r="A3430" s="175" t="str">
        <x:v>53.848.060/0001-25</x:v>
      </x:c>
      <x:c r="B3430" s="166" t="str">
        <x:v>QUORRA FUNDO DE INVESTIMENTO EM DIREITOS CREDITÓRIOS</x:v>
      </x:c>
      <x:c r="C3430" s="188" t="n">
        <x:v>0</x:v>
      </x:c>
      <x:c r="D3430" s="166" t="str">
        <x:v>Reag Jus</x:v>
      </x:c>
      <x:c r="E3430" s="166" t="str">
        <x:f>IFERROR(INDEX('Classif Gestoras'!$H$6:$H$462,MATCH(D3430,'Classif Gestoras'!$A$6:$A$462,0)),"Não classificada")</x:f>
        <x:v>Independente</x:v>
      </x:c>
      <x:c r="F3430" s="166" t="str">
        <x:v>REAG DTVM</x:v>
      </x:c>
      <x:c r="G3430" s="166" t="str">
        <x:v>REAG TRUST DISTRIBUIDORA DE TITULOS E VALORES MOBILIARIOS S.A.</x:v>
      </x:c>
      <x:c r="H3430" s="166" t="str">
        <x:v>Outros</x:v>
      </x:c>
      <x:c r="I3430" s="166" t="str">
        <x:v>Multicarteira Outros</x:v>
      </x:c>
      <x:c r="J3430" s="166" t="str">
        <x:v>CI</x:v>
      </x:c>
      <x:c r="K3430" s="172" t="n">
        <x:v>1</x:v>
      </x:c>
      <x:c r="L3430" s="185" t="str">
        <x:v>Não classificado</x:v>
      </x:c>
    </x:row>
    <x:row r="3431">
      <x:c r="A3431" s="175" t="str">
        <x:v>53.323.851/0001-31</x:v>
      </x:c>
      <x:c r="B3431" s="166" t="str">
        <x:v>CNPJ 53323851000131</x:v>
      </x:c>
      <x:c r="C3431" s="188" t="n">
        <x:v>0</x:v>
      </x:c>
      <x:c r="D3431" s="166" t="str">
        <x:v>Reag Administradora de Recursos Ltda</x:v>
      </x:c>
      <x:c r="E3431" s="166" t="str">
        <x:f>IFERROR(INDEX('Classif Gestoras'!$H$6:$H$462,MATCH(D3431,'Classif Gestoras'!$A$6:$A$462,0)),"Não classificada")</x:f>
        <x:v>Independente</x:v>
      </x:c>
      <x:c r="F3431" s="166" t="str">
        <x:v>REAG DTVM</x:v>
      </x:c>
      <x:c r="G3431" s="166" t="str">
        <x:v>Não identificado</x:v>
      </x:c>
      <x:c r="H3431" s="166" t="str">
        <x:v>Fomento Mercantil</x:v>
      </x:c>
      <x:c r="I3431" s="166" t="str">
        <x:v>Fomento Mercantil</x:v>
      </x:c>
      <x:c r="J3431" s="166" t="str">
        <x:v>CI</x:v>
      </x:c>
      <x:c r="K3431" s="172"/>
      <x:c r="L3431" s="185" t="str">
        <x:v>Não classificado</x:v>
      </x:c>
    </x:row>
    <x:row r="3432">
      <x:c r="A3432" s="175" t="str">
        <x:v>51.067.723/0001-49</x:v>
      </x:c>
      <x:c r="B3432" s="166" t="str">
        <x:v>CNPJ 51067723000149</x:v>
      </x:c>
      <x:c r="C3432" s="188" t="n">
        <x:v>0</x:v>
      </x:c>
      <x:c r="D3432" s="166" t="str">
        <x:v>Multiplica Capital</x:v>
      </x:c>
      <x:c r="E3432" s="166" t="str">
        <x:f>IFERROR(INDEX('Classif Gestoras'!$H$6:$H$462,MATCH(D3432,'Classif Gestoras'!$A$6:$A$462,0)),"Não classificada")</x:f>
        <x:v>Independente</x:v>
      </x:c>
      <x:c r="F3432" s="166" t="str">
        <x:v>PLANNER CV</x:v>
      </x:c>
      <x:c r="G3432" s="166" t="str">
        <x:v>Não identificado</x:v>
      </x:c>
      <x:c r="H3432" s="166" t="str">
        <x:v>Outros</x:v>
      </x:c>
      <x:c r="I3432" s="166" t="str">
        <x:v>Poder Público</x:v>
      </x:c>
      <x:c r="J3432" s="166" t="str">
        <x:v>CI</x:v>
      </x:c>
      <x:c r="K3432" s="172"/>
      <x:c r="L3432" s="185" t="str">
        <x:v>Não classificado</x:v>
      </x:c>
    </x:row>
    <x:row r="3433">
      <x:c r="A3433" s="175" t="str">
        <x:v>50.452.371/0001-82</x:v>
      </x:c>
      <x:c r="B3433" s="166" t="str">
        <x:v>DEL REY FUNDO DE INVESTIMENTO EM DIREITOS CREDITÓRIOS NÃO-PADRONIZADO</x:v>
      </x:c>
      <x:c r="C3433" s="188" t="n">
        <x:v>0</x:v>
      </x:c>
      <x:c r="D3433" s="166" t="str">
        <x:v>Reag Administradora de Recursos Ltda</x:v>
      </x:c>
      <x:c r="E3433" s="166" t="str">
        <x:f>IFERROR(INDEX('Classif Gestoras'!$H$6:$H$462,MATCH(D3433,'Classif Gestoras'!$A$6:$A$462,0)),"Não classificada")</x:f>
        <x:v>Independente</x:v>
      </x:c>
      <x:c r="F3433" s="166" t="str">
        <x:v>REAG DTVM</x:v>
      </x:c>
      <x:c r="G3433" s="166" t="str">
        <x:v>REAG TRUST DISTRIBUIDORA DE TITULOS E VALORES MOBILIARIOS S.A.</x:v>
      </x:c>
      <x:c r="H3433" s="166" t="str">
        <x:v>Outros</x:v>
      </x:c>
      <x:c r="I3433" s="166" t="str">
        <x:v>Multicarteira Outros</x:v>
      </x:c>
      <x:c r="J3433" s="166" t="str">
        <x:v>CI</x:v>
      </x:c>
      <x:c r="K3433" s="172" t="n">
        <x:v>1</x:v>
      </x:c>
      <x:c r="L3433" s="185" t="str">
        <x:v>Não classificado</x:v>
      </x:c>
    </x:row>
    <x:row r="3434">
      <x:c r="A3434" s="175" t="str">
        <x:v>58.547.566/0001-18</x:v>
      </x:c>
      <x:c r="B3434" s="166" t="str">
        <x:v>CNPJ 58547566000118</x:v>
      </x:c>
      <x:c r="C3434" s="188" t="n">
        <x:v>0</x:v>
      </x:c>
      <x:c r="D3434" s="166" t="str">
        <x:v>SOSU CAPITAL GESTÃO DE INVESTIMENTOS LTDA.</x:v>
      </x:c>
      <x:c r="E3434" s="166" t="str">
        <x:f>IFERROR(INDEX('Classif Gestoras'!$H$6:$H$462,MATCH(D3434,'Classif Gestoras'!$A$6:$A$462,0)),"Não classificada")</x:f>
        <x:v>Independente</x:v>
      </x:c>
      <x:c r="F3434" s="166" t="str">
        <x:v>BTG Pactual Servicos Financeiros S/A DTVM</x:v>
      </x:c>
      <x:c r="G3434" s="166" t="str">
        <x:v>Não identificado</x:v>
      </x:c>
      <x:c r="H3434" s="166" t="str">
        <x:v>Outros</x:v>
      </x:c>
      <x:c r="I3434" s="166" t="str">
        <x:v>Poder Público</x:v>
      </x:c>
      <x:c r="J3434" s="166" t="str">
        <x:v>CI</x:v>
      </x:c>
      <x:c r="K3434" s="172"/>
      <x:c r="L3434" s="185" t="str">
        <x:v>Não classificado</x:v>
      </x:c>
    </x:row>
    <x:row r="3435">
      <x:c r="A3435" s="175" t="str">
        <x:v>58.549.779/0001-89</x:v>
      </x:c>
      <x:c r="B3435" s="166" t="str">
        <x:v>CNPJ 58549779000189</x:v>
      </x:c>
      <x:c r="C3435" s="188" t="n">
        <x:v>0</x:v>
      </x:c>
      <x:c r="D3435" s="166" t="str">
        <x:v>CARMEL GESTORA DE ATIVOS LTDA</x:v>
      </x:c>
      <x:c r="E3435" s="166" t="str">
        <x:f>IFERROR(INDEX('Classif Gestoras'!$H$6:$H$462,MATCH(D3435,'Classif Gestoras'!$A$6:$A$462,0)),"Não classificada")</x:f>
        <x:v>Independente</x:v>
      </x:c>
      <x:c r="F3435" s="166" t="str">
        <x:v>BRL TRUST DTVM</x:v>
      </x:c>
      <x:c r="G3435" s="166" t="str">
        <x:v>Não identificado</x:v>
      </x:c>
      <x:c r="H3435" s="166" t="str">
        <x:v>Agro, Indústria e Comércio</x:v>
      </x:c>
      <x:c r="I3435" s="166" t="str">
        <x:v>Recebíveis Comerciais</x:v>
      </x:c>
      <x:c r="J3435" s="166" t="str">
        <x:v>CI</x:v>
      </x:c>
      <x:c r="K3435" s="172"/>
      <x:c r="L3435" s="185" t="str">
        <x:v>Não classificado</x:v>
      </x:c>
    </x:row>
    <x:row r="3436">
      <x:c r="A3436" s="175" t="str">
        <x:v>53.765.941/0001-82</x:v>
      </x:c>
      <x:c r="B3436" s="166" t="str">
        <x:v>COHAB MINAS FUNDO DE INVESTIMENTO EM DIREITOS CREDITÓRIOS IMOBILIÁRIOS DE RESPONSABILIDADE LIMITADA</x:v>
      </x:c>
      <x:c r="C3436" s="188" t="n">
        <x:v>0</x:v>
      </x:c>
      <x:c r="D3436" s="166" t="str">
        <x:v>Kanastra</x:v>
      </x:c>
      <x:c r="E3436" s="166" t="str">
        <x:f>IFERROR(INDEX('Classif Gestoras'!$H$6:$H$462,MATCH(D3436,'Classif Gestoras'!$A$6:$A$462,0)),"Não classificada")</x:f>
        <x:v>Independente</x:v>
      </x:c>
      <x:c r="F3436" s="166" t="str">
        <x:v>Limine Trust Distribuidora de Titulos e Valores Mobiliá</x:v>
      </x:c>
      <x:c r="G3436" s="166" t="str">
        <x:v>LIMINE TRUST DISTRIBUIDORA DE TITULOS E VALORES MOBILIARIOS LTDA.</x:v>
      </x:c>
      <x:c r="H3436" s="166" t="str">
        <x:v>Financeiro</x:v>
      </x:c>
      <x:c r="I3436" s="166" t="str">
        <x:v>Crédito Imobiliário</x:v>
      </x:c>
      <x:c r="J3436" s="166" t="str">
        <x:v>CI</x:v>
      </x:c>
      <x:c r="K3436" s="172" t="n">
        <x:v>1</x:v>
      </x:c>
      <x:c r="L3436" s="185" t="str">
        <x:v>Não classificado</x:v>
      </x:c>
    </x:row>
    <x:row r="3437">
      <x:c r="A3437" s="175" t="str">
        <x:v>50.477.529/0001-79</x:v>
      </x:c>
      <x:c r="B3437" s="166" t="str">
        <x:v>SQUALO FLAGSHIP FUNDO DE INVESTIMENTO EM DIREITOS CREDITÓRIOS NÃO PADRONIZADOS</x:v>
      </x:c>
      <x:c r="C3437" s="188" t="n">
        <x:v>0</x:v>
      </x:c>
      <x:c r="D3437" s="166" t="str">
        <x:v>SQUALO CAPITAL GESTORA DE RECURSOS LTDA.</x:v>
      </x:c>
      <x:c r="E3437" s="166" t="str">
        <x:f>IFERROR(INDEX('Classif Gestoras'!$H$6:$H$462,MATCH(D3437,'Classif Gestoras'!$A$6:$A$462,0)),"Não classificada")</x:f>
        <x:v>Independente</x:v>
      </x:c>
      <x:c r="F3437" s="166" t="str">
        <x:v>MASTER S/A CORRETORA</x:v>
      </x:c>
      <x:c r="G3437" s="166" t="str">
        <x:v>MASTER S/A CORRETORA DE CAMBIO, TITULOS E VALORES MOBILIARIOS</x:v>
      </x:c>
      <x:c r="H3437" s="166" t="str">
        <x:v>Outros</x:v>
      </x:c>
      <x:c r="I3437" s="166" t="str">
        <x:v>Multicarteira Outros</x:v>
      </x:c>
      <x:c r="J3437" s="166" t="str">
        <x:v>CI</x:v>
      </x:c>
      <x:c r="K3437" s="172" t="n">
        <x:v>3</x:v>
      </x:c>
      <x:c r="L3437" s="185" t="str">
        <x:v>Não classificado</x:v>
      </x:c>
    </x:row>
    <x:row r="3438">
      <x:c r="A3438" s="175" t="str">
        <x:v>12.610.459/0001-96</x:v>
      </x:c>
      <x:c r="B3438" s="166" t="str">
        <x:v>FUNDO DE INVESTIMENTO EM DIREITOS CREDITORIOS GOAL ONE</x:v>
      </x:c>
      <x:c r="C3438" s="188" t="n">
        <x:v>0</x:v>
      </x:c>
      <x:c r="D3438" s="166" t="str">
        <x:v>REAG GESTÃO DE CRÉDITO</x:v>
      </x:c>
      <x:c r="E3438" s="166" t="str">
        <x:f>IFERROR(INDEX('Classif Gestoras'!$H$6:$H$462,MATCH(D3438,'Classif Gestoras'!$A$6:$A$462,0)),"Não classificada")</x:f>
        <x:v>Independente</x:v>
      </x:c>
      <x:c r="F3438" s="166" t="str">
        <x:v>Banvox DTVM</x:v>
      </x:c>
      <x:c r="G3438" s="166" t="str">
        <x:v>OLIVEIRA TRUST DTVM S.A.</x:v>
      </x:c>
      <x:c r="H3438" s="166" t="str">
        <x:v>Fomento Mercantil</x:v>
      </x:c>
      <x:c r="I3438" s="166" t="str">
        <x:v>Fomento Mercantil</x:v>
      </x:c>
      <x:c r="J3438" s="166" t="str">
        <x:v>CI</x:v>
      </x:c>
      <x:c r="K3438" s="172" t="n">
        <x:v>105</x:v>
      </x:c>
      <x:c r="L3438" s="185" t="str">
        <x:v>Não classificado</x:v>
      </x:c>
    </x:row>
    <x:row r="3439">
      <x:c r="A3439" s="175" t="str">
        <x:v>35.726.650/0001-01</x:v>
      </x:c>
      <x:c r="B3439" s="166" t="str">
        <x:v>EMPÍRICA DEBÊNTURES FUNDO DE INVESTIMENTO EM DIREITOS CREDITÓRIOS</x:v>
      </x:c>
      <x:c r="C3439" s="188" t="n">
        <x:v>0</x:v>
      </x:c>
      <x:c r="D3439" s="166" t="str">
        <x:v>REAG GESTÃO DE CRÉDITO</x:v>
      </x:c>
      <x:c r="E3439" s="166" t="str">
        <x:f>IFERROR(INDEX('Classif Gestoras'!$H$6:$H$462,MATCH(D3439,'Classif Gestoras'!$A$6:$A$462,0)),"Não classificada")</x:f>
        <x:v>Independente</x:v>
      </x:c>
      <x:c r="F3439" s="166" t="str">
        <x:v>BTG Pactual Servicos Financeiros S/A DTVM</x:v>
      </x:c>
      <x:c r="G3439" s="166" t="str">
        <x:v>FIDD DISTRIBUIDORA DE TITULOS E VALORES MOBILIARIOS LTDA.</x:v>
      </x:c>
      <x:c r="H3439" s="166" t="str">
        <x:v>Outros</x:v>
      </x:c>
      <x:c r="I3439" s="166" t="str">
        <x:v>Multicarteira Outros</x:v>
      </x:c>
      <x:c r="J3439" s="166" t="str">
        <x:v>CI</x:v>
      </x:c>
      <x:c r="K3439" s="172" t="n">
        <x:v>0</x:v>
      </x:c>
      <x:c r="L3439" s="185" t="str">
        <x:v>Não classificado</x:v>
      </x:c>
    </x:row>
    <x:row r="3440">
      <x:c r="A3440" s="175" t="str">
        <x:v>61.890.598/0001-26</x:v>
      </x:c>
      <x:c r="B3440" s="166" t="str">
        <x:v>CNPJ 61890598000126</x:v>
      </x:c>
      <x:c r="C3440" s="188" t="n">
        <x:v>0</x:v>
      </x:c>
      <x:c r="D3440" s="166" t="str">
        <x:v>REAG SPECIALTY FINANCE</x:v>
      </x:c>
      <x:c r="E3440" s="166" t="str">
        <x:f>IFERROR(INDEX('Classif Gestoras'!$H$6:$H$462,MATCH(D3440,'Classif Gestoras'!$A$6:$A$462,0)),"Não classificada")</x:f>
        <x:v>Independente</x:v>
      </x:c>
      <x:c r="F3440" s="166" t="str">
        <x:v>REAG DTVM</x:v>
      </x:c>
      <x:c r="G3440" s="166" t="str">
        <x:v>Não identificado</x:v>
      </x:c>
      <x:c r="H3440" s="166" t="str">
        <x:v>Outros</x:v>
      </x:c>
      <x:c r="I3440" s="166" t="str">
        <x:v>Multicarteira Outros</x:v>
      </x:c>
      <x:c r="J3440" s="166" t="str">
        <x:v>CI</x:v>
      </x:c>
      <x:c r="K3440" s="172"/>
      <x:c r="L3440" s="185" t="str">
        <x:v>Não classificado</x:v>
      </x:c>
    </x:row>
    <x:row r="3441">
      <x:c r="A3441" s="175" t="str">
        <x:v>50.823.781/0001-92</x:v>
      </x:c>
      <x:c r="B3441" s="166" t="str">
        <x:v>NOBEL II FUNDO DE INVESTIMENTO EM DIREITOS CREDITÓRIOS</x:v>
      </x:c>
      <x:c r="C3441" s="188" t="n">
        <x:v>0</x:v>
      </x:c>
      <x:c r="D3441" s="166" t="str">
        <x:v>TERCON ASSET MANAGEMENT</x:v>
      </x:c>
      <x:c r="E3441" s="166" t="str">
        <x:f>IFERROR(INDEX('Classif Gestoras'!$H$6:$H$462,MATCH(D3441,'Classif Gestoras'!$A$6:$A$462,0)),"Não classificada")</x:f>
        <x:v>Independente</x:v>
      </x:c>
      <x:c r="F3441" s="166" t="str">
        <x:v>Limine Trust Distribuidora de Titulos e Valores Mobiliá</x:v>
      </x:c>
      <x:c r="G3441" s="166" t="str">
        <x:v>LIMINE TRUST DISTRIBUIDORA DE TITULOS E VALORES MOBILIARIOS LTDA.</x:v>
      </x:c>
      <x:c r="H3441" s="166" t="str">
        <x:v>Outros</x:v>
      </x:c>
      <x:c r="I3441" s="166" t="str">
        <x:v>Multicarteira Outros</x:v>
      </x:c>
      <x:c r="J3441" s="166" t="str">
        <x:v>CI</x:v>
      </x:c>
      <x:c r="K3441" s="172" t="n">
        <x:v>0</x:v>
      </x:c>
      <x:c r="L3441" s="185" t="str">
        <x:v>Não classificado</x:v>
      </x:c>
    </x:row>
    <x:row r="3442">
      <x:c r="A3442" s="175" t="str">
        <x:v>26.558.776/0001-15</x:v>
      </x:c>
      <x:c r="B3442" s="166" t="str">
        <x:v>WNT AÇÕES JUDICIAIS FUNDO DE INVESTIMENTO EM DIREITOS CREDITÓRIOS-NÃO PADRONIZADO</x:v>
      </x:c>
      <x:c r="C3442" s="188" t="n">
        <x:v>0</x:v>
      </x:c>
      <x:c r="D3442" s="166" t="str">
        <x:v>WNT Gestora de Recursos Ltda.</x:v>
      </x:c>
      <x:c r="E3442" s="166" t="str">
        <x:f>IFERROR(INDEX('Classif Gestoras'!$H$6:$H$462,MATCH(D3442,'Classif Gestoras'!$A$6:$A$462,0)),"Não classificada")</x:f>
        <x:v>Independente</x:v>
      </x:c>
      <x:c r="F3442" s="166" t="str">
        <x:v>Singulare</x:v>
      </x:c>
      <x:c r="G3442" s="166" t="str">
        <x:v>WNT CAPITAL DISTRIBUIDORA DE TITULOS E VALORES MOBILIARIOS S.A.</x:v>
      </x:c>
      <x:c r="H3442" s="166" t="str">
        <x:v>Outros</x:v>
      </x:c>
      <x:c r="I3442" s="166" t="str">
        <x:v>Poder Público</x:v>
      </x:c>
      <x:c r="J3442" s="166" t="str">
        <x:v>CI</x:v>
      </x:c>
      <x:c r="K3442" s="172" t="n">
        <x:v>1</x:v>
      </x:c>
      <x:c r="L3442" s="185" t="str">
        <x:v>Não classificado</x:v>
      </x:c>
    </x:row>
    <x:row r="3443">
      <x:c r="A3443" s="175" t="str">
        <x:v>29.249.995/0001-00</x:v>
      </x:c>
      <x:c r="B3443" s="166" t="str">
        <x:v>GOLDEN TREE FUNDO DE INVESTIMENTO EM DIREITOS CREDITÓRIOS RESPONSABILIDADE LIMITADA</x:v>
      </x:c>
      <x:c r="C3443" s="188" t="n">
        <x:v>0</x:v>
      </x:c>
      <x:c r="D3443" s="166" t="str">
        <x:v>BRL TRUST DTVM</x:v>
      </x:c>
      <x:c r="E3443" s="166" t="str">
        <x:f>IFERROR(INDEX('Classif Gestoras'!$H$6:$H$462,MATCH(D3443,'Classif Gestoras'!$A$6:$A$462,0)),"Não classificada")</x:f>
        <x:v>Independente</x:v>
      </x:c>
      <x:c r="F3443" s="166" t="str">
        <x:v>BRL TRUST DTVM</x:v>
      </x:c>
      <x:c r="G3443" s="166" t="str">
        <x:v>LIMINE TRUST DISTRIBUIDORA DE TITULOS E VALORES MOBILIARIOS LTDA.</x:v>
      </x:c>
      <x:c r="H3443" s="166" t="str">
        <x:v>Outros</x:v>
      </x:c>
      <x:c r="I3443" s="166" t="str">
        <x:v>Multicarteira Outros</x:v>
      </x:c>
      <x:c r="J3443" s="166" t="str">
        <x:v>CI</x:v>
      </x:c>
      <x:c r="K3443" s="172" t="n">
        <x:v>1</x:v>
      </x:c>
      <x:c r="L3443" s="185" t="str">
        <x:v>Não classificado</x:v>
      </x:c>
    </x:row>
    <x:row r="3444">
      <x:c r="A3444" s="175" t="str">
        <x:v>53.720.187/0001-64</x:v>
      </x:c>
      <x:c r="B3444" s="166" t="str">
        <x:v>CNPJ 53720187000164</x:v>
      </x:c>
      <x:c r="C3444" s="188" t="n">
        <x:v>0</x:v>
      </x:c>
      <x:c r="D3444" s="166" t="str">
        <x:v>Emerald Gestão de Investimento</x:v>
      </x:c>
      <x:c r="E3444" s="166" t="str">
        <x:f>IFERROR(INDEX('Classif Gestoras'!$H$6:$H$462,MATCH(D3444,'Classif Gestoras'!$A$6:$A$462,0)),"Não classificada")</x:f>
        <x:v>Independente</x:v>
      </x:c>
      <x:c r="F3444" s="166" t="str">
        <x:v>BANCO J. SAFRA S/A</x:v>
      </x:c>
      <x:c r="G3444" s="166" t="str">
        <x:v>Não identificado</x:v>
      </x:c>
      <x:c r="H3444" s="166" t="str">
        <x:v>Outros</x:v>
      </x:c>
      <x:c r="I3444" s="166" t="str">
        <x:v>Poder Público</x:v>
      </x:c>
      <x:c r="J3444" s="166" t="str">
        <x:v>CI</x:v>
      </x:c>
      <x:c r="K3444" s="172"/>
      <x:c r="L3444" s="185" t="str">
        <x:v>Não classificado</x:v>
      </x:c>
    </x:row>
    <x:row r="3445">
      <x:c r="A3445" s="175" t="str">
        <x:v>53.676.261/0001-92</x:v>
      </x:c>
      <x:c r="B3445" s="166" t="str">
        <x:v>RESTART FUNDO DE INVESTIMENTO EM DIREITOS CREDITORIOS RESPONSABILIDADE LIMITADA</x:v>
      </x:c>
      <x:c r="C3445" s="188" t="n">
        <x:v>0</x:v>
      </x:c>
      <x:c r="D3445" s="166" t="str">
        <x:v>1618 INVESTIMENTOS</x:v>
      </x:c>
      <x:c r="E3445" s="166" t="str">
        <x:f>IFERROR(INDEX('Classif Gestoras'!$H$6:$H$462,MATCH(D3445,'Classif Gestoras'!$A$6:$A$462,0)),"Não classificada")</x:f>
        <x:v>Independente</x:v>
      </x:c>
      <x:c r="F3445" s="166" t="str">
        <x:v>PLANNER CV</x:v>
      </x:c>
      <x:c r="G3445" s="166" t="str">
        <x:v>VORTX DISTRIBUIDORA DE TITULOS E VALORES MOBILIARIOS LTDA.</x:v>
      </x:c>
      <x:c r="H3445" s="166" t="str">
        <x:v>Outros</x:v>
      </x:c>
      <x:c r="I3445" s="166" t="str">
        <x:v>Multicarteira Outros</x:v>
      </x:c>
      <x:c r="J3445" s="166" t="str">
        <x:v>CI</x:v>
      </x:c>
      <x:c r="K3445" s="172" t="n">
        <x:v>35</x:v>
      </x:c>
      <x:c r="L3445" s="185" t="str">
        <x:v>Não classificado</x:v>
      </x:c>
    </x:row>
    <x:row r="3446">
      <x:c r="A3446" s="175" t="str">
        <x:v>39.857.521/0001-03</x:v>
      </x:c>
      <x:c r="B3446" s="166" t="str">
        <x:v>BLUE CRÉDITO IMOBILIÁRIO FIDC ABERTO DE RESPONSABILIDADE LIMITADA</x:v>
      </x:c>
      <x:c r="C3446" s="188" t="n">
        <x:v>0</x:v>
      </x:c>
      <x:c r="D3446" s="166" t="str">
        <x:v>Blue Asset</x:v>
      </x:c>
      <x:c r="E3446" s="166" t="str">
        <x:f>IFERROR(INDEX('Classif Gestoras'!$H$6:$H$462,MATCH(D3446,'Classif Gestoras'!$A$6:$A$462,0)),"Não classificada")</x:f>
        <x:v>Independente</x:v>
      </x:c>
      <x:c r="F3446" s="166" t="str">
        <x:v>BANCO DAYCOVAL S/A</x:v>
      </x:c>
      <x:c r="G3446" s="166" t="str">
        <x:v>VORTX DISTRIBUIDORA DE TITULOS E VALORES MOBILIARIOS LTDA.</x:v>
      </x:c>
      <x:c r="H3446" s="166" t="str">
        <x:v>Financeiro</x:v>
      </x:c>
      <x:c r="I3446" s="166" t="str">
        <x:v>Crédito Imobiliário</x:v>
      </x:c>
      <x:c r="J3446" s="166" t="str">
        <x:v>CI</x:v>
      </x:c>
      <x:c r="K3446" s="172" t="n">
        <x:v>4</x:v>
      </x:c>
      <x:c r="L3446" s="185" t="str">
        <x:v>Não classificado</x:v>
      </x:c>
    </x:row>
    <x:row r="3447">
      <x:c r="A3447" s="175" t="str">
        <x:v>35.817.262/0001-28</x:v>
      </x:c>
      <x:c r="B3447" s="166" t="str">
        <x:v>CNPJ 35817262000128</x:v>
      </x:c>
      <x:c r="C3447" s="188" t="n">
        <x:v>0</x:v>
      </x:c>
      <x:c r="D3447" s="166" t="str">
        <x:v>BRL TRUST DTVM</x:v>
      </x:c>
      <x:c r="E3447" s="166" t="str">
        <x:f>IFERROR(INDEX('Classif Gestoras'!$H$6:$H$462,MATCH(D3447,'Classif Gestoras'!$A$6:$A$462,0)),"Não classificada")</x:f>
        <x:v>Independente</x:v>
      </x:c>
      <x:c r="F3447" s="166" t="str">
        <x:v>BRL TRUST DTVM</x:v>
      </x:c>
      <x:c r="G3447" s="166" t="str">
        <x:v>Não identificado</x:v>
      </x:c>
      <x:c r="H3447" s="166" t="str">
        <x:v>Agro, Indústria e Comércio</x:v>
      </x:c>
      <x:c r="I3447" s="166" t="str">
        <x:v>Infraestrutura</x:v>
      </x:c>
      <x:c r="J3447" s="166" t="str">
        <x:v>CI</x:v>
      </x:c>
      <x:c r="K3447" s="172"/>
      <x:c r="L3447" s="185" t="str">
        <x:v>Não classificado</x:v>
      </x:c>
    </x:row>
    <x:row r="3448">
      <x:c r="A3448" s="175" t="str">
        <x:v>14.880.030/0001-44</x:v>
      </x:c>
      <x:c r="B3448" s="166" t="str">
        <x:v>CNPJ 14880030000144</x:v>
      </x:c>
      <x:c r="C3448" s="188" t="n">
        <x:v>0</x:v>
      </x:c>
      <x:c r="D3448" s="166" t="str">
        <x:v>Tivio Capital</x:v>
      </x:c>
      <x:c r="E3448" s="166" t="str">
        <x:f>IFERROR(INDEX('Classif Gestoras'!$H$6:$H$462,MATCH(D3448,'Classif Gestoras'!$A$6:$A$462,0)),"Não classificada")</x:f>
        <x:v>Independente</x:v>
      </x:c>
      <x:c r="F3448" s="166" t="str">
        <x:v>Tivio Capital</x:v>
      </x:c>
      <x:c r="G3448" s="166" t="str">
        <x:v>Não identificado</x:v>
      </x:c>
      <x:c r="H3448" s="166" t="str">
        <x:v>Agro, Indústria e Comércio</x:v>
      </x:c>
      <x:c r="I3448" s="166" t="str">
        <x:v>Não se aplica</x:v>
      </x:c>
      <x:c r="J3448" s="166" t="str">
        <x:v>CI</x:v>
      </x:c>
      <x:c r="K3448" s="172"/>
      <x:c r="L3448" s="185" t="str">
        <x:v>Não classificado</x:v>
      </x:c>
    </x:row>
    <x:row r="3449">
      <x:c r="A3449" s="175" t="str">
        <x:v>58.594.026/0001-95</x:v>
      </x:c>
      <x:c r="B3449" s="166" t="str">
        <x:v>CORTICAL FUNDO DE INVESTIMENTO EM DIREITOS CREDITÓRIOS COMERCIAIS DE RESPONSABILIDADE LIMITADA</x:v>
      </x:c>
      <x:c r="C3449" s="188" t="n">
        <x:v>0</x:v>
      </x:c>
      <x:c r="D3449" s="166" t="str">
        <x:v>EuQueroInvestir Gestão de Recursos Ltda.</x:v>
      </x:c>
      <x:c r="E3449" s="166" t="str">
        <x:f>IFERROR(INDEX('Classif Gestoras'!$H$6:$H$462,MATCH(D3449,'Classif Gestoras'!$A$6:$A$462,0)),"Não classificada")</x:f>
        <x:v>Independente</x:v>
      </x:c>
      <x:c r="F3449" s="166" t="str">
        <x:v>BANCO DAYCOVAL S/A</x:v>
      </x:c>
      <x:c r="G3449" s="166" t="str">
        <x:v>BANCO DAYCOVAL S.A.</x:v>
      </x:c>
      <x:c r="H3449" s="166" t="str">
        <x:v>Fomento Mercantil</x:v>
      </x:c>
      <x:c r="I3449" s="166" t="str">
        <x:v>Fomento Mercantil</x:v>
      </x:c>
      <x:c r="J3449" s="166" t="str">
        <x:v>CI</x:v>
      </x:c>
      <x:c r="K3449" s="172" t="n">
        <x:v>0</x:v>
      </x:c>
      <x:c r="L3449" s="185" t="str">
        <x:v>Não classificado</x:v>
      </x:c>
    </x:row>
    <x:row r="3450">
      <x:c r="A3450" s="175" t="str">
        <x:v>53.415.069/0001-42</x:v>
      </x:c>
      <x:c r="B3450" s="166" t="str">
        <x:v>VIRAGE FUNDO DE INVESTIMENTO EM DIREITOS CREDITÓRIOS</x:v>
      </x:c>
      <x:c r="C3450" s="188" t="n">
        <x:v>0</x:v>
      </x:c>
      <x:c r="D3450" s="166" t="str">
        <x:v>Reag Jus</x:v>
      </x:c>
      <x:c r="E3450" s="166" t="str">
        <x:f>IFERROR(INDEX('Classif Gestoras'!$H$6:$H$462,MATCH(D3450,'Classif Gestoras'!$A$6:$A$462,0)),"Não classificada")</x:f>
        <x:v>Independente</x:v>
      </x:c>
      <x:c r="F3450" s="166" t="str">
        <x:v>REAG DTVM</x:v>
      </x:c>
      <x:c r="G3450" s="166" t="str">
        <x:v>REAG TRUST DISTRIBUIDORA DE TITULOS E VALORES MOBILIARIOS S.A.</x:v>
      </x:c>
      <x:c r="H3450" s="166" t="str">
        <x:v>Outros</x:v>
      </x:c>
      <x:c r="I3450" s="166" t="str">
        <x:v>Multicarteira Outros</x:v>
      </x:c>
      <x:c r="J3450" s="166" t="str">
        <x:v>CI</x:v>
      </x:c>
      <x:c r="K3450" s="172" t="n">
        <x:v>1</x:v>
      </x:c>
      <x:c r="L3450" s="185" t="str">
        <x:v>Não classificado</x:v>
      </x:c>
    </x:row>
    <x:row r="3451">
      <x:c r="A3451" s="175" t="str">
        <x:v>35.818.864/0001-08</x:v>
      </x:c>
      <x:c r="B3451" s="166" t="str">
        <x:v>CNPJ 35818864000108</x:v>
      </x:c>
      <x:c r="C3451" s="188" t="n">
        <x:v>0</x:v>
      </x:c>
      <x:c r="D3451" s="166" t="str">
        <x:v>Farmtech Gestão de Recursos Ltda.</x:v>
      </x:c>
      <x:c r="E3451" s="166" t="str">
        <x:f>IFERROR(INDEX('Classif Gestoras'!$H$6:$H$462,MATCH(D3451,'Classif Gestoras'!$A$6:$A$462,0)),"Não classificada")</x:f>
        <x:v>Independente</x:v>
      </x:c>
      <x:c r="F3451" s="166" t="str">
        <x:v>Oliveira Trust DTVM</x:v>
      </x:c>
      <x:c r="G3451" s="166" t="str">
        <x:v>Não identificado</x:v>
      </x:c>
      <x:c r="H3451" s="166" t="str">
        <x:v>Agro, Indústria e Comércio</x:v>
      </x:c>
      <x:c r="I3451" s="166" t="str">
        <x:v>Recebíveis Comerciais</x:v>
      </x:c>
      <x:c r="J3451" s="166" t="str">
        <x:v>CI</x:v>
      </x:c>
      <x:c r="K3451" s="172"/>
      <x:c r="L3451" s="185" t="str">
        <x:v>Não classificado</x:v>
      </x:c>
    </x:row>
    <x:row r="3452">
      <x:c r="A3452" s="175" t="str">
        <x:v>61.415.547/0001-42</x:v>
      </x:c>
      <x:c r="B3452" s="166" t="str">
        <x:v>EICON FUNDO DE INVESTIMENTO EM DIREITOS CREDITÓRIOS</x:v>
      </x:c>
      <x:c r="C3452" s="188" t="n">
        <x:v>0</x:v>
      </x:c>
      <x:c r="D3452" s="166" t="str">
        <x:v>B.Side Wealth</x:v>
      </x:c>
      <x:c r="E3452" s="166" t="str">
        <x:f>IFERROR(INDEX('Classif Gestoras'!$H$6:$H$462,MATCH(D3452,'Classif Gestoras'!$A$6:$A$462,0)),"Não classificada")</x:f>
        <x:v>Independente</x:v>
      </x:c>
      <x:c r="F3452" s="166" t="str">
        <x:v>MONETAR DISTRIBUIDORA DE TITUL</x:v>
      </x:c>
      <x:c r="G3452" s="166" t="str">
        <x:v>TERRA INVESTIMENTOS DISTRIBUIDORA DE TITULOS E VALORES MOBILIARIOS LTDA</x:v>
      </x:c>
      <x:c r="H3452" s="166" t="str">
        <x:v>Outros</x:v>
      </x:c>
      <x:c r="I3452" s="166" t="str">
        <x:v>Multicarteira Outros</x:v>
      </x:c>
      <x:c r="J3452" s="166" t="str">
        <x:v>CI</x:v>
      </x:c>
      <x:c r="K3452" s="172" t="n">
        <x:v>4</x:v>
      </x:c>
      <x:c r="L3452" s="185" t="str">
        <x:v>Não classificado</x:v>
      </x:c>
    </x:row>
    <x:row r="3453">
      <x:c r="A3453" s="175" t="str">
        <x:v>50.818.107/0001-10</x:v>
      </x:c>
      <x:c r="B3453" s="166" t="str">
        <x:v>READING FUNDO DE INVESTIMENTO EM DIREITOS CREDITÓRIOS NÃO-PADRONIZADOS RESPONSABILIDADE LIMITADA</x:v>
      </x:c>
      <x:c r="C3453" s="188" t="n">
        <x:v>0</x:v>
      </x:c>
      <x:c r="D3453" s="166" t="str">
        <x:v>IDGR</x:v>
      </x:c>
      <x:c r="E3453" s="166" t="str">
        <x:f>IFERROR(INDEX('Classif Gestoras'!$H$6:$H$462,MATCH(D3453,'Classif Gestoras'!$A$6:$A$462,0)),"Não classificada")</x:f>
        <x:v>Independente</x:v>
      </x:c>
      <x:c r="F3453" s="166" t="str">
        <x:v>ID Corretora de Títulos e Valores Mobiliários S.A.</x:v>
      </x:c>
      <x:c r="G3453" s="166" t="str">
        <x:v>ID CORRETORA DE TITULOS E VALORES MOBILIARIOS S.A.</x:v>
      </x:c>
      <x:c r="H3453" s="166" t="str">
        <x:v>Outros</x:v>
      </x:c>
      <x:c r="I3453" s="166" t="str">
        <x:v>Multicarteira Outros</x:v>
      </x:c>
      <x:c r="J3453" s="166" t="str">
        <x:v>CI</x:v>
      </x:c>
      <x:c r="K3453" s="172" t="n">
        <x:v>0</x:v>
      </x:c>
      <x:c r="L3453" s="185" t="str">
        <x:v>Não classificado</x:v>
      </x:c>
    </x:row>
    <x:row r="3454">
      <x:c r="A3454" s="175" t="str">
        <x:v>40.677.194/0001-89</x:v>
      </x:c>
      <x:c r="B3454" s="166" t="str">
        <x:v>CNPJ 40677194000189</x:v>
      </x:c>
      <x:c r="C3454" s="188" t="n">
        <x:v>0</x:v>
      </x:c>
      <x:c r="D3454" s="166" t="str">
        <x:v>VERT Gestora de Recursos Financeiros Ltda.</x:v>
      </x:c>
      <x:c r="E3454" s="166" t="str">
        <x:f>IFERROR(INDEX('Classif Gestoras'!$H$6:$H$462,MATCH(D3454,'Classif Gestoras'!$A$6:$A$462,0)),"Não classificada")</x:f>
        <x:v>Independente</x:v>
      </x:c>
      <x:c r="F3454" s="166" t="str">
        <x:v>BRL TRUST DTVM</x:v>
      </x:c>
      <x:c r="G3454" s="166" t="str">
        <x:v>Não identificado</x:v>
      </x:c>
      <x:c r="H3454" s="166" t="str">
        <x:v>Financeiro</x:v>
      </x:c>
      <x:c r="I3454" s="166" t="str">
        <x:v>Financiamento de Veículos</x:v>
      </x:c>
      <x:c r="J3454" s="166" t="str">
        <x:v>CI</x:v>
      </x:c>
      <x:c r="K3454" s="172"/>
      <x:c r="L3454" s="185" t="str">
        <x:v>Não classificado</x:v>
      </x:c>
    </x:row>
    <x:row r="3455">
      <x:c r="A3455" s="175" t="str">
        <x:v>49.448.463/0001-00</x:v>
      </x:c>
      <x:c r="B3455" s="166" t="str">
        <x:v>CNPJ 49448463000100</x:v>
      </x:c>
      <x:c r="C3455" s="188" t="n">
        <x:v>0</x:v>
      </x:c>
      <x:c r="D3455" s="166" t="str">
        <x:v>Reag Administradora de Recursos Ltda</x:v>
      </x:c>
      <x:c r="E3455" s="166" t="str">
        <x:f>IFERROR(INDEX('Classif Gestoras'!$H$6:$H$462,MATCH(D3455,'Classif Gestoras'!$A$6:$A$462,0)),"Não classificada")</x:f>
        <x:v>Independente</x:v>
      </x:c>
      <x:c r="F3455" s="166" t="str">
        <x:v>REAG DTVM</x:v>
      </x:c>
      <x:c r="G3455" s="166" t="str">
        <x:v>Não identificado</x:v>
      </x:c>
      <x:c r="H3455" s="166" t="str">
        <x:v>Financeiro</x:v>
      </x:c>
      <x:c r="I3455" s="166" t="str">
        <x:v>Crédito Consignado</x:v>
      </x:c>
      <x:c r="J3455" s="166" t="str">
        <x:v>CI</x:v>
      </x:c>
      <x:c r="K3455" s="172"/>
      <x:c r="L3455" s="185" t="str">
        <x:v>Não classificado</x:v>
      </x:c>
    </x:row>
    <x:row r="3456">
      <x:c r="A3456" s="175" t="str">
        <x:v>17.024.362/0001-15</x:v>
      </x:c>
      <x:c r="B3456" s="166" t="str">
        <x:v>EXP 1 FUNDO DE INVESTIMENTO EM DIREITOS CREDITÓRIOS NÃO PADRONIZADOS</x:v>
      </x:c>
      <x:c r="C3456" s="188" t="n">
        <x:v>0</x:v>
      </x:c>
      <x:c r="D3456" s="166" t="str">
        <x:v>Yards Asset Gestão de Recursos Ltda.</x:v>
      </x:c>
      <x:c r="E3456" s="166" t="str">
        <x:f>IFERROR(INDEX('Classif Gestoras'!$H$6:$H$462,MATCH(D3456,'Classif Gestoras'!$A$6:$A$462,0)),"Não classificada")</x:f>
        <x:v>Independente</x:v>
      </x:c>
      <x:c r="F3456" s="166" t="str">
        <x:v>SEFER DTVM</x:v>
      </x:c>
      <x:c r="G3456" s="166" t="str">
        <x:v>QORE DISTRIBUIDORA DE TÍTULOS E VALORES MOBILIÁRIOS LTDA.</x:v>
      </x:c>
      <x:c r="H3456" s="166" t="str">
        <x:v>Outros</x:v>
      </x:c>
      <x:c r="I3456" s="166" t="str">
        <x:v>Poder Público</x:v>
      </x:c>
      <x:c r="J3456" s="166" t="str">
        <x:v>CI</x:v>
      </x:c>
      <x:c r="K3456" s="172" t="n">
        <x:v>6</x:v>
      </x:c>
      <x:c r="L3456" s="185" t="str">
        <x:v>Não classificado</x:v>
      </x:c>
    </x:row>
    <x:row r="3457">
      <x:c r="A3457" s="175" t="str">
        <x:v>61.289.212/0001-25</x:v>
      </x:c>
      <x:c r="B3457" s="166" t="str">
        <x:v>CNPJ 61289212000125</x:v>
      </x:c>
      <x:c r="C3457" s="188" t="n">
        <x:v>0</x:v>
      </x:c>
      <x:c r="D3457" s="166" t="str">
        <x:v>REAG SPECIALTY FINANCE</x:v>
      </x:c>
      <x:c r="E3457" s="166" t="str">
        <x:f>IFERROR(INDEX('Classif Gestoras'!$H$6:$H$462,MATCH(D3457,'Classif Gestoras'!$A$6:$A$462,0)),"Não classificada")</x:f>
        <x:v>Independente</x:v>
      </x:c>
      <x:c r="F3457" s="166" t="str">
        <x:v>REAG DTVM</x:v>
      </x:c>
      <x:c r="G3457" s="166" t="str">
        <x:v>Não identificado</x:v>
      </x:c>
      <x:c r="H3457" s="166" t="str">
        <x:v>Fomento Mercantil</x:v>
      </x:c>
      <x:c r="I3457" s="166" t="str">
        <x:v>Fomento Mercantil</x:v>
      </x:c>
      <x:c r="J3457" s="166" t="str">
        <x:v>CI</x:v>
      </x:c>
      <x:c r="K3457" s="172"/>
      <x:c r="L3457" s="185" t="str">
        <x:v>Não classificado</x:v>
      </x:c>
    </x:row>
    <x:row r="3458">
      <x:c r="A3458" s="175" t="str">
        <x:v>34.096.044/0001-89</x:v>
      </x:c>
      <x:c r="B3458" s="166" t="str">
        <x:v>CNPJ 34096044000189</x:v>
      </x:c>
      <x:c r="C3458" s="188" t="n">
        <x:v>0</x:v>
      </x:c>
      <x:c r="D3458" s="166" t="str">
        <x:v>ANGÁ ASSET MANAGEMENT</x:v>
      </x:c>
      <x:c r="E3458" s="166" t="str">
        <x:f>IFERROR(INDEX('Classif Gestoras'!$H$6:$H$462,MATCH(D3458,'Classif Gestoras'!$A$6:$A$462,0)),"Não classificada")</x:f>
        <x:v>Independente</x:v>
      </x:c>
      <x:c r="F3458" s="166" t="str">
        <x:v>Banvox DTVM</x:v>
      </x:c>
      <x:c r="G3458" s="166" t="str">
        <x:v>Não identificado</x:v>
      </x:c>
      <x:c r="H3458" s="166" t="str">
        <x:v>Financeiro</x:v>
      </x:c>
      <x:c r="I3458" s="166" t="str">
        <x:v>Crédito Consignado</x:v>
      </x:c>
      <x:c r="J3458" s="166" t="str">
        <x:v>CI</x:v>
      </x:c>
      <x:c r="K3458" s="172"/>
      <x:c r="L3458" s="185" t="str">
        <x:v>Não classificado</x:v>
      </x:c>
    </x:row>
    <x:row r="3459">
      <x:c r="A3459" s="175" t="str">
        <x:v>53.247.140/0001-25</x:v>
      </x:c>
      <x:c r="B3459" s="166" t="str">
        <x:v>OTTER FUNDO DE INVESTIMENTO EM DIREITOS CREDITÓRIOS</x:v>
      </x:c>
      <x:c r="C3459" s="188" t="n">
        <x:v>0</x:v>
      </x:c>
      <x:c r="D3459" s="166" t="str">
        <x:v>Reag Administradora de Recursos Ltda</x:v>
      </x:c>
      <x:c r="E3459" s="166" t="str">
        <x:f>IFERROR(INDEX('Classif Gestoras'!$H$6:$H$462,MATCH(D3459,'Classif Gestoras'!$A$6:$A$462,0)),"Não classificada")</x:f>
        <x:v>Independente</x:v>
      </x:c>
      <x:c r="F3459" s="166" t="str">
        <x:v>REAG DTVM</x:v>
      </x:c>
      <x:c r="G3459" s="166" t="str">
        <x:v>REAG TRUST DISTRIBUIDORA DE TITULOS E VALORES MOBILIARIOS S.A.</x:v>
      </x:c>
      <x:c r="H3459" s="166" t="str">
        <x:v>Outros</x:v>
      </x:c>
      <x:c r="I3459" s="166" t="str">
        <x:v>Multicarteira Outros</x:v>
      </x:c>
      <x:c r="J3459" s="166" t="str">
        <x:v>CI</x:v>
      </x:c>
      <x:c r="K3459" s="172" t="n">
        <x:v>1</x:v>
      </x:c>
      <x:c r="L3459" s="185" t="str">
        <x:v>Não classificado</x:v>
      </x:c>
    </x:row>
    <x:row r="3460">
      <x:c r="A3460" s="175" t="str">
        <x:v>57.926.086/0001-03</x:v>
      </x:c>
      <x:c r="B3460" s="166" t="str">
        <x:v>CNPJ 57926086000103</x:v>
      </x:c>
      <x:c r="C3460" s="188" t="n">
        <x:v>0</x:v>
      </x:c>
      <x:c r="D3460" s="166" t="str">
        <x:v>Blue Solutions</x:v>
      </x:c>
      <x:c r="E3460" s="166" t="str">
        <x:f>IFERROR(INDEX('Classif Gestoras'!$H$6:$H$462,MATCH(D3460,'Classif Gestoras'!$A$6:$A$462,0)),"Não classificada")</x:f>
        <x:v>Independente</x:v>
      </x:c>
      <x:c r="F3460" s="166" t="str">
        <x:v>Banvox DTVM</x:v>
      </x:c>
      <x:c r="G3460" s="166" t="str">
        <x:v>Não identificado</x:v>
      </x:c>
      <x:c r="H3460" s="166" t="str">
        <x:v>Agro, Indústria e Comércio</x:v>
      </x:c>
      <x:c r="I3460" s="166" t="str">
        <x:v>Recebíveis Comerciais</x:v>
      </x:c>
      <x:c r="J3460" s="166" t="str">
        <x:v>CI</x:v>
      </x:c>
      <x:c r="K3460" s="172"/>
      <x:c r="L3460" s="185" t="str">
        <x:v>Não classificado</x:v>
      </x:c>
    </x:row>
    <x:row r="3461">
      <x:c r="A3461" s="175" t="str">
        <x:v>36.083.634/0001-00</x:v>
      </x:c>
      <x:c r="B3461" s="166" t="str">
        <x:v>BRASIL MICROCRÉDITO FUNDO DE INVESTIMENTO EM DIREITOS CREDITÓRIOS</x:v>
      </x:c>
      <x:c r="C3461" s="188" t="n">
        <x:v>0</x:v>
      </x:c>
      <x:c r="D3461" s="166" t="str">
        <x:v>GENIAL GESTÃO LTDA.</x:v>
      </x:c>
      <x:c r="E3461" s="166" t="str">
        <x:f>IFERROR(INDEX('Classif Gestoras'!$H$6:$H$462,MATCH(D3461,'Classif Gestoras'!$A$6:$A$462,0)),"Não classificada")</x:f>
        <x:v>Ligada a banco</x:v>
      </x:c>
      <x:c r="F3461" s="166" t="str">
        <x:v>Banco Genial S.A.</x:v>
      </x:c>
      <x:c r="G3461" s="166" t="str">
        <x:v>BANCO GENIAL S.A.</x:v>
      </x:c>
      <x:c r="H3461" s="166" t="str">
        <x:v>Financeiro</x:v>
      </x:c>
      <x:c r="I3461" s="166" t="str">
        <x:v>Crédito Pessoal</x:v>
      </x:c>
      <x:c r="J3461" s="166" t="str">
        <x:v>CI</x:v>
      </x:c>
      <x:c r="K3461" s="172" t="n">
        <x:v>2</x:v>
      </x:c>
      <x:c r="L3461" s="185" t="str">
        <x:v>Não classificado</x:v>
      </x:c>
    </x:row>
    <x:row r="3462">
      <x:c r="A3462" s="175" t="str">
        <x:v>57.933.661/0001-97</x:v>
      </x:c>
      <x:c r="B3462" s="166" t="str">
        <x:v>CNPJ 57933661000197</x:v>
      </x:c>
      <x:c r="C3462" s="188" t="n">
        <x:v>0</x:v>
      </x:c>
      <x:c r="D3462" s="166" t="str">
        <x:v>Sabrina Ribeiro Molina</x:v>
      </x:c>
      <x:c r="E3462" s="166" t="str">
        <x:f>IFERROR(INDEX('Classif Gestoras'!$H$6:$H$462,MATCH(D3462,'Classif Gestoras'!$A$6:$A$462,0)),"Não classificada")</x:f>
        <x:v>Independente</x:v>
      </x:c>
      <x:c r="F3462" s="166" t="str">
        <x:v>VÓRTX DTVM</x:v>
      </x:c>
      <x:c r="G3462" s="166" t="str">
        <x:v>Não identificado</x:v>
      </x:c>
      <x:c r="H3462" s="166" t="str">
        <x:v>Agro, Indústria e Comércio</x:v>
      </x:c>
      <x:c r="I3462" s="166" t="str">
        <x:v>Não se aplica</x:v>
      </x:c>
      <x:c r="J3462" s="166" t="str">
        <x:v>CI</x:v>
      </x:c>
      <x:c r="K3462" s="172"/>
      <x:c r="L3462" s="185" t="str">
        <x:v>Não classificado</x:v>
      </x:c>
    </x:row>
    <x:row r="3463">
      <x:c r="A3463" s="175" t="str">
        <x:v>38.455.413/0001-33</x:v>
      </x:c>
      <x:c r="B3463" s="166" t="str">
        <x:v>CNPJ 38455413000133</x:v>
      </x:c>
      <x:c r="C3463" s="188" t="n">
        <x:v>0</x:v>
      </x:c>
      <x:c r="D3463" s="166" t="str">
        <x:v>VALORA RENDA FIXA LTDA.</x:v>
      </x:c>
      <x:c r="E3463" s="166" t="str">
        <x:f>IFERROR(INDEX('Classif Gestoras'!$H$6:$H$462,MATCH(D3463,'Classif Gestoras'!$A$6:$A$462,0)),"Não classificada")</x:f>
        <x:v>Independente</x:v>
      </x:c>
      <x:c r="F3463" s="166" t="str">
        <x:v>BTG Pactual Servicos Financeiros S/A DTVM</x:v>
      </x:c>
      <x:c r="G3463" s="166" t="str">
        <x:v>Não identificado</x:v>
      </x:c>
      <x:c r="H3463" s="166" t="str">
        <x:v>Agro, Indústria e Comércio</x:v>
      </x:c>
      <x:c r="I3463" s="166" t="str">
        <x:v>Recebíveis Comerciais</x:v>
      </x:c>
      <x:c r="J3463" s="166" t="str">
        <x:v>CI</x:v>
      </x:c>
      <x:c r="K3463" s="172"/>
      <x:c r="L3463" s="185" t="str">
        <x:v>Não classificado</x:v>
      </x:c>
    </x:row>
    <x:row r="3464">
      <x:c r="A3464" s="175" t="str">
        <x:v>41.265.819/0001-68</x:v>
      </x:c>
      <x:c r="B3464" s="166" t="str">
        <x:v>CNPJ 41265819000168</x:v>
      </x:c>
      <x:c r="C3464" s="188" t="n">
        <x:v>0</x:v>
      </x:c>
      <x:c r="D3464" s="166" t="str">
        <x:v>REAG PORTFOLIO SOLUTIONS</x:v>
      </x:c>
      <x:c r="E3464" s="166" t="str">
        <x:f>IFERROR(INDEX('Classif Gestoras'!$H$6:$H$462,MATCH(D3464,'Classif Gestoras'!$A$6:$A$462,0)),"Não classificada")</x:f>
        <x:v>Independente</x:v>
      </x:c>
      <x:c r="F3464" s="166" t="str">
        <x:v>REAG DTVM</x:v>
      </x:c>
      <x:c r="G3464" s="166" t="str">
        <x:v>Não identificado</x:v>
      </x:c>
      <x:c r="H3464" s="166" t="str">
        <x:v>Outros</x:v>
      </x:c>
      <x:c r="I3464" s="166" t="str">
        <x:v>Multicarteira Outros</x:v>
      </x:c>
      <x:c r="J3464" s="166" t="str">
        <x:v>CI</x:v>
      </x:c>
      <x:c r="K3464" s="172"/>
      <x:c r="L3464" s="185" t="str">
        <x:v>Não classificado</x:v>
      </x:c>
    </x:row>
    <x:row r="3465">
      <x:c r="A3465" s="175" t="str">
        <x:v>61.138.429/0001-34</x:v>
      </x:c>
      <x:c r="B3465" s="166" t="str">
        <x:v>LU INVEST FUNDO DE INVESTIMENTO EM DIREITOS CREDITÓRIOS</x:v>
      </x:c>
      <x:c r="C3465" s="188" t="n">
        <x:v>0</x:v>
      </x:c>
      <x:c r="D3465" s="166" t="str">
        <x:v>TERCON ASSET MANAGEMENT</x:v>
      </x:c>
      <x:c r="E3465" s="166" t="str">
        <x:f>IFERROR(INDEX('Classif Gestoras'!$H$6:$H$462,MATCH(D3465,'Classif Gestoras'!$A$6:$A$462,0)),"Não classificada")</x:f>
        <x:v>Independente</x:v>
      </x:c>
      <x:c r="F3465" s="166" t="str">
        <x:v>Limine Trust Distribuidora de Titulos e Valores Mobiliá</x:v>
      </x:c>
      <x:c r="G3465" s="166" t="str">
        <x:v>LIMINE TRUST DISTRIBUIDORA DE TITULOS E VALORES MOBILIARIOS LTDA.</x:v>
      </x:c>
      <x:c r="H3465" s="166" t="str">
        <x:v>Fomento Mercantil</x:v>
      </x:c>
      <x:c r="I3465" s="166" t="str">
        <x:v>Fomento Mercantil</x:v>
      </x:c>
      <x:c r="J3465" s="166" t="str">
        <x:v>CI</x:v>
      </x:c>
      <x:c r="K3465" s="172" t="n">
        <x:v>5</x:v>
      </x:c>
      <x:c r="L3465" s="185" t="str">
        <x:v>Não classificado</x:v>
      </x:c>
    </x:row>
    <x:row r="3466">
      <x:c r="A3466" s="175" t="str">
        <x:v>53.262.924/0001-22</x:v>
      </x:c>
      <x:c r="B3466" s="166" t="str">
        <x:v>VERZEKERING FUNDO DE INVESTIMENTO EM DIREITOS CREDITÓRIOS</x:v>
      </x:c>
      <x:c r="C3466" s="188" t="n">
        <x:v>0</x:v>
      </x:c>
      <x:c r="D3466" s="166" t="str">
        <x:v>Reag Jus</x:v>
      </x:c>
      <x:c r="E3466" s="166" t="str">
        <x:f>IFERROR(INDEX('Classif Gestoras'!$H$6:$H$462,MATCH(D3466,'Classif Gestoras'!$A$6:$A$462,0)),"Não classificada")</x:f>
        <x:v>Independente</x:v>
      </x:c>
      <x:c r="F3466" s="166" t="str">
        <x:v>REAG DTVM</x:v>
      </x:c>
      <x:c r="G3466" s="166" t="str">
        <x:v>REAG TRUST DISTRIBUIDORA DE TITULOS E VALORES MOBILIARIOS S.A.</x:v>
      </x:c>
      <x:c r="H3466" s="166" t="str">
        <x:v>Outros</x:v>
      </x:c>
      <x:c r="I3466" s="166" t="str">
        <x:v>Multicarteira Outros</x:v>
      </x:c>
      <x:c r="J3466" s="166" t="str">
        <x:v>CI</x:v>
      </x:c>
      <x:c r="K3466" s="172" t="n">
        <x:v>1</x:v>
      </x:c>
      <x:c r="L3466" s="185" t="str">
        <x:v>Não classificado</x:v>
      </x:c>
    </x:row>
    <x:row r="3467">
      <x:c r="A3467" s="175" t="str">
        <x:v>53.263.761/0001-00</x:v>
      </x:c>
      <x:c r="B3467" s="166" t="str">
        <x:v>ESPERANZA FUNDO DE INVESTIMENTO EM DIREITOS CREDITÓRIOS</x:v>
      </x:c>
      <x:c r="C3467" s="188" t="n">
        <x:v>0</x:v>
      </x:c>
      <x:c r="D3467" s="166" t="str">
        <x:v>Reag Administradora de Recursos Ltda</x:v>
      </x:c>
      <x:c r="E3467" s="166" t="str">
        <x:f>IFERROR(INDEX('Classif Gestoras'!$H$6:$H$462,MATCH(D3467,'Classif Gestoras'!$A$6:$A$462,0)),"Não classificada")</x:f>
        <x:v>Independente</x:v>
      </x:c>
      <x:c r="F3467" s="166" t="str">
        <x:v>REAG DTVM</x:v>
      </x:c>
      <x:c r="G3467" s="166" t="str">
        <x:v>REAG TRUST DISTRIBUIDORA DE TITULOS E VALORES MOBILIARIOS S.A.</x:v>
      </x:c>
      <x:c r="H3467" s="166" t="str">
        <x:v>Outros</x:v>
      </x:c>
      <x:c r="I3467" s="166" t="str">
        <x:v>Multicarteira Outros</x:v>
      </x:c>
      <x:c r="J3467" s="166" t="str">
        <x:v>CI</x:v>
      </x:c>
      <x:c r="K3467" s="172" t="n">
        <x:v>1</x:v>
      </x:c>
      <x:c r="L3467" s="185" t="str">
        <x:v>Não classificado</x:v>
      </x:c>
    </x:row>
    <x:row r="3468">
      <x:c r="A3468" s="175" t="str">
        <x:v>27.016.584/0001-40</x:v>
      </x:c>
      <x:c r="B3468" s="166" t="str">
        <x:v>CNPJ 27016584000140</x:v>
      </x:c>
      <x:c r="C3468" s="188" t="n">
        <x:v>0</x:v>
      </x:c>
      <x:c r="D3468" s="166" t="str">
        <x:v>Renova Gestora</x:v>
      </x:c>
      <x:c r="E3468" s="166" t="str">
        <x:f>IFERROR(INDEX('Classif Gestoras'!$H$6:$H$462,MATCH(D3468,'Classif Gestoras'!$A$6:$A$462,0)),"Não classificada")</x:f>
        <x:v>Independente</x:v>
      </x:c>
      <x:c r="F3468" s="166" t="str">
        <x:v>GRADUAL CCTVM S/A</x:v>
      </x:c>
      <x:c r="G3468" s="166" t="str">
        <x:v>Não identificado</x:v>
      </x:c>
      <x:c r="H3468" s="166" t="str">
        <x:v>Fomento Mercantil</x:v>
      </x:c>
      <x:c r="I3468" s="166" t="str">
        <x:v>Fomento Mercantil</x:v>
      </x:c>
      <x:c r="J3468" s="166" t="str">
        <x:v>CI</x:v>
      </x:c>
      <x:c r="K3468" s="172"/>
      <x:c r="L3468" s="185" t="str">
        <x:v>Não classificado</x:v>
      </x:c>
    </x:row>
    <x:row r="3469">
      <x:c r="A3469" s="175" t="str">
        <x:v>47.669.421/0001-73</x:v>
      </x:c>
      <x:c r="B3469" s="166" t="str">
        <x:v>CNPJ 47669421000173</x:v>
      </x:c>
      <x:c r="C3469" s="188" t="n">
        <x:v>0</x:v>
      </x:c>
      <x:c r="D3469" s="166" t="str">
        <x:v>MAKALU</x:v>
      </x:c>
      <x:c r="E3469" s="166" t="str">
        <x:f>IFERROR(INDEX('Classif Gestoras'!$H$6:$H$462,MATCH(D3469,'Classif Gestoras'!$A$6:$A$462,0)),"Não classificada")</x:f>
        <x:v>Independente</x:v>
      </x:c>
      <x:c r="F3469" s="166" t="str">
        <x:v>Finaxis Corretora de Títulos e Valores Mobiliários S.A.</x:v>
      </x:c>
      <x:c r="G3469" s="166" t="str">
        <x:v>Não identificado</x:v>
      </x:c>
      <x:c r="H3469" s="166" t="str">
        <x:v>Agro, Indústria e Comércio</x:v>
      </x:c>
      <x:c r="I3469" s="166" t="str">
        <x:v>Não se aplica</x:v>
      </x:c>
      <x:c r="J3469" s="166" t="str">
        <x:v>CI</x:v>
      </x:c>
      <x:c r="K3469" s="172"/>
      <x:c r="L3469" s="185" t="str">
        <x:v>Não classificado</x:v>
      </x:c>
    </x:row>
    <x:row r="3470">
      <x:c r="A3470" s="175" t="str">
        <x:v>51.382.517/0001-23</x:v>
      </x:c>
      <x:c r="B3470" s="166" t="str">
        <x:v>ARAWAK FUNDO DE INVESTIMENTO EM DIREITOS CREDITÓRIOS</x:v>
      </x:c>
      <x:c r="C3470" s="188" t="n">
        <x:v>0</x:v>
      </x:c>
      <x:c r="D3470" s="166" t="str">
        <x:v>Reag Administradora de Recursos Ltda</x:v>
      </x:c>
      <x:c r="E3470" s="166" t="str">
        <x:f>IFERROR(INDEX('Classif Gestoras'!$H$6:$H$462,MATCH(D3470,'Classif Gestoras'!$A$6:$A$462,0)),"Não classificada")</x:f>
        <x:v>Independente</x:v>
      </x:c>
      <x:c r="F3470" s="166" t="str">
        <x:v>REAG DTVM</x:v>
      </x:c>
      <x:c r="G3470" s="166" t="str">
        <x:v>ID CORRETORA DE TITULOS E VALORES MOBILIARIOS S.A.</x:v>
      </x:c>
      <x:c r="H3470" s="166" t="str">
        <x:v>Fomento Mercantil</x:v>
      </x:c>
      <x:c r="I3470" s="166" t="str">
        <x:v>Multicarteira Outros</x:v>
      </x:c>
      <x:c r="J3470" s="166" t="str">
        <x:v>CI</x:v>
      </x:c>
      <x:c r="K3470" s="172" t="n">
        <x:v>1</x:v>
      </x:c>
      <x:c r="L3470" s="185" t="str">
        <x:v>Não classificado</x:v>
      </x:c>
    </x:row>
    <x:row r="3471">
      <x:c r="A3471" s="175" t="str">
        <x:v>54.585.643/0001-73</x:v>
      </x:c>
      <x:c r="B3471" s="166" t="str">
        <x:v>TRADEMASTER III FIDC - RECEBÍVEIS COMERCIAIS - RESPONSABILIDADE LIMITADA</x:v>
      </x:c>
      <x:c r="C3471" s="188" t="n">
        <x:v>0</x:v>
      </x:c>
      <x:c r="D3471" s="166" t="str">
        <x:v>Kanastra</x:v>
      </x:c>
      <x:c r="E3471" s="166" t="str">
        <x:f>IFERROR(INDEX('Classif Gestoras'!$H$6:$H$462,MATCH(D3471,'Classif Gestoras'!$A$6:$A$462,0)),"Não classificada")</x:f>
        <x:v>Independente</x:v>
      </x:c>
      <x:c r="F3471" s="166" t="str">
        <x:v>Limine Trust Distribuidora de Titulos e Valores Mobiliá</x:v>
      </x:c>
      <x:c r="G3471" s="166" t="str">
        <x:v>LIMINE TRUST DISTRIBUIDORA DE TITULOS E VALORES MOBILIARIOS LTDA.</x:v>
      </x:c>
      <x:c r="H3471" s="166" t="str">
        <x:v>Agro, Indústria e Comércio</x:v>
      </x:c>
      <x:c r="I3471" s="166" t="str">
        <x:v>Recebíveis Comerciais</x:v>
      </x:c>
      <x:c r="J3471" s="166" t="str">
        <x:v>CI</x:v>
      </x:c>
      <x:c r="K3471" s="172" t="n">
        <x:v>0</x:v>
      </x:c>
      <x:c r="L3471" s="185" t="str">
        <x:v>Não classificado</x:v>
      </x:c>
    </x:row>
    <x:row r="3472">
      <x:c r="A3472" s="175" t="str">
        <x:v>41.240.074/0001-82</x:v>
      </x:c>
      <x:c r="B3472" s="166" t="str">
        <x:v>NACIONAL FUNDO DE INVESTIMENTO EM DIREITOS CREDITÓRIOS</x:v>
      </x:c>
      <x:c r="C3472" s="188" t="n">
        <x:v>0</x:v>
      </x:c>
      <x:c r="D3472" s="166" t="str">
        <x:v>Tyr Gestao de Recursos Ltda</x:v>
      </x:c>
      <x:c r="E3472" s="166" t="str">
        <x:f>IFERROR(INDEX('Classif Gestoras'!$H$6:$H$462,MATCH(D3472,'Classif Gestoras'!$A$6:$A$462,0)),"Não classificada")</x:f>
        <x:v>Independente</x:v>
      </x:c>
      <x:c r="F3472" s="166" t="str">
        <x:v>Intra Investimentos Distribuidora de Títulos e Valores Mobiliários LTDA.</x:v>
      </x:c>
      <x:c r="G3472" s="166" t="str">
        <x:v>INTRA INVESTIMENTOS DTVM LTDA</x:v>
      </x:c>
      <x:c r="H3472" s="166" t="str">
        <x:v>Outros</x:v>
      </x:c>
      <x:c r="I3472" s="166" t="str">
        <x:v>Multicarteira Outros</x:v>
      </x:c>
      <x:c r="J3472" s="166" t="str">
        <x:v>CI</x:v>
      </x:c>
      <x:c r="K3472" s="172" t="n">
        <x:v>39</x:v>
      </x:c>
      <x:c r="L3472" s="185" t="str">
        <x:v>Não classificado</x:v>
      </x:c>
    </x:row>
    <x:row r="3473">
      <x:c r="A3473" s="175" t="str">
        <x:v>54.585.485/0001-51</x:v>
      </x:c>
      <x:c r="B3473" s="166" t="str">
        <x:v>NPL SN FUNDO DE INVESTIMENTO EM DIREITOS CREDITÓRIOS RESPONSABILIDADE LIMITADA</x:v>
      </x:c>
      <x:c r="C3473" s="188" t="n">
        <x:v>0</x:v>
      </x:c>
      <x:c r="D3473" s="166" t="str">
        <x:v>Galápagos</x:v>
      </x:c>
      <x:c r="E3473" s="166" t="str">
        <x:f>IFERROR(INDEX('Classif Gestoras'!$H$6:$H$462,MATCH(D3473,'Classif Gestoras'!$A$6:$A$462,0)),"Não classificada")</x:f>
        <x:v>Independente</x:v>
      </x:c>
      <x:c r="F3473" s="166" t="str">
        <x:v>Singulare</x:v>
      </x:c>
      <x:c r="G3473" s="166" t="str">
        <x:v>ID CORRETORA DE TITULOS E VALORES MOBILIARIOS S.A.</x:v>
      </x:c>
      <x:c r="H3473" s="166" t="str">
        <x:v>Outros</x:v>
      </x:c>
      <x:c r="I3473" s="166" t="str">
        <x:v>Multicarteira Outros</x:v>
      </x:c>
      <x:c r="J3473" s="166" t="str">
        <x:v>CI</x:v>
      </x:c>
      <x:c r="K3473" s="172" t="n">
        <x:v>3</x:v>
      </x:c>
      <x:c r="L3473" s="185" t="str">
        <x:v>Não classificado</x:v>
      </x:c>
    </x:row>
    <x:row r="3474">
      <x:c r="A3474" s="175" t="str">
        <x:v>47.846.916/0001-20</x:v>
      </x:c>
      <x:c r="B3474" s="166" t="str">
        <x:v>CNPJ 47846916000120</x:v>
      </x:c>
      <x:c r="C3474" s="188" t="n">
        <x:v>0</x:v>
      </x:c>
      <x:c r="D3474" s="166" t="str">
        <x:v>BURITI INVESTIMENTOS</x:v>
      </x:c>
      <x:c r="E3474" s="166" t="str">
        <x:f>IFERROR(INDEX('Classif Gestoras'!$H$6:$H$462,MATCH(D3474,'Classif Gestoras'!$A$6:$A$462,0)),"Não classificada")</x:f>
        <x:v>Independente</x:v>
      </x:c>
      <x:c r="F3474" s="166" t="str">
        <x:v>Singulare</x:v>
      </x:c>
      <x:c r="G3474" s="166" t="str">
        <x:v>Não identificado</x:v>
      </x:c>
      <x:c r="H3474" s="166" t="str">
        <x:v>Outros</x:v>
      </x:c>
      <x:c r="I3474" s="166" t="str">
        <x:v>Não se aplica</x:v>
      </x:c>
      <x:c r="J3474" s="166" t="str">
        <x:v>CI</x:v>
      </x:c>
      <x:c r="K3474" s="172"/>
      <x:c r="L3474" s="185" t="str">
        <x:v>Não classificado</x:v>
      </x:c>
    </x:row>
    <x:row r="3475">
      <x:c r="A3475" s="175" t="str">
        <x:v>23.669.183/0001-38</x:v>
      </x:c>
      <x:c r="B3475" s="166" t="str">
        <x:v>FUNDO DE INVESTIMENTO EM DIREITOS CREDITÓRIOS EMPÍRICA PREMIER CAPITAL MULTISETORIAL LONGO PRAZO</x:v>
      </x:c>
      <x:c r="C3475" s="188" t="n">
        <x:v>0</x:v>
      </x:c>
      <x:c r="D3475" s="166" t="str">
        <x:v>REAG GESTÃO DE CRÉDITO</x:v>
      </x:c>
      <x:c r="E3475" s="166" t="str">
        <x:f>IFERROR(INDEX('Classif Gestoras'!$H$6:$H$462,MATCH(D3475,'Classif Gestoras'!$A$6:$A$462,0)),"Não classificada")</x:f>
        <x:v>Independente</x:v>
      </x:c>
      <x:c r="F3475" s="166" t="str">
        <x:v>Banvox DTVM</x:v>
      </x:c>
      <x:c r="G3475" s="166" t="str">
        <x:v>BANVOX DISTRIBUIDORA DE TITULOS E VALORES MOBILIARIOS LTDA</x:v>
      </x:c>
      <x:c r="H3475" s="166" t="str">
        <x:v>Outros</x:v>
      </x:c>
      <x:c r="I3475" s="166" t="str">
        <x:v>Multicarteira Outros</x:v>
      </x:c>
      <x:c r="J3475" s="166" t="str">
        <x:v>CI</x:v>
      </x:c>
      <x:c r="K3475" s="172" t="n">
        <x:v>1</x:v>
      </x:c>
      <x:c r="L3475" s="185" t="str">
        <x:v>Não classificado</x:v>
      </x:c>
    </x:row>
    <x:row r="3476">
      <x:c r="A3476" s="175" t="str">
        <x:v>19.187.286/0001-94</x:v>
      </x:c>
      <x:c r="B3476" s="166" t="str">
        <x:v>RUBI FUNDO DE INVESTIMENTO EM DIREITOS CREDITÓRIOS MULTISETORIAL - RESPONSABILIDADE LIMITADA</x:v>
      </x:c>
      <x:c r="C3476" s="188" t="n">
        <x:v>0</x:v>
      </x:c>
      <x:c r="D3476" s="166" t="str">
        <x:v>POLÍGONO CAPITAL LTDA.</x:v>
      </x:c>
      <x:c r="E3476" s="166" t="str">
        <x:f>IFERROR(INDEX('Classif Gestoras'!$H$6:$H$462,MATCH(D3476,'Classif Gestoras'!$A$6:$A$462,0)),"Não classificada")</x:f>
        <x:v>Independente</x:v>
      </x:c>
      <x:c r="F3476" s="166" t="str">
        <x:v>Singulare</x:v>
      </x:c>
      <x:c r="G3476" s="166" t="str">
        <x:v>LIMINE TRUST DISTRIBUIDORA DE TITULOS E VALORES MOBILIARIOS LTDA.</x:v>
      </x:c>
      <x:c r="H3476" s="166" t="str">
        <x:v>Outros</x:v>
      </x:c>
      <x:c r="I3476" s="166" t="str">
        <x:v>Multicarteira Outros</x:v>
      </x:c>
      <x:c r="J3476" s="166" t="str">
        <x:v>CI</x:v>
      </x:c>
      <x:c r="K3476" s="172" t="n">
        <x:v>0</x:v>
      </x:c>
      <x:c r="L3476" s="185" t="str">
        <x:v>Não classificado</x:v>
      </x:c>
    </x:row>
    <x:row r="3477">
      <x:c r="A3477" s="175" t="str">
        <x:v>36.083.618/0001-00</x:v>
      </x:c>
      <x:c r="B3477" s="166" t="str">
        <x:v>CNPJ 36083618000100</x:v>
      </x:c>
      <x:c r="C3477" s="188" t="n">
        <x:v>0</x:v>
      </x:c>
      <x:c r="D3477" s="166" t="str">
        <x:v>VM Consultoria Empresarial Ltd</x:v>
      </x:c>
      <x:c r="E3477" s="166" t="str">
        <x:f>IFERROR(INDEX('Classif Gestoras'!$H$6:$H$462,MATCH(D3477,'Classif Gestoras'!$A$6:$A$462,0)),"Não classificada")</x:f>
        <x:v>Independente</x:v>
      </x:c>
      <x:c r="F3477" s="166" t="str">
        <x:v>Banco Genial S.A.</x:v>
      </x:c>
      <x:c r="G3477" s="166" t="str">
        <x:v>Não identificado</x:v>
      </x:c>
      <x:c r="H3477" s="166" t="str">
        <x:v>Outros</x:v>
      </x:c>
      <x:c r="I3477" s="166" t="str">
        <x:v>Poder Público</x:v>
      </x:c>
      <x:c r="J3477" s="166" t="str">
        <x:v>CI</x:v>
      </x:c>
      <x:c r="K3477" s="172"/>
      <x:c r="L3477" s="185" t="str">
        <x:v>Não classificado</x:v>
      </x:c>
    </x:row>
    <x:row r="3478">
      <x:c r="A3478" s="175" t="str">
        <x:v>54.582.555/0001-18</x:v>
      </x:c>
      <x:c r="B3478" s="166" t="str">
        <x:v>COBUCCIO EMPRÉSTIMOS INSS FUNDO DE INVESTIMENTO EM DIREITOS CREDITÓRIOS DE CLASSE ÚNICA FECHADA</x:v>
      </x:c>
      <x:c r="C3478" s="188" t="n">
        <x:v>0</x:v>
      </x:c>
      <x:c r="D3478" s="166" t="str">
        <x:v>CARMEL GESTORA DE ATIVOS LTDA</x:v>
      </x:c>
      <x:c r="E3478" s="166" t="str">
        <x:f>IFERROR(INDEX('Classif Gestoras'!$H$6:$H$462,MATCH(D3478,'Classif Gestoras'!$A$6:$A$462,0)),"Não classificada")</x:f>
        <x:v>Independente</x:v>
      </x:c>
      <x:c r="F3478" s="166" t="str">
        <x:v>Singulare</x:v>
      </x:c>
      <x:c r="G3478" s="166" t="str">
        <x:v>QI CORRETORA DE TÍTULOS E VALORES MOBILIÁRIOS S.A.</x:v>
      </x:c>
      <x:c r="H3478" s="166" t="str">
        <x:v>Financeiro</x:v>
      </x:c>
      <x:c r="I3478" s="166" t="str">
        <x:v>Crédito Consignado</x:v>
      </x:c>
      <x:c r="J3478" s="166" t="str">
        <x:v>CI</x:v>
      </x:c>
      <x:c r="K3478" s="172" t="n">
        <x:v>0</x:v>
      </x:c>
      <x:c r="L3478" s="185" t="str">
        <x:v>Não classificado</x:v>
      </x:c>
    </x:row>
    <x:row r="3479">
      <x:c r="A3479" s="175" t="str">
        <x:v>34.218.194/0001-18</x:v>
      </x:c>
      <x:c r="B3479" s="166" t="str">
        <x:v>BLESSED FUNDO DE INVESTIMENTO EM DIREITOS CREDITÓRIOS NÃO - PADRONIZADOS</x:v>
      </x:c>
      <x:c r="C3479" s="188" t="n">
        <x:v>0</x:v>
      </x:c>
      <x:c r="D3479" s="166" t="str">
        <x:v>Reag Administradora de Recursos Ltda</x:v>
      </x:c>
      <x:c r="E3479" s="166" t="str">
        <x:f>IFERROR(INDEX('Classif Gestoras'!$H$6:$H$462,MATCH(D3479,'Classif Gestoras'!$A$6:$A$462,0)),"Não classificada")</x:f>
        <x:v>Independente</x:v>
      </x:c>
      <x:c r="F3479" s="166" t="str">
        <x:v>REAG DTVM</x:v>
      </x:c>
      <x:c r="G3479" s="166" t="str">
        <x:v>REAG TRUST DISTRIBUIDORA DE TITULOS E VALORES MOBILIARIOS S.A.</x:v>
      </x:c>
      <x:c r="H3479" s="166" t="str">
        <x:v>Outros</x:v>
      </x:c>
      <x:c r="I3479" s="166" t="str">
        <x:v>Multicarteira Outros</x:v>
      </x:c>
      <x:c r="J3479" s="166" t="str">
        <x:v>CI</x:v>
      </x:c>
      <x:c r="K3479" s="172" t="n">
        <x:v>1</x:v>
      </x:c>
      <x:c r="L3479" s="185" t="str">
        <x:v>Não classificado</x:v>
      </x:c>
    </x:row>
    <x:row r="3480">
      <x:c r="A3480" s="175" t="str">
        <x:v>63.016.425/0001-09</x:v>
      </x:c>
      <x:c r="B3480" s="166" t="str">
        <x:v>ALCÁCER FUNDO DE INVESTIMENTO EM DIREITOS CREDITÓRIOS</x:v>
      </x:c>
      <x:c r="C3480" s="188" t="n">
        <x:v>0</x:v>
      </x:c>
      <x:c r="D3480" s="166" t="str">
        <x:v>Acura Gestora de Recursos LTDA.</x:v>
      </x:c>
      <x:c r="E3480" s="166" t="str">
        <x:f>IFERROR(INDEX('Classif Gestoras'!$H$6:$H$462,MATCH(D3480,'Classif Gestoras'!$A$6:$A$462,0)),"Não classificada")</x:f>
        <x:v>Independente</x:v>
      </x:c>
      <x:c r="F3480" s="166" t="str">
        <x:v>SEFER DTVM</x:v>
      </x:c>
      <x:c r="G3480" s="166" t="str">
        <x:v>SEFER INVESTIMENTOS DISTRIBUIDORA DE TÍTULOS E VALORES MOBILIÁRIOS LTDA.</x:v>
      </x:c>
      <x:c r="H3480" s="166" t="str">
        <x:v>Outros</x:v>
      </x:c>
      <x:c r="I3480" s="166" t="str">
        <x:v>Multicarteira Outros</x:v>
      </x:c>
      <x:c r="J3480" s="166" t="str">
        <x:v>CI</x:v>
      </x:c>
      <x:c r="K3480" s="172" t="n">
        <x:v>1</x:v>
      </x:c>
      <x:c r="L3480" s="185" t="str">
        <x:v>Não classificado</x:v>
      </x:c>
    </x:row>
    <x:row r="3481">
      <x:c r="A3481" s="175" t="str">
        <x:v>48.050.467/0001-72</x:v>
      </x:c>
      <x:c r="B3481" s="166" t="str">
        <x:v>CNPJ 48050467000172</x:v>
      </x:c>
      <x:c r="C3481" s="188" t="n">
        <x:v>0</x:v>
      </x:c>
      <x:c r="D3481" s="166" t="str">
        <x:v>ASSET MANAGEMENT</x:v>
      </x:c>
      <x:c r="E3481" s="166" t="str">
        <x:f>IFERROR(INDEX('Classif Gestoras'!$H$6:$H$462,MATCH(D3481,'Classif Gestoras'!$A$6:$A$462,0)),"Não classificada")</x:f>
        <x:v>Independente</x:v>
      </x:c>
      <x:c r="F3481" s="166" t="str">
        <x:v>AZUMI DISTRIBUIDORA DE TÍTULOS E VALORES MOBILIÁRIOS LT</x:v>
      </x:c>
      <x:c r="G3481" s="166" t="str">
        <x:v>Não identificado</x:v>
      </x:c>
      <x:c r="H3481" s="166" t="str">
        <x:v>Agro, Indústria e Comércio</x:v>
      </x:c>
      <x:c r="I3481" s="166" t="str">
        <x:v>Não se aplica</x:v>
      </x:c>
      <x:c r="J3481" s="166" t="str">
        <x:v>CI</x:v>
      </x:c>
      <x:c r="K3481" s="172"/>
      <x:c r="L3481" s="185" t="str">
        <x:v>Não classificado</x:v>
      </x:c>
    </x:row>
    <x:row r="3482">
      <x:c r="A3482" s="175" t="str">
        <x:v>34.395.364/0001-30</x:v>
      </x:c>
      <x:c r="B3482" s="166" t="str">
        <x:v>CNPJ 34395364000130</x:v>
      </x:c>
      <x:c r="C3482" s="188" t="n">
        <x:v>0</x:v>
      </x:c>
      <x:c r="D3482" s="166" t="str">
        <x:v>JERA CAPITAL</x:v>
      </x:c>
      <x:c r="E3482" s="166" t="str">
        <x:f>IFERROR(INDEX('Classif Gestoras'!$H$6:$H$462,MATCH(D3482,'Classif Gestoras'!$A$6:$A$462,0)),"Não classificada")</x:f>
        <x:v>Independente</x:v>
      </x:c>
      <x:c r="F3482" s="166" t="str">
        <x:v>BRL TRUST DTVM</x:v>
      </x:c>
      <x:c r="G3482" s="166" t="str">
        <x:v>Não identificado</x:v>
      </x:c>
      <x:c r="H3482" s="166" t="str">
        <x:v>Financeiro</x:v>
      </x:c>
      <x:c r="I3482" s="166" t="str">
        <x:v>Crédito Imobiliário</x:v>
      </x:c>
      <x:c r="J3482" s="166" t="str">
        <x:v>CI</x:v>
      </x:c>
      <x:c r="K3482" s="172"/>
      <x:c r="L3482" s="185" t="str">
        <x:v>Não classificado</x:v>
      </x:c>
    </x:row>
    <x:row r="3483">
      <x:c r="A3483" s="175" t="str">
        <x:v>58.035.124/0001-92</x:v>
      </x:c>
      <x:c r="B3483" s="166" t="str">
        <x:v>FUNDO DE INVESTIMENTO EM DIREITOS CREDITÓRIOS CREDITAS AUTO XI</x:v>
      </x:c>
      <x:c r="C3483" s="188" t="n">
        <x:v>0</x:v>
      </x:c>
      <x:c r="D3483" s="166" t="str">
        <x:v>Kanastra</x:v>
      </x:c>
      <x:c r="E3483" s="166" t="str">
        <x:f>IFERROR(INDEX('Classif Gestoras'!$H$6:$H$462,MATCH(D3483,'Classif Gestoras'!$A$6:$A$462,0)),"Não classificada")</x:f>
        <x:v>Independente</x:v>
      </x:c>
      <x:c r="F3483" s="166" t="str">
        <x:v>Limine Trust Distribuidora de Titulos e Valores Mobiliá</x:v>
      </x:c>
      <x:c r="G3483" s="166" t="str">
        <x:v>LIMINE TRUST DISTRIBUIDORA DE TITULOS E VALORES MOBILIARIOS LTDA.</x:v>
      </x:c>
      <x:c r="H3483" s="166" t="str">
        <x:v>Financeiro</x:v>
      </x:c>
      <x:c r="I3483" s="166" t="str">
        <x:v>Financiamento de Veículos</x:v>
      </x:c>
      <x:c r="J3483" s="166" t="str">
        <x:v>CI</x:v>
      </x:c>
      <x:c r="K3483" s="172" t="n">
        <x:v>127</x:v>
      </x:c>
      <x:c r="L3483" s="185" t="str">
        <x:v>Não classificado</x:v>
      </x:c>
    </x:row>
    <x:row r="3484">
      <x:c r="A3484" s="175" t="str">
        <x:v>58.036.896/0001-49</x:v>
      </x:c>
      <x:c r="B3484" s="166" t="str">
        <x:v>ORIZ JUS III FUNDO DE INVESTIMENTO EM DIREITOS CREDITÓRIOS - RESPONSABILIDADE LIMITADA</x:v>
      </x:c>
      <x:c r="C3484" s="188" t="n">
        <x:v>0</x:v>
      </x:c>
      <x:c r="D3484" s="166" t="str">
        <x:v>ORIZ ASSET MANAGEMENT LTDA.</x:v>
      </x:c>
      <x:c r="E3484" s="166" t="str">
        <x:f>IFERROR(INDEX('Classif Gestoras'!$H$6:$H$462,MATCH(D3484,'Classif Gestoras'!$A$6:$A$462,0)),"Não classificada")</x:f>
        <x:v>Independente</x:v>
      </x:c>
      <x:c r="F3484" s="166" t="str">
        <x:v>Limine Trust Distribuidora de Titulos e Valores Mobiliá</x:v>
      </x:c>
      <x:c r="G3484" s="166" t="str">
        <x:v>LIMINE TRUST DISTRIBUIDORA DE TITULOS E VALORES MOBILIARIOS LTDA.</x:v>
      </x:c>
      <x:c r="H3484" s="166" t="str">
        <x:v>Outros</x:v>
      </x:c>
      <x:c r="I3484" s="166" t="str">
        <x:v>Multicarteira Outros</x:v>
      </x:c>
      <x:c r="J3484" s="166" t="str">
        <x:v>CI</x:v>
      </x:c>
      <x:c r="K3484" s="172" t="n">
        <x:v>105</x:v>
      </x:c>
      <x:c r="L3484" s="185" t="str">
        <x:v>Não classificado</x:v>
      </x:c>
    </x:row>
    <x:row r="3485">
      <x:c r="A3485" s="175" t="str">
        <x:v>53.216.449/0001-58</x:v>
      </x:c>
      <x:c r="B3485" s="166" t="str">
        <x:v>RIO VERMELHO FUNDO DE INVESTIMENTO EM DIREITOS CREDITÓRIOS NÃO PADRONIZADO</x:v>
      </x:c>
      <x:c r="C3485" s="188" t="n">
        <x:v>0</x:v>
      </x:c>
      <x:c r="D3485" s="166" t="str">
        <x:v>Reag Administradora de Recursos Ltda</x:v>
      </x:c>
      <x:c r="E3485" s="166" t="str">
        <x:f>IFERROR(INDEX('Classif Gestoras'!$H$6:$H$462,MATCH(D3485,'Classif Gestoras'!$A$6:$A$462,0)),"Não classificada")</x:f>
        <x:v>Independente</x:v>
      </x:c>
      <x:c r="F3485" s="166" t="str">
        <x:v>REAG DTVM</x:v>
      </x:c>
      <x:c r="G3485" s="166" t="str">
        <x:v>REAG TRUST DISTRIBUIDORA DE TITULOS E VALORES MOBILIARIOS S.A.</x:v>
      </x:c>
      <x:c r="H3485" s="166" t="str">
        <x:v>Outros</x:v>
      </x:c>
      <x:c r="I3485" s="166" t="str">
        <x:v>Multicarteira Outros</x:v>
      </x:c>
      <x:c r="J3485" s="166" t="str">
        <x:v>CI</x:v>
      </x:c>
      <x:c r="K3485" s="172" t="n">
        <x:v>2</x:v>
      </x:c>
      <x:c r="L3485" s="185" t="str">
        <x:v>Não classificado</x:v>
      </x:c>
    </x:row>
    <x:row r="3486">
      <x:c r="A3486" s="175" t="str">
        <x:v>53.215.017/0001-22</x:v>
      </x:c>
      <x:c r="B3486" s="166" t="str">
        <x:v>CNPJ 53215017000122</x:v>
      </x:c>
      <x:c r="C3486" s="188" t="n">
        <x:v>0</x:v>
      </x:c>
      <x:c r="D3486" s="166" t="str">
        <x:v>BURITI INVESTIMENTOS</x:v>
      </x:c>
      <x:c r="E3486" s="166" t="str">
        <x:f>IFERROR(INDEX('Classif Gestoras'!$H$6:$H$462,MATCH(D3486,'Classif Gestoras'!$A$6:$A$462,0)),"Não classificada")</x:f>
        <x:v>Independente</x:v>
      </x:c>
      <x:c r="F3486" s="166" t="str">
        <x:v>Singulare</x:v>
      </x:c>
      <x:c r="G3486" s="166" t="str">
        <x:v>Não identificado</x:v>
      </x:c>
      <x:c r="H3486" s="166" t="str">
        <x:v>Agro, Indústria e Comércio</x:v>
      </x:c>
      <x:c r="I3486" s="166" t="str">
        <x:v>Não se aplica</x:v>
      </x:c>
      <x:c r="J3486" s="166" t="str">
        <x:v>CI</x:v>
      </x:c>
      <x:c r="K3486" s="172"/>
      <x:c r="L3486" s="185" t="str">
        <x:v>Não classificado</x:v>
      </x:c>
    </x:row>
    <x:row r="3487">
      <x:c r="A3487" s="175" t="str">
        <x:v>47.640.619/0001-24</x:v>
      </x:c>
      <x:c r="B3487" s="166" t="str">
        <x:v>CNPJ 47640619000124</x:v>
      </x:c>
      <x:c r="C3487" s="188" t="n">
        <x:v>0</x:v>
      </x:c>
      <x:c r="D3487" s="166" t="str">
        <x:v>GENIAL GESTÃO LTDA.</x:v>
      </x:c>
      <x:c r="E3487" s="166" t="str">
        <x:f>IFERROR(INDEX('Classif Gestoras'!$H$6:$H$462,MATCH(D3487,'Classif Gestoras'!$A$6:$A$462,0)),"Não classificada")</x:f>
        <x:v>Ligada a banco</x:v>
      </x:c>
      <x:c r="F3487" s="166" t="str">
        <x:v>Banco Genial S.A.</x:v>
      </x:c>
      <x:c r="G3487" s="166" t="str">
        <x:v>Não identificado</x:v>
      </x:c>
      <x:c r="H3487" s="166" t="str">
        <x:v>Financeiro</x:v>
      </x:c>
      <x:c r="I3487" s="166" t="str">
        <x:v>Crédito Pessoal</x:v>
      </x:c>
      <x:c r="J3487" s="166" t="str">
        <x:v>CI</x:v>
      </x:c>
      <x:c r="K3487" s="172"/>
      <x:c r="L3487" s="185" t="str">
        <x:v>Não classificado</x:v>
      </x:c>
    </x:row>
    <x:row r="3488">
      <x:c r="A3488" s="175" t="str">
        <x:v>47.388.724/0001-18</x:v>
      </x:c>
      <x:c r="B3488" s="166" t="str">
        <x:v>3R - FUNDO DE INVESTIMENTO EM DIREITOS CREDITÓRIOS NÃO PADRONIZADOS RESPONSABILIDADE LIMITADA</x:v>
      </x:c>
      <x:c r="C3488" s="188" t="n">
        <x:v>0</x:v>
      </x:c>
      <x:c r="D3488" s="166" t="str">
        <x:v>GESTORA DE RECURSOS ID - GRID LTDA.</x:v>
      </x:c>
      <x:c r="E3488" s="166" t="str">
        <x:f>IFERROR(INDEX('Classif Gestoras'!$H$6:$H$462,MATCH(D3488,'Classif Gestoras'!$A$6:$A$462,0)),"Não classificada")</x:f>
        <x:v>Independente</x:v>
      </x:c>
      <x:c r="F3488" s="166" t="str">
        <x:v>DILLON S.A DTVM</x:v>
      </x:c>
      <x:c r="G3488" s="166" t="str">
        <x:v>Não identificado</x:v>
      </x:c>
      <x:c r="H3488" s="166" t="str">
        <x:v>Outros</x:v>
      </x:c>
      <x:c r="I3488" s="166" t="str">
        <x:v>Multicarteira Outros</x:v>
      </x:c>
      <x:c r="J3488" s="166" t="str">
        <x:v>CI</x:v>
      </x:c>
      <x:c r="K3488" s="172" t="n">
        <x:v>1</x:v>
      </x:c>
      <x:c r="L3488" s="185" t="str">
        <x:v>Não classificado</x:v>
      </x:c>
    </x:row>
    <x:row r="3489">
      <x:c r="A3489" s="175" t="str">
        <x:v>51.660.739/0001-60</x:v>
      </x:c>
      <x:c r="B3489" s="166" t="str">
        <x:v>RUNEARD FUNDO DE INVESTIMENTO EM DIREITOS CREDITÓRIOS NÃO-PADRONIZADOS</x:v>
      </x:c>
      <x:c r="C3489" s="188" t="n">
        <x:v>0</x:v>
      </x:c>
      <x:c r="D3489" s="166" t="str">
        <x:v>Reag Administradora de Recursos Ltda</x:v>
      </x:c>
      <x:c r="E3489" s="166" t="str">
        <x:f>IFERROR(INDEX('Classif Gestoras'!$H$6:$H$462,MATCH(D3489,'Classif Gestoras'!$A$6:$A$462,0)),"Não classificada")</x:f>
        <x:v>Independente</x:v>
      </x:c>
      <x:c r="F3489" s="166" t="str">
        <x:v>REAG DTVM</x:v>
      </x:c>
      <x:c r="G3489" s="166" t="str">
        <x:v>REAG TRUST DISTRIBUIDORA DE TITULOS E VALORES MOBILIARIOS S.A.</x:v>
      </x:c>
      <x:c r="H3489" s="166" t="str">
        <x:v>Outros</x:v>
      </x:c>
      <x:c r="I3489" s="166" t="str">
        <x:v>Multicarteira Outros</x:v>
      </x:c>
      <x:c r="J3489" s="166" t="str">
        <x:v>CI</x:v>
      </x:c>
      <x:c r="K3489" s="172" t="n">
        <x:v>2</x:v>
      </x:c>
      <x:c r="L3489" s="185" t="str">
        <x:v>Não classificado</x:v>
      </x:c>
    </x:row>
    <x:row r="3490">
      <x:c r="A3490" s="175" t="str">
        <x:v>57.720.055/0001-93</x:v>
      </x:c>
      <x:c r="B3490" s="166" t="str">
        <x:v>GENEVE FUNDO DE INVESTIMENTO EM DIREITOS CREDITÓRIOS NÃO PADRONIZADOS</x:v>
      </x:c>
      <x:c r="C3490" s="188" t="n">
        <x:v>0</x:v>
      </x:c>
      <x:c r="D3490" s="166" t="str">
        <x:v>Redwood Asset Management</x:v>
      </x:c>
      <x:c r="E3490" s="166" t="str">
        <x:f>IFERROR(INDEX('Classif Gestoras'!$H$6:$H$462,MATCH(D3490,'Classif Gestoras'!$A$6:$A$462,0)),"Não classificada")</x:f>
        <x:v>Independente</x:v>
      </x:c>
      <x:c r="F3490" s="166" t="str">
        <x:v>PLANNER CV</x:v>
      </x:c>
      <x:c r="G3490" s="166" t="str">
        <x:v>PLANNER CORRETORA DE VALORES S.A.</x:v>
      </x:c>
      <x:c r="H3490" s="166" t="str">
        <x:v>Outros</x:v>
      </x:c>
      <x:c r="I3490" s="166" t="str">
        <x:v>Multicarteira Outros</x:v>
      </x:c>
      <x:c r="J3490" s="166" t="str">
        <x:v>CI</x:v>
      </x:c>
      <x:c r="K3490" s="172" t="n">
        <x:v>6</x:v>
      </x:c>
      <x:c r="L3490" s="185" t="str">
        <x:v>Não classificado</x:v>
      </x:c>
    </x:row>
    <x:row r="3491">
      <x:c r="A3491" s="175" t="str">
        <x:v>47.239.731/0001-58</x:v>
      </x:c>
      <x:c r="B3491" s="166" t="str">
        <x:v>BARRA RECUPERAÇÕES FUNDO DE INVESTIMENTO EM DIREITOS CREDITÓRIOS</x:v>
      </x:c>
      <x:c r="C3491" s="188" t="n">
        <x:v>0</x:v>
      </x:c>
      <x:c r="D3491" s="166" t="str">
        <x:v>Renta Gestão de Recursos LTDA.</x:v>
      </x:c>
      <x:c r="E3491" s="166" t="str">
        <x:f>IFERROR(INDEX('Classif Gestoras'!$H$6:$H$462,MATCH(D3491,'Classif Gestoras'!$A$6:$A$462,0)),"Não classificada")</x:f>
        <x:v>Independente</x:v>
      </x:c>
      <x:c r="F3491" s="166" t="str">
        <x:v>Banvox DTVM</x:v>
      </x:c>
      <x:c r="G3491" s="166" t="str">
        <x:v>ID CORRETORA DE TITULOS E VALORES MOBILIARIOS S.A.</x:v>
      </x:c>
      <x:c r="H3491" s="166" t="str">
        <x:v>Outros</x:v>
      </x:c>
      <x:c r="I3491" s="166" t="str">
        <x:v>Recuperação</x:v>
      </x:c>
      <x:c r="J3491" s="166" t="str">
        <x:v>CI</x:v>
      </x:c>
      <x:c r="K3491" s="172" t="n">
        <x:v>3</x:v>
      </x:c>
      <x:c r="L3491" s="185" t="str">
        <x:v>Não classificado</x:v>
      </x:c>
    </x:row>
    <x:row r="3492">
      <x:c r="A3492" s="175" t="str">
        <x:v>54.836.083/0001-82</x:v>
      </x:c>
      <x:c r="B3492" s="166" t="str">
        <x:v>THEMIS FUNDO DE INVESTIMENTO EM DIREITOS CREDITÓRIOS</x:v>
      </x:c>
      <x:c r="C3492" s="188" t="n">
        <x:v>0</x:v>
      </x:c>
      <x:c r="D3492" s="166" t="str">
        <x:v>Reag WM Gestora de Patrimônio Ltda</x:v>
      </x:c>
      <x:c r="E3492" s="166" t="str">
        <x:f>IFERROR(INDEX('Classif Gestoras'!$H$6:$H$462,MATCH(D3492,'Classif Gestoras'!$A$6:$A$462,0)),"Não classificada")</x:f>
        <x:v>Independente</x:v>
      </x:c>
      <x:c r="F3492" s="166" t="str">
        <x:v>REAG DTVM</x:v>
      </x:c>
      <x:c r="G3492" s="166" t="str">
        <x:v>REAG TRUST DISTRIBUIDORA DE TITULOS E VALORES MOBILIARIOS S.A.</x:v>
      </x:c>
      <x:c r="H3492" s="166" t="str">
        <x:v>Financeiro</x:v>
      </x:c>
      <x:c r="I3492" s="166" t="str">
        <x:v>Multicarteira Financeiro</x:v>
      </x:c>
      <x:c r="J3492" s="166" t="str">
        <x:v>CI</x:v>
      </x:c>
      <x:c r="K3492" s="172" t="n">
        <x:v>19</x:v>
      </x:c>
      <x:c r="L3492" s="185" t="str">
        <x:v>Não classificado</x:v>
      </x:c>
    </x:row>
    <x:row r="3493">
      <x:c r="A3493" s="175" t="str">
        <x:v>54.828.406/0001-96</x:v>
      </x:c>
      <x:c r="B3493" s="166" t="str">
        <x:v>EUREKKA I FUNDO DE INVESTIMENTO EM DIREITOS CREDITÓRIOS</x:v>
      </x:c>
      <x:c r="C3493" s="188" t="n">
        <x:v>0</x:v>
      </x:c>
      <x:c r="D3493" s="166" t="str">
        <x:v>ASSET MANAGEMENT</x:v>
      </x:c>
      <x:c r="E3493" s="166" t="str">
        <x:f>IFERROR(INDEX('Classif Gestoras'!$H$6:$H$462,MATCH(D3493,'Classif Gestoras'!$A$6:$A$462,0)),"Não classificada")</x:f>
        <x:v>Independente</x:v>
      </x:c>
      <x:c r="F3493" s="166" t="str">
        <x:v>AZUMI DISTRIBUIDORA DE TÍTULOS E VALORES MOBILIÁRIOS LT</x:v>
      </x:c>
      <x:c r="G3493" s="166" t="str">
        <x:v>AZUMI DISTRIBUIDORA DE TÍTULOS E VALORES MOBILIÁRIOS LTDA.</x:v>
      </x:c>
      <x:c r="H3493" s="166" t="str">
        <x:v>Outros</x:v>
      </x:c>
      <x:c r="I3493" s="166" t="str">
        <x:v>Multicarteira Outros</x:v>
      </x:c>
      <x:c r="J3493" s="166" t="str">
        <x:v>CI</x:v>
      </x:c>
      <x:c r="K3493" s="172" t="n">
        <x:v>0</x:v>
      </x:c>
      <x:c r="L3493" s="185" t="str">
        <x:v>Não classificado</x:v>
      </x:c>
    </x:row>
    <x:row r="3494">
      <x:c r="A3494" s="175" t="str">
        <x:v>51.017.188/0001-11</x:v>
      </x:c>
      <x:c r="B3494" s="166" t="str">
        <x:v>CNPJ 51017188000111</x:v>
      </x:c>
      <x:c r="C3494" s="188" t="n">
        <x:v>0</x:v>
      </x:c>
      <x:c r="D3494" s="166" t="str">
        <x:v>Chimera Capital Asset Management Ltda.</x:v>
      </x:c>
      <x:c r="E3494" s="166" t="str">
        <x:f>IFERROR(INDEX('Classif Gestoras'!$H$6:$H$462,MATCH(D3494,'Classif Gestoras'!$A$6:$A$462,0)),"Não classificada")</x:f>
        <x:v>Independente</x:v>
      </x:c>
      <x:c r="F3494" s="166" t="str">
        <x:v>MONETAR DISTRIBUIDORA DE TITUL</x:v>
      </x:c>
      <x:c r="G3494" s="166" t="str">
        <x:v>Não identificado</x:v>
      </x:c>
      <x:c r="H3494" s="166" t="str">
        <x:v>Outros</x:v>
      </x:c>
      <x:c r="I3494" s="166" t="str">
        <x:v>Recuperação</x:v>
      </x:c>
      <x:c r="J3494" s="166" t="str">
        <x:v>CI</x:v>
      </x:c>
      <x:c r="K3494" s="172"/>
      <x:c r="L3494" s="185" t="str">
        <x:v>Não classificado</x:v>
      </x:c>
    </x:row>
    <x:row r="3495">
      <x:c r="A3495" s="175" t="str">
        <x:v>34.027.968/0001-23</x:v>
      </x:c>
      <x:c r="B3495" s="166" t="str">
        <x:v>MERIDIONAL I FUNDO DE INVESTIMENTO EM DIREITOS CREDITÓRIOS RESPONSABILIDADE LIMITADA</x:v>
      </x:c>
      <x:c r="C3495" s="188" t="n">
        <x:v>0</x:v>
      </x:c>
      <x:c r="D3495" s="166" t="str">
        <x:v>IDGR</x:v>
      </x:c>
      <x:c r="E3495" s="166" t="str">
        <x:f>IFERROR(INDEX('Classif Gestoras'!$H$6:$H$462,MATCH(D3495,'Classif Gestoras'!$A$6:$A$462,0)),"Não classificada")</x:f>
        <x:v>Independente</x:v>
      </x:c>
      <x:c r="F3495" s="166" t="str">
        <x:v>ID Corretora de Títulos e Valores Mobiliários S.A.</x:v>
      </x:c>
      <x:c r="G3495" s="166" t="str">
        <x:v>ID CORRETORA DE TITULOS E VALORES MOBILIARIOS S.A.</x:v>
      </x:c>
      <x:c r="H3495" s="166" t="str">
        <x:v>Outros</x:v>
      </x:c>
      <x:c r="I3495" s="166" t="str">
        <x:v>Multicarteira Outros</x:v>
      </x:c>
      <x:c r="J3495" s="166" t="str">
        <x:v>CI</x:v>
      </x:c>
      <x:c r="K3495" s="172" t="n">
        <x:v>0</x:v>
      </x:c>
      <x:c r="L3495" s="185" t="str">
        <x:v>Não classificado</x:v>
      </x:c>
    </x:row>
    <x:row r="3496">
      <x:c r="A3496" s="175" t="str">
        <x:v>34.081.900/0001-22</x:v>
      </x:c>
      <x:c r="B3496" s="166" t="str">
        <x:v>GOLD STYLE FUNDO DE INVESTIMENTO EM DIREITO CREDITÓRIO NÃO PADRONIZADO</x:v>
      </x:c>
      <x:c r="C3496" s="188" t="n">
        <x:v>0</x:v>
      </x:c>
      <x:c r="D3496" s="166" t="str">
        <x:v>Reag Jus</x:v>
      </x:c>
      <x:c r="E3496" s="166" t="str">
        <x:f>IFERROR(INDEX('Classif Gestoras'!$H$6:$H$462,MATCH(D3496,'Classif Gestoras'!$A$6:$A$462,0)),"Não classificada")</x:f>
        <x:v>Independente</x:v>
      </x:c>
      <x:c r="F3496" s="166" t="str">
        <x:v>REAG DTVM</x:v>
      </x:c>
      <x:c r="G3496" s="166" t="str">
        <x:v>REAG TRUST DISTRIBUIDORA DE TITULOS E VALORES MOBILIARIOS S.A.</x:v>
      </x:c>
      <x:c r="H3496" s="166" t="str">
        <x:v>Outros</x:v>
      </x:c>
      <x:c r="I3496" s="166" t="str">
        <x:v>Multicarteira Outros</x:v>
      </x:c>
      <x:c r="J3496" s="166" t="str">
        <x:v>CI</x:v>
      </x:c>
      <x:c r="K3496" s="172" t="n">
        <x:v>1</x:v>
      </x:c>
      <x:c r="L3496" s="185" t="str">
        <x:v>Não classificado</x:v>
      </x:c>
    </x:row>
    <x:row r="3497">
      <x:c r="A3497" s="175" t="str">
        <x:v>41.520.310/0001-14</x:v>
      </x:c>
      <x:c r="B3497" s="166" t="str">
        <x:v>TOKAY FUNDO DE INVESTIMENTO EM DIREITOS CREDITÓRIOS</x:v>
      </x:c>
      <x:c r="C3497" s="188" t="n">
        <x:v>0</x:v>
      </x:c>
      <x:c r="D3497" s="166" t="str">
        <x:v>WNT Gestora de Recursos Ltda.</x:v>
      </x:c>
      <x:c r="E3497" s="166" t="str">
        <x:f>IFERROR(INDEX('Classif Gestoras'!$H$6:$H$462,MATCH(D3497,'Classif Gestoras'!$A$6:$A$462,0)),"Não classificada")</x:f>
        <x:v>Independente</x:v>
      </x:c>
      <x:c r="F3497" s="166" t="str">
        <x:v>TRUSTEE DTVM</x:v>
      </x:c>
      <x:c r="G3497" s="166" t="str">
        <x:v>TRUSTEE DISTRIBUIDORA DE TITULOS E VALORES MOBILIARIOS LTDA.</x:v>
      </x:c>
      <x:c r="H3497" s="166" t="str">
        <x:v>Outros</x:v>
      </x:c>
      <x:c r="I3497" s="166" t="str">
        <x:v>Multicarteira Outros</x:v>
      </x:c>
      <x:c r="J3497" s="166" t="str">
        <x:v>CI</x:v>
      </x:c>
      <x:c r="K3497" s="172" t="n">
        <x:v>1</x:v>
      </x:c>
      <x:c r="L3497" s="185" t="str">
        <x:v>Não classificado</x:v>
      </x:c>
    </x:row>
    <x:row r="3498">
      <x:c r="A3498" s="175" t="str">
        <x:v>31.216.519/0001-35</x:v>
      </x:c>
      <x:c r="B3498" s="166" t="str">
        <x:v>CNPJ 31216519000135</x:v>
      </x:c>
      <x:c r="C3498" s="188" t="n">
        <x:v>0</x:v>
      </x:c>
      <x:c r="D3498" s="166" t="str">
        <x:v>VERT Gestora de Recursos Financeiros Ltda.</x:v>
      </x:c>
      <x:c r="E3498" s="166" t="str">
        <x:f>IFERROR(INDEX('Classif Gestoras'!$H$6:$H$462,MATCH(D3498,'Classif Gestoras'!$A$6:$A$462,0)),"Não classificada")</x:f>
        <x:v>Independente</x:v>
      </x:c>
      <x:c r="F3498" s="166" t="str">
        <x:v>BRL TRUST DTVM</x:v>
      </x:c>
      <x:c r="G3498" s="166" t="str">
        <x:v>Não identificado</x:v>
      </x:c>
      <x:c r="H3498" s="166" t="str">
        <x:v>Outros</x:v>
      </x:c>
      <x:c r="I3498" s="166" t="str">
        <x:v>Multicarteira Outros</x:v>
      </x:c>
      <x:c r="J3498" s="166" t="str">
        <x:v>CI</x:v>
      </x:c>
      <x:c r="K3498" s="172"/>
      <x:c r="L3498" s="185" t="str">
        <x:v>Não classificado</x:v>
      </x:c>
    </x:row>
    <x:row r="3499">
      <x:c r="A3499" s="175" t="str">
        <x:v>63.455.599/0001-78</x:v>
      </x:c>
      <x:c r="B3499" s="166" t="str">
        <x:v>SANTA VERÔNICA FUNDO DE INVESTIMENTO EM DIREITOS CREDITÓRIOS - RESPONSABILIDADE LIMITADA</x:v>
      </x:c>
      <x:c r="C3499" s="188" t="n">
        <x:v>0</x:v>
      </x:c>
      <x:c r="D3499" s="166" t="str">
        <x:v>Galápagos</x:v>
      </x:c>
      <x:c r="E3499" s="166" t="str">
        <x:f>IFERROR(INDEX('Classif Gestoras'!$H$6:$H$462,MATCH(D3499,'Classif Gestoras'!$A$6:$A$462,0)),"Não classificada")</x:f>
        <x:v>Independente</x:v>
      </x:c>
      <x:c r="F3499" s="166" t="str">
        <x:v>VÓRTX DTVM</x:v>
      </x:c>
      <x:c r="G3499" s="166" t="str">
        <x:v>VORTX DISTRIBUIDORA DE TITULOS E VALORES MOBILIARIOS LTDA.</x:v>
      </x:c>
      <x:c r="H3499" s="166" t="str">
        <x:v>Outros</x:v>
      </x:c>
      <x:c r="I3499" s="166" t="str">
        <x:v>Poder Público</x:v>
      </x:c>
      <x:c r="J3499" s="166" t="str">
        <x:v>CI</x:v>
      </x:c>
      <x:c r="K3499" s="172" t="n">
        <x:v>4</x:v>
      </x:c>
      <x:c r="L3499" s="185" t="str">
        <x:v>Não classificado</x:v>
      </x:c>
    </x:row>
    <x:row r="3500">
      <x:c r="A3500" s="175" t="str">
        <x:v>47.372.688/0001-02</x:v>
      </x:c>
      <x:c r="B3500" s="166" t="str">
        <x:v>PHX FUNDO DE INVESTIMENTO EM DIREITOS CREDITÓRIOS NÃO-PADRONIZADOS RESPONSABILIDADE LIMITADA</x:v>
      </x:c>
      <x:c r="C3500" s="188" t="n">
        <x:v>0</x:v>
      </x:c>
      <x:c r="D3500" s="166" t="str">
        <x:v>GESTORA DE RECURSOS ID - GRID LTDA.</x:v>
      </x:c>
      <x:c r="E3500" s="166" t="str">
        <x:f>IFERROR(INDEX('Classif Gestoras'!$H$6:$H$462,MATCH(D3500,'Classif Gestoras'!$A$6:$A$462,0)),"Não classificada")</x:f>
        <x:v>Independente</x:v>
      </x:c>
      <x:c r="F3500" s="166" t="str">
        <x:v>ID Corretora de Títulos e Valores Mobiliários S.A.</x:v>
      </x:c>
      <x:c r="G3500" s="166" t="str">
        <x:v>ID CORRETORA DE TITULOS E VALORES MOBILIARIOS S.A.</x:v>
      </x:c>
      <x:c r="H3500" s="166" t="str">
        <x:v>Outros</x:v>
      </x:c>
      <x:c r="I3500" s="166" t="str">
        <x:v>Multicarteira Outros</x:v>
      </x:c>
      <x:c r="J3500" s="166" t="str">
        <x:v>CI</x:v>
      </x:c>
      <x:c r="K3500" s="172" t="n">
        <x:v>2</x:v>
      </x:c>
      <x:c r="L3500" s="185" t="str">
        <x:v>Não classificado</x:v>
      </x:c>
    </x:row>
    <x:row r="3501">
      <x:c r="A3501" s="175" t="str">
        <x:v>38.385.876/0001-76</x:v>
      </x:c>
      <x:c r="B3501" s="166" t="str">
        <x:v>CNPJ 38385876000176</x:v>
      </x:c>
      <x:c r="C3501" s="188" t="n">
        <x:v>0</x:v>
      </x:c>
      <x:c r="D3501" s="166" t="str">
        <x:v>GENIAL GESTÃO LTDA.</x:v>
      </x:c>
      <x:c r="E3501" s="166" t="str">
        <x:f>IFERROR(INDEX('Classif Gestoras'!$H$6:$H$462,MATCH(D3501,'Classif Gestoras'!$A$6:$A$462,0)),"Não classificada")</x:f>
        <x:v>Ligada a banco</x:v>
      </x:c>
      <x:c r="F3501" s="166" t="str">
        <x:v>Banco Genial S.A.</x:v>
      </x:c>
      <x:c r="G3501" s="166" t="str">
        <x:v>Não identificado</x:v>
      </x:c>
      <x:c r="H3501" s="166" t="str">
        <x:v>Agro, Indústria e Comércio</x:v>
      </x:c>
      <x:c r="I3501" s="166" t="str">
        <x:v>Recebíveis Comerciais</x:v>
      </x:c>
      <x:c r="J3501" s="166" t="str">
        <x:v>CI</x:v>
      </x:c>
      <x:c r="K3501" s="172"/>
      <x:c r="L3501" s="185" t="str">
        <x:v>Não classificado</x:v>
      </x:c>
    </x:row>
    <x:row r="3502">
      <x:c r="A3502" s="175" t="str">
        <x:v>38.448.158/0001-00</x:v>
      </x:c>
      <x:c r="B3502" s="166" t="str">
        <x:v>CNPJ 38448158000100</x:v>
      </x:c>
      <x:c r="C3502" s="188" t="n">
        <x:v>0</x:v>
      </x:c>
      <x:c r="D3502" s="166" t="str">
        <x:v>Milênio Capital</x:v>
      </x:c>
      <x:c r="E3502" s="166" t="str">
        <x:f>IFERROR(INDEX('Classif Gestoras'!$H$6:$H$462,MATCH(D3502,'Classif Gestoras'!$A$6:$A$462,0)),"Não classificada")</x:f>
        <x:v>Independente</x:v>
      </x:c>
      <x:c r="F3502" s="166" t="str">
        <x:v>OSLO DTVM S. A.</x:v>
      </x:c>
      <x:c r="G3502" s="166" t="str">
        <x:v>Não identificado</x:v>
      </x:c>
      <x:c r="H3502" s="166" t="str">
        <x:v>Agro, Indústria e Comércio</x:v>
      </x:c>
      <x:c r="I3502" s="166" t="str">
        <x:v>Recebíveis Comerciais</x:v>
      </x:c>
      <x:c r="J3502" s="166" t="str">
        <x:v>CI</x:v>
      </x:c>
      <x:c r="K3502" s="172"/>
      <x:c r="L3502" s="185" t="str">
        <x:v>Não classificado</x:v>
      </x:c>
    </x:row>
    <x:row r="3503">
      <x:c r="A3503" s="175" t="str">
        <x:v>23.076.742/0001-04</x:v>
      </x:c>
      <x:c r="B3503" s="166" t="str">
        <x:v>FUNDO DE INVESTIMENTO EM DIREITOS CREDITÓRIOS EMPÍRICA OPORTUNA PRECATÓRIOS FEDERAIS RESP LIMITADA</x:v>
      </x:c>
      <x:c r="C3503" s="188" t="n">
        <x:v>0</x:v>
      </x:c>
      <x:c r="D3503" s="166" t="str">
        <x:v>REAG GESTÃO DE CRÉDITO</x:v>
      </x:c>
      <x:c r="E3503" s="166" t="str">
        <x:f>IFERROR(INDEX('Classif Gestoras'!$H$6:$H$462,MATCH(D3503,'Classif Gestoras'!$A$6:$A$462,0)),"Não classificada")</x:f>
        <x:v>Independente</x:v>
      </x:c>
      <x:c r="F3503" s="166" t="str">
        <x:v>Banvox DTVM</x:v>
      </x:c>
      <x:c r="G3503" s="166" t="str">
        <x:v>FIDD DISTRIBUIDORA DE TITULOS E VALORES MOBILIARIOS LTDA.</x:v>
      </x:c>
      <x:c r="H3503" s="166" t="str">
        <x:v>Outros</x:v>
      </x:c>
      <x:c r="I3503" s="166" t="str">
        <x:v>Poder Público</x:v>
      </x:c>
      <x:c r="J3503" s="166" t="str">
        <x:v>CI</x:v>
      </x:c>
      <x:c r="K3503" s="172" t="n">
        <x:v>32</x:v>
      </x:c>
      <x:c r="L3503" s="185" t="str">
        <x:v>Não classificado</x:v>
      </x:c>
    </x:row>
    <x:row r="3504">
      <x:c r="A3504" s="175" t="str">
        <x:v>57.778.286/0001-58</x:v>
      </x:c>
      <x:c r="B3504" s="166" t="str">
        <x:v>CNPJ 57778286000158</x:v>
      </x:c>
      <x:c r="C3504" s="188" t="n">
        <x:v>0</x:v>
      </x:c>
      <x:c r="D3504" s="166" t="str">
        <x:v>Shift Capital Gestão de Recursos LTDA.</x:v>
      </x:c>
      <x:c r="E3504" s="166" t="str">
        <x:f>IFERROR(INDEX('Classif Gestoras'!$H$6:$H$462,MATCH(D3504,'Classif Gestoras'!$A$6:$A$462,0)),"Não classificada")</x:f>
        <x:v>Independente</x:v>
      </x:c>
      <x:c r="F3504" s="166" t="str">
        <x:v>CATÁLISE DTVM</x:v>
      </x:c>
      <x:c r="G3504" s="166" t="str">
        <x:v>Não identificado</x:v>
      </x:c>
      <x:c r="H3504" s="166" t="str">
        <x:v>Agro, Indústria e Comércio</x:v>
      </x:c>
      <x:c r="I3504" s="166" t="str">
        <x:v>Multiestratégia</x:v>
      </x:c>
      <x:c r="J3504" s="166" t="str">
        <x:v>CI</x:v>
      </x:c>
      <x:c r="K3504" s="172"/>
      <x:c r="L3504" s="185" t="str">
        <x:v>Não classificado</x:v>
      </x:c>
    </x:row>
    <x:row r="3505">
      <x:c r="A3505" s="175" t="str">
        <x:v>53.206.400/0001-14</x:v>
      </x:c>
      <x:c r="B3505" s="166" t="str">
        <x:v>CENTAURI FUNDO DE INVESTIMENTO EM DIREITOS CREDITÓRIOS</x:v>
      </x:c>
      <x:c r="C3505" s="188" t="n">
        <x:v>0</x:v>
      </x:c>
      <x:c r="D3505" s="166" t="str">
        <x:v>Reag Jus</x:v>
      </x:c>
      <x:c r="E3505" s="166" t="str">
        <x:f>IFERROR(INDEX('Classif Gestoras'!$H$6:$H$462,MATCH(D3505,'Classif Gestoras'!$A$6:$A$462,0)),"Não classificada")</x:f>
        <x:v>Independente</x:v>
      </x:c>
      <x:c r="F3505" s="166" t="str">
        <x:v>REAG DTVM</x:v>
      </x:c>
      <x:c r="G3505" s="166" t="str">
        <x:v>REAG TRUST DISTRIBUIDORA DE TITULOS E VALORES MOBILIARIOS S.A.</x:v>
      </x:c>
      <x:c r="H3505" s="166" t="str">
        <x:v>Outros</x:v>
      </x:c>
      <x:c r="I3505" s="166" t="str">
        <x:v>Multicarteira Outros</x:v>
      </x:c>
      <x:c r="J3505" s="166" t="str">
        <x:v>CI</x:v>
      </x:c>
      <x:c r="K3505" s="172" t="n">
        <x:v>1</x:v>
      </x:c>
      <x:c r="L3505" s="185" t="str">
        <x:v>Não classificado</x:v>
      </x:c>
    </x:row>
    <x:row r="3506">
      <x:c r="A3506" s="175" t="str">
        <x:v>23.077.181/0001-50</x:v>
      </x:c>
      <x:c r="B3506" s="166" t="str">
        <x:v>CNPJ 23077181000150</x:v>
      </x:c>
      <x:c r="C3506" s="188" t="n">
        <x:v>0</x:v>
      </x:c>
      <x:c r="D3506" s="166" t="str">
        <x:v>Reag Administradora de Recursos Ltda</x:v>
      </x:c>
      <x:c r="E3506" s="166" t="str">
        <x:f>IFERROR(INDEX('Classif Gestoras'!$H$6:$H$462,MATCH(D3506,'Classif Gestoras'!$A$6:$A$462,0)),"Não classificada")</x:f>
        <x:v>Independente</x:v>
      </x:c>
      <x:c r="F3506" s="166" t="str">
        <x:v>REAG DTVM</x:v>
      </x:c>
      <x:c r="G3506" s="166" t="str">
        <x:v>Não identificado</x:v>
      </x:c>
      <x:c r="H3506" s="166" t="str">
        <x:v>Outros</x:v>
      </x:c>
      <x:c r="I3506" s="166" t="str">
        <x:v>Recuperação</x:v>
      </x:c>
      <x:c r="J3506" s="166" t="str">
        <x:v>CI</x:v>
      </x:c>
      <x:c r="K3506" s="172"/>
      <x:c r="L3506" s="185" t="str">
        <x:v>Não classificado</x:v>
      </x:c>
    </x:row>
    <x:row r="3507">
      <x:c r="A3507" s="175" t="str">
        <x:v>53.211.800/0001-18</x:v>
      </x:c>
      <x:c r="B3507" s="166" t="str">
        <x:v>CNPJ 53211800000118</x:v>
      </x:c>
      <x:c r="C3507" s="188" t="n">
        <x:v>0</x:v>
      </x:c>
      <x:c r="D3507" s="166" t="str">
        <x:v>Guardian Gestora</x:v>
      </x:c>
      <x:c r="E3507" s="166" t="str">
        <x:f>IFERROR(INDEX('Classif Gestoras'!$H$6:$H$462,MATCH(D3507,'Classif Gestoras'!$A$6:$A$462,0)),"Não classificada")</x:f>
        <x:v>Independente</x:v>
      </x:c>
      <x:c r="F3507" s="166" t="str">
        <x:v>Banvox DTVM</x:v>
      </x:c>
      <x:c r="G3507" s="166" t="str">
        <x:v>Não identificado</x:v>
      </x:c>
      <x:c r="H3507" s="166" t="str">
        <x:v>Financeiro</x:v>
      </x:c>
      <x:c r="I3507" s="166" t="str">
        <x:v>Crédito Consignado</x:v>
      </x:c>
      <x:c r="J3507" s="166" t="str">
        <x:v>CI</x:v>
      </x:c>
      <x:c r="K3507" s="172"/>
      <x:c r="L3507" s="185" t="str">
        <x:v>Não classificado</x:v>
      </x:c>
    </x:row>
    <x:row r="3508">
      <x:c r="A3508" s="175" t="str">
        <x:v>11.351.413/0001-37</x:v>
      </x:c>
      <x:c r="B3508" s="166" t="str">
        <x:v>CORAL FIDC MULTISETORIAL</x:v>
      </x:c>
      <x:c r="C3508" s="188" t="n">
        <x:v>0</x:v>
      </x:c>
      <x:c r="D3508" s="166" t="str">
        <x:v>AGG Investimentos Ltda.</x:v>
      </x:c>
      <x:c r="E3508" s="166" t="str">
        <x:f>IFERROR(INDEX('Classif Gestoras'!$H$6:$H$462,MATCH(D3508,'Classif Gestoras'!$A$6:$A$462,0)),"Não classificada")</x:f>
        <x:v>Independente</x:v>
      </x:c>
      <x:c r="F3508" s="166" t="str">
        <x:v>BNY MELLON SERVICOS</x:v>
      </x:c>
      <x:c r="G3508" s="166" t="str">
        <x:v>Não identificado</x:v>
      </x:c>
      <x:c r="H3508" s="166" t="str">
        <x:v>Agro, Indústria e Comércio</x:v>
      </x:c>
      <x:c r="I3508" s="166" t="str">
        <x:v>Crédito Corporativo</x:v>
      </x:c>
      <x:c r="J3508" s="166" t="str">
        <x:v>CI</x:v>
      </x:c>
      <x:c r="K3508" s="172" t="n">
        <x:v>7</x:v>
      </x:c>
      <x:c r="L3508" s="185" t="str">
        <x:v>Não classificado</x:v>
      </x:c>
    </x:row>
    <x:row r="3509">
      <x:c r="A3509" s="175" t="str">
        <x:v>38.440.284/0001-00</x:v>
      </x:c>
      <x:c r="B3509" s="166" t="str">
        <x:v>CANAL 75 FUNDO DE INVESTIMENTO EM DIREITOS CREDITÓRIOS</x:v>
      </x:c>
      <x:c r="C3509" s="188" t="n">
        <x:v>0</x:v>
      </x:c>
      <x:c r="D3509" s="166" t="str">
        <x:v>WNT Gestora de Recursos Ltda.</x:v>
      </x:c>
      <x:c r="E3509" s="166" t="str">
        <x:f>IFERROR(INDEX('Classif Gestoras'!$H$6:$H$462,MATCH(D3509,'Classif Gestoras'!$A$6:$A$462,0)),"Não classificada")</x:f>
        <x:v>Independente</x:v>
      </x:c>
      <x:c r="F3509" s="166" t="str">
        <x:v>Singulare</x:v>
      </x:c>
      <x:c r="G3509" s="166" t="str">
        <x:v>WNT CAPITAL DISTRIBUIDORA DE TITULOS E VALORES MOBILIARIOS S.A.</x:v>
      </x:c>
      <x:c r="H3509" s="166" t="str">
        <x:v>Financeiro</x:v>
      </x:c>
      <x:c r="I3509" s="166" t="str">
        <x:v>Crédito Consignado</x:v>
      </x:c>
      <x:c r="J3509" s="166" t="str">
        <x:v>CI</x:v>
      </x:c>
      <x:c r="K3509" s="172" t="n">
        <x:v>2</x:v>
      </x:c>
      <x:c r="L3509" s="185" t="str">
        <x:v>Não classificado</x:v>
      </x:c>
    </x:row>
    <x:row r="3510">
      <x:c r="A3510" s="175" t="str">
        <x:v>53.212.022/0001-81</x:v>
      </x:c>
      <x:c r="B3510" s="166" t="str">
        <x:v>BALDER FUNDO DE INVESTIMENTO EM DIREITOS CREDITÓRIOS</x:v>
      </x:c>
      <x:c r="C3510" s="188" t="n">
        <x:v>0</x:v>
      </x:c>
      <x:c r="D3510" s="166" t="str">
        <x:v>Reag Jus</x:v>
      </x:c>
      <x:c r="E3510" s="166" t="str">
        <x:f>IFERROR(INDEX('Classif Gestoras'!$H$6:$H$462,MATCH(D3510,'Classif Gestoras'!$A$6:$A$462,0)),"Não classificada")</x:f>
        <x:v>Independente</x:v>
      </x:c>
      <x:c r="F3510" s="166" t="str">
        <x:v>REAG DTVM</x:v>
      </x:c>
      <x:c r="G3510" s="166" t="str">
        <x:v>REAG TRUST DISTRIBUIDORA DE TITULOS E VALORES MOBILIARIOS S.A.</x:v>
      </x:c>
      <x:c r="H3510" s="166" t="str">
        <x:v>Outros</x:v>
      </x:c>
      <x:c r="I3510" s="166" t="str">
        <x:v>Multicarteira Outros</x:v>
      </x:c>
      <x:c r="J3510" s="166" t="str">
        <x:v>CI</x:v>
      </x:c>
      <x:c r="K3510" s="172" t="n">
        <x:v>1</x:v>
      </x:c>
      <x:c r="L3510" s="185" t="str">
        <x:v>Não classificado</x:v>
      </x:c>
    </x:row>
    <x:row r="3511">
      <x:c r="A3511" s="175" t="str">
        <x:v>54.755.924/0001-27</x:v>
      </x:c>
      <x:c r="B3511" s="166" t="str">
        <x:v>BRS INVEST ASSETS FUNDO DE INVESTIMENTO EM DIREITOS CREDITÓRIOS</x:v>
      </x:c>
      <x:c r="C3511" s="188" t="n">
        <x:v>0</x:v>
      </x:c>
      <x:c r="D3511" s="166" t="str">
        <x:v>CARMEL GESTORA DE ATIVOS LTDA</x:v>
      </x:c>
      <x:c r="E3511" s="166" t="str">
        <x:f>IFERROR(INDEX('Classif Gestoras'!$H$6:$H$462,MATCH(D3511,'Classif Gestoras'!$A$6:$A$462,0)),"Não classificada")</x:f>
        <x:v>Independente</x:v>
      </x:c>
      <x:c r="F3511" s="166" t="str">
        <x:v>MASTER S/A CORRETORA</x:v>
      </x:c>
      <x:c r="G3511" s="166" t="str">
        <x:v>MASTER S/A CORRETORA DE CAMBIO, TITULOS E VALORES MOBILIARIOS</x:v>
      </x:c>
      <x:c r="H3511" s="166" t="str">
        <x:v>Outros</x:v>
      </x:c>
      <x:c r="I3511" s="166" t="str">
        <x:v>Multicarteira Outros</x:v>
      </x:c>
      <x:c r="J3511" s="166" t="str">
        <x:v>CI</x:v>
      </x:c>
      <x:c r="K3511" s="172" t="n">
        <x:v>1</x:v>
      </x:c>
      <x:c r="L3511" s="185" t="str">
        <x:v>Não classificado</x:v>
      </x:c>
    </x:row>
    <x:row r="3512">
      <x:c r="A3512" s="175" t="str">
        <x:v>54.738.116/0001-51</x:v>
      </x:c>
      <x:c r="B3512" s="166" t="str">
        <x:v>SOMAPAY CONSIGNADO PRIVADO FUNDO DE INVESTIMENTO EM DIREITOS CREDITÓRIOS</x:v>
      </x:c>
      <x:c r="C3512" s="188" t="n">
        <x:v>0</x:v>
      </x:c>
      <x:c r="D3512" s="166" t="str">
        <x:v>Solis</x:v>
      </x:c>
      <x:c r="E3512" s="166" t="str">
        <x:f>IFERROR(INDEX('Classif Gestoras'!$H$6:$H$462,MATCH(D3512,'Classif Gestoras'!$A$6:$A$462,0)),"Não classificada")</x:f>
        <x:v>Independente</x:v>
      </x:c>
      <x:c r="F3512" s="166" t="str">
        <x:v>HEMERA DTVM</x:v>
      </x:c>
      <x:c r="G3512" s="166" t="str">
        <x:v>HEMERA DISTRIBUIDORA DE TITULOS E VALORES MOBILIARIOS LTDA</x:v>
      </x:c>
      <x:c r="H3512" s="166" t="str">
        <x:v>Financeiro</x:v>
      </x:c>
      <x:c r="I3512" s="166" t="str">
        <x:v>Crédito Consignado</x:v>
      </x:c>
      <x:c r="J3512" s="166" t="str">
        <x:v>CI</x:v>
      </x:c>
      <x:c r="K3512" s="172" t="n">
        <x:v>0</x:v>
      </x:c>
      <x:c r="L3512" s="185" t="str">
        <x:v>Não classificado</x:v>
      </x:c>
    </x:row>
    <x:row r="3513">
      <x:c r="A3513" s="175" t="str">
        <x:v>41.341.188/0001-19</x:v>
      </x:c>
      <x:c r="B3513" s="166" t="str">
        <x:v>GALAPAGOS ARQUIPÉLAGO FUNDO DE INVESTIMENTO EM DIREITOS CREDITÓRIOS</x:v>
      </x:c>
      <x:c r="C3513" s="188" t="n">
        <x:v>0</x:v>
      </x:c>
      <x:c r="D3513" s="166" t="str">
        <x:v>Galápagos</x:v>
      </x:c>
      <x:c r="E3513" s="166" t="str">
        <x:f>IFERROR(INDEX('Classif Gestoras'!$H$6:$H$462,MATCH(D3513,'Classif Gestoras'!$A$6:$A$462,0)),"Não classificada")</x:f>
        <x:v>Independente</x:v>
      </x:c>
      <x:c r="F3513" s="166" t="str">
        <x:v>Singulare</x:v>
      </x:c>
      <x:c r="G3513" s="166" t="str">
        <x:v>VORTX DISTRIBUIDORA DE TITULOS E VALORES MOBILIARIOS LTDA.</x:v>
      </x:c>
      <x:c r="H3513" s="166" t="str">
        <x:v>Outros</x:v>
      </x:c>
      <x:c r="I3513" s="166" t="str">
        <x:v>Poder Público</x:v>
      </x:c>
      <x:c r="J3513" s="166" t="str">
        <x:v>CI</x:v>
      </x:c>
      <x:c r="K3513" s="172" t="n">
        <x:v>29</x:v>
      </x:c>
      <x:c r="L3513" s="185" t="str">
        <x:v>Não classificado</x:v>
      </x:c>
    </x:row>
    <x:row r="3514">
      <x:c r="A3514" s="175" t="str">
        <x:v>51.531.327/0001-20</x:v>
      </x:c>
      <x:c r="B3514" s="166" t="str">
        <x:v>RAC19 FUNDO DE INVESTIMENTO EM DIREITOS CREDITÓRIOS</x:v>
      </x:c>
      <x:c r="C3514" s="188" t="n">
        <x:v>0</x:v>
      </x:c>
      <x:c r="D3514" s="166" t="str">
        <x:v>ASAROCK ASSET MANAGEMENT</x:v>
      </x:c>
      <x:c r="E3514" s="166" t="str">
        <x:f>IFERROR(INDEX('Classif Gestoras'!$H$6:$H$462,MATCH(D3514,'Classif Gestoras'!$A$6:$A$462,0)),"Não classificada")</x:f>
        <x:v>Independente</x:v>
      </x:c>
      <x:c r="F3514" s="166" t="str">
        <x:v>REAG DTVM</x:v>
      </x:c>
      <x:c r="G3514" s="166" t="str">
        <x:v>ID CORRETORA DE TITULOS E VALORES MOBILIARIOS S.A.</x:v>
      </x:c>
      <x:c r="H3514" s="166" t="str">
        <x:v>Outros</x:v>
      </x:c>
      <x:c r="I3514" s="166" t="str">
        <x:v>Multicarteira Outros</x:v>
      </x:c>
      <x:c r="J3514" s="166" t="str">
        <x:v>CI</x:v>
      </x:c>
      <x:c r="K3514" s="172" t="n">
        <x:v>1</x:v>
      </x:c>
      <x:c r="L3514" s="185" t="str">
        <x:v>Não classificado</x:v>
      </x:c>
    </x:row>
    <x:row r="3515">
      <x:c r="A3515" s="175" t="str">
        <x:v>54.503.632/0001-05</x:v>
      </x:c>
      <x:c r="B3515" s="166" t="str">
        <x:v>CNPJ 54503632000105</x:v>
      </x:c>
      <x:c r="C3515" s="188" t="n">
        <x:v>0</x:v>
      </x:c>
      <x:c r="D3515" s="166" t="str">
        <x:v>CATALUNYA GESTÃO DE RECURSOS LTDA .</x:v>
      </x:c>
      <x:c r="E3515" s="166" t="str">
        <x:f>IFERROR(INDEX('Classif Gestoras'!$H$6:$H$462,MATCH(D3515,'Classif Gestoras'!$A$6:$A$462,0)),"Não classificada")</x:f>
        <x:v>Independente</x:v>
      </x:c>
      <x:c r="F3515" s="166" t="str">
        <x:v>VÓRTX DTVM</x:v>
      </x:c>
      <x:c r="G3515" s="166" t="str">
        <x:v>Não identificado</x:v>
      </x:c>
      <x:c r="H3515" s="166" t="str">
        <x:v>Outros</x:v>
      </x:c>
      <x:c r="I3515" s="166" t="str">
        <x:v>Recuperação</x:v>
      </x:c>
      <x:c r="J3515" s="166" t="str">
        <x:v>CI</x:v>
      </x:c>
      <x:c r="K3515" s="172"/>
      <x:c r="L3515" s="185" t="str">
        <x:v>Não classificado</x:v>
      </x:c>
    </x:row>
    <x:row r="3516">
      <x:c r="A3516" s="175" t="str">
        <x:v>62.948.578/0001-21</x:v>
      </x:c>
      <x:c r="B3516" s="166" t="str">
        <x:v>SGX FUNDO DE INVESTIMENTO EM DIREITOS CREDITÓRIOS RESPONSABILIDADE LIMITADA</x:v>
      </x:c>
      <x:c r="C3516" s="188" t="n">
        <x:v>0</x:v>
      </x:c>
      <x:c r="D3516" s="166" t="str">
        <x:v>Eternia Gestora de Recursos Ltda.</x:v>
      </x:c>
      <x:c r="E3516" s="166" t="str">
        <x:f>IFERROR(INDEX('Classif Gestoras'!$H$6:$H$462,MATCH(D3516,'Classif Gestoras'!$A$6:$A$462,0)),"Não classificada")</x:f>
        <x:v>Independente</x:v>
      </x:c>
      <x:c r="F3516" s="166" t="str">
        <x:v>FIDD DISTRIBUIDORA DE TITULOS E VALORES MOBILIARIOS LTD</x:v>
      </x:c>
      <x:c r="G3516" s="166" t="str">
        <x:v>QORE DISTRIBUIDORA DE TÍTULOS E VALORES MOBILIÁRIOS LTDA.</x:v>
      </x:c>
      <x:c r="H3516" s="166" t="str">
        <x:v>Agro, Indústria e Comércio</x:v>
      </x:c>
      <x:c r="I3516" s="166" t="str">
        <x:v>Crédito Corporativo</x:v>
      </x:c>
      <x:c r="J3516" s="166" t="str">
        <x:v>CI</x:v>
      </x:c>
      <x:c r="K3516" s="172" t="n">
        <x:v>2</x:v>
      </x:c>
      <x:c r="L3516" s="185" t="str">
        <x:v>Não classificado</x:v>
      </x:c>
    </x:row>
    <x:row r="3517">
      <x:c r="A3517" s="175" t="str">
        <x:v>62.935.248/0001-00</x:v>
      </x:c>
      <x:c r="B3517" s="166" t="str">
        <x:v>NTZ EMPREENDIMENTOS FUNDO DE INVESTIMENTO EM DIREITOS CREDITÓRIOS MULTICARTEIRA DE RESP LIMITADA</x:v>
      </x:c>
      <x:c r="C3517" s="188" t="n">
        <x:v>0</x:v>
      </x:c>
      <x:c r="D3517" s="166" t="str">
        <x:v>Netz Asset</x:v>
      </x:c>
      <x:c r="E3517" s="166" t="str">
        <x:f>IFERROR(INDEX('Classif Gestoras'!$H$6:$H$462,MATCH(D3517,'Classif Gestoras'!$A$6:$A$462,0)),"Não classificada")</x:f>
        <x:v>Independente</x:v>
      </x:c>
      <x:c r="F3517" s="166" t="str">
        <x:v>MONETAR DISTRIBUIDORA DE TITUL</x:v>
      </x:c>
      <x:c r="G3517" s="166" t="str">
        <x:v>BRL TRUST DISTRIBUIDORA DE TITULOS E VALORES MOBILIARIOS S.A.</x:v>
      </x:c>
      <x:c r="H3517" s="166" t="str">
        <x:v>Fomento Mercantil</x:v>
      </x:c>
      <x:c r="I3517" s="166" t="str">
        <x:v>Fomento Mercantil</x:v>
      </x:c>
      <x:c r="J3517" s="166" t="str">
        <x:v>CI</x:v>
      </x:c>
      <x:c r="K3517" s="172" t="n">
        <x:v>15</x:v>
      </x:c>
      <x:c r="L3517" s="185" t="str">
        <x:v>Não classificado</x:v>
      </x:c>
    </x:row>
    <x:row r="3518">
      <x:c r="A3518" s="175" t="str">
        <x:v>40.771.109/0001-47</x:v>
      </x:c>
      <x:c r="B3518" s="166" t="str">
        <x:v>CNPJ 40771109000147</x:v>
      </x:c>
      <x:c r="C3518" s="188" t="n">
        <x:v>0</x:v>
      </x:c>
      <x:c r="D3518" s="166" t="str">
        <x:v>BTG Gestora</x:v>
      </x:c>
      <x:c r="E3518" s="166" t="str">
        <x:f>IFERROR(INDEX('Classif Gestoras'!$H$6:$H$462,MATCH(D3518,'Classif Gestoras'!$A$6:$A$462,0)),"Não classificada")</x:f>
        <x:v>Ligada a banco</x:v>
      </x:c>
      <x:c r="F3518" s="166" t="str">
        <x:v>BTG Pactual Servicos Financeiros S/A DTVM</x:v>
      </x:c>
      <x:c r="G3518" s="166" t="str">
        <x:v>Não identificado</x:v>
      </x:c>
      <x:c r="H3518" s="166" t="str">
        <x:v>Agro, Indústria e Comércio</x:v>
      </x:c>
      <x:c r="I3518" s="166" t="str">
        <x:v>Não se aplica</x:v>
      </x:c>
      <x:c r="J3518" s="166" t="str">
        <x:v>CI</x:v>
      </x:c>
      <x:c r="K3518" s="172"/>
      <x:c r="L3518" s="185" t="str">
        <x:v>Não classificado</x:v>
      </x:c>
    </x:row>
    <x:row r="3519">
      <x:c r="A3519" s="175" t="str">
        <x:v>30.366.150/0001-84</x:v>
      </x:c>
      <x:c r="B3519" s="166" t="str">
        <x:v>CNPJ 30366150000184</x:v>
      </x:c>
      <x:c r="C3519" s="188" t="n">
        <x:v>0</x:v>
      </x:c>
      <x:c r="D3519" s="166" t="str">
        <x:v>CARMEL GESTORA DE ATIVOS LTDA</x:v>
      </x:c>
      <x:c r="E3519" s="166" t="str">
        <x:f>IFERROR(INDEX('Classif Gestoras'!$H$6:$H$462,MATCH(D3519,'Classif Gestoras'!$A$6:$A$462,0)),"Não classificada")</x:f>
        <x:v>Independente</x:v>
      </x:c>
      <x:c r="F3519" s="166" t="str">
        <x:v>BRL TRUST DTVM</x:v>
      </x:c>
      <x:c r="G3519" s="166" t="str">
        <x:v>Não identificado</x:v>
      </x:c>
      <x:c r="H3519" s="166" t="str">
        <x:v>Fomento Mercantil</x:v>
      </x:c>
      <x:c r="I3519" s="166" t="str">
        <x:v>Fomento Mercantil</x:v>
      </x:c>
      <x:c r="J3519" s="166" t="str">
        <x:v>CI</x:v>
      </x:c>
      <x:c r="K3519" s="172"/>
      <x:c r="L3519" s="185" t="str">
        <x:v>Não classificado</x:v>
      </x:c>
    </x:row>
    <x:row r="3520">
      <x:c r="A3520" s="175" t="str">
        <x:v>52.352.829/0001-57</x:v>
      </x:c>
      <x:c r="B3520" s="166" t="str">
        <x:v>LONG LIFE FUNDO DE INVESTIMENTO EM DIREITOS CREDITÓRIOS NÃO-PADRONIZADO</x:v>
      </x:c>
      <x:c r="C3520" s="188" t="n">
        <x:v>0</x:v>
      </x:c>
      <x:c r="D3520" s="166" t="str">
        <x:v>B6 GESTORA DE RECURSOS LTDA</x:v>
      </x:c>
      <x:c r="E3520" s="166" t="str">
        <x:f>IFERROR(INDEX('Classif Gestoras'!$H$6:$H$462,MATCH(D3520,'Classif Gestoras'!$A$6:$A$462,0)),"Não classificada")</x:f>
        <x:v>Independente</x:v>
      </x:c>
      <x:c r="F3520" s="166" t="str">
        <x:v>REAG DTVM</x:v>
      </x:c>
      <x:c r="G3520" s="166" t="str">
        <x:v>REAG TRUST DISTRIBUIDORA DE TITULOS E VALORES MOBILIARIOS S.A.</x:v>
      </x:c>
      <x:c r="H3520" s="166" t="str">
        <x:v>Outros</x:v>
      </x:c>
      <x:c r="I3520" s="166" t="str">
        <x:v>Multicarteira Outros</x:v>
      </x:c>
      <x:c r="J3520" s="166" t="str">
        <x:v>CI</x:v>
      </x:c>
      <x:c r="K3520" s="172" t="n">
        <x:v>2</x:v>
      </x:c>
      <x:c r="L3520" s="185" t="str">
        <x:v>Não classificado</x:v>
      </x:c>
    </x:row>
    <x:row r="3521">
      <x:c r="A3521" s="175" t="str">
        <x:v>48.953.684/0001-72</x:v>
      </x:c>
      <x:c r="B3521" s="166" t="str">
        <x:v>FUNDO DE INVESTIMENTO EM DIREITOS CREDITÓRIOS NÃO-PADRONIZADOS ALVARINHO</x:v>
      </x:c>
      <x:c r="C3521" s="188" t="n">
        <x:v>0</x:v>
      </x:c>
      <x:c r="D3521" s="166" t="str">
        <x:v>WNT Gestora de Recursos Ltda.</x:v>
      </x:c>
      <x:c r="E3521" s="166" t="str">
        <x:f>IFERROR(INDEX('Classif Gestoras'!$H$6:$H$462,MATCH(D3521,'Classif Gestoras'!$A$6:$A$462,0)),"Não classificada")</x:f>
        <x:v>Independente</x:v>
      </x:c>
      <x:c r="F3521" s="166" t="str">
        <x:v>SEFER DTVM</x:v>
      </x:c>
      <x:c r="G3521" s="166" t="str">
        <x:v>SEFER INVESTIMENTOS DISTRIBUIDORA DE TÍTULOS E VALORES MOBILIÁRIOS LTDA.</x:v>
      </x:c>
      <x:c r="H3521" s="166" t="str">
        <x:v>Financeiro</x:v>
      </x:c>
      <x:c r="I3521" s="166" t="str">
        <x:v>Crédito Consignado</x:v>
      </x:c>
      <x:c r="J3521" s="166" t="str">
        <x:v>CI</x:v>
      </x:c>
      <x:c r="K3521" s="172" t="n">
        <x:v>1</x:v>
      </x:c>
      <x:c r="L3521" s="185" t="str">
        <x:v>Não classificado</x:v>
      </x:c>
    </x:row>
    <x:row r="3522">
      <x:c r="A3522" s="175" t="str">
        <x:v>51.313.788/0001-27</x:v>
      </x:c>
      <x:c r="B3522" s="166" t="str">
        <x:v>AV BANCO FUNDO DE INVESTIMENTO EM DIREITOS CREDITÓRIOS</x:v>
      </x:c>
      <x:c r="C3522" s="188" t="n">
        <x:v>0</x:v>
      </x:c>
      <x:c r="D3522" s="166" t="str">
        <x:v>TERCON ASSET MANAGEMENT</x:v>
      </x:c>
      <x:c r="E3522" s="166" t="str">
        <x:f>IFERROR(INDEX('Classif Gestoras'!$H$6:$H$462,MATCH(D3522,'Classif Gestoras'!$A$6:$A$462,0)),"Não classificada")</x:f>
        <x:v>Independente</x:v>
      </x:c>
      <x:c r="F3522" s="166" t="str">
        <x:v>Limine Trust Distribuidora de Titulos e Valores Mobiliá</x:v>
      </x:c>
      <x:c r="G3522" s="166" t="str">
        <x:v>LIMINE TRUST DISTRIBUIDORA DE TITULOS E VALORES MOBILIARIOS LTDA.</x:v>
      </x:c>
      <x:c r="H3522" s="166" t="str">
        <x:v>Agro, Indústria e Comércio</x:v>
      </x:c>
      <x:c r="I3522" s="166" t="str">
        <x:v>Multicarteira Agro, Indústria e Comércio</x:v>
      </x:c>
      <x:c r="J3522" s="166" t="str">
        <x:v>CI</x:v>
      </x:c>
      <x:c r="K3522" s="172" t="n">
        <x:v>3</x:v>
      </x:c>
      <x:c r="L3522" s="185" t="str">
        <x:v>Não classificado</x:v>
      </x:c>
    </x:row>
    <x:row r="3523">
      <x:c r="A3523" s="175" t="str">
        <x:v>54.372.427/0001-40</x:v>
      </x:c>
      <x:c r="B3523" s="166" t="str">
        <x:v>REDVECO CASH FUNDO DE INVESTIMENTO EM DIREITOS CREDITÓRIOS NÃO PADRONIZADOS</x:v>
      </x:c>
      <x:c r="C3523" s="188" t="n">
        <x:v>0</x:v>
      </x:c>
      <x:c r="D3523" s="166" t="str">
        <x:v>REAG PORTFOLIO SOLUTIONS</x:v>
      </x:c>
      <x:c r="E3523" s="166" t="str">
        <x:f>IFERROR(INDEX('Classif Gestoras'!$H$6:$H$462,MATCH(D3523,'Classif Gestoras'!$A$6:$A$462,0)),"Não classificada")</x:f>
        <x:v>Independente</x:v>
      </x:c>
      <x:c r="F3523" s="166" t="str">
        <x:v>REAG DTVM</x:v>
      </x:c>
      <x:c r="G3523" s="166" t="str">
        <x:v>REAG TRUST DISTRIBUIDORA DE TITULOS E VALORES MOBILIARIOS S.A.</x:v>
      </x:c>
      <x:c r="H3523" s="166" t="str">
        <x:v>Outros</x:v>
      </x:c>
      <x:c r="I3523" s="166" t="str">
        <x:v>Multicarteira Outros</x:v>
      </x:c>
      <x:c r="J3523" s="166" t="str">
        <x:v>CI</x:v>
      </x:c>
      <x:c r="K3523" s="172" t="n">
        <x:v>1</x:v>
      </x:c>
      <x:c r="L3523" s="185" t="str">
        <x:v>Não classificado</x:v>
      </x:c>
    </x:row>
    <x:row r="3524">
      <x:c r="A3524" s="175" t="str">
        <x:v>48.963.423/0001-33</x:v>
      </x:c>
      <x:c r="B3524" s="166" t="str">
        <x:v>PINTIA FUNDO DE INVESTIMENTO EM DIREITOS CREDITÓRIOS NÃO PADRONIZADOS</x:v>
      </x:c>
      <x:c r="C3524" s="188" t="n">
        <x:v>0</x:v>
      </x:c>
      <x:c r="D3524" s="166" t="str">
        <x:v>WNT Gestora de Recursos Ltda.</x:v>
      </x:c>
      <x:c r="E3524" s="166" t="str">
        <x:f>IFERROR(INDEX('Classif Gestoras'!$H$6:$H$462,MATCH(D3524,'Classif Gestoras'!$A$6:$A$462,0)),"Não classificada")</x:f>
        <x:v>Independente</x:v>
      </x:c>
      <x:c r="F3524" s="166" t="str">
        <x:v>MASTER S/A CORRETORA</x:v>
      </x:c>
      <x:c r="G3524" s="166" t="str">
        <x:v>MASTER S/A CORRETORA DE CAMBIO, TITULOS E VALORES MOBILIARIOS</x:v>
      </x:c>
      <x:c r="H3524" s="166" t="str">
        <x:v>Outros</x:v>
      </x:c>
      <x:c r="I3524" s="166" t="str">
        <x:v>Multicarteira Outros</x:v>
      </x:c>
      <x:c r="J3524" s="166" t="str">
        <x:v>CI</x:v>
      </x:c>
      <x:c r="K3524" s="172" t="n">
        <x:v>1</x:v>
      </x:c>
      <x:c r="L3524" s="185" t="str">
        <x:v>Não classificado</x:v>
      </x:c>
    </x:row>
    <x:row r="3525">
      <x:c r="A3525" s="175" t="str">
        <x:v>59.333.553/0001-09</x:v>
      </x:c>
      <x:c r="B3525" s="166" t="str">
        <x:v>FUNDO DE INVESTIMENTO EM DIREITOS CREDITÓRIOS CRED FACILE</x:v>
      </x:c>
      <x:c r="C3525" s="188" t="n">
        <x:v>0</x:v>
      </x:c>
      <x:c r="D3525" s="166" t="str">
        <x:v>Blue Solutions</x:v>
      </x:c>
      <x:c r="E3525" s="166" t="str">
        <x:f>IFERROR(INDEX('Classif Gestoras'!$H$6:$H$462,MATCH(D3525,'Classif Gestoras'!$A$6:$A$462,0)),"Não classificada")</x:f>
        <x:v>Independente</x:v>
      </x:c>
      <x:c r="F3525" s="166" t="str">
        <x:v>Banvox DTVM</x:v>
      </x:c>
      <x:c r="G3525" s="166" t="str">
        <x:v>BANVOX DISTRIBUIDORA DE TITULOS E VALORES MOBILIARIOS LTDA</x:v>
      </x:c>
      <x:c r="H3525" s="166" t="str">
        <x:v>Fomento Mercantil</x:v>
      </x:c>
      <x:c r="I3525" s="166" t="str">
        <x:v>Fomento Mercantil</x:v>
      </x:c>
      <x:c r="J3525" s="166" t="str">
        <x:v>CI</x:v>
      </x:c>
      <x:c r="K3525" s="172" t="n">
        <x:v>2</x:v>
      </x:c>
      <x:c r="L3525" s="185" t="str">
        <x:v>Não classificado</x:v>
      </x:c>
    </x:row>
    <x:row r="3526">
      <x:c r="A3526" s="175" t="str">
        <x:v>24.552.987/0001-15</x:v>
      </x:c>
      <x:c r="B3526" s="166" t="str">
        <x:v>NDMP I FUNDO DE INVESTIMENTO EM DIREITOS CREDITÓRIOS</x:v>
      </x:c>
      <x:c r="C3526" s="188" t="n">
        <x:v>0</x:v>
      </x:c>
      <x:c r="D3526" s="166" t="str">
        <x:v>4i Capital Ltda</x:v>
      </x:c>
      <x:c r="E3526" s="166" t="str">
        <x:f>IFERROR(INDEX('Classif Gestoras'!$H$6:$H$462,MATCH(D3526,'Classif Gestoras'!$A$6:$A$462,0)),"Não classificada")</x:f>
        <x:v>Independente</x:v>
      </x:c>
      <x:c r="F3526" s="166" t="str">
        <x:v>REAG DTVM</x:v>
      </x:c>
      <x:c r="G3526" s="166" t="str">
        <x:v>LIMINE TRUST DISTRIBUIDORA DE TITULOS E VALORES MOBILIARIOS LTDA.</x:v>
      </x:c>
      <x:c r="H3526" s="166" t="str">
        <x:v>Financeiro</x:v>
      </x:c>
      <x:c r="I3526" s="166" t="str">
        <x:v>Crédito Consignado</x:v>
      </x:c>
      <x:c r="J3526" s="166" t="str">
        <x:v>CIC</x:v>
      </x:c>
      <x:c r="K3526" s="172" t="n">
        <x:v>21</x:v>
      </x:c>
      <x:c r="L3526" s="185" t="str">
        <x:v>Não classificado</x:v>
      </x:c>
    </x:row>
    <x:row r="3527">
      <x:c r="A3527" s="175" t="str">
        <x:v>51.268.721/0001-18</x:v>
      </x:c>
      <x:c r="B3527" s="166" t="str">
        <x:v>ASSET BANK FUNDO DE INVESTIMENTO EM DIREITOS CREDITORIOS MIDDLE MARKET</x:v>
      </x:c>
      <x:c r="C3527" s="188" t="n">
        <x:v>0</x:v>
      </x:c>
      <x:c r="D3527" s="166" t="str">
        <x:v>ASSET MANAGEMENT</x:v>
      </x:c>
      <x:c r="E3527" s="166" t="str">
        <x:f>IFERROR(INDEX('Classif Gestoras'!$H$6:$H$462,MATCH(D3527,'Classif Gestoras'!$A$6:$A$462,0)),"Não classificada")</x:f>
        <x:v>Independente</x:v>
      </x:c>
      <x:c r="F3527" s="166" t="str">
        <x:v>AZUMI DISTRIBUIDORA DE TÍTULOS E VALORES MOBILIÁRIOS LT</x:v>
      </x:c>
      <x:c r="G3527" s="166" t="str">
        <x:v>AZUMI DISTRIBUIDORA DE TÍTULOS E VALORES MOBILIÁRIOS LTDA.</x:v>
      </x:c>
      <x:c r="H3527" s="166" t="str">
        <x:v>Outros</x:v>
      </x:c>
      <x:c r="I3527" s="166" t="str">
        <x:v>Multicarteira Outros</x:v>
      </x:c>
      <x:c r="J3527" s="166" t="str">
        <x:v>CI</x:v>
      </x:c>
      <x:c r="K3527" s="172" t="n">
        <x:v>0</x:v>
      </x:c>
      <x:c r="L3527" s="185" t="str">
        <x:v>Não classificado</x:v>
      </x:c>
    </x:row>
    <x:row r="3528">
      <x:c r="A3528" s="175" t="str">
        <x:v>30.332.628/0001-55</x:v>
      </x:c>
      <x:c r="B3528" s="166" t="str">
        <x:v>CORTEN FUNDO DE INVESTIMENTO EM DIREITOS CREDITÓRIOS</x:v>
      </x:c>
      <x:c r="C3528" s="188" t="n">
        <x:v>0</x:v>
      </x:c>
      <x:c r="D3528" s="166" t="str">
        <x:v>WNT Gestora de Recursos Ltda.</x:v>
      </x:c>
      <x:c r="E3528" s="166" t="str">
        <x:f>IFERROR(INDEX('Classif Gestoras'!$H$6:$H$462,MATCH(D3528,'Classif Gestoras'!$A$6:$A$462,0)),"Não classificada")</x:f>
        <x:v>Independente</x:v>
      </x:c>
      <x:c r="F3528" s="166" t="str">
        <x:v>REAG DTVM</x:v>
      </x:c>
      <x:c r="G3528" s="166" t="str">
        <x:v>REAG TRUST DISTRIBUIDORA DE TITULOS E VALORES MOBILIARIOS S.A.</x:v>
      </x:c>
      <x:c r="H3528" s="166" t="str">
        <x:v>Outros</x:v>
      </x:c>
      <x:c r="I3528" s="166" t="str">
        <x:v>Multicarteira Outros</x:v>
      </x:c>
      <x:c r="J3528" s="166" t="str">
        <x:v>CI</x:v>
      </x:c>
      <x:c r="K3528" s="172" t="n">
        <x:v>6</x:v>
      </x:c>
      <x:c r="L3528" s="185" t="str">
        <x:v>Não classificado</x:v>
      </x:c>
    </x:row>
    <x:row r="3529">
      <x:c r="A3529" s="175" t="str">
        <x:v>54.349.373/0001-00</x:v>
      </x:c>
      <x:c r="B3529" s="166" t="str">
        <x:v>NORFOLK FUNDO DE INVESTIMENTO EM DIREITOS CREDITÓRIOS</x:v>
      </x:c>
      <x:c r="C3529" s="188" t="n">
        <x:v>0</x:v>
      </x:c>
      <x:c r="D3529" s="166" t="str">
        <x:v>Reag Jus</x:v>
      </x:c>
      <x:c r="E3529" s="166" t="str">
        <x:f>IFERROR(INDEX('Classif Gestoras'!$H$6:$H$462,MATCH(D3529,'Classif Gestoras'!$A$6:$A$462,0)),"Não classificada")</x:f>
        <x:v>Independente</x:v>
      </x:c>
      <x:c r="F3529" s="166" t="str">
        <x:v>REAG DTVM</x:v>
      </x:c>
      <x:c r="G3529" s="166" t="str">
        <x:v>REAG TRUST DISTRIBUIDORA DE TITULOS E VALORES MOBILIARIOS S.A.</x:v>
      </x:c>
      <x:c r="H3529" s="166" t="str">
        <x:v>Outros</x:v>
      </x:c>
      <x:c r="I3529" s="166" t="str">
        <x:v>Multicarteira Outros</x:v>
      </x:c>
      <x:c r="J3529" s="166" t="str">
        <x:v>CI</x:v>
      </x:c>
      <x:c r="K3529" s="172" t="n">
        <x:v>1</x:v>
      </x:c>
      <x:c r="L3529" s="185" t="str">
        <x:v>Não classificado</x:v>
      </x:c>
    </x:row>
    <x:row r="3530">
      <x:c r="A3530" s="175" t="str">
        <x:v>48.983.319/0001-00</x:v>
      </x:c>
      <x:c r="B3530" s="166" t="str">
        <x:v>CNPJ 48983319000100</x:v>
      </x:c>
      <x:c r="C3530" s="188" t="n">
        <x:v>0</x:v>
      </x:c>
      <x:c r="D3530" s="166" t="str">
        <x:v>ALTINVEST</x:v>
      </x:c>
      <x:c r="E3530" s="166" t="str">
        <x:f>IFERROR(INDEX('Classif Gestoras'!$H$6:$H$462,MATCH(D3530,'Classif Gestoras'!$A$6:$A$462,0)),"Não classificada")</x:f>
        <x:v>Independente</x:v>
      </x:c>
      <x:c r="F3530" s="166" t="str">
        <x:v>TRUSTEE DTVM</x:v>
      </x:c>
      <x:c r="G3530" s="166" t="str">
        <x:v>Não identificado</x:v>
      </x:c>
      <x:c r="H3530" s="166" t="str">
        <x:v>Outros</x:v>
      </x:c>
      <x:c r="I3530" s="166" t="str">
        <x:v>Multicarteira Outros</x:v>
      </x:c>
      <x:c r="J3530" s="166" t="str">
        <x:v>CI</x:v>
      </x:c>
      <x:c r="K3530" s="172"/>
      <x:c r="L3530" s="185" t="str">
        <x:v>Não classificado</x:v>
      </x:c>
    </x:row>
    <x:row r="3531">
      <x:c r="A3531" s="175" t="str">
        <x:v>53.294.398/0001-82</x:v>
      </x:c>
      <x:c r="B3531" s="166" t="str">
        <x:v>CNPJ 53294398000182</x:v>
      </x:c>
      <x:c r="C3531" s="188" t="n">
        <x:v>0</x:v>
      </x:c>
      <x:c r="D3531" s="166" t="str">
        <x:v>TRUSTEE DTVM</x:v>
      </x:c>
      <x:c r="E3531" s="166" t="str">
        <x:f>IFERROR(INDEX('Classif Gestoras'!$H$6:$H$462,MATCH(D3531,'Classif Gestoras'!$A$6:$A$462,0)),"Não classificada")</x:f>
        <x:v>Independente</x:v>
      </x:c>
      <x:c r="F3531" s="166" t="str">
        <x:v>TRUSTEE DTVM</x:v>
      </x:c>
      <x:c r="G3531" s="166" t="str">
        <x:v>Não identificado</x:v>
      </x:c>
      <x:c r="H3531" s="166" t="str">
        <x:v>Outros</x:v>
      </x:c>
      <x:c r="I3531" s="166" t="str">
        <x:v>Multicarteira Outros</x:v>
      </x:c>
      <x:c r="J3531" s="166" t="str">
        <x:v>CI</x:v>
      </x:c>
      <x:c r="K3531" s="172"/>
      <x:c r="L3531" s="185" t="str">
        <x:v>Não classificado</x:v>
      </x:c>
    </x:row>
    <x:row r="3532">
      <x:c r="A3532" s="175" t="str">
        <x:v>24.080.647/0001-39</x:v>
      </x:c>
      <x:c r="B3532" s="166" t="str">
        <x:v>AGA FUNDO DE INVESTIMENTO EM DIREITOS CREDITÓRIOS NÃO-PADRONIZADOS MULTISSETORIAL</x:v>
      </x:c>
      <x:c r="C3532" s="188" t="n">
        <x:v>0</x:v>
      </x:c>
      <x:c r="D3532" s="166" t="str">
        <x:v>OURO PRETO INVESTIMENTOS</x:v>
      </x:c>
      <x:c r="E3532" s="166" t="str">
        <x:f>IFERROR(INDEX('Classif Gestoras'!$H$6:$H$462,MATCH(D3532,'Classif Gestoras'!$A$6:$A$462,0)),"Não classificada")</x:f>
        <x:v>Independente</x:v>
      </x:c>
      <x:c r="F3532" s="166" t="str">
        <x:v>Limine Trust Distribuidora de Titulos e Valores Mobiliá</x:v>
      </x:c>
      <x:c r="G3532" s="166" t="str">
        <x:v>LIMINE TRUST DISTRIBUIDORA DE TITULOS E VALORES MOBILIARIOS LTDA.</x:v>
      </x:c>
      <x:c r="H3532" s="166" t="str">
        <x:v>Fomento Mercantil</x:v>
      </x:c>
      <x:c r="I3532" s="166" t="str">
        <x:v>Fomento Mercantil</x:v>
      </x:c>
      <x:c r="J3532" s="166" t="str">
        <x:v>CI</x:v>
      </x:c>
      <x:c r="K3532" s="172" t="n">
        <x:v>1</x:v>
      </x:c>
      <x:c r="L3532" s="185" t="str">
        <x:v>Não classificado</x:v>
      </x:c>
    </x:row>
    <x:row r="3533">
      <x:c r="A3533" s="175" t="str">
        <x:v>54.332.890/0001-68</x:v>
      </x:c>
      <x:c r="B3533" s="166" t="str">
        <x:v>XENON FUNDO DE INVESTIMENTO EM DIREITOS CREDITÓRIOS NÃO PADRONIZADOS</x:v>
      </x:c>
      <x:c r="C3533" s="188" t="n">
        <x:v>0</x:v>
      </x:c>
      <x:c r="D3533" s="166" t="str">
        <x:v>Reag Jus</x:v>
      </x:c>
      <x:c r="E3533" s="166" t="str">
        <x:f>IFERROR(INDEX('Classif Gestoras'!$H$6:$H$462,MATCH(D3533,'Classif Gestoras'!$A$6:$A$462,0)),"Não classificada")</x:f>
        <x:v>Independente</x:v>
      </x:c>
      <x:c r="F3533" s="166" t="str">
        <x:v>REAG DTVM</x:v>
      </x:c>
      <x:c r="G3533" s="166" t="str">
        <x:v>REAG TRUST DISTRIBUIDORA DE TITULOS E VALORES MOBILIARIOS S.A.</x:v>
      </x:c>
      <x:c r="H3533" s="166" t="str">
        <x:v>Outros</x:v>
      </x:c>
      <x:c r="I3533" s="166" t="str">
        <x:v>Multicarteira Outros</x:v>
      </x:c>
      <x:c r="J3533" s="166" t="str">
        <x:v>CI</x:v>
      </x:c>
      <x:c r="K3533" s="172" t="n">
        <x:v>1</x:v>
      </x:c>
      <x:c r="L3533" s="185" t="str">
        <x:v>Não classificado</x:v>
      </x:c>
    </x:row>
    <x:row r="3534">
      <x:c r="A3534" s="175" t="str">
        <x:v>49.087.632/0001-23</x:v>
      </x:c>
      <x:c r="B3534" s="166" t="str">
        <x:v>SALVADOR CAPITAL FUNDO DE INVESTIMENTO EM DIREITOS CREDITÓRIOS</x:v>
      </x:c>
      <x:c r="C3534" s="188" t="n">
        <x:v>0</x:v>
      </x:c>
      <x:c r="D3534" s="166" t="str">
        <x:v>OURO PRETO INVESTIMENTOS</x:v>
      </x:c>
      <x:c r="E3534" s="166" t="str">
        <x:f>IFERROR(INDEX('Classif Gestoras'!$H$6:$H$462,MATCH(D3534,'Classif Gestoras'!$A$6:$A$462,0)),"Não classificada")</x:f>
        <x:v>Independente</x:v>
      </x:c>
      <x:c r="F3534" s="166" t="str">
        <x:v>Limine Trust Distribuidora de Titulos e Valores Mobiliá</x:v>
      </x:c>
      <x:c r="G3534" s="166" t="str">
        <x:v>Não identificado</x:v>
      </x:c>
      <x:c r="H3534" s="166" t="str">
        <x:v>Outros</x:v>
      </x:c>
      <x:c r="I3534" s="166" t="str">
        <x:v>Multicarteira Outros</x:v>
      </x:c>
      <x:c r="J3534" s="166" t="str">
        <x:v>CI</x:v>
      </x:c>
      <x:c r="K3534" s="172" t="n">
        <x:v>0</x:v>
      </x:c>
      <x:c r="L3534" s="185" t="str">
        <x:v>Não classificado</x:v>
      </x:c>
    </x:row>
    <x:row r="3535">
      <x:c r="A3535" s="175" t="str">
        <x:v>49.124.193/0001-81</x:v>
      </x:c>
      <x:c r="B3535" s="166" t="str">
        <x:v>MTPAR FUNDO DE INVESTIMENTO EM DIREITOS CREDITÓRIOS NÃO-PADRONIZADO</x:v>
      </x:c>
      <x:c r="C3535" s="188" t="n">
        <x:v>0</x:v>
      </x:c>
      <x:c r="D3535" s="166" t="str">
        <x:v>Reag Administradora de Recursos Ltda</x:v>
      </x:c>
      <x:c r="E3535" s="166" t="str">
        <x:f>IFERROR(INDEX('Classif Gestoras'!$H$6:$H$462,MATCH(D3535,'Classif Gestoras'!$A$6:$A$462,0)),"Não classificada")</x:f>
        <x:v>Independente</x:v>
      </x:c>
      <x:c r="F3535" s="166" t="str">
        <x:v>REAG DTVM</x:v>
      </x:c>
      <x:c r="G3535" s="166" t="str">
        <x:v>REAG TRUST DISTRIBUIDORA DE TITULOS E VALORES MOBILIARIOS S.A.</x:v>
      </x:c>
      <x:c r="H3535" s="166" t="str">
        <x:v>Outros</x:v>
      </x:c>
      <x:c r="I3535" s="166" t="str">
        <x:v>Multicarteira Outros</x:v>
      </x:c>
      <x:c r="J3535" s="166" t="str">
        <x:v>CI</x:v>
      </x:c>
      <x:c r="K3535" s="172" t="n">
        <x:v>1</x:v>
      </x:c>
      <x:c r="L3535" s="185" t="str">
        <x:v>Não classificado</x:v>
      </x:c>
    </x:row>
    <x:row r="3536">
      <x:c r="A3536" s="175" t="str">
        <x:v>49.161.166/0001-89</x:v>
      </x:c>
      <x:c r="B3536" s="166" t="str">
        <x:v>CNPJ 49161166000189</x:v>
      </x:c>
      <x:c r="C3536" s="188" t="n">
        <x:v>0</x:v>
      </x:c>
      <x:c r="D3536" s="166" t="str">
        <x:v>Reag Administradora de Recursos Ltda</x:v>
      </x:c>
      <x:c r="E3536" s="166" t="str">
        <x:f>IFERROR(INDEX('Classif Gestoras'!$H$6:$H$462,MATCH(D3536,'Classif Gestoras'!$A$6:$A$462,0)),"Não classificada")</x:f>
        <x:v>Independente</x:v>
      </x:c>
      <x:c r="F3536" s="166" t="str">
        <x:v>REAG DTVM</x:v>
      </x:c>
      <x:c r="G3536" s="166" t="str">
        <x:v>Não identificado</x:v>
      </x:c>
      <x:c r="H3536" s="166" t="str">
        <x:v>Outros</x:v>
      </x:c>
      <x:c r="I3536" s="166" t="str">
        <x:v>Multicarteira Outros</x:v>
      </x:c>
      <x:c r="J3536" s="166" t="str">
        <x:v>CI</x:v>
      </x:c>
      <x:c r="K3536" s="172"/>
      <x:c r="L3536" s="185" t="str">
        <x:v>Não classificado</x:v>
      </x:c>
    </x:row>
    <x:row r="3537">
      <x:c r="A3537" s="175" t="str">
        <x:v>09.194.841/0001-51</x:v>
      </x:c>
      <x:c r="B3537" s="166" t="str">
        <x:v>ATLÂNTICO FUNDO DE INVESTIMENTO EM DIREITOS CREDITÓRIOS RESPONSABILIDADE LIMITADA</x:v>
      </x:c>
      <x:c r="C3537" s="188" t="n">
        <x:v>0</x:v>
      </x:c>
      <x:c r="D3537" s="166" t="str">
        <x:v>Hyperion</x:v>
      </x:c>
      <x:c r="E3537" s="166" t="str">
        <x:f>IFERROR(INDEX('Classif Gestoras'!$H$6:$H$462,MATCH(D3537,'Classif Gestoras'!$A$6:$A$462,0)),"Não classificada")</x:f>
        <x:v>Independente</x:v>
      </x:c>
      <x:c r="F3537" s="166" t="str">
        <x:v>SEFER DTVM</x:v>
      </x:c>
      <x:c r="G3537" s="166" t="str">
        <x:v>ID CORRETORA DE TITULOS E VALORES MOBILIARIOS S.A.</x:v>
      </x:c>
      <x:c r="H3537" s="166" t="str">
        <x:v>Outros</x:v>
      </x:c>
      <x:c r="I3537" s="166" t="str">
        <x:v>Multicarteira Outros</x:v>
      </x:c>
      <x:c r="J3537" s="166" t="str">
        <x:v>CI</x:v>
      </x:c>
      <x:c r="K3537" s="172" t="n">
        <x:v>1</x:v>
      </x:c>
      <x:c r="L3537" s="185" t="str">
        <x:v>Não classificado</x:v>
      </x:c>
    </x:row>
    <x:row r="3538">
      <x:c r="A3538" s="175" t="str">
        <x:v>49.223.648/0001-16</x:v>
      </x:c>
      <x:c r="B3538" s="166" t="str">
        <x:v>PHILADELPHIA FUNDO DE INVESTIMENTO EM DIREITOS CREDITÓRIOS NÃOPADRONIZADOS RESPONSABILIDADE LIMITADA</x:v>
      </x:c>
      <x:c r="C3538" s="188" t="n">
        <x:v>0</x:v>
      </x:c>
      <x:c r="D3538" s="166" t="str">
        <x:v>IDGR</x:v>
      </x:c>
      <x:c r="E3538" s="166" t="str">
        <x:f>IFERROR(INDEX('Classif Gestoras'!$H$6:$H$462,MATCH(D3538,'Classif Gestoras'!$A$6:$A$462,0)),"Não classificada")</x:f>
        <x:v>Independente</x:v>
      </x:c>
      <x:c r="F3538" s="166" t="str">
        <x:v>ID Corretora de Títulos e Valores Mobiliários S.A.</x:v>
      </x:c>
      <x:c r="G3538" s="166" t="str">
        <x:v>ID CORRETORA DE TITULOS E VALORES MOBILIARIOS S.A.</x:v>
      </x:c>
      <x:c r="H3538" s="166" t="str">
        <x:v>Outros</x:v>
      </x:c>
      <x:c r="I3538" s="166" t="str">
        <x:v>Multicarteira Outros</x:v>
      </x:c>
      <x:c r="J3538" s="166" t="str">
        <x:v>CI</x:v>
      </x:c>
      <x:c r="K3538" s="172" t="n">
        <x:v>0</x:v>
      </x:c>
      <x:c r="L3538" s="185" t="str">
        <x:v>Não classificado</x:v>
      </x:c>
    </x:row>
    <x:row r="3539">
      <x:c r="A3539" s="175" t="str">
        <x:v>25.166.362/0001-88</x:v>
      </x:c>
      <x:c r="B3539" s="166" t="str">
        <x:v>CNPJ 25166362000188</x:v>
      </x:c>
      <x:c r="C3539" s="188" t="n">
        <x:v>0</x:v>
      </x:c>
      <x:c r="D3539" s="166" t="str">
        <x:v>TRUSTEE DTVM</x:v>
      </x:c>
      <x:c r="E3539" s="166" t="str">
        <x:f>IFERROR(INDEX('Classif Gestoras'!$H$6:$H$462,MATCH(D3539,'Classif Gestoras'!$A$6:$A$462,0)),"Não classificada")</x:f>
        <x:v>Independente</x:v>
      </x:c>
      <x:c r="F3539" s="166" t="str">
        <x:v>TRUSTEE DTVM</x:v>
      </x:c>
      <x:c r="G3539" s="166" t="str">
        <x:v>Não identificado</x:v>
      </x:c>
      <x:c r="H3539" s="166" t="str">
        <x:v>Outros</x:v>
      </x:c>
      <x:c r="I3539" s="166" t="str">
        <x:v>Multiestratégia</x:v>
      </x:c>
      <x:c r="J3539" s="166" t="str">
        <x:v>CI</x:v>
      </x:c>
      <x:c r="K3539" s="172"/>
      <x:c r="L3539" s="185" t="str">
        <x:v>Não classificado</x:v>
      </x:c>
    </x:row>
    <x:row r="3540">
      <x:c r="A3540" s="175" t="str">
        <x:v>40.730.321/0001-66</x:v>
      </x:c>
      <x:c r="B3540" s="166" t="str">
        <x:v>CNPJ 40730321000166</x:v>
      </x:c>
      <x:c r="C3540" s="188" t="n">
        <x:v>0</x:v>
      </x:c>
      <x:c r="D3540" s="166" t="str">
        <x:v>Iron Capital</x:v>
      </x:c>
      <x:c r="E3540" s="166" t="str">
        <x:f>IFERROR(INDEX('Classif Gestoras'!$H$6:$H$462,MATCH(D3540,'Classif Gestoras'!$A$6:$A$462,0)),"Não classificada")</x:f>
        <x:v>Independente</x:v>
      </x:c>
      <x:c r="F3540" s="166" t="str">
        <x:v>TRUSTEE DTVM</x:v>
      </x:c>
      <x:c r="G3540" s="166" t="str">
        <x:v>Não identificado</x:v>
      </x:c>
      <x:c r="H3540" s="166" t="str">
        <x:v>Outros</x:v>
      </x:c>
      <x:c r="I3540" s="166" t="str">
        <x:v>Multicarteira Outros</x:v>
      </x:c>
      <x:c r="J3540" s="166" t="str">
        <x:v>CI</x:v>
      </x:c>
      <x:c r="K3540" s="172"/>
      <x:c r="L3540" s="185" t="str">
        <x:v>Não classificado</x:v>
      </x:c>
    </x:row>
    <x:row r="3541">
      <x:c r="A3541" s="175" t="str">
        <x:v>26.913.825/0001-90</x:v>
      </x:c>
      <x:c r="B3541" s="166" t="str">
        <x:v>PRIMEMAX FUNDO DE INVESTIMENTO EM DIREITO CREDITÓRIO FINANCEIRO</x:v>
      </x:c>
      <x:c r="C3541" s="188" t="n">
        <x:v>0</x:v>
      </x:c>
      <x:c r="D3541" s="166" t="str">
        <x:v>OURO PRETO INVESTIMENTOS</x:v>
      </x:c>
      <x:c r="E3541" s="166" t="str">
        <x:f>IFERROR(INDEX('Classif Gestoras'!$H$6:$H$462,MATCH(D3541,'Classif Gestoras'!$A$6:$A$462,0)),"Não classificada")</x:f>
        <x:v>Independente</x:v>
      </x:c>
      <x:c r="F3541" s="166" t="str">
        <x:v>Limine Trust Distribuidora de Titulos e Valores Mobiliá</x:v>
      </x:c>
      <x:c r="G3541" s="166" t="str">
        <x:v>LIMINE TRUST DISTRIBUIDORA DE TITULOS E VALORES MOBILIARIOS LTDA.</x:v>
      </x:c>
      <x:c r="H3541" s="166" t="str">
        <x:v>Agro, Indústria e Comércio</x:v>
      </x:c>
      <x:c r="I3541" s="166" t="str">
        <x:v>Recebíveis Comerciais</x:v>
      </x:c>
      <x:c r="J3541" s="166" t="str">
        <x:v>CI</x:v>
      </x:c>
      <x:c r="K3541" s="172" t="n">
        <x:v>0</x:v>
      </x:c>
      <x:c r="L3541" s="185" t="str">
        <x:v>Não classificado</x:v>
      </x:c>
    </x:row>
    <x:row r="3542">
      <x:c r="A3542" s="175" t="str">
        <x:v>54.326.875/0001-07</x:v>
      </x:c>
      <x:c r="B3542" s="166" t="str">
        <x:v>CNPJ 54326875000107</x:v>
      </x:c>
      <x:c r="C3542" s="188" t="n">
        <x:v>0</x:v>
      </x:c>
      <x:c r="D3542" s="166" t="str">
        <x:v>Möbius Capital</x:v>
      </x:c>
      <x:c r="E3542" s="166" t="str">
        <x:f>IFERROR(INDEX('Classif Gestoras'!$H$6:$H$462,MATCH(D3542,'Classif Gestoras'!$A$6:$A$462,0)),"Não classificada")</x:f>
        <x:v>Independente</x:v>
      </x:c>
      <x:c r="F3542" s="166" t="str">
        <x:v>BANCO DAYCOVAL S/A</x:v>
      </x:c>
      <x:c r="G3542" s="166" t="str">
        <x:v>Não identificado</x:v>
      </x:c>
      <x:c r="H3542" s="166" t="str">
        <x:v>Agro, Indústria e Comércio</x:v>
      </x:c>
      <x:c r="I3542" s="166" t="str">
        <x:v>Não se aplica</x:v>
      </x:c>
      <x:c r="J3542" s="166" t="str">
        <x:v>CI</x:v>
      </x:c>
      <x:c r="K3542" s="172"/>
      <x:c r="L3542" s="185" t="str">
        <x:v>Não classificado</x:v>
      </x:c>
    </x:row>
    <x:row r="3543">
      <x:c r="A3543" s="175" t="str">
        <x:v>40.727.523/0001-59</x:v>
      </x:c>
      <x:c r="B3543" s="166" t="str">
        <x:v>FOUR CREDIT FUNDO DE INVESTIMENTO EM DIREITOS CREDITÓRIOS</x:v>
      </x:c>
      <x:c r="C3543" s="188" t="n">
        <x:v>0</x:v>
      </x:c>
      <x:c r="D3543" s="166" t="str">
        <x:v>TERCON ASSET MANAGEMENT</x:v>
      </x:c>
      <x:c r="E3543" s="166" t="str">
        <x:f>IFERROR(INDEX('Classif Gestoras'!$H$6:$H$462,MATCH(D3543,'Classif Gestoras'!$A$6:$A$462,0)),"Não classificada")</x:f>
        <x:v>Independente</x:v>
      </x:c>
      <x:c r="F3543" s="166" t="str">
        <x:v>Singulare</x:v>
      </x:c>
      <x:c r="G3543" s="166" t="str">
        <x:v>QI CORRETORA DE TÍTULOS E VALORES MOBILIÁRIOS S.A.</x:v>
      </x:c>
      <x:c r="H3543" s="166" t="str">
        <x:v>Fomento Mercantil</x:v>
      </x:c>
      <x:c r="I3543" s="166" t="str">
        <x:v>Fomento Mercantil</x:v>
      </x:c>
      <x:c r="J3543" s="166" t="str">
        <x:v>CI</x:v>
      </x:c>
      <x:c r="K3543" s="172" t="n">
        <x:v>0</x:v>
      </x:c>
      <x:c r="L3543" s="185" t="str">
        <x:v>Não classificado</x:v>
      </x:c>
    </x:row>
    <x:row r="3544">
      <x:c r="A3544" s="175" t="str">
        <x:v>62.447.201/0001-99</x:v>
      </x:c>
      <x:c r="B3544" s="166" t="str">
        <x:v>CNPJ 62447201000199</x:v>
      </x:c>
      <x:c r="C3544" s="188" t="n">
        <x:v>0</x:v>
      </x:c>
      <x:c r="D3544" s="166" t="str">
        <x:v>Blue Solutions</x:v>
      </x:c>
      <x:c r="E3544" s="166" t="str">
        <x:f>IFERROR(INDEX('Classif Gestoras'!$H$6:$H$462,MATCH(D3544,'Classif Gestoras'!$A$6:$A$462,0)),"Não classificada")</x:f>
        <x:v>Independente</x:v>
      </x:c>
      <x:c r="F3544" s="166" t="str">
        <x:v>Banvox DTVM</x:v>
      </x:c>
      <x:c r="G3544" s="166" t="str">
        <x:v>Não identificado</x:v>
      </x:c>
      <x:c r="H3544" s="166" t="str">
        <x:v>Outros</x:v>
      </x:c>
      <x:c r="I3544" s="166" t="str">
        <x:v>Multicarteira Outros</x:v>
      </x:c>
      <x:c r="J3544" s="166" t="str">
        <x:v>CI</x:v>
      </x:c>
      <x:c r="K3544" s="172"/>
      <x:c r="L3544" s="185" t="str">
        <x:v>Não classificado</x:v>
      </x:c>
    </x:row>
    <x:row r="3545">
      <x:c r="A3545" s="175" t="str">
        <x:v>54.373.367/0001-80</x:v>
      </x:c>
      <x:c r="B3545" s="166" t="str">
        <x:v>REVEE CASH FUNDO DE INVESTIMENTO EM DIREITOS CREDITÓRIOS NÃO PADRONIZADOS</x:v>
      </x:c>
      <x:c r="C3545" s="188" t="n">
        <x:v>0</x:v>
      </x:c>
      <x:c r="D3545" s="166" t="str">
        <x:v>REAG PORTFOLIO SOLUTIONS</x:v>
      </x:c>
      <x:c r="E3545" s="166" t="str">
        <x:f>IFERROR(INDEX('Classif Gestoras'!$H$6:$H$462,MATCH(D3545,'Classif Gestoras'!$A$6:$A$462,0)),"Não classificada")</x:f>
        <x:v>Independente</x:v>
      </x:c>
      <x:c r="F3545" s="166" t="str">
        <x:v>REAG DTVM</x:v>
      </x:c>
      <x:c r="G3545" s="166" t="str">
        <x:v>REAG TRUST DISTRIBUIDORA DE TITULOS E VALORES MOBILIARIOS S.A.</x:v>
      </x:c>
      <x:c r="H3545" s="166" t="str">
        <x:v>Outros</x:v>
      </x:c>
      <x:c r="I3545" s="166" t="str">
        <x:v>Multicarteira Outros</x:v>
      </x:c>
      <x:c r="J3545" s="166" t="str">
        <x:v>CI</x:v>
      </x:c>
      <x:c r="K3545" s="172" t="n">
        <x:v>1</x:v>
      </x:c>
      <x:c r="L3545" s="185" t="str">
        <x:v>Não classificado</x:v>
      </x:c>
    </x:row>
    <x:row r="3546">
      <x:c r="A3546" s="175" t="str">
        <x:v>54.389.751/0001-70</x:v>
      </x:c>
      <x:c r="B3546" s="166" t="str">
        <x:v>ÁRTICO DISTRESSED MULTIESTRATÉGIA FUNDO DE INVESTIMENTO EM DIREITOS CREDITÓRIOS NÃO PADRONIZADOS</x:v>
      </x:c>
      <x:c r="C3546" s="188" t="n">
        <x:v>0</x:v>
      </x:c>
      <x:c r="D3546" s="166" t="str">
        <x:v>TERCON ASSET MANAGEMENT</x:v>
      </x:c>
      <x:c r="E3546" s="166" t="str">
        <x:f>IFERROR(INDEX('Classif Gestoras'!$H$6:$H$462,MATCH(D3546,'Classif Gestoras'!$A$6:$A$462,0)),"Não classificada")</x:f>
        <x:v>Independente</x:v>
      </x:c>
      <x:c r="F3546" s="166" t="str">
        <x:v>MASTER S/A CORRETORA</x:v>
      </x:c>
      <x:c r="G3546" s="166" t="str">
        <x:v>QORE DISTRIBUIDORA DE TÍTULOS E VALORES MOBILIÁRIOS LTDA.</x:v>
      </x:c>
      <x:c r="H3546" s="166" t="str">
        <x:v>Outros</x:v>
      </x:c>
      <x:c r="I3546" s="166" t="str">
        <x:v>Multicarteira Outros</x:v>
      </x:c>
      <x:c r="J3546" s="166" t="str">
        <x:v>CI</x:v>
      </x:c>
      <x:c r="K3546" s="172" t="n">
        <x:v>1</x:v>
      </x:c>
      <x:c r="L3546" s="185" t="str">
        <x:v>Não classificado</x:v>
      </x:c>
    </x:row>
    <x:row r="3547">
      <x:c r="A3547" s="175" t="str">
        <x:v>48.213.143/0001-08</x:v>
      </x:c>
      <x:c r="B3547" s="166" t="str">
        <x:v>AXIUM CAPITAL FUNDO DE INVESTIMENTO EM DIREITOS CREDITÓRIOS NP - RESPONSABILIDADE LIMITADA</x:v>
      </x:c>
      <x:c r="C3547" s="188" t="n">
        <x:v>0</x:v>
      </x:c>
      <x:c r="D3547" s="166" t="str">
        <x:v>BURITI INVESTIMENTOS</x:v>
      </x:c>
      <x:c r="E3547" s="166" t="str">
        <x:f>IFERROR(INDEX('Classif Gestoras'!$H$6:$H$462,MATCH(D3547,'Classif Gestoras'!$A$6:$A$462,0)),"Não classificada")</x:f>
        <x:v>Independente</x:v>
      </x:c>
      <x:c r="F3547" s="166" t="str">
        <x:v>AZUMI DISTRIBUIDORA DE TÍTULOS E VALORES MOBILIÁRIOS LT</x:v>
      </x:c>
      <x:c r="G3547" s="166" t="str">
        <x:v>BARU DISTRIBUIDORA DE TÍTULOS E VALORES MOBILIÁRIOS LTDA.</x:v>
      </x:c>
      <x:c r="H3547" s="166" t="str">
        <x:v>Outros</x:v>
      </x:c>
      <x:c r="I3547" s="166" t="str">
        <x:v>Multicarteira Outros</x:v>
      </x:c>
      <x:c r="J3547" s="166" t="str">
        <x:v>CI</x:v>
      </x:c>
      <x:c r="K3547" s="172" t="n">
        <x:v>7</x:v>
      </x:c>
      <x:c r="L3547" s="185" t="str">
        <x:v>Não classificado</x:v>
      </x:c>
    </x:row>
    <x:row r="3548">
      <x:c r="A3548" s="175" t="str">
        <x:v>34.475.973/0001-07</x:v>
      </x:c>
      <x:c r="B3548" s="166" t="str">
        <x:v>CNPJ 34475973000107</x:v>
      </x:c>
      <x:c r="C3548" s="188" t="n">
        <x:v>0</x:v>
      </x:c>
      <x:c r="D3548" s="166" t="str">
        <x:v>REAG GESTÃO DE CRÉDITO</x:v>
      </x:c>
      <x:c r="E3548" s="166" t="str">
        <x:f>IFERROR(INDEX('Classif Gestoras'!$H$6:$H$462,MATCH(D3548,'Classif Gestoras'!$A$6:$A$462,0)),"Não classificada")</x:f>
        <x:v>Independente</x:v>
      </x:c>
      <x:c r="F3548" s="166" t="str">
        <x:v>Banvox DTVM</x:v>
      </x:c>
      <x:c r="G3548" s="166" t="str">
        <x:v>Não identificado</x:v>
      </x:c>
      <x:c r="H3548" s="166" t="str">
        <x:v>Financeiro</x:v>
      </x:c>
      <x:c r="I3548" s="166" t="str">
        <x:v>Financiamento de Veículos</x:v>
      </x:c>
      <x:c r="J3548" s="166" t="str">
        <x:v>CI</x:v>
      </x:c>
      <x:c r="K3548" s="172"/>
      <x:c r="L3548" s="185" t="str">
        <x:v>Não classificado</x:v>
      </x:c>
    </x:row>
    <x:row r="3549">
      <x:c r="A3549" s="175" t="str">
        <x:v>58.056.955/0001-40</x:v>
      </x:c>
      <x:c r="B3549" s="166" t="str">
        <x:v>CNPJ 58056955000140</x:v>
      </x:c>
      <x:c r="C3549" s="188" t="n">
        <x:v>0</x:v>
      </x:c>
      <x:c r="D3549" s="166" t="str">
        <x:v>Galápagos</x:v>
      </x:c>
      <x:c r="E3549" s="166" t="str">
        <x:f>IFERROR(INDEX('Classif Gestoras'!$H$6:$H$462,MATCH(D3549,'Classif Gestoras'!$A$6:$A$462,0)),"Não classificada")</x:f>
        <x:v>Independente</x:v>
      </x:c>
      <x:c r="F3549" s="166" t="str">
        <x:v>VÓRTX DTVM</x:v>
      </x:c>
      <x:c r="G3549" s="166" t="str">
        <x:v>Não identificado</x:v>
      </x:c>
      <x:c r="H3549" s="166" t="str">
        <x:v>Agro, Indústria e Comércio</x:v>
      </x:c>
      <x:c r="I3549" s="166" t="str">
        <x:v>Não se aplica</x:v>
      </x:c>
      <x:c r="J3549" s="166" t="str">
        <x:v>CI</x:v>
      </x:c>
      <x:c r="K3549" s="172"/>
      <x:c r="L3549" s="185" t="str">
        <x:v>Não classificado</x:v>
      </x:c>
    </x:row>
    <x:row r="3550">
      <x:c r="A3550" s="175" t="str">
        <x:v>23.773.301/0001-53</x:v>
      </x:c>
      <x:c r="B3550" s="166" t="str">
        <x:v>CNPJ 23773301000153</x:v>
      </x:c>
      <x:c r="C3550" s="188" t="n">
        <x:v>0</x:v>
      </x:c>
      <x:c r="D3550" s="166" t="str">
        <x:v>ANGÁ ASSET MANAGEMENT</x:v>
      </x:c>
      <x:c r="E3550" s="166" t="str">
        <x:f>IFERROR(INDEX('Classif Gestoras'!$H$6:$H$462,MATCH(D3550,'Classif Gestoras'!$A$6:$A$462,0)),"Não classificada")</x:f>
        <x:v>Independente</x:v>
      </x:c>
      <x:c r="F3550" s="166" t="str">
        <x:v>NECTON INVESTIMENTOS</x:v>
      </x:c>
      <x:c r="G3550" s="166" t="str">
        <x:v>Não identificado</x:v>
      </x:c>
      <x:c r="H3550" s="166" t="str">
        <x:v>Financeiro</x:v>
      </x:c>
      <x:c r="I3550" s="166" t="str">
        <x:v>Crédito Consignado</x:v>
      </x:c>
      <x:c r="J3550" s="166" t="str">
        <x:v>CI</x:v>
      </x:c>
      <x:c r="K3550" s="172"/>
      <x:c r="L3550" s="185" t="str">
        <x:v>Não classificado</x:v>
      </x:c>
    </x:row>
    <x:row r="3551">
      <x:c r="A3551" s="175" t="str">
        <x:v>54.503.197/0001-00</x:v>
      </x:c>
      <x:c r="B3551" s="166" t="str">
        <x:v>GANDRIA FUNDO DE INVESTIMENTO EM DIREITOS CREDITÓRIOS NÃO-PADRONIZADOS</x:v>
      </x:c>
      <x:c r="C3551" s="188" t="n">
        <x:v>0</x:v>
      </x:c>
      <x:c r="D3551" s="166" t="str">
        <x:v>4i Capital Ltda</x:v>
      </x:c>
      <x:c r="E3551" s="166" t="str">
        <x:f>IFERROR(INDEX('Classif Gestoras'!$H$6:$H$462,MATCH(D3551,'Classif Gestoras'!$A$6:$A$462,0)),"Não classificada")</x:f>
        <x:v>Independente</x:v>
      </x:c>
      <x:c r="F3551" s="166" t="str">
        <x:v>Finvest Digital</x:v>
      </x:c>
      <x:c r="G3551" s="166" t="str">
        <x:v>REAG TRUST DISTRIBUIDORA DE TITULOS E VALORES MOBILIARIOS S.A.</x:v>
      </x:c>
      <x:c r="H3551" s="166" t="str">
        <x:v>Outros</x:v>
      </x:c>
      <x:c r="I3551" s="166" t="str">
        <x:v>Multicarteira Outros</x:v>
      </x:c>
      <x:c r="J3551" s="166" t="str">
        <x:v>CI</x:v>
      </x:c>
      <x:c r="K3551" s="172" t="n">
        <x:v>1</x:v>
      </x:c>
      <x:c r="L3551" s="185" t="str">
        <x:v>Não classificado</x:v>
      </x:c>
    </x:row>
    <x:row r="3552">
      <x:c r="A3552" s="175" t="str">
        <x:v>62.874.327/0001-40</x:v>
      </x:c>
      <x:c r="B3552" s="166" t="str">
        <x:v>IC NAXOS FUNDO DE INVESTIMENTO EM DIREITOS CREDITÓRIOS</x:v>
      </x:c>
      <x:c r="C3552" s="188" t="n">
        <x:v>0</x:v>
      </x:c>
      <x:c r="D3552" s="166" t="str">
        <x:v>Iron Capital</x:v>
      </x:c>
      <x:c r="E3552" s="166" t="str">
        <x:f>IFERROR(INDEX('Classif Gestoras'!$H$6:$H$462,MATCH(D3552,'Classif Gestoras'!$A$6:$A$462,0)),"Não classificada")</x:f>
        <x:v>Independente</x:v>
      </x:c>
      <x:c r="F3552" s="166" t="str">
        <x:v>SEFER DTVM</x:v>
      </x:c>
      <x:c r="G3552" s="166" t="str">
        <x:v>SEFER INVESTIMENTOS DISTRIBUIDORA DE TÍTULOS E VALORES MOBILIÁRIOS LTDA.</x:v>
      </x:c>
      <x:c r="H3552" s="166" t="str">
        <x:v>Outros</x:v>
      </x:c>
      <x:c r="I3552" s="166" t="str">
        <x:v>Multicarteira Outros</x:v>
      </x:c>
      <x:c r="J3552" s="166" t="str">
        <x:v>CI</x:v>
      </x:c>
      <x:c r="K3552" s="172" t="n">
        <x:v>3</x:v>
      </x:c>
      <x:c r="L3552" s="185" t="str">
        <x:v>Não classificado</x:v>
      </x:c>
    </x:row>
    <x:row r="3553">
      <x:c r="A3553" s="175" t="str">
        <x:v>58.073.424/0001-66</x:v>
      </x:c>
      <x:c r="B3553" s="166" t="str">
        <x:v>BACO FUNDO DE INVESTIMENTO EM DIREITOS CREDITÓRIOS</x:v>
      </x:c>
      <x:c r="C3553" s="188" t="n">
        <x:v>0</x:v>
      </x:c>
      <x:c r="D3553" s="166" t="str">
        <x:v>Reag Administradora de Recursos Ltda</x:v>
      </x:c>
      <x:c r="E3553" s="166" t="str">
        <x:f>IFERROR(INDEX('Classif Gestoras'!$H$6:$H$462,MATCH(D3553,'Classif Gestoras'!$A$6:$A$462,0)),"Não classificada")</x:f>
        <x:v>Independente</x:v>
      </x:c>
      <x:c r="F3553" s="166" t="str">
        <x:v>REAG DTVM</x:v>
      </x:c>
      <x:c r="G3553" s="166" t="str">
        <x:v>REAG TRUST DISTRIBUIDORA DE TITULOS E VALORES MOBILIARIOS S.A.</x:v>
      </x:c>
      <x:c r="H3553" s="166" t="str">
        <x:v>Financeiro</x:v>
      </x:c>
      <x:c r="I3553" s="166" t="str">
        <x:v>Multicarteira Financeiro</x:v>
      </x:c>
      <x:c r="J3553" s="166" t="str">
        <x:v>CI</x:v>
      </x:c>
      <x:c r="K3553" s="172" t="n">
        <x:v>2</x:v>
      </x:c>
      <x:c r="L3553" s="185" t="str">
        <x:v>Não classificado</x:v>
      </x:c>
    </x:row>
    <x:row r="3554">
      <x:c r="A3554" s="175" t="str">
        <x:v>54.501.301/0001-28</x:v>
      </x:c>
      <x:c r="B3554" s="166" t="str">
        <x:v>URANO FUNDO DE INVESTIMENTOS EM DIREITOS CREDITÓRIOS</x:v>
      </x:c>
      <x:c r="C3554" s="188" t="n">
        <x:v>0</x:v>
      </x:c>
      <x:c r="D3554" s="166" t="str">
        <x:v>Reag Jus</x:v>
      </x:c>
      <x:c r="E3554" s="166" t="str">
        <x:f>IFERROR(INDEX('Classif Gestoras'!$H$6:$H$462,MATCH(D3554,'Classif Gestoras'!$A$6:$A$462,0)),"Não classificada")</x:f>
        <x:v>Independente</x:v>
      </x:c>
      <x:c r="F3554" s="166" t="str">
        <x:v>REAG DTVM</x:v>
      </x:c>
      <x:c r="G3554" s="166" t="str">
        <x:v>REAG TRUST DISTRIBUIDORA DE TITULOS E VALORES MOBILIARIOS S.A.</x:v>
      </x:c>
      <x:c r="H3554" s="166" t="str">
        <x:v>Outros</x:v>
      </x:c>
      <x:c r="I3554" s="166" t="str">
        <x:v>Multicarteira Outros</x:v>
      </x:c>
      <x:c r="J3554" s="166" t="str">
        <x:v>CI</x:v>
      </x:c>
      <x:c r="K3554" s="172" t="n">
        <x:v>1</x:v>
      </x:c>
      <x:c r="L3554" s="185" t="str">
        <x:v>Não classificado</x:v>
      </x:c>
    </x:row>
    <x:row r="3555">
      <x:c r="A3555" s="175" t="str">
        <x:v>59.461.469/0001-70</x:v>
      </x:c>
      <x:c r="B3555" s="166" t="str">
        <x:v>CNPJ 59461469000170</x:v>
      </x:c>
      <x:c r="C3555" s="188" t="n">
        <x:v>0</x:v>
      </x:c>
      <x:c r="D3555" s="166" t="str">
        <x:v>Violet</x:v>
      </x:c>
      <x:c r="E3555" s="166" t="str">
        <x:f>IFERROR(INDEX('Classif Gestoras'!$H$6:$H$462,MATCH(D3555,'Classif Gestoras'!$A$6:$A$462,0)),"Não classificada")</x:f>
        <x:v>Independente</x:v>
      </x:c>
      <x:c r="F3555" s="166" t="str">
        <x:v>VERT Distribuidora de Títulos e Valores Mobiliários Ltd</x:v>
      </x:c>
      <x:c r="G3555" s="166" t="str">
        <x:v>Não identificado</x:v>
      </x:c>
      <x:c r="H3555" s="166" t="str">
        <x:v>Agro, Indústria e Comércio</x:v>
      </x:c>
      <x:c r="I3555" s="166" t="str">
        <x:v>Não se aplica</x:v>
      </x:c>
      <x:c r="J3555" s="166" t="str">
        <x:v>CI</x:v>
      </x:c>
      <x:c r="K3555" s="172"/>
      <x:c r="L3555" s="185" t="str">
        <x:v>Não classificado</x:v>
      </x:c>
    </x:row>
    <x:row r="3556">
      <x:c r="A3556" s="175" t="str">
        <x:v>30.791.358/0001-40</x:v>
      </x:c>
      <x:c r="B3556" s="166" t="str">
        <x:v>G5 SAÚDE FUNDO DE INVESTIMENTO EM DIREITOS CREDITÓRIOS</x:v>
      </x:c>
      <x:c r="C3556" s="188" t="n">
        <x:v>0</x:v>
      </x:c>
      <x:c r="D3556" s="166" t="str">
        <x:v>G5 Adm. de Recursos</x:v>
      </x:c>
      <x:c r="E3556" s="166" t="str">
        <x:f>IFERROR(INDEX('Classif Gestoras'!$H$6:$H$462,MATCH(D3556,'Classif Gestoras'!$A$6:$A$462,0)),"Não classificada")</x:f>
        <x:v>Independente</x:v>
      </x:c>
      <x:c r="F3556" s="166" t="str">
        <x:v>Singulare</x:v>
      </x:c>
      <x:c r="G3556" s="166" t="str">
        <x:v>QI CORRETORA DE TÍTULOS E VALORES MOBILIÁRIOS S.A.</x:v>
      </x:c>
      <x:c r="H3556" s="166" t="str">
        <x:v>Outros</x:v>
      </x:c>
      <x:c r="I3556" s="166" t="str">
        <x:v>Multicarteira Outros</x:v>
      </x:c>
      <x:c r="J3556" s="166" t="str">
        <x:v>CI</x:v>
      </x:c>
      <x:c r="K3556" s="172" t="n">
        <x:v>0</x:v>
      </x:c>
      <x:c r="L3556" s="185" t="str">
        <x:v>Não classificado</x:v>
      </x:c>
    </x:row>
    <x:row r="3557">
      <x:c r="A3557" s="175" t="str">
        <x:v>23.798.073/0001-76</x:v>
      </x:c>
      <x:c r="B3557" s="166" t="str">
        <x:v>JC PLÁSTICOS FUNDO DE INVESTIMENTO EM DIREITOS CREDITORIOS NAO-PADRONIZADOS - FIDC - NP</x:v>
      </x:c>
      <x:c r="C3557" s="188" t="n">
        <x:v>0</x:v>
      </x:c>
      <x:c r="D3557" s="166" t="str">
        <x:v>GV ATACAMA CAPITAL LTDA.</x:v>
      </x:c>
      <x:c r="E3557" s="166" t="str">
        <x:f>IFERROR(INDEX('Classif Gestoras'!$H$6:$H$462,MATCH(D3557,'Classif Gestoras'!$A$6:$A$462,0)),"Não classificada")</x:f>
        <x:v>Independente</x:v>
      </x:c>
      <x:c r="F3557" s="166" t="str">
        <x:v>Singulare</x:v>
      </x:c>
      <x:c r="G3557" s="166" t="str">
        <x:v>BANCO BTG PACTUAL S/A</x:v>
      </x:c>
      <x:c r="H3557" s="166" t="str">
        <x:v>Outros</x:v>
      </x:c>
      <x:c r="I3557" s="166" t="str">
        <x:v>Poder Público</x:v>
      </x:c>
      <x:c r="J3557" s="166" t="str">
        <x:v>CI</x:v>
      </x:c>
      <x:c r="K3557" s="172" t="n">
        <x:v>4</x:v>
      </x:c>
      <x:c r="L3557" s="185" t="str">
        <x:v>Não classificado</x:v>
      </x:c>
    </x:row>
    <x:row r="3558">
      <x:c r="A3558" s="175" t="str">
        <x:v>36.083.015/0001-08</x:v>
      </x:c>
      <x:c r="B3558" s="166" t="str">
        <x:v>ENGEBANK FUNDO DE INVESTIMENTO EM DIREITOS CREDITÓRIOS</x:v>
      </x:c>
      <x:c r="C3558" s="188" t="n">
        <x:v>0</x:v>
      </x:c>
      <x:c r="D3558" s="166" t="str">
        <x:v>ASSET MANAGEMENT</x:v>
      </x:c>
      <x:c r="E3558" s="166" t="str">
        <x:f>IFERROR(INDEX('Classif Gestoras'!$H$6:$H$462,MATCH(D3558,'Classif Gestoras'!$A$6:$A$462,0)),"Não classificada")</x:f>
        <x:v>Independente</x:v>
      </x:c>
      <x:c r="F3558" s="166" t="str">
        <x:v>AZUMI DISTRIBUIDORA DE TÍTULOS E VALORES MOBILIÁRIOS LT</x:v>
      </x:c>
      <x:c r="G3558" s="166" t="str">
        <x:v>AZUMI DISTRIBUIDORA DE TÍTULOS E VALORES MOBILIÁRIOS LTDA.</x:v>
      </x:c>
      <x:c r="H3558" s="166" t="str">
        <x:v>Outros</x:v>
      </x:c>
      <x:c r="I3558" s="166" t="str">
        <x:v>Multicarteira Outros</x:v>
      </x:c>
      <x:c r="J3558" s="166" t="str">
        <x:v>CI</x:v>
      </x:c>
      <x:c r="K3558" s="172" t="n">
        <x:v>0</x:v>
      </x:c>
      <x:c r="L3558" s="185" t="str">
        <x:v>Não classificado</x:v>
      </x:c>
    </x:row>
    <x:row r="3559">
      <x:c r="A3559" s="175" t="str">
        <x:v>62.837.656/0001-10</x:v>
      </x:c>
      <x:c r="B3559" s="166" t="str">
        <x:v>CNPJ 62837656000110</x:v>
      </x:c>
      <x:c r="C3559" s="188" t="n">
        <x:v>0</x:v>
      </x:c>
      <x:c r="D3559" s="166" t="str">
        <x:v>Kanastra</x:v>
      </x:c>
      <x:c r="E3559" s="166" t="str">
        <x:f>IFERROR(INDEX('Classif Gestoras'!$H$6:$H$462,MATCH(D3559,'Classif Gestoras'!$A$6:$A$462,0)),"Não classificada")</x:f>
        <x:v>Independente</x:v>
      </x:c>
      <x:c r="F3559" s="166" t="str">
        <x:v>INTRAG DIST. DE TÍTU</x:v>
      </x:c>
      <x:c r="G3559" s="166" t="str">
        <x:v>Não identificado</x:v>
      </x:c>
      <x:c r="H3559" s="166" t="str">
        <x:v>Outros</x:v>
      </x:c>
      <x:c r="I3559" s="166" t="str">
        <x:v>Multicarteira Outros</x:v>
      </x:c>
      <x:c r="J3559" s="166" t="str">
        <x:v>CI</x:v>
      </x:c>
      <x:c r="K3559" s="172"/>
      <x:c r="L3559" s="185" t="str">
        <x:v>Não classificado</x:v>
      </x:c>
    </x:row>
    <x:row r="3560">
      <x:c r="A3560" s="175" t="str">
        <x:v>53.276.025/0001-89</x:v>
      </x:c>
      <x:c r="B3560" s="166" t="str">
        <x:v>KYM FUNDO DE INVESTIMENTO EM DIREITOS CREDITÓRIOS NÃO PADRONIZADO</x:v>
      </x:c>
      <x:c r="C3560" s="188" t="n">
        <x:v>0</x:v>
      </x:c>
      <x:c r="D3560" s="166" t="str">
        <x:v>Reag WM Gestora de Patrimônio Ltda</x:v>
      </x:c>
      <x:c r="E3560" s="166" t="str">
        <x:f>IFERROR(INDEX('Classif Gestoras'!$H$6:$H$462,MATCH(D3560,'Classif Gestoras'!$A$6:$A$462,0)),"Não classificada")</x:f>
        <x:v>Independente</x:v>
      </x:c>
      <x:c r="F3560" s="166" t="str">
        <x:v>REAG DTVM</x:v>
      </x:c>
      <x:c r="G3560" s="166" t="str">
        <x:v>REAG TRUST DISTRIBUIDORA DE TITULOS E VALORES MOBILIARIOS S.A.</x:v>
      </x:c>
      <x:c r="H3560" s="166" t="str">
        <x:v>Outros</x:v>
      </x:c>
      <x:c r="I3560" s="166" t="str">
        <x:v>Multicarteira Outros</x:v>
      </x:c>
      <x:c r="J3560" s="166" t="str">
        <x:v>CI</x:v>
      </x:c>
      <x:c r="K3560" s="172" t="n">
        <x:v>3</x:v>
      </x:c>
      <x:c r="L3560" s="185" t="str">
        <x:v>Não classificado</x:v>
      </x:c>
    </x:row>
    <x:row r="3561">
      <x:c r="A3561" s="175" t="str">
        <x:v>48.357.311/0001-39</x:v>
      </x:c>
      <x:c r="B3561" s="166" t="str">
        <x:v>JAFFA FUNDO DE INVESTIMENTO EM DIREITOS CREDITÓRIOS NÃO PADRONIZADOS</x:v>
      </x:c>
      <x:c r="C3561" s="188" t="n">
        <x:v>0</x:v>
      </x:c>
      <x:c r="D3561" s="166" t="str">
        <x:v>Reag Administradora de Recursos Ltda</x:v>
      </x:c>
      <x:c r="E3561" s="166" t="str">
        <x:f>IFERROR(INDEX('Classif Gestoras'!$H$6:$H$462,MATCH(D3561,'Classif Gestoras'!$A$6:$A$462,0)),"Não classificada")</x:f>
        <x:v>Independente</x:v>
      </x:c>
      <x:c r="F3561" s="166" t="str">
        <x:v>REAG DTVM</x:v>
      </x:c>
      <x:c r="G3561" s="166" t="str">
        <x:v>ID CORRETORA DE TITULOS E VALORES MOBILIARIOS S.A.</x:v>
      </x:c>
      <x:c r="H3561" s="166" t="str">
        <x:v>Outros</x:v>
      </x:c>
      <x:c r="I3561" s="166" t="str">
        <x:v>Multicarteira Outros</x:v>
      </x:c>
      <x:c r="J3561" s="166" t="str">
        <x:v>CI</x:v>
      </x:c>
      <x:c r="K3561" s="172" t="n">
        <x:v>0</x:v>
      </x:c>
      <x:c r="L3561" s="185" t="str">
        <x:v>Não classificado</x:v>
      </x:c>
    </x:row>
    <x:row r="3562">
      <x:c r="A3562" s="175" t="str">
        <x:v>54.389.836/0001-59</x:v>
      </x:c>
      <x:c r="B3562" s="166" t="str">
        <x:v>SERCARD MULTIESTRATÉGIA FUNDO DE INVESTIMENTO EM DIREITOS CREDITÓRIOS NÃO PADRONIZADO</x:v>
      </x:c>
      <x:c r="C3562" s="188" t="n">
        <x:v>0</x:v>
      </x:c>
      <x:c r="D3562" s="166" t="str">
        <x:v>TERCON ASSET MANAGEMENT</x:v>
      </x:c>
      <x:c r="E3562" s="166" t="str">
        <x:f>IFERROR(INDEX('Classif Gestoras'!$H$6:$H$462,MATCH(D3562,'Classif Gestoras'!$A$6:$A$462,0)),"Não classificada")</x:f>
        <x:v>Independente</x:v>
      </x:c>
      <x:c r="F3562" s="166" t="str">
        <x:v>Limine Trust Distribuidora de Titulos e Valores Mobiliá</x:v>
      </x:c>
      <x:c r="G3562" s="166" t="str">
        <x:v>QORE DISTRIBUIDORA DE TÍTULOS E VALORES MOBILIÁRIOS LTDA.</x:v>
      </x:c>
      <x:c r="H3562" s="166" t="str">
        <x:v>Fomento Mercantil</x:v>
      </x:c>
      <x:c r="I3562" s="166" t="str">
        <x:v>Fomento Mercantil</x:v>
      </x:c>
      <x:c r="J3562" s="166" t="str">
        <x:v>CI</x:v>
      </x:c>
      <x:c r="K3562" s="172" t="n">
        <x:v>1</x:v>
      </x:c>
      <x:c r="L3562" s="185" t="str">
        <x:v>Não classificado</x:v>
      </x:c>
    </x:row>
    <x:row r="3563">
      <x:c r="A3563" s="175" t="str">
        <x:v>48.357.568/0001-90</x:v>
      </x:c>
      <x:c r="B3563" s="166" t="str">
        <x:v>CIB-K FUNDO DE INVESTIMENTO EM DIREITOS CREDITÓRIOS NÃO PADRONIZADOS</x:v>
      </x:c>
      <x:c r="C3563" s="188" t="n">
        <x:v>0</x:v>
      </x:c>
      <x:c r="D3563" s="166" t="str">
        <x:v>Reag Administradora de Recursos Ltda</x:v>
      </x:c>
      <x:c r="E3563" s="166" t="str">
        <x:f>IFERROR(INDEX('Classif Gestoras'!$H$6:$H$462,MATCH(D3563,'Classif Gestoras'!$A$6:$A$462,0)),"Não classificada")</x:f>
        <x:v>Independente</x:v>
      </x:c>
      <x:c r="F3563" s="166" t="str">
        <x:v>REAG DTVM</x:v>
      </x:c>
      <x:c r="G3563" s="166" t="str">
        <x:v>REAG TRUST DISTRIBUIDORA DE TITULOS E VALORES MOBILIARIOS S.A.</x:v>
      </x:c>
      <x:c r="H3563" s="166" t="str">
        <x:v>Outros</x:v>
      </x:c>
      <x:c r="I3563" s="166" t="str">
        <x:v>Multicarteira Outros</x:v>
      </x:c>
      <x:c r="J3563" s="166" t="str">
        <x:v>CI</x:v>
      </x:c>
      <x:c r="K3563" s="172" t="n">
        <x:v>1</x:v>
      </x:c>
      <x:c r="L3563" s="185" t="str">
        <x:v>Não classificado</x:v>
      </x:c>
    </x:row>
    <x:row r="3564">
      <x:c r="A3564" s="175" t="str">
        <x:v>30.492.529/0001-30</x:v>
      </x:c>
      <x:c r="B3564" s="166" t="str">
        <x:v>CNPJ 30492529000130</x:v>
      </x:c>
      <x:c r="C3564" s="188" t="n">
        <x:v>0</x:v>
      </x:c>
      <x:c r="D3564" s="166" t="str">
        <x:v>OURO PRETO INVESTIMENTOS</x:v>
      </x:c>
      <x:c r="E3564" s="166" t="str">
        <x:f>IFERROR(INDEX('Classif Gestoras'!$H$6:$H$462,MATCH(D3564,'Classif Gestoras'!$A$6:$A$462,0)),"Não classificada")</x:f>
        <x:v>Independente</x:v>
      </x:c>
      <x:c r="F3564" s="166" t="str">
        <x:v>Oliveira Trust DTVM</x:v>
      </x:c>
      <x:c r="G3564" s="166" t="str">
        <x:v>Não identificado</x:v>
      </x:c>
      <x:c r="H3564" s="166" t="str">
        <x:v>Agro, Indústria e Comércio</x:v>
      </x:c>
      <x:c r="I3564" s="166" t="str">
        <x:v>Não se aplica</x:v>
      </x:c>
      <x:c r="J3564" s="166" t="str">
        <x:v>CI</x:v>
      </x:c>
      <x:c r="K3564" s="172"/>
      <x:c r="L3564" s="185" t="str">
        <x:v>Não classificado</x:v>
      </x:c>
    </x:row>
    <x:row r="3565">
      <x:c r="A3565" s="175" t="str">
        <x:v>54.422.285/0001-88</x:v>
      </x:c>
      <x:c r="B3565" s="166" t="str">
        <x:v>FUNDO DE INVESTIMENTO EM DIREITOS CREDITÓRIOS PP1 FINANCEIRO</x:v>
      </x:c>
      <x:c r="C3565" s="188" t="n">
        <x:v>0</x:v>
      </x:c>
      <x:c r="D3565" s="166" t="str">
        <x:v>VALORA RENDA FIXA LTDA.</x:v>
      </x:c>
      <x:c r="E3565" s="166" t="str">
        <x:f>IFERROR(INDEX('Classif Gestoras'!$H$6:$H$462,MATCH(D3565,'Classif Gestoras'!$A$6:$A$462,0)),"Não classificada")</x:f>
        <x:v>Independente</x:v>
      </x:c>
      <x:c r="F3565" s="166" t="str">
        <x:v>BANCO DAYCOVAL S/A</x:v>
      </x:c>
      <x:c r="G3565" s="166" t="str">
        <x:v>BANCO DAYCOVAL S.A.</x:v>
      </x:c>
      <x:c r="H3565" s="166" t="str">
        <x:v>Financeiro</x:v>
      </x:c>
      <x:c r="I3565" s="166" t="str">
        <x:v>Multicarteira Financeiro</x:v>
      </x:c>
      <x:c r="J3565" s="166" t="str">
        <x:v>CI</x:v>
      </x:c>
      <x:c r="K3565" s="172" t="n">
        <x:v>0</x:v>
      </x:c>
      <x:c r="L3565" s="185" t="str">
        <x:v>Não classificado</x:v>
      </x:c>
    </x:row>
    <x:row r="3566">
      <x:c r="A3566" s="175" t="str">
        <x:v>23.954.863/0001-01</x:v>
      </x:c>
      <x:c r="B3566" s="166" t="str">
        <x:v>JC 4870 IV FUNDO DE INVESTIMENTO EM DIREITOS CREDITÓRIOS NÃO-PADRONIZADOS - FIDC-NP</x:v>
      </x:c>
      <x:c r="C3566" s="188" t="n">
        <x:v>0</x:v>
      </x:c>
      <x:c r="D3566" s="166" t="str">
        <x:v>Jus Capital Gestão de Recursos LTDA</x:v>
      </x:c>
      <x:c r="E3566" s="166" t="str">
        <x:f>IFERROR(INDEX('Classif Gestoras'!$H$6:$H$462,MATCH(D3566,'Classif Gestoras'!$A$6:$A$462,0)),"Não classificada")</x:f>
        <x:v>Independente</x:v>
      </x:c>
      <x:c r="F3566" s="166" t="str">
        <x:v>Singulare</x:v>
      </x:c>
      <x:c r="G3566" s="166" t="str">
        <x:v>QI CORRETORA DE TÍTULOS E VALORES MOBILIÁRIOS S.A.</x:v>
      </x:c>
      <x:c r="H3566" s="166" t="str">
        <x:v>Outros</x:v>
      </x:c>
      <x:c r="I3566" s="166" t="str">
        <x:v>Poder Público</x:v>
      </x:c>
      <x:c r="J3566" s="166" t="str">
        <x:v>CI</x:v>
      </x:c>
      <x:c r="K3566" s="172" t="n">
        <x:v>0</x:v>
      </x:c>
      <x:c r="L3566" s="185" t="str">
        <x:v>Não classificado</x:v>
      </x:c>
    </x:row>
    <x:row r="3567">
      <x:c r="A3567" s="175" t="str">
        <x:v>53.279.486/0001-05</x:v>
      </x:c>
      <x:c r="B3567" s="166" t="str">
        <x:v>KSK FUNDO DE INVESTIMENTO EM DIREITOS CREDITÓRIOS NÃO-PADRONIZADOS RESPONSABILIDADE LIMITADA</x:v>
      </x:c>
      <x:c r="C3567" s="188" t="n">
        <x:v>0</x:v>
      </x:c>
      <x:c r="D3567" s="166" t="str">
        <x:v>IDGR</x:v>
      </x:c>
      <x:c r="E3567" s="166" t="str">
        <x:f>IFERROR(INDEX('Classif Gestoras'!$H$6:$H$462,MATCH(D3567,'Classif Gestoras'!$A$6:$A$462,0)),"Não classificada")</x:f>
        <x:v>Independente</x:v>
      </x:c>
      <x:c r="F3567" s="166" t="str">
        <x:v>ID Corretora de Títulos e Valores Mobiliários S.A.</x:v>
      </x:c>
      <x:c r="G3567" s="166" t="str">
        <x:v>ID CORRETORA DE TITULOS E VALORES MOBILIARIOS S.A.</x:v>
      </x:c>
      <x:c r="H3567" s="166" t="str">
        <x:v>Outros</x:v>
      </x:c>
      <x:c r="I3567" s="166" t="str">
        <x:v>Multicarteira Outros</x:v>
      </x:c>
      <x:c r="J3567" s="166" t="str">
        <x:v>CI</x:v>
      </x:c>
      <x:c r="K3567" s="172" t="n">
        <x:v>1</x:v>
      </x:c>
      <x:c r="L3567" s="185" t="str">
        <x:v>Não classificado</x:v>
      </x:c>
    </x:row>
    <x:row r="3568">
      <x:c r="A3568" s="175" t="str">
        <x:v>58.195.014/0001-98</x:v>
      </x:c>
      <x:c r="B3568" s="166" t="str">
        <x:v>CB FUNDO DE INVESTIMENTO EM DIREITOS CREDITÓRIOS - RESPONSABILIDADE LIMITADA</x:v>
      </x:c>
      <x:c r="C3568" s="188" t="n">
        <x:v>0</x:v>
      </x:c>
      <x:c r="D3568" s="166" t="str">
        <x:v>Aventis Asset</x:v>
      </x:c>
      <x:c r="E3568" s="166" t="str">
        <x:f>IFERROR(INDEX('Classif Gestoras'!$H$6:$H$462,MATCH(D3568,'Classif Gestoras'!$A$6:$A$462,0)),"Não classificada")</x:f>
        <x:v>Independente</x:v>
      </x:c>
      <x:c r="F3568" s="166" t="str">
        <x:v>Banvox DTVM</x:v>
      </x:c>
      <x:c r="G3568" s="166" t="str">
        <x:v>MERITO DISTRIBUIDORA DE TITULOS E VALORES MOBILIARIOS LTDA.</x:v>
      </x:c>
      <x:c r="H3568" s="166" t="str">
        <x:v>Agro, Indústria e Comércio</x:v>
      </x:c>
      <x:c r="I3568" s="166" t="str">
        <x:v>Recebíveis Comerciais</x:v>
      </x:c>
      <x:c r="J3568" s="166" t="str">
        <x:v>CI</x:v>
      </x:c>
      <x:c r="K3568" s="172" t="n">
        <x:v>1</x:v>
      </x:c>
      <x:c r="L3568" s="185" t="str">
        <x:v>Não classificado</x:v>
      </x:c>
    </x:row>
    <x:row r="3569">
      <x:c r="A3569" s="175" t="str">
        <x:v>58.199.148/0001-87</x:v>
      </x:c>
      <x:c r="B3569" s="166" t="str">
        <x:v>CNPJ 58199148000187</x:v>
      </x:c>
      <x:c r="C3569" s="188" t="n">
        <x:v>0</x:v>
      </x:c>
      <x:c r="D3569" s="166" t="str">
        <x:v>Farmtech Gestão de Recursos Ltda.</x:v>
      </x:c>
      <x:c r="E3569" s="166" t="str">
        <x:f>IFERROR(INDEX('Classif Gestoras'!$H$6:$H$462,MATCH(D3569,'Classif Gestoras'!$A$6:$A$462,0)),"Não classificada")</x:f>
        <x:v>Independente</x:v>
      </x:c>
      <x:c r="F3569" s="166" t="str">
        <x:v>Oliveira Trust DTVM</x:v>
      </x:c>
      <x:c r="G3569" s="166" t="str">
        <x:v>Não identificado</x:v>
      </x:c>
      <x:c r="H3569" s="166" t="str">
        <x:v>Agro, Indústria e Comércio</x:v>
      </x:c>
      <x:c r="I3569" s="166" t="str">
        <x:v>Não se aplica</x:v>
      </x:c>
      <x:c r="J3569" s="166" t="str">
        <x:v>CI</x:v>
      </x:c>
      <x:c r="K3569" s="172"/>
      <x:c r="L3569" s="185" t="str">
        <x:v>Não classificado</x:v>
      </x:c>
    </x:row>
    <x:row r="3570">
      <x:c r="A3570" s="175" t="str">
        <x:v>48.928.851/0001-25</x:v>
      </x:c>
      <x:c r="B3570" s="166" t="str">
        <x:v>SIMULTI FUNDO DE INVESTIMENTO EM DIREITOS CREDITÓRIOS</x:v>
      </x:c>
      <x:c r="C3570" s="188" t="n">
        <x:v>0</x:v>
      </x:c>
      <x:c r="D3570" s="166" t="str">
        <x:v>Acura Gestora de Recursos LTDA.</x:v>
      </x:c>
      <x:c r="E3570" s="166" t="str">
        <x:f>IFERROR(INDEX('Classif Gestoras'!$H$6:$H$462,MATCH(D3570,'Classif Gestoras'!$A$6:$A$462,0)),"Não classificada")</x:f>
        <x:v>Independente</x:v>
      </x:c>
      <x:c r="F3570" s="166" t="str">
        <x:v>MASTER S/A CORRETORA</x:v>
      </x:c>
      <x:c r="G3570" s="166" t="str">
        <x:v>ID CORRETORA DE TITULOS E VALORES MOBILIARIOS S.A.</x:v>
      </x:c>
      <x:c r="H3570" s="166" t="str">
        <x:v>Outros</x:v>
      </x:c>
      <x:c r="I3570" s="166" t="str">
        <x:v>Multicarteira Outros</x:v>
      </x:c>
      <x:c r="J3570" s="166" t="str">
        <x:v>CI</x:v>
      </x:c>
      <x:c r="K3570" s="172" t="n">
        <x:v>7</x:v>
      </x:c>
      <x:c r="L3570" s="185" t="str">
        <x:v>Não classificado</x:v>
      </x:c>
    </x:row>
    <x:row r="3571">
      <x:c r="A3571" s="175" t="str">
        <x:v>54.407.927/0001-70</x:v>
      </x:c>
      <x:c r="B3571" s="166" t="str">
        <x:v>CNPJ 54407927000170</x:v>
      </x:c>
      <x:c r="C3571" s="188" t="n">
        <x:v>0</x:v>
      </x:c>
      <x:c r="D3571" s="166" t="str">
        <x:v>REAG GESTÃO DE CRÉDITO</x:v>
      </x:c>
      <x:c r="E3571" s="166" t="str">
        <x:f>IFERROR(INDEX('Classif Gestoras'!$H$6:$H$462,MATCH(D3571,'Classif Gestoras'!$A$6:$A$462,0)),"Não classificada")</x:f>
        <x:v>Independente</x:v>
      </x:c>
      <x:c r="F3571" s="166" t="str">
        <x:v>REAG DTVM</x:v>
      </x:c>
      <x:c r="G3571" s="166" t="str">
        <x:v>Não identificado</x:v>
      </x:c>
      <x:c r="H3571" s="166" t="str">
        <x:v>Outros</x:v>
      </x:c>
      <x:c r="I3571" s="166" t="str">
        <x:v>Multicarteira Outros</x:v>
      </x:c>
      <x:c r="J3571" s="166" t="str">
        <x:v>CI</x:v>
      </x:c>
      <x:c r="K3571" s="172"/>
      <x:c r="L3571" s="185" t="str">
        <x:v>Não classificado</x:v>
      </x:c>
    </x:row>
    <x:row r="3572">
      <x:c r="A3572" s="175" t="str">
        <x:v>36.017.588/0001-33</x:v>
      </x:c>
      <x:c r="B3572" s="166" t="str">
        <x:v>JEITTO FUNDO DE INVESTIMENTO EM DIREITOS CREDITÓRIOS</x:v>
      </x:c>
      <x:c r="C3572" s="188" t="n">
        <x:v>0</x:v>
      </x:c>
      <x:c r="D3572" s="166" t="str">
        <x:v>TERCON ASSET MANAGEMENT</x:v>
      </x:c>
      <x:c r="E3572" s="166" t="str">
        <x:f>IFERROR(INDEX('Classif Gestoras'!$H$6:$H$462,MATCH(D3572,'Classif Gestoras'!$A$6:$A$462,0)),"Não classificada")</x:f>
        <x:v>Independente</x:v>
      </x:c>
      <x:c r="F3572" s="166" t="str">
        <x:v>MASTER S/A CORRETORA</x:v>
      </x:c>
      <x:c r="G3572" s="166" t="str">
        <x:v>MASTER S/A CORRETORA DE CAMBIO, TITULOS E VALORES MOBILIARIOS</x:v>
      </x:c>
      <x:c r="H3572" s="166" t="str">
        <x:v>Outros</x:v>
      </x:c>
      <x:c r="I3572" s="166" t="str">
        <x:v>Multicarteira Outros</x:v>
      </x:c>
      <x:c r="J3572" s="166" t="str">
        <x:v>CI</x:v>
      </x:c>
      <x:c r="K3572" s="172" t="n">
        <x:v>1</x:v>
      </x:c>
      <x:c r="L3572" s="185" t="str">
        <x:v>Não classificado</x:v>
      </x:c>
    </x:row>
    <x:row r="3573">
      <x:c r="A3573" s="175" t="str">
        <x:v>24.069.420/0001-92</x:v>
      </x:c>
      <x:c r="B3573" s="166" t="str">
        <x:v>RIO CLARO FUNDO DE INVESTIMENTO EM DIREITOS CREDITORIOS</x:v>
      </x:c>
      <x:c r="C3573" s="188" t="n">
        <x:v>0</x:v>
      </x:c>
      <x:c r="D3573" s="166" t="str">
        <x:v>TRUSTEE DTVM</x:v>
      </x:c>
      <x:c r="E3573" s="166" t="str">
        <x:f>IFERROR(INDEX('Classif Gestoras'!$H$6:$H$462,MATCH(D3573,'Classif Gestoras'!$A$6:$A$462,0)),"Não classificada")</x:f>
        <x:v>Independente</x:v>
      </x:c>
      <x:c r="F3573" s="166" t="str">
        <x:v>TRUSTEE DTVM</x:v>
      </x:c>
      <x:c r="G3573" s="166" t="str">
        <x:v>TRUSTEE DISTRIBUIDORA DE TITULOS E VALORES MOBILIARIOS LTDA.</x:v>
      </x:c>
      <x:c r="H3573" s="166" t="str">
        <x:v>Outros</x:v>
      </x:c>
      <x:c r="I3573" s="166" t="str">
        <x:v>Multicarteira Outros</x:v>
      </x:c>
      <x:c r="J3573" s="166" t="str">
        <x:v>CI</x:v>
      </x:c>
      <x:c r="K3573" s="172" t="n">
        <x:v>1</x:v>
      </x:c>
      <x:c r="L3573" s="185" t="str">
        <x:v>Não classificado</x:v>
      </x:c>
    </x:row>
    <x:row r="3574">
      <x:c r="A3574" s="175" t="str">
        <x:v>08.692.888/0001-82</x:v>
      </x:c>
      <x:c r="B3574" s="166" t="str">
        <x:v>CNPJ 08692888000182</x:v>
      </x:c>
      <x:c r="C3574" s="188" t="n">
        <x:v>0</x:v>
      </x:c>
      <x:c r="D3574" s="166" t="str">
        <x:v>Oliveira Trust Servicer</x:v>
      </x:c>
      <x:c r="E3574" s="166" t="str">
        <x:f>IFERROR(INDEX('Classif Gestoras'!$H$6:$H$462,MATCH(D3574,'Classif Gestoras'!$A$6:$A$462,0)),"Não classificada")</x:f>
        <x:v>Independente</x:v>
      </x:c>
      <x:c r="F3574" s="166" t="str">
        <x:v>Oliveira Trust DTVM</x:v>
      </x:c>
      <x:c r="G3574" s="166" t="str">
        <x:v>Não identificado</x:v>
      </x:c>
      <x:c r="H3574" s="166" t="str">
        <x:v>Financeiro</x:v>
      </x:c>
      <x:c r="I3574" s="166" t="str">
        <x:v>Crédito Pessoal</x:v>
      </x:c>
      <x:c r="J3574" s="166" t="str">
        <x:v>CI</x:v>
      </x:c>
      <x:c r="K3574" s="172"/>
      <x:c r="L3574" s="185" t="str">
        <x:v>Não classificado</x:v>
      </x:c>
    </x:row>
    <x:row r="3575">
      <x:c r="A3575" s="176" t="str">
        <x:v>28.474.974/0001-26</x:v>
      </x:c>
      <x:c r="B3575" s="167" t="str">
        <x:v>CNPJ 28474974000126</x:v>
      </x:c>
      <x:c r="C3575" s="189" t="n">
        <x:v>0</x:v>
      </x:c>
      <x:c r="D3575" s="167" t="str">
        <x:v>JIVE INVESTMENTS</x:v>
      </x:c>
      <x:c r="E3575" s="167" t="str">
        <x:f>IFERROR(INDEX('Classif Gestoras'!$H$6:$H$462,MATCH(D3575,'Classif Gestoras'!$A$6:$A$462,0)),"Não classificada")</x:f>
        <x:v>Independente</x:v>
      </x:c>
      <x:c r="F3575" s="167" t="str">
        <x:v>MAF Distribuidora de Títulos e Valores Mobiliários S.A.</x:v>
      </x:c>
      <x:c r="G3575" s="167" t="str">
        <x:v>Não identificado</x:v>
      </x:c>
      <x:c r="H3575" s="167" t="str">
        <x:v>Outros</x:v>
      </x:c>
      <x:c r="I3575" s="167" t="str">
        <x:v>Poder Público</x:v>
      </x:c>
      <x:c r="J3575" s="167" t="str">
        <x:v>CI</x:v>
      </x:c>
      <x:c r="K3575" s="173"/>
      <x:c r="L3575" s="186" t="str">
        <x:v>Não classificado</x:v>
      </x:c>
    </x:row>
  </x:sheetData>
  <x:mergeCells>
    <x:mergeCell ref="A1:L2"/>
    <x:mergeCell ref="A3:L3"/>
  </x:mergeCells>
  <x:dataValidations count="1">
    <x:dataValidation type="list" sqref="L6:L3575">
      <x:formula1>"Não classificado,Multicedente/multissacado,Monocedente/monossacado,Estrutura mista/indeterminada"</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18" hidden="0" customWidth="1"/>
    <x:col min="6" max="6" width="15" hidden="0" customWidth="1"/>
  </x:cols>
  <x:sheetData>
    <x:row r="1" ht="30" customHeight="1">
      <x:c r="A1" s="4" t="str">
        <x:v>Checks de integridade</x:v>
      </x:c>
      <x:c r="B1" s="4" t="str">
        <x:v>Checks de integridade</x:v>
      </x:c>
      <x:c r="C1" s="4" t="str">
        <x:v>Checks de integridade</x:v>
      </x:c>
      <x:c r="D1" s="4" t="str">
        <x:v>Checks de integridade</x:v>
      </x:c>
      <x:c r="E1" s="4" t="str">
        <x:v>Checks de integridade</x:v>
      </x:c>
      <x:c r="F1" s="4" t="str">
        <x:v>Checks de integridade</x:v>
      </x:c>
    </x:row>
    <x:row r="2" ht="30" customHeight="1">
      <x:c r="A2" s="4" t="str">
        <x:v>Checks de integridade</x:v>
      </x:c>
      <x:c r="B2" s="4" t="str">
        <x:v>Checks de integridade</x:v>
      </x:c>
      <x:c r="C2" s="4" t="str">
        <x:v>Checks de integridade</x:v>
      </x:c>
      <x:c r="D2" s="4" t="str">
        <x:v>Checks de integridade</x:v>
      </x:c>
      <x:c r="E2" s="4" t="str">
        <x:v>Checks de integridade</x:v>
      </x:c>
      <x:c r="F2" s="4" t="str">
        <x:v>Checks de integridade</x:v>
      </x:c>
    </x:row>
    <x:row r="3">
      <x:c r="A3" s="211"/>
      <x:c r="B3" s="211"/>
      <x:c r="C3" s="211"/>
      <x:c r="D3" s="211"/>
      <x:c r="E3" s="211"/>
      <x:c r="F3" s="211"/>
    </x:row>
    <x:row r="4" ht="28" customHeight="1">
      <x:c r="A4" s="20" t="str">
        <x:v>Check</x:v>
      </x:c>
      <x:c r="B4" s="21" t="str">
        <x:v>Valor A</x:v>
      </x:c>
      <x:c r="C4" s="21" t="str">
        <x:v>Valor B</x:v>
      </x:c>
      <x:c r="D4" s="21" t="str">
        <x:v>Diferença</x:v>
      </x:c>
      <x:c r="E4" s="21" t="str">
        <x:v>Tolerância</x:v>
      </x:c>
      <x:c r="F4" s="22" t="str">
        <x:v>Status</x:v>
      </x:c>
    </x:row>
    <x:row r="5">
      <x:c r="A5" s="110" t="str">
        <x:v>PL maio/26 × soma das classes</x:v>
      </x:c>
      <x:c r="B5" s="190" t="n">
        <x:v>751088455158.1736</x:v>
      </x:c>
      <x:c r="C5" s="190" t="n">
        <x:f>SUM('PL por Classe'!M5:M8)*1000000000</x:f>
        <x:v>751088455158.1737</x:v>
      </x:c>
      <x:c r="D5" s="190" t="n">
        <x:f>ABS(B5-C5)</x:f>
        <x:v>0.0001220703125</x:v>
      </x:c>
      <x:c r="E5" s="190" t="n">
        <x:v>1000</x:v>
      </x:c>
      <x:c r="F5" s="110" t="str">
        <x:f>IF(D5&lt;=E5,"OK","REVISAR")</x:f>
        <x:v>OK</x:v>
      </x:c>
    </x:row>
    <x:row r="6">
      <x:c r="A6" s="111" t="str">
        <x:v>PL fundos × card</x:v>
      </x:c>
      <x:c r="B6" s="191" t="n">
        <x:f>SUM('Base Fundos'!$C$6:$C$3575)</x:f>
        <x:v>751089647741.4642</x:v>
      </x:c>
      <x:c r="C6" s="191" t="n">
        <x:v>751088455158.1736</x:v>
      </x:c>
      <x:c r="D6" s="191" t="n">
        <x:f>ABS(B6-C6)</x:f>
        <x:v>1192583.290649414</x:v>
      </x:c>
      <x:c r="E6" s="191" t="n">
        <x:v>2000000</x:v>
      </x:c>
      <x:c r="F6" s="111" t="str">
        <x:f>IF(D6&lt;=E6,"OK","REVISAR")</x:f>
        <x:v>OK</x:v>
      </x:c>
    </x:row>
    <x:row r="7">
      <x:c r="A7" s="111" t="str">
        <x:v>PL 2025 anual × série mensal</x:v>
      </x:c>
      <x:c r="B7" s="191" t="n">
        <x:v>745287342056.6174</x:v>
      </x:c>
      <x:c r="C7" s="191" t="n">
        <x:f>'Evolucao PL'!B17*1000000</x:f>
        <x:v>745287342056.6174</x:v>
      </x:c>
      <x:c r="D7" s="191" t="n">
        <x:f>ABS(B7-C7)</x:f>
        <x:v>0</x:v>
      </x:c>
      <x:c r="E7" s="191" t="n">
        <x:v>1000</x:v>
      </x:c>
      <x:c r="F7" s="111" t="str">
        <x:f>IF(D7&lt;=E7,"OK","REVISAR")</x:f>
        <x:v>OK</x:v>
      </x:c>
    </x:row>
    <x:row r="8">
      <x:c r="A8" s="111" t="str">
        <x:v>Fundos top base</x:v>
      </x:c>
      <x:c r="B8" s="191" t="n">
        <x:v>3570</x:v>
      </x:c>
      <x:c r="C8" s="191" t="n">
        <x:v>3570</x:v>
      </x:c>
      <x:c r="D8" s="191" t="n">
        <x:f>ABS(B8-C8)</x:f>
        <x:v>0</x:v>
      </x:c>
      <x:c r="E8" s="191" t="n">
        <x:v>0</x:v>
      </x:c>
      <x:c r="F8" s="111" t="str">
        <x:f>IF(D8&lt;=E8,"OK","REVISAR")</x:f>
        <x:v>OK</x:v>
      </x:c>
    </x:row>
    <x:row r="9">
      <x:c r="A9" s="111" t="str">
        <x:v>Gestoras ativas listadas</x:v>
      </x:c>
      <x:c r="B9" s="191" t="n">
        <x:v>457</x:v>
      </x:c>
      <x:c r="C9" s="191" t="n">
        <x:v>457</x:v>
      </x:c>
      <x:c r="D9" s="191" t="n">
        <x:f>ABS(B9-C9)</x:f>
        <x:v>0</x:v>
      </x:c>
      <x:c r="E9" s="191" t="n">
        <x:v>0</x:v>
      </x:c>
      <x:c r="F9" s="111" t="str">
        <x:f>IF(D9&lt;=E9,"OK","REVISAR")</x:f>
        <x:v>OK</x:v>
      </x:c>
    </x:row>
    <x:row r="10">
      <x:c r="A10" s="111" t="str">
        <x:v>Cobertura nome de fundo</x:v>
      </x:c>
      <x:c r="B10" s="191" t="n">
        <x:v>0.9249299719887956</x:v>
      </x:c>
      <x:c r="C10" s="191" t="n">
        <x:v>0.9</x:v>
      </x:c>
      <x:c r="D10" s="191" t="n">
        <x:f>ABS(B10-C10)</x:f>
        <x:v>0.02492997198879554</x:v>
      </x:c>
      <x:c r="E10" s="191" t="n">
        <x:v>0</x:v>
      </x:c>
      <x:c r="F10" s="111" t="str">
        <x:f>IF(B10&gt;=C10,"OK","REVISAR")</x:f>
        <x:v>OK</x:v>
      </x:c>
    </x:row>
    <x:row r="11">
      <x:c r="A11" s="111" t="str">
        <x:v>Cobertura custódia por PL</x:v>
      </x:c>
      <x:c r="B11" s="191" t="n">
        <x:v>0.975244871384428</x:v>
      </x:c>
      <x:c r="C11" s="191" t="n">
        <x:v>0.95</x:v>
      </x:c>
      <x:c r="D11" s="191" t="n">
        <x:f>ABS(B11-C11)</x:f>
        <x:v>0.02524487138442799</x:v>
      </x:c>
      <x:c r="E11" s="191" t="n">
        <x:v>0</x:v>
      </x:c>
      <x:c r="F11" s="111" t="str">
        <x:f>IF(B11&gt;=C11,"OK","REVISAR")</x:f>
        <x:v>OK</x:v>
      </x:c>
    </x:row>
    <x:row r="12">
      <x:c r="A12" s="111" t="str">
        <x:v>Fundos &gt;200mm com cotistas</x:v>
      </x:c>
      <x:c r="B12" s="191" t="n">
        <x:v>657</x:v>
      </x:c>
      <x:c r="C12" s="191" t="n">
        <x:v>657</x:v>
      </x:c>
      <x:c r="D12" s="191" t="n">
        <x:f>ABS(B12-C12)</x:f>
        <x:v>0</x:v>
      </x:c>
      <x:c r="E12" s="191" t="n">
        <x:v>0</x:v>
      </x:c>
      <x:c r="F12" s="111" t="str">
        <x:f>IF(D12&lt;=E12,"OK","REVISAR")</x:f>
        <x:v>OK</x:v>
      </x:c>
    </x:row>
    <x:row r="13">
      <x:c r="A13" s="112" t="str">
        <x:v>Emissões 2025</x:v>
      </x:c>
      <x:c r="B13" s="192" t="n">
        <x:v>90985106092.70312</x:v>
      </x:c>
      <x:c r="C13" s="192" t="n">
        <x:f>'Emissoes'!G6*1000000000</x:f>
        <x:v>90800000000</x:v>
      </x:c>
      <x:c r="D13" s="192" t="n">
        <x:f>ABS(B13-C13)</x:f>
        <x:v>185106092.703125</x:v>
      </x:c>
      <x:c r="E13" s="192" t="n">
        <x:v>1000</x:v>
      </x:c>
      <x:c r="F13" s="112" t="str">
        <x:f>IF(D13&lt;=E13,"OK","REVISAR")</x:f>
        <x:v>REVISAR</x:v>
      </x:c>
    </x:row>
  </x:sheetData>
  <x:mergeCells>
    <x:mergeCell ref="A1:F2"/>
  </x:mergeCells>
  <x:conditionalFormatting sqref="F5:F13">
    <x:cfRule type="containsText" dxfId="0" priority="1" operator="containsText" text="OK"/>
    <x:cfRule type="containsText" dxfId="1" priority="2" operator="containsText" text="REVISAR"/>
  </x:conditionalFormatting>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68" hidden="0" customWidth="1"/>
    <x:col min="4" max="4" width="18" hidden="0" customWidth="1"/>
    <x:col min="5" max="5" width="18" hidden="0" customWidth="1"/>
    <x:col min="6" max="6" width="42" hidden="0" customWidth="1"/>
  </x:cols>
  <x:sheetData>
    <x:row r="1" ht="30" customHeight="1">
      <x:c r="A1" s="4" t="str">
        <x:v>Fontes e metodologia de cada bloco</x:v>
      </x:c>
      <x:c r="B1" s="4" t="str">
        <x:v>Fontes e metodologia de cada bloco</x:v>
      </x:c>
      <x:c r="C1" s="4" t="str">
        <x:v>Fontes e metodologia de cada bloco</x:v>
      </x:c>
      <x:c r="D1" s="4" t="str">
        <x:v>Fontes e metodologia de cada bloco</x:v>
      </x:c>
      <x:c r="E1" s="4" t="str">
        <x:v>Fontes e metodologia de cada bloco</x:v>
      </x:c>
      <x:c r="F1" s="4" t="str">
        <x:v>Fontes e metodologia de cada bloco</x:v>
      </x:c>
    </x:row>
    <x:row r="2" ht="30" customHeight="1">
      <x:c r="A2" s="4" t="str">
        <x:v>Fontes e metodologia de cada bloco</x:v>
      </x:c>
      <x:c r="B2" s="4" t="str">
        <x:v>Fontes e metodologia de cada bloco</x:v>
      </x:c>
      <x:c r="C2" s="4" t="str">
        <x:v>Fontes e metodologia de cada bloco</x:v>
      </x:c>
      <x:c r="D2" s="4" t="str">
        <x:v>Fontes e metodologia de cada bloco</x:v>
      </x:c>
      <x:c r="E2" s="4" t="str">
        <x:v>Fontes e metodologia de cada bloco</x:v>
      </x:c>
      <x:c r="F2" s="4" t="str">
        <x:v>Fontes e metodologia de cada bloco</x:v>
      </x:c>
    </x:row>
    <x:row r="3">
      <x:c r="A3" s="211"/>
      <x:c r="B3" s="211"/>
      <x:c r="C3" s="211"/>
      <x:c r="D3" s="211"/>
      <x:c r="E3" s="211"/>
      <x:c r="F3" s="211"/>
    </x:row>
    <x:row r="4" ht="28" customHeight="1">
      <x:c r="A4" s="20" t="str">
        <x:v>Bloco</x:v>
      </x:c>
      <x:c r="B4" s="21" t="str">
        <x:v>Fonte</x:v>
      </x:c>
      <x:c r="C4" s="21" t="str">
        <x:v>URL / referência</x:v>
      </x:c>
      <x:c r="D4" s="21" t="str">
        <x:v>Período</x:v>
      </x:c>
      <x:c r="E4" s="21" t="str">
        <x:v>Unidade</x:v>
      </x:c>
      <x:c r="F4" s="22" t="str">
        <x:v>Nota</x:v>
      </x:c>
    </x:row>
    <x:row r="5" ht="44" customHeight="1">
      <x:c r="A5" s="193" t="str">
        <x:v>PL anual 2013–2023</x:v>
      </x:c>
      <x:c r="B5" s="193" t="str">
        <x:v>Valores visíveis em IMG_8178.JPG</x:v>
      </x:c>
      <x:c r="C5" s="193" t="str">
        <x:v>Imagens de referência fornecidas pelo usuário (histórico 2013–2023)</x:v>
      </x:c>
      <x:c r="D5" s="193" t="str">
        <x:v>Ano</x:v>
      </x:c>
      <x:c r="E5" s="193" t="str">
        <x:v>R$ mm</x:v>
      </x:c>
      <x:c r="F5" s="193" t="str">
        <x:v>Há divergências contra IMG_8177.JPG; ver Comparacao Ref</x:v>
      </x:c>
    </x:row>
    <x:row r="6" ht="44" customHeight="1">
      <x:c r="A6" s="194" t="str">
        <x:v>PL anual 2024–2025</x:v>
      </x:c>
      <x:c r="B6" s="194" t="str">
        <x:v>Dashboard ANBIMA FIDCs</x:v>
      </x:c>
      <x:c r="C6" s="194" t="str">
        <x:v>https://data.anbima.com.br/publicacoes/fundos-de-investimento/dashboard-de-fidcs</x:v>
      </x:c>
      <x:c r="D6" s="194" t="str">
        <x:v>Dezembro</x:v>
      </x:c>
      <x:c r="E6" s="194" t="str">
        <x:v>R$ mm</x:v>
      </x:c>
      <x:c r="F6" s="194" t="str">
        <x:v>Fechamento anual extraído do visual</x:v>
      </x:c>
    </x:row>
    <x:row r="7" ht="44" customHeight="1">
      <x:c r="A7" s="194" t="str">
        <x:v>PL 2026 YTD</x:v>
      </x:c>
      <x:c r="B7" s="194" t="str">
        <x:v>Dashboard ANBIMA FIDCs</x:v>
      </x:c>
      <x:c r="C7" s="194" t="str">
        <x:v>https://data.anbima.com.br/publicacoes/fundos-de-investimento/dashboard-de-fidcs</x:v>
      </x:c>
      <x:c r="D7" s="194" t="str">
        <x:v>Mai/2026</x:v>
      </x:c>
      <x:c r="E7" s="194" t="str">
        <x:v>R$ mm</x:v>
      </x:c>
      <x:c r="F7" s="194" t="str">
        <x:v>Estoque na última competência; não é fechamento anual</x:v>
      </x:c>
    </x:row>
    <x:row r="8" ht="44" customHeight="1">
      <x:c r="A8" s="194" t="str">
        <x:v>PL mensal e tipos ANBIMA</x:v>
      </x:c>
      <x:c r="B8" s="194" t="str">
        <x:v>Dashboard ANBIMA FIDCs</x:v>
      </x:c>
      <x:c r="C8" s="194" t="str">
        <x:v>https://app.powerbi.com/view?r=eyJrIjoiM2M2NzVmOWItMzI0Yi00MTE1LWI5ZmYtZTM0ZWM4ZDUwODNlIiwidCI6Ijk3OTM3M2VkLWQxMzAtNDU4NS1iNTY5LTNjM2NlNjE0MTIyNyJ9</x:v>
      </x:c>
      <x:c r="D8" s="194" t="str">
        <x:v>Mensal</x:v>
      </x:c>
      <x:c r="E8" s="194" t="str">
        <x:v>R$</x:v>
      </x:c>
      <x:c r="F8" s="194" t="str">
        <x:v>Out/2024–Mai/2026</x:v>
      </x:c>
    </x:row>
    <x:row r="9" ht="44" customHeight="1">
      <x:c r="A9" s="194" t="str">
        <x:v>Emissões</x:v>
      </x:c>
      <x:c r="B9" s="194" t="str">
        <x:v>Dashboard ANBIMA FIDCs + fechamentos oficiais ANBIMA</x:v>
      </x:c>
      <x:c r="C9" s="194" t="str">
        <x:v>https://app.powerbi.com/view?r=eyJrIjoiM2M2NzVmOWItMzI0Yi00MTE1LWI5ZmYtZTM0ZWM4ZDUwODNlIiwidCI6Ijk3OTM3M2VkLWQxMzAtNDU4NS1iNTY5LTNjM2NlNjE0MTIyNyJ9</x:v>
      </x:c>
      <x:c r="D9" s="194" t="str">
        <x:v>2024 anual; jan/2025–mai/2026 mensal</x:v>
      </x:c>
      <x:c r="E9" s="194" t="str">
        <x:v>R$</x:v>
      </x:c>
      <x:c r="F9" s="194" t="str">
        <x:v>Valor encerrado: preço de emissão × cotas efetivamente subscritas e integralizadas; não é variação de PL</x:v>
      </x:c>
    </x:row>
    <x:row r="10" ht="44" customHeight="1">
      <x:c r="A10" s="194" t="str">
        <x:v>Gestores e administradores</x:v>
      </x:c>
      <x:c r="B10" s="194" t="str">
        <x:v>Dashboard ANBIMA FIDCs</x:v>
      </x:c>
      <x:c r="C10" s="194" t="str">
        <x:v>https://app.powerbi.com/view?r=eyJrIjoiM2M2NzVmOWItMzI0Yi00MTE1LWI5ZmYtZTM0ZWM4ZDUwODNlIiwidCI6Ijk3OTM3M2VkLWQxMzAtNDU4NS1iNTY5LTNjM2NlNjE0MTIyNyJ9</x:v>
      </x:c>
      <x:c r="D10" s="194" t="str">
        <x:v>Mai/2026</x:v>
      </x:c>
      <x:c r="E10" s="194" t="str">
        <x:v>R$</x:v>
      </x:c>
      <x:c r="F10" s="194" t="str">
        <x:v>PL agregado por prestador e tipo</x:v>
      </x:c>
    </x:row>
    <x:row r="11" ht="44" customHeight="1">
      <x:c r="A11" s="194" t="str">
        <x:v>PL e tipo dos fundos</x:v>
      </x:c>
      <x:c r="B11" s="194" t="str">
        <x:v>Dashboard ANBIMA FIDCs</x:v>
      </x:c>
      <x:c r="C11" s="194" t="str">
        <x:v>https://app.powerbi.com/view?r=eyJrIjoiM2M2NzVmOWItMzI0Yi00MTE1LWI5ZmYtZTM0ZWM4ZDUwODNlIiwidCI6Ijk3OTM3M2VkLWQxMzAtNDU4NS1iNTY5LTNjM2NlNjE0MTIyNyJ9</x:v>
      </x:c>
      <x:c r="D11" s="194" t="str">
        <x:v>Mai/2026</x:v>
      </x:c>
      <x:c r="E11" s="194" t="str">
        <x:v>R$</x:v>
      </x:c>
      <x:c r="F11" s="194" t="str">
        <x:v>3.570 CNPJs com PL</x:v>
      </x:c>
    </x:row>
    <x:row r="12" ht="44" customHeight="1">
      <x:c r="A12" s="194" t="str">
        <x:v>Nomes, cotistas e custodiantes</x:v>
      </x:c>
      <x:c r="B12" s="194" t="str">
        <x:v>CVM informe mensal/cadastro</x:v>
      </x:c>
      <x:c r="C12" s="194" t="str">
        <x:v>https://dados.cvm.gov.br/dados/FIDC/DOC/INF_MENSAL/DADOS/</x:v>
      </x:c>
      <x:c r="D12" s="194" t="str">
        <x:v>Mai/2026</x:v>
      </x:c>
      <x:c r="E12" s="194" t="str">
        <x:v>Contagem / texto</x:v>
      </x:c>
      <x:c r="F12" s="194" t="str">
        <x:v>Conciliado por CNPJ</x:v>
      </x:c>
    </x:row>
    <x:row r="13" ht="44" customHeight="1">
      <x:c r="A13" s="194" t="str">
        <x:v>Banco × independente</x:v>
      </x:c>
      <x:c r="B13" s="194" t="str">
        <x:v>De-para analítico de conglomerados + input do usuário</x:v>
      </x:c>
      <x:c r="C13" s="194" t="str">
        <x:v>Depara Conglom!E:G</x:v>
      </x:c>
      <x:c r="D13" s="194" t="str">
        <x:v>Mai/2026</x:v>
      </x:c>
      <x:c r="E13" s="194" t="str">
        <x:v>R$</x:v>
      </x:c>
      <x:c r="F13" s="194" t="str">
        <x:v>Não oficial; regras auditáveis, confiança e revisão manual</x:v>
      </x:c>
    </x:row>
    <x:row r="14" ht="44" customHeight="1">
      <x:c r="A14" s="194" t="str">
        <x:v>Multicarteira</x:v>
      </x:c>
      <x:c r="B14" s="194" t="str">
        <x:v>Foco de atuação ANBIMA</x:v>
      </x:c>
      <x:c r="C14" s="194" t="str">
        <x:v>https://www.anbima.com.br/data/files/A9/E6/5A/8B/BAC575106582A275862C16A8/DeliberacaoN72-Diretriz-de-Classificacao-de-FIDC_1_.PDF</x:v>
      </x:c>
      <x:c r="D14" s="194" t="str">
        <x:v>Mai/2026</x:v>
      </x:c>
      <x:c r="E14" s="194" t="str">
        <x:v>R$</x:v>
      </x:c>
      <x:c r="F14" s="194" t="str">
        <x:v>Dois ou mais setores; não mede cedentes/sacados</x:v>
      </x:c>
    </x:row>
    <x:row r="15" ht="44" customHeight="1">
      <x:c r="A15" s="195" t="str">
        <x:v>Multicedente/multissacado</x:v>
      </x:c>
      <x:c r="B15" s="195" t="str">
        <x:v>Classificação manual</x:v>
      </x:c>
      <x:c r="C15" s="195" t="str">
        <x:v>Base Fundos!L:L</x:v>
      </x:c>
      <x:c r="D15" s="195" t="str">
        <x:v>A validar</x:v>
      </x:c>
      <x:c r="E15" s="195" t="str">
        <x:v>Texto</x:v>
      </x:c>
      <x:c r="F15" s="195" t="str">
        <x:v>Sem campo público único; exige regulamento/lastro/concentração</x:v>
      </x:c>
    </x:row>
  </x:sheetData>
  <x:mergeCells>
    <x:mergeCell ref="A1:F2"/>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18" hidden="0" customWidth="1"/>
    <x:col min="4" max="4" width="38" hidden="0" customWidth="1"/>
    <x:col min="5" max="5" width="30" hidden="0" customWidth="1"/>
    <x:col min="6" max="6" width="52" hidden="0" customWidth="1"/>
    <x:col min="7" max="7" width="20" hidden="0" customWidth="1"/>
  </x:cols>
  <x:sheetData>
    <x:row r="1" ht="30" customHeight="1">
      <x:c r="A1" s="4" t="str">
        <x:v>Metodologia | universo, data-base e transformações</x:v>
      </x:c>
      <x:c r="B1" s="4" t="str">
        <x:v>Metodologia | universo, data-base e transformações</x:v>
      </x:c>
      <x:c r="C1" s="4" t="str">
        <x:v>Metodologia | universo, data-base e transformações</x:v>
      </x:c>
      <x:c r="D1" s="4" t="str">
        <x:v>Metodologia | universo, data-base e transformações</x:v>
      </x:c>
      <x:c r="E1" s="4" t="str">
        <x:v>Metodologia | universo, data-base e transformações</x:v>
      </x:c>
      <x:c r="F1" s="4" t="str">
        <x:v>Metodologia | universo, data-base e transformações</x:v>
      </x:c>
      <x:c r="G1" s="4" t="str">
        <x:v>Metodologia | universo, data-base e transformações</x:v>
      </x:c>
    </x:row>
    <x:row r="2" ht="30" customHeight="1">
      <x:c r="A2" s="4" t="str">
        <x:v>Metodologia | universo, data-base e transformações</x:v>
      </x:c>
      <x:c r="B2" s="4" t="str">
        <x:v>Metodologia | universo, data-base e transformações</x:v>
      </x:c>
      <x:c r="C2" s="4" t="str">
        <x:v>Metodologia | universo, data-base e transformações</x:v>
      </x:c>
      <x:c r="D2" s="4" t="str">
        <x:v>Metodologia | universo, data-base e transformações</x:v>
      </x:c>
      <x:c r="E2" s="4" t="str">
        <x:v>Metodologia | universo, data-base e transformações</x:v>
      </x:c>
      <x:c r="F2" s="4" t="str">
        <x:v>Metodologia | universo, data-base e transformações</x:v>
      </x:c>
      <x:c r="G2" s="4" t="str">
        <x:v>Metodologia | universo, data-base e transformações</x:v>
      </x:c>
    </x:row>
    <x:row r="3">
      <x:c r="A3" s="198" t="str">
        <x:v>Data-base dos rankings e cortes transversais: competência maio/2026. As imagens de referência mostram abril/2025; por isso, valores e posições não devem coincidir.</x:v>
      </x:c>
      <x:c r="B3" s="198" t="str">
        <x:v>Data-base dos rankings e cortes transversais: competência maio/2026. As imagens de referência mostram abril/2025; por isso, valores e posições não devem coincidir.</x:v>
      </x:c>
      <x:c r="C3" s="198" t="str">
        <x:v>Data-base dos rankings e cortes transversais: competência maio/2026. As imagens de referência mostram abril/2025; por isso, valores e posições não devem coincidir.</x:v>
      </x:c>
      <x:c r="D3" s="198" t="str">
        <x:v>Data-base dos rankings e cortes transversais: competência maio/2026. As imagens de referência mostram abril/2025; por isso, valores e posições não devem coincidir.</x:v>
      </x:c>
      <x:c r="E3" s="198" t="str">
        <x:v>Data-base dos rankings e cortes transversais: competência maio/2026. As imagens de referência mostram abril/2025; por isso, valores e posições não devem coincidir.</x:v>
      </x:c>
      <x:c r="F3" s="198" t="str">
        <x:v>Data-base dos rankings e cortes transversais: competência maio/2026. As imagens de referência mostram abril/2025; por isso, valores e posições não devem coincidir.</x:v>
      </x:c>
      <x:c r="G3" s="198" t="str">
        <x:v>Data-base dos rankings e cortes transversais: competência maio/2026. As imagens de referência mostram abril/2025; por isso, valores e posições não devem coincidir.</x:v>
      </x:c>
    </x:row>
    <x:row r="4">
      <x:c r="A4" s="211"/>
      <x:c r="B4" s="211"/>
      <x:c r="C4" s="211"/>
      <x:c r="D4" s="211"/>
      <x:c r="E4" s="211"/>
      <x:c r="F4" s="211"/>
      <x:c r="G4" s="211"/>
    </x:row>
    <x:row r="5" ht="28" customHeight="1">
      <x:c r="A5" s="20" t="str">
        <x:v>Bloco</x:v>
      </x:c>
      <x:c r="B5" s="21" t="str">
        <x:v>Universo</x:v>
      </x:c>
      <x:c r="C5" s="21" t="str">
        <x:v>Competência</x:v>
      </x:c>
      <x:c r="D5" s="21" t="str">
        <x:v>Transformação</x:v>
      </x:c>
      <x:c r="E5" s="21" t="str">
        <x:v>Fonte</x:v>
      </x:c>
      <x:c r="F5" s="21" t="str">
        <x:v>Limitação / premissa</x:v>
      </x:c>
      <x:c r="G5" s="22" t="str">
        <x:v>Natureza</x:v>
      </x:c>
    </x:row>
    <x:row r="6" ht="48" customHeight="1">
      <x:c r="A6" s="193" t="str">
        <x:v>PL atual e por Tipo ANBIMA</x:v>
      </x:c>
      <x:c r="B6" s="193" t="str">
        <x:v>Fundos/classes no modelo semântico ANBIMA</x:v>
      </x:c>
      <x:c r="C6" s="193" t="str">
        <x:v>Mai/2026</x:v>
      </x:c>
      <x:c r="D6" s="193" t="str">
        <x:v>Soma do PL exibido pelo dashboard</x:v>
      </x:c>
      <x:c r="E6" s="193" t="str">
        <x:v>ANBIMA Power BI</x:v>
      </x:c>
      <x:c r="F6" s="193" t="str">
        <x:v>Diferença de R$ 1,2 mi entre card e base de fundos; dentro do check</x:v>
      </x:c>
      <x:c r="G6" s="193" t="str">
        <x:v>Oficial/dashboard</x:v>
      </x:c>
    </x:row>
    <x:row r="7" ht="48" customHeight="1">
      <x:c r="A7" s="194" t="str">
        <x:v>Rankings de fundos</x:v>
      </x:c>
      <x:c r="B7" s="194" t="str">
        <x:v>3.570 CNPJs com PL no dashboard</x:v>
      </x:c>
      <x:c r="C7" s="194" t="str">
        <x:v>Mai/2026</x:v>
      </x:c>
      <x:c r="D7" s="194" t="str">
        <x:v>Ordenação decrescente de PL</x:v>
      </x:c>
      <x:c r="E7" s="194" t="str">
        <x:v>ANBIMA + nome CVM por CNPJ</x:v>
      </x:c>
      <x:c r="F7" s="194" t="str">
        <x:v>Cobertura de nomes 92,5%</x:v>
      </x:c>
      <x:c r="G7" s="194" t="str">
        <x:v>Conciliação</x:v>
      </x:c>
    </x:row>
    <x:row r="8" ht="48" customHeight="1">
      <x:c r="A8" s="194" t="str">
        <x:v>Gestores e administradores</x:v>
      </x:c>
      <x:c r="B8" s="194" t="str">
        <x:v>PL agregado por prestador e Tipo ANBIMA</x:v>
      </x:c>
      <x:c r="C8" s="194" t="str">
        <x:v>Mai/2026</x:v>
      </x:c>
      <x:c r="D8" s="194" t="str">
        <x:v>Soma do PL por denominação do prestador</x:v>
      </x:c>
      <x:c r="E8" s="194" t="str">
        <x:v>ANBIMA Power BI</x:v>
      </x:c>
      <x:c r="F8" s="194" t="str">
        <x:v>Variações de grafia podem fragmentar grupos econômicos</x:v>
      </x:c>
      <x:c r="G8" s="194" t="str">
        <x:v>Agregação</x:v>
      </x:c>
    </x:row>
    <x:row r="9" ht="48" customHeight="1">
      <x:c r="A9" s="194" t="str">
        <x:v>Custodiantes</x:v>
      </x:c>
      <x:c r="B9" s="194" t="str">
        <x:v>Fundos conciliados por CNPJ</x:v>
      </x:c>
      <x:c r="C9" s="194" t="str">
        <x:v>Mai/2026</x:v>
      </x:c>
      <x:c r="D9" s="194" t="str">
        <x:v>PL ANBIMA agrupado pelo custodiante CVM</x:v>
      </x:c>
      <x:c r="E9" s="194" t="str">
        <x:v>ANBIMA + CVM</x:v>
      </x:c>
      <x:c r="F9" s="194" t="str">
        <x:v>Cobertura 97,5% do PL; 'Não identificado' mantido</x:v>
      </x:c>
      <x:c r="G9" s="194" t="str">
        <x:v>Conciliação</x:v>
      </x:c>
    </x:row>
    <x:row r="10" ht="48" customHeight="1">
      <x:c r="A10" s="194" t="str">
        <x:v>Cotistas</x:v>
      </x:c>
      <x:c r="B10" s="194" t="str">
        <x:v>Fundos com PL ≥ parâmetro editável</x:v>
      </x:c>
      <x:c r="C10" s="194" t="str">
        <x:v>Mai/2026</x:v>
      </x:c>
      <x:c r="D10" s="194" t="str">
        <x:v>Número de cotistas CVM combinado ao PL ANBIMA</x:v>
      </x:c>
      <x:c r="E10" s="194" t="str">
        <x:v>ANBIMA + CVM</x:v>
      </x:c>
      <x:c r="F10" s="194" t="str">
        <x:v>657 de 667 fundos ≥ R$ 200 mm com cotistas mapeados</x:v>
      </x:c>
      <x:c r="G10" s="194" t="str">
        <x:v>Conciliação</x:v>
      </x:c>
    </x:row>
    <x:row r="11" ht="48" customHeight="1">
      <x:c r="A11" s="194" t="str">
        <x:v>PL anual 2013–2023</x:v>
      </x:c>
      <x:c r="B11" s="194" t="str">
        <x:v>Valores das imagens do usuário</x:v>
      </x:c>
      <x:c r="C11" s="194" t="str">
        <x:v>Dezembro de cada ano</x:v>
      </x:c>
      <x:c r="D11" s="194" t="str">
        <x:v>Transcrição de IMG_8178.JPG</x:v>
      </x:c>
      <x:c r="E11" s="194" t="str">
        <x:v>Referência do usuário</x:v>
      </x:c>
      <x:c r="F11" s="194" t="str">
        <x:v>IMG_8177.JPG contém pequenas diferenças; série não homogênea com 2024+</x:v>
      </x:c>
      <x:c r="G11" s="194" t="str">
        <x:v>Referência</x:v>
      </x:c>
    </x:row>
    <x:row r="12" ht="48" customHeight="1">
      <x:c r="A12" s="194" t="str">
        <x:v>PL 2024–2025 e 2026 YTD</x:v>
      </x:c>
      <x:c r="B12" s="194" t="str">
        <x:v>Série mensal do dashboard</x:v>
      </x:c>
      <x:c r="C12" s="194" t="str">
        <x:v>Dez/24, dez/25 e mai/26</x:v>
      </x:c>
      <x:c r="D12" s="194" t="str">
        <x:v>Último mês de cada ano; 2026 é YTD</x:v>
      </x:c>
      <x:c r="E12" s="194" t="str">
        <x:v>ANBIMA Power BI</x:v>
      </x:c>
      <x:c r="F12" s="194" t="str">
        <x:v>Histórico público observado começa em out/2024</x:v>
      </x:c>
      <x:c r="G12" s="194" t="str">
        <x:v>Oficial/dashboard</x:v>
      </x:c>
    </x:row>
    <x:row r="13" ht="48" customHeight="1">
      <x:c r="A13" s="194" t="str">
        <x:v>CAGR</x:v>
      </x:c>
      <x:c r="B13" s="194" t="str">
        <x:v>Série anual selecionada</x:v>
      </x:c>
      <x:c r="C13" s="194" t="str">
        <x:v>Períodos completos</x:v>
      </x:c>
      <x:c r="D13" s="194" t="str">
        <x:v>(Final/Inicial)^(1/n)−1</x:v>
      </x:c>
      <x:c r="E13" s="194" t="str">
        <x:v>Cálculo no Excel</x:v>
      </x:c>
      <x:c r="F13" s="194" t="str">
        <x:v>2026 YTD é mostrado separadamente; não é CAGR</x:v>
      </x:c>
      <x:c r="G13" s="194" t="str">
        <x:v>Fórmula</x:v>
      </x:c>
    </x:row>
    <x:row r="14" ht="48" customHeight="1">
      <x:c r="A14" s="194" t="str">
        <x:v>Emissões</x:v>
      </x:c>
      <x:c r="B14" s="194" t="str">
        <x:v>Valor encerrado da distribuição</x:v>
      </x:c>
      <x:c r="C14" s="194" t="str">
        <x:v>2024 anual; jan/2025–mai/2026 mensal</x:v>
      </x:c>
      <x:c r="D14" s="194" t="str">
        <x:v>Diferença mensal do acumulado por subscritor; 2024 substituído pelo fechamento anual oficial</x:v>
      </x:c>
      <x:c r="E14" s="194" t="str">
        <x:v>ANBIMA Power BI + coletivas ANBIMA</x:v>
      </x:c>
      <x:c r="F14" s="194" t="str">
        <x:v>2026 cobre jan–mai; não usar como proxy de variação de PL</x:v>
      </x:c>
      <x:c r="G14" s="194" t="str">
        <x:v>Oficial + transformação</x:v>
      </x:c>
    </x:row>
    <x:row r="15" ht="48" customHeight="1">
      <x:c r="A15" s="194" t="str">
        <x:v>Banco × independente</x:v>
      </x:c>
      <x:c r="B15" s="194" t="str">
        <x:v>485 nomes de gestores e administradores</x:v>
      </x:c>
      <x:c r="C15" s="194" t="str">
        <x:v>Mai/2026</x:v>
      </x:c>
      <x:c r="D15" s="194" t="str">
        <x:v>Normalização de grafia e consolidação por conglomerado antes da soma do PL</x:v>
      </x:c>
      <x:c r="E15" s="194" t="str">
        <x:v>Premissa analítica auditável</x:v>
      </x:c>
      <x:c r="F15" s="194" t="str">
        <x:v>Não é classificação CVM/ANBIMA; revisar conglomerado final e vínculo final em Depara Conglom!E:G</x:v>
      </x:c>
      <x:c r="G15" s="194" t="str">
        <x:v>Proxy editável</x:v>
      </x:c>
    </x:row>
    <x:row r="16" ht="48" customHeight="1">
      <x:c r="A16" s="194" t="str">
        <x:v>Multicarteira</x:v>
      </x:c>
      <x:c r="B16" s="194" t="str">
        <x:v>Focos oficiais que contêm Multicarteira</x:v>
      </x:c>
      <x:c r="C16" s="194" t="str">
        <x:v>Mai/2026</x:v>
      </x:c>
      <x:c r="D16" s="194" t="str">
        <x:v>Soma do PL e contagem</x:v>
      </x:c>
      <x:c r="E16" s="194" t="str">
        <x:v>ANBIMA</x:v>
      </x:c>
      <x:c r="F16" s="194" t="str">
        <x:v>Mede diversificação setorial, não quantidade de cedentes/sacados</x:v>
      </x:c>
      <x:c r="G16" s="194" t="str">
        <x:v>Oficial/ANBIMA</x:v>
      </x:c>
    </x:row>
    <x:row r="17" ht="48" customHeight="1">
      <x:c r="A17" s="195" t="str">
        <x:v>Multicedente/multissacado</x:v>
      </x:c>
      <x:c r="B17" s="195" t="str">
        <x:v>Fundos individualmente</x:v>
      </x:c>
      <x:c r="C17" s="195" t="str">
        <x:v>A validar</x:v>
      </x:c>
      <x:c r="D17" s="195" t="str">
        <x:v>Classificação manual em Base Fundos!L:L</x:v>
      </x:c>
      <x:c r="E17" s="195" t="str">
        <x:v>Regulamento/lastro/concentração</x:v>
      </x:c>
      <x:c r="F17" s="195" t="str">
        <x:v>Sem campo público único na base usada</x:v>
      </x:c>
      <x:c r="G17" s="195" t="str">
        <x:v>Input manual</x:v>
      </x:c>
    </x:row>
  </x:sheetData>
  <x:mergeCells>
    <x:mergeCell ref="A1:G2"/>
    <x:mergeCell ref="A3:G3"/>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74" hidden="0" customWidth="1"/>
    <x:col min="4" max="4" width="38" hidden="0" customWidth="1"/>
    <x:col min="5" max="5" width="72" hidden="0" customWidth="1"/>
    <x:col min="6" max="6" width="28" hidden="0" customWidth="1"/>
  </x:cols>
  <x:sheetData>
    <x:row r="1" ht="30" customHeight="1">
      <x:c r="A1" s="4" t="str">
        <x:v>Glossário oficial | CVM e Classificação ANBIMA de FIDC</x:v>
      </x:c>
      <x:c r="B1" s="4" t="str">
        <x:v>Glossário oficial | CVM e Classificação ANBIMA de FIDC</x:v>
      </x:c>
      <x:c r="C1" s="4" t="str">
        <x:v>Glossário oficial | CVM e Classificação ANBIMA de FIDC</x:v>
      </x:c>
      <x:c r="D1" s="4" t="str">
        <x:v>Glossário oficial | CVM e Classificação ANBIMA de FIDC</x:v>
      </x:c>
      <x:c r="E1" s="4" t="str">
        <x:v>Glossário oficial | CVM e Classificação ANBIMA de FIDC</x:v>
      </x:c>
      <x:c r="F1" s="4" t="str">
        <x:v>Glossário oficial | CVM e Classificação ANBIMA de FIDC</x:v>
      </x:c>
    </x:row>
    <x:row r="2" ht="30" customHeight="1">
      <x:c r="A2" s="4" t="str">
        <x:v>Glossário oficial | CVM e Classificação ANBIMA de FIDC</x:v>
      </x:c>
      <x:c r="B2" s="4" t="str">
        <x:v>Glossário oficial | CVM e Classificação ANBIMA de FIDC</x:v>
      </x:c>
      <x:c r="C2" s="4" t="str">
        <x:v>Glossário oficial | CVM e Classificação ANBIMA de FIDC</x:v>
      </x:c>
      <x:c r="D2" s="4" t="str">
        <x:v>Glossário oficial | CVM e Classificação ANBIMA de FIDC</x:v>
      </x:c>
      <x:c r="E2" s="4" t="str">
        <x:v>Glossário oficial | CVM e Classificação ANBIMA de FIDC</x:v>
      </x:c>
      <x:c r="F2" s="4" t="str">
        <x:v>Glossário oficial | CVM e Classificação ANBIMA de FIDC</x:v>
      </x:c>
    </x:row>
    <x:row r="3">
      <x:c r="A3" s="211"/>
      <x:c r="B3" s="211"/>
      <x:c r="C3" s="211"/>
      <x:c r="D3" s="211"/>
      <x:c r="E3" s="211"/>
      <x:c r="F3" s="211"/>
    </x:row>
    <x:row r="4" ht="28" customHeight="1">
      <x:c r="A4" s="20" t="str">
        <x:v>Norma</x:v>
      </x:c>
      <x:c r="B4" s="21" t="str">
        <x:v>Termo</x:v>
      </x:c>
      <x:c r="C4" s="21" t="str">
        <x:v>Definição executiva</x:v>
      </x:c>
      <x:c r="D4" s="21" t="str">
        <x:v>Base normativa</x:v>
      </x:c>
      <x:c r="E4" s="21" t="str">
        <x:v>URL</x:v>
      </x:c>
      <x:c r="F4" s="22" t="str">
        <x:v>Uso no material</x:v>
      </x:c>
    </x:row>
    <x:row r="5" ht="58" customHeight="1">
      <x:c r="A5" s="193" t="str">
        <x:v>CVM</x:v>
      </x:c>
      <x:c r="B5" s="193" t="str">
        <x:v>FIDC</x:v>
      </x:c>
      <x:c r="C5" s="193" t="str">
        <x:v>Classe de cotas que, em até 180 dias do início das atividades, deve manter parcela superior a 50% do PL em direitos creditórios; o restante pode ficar em ativos financeiros de liquidez.</x:v>
      </x:c>
      <x:c r="D5" s="193" t="str">
        <x:v>RCVM 175, Anexo II, arts. 1º e 44</x:v>
      </x:c>
      <x:c r="E5" s="193" t="str">
        <x:v>https://conteudo.cvm.gov.br/export/sites/cvm/legislacao/resolucoes/anexos/100/resol175consolid_Anexo02.pdf</x:v>
      </x:c>
      <x:c r="F5" s="193" t="str">
        <x:v>Categoria regulatória</x:v>
      </x:c>
    </x:row>
    <x:row r="6" ht="58" customHeight="1">
      <x:c r="A6" s="194" t="str">
        <x:v>CVM</x:v>
      </x:c>
      <x:c r="B6" s="194" t="str">
        <x:v>Direitos creditórios</x:v>
      </x:c>
      <x:c r="C6" s="194" t="str">
        <x:v>Direitos e títulos representativos de crédito, valores mobiliários de crédito, certificados de recebíveis/operações de securitização elegíveis e, por equiparação, cotas de FIDC.</x:v>
      </x:c>
      <x:c r="D6" s="194" t="str">
        <x:v>RCVM 175, Anexo II, art. 2º, XII</x:v>
      </x:c>
      <x:c r="E6" s="194" t="str">
        <x:v>https://conteudo.cvm.gov.br/export/sites/cvm/legislacao/resolucoes/anexos/100/resol175consolid_Anexo02.pdf</x:v>
      </x:c>
      <x:c r="F6" s="194" t="str">
        <x:v>Ativo da carteira</x:v>
      </x:c>
    </x:row>
    <x:row r="7" ht="58" customHeight="1">
      <x:c r="A7" s="194" t="str">
        <x:v>CVM</x:v>
      </x:c>
      <x:c r="B7" s="194" t="str">
        <x:v>Classe de investimento em cotas</x:v>
      </x:c>
      <x:c r="C7" s="194" t="str">
        <x:v>Classe que aplica no mínimo 67% do PL em cotas de outros FIDC.</x:v>
      </x:c>
      <x:c r="D7" s="194" t="str">
        <x:v>RCVM 175, Anexo II, arts. 2º, VI, e 44</x:v>
      </x:c>
      <x:c r="E7" s="194" t="str">
        <x:v>https://conteudo.cvm.gov.br/export/sites/cvm/legislacao/resolucoes/anexos/100/resol175consolid_Anexo02.pdf</x:v>
      </x:c>
      <x:c r="F7" s="194" t="str">
        <x:v>Estrutura regulatória</x:v>
      </x:c>
    </x:row>
    <x:row r="8" ht="58" customHeight="1">
      <x:c r="A8" s="194" t="str">
        <x:v>CVM</x:v>
      </x:c>
      <x:c r="B8" s="194" t="str">
        <x:v>Cotas sênior / mezanino / subordinada</x:v>
      </x:c>
      <x:c r="C8" s="194" t="str">
        <x:v>Sênior não se subordina; mezanino fica entre subclasses; subordinada absorve perdas antes das demais para amortização e resgate.</x:v>
      </x:c>
      <x:c r="D8" s="194" t="str">
        <x:v>RCVM 175, Anexo II, art. 2º, VIII–X</x:v>
      </x:c>
      <x:c r="E8" s="194" t="str">
        <x:v>https://conteudo.cvm.gov.br/export/sites/cvm/legislacao/resolucoes/anexos/100/resol175consolid_Anexo02.pdf</x:v>
      </x:c>
      <x:c r="F8" s="194" t="str">
        <x:v>Subclasses de passivo</x:v>
      </x:c>
    </x:row>
    <x:row r="9" ht="58" customHeight="1">
      <x:c r="A9" s="194" t="str">
        <x:v>ANBIMA</x:v>
      </x:c>
      <x:c r="B9" s="194" t="str">
        <x:v>Classe ANBIMA</x:v>
      </x:c>
      <x:c r="C9" s="194" t="str">
        <x:v>No Feed, a Classe ANBIMA deste universo é FIDC. Não confundir com a subclasse regulatória de cotas.</x:v>
      </x:c>
      <x:c r="D9" s="194" t="str">
        <x:v>ANBIMA Feed — fundos estruturados</x:v>
      </x:c>
      <x:c r="E9" s="194" t="str">
        <x:v>https://developers.anbima.com.br/pt/documentacao/fundos/apis-de-fundos/fundos-estruturados/</x:v>
      </x:c>
      <x:c r="F9" s="194" t="str">
        <x:v>Nível amplo</x:v>
      </x:c>
    </x:row>
    <x:row r="10" ht="58" customHeight="1">
      <x:c r="A10" s="194" t="str">
        <x:v>ANBIMA</x:v>
      </x:c>
      <x:c r="B10" s="194" t="str">
        <x:v>Tipo ANBIMA</x:v>
      </x:c>
      <x:c r="C10" s="194" t="str">
        <x:v>Recorte conforme as características dos direitos creditórios: Fomento Mercantil; Financeiro; Agro, Indústria e Comércio; Outros.</x:v>
      </x:c>
      <x:c r="D10" s="194" t="str">
        <x:v>Deliberação ANBIMA nº 72, art. 3º</x:v>
      </x:c>
      <x:c r="E10" s="194" t="str">
        <x:v>https://www.anbima.com.br/data/files/A9/E6/5A/8B/BAC575106582A275862C16A8/DeliberacaoN72-Diretriz-de-Classificacao-de-FIDC_1_.PDF</x:v>
      </x:c>
      <x:c r="F10" s="194" t="str">
        <x:v>Quatro blocos dos gráficos</x:v>
      </x:c>
    </x:row>
    <x:row r="11" ht="58" customHeight="1">
      <x:c r="A11" s="194" t="str">
        <x:v>ANBIMA</x:v>
      </x:c>
      <x:c r="B11" s="194" t="str">
        <x:v>Fomento Mercantil</x:v>
      </x:c>
      <x:c r="C11" s="194" t="str">
        <x:v>Carteira pulverizada de recebíveis originados e vendidos por diversos cedentes que antecipam recursos via duplicatas, notas promissórias, cheques e títulos cedíveis; inclui fomento/factoring.</x:v>
      </x:c>
      <x:c r="D11" s="194" t="str">
        <x:v>Deliberação ANBIMA nº 72, art. 3º, I</x:v>
      </x:c>
      <x:c r="E11" s="194" t="str">
        <x:v>https://www.anbima.com.br/data/files/A9/E6/5A/8B/BAC575106582A275862C16A8/DeliberacaoN72-Diretriz-de-Classificacao-de-FIDC_1_.PDF</x:v>
      </x:c>
      <x:c r="F11" s="194" t="str">
        <x:v>Tipo e foco</x:v>
      </x:c>
    </x:row>
    <x:row r="12" ht="58" customHeight="1">
      <x:c r="A12" s="194" t="str">
        <x:v>ANBIMA</x:v>
      </x:c>
      <x:c r="B12" s="194" t="str">
        <x:v>Financeiro</x:v>
      </x:c>
      <x:c r="C12" s="194" t="str">
        <x:v>Recebíveis de crédito imobiliário, consignado, pessoal, financiamento/leasing de veículos ou Multicarteira Financeiro.</x:v>
      </x:c>
      <x:c r="D12" s="194" t="str">
        <x:v>Deliberação ANBIMA nº 72, art. 3º, II</x:v>
      </x:c>
      <x:c r="E12" s="194" t="str">
        <x:v>https://www.anbima.com.br/data/files/A9/E6/5A/8B/BAC575106582A275862C16A8/DeliberacaoN72-Diretriz-de-Classificacao-de-FIDC_1_.PDF</x:v>
      </x:c>
      <x:c r="F12" s="194" t="str">
        <x:v>Tipo; focos detalham produto</x:v>
      </x:c>
    </x:row>
    <x:row r="13" ht="58" customHeight="1">
      <x:c r="A13" s="194" t="str">
        <x:v>ANBIMA</x:v>
      </x:c>
      <x:c r="B13" s="194" t="str">
        <x:v>Agro, Indústria e Comércio</x:v>
      </x:c>
      <x:c r="C13" s="194" t="str">
        <x:v>Recebíveis de infraestrutura, operações comerciais não bancárias, crédito corporativo, agronegócio ou Multicarteira Agro/Indústria/Comércio.</x:v>
      </x:c>
      <x:c r="D13" s="194" t="str">
        <x:v>Deliberação ANBIMA nº 72, art. 3º, III</x:v>
      </x:c>
      <x:c r="E13" s="194" t="str">
        <x:v>https://www.anbima.com.br/data/files/A9/E6/5A/8B/BAC575106582A275862C16A8/DeliberacaoN72-Diretriz-de-Classificacao-de-FIDC_1_.PDF</x:v>
      </x:c>
      <x:c r="F13" s="194" t="str">
        <x:v>Tipo; focos detalham setor</x:v>
      </x:c>
    </x:row>
    <x:row r="14" ht="58" customHeight="1">
      <x:c r="A14" s="194" t="str">
        <x:v>ANBIMA</x:v>
      </x:c>
      <x:c r="B14" s="194" t="str">
        <x:v>Outros</x:v>
      </x:c>
      <x:c r="C14" s="194" t="str">
        <x:v>Recebíveis de recuperação/NPL, Poder Público ou Multicarteira Outros.</x:v>
      </x:c>
      <x:c r="D14" s="194" t="str">
        <x:v>Deliberação ANBIMA nº 72, art. 3º, IV</x:v>
      </x:c>
      <x:c r="E14" s="194" t="str">
        <x:v>https://www.anbima.com.br/data/files/A9/E6/5A/8B/BAC575106582A275862C16A8/DeliberacaoN72-Diretriz-de-Classificacao-de-FIDC_1_.PDF</x:v>
      </x:c>
      <x:c r="F14" s="194" t="str">
        <x:v>Tipo residual definido</x:v>
      </x:c>
    </x:row>
    <x:row r="15" ht="58" customHeight="1">
      <x:c r="A15" s="194" t="str">
        <x:v>ANBIMA</x:v>
      </x:c>
      <x:c r="B15" s="194" t="str">
        <x:v>Multicarteira</x:v>
      </x:c>
      <x:c r="C15" s="194" t="str">
        <x:v>Recebíveis de dois ou mais setores/tipos do respectivo grupo, sem compromisso declarado de concentração em um setor específico.</x:v>
      </x:c>
      <x:c r="D15" s="194" t="str">
        <x:v>Deliberação ANBIMA nº 72</x:v>
      </x:c>
      <x:c r="E15" s="194" t="str">
        <x:v>https://www.anbima.com.br/data/files/A9/E6/5A/8B/BAC575106582A275862C16A8/DeliberacaoN72-Diretriz-de-Classificacao-de-FIDC_1_.PDF</x:v>
      </x:c>
      <x:c r="F15" s="194" t="str">
        <x:v>Não mede cedentes/sacados</x:v>
      </x:c>
    </x:row>
    <x:row r="16" ht="58" customHeight="1">
      <x:c r="A16" s="195" t="str">
        <x:v>Analítico</x:v>
      </x:c>
      <x:c r="B16" s="195" t="str">
        <x:v>Ligada a banco / independente</x:v>
      </x:c>
      <x:c r="C16" s="195" t="str">
        <x:v>Segmentação criada para esta análise; não há campo oficial observado. O de-para consolida nomes de um mesmo conglomerado antes da soma.</x:v>
      </x:c>
      <x:c r="D16" s="195" t="str">
        <x:v>Depara Conglom!E:G</x:v>
      </x:c>
      <x:c r="E16" s="195" t="str">
        <x:v>Depara Conglom!E:G</x:v>
      </x:c>
      <x:c r="F16" s="195" t="str">
        <x:v>Revisão manual recomendada</x:v>
      </x:c>
    </x:row>
  </x:sheetData>
  <x:mergeCells>
    <x:mergeCell ref="A1:F2"/>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0" hidden="0" customWidth="1"/>
    <x:col min="4" max="4" width="20" hidden="0" customWidth="1"/>
    <x:col min="5" max="5" width="18" hidden="0" customWidth="1"/>
    <x:col min="6" max="6" width="34" hidden="0" customWidth="1"/>
  </x:cols>
  <x:sheetData>
    <x:row r="1" ht="30" customHeight="1">
      <x:c r="A1" s="4" t="str">
        <x:v>Referências históricas | divergências entre as imagens fornecidas</x:v>
      </x:c>
      <x:c r="B1" s="4" t="str">
        <x:v>Referências históricas | divergências entre as imagens fornecidas</x:v>
      </x:c>
      <x:c r="C1" s="4" t="str">
        <x:v>Referências históricas | divergências entre as imagens fornecidas</x:v>
      </x:c>
      <x:c r="D1" s="4" t="str">
        <x:v>Referências históricas | divergências entre as imagens fornecidas</x:v>
      </x:c>
      <x:c r="E1" s="4" t="str">
        <x:v>Referências históricas | divergências entre as imagens fornecidas</x:v>
      </x:c>
      <x:c r="F1" s="4" t="str">
        <x:v>Referências históricas | divergências entre as imagens fornecidas</x:v>
      </x:c>
      <x:c r="G1" s="4" t="str">
        <x:v>Referências históricas | divergências entre as imagens fornecidas</x:v>
      </x:c>
    </x:row>
    <x:row r="2" ht="30" customHeight="1">
      <x:c r="A2" s="4" t="str">
        <x:v>Referências históricas | divergências entre as imagens fornecidas</x:v>
      </x:c>
      <x:c r="B2" s="4" t="str">
        <x:v>Referências históricas | divergências entre as imagens fornecidas</x:v>
      </x:c>
      <x:c r="C2" s="4" t="str">
        <x:v>Referências históricas | divergências entre as imagens fornecidas</x:v>
      </x:c>
      <x:c r="D2" s="4" t="str">
        <x:v>Referências históricas | divergências entre as imagens fornecidas</x:v>
      </x:c>
      <x:c r="E2" s="4" t="str">
        <x:v>Referências históricas | divergências entre as imagens fornecidas</x:v>
      </x:c>
      <x:c r="F2" s="4" t="str">
        <x:v>Referências históricas | divergências entre as imagens fornecidas</x:v>
      </x:c>
      <x:c r="G2" s="4" t="str">
        <x:v>Referências históricas | divergências entre as imagens fornecidas</x:v>
      </x:c>
    </x:row>
    <x:row r="3">
      <x:c r="A3" s="197" t="str">
        <x:v>A série principal usa IMG_8178.JPG. IMG_8177.JPG mostra pequenas diferenças, provavelmente decorrentes de data de corte, universo ou revisão. Sem metadado de origem, não foi feita reconciliação artificial.</x:v>
      </x:c>
      <x:c r="B3" s="197" t="str">
        <x:v>A série principal usa IMG_8178.JPG. IMG_8177.JPG mostra pequenas diferenças, provavelmente decorrentes de data de corte, universo ou revisão. Sem metadado de origem, não foi feita reconciliação artificial.</x:v>
      </x:c>
      <x:c r="C3" s="197" t="str">
        <x:v>A série principal usa IMG_8178.JPG. IMG_8177.JPG mostra pequenas diferenças, provavelmente decorrentes de data de corte, universo ou revisão. Sem metadado de origem, não foi feita reconciliação artificial.</x:v>
      </x:c>
      <x:c r="D3" s="197" t="str">
        <x:v>A série principal usa IMG_8178.JPG. IMG_8177.JPG mostra pequenas diferenças, provavelmente decorrentes de data de corte, universo ou revisão. Sem metadado de origem, não foi feita reconciliação artificial.</x:v>
      </x:c>
      <x:c r="E3" s="197" t="str">
        <x:v>A série principal usa IMG_8178.JPG. IMG_8177.JPG mostra pequenas diferenças, provavelmente decorrentes de data de corte, universo ou revisão. Sem metadado de origem, não foi feita reconciliação artificial.</x:v>
      </x:c>
      <x:c r="F3" s="197" t="str">
        <x:v>A série principal usa IMG_8178.JPG. IMG_8177.JPG mostra pequenas diferenças, provavelmente decorrentes de data de corte, universo ou revisão. Sem metadado de origem, não foi feita reconciliação artificial.</x:v>
      </x:c>
      <x:c r="G3" s="197" t="str">
        <x:v>A série principal usa IMG_8178.JPG. IMG_8177.JPG mostra pequenas diferenças, provavelmente decorrentes de data de corte, universo ou revisão. Sem metadado de origem, não foi feita reconciliação artificial.</x:v>
      </x:c>
    </x:row>
    <x:row r="4">
      <x:c r="A4" s="211"/>
      <x:c r="B4" s="211"/>
      <x:c r="C4" s="211"/>
      <x:c r="D4" s="211"/>
      <x:c r="E4" s="211"/>
      <x:c r="F4" s="211"/>
      <x:c r="G4" s="211"/>
    </x:row>
    <x:row r="5" ht="28" customHeight="1">
      <x:c r="A5" s="20" t="str">
        <x:v>Ano</x:v>
      </x:c>
      <x:c r="B5" s="21" t="str">
        <x:v>IMG_8178 (R$ bi)</x:v>
      </x:c>
      <x:c r="C5" s="21" t="str">
        <x:v>IMG_8177 (R$ bi)</x:v>
      </x:c>
      <x:c r="D5" s="21" t="str">
        <x:v>Diferença (R$ bi)</x:v>
      </x:c>
      <x:c r="E5" s="21" t="str">
        <x:v>Série usada</x:v>
      </x:c>
      <x:c r="F5" s="22" t="str">
        <x:v>Nota</x:v>
      </x:c>
      <x:c r="G5" s="211"/>
    </x:row>
    <x:row r="6">
      <x:c r="A6" s="110" t="n">
        <x:v>2013</x:v>
      </x:c>
      <x:c r="B6" s="119" t="n">
        <x:v>77</x:v>
      </x:c>
      <x:c r="C6" s="119" t="n">
        <x:v>78</x:v>
      </x:c>
      <x:c r="D6" s="119" t="n">
        <x:v>1</x:v>
      </x:c>
      <x:c r="E6" s="110" t="str">
        <x:v>IMG_8178</x:v>
      </x:c>
      <x:c r="F6" s="110" t="str">
        <x:v>Divergência de referência</x:v>
      </x:c>
      <x:c r="G6" s="211"/>
    </x:row>
    <x:row r="7">
      <x:c r="A7" s="111" t="n">
        <x:v>2014</x:v>
      </x:c>
      <x:c r="B7" s="120" t="n">
        <x:v>67</x:v>
      </x:c>
      <x:c r="C7" s="120" t="n">
        <x:v>67</x:v>
      </x:c>
      <x:c r="D7" s="120" t="n">
        <x:v>0</x:v>
      </x:c>
      <x:c r="E7" s="111" t="str">
        <x:v>IMG_8178</x:v>
      </x:c>
      <x:c r="F7" s="111" t="str">
        <x:v>Sem diferença</x:v>
      </x:c>
      <x:c r="G7" s="211"/>
    </x:row>
    <x:row r="8">
      <x:c r="A8" s="111" t="n">
        <x:v>2015</x:v>
      </x:c>
      <x:c r="B8" s="120" t="n">
        <x:v>75</x:v>
      </x:c>
      <x:c r="C8" s="120" t="n">
        <x:v>75</x:v>
      </x:c>
      <x:c r="D8" s="120" t="n">
        <x:v>0</x:v>
      </x:c>
      <x:c r="E8" s="111" t="str">
        <x:v>IMG_8178</x:v>
      </x:c>
      <x:c r="F8" s="111" t="str">
        <x:v>Sem diferença</x:v>
      </x:c>
      <x:c r="G8" s="211"/>
    </x:row>
    <x:row r="9">
      <x:c r="A9" s="111" t="n">
        <x:v>2016</x:v>
      </x:c>
      <x:c r="B9" s="120" t="n">
        <x:v>87</x:v>
      </x:c>
      <x:c r="C9" s="120" t="n">
        <x:v>87</x:v>
      </x:c>
      <x:c r="D9" s="120" t="n">
        <x:v>0</x:v>
      </x:c>
      <x:c r="E9" s="111" t="str">
        <x:v>IMG_8178</x:v>
      </x:c>
      <x:c r="F9" s="111" t="str">
        <x:v>Sem diferença</x:v>
      </x:c>
      <x:c r="G9" s="211"/>
    </x:row>
    <x:row r="10">
      <x:c r="A10" s="111" t="n">
        <x:v>2017</x:v>
      </x:c>
      <x:c r="B10" s="120" t="n">
        <x:v>105</x:v>
      </x:c>
      <x:c r="C10" s="120" t="n">
        <x:v>105</x:v>
      </x:c>
      <x:c r="D10" s="120" t="n">
        <x:v>0</x:v>
      </x:c>
      <x:c r="E10" s="111" t="str">
        <x:v>IMG_8178</x:v>
      </x:c>
      <x:c r="F10" s="111" t="str">
        <x:v>Sem diferença</x:v>
      </x:c>
      <x:c r="G10" s="211"/>
    </x:row>
    <x:row r="11">
      <x:c r="A11" s="111" t="n">
        <x:v>2018</x:v>
      </x:c>
      <x:c r="B11" s="120" t="n">
        <x:v>122</x:v>
      </x:c>
      <x:c r="C11" s="120" t="n">
        <x:v>123</x:v>
      </x:c>
      <x:c r="D11" s="120" t="n">
        <x:v>1</x:v>
      </x:c>
      <x:c r="E11" s="111" t="str">
        <x:v>IMG_8178</x:v>
      </x:c>
      <x:c r="F11" s="111" t="str">
        <x:v>Divergência de referência</x:v>
      </x:c>
      <x:c r="G11" s="211"/>
    </x:row>
    <x:row r="12">
      <x:c r="A12" s="111" t="n">
        <x:v>2019</x:v>
      </x:c>
      <x:c r="B12" s="120" t="n">
        <x:v>204</x:v>
      </x:c>
      <x:c r="C12" s="120" t="n">
        <x:v>204</x:v>
      </x:c>
      <x:c r="D12" s="120" t="n">
        <x:v>0</x:v>
      </x:c>
      <x:c r="E12" s="111" t="str">
        <x:v>IMG_8178</x:v>
      </x:c>
      <x:c r="F12" s="111" t="str">
        <x:v>Sem diferença</x:v>
      </x:c>
      <x:c r="G12" s="211"/>
    </x:row>
    <x:row r="13">
      <x:c r="A13" s="111" t="n">
        <x:v>2020</x:v>
      </x:c>
      <x:c r="B13" s="120" t="n">
        <x:v>162</x:v>
      </x:c>
      <x:c r="C13" s="120" t="n">
        <x:v>162</x:v>
      </x:c>
      <x:c r="D13" s="120" t="n">
        <x:v>0</x:v>
      </x:c>
      <x:c r="E13" s="111" t="str">
        <x:v>IMG_8178</x:v>
      </x:c>
      <x:c r="F13" s="111" t="str">
        <x:v>Sem diferença</x:v>
      </x:c>
      <x:c r="G13" s="211"/>
    </x:row>
    <x:row r="14">
      <x:c r="A14" s="111" t="n">
        <x:v>2021</x:v>
      </x:c>
      <x:c r="B14" s="120" t="n">
        <x:v>286</x:v>
      </x:c>
      <x:c r="C14" s="120" t="n">
        <x:v>286</x:v>
      </x:c>
      <x:c r="D14" s="120" t="n">
        <x:v>0</x:v>
      </x:c>
      <x:c r="E14" s="111" t="str">
        <x:v>IMG_8178</x:v>
      </x:c>
      <x:c r="F14" s="111" t="str">
        <x:v>Sem diferença</x:v>
      </x:c>
      <x:c r="G14" s="211"/>
    </x:row>
    <x:row r="15">
      <x:c r="A15" s="111" t="n">
        <x:v>2022</x:v>
      </x:c>
      <x:c r="B15" s="120" t="n">
        <x:v>338</x:v>
      </x:c>
      <x:c r="C15" s="120" t="n">
        <x:v>339</x:v>
      </x:c>
      <x:c r="D15" s="120" t="n">
        <x:v>1</x:v>
      </x:c>
      <x:c r="E15" s="111" t="str">
        <x:v>IMG_8178</x:v>
      </x:c>
      <x:c r="F15" s="111" t="str">
        <x:v>Divergência de referência</x:v>
      </x:c>
      <x:c r="G15" s="211"/>
    </x:row>
    <x:row r="16">
      <x:c r="A16" s="112" t="n">
        <x:v>2023</x:v>
      </x:c>
      <x:c r="B16" s="124" t="n">
        <x:v>426</x:v>
      </x:c>
      <x:c r="C16" s="124" t="n">
        <x:v>434</x:v>
      </x:c>
      <x:c r="D16" s="124" t="n">
        <x:v>8</x:v>
      </x:c>
      <x:c r="E16" s="112" t="str">
        <x:v>IMG_8178</x:v>
      </x:c>
      <x:c r="F16" s="112" t="str">
        <x:v>Divergência de referência</x:v>
      </x:c>
      <x:c r="G16" s="211"/>
    </x:row>
    <x:row r="17">
      <x:c r="A17" s="211"/>
      <x:c r="B17" s="211"/>
      <x:c r="C17" s="211"/>
      <x:c r="D17" s="211"/>
      <x:c r="E17" s="211"/>
      <x:c r="F17" s="211"/>
      <x:c r="G17" s="211"/>
    </x:row>
    <x:row r="18">
      <x:c r="A18" s="211"/>
      <x:c r="B18" s="211"/>
      <x:c r="C18" s="211"/>
      <x:c r="D18" s="211"/>
      <x:c r="E18" s="211"/>
      <x:c r="F18" s="211"/>
      <x:c r="G18" s="211"/>
    </x:row>
    <x:row r="19">
      <x:c r="A19" s="211"/>
      <x:c r="B19" s="211"/>
      <x:c r="C19" s="211"/>
      <x:c r="D19" s="211"/>
      <x:c r="E19" s="211"/>
      <x:c r="F19" s="211"/>
      <x:c r="G19" s="211"/>
    </x:row>
    <x:row r="20">
      <x:c r="A20" s="211"/>
      <x:c r="B20" s="211"/>
      <x:c r="C20" s="211"/>
      <x:c r="D20" s="211"/>
      <x:c r="E20" s="211"/>
      <x:c r="F20" s="211"/>
      <x:c r="G20" s="211"/>
    </x:row>
    <x:row r="21">
      <x:c r="A21" s="211"/>
      <x:c r="B21" s="211"/>
      <x:c r="C21" s="211"/>
      <x:c r="D21" s="211"/>
      <x:c r="E21" s="211"/>
      <x:c r="F21" s="211"/>
      <x:c r="G21" s="211"/>
    </x:row>
    <x:row r="22">
      <x:c r="A22" s="211"/>
      <x:c r="B22" s="211"/>
      <x:c r="C22" s="211"/>
      <x:c r="D22" s="211"/>
      <x:c r="E22" s="211"/>
      <x:c r="F22" s="211"/>
      <x:c r="G22" s="211"/>
    </x:row>
    <x:row r="23">
      <x:c r="A23" s="211"/>
      <x:c r="B23" s="211"/>
      <x:c r="C23" s="211"/>
      <x:c r="D23" s="211"/>
      <x:c r="E23" s="211"/>
      <x:c r="F23" s="211"/>
      <x:c r="G23" s="211"/>
    </x:row>
    <x:row r="24">
      <x:c r="A24" s="211"/>
      <x:c r="B24" s="211"/>
      <x:c r="C24" s="211"/>
      <x:c r="D24" s="211"/>
      <x:c r="E24" s="211"/>
      <x:c r="F24" s="211"/>
      <x:c r="G24" s="211"/>
    </x:row>
    <x:row r="25">
      <x:c r="A25" s="211"/>
      <x:c r="B25" s="211"/>
      <x:c r="C25" s="211"/>
      <x:c r="D25" s="211"/>
      <x:c r="E25" s="211"/>
      <x:c r="F25" s="211"/>
      <x:c r="G25" s="211"/>
    </x:row>
    <x:row r="26">
      <x:c r="A26" s="211"/>
      <x:c r="B26" s="211"/>
      <x:c r="C26" s="211"/>
      <x:c r="D26" s="211"/>
      <x:c r="E26" s="211"/>
      <x:c r="F26" s="211"/>
      <x:c r="G26" s="211"/>
    </x:row>
    <x:row r="27">
      <x:c r="A27" s="211"/>
      <x:c r="B27" s="211"/>
      <x:c r="C27" s="211"/>
      <x:c r="D27" s="211"/>
      <x:c r="E27" s="211"/>
      <x:c r="F27" s="211"/>
      <x:c r="G27" s="211"/>
    </x:row>
    <x:row r="28">
      <x:c r="A28" s="211"/>
      <x:c r="B28" s="211"/>
      <x:c r="C28" s="211"/>
      <x:c r="D28" s="211"/>
      <x:c r="E28" s="211"/>
      <x:c r="F28" s="211"/>
      <x:c r="G28" s="211"/>
    </x:row>
    <x:row r="29">
      <x:c r="A29" s="211"/>
      <x:c r="B29" s="211"/>
      <x:c r="C29" s="211"/>
      <x:c r="D29" s="211"/>
      <x:c r="E29" s="211"/>
      <x:c r="F29" s="211"/>
      <x:c r="G29" s="211"/>
    </x:row>
    <x:row r="30">
      <x:c r="A30" s="211"/>
      <x:c r="B30" s="211"/>
      <x:c r="C30" s="211"/>
      <x:c r="D30" s="211"/>
      <x:c r="E30" s="211"/>
      <x:c r="F30" s="211"/>
      <x:c r="G30" s="211"/>
    </x:row>
    <x:row r="31">
      <x:c r="A31" s="211"/>
      <x:c r="B31" s="211"/>
      <x:c r="C31" s="211"/>
      <x:c r="D31" s="211"/>
      <x:c r="E31" s="211"/>
      <x:c r="F31" s="211"/>
      <x:c r="G31" s="211"/>
    </x:row>
    <x:row r="32">
      <x:c r="A32" s="211"/>
      <x:c r="B32" s="211"/>
      <x:c r="C32" s="211"/>
      <x:c r="D32" s="211"/>
      <x:c r="E32" s="211"/>
      <x:c r="F32" s="211"/>
      <x:c r="G32" s="211"/>
    </x:row>
    <x:row r="33">
      <x:c r="A33" s="211"/>
      <x:c r="B33" s="211"/>
      <x:c r="C33" s="211"/>
      <x:c r="D33" s="211"/>
      <x:c r="E33" s="211"/>
      <x:c r="F33" s="211"/>
      <x:c r="G33" s="211"/>
    </x:row>
    <x:row r="34">
      <x:c r="A34" s="211"/>
      <x:c r="B34" s="211"/>
      <x:c r="C34" s="211"/>
      <x:c r="D34" s="211"/>
      <x:c r="E34" s="211"/>
      <x:c r="F34" s="211"/>
      <x:c r="G34" s="211"/>
    </x:row>
    <x:row r="35">
      <x:c r="A35" s="211"/>
      <x:c r="B35" s="211"/>
      <x:c r="C35" s="211"/>
      <x:c r="D35" s="211"/>
      <x:c r="E35" s="211"/>
      <x:c r="F35" s="211"/>
      <x:c r="G35" s="211"/>
    </x:row>
    <x:row r="36">
      <x:c r="A36" s="211"/>
      <x:c r="B36" s="211"/>
      <x:c r="C36" s="211"/>
      <x:c r="D36" s="211"/>
      <x:c r="E36" s="211"/>
      <x:c r="F36" s="211"/>
      <x:c r="G36" s="211"/>
    </x:row>
    <x:row r="37">
      <x:c r="A37" s="211"/>
      <x:c r="B37" s="211"/>
      <x:c r="C37" s="211"/>
      <x:c r="D37" s="211"/>
      <x:c r="E37" s="211"/>
      <x:c r="F37" s="211"/>
      <x:c r="G37" s="211"/>
    </x:row>
    <x:row r="38">
      <x:c r="A38" s="211"/>
      <x:c r="B38" s="211"/>
      <x:c r="C38" s="211"/>
      <x:c r="D38" s="211"/>
      <x:c r="E38" s="211"/>
      <x:c r="F38" s="211"/>
      <x:c r="G38" s="211"/>
    </x:row>
    <x:row r="39">
      <x:c r="A39" s="211"/>
      <x:c r="B39" s="211"/>
      <x:c r="C39" s="211"/>
      <x:c r="D39" s="211"/>
      <x:c r="E39" s="211"/>
      <x:c r="F39" s="211"/>
      <x:c r="G39" s="211"/>
    </x:row>
    <x:row r="40">
      <x:c r="A40" s="52" t="str">
        <x:v>A diferença atinge R$ 8 bi em 2023 (426 versus 434). Essa divergência é material para CAGR e deve permanecer visível. O dashboard atual observado oferece histórico consolidado a partir de out/2024, não permitindo retroceder a mesma série até 2013.</x:v>
      </x:c>
      <x:c r="B40" s="52" t="str">
        <x:v>A diferença atinge R$ 8 bi em 2023 (426 versus 434). Essa divergência é material para CAGR e deve permanecer visível. O dashboard atual observado oferece histórico consolidado a partir de out/2024, não permitindo retroceder a mesma série até 2013.</x:v>
      </x:c>
      <x:c r="C40" s="52" t="str">
        <x:v>A diferença atinge R$ 8 bi em 2023 (426 versus 434). Essa divergência é material para CAGR e deve permanecer visível. O dashboard atual observado oferece histórico consolidado a partir de out/2024, não permitindo retroceder a mesma série até 2013.</x:v>
      </x:c>
      <x:c r="D40" s="52" t="str">
        <x:v>A diferença atinge R$ 8 bi em 2023 (426 versus 434). Essa divergência é material para CAGR e deve permanecer visível. O dashboard atual observado oferece histórico consolidado a partir de out/2024, não permitindo retroceder a mesma série até 2013.</x:v>
      </x:c>
      <x:c r="E40" s="52" t="str">
        <x:v>A diferença atinge R$ 8 bi em 2023 (426 versus 434). Essa divergência é material para CAGR e deve permanecer visível. O dashboard atual observado oferece histórico consolidado a partir de out/2024, não permitindo retroceder a mesma série até 2013.</x:v>
      </x:c>
      <x:c r="F40" s="52" t="str">
        <x:v>A diferença atinge R$ 8 bi em 2023 (426 versus 434). Essa divergência é material para CAGR e deve permanecer visível. O dashboard atual observado oferece histórico consolidado a partir de out/2024, não permitindo retroceder a mesma série até 2013.</x:v>
      </x:c>
      <x:c r="G40" s="52" t="str">
        <x:v>A diferença atinge R$ 8 bi em 2023 (426 versus 434). Essa divergência é material para CAGR e deve permanecer visível. O dashboard atual observado oferece histórico consolidado a partir de out/2024, não permitindo retroceder a mesma série até 2013.</x:v>
      </x:c>
    </x:row>
    <x:row r="41">
      <x:c r="A41" s="52" t="str">
        <x:v>A diferença atinge R$ 8 bi em 2023 (426 versus 434). Essa divergência é material para CAGR e deve permanecer visível. O dashboard atual observado oferece histórico consolidado a partir de out/2024, não permitindo retroceder a mesma série até 2013.</x:v>
      </x:c>
      <x:c r="B41" s="52" t="str">
        <x:v>A diferença atinge R$ 8 bi em 2023 (426 versus 434). Essa divergência é material para CAGR e deve permanecer visível. O dashboard atual observado oferece histórico consolidado a partir de out/2024, não permitindo retroceder a mesma série até 2013.</x:v>
      </x:c>
      <x:c r="C41" s="52" t="str">
        <x:v>A diferença atinge R$ 8 bi em 2023 (426 versus 434). Essa divergência é material para CAGR e deve permanecer visível. O dashboard atual observado oferece histórico consolidado a partir de out/2024, não permitindo retroceder a mesma série até 2013.</x:v>
      </x:c>
      <x:c r="D41" s="52" t="str">
        <x:v>A diferença atinge R$ 8 bi em 2023 (426 versus 434). Essa divergência é material para CAGR e deve permanecer visível. O dashboard atual observado oferece histórico consolidado a partir de out/2024, não permitindo retroceder a mesma série até 2013.</x:v>
      </x:c>
      <x:c r="E41" s="52" t="str">
        <x:v>A diferença atinge R$ 8 bi em 2023 (426 versus 434). Essa divergência é material para CAGR e deve permanecer visível. O dashboard atual observado oferece histórico consolidado a partir de out/2024, não permitindo retroceder a mesma série até 2013.</x:v>
      </x:c>
      <x:c r="F41" s="52" t="str">
        <x:v>A diferença atinge R$ 8 bi em 2023 (426 versus 434). Essa divergência é material para CAGR e deve permanecer visível. O dashboard atual observado oferece histórico consolidado a partir de out/2024, não permitindo retroceder a mesma série até 2013.</x:v>
      </x:c>
      <x:c r="G41" s="52" t="str">
        <x:v>A diferença atinge R$ 8 bi em 2023 (426 versus 434). Essa divergência é material para CAGR e deve permanecer visível. O dashboard atual observado oferece histórico consolidado a partir de out/2024, não permitindo retroceder a mesma série até 2013.</x:v>
      </x:c>
    </x:row>
    <x:row r="42">
      <x:c r="A42" s="52" t="str">
        <x:v>A diferença atinge R$ 8 bi em 2023 (426 versus 434). Essa divergência é material para CAGR e deve permanecer visível. O dashboard atual observado oferece histórico consolidado a partir de out/2024, não permitindo retroceder a mesma série até 2013.</x:v>
      </x:c>
      <x:c r="B42" s="52" t="str">
        <x:v>A diferença atinge R$ 8 bi em 2023 (426 versus 434). Essa divergência é material para CAGR e deve permanecer visível. O dashboard atual observado oferece histórico consolidado a partir de out/2024, não permitindo retroceder a mesma série até 2013.</x:v>
      </x:c>
      <x:c r="C42" s="52" t="str">
        <x:v>A diferença atinge R$ 8 bi em 2023 (426 versus 434). Essa divergência é material para CAGR e deve permanecer visível. O dashboard atual observado oferece histórico consolidado a partir de out/2024, não permitindo retroceder a mesma série até 2013.</x:v>
      </x:c>
      <x:c r="D42" s="52" t="str">
        <x:v>A diferença atinge R$ 8 bi em 2023 (426 versus 434). Essa divergência é material para CAGR e deve permanecer visível. O dashboard atual observado oferece histórico consolidado a partir de out/2024, não permitindo retroceder a mesma série até 2013.</x:v>
      </x:c>
      <x:c r="E42" s="52" t="str">
        <x:v>A diferença atinge R$ 8 bi em 2023 (426 versus 434). Essa divergência é material para CAGR e deve permanecer visível. O dashboard atual observado oferece histórico consolidado a partir de out/2024, não permitindo retroceder a mesma série até 2013.</x:v>
      </x:c>
      <x:c r="F42" s="52" t="str">
        <x:v>A diferença atinge R$ 8 bi em 2023 (426 versus 434). Essa divergência é material para CAGR e deve permanecer visível. O dashboard atual observado oferece histórico consolidado a partir de out/2024, não permitindo retroceder a mesma série até 2013.</x:v>
      </x:c>
      <x:c r="G42" s="52" t="str">
        <x:v>A diferença atinge R$ 8 bi em 2023 (426 versus 434). Essa divergência é material para CAGR e deve permanecer visível. O dashboard atual observado oferece histórico consolidado a partir de out/2024, não permitindo retroceder a mesma série até 2013.</x:v>
      </x:c>
    </x:row>
    <x:row r="43">
      <x:c r="A43" s="52" t="str">
        <x:v>A diferença atinge R$ 8 bi em 2023 (426 versus 434). Essa divergência é material para CAGR e deve permanecer visível. O dashboard atual observado oferece histórico consolidado a partir de out/2024, não permitindo retroceder a mesma série até 2013.</x:v>
      </x:c>
      <x:c r="B43" s="52" t="str">
        <x:v>A diferença atinge R$ 8 bi em 2023 (426 versus 434). Essa divergência é material para CAGR e deve permanecer visível. O dashboard atual observado oferece histórico consolidado a partir de out/2024, não permitindo retroceder a mesma série até 2013.</x:v>
      </x:c>
      <x:c r="C43" s="52" t="str">
        <x:v>A diferença atinge R$ 8 bi em 2023 (426 versus 434). Essa divergência é material para CAGR e deve permanecer visível. O dashboard atual observado oferece histórico consolidado a partir de out/2024, não permitindo retroceder a mesma série até 2013.</x:v>
      </x:c>
      <x:c r="D43" s="52" t="str">
        <x:v>A diferença atinge R$ 8 bi em 2023 (426 versus 434). Essa divergência é material para CAGR e deve permanecer visível. O dashboard atual observado oferece histórico consolidado a partir de out/2024, não permitindo retroceder a mesma série até 2013.</x:v>
      </x:c>
      <x:c r="E43" s="52" t="str">
        <x:v>A diferença atinge R$ 8 bi em 2023 (426 versus 434). Essa divergência é material para CAGR e deve permanecer visível. O dashboard atual observado oferece histórico consolidado a partir de out/2024, não permitindo retroceder a mesma série até 2013.</x:v>
      </x:c>
      <x:c r="F43" s="52" t="str">
        <x:v>A diferença atinge R$ 8 bi em 2023 (426 versus 434). Essa divergência é material para CAGR e deve permanecer visível. O dashboard atual observado oferece histórico consolidado a partir de out/2024, não permitindo retroceder a mesma série até 2013.</x:v>
      </x:c>
      <x:c r="G43" s="52" t="str">
        <x:v>A diferença atinge R$ 8 bi em 2023 (426 versus 434). Essa divergência é material para CAGR e deve permanecer visível. O dashboard atual observado oferece histórico consolidado a partir de out/2024, não permitindo retroceder a mesma série até 2013.</x:v>
      </x:c>
    </x:row>
  </x:sheetData>
  <x:mergeCells>
    <x:mergeCell ref="A1:G2"/>
    <x:mergeCell ref="A3:G3"/>
    <x:mergeCell ref="A40:G43"/>
  </x:mergeCells>
  <x:pageMargins left="0.7" right="0.7" top="0.75" bottom="0.75" header="0.3" footer="0.3"/>
  <x:drawing xmlns:r="http://schemas.openxmlformats.org/officeDocument/2006/relationships" r:id="Rbebe054abb0d47b1"/>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18" hidden="0" customWidth="1"/>
    <x:col min="4" max="4" width="30" hidden="0" customWidth="1"/>
    <x:col min="5" max="5" width="30" hidden="0" customWidth="1"/>
    <x:col min="6" max="6" width="20" hidden="0" customWidth="1"/>
    <x:col min="7" max="7" width="20" hidden="0" customWidth="1"/>
    <x:col min="8" max="8" width="34" hidden="0" customWidth="1"/>
    <x:col min="9" max="9" width="16" hidden="0" customWidth="1"/>
    <x:col min="10" max="10" width="16" hidden="0" customWidth="1"/>
  </x:cols>
  <x:sheetData>
    <x:row r="1" ht="30" customHeight="1">
      <x:c r="A1" s="4" t="str">
        <x:v>De-para de conglomerados | nomes observados em maio/2026</x:v>
      </x:c>
      <x:c r="B1" s="4" t="str">
        <x:v>De-para de conglomerados | nomes observados em maio/2026</x:v>
      </x:c>
      <x:c r="C1" s="4" t="str">
        <x:v>De-para de conglomerados | nomes observados em maio/2026</x:v>
      </x:c>
      <x:c r="D1" s="4" t="str">
        <x:v>De-para de conglomerados | nomes observados em maio/2026</x:v>
      </x:c>
      <x:c r="E1" s="4" t="str">
        <x:v>De-para de conglomerados | nomes observados em maio/2026</x:v>
      </x:c>
      <x:c r="F1" s="4" t="str">
        <x:v>De-para de conglomerados | nomes observados em maio/2026</x:v>
      </x:c>
      <x:c r="G1" s="4" t="str">
        <x:v>De-para de conglomerados | nomes observados em maio/2026</x:v>
      </x:c>
      <x:c r="H1" s="4" t="str">
        <x:v>De-para de conglomerados | nomes observados em maio/2026</x:v>
      </x:c>
      <x:c r="I1" s="4" t="str">
        <x:v>De-para de conglomerados | nomes observados em maio/2026</x:v>
      </x:c>
      <x:c r="J1" s="4" t="str">
        <x:v>De-para de conglomerados | nomes observados em maio/2026</x:v>
      </x:c>
    </x:row>
    <x:row r="2" ht="30" customHeight="1">
      <x:c r="A2" s="4" t="str">
        <x:v>De-para de conglomerados | nomes observados em maio/2026</x:v>
      </x:c>
      <x:c r="B2" s="4" t="str">
        <x:v>De-para de conglomerados | nomes observados em maio/2026</x:v>
      </x:c>
      <x:c r="C2" s="4" t="str">
        <x:v>De-para de conglomerados | nomes observados em maio/2026</x:v>
      </x:c>
      <x:c r="D2" s="4" t="str">
        <x:v>De-para de conglomerados | nomes observados em maio/2026</x:v>
      </x:c>
      <x:c r="E2" s="4" t="str">
        <x:v>De-para de conglomerados | nomes observados em maio/2026</x:v>
      </x:c>
      <x:c r="F2" s="4" t="str">
        <x:v>De-para de conglomerados | nomes observados em maio/2026</x:v>
      </x:c>
      <x:c r="G2" s="4" t="str">
        <x:v>De-para de conglomerados | nomes observados em maio/2026</x:v>
      </x:c>
      <x:c r="H2" s="4" t="str">
        <x:v>De-para de conglomerados | nomes observados em maio/2026</x:v>
      </x:c>
      <x:c r="I2" s="4" t="str">
        <x:v>De-para de conglomerados | nomes observados em maio/2026</x:v>
      </x:c>
      <x:c r="J2" s="4" t="str">
        <x:v>De-para de conglomerados | nomes observados em maio/2026</x:v>
      </x:c>
    </x:row>
    <x:row r="3">
      <x:c r="A3" s="199" t="str">
        <x:v>As colunas E e G são editáveis para revisão. Itaú/Kinea/Intrag, BTG, XP, Caixa, Bradesco/BEM/BRAM, BB, Santander e demais regras explícitas já foram consolidados. Linhas residuais têm prioridade de revisão.</x:v>
      </x:c>
      <x:c r="B3" s="199" t="str">
        <x:v>As colunas E e G são editáveis para revisão. Itaú/Kinea/Intrag, BTG, XP, Caixa, Bradesco/BEM/BRAM, BB, Santander e demais regras explícitas já foram consolidados. Linhas residuais têm prioridade de revisão.</x:v>
      </x:c>
      <x:c r="C3" s="199" t="str">
        <x:v>As colunas E e G são editáveis para revisão. Itaú/Kinea/Intrag, BTG, XP, Caixa, Bradesco/BEM/BRAM, BB, Santander e demais regras explícitas já foram consolidados. Linhas residuais têm prioridade de revisão.</x:v>
      </x:c>
      <x:c r="D3" s="199" t="str">
        <x:v>As colunas E e G são editáveis para revisão. Itaú/Kinea/Intrag, BTG, XP, Caixa, Bradesco/BEM/BRAM, BB, Santander e demais regras explícitas já foram consolidados. Linhas residuais têm prioridade de revisão.</x:v>
      </x:c>
      <x:c r="E3" s="199" t="str">
        <x:v>As colunas E e G são editáveis para revisão. Itaú/Kinea/Intrag, BTG, XP, Caixa, Bradesco/BEM/BRAM, BB, Santander e demais regras explícitas já foram consolidados. Linhas residuais têm prioridade de revisão.</x:v>
      </x:c>
      <x:c r="F3" s="199" t="str">
        <x:v>As colunas E e G são editáveis para revisão. Itaú/Kinea/Intrag, BTG, XP, Caixa, Bradesco/BEM/BRAM, BB, Santander e demais regras explícitas já foram consolidados. Linhas residuais têm prioridade de revisão.</x:v>
      </x:c>
      <x:c r="G3" s="199" t="str">
        <x:v>As colunas E e G são editáveis para revisão. Itaú/Kinea/Intrag, BTG, XP, Caixa, Bradesco/BEM/BRAM, BB, Santander e demais regras explícitas já foram consolidados. Linhas residuais têm prioridade de revisão.</x:v>
      </x:c>
      <x:c r="H3" s="199" t="str">
        <x:v>As colunas E e G são editáveis para revisão. Itaú/Kinea/Intrag, BTG, XP, Caixa, Bradesco/BEM/BRAM, BB, Santander e demais regras explícitas já foram consolidados. Linhas residuais têm prioridade de revisão.</x:v>
      </x:c>
      <x:c r="I3" s="199" t="str">
        <x:v>As colunas E e G são editáveis para revisão. Itaú/Kinea/Intrag, BTG, XP, Caixa, Bradesco/BEM/BRAM, BB, Santander e demais regras explícitas já foram consolidados. Linhas residuais têm prioridade de revisão.</x:v>
      </x:c>
      <x:c r="J3" s="199" t="str">
        <x:v>As colunas E e G são editáveis para revisão. Itaú/Kinea/Intrag, BTG, XP, Caixa, Bradesco/BEM/BRAM, BB, Santander e demais regras explícitas já foram consolidados. Linhas residuais têm prioridade de revisão.</x:v>
      </x:c>
    </x:row>
    <x:row r="4">
      <x:c r="A4" s="211"/>
      <x:c r="B4" s="211"/>
      <x:c r="C4" s="211"/>
      <x:c r="D4" s="211"/>
      <x:c r="E4" s="211"/>
      <x:c r="F4" s="211"/>
      <x:c r="G4" s="211"/>
      <x:c r="H4" s="211"/>
      <x:c r="I4" s="211"/>
      <x:c r="J4" s="211"/>
    </x:row>
    <x:row r="5" ht="28" customHeight="1">
      <x:c r="A5" s="20" t="str">
        <x:v>Papel</x:v>
      </x:c>
      <x:c r="B5" s="21" t="str">
        <x:v>Nome original</x:v>
      </x:c>
      <x:c r="C5" s="21" t="str">
        <x:v>PL mai/26 (R$ bi)</x:v>
      </x:c>
      <x:c r="D5" s="21" t="str">
        <x:v>Conglomerado sugerido</x:v>
      </x:c>
      <x:c r="E5" s="21" t="str">
        <x:v>Conglomerado final</x:v>
      </x:c>
      <x:c r="F5" s="21" t="str">
        <x:v>Vínculo sugerido</x:v>
      </x:c>
      <x:c r="G5" s="21" t="str">
        <x:v>Vínculo final</x:v>
      </x:c>
      <x:c r="H5" s="21" t="str">
        <x:v>Regra aplicada</x:v>
      </x:c>
      <x:c r="I5" s="21" t="str">
        <x:v>Confiança</x:v>
      </x:c>
      <x:c r="J5" s="22" t="str">
        <x:v>Revisar</x:v>
      </x:c>
    </x:row>
    <x:row r="6">
      <x:c r="A6" s="165" t="str">
        <x:v>Administrador</x:v>
      </x:c>
      <x:c r="B6" s="165" t="str">
        <x:v>Singulare</x:v>
      </x:c>
      <x:c r="C6" s="168" t="n">
        <x:v>117.12550315522648</x:v>
      </x:c>
      <x:c r="D6" s="165" t="str">
        <x:v>QI / Singulare</x:v>
      </x:c>
      <x:c r="E6" s="184" t="str">
        <x:v>QI / Singulare</x:v>
      </x:c>
      <x:c r="F6" s="165" t="str">
        <x:v>Independente</x:v>
      </x:c>
      <x:c r="G6" s="184" t="str">
        <x:v>Independente</x:v>
      </x:c>
      <x:c r="H6" s="165" t="str">
        <x:v>contém 'SINGULARE'</x:v>
      </x:c>
      <x:c r="I6" s="165" t="str">
        <x:v>Alta</x:v>
      </x:c>
      <x:c r="J6" s="165" t="str">
        <x:v>Confirmar</x:v>
      </x:c>
    </x:row>
    <x:row r="7">
      <x:c r="A7" s="166" t="str">
        <x:v>Administrador</x:v>
      </x:c>
      <x:c r="B7" s="166" t="str">
        <x:v>Oliveira Trust DTVM</x:v>
      </x:c>
      <x:c r="C7" s="169" t="n">
        <x:v>95.43419344046</x:v>
      </x:c>
      <x:c r="D7" s="166" t="str">
        <x:v>Oliveira Trust</x:v>
      </x:c>
      <x:c r="E7" s="185" t="str">
        <x:v>Oliveira Trust</x:v>
      </x:c>
      <x:c r="F7" s="166" t="str">
        <x:v>Independente</x:v>
      </x:c>
      <x:c r="G7" s="185" t="str">
        <x:v>Independente</x:v>
      </x:c>
      <x:c r="H7" s="166" t="str">
        <x:v>contém 'OLIVEIRA TRUST'</x:v>
      </x:c>
      <x:c r="I7" s="166" t="str">
        <x:v>Alta</x:v>
      </x:c>
      <x:c r="J7" s="166" t="str">
        <x:v>Confirmar</x:v>
      </x:c>
    </x:row>
    <x:row r="8">
      <x:c r="A8" s="166" t="str">
        <x:v>Administrador</x:v>
      </x:c>
      <x:c r="B8" s="166" t="str">
        <x:v>BTG Pactual Servicos Financeiros S/A DTVM</x:v>
      </x:c>
      <x:c r="C8" s="169" t="n">
        <x:v>82.98820505143755</x:v>
      </x:c>
      <x:c r="D8" s="166" t="str">
        <x:v>BTG Pactual</x:v>
      </x:c>
      <x:c r="E8" s="185" t="str">
        <x:v>BTG Pactual</x:v>
      </x:c>
      <x:c r="F8" s="166" t="str">
        <x:v>Ligada a banco</x:v>
      </x:c>
      <x:c r="G8" s="185" t="str">
        <x:v>Ligada a banco</x:v>
      </x:c>
      <x:c r="H8" s="166" t="str">
        <x:v>contém 'BTG PACTUAL'</x:v>
      </x:c>
      <x:c r="I8" s="166" t="str">
        <x:v>Alta</x:v>
      </x:c>
      <x:c r="J8" s="166" t="str">
        <x:v>Confirmar</x:v>
      </x:c>
    </x:row>
    <x:row r="9">
      <x:c r="A9" s="166" t="str">
        <x:v>Administrador</x:v>
      </x:c>
      <x:c r="B9" s="166" t="str">
        <x:v>BB Asset Management</x:v>
      </x:c>
      <x:c r="C9" s="169" t="n">
        <x:v>60.90074644365</x:v>
      </x:c>
      <x:c r="D9" s="166" t="str">
        <x:v>Banco do Brasil</x:v>
      </x:c>
      <x:c r="E9" s="185" t="str">
        <x:v>Banco do Brasil</x:v>
      </x:c>
      <x:c r="F9" s="166" t="str">
        <x:v>Ligada a banco</x:v>
      </x:c>
      <x:c r="G9" s="185" t="str">
        <x:v>Ligada a banco</x:v>
      </x:c>
      <x:c r="H9" s="166" t="str">
        <x:v>contém 'BB ASSET'</x:v>
      </x:c>
      <x:c r="I9" s="166" t="str">
        <x:v>Alta</x:v>
      </x:c>
      <x:c r="J9" s="166" t="str">
        <x:v>Confirmar</x:v>
      </x:c>
    </x:row>
    <x:row r="10">
      <x:c r="A10" s="166" t="str">
        <x:v>Administrador</x:v>
      </x:c>
      <x:c r="B10" s="166" t="str">
        <x:v>BEM - DIST. DE TÍTUL</x:v>
      </x:c>
      <x:c r="C10" s="169" t="n">
        <x:v>48.862054389600004</x:v>
      </x:c>
      <x:c r="D10" s="166" t="str">
        <x:v>Bradesco</x:v>
      </x:c>
      <x:c r="E10" s="185" t="str">
        <x:v>Bradesco</x:v>
      </x:c>
      <x:c r="F10" s="166" t="str">
        <x:v>Ligada a banco</x:v>
      </x:c>
      <x:c r="G10" s="185" t="str">
        <x:v>Ligada a banco</x:v>
      </x:c>
      <x:c r="H10" s="166" t="str">
        <x:v>contém 'BEM - DIST'</x:v>
      </x:c>
      <x:c r="I10" s="166" t="str">
        <x:v>Alta</x:v>
      </x:c>
      <x:c r="J10" s="166" t="str">
        <x:v>Confirmar</x:v>
      </x:c>
    </x:row>
    <x:row r="11">
      <x:c r="A11" s="166" t="str">
        <x:v>Administrador</x:v>
      </x:c>
      <x:c r="B11" s="166" t="str">
        <x:v>BANCO DAYCOVAL S/A</x:v>
      </x:c>
      <x:c r="C11" s="169" t="n">
        <x:v>44.2437610485337</x:v>
      </x:c>
      <x:c r="D11" s="166" t="str">
        <x:v>Banco Daycoval</x:v>
      </x:c>
      <x:c r="E11" s="185" t="str">
        <x:v>Banco Daycoval</x:v>
      </x:c>
      <x:c r="F11" s="166" t="str">
        <x:v>Ligada a banco</x:v>
      </x:c>
      <x:c r="G11" s="185" t="str">
        <x:v>Ligada a banco</x:v>
      </x:c>
      <x:c r="H11" s="166" t="str">
        <x:v>contém 'DAYCOVAL'</x:v>
      </x:c>
      <x:c r="I11" s="166" t="str">
        <x:v>Alta</x:v>
      </x:c>
      <x:c r="J11" s="166" t="str">
        <x:v>Confirmar</x:v>
      </x:c>
    </x:row>
    <x:row r="12">
      <x:c r="A12" s="166" t="str">
        <x:v>Administrador</x:v>
      </x:c>
      <x:c r="B12" s="166" t="str">
        <x:v>INTRAG DIST. DE TÍTU</x:v>
      </x:c>
      <x:c r="C12" s="169" t="n">
        <x:v>29.93565323385001</x:v>
      </x:c>
      <x:c r="D12" s="166" t="str">
        <x:v>Itaú Unibanco</x:v>
      </x:c>
      <x:c r="E12" s="185" t="str">
        <x:v>Itaú Unibanco</x:v>
      </x:c>
      <x:c r="F12" s="166" t="str">
        <x:v>Ligada a banco</x:v>
      </x:c>
      <x:c r="G12" s="185" t="str">
        <x:v>Ligada a banco</x:v>
      </x:c>
      <x:c r="H12" s="166" t="str">
        <x:v>contém 'INTRAG'</x:v>
      </x:c>
      <x:c r="I12" s="166" t="str">
        <x:v>Alta</x:v>
      </x:c>
      <x:c r="J12" s="166" t="str">
        <x:v>Confirmar</x:v>
      </x:c>
    </x:row>
    <x:row r="13">
      <x:c r="A13" s="166" t="str">
        <x:v>Administrador</x:v>
      </x:c>
      <x:c r="B13" s="166" t="str">
        <x:v>Banco Genial S.A.</x:v>
      </x:c>
      <x:c r="C13" s="169" t="n">
        <x:v>23.701739418248913</x:v>
      </x:c>
      <x:c r="D13" s="166" t="str">
        <x:v>Banco Genial</x:v>
      </x:c>
      <x:c r="E13" s="185" t="str">
        <x:v>Banco Genial</x:v>
      </x:c>
      <x:c r="F13" s="166" t="str">
        <x:v>Ligada a banco</x:v>
      </x:c>
      <x:c r="G13" s="185" t="str">
        <x:v>Ligada a banco</x:v>
      </x:c>
      <x:c r="H13" s="166" t="str">
        <x:v>contém 'BANCO GENIAL'</x:v>
      </x:c>
      <x:c r="I13" s="166" t="str">
        <x:v>Alta</x:v>
      </x:c>
      <x:c r="J13" s="166" t="str">
        <x:v>Confirmar</x:v>
      </x:c>
    </x:row>
    <x:row r="14">
      <x:c r="A14" s="166" t="str">
        <x:v>Administrador</x:v>
      </x:c>
      <x:c r="B14" s="166" t="str">
        <x:v>BRL TRUST DTVM</x:v>
      </x:c>
      <x:c r="C14" s="169" t="n">
        <x:v>20.414136402470007</x:v>
      </x:c>
      <x:c r="D14" s="166" t="str">
        <x:v>BRL TRUST DTVM</x:v>
      </x:c>
      <x:c r="E14" s="185" t="str">
        <x:v>BRL TRUST DTVM</x:v>
      </x:c>
      <x:c r="F14" s="166" t="str">
        <x:v>Independente</x:v>
      </x:c>
      <x:c r="G14" s="185" t="str">
        <x:v>Independente</x:v>
      </x:c>
      <x:c r="H14" s="166" t="str">
        <x:v>residual; requer revisão manual</x:v>
      </x:c>
      <x:c r="I14" s="166" t="str">
        <x:v>Baixa</x:v>
      </x:c>
      <x:c r="J14" s="166" t="str">
        <x:v>Sim — alta</x:v>
      </x:c>
    </x:row>
    <x:row r="15">
      <x:c r="A15" s="166" t="str">
        <x:v>Administrador</x:v>
      </x:c>
      <x:c r="B15" s="166" t="str">
        <x:v>HEMERA DTVM</x:v>
      </x:c>
      <x:c r="C15" s="169" t="n">
        <x:v>20.077561520219994</x:v>
      </x:c>
      <x:c r="D15" s="166" t="str">
        <x:v>HEMERA DTVM</x:v>
      </x:c>
      <x:c r="E15" s="185" t="str">
        <x:v>HEMERA DTVM</x:v>
      </x:c>
      <x:c r="F15" s="166" t="str">
        <x:v>Independente</x:v>
      </x:c>
      <x:c r="G15" s="185" t="str">
        <x:v>Independente</x:v>
      </x:c>
      <x:c r="H15" s="166" t="str">
        <x:v>residual; requer revisão manual</x:v>
      </x:c>
      <x:c r="I15" s="166" t="str">
        <x:v>Baixa</x:v>
      </x:c>
      <x:c r="J15" s="166" t="str">
        <x:v>Sim — alta</x:v>
      </x:c>
    </x:row>
    <x:row r="16">
      <x:c r="A16" s="166" t="str">
        <x:v>Administrador</x:v>
      </x:c>
      <x:c r="B16" s="166" t="str">
        <x:v>Genial Investimentos Corretora de Valores Mobiliários S.A.</x:v>
      </x:c>
      <x:c r="C16" s="169" t="n">
        <x:v>17.61974871988</x:v>
      </x:c>
      <x:c r="D16" s="166" t="str">
        <x:v>Banco Genial</x:v>
      </x:c>
      <x:c r="E16" s="185" t="str">
        <x:v>Banco Genial</x:v>
      </x:c>
      <x:c r="F16" s="166" t="str">
        <x:v>Ligada a banco</x:v>
      </x:c>
      <x:c r="G16" s="185" t="str">
        <x:v>Ligada a banco</x:v>
      </x:c>
      <x:c r="H16" s="166" t="str">
        <x:v>contém 'GENIAL INVESTIMENTOS'</x:v>
      </x:c>
      <x:c r="I16" s="166" t="str">
        <x:v>Alta</x:v>
      </x:c>
      <x:c r="J16" s="166" t="str">
        <x:v>Confirmar</x:v>
      </x:c>
    </x:row>
    <x:row r="17">
      <x:c r="A17" s="166" t="str">
        <x:v>Administrador</x:v>
      </x:c>
      <x:c r="B17" s="166" t="str">
        <x:v>Finaxis Corretora de Títulos e Valores Mobiliários S.A.</x:v>
      </x:c>
      <x:c r="C17" s="169" t="n">
        <x:v>16.649825185180006</x:v>
      </x:c>
      <x:c r="D17" s="166" t="str">
        <x:v>Finaxis Corretora de Títulos e Valores Mobiliários S.A.</x:v>
      </x:c>
      <x:c r="E17" s="185" t="str">
        <x:v>Finaxis Corretora de Títulos e Valores Mobiliários S.A.</x:v>
      </x:c>
      <x:c r="F17" s="166" t="str">
        <x:v>Independente</x:v>
      </x:c>
      <x:c r="G17" s="185" t="str">
        <x:v>Independente</x:v>
      </x:c>
      <x:c r="H17" s="166" t="str">
        <x:v>residual; requer revisão manual</x:v>
      </x:c>
      <x:c r="I17" s="166" t="str">
        <x:v>Baixa</x:v>
      </x:c>
      <x:c r="J17" s="166" t="str">
        <x:v>Sim — alta</x:v>
      </x:c>
    </x:row>
    <x:row r="18">
      <x:c r="A18" s="166" t="str">
        <x:v>Administrador</x:v>
      </x:c>
      <x:c r="B18" s="166" t="str">
        <x:v>VERT Distribuidora de Títulos e Valores Mobiliários Ltd</x:v>
      </x:c>
      <x:c r="C18" s="169" t="n">
        <x:v>14.783619117369994</x:v>
      </x:c>
      <x:c r="D18" s="166" t="str">
        <x:v>VERT Distribuidora de Títulos e Valores Mobiliários Ltd</x:v>
      </x:c>
      <x:c r="E18" s="185" t="str">
        <x:v>VERT Distribuidora de Títulos e Valores Mobiliários Ltd</x:v>
      </x:c>
      <x:c r="F18" s="166" t="str">
        <x:v>Independente</x:v>
      </x:c>
      <x:c r="G18" s="185" t="str">
        <x:v>Independente</x:v>
      </x:c>
      <x:c r="H18" s="166" t="str">
        <x:v>residual; requer revisão manual</x:v>
      </x:c>
      <x:c r="I18" s="166" t="str">
        <x:v>Baixa</x:v>
      </x:c>
      <x:c r="J18" s="166" t="str">
        <x:v>Sim — alta</x:v>
      </x:c>
    </x:row>
    <x:row r="19">
      <x:c r="A19" s="166" t="str">
        <x:v>Administrador</x:v>
      </x:c>
      <x:c r="B19" s="166" t="str">
        <x:v>PLANNER CV</x:v>
      </x:c>
      <x:c r="C19" s="169" t="n">
        <x:v>12.468792373459996</x:v>
      </x:c>
      <x:c r="D19" s="166" t="str">
        <x:v>PLANNER CV</x:v>
      </x:c>
      <x:c r="E19" s="185" t="str">
        <x:v>PLANNER CV</x:v>
      </x:c>
      <x:c r="F19" s="166" t="str">
        <x:v>Independente</x:v>
      </x:c>
      <x:c r="G19" s="185" t="str">
        <x:v>Independente</x:v>
      </x:c>
      <x:c r="H19" s="166" t="str">
        <x:v>residual; requer revisão manual</x:v>
      </x:c>
      <x:c r="I19" s="166" t="str">
        <x:v>Baixa</x:v>
      </x:c>
      <x:c r="J19" s="166" t="str">
        <x:v>Sim — alta</x:v>
      </x:c>
    </x:row>
    <x:row r="20">
      <x:c r="A20" s="166" t="str">
        <x:v>Administrador</x:v>
      </x:c>
      <x:c r="B20" s="166" t="str">
        <x:v>BNY MELLON SERVICOS</x:v>
      </x:c>
      <x:c r="C20" s="169" t="n">
        <x:v>11.651935012401148</x:v>
      </x:c>
      <x:c r="D20" s="166" t="str">
        <x:v>BNY Mellon</x:v>
      </x:c>
      <x:c r="E20" s="185" t="str">
        <x:v>BNY Mellon</x:v>
      </x:c>
      <x:c r="F20" s="166" t="str">
        <x:v>Ligada a banco</x:v>
      </x:c>
      <x:c r="G20" s="185" t="str">
        <x:v>Ligada a banco</x:v>
      </x:c>
      <x:c r="H20" s="166" t="str">
        <x:v>contém 'BNY MELLON'</x:v>
      </x:c>
      <x:c r="I20" s="166" t="str">
        <x:v>Alta</x:v>
      </x:c>
      <x:c r="J20" s="166" t="str">
        <x:v>Confirmar</x:v>
      </x:c>
    </x:row>
    <x:row r="21">
      <x:c r="A21" s="166" t="str">
        <x:v>Administrador</x:v>
      </x:c>
      <x:c r="B21" s="166" t="str">
        <x:v>VÓRTX DTVM</x:v>
      </x:c>
      <x:c r="C21" s="169" t="n">
        <x:v>11.295294154570001</x:v>
      </x:c>
      <x:c r="D21" s="166" t="str">
        <x:v>VÓRTX DTVM</x:v>
      </x:c>
      <x:c r="E21" s="185" t="str">
        <x:v>VÓRTX DTVM</x:v>
      </x:c>
      <x:c r="F21" s="166" t="str">
        <x:v>Independente</x:v>
      </x:c>
      <x:c r="G21" s="185" t="str">
        <x:v>Independente</x:v>
      </x:c>
      <x:c r="H21" s="166" t="str">
        <x:v>residual; requer revisão manual</x:v>
      </x:c>
      <x:c r="I21" s="166" t="str">
        <x:v>Baixa</x:v>
      </x:c>
      <x:c r="J21" s="166" t="str">
        <x:v>Sim — alta</x:v>
      </x:c>
    </x:row>
    <x:row r="22">
      <x:c r="A22" s="166" t="str">
        <x:v>Administrador</x:v>
      </x:c>
      <x:c r="B22" s="166" t="str">
        <x:v>TRUSTEE DTVM</x:v>
      </x:c>
      <x:c r="C22" s="169" t="n">
        <x:v>10.733597093450001</x:v>
      </x:c>
      <x:c r="D22" s="166" t="str">
        <x:v>TRUSTEE DTVM</x:v>
      </x:c>
      <x:c r="E22" s="185" t="str">
        <x:v>TRUSTEE DTVM</x:v>
      </x:c>
      <x:c r="F22" s="166" t="str">
        <x:v>Independente</x:v>
      </x:c>
      <x:c r="G22" s="185" t="str">
        <x:v>Independente</x:v>
      </x:c>
      <x:c r="H22" s="166" t="str">
        <x:v>residual; requer revisão manual</x:v>
      </x:c>
      <x:c r="I22" s="166" t="str">
        <x:v>Baixa</x:v>
      </x:c>
      <x:c r="J22" s="166" t="str">
        <x:v>Sim — alta</x:v>
      </x:c>
    </x:row>
    <x:row r="23">
      <x:c r="A23" s="166" t="str">
        <x:v>Administrador</x:v>
      </x:c>
      <x:c r="B23" s="166" t="str">
        <x:v>MAF Distribuidora de Títulos e Valores Mobiliários S.A.</x:v>
      </x:c>
      <x:c r="C23" s="169" t="n">
        <x:v>10.601394569339996</x:v>
      </x:c>
      <x:c r="D23" s="166" t="str">
        <x:v>MAF Distribuidora de Títulos e Valores Mobiliários S.A.</x:v>
      </x:c>
      <x:c r="E23" s="185" t="str">
        <x:v>MAF Distribuidora de Títulos e Valores Mobiliários S.A.</x:v>
      </x:c>
      <x:c r="F23" s="166" t="str">
        <x:v>Independente</x:v>
      </x:c>
      <x:c r="G23" s="185" t="str">
        <x:v>Independente</x:v>
      </x:c>
      <x:c r="H23" s="166" t="str">
        <x:v>residual; requer revisão manual</x:v>
      </x:c>
      <x:c r="I23" s="166" t="str">
        <x:v>Baixa</x:v>
      </x:c>
      <x:c r="J23" s="166" t="str">
        <x:v>Sim — alta</x:v>
      </x:c>
    </x:row>
    <x:row r="24">
      <x:c r="A24" s="166" t="str">
        <x:v>Administrador</x:v>
      </x:c>
      <x:c r="B24" s="166" t="str">
        <x:v>ID Corretora de Títulos e Valores Mobiliários S.A.</x:v>
      </x:c>
      <x:c r="C24" s="169" t="n">
        <x:v>9.955182324590002</x:v>
      </x:c>
      <x:c r="D24" s="166" t="str">
        <x:v>ID Corretora de Títulos e Valores Mobiliários S.A.</x:v>
      </x:c>
      <x:c r="E24" s="185" t="str">
        <x:v>ID Corretora de Títulos e Valores Mobiliários S.A.</x:v>
      </x:c>
      <x:c r="F24" s="166" t="str">
        <x:v>Independente</x:v>
      </x:c>
      <x:c r="G24" s="185" t="str">
        <x:v>Independente</x:v>
      </x:c>
      <x:c r="H24" s="166" t="str">
        <x:v>residual; requer revisão manual</x:v>
      </x:c>
      <x:c r="I24" s="166" t="str">
        <x:v>Baixa</x:v>
      </x:c>
      <x:c r="J24" s="166" t="str">
        <x:v>Sim — alta</x:v>
      </x:c>
    </x:row>
    <x:row r="25">
      <x:c r="A25" s="166" t="str">
        <x:v>Administrador</x:v>
      </x:c>
      <x:c r="B25" s="166" t="str">
        <x:v>FIDD DISTRIBUIDORA DE TITULOS E VALORES MOBILIARIOS LTD</x:v>
      </x:c>
      <x:c r="C25" s="169" t="n">
        <x:v>9.753308535739993</x:v>
      </x:c>
      <x:c r="D25" s="166" t="str">
        <x:v>FIDD DISTRIBUIDORA DE TITULOS E VALORES MOBILIARIOS LTD</x:v>
      </x:c>
      <x:c r="E25" s="185" t="str">
        <x:v>FIDD DISTRIBUIDORA DE TITULOS E VALORES MOBILIARIOS LTD</x:v>
      </x:c>
      <x:c r="F25" s="166" t="str">
        <x:v>Independente</x:v>
      </x:c>
      <x:c r="G25" s="185" t="str">
        <x:v>Independente</x:v>
      </x:c>
      <x:c r="H25" s="166" t="str">
        <x:v>residual; requer revisão manual</x:v>
      </x:c>
      <x:c r="I25" s="166" t="str">
        <x:v>Baixa</x:v>
      </x:c>
      <x:c r="J25" s="166" t="str">
        <x:v>Sim — alta</x:v>
      </x:c>
    </x:row>
    <x:row r="26">
      <x:c r="A26" s="166" t="str">
        <x:v>Administrador</x:v>
      </x:c>
      <x:c r="B26" s="166" t="str">
        <x:v>S3 Caceis Brasil Distribuidora de Títulos e Valores Mob</x:v>
      </x:c>
      <x:c r="C26" s="169" t="n">
        <x:v>9.20264530721085</x:v>
      </x:c>
      <x:c r="D26" s="166" t="str">
        <x:v>S3 Caceis Brasil Distribuidora de Títulos e Valores Mob</x:v>
      </x:c>
      <x:c r="E26" s="185" t="str">
        <x:v>S3 Caceis Brasil Distribuidora de Títulos e Valores Mob</x:v>
      </x:c>
      <x:c r="F26" s="166" t="str">
        <x:v>Independente</x:v>
      </x:c>
      <x:c r="G26" s="185" t="str">
        <x:v>Independente</x:v>
      </x:c>
      <x:c r="H26" s="166" t="str">
        <x:v>residual; requer revisão manual</x:v>
      </x:c>
      <x:c r="I26" s="166" t="str">
        <x:v>Baixa</x:v>
      </x:c>
      <x:c r="J26" s="166" t="str">
        <x:v>Sim — alta</x:v>
      </x:c>
    </x:row>
    <x:row r="27">
      <x:c r="A27" s="166" t="str">
        <x:v>Administrador</x:v>
      </x:c>
      <x:c r="B27" s="166" t="str">
        <x:v>Limine Trust Distribuidora de Titulos e Valores Mobiliá</x:v>
      </x:c>
      <x:c r="C27" s="169" t="n">
        <x:v>8.517352452465001</x:v>
      </x:c>
      <x:c r="D27" s="166" t="str">
        <x:v>Limine Trust Distribuidora de Titulos e Valores Mobiliá</x:v>
      </x:c>
      <x:c r="E27" s="185" t="str">
        <x:v>Limine Trust Distribuidora de Titulos e Valores Mobiliá</x:v>
      </x:c>
      <x:c r="F27" s="166" t="str">
        <x:v>Independente</x:v>
      </x:c>
      <x:c r="G27" s="185" t="str">
        <x:v>Independente</x:v>
      </x:c>
      <x:c r="H27" s="166" t="str">
        <x:v>residual; requer revisão manual</x:v>
      </x:c>
      <x:c r="I27" s="166" t="str">
        <x:v>Baixa</x:v>
      </x:c>
      <x:c r="J27" s="166" t="str">
        <x:v>Sim — alta</x:v>
      </x:c>
    </x:row>
    <x:row r="28">
      <x:c r="A28" s="166" t="str">
        <x:v>Administrador</x:v>
      </x:c>
      <x:c r="B28" s="166" t="str">
        <x:v>XPI CCTVM S/A</x:v>
      </x:c>
      <x:c r="C28" s="169" t="n">
        <x:v>8.214513221189998</x:v>
      </x:c>
      <x:c r="D28" s="166" t="str">
        <x:v>XP Inc.</x:v>
      </x:c>
      <x:c r="E28" s="185" t="str">
        <x:v>XP Inc.</x:v>
      </x:c>
      <x:c r="F28" s="166" t="str">
        <x:v>Ligada a banco</x:v>
      </x:c>
      <x:c r="G28" s="185" t="str">
        <x:v>Ligada a banco</x:v>
      </x:c>
      <x:c r="H28" s="166" t="str">
        <x:v>contém 'XPI CCTVM'</x:v>
      </x:c>
      <x:c r="I28" s="166" t="str">
        <x:v>Alta</x:v>
      </x:c>
      <x:c r="J28" s="166" t="str">
        <x:v>Confirmar</x:v>
      </x:c>
    </x:row>
    <x:row r="29">
      <x:c r="A29" s="166" t="str">
        <x:v>Administrador</x:v>
      </x:c>
      <x:c r="B29" s="166" t="str">
        <x:v>SEFER DTVM</x:v>
      </x:c>
      <x:c r="C29" s="169" t="n">
        <x:v>7.977639073850002</x:v>
      </x:c>
      <x:c r="D29" s="166" t="str">
        <x:v>SEFER DTVM</x:v>
      </x:c>
      <x:c r="E29" s="185" t="str">
        <x:v>SEFER DTVM</x:v>
      </x:c>
      <x:c r="F29" s="166" t="str">
        <x:v>Independente</x:v>
      </x:c>
      <x:c r="G29" s="185" t="str">
        <x:v>Independente</x:v>
      </x:c>
      <x:c r="H29" s="166" t="str">
        <x:v>residual; requer revisão manual</x:v>
      </x:c>
      <x:c r="I29" s="166" t="str">
        <x:v>Baixa</x:v>
      </x:c>
      <x:c r="J29" s="166" t="str">
        <x:v>Sim — alta</x:v>
      </x:c>
    </x:row>
    <x:row r="30">
      <x:c r="A30" s="166" t="str">
        <x:v>Administrador</x:v>
      </x:c>
      <x:c r="B30" s="166" t="str">
        <x:v>Banvox DTVM</x:v>
      </x:c>
      <x:c r="C30" s="169" t="n">
        <x:v>6.222612812850003</x:v>
      </x:c>
      <x:c r="D30" s="166" t="str">
        <x:v>Banvox DTVM</x:v>
      </x:c>
      <x:c r="E30" s="185" t="str">
        <x:v>Banvox DTVM</x:v>
      </x:c>
      <x:c r="F30" s="166" t="str">
        <x:v>Independente</x:v>
      </x:c>
      <x:c r="G30" s="185" t="str">
        <x:v>Independente</x:v>
      </x:c>
      <x:c r="H30" s="166" t="str">
        <x:v>residual; requer revisão manual</x:v>
      </x:c>
      <x:c r="I30" s="166" t="str">
        <x:v>Baixa</x:v>
      </x:c>
      <x:c r="J30" s="166" t="str">
        <x:v>Sim — alta</x:v>
      </x:c>
    </x:row>
    <x:row r="31">
      <x:c r="A31" s="166" t="str">
        <x:v>Administrador</x:v>
      </x:c>
      <x:c r="B31" s="166" t="str">
        <x:v>BANCO J. SAFRA S/A</x:v>
      </x:c>
      <x:c r="C31" s="169" t="n">
        <x:v>5.984543117059999</x:v>
      </x:c>
      <x:c r="D31" s="166" t="str">
        <x:v>Banco Safra</x:v>
      </x:c>
      <x:c r="E31" s="185" t="str">
        <x:v>Banco Safra</x:v>
      </x:c>
      <x:c r="F31" s="166" t="str">
        <x:v>Ligada a banco</x:v>
      </x:c>
      <x:c r="G31" s="185" t="str">
        <x:v>Ligada a banco</x:v>
      </x:c>
      <x:c r="H31" s="166" t="str">
        <x:v>contém 'BANCO J. SAFRA'</x:v>
      </x:c>
      <x:c r="I31" s="166" t="str">
        <x:v>Alta</x:v>
      </x:c>
      <x:c r="J31" s="166" t="str">
        <x:v>Confirmar</x:v>
      </x:c>
    </x:row>
    <x:row r="32">
      <x:c r="A32" s="166" t="str">
        <x:v>Administrador</x:v>
      </x:c>
      <x:c r="B32" s="166" t="str">
        <x:v>CATÁLISE DTVM</x:v>
      </x:c>
      <x:c r="C32" s="169" t="n">
        <x:v>5.884727056969999</x:v>
      </x:c>
      <x:c r="D32" s="166" t="str">
        <x:v>CATÁLISE DTVM</x:v>
      </x:c>
      <x:c r="E32" s="185" t="str">
        <x:v>CATÁLISE DTVM</x:v>
      </x:c>
      <x:c r="F32" s="166" t="str">
        <x:v>Independente</x:v>
      </x:c>
      <x:c r="G32" s="185" t="str">
        <x:v>Independente</x:v>
      </x:c>
      <x:c r="H32" s="166" t="str">
        <x:v>residual; requer revisão manual</x:v>
      </x:c>
      <x:c r="I32" s="166" t="str">
        <x:v>Baixa</x:v>
      </x:c>
      <x:c r="J32" s="166" t="str">
        <x:v>Sim — alta</x:v>
      </x:c>
    </x:row>
    <x:row r="33">
      <x:c r="A33" s="166" t="str">
        <x:v>Administrador</x:v>
      </x:c>
      <x:c r="B33" s="166" t="str">
        <x:v>Banco Finaxis S.A.</x:v>
      </x:c>
      <x:c r="C33" s="169" t="n">
        <x:v>5.28098169804</x:v>
      </x:c>
      <x:c r="D33" s="166" t="str">
        <x:v>Banco Finaxis</x:v>
      </x:c>
      <x:c r="E33" s="185" t="str">
        <x:v>Banco Finaxis</x:v>
      </x:c>
      <x:c r="F33" s="166" t="str">
        <x:v>Ligada a banco</x:v>
      </x:c>
      <x:c r="G33" s="185" t="str">
        <x:v>Ligada a banco</x:v>
      </x:c>
      <x:c r="H33" s="166" t="str">
        <x:v>razão social inicia por Banco</x:v>
      </x:c>
      <x:c r="I33" s="166" t="str">
        <x:v>Média</x:v>
      </x:c>
      <x:c r="J33" s="166" t="str">
        <x:v>Sim</x:v>
      </x:c>
    </x:row>
    <x:row r="34">
      <x:c r="A34" s="166" t="str">
        <x:v>Administrador</x:v>
      </x:c>
      <x:c r="B34" s="166" t="str">
        <x:v>RJI Investimentos</x:v>
      </x:c>
      <x:c r="C34" s="169" t="n">
        <x:v>5.041522118980001</x:v>
      </x:c>
      <x:c r="D34" s="166" t="str">
        <x:v>RJI Investimentos</x:v>
      </x:c>
      <x:c r="E34" s="185" t="str">
        <x:v>RJI Investimentos</x:v>
      </x:c>
      <x:c r="F34" s="166" t="str">
        <x:v>Independente</x:v>
      </x:c>
      <x:c r="G34" s="185" t="str">
        <x:v>Independente</x:v>
      </x:c>
      <x:c r="H34" s="166" t="str">
        <x:v>residual; requer revisão manual</x:v>
      </x:c>
      <x:c r="I34" s="166" t="str">
        <x:v>Baixa</x:v>
      </x:c>
      <x:c r="J34" s="166" t="str">
        <x:v>Sim — alta</x:v>
      </x:c>
    </x:row>
    <x:row r="35">
      <x:c r="A35" s="166" t="str">
        <x:v>Administrador</x:v>
      </x:c>
      <x:c r="B35" s="166" t="str">
        <x:v>Qore DTVM</x:v>
      </x:c>
      <x:c r="C35" s="169" t="n">
        <x:v>4.25268288071</x:v>
      </x:c>
      <x:c r="D35" s="166" t="str">
        <x:v>Qore DTVM</x:v>
      </x:c>
      <x:c r="E35" s="185" t="str">
        <x:v>Qore DTVM</x:v>
      </x:c>
      <x:c r="F35" s="166" t="str">
        <x:v>Independente</x:v>
      </x:c>
      <x:c r="G35" s="185" t="str">
        <x:v>Independente</x:v>
      </x:c>
      <x:c r="H35" s="166" t="str">
        <x:v>residual; requer revisão manual</x:v>
      </x:c>
      <x:c r="I35" s="166" t="str">
        <x:v>Baixa</x:v>
      </x:c>
      <x:c r="J35" s="166" t="str">
        <x:v>Sim — alta</x:v>
      </x:c>
    </x:row>
    <x:row r="36">
      <x:c r="A36" s="166" t="str">
        <x:v>Administrador</x:v>
      </x:c>
      <x:c r="B36" s="166" t="str">
        <x:v>MONETAR DISTRIBUIDORA DE TITUL</x:v>
      </x:c>
      <x:c r="C36" s="169" t="n">
        <x:v>2.624852293420002</x:v>
      </x:c>
      <x:c r="D36" s="166" t="str">
        <x:v>MONETAR DISTRIBUIDORA DE TITUL</x:v>
      </x:c>
      <x:c r="E36" s="185" t="str">
        <x:v>MONETAR DISTRIBUIDORA DE TITUL</x:v>
      </x:c>
      <x:c r="F36" s="166" t="str">
        <x:v>Independente</x:v>
      </x:c>
      <x:c r="G36" s="185" t="str">
        <x:v>Independente</x:v>
      </x:c>
      <x:c r="H36" s="166" t="str">
        <x:v>residual; requer revisão manual</x:v>
      </x:c>
      <x:c r="I36" s="166" t="str">
        <x:v>Baixa</x:v>
      </x:c>
      <x:c r="J36" s="166" t="str">
        <x:v>Sim — alta</x:v>
      </x:c>
    </x:row>
    <x:row r="37">
      <x:c r="A37" s="166" t="str">
        <x:v>Administrador</x:v>
      </x:c>
      <x:c r="B37" s="166" t="str">
        <x:v>ACTUAL DTVM</x:v>
      </x:c>
      <x:c r="C37" s="169" t="n">
        <x:v>2.392587523799998</x:v>
      </x:c>
      <x:c r="D37" s="166" t="str">
        <x:v>ACTUAL DTVM</x:v>
      </x:c>
      <x:c r="E37" s="185" t="str">
        <x:v>ACTUAL DTVM</x:v>
      </x:c>
      <x:c r="F37" s="166" t="str">
        <x:v>Independente</x:v>
      </x:c>
      <x:c r="G37" s="185" t="str">
        <x:v>Independente</x:v>
      </x:c>
      <x:c r="H37" s="166" t="str">
        <x:v>residual; requer revisão manual</x:v>
      </x:c>
      <x:c r="I37" s="166" t="str">
        <x:v>Baixa</x:v>
      </x:c>
      <x:c r="J37" s="166" t="str">
        <x:v>Sim — alta</x:v>
      </x:c>
    </x:row>
    <x:row r="38">
      <x:c r="A38" s="166" t="str">
        <x:v>Administrador</x:v>
      </x:c>
      <x:c r="B38" s="166" t="str">
        <x:v>OSLO DTVM S. A.</x:v>
      </x:c>
      <x:c r="C38" s="169" t="n">
        <x:v>2.38399030361</x:v>
      </x:c>
      <x:c r="D38" s="166" t="str">
        <x:v>OSLO DTVM S. A.</x:v>
      </x:c>
      <x:c r="E38" s="185" t="str">
        <x:v>OSLO DTVM S. A.</x:v>
      </x:c>
      <x:c r="F38" s="166" t="str">
        <x:v>Independente</x:v>
      </x:c>
      <x:c r="G38" s="185" t="str">
        <x:v>Independente</x:v>
      </x:c>
      <x:c r="H38" s="166" t="str">
        <x:v>residual; requer revisão manual</x:v>
      </x:c>
      <x:c r="I38" s="166" t="str">
        <x:v>Baixa</x:v>
      </x:c>
      <x:c r="J38" s="166" t="str">
        <x:v>Sim — alta</x:v>
      </x:c>
    </x:row>
    <x:row r="39">
      <x:c r="A39" s="166" t="str">
        <x:v>Administrador</x:v>
      </x:c>
      <x:c r="B39" s="166" t="str">
        <x:v>AZUMI DISTRIBUIDORA DE TÍTULOS E VALORES MOBILIÁRIOS LT</x:v>
      </x:c>
      <x:c r="C39" s="169" t="n">
        <x:v>1.6730966160700003</x:v>
      </x:c>
      <x:c r="D39" s="166" t="str">
        <x:v>AZUMI DISTRIBUIDORA DE TÍTULOS E VALORES MOBILIÁRIOS LT</x:v>
      </x:c>
      <x:c r="E39" s="185" t="str">
        <x:v>AZUMI DISTRIBUIDORA DE TÍTULOS E VALORES MOBILIÁRIOS LT</x:v>
      </x:c>
      <x:c r="F39" s="166" t="str">
        <x:v>Independente</x:v>
      </x:c>
      <x:c r="G39" s="185" t="str">
        <x:v>Independente</x:v>
      </x:c>
      <x:c r="H39" s="166" t="str">
        <x:v>residual; requer revisão manual</x:v>
      </x:c>
      <x:c r="I39" s="166" t="str">
        <x:v>Baixa</x:v>
      </x:c>
      <x:c r="J39" s="166" t="str">
        <x:v>Sim — alta</x:v>
      </x:c>
    </x:row>
    <x:row r="40">
      <x:c r="A40" s="166" t="str">
        <x:v>Administrador</x:v>
      </x:c>
      <x:c r="B40" s="166" t="str">
        <x:v>Caixa Econ. Federal</x:v>
      </x:c>
      <x:c r="C40" s="169" t="n">
        <x:v>1.37635862549</x:v>
      </x:c>
      <x:c r="D40" s="166" t="str">
        <x:v>Caixa Econômica Federal</x:v>
      </x:c>
      <x:c r="E40" s="185" t="str">
        <x:v>Caixa Econômica Federal</x:v>
      </x:c>
      <x:c r="F40" s="166" t="str">
        <x:v>Ligada a banco</x:v>
      </x:c>
      <x:c r="G40" s="185" t="str">
        <x:v>Ligada a banco</x:v>
      </x:c>
      <x:c r="H40" s="166" t="str">
        <x:v>contém 'CAIXA ECON'</x:v>
      </x:c>
      <x:c r="I40" s="166" t="str">
        <x:v>Alta</x:v>
      </x:c>
      <x:c r="J40" s="166" t="str">
        <x:v>Confirmar</x:v>
      </x:c>
    </x:row>
    <x:row r="41">
      <x:c r="A41" s="166" t="str">
        <x:v>Administrador</x:v>
      </x:c>
      <x:c r="B41" s="166" t="str">
        <x:v>INTEGRAL ACCESS DTVM</x:v>
      </x:c>
      <x:c r="C41" s="169" t="n">
        <x:v>0.89199644263</x:v>
      </x:c>
      <x:c r="D41" s="166" t="str">
        <x:v>INTEGRAL ACCESS DTVM</x:v>
      </x:c>
      <x:c r="E41" s="185" t="str">
        <x:v>INTEGRAL ACCESS DTVM</x:v>
      </x:c>
      <x:c r="F41" s="166" t="str">
        <x:v>Independente</x:v>
      </x:c>
      <x:c r="G41" s="185" t="str">
        <x:v>Independente</x:v>
      </x:c>
      <x:c r="H41" s="166" t="str">
        <x:v>residual; requer revisão manual</x:v>
      </x:c>
      <x:c r="I41" s="166" t="str">
        <x:v>Baixa</x:v>
      </x:c>
      <x:c r="J41" s="166" t="str">
        <x:v>Sim — alta</x:v>
      </x:c>
    </x:row>
    <x:row r="42">
      <x:c r="A42" s="166" t="str">
        <x:v>Administrador</x:v>
      </x:c>
      <x:c r="B42" s="166" t="str">
        <x:v>Inter Distribuidora de Títulos e Valores Mobiliários Lt</x:v>
      </x:c>
      <x:c r="C42" s="169" t="n">
        <x:v>0.8493326490099998</x:v>
      </x:c>
      <x:c r="D42" s="166" t="str">
        <x:v>Banco Inter</x:v>
      </x:c>
      <x:c r="E42" s="185" t="str">
        <x:v>Banco Inter</x:v>
      </x:c>
      <x:c r="F42" s="166" t="str">
        <x:v>Ligada a banco</x:v>
      </x:c>
      <x:c r="G42" s="185" t="str">
        <x:v>Ligada a banco</x:v>
      </x:c>
      <x:c r="H42" s="166" t="str">
        <x:v>contém 'INTER DISTRIBUIDORA'</x:v>
      </x:c>
      <x:c r="I42" s="166" t="str">
        <x:v>Alta</x:v>
      </x:c>
      <x:c r="J42" s="166" t="str">
        <x:v>Confirmar</x:v>
      </x:c>
    </x:row>
    <x:row r="43">
      <x:c r="A43" s="166" t="str">
        <x:v>Administrador</x:v>
      </x:c>
      <x:c r="B43" s="166" t="str">
        <x:v>BR-Capital DTVM</x:v>
      </x:c>
      <x:c r="C43" s="169" t="n">
        <x:v>0.64038480038</x:v>
      </x:c>
      <x:c r="D43" s="166" t="str">
        <x:v>BR-Capital DTVM</x:v>
      </x:c>
      <x:c r="E43" s="185" t="str">
        <x:v>BR-Capital DTVM</x:v>
      </x:c>
      <x:c r="F43" s="166" t="str">
        <x:v>Independente</x:v>
      </x:c>
      <x:c r="G43" s="185" t="str">
        <x:v>Independente</x:v>
      </x:c>
      <x:c r="H43" s="166" t="str">
        <x:v>residual; requer revisão manual</x:v>
      </x:c>
      <x:c r="I43" s="166" t="str">
        <x:v>Baixa</x:v>
      </x:c>
      <x:c r="J43" s="166" t="str">
        <x:v>Sim — alta</x:v>
      </x:c>
    </x:row>
    <x:row r="44">
      <x:c r="A44" s="166" t="str">
        <x:v>Administrador</x:v>
      </x:c>
      <x:c r="B44" s="166" t="str">
        <x:v>LASTRO RDV DIST. DE</x:v>
      </x:c>
      <x:c r="C44" s="169" t="n">
        <x:v>0.6397161914600001</x:v>
      </x:c>
      <x:c r="D44" s="166" t="str">
        <x:v>LASTRO RDV DIST. DE</x:v>
      </x:c>
      <x:c r="E44" s="185" t="str">
        <x:v>LASTRO RDV DIST. DE</x:v>
      </x:c>
      <x:c r="F44" s="166" t="str">
        <x:v>Independente</x:v>
      </x:c>
      <x:c r="G44" s="185" t="str">
        <x:v>Independente</x:v>
      </x:c>
      <x:c r="H44" s="166" t="str">
        <x:v>residual; requer revisão manual</x:v>
      </x:c>
      <x:c r="I44" s="166" t="str">
        <x:v>Baixa</x:v>
      </x:c>
      <x:c r="J44" s="166" t="str">
        <x:v>Sim — alta</x:v>
      </x:c>
    </x:row>
    <x:row r="45">
      <x:c r="A45" s="166" t="str">
        <x:v>Administrador</x:v>
      </x:c>
      <x:c r="B45" s="166" t="str">
        <x:v>SANTANDER DISTRIBUIDORA DE TÍTULOS E VALORES MOBILIÁRIOS S.A</x:v>
      </x:c>
      <x:c r="C45" s="169" t="n">
        <x:v>0.5071142617300001</x:v>
      </x:c>
      <x:c r="D45" s="166" t="str">
        <x:v>Santander</x:v>
      </x:c>
      <x:c r="E45" s="185" t="str">
        <x:v>Santander</x:v>
      </x:c>
      <x:c r="F45" s="166" t="str">
        <x:v>Ligada a banco</x:v>
      </x:c>
      <x:c r="G45" s="185" t="str">
        <x:v>Ligada a banco</x:v>
      </x:c>
      <x:c r="H45" s="166" t="str">
        <x:v>contém 'SANTANDER'</x:v>
      </x:c>
      <x:c r="I45" s="166" t="str">
        <x:v>Alta</x:v>
      </x:c>
      <x:c r="J45" s="166" t="str">
        <x:v>Confirmar</x:v>
      </x:c>
    </x:row>
    <x:row r="46">
      <x:c r="A46" s="166" t="str">
        <x:v>Administrador</x:v>
      </x:c>
      <x:c r="B46" s="166" t="str">
        <x:v>Finvest Digital</x:v>
      </x:c>
      <x:c r="C46" s="169" t="n">
        <x:v>0.48672344738000006</x:v>
      </x:c>
      <x:c r="D46" s="166" t="str">
        <x:v>Finvest Digital</x:v>
      </x:c>
      <x:c r="E46" s="185" t="str">
        <x:v>Finvest Digital</x:v>
      </x:c>
      <x:c r="F46" s="166" t="str">
        <x:v>Independente</x:v>
      </x:c>
      <x:c r="G46" s="185" t="str">
        <x:v>Independente</x:v>
      </x:c>
      <x:c r="H46" s="166" t="str">
        <x:v>residual; requer revisão manual</x:v>
      </x:c>
      <x:c r="I46" s="166" t="str">
        <x:v>Baixa</x:v>
      </x:c>
      <x:c r="J46" s="166" t="str">
        <x:v>Sim — alta</x:v>
      </x:c>
    </x:row>
    <x:row r="47">
      <x:c r="A47" s="166" t="str">
        <x:v>Administrador</x:v>
      </x:c>
      <x:c r="B47" s="166" t="str">
        <x:v>WNT DTVM</x:v>
      </x:c>
      <x:c r="C47" s="169" t="n">
        <x:v>0.2873783830299999</x:v>
      </x:c>
      <x:c r="D47" s="166" t="str">
        <x:v>WNT DTVM</x:v>
      </x:c>
      <x:c r="E47" s="185" t="str">
        <x:v>WNT DTVM</x:v>
      </x:c>
      <x:c r="F47" s="166" t="str">
        <x:v>Independente</x:v>
      </x:c>
      <x:c r="G47" s="185" t="str">
        <x:v>Independente</x:v>
      </x:c>
      <x:c r="H47" s="166" t="str">
        <x:v>residual; requer revisão manual</x:v>
      </x:c>
      <x:c r="I47" s="166" t="str">
        <x:v>Baixa</x:v>
      </x:c>
      <x:c r="J47" s="166" t="str">
        <x:v>Sim — alta</x:v>
      </x:c>
    </x:row>
    <x:row r="48">
      <x:c r="A48" s="166" t="str">
        <x:v>Administrador</x:v>
      </x:c>
      <x:c r="B48" s="166" t="str">
        <x:v>Baru DTVM</x:v>
      </x:c>
      <x:c r="C48" s="169" t="n">
        <x:v>0.22299037962999996</x:v>
      </x:c>
      <x:c r="D48" s="166" t="str">
        <x:v>Baru DTVM</x:v>
      </x:c>
      <x:c r="E48" s="185" t="str">
        <x:v>Baru DTVM</x:v>
      </x:c>
      <x:c r="F48" s="166" t="str">
        <x:v>Independente</x:v>
      </x:c>
      <x:c r="G48" s="185" t="str">
        <x:v>Independente</x:v>
      </x:c>
      <x:c r="H48" s="166" t="str">
        <x:v>residual; requer revisão manual</x:v>
      </x:c>
      <x:c r="I48" s="166" t="str">
        <x:v>Baixa</x:v>
      </x:c>
      <x:c r="J48" s="166" t="str">
        <x:v>Sim — alta</x:v>
      </x:c>
    </x:row>
    <x:row r="49">
      <x:c r="A49" s="166" t="str">
        <x:v>Administrador</x:v>
      </x:c>
      <x:c r="B49" s="166" t="str">
        <x:v>LIONS DTVM</x:v>
      </x:c>
      <x:c r="C49" s="169" t="n">
        <x:v>0.18235720622999999</x:v>
      </x:c>
      <x:c r="D49" s="166" t="str">
        <x:v>LIONS DTVM</x:v>
      </x:c>
      <x:c r="E49" s="185" t="str">
        <x:v>LIONS DTVM</x:v>
      </x:c>
      <x:c r="F49" s="166" t="str">
        <x:v>Independente</x:v>
      </x:c>
      <x:c r="G49" s="185" t="str">
        <x:v>Independente</x:v>
      </x:c>
      <x:c r="H49" s="166" t="str">
        <x:v>residual; requer revisão manual</x:v>
      </x:c>
      <x:c r="I49" s="166" t="str">
        <x:v>Baixa</x:v>
      </x:c>
      <x:c r="J49" s="166" t="str">
        <x:v>Sim — alta</x:v>
      </x:c>
    </x:row>
    <x:row r="50">
      <x:c r="A50" s="166" t="str">
        <x:v>Administrador</x:v>
      </x:c>
      <x:c r="B50" s="166" t="str">
        <x:v>Ativa S/A CTCV</x:v>
      </x:c>
      <x:c r="C50" s="169" t="n">
        <x:v>0.04971116300999999</x:v>
      </x:c>
      <x:c r="D50" s="166" t="str">
        <x:v>Ativa S/A CTCV</x:v>
      </x:c>
      <x:c r="E50" s="185" t="str">
        <x:v>Ativa S/A CTCV</x:v>
      </x:c>
      <x:c r="F50" s="166" t="str">
        <x:v>Independente</x:v>
      </x:c>
      <x:c r="G50" s="185" t="str">
        <x:v>Independente</x:v>
      </x:c>
      <x:c r="H50" s="166" t="str">
        <x:v>residual; requer revisão manual</x:v>
      </x:c>
      <x:c r="I50" s="166" t="str">
        <x:v>Baixa</x:v>
      </x:c>
      <x:c r="J50" s="166" t="str">
        <x:v>Sim — alta</x:v>
      </x:c>
    </x:row>
    <x:row r="51">
      <x:c r="A51" s="166" t="str">
        <x:v>Administrador</x:v>
      </x:c>
      <x:c r="B51" s="166" t="str">
        <x:v>Intra Investimentos Distribuidora de Títulos e Valores Mobiliários LTDA.</x:v>
      </x:c>
      <x:c r="C51" s="169" t="n">
        <x:v>0.04614440865999999</x:v>
      </x:c>
      <x:c r="D51" s="166" t="str">
        <x:v>Intra Investimentos Distribuidora de Títulos e Valores Mobiliários LTDA.</x:v>
      </x:c>
      <x:c r="E51" s="185" t="str">
        <x:v>Intra Investimentos Distribuidora de Títulos e Valores Mobiliários LTDA.</x:v>
      </x:c>
      <x:c r="F51" s="166" t="str">
        <x:v>Independente</x:v>
      </x:c>
      <x:c r="G51" s="185" t="str">
        <x:v>Independente</x:v>
      </x:c>
      <x:c r="H51" s="166" t="str">
        <x:v>residual; requer revisão manual</x:v>
      </x:c>
      <x:c r="I51" s="166" t="str">
        <x:v>Baixa</x:v>
      </x:c>
      <x:c r="J51" s="166" t="str">
        <x:v>Sim — alta</x:v>
      </x:c>
    </x:row>
    <x:row r="52">
      <x:c r="A52" s="166" t="str">
        <x:v>Administrador</x:v>
      </x:c>
      <x:c r="B52" s="166" t="str">
        <x:v>Não Informado</x:v>
      </x:c>
      <x:c r="C52" s="169" t="n">
        <x:v>0.042255542210000004</x:v>
      </x:c>
      <x:c r="D52" s="166" t="str">
        <x:v>Não Informado</x:v>
      </x:c>
      <x:c r="E52" s="185" t="str">
        <x:v>Não Informado</x:v>
      </x:c>
      <x:c r="F52" s="166" t="str">
        <x:v>Independente</x:v>
      </x:c>
      <x:c r="G52" s="185" t="str">
        <x:v>Independente</x:v>
      </x:c>
      <x:c r="H52" s="166" t="str">
        <x:v>residual; requer revisão manual</x:v>
      </x:c>
      <x:c r="I52" s="166" t="str">
        <x:v>Baixa</x:v>
      </x:c>
      <x:c r="J52" s="166" t="str">
        <x:v>Sim — alta</x:v>
      </x:c>
    </x:row>
    <x:row r="53">
      <x:c r="A53" s="166" t="str">
        <x:v>Administrador</x:v>
      </x:c>
      <x:c r="B53" s="166" t="str">
        <x:v>Merito DTVM</x:v>
      </x:c>
      <x:c r="C53" s="169" t="n">
        <x:v>0.01599399142</x:v>
      </x:c>
      <x:c r="D53" s="166" t="str">
        <x:v>Merito DTVM</x:v>
      </x:c>
      <x:c r="E53" s="185" t="str">
        <x:v>Merito DTVM</x:v>
      </x:c>
      <x:c r="F53" s="166" t="str">
        <x:v>Independente</x:v>
      </x:c>
      <x:c r="G53" s="185" t="str">
        <x:v>Independente</x:v>
      </x:c>
      <x:c r="H53" s="166" t="str">
        <x:v>residual; requer revisão manual</x:v>
      </x:c>
      <x:c r="I53" s="166" t="str">
        <x:v>Baixa</x:v>
      </x:c>
      <x:c r="J53" s="166" t="str">
        <x:v>Sim — alta</x:v>
      </x:c>
    </x:row>
    <x:row r="54">
      <x:c r="A54" s="166" t="str">
        <x:v>Administrador</x:v>
      </x:c>
      <x:c r="B54" s="166" t="str">
        <x:v>BFL Administração de Recursos</x:v>
      </x:c>
      <x:c r="C54" s="169" t="n">
        <x:v>0</x:v>
      </x:c>
      <x:c r="D54" s="166" t="str">
        <x:v>BFL Administração de Recursos</x:v>
      </x:c>
      <x:c r="E54" s="185" t="str">
        <x:v>BFL Administração de Recursos</x:v>
      </x:c>
      <x:c r="F54" s="166" t="str">
        <x:v>Independente</x:v>
      </x:c>
      <x:c r="G54" s="185" t="str">
        <x:v>Independente</x:v>
      </x:c>
      <x:c r="H54" s="166" t="str">
        <x:v>residual; requer revisão manual</x:v>
      </x:c>
      <x:c r="I54" s="166" t="str">
        <x:v>Baixa</x:v>
      </x:c>
      <x:c r="J54" s="166" t="str">
        <x:v>Sim — alta</x:v>
      </x:c>
    </x:row>
    <x:row r="55">
      <x:c r="A55" s="166" t="str">
        <x:v>Administrador</x:v>
      </x:c>
      <x:c r="B55" s="166" t="str">
        <x:v>DILLON S.A DTVM</x:v>
      </x:c>
      <x:c r="C55" s="169" t="n">
        <x:v>0</x:v>
      </x:c>
      <x:c r="D55" s="166" t="str">
        <x:v>DILLON S.A DTVM</x:v>
      </x:c>
      <x:c r="E55" s="185" t="str">
        <x:v>DILLON S.A DTVM</x:v>
      </x:c>
      <x:c r="F55" s="166" t="str">
        <x:v>Independente</x:v>
      </x:c>
      <x:c r="G55" s="185" t="str">
        <x:v>Independente</x:v>
      </x:c>
      <x:c r="H55" s="166" t="str">
        <x:v>residual; requer revisão manual</x:v>
      </x:c>
      <x:c r="I55" s="166" t="str">
        <x:v>Baixa</x:v>
      </x:c>
      <x:c r="J55" s="166" t="str">
        <x:v>Sim — alta</x:v>
      </x:c>
    </x:row>
    <x:row r="56">
      <x:c r="A56" s="166" t="str">
        <x:v>Administrador</x:v>
      </x:c>
      <x:c r="B56" s="166" t="str">
        <x:v>GRADUAL CCTVM S/A</x:v>
      </x:c>
      <x:c r="C56" s="169" t="n">
        <x:v>0</x:v>
      </x:c>
      <x:c r="D56" s="166" t="str">
        <x:v>GRADUAL CCTVM S/A</x:v>
      </x:c>
      <x:c r="E56" s="185" t="str">
        <x:v>GRADUAL CCTVM S/A</x:v>
      </x:c>
      <x:c r="F56" s="166" t="str">
        <x:v>Independente</x:v>
      </x:c>
      <x:c r="G56" s="185" t="str">
        <x:v>Independente</x:v>
      </x:c>
      <x:c r="H56" s="166" t="str">
        <x:v>residual; requer revisão manual</x:v>
      </x:c>
      <x:c r="I56" s="166" t="str">
        <x:v>Baixa</x:v>
      </x:c>
      <x:c r="J56" s="166" t="str">
        <x:v>Sim — alta</x:v>
      </x:c>
    </x:row>
    <x:row r="57">
      <x:c r="A57" s="166" t="str">
        <x:v>Administrador</x:v>
      </x:c>
      <x:c r="B57" s="166" t="str">
        <x:v>MASTER S/A CORRETORA</x:v>
      </x:c>
      <x:c r="C57" s="169" t="n">
        <x:v>0</x:v>
      </x:c>
      <x:c r="D57" s="166" t="str">
        <x:v>MASTER S/A CORRETORA</x:v>
      </x:c>
      <x:c r="E57" s="185" t="str">
        <x:v>MASTER S/A CORRETORA</x:v>
      </x:c>
      <x:c r="F57" s="166" t="str">
        <x:v>Independente</x:v>
      </x:c>
      <x:c r="G57" s="185" t="str">
        <x:v>Independente</x:v>
      </x:c>
      <x:c r="H57" s="166" t="str">
        <x:v>residual; requer revisão manual</x:v>
      </x:c>
      <x:c r="I57" s="166" t="str">
        <x:v>Baixa</x:v>
      </x:c>
      <x:c r="J57" s="166" t="str">
        <x:v>Sim — alta</x:v>
      </x:c>
    </x:row>
    <x:row r="58">
      <x:c r="A58" s="166" t="str">
        <x:v>Administrador</x:v>
      </x:c>
      <x:c r="B58" s="166" t="str">
        <x:v>NECTON INVESTIMENTOS</x:v>
      </x:c>
      <x:c r="C58" s="169" t="n">
        <x:v>0</x:v>
      </x:c>
      <x:c r="D58" s="166" t="str">
        <x:v>NECTON INVESTIMENTOS</x:v>
      </x:c>
      <x:c r="E58" s="185" t="str">
        <x:v>NECTON INVESTIMENTOS</x:v>
      </x:c>
      <x:c r="F58" s="166" t="str">
        <x:v>Independente</x:v>
      </x:c>
      <x:c r="G58" s="185" t="str">
        <x:v>Independente</x:v>
      </x:c>
      <x:c r="H58" s="166" t="str">
        <x:v>residual; requer revisão manual</x:v>
      </x:c>
      <x:c r="I58" s="166" t="str">
        <x:v>Baixa</x:v>
      </x:c>
      <x:c r="J58" s="166" t="str">
        <x:v>Sim — alta</x:v>
      </x:c>
    </x:row>
    <x:row r="59">
      <x:c r="A59" s="166" t="str">
        <x:v>Administrador</x:v>
      </x:c>
      <x:c r="B59" s="166" t="str">
        <x:v>REAG DTVM</x:v>
      </x:c>
      <x:c r="C59" s="169" t="n">
        <x:v>0</x:v>
      </x:c>
      <x:c r="D59" s="166" t="str">
        <x:v>REAG</x:v>
      </x:c>
      <x:c r="E59" s="185" t="str">
        <x:v>REAG</x:v>
      </x:c>
      <x:c r="F59" s="166" t="str">
        <x:v>Independente</x:v>
      </x:c>
      <x:c r="G59" s="185" t="str">
        <x:v>Independente</x:v>
      </x:c>
      <x:c r="H59" s="166" t="str">
        <x:v>contém 'REAG '</x:v>
      </x:c>
      <x:c r="I59" s="166" t="str">
        <x:v>Alta</x:v>
      </x:c>
      <x:c r="J59" s="166" t="str">
        <x:v>Confirmar</x:v>
      </x:c>
    </x:row>
    <x:row r="60">
      <x:c r="A60" s="166" t="str">
        <x:v>Administrador</x:v>
      </x:c>
      <x:c r="B60" s="166" t="str">
        <x:v>SLW CVC LTDA</x:v>
      </x:c>
      <x:c r="C60" s="169" t="n">
        <x:v>0</x:v>
      </x:c>
      <x:c r="D60" s="166" t="str">
        <x:v>SLW CVC LTDA</x:v>
      </x:c>
      <x:c r="E60" s="185" t="str">
        <x:v>SLW CVC LTDA</x:v>
      </x:c>
      <x:c r="F60" s="166" t="str">
        <x:v>Independente</x:v>
      </x:c>
      <x:c r="G60" s="185" t="str">
        <x:v>Independente</x:v>
      </x:c>
      <x:c r="H60" s="166" t="str">
        <x:v>residual; requer revisão manual</x:v>
      </x:c>
      <x:c r="I60" s="166" t="str">
        <x:v>Baixa</x:v>
      </x:c>
      <x:c r="J60" s="166" t="str">
        <x:v>Sim — alta</x:v>
      </x:c>
    </x:row>
    <x:row r="61">
      <x:c r="A61" s="166" t="str">
        <x:v>Gestor</x:v>
      </x:c>
      <x:c r="B61" s="166" t="str">
        <x:v>Oliveira Trust Servicer</x:v>
      </x:c>
      <x:c r="C61" s="169" t="n">
        <x:v>72.42585698972</x:v>
      </x:c>
      <x:c r="D61" s="166" t="str">
        <x:v>Oliveira Trust</x:v>
      </x:c>
      <x:c r="E61" s="185" t="str">
        <x:v>Oliveira Trust</x:v>
      </x:c>
      <x:c r="F61" s="166" t="str">
        <x:v>Independente</x:v>
      </x:c>
      <x:c r="G61" s="185" t="str">
        <x:v>Independente</x:v>
      </x:c>
      <x:c r="H61" s="166" t="str">
        <x:v>contém 'OLIVEIRA TRUST'</x:v>
      </x:c>
      <x:c r="I61" s="166" t="str">
        <x:v>Alta</x:v>
      </x:c>
      <x:c r="J61" s="166" t="str">
        <x:v>Confirmar</x:v>
      </x:c>
    </x:row>
    <x:row r="62">
      <x:c r="A62" s="166" t="str">
        <x:v>Gestor</x:v>
      </x:c>
      <x:c r="B62" s="166" t="str">
        <x:v>BB Asset Management</x:v>
      </x:c>
      <x:c r="C62" s="169" t="n">
        <x:v>60.892601464269994</x:v>
      </x:c>
      <x:c r="D62" s="166" t="str">
        <x:v>Banco do Brasil</x:v>
      </x:c>
      <x:c r="E62" s="185" t="str">
        <x:v>Banco do Brasil</x:v>
      </x:c>
      <x:c r="F62" s="166" t="str">
        <x:v>Ligada a banco</x:v>
      </x:c>
      <x:c r="G62" s="185" t="str">
        <x:v>Ligada a banco</x:v>
      </x:c>
      <x:c r="H62" s="166" t="str">
        <x:v>contém 'BB ASSET'</x:v>
      </x:c>
      <x:c r="I62" s="166" t="str">
        <x:v>Alta</x:v>
      </x:c>
      <x:c r="J62" s="166" t="str">
        <x:v>Confirmar</x:v>
      </x:c>
    </x:row>
    <x:row r="63">
      <x:c r="A63" s="166" t="str">
        <x:v>Gestor</x:v>
      </x:c>
      <x:c r="B63" s="166" t="str">
        <x:v>Banco Bradesco S/A</x:v>
      </x:c>
      <x:c r="C63" s="169" t="n">
        <x:v>40.27111835717003</x:v>
      </x:c>
      <x:c r="D63" s="166" t="str">
        <x:v>Bradesco</x:v>
      </x:c>
      <x:c r="E63" s="185" t="str">
        <x:v>Bradesco</x:v>
      </x:c>
      <x:c r="F63" s="166" t="str">
        <x:v>Ligada a banco</x:v>
      </x:c>
      <x:c r="G63" s="185" t="str">
        <x:v>Ligada a banco</x:v>
      </x:c>
      <x:c r="H63" s="166" t="str">
        <x:v>contém 'BANCO BRADESCO'</x:v>
      </x:c>
      <x:c r="I63" s="166" t="str">
        <x:v>Alta</x:v>
      </x:c>
      <x:c r="J63" s="166" t="str">
        <x:v>Confirmar</x:v>
      </x:c>
    </x:row>
    <x:row r="64">
      <x:c r="A64" s="166" t="str">
        <x:v>Gestor</x:v>
      </x:c>
      <x:c r="B64" s="166" t="str">
        <x:v>GENIAL GESTÃO LTDA.</x:v>
      </x:c>
      <x:c r="C64" s="169" t="n">
        <x:v>26.90253950507892</x:v>
      </x:c>
      <x:c r="D64" s="166" t="str">
        <x:v>Banco Genial</x:v>
      </x:c>
      <x:c r="E64" s="185" t="str">
        <x:v>Banco Genial</x:v>
      </x:c>
      <x:c r="F64" s="166" t="str">
        <x:v>Ligada a banco</x:v>
      </x:c>
      <x:c r="G64" s="185" t="str">
        <x:v>Ligada a banco</x:v>
      </x:c>
      <x:c r="H64" s="166" t="str">
        <x:v>contém 'GENIAL GESTAO'</x:v>
      </x:c>
      <x:c r="I64" s="166" t="str">
        <x:v>Alta</x:v>
      </x:c>
      <x:c r="J64" s="166" t="str">
        <x:v>Confirmar</x:v>
      </x:c>
    </x:row>
    <x:row r="65">
      <x:c r="A65" s="166" t="str">
        <x:v>Gestor</x:v>
      </x:c>
      <x:c r="B65" s="166" t="str">
        <x:v>BTG Pactual Asset</x:v>
      </x:c>
      <x:c r="C65" s="169" t="n">
        <x:v>25.42069064190001</x:v>
      </x:c>
      <x:c r="D65" s="166" t="str">
        <x:v>BTG Pactual</x:v>
      </x:c>
      <x:c r="E65" s="185" t="str">
        <x:v>BTG Pactual</x:v>
      </x:c>
      <x:c r="F65" s="166" t="str">
        <x:v>Ligada a banco</x:v>
      </x:c>
      <x:c r="G65" s="185" t="str">
        <x:v>Ligada a banco</x:v>
      </x:c>
      <x:c r="H65" s="166" t="str">
        <x:v>contém 'BTG PACTUAL'</x:v>
      </x:c>
      <x:c r="I65" s="166" t="str">
        <x:v>Alta</x:v>
      </x:c>
      <x:c r="J65" s="166" t="str">
        <x:v>Confirmar</x:v>
      </x:c>
    </x:row>
    <x:row r="66">
      <x:c r="A66" s="166" t="str">
        <x:v>Gestor</x:v>
      </x:c>
      <x:c r="B66" s="166" t="str">
        <x:v>Banco BTG Pactual</x:v>
      </x:c>
      <x:c r="C66" s="169" t="n">
        <x:v>24.9623761472657</x:v>
      </x:c>
      <x:c r="D66" s="166" t="str">
        <x:v>BTG Pactual</x:v>
      </x:c>
      <x:c r="E66" s="185" t="str">
        <x:v>BTG Pactual</x:v>
      </x:c>
      <x:c r="F66" s="166" t="str">
        <x:v>Ligada a banco</x:v>
      </x:c>
      <x:c r="G66" s="185" t="str">
        <x:v>Ligada a banco</x:v>
      </x:c>
      <x:c r="H66" s="166" t="str">
        <x:v>contém 'BTG PACTUAL'</x:v>
      </x:c>
      <x:c r="I66" s="166" t="str">
        <x:v>Alta</x:v>
      </x:c>
      <x:c r="J66" s="166" t="str">
        <x:v>Confirmar</x:v>
      </x:c>
    </x:row>
    <x:row r="67">
      <x:c r="A67" s="166" t="str">
        <x:v>Gestor</x:v>
      </x:c>
      <x:c r="B67" s="166" t="str">
        <x:v>TERCON ASSET MANAGEMENT</x:v>
      </x:c>
      <x:c r="C67" s="169" t="n">
        <x:v>21.345144152257216</x:v>
      </x:c>
      <x:c r="D67" s="166" t="str">
        <x:v>TERCON ASSET MANAGEMENT</x:v>
      </x:c>
      <x:c r="E67" s="185" t="str">
        <x:v>TERCON ASSET MANAGEMENT</x:v>
      </x:c>
      <x:c r="F67" s="166" t="str">
        <x:v>Independente</x:v>
      </x:c>
      <x:c r="G67" s="185" t="str">
        <x:v>Independente</x:v>
      </x:c>
      <x:c r="H67" s="166" t="str">
        <x:v>residual; requer revisão manual</x:v>
      </x:c>
      <x:c r="I67" s="166" t="str">
        <x:v>Baixa</x:v>
      </x:c>
      <x:c r="J67" s="166" t="str">
        <x:v>Sim — alta</x:v>
      </x:c>
    </x:row>
    <x:row r="68">
      <x:c r="A68" s="166" t="str">
        <x:v>Gestor</x:v>
      </x:c>
      <x:c r="B68" s="166" t="str">
        <x:v>ITAU ASSET</x:v>
      </x:c>
      <x:c r="C68" s="169" t="n">
        <x:v>14.78114576528001</x:v>
      </x:c>
      <x:c r="D68" s="166" t="str">
        <x:v>Itaú Unibanco</x:v>
      </x:c>
      <x:c r="E68" s="185" t="str">
        <x:v>Itaú Unibanco</x:v>
      </x:c>
      <x:c r="F68" s="166" t="str">
        <x:v>Ligada a banco</x:v>
      </x:c>
      <x:c r="G68" s="185" t="str">
        <x:v>Ligada a banco</x:v>
      </x:c>
      <x:c r="H68" s="166" t="str">
        <x:v>contém 'ITAU ASSET'</x:v>
      </x:c>
      <x:c r="I68" s="166" t="str">
        <x:v>Alta</x:v>
      </x:c>
      <x:c r="J68" s="166" t="str">
        <x:v>Confirmar</x:v>
      </x:c>
    </x:row>
    <x:row r="69">
      <x:c r="A69" s="166" t="str">
        <x:v>Gestor</x:v>
      </x:c>
      <x:c r="B69" s="166" t="str">
        <x:v>Integral Investimentos</x:v>
      </x:c>
      <x:c r="C69" s="169" t="n">
        <x:v>14.695753349350866</x:v>
      </x:c>
      <x:c r="D69" s="166" t="str">
        <x:v>Integral Investimentos</x:v>
      </x:c>
      <x:c r="E69" s="185" t="str">
        <x:v>Integral Investimentos</x:v>
      </x:c>
      <x:c r="F69" s="166" t="str">
        <x:v>Independente</x:v>
      </x:c>
      <x:c r="G69" s="185" t="str">
        <x:v>Independente</x:v>
      </x:c>
      <x:c r="H69" s="166" t="str">
        <x:v>residual; requer revisão manual</x:v>
      </x:c>
      <x:c r="I69" s="166" t="str">
        <x:v>Baixa</x:v>
      </x:c>
      <x:c r="J69" s="166" t="str">
        <x:v>Sim — alta</x:v>
      </x:c>
    </x:row>
    <x:row r="70">
      <x:c r="A70" s="166" t="str">
        <x:v>Gestor</x:v>
      </x:c>
      <x:c r="B70" s="166" t="str">
        <x:v>VERT Gestora de Recursos Financeiros Ltda.</x:v>
      </x:c>
      <x:c r="C70" s="169" t="n">
        <x:v>13.579469196570889</x:v>
      </x:c>
      <x:c r="D70" s="166" t="str">
        <x:v>VERT Gestora de Recursos Financeiros Ltda.</x:v>
      </x:c>
      <x:c r="E70" s="185" t="str">
        <x:v>VERT Gestora de Recursos Financeiros Ltda.</x:v>
      </x:c>
      <x:c r="F70" s="166" t="str">
        <x:v>Independente</x:v>
      </x:c>
      <x:c r="G70" s="185" t="str">
        <x:v>Independente</x:v>
      </x:c>
      <x:c r="H70" s="166" t="str">
        <x:v>residual; requer revisão manual</x:v>
      </x:c>
      <x:c r="I70" s="166" t="str">
        <x:v>Baixa</x:v>
      </x:c>
      <x:c r="J70" s="166" t="str">
        <x:v>Sim — alta</x:v>
      </x:c>
    </x:row>
    <x:row r="71">
      <x:c r="A71" s="166" t="str">
        <x:v>Gestor</x:v>
      </x:c>
      <x:c r="B71" s="166" t="str">
        <x:v>Solis</x:v>
      </x:c>
      <x:c r="C71" s="169" t="n">
        <x:v>12.969548505520002</x:v>
      </x:c>
      <x:c r="D71" s="166" t="str">
        <x:v>Solis</x:v>
      </x:c>
      <x:c r="E71" s="185" t="str">
        <x:v>Solis</x:v>
      </x:c>
      <x:c r="F71" s="166" t="str">
        <x:v>Independente</x:v>
      </x:c>
      <x:c r="G71" s="185" t="str">
        <x:v>Independente</x:v>
      </x:c>
      <x:c r="H71" s="166" t="str">
        <x:v>residual; requer revisão manual</x:v>
      </x:c>
      <x:c r="I71" s="166" t="str">
        <x:v>Baixa</x:v>
      </x:c>
      <x:c r="J71" s="166" t="str">
        <x:v>Sim — alta</x:v>
      </x:c>
    </x:row>
    <x:row r="72">
      <x:c r="A72" s="166" t="str">
        <x:v>Gestor</x:v>
      </x:c>
      <x:c r="B72" s="166" t="str">
        <x:v>Petra Capital</x:v>
      </x:c>
      <x:c r="C72" s="169" t="n">
        <x:v>12.42540878526</x:v>
      </x:c>
      <x:c r="D72" s="166" t="str">
        <x:v>Petra Capital</x:v>
      </x:c>
      <x:c r="E72" s="185" t="str">
        <x:v>Petra Capital</x:v>
      </x:c>
      <x:c r="F72" s="166" t="str">
        <x:v>Independente</x:v>
      </x:c>
      <x:c r="G72" s="185" t="str">
        <x:v>Independente</x:v>
      </x:c>
      <x:c r="H72" s="166" t="str">
        <x:v>residual; requer revisão manual</x:v>
      </x:c>
      <x:c r="I72" s="166" t="str">
        <x:v>Baixa</x:v>
      </x:c>
      <x:c r="J72" s="166" t="str">
        <x:v>Sim — alta</x:v>
      </x:c>
    </x:row>
    <x:row r="73">
      <x:c r="A73" s="166" t="str">
        <x:v>Gestor</x:v>
      </x:c>
      <x:c r="B73" s="166" t="str">
        <x:v>Kanastra</x:v>
      </x:c>
      <x:c r="C73" s="169" t="n">
        <x:v>12.281784110259998</x:v>
      </x:c>
      <x:c r="D73" s="166" t="str">
        <x:v>Kanastra</x:v>
      </x:c>
      <x:c r="E73" s="185" t="str">
        <x:v>Kanastra</x:v>
      </x:c>
      <x:c r="F73" s="166" t="str">
        <x:v>Independente</x:v>
      </x:c>
      <x:c r="G73" s="185" t="str">
        <x:v>Independente</x:v>
      </x:c>
      <x:c r="H73" s="166" t="str">
        <x:v>residual; requer revisão manual</x:v>
      </x:c>
      <x:c r="I73" s="166" t="str">
        <x:v>Baixa</x:v>
      </x:c>
      <x:c r="J73" s="166" t="str">
        <x:v>Sim — alta</x:v>
      </x:c>
    </x:row>
    <x:row r="74">
      <x:c r="A74" s="166" t="str">
        <x:v>Gestor</x:v>
      </x:c>
      <x:c r="B74" s="166" t="str">
        <x:v>VALORA RENDA FIXA LTDA.</x:v>
      </x:c>
      <x:c r="C74" s="169" t="n">
        <x:v>11.052121795664199</x:v>
      </x:c>
      <x:c r="D74" s="166" t="str">
        <x:v>VALORA RENDA FIXA LTDA.</x:v>
      </x:c>
      <x:c r="E74" s="185" t="str">
        <x:v>VALORA RENDA FIXA LTDA.</x:v>
      </x:c>
      <x:c r="F74" s="166" t="str">
        <x:v>Independente</x:v>
      </x:c>
      <x:c r="G74" s="185" t="str">
        <x:v>Independente</x:v>
      </x:c>
      <x:c r="H74" s="166" t="str">
        <x:v>residual; requer revisão manual</x:v>
      </x:c>
      <x:c r="I74" s="166" t="str">
        <x:v>Baixa</x:v>
      </x:c>
      <x:c r="J74" s="166" t="str">
        <x:v>Sim — alta</x:v>
      </x:c>
    </x:row>
    <x:row r="75">
      <x:c r="A75" s="166" t="str">
        <x:v>Gestor</x:v>
      </x:c>
      <x:c r="B75" s="166" t="str">
        <x:v>ANGÁ ASSET MANAGEMENT</x:v>
      </x:c>
      <x:c r="C75" s="169" t="n">
        <x:v>10.152829765389995</x:v>
      </x:c>
      <x:c r="D75" s="166" t="str">
        <x:v>ANGÁ ASSET MANAGEMENT</x:v>
      </x:c>
      <x:c r="E75" s="185" t="str">
        <x:v>ANGÁ ASSET MANAGEMENT</x:v>
      </x:c>
      <x:c r="F75" s="166" t="str">
        <x:v>Independente</x:v>
      </x:c>
      <x:c r="G75" s="185" t="str">
        <x:v>Independente</x:v>
      </x:c>
      <x:c r="H75" s="166" t="str">
        <x:v>residual; requer revisão manual</x:v>
      </x:c>
      <x:c r="I75" s="166" t="str">
        <x:v>Baixa</x:v>
      </x:c>
      <x:c r="J75" s="166" t="str">
        <x:v>Sim — alta</x:v>
      </x:c>
    </x:row>
    <x:row r="76">
      <x:c r="A76" s="166" t="str">
        <x:v>Gestor</x:v>
      </x:c>
      <x:c r="B76" s="166" t="str">
        <x:v>OURO PRETO INVESTIMENTOS</x:v>
      </x:c>
      <x:c r="C76" s="169" t="n">
        <x:v>8.784503639675004</x:v>
      </x:c>
      <x:c r="D76" s="166" t="str">
        <x:v>OURO PRETO INVESTIMENTOS</x:v>
      </x:c>
      <x:c r="E76" s="185" t="str">
        <x:v>OURO PRETO INVESTIMENTOS</x:v>
      </x:c>
      <x:c r="F76" s="166" t="str">
        <x:v>Independente</x:v>
      </x:c>
      <x:c r="G76" s="185" t="str">
        <x:v>Independente</x:v>
      </x:c>
      <x:c r="H76" s="166" t="str">
        <x:v>residual; requer revisão manual</x:v>
      </x:c>
      <x:c r="I76" s="166" t="str">
        <x:v>Baixa</x:v>
      </x:c>
      <x:c r="J76" s="166" t="str">
        <x:v>Sim — alta</x:v>
      </x:c>
    </x:row>
    <x:row r="77">
      <x:c r="A77" s="166" t="str">
        <x:v>Gestor</x:v>
      </x:c>
      <x:c r="B77" s="166" t="str">
        <x:v>M8 Partners</x:v>
      </x:c>
      <x:c r="C77" s="169" t="n">
        <x:v>8.372146989929748</x:v>
      </x:c>
      <x:c r="D77" s="166" t="str">
        <x:v>M8 Partners</x:v>
      </x:c>
      <x:c r="E77" s="185" t="str">
        <x:v>M8 Partners</x:v>
      </x:c>
      <x:c r="F77" s="166" t="str">
        <x:v>Independente</x:v>
      </x:c>
      <x:c r="G77" s="185" t="str">
        <x:v>Independente</x:v>
      </x:c>
      <x:c r="H77" s="166" t="str">
        <x:v>residual; requer revisão manual</x:v>
      </x:c>
      <x:c r="I77" s="166" t="str">
        <x:v>Baixa</x:v>
      </x:c>
      <x:c r="J77" s="166" t="str">
        <x:v>Sim — alta</x:v>
      </x:c>
    </x:row>
    <x:row r="78">
      <x:c r="A78" s="166" t="str">
        <x:v>Gestor</x:v>
      </x:c>
      <x:c r="B78" s="166" t="str">
        <x:v>JIVE INVESTMENTS</x:v>
      </x:c>
      <x:c r="C78" s="169" t="n">
        <x:v>8.3142915831204</x:v>
      </x:c>
      <x:c r="D78" s="166" t="str">
        <x:v>JIVE INVESTMENTS</x:v>
      </x:c>
      <x:c r="E78" s="185" t="str">
        <x:v>JIVE INVESTMENTS</x:v>
      </x:c>
      <x:c r="F78" s="166" t="str">
        <x:v>Independente</x:v>
      </x:c>
      <x:c r="G78" s="185" t="str">
        <x:v>Independente</x:v>
      </x:c>
      <x:c r="H78" s="166" t="str">
        <x:v>residual; requer revisão manual</x:v>
      </x:c>
      <x:c r="I78" s="166" t="str">
        <x:v>Baixa</x:v>
      </x:c>
      <x:c r="J78" s="166" t="str">
        <x:v>Sim — alta</x:v>
      </x:c>
    </x:row>
    <x:row r="79">
      <x:c r="A79" s="166" t="str">
        <x:v>Gestor</x:v>
      </x:c>
      <x:c r="B79" s="166" t="str">
        <x:v>DAYCOVAL ASSET MANAG</x:v>
      </x:c>
      <x:c r="C79" s="169" t="n">
        <x:v>7.9344462021</x:v>
      </x:c>
      <x:c r="D79" s="166" t="str">
        <x:v>Banco Daycoval</x:v>
      </x:c>
      <x:c r="E79" s="185" t="str">
        <x:v>Banco Daycoval</x:v>
      </x:c>
      <x:c r="F79" s="166" t="str">
        <x:v>Ligada a banco</x:v>
      </x:c>
      <x:c r="G79" s="185" t="str">
        <x:v>Ligada a banco</x:v>
      </x:c>
      <x:c r="H79" s="166" t="str">
        <x:v>contém 'DAYCOVAL'</x:v>
      </x:c>
      <x:c r="I79" s="166" t="str">
        <x:v>Alta</x:v>
      </x:c>
      <x:c r="J79" s="166" t="str">
        <x:v>Confirmar</x:v>
      </x:c>
    </x:row>
    <x:row r="80">
      <x:c r="A80" s="166" t="str">
        <x:v>Gestor</x:v>
      </x:c>
      <x:c r="B80" s="166" t="str">
        <x:v>Multiplica Capital</x:v>
      </x:c>
      <x:c r="C80" s="169" t="n">
        <x:v>7.741256760098272</x:v>
      </x:c>
      <x:c r="D80" s="166" t="str">
        <x:v>Multiplica Capital</x:v>
      </x:c>
      <x:c r="E80" s="185" t="str">
        <x:v>Multiplica Capital</x:v>
      </x:c>
      <x:c r="F80" s="166" t="str">
        <x:v>Independente</x:v>
      </x:c>
      <x:c r="G80" s="185" t="str">
        <x:v>Independente</x:v>
      </x:c>
      <x:c r="H80" s="166" t="str">
        <x:v>residual; requer revisão manual</x:v>
      </x:c>
      <x:c r="I80" s="166" t="str">
        <x:v>Baixa</x:v>
      </x:c>
      <x:c r="J80" s="166" t="str">
        <x:v>Sim — alta</x:v>
      </x:c>
    </x:row>
    <x:row r="81">
      <x:c r="A81" s="166" t="str">
        <x:v>Gestor</x:v>
      </x:c>
      <x:c r="B81" s="166" t="str">
        <x:v>Catálise Investimentos</x:v>
      </x:c>
      <x:c r="C81" s="169" t="n">
        <x:v>7.3527872113600035</x:v>
      </x:c>
      <x:c r="D81" s="166" t="str">
        <x:v>Catálise Investimentos</x:v>
      </x:c>
      <x:c r="E81" s="185" t="str">
        <x:v>Catálise Investimentos</x:v>
      </x:c>
      <x:c r="F81" s="166" t="str">
        <x:v>Independente</x:v>
      </x:c>
      <x:c r="G81" s="185" t="str">
        <x:v>Independente</x:v>
      </x:c>
      <x:c r="H81" s="166" t="str">
        <x:v>residual; requer revisão manual</x:v>
      </x:c>
      <x:c r="I81" s="166" t="str">
        <x:v>Baixa</x:v>
      </x:c>
      <x:c r="J81" s="166" t="str">
        <x:v>Sim — alta</x:v>
      </x:c>
    </x:row>
    <x:row r="82">
      <x:c r="A82" s="166" t="str">
        <x:v>Gestor</x:v>
      </x:c>
      <x:c r="B82" s="166" t="str">
        <x:v>Jus Capital Gestão de Recursos LTDA</x:v>
      </x:c>
      <x:c r="C82" s="169" t="n">
        <x:v>7.284959793269796</x:v>
      </x:c>
      <x:c r="D82" s="166" t="str">
        <x:v>Jus Capital Gestão de Recursos LTDA</x:v>
      </x:c>
      <x:c r="E82" s="185" t="str">
        <x:v>Jus Capital Gestão de Recursos LTDA</x:v>
      </x:c>
      <x:c r="F82" s="166" t="str">
        <x:v>Independente</x:v>
      </x:c>
      <x:c r="G82" s="185" t="str">
        <x:v>Independente</x:v>
      </x:c>
      <x:c r="H82" s="166" t="str">
        <x:v>residual; requer revisão manual</x:v>
      </x:c>
      <x:c r="I82" s="166" t="str">
        <x:v>Baixa</x:v>
      </x:c>
      <x:c r="J82" s="166" t="str">
        <x:v>Sim — alta</x:v>
      </x:c>
    </x:row>
    <x:row r="83">
      <x:c r="A83" s="166" t="str">
        <x:v>Gestor</x:v>
      </x:c>
      <x:c r="B83" s="166" t="str">
        <x:v>POLÍGONO CAPITAL LTDA.</x:v>
      </x:c>
      <x:c r="C83" s="169" t="n">
        <x:v>6.983214548088701</x:v>
      </x:c>
      <x:c r="D83" s="166" t="str">
        <x:v>POLÍGONO CAPITAL LTDA.</x:v>
      </x:c>
      <x:c r="E83" s="185" t="str">
        <x:v>POLÍGONO CAPITAL LTDA.</x:v>
      </x:c>
      <x:c r="F83" s="166" t="str">
        <x:v>Independente</x:v>
      </x:c>
      <x:c r="G83" s="185" t="str">
        <x:v>Independente</x:v>
      </x:c>
      <x:c r="H83" s="166" t="str">
        <x:v>residual; requer revisão manual</x:v>
      </x:c>
      <x:c r="I83" s="166" t="str">
        <x:v>Baixa</x:v>
      </x:c>
      <x:c r="J83" s="166" t="str">
        <x:v>Sim — alta</x:v>
      </x:c>
    </x:row>
    <x:row r="84">
      <x:c r="A84" s="166" t="str">
        <x:v>Gestor</x:v>
      </x:c>
      <x:c r="B84" s="166" t="str">
        <x:v>ORRAM GESTÃO DE RECURSOS LTDA.</x:v>
      </x:c>
      <x:c r="C84" s="169" t="n">
        <x:v>6.981774238613932</x:v>
      </x:c>
      <x:c r="D84" s="166" t="str">
        <x:v>ORRAM GESTÃO DE RECURSOS LTDA.</x:v>
      </x:c>
      <x:c r="E84" s="185" t="str">
        <x:v>ORRAM GESTÃO DE RECURSOS LTDA.</x:v>
      </x:c>
      <x:c r="F84" s="166" t="str">
        <x:v>Independente</x:v>
      </x:c>
      <x:c r="G84" s="185" t="str">
        <x:v>Independente</x:v>
      </x:c>
      <x:c r="H84" s="166" t="str">
        <x:v>residual; requer revisão manual</x:v>
      </x:c>
      <x:c r="I84" s="166" t="str">
        <x:v>Baixa</x:v>
      </x:c>
      <x:c r="J84" s="166" t="str">
        <x:v>Sim — alta</x:v>
      </x:c>
    </x:row>
    <x:row r="85">
      <x:c r="A85" s="166" t="str">
        <x:v>Gestor</x:v>
      </x:c>
      <x:c r="B85" s="166" t="str">
        <x:v>RedAsset Gestão de Recursos Ltda.</x:v>
      </x:c>
      <x:c r="C85" s="169" t="n">
        <x:v>6.475707924679998</x:v>
      </x:c>
      <x:c r="D85" s="166" t="str">
        <x:v>RedAsset Gestão de Recursos Ltda.</x:v>
      </x:c>
      <x:c r="E85" s="185" t="str">
        <x:v>RedAsset Gestão de Recursos Ltda.</x:v>
      </x:c>
      <x:c r="F85" s="166" t="str">
        <x:v>Independente</x:v>
      </x:c>
      <x:c r="G85" s="185" t="str">
        <x:v>Independente</x:v>
      </x:c>
      <x:c r="H85" s="166" t="str">
        <x:v>residual; requer revisão manual</x:v>
      </x:c>
      <x:c r="I85" s="166" t="str">
        <x:v>Baixa</x:v>
      </x:c>
      <x:c r="J85" s="166" t="str">
        <x:v>Sim — alta</x:v>
      </x:c>
    </x:row>
    <x:row r="86">
      <x:c r="A86" s="166" t="str">
        <x:v>Gestor</x:v>
      </x:c>
      <x:c r="B86" s="166" t="str">
        <x:v>Vista Real Estate</x:v>
      </x:c>
      <x:c r="C86" s="169" t="n">
        <x:v>5.957382884780001</x:v>
      </x:c>
      <x:c r="D86" s="166" t="str">
        <x:v>Vista Real Estate</x:v>
      </x:c>
      <x:c r="E86" s="185" t="str">
        <x:v>Vista Real Estate</x:v>
      </x:c>
      <x:c r="F86" s="166" t="str">
        <x:v>Independente</x:v>
      </x:c>
      <x:c r="G86" s="185" t="str">
        <x:v>Independente</x:v>
      </x:c>
      <x:c r="H86" s="166" t="str">
        <x:v>residual; requer revisão manual</x:v>
      </x:c>
      <x:c r="I86" s="166" t="str">
        <x:v>Baixa</x:v>
      </x:c>
      <x:c r="J86" s="166" t="str">
        <x:v>Sim — alta</x:v>
      </x:c>
    </x:row>
    <x:row r="87">
      <x:c r="A87" s="166" t="str">
        <x:v>Gestor</x:v>
      </x:c>
      <x:c r="B87" s="166" t="str">
        <x:v>Emerald Gestão de Investimento</x:v>
      </x:c>
      <x:c r="C87" s="169" t="n">
        <x:v>5.707700077289999</x:v>
      </x:c>
      <x:c r="D87" s="166" t="str">
        <x:v>Emerald Gestão de Investimento</x:v>
      </x:c>
      <x:c r="E87" s="185" t="str">
        <x:v>Emerald Gestão de Investimento</x:v>
      </x:c>
      <x:c r="F87" s="166" t="str">
        <x:v>Independente</x:v>
      </x:c>
      <x:c r="G87" s="185" t="str">
        <x:v>Independente</x:v>
      </x:c>
      <x:c r="H87" s="166" t="str">
        <x:v>residual; requer revisão manual</x:v>
      </x:c>
      <x:c r="I87" s="166" t="str">
        <x:v>Baixa</x:v>
      </x:c>
      <x:c r="J87" s="166" t="str">
        <x:v>Sim — alta</x:v>
      </x:c>
    </x:row>
    <x:row r="88">
      <x:c r="A88" s="166" t="str">
        <x:v>Gestor</x:v>
      </x:c>
      <x:c r="B88" s="166" t="str">
        <x:v>QI GESTAO DE RECURSOS LTDA</x:v>
      </x:c>
      <x:c r="C88" s="169" t="n">
        <x:v>5.6088455252300005</x:v>
      </x:c>
      <x:c r="D88" s="166" t="str">
        <x:v>QI GESTAO DE RECURSOS LTDA</x:v>
      </x:c>
      <x:c r="E88" s="185" t="str">
        <x:v>QI GESTAO DE RECURSOS LTDA</x:v>
      </x:c>
      <x:c r="F88" s="166" t="str">
        <x:v>Independente</x:v>
      </x:c>
      <x:c r="G88" s="185" t="str">
        <x:v>Independente</x:v>
      </x:c>
      <x:c r="H88" s="166" t="str">
        <x:v>residual; requer revisão manual</x:v>
      </x:c>
      <x:c r="I88" s="166" t="str">
        <x:v>Baixa</x:v>
      </x:c>
      <x:c r="J88" s="166" t="str">
        <x:v>Sim — alta</x:v>
      </x:c>
    </x:row>
    <x:row r="89">
      <x:c r="A89" s="166" t="str">
        <x:v>Gestor</x:v>
      </x:c>
      <x:c r="B89" s="166" t="str">
        <x:v>Artesanal Investimentos</x:v>
      </x:c>
      <x:c r="C89" s="169" t="n">
        <x:v>5.493843174920001</x:v>
      </x:c>
      <x:c r="D89" s="166" t="str">
        <x:v>Artesanal Investimentos</x:v>
      </x:c>
      <x:c r="E89" s="185" t="str">
        <x:v>Artesanal Investimentos</x:v>
      </x:c>
      <x:c r="F89" s="166" t="str">
        <x:v>Independente</x:v>
      </x:c>
      <x:c r="G89" s="185" t="str">
        <x:v>Independente</x:v>
      </x:c>
      <x:c r="H89" s="166" t="str">
        <x:v>residual; requer revisão manual</x:v>
      </x:c>
      <x:c r="I89" s="166" t="str">
        <x:v>Baixa</x:v>
      </x:c>
      <x:c r="J89" s="166" t="str">
        <x:v>Sim — alta</x:v>
      </x:c>
    </x:row>
    <x:row r="90">
      <x:c r="A90" s="166" t="str">
        <x:v>Gestor</x:v>
      </x:c>
      <x:c r="B90" s="166" t="str">
        <x:v>Versal Finance Gestão de Recursos LTDA.</x:v>
      </x:c>
      <x:c r="C90" s="169" t="n">
        <x:v>5.14606973058</x:v>
      </x:c>
      <x:c r="D90" s="166" t="str">
        <x:v>Versal Finance Gestão de Recursos LTDA.</x:v>
      </x:c>
      <x:c r="E90" s="185" t="str">
        <x:v>Versal Finance Gestão de Recursos LTDA.</x:v>
      </x:c>
      <x:c r="F90" s="166" t="str">
        <x:v>Independente</x:v>
      </x:c>
      <x:c r="G90" s="185" t="str">
        <x:v>Independente</x:v>
      </x:c>
      <x:c r="H90" s="166" t="str">
        <x:v>residual; requer revisão manual</x:v>
      </x:c>
      <x:c r="I90" s="166" t="str">
        <x:v>Baixa</x:v>
      </x:c>
      <x:c r="J90" s="166" t="str">
        <x:v>Sim — alta</x:v>
      </x:c>
    </x:row>
    <x:row r="91">
      <x:c r="A91" s="166" t="str">
        <x:v>Gestor</x:v>
      </x:c>
      <x:c r="B91" s="166" t="str">
        <x:v>BRL TRUST DTVM</x:v>
      </x:c>
      <x:c r="C91" s="169" t="n">
        <x:v>5.093939059859999</x:v>
      </x:c>
      <x:c r="D91" s="166" t="str">
        <x:v>BRL TRUST DTVM</x:v>
      </x:c>
      <x:c r="E91" s="185" t="str">
        <x:v>BRL TRUST DTVM</x:v>
      </x:c>
      <x:c r="F91" s="166" t="str">
        <x:v>Independente</x:v>
      </x:c>
      <x:c r="G91" s="185" t="str">
        <x:v>Independente</x:v>
      </x:c>
      <x:c r="H91" s="166" t="str">
        <x:v>residual; requer revisão manual</x:v>
      </x:c>
      <x:c r="I91" s="166" t="str">
        <x:v>Baixa</x:v>
      </x:c>
      <x:c r="J91" s="166" t="str">
        <x:v>Sim — alta</x:v>
      </x:c>
    </x:row>
    <x:row r="92">
      <x:c r="A92" s="166" t="str">
        <x:v>Gestor</x:v>
      </x:c>
      <x:c r="B92" s="166" t="str">
        <x:v>Redwood Asset Management</x:v>
      </x:c>
      <x:c r="C92" s="169" t="n">
        <x:v>4.992458051800001</x:v>
      </x:c>
      <x:c r="D92" s="166" t="str">
        <x:v>Redwood Asset Management</x:v>
      </x:c>
      <x:c r="E92" s="185" t="str">
        <x:v>Redwood Asset Management</x:v>
      </x:c>
      <x:c r="F92" s="166" t="str">
        <x:v>Independente</x:v>
      </x:c>
      <x:c r="G92" s="185" t="str">
        <x:v>Independente</x:v>
      </x:c>
      <x:c r="H92" s="166" t="str">
        <x:v>residual; requer revisão manual</x:v>
      </x:c>
      <x:c r="I92" s="166" t="str">
        <x:v>Baixa</x:v>
      </x:c>
      <x:c r="J92" s="166" t="str">
        <x:v>Sim — alta</x:v>
      </x:c>
    </x:row>
    <x:row r="93">
      <x:c r="A93" s="166" t="str">
        <x:v>Gestor</x:v>
      </x:c>
      <x:c r="B93" s="166" t="str">
        <x:v>TRUSTEE DTVM</x:v>
      </x:c>
      <x:c r="C93" s="169" t="n">
        <x:v>4.844862923809999</x:v>
      </x:c>
      <x:c r="D93" s="166" t="str">
        <x:v>TRUSTEE DTVM</x:v>
      </x:c>
      <x:c r="E93" s="185" t="str">
        <x:v>TRUSTEE DTVM</x:v>
      </x:c>
      <x:c r="F93" s="166" t="str">
        <x:v>Independente</x:v>
      </x:c>
      <x:c r="G93" s="185" t="str">
        <x:v>Independente</x:v>
      </x:c>
      <x:c r="H93" s="166" t="str">
        <x:v>residual; requer revisão manual</x:v>
      </x:c>
      <x:c r="I93" s="166" t="str">
        <x:v>Baixa</x:v>
      </x:c>
      <x:c r="J93" s="166" t="str">
        <x:v>Sim — alta</x:v>
      </x:c>
    </x:row>
    <x:row r="94">
      <x:c r="A94" s="166" t="str">
        <x:v>Gestor</x:v>
      </x:c>
      <x:c r="B94" s="166" t="str">
        <x:v>Veritas Capital Management</x:v>
      </x:c>
      <x:c r="C94" s="169" t="n">
        <x:v>4.7029663309053396</x:v>
      </x:c>
      <x:c r="D94" s="166" t="str">
        <x:v>Veritas Capital Management</x:v>
      </x:c>
      <x:c r="E94" s="185" t="str">
        <x:v>Veritas Capital Management</x:v>
      </x:c>
      <x:c r="F94" s="166" t="str">
        <x:v>Independente</x:v>
      </x:c>
      <x:c r="G94" s="185" t="str">
        <x:v>Independente</x:v>
      </x:c>
      <x:c r="H94" s="166" t="str">
        <x:v>residual; requer revisão manual</x:v>
      </x:c>
      <x:c r="I94" s="166" t="str">
        <x:v>Baixa</x:v>
      </x:c>
      <x:c r="J94" s="166" t="str">
        <x:v>Sim — alta</x:v>
      </x:c>
    </x:row>
    <x:row r="95">
      <x:c r="A95" s="166" t="str">
        <x:v>Gestor</x:v>
      </x:c>
      <x:c r="B95" s="166" t="str">
        <x:v>Acura Gestora de Recursos LTDA.</x:v>
      </x:c>
      <x:c r="C95" s="169" t="n">
        <x:v>4.63003189228</x:v>
      </x:c>
      <x:c r="D95" s="166" t="str">
        <x:v>Acura Gestora de Recursos LTDA.</x:v>
      </x:c>
      <x:c r="E95" s="185" t="str">
        <x:v>Acura Gestora de Recursos LTDA.</x:v>
      </x:c>
      <x:c r="F95" s="166" t="str">
        <x:v>Independente</x:v>
      </x:c>
      <x:c r="G95" s="185" t="str">
        <x:v>Independente</x:v>
      </x:c>
      <x:c r="H95" s="166" t="str">
        <x:v>residual; requer revisão manual</x:v>
      </x:c>
      <x:c r="I95" s="166" t="str">
        <x:v>Baixa</x:v>
      </x:c>
      <x:c r="J95" s="166" t="str">
        <x:v>Sim — alta</x:v>
      </x:c>
    </x:row>
    <x:row r="96">
      <x:c r="A96" s="166" t="str">
        <x:v>Gestor</x:v>
      </x:c>
      <x:c r="B96" s="166" t="str">
        <x:v>VALORA RENDA FIXA ESTRUTURADOS LTDA.</x:v>
      </x:c>
      <x:c r="C96" s="169" t="n">
        <x:v>4.53767999299533</x:v>
      </x:c>
      <x:c r="D96" s="166" t="str">
        <x:v>VALORA RENDA FIXA ESTRUTURADOS LTDA.</x:v>
      </x:c>
      <x:c r="E96" s="185" t="str">
        <x:v>VALORA RENDA FIXA ESTRUTURADOS LTDA.</x:v>
      </x:c>
      <x:c r="F96" s="166" t="str">
        <x:v>Independente</x:v>
      </x:c>
      <x:c r="G96" s="185" t="str">
        <x:v>Independente</x:v>
      </x:c>
      <x:c r="H96" s="166" t="str">
        <x:v>residual; requer revisão manual</x:v>
      </x:c>
      <x:c r="I96" s="166" t="str">
        <x:v>Baixa</x:v>
      </x:c>
      <x:c r="J96" s="166" t="str">
        <x:v>Sim — alta</x:v>
      </x:c>
    </x:row>
    <x:row r="97">
      <x:c r="A97" s="166" t="str">
        <x:v>Gestor</x:v>
      </x:c>
      <x:c r="B97" s="166" t="str">
        <x:v>GV ATACAMA CAPITAL LTDA.</x:v>
      </x:c>
      <x:c r="C97" s="169" t="n">
        <x:v>4.401085361690011</x:v>
      </x:c>
      <x:c r="D97" s="166" t="str">
        <x:v>GV ATACAMA CAPITAL LTDA.</x:v>
      </x:c>
      <x:c r="E97" s="185" t="str">
        <x:v>GV ATACAMA CAPITAL LTDA.</x:v>
      </x:c>
      <x:c r="F97" s="166" t="str">
        <x:v>Independente</x:v>
      </x:c>
      <x:c r="G97" s="185" t="str">
        <x:v>Independente</x:v>
      </x:c>
      <x:c r="H97" s="166" t="str">
        <x:v>residual; requer revisão manual</x:v>
      </x:c>
      <x:c r="I97" s="166" t="str">
        <x:v>Baixa</x:v>
      </x:c>
      <x:c r="J97" s="166" t="str">
        <x:v>Sim — alta</x:v>
      </x:c>
    </x:row>
    <x:row r="98">
      <x:c r="A98" s="166" t="str">
        <x:v>Gestor</x:v>
      </x:c>
      <x:c r="B98" s="166" t="str">
        <x:v>Eco Gestão de Ativos LTDA.</x:v>
      </x:c>
      <x:c r="C98" s="169" t="n">
        <x:v>4.3528642941336795</x:v>
      </x:c>
      <x:c r="D98" s="166" t="str">
        <x:v>Eco Gestão de Ativos LTDA.</x:v>
      </x:c>
      <x:c r="E98" s="185" t="str">
        <x:v>Eco Gestão de Ativos LTDA.</x:v>
      </x:c>
      <x:c r="F98" s="166" t="str">
        <x:v>Independente</x:v>
      </x:c>
      <x:c r="G98" s="185" t="str">
        <x:v>Independente</x:v>
      </x:c>
      <x:c r="H98" s="166" t="str">
        <x:v>residual; requer revisão manual</x:v>
      </x:c>
      <x:c r="I98" s="166" t="str">
        <x:v>Baixa</x:v>
      </x:c>
      <x:c r="J98" s="166" t="str">
        <x:v>Sim — alta</x:v>
      </x:c>
    </x:row>
    <x:row r="99">
      <x:c r="A99" s="166" t="str">
        <x:v>Gestor</x:v>
      </x:c>
      <x:c r="B99" s="166" t="str">
        <x:v>JIVE HIGH YIELD GESTÃO DE RECURSOS LTDA</x:v>
      </x:c>
      <x:c r="C99" s="169" t="n">
        <x:v>4.250004172690001</x:v>
      </x:c>
      <x:c r="D99" s="166" t="str">
        <x:v>JIVE HIGH YIELD GESTÃO DE RECURSOS LTDA</x:v>
      </x:c>
      <x:c r="E99" s="185" t="str">
        <x:v>JIVE HIGH YIELD GESTÃO DE RECURSOS LTDA</x:v>
      </x:c>
      <x:c r="F99" s="166" t="str">
        <x:v>Independente</x:v>
      </x:c>
      <x:c r="G99" s="185" t="str">
        <x:v>Independente</x:v>
      </x:c>
      <x:c r="H99" s="166" t="str">
        <x:v>residual; requer revisão manual</x:v>
      </x:c>
      <x:c r="I99" s="166" t="str">
        <x:v>Baixa</x:v>
      </x:c>
      <x:c r="J99" s="166" t="str">
        <x:v>Sim — alta</x:v>
      </x:c>
    </x:row>
    <x:row r="100">
      <x:c r="A100" s="166" t="str">
        <x:v>Gestor</x:v>
      </x:c>
      <x:c r="B100" s="166" t="str">
        <x:v>Itau Unibanco</x:v>
      </x:c>
      <x:c r="C100" s="169" t="n">
        <x:v>4.19434673372</x:v>
      </x:c>
      <x:c r="D100" s="166" t="str">
        <x:v>Itaú Unibanco</x:v>
      </x:c>
      <x:c r="E100" s="185" t="str">
        <x:v>Itaú Unibanco</x:v>
      </x:c>
      <x:c r="F100" s="166" t="str">
        <x:v>Ligada a banco</x:v>
      </x:c>
      <x:c r="G100" s="185" t="str">
        <x:v>Ligada a banco</x:v>
      </x:c>
      <x:c r="H100" s="166" t="str">
        <x:v>contém 'ITAU UNIBANCO'</x:v>
      </x:c>
      <x:c r="I100" s="166" t="str">
        <x:v>Alta</x:v>
      </x:c>
      <x:c r="J100" s="166" t="str">
        <x:v>Confirmar</x:v>
      </x:c>
    </x:row>
    <x:row r="101">
      <x:c r="A101" s="166" t="str">
        <x:v>Gestor</x:v>
      </x:c>
      <x:c r="B101" s="166" t="str">
        <x:v>LASS CAPITAL</x:v>
      </x:c>
      <x:c r="C101" s="169" t="n">
        <x:v>4.1705169723333</x:v>
      </x:c>
      <x:c r="D101" s="166" t="str">
        <x:v>LASS CAPITAL</x:v>
      </x:c>
      <x:c r="E101" s="185" t="str">
        <x:v>LASS CAPITAL</x:v>
      </x:c>
      <x:c r="F101" s="166" t="str">
        <x:v>Independente</x:v>
      </x:c>
      <x:c r="G101" s="185" t="str">
        <x:v>Independente</x:v>
      </x:c>
      <x:c r="H101" s="166" t="str">
        <x:v>residual; requer revisão manual</x:v>
      </x:c>
      <x:c r="I101" s="166" t="str">
        <x:v>Baixa</x:v>
      </x:c>
      <x:c r="J101" s="166" t="str">
        <x:v>Sim — alta</x:v>
      </x:c>
    </x:row>
    <x:row r="102">
      <x:c r="A102" s="166" t="str">
        <x:v>Gestor</x:v>
      </x:c>
      <x:c r="B102" s="166" t="str">
        <x:v>Riza Securitização e Carteiras</x:v>
      </x:c>
      <x:c r="C102" s="169" t="n">
        <x:v>4.108809649601129</x:v>
      </x:c>
      <x:c r="D102" s="166" t="str">
        <x:v>Riza Securitização e Carteiras</x:v>
      </x:c>
      <x:c r="E102" s="185" t="str">
        <x:v>Riza Securitização e Carteiras</x:v>
      </x:c>
      <x:c r="F102" s="166" t="str">
        <x:v>Independente</x:v>
      </x:c>
      <x:c r="G102" s="185" t="str">
        <x:v>Independente</x:v>
      </x:c>
      <x:c r="H102" s="166" t="str">
        <x:v>residual; requer revisão manual</x:v>
      </x:c>
      <x:c r="I102" s="166" t="str">
        <x:v>Baixa</x:v>
      </x:c>
      <x:c r="J102" s="166" t="str">
        <x:v>Sim — alta</x:v>
      </x:c>
    </x:row>
    <x:row r="103">
      <x:c r="A103" s="166" t="str">
        <x:v>Gestor</x:v>
      </x:c>
      <x:c r="B103" s="166" t="str">
        <x:v>SUESTE CAPITAL GESTÃO DE RECURSOS LTDA.</x:v>
      </x:c>
      <x:c r="C103" s="169" t="n">
        <x:v>3.74588404704</x:v>
      </x:c>
      <x:c r="D103" s="166" t="str">
        <x:v>SUESTE CAPITAL GESTÃO DE RECURSOS LTDA.</x:v>
      </x:c>
      <x:c r="E103" s="185" t="str">
        <x:v>SUESTE CAPITAL GESTÃO DE RECURSOS LTDA.</x:v>
      </x:c>
      <x:c r="F103" s="166" t="str">
        <x:v>Independente</x:v>
      </x:c>
      <x:c r="G103" s="185" t="str">
        <x:v>Independente</x:v>
      </x:c>
      <x:c r="H103" s="166" t="str">
        <x:v>residual; requer revisão manual</x:v>
      </x:c>
      <x:c r="I103" s="166" t="str">
        <x:v>Baixa</x:v>
      </x:c>
      <x:c r="J103" s="166" t="str">
        <x:v>Sim — alta</x:v>
      </x:c>
    </x:row>
    <x:row r="104">
      <x:c r="A104" s="166" t="str">
        <x:v>Gestor</x:v>
      </x:c>
      <x:c r="B104" s="166" t="str">
        <x:v>SECURITY ADMINISTRAD</x:v>
      </x:c>
      <x:c r="C104" s="169" t="n">
        <x:v>3.71537954124</x:v>
      </x:c>
      <x:c r="D104" s="166" t="str">
        <x:v>SECURITY ADMINISTRAD</x:v>
      </x:c>
      <x:c r="E104" s="185" t="str">
        <x:v>SECURITY ADMINISTRAD</x:v>
      </x:c>
      <x:c r="F104" s="166" t="str">
        <x:v>Independente</x:v>
      </x:c>
      <x:c r="G104" s="185" t="str">
        <x:v>Independente</x:v>
      </x:c>
      <x:c r="H104" s="166" t="str">
        <x:v>residual; requer revisão manual</x:v>
      </x:c>
      <x:c r="I104" s="166" t="str">
        <x:v>Baixa</x:v>
      </x:c>
      <x:c r="J104" s="166" t="str">
        <x:v>Sim — alta</x:v>
      </x:c>
    </x:row>
    <x:row r="105">
      <x:c r="A105" s="166" t="str">
        <x:v>Gestor</x:v>
      </x:c>
      <x:c r="B105" s="166" t="str">
        <x:v>NOVA OCCAM BRASIL GESTÃO DE RECURSOS LTDA.</x:v>
      </x:c>
      <x:c r="C105" s="169" t="n">
        <x:v>3.54516190381</x:v>
      </x:c>
      <x:c r="D105" s="166" t="str">
        <x:v>NOVA OCCAM BRASIL GESTÃO DE RECURSOS LTDA.</x:v>
      </x:c>
      <x:c r="E105" s="185" t="str">
        <x:v>NOVA OCCAM BRASIL GESTÃO DE RECURSOS LTDA.</x:v>
      </x:c>
      <x:c r="F105" s="166" t="str">
        <x:v>Independente</x:v>
      </x:c>
      <x:c r="G105" s="185" t="str">
        <x:v>Independente</x:v>
      </x:c>
      <x:c r="H105" s="166" t="str">
        <x:v>residual; requer revisão manual</x:v>
      </x:c>
      <x:c r="I105" s="166" t="str">
        <x:v>Baixa</x:v>
      </x:c>
      <x:c r="J105" s="166" t="str">
        <x:v>Sim — alta</x:v>
      </x:c>
    </x:row>
    <x:row r="106">
      <x:c r="A106" s="166" t="str">
        <x:v>Gestor</x:v>
      </x:c>
      <x:c r="B106" s="166" t="str">
        <x:v>CARMEL GESTORA DE ATIVOS LTDA</x:v>
      </x:c>
      <x:c r="C106" s="169" t="n">
        <x:v>3.51182259815</x:v>
      </x:c>
      <x:c r="D106" s="166" t="str">
        <x:v>CARMEL GESTORA DE ATIVOS LTDA</x:v>
      </x:c>
      <x:c r="E106" s="185" t="str">
        <x:v>CARMEL GESTORA DE ATIVOS LTDA</x:v>
      </x:c>
      <x:c r="F106" s="166" t="str">
        <x:v>Independente</x:v>
      </x:c>
      <x:c r="G106" s="185" t="str">
        <x:v>Independente</x:v>
      </x:c>
      <x:c r="H106" s="166" t="str">
        <x:v>residual; requer revisão manual</x:v>
      </x:c>
      <x:c r="I106" s="166" t="str">
        <x:v>Baixa</x:v>
      </x:c>
      <x:c r="J106" s="166" t="str">
        <x:v>Sim — alta</x:v>
      </x:c>
    </x:row>
    <x:row r="107">
      <x:c r="A107" s="166" t="str">
        <x:v>Gestor</x:v>
      </x:c>
      <x:c r="B107" s="166" t="str">
        <x:v>SMART AGRO INVESTIMENTOS LTDA.</x:v>
      </x:c>
      <x:c r="C107" s="169" t="n">
        <x:v>3.50103719131</x:v>
      </x:c>
      <x:c r="D107" s="166" t="str">
        <x:v>SMART AGRO INVESTIMENTOS LTDA.</x:v>
      </x:c>
      <x:c r="E107" s="185" t="str">
        <x:v>SMART AGRO INVESTIMENTOS LTDA.</x:v>
      </x:c>
      <x:c r="F107" s="166" t="str">
        <x:v>Independente</x:v>
      </x:c>
      <x:c r="G107" s="185" t="str">
        <x:v>Independente</x:v>
      </x:c>
      <x:c r="H107" s="166" t="str">
        <x:v>residual; requer revisão manual</x:v>
      </x:c>
      <x:c r="I107" s="166" t="str">
        <x:v>Baixa</x:v>
      </x:c>
      <x:c r="J107" s="166" t="str">
        <x:v>Sim — alta</x:v>
      </x:c>
    </x:row>
    <x:row r="108">
      <x:c r="A108" s="166" t="str">
        <x:v>Gestor</x:v>
      </x:c>
      <x:c r="B108" s="166" t="str">
        <x:v>Intrabank Asset</x:v>
      </x:c>
      <x:c r="C108" s="169" t="n">
        <x:v>3.405338139209999</x:v>
      </x:c>
      <x:c r="D108" s="166" t="str">
        <x:v>Intrabank Asset</x:v>
      </x:c>
      <x:c r="E108" s="185" t="str">
        <x:v>Intrabank Asset</x:v>
      </x:c>
      <x:c r="F108" s="166" t="str">
        <x:v>Independente</x:v>
      </x:c>
      <x:c r="G108" s="185" t="str">
        <x:v>Independente</x:v>
      </x:c>
      <x:c r="H108" s="166" t="str">
        <x:v>residual; requer revisão manual</x:v>
      </x:c>
      <x:c r="I108" s="166" t="str">
        <x:v>Baixa</x:v>
      </x:c>
      <x:c r="J108" s="166" t="str">
        <x:v>Sim — alta</x:v>
      </x:c>
    </x:row>
    <x:row r="109">
      <x:c r="A109" s="166" t="str">
        <x:v>Gestor</x:v>
      </x:c>
      <x:c r="B109" s="166" t="str">
        <x:v>ARTESANAL FINANCEIRO</x:v>
      </x:c>
      <x:c r="C109" s="169" t="n">
        <x:v>3.4036346558500004</x:v>
      </x:c>
      <x:c r="D109" s="166" t="str">
        <x:v>ARTESANAL FINANCEIRO</x:v>
      </x:c>
      <x:c r="E109" s="185" t="str">
        <x:v>ARTESANAL FINANCEIRO</x:v>
      </x:c>
      <x:c r="F109" s="166" t="str">
        <x:v>Independente</x:v>
      </x:c>
      <x:c r="G109" s="185" t="str">
        <x:v>Independente</x:v>
      </x:c>
      <x:c r="H109" s="166" t="str">
        <x:v>residual; requer revisão manual</x:v>
      </x:c>
      <x:c r="I109" s="166" t="str">
        <x:v>Baixa</x:v>
      </x:c>
      <x:c r="J109" s="166" t="str">
        <x:v>Sim — alta</x:v>
      </x:c>
    </x:row>
    <x:row r="110">
      <x:c r="A110" s="166" t="str">
        <x:v>Gestor</x:v>
      </x:c>
      <x:c r="B110" s="166" t="str">
        <x:v>ASA Investments</x:v>
      </x:c>
      <x:c r="C110" s="169" t="n">
        <x:v>3.35802363957413</x:v>
      </x:c>
      <x:c r="D110" s="166" t="str">
        <x:v>ASA Investments</x:v>
      </x:c>
      <x:c r="E110" s="185" t="str">
        <x:v>ASA Investments</x:v>
      </x:c>
      <x:c r="F110" s="166" t="str">
        <x:v>Independente</x:v>
      </x:c>
      <x:c r="G110" s="185" t="str">
        <x:v>Independente</x:v>
      </x:c>
      <x:c r="H110" s="166" t="str">
        <x:v>residual; requer revisão manual</x:v>
      </x:c>
      <x:c r="I110" s="166" t="str">
        <x:v>Baixa</x:v>
      </x:c>
      <x:c r="J110" s="166" t="str">
        <x:v>Sim — alta</x:v>
      </x:c>
    </x:row>
    <x:row r="111">
      <x:c r="A111" s="166" t="str">
        <x:v>Gestor</x:v>
      </x:c>
      <x:c r="B111" s="166" t="str">
        <x:v>G5 Adm. de Recursos</x:v>
      </x:c>
      <x:c r="C111" s="169" t="n">
        <x:v>3.352128167090001</x:v>
      </x:c>
      <x:c r="D111" s="166" t="str">
        <x:v>G5 Adm. de Recursos</x:v>
      </x:c>
      <x:c r="E111" s="185" t="str">
        <x:v>G5 Adm. de Recursos</x:v>
      </x:c>
      <x:c r="F111" s="166" t="str">
        <x:v>Independente</x:v>
      </x:c>
      <x:c r="G111" s="185" t="str">
        <x:v>Independente</x:v>
      </x:c>
      <x:c r="H111" s="166" t="str">
        <x:v>residual; requer revisão manual</x:v>
      </x:c>
      <x:c r="I111" s="166" t="str">
        <x:v>Baixa</x:v>
      </x:c>
      <x:c r="J111" s="166" t="str">
        <x:v>Sim — alta</x:v>
      </x:c>
    </x:row>
    <x:row r="112">
      <x:c r="A112" s="166" t="str">
        <x:v>Gestor</x:v>
      </x:c>
      <x:c r="B112" s="166" t="str">
        <x:v>Multiplike Gestão de Recursos Ltda</x:v>
      </x:c>
      <x:c r="C112" s="169" t="n">
        <x:v>3.3011051028700003</x:v>
      </x:c>
      <x:c r="D112" s="166" t="str">
        <x:v>Multiplike Gestão de Recursos Ltda</x:v>
      </x:c>
      <x:c r="E112" s="185" t="str">
        <x:v>Multiplike Gestão de Recursos Ltda</x:v>
      </x:c>
      <x:c r="F112" s="166" t="str">
        <x:v>Independente</x:v>
      </x:c>
      <x:c r="G112" s="185" t="str">
        <x:v>Independente</x:v>
      </x:c>
      <x:c r="H112" s="166" t="str">
        <x:v>residual; requer revisão manual</x:v>
      </x:c>
      <x:c r="I112" s="166" t="str">
        <x:v>Baixa</x:v>
      </x:c>
      <x:c r="J112" s="166" t="str">
        <x:v>Sim — alta</x:v>
      </x:c>
    </x:row>
    <x:row r="113">
      <x:c r="A113" s="166" t="str">
        <x:v>Gestor</x:v>
      </x:c>
      <x:c r="B113" s="166" t="str">
        <x:v>GESTORA DE RECURSOS ID - GRID LTDA.</x:v>
      </x:c>
      <x:c r="C113" s="169" t="n">
        <x:v>3.28379189671</x:v>
      </x:c>
      <x:c r="D113" s="166" t="str">
        <x:v>GESTORA DE RECURSOS ID - GRID LTDA.</x:v>
      </x:c>
      <x:c r="E113" s="185" t="str">
        <x:v>GESTORA DE RECURSOS ID - GRID LTDA.</x:v>
      </x:c>
      <x:c r="F113" s="166" t="str">
        <x:v>Independente</x:v>
      </x:c>
      <x:c r="G113" s="185" t="str">
        <x:v>Independente</x:v>
      </x:c>
      <x:c r="H113" s="166" t="str">
        <x:v>residual; requer revisão manual</x:v>
      </x:c>
      <x:c r="I113" s="166" t="str">
        <x:v>Baixa</x:v>
      </x:c>
      <x:c r="J113" s="166" t="str">
        <x:v>Sim — alta</x:v>
      </x:c>
    </x:row>
    <x:row r="114">
      <x:c r="A114" s="166" t="str">
        <x:v>Gestor</x:v>
      </x:c>
      <x:c r="B114" s="166" t="str">
        <x:v>H2 CAPITAL</x:v>
      </x:c>
      <x:c r="C114" s="169" t="n">
        <x:v>3.1889097742550407</x:v>
      </x:c>
      <x:c r="D114" s="166" t="str">
        <x:v>H2 CAPITAL</x:v>
      </x:c>
      <x:c r="E114" s="185" t="str">
        <x:v>H2 CAPITAL</x:v>
      </x:c>
      <x:c r="F114" s="166" t="str">
        <x:v>Independente</x:v>
      </x:c>
      <x:c r="G114" s="185" t="str">
        <x:v>Independente</x:v>
      </x:c>
      <x:c r="H114" s="166" t="str">
        <x:v>residual; requer revisão manual</x:v>
      </x:c>
      <x:c r="I114" s="166" t="str">
        <x:v>Baixa</x:v>
      </x:c>
      <x:c r="J114" s="166" t="str">
        <x:v>Sim — alta</x:v>
      </x:c>
    </x:row>
    <x:row r="115">
      <x:c r="A115" s="166" t="str">
        <x:v>Gestor</x:v>
      </x:c>
      <x:c r="B115" s="166" t="str">
        <x:v>NEBRASKA CAPITAL</x:v>
      </x:c>
      <x:c r="C115" s="169" t="n">
        <x:v>3.16513950063</x:v>
      </x:c>
      <x:c r="D115" s="166" t="str">
        <x:v>NEBRASKA CAPITAL</x:v>
      </x:c>
      <x:c r="E115" s="185" t="str">
        <x:v>NEBRASKA CAPITAL</x:v>
      </x:c>
      <x:c r="F115" s="166" t="str">
        <x:v>Independente</x:v>
      </x:c>
      <x:c r="G115" s="185" t="str">
        <x:v>Independente</x:v>
      </x:c>
      <x:c r="H115" s="166" t="str">
        <x:v>residual; requer revisão manual</x:v>
      </x:c>
      <x:c r="I115" s="166" t="str">
        <x:v>Baixa</x:v>
      </x:c>
      <x:c r="J115" s="166" t="str">
        <x:v>Sim — alta</x:v>
      </x:c>
    </x:row>
    <x:row r="116">
      <x:c r="A116" s="166" t="str">
        <x:v>Gestor</x:v>
      </x:c>
      <x:c r="B116" s="166" t="str">
        <x:v>Cultinvest Asset</x:v>
      </x:c>
      <x:c r="C116" s="169" t="n">
        <x:v>3.124166664569991</x:v>
      </x:c>
      <x:c r="D116" s="166" t="str">
        <x:v>Cultinvest Asset</x:v>
      </x:c>
      <x:c r="E116" s="185" t="str">
        <x:v>Cultinvest Asset</x:v>
      </x:c>
      <x:c r="F116" s="166" t="str">
        <x:v>Independente</x:v>
      </x:c>
      <x:c r="G116" s="185" t="str">
        <x:v>Independente</x:v>
      </x:c>
      <x:c r="H116" s="166" t="str">
        <x:v>residual; requer revisão manual</x:v>
      </x:c>
      <x:c r="I116" s="166" t="str">
        <x:v>Baixa</x:v>
      </x:c>
      <x:c r="J116" s="166" t="str">
        <x:v>Sim — alta</x:v>
      </x:c>
    </x:row>
    <x:row r="117">
      <x:c r="A117" s="166" t="str">
        <x:v>Gestor</x:v>
      </x:c>
      <x:c r="B117" s="166" t="str">
        <x:v>Bank of America</x:v>
      </x:c>
      <x:c r="C117" s="169" t="n">
        <x:v>3.0895354141199998</x:v>
      </x:c>
      <x:c r="D117" s="166" t="str">
        <x:v>Bank of America</x:v>
      </x:c>
      <x:c r="E117" s="185" t="str">
        <x:v>Bank of America</x:v>
      </x:c>
      <x:c r="F117" s="166" t="str">
        <x:v>Independente</x:v>
      </x:c>
      <x:c r="G117" s="185" t="str">
        <x:v>Independente</x:v>
      </x:c>
      <x:c r="H117" s="166" t="str">
        <x:v>residual; requer revisão manual</x:v>
      </x:c>
      <x:c r="I117" s="166" t="str">
        <x:v>Baixa</x:v>
      </x:c>
      <x:c r="J117" s="166" t="str">
        <x:v>Sim — alta</x:v>
      </x:c>
    </x:row>
    <x:row r="118">
      <x:c r="A118" s="166" t="str">
        <x:v>Gestor</x:v>
      </x:c>
      <x:c r="B118" s="166" t="str">
        <x:v>NORTH SEA CAPITAL</x:v>
      </x:c>
      <x:c r="C118" s="169" t="n">
        <x:v>2.9678508476700003</x:v>
      </x:c>
      <x:c r="D118" s="166" t="str">
        <x:v>NORTH SEA CAPITAL</x:v>
      </x:c>
      <x:c r="E118" s="185" t="str">
        <x:v>NORTH SEA CAPITAL</x:v>
      </x:c>
      <x:c r="F118" s="166" t="str">
        <x:v>Independente</x:v>
      </x:c>
      <x:c r="G118" s="185" t="str">
        <x:v>Independente</x:v>
      </x:c>
      <x:c r="H118" s="166" t="str">
        <x:v>residual; requer revisão manual</x:v>
      </x:c>
      <x:c r="I118" s="166" t="str">
        <x:v>Baixa</x:v>
      </x:c>
      <x:c r="J118" s="166" t="str">
        <x:v>Sim — alta</x:v>
      </x:c>
    </x:row>
    <x:row r="119">
      <x:c r="A119" s="166" t="str">
        <x:v>Gestor</x:v>
      </x:c>
      <x:c r="B119" s="166" t="str">
        <x:v>Guardian Crédito</x:v>
      </x:c>
      <x:c r="C119" s="169" t="n">
        <x:v>2.9637705957300007</x:v>
      </x:c>
      <x:c r="D119" s="166" t="str">
        <x:v>Guardian Crédito</x:v>
      </x:c>
      <x:c r="E119" s="185" t="str">
        <x:v>Guardian Crédito</x:v>
      </x:c>
      <x:c r="F119" s="166" t="str">
        <x:v>Independente</x:v>
      </x:c>
      <x:c r="G119" s="185" t="str">
        <x:v>Independente</x:v>
      </x:c>
      <x:c r="H119" s="166" t="str">
        <x:v>residual; requer revisão manual</x:v>
      </x:c>
      <x:c r="I119" s="166" t="str">
        <x:v>Baixa</x:v>
      </x:c>
      <x:c r="J119" s="166" t="str">
        <x:v>Sim — alta</x:v>
      </x:c>
    </x:row>
    <x:row r="120">
      <x:c r="A120" s="166" t="str">
        <x:v>Gestor</x:v>
      </x:c>
      <x:c r="B120" s="166" t="str">
        <x:v>JGP Gestão de Crédito LTDA.</x:v>
      </x:c>
      <x:c r="C120" s="169" t="n">
        <x:v>2.8665718284700006</x:v>
      </x:c>
      <x:c r="D120" s="166" t="str">
        <x:v>JGP Gestão de Crédito LTDA.</x:v>
      </x:c>
      <x:c r="E120" s="185" t="str">
        <x:v>JGP Gestão de Crédito LTDA.</x:v>
      </x:c>
      <x:c r="F120" s="166" t="str">
        <x:v>Independente</x:v>
      </x:c>
      <x:c r="G120" s="185" t="str">
        <x:v>Independente</x:v>
      </x:c>
      <x:c r="H120" s="166" t="str">
        <x:v>residual; requer revisão manual</x:v>
      </x:c>
      <x:c r="I120" s="166" t="str">
        <x:v>Baixa</x:v>
      </x:c>
      <x:c r="J120" s="166" t="str">
        <x:v>Sim — alta</x:v>
      </x:c>
    </x:row>
    <x:row r="121">
      <x:c r="A121" s="166" t="str">
        <x:v>Gestor</x:v>
      </x:c>
      <x:c r="B121" s="166" t="str">
        <x:v>Phronesis Invest.</x:v>
      </x:c>
      <x:c r="C121" s="169" t="n">
        <x:v>2.8183193350899995</x:v>
      </x:c>
      <x:c r="D121" s="166" t="str">
        <x:v>Phronesis Invest.</x:v>
      </x:c>
      <x:c r="E121" s="185" t="str">
        <x:v>Phronesis Invest.</x:v>
      </x:c>
      <x:c r="F121" s="166" t="str">
        <x:v>Independente</x:v>
      </x:c>
      <x:c r="G121" s="185" t="str">
        <x:v>Independente</x:v>
      </x:c>
      <x:c r="H121" s="166" t="str">
        <x:v>residual; requer revisão manual</x:v>
      </x:c>
      <x:c r="I121" s="166" t="str">
        <x:v>Baixa</x:v>
      </x:c>
      <x:c r="J121" s="166" t="str">
        <x:v>Sim — alta</x:v>
      </x:c>
    </x:row>
    <x:row r="122">
      <x:c r="A122" s="166" t="str">
        <x:v>Gestor</x:v>
      </x:c>
      <x:c r="B122" s="166" t="str">
        <x:v>Galápagos</x:v>
      </x:c>
      <x:c r="C122" s="169" t="n">
        <x:v>2.786896514997401</x:v>
      </x:c>
      <x:c r="D122" s="166" t="str">
        <x:v>Galápagos</x:v>
      </x:c>
      <x:c r="E122" s="185" t="str">
        <x:v>Galápagos</x:v>
      </x:c>
      <x:c r="F122" s="166" t="str">
        <x:v>Independente</x:v>
      </x:c>
      <x:c r="G122" s="185" t="str">
        <x:v>Independente</x:v>
      </x:c>
      <x:c r="H122" s="166" t="str">
        <x:v>residual; requer revisão manual</x:v>
      </x:c>
      <x:c r="I122" s="166" t="str">
        <x:v>Baixa</x:v>
      </x:c>
      <x:c r="J122" s="166" t="str">
        <x:v>Sim — alta</x:v>
      </x:c>
    </x:row>
    <x:row r="123">
      <x:c r="A123" s="166" t="str">
        <x:v>Gestor</x:v>
      </x:c>
      <x:c r="B123" s="166" t="str">
        <x:v>Blue Solutions</x:v>
      </x:c>
      <x:c r="C123" s="169" t="n">
        <x:v>2.7863774207399996</x:v>
      </x:c>
      <x:c r="D123" s="166" t="str">
        <x:v>Blue Solutions</x:v>
      </x:c>
      <x:c r="E123" s="185" t="str">
        <x:v>Blue Solutions</x:v>
      </x:c>
      <x:c r="F123" s="166" t="str">
        <x:v>Independente</x:v>
      </x:c>
      <x:c r="G123" s="185" t="str">
        <x:v>Independente</x:v>
      </x:c>
      <x:c r="H123" s="166" t="str">
        <x:v>residual; requer revisão manual</x:v>
      </x:c>
      <x:c r="I123" s="166" t="str">
        <x:v>Baixa</x:v>
      </x:c>
      <x:c r="J123" s="166" t="str">
        <x:v>Sim — alta</x:v>
      </x:c>
    </x:row>
    <x:row r="124">
      <x:c r="A124" s="166" t="str">
        <x:v>Gestor</x:v>
      </x:c>
      <x:c r="B124" s="166" t="str">
        <x:v>BRL Trust Investimentos LTDA.</x:v>
      </x:c>
      <x:c r="C124" s="169" t="n">
        <x:v>2.5321013927200005</x:v>
      </x:c>
      <x:c r="D124" s="166" t="str">
        <x:v>BRL Trust Investimentos LTDA.</x:v>
      </x:c>
      <x:c r="E124" s="185" t="str">
        <x:v>BRL Trust Investimentos LTDA.</x:v>
      </x:c>
      <x:c r="F124" s="166" t="str">
        <x:v>Independente</x:v>
      </x:c>
      <x:c r="G124" s="185" t="str">
        <x:v>Independente</x:v>
      </x:c>
      <x:c r="H124" s="166" t="str">
        <x:v>residual; requer revisão manual</x:v>
      </x:c>
      <x:c r="I124" s="166" t="str">
        <x:v>Baixa</x:v>
      </x:c>
      <x:c r="J124" s="166" t="str">
        <x:v>Sim — alta</x:v>
      </x:c>
    </x:row>
    <x:row r="125">
      <x:c r="A125" s="166" t="str">
        <x:v>Gestor</x:v>
      </x:c>
      <x:c r="B125" s="166" t="str">
        <x:v>Vinci SPS Gestão de Recursos Ltda.</x:v>
      </x:c>
      <x:c r="C125" s="169" t="n">
        <x:v>2.4589915186499995</x:v>
      </x:c>
      <x:c r="D125" s="166" t="str">
        <x:v>Vinci SPS Gestão de Recursos Ltda.</x:v>
      </x:c>
      <x:c r="E125" s="185" t="str">
        <x:v>Vinci SPS Gestão de Recursos Ltda.</x:v>
      </x:c>
      <x:c r="F125" s="166" t="str">
        <x:v>Independente</x:v>
      </x:c>
      <x:c r="G125" s="185" t="str">
        <x:v>Independente</x:v>
      </x:c>
      <x:c r="H125" s="166" t="str">
        <x:v>residual; requer revisão manual</x:v>
      </x:c>
      <x:c r="I125" s="166" t="str">
        <x:v>Baixa</x:v>
      </x:c>
      <x:c r="J125" s="166" t="str">
        <x:v>Sim — alta</x:v>
      </x:c>
    </x:row>
    <x:row r="126">
      <x:c r="A126" s="166" t="str">
        <x:v>Gestor</x:v>
      </x:c>
      <x:c r="B126" s="166" t="str">
        <x:v>ARTESANAL MCMS</x:v>
      </x:c>
      <x:c r="C126" s="169" t="n">
        <x:v>2.38237405152545</x:v>
      </x:c>
      <x:c r="D126" s="166" t="str">
        <x:v>ARTESANAL MCMS</x:v>
      </x:c>
      <x:c r="E126" s="185" t="str">
        <x:v>ARTESANAL MCMS</x:v>
      </x:c>
      <x:c r="F126" s="166" t="str">
        <x:v>Independente</x:v>
      </x:c>
      <x:c r="G126" s="185" t="str">
        <x:v>Independente</x:v>
      </x:c>
      <x:c r="H126" s="166" t="str">
        <x:v>residual; requer revisão manual</x:v>
      </x:c>
      <x:c r="I126" s="166" t="str">
        <x:v>Baixa</x:v>
      </x:c>
      <x:c r="J126" s="166" t="str">
        <x:v>Sim — alta</x:v>
      </x:c>
    </x:row>
    <x:row r="127">
      <x:c r="A127" s="166" t="str">
        <x:v>Gestor</x:v>
      </x:c>
      <x:c r="B127" s="166" t="str">
        <x:v>EB CAPITAL CRÉDITO AGRO LTDA.</x:v>
      </x:c>
      <x:c r="C127" s="169" t="n">
        <x:v>2.3503203784499997</x:v>
      </x:c>
      <x:c r="D127" s="166" t="str">
        <x:v>EB CAPITAL CRÉDITO AGRO LTDA.</x:v>
      </x:c>
      <x:c r="E127" s="185" t="str">
        <x:v>EB CAPITAL CRÉDITO AGRO LTDA.</x:v>
      </x:c>
      <x:c r="F127" s="166" t="str">
        <x:v>Independente</x:v>
      </x:c>
      <x:c r="G127" s="185" t="str">
        <x:v>Independente</x:v>
      </x:c>
      <x:c r="H127" s="166" t="str">
        <x:v>residual; requer revisão manual</x:v>
      </x:c>
      <x:c r="I127" s="166" t="str">
        <x:v>Baixa</x:v>
      </x:c>
      <x:c r="J127" s="166" t="str">
        <x:v>Sim — alta</x:v>
      </x:c>
    </x:row>
    <x:row r="128">
      <x:c r="A128" s="166" t="str">
        <x:v>Gestor</x:v>
      </x:c>
      <x:c r="B128" s="166" t="str">
        <x:v>Milênio Capital</x:v>
      </x:c>
      <x:c r="C128" s="169" t="n">
        <x:v>2.3332464646371003</x:v>
      </x:c>
      <x:c r="D128" s="166" t="str">
        <x:v>Milênio Capital</x:v>
      </x:c>
      <x:c r="E128" s="185" t="str">
        <x:v>Milênio Capital</x:v>
      </x:c>
      <x:c r="F128" s="166" t="str">
        <x:v>Independente</x:v>
      </x:c>
      <x:c r="G128" s="185" t="str">
        <x:v>Independente</x:v>
      </x:c>
      <x:c r="H128" s="166" t="str">
        <x:v>residual; requer revisão manual</x:v>
      </x:c>
      <x:c r="I128" s="166" t="str">
        <x:v>Baixa</x:v>
      </x:c>
      <x:c r="J128" s="166" t="str">
        <x:v>Sim — alta</x:v>
      </x:c>
    </x:row>
    <x:row r="129">
      <x:c r="A129" s="166" t="str">
        <x:v>Gestor</x:v>
      </x:c>
      <x:c r="B129" s="166" t="str">
        <x:v>Quadra Gestão de Recursos S.A.</x:v>
      </x:c>
      <x:c r="C129" s="169" t="n">
        <x:v>2.2239495879069002</x:v>
      </x:c>
      <x:c r="D129" s="166" t="str">
        <x:v>Quadra Gestão de Recursos S.A.</x:v>
      </x:c>
      <x:c r="E129" s="185" t="str">
        <x:v>Quadra Gestão de Recursos S.A.</x:v>
      </x:c>
      <x:c r="F129" s="166" t="str">
        <x:v>Independente</x:v>
      </x:c>
      <x:c r="G129" s="185" t="str">
        <x:v>Independente</x:v>
      </x:c>
      <x:c r="H129" s="166" t="str">
        <x:v>residual; requer revisão manual</x:v>
      </x:c>
      <x:c r="I129" s="166" t="str">
        <x:v>Baixa</x:v>
      </x:c>
      <x:c r="J129" s="166" t="str">
        <x:v>Sim — alta</x:v>
      </x:c>
    </x:row>
    <x:row r="130">
      <x:c r="A130" s="166" t="str">
        <x:v>Gestor</x:v>
      </x:c>
      <x:c r="B130" s="166" t="str">
        <x:v>Libertas Asset</x:v>
      </x:c>
      <x:c r="C130" s="169" t="n">
        <x:v>2.17641555066</x:v>
      </x:c>
      <x:c r="D130" s="166" t="str">
        <x:v>Libertas Asset</x:v>
      </x:c>
      <x:c r="E130" s="185" t="str">
        <x:v>Libertas Asset</x:v>
      </x:c>
      <x:c r="F130" s="166" t="str">
        <x:v>Independente</x:v>
      </x:c>
      <x:c r="G130" s="185" t="str">
        <x:v>Independente</x:v>
      </x:c>
      <x:c r="H130" s="166" t="str">
        <x:v>residual; requer revisão manual</x:v>
      </x:c>
      <x:c r="I130" s="166" t="str">
        <x:v>Baixa</x:v>
      </x:c>
      <x:c r="J130" s="166" t="str">
        <x:v>Sim — alta</x:v>
      </x:c>
    </x:row>
    <x:row r="131">
      <x:c r="A131" s="166" t="str">
        <x:v>Gestor</x:v>
      </x:c>
      <x:c r="B131" s="166" t="str">
        <x:v>EUV CAPITAL</x:v>
      </x:c>
      <x:c r="C131" s="169" t="n">
        <x:v>2.16726189047</x:v>
      </x:c>
      <x:c r="D131" s="166" t="str">
        <x:v>EUV CAPITAL</x:v>
      </x:c>
      <x:c r="E131" s="185" t="str">
        <x:v>EUV CAPITAL</x:v>
      </x:c>
      <x:c r="F131" s="166" t="str">
        <x:v>Independente</x:v>
      </x:c>
      <x:c r="G131" s="185" t="str">
        <x:v>Independente</x:v>
      </x:c>
      <x:c r="H131" s="166" t="str">
        <x:v>residual; requer revisão manual</x:v>
      </x:c>
      <x:c r="I131" s="166" t="str">
        <x:v>Baixa</x:v>
      </x:c>
      <x:c r="J131" s="166" t="str">
        <x:v>Sim — alta</x:v>
      </x:c>
    </x:row>
    <x:row r="132">
      <x:c r="A132" s="166" t="str">
        <x:v>Gestor</x:v>
      </x:c>
      <x:c r="B132" s="166" t="str">
        <x:v>Bless Capital Gestora de Recursos Ltda.</x:v>
      </x:c>
      <x:c r="C132" s="169" t="n">
        <x:v>2.0156683055200006</x:v>
      </x:c>
      <x:c r="D132" s="166" t="str">
        <x:v>Bless Capital Gestora de Recursos Ltda.</x:v>
      </x:c>
      <x:c r="E132" s="185" t="str">
        <x:v>Bless Capital Gestora de Recursos Ltda.</x:v>
      </x:c>
      <x:c r="F132" s="166" t="str">
        <x:v>Independente</x:v>
      </x:c>
      <x:c r="G132" s="185" t="str">
        <x:v>Independente</x:v>
      </x:c>
      <x:c r="H132" s="166" t="str">
        <x:v>residual; requer revisão manual</x:v>
      </x:c>
      <x:c r="I132" s="166" t="str">
        <x:v>Baixa</x:v>
      </x:c>
      <x:c r="J132" s="166" t="str">
        <x:v>Sim — alta</x:v>
      </x:c>
    </x:row>
    <x:row r="133">
      <x:c r="A133" s="166" t="str">
        <x:v>Gestor</x:v>
      </x:c>
      <x:c r="B133" s="166" t="str">
        <x:v>PRAVALER S/A</x:v>
      </x:c>
      <x:c r="C133" s="169" t="n">
        <x:v>1.99857799682</x:v>
      </x:c>
      <x:c r="D133" s="166" t="str">
        <x:v>PRAVALER S/A</x:v>
      </x:c>
      <x:c r="E133" s="185" t="str">
        <x:v>PRAVALER S/A</x:v>
      </x:c>
      <x:c r="F133" s="166" t="str">
        <x:v>Independente</x:v>
      </x:c>
      <x:c r="G133" s="185" t="str">
        <x:v>Independente</x:v>
      </x:c>
      <x:c r="H133" s="166" t="str">
        <x:v>residual; requer revisão manual</x:v>
      </x:c>
      <x:c r="I133" s="166" t="str">
        <x:v>Baixa</x:v>
      </x:c>
      <x:c r="J133" s="166" t="str">
        <x:v>Sim — alta</x:v>
      </x:c>
    </x:row>
    <x:row r="134">
      <x:c r="A134" s="166" t="str">
        <x:v>Gestor</x:v>
      </x:c>
      <x:c r="B134" s="166" t="str">
        <x:v>KINEA INVESTIMENTOS</x:v>
      </x:c>
      <x:c r="C134" s="169" t="n">
        <x:v>1.9781996535599997</x:v>
      </x:c>
      <x:c r="D134" s="166" t="str">
        <x:v>Itaú Unibanco</x:v>
      </x:c>
      <x:c r="E134" s="185" t="str">
        <x:v>Itaú Unibanco</x:v>
      </x:c>
      <x:c r="F134" s="166" t="str">
        <x:v>Ligada a banco</x:v>
      </x:c>
      <x:c r="G134" s="185" t="str">
        <x:v>Ligada a banco</x:v>
      </x:c>
      <x:c r="H134" s="166" t="str">
        <x:v>contém 'KINEA INVESTIMENTOS'</x:v>
      </x:c>
      <x:c r="I134" s="166" t="str">
        <x:v>Alta</x:v>
      </x:c>
      <x:c r="J134" s="166" t="str">
        <x:v>Confirmar</x:v>
      </x:c>
    </x:row>
    <x:row r="135">
      <x:c r="A135" s="166" t="str">
        <x:v>Gestor</x:v>
      </x:c>
      <x:c r="B135" s="166" t="str">
        <x:v>Tivio Capital</x:v>
      </x:c>
      <x:c r="C135" s="169" t="n">
        <x:v>1.9425182512899999</x:v>
      </x:c>
      <x:c r="D135" s="166" t="str">
        <x:v>Tivio Capital</x:v>
      </x:c>
      <x:c r="E135" s="185" t="str">
        <x:v>Tivio Capital</x:v>
      </x:c>
      <x:c r="F135" s="166" t="str">
        <x:v>Independente</x:v>
      </x:c>
      <x:c r="G135" s="185" t="str">
        <x:v>Independente</x:v>
      </x:c>
      <x:c r="H135" s="166" t="str">
        <x:v>residual; requer revisão manual</x:v>
      </x:c>
      <x:c r="I135" s="166" t="str">
        <x:v>Baixa</x:v>
      </x:c>
      <x:c r="J135" s="166" t="str">
        <x:v>Sim — alta</x:v>
      </x:c>
    </x:row>
    <x:row r="136">
      <x:c r="A136" s="166" t="str">
        <x:v>Gestor</x:v>
      </x:c>
      <x:c r="B136" s="166" t="str">
        <x:v>NOVA S R M</x:v>
      </x:c>
      <x:c r="C136" s="169" t="n">
        <x:v>1.9145317909000001</x:v>
      </x:c>
      <x:c r="D136" s="166" t="str">
        <x:v>NOVA S R M</x:v>
      </x:c>
      <x:c r="E136" s="185" t="str">
        <x:v>NOVA S R M</x:v>
      </x:c>
      <x:c r="F136" s="166" t="str">
        <x:v>Independente</x:v>
      </x:c>
      <x:c r="G136" s="185" t="str">
        <x:v>Independente</x:v>
      </x:c>
      <x:c r="H136" s="166" t="str">
        <x:v>residual; requer revisão manual</x:v>
      </x:c>
      <x:c r="I136" s="166" t="str">
        <x:v>Baixa</x:v>
      </x:c>
      <x:c r="J136" s="166" t="str">
        <x:v>Sim — alta</x:v>
      </x:c>
    </x:row>
    <x:row r="137">
      <x:c r="A137" s="166" t="str">
        <x:v>Gestor</x:v>
      </x:c>
      <x:c r="B137" s="166" t="str">
        <x:v>XPI CCTVM S/A</x:v>
      </x:c>
      <x:c r="C137" s="169" t="n">
        <x:v>1.892082541</x:v>
      </x:c>
      <x:c r="D137" s="166" t="str">
        <x:v>XP Inc.</x:v>
      </x:c>
      <x:c r="E137" s="185" t="str">
        <x:v>XP Inc.</x:v>
      </x:c>
      <x:c r="F137" s="166" t="str">
        <x:v>Ligada a banco</x:v>
      </x:c>
      <x:c r="G137" s="185" t="str">
        <x:v>Ligada a banco</x:v>
      </x:c>
      <x:c r="H137" s="166" t="str">
        <x:v>contém 'XPI CCTVM'</x:v>
      </x:c>
      <x:c r="I137" s="166" t="str">
        <x:v>Alta</x:v>
      </x:c>
      <x:c r="J137" s="166" t="str">
        <x:v>Confirmar</x:v>
      </x:c>
    </x:row>
    <x:row r="138">
      <x:c r="A138" s="166" t="str">
        <x:v>Gestor</x:v>
      </x:c>
      <x:c r="B138" s="166" t="str">
        <x:v>BURITI INVESTIMENTOS</x:v>
      </x:c>
      <x:c r="C138" s="169" t="n">
        <x:v>1.8632103984500004</x:v>
      </x:c>
      <x:c r="D138" s="166" t="str">
        <x:v>BURITI INVESTIMENTOS</x:v>
      </x:c>
      <x:c r="E138" s="185" t="str">
        <x:v>BURITI INVESTIMENTOS</x:v>
      </x:c>
      <x:c r="F138" s="166" t="str">
        <x:v>Independente</x:v>
      </x:c>
      <x:c r="G138" s="185" t="str">
        <x:v>Independente</x:v>
      </x:c>
      <x:c r="H138" s="166" t="str">
        <x:v>residual; requer revisão manual</x:v>
      </x:c>
      <x:c r="I138" s="166" t="str">
        <x:v>Baixa</x:v>
      </x:c>
      <x:c r="J138" s="166" t="str">
        <x:v>Sim — alta</x:v>
      </x:c>
    </x:row>
    <x:row r="139">
      <x:c r="A139" s="166" t="str">
        <x:v>Gestor</x:v>
      </x:c>
      <x:c r="B139" s="166" t="str">
        <x:v>Invista Asset</x:v>
      </x:c>
      <x:c r="C139" s="169" t="n">
        <x:v>1.86049936149</x:v>
      </x:c>
      <x:c r="D139" s="166" t="str">
        <x:v>Invista Asset</x:v>
      </x:c>
      <x:c r="E139" s="185" t="str">
        <x:v>Invista Asset</x:v>
      </x:c>
      <x:c r="F139" s="166" t="str">
        <x:v>Independente</x:v>
      </x:c>
      <x:c r="G139" s="185" t="str">
        <x:v>Independente</x:v>
      </x:c>
      <x:c r="H139" s="166" t="str">
        <x:v>residual; requer revisão manual</x:v>
      </x:c>
      <x:c r="I139" s="166" t="str">
        <x:v>Baixa</x:v>
      </x:c>
      <x:c r="J139" s="166" t="str">
        <x:v>Sim — alta</x:v>
      </x:c>
    </x:row>
    <x:row r="140">
      <x:c r="A140" s="166" t="str">
        <x:v>Gestor</x:v>
      </x:c>
      <x:c r="B140" s="166" t="str">
        <x:v>Brave Asset</x:v>
      </x:c>
      <x:c r="C140" s="169" t="n">
        <x:v>1.8150217587944304</x:v>
      </x:c>
      <x:c r="D140" s="166" t="str">
        <x:v>Brave Asset</x:v>
      </x:c>
      <x:c r="E140" s="185" t="str">
        <x:v>Brave Asset</x:v>
      </x:c>
      <x:c r="F140" s="166" t="str">
        <x:v>Independente</x:v>
      </x:c>
      <x:c r="G140" s="185" t="str">
        <x:v>Independente</x:v>
      </x:c>
      <x:c r="H140" s="166" t="str">
        <x:v>residual; requer revisão manual</x:v>
      </x:c>
      <x:c r="I140" s="166" t="str">
        <x:v>Baixa</x:v>
      </x:c>
      <x:c r="J140" s="166" t="str">
        <x:v>Sim — alta</x:v>
      </x:c>
    </x:row>
    <x:row r="141">
      <x:c r="A141" s="166" t="str">
        <x:v>Gestor</x:v>
      </x:c>
      <x:c r="B141" s="166" t="str">
        <x:v>Vinci Gestora de Recursos LTDA</x:v>
      </x:c>
      <x:c r="C141" s="169" t="n">
        <x:v>1.81025339938</x:v>
      </x:c>
      <x:c r="D141" s="166" t="str">
        <x:v>Vinci Gestora de Recursos LTDA</x:v>
      </x:c>
      <x:c r="E141" s="185" t="str">
        <x:v>Vinci Gestora de Recursos LTDA</x:v>
      </x:c>
      <x:c r="F141" s="166" t="str">
        <x:v>Independente</x:v>
      </x:c>
      <x:c r="G141" s="185" t="str">
        <x:v>Independente</x:v>
      </x:c>
      <x:c r="H141" s="166" t="str">
        <x:v>residual; requer revisão manual</x:v>
      </x:c>
      <x:c r="I141" s="166" t="str">
        <x:v>Baixa</x:v>
      </x:c>
      <x:c r="J141" s="166" t="str">
        <x:v>Sim — alta</x:v>
      </x:c>
    </x:row>
    <x:row r="142">
      <x:c r="A142" s="166" t="str">
        <x:v>Gestor</x:v>
      </x:c>
      <x:c r="B142" s="166" t="str">
        <x:v>PACTUAL CAPITAL PART</x:v>
      </x:c>
      <x:c r="C142" s="169" t="n">
        <x:v>1.7797169853355002</x:v>
      </x:c>
      <x:c r="D142" s="166" t="str">
        <x:v>PACTUAL CAPITAL PART</x:v>
      </x:c>
      <x:c r="E142" s="185" t="str">
        <x:v>PACTUAL CAPITAL PART</x:v>
      </x:c>
      <x:c r="F142" s="166" t="str">
        <x:v>Independente</x:v>
      </x:c>
      <x:c r="G142" s="185" t="str">
        <x:v>Independente</x:v>
      </x:c>
      <x:c r="H142" s="166" t="str">
        <x:v>residual; requer revisão manual</x:v>
      </x:c>
      <x:c r="I142" s="166" t="str">
        <x:v>Baixa</x:v>
      </x:c>
      <x:c r="J142" s="166" t="str">
        <x:v>Sim — alta</x:v>
      </x:c>
    </x:row>
    <x:row r="143">
      <x:c r="A143" s="166" t="str">
        <x:v>Gestor</x:v>
      </x:c>
      <x:c r="B143" s="166" t="str">
        <x:v>OPEA GESTORA DE RECURSOS</x:v>
      </x:c>
      <x:c r="C143" s="169" t="n">
        <x:v>1.7648911048199998</x:v>
      </x:c>
      <x:c r="D143" s="166" t="str">
        <x:v>OPEA GESTORA DE RECURSOS</x:v>
      </x:c>
      <x:c r="E143" s="185" t="str">
        <x:v>OPEA GESTORA DE RECURSOS</x:v>
      </x:c>
      <x:c r="F143" s="166" t="str">
        <x:v>Independente</x:v>
      </x:c>
      <x:c r="G143" s="185" t="str">
        <x:v>Independente</x:v>
      </x:c>
      <x:c r="H143" s="166" t="str">
        <x:v>residual; requer revisão manual</x:v>
      </x:c>
      <x:c r="I143" s="166" t="str">
        <x:v>Baixa</x:v>
      </x:c>
      <x:c r="J143" s="166" t="str">
        <x:v>Sim — alta</x:v>
      </x:c>
    </x:row>
    <x:row r="144">
      <x:c r="A144" s="166" t="str">
        <x:v>Gestor</x:v>
      </x:c>
      <x:c r="B144" s="166" t="str">
        <x:v>Trius Capital</x:v>
      </x:c>
      <x:c r="C144" s="169" t="n">
        <x:v>1.7634318865</x:v>
      </x:c>
      <x:c r="D144" s="166" t="str">
        <x:v>Trius Capital</x:v>
      </x:c>
      <x:c r="E144" s="185" t="str">
        <x:v>Trius Capital</x:v>
      </x:c>
      <x:c r="F144" s="166" t="str">
        <x:v>Independente</x:v>
      </x:c>
      <x:c r="G144" s="185" t="str">
        <x:v>Independente</x:v>
      </x:c>
      <x:c r="H144" s="166" t="str">
        <x:v>residual; requer revisão manual</x:v>
      </x:c>
      <x:c r="I144" s="166" t="str">
        <x:v>Baixa</x:v>
      </x:c>
      <x:c r="J144" s="166" t="str">
        <x:v>Sim — alta</x:v>
      </x:c>
    </x:row>
    <x:row r="145">
      <x:c r="A145" s="166" t="str">
        <x:v>Gestor</x:v>
      </x:c>
      <x:c r="B145" s="166" t="str">
        <x:v>Prisma Claims Ltda.</x:v>
      </x:c>
      <x:c r="C145" s="169" t="n">
        <x:v>1.7206675578400001</x:v>
      </x:c>
      <x:c r="D145" s="166" t="str">
        <x:v>Prisma Claims Ltda.</x:v>
      </x:c>
      <x:c r="E145" s="185" t="str">
        <x:v>Prisma Claims Ltda.</x:v>
      </x:c>
      <x:c r="F145" s="166" t="str">
        <x:v>Independente</x:v>
      </x:c>
      <x:c r="G145" s="185" t="str">
        <x:v>Independente</x:v>
      </x:c>
      <x:c r="H145" s="166" t="str">
        <x:v>residual; requer revisão manual</x:v>
      </x:c>
      <x:c r="I145" s="166" t="str">
        <x:v>Baixa</x:v>
      </x:c>
      <x:c r="J145" s="166" t="str">
        <x:v>Sim — alta</x:v>
      </x:c>
    </x:row>
    <x:row r="146">
      <x:c r="A146" s="166" t="str">
        <x:v>Gestor</x:v>
      </x:c>
      <x:c r="B146" s="166" t="str">
        <x:v>Artesanal Agro</x:v>
      </x:c>
      <x:c r="C146" s="169" t="n">
        <x:v>1.7174524034599996</x:v>
      </x:c>
      <x:c r="D146" s="166" t="str">
        <x:v>Artesanal Agro</x:v>
      </x:c>
      <x:c r="E146" s="185" t="str">
        <x:v>Artesanal Agro</x:v>
      </x:c>
      <x:c r="F146" s="166" t="str">
        <x:v>Independente</x:v>
      </x:c>
      <x:c r="G146" s="185" t="str">
        <x:v>Independente</x:v>
      </x:c>
      <x:c r="H146" s="166" t="str">
        <x:v>residual; requer revisão manual</x:v>
      </x:c>
      <x:c r="I146" s="166" t="str">
        <x:v>Baixa</x:v>
      </x:c>
      <x:c r="J146" s="166" t="str">
        <x:v>Sim — alta</x:v>
      </x:c>
    </x:row>
    <x:row r="147">
      <x:c r="A147" s="166" t="str">
        <x:v>Gestor</x:v>
      </x:c>
      <x:c r="B147" s="166" t="str">
        <x:v>REAG BERKANA</x:v>
      </x:c>
      <x:c r="C147" s="169" t="n">
        <x:v>1.7071303076</x:v>
      </x:c>
      <x:c r="D147" s="166" t="str">
        <x:v>REAG</x:v>
      </x:c>
      <x:c r="E147" s="185" t="str">
        <x:v>REAG</x:v>
      </x:c>
      <x:c r="F147" s="166" t="str">
        <x:v>Independente</x:v>
      </x:c>
      <x:c r="G147" s="185" t="str">
        <x:v>Independente</x:v>
      </x:c>
      <x:c r="H147" s="166" t="str">
        <x:v>contém 'REAG '</x:v>
      </x:c>
      <x:c r="I147" s="166" t="str">
        <x:v>Alta</x:v>
      </x:c>
      <x:c r="J147" s="166" t="str">
        <x:v>Confirmar</x:v>
      </x:c>
    </x:row>
    <x:row r="148">
      <x:c r="A148" s="166" t="str">
        <x:v>Gestor</x:v>
      </x:c>
      <x:c r="B148" s="166" t="str">
        <x:v>Latache Capital</x:v>
      </x:c>
      <x:c r="C148" s="169" t="n">
        <x:v>1.60514729971</x:v>
      </x:c>
      <x:c r="D148" s="166" t="str">
        <x:v>Latache Capital</x:v>
      </x:c>
      <x:c r="E148" s="185" t="str">
        <x:v>Latache Capital</x:v>
      </x:c>
      <x:c r="F148" s="166" t="str">
        <x:v>Independente</x:v>
      </x:c>
      <x:c r="G148" s="185" t="str">
        <x:v>Independente</x:v>
      </x:c>
      <x:c r="H148" s="166" t="str">
        <x:v>residual; requer revisão manual</x:v>
      </x:c>
      <x:c r="I148" s="166" t="str">
        <x:v>Baixa</x:v>
      </x:c>
      <x:c r="J148" s="166" t="str">
        <x:v>Sim — alta</x:v>
      </x:c>
    </x:row>
    <x:row r="149">
      <x:c r="A149" s="166" t="str">
        <x:v>Gestor</x:v>
      </x:c>
      <x:c r="B149" s="166" t="str">
        <x:v>Quatá Investimentos</x:v>
      </x:c>
      <x:c r="C149" s="169" t="n">
        <x:v>1.5778858034400103</x:v>
      </x:c>
      <x:c r="D149" s="166" t="str">
        <x:v>Quatá Investimentos</x:v>
      </x:c>
      <x:c r="E149" s="185" t="str">
        <x:v>Quatá Investimentos</x:v>
      </x:c>
      <x:c r="F149" s="166" t="str">
        <x:v>Independente</x:v>
      </x:c>
      <x:c r="G149" s="185" t="str">
        <x:v>Independente</x:v>
      </x:c>
      <x:c r="H149" s="166" t="str">
        <x:v>residual; requer revisão manual</x:v>
      </x:c>
      <x:c r="I149" s="166" t="str">
        <x:v>Baixa</x:v>
      </x:c>
      <x:c r="J149" s="166" t="str">
        <x:v>Sim — alta</x:v>
      </x:c>
    </x:row>
    <x:row r="150">
      <x:c r="A150" s="166" t="str">
        <x:v>Gestor</x:v>
      </x:c>
      <x:c r="B150" s="166" t="str">
        <x:v>Oliveira Trust DTVM</x:v>
      </x:c>
      <x:c r="C150" s="169" t="n">
        <x:v>1.5400700947</x:v>
      </x:c>
      <x:c r="D150" s="166" t="str">
        <x:v>Oliveira Trust</x:v>
      </x:c>
      <x:c r="E150" s="185" t="str">
        <x:v>Oliveira Trust</x:v>
      </x:c>
      <x:c r="F150" s="166" t="str">
        <x:v>Independente</x:v>
      </x:c>
      <x:c r="G150" s="185" t="str">
        <x:v>Independente</x:v>
      </x:c>
      <x:c r="H150" s="166" t="str">
        <x:v>contém 'OLIVEIRA TRUST'</x:v>
      </x:c>
      <x:c r="I150" s="166" t="str">
        <x:v>Alta</x:v>
      </x:c>
      <x:c r="J150" s="166" t="str">
        <x:v>Confirmar</x:v>
      </x:c>
    </x:row>
    <x:row r="151">
      <x:c r="A151" s="166" t="str">
        <x:v>Gestor</x:v>
      </x:c>
      <x:c r="B151" s="166" t="str">
        <x:v>Portofino Multi Family Office</x:v>
      </x:c>
      <x:c r="C151" s="169" t="n">
        <x:v>1.51138222478</x:v>
      </x:c>
      <x:c r="D151" s="166" t="str">
        <x:v>Portofino Multi Family Office</x:v>
      </x:c>
      <x:c r="E151" s="185" t="str">
        <x:v>Portofino Multi Family Office</x:v>
      </x:c>
      <x:c r="F151" s="166" t="str">
        <x:v>Independente</x:v>
      </x:c>
      <x:c r="G151" s="185" t="str">
        <x:v>Independente</x:v>
      </x:c>
      <x:c r="H151" s="166" t="str">
        <x:v>residual; requer revisão manual</x:v>
      </x:c>
      <x:c r="I151" s="166" t="str">
        <x:v>Baixa</x:v>
      </x:c>
      <x:c r="J151" s="166" t="str">
        <x:v>Sim — alta</x:v>
      </x:c>
    </x:row>
    <x:row r="152">
      <x:c r="A152" s="166" t="str">
        <x:v>Gestor</x:v>
      </x:c>
      <x:c r="B152" s="166" t="str">
        <x:v>Strata Capital</x:v>
      </x:c>
      <x:c r="C152" s="169" t="n">
        <x:v>1.4919453844700001</x:v>
      </x:c>
      <x:c r="D152" s="166" t="str">
        <x:v>Strata Capital</x:v>
      </x:c>
      <x:c r="E152" s="185" t="str">
        <x:v>Strata Capital</x:v>
      </x:c>
      <x:c r="F152" s="166" t="str">
        <x:v>Independente</x:v>
      </x:c>
      <x:c r="G152" s="185" t="str">
        <x:v>Independente</x:v>
      </x:c>
      <x:c r="H152" s="166" t="str">
        <x:v>residual; requer revisão manual</x:v>
      </x:c>
      <x:c r="I152" s="166" t="str">
        <x:v>Baixa</x:v>
      </x:c>
      <x:c r="J152" s="166" t="str">
        <x:v>Sim — alta</x:v>
      </x:c>
    </x:row>
    <x:row r="153">
      <x:c r="A153" s="166" t="str">
        <x:v>Gestor</x:v>
      </x:c>
      <x:c r="B153" s="166" t="str">
        <x:v>AUGME CAPITAL GESTÃO DE RECURSOS LTDA.</x:v>
      </x:c>
      <x:c r="C153" s="169" t="n">
        <x:v>1.4740545981200004</x:v>
      </x:c>
      <x:c r="D153" s="166" t="str">
        <x:v>AUGME CAPITAL GESTÃO DE RECURSOS LTDA.</x:v>
      </x:c>
      <x:c r="E153" s="185" t="str">
        <x:v>AUGME CAPITAL GESTÃO DE RECURSOS LTDA.</x:v>
      </x:c>
      <x:c r="F153" s="166" t="str">
        <x:v>Independente</x:v>
      </x:c>
      <x:c r="G153" s="185" t="str">
        <x:v>Independente</x:v>
      </x:c>
      <x:c r="H153" s="166" t="str">
        <x:v>residual; requer revisão manual</x:v>
      </x:c>
      <x:c r="I153" s="166" t="str">
        <x:v>Baixa</x:v>
      </x:c>
      <x:c r="J153" s="166" t="str">
        <x:v>Sim — alta</x:v>
      </x:c>
    </x:row>
    <x:row r="154">
      <x:c r="A154" s="166" t="str">
        <x:v>Gestor</x:v>
      </x:c>
      <x:c r="B154" s="166" t="str">
        <x:v>Farmtech Gestão de Recursos Ltda.</x:v>
      </x:c>
      <x:c r="C154" s="169" t="n">
        <x:v>1.445209507171199</x:v>
      </x:c>
      <x:c r="D154" s="166" t="str">
        <x:v>Farmtech Gestão de Recursos Ltda.</x:v>
      </x:c>
      <x:c r="E154" s="185" t="str">
        <x:v>Farmtech Gestão de Recursos Ltda.</x:v>
      </x:c>
      <x:c r="F154" s="166" t="str">
        <x:v>Independente</x:v>
      </x:c>
      <x:c r="G154" s="185" t="str">
        <x:v>Independente</x:v>
      </x:c>
      <x:c r="H154" s="166" t="str">
        <x:v>residual; requer revisão manual</x:v>
      </x:c>
      <x:c r="I154" s="166" t="str">
        <x:v>Baixa</x:v>
      </x:c>
      <x:c r="J154" s="166" t="str">
        <x:v>Sim — alta</x:v>
      </x:c>
    </x:row>
    <x:row r="155">
      <x:c r="A155" s="166" t="str">
        <x:v>Gestor</x:v>
      </x:c>
      <x:c r="B155" s="166" t="str">
        <x:v>Artesanal Imobiliário</x:v>
      </x:c>
      <x:c r="C155" s="169" t="n">
        <x:v>1.4189333088699998</x:v>
      </x:c>
      <x:c r="D155" s="166" t="str">
        <x:v>Artesanal Imobiliário</x:v>
      </x:c>
      <x:c r="E155" s="185" t="str">
        <x:v>Artesanal Imobiliário</x:v>
      </x:c>
      <x:c r="F155" s="166" t="str">
        <x:v>Independente</x:v>
      </x:c>
      <x:c r="G155" s="185" t="str">
        <x:v>Independente</x:v>
      </x:c>
      <x:c r="H155" s="166" t="str">
        <x:v>residual; requer revisão manual</x:v>
      </x:c>
      <x:c r="I155" s="166" t="str">
        <x:v>Baixa</x:v>
      </x:c>
      <x:c r="J155" s="166" t="str">
        <x:v>Sim — alta</x:v>
      </x:c>
    </x:row>
    <x:row r="156">
      <x:c r="A156" s="166" t="str">
        <x:v>Gestor</x:v>
      </x:c>
      <x:c r="B156" s="166" t="str">
        <x:v>MAM ASSET MANAGEMENT</x:v>
      </x:c>
      <x:c r="C156" s="169" t="n">
        <x:v>1.3750405627499998</x:v>
      </x:c>
      <x:c r="D156" s="166" t="str">
        <x:v>MAM ASSET MANAGEMENT</x:v>
      </x:c>
      <x:c r="E156" s="185" t="str">
        <x:v>MAM ASSET MANAGEMENT</x:v>
      </x:c>
      <x:c r="F156" s="166" t="str">
        <x:v>Independente</x:v>
      </x:c>
      <x:c r="G156" s="185" t="str">
        <x:v>Independente</x:v>
      </x:c>
      <x:c r="H156" s="166" t="str">
        <x:v>residual; requer revisão manual</x:v>
      </x:c>
      <x:c r="I156" s="166" t="str">
        <x:v>Baixa</x:v>
      </x:c>
      <x:c r="J156" s="166" t="str">
        <x:v>Sim — alta</x:v>
      </x:c>
    </x:row>
    <x:row r="157">
      <x:c r="A157" s="166" t="str">
        <x:v>Gestor</x:v>
      </x:c>
      <x:c r="B157" s="166" t="str">
        <x:v>KP GESTÃO DE RECURSOS LTDA.</x:v>
      </x:c>
      <x:c r="C157" s="169" t="n">
        <x:v>1.299793443390001</x:v>
      </x:c>
      <x:c r="D157" s="166" t="str">
        <x:v>KP GESTÃO DE RECURSOS LTDA.</x:v>
      </x:c>
      <x:c r="E157" s="185" t="str">
        <x:v>KP GESTÃO DE RECURSOS LTDA.</x:v>
      </x:c>
      <x:c r="F157" s="166" t="str">
        <x:v>Independente</x:v>
      </x:c>
      <x:c r="G157" s="185" t="str">
        <x:v>Independente</x:v>
      </x:c>
      <x:c r="H157" s="166" t="str">
        <x:v>residual; requer revisão manual</x:v>
      </x:c>
      <x:c r="I157" s="166" t="str">
        <x:v>Baixa</x:v>
      </x:c>
      <x:c r="J157" s="166" t="str">
        <x:v>Sim — alta</x:v>
      </x:c>
    </x:row>
    <x:row r="158">
      <x:c r="A158" s="166" t="str">
        <x:v>Gestor</x:v>
      </x:c>
      <x:c r="B158" s="166" t="str">
        <x:v>Renova Gestora</x:v>
      </x:c>
      <x:c r="C158" s="169" t="n">
        <x:v>1.2931626185099998</x:v>
      </x:c>
      <x:c r="D158" s="166" t="str">
        <x:v>Renova Gestora</x:v>
      </x:c>
      <x:c r="E158" s="185" t="str">
        <x:v>Renova Gestora</x:v>
      </x:c>
      <x:c r="F158" s="166" t="str">
        <x:v>Independente</x:v>
      </x:c>
      <x:c r="G158" s="185" t="str">
        <x:v>Independente</x:v>
      </x:c>
      <x:c r="H158" s="166" t="str">
        <x:v>residual; requer revisão manual</x:v>
      </x:c>
      <x:c r="I158" s="166" t="str">
        <x:v>Baixa</x:v>
      </x:c>
      <x:c r="J158" s="166" t="str">
        <x:v>Sim — alta</x:v>
      </x:c>
    </x:row>
    <x:row r="159">
      <x:c r="A159" s="166" t="str">
        <x:v>Gestor</x:v>
      </x:c>
      <x:c r="B159" s="166" t="str">
        <x:v>Harbour Capital</x:v>
      </x:c>
      <x:c r="C159" s="169" t="n">
        <x:v>1.29303671588</x:v>
      </x:c>
      <x:c r="D159" s="166" t="str">
        <x:v>Harbour Capital</x:v>
      </x:c>
      <x:c r="E159" s="185" t="str">
        <x:v>Harbour Capital</x:v>
      </x:c>
      <x:c r="F159" s="166" t="str">
        <x:v>Independente</x:v>
      </x:c>
      <x:c r="G159" s="185" t="str">
        <x:v>Independente</x:v>
      </x:c>
      <x:c r="H159" s="166" t="str">
        <x:v>residual; requer revisão manual</x:v>
      </x:c>
      <x:c r="I159" s="166" t="str">
        <x:v>Baixa</x:v>
      </x:c>
      <x:c r="J159" s="166" t="str">
        <x:v>Sim — alta</x:v>
      </x:c>
    </x:row>
    <x:row r="160">
      <x:c r="A160" s="166" t="str">
        <x:v>Gestor</x:v>
      </x:c>
      <x:c r="B160" s="166" t="str">
        <x:v>Lumina</x:v>
      </x:c>
      <x:c r="C160" s="169" t="n">
        <x:v>1.2610175806200004</x:v>
      </x:c>
      <x:c r="D160" s="166" t="str">
        <x:v>Lumina</x:v>
      </x:c>
      <x:c r="E160" s="185" t="str">
        <x:v>Lumina</x:v>
      </x:c>
      <x:c r="F160" s="166" t="str">
        <x:v>Independente</x:v>
      </x:c>
      <x:c r="G160" s="185" t="str">
        <x:v>Independente</x:v>
      </x:c>
      <x:c r="H160" s="166" t="str">
        <x:v>residual; requer revisão manual</x:v>
      </x:c>
      <x:c r="I160" s="166" t="str">
        <x:v>Baixa</x:v>
      </x:c>
      <x:c r="J160" s="166" t="str">
        <x:v>Sim — alta</x:v>
      </x:c>
    </x:row>
    <x:row r="161">
      <x:c r="A161" s="166" t="str">
        <x:v>Gestor</x:v>
      </x:c>
      <x:c r="B161" s="166" t="str">
        <x:v>ROOT CAPITAL</x:v>
      </x:c>
      <x:c r="C161" s="169" t="n">
        <x:v>1.2063082601834496</x:v>
      </x:c>
      <x:c r="D161" s="166" t="str">
        <x:v>ROOT CAPITAL</x:v>
      </x:c>
      <x:c r="E161" s="185" t="str">
        <x:v>ROOT CAPITAL</x:v>
      </x:c>
      <x:c r="F161" s="166" t="str">
        <x:v>Independente</x:v>
      </x:c>
      <x:c r="G161" s="185" t="str">
        <x:v>Independente</x:v>
      </x:c>
      <x:c r="H161" s="166" t="str">
        <x:v>residual; requer revisão manual</x:v>
      </x:c>
      <x:c r="I161" s="166" t="str">
        <x:v>Baixa</x:v>
      </x:c>
      <x:c r="J161" s="166" t="str">
        <x:v>Sim — alta</x:v>
      </x:c>
    </x:row>
    <x:row r="162">
      <x:c r="A162" s="166" t="str">
        <x:v>Gestor</x:v>
      </x:c>
      <x:c r="B162" s="166" t="str">
        <x:v>OSLO DTVM S. A.</x:v>
      </x:c>
      <x:c r="C162" s="169" t="n">
        <x:v>1.2037204232999998</x:v>
      </x:c>
      <x:c r="D162" s="166" t="str">
        <x:v>OSLO DTVM S. A.</x:v>
      </x:c>
      <x:c r="E162" s="185" t="str">
        <x:v>OSLO DTVM S. A.</x:v>
      </x:c>
      <x:c r="F162" s="166" t="str">
        <x:v>Independente</x:v>
      </x:c>
      <x:c r="G162" s="185" t="str">
        <x:v>Independente</x:v>
      </x:c>
      <x:c r="H162" s="166" t="str">
        <x:v>residual; requer revisão manual</x:v>
      </x:c>
      <x:c r="I162" s="166" t="str">
        <x:v>Baixa</x:v>
      </x:c>
      <x:c r="J162" s="166" t="str">
        <x:v>Sim — alta</x:v>
      </x:c>
    </x:row>
    <x:row r="163">
      <x:c r="A163" s="166" t="str">
        <x:v>Gestor</x:v>
      </x:c>
      <x:c r="B163" s="166" t="str">
        <x:v>SOSU CAPITAL GESTÃO DE INVESTIMENTOS LTDA.</x:v>
      </x:c>
      <x:c r="C163" s="169" t="n">
        <x:v>1.1998138300899999</x:v>
      </x:c>
      <x:c r="D163" s="166" t="str">
        <x:v>SOSU CAPITAL GESTÃO DE INVESTIMENTOS LTDA.</x:v>
      </x:c>
      <x:c r="E163" s="185" t="str">
        <x:v>SOSU CAPITAL GESTÃO DE INVESTIMENTOS LTDA.</x:v>
      </x:c>
      <x:c r="F163" s="166" t="str">
        <x:v>Independente</x:v>
      </x:c>
      <x:c r="G163" s="185" t="str">
        <x:v>Independente</x:v>
      </x:c>
      <x:c r="H163" s="166" t="str">
        <x:v>residual; requer revisão manual</x:v>
      </x:c>
      <x:c r="I163" s="166" t="str">
        <x:v>Baixa</x:v>
      </x:c>
      <x:c r="J163" s="166" t="str">
        <x:v>Sim — alta</x:v>
      </x:c>
    </x:row>
    <x:row r="164">
      <x:c r="A164" s="166" t="str">
        <x:v>Gestor</x:v>
      </x:c>
      <x:c r="B164" s="166" t="str">
        <x:v>SOMMA Investimentos</x:v>
      </x:c>
      <x:c r="C164" s="169" t="n">
        <x:v>1.14506116376</x:v>
      </x:c>
      <x:c r="D164" s="166" t="str">
        <x:v>SOMMA Investimentos</x:v>
      </x:c>
      <x:c r="E164" s="185" t="str">
        <x:v>SOMMA Investimentos</x:v>
      </x:c>
      <x:c r="F164" s="166" t="str">
        <x:v>Independente</x:v>
      </x:c>
      <x:c r="G164" s="185" t="str">
        <x:v>Independente</x:v>
      </x:c>
      <x:c r="H164" s="166" t="str">
        <x:v>residual; requer revisão manual</x:v>
      </x:c>
      <x:c r="I164" s="166" t="str">
        <x:v>Baixa</x:v>
      </x:c>
      <x:c r="J164" s="166" t="str">
        <x:v>Sim — alta</x:v>
      </x:c>
    </x:row>
    <x:row r="165">
      <x:c r="A165" s="166" t="str">
        <x:v>Gestor</x:v>
      </x:c>
      <x:c r="B165" s="166" t="str">
        <x:v>Caixa Econ. Federal</x:v>
      </x:c>
      <x:c r="C165" s="169" t="n">
        <x:v>1.12907372259</x:v>
      </x:c>
      <x:c r="D165" s="166" t="str">
        <x:v>Caixa Econômica Federal</x:v>
      </x:c>
      <x:c r="E165" s="185" t="str">
        <x:v>Caixa Econômica Federal</x:v>
      </x:c>
      <x:c r="F165" s="166" t="str">
        <x:v>Ligada a banco</x:v>
      </x:c>
      <x:c r="G165" s="185" t="str">
        <x:v>Ligada a banco</x:v>
      </x:c>
      <x:c r="H165" s="166" t="str">
        <x:v>contém 'CAIXA ECON'</x:v>
      </x:c>
      <x:c r="I165" s="166" t="str">
        <x:v>Alta</x:v>
      </x:c>
      <x:c r="J165" s="166" t="str">
        <x:v>Confirmar</x:v>
      </x:c>
    </x:row>
    <x:row r="166">
      <x:c r="A166" s="166" t="str">
        <x:v>Gestor</x:v>
      </x:c>
      <x:c r="B166" s="166" t="str">
        <x:v>Pátria Investimentos Ltda.</x:v>
      </x:c>
      <x:c r="C166" s="169" t="n">
        <x:v>1.1271762471600004</x:v>
      </x:c>
      <x:c r="D166" s="166" t="str">
        <x:v>Pátria Investimentos Ltda.</x:v>
      </x:c>
      <x:c r="E166" s="185" t="str">
        <x:v>Pátria Investimentos Ltda.</x:v>
      </x:c>
      <x:c r="F166" s="166" t="str">
        <x:v>Independente</x:v>
      </x:c>
      <x:c r="G166" s="185" t="str">
        <x:v>Independente</x:v>
      </x:c>
      <x:c r="H166" s="166" t="str">
        <x:v>residual; requer revisão manual</x:v>
      </x:c>
      <x:c r="I166" s="166" t="str">
        <x:v>Baixa</x:v>
      </x:c>
      <x:c r="J166" s="166" t="str">
        <x:v>Sim — alta</x:v>
      </x:c>
    </x:row>
    <x:row r="167">
      <x:c r="A167" s="166" t="str">
        <x:v>Gestor</x:v>
      </x:c>
      <x:c r="B167" s="166" t="str">
        <x:v>Algarve Capital</x:v>
      </x:c>
      <x:c r="C167" s="169" t="n">
        <x:v>1.1234483099899997</x:v>
      </x:c>
      <x:c r="D167" s="166" t="str">
        <x:v>Algarve Capital</x:v>
      </x:c>
      <x:c r="E167" s="185" t="str">
        <x:v>Algarve Capital</x:v>
      </x:c>
      <x:c r="F167" s="166" t="str">
        <x:v>Independente</x:v>
      </x:c>
      <x:c r="G167" s="185" t="str">
        <x:v>Independente</x:v>
      </x:c>
      <x:c r="H167" s="166" t="str">
        <x:v>residual; requer revisão manual</x:v>
      </x:c>
      <x:c r="I167" s="166" t="str">
        <x:v>Baixa</x:v>
      </x:c>
      <x:c r="J167" s="166" t="str">
        <x:v>Sim — alta</x:v>
      </x:c>
    </x:row>
    <x:row r="168">
      <x:c r="A168" s="166" t="str">
        <x:v>Gestor</x:v>
      </x:c>
      <x:c r="B168" s="166" t="str">
        <x:v>WNT Gestora de Recursos Ltda.</x:v>
      </x:c>
      <x:c r="C168" s="169" t="n">
        <x:v>1.11321642122</x:v>
      </x:c>
      <x:c r="D168" s="166" t="str">
        <x:v>WNT Gestora de Recursos Ltda.</x:v>
      </x:c>
      <x:c r="E168" s="185" t="str">
        <x:v>WNT Gestora de Recursos Ltda.</x:v>
      </x:c>
      <x:c r="F168" s="166" t="str">
        <x:v>Independente</x:v>
      </x:c>
      <x:c r="G168" s="185" t="str">
        <x:v>Independente</x:v>
      </x:c>
      <x:c r="H168" s="166" t="str">
        <x:v>residual; requer revisão manual</x:v>
      </x:c>
      <x:c r="I168" s="166" t="str">
        <x:v>Baixa</x:v>
      </x:c>
      <x:c r="J168" s="166" t="str">
        <x:v>Sim — alta</x:v>
      </x:c>
    </x:row>
    <x:row r="169">
      <x:c r="A169" s="166" t="str">
        <x:v>Gestor</x:v>
      </x:c>
      <x:c r="B169" s="166" t="str">
        <x:v>Beyond Capital Ltda</x:v>
      </x:c>
      <x:c r="C169" s="169" t="n">
        <x:v>1.11045711226</x:v>
      </x:c>
      <x:c r="D169" s="166" t="str">
        <x:v>Beyond Capital Ltda</x:v>
      </x:c>
      <x:c r="E169" s="185" t="str">
        <x:v>Beyond Capital Ltda</x:v>
      </x:c>
      <x:c r="F169" s="166" t="str">
        <x:v>Independente</x:v>
      </x:c>
      <x:c r="G169" s="185" t="str">
        <x:v>Independente</x:v>
      </x:c>
      <x:c r="H169" s="166" t="str">
        <x:v>residual; requer revisão manual</x:v>
      </x:c>
      <x:c r="I169" s="166" t="str">
        <x:v>Baixa</x:v>
      </x:c>
      <x:c r="J169" s="166" t="str">
        <x:v>Sim — alta</x:v>
      </x:c>
    </x:row>
    <x:row r="170">
      <x:c r="A170" s="166" t="str">
        <x:v>Gestor</x:v>
      </x:c>
      <x:c r="B170" s="166" t="str">
        <x:v>Golden Asset Gestora de Recursos</x:v>
      </x:c>
      <x:c r="C170" s="169" t="n">
        <x:v>1.09542771611</x:v>
      </x:c>
      <x:c r="D170" s="166" t="str">
        <x:v>Golden Asset Gestora de Recursos</x:v>
      </x:c>
      <x:c r="E170" s="185" t="str">
        <x:v>Golden Asset Gestora de Recursos</x:v>
      </x:c>
      <x:c r="F170" s="166" t="str">
        <x:v>Independente</x:v>
      </x:c>
      <x:c r="G170" s="185" t="str">
        <x:v>Independente</x:v>
      </x:c>
      <x:c r="H170" s="166" t="str">
        <x:v>residual; requer revisão manual</x:v>
      </x:c>
      <x:c r="I170" s="166" t="str">
        <x:v>Baixa</x:v>
      </x:c>
      <x:c r="J170" s="166" t="str">
        <x:v>Sim — alta</x:v>
      </x:c>
    </x:row>
    <x:row r="171">
      <x:c r="A171" s="166" t="str">
        <x:v>Gestor</x:v>
      </x:c>
      <x:c r="B171" s="166" t="str">
        <x:v>Kobold Gestora de Fundos LTDA.</x:v>
      </x:c>
      <x:c r="C171" s="169" t="n">
        <x:v>1.08108499851</x:v>
      </x:c>
      <x:c r="D171" s="166" t="str">
        <x:v>Kobold Gestora de Fundos LTDA.</x:v>
      </x:c>
      <x:c r="E171" s="185" t="str">
        <x:v>Kobold Gestora de Fundos LTDA.</x:v>
      </x:c>
      <x:c r="F171" s="166" t="str">
        <x:v>Independente</x:v>
      </x:c>
      <x:c r="G171" s="185" t="str">
        <x:v>Independente</x:v>
      </x:c>
      <x:c r="H171" s="166" t="str">
        <x:v>residual; requer revisão manual</x:v>
      </x:c>
      <x:c r="I171" s="166" t="str">
        <x:v>Baixa</x:v>
      </x:c>
      <x:c r="J171" s="166" t="str">
        <x:v>Sim — alta</x:v>
      </x:c>
    </x:row>
    <x:row r="172">
      <x:c r="A172" s="166" t="str">
        <x:v>Gestor</x:v>
      </x:c>
      <x:c r="B172" s="166" t="str">
        <x:v>Plural Investimentos Gestão de Recursos Ltda.</x:v>
      </x:c>
      <x:c r="C172" s="169" t="n">
        <x:v>1.08027469395</x:v>
      </x:c>
      <x:c r="D172" s="166" t="str">
        <x:v>Plural Investimentos Gestão de Recursos Ltda.</x:v>
      </x:c>
      <x:c r="E172" s="185" t="str">
        <x:v>Plural Investimentos Gestão de Recursos Ltda.</x:v>
      </x:c>
      <x:c r="F172" s="166" t="str">
        <x:v>Independente</x:v>
      </x:c>
      <x:c r="G172" s="185" t="str">
        <x:v>Independente</x:v>
      </x:c>
      <x:c r="H172" s="166" t="str">
        <x:v>residual; requer revisão manual</x:v>
      </x:c>
      <x:c r="I172" s="166" t="str">
        <x:v>Baixa</x:v>
      </x:c>
      <x:c r="J172" s="166" t="str">
        <x:v>Sim — alta</x:v>
      </x:c>
    </x:row>
    <x:row r="173">
      <x:c r="A173" s="166" t="str">
        <x:v>Gestor</x:v>
      </x:c>
      <x:c r="B173" s="166" t="str">
        <x:v>PIER GESTAO DE RECURSOS FINANCEIROS LTDA</x:v>
      </x:c>
      <x:c r="C173" s="169" t="n">
        <x:v>1.0800690955499999</x:v>
      </x:c>
      <x:c r="D173" s="166" t="str">
        <x:v>PIER GESTAO DE RECURSOS FINANCEIROS LTDA</x:v>
      </x:c>
      <x:c r="E173" s="185" t="str">
        <x:v>PIER GESTAO DE RECURSOS FINANCEIROS LTDA</x:v>
      </x:c>
      <x:c r="F173" s="166" t="str">
        <x:v>Independente</x:v>
      </x:c>
      <x:c r="G173" s="185" t="str">
        <x:v>Independente</x:v>
      </x:c>
      <x:c r="H173" s="166" t="str">
        <x:v>residual; requer revisão manual</x:v>
      </x:c>
      <x:c r="I173" s="166" t="str">
        <x:v>Baixa</x:v>
      </x:c>
      <x:c r="J173" s="166" t="str">
        <x:v>Sim — alta</x:v>
      </x:c>
    </x:row>
    <x:row r="174">
      <x:c r="A174" s="166" t="str">
        <x:v>Gestor</x:v>
      </x:c>
      <x:c r="B174" s="166" t="str">
        <x:v>CVPAR Investimentos ltda</x:v>
      </x:c>
      <x:c r="C174" s="169" t="n">
        <x:v>1.07847297767</x:v>
      </x:c>
      <x:c r="D174" s="166" t="str">
        <x:v>CVPAR Investimentos ltda</x:v>
      </x:c>
      <x:c r="E174" s="185" t="str">
        <x:v>CVPAR Investimentos ltda</x:v>
      </x:c>
      <x:c r="F174" s="166" t="str">
        <x:v>Independente</x:v>
      </x:c>
      <x:c r="G174" s="185" t="str">
        <x:v>Independente</x:v>
      </x:c>
      <x:c r="H174" s="166" t="str">
        <x:v>residual; requer revisão manual</x:v>
      </x:c>
      <x:c r="I174" s="166" t="str">
        <x:v>Baixa</x:v>
      </x:c>
      <x:c r="J174" s="166" t="str">
        <x:v>Sim — alta</x:v>
      </x:c>
    </x:row>
    <x:row r="175">
      <x:c r="A175" s="166" t="str">
        <x:v>Gestor</x:v>
      </x:c>
      <x:c r="B175" s="166" t="str">
        <x:v>BTG PACTUAL GESTAO E CONSULTORIA DE INVESTIMENTOS</x:v>
      </x:c>
      <x:c r="C175" s="169" t="n">
        <x:v>1.0277400140142</x:v>
      </x:c>
      <x:c r="D175" s="166" t="str">
        <x:v>BTG Pactual</x:v>
      </x:c>
      <x:c r="E175" s="185" t="str">
        <x:v>BTG Pactual</x:v>
      </x:c>
      <x:c r="F175" s="166" t="str">
        <x:v>Ligada a banco</x:v>
      </x:c>
      <x:c r="G175" s="185" t="str">
        <x:v>Ligada a banco</x:v>
      </x:c>
      <x:c r="H175" s="166" t="str">
        <x:v>contém 'BTG PACTUAL'</x:v>
      </x:c>
      <x:c r="I175" s="166" t="str">
        <x:v>Alta</x:v>
      </x:c>
      <x:c r="J175" s="166" t="str">
        <x:v>Confirmar</x:v>
      </x:c>
    </x:row>
    <x:row r="176">
      <x:c r="A176" s="166" t="str">
        <x:v>Gestor</x:v>
      </x:c>
      <x:c r="B176" s="166" t="str">
        <x:v>REAG GESTÃO DE CRÉDITO</x:v>
      </x:c>
      <x:c r="C176" s="169" t="n">
        <x:v>0.9748885397999998</x:v>
      </x:c>
      <x:c r="D176" s="166" t="str">
        <x:v>REAG</x:v>
      </x:c>
      <x:c r="E176" s="185" t="str">
        <x:v>REAG</x:v>
      </x:c>
      <x:c r="F176" s="166" t="str">
        <x:v>Independente</x:v>
      </x:c>
      <x:c r="G176" s="185" t="str">
        <x:v>Independente</x:v>
      </x:c>
      <x:c r="H176" s="166" t="str">
        <x:v>contém 'REAG '</x:v>
      </x:c>
      <x:c r="I176" s="166" t="str">
        <x:v>Alta</x:v>
      </x:c>
      <x:c r="J176" s="166" t="str">
        <x:v>Confirmar</x:v>
      </x:c>
    </x:row>
    <x:row r="177">
      <x:c r="A177" s="166" t="str">
        <x:v>Gestor</x:v>
      </x:c>
      <x:c r="B177" s="166" t="str">
        <x:v>SameSide GP</x:v>
      </x:c>
      <x:c r="C177" s="169" t="n">
        <x:v>0.9607087415900001</x:v>
      </x:c>
      <x:c r="D177" s="166" t="str">
        <x:v>SameSide GP</x:v>
      </x:c>
      <x:c r="E177" s="185" t="str">
        <x:v>SameSide GP</x:v>
      </x:c>
      <x:c r="F177" s="166" t="str">
        <x:v>Independente</x:v>
      </x:c>
      <x:c r="G177" s="185" t="str">
        <x:v>Independente</x:v>
      </x:c>
      <x:c r="H177" s="166" t="str">
        <x:v>residual; requer revisão manual</x:v>
      </x:c>
      <x:c r="I177" s="166" t="str">
        <x:v>Baixa</x:v>
      </x:c>
      <x:c r="J177" s="166" t="str">
        <x:v>Sim — alta</x:v>
      </x:c>
    </x:row>
    <x:row r="178">
      <x:c r="A178" s="166" t="str">
        <x:v>Gestor</x:v>
      </x:c>
      <x:c r="B178" s="166" t="str">
        <x:v>CONTEA CAPITAL</x:v>
      </x:c>
      <x:c r="C178" s="169" t="n">
        <x:v>0.9522756306099996</x:v>
      </x:c>
      <x:c r="D178" s="166" t="str">
        <x:v>CONTEA CAPITAL</x:v>
      </x:c>
      <x:c r="E178" s="185" t="str">
        <x:v>CONTEA CAPITAL</x:v>
      </x:c>
      <x:c r="F178" s="166" t="str">
        <x:v>Independente</x:v>
      </x:c>
      <x:c r="G178" s="185" t="str">
        <x:v>Independente</x:v>
      </x:c>
      <x:c r="H178" s="166" t="str">
        <x:v>residual; requer revisão manual</x:v>
      </x:c>
      <x:c r="I178" s="166" t="str">
        <x:v>Baixa</x:v>
      </x:c>
      <x:c r="J178" s="166" t="str">
        <x:v>Sim — alta</x:v>
      </x:c>
    </x:row>
    <x:row r="179">
      <x:c r="A179" s="166" t="str">
        <x:v>Gestor</x:v>
      </x:c>
      <x:c r="B179" s="166" t="str">
        <x:v>V8 Capital</x:v>
      </x:c>
      <x:c r="C179" s="169" t="n">
        <x:v>0.94584272646</x:v>
      </x:c>
      <x:c r="D179" s="166" t="str">
        <x:v>V8 Capital</x:v>
      </x:c>
      <x:c r="E179" s="185" t="str">
        <x:v>V8 Capital</x:v>
      </x:c>
      <x:c r="F179" s="166" t="str">
        <x:v>Independente</x:v>
      </x:c>
      <x:c r="G179" s="185" t="str">
        <x:v>Independente</x:v>
      </x:c>
      <x:c r="H179" s="166" t="str">
        <x:v>residual; requer revisão manual</x:v>
      </x:c>
      <x:c r="I179" s="166" t="str">
        <x:v>Baixa</x:v>
      </x:c>
      <x:c r="J179" s="166" t="str">
        <x:v>Sim — alta</x:v>
      </x:c>
    </x:row>
    <x:row r="180">
      <x:c r="A180" s="166" t="str">
        <x:v>Gestor</x:v>
      </x:c>
      <x:c r="B180" s="166" t="str">
        <x:v>ASAROCK ASSET MANAGEMENT</x:v>
      </x:c>
      <x:c r="C180" s="169" t="n">
        <x:v>0.94553305321</x:v>
      </x:c>
      <x:c r="D180" s="166" t="str">
        <x:v>ASAROCK ASSET MANAGEMENT</x:v>
      </x:c>
      <x:c r="E180" s="185" t="str">
        <x:v>ASAROCK ASSET MANAGEMENT</x:v>
      </x:c>
      <x:c r="F180" s="166" t="str">
        <x:v>Independente</x:v>
      </x:c>
      <x:c r="G180" s="185" t="str">
        <x:v>Independente</x:v>
      </x:c>
      <x:c r="H180" s="166" t="str">
        <x:v>residual; requer revisão manual</x:v>
      </x:c>
      <x:c r="I180" s="166" t="str">
        <x:v>Baixa</x:v>
      </x:c>
      <x:c r="J180" s="166" t="str">
        <x:v>Sim — alta</x:v>
      </x:c>
    </x:row>
    <x:row r="181">
      <x:c r="A181" s="166" t="str">
        <x:v>Gestor</x:v>
      </x:c>
      <x:c r="B181" s="166" t="str">
        <x:v>XP Gestão de Recurso</x:v>
      </x:c>
      <x:c r="C181" s="169" t="n">
        <x:v>0.93866995139</x:v>
      </x:c>
      <x:c r="D181" s="166" t="str">
        <x:v>XP Inc.</x:v>
      </x:c>
      <x:c r="E181" s="185" t="str">
        <x:v>XP Inc.</x:v>
      </x:c>
      <x:c r="F181" s="166" t="str">
        <x:v>Ligada a banco</x:v>
      </x:c>
      <x:c r="G181" s="185" t="str">
        <x:v>Ligada a banco</x:v>
      </x:c>
      <x:c r="H181" s="166" t="str">
        <x:v>contém 'XP GESTAO DE RECURSO'</x:v>
      </x:c>
      <x:c r="I181" s="166" t="str">
        <x:v>Alta</x:v>
      </x:c>
      <x:c r="J181" s="166" t="str">
        <x:v>Confirmar</x:v>
      </x:c>
    </x:row>
    <x:row r="182">
      <x:c r="A182" s="166" t="str">
        <x:v>Gestor</x:v>
      </x:c>
      <x:c r="B182" s="166" t="str">
        <x:v>SUNO ASSET MANAGEMENT</x:v>
      </x:c>
      <x:c r="C182" s="169" t="n">
        <x:v>0.93527833261</x:v>
      </x:c>
      <x:c r="D182" s="166" t="str">
        <x:v>SUNO ASSET MANAGEMENT</x:v>
      </x:c>
      <x:c r="E182" s="185" t="str">
        <x:v>SUNO ASSET MANAGEMENT</x:v>
      </x:c>
      <x:c r="F182" s="166" t="str">
        <x:v>Independente</x:v>
      </x:c>
      <x:c r="G182" s="185" t="str">
        <x:v>Independente</x:v>
      </x:c>
      <x:c r="H182" s="166" t="str">
        <x:v>residual; requer revisão manual</x:v>
      </x:c>
      <x:c r="I182" s="166" t="str">
        <x:v>Baixa</x:v>
      </x:c>
      <x:c r="J182" s="166" t="str">
        <x:v>Sim — alta</x:v>
      </x:c>
    </x:row>
    <x:row r="183">
      <x:c r="A183" s="166" t="str">
        <x:v>Gestor</x:v>
      </x:c>
      <x:c r="B183" s="166" t="str">
        <x:v>BRZ Gestão de Recursos</x:v>
      </x:c>
      <x:c r="C183" s="169" t="n">
        <x:v>0.9349216448999998</x:v>
      </x:c>
      <x:c r="D183" s="166" t="str">
        <x:v>BRZ Gestão de Recursos</x:v>
      </x:c>
      <x:c r="E183" s="185" t="str">
        <x:v>BRZ Gestão de Recursos</x:v>
      </x:c>
      <x:c r="F183" s="166" t="str">
        <x:v>Independente</x:v>
      </x:c>
      <x:c r="G183" s="185" t="str">
        <x:v>Independente</x:v>
      </x:c>
      <x:c r="H183" s="166" t="str">
        <x:v>residual; requer revisão manual</x:v>
      </x:c>
      <x:c r="I183" s="166" t="str">
        <x:v>Baixa</x:v>
      </x:c>
      <x:c r="J183" s="166" t="str">
        <x:v>Sim — alta</x:v>
      </x:c>
    </x:row>
    <x:row r="184">
      <x:c r="A184" s="166" t="str">
        <x:v>Gestor</x:v>
      </x:c>
      <x:c r="B184" s="166" t="str">
        <x:v>Iggy Investimentos</x:v>
      </x:c>
      <x:c r="C184" s="169" t="n">
        <x:v>0.9131874156924498</x:v>
      </x:c>
      <x:c r="D184" s="166" t="str">
        <x:v>Iggy Investimentos</x:v>
      </x:c>
      <x:c r="E184" s="185" t="str">
        <x:v>Iggy Investimentos</x:v>
      </x:c>
      <x:c r="F184" s="166" t="str">
        <x:v>Independente</x:v>
      </x:c>
      <x:c r="G184" s="185" t="str">
        <x:v>Independente</x:v>
      </x:c>
      <x:c r="H184" s="166" t="str">
        <x:v>residual; requer revisão manual</x:v>
      </x:c>
      <x:c r="I184" s="166" t="str">
        <x:v>Baixa</x:v>
      </x:c>
      <x:c r="J184" s="166" t="str">
        <x:v>Sim — alta</x:v>
      </x:c>
    </x:row>
    <x:row r="185">
      <x:c r="A185" s="166" t="str">
        <x:v>Gestor</x:v>
      </x:c>
      <x:c r="B185" s="166" t="str">
        <x:v>BRZ Investimentos</x:v>
      </x:c>
      <x:c r="C185" s="169" t="n">
        <x:v>0.9128149881399996</x:v>
      </x:c>
      <x:c r="D185" s="166" t="str">
        <x:v>BRZ Investimentos</x:v>
      </x:c>
      <x:c r="E185" s="185" t="str">
        <x:v>BRZ Investimentos</x:v>
      </x:c>
      <x:c r="F185" s="166" t="str">
        <x:v>Independente</x:v>
      </x:c>
      <x:c r="G185" s="185" t="str">
        <x:v>Independente</x:v>
      </x:c>
      <x:c r="H185" s="166" t="str">
        <x:v>residual; requer revisão manual</x:v>
      </x:c>
      <x:c r="I185" s="166" t="str">
        <x:v>Baixa</x:v>
      </x:c>
      <x:c r="J185" s="166" t="str">
        <x:v>Sim — alta</x:v>
      </x:c>
    </x:row>
    <x:row r="186">
      <x:c r="A186" s="166" t="str">
        <x:v>Gestor</x:v>
      </x:c>
      <x:c r="B186" s="166" t="str">
        <x:v>BS2 ASSET MANAGEMENT – ADMINISTRADORA DE RECURSOS LTDA.</x:v>
      </x:c>
      <x:c r="C186" s="169" t="n">
        <x:v>0.9011672416900001</x:v>
      </x:c>
      <x:c r="D186" s="166" t="str">
        <x:v>BS2 ASSET MANAGEMENT – ADMINISTRADORA DE RECURSOS LTDA.</x:v>
      </x:c>
      <x:c r="E186" s="185" t="str">
        <x:v>BS2 ASSET MANAGEMENT – ADMINISTRADORA DE RECURSOS LTDA.</x:v>
      </x:c>
      <x:c r="F186" s="166" t="str">
        <x:v>Independente</x:v>
      </x:c>
      <x:c r="G186" s="185" t="str">
        <x:v>Independente</x:v>
      </x:c>
      <x:c r="H186" s="166" t="str">
        <x:v>residual; requer revisão manual</x:v>
      </x:c>
      <x:c r="I186" s="166" t="str">
        <x:v>Baixa</x:v>
      </x:c>
      <x:c r="J186" s="166" t="str">
        <x:v>Sim — alta</x:v>
      </x:c>
    </x:row>
    <x:row r="187">
      <x:c r="A187" s="166" t="str">
        <x:v>Gestor</x:v>
      </x:c>
      <x:c r="B187" s="166" t="str">
        <x:v>JIVE ASSET GESTAO DE RECURSOS LTDA</x:v>
      </x:c>
      <x:c r="C187" s="169" t="n">
        <x:v>0.88328582763</x:v>
      </x:c>
      <x:c r="D187" s="166" t="str">
        <x:v>JIVE ASSET GESTAO DE RECURSOS LTDA</x:v>
      </x:c>
      <x:c r="E187" s="185" t="str">
        <x:v>JIVE ASSET GESTAO DE RECURSOS LTDA</x:v>
      </x:c>
      <x:c r="F187" s="166" t="str">
        <x:v>Independente</x:v>
      </x:c>
      <x:c r="G187" s="185" t="str">
        <x:v>Independente</x:v>
      </x:c>
      <x:c r="H187" s="166" t="str">
        <x:v>residual; requer revisão manual</x:v>
      </x:c>
      <x:c r="I187" s="166" t="str">
        <x:v>Baixa</x:v>
      </x:c>
      <x:c r="J187" s="166" t="str">
        <x:v>Sim — alta</x:v>
      </x:c>
    </x:row>
    <x:row r="188">
      <x:c r="A188" s="166" t="str">
        <x:v>Gestor</x:v>
      </x:c>
      <x:c r="B188" s="166" t="str">
        <x:v>ORIZ ASSET MANAGEMENT LTDA.</x:v>
      </x:c>
      <x:c r="C188" s="169" t="n">
        <x:v>0.8814441100999999</x:v>
      </x:c>
      <x:c r="D188" s="166" t="str">
        <x:v>ORIZ ASSET MANAGEMENT LTDA.</x:v>
      </x:c>
      <x:c r="E188" s="185" t="str">
        <x:v>ORIZ ASSET MANAGEMENT LTDA.</x:v>
      </x:c>
      <x:c r="F188" s="166" t="str">
        <x:v>Independente</x:v>
      </x:c>
      <x:c r="G188" s="185" t="str">
        <x:v>Independente</x:v>
      </x:c>
      <x:c r="H188" s="166" t="str">
        <x:v>residual; requer revisão manual</x:v>
      </x:c>
      <x:c r="I188" s="166" t="str">
        <x:v>Baixa</x:v>
      </x:c>
      <x:c r="J188" s="166" t="str">
        <x:v>Sim — alta</x:v>
      </x:c>
    </x:row>
    <x:row r="189">
      <x:c r="A189" s="166" t="str">
        <x:v>Gestor</x:v>
      </x:c>
      <x:c r="B189" s="166" t="str">
        <x:v>ASSET MANAGEMENT</x:v>
      </x:c>
      <x:c r="C189" s="169" t="n">
        <x:v>0.8677819846099997</x:v>
      </x:c>
      <x:c r="D189" s="166" t="str">
        <x:v>ASSET MANAGEMENT</x:v>
      </x:c>
      <x:c r="E189" s="185" t="str">
        <x:v>ASSET MANAGEMENT</x:v>
      </x:c>
      <x:c r="F189" s="166" t="str">
        <x:v>Independente</x:v>
      </x:c>
      <x:c r="G189" s="185" t="str">
        <x:v>Independente</x:v>
      </x:c>
      <x:c r="H189" s="166" t="str">
        <x:v>residual; requer revisão manual</x:v>
      </x:c>
      <x:c r="I189" s="166" t="str">
        <x:v>Baixa</x:v>
      </x:c>
      <x:c r="J189" s="166" t="str">
        <x:v>Sim — alta</x:v>
      </x:c>
    </x:row>
    <x:row r="190">
      <x:c r="A190" s="166" t="str">
        <x:v>Gestor</x:v>
      </x:c>
      <x:c r="B190" s="166" t="str">
        <x:v>Guardian Gestora</x:v>
      </x:c>
      <x:c r="C190" s="169" t="n">
        <x:v>0.8677175757800002</x:v>
      </x:c>
      <x:c r="D190" s="166" t="str">
        <x:v>Guardian Gestora</x:v>
      </x:c>
      <x:c r="E190" s="185" t="str">
        <x:v>Guardian Gestora</x:v>
      </x:c>
      <x:c r="F190" s="166" t="str">
        <x:v>Independente</x:v>
      </x:c>
      <x:c r="G190" s="185" t="str">
        <x:v>Independente</x:v>
      </x:c>
      <x:c r="H190" s="166" t="str">
        <x:v>residual; requer revisão manual</x:v>
      </x:c>
      <x:c r="I190" s="166" t="str">
        <x:v>Baixa</x:v>
      </x:c>
      <x:c r="J190" s="166" t="str">
        <x:v>Sim — alta</x:v>
      </x:c>
    </x:row>
    <x:row r="191">
      <x:c r="A191" s="166" t="str">
        <x:v>Gestor</x:v>
      </x:c>
      <x:c r="B191" s="166" t="str">
        <x:v>RCB PORTFOLIOS</x:v>
      </x:c>
      <x:c r="C191" s="169" t="n">
        <x:v>0.8559081918499999</x:v>
      </x:c>
      <x:c r="D191" s="166" t="str">
        <x:v>RCB PORTFOLIOS</x:v>
      </x:c>
      <x:c r="E191" s="185" t="str">
        <x:v>RCB PORTFOLIOS</x:v>
      </x:c>
      <x:c r="F191" s="166" t="str">
        <x:v>Independente</x:v>
      </x:c>
      <x:c r="G191" s="185" t="str">
        <x:v>Independente</x:v>
      </x:c>
      <x:c r="H191" s="166" t="str">
        <x:v>residual; requer revisão manual</x:v>
      </x:c>
      <x:c r="I191" s="166" t="str">
        <x:v>Baixa</x:v>
      </x:c>
      <x:c r="J191" s="166" t="str">
        <x:v>Sim — alta</x:v>
      </x:c>
    </x:row>
    <x:row r="192">
      <x:c r="A192" s="166" t="str">
        <x:v>Gestor</x:v>
      </x:c>
      <x:c r="B192" s="166" t="str">
        <x:v>Seven Pounds Asset</x:v>
      </x:c>
      <x:c r="C192" s="169" t="n">
        <x:v>0.81549729788</x:v>
      </x:c>
      <x:c r="D192" s="166" t="str">
        <x:v>Seven Pounds Asset</x:v>
      </x:c>
      <x:c r="E192" s="185" t="str">
        <x:v>Seven Pounds Asset</x:v>
      </x:c>
      <x:c r="F192" s="166" t="str">
        <x:v>Independente</x:v>
      </x:c>
      <x:c r="G192" s="185" t="str">
        <x:v>Independente</x:v>
      </x:c>
      <x:c r="H192" s="166" t="str">
        <x:v>residual; requer revisão manual</x:v>
      </x:c>
      <x:c r="I192" s="166" t="str">
        <x:v>Baixa</x:v>
      </x:c>
      <x:c r="J192" s="166" t="str">
        <x:v>Sim — alta</x:v>
      </x:c>
    </x:row>
    <x:row r="193">
      <x:c r="A193" s="166" t="str">
        <x:v>Gestor</x:v>
      </x:c>
      <x:c r="B193" s="166" t="str">
        <x:v>ARC Capital</x:v>
      </x:c>
      <x:c r="C193" s="169" t="n">
        <x:v>0.80705357436</x:v>
      </x:c>
      <x:c r="D193" s="166" t="str">
        <x:v>ARC Capital</x:v>
      </x:c>
      <x:c r="E193" s="185" t="str">
        <x:v>ARC Capital</x:v>
      </x:c>
      <x:c r="F193" s="166" t="str">
        <x:v>Independente</x:v>
      </x:c>
      <x:c r="G193" s="185" t="str">
        <x:v>Independente</x:v>
      </x:c>
      <x:c r="H193" s="166" t="str">
        <x:v>residual; requer revisão manual</x:v>
      </x:c>
      <x:c r="I193" s="166" t="str">
        <x:v>Baixa</x:v>
      </x:c>
      <x:c r="J193" s="166" t="str">
        <x:v>Sim — alta</x:v>
      </x:c>
    </x:row>
    <x:row r="194">
      <x:c r="A194" s="166" t="str">
        <x:v>Gestor</x:v>
      </x:c>
      <x:c r="B194" s="166" t="str">
        <x:v>Apuama Capital</x:v>
      </x:c>
      <x:c r="C194" s="169" t="n">
        <x:v>0.7796213201899997</x:v>
      </x:c>
      <x:c r="D194" s="166" t="str">
        <x:v>Apuama Capital</x:v>
      </x:c>
      <x:c r="E194" s="185" t="str">
        <x:v>Apuama Capital</x:v>
      </x:c>
      <x:c r="F194" s="166" t="str">
        <x:v>Independente</x:v>
      </x:c>
      <x:c r="G194" s="185" t="str">
        <x:v>Independente</x:v>
      </x:c>
      <x:c r="H194" s="166" t="str">
        <x:v>residual; requer revisão manual</x:v>
      </x:c>
      <x:c r="I194" s="166" t="str">
        <x:v>Baixa</x:v>
      </x:c>
      <x:c r="J194" s="166" t="str">
        <x:v>Sim — alta</x:v>
      </x:c>
    </x:row>
    <x:row r="195">
      <x:c r="A195" s="166" t="str">
        <x:v>Gestor</x:v>
      </x:c>
      <x:c r="B195" s="166" t="str">
        <x:v>MAKENA GESTORA DE RECURSOS LTDA.</x:v>
      </x:c>
      <x:c r="C195" s="169" t="n">
        <x:v>0.7738746174500002</x:v>
      </x:c>
      <x:c r="D195" s="166" t="str">
        <x:v>MAKENA GESTORA DE RECURSOS LTDA.</x:v>
      </x:c>
      <x:c r="E195" s="185" t="str">
        <x:v>MAKENA GESTORA DE RECURSOS LTDA.</x:v>
      </x:c>
      <x:c r="F195" s="166" t="str">
        <x:v>Independente</x:v>
      </x:c>
      <x:c r="G195" s="185" t="str">
        <x:v>Independente</x:v>
      </x:c>
      <x:c r="H195" s="166" t="str">
        <x:v>residual; requer revisão manual</x:v>
      </x:c>
      <x:c r="I195" s="166" t="str">
        <x:v>Baixa</x:v>
      </x:c>
      <x:c r="J195" s="166" t="str">
        <x:v>Sim — alta</x:v>
      </x:c>
    </x:row>
    <x:row r="196">
      <x:c r="A196" s="166" t="str">
        <x:v>Gestor</x:v>
      </x:c>
      <x:c r="B196" s="166" t="str">
        <x:v>Global Gestão e Investimentos</x:v>
      </x:c>
      <x:c r="C196" s="169" t="n">
        <x:v>0.7613270829600001</x:v>
      </x:c>
      <x:c r="D196" s="166" t="str">
        <x:v>Global Gestão e Investimentos</x:v>
      </x:c>
      <x:c r="E196" s="185" t="str">
        <x:v>Global Gestão e Investimentos</x:v>
      </x:c>
      <x:c r="F196" s="166" t="str">
        <x:v>Independente</x:v>
      </x:c>
      <x:c r="G196" s="185" t="str">
        <x:v>Independente</x:v>
      </x:c>
      <x:c r="H196" s="166" t="str">
        <x:v>residual; requer revisão manual</x:v>
      </x:c>
      <x:c r="I196" s="166" t="str">
        <x:v>Baixa</x:v>
      </x:c>
      <x:c r="J196" s="166" t="str">
        <x:v>Sim — alta</x:v>
      </x:c>
    </x:row>
    <x:row r="197">
      <x:c r="A197" s="166" t="str">
        <x:v>Gestor</x:v>
      </x:c>
      <x:c r="B197" s="166" t="str">
        <x:v>Vila Rica Capital</x:v>
      </x:c>
      <x:c r="C197" s="169" t="n">
        <x:v>0.76089316802</x:v>
      </x:c>
      <x:c r="D197" s="166" t="str">
        <x:v>Vila Rica Capital</x:v>
      </x:c>
      <x:c r="E197" s="185" t="str">
        <x:v>Vila Rica Capital</x:v>
      </x:c>
      <x:c r="F197" s="166" t="str">
        <x:v>Independente</x:v>
      </x:c>
      <x:c r="G197" s="185" t="str">
        <x:v>Independente</x:v>
      </x:c>
      <x:c r="H197" s="166" t="str">
        <x:v>residual; requer revisão manual</x:v>
      </x:c>
      <x:c r="I197" s="166" t="str">
        <x:v>Baixa</x:v>
      </x:c>
      <x:c r="J197" s="166" t="str">
        <x:v>Sim — alta</x:v>
      </x:c>
    </x:row>
    <x:row r="198">
      <x:c r="A198" s="166" t="str">
        <x:v>Gestor</x:v>
      </x:c>
      <x:c r="B198" s="166" t="str">
        <x:v>VALORA IMOBILIÁRIO E INFRAESTRUTURA LTDA</x:v>
      </x:c>
      <x:c r="C198" s="169" t="n">
        <x:v>0.7581566765430999</x:v>
      </x:c>
      <x:c r="D198" s="166" t="str">
        <x:v>VALORA IMOBILIÁRIO E INFRAESTRUTURA LTDA</x:v>
      </x:c>
      <x:c r="E198" s="185" t="str">
        <x:v>VALORA IMOBILIÁRIO E INFRAESTRUTURA LTDA</x:v>
      </x:c>
      <x:c r="F198" s="166" t="str">
        <x:v>Independente</x:v>
      </x:c>
      <x:c r="G198" s="185" t="str">
        <x:v>Independente</x:v>
      </x:c>
      <x:c r="H198" s="166" t="str">
        <x:v>residual; requer revisão manual</x:v>
      </x:c>
      <x:c r="I198" s="166" t="str">
        <x:v>Baixa</x:v>
      </x:c>
      <x:c r="J198" s="166" t="str">
        <x:v>Sim — alta</x:v>
      </x:c>
    </x:row>
    <x:row r="199">
      <x:c r="A199" s="166" t="str">
        <x:v>Gestor</x:v>
      </x:c>
      <x:c r="B199" s="166" t="str">
        <x:v>Inter Asset</x:v>
      </x:c>
      <x:c r="C199" s="169" t="n">
        <x:v>0.75206333642</x:v>
      </x:c>
      <x:c r="D199" s="166" t="str">
        <x:v>Banco Inter</x:v>
      </x:c>
      <x:c r="E199" s="185" t="str">
        <x:v>Banco Inter</x:v>
      </x:c>
      <x:c r="F199" s="166" t="str">
        <x:v>Ligada a banco</x:v>
      </x:c>
      <x:c r="G199" s="185" t="str">
        <x:v>Ligada a banco</x:v>
      </x:c>
      <x:c r="H199" s="166" t="str">
        <x:v>contém 'INTER ASSET'</x:v>
      </x:c>
      <x:c r="I199" s="166" t="str">
        <x:v>Alta</x:v>
      </x:c>
      <x:c r="J199" s="166" t="str">
        <x:v>Confirmar</x:v>
      </x:c>
    </x:row>
    <x:row r="200">
      <x:c r="A200" s="166" t="str">
        <x:v>Gestor</x:v>
      </x:c>
      <x:c r="B200" s="166" t="str">
        <x:v>TERA CAPITAL</x:v>
      </x:c>
      <x:c r="C200" s="169" t="n">
        <x:v>0.7503219128928998</x:v>
      </x:c>
      <x:c r="D200" s="166" t="str">
        <x:v>TERA CAPITAL</x:v>
      </x:c>
      <x:c r="E200" s="185" t="str">
        <x:v>TERA CAPITAL</x:v>
      </x:c>
      <x:c r="F200" s="166" t="str">
        <x:v>Independente</x:v>
      </x:c>
      <x:c r="G200" s="185" t="str">
        <x:v>Independente</x:v>
      </x:c>
      <x:c r="H200" s="166" t="str">
        <x:v>residual; requer revisão manual</x:v>
      </x:c>
      <x:c r="I200" s="166" t="str">
        <x:v>Baixa</x:v>
      </x:c>
      <x:c r="J200" s="166" t="str">
        <x:v>Sim — alta</x:v>
      </x:c>
    </x:row>
    <x:row r="201">
      <x:c r="A201" s="166" t="str">
        <x:v>Gestor</x:v>
      </x:c>
      <x:c r="B201" s="166" t="str">
        <x:v>TAG Investimentos</x:v>
      </x:c>
      <x:c r="C201" s="169" t="n">
        <x:v>0.7462321174935002</x:v>
      </x:c>
      <x:c r="D201" s="166" t="str">
        <x:v>TAG Investimentos</x:v>
      </x:c>
      <x:c r="E201" s="185" t="str">
        <x:v>TAG Investimentos</x:v>
      </x:c>
      <x:c r="F201" s="166" t="str">
        <x:v>Independente</x:v>
      </x:c>
      <x:c r="G201" s="185" t="str">
        <x:v>Independente</x:v>
      </x:c>
      <x:c r="H201" s="166" t="str">
        <x:v>residual; requer revisão manual</x:v>
      </x:c>
      <x:c r="I201" s="166" t="str">
        <x:v>Baixa</x:v>
      </x:c>
      <x:c r="J201" s="166" t="str">
        <x:v>Sim — alta</x:v>
      </x:c>
    </x:row>
    <x:row r="202">
      <x:c r="A202" s="166" t="str">
        <x:v>Gestor</x:v>
      </x:c>
      <x:c r="B202" s="166" t="str">
        <x:v>RB Asset</x:v>
      </x:c>
      <x:c r="C202" s="169" t="n">
        <x:v>0.7419216898200001</x:v>
      </x:c>
      <x:c r="D202" s="166" t="str">
        <x:v>RB Asset</x:v>
      </x:c>
      <x:c r="E202" s="185" t="str">
        <x:v>RB Asset</x:v>
      </x:c>
      <x:c r="F202" s="166" t="str">
        <x:v>Independente</x:v>
      </x:c>
      <x:c r="G202" s="185" t="str">
        <x:v>Independente</x:v>
      </x:c>
      <x:c r="H202" s="166" t="str">
        <x:v>residual; requer revisão manual</x:v>
      </x:c>
      <x:c r="I202" s="166" t="str">
        <x:v>Baixa</x:v>
      </x:c>
      <x:c r="J202" s="166" t="str">
        <x:v>Sim — alta</x:v>
      </x:c>
    </x:row>
    <x:row r="203">
      <x:c r="A203" s="166" t="str">
        <x:v>Gestor</x:v>
      </x:c>
      <x:c r="B203" s="166" t="str">
        <x:v>EuQueroInvestir Gestão de Recursos Ltda.</x:v>
      </x:c>
      <x:c r="C203" s="169" t="n">
        <x:v>0.70142538998</x:v>
      </x:c>
      <x:c r="D203" s="166" t="str">
        <x:v>EuQueroInvestir Gestão de Recursos Ltda.</x:v>
      </x:c>
      <x:c r="E203" s="185" t="str">
        <x:v>EuQueroInvestir Gestão de Recursos Ltda.</x:v>
      </x:c>
      <x:c r="F203" s="166" t="str">
        <x:v>Independente</x:v>
      </x:c>
      <x:c r="G203" s="185" t="str">
        <x:v>Independente</x:v>
      </x:c>
      <x:c r="H203" s="166" t="str">
        <x:v>residual; requer revisão manual</x:v>
      </x:c>
      <x:c r="I203" s="166" t="str">
        <x:v>Baixa</x:v>
      </x:c>
      <x:c r="J203" s="166" t="str">
        <x:v>Sim — alta</x:v>
      </x:c>
    </x:row>
    <x:row r="204">
      <x:c r="A204" s="166" t="str">
        <x:v>Gestor</x:v>
      </x:c>
      <x:c r="B204" s="166" t="str">
        <x:v>Éxes</x:v>
      </x:c>
      <x:c r="C204" s="169" t="n">
        <x:v>0.6919151069573</x:v>
      </x:c>
      <x:c r="D204" s="166" t="str">
        <x:v>Éxes</x:v>
      </x:c>
      <x:c r="E204" s="185" t="str">
        <x:v>Éxes</x:v>
      </x:c>
      <x:c r="F204" s="166" t="str">
        <x:v>Independente</x:v>
      </x:c>
      <x:c r="G204" s="185" t="str">
        <x:v>Independente</x:v>
      </x:c>
      <x:c r="H204" s="166" t="str">
        <x:v>residual; requer revisão manual</x:v>
      </x:c>
      <x:c r="I204" s="166" t="str">
        <x:v>Baixa</x:v>
      </x:c>
      <x:c r="J204" s="166" t="str">
        <x:v>Sim — alta</x:v>
      </x:c>
    </x:row>
    <x:row r="205">
      <x:c r="A205" s="166" t="str">
        <x:v>Gestor</x:v>
      </x:c>
      <x:c r="B205" s="166" t="str">
        <x:v>Chimera Capital Asset Management Ltda.</x:v>
      </x:c>
      <x:c r="C205" s="169" t="n">
        <x:v>0.6896648796</x:v>
      </x:c>
      <x:c r="D205" s="166" t="str">
        <x:v>Chimera Capital Asset Management Ltda.</x:v>
      </x:c>
      <x:c r="E205" s="185" t="str">
        <x:v>Chimera Capital Asset Management Ltda.</x:v>
      </x:c>
      <x:c r="F205" s="166" t="str">
        <x:v>Independente</x:v>
      </x:c>
      <x:c r="G205" s="185" t="str">
        <x:v>Independente</x:v>
      </x:c>
      <x:c r="H205" s="166" t="str">
        <x:v>residual; requer revisão manual</x:v>
      </x:c>
      <x:c r="I205" s="166" t="str">
        <x:v>Baixa</x:v>
      </x:c>
      <x:c r="J205" s="166" t="str">
        <x:v>Sim — alta</x:v>
      </x:c>
    </x:row>
    <x:row r="206">
      <x:c r="A206" s="166" t="str">
        <x:v>Gestor</x:v>
      </x:c>
      <x:c r="B206" s="166" t="str">
        <x:v>ANTHARUS GESTORA DE RECURSOS LTDA</x:v>
      </x:c>
      <x:c r="C206" s="169" t="n">
        <x:v>0.6554021027099999</x:v>
      </x:c>
      <x:c r="D206" s="166" t="str">
        <x:v>ANTHARUS GESTORA DE RECURSOS LTDA</x:v>
      </x:c>
      <x:c r="E206" s="185" t="str">
        <x:v>ANTHARUS GESTORA DE RECURSOS LTDA</x:v>
      </x:c>
      <x:c r="F206" s="166" t="str">
        <x:v>Independente</x:v>
      </x:c>
      <x:c r="G206" s="185" t="str">
        <x:v>Independente</x:v>
      </x:c>
      <x:c r="H206" s="166" t="str">
        <x:v>residual; requer revisão manual</x:v>
      </x:c>
      <x:c r="I206" s="166" t="str">
        <x:v>Baixa</x:v>
      </x:c>
      <x:c r="J206" s="166" t="str">
        <x:v>Sim — alta</x:v>
      </x:c>
    </x:row>
    <x:row r="207">
      <x:c r="A207" s="166" t="str">
        <x:v>Gestor</x:v>
      </x:c>
      <x:c r="B207" s="166" t="str">
        <x:v>BR-Capital DTVM</x:v>
      </x:c>
      <x:c r="C207" s="169" t="n">
        <x:v>0.64038480038</x:v>
      </x:c>
      <x:c r="D207" s="166" t="str">
        <x:v>BR-Capital DTVM</x:v>
      </x:c>
      <x:c r="E207" s="185" t="str">
        <x:v>BR-Capital DTVM</x:v>
      </x:c>
      <x:c r="F207" s="166" t="str">
        <x:v>Independente</x:v>
      </x:c>
      <x:c r="G207" s="185" t="str">
        <x:v>Independente</x:v>
      </x:c>
      <x:c r="H207" s="166" t="str">
        <x:v>residual; requer revisão manual</x:v>
      </x:c>
      <x:c r="I207" s="166" t="str">
        <x:v>Baixa</x:v>
      </x:c>
      <x:c r="J207" s="166" t="str">
        <x:v>Sim — alta</x:v>
      </x:c>
    </x:row>
    <x:row r="208">
      <x:c r="A208" s="166" t="str">
        <x:v>Gestor</x:v>
      </x:c>
      <x:c r="B208" s="166" t="str">
        <x:v>MAV CAPITAL GESTORA DE RECURSOS SS LTDA</x:v>
      </x:c>
      <x:c r="C208" s="169" t="n">
        <x:v>0.63690411522</x:v>
      </x:c>
      <x:c r="D208" s="166" t="str">
        <x:v>MAV CAPITAL GESTORA DE RECURSOS SS LTDA</x:v>
      </x:c>
      <x:c r="E208" s="185" t="str">
        <x:v>MAV CAPITAL GESTORA DE RECURSOS SS LTDA</x:v>
      </x:c>
      <x:c r="F208" s="166" t="str">
        <x:v>Independente</x:v>
      </x:c>
      <x:c r="G208" s="185" t="str">
        <x:v>Independente</x:v>
      </x:c>
      <x:c r="H208" s="166" t="str">
        <x:v>residual; requer revisão manual</x:v>
      </x:c>
      <x:c r="I208" s="166" t="str">
        <x:v>Baixa</x:v>
      </x:c>
      <x:c r="J208" s="166" t="str">
        <x:v>Sim — alta</x:v>
      </x:c>
    </x:row>
    <x:row r="209">
      <x:c r="A209" s="166" t="str">
        <x:v>Gestor</x:v>
      </x:c>
      <x:c r="B209" s="166" t="str">
        <x:v>Starboard Asset</x:v>
      </x:c>
      <x:c r="C209" s="169" t="n">
        <x:v>0.63625926857</x:v>
      </x:c>
      <x:c r="D209" s="166" t="str">
        <x:v>Starboard Asset</x:v>
      </x:c>
      <x:c r="E209" s="185" t="str">
        <x:v>Starboard Asset</x:v>
      </x:c>
      <x:c r="F209" s="166" t="str">
        <x:v>Independente</x:v>
      </x:c>
      <x:c r="G209" s="185" t="str">
        <x:v>Independente</x:v>
      </x:c>
      <x:c r="H209" s="166" t="str">
        <x:v>residual; requer revisão manual</x:v>
      </x:c>
      <x:c r="I209" s="166" t="str">
        <x:v>Baixa</x:v>
      </x:c>
      <x:c r="J209" s="166" t="str">
        <x:v>Sim — alta</x:v>
      </x:c>
    </x:row>
    <x:row r="210">
      <x:c r="A210" s="166" t="str">
        <x:v>Gestor</x:v>
      </x:c>
      <x:c r="B210" s="166" t="str">
        <x:v>PRISMA PRIVATE CREDIT</x:v>
      </x:c>
      <x:c r="C210" s="169" t="n">
        <x:v>0.63299513893</x:v>
      </x:c>
      <x:c r="D210" s="166" t="str">
        <x:v>PRISMA PRIVATE CREDIT</x:v>
      </x:c>
      <x:c r="E210" s="185" t="str">
        <x:v>PRISMA PRIVATE CREDIT</x:v>
      </x:c>
      <x:c r="F210" s="166" t="str">
        <x:v>Independente</x:v>
      </x:c>
      <x:c r="G210" s="185" t="str">
        <x:v>Independente</x:v>
      </x:c>
      <x:c r="H210" s="166" t="str">
        <x:v>residual; requer revisão manual</x:v>
      </x:c>
      <x:c r="I210" s="166" t="str">
        <x:v>Baixa</x:v>
      </x:c>
      <x:c r="J210" s="166" t="str">
        <x:v>Sim — alta</x:v>
      </x:c>
    </x:row>
    <x:row r="211">
      <x:c r="A211" s="166" t="str">
        <x:v>Gestor</x:v>
      </x:c>
      <x:c r="B211" s="166" t="str">
        <x:v>Via Invest Gestão de Recursos Ltda.</x:v>
      </x:c>
      <x:c r="C211" s="169" t="n">
        <x:v>0.63202523163</x:v>
      </x:c>
      <x:c r="D211" s="166" t="str">
        <x:v>Via Invest Gestão de Recursos Ltda.</x:v>
      </x:c>
      <x:c r="E211" s="185" t="str">
        <x:v>Via Invest Gestão de Recursos Ltda.</x:v>
      </x:c>
      <x:c r="F211" s="166" t="str">
        <x:v>Independente</x:v>
      </x:c>
      <x:c r="G211" s="185" t="str">
        <x:v>Independente</x:v>
      </x:c>
      <x:c r="H211" s="166" t="str">
        <x:v>residual; requer revisão manual</x:v>
      </x:c>
      <x:c r="I211" s="166" t="str">
        <x:v>Baixa</x:v>
      </x:c>
      <x:c r="J211" s="166" t="str">
        <x:v>Sim — alta</x:v>
      </x:c>
    </x:row>
    <x:row r="212">
      <x:c r="A212" s="166" t="str">
        <x:v>Gestor</x:v>
      </x:c>
      <x:c r="B212" s="166" t="str">
        <x:v>BDR Asset</x:v>
      </x:c>
      <x:c r="C212" s="169" t="n">
        <x:v>0.6222456724200001</x:v>
      </x:c>
      <x:c r="D212" s="166" t="str">
        <x:v>BDR Asset</x:v>
      </x:c>
      <x:c r="E212" s="185" t="str">
        <x:v>BDR Asset</x:v>
      </x:c>
      <x:c r="F212" s="166" t="str">
        <x:v>Independente</x:v>
      </x:c>
      <x:c r="G212" s="185" t="str">
        <x:v>Independente</x:v>
      </x:c>
      <x:c r="H212" s="166" t="str">
        <x:v>residual; requer revisão manual</x:v>
      </x:c>
      <x:c r="I212" s="166" t="str">
        <x:v>Baixa</x:v>
      </x:c>
      <x:c r="J212" s="166" t="str">
        <x:v>Sim — alta</x:v>
      </x:c>
    </x:row>
    <x:row r="213">
      <x:c r="A213" s="166" t="str">
        <x:v>Gestor</x:v>
      </x:c>
      <x:c r="B213" s="166" t="str">
        <x:v>Multinvest Capital</x:v>
      </x:c>
      <x:c r="C213" s="169" t="n">
        <x:v>0.61856713835</x:v>
      </x:c>
      <x:c r="D213" s="166" t="str">
        <x:v>Multinvest Capital</x:v>
      </x:c>
      <x:c r="E213" s="185" t="str">
        <x:v>Multinvest Capital</x:v>
      </x:c>
      <x:c r="F213" s="166" t="str">
        <x:v>Independente</x:v>
      </x:c>
      <x:c r="G213" s="185" t="str">
        <x:v>Independente</x:v>
      </x:c>
      <x:c r="H213" s="166" t="str">
        <x:v>residual; requer revisão manual</x:v>
      </x:c>
      <x:c r="I213" s="166" t="str">
        <x:v>Baixa</x:v>
      </x:c>
      <x:c r="J213" s="166" t="str">
        <x:v>Sim — alta</x:v>
      </x:c>
    </x:row>
    <x:row r="214">
      <x:c r="A214" s="166" t="str">
        <x:v>Gestor</x:v>
      </x:c>
      <x:c r="B214" s="166" t="str">
        <x:v>Patrimonial Gestão</x:v>
      </x:c>
      <x:c r="C214" s="169" t="n">
        <x:v>0.6064566646102999</x:v>
      </x:c>
      <x:c r="D214" s="166" t="str">
        <x:v>Patrimonial Gestão</x:v>
      </x:c>
      <x:c r="E214" s="185" t="str">
        <x:v>Patrimonial Gestão</x:v>
      </x:c>
      <x:c r="F214" s="166" t="str">
        <x:v>Independente</x:v>
      </x:c>
      <x:c r="G214" s="185" t="str">
        <x:v>Independente</x:v>
      </x:c>
      <x:c r="H214" s="166" t="str">
        <x:v>residual; requer revisão manual</x:v>
      </x:c>
      <x:c r="I214" s="166" t="str">
        <x:v>Baixa</x:v>
      </x:c>
      <x:c r="J214" s="166" t="str">
        <x:v>Sim — alta</x:v>
      </x:c>
    </x:row>
    <x:row r="215">
      <x:c r="A215" s="166" t="str">
        <x:v>Gestor</x:v>
      </x:c>
      <x:c r="B215" s="166" t="str">
        <x:v>BMA ASSET</x:v>
      </x:c>
      <x:c r="C215" s="169" t="n">
        <x:v>0.60637615584</x:v>
      </x:c>
      <x:c r="D215" s="166" t="str">
        <x:v>BMA ASSET</x:v>
      </x:c>
      <x:c r="E215" s="185" t="str">
        <x:v>BMA ASSET</x:v>
      </x:c>
      <x:c r="F215" s="166" t="str">
        <x:v>Independente</x:v>
      </x:c>
      <x:c r="G215" s="185" t="str">
        <x:v>Independente</x:v>
      </x:c>
      <x:c r="H215" s="166" t="str">
        <x:v>residual; requer revisão manual</x:v>
      </x:c>
      <x:c r="I215" s="166" t="str">
        <x:v>Baixa</x:v>
      </x:c>
      <x:c r="J215" s="166" t="str">
        <x:v>Sim — alta</x:v>
      </x:c>
    </x:row>
    <x:row r="216">
      <x:c r="A216" s="166" t="str">
        <x:v>Gestor</x:v>
      </x:c>
      <x:c r="B216" s="166" t="str">
        <x:v>Score Capital</x:v>
      </x:c>
      <x:c r="C216" s="169" t="n">
        <x:v>0.56317709951</x:v>
      </x:c>
      <x:c r="D216" s="166" t="str">
        <x:v>Score Capital</x:v>
      </x:c>
      <x:c r="E216" s="185" t="str">
        <x:v>Score Capital</x:v>
      </x:c>
      <x:c r="F216" s="166" t="str">
        <x:v>Independente</x:v>
      </x:c>
      <x:c r="G216" s="185" t="str">
        <x:v>Independente</x:v>
      </x:c>
      <x:c r="H216" s="166" t="str">
        <x:v>residual; requer revisão manual</x:v>
      </x:c>
      <x:c r="I216" s="166" t="str">
        <x:v>Baixa</x:v>
      </x:c>
      <x:c r="J216" s="166" t="str">
        <x:v>Sim — alta</x:v>
      </x:c>
    </x:row>
    <x:row r="217">
      <x:c r="A217" s="166" t="str">
        <x:v>Gestor</x:v>
      </x:c>
      <x:c r="B217" s="166" t="str">
        <x:v>Vision Brazil</x:v>
      </x:c>
      <x:c r="C217" s="169" t="n">
        <x:v>0.5587449873372</x:v>
      </x:c>
      <x:c r="D217" s="166" t="str">
        <x:v>Vision Brazil</x:v>
      </x:c>
      <x:c r="E217" s="185" t="str">
        <x:v>Vision Brazil</x:v>
      </x:c>
      <x:c r="F217" s="166" t="str">
        <x:v>Independente</x:v>
      </x:c>
      <x:c r="G217" s="185" t="str">
        <x:v>Independente</x:v>
      </x:c>
      <x:c r="H217" s="166" t="str">
        <x:v>residual; requer revisão manual</x:v>
      </x:c>
      <x:c r="I217" s="166" t="str">
        <x:v>Baixa</x:v>
      </x:c>
      <x:c r="J217" s="166" t="str">
        <x:v>Sim — alta</x:v>
      </x:c>
    </x:row>
    <x:row r="218">
      <x:c r="A218" s="166" t="str">
        <x:v>Gestor</x:v>
      </x:c>
      <x:c r="B218" s="166" t="str">
        <x:v>Bocaina Capital</x:v>
      </x:c>
      <x:c r="C218" s="169" t="n">
        <x:v>0.55470001203</x:v>
      </x:c>
      <x:c r="D218" s="166" t="str">
        <x:v>Bocaina Capital</x:v>
      </x:c>
      <x:c r="E218" s="185" t="str">
        <x:v>Bocaina Capital</x:v>
      </x:c>
      <x:c r="F218" s="166" t="str">
        <x:v>Independente</x:v>
      </x:c>
      <x:c r="G218" s="185" t="str">
        <x:v>Independente</x:v>
      </x:c>
      <x:c r="H218" s="166" t="str">
        <x:v>residual; requer revisão manual</x:v>
      </x:c>
      <x:c r="I218" s="166" t="str">
        <x:v>Baixa</x:v>
      </x:c>
      <x:c r="J218" s="166" t="str">
        <x:v>Sim — alta</x:v>
      </x:c>
    </x:row>
    <x:row r="219">
      <x:c r="A219" s="166" t="str">
        <x:v>Gestor</x:v>
      </x:c>
      <x:c r="B219" s="166" t="str">
        <x:v>Iron Capital</x:v>
      </x:c>
      <x:c r="C219" s="169" t="n">
        <x:v>0.53953190624</x:v>
      </x:c>
      <x:c r="D219" s="166" t="str">
        <x:v>Iron Capital</x:v>
      </x:c>
      <x:c r="E219" s="185" t="str">
        <x:v>Iron Capital</x:v>
      </x:c>
      <x:c r="F219" s="166" t="str">
        <x:v>Independente</x:v>
      </x:c>
      <x:c r="G219" s="185" t="str">
        <x:v>Independente</x:v>
      </x:c>
      <x:c r="H219" s="166" t="str">
        <x:v>residual; requer revisão manual</x:v>
      </x:c>
      <x:c r="I219" s="166" t="str">
        <x:v>Baixa</x:v>
      </x:c>
      <x:c r="J219" s="166" t="str">
        <x:v>Sim — alta</x:v>
      </x:c>
    </x:row>
    <x:row r="220">
      <x:c r="A220" s="166" t="str">
        <x:v>Gestor</x:v>
      </x:c>
      <x:c r="B220" s="166" t="str">
        <x:v>IDGR</x:v>
      </x:c>
      <x:c r="C220" s="169" t="n">
        <x:v>0.5307217485000001</x:v>
      </x:c>
      <x:c r="D220" s="166" t="str">
        <x:v>IDGR</x:v>
      </x:c>
      <x:c r="E220" s="185" t="str">
        <x:v>IDGR</x:v>
      </x:c>
      <x:c r="F220" s="166" t="str">
        <x:v>Independente</x:v>
      </x:c>
      <x:c r="G220" s="185" t="str">
        <x:v>Independente</x:v>
      </x:c>
      <x:c r="H220" s="166" t="str">
        <x:v>residual; requer revisão manual</x:v>
      </x:c>
      <x:c r="I220" s="166" t="str">
        <x:v>Baixa</x:v>
      </x:c>
      <x:c r="J220" s="166" t="str">
        <x:v>Sim — alta</x:v>
      </x:c>
    </x:row>
    <x:row r="221">
      <x:c r="A221" s="166" t="str">
        <x:v>Gestor</x:v>
      </x:c>
      <x:c r="B221" s="166" t="str">
        <x:v>CRD Capital Administração de Recursos Ltda</x:v>
      </x:c>
      <x:c r="C221" s="169" t="n">
        <x:v>0.5241560444</x:v>
      </x:c>
      <x:c r="D221" s="166" t="str">
        <x:v>CRD Capital Administração de Recursos Ltda</x:v>
      </x:c>
      <x:c r="E221" s="185" t="str">
        <x:v>CRD Capital Administração de Recursos Ltda</x:v>
      </x:c>
      <x:c r="F221" s="166" t="str">
        <x:v>Independente</x:v>
      </x:c>
      <x:c r="G221" s="185" t="str">
        <x:v>Independente</x:v>
      </x:c>
      <x:c r="H221" s="166" t="str">
        <x:v>residual; requer revisão manual</x:v>
      </x:c>
      <x:c r="I221" s="166" t="str">
        <x:v>Baixa</x:v>
      </x:c>
      <x:c r="J221" s="166" t="str">
        <x:v>Sim — alta</x:v>
      </x:c>
    </x:row>
    <x:row r="222">
      <x:c r="A222" s="166" t="str">
        <x:v>Gestor</x:v>
      </x:c>
      <x:c r="B222" s="166" t="str">
        <x:v>Banco Santander</x:v>
      </x:c>
      <x:c r="C222" s="169" t="n">
        <x:v>0.5071142617300001</x:v>
      </x:c>
      <x:c r="D222" s="166" t="str">
        <x:v>Santander</x:v>
      </x:c>
      <x:c r="E222" s="185" t="str">
        <x:v>Santander</x:v>
      </x:c>
      <x:c r="F222" s="166" t="str">
        <x:v>Ligada a banco</x:v>
      </x:c>
      <x:c r="G222" s="185" t="str">
        <x:v>Ligada a banco</x:v>
      </x:c>
      <x:c r="H222" s="166" t="str">
        <x:v>contém 'SANTANDER'</x:v>
      </x:c>
      <x:c r="I222" s="166" t="str">
        <x:v>Alta</x:v>
      </x:c>
      <x:c r="J222" s="166" t="str">
        <x:v>Confirmar</x:v>
      </x:c>
    </x:row>
    <x:row r="223">
      <x:c r="A223" s="166" t="str">
        <x:v>Gestor</x:v>
      </x:c>
      <x:c r="B223" s="166" t="str">
        <x:v>Paraguaçu Investimentos</x:v>
      </x:c>
      <x:c r="C223" s="169" t="n">
        <x:v>0.49074237586662006</x:v>
      </x:c>
      <x:c r="D223" s="166" t="str">
        <x:v>Paraguaçu Investimentos</x:v>
      </x:c>
      <x:c r="E223" s="185" t="str">
        <x:v>Paraguaçu Investimentos</x:v>
      </x:c>
      <x:c r="F223" s="166" t="str">
        <x:v>Independente</x:v>
      </x:c>
      <x:c r="G223" s="185" t="str">
        <x:v>Independente</x:v>
      </x:c>
      <x:c r="H223" s="166" t="str">
        <x:v>residual; requer revisão manual</x:v>
      </x:c>
      <x:c r="I223" s="166" t="str">
        <x:v>Baixa</x:v>
      </x:c>
      <x:c r="J223" s="166" t="str">
        <x:v>Sim — alta</x:v>
      </x:c>
    </x:row>
    <x:row r="224">
      <x:c r="A224" s="166" t="str">
        <x:v>Gestor</x:v>
      </x:c>
      <x:c r="B224" s="166" t="str">
        <x:v>Aurum</x:v>
      </x:c>
      <x:c r="C224" s="169" t="n">
        <x:v>0.48472630351999996</x:v>
      </x:c>
      <x:c r="D224" s="166" t="str">
        <x:v>Aurum</x:v>
      </x:c>
      <x:c r="E224" s="185" t="str">
        <x:v>Aurum</x:v>
      </x:c>
      <x:c r="F224" s="166" t="str">
        <x:v>Independente</x:v>
      </x:c>
      <x:c r="G224" s="185" t="str">
        <x:v>Independente</x:v>
      </x:c>
      <x:c r="H224" s="166" t="str">
        <x:v>residual; requer revisão manual</x:v>
      </x:c>
      <x:c r="I224" s="166" t="str">
        <x:v>Baixa</x:v>
      </x:c>
      <x:c r="J224" s="166" t="str">
        <x:v>Sim — alta</x:v>
      </x:c>
    </x:row>
    <x:row r="225">
      <x:c r="A225" s="166" t="str">
        <x:v>Gestor</x:v>
      </x:c>
      <x:c r="B225" s="166" t="str">
        <x:v>Prinz Gestora de Recursos Ltda</x:v>
      </x:c>
      <x:c r="C225" s="169" t="n">
        <x:v>0.4814901499899999</x:v>
      </x:c>
      <x:c r="D225" s="166" t="str">
        <x:v>Prinz Gestora de Recursos Ltda</x:v>
      </x:c>
      <x:c r="E225" s="185" t="str">
        <x:v>Prinz Gestora de Recursos Ltda</x:v>
      </x:c>
      <x:c r="F225" s="166" t="str">
        <x:v>Independente</x:v>
      </x:c>
      <x:c r="G225" s="185" t="str">
        <x:v>Independente</x:v>
      </x:c>
      <x:c r="H225" s="166" t="str">
        <x:v>residual; requer revisão manual</x:v>
      </x:c>
      <x:c r="I225" s="166" t="str">
        <x:v>Baixa</x:v>
      </x:c>
      <x:c r="J225" s="166" t="str">
        <x:v>Sim — alta</x:v>
      </x:c>
    </x:row>
    <x:row r="226">
      <x:c r="A226" s="166" t="str">
        <x:v>Gestor</x:v>
      </x:c>
      <x:c r="B226" s="166" t="str">
        <x:v>Menestys</x:v>
      </x:c>
      <x:c r="C226" s="169" t="n">
        <x:v>0.4791903173900001</x:v>
      </x:c>
      <x:c r="D226" s="166" t="str">
        <x:v>Menestys</x:v>
      </x:c>
      <x:c r="E226" s="185" t="str">
        <x:v>Menestys</x:v>
      </x:c>
      <x:c r="F226" s="166" t="str">
        <x:v>Independente</x:v>
      </x:c>
      <x:c r="G226" s="185" t="str">
        <x:v>Independente</x:v>
      </x:c>
      <x:c r="H226" s="166" t="str">
        <x:v>residual; requer revisão manual</x:v>
      </x:c>
      <x:c r="I226" s="166" t="str">
        <x:v>Baixa</x:v>
      </x:c>
      <x:c r="J226" s="166" t="str">
        <x:v>Sim — alta</x:v>
      </x:c>
    </x:row>
    <x:row r="227">
      <x:c r="A227" s="166" t="str">
        <x:v>Gestor</x:v>
      </x:c>
      <x:c r="B227" s="166" t="str">
        <x:v>JUGIS CAPITAL GESTÃO DE RECURSOS LTDA.</x:v>
      </x:c>
      <x:c r="C227" s="169" t="n">
        <x:v>0.47821208850999997</x:v>
      </x:c>
      <x:c r="D227" s="166" t="str">
        <x:v>JUGIS CAPITAL GESTÃO DE RECURSOS LTDA.</x:v>
      </x:c>
      <x:c r="E227" s="185" t="str">
        <x:v>JUGIS CAPITAL GESTÃO DE RECURSOS LTDA.</x:v>
      </x:c>
      <x:c r="F227" s="166" t="str">
        <x:v>Independente</x:v>
      </x:c>
      <x:c r="G227" s="185" t="str">
        <x:v>Independente</x:v>
      </x:c>
      <x:c r="H227" s="166" t="str">
        <x:v>residual; requer revisão manual</x:v>
      </x:c>
      <x:c r="I227" s="166" t="str">
        <x:v>Baixa</x:v>
      </x:c>
      <x:c r="J227" s="166" t="str">
        <x:v>Sim — alta</x:v>
      </x:c>
    </x:row>
    <x:row r="228">
      <x:c r="A228" s="166" t="str">
        <x:v>Gestor</x:v>
      </x:c>
      <x:c r="B228" s="166" t="str">
        <x:v>Möbius Capital</x:v>
      </x:c>
      <x:c r="C228" s="169" t="n">
        <x:v>0.47391653525000005</x:v>
      </x:c>
      <x:c r="D228" s="166" t="str">
        <x:v>Möbius Capital</x:v>
      </x:c>
      <x:c r="E228" s="185" t="str">
        <x:v>Möbius Capital</x:v>
      </x:c>
      <x:c r="F228" s="166" t="str">
        <x:v>Independente</x:v>
      </x:c>
      <x:c r="G228" s="185" t="str">
        <x:v>Independente</x:v>
      </x:c>
      <x:c r="H228" s="166" t="str">
        <x:v>residual; requer revisão manual</x:v>
      </x:c>
      <x:c r="I228" s="166" t="str">
        <x:v>Baixa</x:v>
      </x:c>
      <x:c r="J228" s="166" t="str">
        <x:v>Sim — alta</x:v>
      </x:c>
    </x:row>
    <x:row r="229">
      <x:c r="A229" s="166" t="str">
        <x:v>Gestor</x:v>
      </x:c>
      <x:c r="B229" s="166" t="str">
        <x:v>BPS CAPITAL</x:v>
      </x:c>
      <x:c r="C229" s="169" t="n">
        <x:v>0.4720374548399999</x:v>
      </x:c>
      <x:c r="D229" s="166" t="str">
        <x:v>BPS CAPITAL</x:v>
      </x:c>
      <x:c r="E229" s="185" t="str">
        <x:v>BPS CAPITAL</x:v>
      </x:c>
      <x:c r="F229" s="166" t="str">
        <x:v>Independente</x:v>
      </x:c>
      <x:c r="G229" s="185" t="str">
        <x:v>Independente</x:v>
      </x:c>
      <x:c r="H229" s="166" t="str">
        <x:v>residual; requer revisão manual</x:v>
      </x:c>
      <x:c r="I229" s="166" t="str">
        <x:v>Baixa</x:v>
      </x:c>
      <x:c r="J229" s="166" t="str">
        <x:v>Sim — alta</x:v>
      </x:c>
    </x:row>
    <x:row r="230">
      <x:c r="A230" s="166" t="str">
        <x:v>Gestor</x:v>
      </x:c>
      <x:c r="B230" s="166" t="str">
        <x:v>UC Gestora de Recursos</x:v>
      </x:c>
      <x:c r="C230" s="169" t="n">
        <x:v>0.4707173715000002</x:v>
      </x:c>
      <x:c r="D230" s="166" t="str">
        <x:v>UC Gestora de Recursos</x:v>
      </x:c>
      <x:c r="E230" s="185" t="str">
        <x:v>UC Gestora de Recursos</x:v>
      </x:c>
      <x:c r="F230" s="166" t="str">
        <x:v>Independente</x:v>
      </x:c>
      <x:c r="G230" s="185" t="str">
        <x:v>Independente</x:v>
      </x:c>
      <x:c r="H230" s="166" t="str">
        <x:v>residual; requer revisão manual</x:v>
      </x:c>
      <x:c r="I230" s="166" t="str">
        <x:v>Baixa</x:v>
      </x:c>
      <x:c r="J230" s="166" t="str">
        <x:v>Sim — alta</x:v>
      </x:c>
    </x:row>
    <x:row r="231">
      <x:c r="A231" s="166" t="str">
        <x:v>Gestor</x:v>
      </x:c>
      <x:c r="B231" s="166" t="str">
        <x:v>Verde Asset Management S.A.</x:v>
      </x:c>
      <x:c r="C231" s="169" t="n">
        <x:v>0.4495216430166</x:v>
      </x:c>
      <x:c r="D231" s="166" t="str">
        <x:v>Verde Asset Management S.A.</x:v>
      </x:c>
      <x:c r="E231" s="185" t="str">
        <x:v>Verde Asset Management S.A.</x:v>
      </x:c>
      <x:c r="F231" s="166" t="str">
        <x:v>Independente</x:v>
      </x:c>
      <x:c r="G231" s="185" t="str">
        <x:v>Independente</x:v>
      </x:c>
      <x:c r="H231" s="166" t="str">
        <x:v>residual; requer revisão manual</x:v>
      </x:c>
      <x:c r="I231" s="166" t="str">
        <x:v>Baixa</x:v>
      </x:c>
      <x:c r="J231" s="166" t="str">
        <x:v>Sim — alta</x:v>
      </x:c>
    </x:row>
    <x:row r="232">
      <x:c r="A232" s="166" t="str">
        <x:v>Gestor</x:v>
      </x:c>
      <x:c r="B232" s="166" t="str">
        <x:v>Namari Capital Gestão de Recursos Ltda.</x:v>
      </x:c>
      <x:c r="C232" s="169" t="n">
        <x:v>0.44633217968000005</x:v>
      </x:c>
      <x:c r="D232" s="166" t="str">
        <x:v>Namari Capital Gestão de Recursos Ltda.</x:v>
      </x:c>
      <x:c r="E232" s="185" t="str">
        <x:v>Namari Capital Gestão de Recursos Ltda.</x:v>
      </x:c>
      <x:c r="F232" s="166" t="str">
        <x:v>Independente</x:v>
      </x:c>
      <x:c r="G232" s="185" t="str">
        <x:v>Independente</x:v>
      </x:c>
      <x:c r="H232" s="166" t="str">
        <x:v>residual; requer revisão manual</x:v>
      </x:c>
      <x:c r="I232" s="166" t="str">
        <x:v>Baixa</x:v>
      </x:c>
      <x:c r="J232" s="166" t="str">
        <x:v>Sim — alta</x:v>
      </x:c>
    </x:row>
    <x:row r="233">
      <x:c r="A233" s="166" t="str">
        <x:v>Gestor</x:v>
      </x:c>
      <x:c r="B233" s="166" t="str">
        <x:v>F3 ROCK</x:v>
      </x:c>
      <x:c r="C233" s="169" t="n">
        <x:v>0.44525490951999996</x:v>
      </x:c>
      <x:c r="D233" s="166" t="str">
        <x:v>F3 ROCK</x:v>
      </x:c>
      <x:c r="E233" s="185" t="str">
        <x:v>F3 ROCK</x:v>
      </x:c>
      <x:c r="F233" s="166" t="str">
        <x:v>Independente</x:v>
      </x:c>
      <x:c r="G233" s="185" t="str">
        <x:v>Independente</x:v>
      </x:c>
      <x:c r="H233" s="166" t="str">
        <x:v>residual; requer revisão manual</x:v>
      </x:c>
      <x:c r="I233" s="166" t="str">
        <x:v>Baixa</x:v>
      </x:c>
      <x:c r="J233" s="166" t="str">
        <x:v>Sim — alta</x:v>
      </x:c>
    </x:row>
    <x:row r="234">
      <x:c r="A234" s="166" t="str">
        <x:v>Gestor</x:v>
      </x:c>
      <x:c r="B234" s="166" t="str">
        <x:v>FIDD Administração de Recursos Ltda.</x:v>
      </x:c>
      <x:c r="C234" s="169" t="n">
        <x:v>0.44196902168999996</x:v>
      </x:c>
      <x:c r="D234" s="166" t="str">
        <x:v>FIDD Administração de Recursos Ltda.</x:v>
      </x:c>
      <x:c r="E234" s="185" t="str">
        <x:v>FIDD Administração de Recursos Ltda.</x:v>
      </x:c>
      <x:c r="F234" s="166" t="str">
        <x:v>Independente</x:v>
      </x:c>
      <x:c r="G234" s="185" t="str">
        <x:v>Independente</x:v>
      </x:c>
      <x:c r="H234" s="166" t="str">
        <x:v>residual; requer revisão manual</x:v>
      </x:c>
      <x:c r="I234" s="166" t="str">
        <x:v>Baixa</x:v>
      </x:c>
      <x:c r="J234" s="166" t="str">
        <x:v>Sim — alta</x:v>
      </x:c>
    </x:row>
    <x:row r="235">
      <x:c r="A235" s="166" t="str">
        <x:v>Gestor</x:v>
      </x:c>
      <x:c r="B235" s="166" t="str">
        <x:v>HOPE ASSET</x:v>
      </x:c>
      <x:c r="C235" s="169" t="n">
        <x:v>0.43941217275000005</x:v>
      </x:c>
      <x:c r="D235" s="166" t="str">
        <x:v>HOPE ASSET</x:v>
      </x:c>
      <x:c r="E235" s="185" t="str">
        <x:v>HOPE ASSET</x:v>
      </x:c>
      <x:c r="F235" s="166" t="str">
        <x:v>Independente</x:v>
      </x:c>
      <x:c r="G235" s="185" t="str">
        <x:v>Independente</x:v>
      </x:c>
      <x:c r="H235" s="166" t="str">
        <x:v>residual; requer revisão manual</x:v>
      </x:c>
      <x:c r="I235" s="166" t="str">
        <x:v>Baixa</x:v>
      </x:c>
      <x:c r="J235" s="166" t="str">
        <x:v>Sim — alta</x:v>
      </x:c>
    </x:row>
    <x:row r="236">
      <x:c r="A236" s="166" t="str">
        <x:v>Gestor</x:v>
      </x:c>
      <x:c r="B236" s="166" t="str">
        <x:v>Soma Asset</x:v>
      </x:c>
      <x:c r="C236" s="169" t="n">
        <x:v>0.42989849452999995</x:v>
      </x:c>
      <x:c r="D236" s="166" t="str">
        <x:v>Soma Asset</x:v>
      </x:c>
      <x:c r="E236" s="185" t="str">
        <x:v>Soma Asset</x:v>
      </x:c>
      <x:c r="F236" s="166" t="str">
        <x:v>Independente</x:v>
      </x:c>
      <x:c r="G236" s="185" t="str">
        <x:v>Independente</x:v>
      </x:c>
      <x:c r="H236" s="166" t="str">
        <x:v>residual; requer revisão manual</x:v>
      </x:c>
      <x:c r="I236" s="166" t="str">
        <x:v>Baixa</x:v>
      </x:c>
      <x:c r="J236" s="166" t="str">
        <x:v>Sim — alta</x:v>
      </x:c>
    </x:row>
    <x:row r="237">
      <x:c r="A237" s="166" t="str">
        <x:v>Gestor</x:v>
      </x:c>
      <x:c r="B237" s="166" t="str">
        <x:v>Everest Capital</x:v>
      </x:c>
      <x:c r="C237" s="169" t="n">
        <x:v>0.42852217715000024</x:v>
      </x:c>
      <x:c r="D237" s="166" t="str">
        <x:v>Everest Capital</x:v>
      </x:c>
      <x:c r="E237" s="185" t="str">
        <x:v>Everest Capital</x:v>
      </x:c>
      <x:c r="F237" s="166" t="str">
        <x:v>Independente</x:v>
      </x:c>
      <x:c r="G237" s="185" t="str">
        <x:v>Independente</x:v>
      </x:c>
      <x:c r="H237" s="166" t="str">
        <x:v>residual; requer revisão manual</x:v>
      </x:c>
      <x:c r="I237" s="166" t="str">
        <x:v>Baixa</x:v>
      </x:c>
      <x:c r="J237" s="166" t="str">
        <x:v>Sim — alta</x:v>
      </x:c>
    </x:row>
    <x:row r="238">
      <x:c r="A238" s="166" t="str">
        <x:v>Gestor</x:v>
      </x:c>
      <x:c r="B238" s="166" t="str">
        <x:v>ICON CAPITAL</x:v>
      </x:c>
      <x:c r="C238" s="169" t="n">
        <x:v>0.42032670302999997</x:v>
      </x:c>
      <x:c r="D238" s="166" t="str">
        <x:v>ICON CAPITAL</x:v>
      </x:c>
      <x:c r="E238" s="185" t="str">
        <x:v>ICON CAPITAL</x:v>
      </x:c>
      <x:c r="F238" s="166" t="str">
        <x:v>Independente</x:v>
      </x:c>
      <x:c r="G238" s="185" t="str">
        <x:v>Independente</x:v>
      </x:c>
      <x:c r="H238" s="166" t="str">
        <x:v>residual; requer revisão manual</x:v>
      </x:c>
      <x:c r="I238" s="166" t="str">
        <x:v>Baixa</x:v>
      </x:c>
      <x:c r="J238" s="166" t="str">
        <x:v>Sim — alta</x:v>
      </x:c>
    </x:row>
    <x:row r="239">
      <x:c r="A239" s="166" t="str">
        <x:v>Gestor</x:v>
      </x:c>
      <x:c r="B239" s="166" t="str">
        <x:v>SARFATY ASSET</x:v>
      </x:c>
      <x:c r="C239" s="169" t="n">
        <x:v>0.41937154405</x:v>
      </x:c>
      <x:c r="D239" s="166" t="str">
        <x:v>SARFATY ASSET</x:v>
      </x:c>
      <x:c r="E239" s="185" t="str">
        <x:v>SARFATY ASSET</x:v>
      </x:c>
      <x:c r="F239" s="166" t="str">
        <x:v>Independente</x:v>
      </x:c>
      <x:c r="G239" s="185" t="str">
        <x:v>Independente</x:v>
      </x:c>
      <x:c r="H239" s="166" t="str">
        <x:v>residual; requer revisão manual</x:v>
      </x:c>
      <x:c r="I239" s="166" t="str">
        <x:v>Baixa</x:v>
      </x:c>
      <x:c r="J239" s="166" t="str">
        <x:v>Sim — alta</x:v>
      </x:c>
    </x:row>
    <x:row r="240">
      <x:c r="A240" s="166" t="str">
        <x:v>Gestor</x:v>
      </x:c>
      <x:c r="B240" s="166" t="str">
        <x:v>Tyr Gestao de Recursos Ltda</x:v>
      </x:c>
      <x:c r="C240" s="169" t="n">
        <x:v>0.41841471264000013</x:v>
      </x:c>
      <x:c r="D240" s="166" t="str">
        <x:v>Tyr Gestao de Recursos Ltda</x:v>
      </x:c>
      <x:c r="E240" s="185" t="str">
        <x:v>Tyr Gestao de Recursos Ltda</x:v>
      </x:c>
      <x:c r="F240" s="166" t="str">
        <x:v>Independente</x:v>
      </x:c>
      <x:c r="G240" s="185" t="str">
        <x:v>Independente</x:v>
      </x:c>
      <x:c r="H240" s="166" t="str">
        <x:v>residual; requer revisão manual</x:v>
      </x:c>
      <x:c r="I240" s="166" t="str">
        <x:v>Baixa</x:v>
      </x:c>
      <x:c r="J240" s="166" t="str">
        <x:v>Sim — alta</x:v>
      </x:c>
    </x:row>
    <x:row r="241">
      <x:c r="A241" s="166" t="str">
        <x:v>Gestor</x:v>
      </x:c>
      <x:c r="B241" s="166" t="str">
        <x:v>SVN Gestora de Recursos Ltda.</x:v>
      </x:c>
      <x:c r="C241" s="169" t="n">
        <x:v>0.4140845859700001</x:v>
      </x:c>
      <x:c r="D241" s="166" t="str">
        <x:v>SVN Gestora de Recursos Ltda.</x:v>
      </x:c>
      <x:c r="E241" s="185" t="str">
        <x:v>SVN Gestora de Recursos Ltda.</x:v>
      </x:c>
      <x:c r="F241" s="166" t="str">
        <x:v>Independente</x:v>
      </x:c>
      <x:c r="G241" s="185" t="str">
        <x:v>Independente</x:v>
      </x:c>
      <x:c r="H241" s="166" t="str">
        <x:v>residual; requer revisão manual</x:v>
      </x:c>
      <x:c r="I241" s="166" t="str">
        <x:v>Baixa</x:v>
      </x:c>
      <x:c r="J241" s="166" t="str">
        <x:v>Sim — alta</x:v>
      </x:c>
    </x:row>
    <x:row r="242">
      <x:c r="A242" s="166" t="str">
        <x:v>Gestor</x:v>
      </x:c>
      <x:c r="B242" s="166" t="str">
        <x:v>Track Capital Gestão de Recursos Ltda.</x:v>
      </x:c>
      <x:c r="C242" s="169" t="n">
        <x:v>0.39597968625</x:v>
      </x:c>
      <x:c r="D242" s="166" t="str">
        <x:v>Track Capital Gestão de Recursos Ltda.</x:v>
      </x:c>
      <x:c r="E242" s="185" t="str">
        <x:v>Track Capital Gestão de Recursos Ltda.</x:v>
      </x:c>
      <x:c r="F242" s="166" t="str">
        <x:v>Independente</x:v>
      </x:c>
      <x:c r="G242" s="185" t="str">
        <x:v>Independente</x:v>
      </x:c>
      <x:c r="H242" s="166" t="str">
        <x:v>residual; requer revisão manual</x:v>
      </x:c>
      <x:c r="I242" s="166" t="str">
        <x:v>Baixa</x:v>
      </x:c>
      <x:c r="J242" s="166" t="str">
        <x:v>Sim — alta</x:v>
      </x:c>
    </x:row>
    <x:row r="243">
      <x:c r="A243" s="166" t="str">
        <x:v>Gestor</x:v>
      </x:c>
      <x:c r="B243" s="166" t="str">
        <x:v>Netz Asset</x:v>
      </x:c>
      <x:c r="C243" s="169" t="n">
        <x:v>0.38237646772</x:v>
      </x:c>
      <x:c r="D243" s="166" t="str">
        <x:v>Netz Asset</x:v>
      </x:c>
      <x:c r="E243" s="185" t="str">
        <x:v>Netz Asset</x:v>
      </x:c>
      <x:c r="F243" s="166" t="str">
        <x:v>Independente</x:v>
      </x:c>
      <x:c r="G243" s="185" t="str">
        <x:v>Independente</x:v>
      </x:c>
      <x:c r="H243" s="166" t="str">
        <x:v>residual; requer revisão manual</x:v>
      </x:c>
      <x:c r="I243" s="166" t="str">
        <x:v>Baixa</x:v>
      </x:c>
      <x:c r="J243" s="166" t="str">
        <x:v>Sim — alta</x:v>
      </x:c>
    </x:row>
    <x:row r="244">
      <x:c r="A244" s="166" t="str">
        <x:v>Gestor</x:v>
      </x:c>
      <x:c r="B244" s="166" t="str">
        <x:v>Albion Capital LTDA.</x:v>
      </x:c>
      <x:c r="C244" s="169" t="n">
        <x:v>0.37138658329</x:v>
      </x:c>
      <x:c r="D244" s="166" t="str">
        <x:v>Albion Capital LTDA.</x:v>
      </x:c>
      <x:c r="E244" s="185" t="str">
        <x:v>Albion Capital LTDA.</x:v>
      </x:c>
      <x:c r="F244" s="166" t="str">
        <x:v>Independente</x:v>
      </x:c>
      <x:c r="G244" s="185" t="str">
        <x:v>Independente</x:v>
      </x:c>
      <x:c r="H244" s="166" t="str">
        <x:v>residual; requer revisão manual</x:v>
      </x:c>
      <x:c r="I244" s="166" t="str">
        <x:v>Baixa</x:v>
      </x:c>
      <x:c r="J244" s="166" t="str">
        <x:v>Sim — alta</x:v>
      </x:c>
    </x:row>
    <x:row r="245">
      <x:c r="A245" s="166" t="str">
        <x:v>Gestor</x:v>
      </x:c>
      <x:c r="B245" s="166" t="str">
        <x:v>Rio Bravo</x:v>
      </x:c>
      <x:c r="C245" s="169" t="n">
        <x:v>0.36814215473</x:v>
      </x:c>
      <x:c r="D245" s="166" t="str">
        <x:v>Rio Bravo</x:v>
      </x:c>
      <x:c r="E245" s="185" t="str">
        <x:v>Rio Bravo</x:v>
      </x:c>
      <x:c r="F245" s="166" t="str">
        <x:v>Independente</x:v>
      </x:c>
      <x:c r="G245" s="185" t="str">
        <x:v>Independente</x:v>
      </x:c>
      <x:c r="H245" s="166" t="str">
        <x:v>residual; requer revisão manual</x:v>
      </x:c>
      <x:c r="I245" s="166" t="str">
        <x:v>Baixa</x:v>
      </x:c>
      <x:c r="J245" s="166" t="str">
        <x:v>Sim — alta</x:v>
      </x:c>
    </x:row>
    <x:row r="246">
      <x:c r="A246" s="166" t="str">
        <x:v>Gestor</x:v>
      </x:c>
      <x:c r="B246" s="166" t="str">
        <x:v>AZ Quest MZK Investimentos Macro e Crédito Ltda.</x:v>
      </x:c>
      <x:c r="C246" s="169" t="n">
        <x:v>0.3663100301</x:v>
      </x:c>
      <x:c r="D246" s="166" t="str">
        <x:v>AZ Quest MZK Investimentos Macro e Crédito Ltda.</x:v>
      </x:c>
      <x:c r="E246" s="185" t="str">
        <x:v>AZ Quest MZK Investimentos Macro e Crédito Ltda.</x:v>
      </x:c>
      <x:c r="F246" s="166" t="str">
        <x:v>Independente</x:v>
      </x:c>
      <x:c r="G246" s="185" t="str">
        <x:v>Independente</x:v>
      </x:c>
      <x:c r="H246" s="166" t="str">
        <x:v>residual; requer revisão manual</x:v>
      </x:c>
      <x:c r="I246" s="166" t="str">
        <x:v>Baixa</x:v>
      </x:c>
      <x:c r="J246" s="166" t="str">
        <x:v>Sim — alta</x:v>
      </x:c>
    </x:row>
    <x:row r="247">
      <x:c r="A247" s="166" t="str">
        <x:v>Gestor</x:v>
      </x:c>
      <x:c r="B247" s="166" t="str">
        <x:v>Ghia Asset Management</x:v>
      </x:c>
      <x:c r="C247" s="169" t="n">
        <x:v>0.32159402295</x:v>
      </x:c>
      <x:c r="D247" s="166" t="str">
        <x:v>Ghia Asset Management</x:v>
      </x:c>
      <x:c r="E247" s="185" t="str">
        <x:v>Ghia Asset Management</x:v>
      </x:c>
      <x:c r="F247" s="166" t="str">
        <x:v>Independente</x:v>
      </x:c>
      <x:c r="G247" s="185" t="str">
        <x:v>Independente</x:v>
      </x:c>
      <x:c r="H247" s="166" t="str">
        <x:v>residual; requer revisão manual</x:v>
      </x:c>
      <x:c r="I247" s="166" t="str">
        <x:v>Baixa</x:v>
      </x:c>
      <x:c r="J247" s="166" t="str">
        <x:v>Sim — alta</x:v>
      </x:c>
    </x:row>
    <x:row r="248">
      <x:c r="A248" s="166" t="str">
        <x:v>Gestor</x:v>
      </x:c>
      <x:c r="B248" s="166" t="str">
        <x:v>Carpa Family Office</x:v>
      </x:c>
      <x:c r="C248" s="169" t="n">
        <x:v>0.3190228749</x:v>
      </x:c>
      <x:c r="D248" s="166" t="str">
        <x:v>Carpa Family Office</x:v>
      </x:c>
      <x:c r="E248" s="185" t="str">
        <x:v>Carpa Family Office</x:v>
      </x:c>
      <x:c r="F248" s="166" t="str">
        <x:v>Independente</x:v>
      </x:c>
      <x:c r="G248" s="185" t="str">
        <x:v>Independente</x:v>
      </x:c>
      <x:c r="H248" s="166" t="str">
        <x:v>residual; requer revisão manual</x:v>
      </x:c>
      <x:c r="I248" s="166" t="str">
        <x:v>Baixa</x:v>
      </x:c>
      <x:c r="J248" s="166" t="str">
        <x:v>Sim — alta</x:v>
      </x:c>
    </x:row>
    <x:row r="249">
      <x:c r="A249" s="166" t="str">
        <x:v>Gestor</x:v>
      </x:c>
      <x:c r="B249" s="166" t="str">
        <x:v>Capri Investimentos Ltda.</x:v>
      </x:c>
      <x:c r="C249" s="169" t="n">
        <x:v>0.31244268977</x:v>
      </x:c>
      <x:c r="D249" s="166" t="str">
        <x:v>Capri Investimentos Ltda.</x:v>
      </x:c>
      <x:c r="E249" s="185" t="str">
        <x:v>Capri Investimentos Ltda.</x:v>
      </x:c>
      <x:c r="F249" s="166" t="str">
        <x:v>Independente</x:v>
      </x:c>
      <x:c r="G249" s="185" t="str">
        <x:v>Independente</x:v>
      </x:c>
      <x:c r="H249" s="166" t="str">
        <x:v>residual; requer revisão manual</x:v>
      </x:c>
      <x:c r="I249" s="166" t="str">
        <x:v>Baixa</x:v>
      </x:c>
      <x:c r="J249" s="166" t="str">
        <x:v>Sim — alta</x:v>
      </x:c>
    </x:row>
    <x:row r="250">
      <x:c r="A250" s="166" t="str">
        <x:v>Gestor</x:v>
      </x:c>
      <x:c r="B250" s="166" t="str">
        <x:v>Ext Capital</x:v>
      </x:c>
      <x:c r="C250" s="169" t="n">
        <x:v>0.31087629901</x:v>
      </x:c>
      <x:c r="D250" s="166" t="str">
        <x:v>Ext Capital</x:v>
      </x:c>
      <x:c r="E250" s="185" t="str">
        <x:v>Ext Capital</x:v>
      </x:c>
      <x:c r="F250" s="166" t="str">
        <x:v>Independente</x:v>
      </x:c>
      <x:c r="G250" s="185" t="str">
        <x:v>Independente</x:v>
      </x:c>
      <x:c r="H250" s="166" t="str">
        <x:v>residual; requer revisão manual</x:v>
      </x:c>
      <x:c r="I250" s="166" t="str">
        <x:v>Baixa</x:v>
      </x:c>
      <x:c r="J250" s="166" t="str">
        <x:v>Sim — alta</x:v>
      </x:c>
    </x:row>
    <x:row r="251">
      <x:c r="A251" s="166" t="str">
        <x:v>Gestor</x:v>
      </x:c>
      <x:c r="B251" s="166" t="str">
        <x:v>VINLAND CAPITAL MANAGEMENT CREDITO PRIVADO GESTORA DE R</x:v>
      </x:c>
      <x:c r="C251" s="169" t="n">
        <x:v>0.30751089263</x:v>
      </x:c>
      <x:c r="D251" s="166" t="str">
        <x:v>VINLAND CAPITAL MANAGEMENT CREDITO PRIVADO GESTORA DE R</x:v>
      </x:c>
      <x:c r="E251" s="185" t="str">
        <x:v>VINLAND CAPITAL MANAGEMENT CREDITO PRIVADO GESTORA DE R</x:v>
      </x:c>
      <x:c r="F251" s="166" t="str">
        <x:v>Independente</x:v>
      </x:c>
      <x:c r="G251" s="185" t="str">
        <x:v>Independente</x:v>
      </x:c>
      <x:c r="H251" s="166" t="str">
        <x:v>residual; requer revisão manual</x:v>
      </x:c>
      <x:c r="I251" s="166" t="str">
        <x:v>Baixa</x:v>
      </x:c>
      <x:c r="J251" s="166" t="str">
        <x:v>Sim — alta</x:v>
      </x:c>
    </x:row>
    <x:row r="252">
      <x:c r="A252" s="166" t="str">
        <x:v>Gestor</x:v>
      </x:c>
      <x:c r="B252" s="166" t="str">
        <x:v>SOD Capital Ltda.</x:v>
      </x:c>
      <x:c r="C252" s="169" t="n">
        <x:v>0.30747966816999994</x:v>
      </x:c>
      <x:c r="D252" s="166" t="str">
        <x:v>SOD Capital Ltda.</x:v>
      </x:c>
      <x:c r="E252" s="185" t="str">
        <x:v>SOD Capital Ltda.</x:v>
      </x:c>
      <x:c r="F252" s="166" t="str">
        <x:v>Independente</x:v>
      </x:c>
      <x:c r="G252" s="185" t="str">
        <x:v>Independente</x:v>
      </x:c>
      <x:c r="H252" s="166" t="str">
        <x:v>residual; requer revisão manual</x:v>
      </x:c>
      <x:c r="I252" s="166" t="str">
        <x:v>Baixa</x:v>
      </x:c>
      <x:c r="J252" s="166" t="str">
        <x:v>Sim — alta</x:v>
      </x:c>
    </x:row>
    <x:row r="253">
      <x:c r="A253" s="166" t="str">
        <x:v>Gestor</x:v>
      </x:c>
      <x:c r="B253" s="166" t="str">
        <x:v>Mercury Gestão de Recursos Ltda.</x:v>
      </x:c>
      <x:c r="C253" s="169" t="n">
        <x:v>0.3068527914</x:v>
      </x:c>
      <x:c r="D253" s="166" t="str">
        <x:v>Mercury Gestão de Recursos Ltda.</x:v>
      </x:c>
      <x:c r="E253" s="185" t="str">
        <x:v>Mercury Gestão de Recursos Ltda.</x:v>
      </x:c>
      <x:c r="F253" s="166" t="str">
        <x:v>Independente</x:v>
      </x:c>
      <x:c r="G253" s="185" t="str">
        <x:v>Independente</x:v>
      </x:c>
      <x:c r="H253" s="166" t="str">
        <x:v>residual; requer revisão manual</x:v>
      </x:c>
      <x:c r="I253" s="166" t="str">
        <x:v>Baixa</x:v>
      </x:c>
      <x:c r="J253" s="166" t="str">
        <x:v>Sim — alta</x:v>
      </x:c>
    </x:row>
    <x:row r="254">
      <x:c r="A254" s="166" t="str">
        <x:v>Gestor</x:v>
      </x:c>
      <x:c r="B254" s="166" t="str">
        <x:v>Fram Capital Gestão de Ativos Ltda</x:v>
      </x:c>
      <x:c r="C254" s="169" t="n">
        <x:v>0.30567859190999996</x:v>
      </x:c>
      <x:c r="D254" s="166" t="str">
        <x:v>Fram Capital Gestão de Ativos Ltda</x:v>
      </x:c>
      <x:c r="E254" s="185" t="str">
        <x:v>Fram Capital Gestão de Ativos Ltda</x:v>
      </x:c>
      <x:c r="F254" s="166" t="str">
        <x:v>Independente</x:v>
      </x:c>
      <x:c r="G254" s="185" t="str">
        <x:v>Independente</x:v>
      </x:c>
      <x:c r="H254" s="166" t="str">
        <x:v>residual; requer revisão manual</x:v>
      </x:c>
      <x:c r="I254" s="166" t="str">
        <x:v>Baixa</x:v>
      </x:c>
      <x:c r="J254" s="166" t="str">
        <x:v>Sim — alta</x:v>
      </x:c>
    </x:row>
    <x:row r="255">
      <x:c r="A255" s="166" t="str">
        <x:v>Gestor</x:v>
      </x:c>
      <x:c r="B255" s="166" t="str">
        <x:v>Number Asset Brasil Ltda.</x:v>
      </x:c>
      <x:c r="C255" s="169" t="n">
        <x:v>0.3038241522399999</x:v>
      </x:c>
      <x:c r="D255" s="166" t="str">
        <x:v>Number Asset Brasil Ltda.</x:v>
      </x:c>
      <x:c r="E255" s="185" t="str">
        <x:v>Number Asset Brasil Ltda.</x:v>
      </x:c>
      <x:c r="F255" s="166" t="str">
        <x:v>Independente</x:v>
      </x:c>
      <x:c r="G255" s="185" t="str">
        <x:v>Independente</x:v>
      </x:c>
      <x:c r="H255" s="166" t="str">
        <x:v>residual; requer revisão manual</x:v>
      </x:c>
      <x:c r="I255" s="166" t="str">
        <x:v>Baixa</x:v>
      </x:c>
      <x:c r="J255" s="166" t="str">
        <x:v>Sim — alta</x:v>
      </x:c>
    </x:row>
    <x:row r="256">
      <x:c r="A256" s="166" t="str">
        <x:v>Gestor</x:v>
      </x:c>
      <x:c r="B256" s="166" t="str">
        <x:v>IFCONSULTANT</x:v>
      </x:c>
      <x:c r="C256" s="169" t="n">
        <x:v>0.30181571302000004</x:v>
      </x:c>
      <x:c r="D256" s="166" t="str">
        <x:v>IFCONSULTANT</x:v>
      </x:c>
      <x:c r="E256" s="185" t="str">
        <x:v>IFCONSULTANT</x:v>
      </x:c>
      <x:c r="F256" s="166" t="str">
        <x:v>Independente</x:v>
      </x:c>
      <x:c r="G256" s="185" t="str">
        <x:v>Independente</x:v>
      </x:c>
      <x:c r="H256" s="166" t="str">
        <x:v>residual; requer revisão manual</x:v>
      </x:c>
      <x:c r="I256" s="166" t="str">
        <x:v>Baixa</x:v>
      </x:c>
      <x:c r="J256" s="166" t="str">
        <x:v>Sim — alta</x:v>
      </x:c>
    </x:row>
    <x:row r="257">
      <x:c r="A257" s="166" t="str">
        <x:v>Gestor</x:v>
      </x:c>
      <x:c r="B257" s="166" t="str">
        <x:v>Leste Credit Gestão de Recursos LTDA.</x:v>
      </x:c>
      <x:c r="C257" s="169" t="n">
        <x:v>0.3015954792800001</x:v>
      </x:c>
      <x:c r="D257" s="166" t="str">
        <x:v>Leste Credit Gestão de Recursos LTDA.</x:v>
      </x:c>
      <x:c r="E257" s="185" t="str">
        <x:v>Leste Credit Gestão de Recursos LTDA.</x:v>
      </x:c>
      <x:c r="F257" s="166" t="str">
        <x:v>Independente</x:v>
      </x:c>
      <x:c r="G257" s="185" t="str">
        <x:v>Independente</x:v>
      </x:c>
      <x:c r="H257" s="166" t="str">
        <x:v>residual; requer revisão manual</x:v>
      </x:c>
      <x:c r="I257" s="166" t="str">
        <x:v>Baixa</x:v>
      </x:c>
      <x:c r="J257" s="166" t="str">
        <x:v>Sim — alta</x:v>
      </x:c>
    </x:row>
    <x:row r="258">
      <x:c r="A258" s="166" t="str">
        <x:v>Gestor</x:v>
      </x:c>
      <x:c r="B258" s="166" t="str">
        <x:v>FigTree Capital</x:v>
      </x:c>
      <x:c r="C258" s="169" t="n">
        <x:v>0.28744952670999996</x:v>
      </x:c>
      <x:c r="D258" s="166" t="str">
        <x:v>FigTree Capital</x:v>
      </x:c>
      <x:c r="E258" s="185" t="str">
        <x:v>FigTree Capital</x:v>
      </x:c>
      <x:c r="F258" s="166" t="str">
        <x:v>Independente</x:v>
      </x:c>
      <x:c r="G258" s="185" t="str">
        <x:v>Independente</x:v>
      </x:c>
      <x:c r="H258" s="166" t="str">
        <x:v>residual; requer revisão manual</x:v>
      </x:c>
      <x:c r="I258" s="166" t="str">
        <x:v>Baixa</x:v>
      </x:c>
      <x:c r="J258" s="166" t="str">
        <x:v>Sim — alta</x:v>
      </x:c>
    </x:row>
    <x:row r="259">
      <x:c r="A259" s="166" t="str">
        <x:v>Gestor</x:v>
      </x:c>
      <x:c r="B259" s="166" t="str">
        <x:v>Prisma Capital Ltda.</x:v>
      </x:c>
      <x:c r="C259" s="169" t="n">
        <x:v>0.28645128019</x:v>
      </x:c>
      <x:c r="D259" s="166" t="str">
        <x:v>Prisma Capital Ltda.</x:v>
      </x:c>
      <x:c r="E259" s="185" t="str">
        <x:v>Prisma Capital Ltda.</x:v>
      </x:c>
      <x:c r="F259" s="166" t="str">
        <x:v>Independente</x:v>
      </x:c>
      <x:c r="G259" s="185" t="str">
        <x:v>Independente</x:v>
      </x:c>
      <x:c r="H259" s="166" t="str">
        <x:v>residual; requer revisão manual</x:v>
      </x:c>
      <x:c r="I259" s="166" t="str">
        <x:v>Baixa</x:v>
      </x:c>
      <x:c r="J259" s="166" t="str">
        <x:v>Sim — alta</x:v>
      </x:c>
    </x:row>
    <x:row r="260">
      <x:c r="A260" s="166" t="str">
        <x:v>Gestor</x:v>
      </x:c>
      <x:c r="B260" s="166" t="str">
        <x:v>CERES ASSET</x:v>
      </x:c>
      <x:c r="C260" s="169" t="n">
        <x:v>0.2860515215500001</x:v>
      </x:c>
      <x:c r="D260" s="166" t="str">
        <x:v>CERES ASSET</x:v>
      </x:c>
      <x:c r="E260" s="185" t="str">
        <x:v>CERES ASSET</x:v>
      </x:c>
      <x:c r="F260" s="166" t="str">
        <x:v>Independente</x:v>
      </x:c>
      <x:c r="G260" s="185" t="str">
        <x:v>Independente</x:v>
      </x:c>
      <x:c r="H260" s="166" t="str">
        <x:v>residual; requer revisão manual</x:v>
      </x:c>
      <x:c r="I260" s="166" t="str">
        <x:v>Baixa</x:v>
      </x:c>
      <x:c r="J260" s="166" t="str">
        <x:v>Sim — alta</x:v>
      </x:c>
    </x:row>
    <x:row r="261">
      <x:c r="A261" s="166" t="str">
        <x:v>Gestor</x:v>
      </x:c>
      <x:c r="B261" s="166" t="str">
        <x:v>Régia Capital Ltda</x:v>
      </x:c>
      <x:c r="C261" s="169" t="n">
        <x:v>0.27929602073000004</x:v>
      </x:c>
      <x:c r="D261" s="166" t="str">
        <x:v>Régia Capital Ltda</x:v>
      </x:c>
      <x:c r="E261" s="185" t="str">
        <x:v>Régia Capital Ltda</x:v>
      </x:c>
      <x:c r="F261" s="166" t="str">
        <x:v>Independente</x:v>
      </x:c>
      <x:c r="G261" s="185" t="str">
        <x:v>Independente</x:v>
      </x:c>
      <x:c r="H261" s="166" t="str">
        <x:v>residual; requer revisão manual</x:v>
      </x:c>
      <x:c r="I261" s="166" t="str">
        <x:v>Baixa</x:v>
      </x:c>
      <x:c r="J261" s="166" t="str">
        <x:v>Sim — alta</x:v>
      </x:c>
    </x:row>
    <x:row r="262">
      <x:c r="A262" s="166" t="str">
        <x:v>Gestor</x:v>
      </x:c>
      <x:c r="B262" s="166" t="str">
        <x:v>QLZ WM GESTAO DE PATRIMONIOS LTDA</x:v>
      </x:c>
      <x:c r="C262" s="169" t="n">
        <x:v>0.27684303976999997</x:v>
      </x:c>
      <x:c r="D262" s="166" t="str">
        <x:v>QLZ WM GESTAO DE PATRIMONIOS LTDA</x:v>
      </x:c>
      <x:c r="E262" s="185" t="str">
        <x:v>QLZ WM GESTAO DE PATRIMONIOS LTDA</x:v>
      </x:c>
      <x:c r="F262" s="166" t="str">
        <x:v>Independente</x:v>
      </x:c>
      <x:c r="G262" s="185" t="str">
        <x:v>Independente</x:v>
      </x:c>
      <x:c r="H262" s="166" t="str">
        <x:v>residual; requer revisão manual</x:v>
      </x:c>
      <x:c r="I262" s="166" t="str">
        <x:v>Baixa</x:v>
      </x:c>
      <x:c r="J262" s="166" t="str">
        <x:v>Sim — alta</x:v>
      </x:c>
    </x:row>
    <x:row r="263">
      <x:c r="A263" s="166" t="str">
        <x:v>Gestor</x:v>
      </x:c>
      <x:c r="B263" s="166" t="str">
        <x:v>MAKALU</x:v>
      </x:c>
      <x:c r="C263" s="169" t="n">
        <x:v>0.26759635626</x:v>
      </x:c>
      <x:c r="D263" s="166" t="str">
        <x:v>MAKALU</x:v>
      </x:c>
      <x:c r="E263" s="185" t="str">
        <x:v>MAKALU</x:v>
      </x:c>
      <x:c r="F263" s="166" t="str">
        <x:v>Independente</x:v>
      </x:c>
      <x:c r="G263" s="185" t="str">
        <x:v>Independente</x:v>
      </x:c>
      <x:c r="H263" s="166" t="str">
        <x:v>residual; requer revisão manual</x:v>
      </x:c>
      <x:c r="I263" s="166" t="str">
        <x:v>Baixa</x:v>
      </x:c>
      <x:c r="J263" s="166" t="str">
        <x:v>Sim — alta</x:v>
      </x:c>
    </x:row>
    <x:row r="264">
      <x:c r="A264" s="166" t="str">
        <x:v>Gestor</x:v>
      </x:c>
      <x:c r="B264" s="166" t="str">
        <x:v>BLP CAPITAL</x:v>
      </x:c>
      <x:c r="C264" s="169" t="n">
        <x:v>0.26704696474</x:v>
      </x:c>
      <x:c r="D264" s="166" t="str">
        <x:v>BLP CAPITAL</x:v>
      </x:c>
      <x:c r="E264" s="185" t="str">
        <x:v>BLP CAPITAL</x:v>
      </x:c>
      <x:c r="F264" s="166" t="str">
        <x:v>Independente</x:v>
      </x:c>
      <x:c r="G264" s="185" t="str">
        <x:v>Independente</x:v>
      </x:c>
      <x:c r="H264" s="166" t="str">
        <x:v>residual; requer revisão manual</x:v>
      </x:c>
      <x:c r="I264" s="166" t="str">
        <x:v>Baixa</x:v>
      </x:c>
      <x:c r="J264" s="166" t="str">
        <x:v>Sim — alta</x:v>
      </x:c>
    </x:row>
    <x:row r="265">
      <x:c r="A265" s="166" t="str">
        <x:v>Gestor</x:v>
      </x:c>
      <x:c r="B265" s="166" t="str">
        <x:v>VM Consultoria Empresarial Ltd</x:v>
      </x:c>
      <x:c r="C265" s="169" t="n">
        <x:v>0.26509438915</x:v>
      </x:c>
      <x:c r="D265" s="166" t="str">
        <x:v>VM Consultoria Empresarial Ltd</x:v>
      </x:c>
      <x:c r="E265" s="185" t="str">
        <x:v>VM Consultoria Empresarial Ltd</x:v>
      </x:c>
      <x:c r="F265" s="166" t="str">
        <x:v>Independente</x:v>
      </x:c>
      <x:c r="G265" s="185" t="str">
        <x:v>Independente</x:v>
      </x:c>
      <x:c r="H265" s="166" t="str">
        <x:v>residual; requer revisão manual</x:v>
      </x:c>
      <x:c r="I265" s="166" t="str">
        <x:v>Baixa</x:v>
      </x:c>
      <x:c r="J265" s="166" t="str">
        <x:v>Sim — alta</x:v>
      </x:c>
    </x:row>
    <x:row r="266">
      <x:c r="A266" s="166" t="str">
        <x:v>Gestor</x:v>
      </x:c>
      <x:c r="B266" s="166" t="str">
        <x:v>LEGEND LEGAL ASSETS GESTAO DE RECURSOS LTDA</x:v>
      </x:c>
      <x:c r="C266" s="169" t="n">
        <x:v>0.26283232929</x:v>
      </x:c>
      <x:c r="D266" s="166" t="str">
        <x:v>LEGEND LEGAL ASSETS GESTAO DE RECURSOS LTDA</x:v>
      </x:c>
      <x:c r="E266" s="185" t="str">
        <x:v>LEGEND LEGAL ASSETS GESTAO DE RECURSOS LTDA</x:v>
      </x:c>
      <x:c r="F266" s="166" t="str">
        <x:v>Independente</x:v>
      </x:c>
      <x:c r="G266" s="185" t="str">
        <x:v>Independente</x:v>
      </x:c>
      <x:c r="H266" s="166" t="str">
        <x:v>residual; requer revisão manual</x:v>
      </x:c>
      <x:c r="I266" s="166" t="str">
        <x:v>Baixa</x:v>
      </x:c>
      <x:c r="J266" s="166" t="str">
        <x:v>Sim — alta</x:v>
      </x:c>
    </x:row>
    <x:row r="267">
      <x:c r="A267" s="166" t="str">
        <x:v>Gestor</x:v>
      </x:c>
      <x:c r="B267" s="166" t="str">
        <x:v>Leen Capital</x:v>
      </x:c>
      <x:c r="C267" s="169" t="n">
        <x:v>0.25940094194999996</x:v>
      </x:c>
      <x:c r="D267" s="166" t="str">
        <x:v>Leen Capital</x:v>
      </x:c>
      <x:c r="E267" s="185" t="str">
        <x:v>Leen Capital</x:v>
      </x:c>
      <x:c r="F267" s="166" t="str">
        <x:v>Independente</x:v>
      </x:c>
      <x:c r="G267" s="185" t="str">
        <x:v>Independente</x:v>
      </x:c>
      <x:c r="H267" s="166" t="str">
        <x:v>residual; requer revisão manual</x:v>
      </x:c>
      <x:c r="I267" s="166" t="str">
        <x:v>Baixa</x:v>
      </x:c>
      <x:c r="J267" s="166" t="str">
        <x:v>Sim — alta</x:v>
      </x:c>
    </x:row>
    <x:row r="268">
      <x:c r="A268" s="166" t="str">
        <x:v>Gestor</x:v>
      </x:c>
      <x:c r="B268" s="166" t="str">
        <x:v>MEL GESTORA DE RECURSOS S.A.</x:v>
      </x:c>
      <x:c r="C268" s="169" t="n">
        <x:v>0.25898576709000004</x:v>
      </x:c>
      <x:c r="D268" s="166" t="str">
        <x:v>MEL GESTORA DE RECURSOS S.A.</x:v>
      </x:c>
      <x:c r="E268" s="185" t="str">
        <x:v>MEL GESTORA DE RECURSOS S.A.</x:v>
      </x:c>
      <x:c r="F268" s="166" t="str">
        <x:v>Independente</x:v>
      </x:c>
      <x:c r="G268" s="185" t="str">
        <x:v>Independente</x:v>
      </x:c>
      <x:c r="H268" s="166" t="str">
        <x:v>residual; requer revisão manual</x:v>
      </x:c>
      <x:c r="I268" s="166" t="str">
        <x:v>Baixa</x:v>
      </x:c>
      <x:c r="J268" s="166" t="str">
        <x:v>Sim — alta</x:v>
      </x:c>
    </x:row>
    <x:row r="269">
      <x:c r="A269" s="166" t="str">
        <x:v>Gestor</x:v>
      </x:c>
      <x:c r="B269" s="166" t="str">
        <x:v>Fact Investments Gestão de Re</x:v>
      </x:c>
      <x:c r="C269" s="169" t="n">
        <x:v>0.25766245691</x:v>
      </x:c>
      <x:c r="D269" s="166" t="str">
        <x:v>Fact Investments Gestão de Re</x:v>
      </x:c>
      <x:c r="E269" s="185" t="str">
        <x:v>Fact Investments Gestão de Re</x:v>
      </x:c>
      <x:c r="F269" s="166" t="str">
        <x:v>Independente</x:v>
      </x:c>
      <x:c r="G269" s="185" t="str">
        <x:v>Independente</x:v>
      </x:c>
      <x:c r="H269" s="166" t="str">
        <x:v>residual; requer revisão manual</x:v>
      </x:c>
      <x:c r="I269" s="166" t="str">
        <x:v>Baixa</x:v>
      </x:c>
      <x:c r="J269" s="166" t="str">
        <x:v>Sim — alta</x:v>
      </x:c>
    </x:row>
    <x:row r="270">
      <x:c r="A270" s="166" t="str">
        <x:v>Gestor</x:v>
      </x:c>
      <x:c r="B270" s="166" t="str">
        <x:v>Siguler Guff Gestora de Investimentos (Asset Management</x:v>
      </x:c>
      <x:c r="C270" s="169" t="n">
        <x:v>0.25712256775000003</x:v>
      </x:c>
      <x:c r="D270" s="166" t="str">
        <x:v>Siguler Guff Gestora de Investimentos (Asset Management</x:v>
      </x:c>
      <x:c r="E270" s="185" t="str">
        <x:v>Siguler Guff Gestora de Investimentos (Asset Management</x:v>
      </x:c>
      <x:c r="F270" s="166" t="str">
        <x:v>Independente</x:v>
      </x:c>
      <x:c r="G270" s="185" t="str">
        <x:v>Independente</x:v>
      </x:c>
      <x:c r="H270" s="166" t="str">
        <x:v>residual; requer revisão manual</x:v>
      </x:c>
      <x:c r="I270" s="166" t="str">
        <x:v>Baixa</x:v>
      </x:c>
      <x:c r="J270" s="166" t="str">
        <x:v>Sim — alta</x:v>
      </x:c>
    </x:row>
    <x:row r="271">
      <x:c r="A271" s="166" t="str">
        <x:v>Gestor</x:v>
      </x:c>
      <x:c r="B271" s="166" t="str">
        <x:v>BLUEWAVE ASSET LTDA</x:v>
      </x:c>
      <x:c r="C271" s="169" t="n">
        <x:v>0.25428888177</x:v>
      </x:c>
      <x:c r="D271" s="166" t="str">
        <x:v>BLUEWAVE ASSET LTDA</x:v>
      </x:c>
      <x:c r="E271" s="185" t="str">
        <x:v>BLUEWAVE ASSET LTDA</x:v>
      </x:c>
      <x:c r="F271" s="166" t="str">
        <x:v>Independente</x:v>
      </x:c>
      <x:c r="G271" s="185" t="str">
        <x:v>Independente</x:v>
      </x:c>
      <x:c r="H271" s="166" t="str">
        <x:v>residual; requer revisão manual</x:v>
      </x:c>
      <x:c r="I271" s="166" t="str">
        <x:v>Baixa</x:v>
      </x:c>
      <x:c r="J271" s="166" t="str">
        <x:v>Sim — alta</x:v>
      </x:c>
    </x:row>
    <x:row r="272">
      <x:c r="A272" s="166" t="str">
        <x:v>Gestor</x:v>
      </x:c>
      <x:c r="B272" s="166" t="str">
        <x:v>Caixa Distribuidora de Títulos e Valores Mobiliários S.A.</x:v>
      </x:c>
      <x:c r="C272" s="169" t="n">
        <x:v>0.24728490290000002</x:v>
      </x:c>
      <x:c r="D272" s="166" t="str">
        <x:v>Caixa Econômica Federal</x:v>
      </x:c>
      <x:c r="E272" s="185" t="str">
        <x:v>Caixa Econômica Federal</x:v>
      </x:c>
      <x:c r="F272" s="166" t="str">
        <x:v>Ligada a banco</x:v>
      </x:c>
      <x:c r="G272" s="185" t="str">
        <x:v>Ligada a banco</x:v>
      </x:c>
      <x:c r="H272" s="166" t="str">
        <x:v>contém 'CAIXA DISTRIBUIDORA'</x:v>
      </x:c>
      <x:c r="I272" s="166" t="str">
        <x:v>Alta</x:v>
      </x:c>
      <x:c r="J272" s="166" t="str">
        <x:v>Confirmar</x:v>
      </x:c>
    </x:row>
    <x:row r="273">
      <x:c r="A273" s="166" t="str">
        <x:v>Gestor</x:v>
      </x:c>
      <x:c r="B273" s="166" t="str">
        <x:v>EAGLE CAPITAL</x:v>
      </x:c>
      <x:c r="C273" s="169" t="n">
        <x:v>0.23806920898</x:v>
      </x:c>
      <x:c r="D273" s="166" t="str">
        <x:v>EAGLE CAPITAL</x:v>
      </x:c>
      <x:c r="E273" s="185" t="str">
        <x:v>EAGLE CAPITAL</x:v>
      </x:c>
      <x:c r="F273" s="166" t="str">
        <x:v>Independente</x:v>
      </x:c>
      <x:c r="G273" s="185" t="str">
        <x:v>Independente</x:v>
      </x:c>
      <x:c r="H273" s="166" t="str">
        <x:v>residual; requer revisão manual</x:v>
      </x:c>
      <x:c r="I273" s="166" t="str">
        <x:v>Baixa</x:v>
      </x:c>
      <x:c r="J273" s="166" t="str">
        <x:v>Sim — alta</x:v>
      </x:c>
    </x:row>
    <x:row r="274">
      <x:c r="A274" s="166" t="str">
        <x:v>Gestor</x:v>
      </x:c>
      <x:c r="B274" s="166" t="str">
        <x:v>SIGA GESTORA DE RECURSOS LTDA</x:v>
      </x:c>
      <x:c r="C274" s="169" t="n">
        <x:v>0.23491390969999998</x:v>
      </x:c>
      <x:c r="D274" s="166" t="str">
        <x:v>SIGA GESTORA DE RECURSOS LTDA</x:v>
      </x:c>
      <x:c r="E274" s="185" t="str">
        <x:v>SIGA GESTORA DE RECURSOS LTDA</x:v>
      </x:c>
      <x:c r="F274" s="166" t="str">
        <x:v>Independente</x:v>
      </x:c>
      <x:c r="G274" s="185" t="str">
        <x:v>Independente</x:v>
      </x:c>
      <x:c r="H274" s="166" t="str">
        <x:v>residual; requer revisão manual</x:v>
      </x:c>
      <x:c r="I274" s="166" t="str">
        <x:v>Baixa</x:v>
      </x:c>
      <x:c r="J274" s="166" t="str">
        <x:v>Sim — alta</x:v>
      </x:c>
    </x:row>
    <x:row r="275">
      <x:c r="A275" s="166" t="str">
        <x:v>Gestor</x:v>
      </x:c>
      <x:c r="B275" s="166" t="str">
        <x:v>Sabrina Ribeiro Molina</x:v>
      </x:c>
      <x:c r="C275" s="169" t="n">
        <x:v>0.21708259515999997</x:v>
      </x:c>
      <x:c r="D275" s="166" t="str">
        <x:v>Sabrina Ribeiro Molina</x:v>
      </x:c>
      <x:c r="E275" s="185" t="str">
        <x:v>Sabrina Ribeiro Molina</x:v>
      </x:c>
      <x:c r="F275" s="166" t="str">
        <x:v>Independente</x:v>
      </x:c>
      <x:c r="G275" s="185" t="str">
        <x:v>Independente</x:v>
      </x:c>
      <x:c r="H275" s="166" t="str">
        <x:v>residual; requer revisão manual</x:v>
      </x:c>
      <x:c r="I275" s="166" t="str">
        <x:v>Baixa</x:v>
      </x:c>
      <x:c r="J275" s="166" t="str">
        <x:v>Sim — alta</x:v>
      </x:c>
    </x:row>
    <x:row r="276">
      <x:c r="A276" s="166" t="str">
        <x:v>Gestor</x:v>
      </x:c>
      <x:c r="B276" s="166" t="str">
        <x:v>VESTRA CAPITAL</x:v>
      </x:c>
      <x:c r="C276" s="169" t="n">
        <x:v>0.21042812413999998</x:v>
      </x:c>
      <x:c r="D276" s="166" t="str">
        <x:v>VESTRA CAPITAL</x:v>
      </x:c>
      <x:c r="E276" s="185" t="str">
        <x:v>VESTRA CAPITAL</x:v>
      </x:c>
      <x:c r="F276" s="166" t="str">
        <x:v>Independente</x:v>
      </x:c>
      <x:c r="G276" s="185" t="str">
        <x:v>Independente</x:v>
      </x:c>
      <x:c r="H276" s="166" t="str">
        <x:v>residual; requer revisão manual</x:v>
      </x:c>
      <x:c r="I276" s="166" t="str">
        <x:v>Baixa</x:v>
      </x:c>
      <x:c r="J276" s="166" t="str">
        <x:v>Sim — alta</x:v>
      </x:c>
    </x:row>
    <x:row r="277">
      <x:c r="A277" s="166" t="str">
        <x:v>Gestor</x:v>
      </x:c>
      <x:c r="B277" s="166" t="str">
        <x:v>Terra Asset Management</x:v>
      </x:c>
      <x:c r="C277" s="169" t="n">
        <x:v>0.20752209565000002</x:v>
      </x:c>
      <x:c r="D277" s="166" t="str">
        <x:v>Terra Asset Management</x:v>
      </x:c>
      <x:c r="E277" s="185" t="str">
        <x:v>Terra Asset Management</x:v>
      </x:c>
      <x:c r="F277" s="166" t="str">
        <x:v>Independente</x:v>
      </x:c>
      <x:c r="G277" s="185" t="str">
        <x:v>Independente</x:v>
      </x:c>
      <x:c r="H277" s="166" t="str">
        <x:v>residual; requer revisão manual</x:v>
      </x:c>
      <x:c r="I277" s="166" t="str">
        <x:v>Baixa</x:v>
      </x:c>
      <x:c r="J277" s="166" t="str">
        <x:v>Sim — alta</x:v>
      </x:c>
    </x:row>
    <x:row r="278">
      <x:c r="A278" s="166" t="str">
        <x:v>Gestor</x:v>
      </x:c>
      <x:c r="B278" s="166" t="str">
        <x:v>PATAGÔNIA CAPITAL</x:v>
      </x:c>
      <x:c r="C278" s="169" t="n">
        <x:v>0.19926179202999997</x:v>
      </x:c>
      <x:c r="D278" s="166" t="str">
        <x:v>PATAGÔNIA CAPITAL</x:v>
      </x:c>
      <x:c r="E278" s="185" t="str">
        <x:v>PATAGÔNIA CAPITAL</x:v>
      </x:c>
      <x:c r="F278" s="166" t="str">
        <x:v>Independente</x:v>
      </x:c>
      <x:c r="G278" s="185" t="str">
        <x:v>Independente</x:v>
      </x:c>
      <x:c r="H278" s="166" t="str">
        <x:v>residual; requer revisão manual</x:v>
      </x:c>
      <x:c r="I278" s="166" t="str">
        <x:v>Baixa</x:v>
      </x:c>
      <x:c r="J278" s="166" t="str">
        <x:v>Sim — alta</x:v>
      </x:c>
    </x:row>
    <x:row r="279">
      <x:c r="A279" s="166" t="str">
        <x:v>Gestor</x:v>
      </x:c>
      <x:c r="B279" s="166" t="str">
        <x:v>Renta Gestão de Recursos LTDA.</x:v>
      </x:c>
      <x:c r="C279" s="169" t="n">
        <x:v>0.19844323295</x:v>
      </x:c>
      <x:c r="D279" s="166" t="str">
        <x:v>Renta Gestão de Recursos LTDA.</x:v>
      </x:c>
      <x:c r="E279" s="185" t="str">
        <x:v>Renta Gestão de Recursos LTDA.</x:v>
      </x:c>
      <x:c r="F279" s="166" t="str">
        <x:v>Independente</x:v>
      </x:c>
      <x:c r="G279" s="185" t="str">
        <x:v>Independente</x:v>
      </x:c>
      <x:c r="H279" s="166" t="str">
        <x:v>residual; requer revisão manual</x:v>
      </x:c>
      <x:c r="I279" s="166" t="str">
        <x:v>Baixa</x:v>
      </x:c>
      <x:c r="J279" s="166" t="str">
        <x:v>Sim — alta</x:v>
      </x:c>
    </x:row>
    <x:row r="280">
      <x:c r="A280" s="166" t="str">
        <x:v>Gestor</x:v>
      </x:c>
      <x:c r="B280" s="166" t="str">
        <x:v>B.Side Wealth</x:v>
      </x:c>
      <x:c r="C280" s="169" t="n">
        <x:v>0.19794373588000005</x:v>
      </x:c>
      <x:c r="D280" s="166" t="str">
        <x:v>B.Side Wealth</x:v>
      </x:c>
      <x:c r="E280" s="185" t="str">
        <x:v>B.Side Wealth</x:v>
      </x:c>
      <x:c r="F280" s="166" t="str">
        <x:v>Independente</x:v>
      </x:c>
      <x:c r="G280" s="185" t="str">
        <x:v>Independente</x:v>
      </x:c>
      <x:c r="H280" s="166" t="str">
        <x:v>residual; requer revisão manual</x:v>
      </x:c>
      <x:c r="I280" s="166" t="str">
        <x:v>Baixa</x:v>
      </x:c>
      <x:c r="J280" s="166" t="str">
        <x:v>Sim — alta</x:v>
      </x:c>
    </x:row>
    <x:row r="281">
      <x:c r="A281" s="166" t="str">
        <x:v>Gestor</x:v>
      </x:c>
      <x:c r="B281" s="166" t="str">
        <x:v>FICTOR ASSET</x:v>
      </x:c>
      <x:c r="C281" s="169" t="n">
        <x:v>0.19235499354</x:v>
      </x:c>
      <x:c r="D281" s="166" t="str">
        <x:v>FICTOR ASSET</x:v>
      </x:c>
      <x:c r="E281" s="185" t="str">
        <x:v>FICTOR ASSET</x:v>
      </x:c>
      <x:c r="F281" s="166" t="str">
        <x:v>Independente</x:v>
      </x:c>
      <x:c r="G281" s="185" t="str">
        <x:v>Independente</x:v>
      </x:c>
      <x:c r="H281" s="166" t="str">
        <x:v>residual; requer revisão manual</x:v>
      </x:c>
      <x:c r="I281" s="166" t="str">
        <x:v>Baixa</x:v>
      </x:c>
      <x:c r="J281" s="166" t="str">
        <x:v>Sim — alta</x:v>
      </x:c>
    </x:row>
    <x:row r="282">
      <x:c r="A282" s="166" t="str">
        <x:v>Gestor</x:v>
      </x:c>
      <x:c r="B282" s="166" t="str">
        <x:v>Fibra Asset</x:v>
      </x:c>
      <x:c r="C282" s="169" t="n">
        <x:v>0.18850550452</x:v>
      </x:c>
      <x:c r="D282" s="166" t="str">
        <x:v>Fibra Asset</x:v>
      </x:c>
      <x:c r="E282" s="185" t="str">
        <x:v>Fibra Asset</x:v>
      </x:c>
      <x:c r="F282" s="166" t="str">
        <x:v>Independente</x:v>
      </x:c>
      <x:c r="G282" s="185" t="str">
        <x:v>Independente</x:v>
      </x:c>
      <x:c r="H282" s="166" t="str">
        <x:v>residual; requer revisão manual</x:v>
      </x:c>
      <x:c r="I282" s="166" t="str">
        <x:v>Baixa</x:v>
      </x:c>
      <x:c r="J282" s="166" t="str">
        <x:v>Sim — alta</x:v>
      </x:c>
    </x:row>
    <x:row r="283">
      <x:c r="A283" s="166" t="str">
        <x:v>Gestor</x:v>
      </x:c>
      <x:c r="B283" s="166" t="str">
        <x:v>URCA CAPITAL PARTNERS</x:v>
      </x:c>
      <x:c r="C283" s="169" t="n">
        <x:v>0.18787349831</x:v>
      </x:c>
      <x:c r="D283" s="166" t="str">
        <x:v>URCA CAPITAL PARTNERS</x:v>
      </x:c>
      <x:c r="E283" s="185" t="str">
        <x:v>URCA CAPITAL PARTNERS</x:v>
      </x:c>
      <x:c r="F283" s="166" t="str">
        <x:v>Independente</x:v>
      </x:c>
      <x:c r="G283" s="185" t="str">
        <x:v>Independente</x:v>
      </x:c>
      <x:c r="H283" s="166" t="str">
        <x:v>residual; requer revisão manual</x:v>
      </x:c>
      <x:c r="I283" s="166" t="str">
        <x:v>Baixa</x:v>
      </x:c>
      <x:c r="J283" s="166" t="str">
        <x:v>Sim — alta</x:v>
      </x:c>
    </x:row>
    <x:row r="284">
      <x:c r="A284" s="166" t="str">
        <x:v>Gestor</x:v>
      </x:c>
      <x:c r="B284" s="166" t="str">
        <x:v>EXA CAPITAL ASSET</x:v>
      </x:c>
      <x:c r="C284" s="169" t="n">
        <x:v>0.18669702704</x:v>
      </x:c>
      <x:c r="D284" s="166" t="str">
        <x:v>EXA CAPITAL ASSET</x:v>
      </x:c>
      <x:c r="E284" s="185" t="str">
        <x:v>EXA CAPITAL ASSET</x:v>
      </x:c>
      <x:c r="F284" s="166" t="str">
        <x:v>Independente</x:v>
      </x:c>
      <x:c r="G284" s="185" t="str">
        <x:v>Independente</x:v>
      </x:c>
      <x:c r="H284" s="166" t="str">
        <x:v>residual; requer revisão manual</x:v>
      </x:c>
      <x:c r="I284" s="166" t="str">
        <x:v>Baixa</x:v>
      </x:c>
      <x:c r="J284" s="166" t="str">
        <x:v>Sim — alta</x:v>
      </x:c>
    </x:row>
    <x:row r="285">
      <x:c r="A285" s="166" t="str">
        <x:v>Gestor</x:v>
      </x:c>
      <x:c r="B285" s="166" t="str">
        <x:v>VÓRTX DTVM</x:v>
      </x:c>
      <x:c r="C285" s="169" t="n">
        <x:v>0.18324495411000002</x:v>
      </x:c>
      <x:c r="D285" s="166" t="str">
        <x:v>VÓRTX DTVM</x:v>
      </x:c>
      <x:c r="E285" s="185" t="str">
        <x:v>VÓRTX DTVM</x:v>
      </x:c>
      <x:c r="F285" s="166" t="str">
        <x:v>Independente</x:v>
      </x:c>
      <x:c r="G285" s="185" t="str">
        <x:v>Independente</x:v>
      </x:c>
      <x:c r="H285" s="166" t="str">
        <x:v>residual; requer revisão manual</x:v>
      </x:c>
      <x:c r="I285" s="166" t="str">
        <x:v>Baixa</x:v>
      </x:c>
      <x:c r="J285" s="166" t="str">
        <x:v>Sim — alta</x:v>
      </x:c>
    </x:row>
    <x:row r="286">
      <x:c r="A286" s="166" t="str">
        <x:v>Gestor</x:v>
      </x:c>
      <x:c r="B286" s="166" t="str">
        <x:v>SH Asset</x:v>
      </x:c>
      <x:c r="C286" s="169" t="n">
        <x:v>0.18099597309999998</x:v>
      </x:c>
      <x:c r="D286" s="166" t="str">
        <x:v>SH Asset</x:v>
      </x:c>
      <x:c r="E286" s="185" t="str">
        <x:v>SH Asset</x:v>
      </x:c>
      <x:c r="F286" s="166" t="str">
        <x:v>Independente</x:v>
      </x:c>
      <x:c r="G286" s="185" t="str">
        <x:v>Independente</x:v>
      </x:c>
      <x:c r="H286" s="166" t="str">
        <x:v>residual; requer revisão manual</x:v>
      </x:c>
      <x:c r="I286" s="166" t="str">
        <x:v>Baixa</x:v>
      </x:c>
      <x:c r="J286" s="166" t="str">
        <x:v>Sim — alta</x:v>
      </x:c>
    </x:row>
    <x:row r="287">
      <x:c r="A287" s="166" t="str">
        <x:v>Gestor</x:v>
      </x:c>
      <x:c r="B287" s="166" t="str">
        <x:v>DIRETA Capital</x:v>
      </x:c>
      <x:c r="C287" s="169" t="n">
        <x:v>0.17715717965</x:v>
      </x:c>
      <x:c r="D287" s="166" t="str">
        <x:v>DIRETA Capital</x:v>
      </x:c>
      <x:c r="E287" s="185" t="str">
        <x:v>DIRETA Capital</x:v>
      </x:c>
      <x:c r="F287" s="166" t="str">
        <x:v>Independente</x:v>
      </x:c>
      <x:c r="G287" s="185" t="str">
        <x:v>Independente</x:v>
      </x:c>
      <x:c r="H287" s="166" t="str">
        <x:v>residual; requer revisão manual</x:v>
      </x:c>
      <x:c r="I287" s="166" t="str">
        <x:v>Baixa</x:v>
      </x:c>
      <x:c r="J287" s="166" t="str">
        <x:v>Sim — alta</x:v>
      </x:c>
    </x:row>
    <x:row r="288">
      <x:c r="A288" s="166" t="str">
        <x:v>Gestor</x:v>
      </x:c>
      <x:c r="B288" s="166" t="str">
        <x:v>GRAPHEN INVESTIMENTOS</x:v>
      </x:c>
      <x:c r="C288" s="169" t="n">
        <x:v>0.17344357945999997</x:v>
      </x:c>
      <x:c r="D288" s="166" t="str">
        <x:v>GRAPHEN INVESTIMENTOS</x:v>
      </x:c>
      <x:c r="E288" s="185" t="str">
        <x:v>GRAPHEN INVESTIMENTOS</x:v>
      </x:c>
      <x:c r="F288" s="166" t="str">
        <x:v>Independente</x:v>
      </x:c>
      <x:c r="G288" s="185" t="str">
        <x:v>Independente</x:v>
      </x:c>
      <x:c r="H288" s="166" t="str">
        <x:v>residual; requer revisão manual</x:v>
      </x:c>
      <x:c r="I288" s="166" t="str">
        <x:v>Baixa</x:v>
      </x:c>
      <x:c r="J288" s="166" t="str">
        <x:v>Sim — alta</x:v>
      </x:c>
    </x:row>
    <x:row r="289">
      <x:c r="A289" s="166" t="str">
        <x:v>Gestor</x:v>
      </x:c>
      <x:c r="B289" s="166" t="str">
        <x:v>GFS INVESTIMENTOS</x:v>
      </x:c>
      <x:c r="C289" s="169" t="n">
        <x:v>0.17116743655999997</x:v>
      </x:c>
      <x:c r="D289" s="166" t="str">
        <x:v>GFS INVESTIMENTOS</x:v>
      </x:c>
      <x:c r="E289" s="185" t="str">
        <x:v>GFS INVESTIMENTOS</x:v>
      </x:c>
      <x:c r="F289" s="166" t="str">
        <x:v>Independente</x:v>
      </x:c>
      <x:c r="G289" s="185" t="str">
        <x:v>Independente</x:v>
      </x:c>
      <x:c r="H289" s="166" t="str">
        <x:v>residual; requer revisão manual</x:v>
      </x:c>
      <x:c r="I289" s="166" t="str">
        <x:v>Baixa</x:v>
      </x:c>
      <x:c r="J289" s="166" t="str">
        <x:v>Sim — alta</x:v>
      </x:c>
    </x:row>
    <x:row r="290">
      <x:c r="A290" s="166" t="str">
        <x:v>Gestor</x:v>
      </x:c>
      <x:c r="B290" s="166" t="str">
        <x:v>Bocom BBM Corretora de Câmbio e Valores Mobiliários S.A</x:v>
      </x:c>
      <x:c r="C290" s="169" t="n">
        <x:v>0.16911278247</x:v>
      </x:c>
      <x:c r="D290" s="166" t="str">
        <x:v>Bocom BBM Corretora de Câmbio e Valores Mobiliários S.A</x:v>
      </x:c>
      <x:c r="E290" s="185" t="str">
        <x:v>Bocom BBM Corretora de Câmbio e Valores Mobiliários S.A</x:v>
      </x:c>
      <x:c r="F290" s="166" t="str">
        <x:v>Independente</x:v>
      </x:c>
      <x:c r="G290" s="185" t="str">
        <x:v>Independente</x:v>
      </x:c>
      <x:c r="H290" s="166" t="str">
        <x:v>residual; requer revisão manual</x:v>
      </x:c>
      <x:c r="I290" s="166" t="str">
        <x:v>Baixa</x:v>
      </x:c>
      <x:c r="J290" s="166" t="str">
        <x:v>Sim — alta</x:v>
      </x:c>
    </x:row>
    <x:row r="291">
      <x:c r="A291" s="166" t="str">
        <x:v>Gestor</x:v>
      </x:c>
      <x:c r="B291" s="166" t="str">
        <x:v>REAG LEGAL CLAIMS GESTÃO DE ATIVOS</x:v>
      </x:c>
      <x:c r="C291" s="169" t="n">
        <x:v>0.16906017013</x:v>
      </x:c>
      <x:c r="D291" s="166" t="str">
        <x:v>REAG</x:v>
      </x:c>
      <x:c r="E291" s="185" t="str">
        <x:v>REAG</x:v>
      </x:c>
      <x:c r="F291" s="166" t="str">
        <x:v>Independente</x:v>
      </x:c>
      <x:c r="G291" s="185" t="str">
        <x:v>Independente</x:v>
      </x:c>
      <x:c r="H291" s="166" t="str">
        <x:v>contém 'REAG '</x:v>
      </x:c>
      <x:c r="I291" s="166" t="str">
        <x:v>Alta</x:v>
      </x:c>
      <x:c r="J291" s="166" t="str">
        <x:v>Confirmar</x:v>
      </x:c>
    </x:row>
    <x:row r="292">
      <x:c r="A292" s="166" t="str">
        <x:v>Gestor</x:v>
      </x:c>
      <x:c r="B292" s="166" t="str">
        <x:v>STRATEGI CAPITAL ASSET MANAGEMENT</x:v>
      </x:c>
      <x:c r="C292" s="169" t="n">
        <x:v>0.16745500050999998</x:v>
      </x:c>
      <x:c r="D292" s="166" t="str">
        <x:v>STRATEGI CAPITAL ASSET MANAGEMENT</x:v>
      </x:c>
      <x:c r="E292" s="185" t="str">
        <x:v>STRATEGI CAPITAL ASSET MANAGEMENT</x:v>
      </x:c>
      <x:c r="F292" s="166" t="str">
        <x:v>Independente</x:v>
      </x:c>
      <x:c r="G292" s="185" t="str">
        <x:v>Independente</x:v>
      </x:c>
      <x:c r="H292" s="166" t="str">
        <x:v>residual; requer revisão manual</x:v>
      </x:c>
      <x:c r="I292" s="166" t="str">
        <x:v>Baixa</x:v>
      </x:c>
      <x:c r="J292" s="166" t="str">
        <x:v>Sim — alta</x:v>
      </x:c>
    </x:row>
    <x:row r="293">
      <x:c r="A293" s="166" t="str">
        <x:v>Gestor</x:v>
      </x:c>
      <x:c r="B293" s="166" t="str">
        <x:v>Polo Capital Gestão de Recurso</x:v>
      </x:c>
      <x:c r="C293" s="169" t="n">
        <x:v>0.16640109850999998</x:v>
      </x:c>
      <x:c r="D293" s="166" t="str">
        <x:v>Polo Capital Gestão de Recurso</x:v>
      </x:c>
      <x:c r="E293" s="185" t="str">
        <x:v>Polo Capital Gestão de Recurso</x:v>
      </x:c>
      <x:c r="F293" s="166" t="str">
        <x:v>Independente</x:v>
      </x:c>
      <x:c r="G293" s="185" t="str">
        <x:v>Independente</x:v>
      </x:c>
      <x:c r="H293" s="166" t="str">
        <x:v>residual; requer revisão manual</x:v>
      </x:c>
      <x:c r="I293" s="166" t="str">
        <x:v>Baixa</x:v>
      </x:c>
      <x:c r="J293" s="166" t="str">
        <x:v>Sim — alta</x:v>
      </x:c>
    </x:row>
    <x:row r="294">
      <x:c r="A294" s="166" t="str">
        <x:v>Gestor</x:v>
      </x:c>
      <x:c r="B294" s="166" t="str">
        <x:v>FAR - FATOR ADMINIST</x:v>
      </x:c>
      <x:c r="C294" s="169" t="n">
        <x:v>0.1662568709</x:v>
      </x:c>
      <x:c r="D294" s="166" t="str">
        <x:v>FAR - FATOR ADMINIST</x:v>
      </x:c>
      <x:c r="E294" s="185" t="str">
        <x:v>FAR - FATOR ADMINIST</x:v>
      </x:c>
      <x:c r="F294" s="166" t="str">
        <x:v>Independente</x:v>
      </x:c>
      <x:c r="G294" s="185" t="str">
        <x:v>Independente</x:v>
      </x:c>
      <x:c r="H294" s="166" t="str">
        <x:v>residual; requer revisão manual</x:v>
      </x:c>
      <x:c r="I294" s="166" t="str">
        <x:v>Baixa</x:v>
      </x:c>
      <x:c r="J294" s="166" t="str">
        <x:v>Sim — alta</x:v>
      </x:c>
    </x:row>
    <x:row r="295">
      <x:c r="A295" s="166" t="str">
        <x:v>Gestor</x:v>
      </x:c>
      <x:c r="B295" s="166" t="str">
        <x:v>AZUMI ASSET</x:v>
      </x:c>
      <x:c r="C295" s="169" t="n">
        <x:v>0.1634411295</x:v>
      </x:c>
      <x:c r="D295" s="166" t="str">
        <x:v>AZUMI ASSET</x:v>
      </x:c>
      <x:c r="E295" s="185" t="str">
        <x:v>AZUMI ASSET</x:v>
      </x:c>
      <x:c r="F295" s="166" t="str">
        <x:v>Independente</x:v>
      </x:c>
      <x:c r="G295" s="185" t="str">
        <x:v>Independente</x:v>
      </x:c>
      <x:c r="H295" s="166" t="str">
        <x:v>residual; requer revisão manual</x:v>
      </x:c>
      <x:c r="I295" s="166" t="str">
        <x:v>Baixa</x:v>
      </x:c>
      <x:c r="J295" s="166" t="str">
        <x:v>Sim — alta</x:v>
      </x:c>
    </x:row>
    <x:row r="296">
      <x:c r="A296" s="166" t="str">
        <x:v>Gestor</x:v>
      </x:c>
      <x:c r="B296" s="166" t="str">
        <x:v>Aventis Asset</x:v>
      </x:c>
      <x:c r="C296" s="169" t="n">
        <x:v>0.16209081273999998</x:v>
      </x:c>
      <x:c r="D296" s="166" t="str">
        <x:v>Aventis Asset</x:v>
      </x:c>
      <x:c r="E296" s="185" t="str">
        <x:v>Aventis Asset</x:v>
      </x:c>
      <x:c r="F296" s="166" t="str">
        <x:v>Independente</x:v>
      </x:c>
      <x:c r="G296" s="185" t="str">
        <x:v>Independente</x:v>
      </x:c>
      <x:c r="H296" s="166" t="str">
        <x:v>residual; requer revisão manual</x:v>
      </x:c>
      <x:c r="I296" s="166" t="str">
        <x:v>Baixa</x:v>
      </x:c>
      <x:c r="J296" s="166" t="str">
        <x:v>Sim — alta</x:v>
      </x:c>
    </x:row>
    <x:row r="297">
      <x:c r="A297" s="166" t="str">
        <x:v>Gestor</x:v>
      </x:c>
      <x:c r="B297" s="166" t="str">
        <x:v>VGR - VERONA GESTORA DE RECURSOS LTDA</x:v>
      </x:c>
      <x:c r="C297" s="169" t="n">
        <x:v>0.16143051979</x:v>
      </x:c>
      <x:c r="D297" s="166" t="str">
        <x:v>VGR - VERONA GESTORA DE RECURSOS LTDA</x:v>
      </x:c>
      <x:c r="E297" s="185" t="str">
        <x:v>VGR - VERONA GESTORA DE RECURSOS LTDA</x:v>
      </x:c>
      <x:c r="F297" s="166" t="str">
        <x:v>Independente</x:v>
      </x:c>
      <x:c r="G297" s="185" t="str">
        <x:v>Independente</x:v>
      </x:c>
      <x:c r="H297" s="166" t="str">
        <x:v>residual; requer revisão manual</x:v>
      </x:c>
      <x:c r="I297" s="166" t="str">
        <x:v>Baixa</x:v>
      </x:c>
      <x:c r="J297" s="166" t="str">
        <x:v>Sim — alta</x:v>
      </x:c>
    </x:row>
    <x:row r="298">
      <x:c r="A298" s="166" t="str">
        <x:v>Gestor</x:v>
      </x:c>
      <x:c r="B298" s="166" t="str">
        <x:v>Octante Capital</x:v>
      </x:c>
      <x:c r="C298" s="169" t="n">
        <x:v>0.16095757435</x:v>
      </x:c>
      <x:c r="D298" s="166" t="str">
        <x:v>Octante Capital</x:v>
      </x:c>
      <x:c r="E298" s="185" t="str">
        <x:v>Octante Capital</x:v>
      </x:c>
      <x:c r="F298" s="166" t="str">
        <x:v>Independente</x:v>
      </x:c>
      <x:c r="G298" s="185" t="str">
        <x:v>Independente</x:v>
      </x:c>
      <x:c r="H298" s="166" t="str">
        <x:v>residual; requer revisão manual</x:v>
      </x:c>
      <x:c r="I298" s="166" t="str">
        <x:v>Baixa</x:v>
      </x:c>
      <x:c r="J298" s="166" t="str">
        <x:v>Sim — alta</x:v>
      </x:c>
    </x:row>
    <x:row r="299">
      <x:c r="A299" s="166" t="str">
        <x:v>Gestor</x:v>
      </x:c>
      <x:c r="B299" s="166" t="str">
        <x:v>QUAESTUS GESTÃO DE INVESTIMENTOS LTDA.</x:v>
      </x:c>
      <x:c r="C299" s="169" t="n">
        <x:v>0.16018233742</x:v>
      </x:c>
      <x:c r="D299" s="166" t="str">
        <x:v>QUAESTUS GESTÃO DE INVESTIMENTOS LTDA.</x:v>
      </x:c>
      <x:c r="E299" s="185" t="str">
        <x:v>QUAESTUS GESTÃO DE INVESTIMENTOS LTDA.</x:v>
      </x:c>
      <x:c r="F299" s="166" t="str">
        <x:v>Independente</x:v>
      </x:c>
      <x:c r="G299" s="185" t="str">
        <x:v>Independente</x:v>
      </x:c>
      <x:c r="H299" s="166" t="str">
        <x:v>residual; requer revisão manual</x:v>
      </x:c>
      <x:c r="I299" s="166" t="str">
        <x:v>Baixa</x:v>
      </x:c>
      <x:c r="J299" s="166" t="str">
        <x:v>Sim — alta</x:v>
      </x:c>
    </x:row>
    <x:row r="300">
      <x:c r="A300" s="166" t="str">
        <x:v>Gestor</x:v>
      </x:c>
      <x:c r="B300" s="166" t="str">
        <x:v>XP Allocation</x:v>
      </x:c>
      <x:c r="C300" s="169" t="n">
        <x:v>0.15599137351</x:v>
      </x:c>
      <x:c r="D300" s="166" t="str">
        <x:v>XP Inc.</x:v>
      </x:c>
      <x:c r="E300" s="185" t="str">
        <x:v>XP Inc.</x:v>
      </x:c>
      <x:c r="F300" s="166" t="str">
        <x:v>Ligada a banco</x:v>
      </x:c>
      <x:c r="G300" s="185" t="str">
        <x:v>Ligada a banco</x:v>
      </x:c>
      <x:c r="H300" s="166" t="str">
        <x:v>contém 'XP ALLOCATION'</x:v>
      </x:c>
      <x:c r="I300" s="166" t="str">
        <x:v>Alta</x:v>
      </x:c>
      <x:c r="J300" s="166" t="str">
        <x:v>Confirmar</x:v>
      </x:c>
    </x:row>
    <x:row r="301">
      <x:c r="A301" s="166" t="str">
        <x:v>Gestor</x:v>
      </x:c>
      <x:c r="B301" s="166" t="str">
        <x:v>AZ QUEST</x:v>
      </x:c>
      <x:c r="C301" s="169" t="n">
        <x:v>0.15590602129999998</x:v>
      </x:c>
      <x:c r="D301" s="166" t="str">
        <x:v>AZ QUEST</x:v>
      </x:c>
      <x:c r="E301" s="185" t="str">
        <x:v>AZ QUEST</x:v>
      </x:c>
      <x:c r="F301" s="166" t="str">
        <x:v>Independente</x:v>
      </x:c>
      <x:c r="G301" s="185" t="str">
        <x:v>Independente</x:v>
      </x:c>
      <x:c r="H301" s="166" t="str">
        <x:v>residual; requer revisão manual</x:v>
      </x:c>
      <x:c r="I301" s="166" t="str">
        <x:v>Baixa</x:v>
      </x:c>
      <x:c r="J301" s="166" t="str">
        <x:v>Sim — alta</x:v>
      </x:c>
    </x:row>
    <x:row r="302">
      <x:c r="A302" s="166" t="str">
        <x:v>Gestor</x:v>
      </x:c>
      <x:c r="B302" s="166" t="str">
        <x:v>HCAM LTDA.</x:v>
      </x:c>
      <x:c r="C302" s="169" t="n">
        <x:v>0.15475021143788</x:v>
      </x:c>
      <x:c r="D302" s="166" t="str">
        <x:v>HCAM LTDA.</x:v>
      </x:c>
      <x:c r="E302" s="185" t="str">
        <x:v>HCAM LTDA.</x:v>
      </x:c>
      <x:c r="F302" s="166" t="str">
        <x:v>Independente</x:v>
      </x:c>
      <x:c r="G302" s="185" t="str">
        <x:v>Independente</x:v>
      </x:c>
      <x:c r="H302" s="166" t="str">
        <x:v>residual; requer revisão manual</x:v>
      </x:c>
      <x:c r="I302" s="166" t="str">
        <x:v>Baixa</x:v>
      </x:c>
      <x:c r="J302" s="166" t="str">
        <x:v>Sim — alta</x:v>
      </x:c>
    </x:row>
    <x:row r="303">
      <x:c r="A303" s="166" t="str">
        <x:v>Gestor</x:v>
      </x:c>
      <x:c r="B303" s="166" t="str">
        <x:v>BENAVENT ASSET LTDA</x:v>
      </x:c>
      <x:c r="C303" s="169" t="n">
        <x:v>0.154417173</x:v>
      </x:c>
      <x:c r="D303" s="166" t="str">
        <x:v>BENAVENT ASSET LTDA</x:v>
      </x:c>
      <x:c r="E303" s="185" t="str">
        <x:v>BENAVENT ASSET LTDA</x:v>
      </x:c>
      <x:c r="F303" s="166" t="str">
        <x:v>Independente</x:v>
      </x:c>
      <x:c r="G303" s="185" t="str">
        <x:v>Independente</x:v>
      </x:c>
      <x:c r="H303" s="166" t="str">
        <x:v>residual; requer revisão manual</x:v>
      </x:c>
      <x:c r="I303" s="166" t="str">
        <x:v>Baixa</x:v>
      </x:c>
      <x:c r="J303" s="166" t="str">
        <x:v>Sim — alta</x:v>
      </x:c>
    </x:row>
    <x:row r="304">
      <x:c r="A304" s="166" t="str">
        <x:v>Gestor</x:v>
      </x:c>
      <x:c r="B304" s="166" t="str">
        <x:v>Laplace Capital</x:v>
      </x:c>
      <x:c r="C304" s="169" t="n">
        <x:v>0.14922204098000003</x:v>
      </x:c>
      <x:c r="D304" s="166" t="str">
        <x:v>Laplace Capital</x:v>
      </x:c>
      <x:c r="E304" s="185" t="str">
        <x:v>Laplace Capital</x:v>
      </x:c>
      <x:c r="F304" s="166" t="str">
        <x:v>Independente</x:v>
      </x:c>
      <x:c r="G304" s="185" t="str">
        <x:v>Independente</x:v>
      </x:c>
      <x:c r="H304" s="166" t="str">
        <x:v>residual; requer revisão manual</x:v>
      </x:c>
      <x:c r="I304" s="166" t="str">
        <x:v>Baixa</x:v>
      </x:c>
      <x:c r="J304" s="166" t="str">
        <x:v>Sim — alta</x:v>
      </x:c>
    </x:row>
    <x:row r="305">
      <x:c r="A305" s="166" t="str">
        <x:v>Gestor</x:v>
      </x:c>
      <x:c r="B305" s="166" t="str">
        <x:v>Mauá Capital Investimentos Alternativos Ltda.</x:v>
      </x:c>
      <x:c r="C305" s="169" t="n">
        <x:v>0.14357335720000003</x:v>
      </x:c>
      <x:c r="D305" s="166" t="str">
        <x:v>Mauá Capital Investimentos Alternativos Ltda.</x:v>
      </x:c>
      <x:c r="E305" s="185" t="str">
        <x:v>Mauá Capital Investimentos Alternativos Ltda.</x:v>
      </x:c>
      <x:c r="F305" s="166" t="str">
        <x:v>Independente</x:v>
      </x:c>
      <x:c r="G305" s="185" t="str">
        <x:v>Independente</x:v>
      </x:c>
      <x:c r="H305" s="166" t="str">
        <x:v>residual; requer revisão manual</x:v>
      </x:c>
      <x:c r="I305" s="166" t="str">
        <x:v>Baixa</x:v>
      </x:c>
      <x:c r="J305" s="166" t="str">
        <x:v>Sim — alta</x:v>
      </x:c>
    </x:row>
    <x:row r="306">
      <x:c r="A306" s="166" t="str">
        <x:v>Gestor</x:v>
      </x:c>
      <x:c r="B306" s="166" t="str">
        <x:v>PLANNER CV</x:v>
      </x:c>
      <x:c r="C306" s="169" t="n">
        <x:v>0.14062712204999997</x:v>
      </x:c>
      <x:c r="D306" s="166" t="str">
        <x:v>PLANNER CV</x:v>
      </x:c>
      <x:c r="E306" s="185" t="str">
        <x:v>PLANNER CV</x:v>
      </x:c>
      <x:c r="F306" s="166" t="str">
        <x:v>Independente</x:v>
      </x:c>
      <x:c r="G306" s="185" t="str">
        <x:v>Independente</x:v>
      </x:c>
      <x:c r="H306" s="166" t="str">
        <x:v>residual; requer revisão manual</x:v>
      </x:c>
      <x:c r="I306" s="166" t="str">
        <x:v>Baixa</x:v>
      </x:c>
      <x:c r="J306" s="166" t="str">
        <x:v>Sim — alta</x:v>
      </x:c>
    </x:row>
    <x:row r="307">
      <x:c r="A307" s="166" t="str">
        <x:v>Gestor</x:v>
      </x:c>
      <x:c r="B307" s="166" t="str">
        <x:v>Cupertino Capital</x:v>
      </x:c>
      <x:c r="C307" s="169" t="n">
        <x:v>0.14039020332</x:v>
      </x:c>
      <x:c r="D307" s="166" t="str">
        <x:v>Cupertino Capital</x:v>
      </x:c>
      <x:c r="E307" s="185" t="str">
        <x:v>Cupertino Capital</x:v>
      </x:c>
      <x:c r="F307" s="166" t="str">
        <x:v>Independente</x:v>
      </x:c>
      <x:c r="G307" s="185" t="str">
        <x:v>Independente</x:v>
      </x:c>
      <x:c r="H307" s="166" t="str">
        <x:v>residual; requer revisão manual</x:v>
      </x:c>
      <x:c r="I307" s="166" t="str">
        <x:v>Baixa</x:v>
      </x:c>
      <x:c r="J307" s="166" t="str">
        <x:v>Sim — alta</x:v>
      </x:c>
    </x:row>
    <x:row r="308">
      <x:c r="A308" s="166" t="str">
        <x:v>Gestor</x:v>
      </x:c>
      <x:c r="B308" s="166" t="str">
        <x:v>Kuará Capital</x:v>
      </x:c>
      <x:c r="C308" s="169" t="n">
        <x:v>0.13479771018</x:v>
      </x:c>
      <x:c r="D308" s="166" t="str">
        <x:v>Kuará Capital</x:v>
      </x:c>
      <x:c r="E308" s="185" t="str">
        <x:v>Kuará Capital</x:v>
      </x:c>
      <x:c r="F308" s="166" t="str">
        <x:v>Independente</x:v>
      </x:c>
      <x:c r="G308" s="185" t="str">
        <x:v>Independente</x:v>
      </x:c>
      <x:c r="H308" s="166" t="str">
        <x:v>residual; requer revisão manual</x:v>
      </x:c>
      <x:c r="I308" s="166" t="str">
        <x:v>Baixa</x:v>
      </x:c>
      <x:c r="J308" s="166" t="str">
        <x:v>Sim — alta</x:v>
      </x:c>
    </x:row>
    <x:row r="309">
      <x:c r="A309" s="166" t="str">
        <x:v>Gestor</x:v>
      </x:c>
      <x:c r="B309" s="166" t="str">
        <x:v>BW Gestão de Investimentos Ltd</x:v>
      </x:c>
      <x:c r="C309" s="169" t="n">
        <x:v>0.13356111955</x:v>
      </x:c>
      <x:c r="D309" s="166" t="str">
        <x:v>BW Gestão de Investimentos Ltd</x:v>
      </x:c>
      <x:c r="E309" s="185" t="str">
        <x:v>BW Gestão de Investimentos Ltd</x:v>
      </x:c>
      <x:c r="F309" s="166" t="str">
        <x:v>Independente</x:v>
      </x:c>
      <x:c r="G309" s="185" t="str">
        <x:v>Independente</x:v>
      </x:c>
      <x:c r="H309" s="166" t="str">
        <x:v>residual; requer revisão manual</x:v>
      </x:c>
      <x:c r="I309" s="166" t="str">
        <x:v>Baixa</x:v>
      </x:c>
      <x:c r="J309" s="166" t="str">
        <x:v>Sim — alta</x:v>
      </x:c>
    </x:row>
    <x:row r="310">
      <x:c r="A310" s="166" t="str">
        <x:v>Gestor</x:v>
      </x:c>
      <x:c r="B310" s="166" t="str">
        <x:v>MONTE BRAVO FAMILY OFFICE</x:v>
      </x:c>
      <x:c r="C310" s="169" t="n">
        <x:v>0.13059881267</x:v>
      </x:c>
      <x:c r="D310" s="166" t="str">
        <x:v>MONTE BRAVO FAMILY OFFICE</x:v>
      </x:c>
      <x:c r="E310" s="185" t="str">
        <x:v>MONTE BRAVO FAMILY OFFICE</x:v>
      </x:c>
      <x:c r="F310" s="166" t="str">
        <x:v>Independente</x:v>
      </x:c>
      <x:c r="G310" s="185" t="str">
        <x:v>Independente</x:v>
      </x:c>
      <x:c r="H310" s="166" t="str">
        <x:v>residual; requer revisão manual</x:v>
      </x:c>
      <x:c r="I310" s="166" t="str">
        <x:v>Baixa</x:v>
      </x:c>
      <x:c r="J310" s="166" t="str">
        <x:v>Sim — alta</x:v>
      </x:c>
    </x:row>
    <x:row r="311">
      <x:c r="A311" s="166" t="str">
        <x:v>Gestor</x:v>
      </x:c>
      <x:c r="B311" s="166" t="str">
        <x:v>ALTINVEST</x:v>
      </x:c>
      <x:c r="C311" s="169" t="n">
        <x:v>0.12753190345999998</x:v>
      </x:c>
      <x:c r="D311" s="166" t="str">
        <x:v>ALTINVEST</x:v>
      </x:c>
      <x:c r="E311" s="185" t="str">
        <x:v>ALTINVEST</x:v>
      </x:c>
      <x:c r="F311" s="166" t="str">
        <x:v>Independente</x:v>
      </x:c>
      <x:c r="G311" s="185" t="str">
        <x:v>Independente</x:v>
      </x:c>
      <x:c r="H311" s="166" t="str">
        <x:v>residual; requer revisão manual</x:v>
      </x:c>
      <x:c r="I311" s="166" t="str">
        <x:v>Baixa</x:v>
      </x:c>
      <x:c r="J311" s="166" t="str">
        <x:v>Sim — alta</x:v>
      </x:c>
    </x:row>
    <x:row r="312">
      <x:c r="A312" s="166" t="str">
        <x:v>Gestor</x:v>
      </x:c>
      <x:c r="B312" s="166" t="str">
        <x:v>Strategic Portfolio Advisors</x:v>
      </x:c>
      <x:c r="C312" s="169" t="n">
        <x:v>0.12633442333</x:v>
      </x:c>
      <x:c r="D312" s="166" t="str">
        <x:v>Strategic Portfolio Advisors</x:v>
      </x:c>
      <x:c r="E312" s="185" t="str">
        <x:v>Strategic Portfolio Advisors</x:v>
      </x:c>
      <x:c r="F312" s="166" t="str">
        <x:v>Independente</x:v>
      </x:c>
      <x:c r="G312" s="185" t="str">
        <x:v>Independente</x:v>
      </x:c>
      <x:c r="H312" s="166" t="str">
        <x:v>residual; requer revisão manual</x:v>
      </x:c>
      <x:c r="I312" s="166" t="str">
        <x:v>Baixa</x:v>
      </x:c>
      <x:c r="J312" s="166" t="str">
        <x:v>Sim — alta</x:v>
      </x:c>
    </x:row>
    <x:row r="313">
      <x:c r="A313" s="166" t="str">
        <x:v>Gestor</x:v>
      </x:c>
      <x:c r="B313" s="166" t="str">
        <x:v>SIMPLIX ASSET MANAGEMENT LTDA.</x:v>
      </x:c>
      <x:c r="C313" s="169" t="n">
        <x:v>0.1258989743</x:v>
      </x:c>
      <x:c r="D313" s="166" t="str">
        <x:v>SIMPLIX ASSET MANAGEMENT LTDA.</x:v>
      </x:c>
      <x:c r="E313" s="185" t="str">
        <x:v>SIMPLIX ASSET MANAGEMENT LTDA.</x:v>
      </x:c>
      <x:c r="F313" s="166" t="str">
        <x:v>Independente</x:v>
      </x:c>
      <x:c r="G313" s="185" t="str">
        <x:v>Independente</x:v>
      </x:c>
      <x:c r="H313" s="166" t="str">
        <x:v>residual; requer revisão manual</x:v>
      </x:c>
      <x:c r="I313" s="166" t="str">
        <x:v>Baixa</x:v>
      </x:c>
      <x:c r="J313" s="166" t="str">
        <x:v>Sim — alta</x:v>
      </x:c>
    </x:row>
    <x:row r="314">
      <x:c r="A314" s="166" t="str">
        <x:v>Gestor</x:v>
      </x:c>
      <x:c r="B314" s="166" t="str">
        <x:v>EVEREST CAPITAL OFFICE LTDA</x:v>
      </x:c>
      <x:c r="C314" s="169" t="n">
        <x:v>0.12403774643000001</x:v>
      </x:c>
      <x:c r="D314" s="166" t="str">
        <x:v>EVEREST CAPITAL OFFICE LTDA</x:v>
      </x:c>
      <x:c r="E314" s="185" t="str">
        <x:v>EVEREST CAPITAL OFFICE LTDA</x:v>
      </x:c>
      <x:c r="F314" s="166" t="str">
        <x:v>Independente</x:v>
      </x:c>
      <x:c r="G314" s="185" t="str">
        <x:v>Independente</x:v>
      </x:c>
      <x:c r="H314" s="166" t="str">
        <x:v>residual; requer revisão manual</x:v>
      </x:c>
      <x:c r="I314" s="166" t="str">
        <x:v>Baixa</x:v>
      </x:c>
      <x:c r="J314" s="166" t="str">
        <x:v>Sim — alta</x:v>
      </x:c>
    </x:row>
    <x:row r="315">
      <x:c r="A315" s="166" t="str">
        <x:v>Gestor</x:v>
      </x:c>
      <x:c r="B315" s="166" t="str">
        <x:v>Rio das Pedras Investimentos</x:v>
      </x:c>
      <x:c r="C315" s="169" t="n">
        <x:v>0.11989723457</x:v>
      </x:c>
      <x:c r="D315" s="166" t="str">
        <x:v>Rio das Pedras Investimentos</x:v>
      </x:c>
      <x:c r="E315" s="185" t="str">
        <x:v>Rio das Pedras Investimentos</x:v>
      </x:c>
      <x:c r="F315" s="166" t="str">
        <x:v>Independente</x:v>
      </x:c>
      <x:c r="G315" s="185" t="str">
        <x:v>Independente</x:v>
      </x:c>
      <x:c r="H315" s="166" t="str">
        <x:v>residual; requer revisão manual</x:v>
      </x:c>
      <x:c r="I315" s="166" t="str">
        <x:v>Baixa</x:v>
      </x:c>
      <x:c r="J315" s="166" t="str">
        <x:v>Sim — alta</x:v>
      </x:c>
    </x:row>
    <x:row r="316">
      <x:c r="A316" s="166" t="str">
        <x:v>Gestor</x:v>
      </x:c>
      <x:c r="B316" s="166" t="str">
        <x:v>KÖLI CAPITAL</x:v>
      </x:c>
      <x:c r="C316" s="169" t="n">
        <x:v>0.11921973944000004</x:v>
      </x:c>
      <x:c r="D316" s="166" t="str">
        <x:v>KÖLI CAPITAL</x:v>
      </x:c>
      <x:c r="E316" s="185" t="str">
        <x:v>KÖLI CAPITAL</x:v>
      </x:c>
      <x:c r="F316" s="166" t="str">
        <x:v>Independente</x:v>
      </x:c>
      <x:c r="G316" s="185" t="str">
        <x:v>Independente</x:v>
      </x:c>
      <x:c r="H316" s="166" t="str">
        <x:v>residual; requer revisão manual</x:v>
      </x:c>
      <x:c r="I316" s="166" t="str">
        <x:v>Baixa</x:v>
      </x:c>
      <x:c r="J316" s="166" t="str">
        <x:v>Sim — alta</x:v>
      </x:c>
    </x:row>
    <x:row r="317">
      <x:c r="A317" s="166" t="str">
        <x:v>Gestor</x:v>
      </x:c>
      <x:c r="B317" s="166" t="str">
        <x:v>Vinci Capital</x:v>
      </x:c>
      <x:c r="C317" s="169" t="n">
        <x:v>0.11890586697</x:v>
      </x:c>
      <x:c r="D317" s="166" t="str">
        <x:v>Vinci Capital</x:v>
      </x:c>
      <x:c r="E317" s="185" t="str">
        <x:v>Vinci Capital</x:v>
      </x:c>
      <x:c r="F317" s="166" t="str">
        <x:v>Independente</x:v>
      </x:c>
      <x:c r="G317" s="185" t="str">
        <x:v>Independente</x:v>
      </x:c>
      <x:c r="H317" s="166" t="str">
        <x:v>residual; requer revisão manual</x:v>
      </x:c>
      <x:c r="I317" s="166" t="str">
        <x:v>Baixa</x:v>
      </x:c>
      <x:c r="J317" s="166" t="str">
        <x:v>Sim — alta</x:v>
      </x:c>
    </x:row>
    <x:row r="318">
      <x:c r="A318" s="166" t="str">
        <x:v>Gestor</x:v>
      </x:c>
      <x:c r="B318" s="166" t="str">
        <x:v>REAG SPECIAL SITUATIONS</x:v>
      </x:c>
      <x:c r="C318" s="169" t="n">
        <x:v>0.11758499097</x:v>
      </x:c>
      <x:c r="D318" s="166" t="str">
        <x:v>REAG</x:v>
      </x:c>
      <x:c r="E318" s="185" t="str">
        <x:v>REAG</x:v>
      </x:c>
      <x:c r="F318" s="166" t="str">
        <x:v>Independente</x:v>
      </x:c>
      <x:c r="G318" s="185" t="str">
        <x:v>Independente</x:v>
      </x:c>
      <x:c r="H318" s="166" t="str">
        <x:v>contém 'REAG '</x:v>
      </x:c>
      <x:c r="I318" s="166" t="str">
        <x:v>Alta</x:v>
      </x:c>
      <x:c r="J318" s="166" t="str">
        <x:v>Confirmar</x:v>
      </x:c>
    </x:row>
    <x:row r="319">
      <x:c r="A319" s="166" t="str">
        <x:v>Gestor</x:v>
      </x:c>
      <x:c r="B319" s="166" t="str">
        <x:v>INDIE CAPITAL INVESTIMENTOS LT</x:v>
      </x:c>
      <x:c r="C319" s="169" t="n">
        <x:v>0.11754191447</x:v>
      </x:c>
      <x:c r="D319" s="166" t="str">
        <x:v>INDIE CAPITAL INVESTIMENTOS LT</x:v>
      </x:c>
      <x:c r="E319" s="185" t="str">
        <x:v>INDIE CAPITAL INVESTIMENTOS LT</x:v>
      </x:c>
      <x:c r="F319" s="166" t="str">
        <x:v>Independente</x:v>
      </x:c>
      <x:c r="G319" s="185" t="str">
        <x:v>Independente</x:v>
      </x:c>
      <x:c r="H319" s="166" t="str">
        <x:v>residual; requer revisão manual</x:v>
      </x:c>
      <x:c r="I319" s="166" t="str">
        <x:v>Baixa</x:v>
      </x:c>
      <x:c r="J319" s="166" t="str">
        <x:v>Sim — alta</x:v>
      </x:c>
    </x:row>
    <x:row r="320">
      <x:c r="A320" s="166" t="str">
        <x:v>Gestor</x:v>
      </x:c>
      <x:c r="B320" s="166" t="str">
        <x:v>4i Capital Ltda</x:v>
      </x:c>
      <x:c r="C320" s="169" t="n">
        <x:v>0.11702697065</x:v>
      </x:c>
      <x:c r="D320" s="166" t="str">
        <x:v>4i Capital Ltda</x:v>
      </x:c>
      <x:c r="E320" s="185" t="str">
        <x:v>4i Capital Ltda</x:v>
      </x:c>
      <x:c r="F320" s="166" t="str">
        <x:v>Independente</x:v>
      </x:c>
      <x:c r="G320" s="185" t="str">
        <x:v>Independente</x:v>
      </x:c>
      <x:c r="H320" s="166" t="str">
        <x:v>residual; requer revisão manual</x:v>
      </x:c>
      <x:c r="I320" s="166" t="str">
        <x:v>Baixa</x:v>
      </x:c>
      <x:c r="J320" s="166" t="str">
        <x:v>Sim — alta</x:v>
      </x:c>
    </x:row>
    <x:row r="321">
      <x:c r="A321" s="166" t="str">
        <x:v>Gestor</x:v>
      </x:c>
      <x:c r="B321" s="166" t="str">
        <x:v>Hinov Capital</x:v>
      </x:c>
      <x:c r="C321" s="169" t="n">
        <x:v>0.11666877912000001</x:v>
      </x:c>
      <x:c r="D321" s="166" t="str">
        <x:v>Hinov Capital</x:v>
      </x:c>
      <x:c r="E321" s="185" t="str">
        <x:v>Hinov Capital</x:v>
      </x:c>
      <x:c r="F321" s="166" t="str">
        <x:v>Independente</x:v>
      </x:c>
      <x:c r="G321" s="185" t="str">
        <x:v>Independente</x:v>
      </x:c>
      <x:c r="H321" s="166" t="str">
        <x:v>residual; requer revisão manual</x:v>
      </x:c>
      <x:c r="I321" s="166" t="str">
        <x:v>Baixa</x:v>
      </x:c>
      <x:c r="J321" s="166" t="str">
        <x:v>Sim — alta</x:v>
      </x:c>
    </x:row>
    <x:row r="322">
      <x:c r="A322" s="166" t="str">
        <x:v>Gestor</x:v>
      </x:c>
      <x:c r="B322" s="166" t="str">
        <x:v>Nexa</x:v>
      </x:c>
      <x:c r="C322" s="169" t="n">
        <x:v>0.11652366568000001</x:v>
      </x:c>
      <x:c r="D322" s="166" t="str">
        <x:v>Nexa</x:v>
      </x:c>
      <x:c r="E322" s="185" t="str">
        <x:v>Nexa</x:v>
      </x:c>
      <x:c r="F322" s="166" t="str">
        <x:v>Independente</x:v>
      </x:c>
      <x:c r="G322" s="185" t="str">
        <x:v>Independente</x:v>
      </x:c>
      <x:c r="H322" s="166" t="str">
        <x:v>residual; requer revisão manual</x:v>
      </x:c>
      <x:c r="I322" s="166" t="str">
        <x:v>Baixa</x:v>
      </x:c>
      <x:c r="J322" s="166" t="str">
        <x:v>Sim — alta</x:v>
      </x:c>
    </x:row>
    <x:row r="323">
      <x:c r="A323" s="166" t="str">
        <x:v>Gestor</x:v>
      </x:c>
      <x:c r="B323" s="166" t="str">
        <x:v>Capitânia Alternatives S/A</x:v>
      </x:c>
      <x:c r="C323" s="169" t="n">
        <x:v>0.11649546379</x:v>
      </x:c>
      <x:c r="D323" s="166" t="str">
        <x:v>Capitânia Alternatives S/A</x:v>
      </x:c>
      <x:c r="E323" s="185" t="str">
        <x:v>Capitânia Alternatives S/A</x:v>
      </x:c>
      <x:c r="F323" s="166" t="str">
        <x:v>Independente</x:v>
      </x:c>
      <x:c r="G323" s="185" t="str">
        <x:v>Independente</x:v>
      </x:c>
      <x:c r="H323" s="166" t="str">
        <x:v>residual; requer revisão manual</x:v>
      </x:c>
      <x:c r="I323" s="166" t="str">
        <x:v>Baixa</x:v>
      </x:c>
      <x:c r="J323" s="166" t="str">
        <x:v>Sim — alta</x:v>
      </x:c>
    </x:row>
    <x:row r="324">
      <x:c r="A324" s="166" t="str">
        <x:v>Gestor</x:v>
      </x:c>
      <x:c r="B324" s="166" t="str">
        <x:v>HSI Gestora de Ativos Financeiros Ltda.</x:v>
      </x:c>
      <x:c r="C324" s="169" t="n">
        <x:v>0.11597495746</x:v>
      </x:c>
      <x:c r="D324" s="166" t="str">
        <x:v>HSI Gestora de Ativos Financeiros Ltda.</x:v>
      </x:c>
      <x:c r="E324" s="185" t="str">
        <x:v>HSI Gestora de Ativos Financeiros Ltda.</x:v>
      </x:c>
      <x:c r="F324" s="166" t="str">
        <x:v>Independente</x:v>
      </x:c>
      <x:c r="G324" s="185" t="str">
        <x:v>Independente</x:v>
      </x:c>
      <x:c r="H324" s="166" t="str">
        <x:v>residual; requer revisão manual</x:v>
      </x:c>
      <x:c r="I324" s="166" t="str">
        <x:v>Baixa</x:v>
      </x:c>
      <x:c r="J324" s="166" t="str">
        <x:v>Sim — alta</x:v>
      </x:c>
    </x:row>
    <x:row r="325">
      <x:c r="A325" s="166" t="str">
        <x:v>Gestor</x:v>
      </x:c>
      <x:c r="B325" s="166" t="str">
        <x:v>GRIF CAPITAL</x:v>
      </x:c>
      <x:c r="C325" s="169" t="n">
        <x:v>0.11483262745999999</x:v>
      </x:c>
      <x:c r="D325" s="166" t="str">
        <x:v>GRIF CAPITAL</x:v>
      </x:c>
      <x:c r="E325" s="185" t="str">
        <x:v>GRIF CAPITAL</x:v>
      </x:c>
      <x:c r="F325" s="166" t="str">
        <x:v>Independente</x:v>
      </x:c>
      <x:c r="G325" s="185" t="str">
        <x:v>Independente</x:v>
      </x:c>
      <x:c r="H325" s="166" t="str">
        <x:v>residual; requer revisão manual</x:v>
      </x:c>
      <x:c r="I325" s="166" t="str">
        <x:v>Baixa</x:v>
      </x:c>
      <x:c r="J325" s="166" t="str">
        <x:v>Sim — alta</x:v>
      </x:c>
    </x:row>
    <x:row r="326">
      <x:c r="A326" s="166" t="str">
        <x:v>Gestor</x:v>
      </x:c>
      <x:c r="B326" s="166" t="str">
        <x:v>051 Capital</x:v>
      </x:c>
      <x:c r="C326" s="169" t="n">
        <x:v>0.11141812540000001</x:v>
      </x:c>
      <x:c r="D326" s="166" t="str">
        <x:v>051 Capital</x:v>
      </x:c>
      <x:c r="E326" s="185" t="str">
        <x:v>051 Capital</x:v>
      </x:c>
      <x:c r="F326" s="166" t="str">
        <x:v>Independente</x:v>
      </x:c>
      <x:c r="G326" s="185" t="str">
        <x:v>Independente</x:v>
      </x:c>
      <x:c r="H326" s="166" t="str">
        <x:v>residual; requer revisão manual</x:v>
      </x:c>
      <x:c r="I326" s="166" t="str">
        <x:v>Baixa</x:v>
      </x:c>
      <x:c r="J326" s="166" t="str">
        <x:v>Sim — alta</x:v>
      </x:c>
    </x:row>
    <x:row r="327">
      <x:c r="A327" s="166" t="str">
        <x:v>Gestor</x:v>
      </x:c>
      <x:c r="B327" s="166" t="str">
        <x:v>LAV ASSET MANAGEMENT GESTÃO DE RECURSOS LTDA.</x:v>
      </x:c>
      <x:c r="C327" s="169" t="n">
        <x:v>0.11112543648</x:v>
      </x:c>
      <x:c r="D327" s="166" t="str">
        <x:v>LAV ASSET MANAGEMENT GESTÃO DE RECURSOS LTDA.</x:v>
      </x:c>
      <x:c r="E327" s="185" t="str">
        <x:v>LAV ASSET MANAGEMENT GESTÃO DE RECURSOS LTDA.</x:v>
      </x:c>
      <x:c r="F327" s="166" t="str">
        <x:v>Independente</x:v>
      </x:c>
      <x:c r="G327" s="185" t="str">
        <x:v>Independente</x:v>
      </x:c>
      <x:c r="H327" s="166" t="str">
        <x:v>residual; requer revisão manual</x:v>
      </x:c>
      <x:c r="I327" s="166" t="str">
        <x:v>Baixa</x:v>
      </x:c>
      <x:c r="J327" s="166" t="str">
        <x:v>Sim — alta</x:v>
      </x:c>
    </x:row>
    <x:row r="328">
      <x:c r="A328" s="166" t="str">
        <x:v>Gestor</x:v>
      </x:c>
      <x:c r="B328" s="166" t="str">
        <x:v>Strivo Gestora de Recursos S/A</x:v>
      </x:c>
      <x:c r="C328" s="169" t="n">
        <x:v>0.11108457841</x:v>
      </x:c>
      <x:c r="D328" s="166" t="str">
        <x:v>Strivo Gestora de Recursos S/A</x:v>
      </x:c>
      <x:c r="E328" s="185" t="str">
        <x:v>Strivo Gestora de Recursos S/A</x:v>
      </x:c>
      <x:c r="F328" s="166" t="str">
        <x:v>Independente</x:v>
      </x:c>
      <x:c r="G328" s="185" t="str">
        <x:v>Independente</x:v>
      </x:c>
      <x:c r="H328" s="166" t="str">
        <x:v>residual; requer revisão manual</x:v>
      </x:c>
      <x:c r="I328" s="166" t="str">
        <x:v>Baixa</x:v>
      </x:c>
      <x:c r="J328" s="166" t="str">
        <x:v>Sim — alta</x:v>
      </x:c>
    </x:row>
    <x:row r="329">
      <x:c r="A329" s="166" t="str">
        <x:v>Gestor</x:v>
      </x:c>
      <x:c r="B329" s="166" t="str">
        <x:v>URBANO ADMINISTRAÇÃO DE RECURSOS LTDA</x:v>
      </x:c>
      <x:c r="C329" s="169" t="n">
        <x:v>0.11090649053</x:v>
      </x:c>
      <x:c r="D329" s="166" t="str">
        <x:v>URBANO ADMINISTRAÇÃO DE RECURSOS LTDA</x:v>
      </x:c>
      <x:c r="E329" s="185" t="str">
        <x:v>URBANO ADMINISTRAÇÃO DE RECURSOS LTDA</x:v>
      </x:c>
      <x:c r="F329" s="166" t="str">
        <x:v>Independente</x:v>
      </x:c>
      <x:c r="G329" s="185" t="str">
        <x:v>Independente</x:v>
      </x:c>
      <x:c r="H329" s="166" t="str">
        <x:v>residual; requer revisão manual</x:v>
      </x:c>
      <x:c r="I329" s="166" t="str">
        <x:v>Baixa</x:v>
      </x:c>
      <x:c r="J329" s="166" t="str">
        <x:v>Sim — alta</x:v>
      </x:c>
    </x:row>
    <x:row r="330">
      <x:c r="A330" s="166" t="str">
        <x:v>Gestor</x:v>
      </x:c>
      <x:c r="B330" s="166" t="str">
        <x:v>Real Capital Partners Ltda</x:v>
      </x:c>
      <x:c r="C330" s="169" t="n">
        <x:v>0.10780599828</x:v>
      </x:c>
      <x:c r="D330" s="166" t="str">
        <x:v>Real Capital Partners Ltda</x:v>
      </x:c>
      <x:c r="E330" s="185" t="str">
        <x:v>Real Capital Partners Ltda</x:v>
      </x:c>
      <x:c r="F330" s="166" t="str">
        <x:v>Independente</x:v>
      </x:c>
      <x:c r="G330" s="185" t="str">
        <x:v>Independente</x:v>
      </x:c>
      <x:c r="H330" s="166" t="str">
        <x:v>residual; requer revisão manual</x:v>
      </x:c>
      <x:c r="I330" s="166" t="str">
        <x:v>Baixa</x:v>
      </x:c>
      <x:c r="J330" s="166" t="str">
        <x:v>Sim — alta</x:v>
      </x:c>
    </x:row>
    <x:row r="331">
      <x:c r="A331" s="166" t="str">
        <x:v>Gestor</x:v>
      </x:c>
      <x:c r="B331" s="166" t="str">
        <x:v>Vinci CG Gestora de Recursos Ltda</x:v>
      </x:c>
      <x:c r="C331" s="169" t="n">
        <x:v>0.10698789762000001</x:v>
      </x:c>
      <x:c r="D331" s="166" t="str">
        <x:v>Vinci CG Gestora de Recursos Ltda</x:v>
      </x:c>
      <x:c r="E331" s="185" t="str">
        <x:v>Vinci CG Gestora de Recursos Ltda</x:v>
      </x:c>
      <x:c r="F331" s="166" t="str">
        <x:v>Independente</x:v>
      </x:c>
      <x:c r="G331" s="185" t="str">
        <x:v>Independente</x:v>
      </x:c>
      <x:c r="H331" s="166" t="str">
        <x:v>residual; requer revisão manual</x:v>
      </x:c>
      <x:c r="I331" s="166" t="str">
        <x:v>Baixa</x:v>
      </x:c>
      <x:c r="J331" s="166" t="str">
        <x:v>Sim — alta</x:v>
      </x:c>
    </x:row>
    <x:row r="332">
      <x:c r="A332" s="166" t="str">
        <x:v>Gestor</x:v>
      </x:c>
      <x:c r="B332" s="166" t="str">
        <x:v>Polo Capital Internacional</x:v>
      </x:c>
      <x:c r="C332" s="169" t="n">
        <x:v>0.10314556862</x:v>
      </x:c>
      <x:c r="D332" s="166" t="str">
        <x:v>Polo Capital Internacional</x:v>
      </x:c>
      <x:c r="E332" s="185" t="str">
        <x:v>Polo Capital Internacional</x:v>
      </x:c>
      <x:c r="F332" s="166" t="str">
        <x:v>Independente</x:v>
      </x:c>
      <x:c r="G332" s="185" t="str">
        <x:v>Independente</x:v>
      </x:c>
      <x:c r="H332" s="166" t="str">
        <x:v>residual; requer revisão manual</x:v>
      </x:c>
      <x:c r="I332" s="166" t="str">
        <x:v>Baixa</x:v>
      </x:c>
      <x:c r="J332" s="166" t="str">
        <x:v>Sim — alta</x:v>
      </x:c>
    </x:row>
    <x:row r="333">
      <x:c r="A333" s="166" t="str">
        <x:v>Gestor</x:v>
      </x:c>
      <x:c r="B333" s="166" t="str">
        <x:v>Positiva Investimentos Ltda</x:v>
      </x:c>
      <x:c r="C333" s="169" t="n">
        <x:v>0.10138972448</x:v>
      </x:c>
      <x:c r="D333" s="166" t="str">
        <x:v>Positiva Investimentos Ltda</x:v>
      </x:c>
      <x:c r="E333" s="185" t="str">
        <x:v>Positiva Investimentos Ltda</x:v>
      </x:c>
      <x:c r="F333" s="166" t="str">
        <x:v>Independente</x:v>
      </x:c>
      <x:c r="G333" s="185" t="str">
        <x:v>Independente</x:v>
      </x:c>
      <x:c r="H333" s="166" t="str">
        <x:v>residual; requer revisão manual</x:v>
      </x:c>
      <x:c r="I333" s="166" t="str">
        <x:v>Baixa</x:v>
      </x:c>
      <x:c r="J333" s="166" t="str">
        <x:v>Sim — alta</x:v>
      </x:c>
    </x:row>
    <x:row r="334">
      <x:c r="A334" s="166" t="str">
        <x:v>Gestor</x:v>
      </x:c>
      <x:c r="B334" s="166" t="str">
        <x:v>MODAL ASSET</x:v>
      </x:c>
      <x:c r="C334" s="169" t="n">
        <x:v>0.10044350027</x:v>
      </x:c>
      <x:c r="D334" s="166" t="str">
        <x:v>MODAL ASSET</x:v>
      </x:c>
      <x:c r="E334" s="185" t="str">
        <x:v>MODAL ASSET</x:v>
      </x:c>
      <x:c r="F334" s="166" t="str">
        <x:v>Independente</x:v>
      </x:c>
      <x:c r="G334" s="185" t="str">
        <x:v>Independente</x:v>
      </x:c>
      <x:c r="H334" s="166" t="str">
        <x:v>residual; requer revisão manual</x:v>
      </x:c>
      <x:c r="I334" s="166" t="str">
        <x:v>Baixa</x:v>
      </x:c>
      <x:c r="J334" s="166" t="str">
        <x:v>Sim — alta</x:v>
      </x:c>
    </x:row>
    <x:row r="335">
      <x:c r="A335" s="166" t="str">
        <x:v>Gestor</x:v>
      </x:c>
      <x:c r="B335" s="166" t="str">
        <x:v>BRASFOR CAPITAL</x:v>
      </x:c>
      <x:c r="C335" s="169" t="n">
        <x:v>0.09832472569</x:v>
      </x:c>
      <x:c r="D335" s="166" t="str">
        <x:v>BRASFOR CAPITAL</x:v>
      </x:c>
      <x:c r="E335" s="185" t="str">
        <x:v>BRASFOR CAPITAL</x:v>
      </x:c>
      <x:c r="F335" s="166" t="str">
        <x:v>Independente</x:v>
      </x:c>
      <x:c r="G335" s="185" t="str">
        <x:v>Independente</x:v>
      </x:c>
      <x:c r="H335" s="166" t="str">
        <x:v>residual; requer revisão manual</x:v>
      </x:c>
      <x:c r="I335" s="166" t="str">
        <x:v>Baixa</x:v>
      </x:c>
      <x:c r="J335" s="166" t="str">
        <x:v>Sim — alta</x:v>
      </x:c>
    </x:row>
    <x:row r="336">
      <x:c r="A336" s="166" t="str">
        <x:v>Gestor</x:v>
      </x:c>
      <x:c r="B336" s="166" t="str">
        <x:v>CPV ASSET</x:v>
      </x:c>
      <x:c r="C336" s="169" t="n">
        <x:v>0.09790493976999999</x:v>
      </x:c>
      <x:c r="D336" s="166" t="str">
        <x:v>CPV ASSET</x:v>
      </x:c>
      <x:c r="E336" s="185" t="str">
        <x:v>CPV ASSET</x:v>
      </x:c>
      <x:c r="F336" s="166" t="str">
        <x:v>Independente</x:v>
      </x:c>
      <x:c r="G336" s="185" t="str">
        <x:v>Independente</x:v>
      </x:c>
      <x:c r="H336" s="166" t="str">
        <x:v>residual; requer revisão manual</x:v>
      </x:c>
      <x:c r="I336" s="166" t="str">
        <x:v>Baixa</x:v>
      </x:c>
      <x:c r="J336" s="166" t="str">
        <x:v>Sim — alta</x:v>
      </x:c>
    </x:row>
    <x:row r="337">
      <x:c r="A337" s="166" t="str">
        <x:v>Gestor</x:v>
      </x:c>
      <x:c r="B337" s="166" t="str">
        <x:v>Riza Asset Management</x:v>
      </x:c>
      <x:c r="C337" s="169" t="n">
        <x:v>0.09637911905</x:v>
      </x:c>
      <x:c r="D337" s="166" t="str">
        <x:v>Riza Asset Management</x:v>
      </x:c>
      <x:c r="E337" s="185" t="str">
        <x:v>Riza Asset Management</x:v>
      </x:c>
      <x:c r="F337" s="166" t="str">
        <x:v>Independente</x:v>
      </x:c>
      <x:c r="G337" s="185" t="str">
        <x:v>Independente</x:v>
      </x:c>
      <x:c r="H337" s="166" t="str">
        <x:v>residual; requer revisão manual</x:v>
      </x:c>
      <x:c r="I337" s="166" t="str">
        <x:v>Baixa</x:v>
      </x:c>
      <x:c r="J337" s="166" t="str">
        <x:v>Sim — alta</x:v>
      </x:c>
    </x:row>
    <x:row r="338">
      <x:c r="A338" s="166" t="str">
        <x:v>Gestor</x:v>
      </x:c>
      <x:c r="B338" s="166" t="str">
        <x:v>ELLO ASSET MANAGEMENT</x:v>
      </x:c>
      <x:c r="C338" s="169" t="n">
        <x:v>0.09479101262</x:v>
      </x:c>
      <x:c r="D338" s="166" t="str">
        <x:v>ELLO ASSET MANAGEMENT</x:v>
      </x:c>
      <x:c r="E338" s="185" t="str">
        <x:v>ELLO ASSET MANAGEMENT</x:v>
      </x:c>
      <x:c r="F338" s="166" t="str">
        <x:v>Independente</x:v>
      </x:c>
      <x:c r="G338" s="185" t="str">
        <x:v>Independente</x:v>
      </x:c>
      <x:c r="H338" s="166" t="str">
        <x:v>residual; requer revisão manual</x:v>
      </x:c>
      <x:c r="I338" s="166" t="str">
        <x:v>Baixa</x:v>
      </x:c>
      <x:c r="J338" s="166" t="str">
        <x:v>Sim — alta</x:v>
      </x:c>
    </x:row>
    <x:row r="339">
      <x:c r="A339" s="166" t="str">
        <x:v>Gestor</x:v>
      </x:c>
      <x:c r="B339" s="166" t="str">
        <x:v>Citrino Gestão de Recursos LTD</x:v>
      </x:c>
      <x:c r="C339" s="169" t="n">
        <x:v>0.09370653016</x:v>
      </x:c>
      <x:c r="D339" s="166" t="str">
        <x:v>Citrino Gestão de Recursos LTD</x:v>
      </x:c>
      <x:c r="E339" s="185" t="str">
        <x:v>Citrino Gestão de Recursos LTD</x:v>
      </x:c>
      <x:c r="F339" s="166" t="str">
        <x:v>Independente</x:v>
      </x:c>
      <x:c r="G339" s="185" t="str">
        <x:v>Independente</x:v>
      </x:c>
      <x:c r="H339" s="166" t="str">
        <x:v>residual; requer revisão manual</x:v>
      </x:c>
      <x:c r="I339" s="166" t="str">
        <x:v>Baixa</x:v>
      </x:c>
      <x:c r="J339" s="166" t="str">
        <x:v>Sim — alta</x:v>
      </x:c>
    </x:row>
    <x:row r="340">
      <x:c r="A340" s="166" t="str">
        <x:v>Gestor</x:v>
      </x:c>
      <x:c r="B340" s="166" t="str">
        <x:v>BERTHA CAPITAL</x:v>
      </x:c>
      <x:c r="C340" s="169" t="n">
        <x:v>0.09114559335</x:v>
      </x:c>
      <x:c r="D340" s="166" t="str">
        <x:v>BERTHA CAPITAL</x:v>
      </x:c>
      <x:c r="E340" s="185" t="str">
        <x:v>BERTHA CAPITAL</x:v>
      </x:c>
      <x:c r="F340" s="166" t="str">
        <x:v>Independente</x:v>
      </x:c>
      <x:c r="G340" s="185" t="str">
        <x:v>Independente</x:v>
      </x:c>
      <x:c r="H340" s="166" t="str">
        <x:v>residual; requer revisão manual</x:v>
      </x:c>
      <x:c r="I340" s="166" t="str">
        <x:v>Baixa</x:v>
      </x:c>
      <x:c r="J340" s="166" t="str">
        <x:v>Sim — alta</x:v>
      </x:c>
    </x:row>
    <x:row r="341">
      <x:c r="A341" s="166" t="str">
        <x:v>Gestor</x:v>
      </x:c>
      <x:c r="B341" s="166" t="str">
        <x:v>SPECIAL SITUATIONS NEO GESTAO DE RECURSOS LTDA</x:v>
      </x:c>
      <x:c r="C341" s="169" t="n">
        <x:v>0.08420116284000001</x:v>
      </x:c>
      <x:c r="D341" s="166" t="str">
        <x:v>SPECIAL SITUATIONS NEO GESTAO DE RECURSOS LTDA</x:v>
      </x:c>
      <x:c r="E341" s="185" t="str">
        <x:v>SPECIAL SITUATIONS NEO GESTAO DE RECURSOS LTDA</x:v>
      </x:c>
      <x:c r="F341" s="166" t="str">
        <x:v>Independente</x:v>
      </x:c>
      <x:c r="G341" s="185" t="str">
        <x:v>Independente</x:v>
      </x:c>
      <x:c r="H341" s="166" t="str">
        <x:v>residual; requer revisão manual</x:v>
      </x:c>
      <x:c r="I341" s="166" t="str">
        <x:v>Baixa</x:v>
      </x:c>
      <x:c r="J341" s="166" t="str">
        <x:v>Sim — alta</x:v>
      </x:c>
    </x:row>
    <x:row r="342">
      <x:c r="A342" s="166" t="str">
        <x:v>Gestor</x:v>
      </x:c>
      <x:c r="B342" s="166" t="str">
        <x:v>Journey Capital Administração</x:v>
      </x:c>
      <x:c r="C342" s="169" t="n">
        <x:v>0.08370355435000001</x:v>
      </x:c>
      <x:c r="D342" s="166" t="str">
        <x:v>Journey Capital Administração</x:v>
      </x:c>
      <x:c r="E342" s="185" t="str">
        <x:v>Journey Capital Administração</x:v>
      </x:c>
      <x:c r="F342" s="166" t="str">
        <x:v>Independente</x:v>
      </x:c>
      <x:c r="G342" s="185" t="str">
        <x:v>Independente</x:v>
      </x:c>
      <x:c r="H342" s="166" t="str">
        <x:v>residual; requer revisão manual</x:v>
      </x:c>
      <x:c r="I342" s="166" t="str">
        <x:v>Baixa</x:v>
      </x:c>
      <x:c r="J342" s="166" t="str">
        <x:v>Sim — alta</x:v>
      </x:c>
    </x:row>
    <x:row r="343">
      <x:c r="A343" s="166" t="str">
        <x:v>Gestor</x:v>
      </x:c>
      <x:c r="B343" s="166" t="str">
        <x:v>Yards Asset Gestão de Recursos Ltda.</x:v>
      </x:c>
      <x:c r="C343" s="169" t="n">
        <x:v>0.08328104845</x:v>
      </x:c>
      <x:c r="D343" s="166" t="str">
        <x:v>Yards Asset Gestão de Recursos Ltda.</x:v>
      </x:c>
      <x:c r="E343" s="185" t="str">
        <x:v>Yards Asset Gestão de Recursos Ltda.</x:v>
      </x:c>
      <x:c r="F343" s="166" t="str">
        <x:v>Independente</x:v>
      </x:c>
      <x:c r="G343" s="185" t="str">
        <x:v>Independente</x:v>
      </x:c>
      <x:c r="H343" s="166" t="str">
        <x:v>residual; requer revisão manual</x:v>
      </x:c>
      <x:c r="I343" s="166" t="str">
        <x:v>Baixa</x:v>
      </x:c>
      <x:c r="J343" s="166" t="str">
        <x:v>Sim — alta</x:v>
      </x:c>
    </x:row>
    <x:row r="344">
      <x:c r="A344" s="166" t="str">
        <x:v>Gestor</x:v>
      </x:c>
      <x:c r="B344" s="166" t="str">
        <x:v>Oikos Capital</x:v>
      </x:c>
      <x:c r="C344" s="169" t="n">
        <x:v>0.08149526395000001</x:v>
      </x:c>
      <x:c r="D344" s="166" t="str">
        <x:v>Oikos Capital</x:v>
      </x:c>
      <x:c r="E344" s="185" t="str">
        <x:v>Oikos Capital</x:v>
      </x:c>
      <x:c r="F344" s="166" t="str">
        <x:v>Independente</x:v>
      </x:c>
      <x:c r="G344" s="185" t="str">
        <x:v>Independente</x:v>
      </x:c>
      <x:c r="H344" s="166" t="str">
        <x:v>residual; requer revisão manual</x:v>
      </x:c>
      <x:c r="I344" s="166" t="str">
        <x:v>Baixa</x:v>
      </x:c>
      <x:c r="J344" s="166" t="str">
        <x:v>Sim — alta</x:v>
      </x:c>
    </x:row>
    <x:row r="345">
      <x:c r="A345" s="166" t="str">
        <x:v>Gestor</x:v>
      </x:c>
      <x:c r="B345" s="166" t="str">
        <x:v>ITAÚNA CAPITAL LTDA.</x:v>
      </x:c>
      <x:c r="C345" s="169" t="n">
        <x:v>0.07965499784</x:v>
      </x:c>
      <x:c r="D345" s="166" t="str">
        <x:v>ITAÚNA CAPITAL LTDA.</x:v>
      </x:c>
      <x:c r="E345" s="185" t="str">
        <x:v>ITAÚNA CAPITAL LTDA.</x:v>
      </x:c>
      <x:c r="F345" s="166" t="str">
        <x:v>Independente</x:v>
      </x:c>
      <x:c r="G345" s="185" t="str">
        <x:v>Independente</x:v>
      </x:c>
      <x:c r="H345" s="166" t="str">
        <x:v>residual; requer revisão manual</x:v>
      </x:c>
      <x:c r="I345" s="166" t="str">
        <x:v>Baixa</x:v>
      </x:c>
      <x:c r="J345" s="166" t="str">
        <x:v>Sim — alta</x:v>
      </x:c>
    </x:row>
    <x:row r="346">
      <x:c r="A346" s="166" t="str">
        <x:v>Gestor</x:v>
      </x:c>
      <x:c r="B346" s="166" t="str">
        <x:v>Mezzus Capital</x:v>
      </x:c>
      <x:c r="C346" s="169" t="n">
        <x:v>0.07788239071</x:v>
      </x:c>
      <x:c r="D346" s="166" t="str">
        <x:v>Mezzus Capital</x:v>
      </x:c>
      <x:c r="E346" s="185" t="str">
        <x:v>Mezzus Capital</x:v>
      </x:c>
      <x:c r="F346" s="166" t="str">
        <x:v>Independente</x:v>
      </x:c>
      <x:c r="G346" s="185" t="str">
        <x:v>Independente</x:v>
      </x:c>
      <x:c r="H346" s="166" t="str">
        <x:v>residual; requer revisão manual</x:v>
      </x:c>
      <x:c r="I346" s="166" t="str">
        <x:v>Baixa</x:v>
      </x:c>
      <x:c r="J346" s="166" t="str">
        <x:v>Sim — alta</x:v>
      </x:c>
    </x:row>
    <x:row r="347">
      <x:c r="A347" s="166" t="str">
        <x:v>Gestor</x:v>
      </x:c>
      <x:c r="B347" s="166" t="str">
        <x:v>Evolve Capital Gestão de Recursos LTDA</x:v>
      </x:c>
      <x:c r="C347" s="169" t="n">
        <x:v>0.0761443731</x:v>
      </x:c>
      <x:c r="D347" s="166" t="str">
        <x:v>Evolve Capital Gestão de Recursos LTDA</x:v>
      </x:c>
      <x:c r="E347" s="185" t="str">
        <x:v>Evolve Capital Gestão de Recursos LTDA</x:v>
      </x:c>
      <x:c r="F347" s="166" t="str">
        <x:v>Independente</x:v>
      </x:c>
      <x:c r="G347" s="185" t="str">
        <x:v>Independente</x:v>
      </x:c>
      <x:c r="H347" s="166" t="str">
        <x:v>residual; requer revisão manual</x:v>
      </x:c>
      <x:c r="I347" s="166" t="str">
        <x:v>Baixa</x:v>
      </x:c>
      <x:c r="J347" s="166" t="str">
        <x:v>Sim — alta</x:v>
      </x:c>
    </x:row>
    <x:row r="348">
      <x:c r="A348" s="166" t="str">
        <x:v>Gestor</x:v>
      </x:c>
      <x:c r="B348" s="166" t="str">
        <x:v>D3 Capital</x:v>
      </x:c>
      <x:c r="C348" s="169" t="n">
        <x:v>0.07605527519</x:v>
      </x:c>
      <x:c r="D348" s="166" t="str">
        <x:v>D3 Capital</x:v>
      </x:c>
      <x:c r="E348" s="185" t="str">
        <x:v>D3 Capital</x:v>
      </x:c>
      <x:c r="F348" s="166" t="str">
        <x:v>Independente</x:v>
      </x:c>
      <x:c r="G348" s="185" t="str">
        <x:v>Independente</x:v>
      </x:c>
      <x:c r="H348" s="166" t="str">
        <x:v>residual; requer revisão manual</x:v>
      </x:c>
      <x:c r="I348" s="166" t="str">
        <x:v>Baixa</x:v>
      </x:c>
      <x:c r="J348" s="166" t="str">
        <x:v>Sim — alta</x:v>
      </x:c>
    </x:row>
    <x:row r="349">
      <x:c r="A349" s="166" t="str">
        <x:v>Gestor</x:v>
      </x:c>
      <x:c r="B349" s="166" t="str">
        <x:v>Lexis Capital</x:v>
      </x:c>
      <x:c r="C349" s="169" t="n">
        <x:v>0.07162307475</x:v>
      </x:c>
      <x:c r="D349" s="166" t="str">
        <x:v>Lexis Capital</x:v>
      </x:c>
      <x:c r="E349" s="185" t="str">
        <x:v>Lexis Capital</x:v>
      </x:c>
      <x:c r="F349" s="166" t="str">
        <x:v>Independente</x:v>
      </x:c>
      <x:c r="G349" s="185" t="str">
        <x:v>Independente</x:v>
      </x:c>
      <x:c r="H349" s="166" t="str">
        <x:v>residual; requer revisão manual</x:v>
      </x:c>
      <x:c r="I349" s="166" t="str">
        <x:v>Baixa</x:v>
      </x:c>
      <x:c r="J349" s="166" t="str">
        <x:v>Sim — alta</x:v>
      </x:c>
    </x:row>
    <x:row r="350">
      <x:c r="A350" s="166" t="str">
        <x:v>Gestor</x:v>
      </x:c>
      <x:c r="B350" s="166" t="str">
        <x:v>Vega</x:v>
      </x:c>
      <x:c r="C350" s="169" t="n">
        <x:v>0.07117415327</x:v>
      </x:c>
      <x:c r="D350" s="166" t="str">
        <x:v>Vega</x:v>
      </x:c>
      <x:c r="E350" s="185" t="str">
        <x:v>Vega</x:v>
      </x:c>
      <x:c r="F350" s="166" t="str">
        <x:v>Independente</x:v>
      </x:c>
      <x:c r="G350" s="185" t="str">
        <x:v>Independente</x:v>
      </x:c>
      <x:c r="H350" s="166" t="str">
        <x:v>residual; requer revisão manual</x:v>
      </x:c>
      <x:c r="I350" s="166" t="str">
        <x:v>Baixa</x:v>
      </x:c>
      <x:c r="J350" s="166" t="str">
        <x:v>Sim — alta</x:v>
      </x:c>
    </x:row>
    <x:row r="351">
      <x:c r="A351" s="166" t="str">
        <x:v>Gestor</x:v>
      </x:c>
      <x:c r="B351" s="166" t="str">
        <x:v>StoneX Investimentos</x:v>
      </x:c>
      <x:c r="C351" s="169" t="n">
        <x:v>0.07025234058</x:v>
      </x:c>
      <x:c r="D351" s="166" t="str">
        <x:v>StoneX Investimentos</x:v>
      </x:c>
      <x:c r="E351" s="185" t="str">
        <x:v>StoneX Investimentos</x:v>
      </x:c>
      <x:c r="F351" s="166" t="str">
        <x:v>Independente</x:v>
      </x:c>
      <x:c r="G351" s="185" t="str">
        <x:v>Independente</x:v>
      </x:c>
      <x:c r="H351" s="166" t="str">
        <x:v>residual; requer revisão manual</x:v>
      </x:c>
      <x:c r="I351" s="166" t="str">
        <x:v>Baixa</x:v>
      </x:c>
      <x:c r="J351" s="166" t="str">
        <x:v>Sim — alta</x:v>
      </x:c>
    </x:row>
    <x:row r="352">
      <x:c r="A352" s="166" t="str">
        <x:v>Gestor</x:v>
      </x:c>
      <x:c r="B352" s="166" t="str">
        <x:v>Mainú Investimentos</x:v>
      </x:c>
      <x:c r="C352" s="169" t="n">
        <x:v>0.06721396192389999</x:v>
      </x:c>
      <x:c r="D352" s="166" t="str">
        <x:v>Mainú Investimentos</x:v>
      </x:c>
      <x:c r="E352" s="185" t="str">
        <x:v>Mainú Investimentos</x:v>
      </x:c>
      <x:c r="F352" s="166" t="str">
        <x:v>Independente</x:v>
      </x:c>
      <x:c r="G352" s="185" t="str">
        <x:v>Independente</x:v>
      </x:c>
      <x:c r="H352" s="166" t="str">
        <x:v>residual; requer revisão manual</x:v>
      </x:c>
      <x:c r="I352" s="166" t="str">
        <x:v>Baixa</x:v>
      </x:c>
      <x:c r="J352" s="166" t="str">
        <x:v>Sim — alta</x:v>
      </x:c>
    </x:row>
    <x:row r="353">
      <x:c r="A353" s="166" t="str">
        <x:v>Gestor</x:v>
      </x:c>
      <x:c r="B353" s="166" t="str">
        <x:v>CAPITANIA CAPITAL</x:v>
      </x:c>
      <x:c r="C353" s="169" t="n">
        <x:v>0.06673715988</x:v>
      </x:c>
      <x:c r="D353" s="166" t="str">
        <x:v>CAPITANIA CAPITAL</x:v>
      </x:c>
      <x:c r="E353" s="185" t="str">
        <x:v>CAPITANIA CAPITAL</x:v>
      </x:c>
      <x:c r="F353" s="166" t="str">
        <x:v>Independente</x:v>
      </x:c>
      <x:c r="G353" s="185" t="str">
        <x:v>Independente</x:v>
      </x:c>
      <x:c r="H353" s="166" t="str">
        <x:v>residual; requer revisão manual</x:v>
      </x:c>
      <x:c r="I353" s="166" t="str">
        <x:v>Baixa</x:v>
      </x:c>
      <x:c r="J353" s="166" t="str">
        <x:v>Sim — alta</x:v>
      </x:c>
    </x:row>
    <x:row r="354">
      <x:c r="A354" s="166" t="str">
        <x:v>Gestor</x:v>
      </x:c>
      <x:c r="B354" s="166" t="str">
        <x:v>Perenne Investimentos</x:v>
      </x:c>
      <x:c r="C354" s="169" t="n">
        <x:v>0.06582873049</x:v>
      </x:c>
      <x:c r="D354" s="166" t="str">
        <x:v>Perenne Investimentos</x:v>
      </x:c>
      <x:c r="E354" s="185" t="str">
        <x:v>Perenne Investimentos</x:v>
      </x:c>
      <x:c r="F354" s="166" t="str">
        <x:v>Independente</x:v>
      </x:c>
      <x:c r="G354" s="185" t="str">
        <x:v>Independente</x:v>
      </x:c>
      <x:c r="H354" s="166" t="str">
        <x:v>residual; requer revisão manual</x:v>
      </x:c>
      <x:c r="I354" s="166" t="str">
        <x:v>Baixa</x:v>
      </x:c>
      <x:c r="J354" s="166" t="str">
        <x:v>Sim — alta</x:v>
      </x:c>
    </x:row>
    <x:row r="355">
      <x:c r="A355" s="166" t="str">
        <x:v>Gestor</x:v>
      </x:c>
      <x:c r="B355" s="166" t="str">
        <x:v>HCS</x:v>
      </x:c>
      <x:c r="C355" s="169" t="n">
        <x:v>0.06431851016</x:v>
      </x:c>
      <x:c r="D355" s="166" t="str">
        <x:v>HCS</x:v>
      </x:c>
      <x:c r="E355" s="185" t="str">
        <x:v>HCS</x:v>
      </x:c>
      <x:c r="F355" s="166" t="str">
        <x:v>Independente</x:v>
      </x:c>
      <x:c r="G355" s="185" t="str">
        <x:v>Independente</x:v>
      </x:c>
      <x:c r="H355" s="166" t="str">
        <x:v>residual; requer revisão manual</x:v>
      </x:c>
      <x:c r="I355" s="166" t="str">
        <x:v>Baixa</x:v>
      </x:c>
      <x:c r="J355" s="166" t="str">
        <x:v>Sim — alta</x:v>
      </x:c>
    </x:row>
    <x:row r="356">
      <x:c r="A356" s="166" t="str">
        <x:v>Gestor</x:v>
      </x:c>
      <x:c r="B356" s="166" t="str">
        <x:v>Alameda Gestora de Investimentos Ltda</x:v>
      </x:c>
      <x:c r="C356" s="169" t="n">
        <x:v>0.06303092235</x:v>
      </x:c>
      <x:c r="D356" s="166" t="str">
        <x:v>Alameda Gestora de Investimentos Ltda</x:v>
      </x:c>
      <x:c r="E356" s="185" t="str">
        <x:v>Alameda Gestora de Investimentos Ltda</x:v>
      </x:c>
      <x:c r="F356" s="166" t="str">
        <x:v>Independente</x:v>
      </x:c>
      <x:c r="G356" s="185" t="str">
        <x:v>Independente</x:v>
      </x:c>
      <x:c r="H356" s="166" t="str">
        <x:v>residual; requer revisão manual</x:v>
      </x:c>
      <x:c r="I356" s="166" t="str">
        <x:v>Baixa</x:v>
      </x:c>
      <x:c r="J356" s="166" t="str">
        <x:v>Sim — alta</x:v>
      </x:c>
    </x:row>
    <x:row r="357">
      <x:c r="A357" s="166" t="str">
        <x:v>Gestor</x:v>
      </x:c>
      <x:c r="B357" s="166" t="str">
        <x:v>Blue Asset</x:v>
      </x:c>
      <x:c r="C357" s="169" t="n">
        <x:v>0.06253508534999999</x:v>
      </x:c>
      <x:c r="D357" s="166" t="str">
        <x:v>Blue Asset</x:v>
      </x:c>
      <x:c r="E357" s="185" t="str">
        <x:v>Blue Asset</x:v>
      </x:c>
      <x:c r="F357" s="166" t="str">
        <x:v>Independente</x:v>
      </x:c>
      <x:c r="G357" s="185" t="str">
        <x:v>Independente</x:v>
      </x:c>
      <x:c r="H357" s="166" t="str">
        <x:v>residual; requer revisão manual</x:v>
      </x:c>
      <x:c r="I357" s="166" t="str">
        <x:v>Baixa</x:v>
      </x:c>
      <x:c r="J357" s="166" t="str">
        <x:v>Sim — alta</x:v>
      </x:c>
    </x:row>
    <x:row r="358">
      <x:c r="A358" s="166" t="str">
        <x:v>Gestor</x:v>
      </x:c>
      <x:c r="B358" s="166" t="str">
        <x:v>Monetiza Investimentos</x:v>
      </x:c>
      <x:c r="C358" s="169" t="n">
        <x:v>0.060158501450000006</x:v>
      </x:c>
      <x:c r="D358" s="166" t="str">
        <x:v>Monetiza Investimentos</x:v>
      </x:c>
      <x:c r="E358" s="185" t="str">
        <x:v>Monetiza Investimentos</x:v>
      </x:c>
      <x:c r="F358" s="166" t="str">
        <x:v>Independente</x:v>
      </x:c>
      <x:c r="G358" s="185" t="str">
        <x:v>Independente</x:v>
      </x:c>
      <x:c r="H358" s="166" t="str">
        <x:v>residual; requer revisão manual</x:v>
      </x:c>
      <x:c r="I358" s="166" t="str">
        <x:v>Baixa</x:v>
      </x:c>
      <x:c r="J358" s="166" t="str">
        <x:v>Sim — alta</x:v>
      </x:c>
    </x:row>
    <x:row r="359">
      <x:c r="A359" s="166" t="str">
        <x:v>Gestor</x:v>
      </x:c>
      <x:c r="B359" s="166" t="str">
        <x:v>Real Investor Asset Management</x:v>
      </x:c>
      <x:c r="C359" s="169" t="n">
        <x:v>0.05856805199</x:v>
      </x:c>
      <x:c r="D359" s="166" t="str">
        <x:v>Real Investor Asset Management</x:v>
      </x:c>
      <x:c r="E359" s="185" t="str">
        <x:v>Real Investor Asset Management</x:v>
      </x:c>
      <x:c r="F359" s="166" t="str">
        <x:v>Independente</x:v>
      </x:c>
      <x:c r="G359" s="185" t="str">
        <x:v>Independente</x:v>
      </x:c>
      <x:c r="H359" s="166" t="str">
        <x:v>residual; requer revisão manual</x:v>
      </x:c>
      <x:c r="I359" s="166" t="str">
        <x:v>Baixa</x:v>
      </x:c>
      <x:c r="J359" s="166" t="str">
        <x:v>Sim — alta</x:v>
      </x:c>
    </x:row>
    <x:row r="360">
      <x:c r="A360" s="166" t="str">
        <x:v>Gestor</x:v>
      </x:c>
      <x:c r="B360" s="166" t="str">
        <x:v>Hyperion</x:v>
      </x:c>
      <x:c r="C360" s="169" t="n">
        <x:v>0.058179701619999996</x:v>
      </x:c>
      <x:c r="D360" s="166" t="str">
        <x:v>Hyperion</x:v>
      </x:c>
      <x:c r="E360" s="185" t="str">
        <x:v>Hyperion</x:v>
      </x:c>
      <x:c r="F360" s="166" t="str">
        <x:v>Independente</x:v>
      </x:c>
      <x:c r="G360" s="185" t="str">
        <x:v>Independente</x:v>
      </x:c>
      <x:c r="H360" s="166" t="str">
        <x:v>residual; requer revisão manual</x:v>
      </x:c>
      <x:c r="I360" s="166" t="str">
        <x:v>Baixa</x:v>
      </x:c>
      <x:c r="J360" s="166" t="str">
        <x:v>Sim — alta</x:v>
      </x:c>
    </x:row>
    <x:row r="361">
      <x:c r="A361" s="166" t="str">
        <x:v>Gestor</x:v>
      </x:c>
      <x:c r="B361" s="166" t="str">
        <x:v>KIJANI GESTORA DE RECURSOS LTDA.</x:v>
      </x:c>
      <x:c r="C361" s="169" t="n">
        <x:v>0.057300890460000004</x:v>
      </x:c>
      <x:c r="D361" s="166" t="str">
        <x:v>KIJANI GESTORA DE RECURSOS LTDA.</x:v>
      </x:c>
      <x:c r="E361" s="185" t="str">
        <x:v>KIJANI GESTORA DE RECURSOS LTDA.</x:v>
      </x:c>
      <x:c r="F361" s="166" t="str">
        <x:v>Independente</x:v>
      </x:c>
      <x:c r="G361" s="185" t="str">
        <x:v>Independente</x:v>
      </x:c>
      <x:c r="H361" s="166" t="str">
        <x:v>residual; requer revisão manual</x:v>
      </x:c>
      <x:c r="I361" s="166" t="str">
        <x:v>Baixa</x:v>
      </x:c>
      <x:c r="J361" s="166" t="str">
        <x:v>Sim — alta</x:v>
      </x:c>
    </x:row>
    <x:row r="362">
      <x:c r="A362" s="166" t="str">
        <x:v>Gestor</x:v>
      </x:c>
      <x:c r="B362" s="166" t="str">
        <x:v>GCB Capital</x:v>
      </x:c>
      <x:c r="C362" s="169" t="n">
        <x:v>0.05728482834</x:v>
      </x:c>
      <x:c r="D362" s="166" t="str">
        <x:v>GCB Capital</x:v>
      </x:c>
      <x:c r="E362" s="185" t="str">
        <x:v>GCB Capital</x:v>
      </x:c>
      <x:c r="F362" s="166" t="str">
        <x:v>Independente</x:v>
      </x:c>
      <x:c r="G362" s="185" t="str">
        <x:v>Independente</x:v>
      </x:c>
      <x:c r="H362" s="166" t="str">
        <x:v>residual; requer revisão manual</x:v>
      </x:c>
      <x:c r="I362" s="166" t="str">
        <x:v>Baixa</x:v>
      </x:c>
      <x:c r="J362" s="166" t="str">
        <x:v>Sim — alta</x:v>
      </x:c>
    </x:row>
    <x:row r="363">
      <x:c r="A363" s="166" t="str">
        <x:v>Gestor</x:v>
      </x:c>
      <x:c r="B363" s="166" t="str">
        <x:v>RJ Gestão de Recursos Ltda.</x:v>
      </x:c>
      <x:c r="C363" s="169" t="n">
        <x:v>0.056574271259999996</x:v>
      </x:c>
      <x:c r="D363" s="166" t="str">
        <x:v>RJ Gestão de Recursos Ltda.</x:v>
      </x:c>
      <x:c r="E363" s="185" t="str">
        <x:v>RJ Gestão de Recursos Ltda.</x:v>
      </x:c>
      <x:c r="F363" s="166" t="str">
        <x:v>Independente</x:v>
      </x:c>
      <x:c r="G363" s="185" t="str">
        <x:v>Independente</x:v>
      </x:c>
      <x:c r="H363" s="166" t="str">
        <x:v>residual; requer revisão manual</x:v>
      </x:c>
      <x:c r="I363" s="166" t="str">
        <x:v>Baixa</x:v>
      </x:c>
      <x:c r="J363" s="166" t="str">
        <x:v>Sim — alta</x:v>
      </x:c>
    </x:row>
    <x:row r="364">
      <x:c r="A364" s="166" t="str">
        <x:v>Gestor</x:v>
      </x:c>
      <x:c r="B364" s="166" t="str">
        <x:v>Moka Gestora de Recursos de Terceiros LTDA.</x:v>
      </x:c>
      <x:c r="C364" s="169" t="n">
        <x:v>0.054981170180000004</x:v>
      </x:c>
      <x:c r="D364" s="166" t="str">
        <x:v>Moka Gestora de Recursos de Terceiros LTDA.</x:v>
      </x:c>
      <x:c r="E364" s="185" t="str">
        <x:v>Moka Gestora de Recursos de Terceiros LTDA.</x:v>
      </x:c>
      <x:c r="F364" s="166" t="str">
        <x:v>Independente</x:v>
      </x:c>
      <x:c r="G364" s="185" t="str">
        <x:v>Independente</x:v>
      </x:c>
      <x:c r="H364" s="166" t="str">
        <x:v>residual; requer revisão manual</x:v>
      </x:c>
      <x:c r="I364" s="166" t="str">
        <x:v>Baixa</x:v>
      </x:c>
      <x:c r="J364" s="166" t="str">
        <x:v>Sim — alta</x:v>
      </x:c>
    </x:row>
    <x:row r="365">
      <x:c r="A365" s="166" t="str">
        <x:v>Gestor</x:v>
      </x:c>
      <x:c r="B365" s="166" t="str">
        <x:v>Mosaico Gestora de Recursos Ltda.</x:v>
      </x:c>
      <x:c r="C365" s="169" t="n">
        <x:v>0.054706276520000006</x:v>
      </x:c>
      <x:c r="D365" s="166" t="str">
        <x:v>Mosaico Gestora de Recursos Ltda.</x:v>
      </x:c>
      <x:c r="E365" s="185" t="str">
        <x:v>Mosaico Gestora de Recursos Ltda.</x:v>
      </x:c>
      <x:c r="F365" s="166" t="str">
        <x:v>Independente</x:v>
      </x:c>
      <x:c r="G365" s="185" t="str">
        <x:v>Independente</x:v>
      </x:c>
      <x:c r="H365" s="166" t="str">
        <x:v>residual; requer revisão manual</x:v>
      </x:c>
      <x:c r="I365" s="166" t="str">
        <x:v>Baixa</x:v>
      </x:c>
      <x:c r="J365" s="166" t="str">
        <x:v>Sim — alta</x:v>
      </x:c>
    </x:row>
    <x:row r="366">
      <x:c r="A366" s="166" t="str">
        <x:v>Gestor</x:v>
      </x:c>
      <x:c r="B366" s="166" t="str">
        <x:v>GBM BRASIL DTVM S.A.</x:v>
      </x:c>
      <x:c r="C366" s="169" t="n">
        <x:v>0.05441014958</x:v>
      </x:c>
      <x:c r="D366" s="166" t="str">
        <x:v>GBM BRASIL DTVM S.A.</x:v>
      </x:c>
      <x:c r="E366" s="185" t="str">
        <x:v>GBM BRASIL DTVM S.A.</x:v>
      </x:c>
      <x:c r="F366" s="166" t="str">
        <x:v>Independente</x:v>
      </x:c>
      <x:c r="G366" s="185" t="str">
        <x:v>Independente</x:v>
      </x:c>
      <x:c r="H366" s="166" t="str">
        <x:v>residual; requer revisão manual</x:v>
      </x:c>
      <x:c r="I366" s="166" t="str">
        <x:v>Baixa</x:v>
      </x:c>
      <x:c r="J366" s="166" t="str">
        <x:v>Sim — alta</x:v>
      </x:c>
    </x:row>
    <x:row r="367">
      <x:c r="A367" s="166" t="str">
        <x:v>Gestor</x:v>
      </x:c>
      <x:c r="B367" s="166" t="str">
        <x:v>Hectare Capital Gestora de Recursos Ltda</x:v>
      </x:c>
      <x:c r="C367" s="169" t="n">
        <x:v>0.05311845934</x:v>
      </x:c>
      <x:c r="D367" s="166" t="str">
        <x:v>Hectare Capital Gestora de Recursos Ltda</x:v>
      </x:c>
      <x:c r="E367" s="185" t="str">
        <x:v>Hectare Capital Gestora de Recursos Ltda</x:v>
      </x:c>
      <x:c r="F367" s="166" t="str">
        <x:v>Independente</x:v>
      </x:c>
      <x:c r="G367" s="185" t="str">
        <x:v>Independente</x:v>
      </x:c>
      <x:c r="H367" s="166" t="str">
        <x:v>residual; requer revisão manual</x:v>
      </x:c>
      <x:c r="I367" s="166" t="str">
        <x:v>Baixa</x:v>
      </x:c>
      <x:c r="J367" s="166" t="str">
        <x:v>Sim — alta</x:v>
      </x:c>
    </x:row>
    <x:row r="368">
      <x:c r="A368" s="166" t="str">
        <x:v>Gestor</x:v>
      </x:c>
      <x:c r="B368" s="166" t="str">
        <x:v>Capitânia Invest</x:v>
      </x:c>
      <x:c r="C368" s="169" t="n">
        <x:v>0.05279312179</x:v>
      </x:c>
      <x:c r="D368" s="166" t="str">
        <x:v>Capitânia Invest</x:v>
      </x:c>
      <x:c r="E368" s="185" t="str">
        <x:v>Capitânia Invest</x:v>
      </x:c>
      <x:c r="F368" s="166" t="str">
        <x:v>Independente</x:v>
      </x:c>
      <x:c r="G368" s="185" t="str">
        <x:v>Independente</x:v>
      </x:c>
      <x:c r="H368" s="166" t="str">
        <x:v>residual; requer revisão manual</x:v>
      </x:c>
      <x:c r="I368" s="166" t="str">
        <x:v>Baixa</x:v>
      </x:c>
      <x:c r="J368" s="166" t="str">
        <x:v>Sim — alta</x:v>
      </x:c>
    </x:row>
    <x:row r="369">
      <x:c r="A369" s="166" t="str">
        <x:v>Gestor</x:v>
      </x:c>
      <x:c r="B369" s="166" t="str">
        <x:v>PRX CAPITAL</x:v>
      </x:c>
      <x:c r="C369" s="169" t="n">
        <x:v>0.051690607439999994</x:v>
      </x:c>
      <x:c r="D369" s="166" t="str">
        <x:v>PRX CAPITAL</x:v>
      </x:c>
      <x:c r="E369" s="185" t="str">
        <x:v>PRX CAPITAL</x:v>
      </x:c>
      <x:c r="F369" s="166" t="str">
        <x:v>Independente</x:v>
      </x:c>
      <x:c r="G369" s="185" t="str">
        <x:v>Independente</x:v>
      </x:c>
      <x:c r="H369" s="166" t="str">
        <x:v>residual; requer revisão manual</x:v>
      </x:c>
      <x:c r="I369" s="166" t="str">
        <x:v>Baixa</x:v>
      </x:c>
      <x:c r="J369" s="166" t="str">
        <x:v>Sim — alta</x:v>
      </x:c>
    </x:row>
    <x:row r="370">
      <x:c r="A370" s="166" t="str">
        <x:v>Gestor</x:v>
      </x:c>
      <x:c r="B370" s="166" t="str">
        <x:v>Limine Trust Distribuidora de Titulos e Valores Mobiliá</x:v>
      </x:c>
      <x:c r="C370" s="169" t="n">
        <x:v>0.05100584155</x:v>
      </x:c>
      <x:c r="D370" s="166" t="str">
        <x:v>Limine Trust Distribuidora de Titulos e Valores Mobiliá</x:v>
      </x:c>
      <x:c r="E370" s="185" t="str">
        <x:v>Limine Trust Distribuidora de Titulos e Valores Mobiliá</x:v>
      </x:c>
      <x:c r="F370" s="166" t="str">
        <x:v>Independente</x:v>
      </x:c>
      <x:c r="G370" s="185" t="str">
        <x:v>Independente</x:v>
      </x:c>
      <x:c r="H370" s="166" t="str">
        <x:v>residual; requer revisão manual</x:v>
      </x:c>
      <x:c r="I370" s="166" t="str">
        <x:v>Baixa</x:v>
      </x:c>
      <x:c r="J370" s="166" t="str">
        <x:v>Sim — alta</x:v>
      </x:c>
    </x:row>
    <x:row r="371">
      <x:c r="A371" s="166" t="str">
        <x:v>Gestor</x:v>
      </x:c>
      <x:c r="B371" s="166" t="str">
        <x:v>Corcovado Investimentos</x:v>
      </x:c>
      <x:c r="C371" s="169" t="n">
        <x:v>0.050672044640000004</x:v>
      </x:c>
      <x:c r="D371" s="166" t="str">
        <x:v>Corcovado Investimentos</x:v>
      </x:c>
      <x:c r="E371" s="185" t="str">
        <x:v>Corcovado Investimentos</x:v>
      </x:c>
      <x:c r="F371" s="166" t="str">
        <x:v>Independente</x:v>
      </x:c>
      <x:c r="G371" s="185" t="str">
        <x:v>Independente</x:v>
      </x:c>
      <x:c r="H371" s="166" t="str">
        <x:v>residual; requer revisão manual</x:v>
      </x:c>
      <x:c r="I371" s="166" t="str">
        <x:v>Baixa</x:v>
      </x:c>
      <x:c r="J371" s="166" t="str">
        <x:v>Sim — alta</x:v>
      </x:c>
    </x:row>
    <x:row r="372">
      <x:c r="A372" s="166" t="str">
        <x:v>Gestor</x:v>
      </x:c>
      <x:c r="B372" s="166" t="str">
        <x:v>SETE ASSET MANAGEMENT LTDA</x:v>
      </x:c>
      <x:c r="C372" s="169" t="n">
        <x:v>0.050317772020000005</x:v>
      </x:c>
      <x:c r="D372" s="166" t="str">
        <x:v>SETE ASSET MANAGEMENT LTDA</x:v>
      </x:c>
      <x:c r="E372" s="185" t="str">
        <x:v>SETE ASSET MANAGEMENT LTDA</x:v>
      </x:c>
      <x:c r="F372" s="166" t="str">
        <x:v>Independente</x:v>
      </x:c>
      <x:c r="G372" s="185" t="str">
        <x:v>Independente</x:v>
      </x:c>
      <x:c r="H372" s="166" t="str">
        <x:v>residual; requer revisão manual</x:v>
      </x:c>
      <x:c r="I372" s="166" t="str">
        <x:v>Baixa</x:v>
      </x:c>
      <x:c r="J372" s="166" t="str">
        <x:v>Sim — alta</x:v>
      </x:c>
    </x:row>
    <x:row r="373">
      <x:c r="A373" s="166" t="str">
        <x:v>Gestor</x:v>
      </x:c>
      <x:c r="B373" s="166" t="str">
        <x:v>ATIVA ASSET LTDA</x:v>
      </x:c>
      <x:c r="C373" s="169" t="n">
        <x:v>0.04971116300999999</x:v>
      </x:c>
      <x:c r="D373" s="166" t="str">
        <x:v>ATIVA ASSET LTDA</x:v>
      </x:c>
      <x:c r="E373" s="185" t="str">
        <x:v>ATIVA ASSET LTDA</x:v>
      </x:c>
      <x:c r="F373" s="166" t="str">
        <x:v>Independente</x:v>
      </x:c>
      <x:c r="G373" s="185" t="str">
        <x:v>Independente</x:v>
      </x:c>
      <x:c r="H373" s="166" t="str">
        <x:v>residual; requer revisão manual</x:v>
      </x:c>
      <x:c r="I373" s="166" t="str">
        <x:v>Baixa</x:v>
      </x:c>
      <x:c r="J373" s="166" t="str">
        <x:v>Sim — alta</x:v>
      </x:c>
    </x:row>
    <x:row r="374">
      <x:c r="A374" s="166" t="str">
        <x:v>Gestor</x:v>
      </x:c>
      <x:c r="B374" s="166" t="str">
        <x:v>LORINVEST GESTÃO DE RECURSOS LTDA</x:v>
      </x:c>
      <x:c r="C374" s="169" t="n">
        <x:v>0.04880738121</x:v>
      </x:c>
      <x:c r="D374" s="166" t="str">
        <x:v>LORINVEST GESTÃO DE RECURSOS LTDA</x:v>
      </x:c>
      <x:c r="E374" s="185" t="str">
        <x:v>LORINVEST GESTÃO DE RECURSOS LTDA</x:v>
      </x:c>
      <x:c r="F374" s="166" t="str">
        <x:v>Independente</x:v>
      </x:c>
      <x:c r="G374" s="185" t="str">
        <x:v>Independente</x:v>
      </x:c>
      <x:c r="H374" s="166" t="str">
        <x:v>residual; requer revisão manual</x:v>
      </x:c>
      <x:c r="I374" s="166" t="str">
        <x:v>Baixa</x:v>
      </x:c>
      <x:c r="J374" s="166" t="str">
        <x:v>Sim — alta</x:v>
      </x:c>
    </x:row>
    <x:row r="375">
      <x:c r="A375" s="166" t="str">
        <x:v>Gestor</x:v>
      </x:c>
      <x:c r="B375" s="166" t="str">
        <x:v>Onze Investimentos</x:v>
      </x:c>
      <x:c r="C375" s="169" t="n">
        <x:v>0.04809381925062</x:v>
      </x:c>
      <x:c r="D375" s="166" t="str">
        <x:v>Onze Investimentos</x:v>
      </x:c>
      <x:c r="E375" s="185" t="str">
        <x:v>Onze Investimentos</x:v>
      </x:c>
      <x:c r="F375" s="166" t="str">
        <x:v>Independente</x:v>
      </x:c>
      <x:c r="G375" s="185" t="str">
        <x:v>Independente</x:v>
      </x:c>
      <x:c r="H375" s="166" t="str">
        <x:v>residual; requer revisão manual</x:v>
      </x:c>
      <x:c r="I375" s="166" t="str">
        <x:v>Baixa</x:v>
      </x:c>
      <x:c r="J375" s="166" t="str">
        <x:v>Sim — alta</x:v>
      </x:c>
    </x:row>
    <x:row r="376">
      <x:c r="A376" s="166" t="str">
        <x:v>Gestor</x:v>
      </x:c>
      <x:c r="B376" s="166" t="str">
        <x:v>PROPRIO CAPITAL</x:v>
      </x:c>
      <x:c r="C376" s="169" t="n">
        <x:v>0.04664725795</x:v>
      </x:c>
      <x:c r="D376" s="166" t="str">
        <x:v>PROPRIO CAPITAL</x:v>
      </x:c>
      <x:c r="E376" s="185" t="str">
        <x:v>PROPRIO CAPITAL</x:v>
      </x:c>
      <x:c r="F376" s="166" t="str">
        <x:v>Independente</x:v>
      </x:c>
      <x:c r="G376" s="185" t="str">
        <x:v>Independente</x:v>
      </x:c>
      <x:c r="H376" s="166" t="str">
        <x:v>residual; requer revisão manual</x:v>
      </x:c>
      <x:c r="I376" s="166" t="str">
        <x:v>Baixa</x:v>
      </x:c>
      <x:c r="J376" s="166" t="str">
        <x:v>Sim — alta</x:v>
      </x:c>
    </x:row>
    <x:row r="377">
      <x:c r="A377" s="166" t="str">
        <x:v>Gestor</x:v>
      </x:c>
      <x:c r="B377" s="166" t="str">
        <x:v>MACAM ASSET</x:v>
      </x:c>
      <x:c r="C377" s="169" t="n">
        <x:v>0.046527520409999995</x:v>
      </x:c>
      <x:c r="D377" s="166" t="str">
        <x:v>MACAM ASSET</x:v>
      </x:c>
      <x:c r="E377" s="185" t="str">
        <x:v>MACAM ASSET</x:v>
      </x:c>
      <x:c r="F377" s="166" t="str">
        <x:v>Independente</x:v>
      </x:c>
      <x:c r="G377" s="185" t="str">
        <x:v>Independente</x:v>
      </x:c>
      <x:c r="H377" s="166" t="str">
        <x:v>residual; requer revisão manual</x:v>
      </x:c>
      <x:c r="I377" s="166" t="str">
        <x:v>Baixa</x:v>
      </x:c>
      <x:c r="J377" s="166" t="str">
        <x:v>Sim — alta</x:v>
      </x:c>
    </x:row>
    <x:row r="378">
      <x:c r="A378" s="166" t="str">
        <x:v>Gestor</x:v>
      </x:c>
      <x:c r="B378" s="166" t="str">
        <x:v>AGG Investimentos Ltda.</x:v>
      </x:c>
      <x:c r="C378" s="169" t="n">
        <x:v>0.04613422644</x:v>
      </x:c>
      <x:c r="D378" s="166" t="str">
        <x:v>AGG Investimentos Ltda.</x:v>
      </x:c>
      <x:c r="E378" s="185" t="str">
        <x:v>AGG Investimentos Ltda.</x:v>
      </x:c>
      <x:c r="F378" s="166" t="str">
        <x:v>Independente</x:v>
      </x:c>
      <x:c r="G378" s="185" t="str">
        <x:v>Independente</x:v>
      </x:c>
      <x:c r="H378" s="166" t="str">
        <x:v>residual; requer revisão manual</x:v>
      </x:c>
      <x:c r="I378" s="166" t="str">
        <x:v>Baixa</x:v>
      </x:c>
      <x:c r="J378" s="166" t="str">
        <x:v>Sim — alta</x:v>
      </x:c>
    </x:row>
    <x:row r="379">
      <x:c r="A379" s="166" t="str">
        <x:v>Gestor</x:v>
      </x:c>
      <x:c r="B379" s="166" t="str">
        <x:v>KMT ASSET MANAGEMENT</x:v>
      </x:c>
      <x:c r="C379" s="169" t="n">
        <x:v>0.04596969245</x:v>
      </x:c>
      <x:c r="D379" s="166" t="str">
        <x:v>KMT ASSET MANAGEMENT</x:v>
      </x:c>
      <x:c r="E379" s="185" t="str">
        <x:v>KMT ASSET MANAGEMENT</x:v>
      </x:c>
      <x:c r="F379" s="166" t="str">
        <x:v>Independente</x:v>
      </x:c>
      <x:c r="G379" s="185" t="str">
        <x:v>Independente</x:v>
      </x:c>
      <x:c r="H379" s="166" t="str">
        <x:v>residual; requer revisão manual</x:v>
      </x:c>
      <x:c r="I379" s="166" t="str">
        <x:v>Baixa</x:v>
      </x:c>
      <x:c r="J379" s="166" t="str">
        <x:v>Sim — alta</x:v>
      </x:c>
    </x:row>
    <x:row r="380">
      <x:c r="A380" s="166" t="str">
        <x:v>Gestor</x:v>
      </x:c>
      <x:c r="B380" s="166" t="str">
        <x:v>IBBRA GESTÃO</x:v>
      </x:c>
      <x:c r="C380" s="169" t="n">
        <x:v>0.04335177504</x:v>
      </x:c>
      <x:c r="D380" s="166" t="str">
        <x:v>IBBRA GESTÃO</x:v>
      </x:c>
      <x:c r="E380" s="185" t="str">
        <x:v>IBBRA GESTÃO</x:v>
      </x:c>
      <x:c r="F380" s="166" t="str">
        <x:v>Independente</x:v>
      </x:c>
      <x:c r="G380" s="185" t="str">
        <x:v>Independente</x:v>
      </x:c>
      <x:c r="H380" s="166" t="str">
        <x:v>residual; requer revisão manual</x:v>
      </x:c>
      <x:c r="I380" s="166" t="str">
        <x:v>Baixa</x:v>
      </x:c>
      <x:c r="J380" s="166" t="str">
        <x:v>Sim — alta</x:v>
      </x:c>
    </x:row>
    <x:row r="381">
      <x:c r="A381" s="166" t="str">
        <x:v>Gestor</x:v>
      </x:c>
      <x:c r="B381" s="166" t="str">
        <x:v>AF Invest</x:v>
      </x:c>
      <x:c r="C381" s="169" t="n">
        <x:v>0.04314301468000001</x:v>
      </x:c>
      <x:c r="D381" s="166" t="str">
        <x:v>AF Invest</x:v>
      </x:c>
      <x:c r="E381" s="185" t="str">
        <x:v>AF Invest</x:v>
      </x:c>
      <x:c r="F381" s="166" t="str">
        <x:v>Independente</x:v>
      </x:c>
      <x:c r="G381" s="185" t="str">
        <x:v>Independente</x:v>
      </x:c>
      <x:c r="H381" s="166" t="str">
        <x:v>residual; requer revisão manual</x:v>
      </x:c>
      <x:c r="I381" s="166" t="str">
        <x:v>Baixa</x:v>
      </x:c>
      <x:c r="J381" s="166" t="str">
        <x:v>Sim — alta</x:v>
      </x:c>
    </x:row>
    <x:row r="382">
      <x:c r="A382" s="166" t="str">
        <x:v>Gestor</x:v>
      </x:c>
      <x:c r="B382" s="166" t="str">
        <x:v>Quadrante Investimentos Ltda</x:v>
      </x:c>
      <x:c r="C382" s="169" t="n">
        <x:v>0.04131866872</x:v>
      </x:c>
      <x:c r="D382" s="166" t="str">
        <x:v>Quadrante Investimentos Ltda</x:v>
      </x:c>
      <x:c r="E382" s="185" t="str">
        <x:v>Quadrante Investimentos Ltda</x:v>
      </x:c>
      <x:c r="F382" s="166" t="str">
        <x:v>Independente</x:v>
      </x:c>
      <x:c r="G382" s="185" t="str">
        <x:v>Independente</x:v>
      </x:c>
      <x:c r="H382" s="166" t="str">
        <x:v>residual; requer revisão manual</x:v>
      </x:c>
      <x:c r="I382" s="166" t="str">
        <x:v>Baixa</x:v>
      </x:c>
      <x:c r="J382" s="166" t="str">
        <x:v>Sim — alta</x:v>
      </x:c>
    </x:row>
    <x:row r="383">
      <x:c r="A383" s="166" t="str">
        <x:v>Gestor</x:v>
      </x:c>
      <x:c r="B383" s="166" t="str">
        <x:v>A5 Capital Partners</x:v>
      </x:c>
      <x:c r="C383" s="169" t="n">
        <x:v>0.04084409792</x:v>
      </x:c>
      <x:c r="D383" s="166" t="str">
        <x:v>A5 Capital Partners</x:v>
      </x:c>
      <x:c r="E383" s="185" t="str">
        <x:v>A5 Capital Partners</x:v>
      </x:c>
      <x:c r="F383" s="166" t="str">
        <x:v>Independente</x:v>
      </x:c>
      <x:c r="G383" s="185" t="str">
        <x:v>Independente</x:v>
      </x:c>
      <x:c r="H383" s="166" t="str">
        <x:v>residual; requer revisão manual</x:v>
      </x:c>
      <x:c r="I383" s="166" t="str">
        <x:v>Baixa</x:v>
      </x:c>
      <x:c r="J383" s="166" t="str">
        <x:v>Sim — alta</x:v>
      </x:c>
    </x:row>
    <x:row r="384">
      <x:c r="A384" s="166" t="str">
        <x:v>Gestor</x:v>
      </x:c>
      <x:c r="B384" s="166" t="str">
        <x:v>Plural</x:v>
      </x:c>
      <x:c r="C384" s="169" t="n">
        <x:v>0.04031494373</x:v>
      </x:c>
      <x:c r="D384" s="166" t="str">
        <x:v>Plural</x:v>
      </x:c>
      <x:c r="E384" s="185" t="str">
        <x:v>Plural</x:v>
      </x:c>
      <x:c r="F384" s="166" t="str">
        <x:v>Independente</x:v>
      </x:c>
      <x:c r="G384" s="185" t="str">
        <x:v>Independente</x:v>
      </x:c>
      <x:c r="H384" s="166" t="str">
        <x:v>residual; requer revisão manual</x:v>
      </x:c>
      <x:c r="I384" s="166" t="str">
        <x:v>Baixa</x:v>
      </x:c>
      <x:c r="J384" s="166" t="str">
        <x:v>Sim — alta</x:v>
      </x:c>
    </x:row>
    <x:row r="385">
      <x:c r="A385" s="166" t="str">
        <x:v>Gestor</x:v>
      </x:c>
      <x:c r="B385" s="166" t="str">
        <x:v>AWARE GESTÃO DE RECURSOS LTDA</x:v>
      </x:c>
      <x:c r="C385" s="169" t="n">
        <x:v>0.03989154035</x:v>
      </x:c>
      <x:c r="D385" s="166" t="str">
        <x:v>AWARE GESTÃO DE RECURSOS LTDA</x:v>
      </x:c>
      <x:c r="E385" s="185" t="str">
        <x:v>AWARE GESTÃO DE RECURSOS LTDA</x:v>
      </x:c>
      <x:c r="F385" s="166" t="str">
        <x:v>Independente</x:v>
      </x:c>
      <x:c r="G385" s="185" t="str">
        <x:v>Independente</x:v>
      </x:c>
      <x:c r="H385" s="166" t="str">
        <x:v>residual; requer revisão manual</x:v>
      </x:c>
      <x:c r="I385" s="166" t="str">
        <x:v>Baixa</x:v>
      </x:c>
      <x:c r="J385" s="166" t="str">
        <x:v>Sim — alta</x:v>
      </x:c>
    </x:row>
    <x:row r="386">
      <x:c r="A386" s="166" t="str">
        <x:v>Gestor</x:v>
      </x:c>
      <x:c r="B386" s="166" t="str">
        <x:v>Vórtx Capital Gestão de Recursos Ltda.</x:v>
      </x:c>
      <x:c r="C386" s="169" t="n">
        <x:v>0.039648397409999994</x:v>
      </x:c>
      <x:c r="D386" s="166" t="str">
        <x:v>Vórtx Capital Gestão de Recursos Ltda.</x:v>
      </x:c>
      <x:c r="E386" s="185" t="str">
        <x:v>Vórtx Capital Gestão de Recursos Ltda.</x:v>
      </x:c>
      <x:c r="F386" s="166" t="str">
        <x:v>Independente</x:v>
      </x:c>
      <x:c r="G386" s="185" t="str">
        <x:v>Independente</x:v>
      </x:c>
      <x:c r="H386" s="166" t="str">
        <x:v>residual; requer revisão manual</x:v>
      </x:c>
      <x:c r="I386" s="166" t="str">
        <x:v>Baixa</x:v>
      </x:c>
      <x:c r="J386" s="166" t="str">
        <x:v>Sim — alta</x:v>
      </x:c>
    </x:row>
    <x:row r="387">
      <x:c r="A387" s="166" t="str">
        <x:v>Gestor</x:v>
      </x:c>
      <x:c r="B387" s="166" t="str">
        <x:v>OKEAN INVEST</x:v>
      </x:c>
      <x:c r="C387" s="169" t="n">
        <x:v>0.03942887706999999</x:v>
      </x:c>
      <x:c r="D387" s="166" t="str">
        <x:v>OKEAN INVEST</x:v>
      </x:c>
      <x:c r="E387" s="185" t="str">
        <x:v>OKEAN INVEST</x:v>
      </x:c>
      <x:c r="F387" s="166" t="str">
        <x:v>Independente</x:v>
      </x:c>
      <x:c r="G387" s="185" t="str">
        <x:v>Independente</x:v>
      </x:c>
      <x:c r="H387" s="166" t="str">
        <x:v>residual; requer revisão manual</x:v>
      </x:c>
      <x:c r="I387" s="166" t="str">
        <x:v>Baixa</x:v>
      </x:c>
      <x:c r="J387" s="166" t="str">
        <x:v>Sim — alta</x:v>
      </x:c>
    </x:row>
    <x:row r="388">
      <x:c r="A388" s="166" t="str">
        <x:v>Gestor</x:v>
      </x:c>
      <x:c r="B388" s="166" t="str">
        <x:v>KILIMA ASSET MANAGEMENT</x:v>
      </x:c>
      <x:c r="C388" s="169" t="n">
        <x:v>0.03754590418</x:v>
      </x:c>
      <x:c r="D388" s="166" t="str">
        <x:v>KILIMA ASSET MANAGEMENT</x:v>
      </x:c>
      <x:c r="E388" s="185" t="str">
        <x:v>KILIMA ASSET MANAGEMENT</x:v>
      </x:c>
      <x:c r="F388" s="166" t="str">
        <x:v>Independente</x:v>
      </x:c>
      <x:c r="G388" s="185" t="str">
        <x:v>Independente</x:v>
      </x:c>
      <x:c r="H388" s="166" t="str">
        <x:v>residual; requer revisão manual</x:v>
      </x:c>
      <x:c r="I388" s="166" t="str">
        <x:v>Baixa</x:v>
      </x:c>
      <x:c r="J388" s="166" t="str">
        <x:v>Sim — alta</x:v>
      </x:c>
    </x:row>
    <x:row r="389">
      <x:c r="A389" s="166" t="str">
        <x:v>Gestor</x:v>
      </x:c>
      <x:c r="B389" s="166" t="str">
        <x:v>GAMA INVESTIMENTOS LTDA.</x:v>
      </x:c>
      <x:c r="C389" s="169" t="n">
        <x:v>0.035655669429999995</x:v>
      </x:c>
      <x:c r="D389" s="166" t="str">
        <x:v>GAMA INVESTIMENTOS LTDA.</x:v>
      </x:c>
      <x:c r="E389" s="185" t="str">
        <x:v>GAMA INVESTIMENTOS LTDA.</x:v>
      </x:c>
      <x:c r="F389" s="166" t="str">
        <x:v>Independente</x:v>
      </x:c>
      <x:c r="G389" s="185" t="str">
        <x:v>Independente</x:v>
      </x:c>
      <x:c r="H389" s="166" t="str">
        <x:v>residual; requer revisão manual</x:v>
      </x:c>
      <x:c r="I389" s="166" t="str">
        <x:v>Baixa</x:v>
      </x:c>
      <x:c r="J389" s="166" t="str">
        <x:v>Sim — alta</x:v>
      </x:c>
    </x:row>
    <x:row r="390">
      <x:c r="A390" s="166" t="str">
        <x:v>Gestor</x:v>
      </x:c>
      <x:c r="B390" s="166" t="str">
        <x:v>Geribá Investimentos Ltda.</x:v>
      </x:c>
      <x:c r="C390" s="169" t="n">
        <x:v>0.03517365537000001</x:v>
      </x:c>
      <x:c r="D390" s="166" t="str">
        <x:v>Geribá Investimentos Ltda.</x:v>
      </x:c>
      <x:c r="E390" s="185" t="str">
        <x:v>Geribá Investimentos Ltda.</x:v>
      </x:c>
      <x:c r="F390" s="166" t="str">
        <x:v>Independente</x:v>
      </x:c>
      <x:c r="G390" s="185" t="str">
        <x:v>Independente</x:v>
      </x:c>
      <x:c r="H390" s="166" t="str">
        <x:v>residual; requer revisão manual</x:v>
      </x:c>
      <x:c r="I390" s="166" t="str">
        <x:v>Baixa</x:v>
      </x:c>
      <x:c r="J390" s="166" t="str">
        <x:v>Sim — alta</x:v>
      </x:c>
    </x:row>
    <x:row r="391">
      <x:c r="A391" s="166" t="str">
        <x:v>Gestor</x:v>
      </x:c>
      <x:c r="B391" s="166" t="str">
        <x:v>HSO Capital</x:v>
      </x:c>
      <x:c r="C391" s="169" t="n">
        <x:v>0.03390382891</x:v>
      </x:c>
      <x:c r="D391" s="166" t="str">
        <x:v>HSO Capital</x:v>
      </x:c>
      <x:c r="E391" s="185" t="str">
        <x:v>HSO Capital</x:v>
      </x:c>
      <x:c r="F391" s="166" t="str">
        <x:v>Independente</x:v>
      </x:c>
      <x:c r="G391" s="185" t="str">
        <x:v>Independente</x:v>
      </x:c>
      <x:c r="H391" s="166" t="str">
        <x:v>residual; requer revisão manual</x:v>
      </x:c>
      <x:c r="I391" s="166" t="str">
        <x:v>Baixa</x:v>
      </x:c>
      <x:c r="J391" s="166" t="str">
        <x:v>Sim — alta</x:v>
      </x:c>
    </x:row>
    <x:row r="392">
      <x:c r="A392" s="166" t="str">
        <x:v>Gestor</x:v>
      </x:c>
      <x:c r="B392" s="166" t="str">
        <x:v>Vectis Gestão</x:v>
      </x:c>
      <x:c r="C392" s="169" t="n">
        <x:v>0.03340214374</x:v>
      </x:c>
      <x:c r="D392" s="166" t="str">
        <x:v>Vectis Gestão</x:v>
      </x:c>
      <x:c r="E392" s="185" t="str">
        <x:v>Vectis Gestão</x:v>
      </x:c>
      <x:c r="F392" s="166" t="str">
        <x:v>Independente</x:v>
      </x:c>
      <x:c r="G392" s="185" t="str">
        <x:v>Independente</x:v>
      </x:c>
      <x:c r="H392" s="166" t="str">
        <x:v>residual; requer revisão manual</x:v>
      </x:c>
      <x:c r="I392" s="166" t="str">
        <x:v>Baixa</x:v>
      </x:c>
      <x:c r="J392" s="166" t="str">
        <x:v>Sim — alta</x:v>
      </x:c>
    </x:row>
    <x:row r="393">
      <x:c r="A393" s="166" t="str">
        <x:v>Gestor</x:v>
      </x:c>
      <x:c r="B393" s="166" t="str">
        <x:v>Dhama Capital Ltda</x:v>
      </x:c>
      <x:c r="C393" s="169" t="n">
        <x:v>0.033015553600000004</x:v>
      </x:c>
      <x:c r="D393" s="166" t="str">
        <x:v>Dhama Capital Ltda</x:v>
      </x:c>
      <x:c r="E393" s="185" t="str">
        <x:v>Dhama Capital Ltda</x:v>
      </x:c>
      <x:c r="F393" s="166" t="str">
        <x:v>Independente</x:v>
      </x:c>
      <x:c r="G393" s="185" t="str">
        <x:v>Independente</x:v>
      </x:c>
      <x:c r="H393" s="166" t="str">
        <x:v>residual; requer revisão manual</x:v>
      </x:c>
      <x:c r="I393" s="166" t="str">
        <x:v>Baixa</x:v>
      </x:c>
      <x:c r="J393" s="166" t="str">
        <x:v>Sim — alta</x:v>
      </x:c>
    </x:row>
    <x:row r="394">
      <x:c r="A394" s="166" t="str">
        <x:v>Gestor</x:v>
      </x:c>
      <x:c r="B394" s="166" t="str">
        <x:v>CATALUNYA GESTÃO DE RECURSOS LTDA .</x:v>
      </x:c>
      <x:c r="C394" s="169" t="n">
        <x:v>0.03160706836</x:v>
      </x:c>
      <x:c r="D394" s="166" t="str">
        <x:v>CATALUNYA GESTÃO DE RECURSOS LTDA .</x:v>
      </x:c>
      <x:c r="E394" s="185" t="str">
        <x:v>CATALUNYA GESTÃO DE RECURSOS LTDA .</x:v>
      </x:c>
      <x:c r="F394" s="166" t="str">
        <x:v>Independente</x:v>
      </x:c>
      <x:c r="G394" s="185" t="str">
        <x:v>Independente</x:v>
      </x:c>
      <x:c r="H394" s="166" t="str">
        <x:v>residual; requer revisão manual</x:v>
      </x:c>
      <x:c r="I394" s="166" t="str">
        <x:v>Baixa</x:v>
      </x:c>
      <x:c r="J394" s="166" t="str">
        <x:v>Sim — alta</x:v>
      </x:c>
    </x:row>
    <x:row r="395">
      <x:c r="A395" s="166" t="str">
        <x:v>Gestor</x:v>
      </x:c>
      <x:c r="B395" s="166" t="str">
        <x:v>Exante Asset Management</x:v>
      </x:c>
      <x:c r="C395" s="169" t="n">
        <x:v>0.03135723313</x:v>
      </x:c>
      <x:c r="D395" s="166" t="str">
        <x:v>Exante Asset Management</x:v>
      </x:c>
      <x:c r="E395" s="185" t="str">
        <x:v>Exante Asset Management</x:v>
      </x:c>
      <x:c r="F395" s="166" t="str">
        <x:v>Independente</x:v>
      </x:c>
      <x:c r="G395" s="185" t="str">
        <x:v>Independente</x:v>
      </x:c>
      <x:c r="H395" s="166" t="str">
        <x:v>residual; requer revisão manual</x:v>
      </x:c>
      <x:c r="I395" s="166" t="str">
        <x:v>Baixa</x:v>
      </x:c>
      <x:c r="J395" s="166" t="str">
        <x:v>Sim — alta</x:v>
      </x:c>
    </x:row>
    <x:row r="396">
      <x:c r="A396" s="166" t="str">
        <x:v>Gestor</x:v>
      </x:c>
      <x:c r="B396" s="166" t="str">
        <x:v>INVESTCOOP ASSET MANAGEMENT LTDA</x:v>
      </x:c>
      <x:c r="C396" s="169" t="n">
        <x:v>0.03120491236</x:v>
      </x:c>
      <x:c r="D396" s="166" t="str">
        <x:v>INVESTCOOP ASSET MANAGEMENT LTDA</x:v>
      </x:c>
      <x:c r="E396" s="185" t="str">
        <x:v>INVESTCOOP ASSET MANAGEMENT LTDA</x:v>
      </x:c>
      <x:c r="F396" s="166" t="str">
        <x:v>Independente</x:v>
      </x:c>
      <x:c r="G396" s="185" t="str">
        <x:v>Independente</x:v>
      </x:c>
      <x:c r="H396" s="166" t="str">
        <x:v>residual; requer revisão manual</x:v>
      </x:c>
      <x:c r="I396" s="166" t="str">
        <x:v>Baixa</x:v>
      </x:c>
      <x:c r="J396" s="166" t="str">
        <x:v>Sim — alta</x:v>
      </x:c>
    </x:row>
    <x:row r="397">
      <x:c r="A397" s="166" t="str">
        <x:v>Gestor</x:v>
      </x:c>
      <x:c r="B397" s="166" t="str">
        <x:v>Maud Capital</x:v>
      </x:c>
      <x:c r="C397" s="169" t="n">
        <x:v>0.03066723243</x:v>
      </x:c>
      <x:c r="D397" s="166" t="str">
        <x:v>Maud Capital</x:v>
      </x:c>
      <x:c r="E397" s="185" t="str">
        <x:v>Maud Capital</x:v>
      </x:c>
      <x:c r="F397" s="166" t="str">
        <x:v>Independente</x:v>
      </x:c>
      <x:c r="G397" s="185" t="str">
        <x:v>Independente</x:v>
      </x:c>
      <x:c r="H397" s="166" t="str">
        <x:v>residual; requer revisão manual</x:v>
      </x:c>
      <x:c r="I397" s="166" t="str">
        <x:v>Baixa</x:v>
      </x:c>
      <x:c r="J397" s="166" t="str">
        <x:v>Sim — alta</x:v>
      </x:c>
    </x:row>
    <x:row r="398">
      <x:c r="A398" s="166" t="str">
        <x:v>Gestor</x:v>
      </x:c>
      <x:c r="B398" s="166" t="str">
        <x:v>HEADINVEST ASSET</x:v>
      </x:c>
      <x:c r="C398" s="169" t="n">
        <x:v>0.02948742978</x:v>
      </x:c>
      <x:c r="D398" s="166" t="str">
        <x:v>HEADINVEST ASSET</x:v>
      </x:c>
      <x:c r="E398" s="185" t="str">
        <x:v>HEADINVEST ASSET</x:v>
      </x:c>
      <x:c r="F398" s="166" t="str">
        <x:v>Independente</x:v>
      </x:c>
      <x:c r="G398" s="185" t="str">
        <x:v>Independente</x:v>
      </x:c>
      <x:c r="H398" s="166" t="str">
        <x:v>residual; requer revisão manual</x:v>
      </x:c>
      <x:c r="I398" s="166" t="str">
        <x:v>Baixa</x:v>
      </x:c>
      <x:c r="J398" s="166" t="str">
        <x:v>Sim — alta</x:v>
      </x:c>
    </x:row>
    <x:row r="399">
      <x:c r="A399" s="166" t="str">
        <x:v>Gestor</x:v>
      </x:c>
      <x:c r="B399" s="166" t="str">
        <x:v>LEGEND WM</x:v>
      </x:c>
      <x:c r="C399" s="169" t="n">
        <x:v>0.02932044155</x:v>
      </x:c>
      <x:c r="D399" s="166" t="str">
        <x:v>LEGEND WM</x:v>
      </x:c>
      <x:c r="E399" s="185" t="str">
        <x:v>LEGEND WM</x:v>
      </x:c>
      <x:c r="F399" s="166" t="str">
        <x:v>Independente</x:v>
      </x:c>
      <x:c r="G399" s="185" t="str">
        <x:v>Independente</x:v>
      </x:c>
      <x:c r="H399" s="166" t="str">
        <x:v>residual; requer revisão manual</x:v>
      </x:c>
      <x:c r="I399" s="166" t="str">
        <x:v>Baixa</x:v>
      </x:c>
      <x:c r="J399" s="166" t="str">
        <x:v>Sim — alta</x:v>
      </x:c>
    </x:row>
    <x:row r="400">
      <x:c r="A400" s="166" t="str">
        <x:v>Gestor</x:v>
      </x:c>
      <x:c r="B400" s="166" t="str">
        <x:v>Horizonte Capital Gestão de Investimentos LTDA</x:v>
      </x:c>
      <x:c r="C400" s="169" t="n">
        <x:v>0.027530820569999996</x:v>
      </x:c>
      <x:c r="D400" s="166" t="str">
        <x:v>Horizonte Capital Gestão de Investimentos LTDA</x:v>
      </x:c>
      <x:c r="E400" s="185" t="str">
        <x:v>Horizonte Capital Gestão de Investimentos LTDA</x:v>
      </x:c>
      <x:c r="F400" s="166" t="str">
        <x:v>Independente</x:v>
      </x:c>
      <x:c r="G400" s="185" t="str">
        <x:v>Independente</x:v>
      </x:c>
      <x:c r="H400" s="166" t="str">
        <x:v>residual; requer revisão manual</x:v>
      </x:c>
      <x:c r="I400" s="166" t="str">
        <x:v>Baixa</x:v>
      </x:c>
      <x:c r="J400" s="166" t="str">
        <x:v>Sim — alta</x:v>
      </x:c>
    </x:row>
    <x:row r="401">
      <x:c r="A401" s="166" t="str">
        <x:v>Gestor</x:v>
      </x:c>
      <x:c r="B401" s="166" t="str">
        <x:v>Quartzo Invest</x:v>
      </x:c>
      <x:c r="C401" s="169" t="n">
        <x:v>0.027330874959999998</x:v>
      </x:c>
      <x:c r="D401" s="166" t="str">
        <x:v>Quartzo Invest</x:v>
      </x:c>
      <x:c r="E401" s="185" t="str">
        <x:v>Quartzo Invest</x:v>
      </x:c>
      <x:c r="F401" s="166" t="str">
        <x:v>Independente</x:v>
      </x:c>
      <x:c r="G401" s="185" t="str">
        <x:v>Independente</x:v>
      </x:c>
      <x:c r="H401" s="166" t="str">
        <x:v>residual; requer revisão manual</x:v>
      </x:c>
      <x:c r="I401" s="166" t="str">
        <x:v>Baixa</x:v>
      </x:c>
      <x:c r="J401" s="166" t="str">
        <x:v>Sim — alta</x:v>
      </x:c>
    </x:row>
    <x:row r="402">
      <x:c r="A402" s="166" t="str">
        <x:v>Gestor</x:v>
      </x:c>
      <x:c r="B402" s="166" t="str">
        <x:v>FUNDO GARANTIDOR DE CREDITOS - FGC</x:v>
      </x:c>
      <x:c r="C402" s="169" t="n">
        <x:v>0.026743602300000002</x:v>
      </x:c>
      <x:c r="D402" s="166" t="str">
        <x:v>FUNDO GARANTIDOR DE CREDITOS - FGC</x:v>
      </x:c>
      <x:c r="E402" s="185" t="str">
        <x:v>FUNDO GARANTIDOR DE CREDITOS - FGC</x:v>
      </x:c>
      <x:c r="F402" s="166" t="str">
        <x:v>Independente</x:v>
      </x:c>
      <x:c r="G402" s="185" t="str">
        <x:v>Independente</x:v>
      </x:c>
      <x:c r="H402" s="166" t="str">
        <x:v>residual; requer revisão manual</x:v>
      </x:c>
      <x:c r="I402" s="166" t="str">
        <x:v>Baixa</x:v>
      </x:c>
      <x:c r="J402" s="166" t="str">
        <x:v>Sim — alta</x:v>
      </x:c>
    </x:row>
    <x:row r="403">
      <x:c r="A403" s="166" t="str">
        <x:v>Gestor</x:v>
      </x:c>
      <x:c r="B403" s="166" t="str">
        <x:v>W Capital</x:v>
      </x:c>
      <x:c r="C403" s="169" t="n">
        <x:v>0.026320613880000007</x:v>
      </x:c>
      <x:c r="D403" s="166" t="str">
        <x:v>W Capital</x:v>
      </x:c>
      <x:c r="E403" s="185" t="str">
        <x:v>W Capital</x:v>
      </x:c>
      <x:c r="F403" s="166" t="str">
        <x:v>Independente</x:v>
      </x:c>
      <x:c r="G403" s="185" t="str">
        <x:v>Independente</x:v>
      </x:c>
      <x:c r="H403" s="166" t="str">
        <x:v>residual; requer revisão manual</x:v>
      </x:c>
      <x:c r="I403" s="166" t="str">
        <x:v>Baixa</x:v>
      </x:c>
      <x:c r="J403" s="166" t="str">
        <x:v>Sim — alta</x:v>
      </x:c>
    </x:row>
    <x:row r="404">
      <x:c r="A404" s="166" t="str">
        <x:v>Gestor</x:v>
      </x:c>
      <x:c r="B404" s="166" t="str">
        <x:v>TG CORE ASSET</x:v>
      </x:c>
      <x:c r="C404" s="169" t="n">
        <x:v>0.02605640899</x:v>
      </x:c>
      <x:c r="D404" s="166" t="str">
        <x:v>TG CORE ASSET</x:v>
      </x:c>
      <x:c r="E404" s="185" t="str">
        <x:v>TG CORE ASSET</x:v>
      </x:c>
      <x:c r="F404" s="166" t="str">
        <x:v>Independente</x:v>
      </x:c>
      <x:c r="G404" s="185" t="str">
        <x:v>Independente</x:v>
      </x:c>
      <x:c r="H404" s="166" t="str">
        <x:v>residual; requer revisão manual</x:v>
      </x:c>
      <x:c r="I404" s="166" t="str">
        <x:v>Baixa</x:v>
      </x:c>
      <x:c r="J404" s="166" t="str">
        <x:v>Sim — alta</x:v>
      </x:c>
    </x:row>
    <x:row r="405">
      <x:c r="A405" s="166" t="str">
        <x:v>Gestor</x:v>
      </x:c>
      <x:c r="B405" s="166" t="str">
        <x:v>WIT ASSET MANAGEMENT</x:v>
      </x:c>
      <x:c r="C405" s="169" t="n">
        <x:v>0.02597901844</x:v>
      </x:c>
      <x:c r="D405" s="166" t="str">
        <x:v>WIT ASSET MANAGEMENT</x:v>
      </x:c>
      <x:c r="E405" s="185" t="str">
        <x:v>WIT ASSET MANAGEMENT</x:v>
      </x:c>
      <x:c r="F405" s="166" t="str">
        <x:v>Independente</x:v>
      </x:c>
      <x:c r="G405" s="185" t="str">
        <x:v>Independente</x:v>
      </x:c>
      <x:c r="H405" s="166" t="str">
        <x:v>residual; requer revisão manual</x:v>
      </x:c>
      <x:c r="I405" s="166" t="str">
        <x:v>Baixa</x:v>
      </x:c>
      <x:c r="J405" s="166" t="str">
        <x:v>Sim — alta</x:v>
      </x:c>
    </x:row>
    <x:row r="406">
      <x:c r="A406" s="166" t="str">
        <x:v>Gestor</x:v>
      </x:c>
      <x:c r="B406" s="166" t="str">
        <x:v>QUELUZ ASSET</x:v>
      </x:c>
      <x:c r="C406" s="169" t="n">
        <x:v>0.025755110120000004</x:v>
      </x:c>
      <x:c r="D406" s="166" t="str">
        <x:v>QUELUZ ASSET</x:v>
      </x:c>
      <x:c r="E406" s="185" t="str">
        <x:v>QUELUZ ASSET</x:v>
      </x:c>
      <x:c r="F406" s="166" t="str">
        <x:v>Independente</x:v>
      </x:c>
      <x:c r="G406" s="185" t="str">
        <x:v>Independente</x:v>
      </x:c>
      <x:c r="H406" s="166" t="str">
        <x:v>residual; requer revisão manual</x:v>
      </x:c>
      <x:c r="I406" s="166" t="str">
        <x:v>Baixa</x:v>
      </x:c>
      <x:c r="J406" s="166" t="str">
        <x:v>Sim — alta</x:v>
      </x:c>
    </x:row>
    <x:row r="407">
      <x:c r="A407" s="166" t="str">
        <x:v>Gestor</x:v>
      </x:c>
      <x:c r="B407" s="166" t="str">
        <x:v>Latinoamericana de Investimentos e Capital Ltda</x:v>
      </x:c>
      <x:c r="C407" s="169" t="n">
        <x:v>0.02565716172</x:v>
      </x:c>
      <x:c r="D407" s="166" t="str">
        <x:v>Latinoamericana de Investimentos e Capital Ltda</x:v>
      </x:c>
      <x:c r="E407" s="185" t="str">
        <x:v>Latinoamericana de Investimentos e Capital Ltda</x:v>
      </x:c>
      <x:c r="F407" s="166" t="str">
        <x:v>Independente</x:v>
      </x:c>
      <x:c r="G407" s="185" t="str">
        <x:v>Independente</x:v>
      </x:c>
      <x:c r="H407" s="166" t="str">
        <x:v>residual; requer revisão manual</x:v>
      </x:c>
      <x:c r="I407" s="166" t="str">
        <x:v>Baixa</x:v>
      </x:c>
      <x:c r="J407" s="166" t="str">
        <x:v>Sim — alta</x:v>
      </x:c>
    </x:row>
    <x:row r="408">
      <x:c r="A408" s="166" t="str">
        <x:v>Gestor</x:v>
      </x:c>
      <x:c r="B408" s="166" t="str">
        <x:v>Lakewood Investment Management</x:v>
      </x:c>
      <x:c r="C408" s="169" t="n">
        <x:v>0.02308043458</x:v>
      </x:c>
      <x:c r="D408" s="166" t="str">
        <x:v>Lakewood Investment Management</x:v>
      </x:c>
      <x:c r="E408" s="185" t="str">
        <x:v>Lakewood Investment Management</x:v>
      </x:c>
      <x:c r="F408" s="166" t="str">
        <x:v>Independente</x:v>
      </x:c>
      <x:c r="G408" s="185" t="str">
        <x:v>Independente</x:v>
      </x:c>
      <x:c r="H408" s="166" t="str">
        <x:v>residual; requer revisão manual</x:v>
      </x:c>
      <x:c r="I408" s="166" t="str">
        <x:v>Baixa</x:v>
      </x:c>
      <x:c r="J408" s="166" t="str">
        <x:v>Sim — alta</x:v>
      </x:c>
    </x:row>
    <x:row r="409">
      <x:c r="A409" s="166" t="str">
        <x:v>Gestor</x:v>
      </x:c>
      <x:c r="B409" s="166" t="str">
        <x:v>RB Investimentos Gestão de Recursos</x:v>
      </x:c>
      <x:c r="C409" s="169" t="n">
        <x:v>0.02243146665</x:v>
      </x:c>
      <x:c r="D409" s="166" t="str">
        <x:v>RB Investimentos Gestão de Recursos</x:v>
      </x:c>
      <x:c r="E409" s="185" t="str">
        <x:v>RB Investimentos Gestão de Recursos</x:v>
      </x:c>
      <x:c r="F409" s="166" t="str">
        <x:v>Independente</x:v>
      </x:c>
      <x:c r="G409" s="185" t="str">
        <x:v>Independente</x:v>
      </x:c>
      <x:c r="H409" s="166" t="str">
        <x:v>residual; requer revisão manual</x:v>
      </x:c>
      <x:c r="I409" s="166" t="str">
        <x:v>Baixa</x:v>
      </x:c>
      <x:c r="J409" s="166" t="str">
        <x:v>Sim — alta</x:v>
      </x:c>
    </x:row>
    <x:row r="410">
      <x:c r="A410" s="166" t="str">
        <x:v>Gestor</x:v>
      </x:c>
      <x:c r="B410" s="166" t="str">
        <x:v>Nero Capital</x:v>
      </x:c>
      <x:c r="C410" s="169" t="n">
        <x:v>0.022307624000009997</x:v>
      </x:c>
      <x:c r="D410" s="166" t="str">
        <x:v>Nero Capital</x:v>
      </x:c>
      <x:c r="E410" s="185" t="str">
        <x:v>Nero Capital</x:v>
      </x:c>
      <x:c r="F410" s="166" t="str">
        <x:v>Independente</x:v>
      </x:c>
      <x:c r="G410" s="185" t="str">
        <x:v>Independente</x:v>
      </x:c>
      <x:c r="H410" s="166" t="str">
        <x:v>residual; requer revisão manual</x:v>
      </x:c>
      <x:c r="I410" s="166" t="str">
        <x:v>Baixa</x:v>
      </x:c>
      <x:c r="J410" s="166" t="str">
        <x:v>Sim — alta</x:v>
      </x:c>
    </x:row>
    <x:row r="411">
      <x:c r="A411" s="166" t="str">
        <x:v>Gestor</x:v>
      </x:c>
      <x:c r="B411" s="166" t="str">
        <x:v>XVI Capital</x:v>
      </x:c>
      <x:c r="C411" s="169" t="n">
        <x:v>0.02133660235</x:v>
      </x:c>
      <x:c r="D411" s="166" t="str">
        <x:v>XVI Capital</x:v>
      </x:c>
      <x:c r="E411" s="185" t="str">
        <x:v>XVI Capital</x:v>
      </x:c>
      <x:c r="F411" s="166" t="str">
        <x:v>Independente</x:v>
      </x:c>
      <x:c r="G411" s="185" t="str">
        <x:v>Independente</x:v>
      </x:c>
      <x:c r="H411" s="166" t="str">
        <x:v>residual; requer revisão manual</x:v>
      </x:c>
      <x:c r="I411" s="166" t="str">
        <x:v>Baixa</x:v>
      </x:c>
      <x:c r="J411" s="166" t="str">
        <x:v>Sim — alta</x:v>
      </x:c>
    </x:row>
    <x:row r="412">
      <x:c r="A412" s="166" t="str">
        <x:v>Gestor</x:v>
      </x:c>
      <x:c r="B412" s="166" t="str">
        <x:v>REAG HIERON</x:v>
      </x:c>
      <x:c r="C412" s="169" t="n">
        <x:v>0.020779010700000003</x:v>
      </x:c>
      <x:c r="D412" s="166" t="str">
        <x:v>REAG</x:v>
      </x:c>
      <x:c r="E412" s="185" t="str">
        <x:v>REAG</x:v>
      </x:c>
      <x:c r="F412" s="166" t="str">
        <x:v>Independente</x:v>
      </x:c>
      <x:c r="G412" s="185" t="str">
        <x:v>Independente</x:v>
      </x:c>
      <x:c r="H412" s="166" t="str">
        <x:v>contém 'REAG '</x:v>
      </x:c>
      <x:c r="I412" s="166" t="str">
        <x:v>Alta</x:v>
      </x:c>
      <x:c r="J412" s="166" t="str">
        <x:v>Confirmar</x:v>
      </x:c>
    </x:row>
    <x:row r="413">
      <x:c r="A413" s="166" t="str">
        <x:v>Gestor</x:v>
      </x:c>
      <x:c r="B413" s="166" t="str">
        <x:v>Signal Capital</x:v>
      </x:c>
      <x:c r="C413" s="169" t="n">
        <x:v>0.020657214190000002</x:v>
      </x:c>
      <x:c r="D413" s="166" t="str">
        <x:v>Signal Capital</x:v>
      </x:c>
      <x:c r="E413" s="185" t="str">
        <x:v>Signal Capital</x:v>
      </x:c>
      <x:c r="F413" s="166" t="str">
        <x:v>Independente</x:v>
      </x:c>
      <x:c r="G413" s="185" t="str">
        <x:v>Independente</x:v>
      </x:c>
      <x:c r="H413" s="166" t="str">
        <x:v>residual; requer revisão manual</x:v>
      </x:c>
      <x:c r="I413" s="166" t="str">
        <x:v>Baixa</x:v>
      </x:c>
      <x:c r="J413" s="166" t="str">
        <x:v>Sim — alta</x:v>
      </x:c>
    </x:row>
    <x:row r="414">
      <x:c r="A414" s="166" t="str">
        <x:v>Gestor</x:v>
      </x:c>
      <x:c r="B414" s="166" t="str">
        <x:v>4UM GESTÃO DE RECURSOS LTDA.</x:v>
      </x:c>
      <x:c r="C414" s="169" t="n">
        <x:v>0.020291127410000002</x:v>
      </x:c>
      <x:c r="D414" s="166" t="str">
        <x:v>4UM GESTÃO DE RECURSOS LTDA.</x:v>
      </x:c>
      <x:c r="E414" s="185" t="str">
        <x:v>4UM GESTÃO DE RECURSOS LTDA.</x:v>
      </x:c>
      <x:c r="F414" s="166" t="str">
        <x:v>Independente</x:v>
      </x:c>
      <x:c r="G414" s="185" t="str">
        <x:v>Independente</x:v>
      </x:c>
      <x:c r="H414" s="166" t="str">
        <x:v>residual; requer revisão manual</x:v>
      </x:c>
      <x:c r="I414" s="166" t="str">
        <x:v>Baixa</x:v>
      </x:c>
      <x:c r="J414" s="166" t="str">
        <x:v>Sim — alta</x:v>
      </x:c>
    </x:row>
    <x:row r="415">
      <x:c r="A415" s="166" t="str">
        <x:v>Gestor</x:v>
      </x:c>
      <x:c r="B415" s="166" t="str">
        <x:v>ARM Capital</x:v>
      </x:c>
      <x:c r="C415" s="169" t="n">
        <x:v>0.01996240954</x:v>
      </x:c>
      <x:c r="D415" s="166" t="str">
        <x:v>ARM Capital</x:v>
      </x:c>
      <x:c r="E415" s="185" t="str">
        <x:v>ARM Capital</x:v>
      </x:c>
      <x:c r="F415" s="166" t="str">
        <x:v>Independente</x:v>
      </x:c>
      <x:c r="G415" s="185" t="str">
        <x:v>Independente</x:v>
      </x:c>
      <x:c r="H415" s="166" t="str">
        <x:v>residual; requer revisão manual</x:v>
      </x:c>
      <x:c r="I415" s="166" t="str">
        <x:v>Baixa</x:v>
      </x:c>
      <x:c r="J415" s="166" t="str">
        <x:v>Sim — alta</x:v>
      </x:c>
    </x:row>
    <x:row r="416">
      <x:c r="A416" s="166" t="str">
        <x:v>Gestor</x:v>
      </x:c>
      <x:c r="B416" s="166" t="str">
        <x:v>B6 GESTORA DE RECURSOS LTDA</x:v>
      </x:c>
      <x:c r="C416" s="169" t="n">
        <x:v>0.01967788399</x:v>
      </x:c>
      <x:c r="D416" s="166" t="str">
        <x:v>B6 GESTORA DE RECURSOS LTDA</x:v>
      </x:c>
      <x:c r="E416" s="185" t="str">
        <x:v>B6 GESTORA DE RECURSOS LTDA</x:v>
      </x:c>
      <x:c r="F416" s="166" t="str">
        <x:v>Independente</x:v>
      </x:c>
      <x:c r="G416" s="185" t="str">
        <x:v>Independente</x:v>
      </x:c>
      <x:c r="H416" s="166" t="str">
        <x:v>residual; requer revisão manual</x:v>
      </x:c>
      <x:c r="I416" s="166" t="str">
        <x:v>Baixa</x:v>
      </x:c>
      <x:c r="J416" s="166" t="str">
        <x:v>Sim — alta</x:v>
      </x:c>
    </x:row>
    <x:row r="417">
      <x:c r="A417" s="166" t="str">
        <x:v>Gestor</x:v>
      </x:c>
      <x:c r="B417" s="166" t="str">
        <x:v>Legatus Asset Management</x:v>
      </x:c>
      <x:c r="C417" s="169" t="n">
        <x:v>0.01910239593</x:v>
      </x:c>
      <x:c r="D417" s="166" t="str">
        <x:v>Legatus Asset Management</x:v>
      </x:c>
      <x:c r="E417" s="185" t="str">
        <x:v>Legatus Asset Management</x:v>
      </x:c>
      <x:c r="F417" s="166" t="str">
        <x:v>Independente</x:v>
      </x:c>
      <x:c r="G417" s="185" t="str">
        <x:v>Independente</x:v>
      </x:c>
      <x:c r="H417" s="166" t="str">
        <x:v>residual; requer revisão manual</x:v>
      </x:c>
      <x:c r="I417" s="166" t="str">
        <x:v>Baixa</x:v>
      </x:c>
      <x:c r="J417" s="166" t="str">
        <x:v>Sim — alta</x:v>
      </x:c>
    </x:row>
    <x:row r="418">
      <x:c r="A418" s="166" t="str">
        <x:v>Gestor</x:v>
      </x:c>
      <x:c r="B418" s="166" t="str">
        <x:v>1618 INVESTIMENTOS</x:v>
      </x:c>
      <x:c r="C418" s="169" t="n">
        <x:v>0.0189251469</x:v>
      </x:c>
      <x:c r="D418" s="166" t="str">
        <x:v>1618 INVESTIMENTOS</x:v>
      </x:c>
      <x:c r="E418" s="185" t="str">
        <x:v>1618 INVESTIMENTOS</x:v>
      </x:c>
      <x:c r="F418" s="166" t="str">
        <x:v>Independente</x:v>
      </x:c>
      <x:c r="G418" s="185" t="str">
        <x:v>Independente</x:v>
      </x:c>
      <x:c r="H418" s="166" t="str">
        <x:v>residual; requer revisão manual</x:v>
      </x:c>
      <x:c r="I418" s="166" t="str">
        <x:v>Baixa</x:v>
      </x:c>
      <x:c r="J418" s="166" t="str">
        <x:v>Sim — alta</x:v>
      </x:c>
    </x:row>
    <x:row r="419">
      <x:c r="A419" s="166" t="str">
        <x:v>Gestor</x:v>
      </x:c>
      <x:c r="B419" s="166" t="str">
        <x:v>H2 ASSET MANAGEMENT LTDA</x:v>
      </x:c>
      <x:c r="C419" s="169" t="n">
        <x:v>0.018749749059999998</x:v>
      </x:c>
      <x:c r="D419" s="166" t="str">
        <x:v>H2 ASSET MANAGEMENT LTDA</x:v>
      </x:c>
      <x:c r="E419" s="185" t="str">
        <x:v>H2 ASSET MANAGEMENT LTDA</x:v>
      </x:c>
      <x:c r="F419" s="166" t="str">
        <x:v>Independente</x:v>
      </x:c>
      <x:c r="G419" s="185" t="str">
        <x:v>Independente</x:v>
      </x:c>
      <x:c r="H419" s="166" t="str">
        <x:v>residual; requer revisão manual</x:v>
      </x:c>
      <x:c r="I419" s="166" t="str">
        <x:v>Baixa</x:v>
      </x:c>
      <x:c r="J419" s="166" t="str">
        <x:v>Sim — alta</x:v>
      </x:c>
    </x:row>
    <x:row r="420">
      <x:c r="A420" s="166" t="str">
        <x:v>Gestor</x:v>
      </x:c>
      <x:c r="B420" s="166" t="str">
        <x:v>JGP GESTAO DE RECURS</x:v>
      </x:c>
      <x:c r="C420" s="169" t="n">
        <x:v>0.01846987366</x:v>
      </x:c>
      <x:c r="D420" s="166" t="str">
        <x:v>JGP GESTAO DE RECURS</x:v>
      </x:c>
      <x:c r="E420" s="185" t="str">
        <x:v>JGP GESTAO DE RECURS</x:v>
      </x:c>
      <x:c r="F420" s="166" t="str">
        <x:v>Independente</x:v>
      </x:c>
      <x:c r="G420" s="185" t="str">
        <x:v>Independente</x:v>
      </x:c>
      <x:c r="H420" s="166" t="str">
        <x:v>residual; requer revisão manual</x:v>
      </x:c>
      <x:c r="I420" s="166" t="str">
        <x:v>Baixa</x:v>
      </x:c>
      <x:c r="J420" s="166" t="str">
        <x:v>Sim — alta</x:v>
      </x:c>
    </x:row>
    <x:row r="421">
      <x:c r="A421" s="166" t="str">
        <x:v>Gestor</x:v>
      </x:c>
      <x:c r="B421" s="166" t="str">
        <x:v>Ponta Sul Investimentos Ltda.</x:v>
      </x:c>
      <x:c r="C421" s="169" t="n">
        <x:v>0.0183129160321</x:v>
      </x:c>
      <x:c r="D421" s="166" t="str">
        <x:v>Ponta Sul Investimentos Ltda.</x:v>
      </x:c>
      <x:c r="E421" s="185" t="str">
        <x:v>Ponta Sul Investimentos Ltda.</x:v>
      </x:c>
      <x:c r="F421" s="166" t="str">
        <x:v>Independente</x:v>
      </x:c>
      <x:c r="G421" s="185" t="str">
        <x:v>Independente</x:v>
      </x:c>
      <x:c r="H421" s="166" t="str">
        <x:v>residual; requer revisão manual</x:v>
      </x:c>
      <x:c r="I421" s="166" t="str">
        <x:v>Baixa</x:v>
      </x:c>
      <x:c r="J421" s="166" t="str">
        <x:v>Sim — alta</x:v>
      </x:c>
    </x:row>
    <x:row r="422">
      <x:c r="A422" s="166" t="str">
        <x:v>Gestor</x:v>
      </x:c>
      <x:c r="B422" s="166" t="str">
        <x:v>Neves Asset Management</x:v>
      </x:c>
      <x:c r="C422" s="169" t="n">
        <x:v>0.01800579084</x:v>
      </x:c>
      <x:c r="D422" s="166" t="str">
        <x:v>Neves Asset Management</x:v>
      </x:c>
      <x:c r="E422" s="185" t="str">
        <x:v>Neves Asset Management</x:v>
      </x:c>
      <x:c r="F422" s="166" t="str">
        <x:v>Independente</x:v>
      </x:c>
      <x:c r="G422" s="185" t="str">
        <x:v>Independente</x:v>
      </x:c>
      <x:c r="H422" s="166" t="str">
        <x:v>residual; requer revisão manual</x:v>
      </x:c>
      <x:c r="I422" s="166" t="str">
        <x:v>Baixa</x:v>
      </x:c>
      <x:c r="J422" s="166" t="str">
        <x:v>Sim — alta</x:v>
      </x:c>
    </x:row>
    <x:row r="423">
      <x:c r="A423" s="166" t="str">
        <x:v>Gestor</x:v>
      </x:c>
      <x:c r="B423" s="166" t="str">
        <x:v>SQUALO CAPITAL GESTORA DE RECURSOS LTDA.</x:v>
      </x:c>
      <x:c r="C423" s="169" t="n">
        <x:v>0.01798342369</x:v>
      </x:c>
      <x:c r="D423" s="166" t="str">
        <x:v>SQUALO CAPITAL GESTORA DE RECURSOS LTDA.</x:v>
      </x:c>
      <x:c r="E423" s="185" t="str">
        <x:v>SQUALO CAPITAL GESTORA DE RECURSOS LTDA.</x:v>
      </x:c>
      <x:c r="F423" s="166" t="str">
        <x:v>Independente</x:v>
      </x:c>
      <x:c r="G423" s="185" t="str">
        <x:v>Independente</x:v>
      </x:c>
      <x:c r="H423" s="166" t="str">
        <x:v>residual; requer revisão manual</x:v>
      </x:c>
      <x:c r="I423" s="166" t="str">
        <x:v>Baixa</x:v>
      </x:c>
      <x:c r="J423" s="166" t="str">
        <x:v>Sim — alta</x:v>
      </x:c>
    </x:row>
    <x:row r="424">
      <x:c r="A424" s="166" t="str">
        <x:v>Gestor</x:v>
      </x:c>
      <x:c r="B424" s="166" t="str">
        <x:v>ALTAVISTA CAPITAL</x:v>
      </x:c>
      <x:c r="C424" s="169" t="n">
        <x:v>0.01683991357</x:v>
      </x:c>
      <x:c r="D424" s="166" t="str">
        <x:v>ALTAVISTA CAPITAL</x:v>
      </x:c>
      <x:c r="E424" s="185" t="str">
        <x:v>ALTAVISTA CAPITAL</x:v>
      </x:c>
      <x:c r="F424" s="166" t="str">
        <x:v>Independente</x:v>
      </x:c>
      <x:c r="G424" s="185" t="str">
        <x:v>Independente</x:v>
      </x:c>
      <x:c r="H424" s="166" t="str">
        <x:v>residual; requer revisão manual</x:v>
      </x:c>
      <x:c r="I424" s="166" t="str">
        <x:v>Baixa</x:v>
      </x:c>
      <x:c r="J424" s="166" t="str">
        <x:v>Sim — alta</x:v>
      </x:c>
    </x:row>
    <x:row r="425">
      <x:c r="A425" s="166" t="str">
        <x:v>Gestor</x:v>
      </x:c>
      <x:c r="B425" s="166" t="str">
        <x:v>VBR Capital Ltda.</x:v>
      </x:c>
      <x:c r="C425" s="169" t="n">
        <x:v>0.016707884880000006</x:v>
      </x:c>
      <x:c r="D425" s="166" t="str">
        <x:v>VBR Capital Ltda.</x:v>
      </x:c>
      <x:c r="E425" s="185" t="str">
        <x:v>VBR Capital Ltda.</x:v>
      </x:c>
      <x:c r="F425" s="166" t="str">
        <x:v>Independente</x:v>
      </x:c>
      <x:c r="G425" s="185" t="str">
        <x:v>Independente</x:v>
      </x:c>
      <x:c r="H425" s="166" t="str">
        <x:v>residual; requer revisão manual</x:v>
      </x:c>
      <x:c r="I425" s="166" t="str">
        <x:v>Baixa</x:v>
      </x:c>
      <x:c r="J425" s="166" t="str">
        <x:v>Sim — alta</x:v>
      </x:c>
    </x:row>
    <x:row r="426">
      <x:c r="A426" s="166" t="str">
        <x:v>Gestor</x:v>
      </x:c>
      <x:c r="B426" s="166" t="str">
        <x:v>MORRO CAPITAL GESTORA DE RECURSOS LTDA</x:v>
      </x:c>
      <x:c r="C426" s="169" t="n">
        <x:v>0.015511359239999998</x:v>
      </x:c>
      <x:c r="D426" s="166" t="str">
        <x:v>MORRO CAPITAL GESTORA DE RECURSOS LTDA</x:v>
      </x:c>
      <x:c r="E426" s="185" t="str">
        <x:v>MORRO CAPITAL GESTORA DE RECURSOS LTDA</x:v>
      </x:c>
      <x:c r="F426" s="166" t="str">
        <x:v>Independente</x:v>
      </x:c>
      <x:c r="G426" s="185" t="str">
        <x:v>Independente</x:v>
      </x:c>
      <x:c r="H426" s="166" t="str">
        <x:v>residual; requer revisão manual</x:v>
      </x:c>
      <x:c r="I426" s="166" t="str">
        <x:v>Baixa</x:v>
      </x:c>
      <x:c r="J426" s="166" t="str">
        <x:v>Sim — alta</x:v>
      </x:c>
    </x:row>
    <x:row r="427">
      <x:c r="A427" s="166" t="str">
        <x:v>Gestor</x:v>
      </x:c>
      <x:c r="B427" s="166" t="str">
        <x:v>Springs Capital Ltda.</x:v>
      </x:c>
      <x:c r="C427" s="169" t="n">
        <x:v>0.015328311720000005</x:v>
      </x:c>
      <x:c r="D427" s="166" t="str">
        <x:v>Springs Capital Ltda.</x:v>
      </x:c>
      <x:c r="E427" s="185" t="str">
        <x:v>Springs Capital Ltda.</x:v>
      </x:c>
      <x:c r="F427" s="166" t="str">
        <x:v>Independente</x:v>
      </x:c>
      <x:c r="G427" s="185" t="str">
        <x:v>Independente</x:v>
      </x:c>
      <x:c r="H427" s="166" t="str">
        <x:v>residual; requer revisão manual</x:v>
      </x:c>
      <x:c r="I427" s="166" t="str">
        <x:v>Baixa</x:v>
      </x:c>
      <x:c r="J427" s="166" t="str">
        <x:v>Sim — alta</x:v>
      </x:c>
    </x:row>
    <x:row r="428">
      <x:c r="A428" s="166" t="str">
        <x:v>Gestor</x:v>
      </x:c>
      <x:c r="B428" s="166" t="str">
        <x:v>SINAI ASSET</x:v>
      </x:c>
      <x:c r="C428" s="169" t="n">
        <x:v>0.015271605439999999</x:v>
      </x:c>
      <x:c r="D428" s="166" t="str">
        <x:v>SINAI ASSET</x:v>
      </x:c>
      <x:c r="E428" s="185" t="str">
        <x:v>SINAI ASSET</x:v>
      </x:c>
      <x:c r="F428" s="166" t="str">
        <x:v>Independente</x:v>
      </x:c>
      <x:c r="G428" s="185" t="str">
        <x:v>Independente</x:v>
      </x:c>
      <x:c r="H428" s="166" t="str">
        <x:v>residual; requer revisão manual</x:v>
      </x:c>
      <x:c r="I428" s="166" t="str">
        <x:v>Baixa</x:v>
      </x:c>
      <x:c r="J428" s="166" t="str">
        <x:v>Sim — alta</x:v>
      </x:c>
    </x:row>
    <x:row r="429">
      <x:c r="A429" s="166" t="str">
        <x:v>Gestor</x:v>
      </x:c>
      <x:c r="B429" s="166" t="str">
        <x:v>ATF</x:v>
      </x:c>
      <x:c r="C429" s="169" t="n">
        <x:v>0.014159488800000002</x:v>
      </x:c>
      <x:c r="D429" s="166" t="str">
        <x:v>ATF</x:v>
      </x:c>
      <x:c r="E429" s="185" t="str">
        <x:v>ATF</x:v>
      </x:c>
      <x:c r="F429" s="166" t="str">
        <x:v>Independente</x:v>
      </x:c>
      <x:c r="G429" s="185" t="str">
        <x:v>Independente</x:v>
      </x:c>
      <x:c r="H429" s="166" t="str">
        <x:v>residual; requer revisão manual</x:v>
      </x:c>
      <x:c r="I429" s="166" t="str">
        <x:v>Baixa</x:v>
      </x:c>
      <x:c r="J429" s="166" t="str">
        <x:v>Sim — alta</x:v>
      </x:c>
    </x:row>
    <x:row r="430">
      <x:c r="A430" s="166" t="str">
        <x:v>Gestor</x:v>
      </x:c>
      <x:c r="B430" s="166" t="str">
        <x:v>Ujay Capital Investimentos Ltda</x:v>
      </x:c>
      <x:c r="C430" s="169" t="n">
        <x:v>0.01378066412</x:v>
      </x:c>
      <x:c r="D430" s="166" t="str">
        <x:v>Ujay Capital Investimentos Ltda</x:v>
      </x:c>
      <x:c r="E430" s="185" t="str">
        <x:v>Ujay Capital Investimentos Ltda</x:v>
      </x:c>
      <x:c r="F430" s="166" t="str">
        <x:v>Independente</x:v>
      </x:c>
      <x:c r="G430" s="185" t="str">
        <x:v>Independente</x:v>
      </x:c>
      <x:c r="H430" s="166" t="str">
        <x:v>residual; requer revisão manual</x:v>
      </x:c>
      <x:c r="I430" s="166" t="str">
        <x:v>Baixa</x:v>
      </x:c>
      <x:c r="J430" s="166" t="str">
        <x:v>Sim — alta</x:v>
      </x:c>
    </x:row>
    <x:row r="431">
      <x:c r="A431" s="166" t="str">
        <x:v>Gestor</x:v>
      </x:c>
      <x:c r="B431" s="166" t="str">
        <x:v>Litus Gestão de Recursos LTDA</x:v>
      </x:c>
      <x:c r="C431" s="169" t="n">
        <x:v>0.013428930909999998</x:v>
      </x:c>
      <x:c r="D431" s="166" t="str">
        <x:v>Litus Gestão de Recursos LTDA</x:v>
      </x:c>
      <x:c r="E431" s="185" t="str">
        <x:v>Litus Gestão de Recursos LTDA</x:v>
      </x:c>
      <x:c r="F431" s="166" t="str">
        <x:v>Independente</x:v>
      </x:c>
      <x:c r="G431" s="185" t="str">
        <x:v>Independente</x:v>
      </x:c>
      <x:c r="H431" s="166" t="str">
        <x:v>residual; requer revisão manual</x:v>
      </x:c>
      <x:c r="I431" s="166" t="str">
        <x:v>Baixa</x:v>
      </x:c>
      <x:c r="J431" s="166" t="str">
        <x:v>Sim — alta</x:v>
      </x:c>
    </x:row>
    <x:row r="432">
      <x:c r="A432" s="166" t="str">
        <x:v>Gestor</x:v>
      </x:c>
      <x:c r="B432" s="166" t="str">
        <x:v>HÍBRIDO PARTNERS GESTORA DE RECURSOS LTDA.</x:v>
      </x:c>
      <x:c r="C432" s="169" t="n">
        <x:v>0.013063202489999998</x:v>
      </x:c>
      <x:c r="D432" s="166" t="str">
        <x:v>HÍBRIDO PARTNERS GESTORA DE RECURSOS LTDA.</x:v>
      </x:c>
      <x:c r="E432" s="185" t="str">
        <x:v>HÍBRIDO PARTNERS GESTORA DE RECURSOS LTDA.</x:v>
      </x:c>
      <x:c r="F432" s="166" t="str">
        <x:v>Independente</x:v>
      </x:c>
      <x:c r="G432" s="185" t="str">
        <x:v>Independente</x:v>
      </x:c>
      <x:c r="H432" s="166" t="str">
        <x:v>residual; requer revisão manual</x:v>
      </x:c>
      <x:c r="I432" s="166" t="str">
        <x:v>Baixa</x:v>
      </x:c>
      <x:c r="J432" s="166" t="str">
        <x:v>Sim — alta</x:v>
      </x:c>
    </x:row>
    <x:row r="433">
      <x:c r="A433" s="166" t="str">
        <x:v>Gestor</x:v>
      </x:c>
      <x:c r="B433" s="166" t="str">
        <x:v>Fyto Capital</x:v>
      </x:c>
      <x:c r="C433" s="169" t="n">
        <x:v>0.01289908623</x:v>
      </x:c>
      <x:c r="D433" s="166" t="str">
        <x:v>Fyto Capital</x:v>
      </x:c>
      <x:c r="E433" s="185" t="str">
        <x:v>Fyto Capital</x:v>
      </x:c>
      <x:c r="F433" s="166" t="str">
        <x:v>Independente</x:v>
      </x:c>
      <x:c r="G433" s="185" t="str">
        <x:v>Independente</x:v>
      </x:c>
      <x:c r="H433" s="166" t="str">
        <x:v>residual; requer revisão manual</x:v>
      </x:c>
      <x:c r="I433" s="166" t="str">
        <x:v>Baixa</x:v>
      </x:c>
      <x:c r="J433" s="166" t="str">
        <x:v>Sim — alta</x:v>
      </x:c>
    </x:row>
    <x:row r="434">
      <x:c r="A434" s="166" t="str">
        <x:v>Gestor</x:v>
      </x:c>
      <x:c r="B434" s="166" t="str">
        <x:v>PESSOAS FISICAS</x:v>
      </x:c>
      <x:c r="C434" s="169" t="n">
        <x:v>0.012407100452099999</x:v>
      </x:c>
      <x:c r="D434" s="166" t="str">
        <x:v>PESSOAS FISICAS</x:v>
      </x:c>
      <x:c r="E434" s="185" t="str">
        <x:v>PESSOAS FISICAS</x:v>
      </x:c>
      <x:c r="F434" s="166" t="str">
        <x:v>Independente</x:v>
      </x:c>
      <x:c r="G434" s="185" t="str">
        <x:v>Independente</x:v>
      </x:c>
      <x:c r="H434" s="166" t="str">
        <x:v>residual; requer revisão manual</x:v>
      </x:c>
      <x:c r="I434" s="166" t="str">
        <x:v>Baixa</x:v>
      </x:c>
      <x:c r="J434" s="166" t="str">
        <x:v>Sim — alta</x:v>
      </x:c>
    </x:row>
    <x:row r="435">
      <x:c r="A435" s="166" t="str">
        <x:v>Gestor</x:v>
      </x:c>
      <x:c r="B435" s="166" t="str">
        <x:v>Gustavo Henrique Fonseca de Oliveira</x:v>
      </x:c>
      <x:c r="C435" s="169" t="n">
        <x:v>0.011645965130000002</x:v>
      </x:c>
      <x:c r="D435" s="166" t="str">
        <x:v>Gustavo Henrique Fonseca de Oliveira</x:v>
      </x:c>
      <x:c r="E435" s="185" t="str">
        <x:v>Gustavo Henrique Fonseca de Oliveira</x:v>
      </x:c>
      <x:c r="F435" s="166" t="str">
        <x:v>Independente</x:v>
      </x:c>
      <x:c r="G435" s="185" t="str">
        <x:v>Independente</x:v>
      </x:c>
      <x:c r="H435" s="166" t="str">
        <x:v>residual; requer revisão manual</x:v>
      </x:c>
      <x:c r="I435" s="166" t="str">
        <x:v>Baixa</x:v>
      </x:c>
      <x:c r="J435" s="166" t="str">
        <x:v>Sim — alta</x:v>
      </x:c>
    </x:row>
    <x:row r="436">
      <x:c r="A436" s="166" t="str">
        <x:v>Gestor</x:v>
      </x:c>
      <x:c r="B436" s="166" t="str">
        <x:v>HGI Capital</x:v>
      </x:c>
      <x:c r="C436" s="169" t="n">
        <x:v>0.011190799210000001</x:v>
      </x:c>
      <x:c r="D436" s="166" t="str">
        <x:v>HGI Capital</x:v>
      </x:c>
      <x:c r="E436" s="185" t="str">
        <x:v>HGI Capital</x:v>
      </x:c>
      <x:c r="F436" s="166" t="str">
        <x:v>Independente</x:v>
      </x:c>
      <x:c r="G436" s="185" t="str">
        <x:v>Independente</x:v>
      </x:c>
      <x:c r="H436" s="166" t="str">
        <x:v>residual; requer revisão manual</x:v>
      </x:c>
      <x:c r="I436" s="166" t="str">
        <x:v>Baixa</x:v>
      </x:c>
      <x:c r="J436" s="166" t="str">
        <x:v>Sim — alta</x:v>
      </x:c>
    </x:row>
    <x:row r="437">
      <x:c r="A437" s="166" t="str">
        <x:v>Gestor</x:v>
      </x:c>
      <x:c r="B437" s="166" t="str">
        <x:v>Reag WM Gestora de Patrimônio Ltda</x:v>
      </x:c>
      <x:c r="C437" s="169" t="n">
        <x:v>0.010872796640000001</x:v>
      </x:c>
      <x:c r="D437" s="166" t="str">
        <x:v>REAG</x:v>
      </x:c>
      <x:c r="E437" s="185" t="str">
        <x:v>REAG</x:v>
      </x:c>
      <x:c r="F437" s="166" t="str">
        <x:v>Independente</x:v>
      </x:c>
      <x:c r="G437" s="185" t="str">
        <x:v>Independente</x:v>
      </x:c>
      <x:c r="H437" s="166" t="str">
        <x:v>contém 'REAG '</x:v>
      </x:c>
      <x:c r="I437" s="166" t="str">
        <x:v>Alta</x:v>
      </x:c>
      <x:c r="J437" s="166" t="str">
        <x:v>Confirmar</x:v>
      </x:c>
    </x:row>
    <x:row r="438">
      <x:c r="A438" s="166" t="str">
        <x:v>Gestor</x:v>
      </x:c>
      <x:c r="B438" s="166" t="str">
        <x:v>Genial Investimentos Corretora de Valores Mobiliários S.A.</x:v>
      </x:c>
      <x:c r="C438" s="169" t="n">
        <x:v>0.01058916166</x:v>
      </x:c>
      <x:c r="D438" s="166" t="str">
        <x:v>Banco Genial</x:v>
      </x:c>
      <x:c r="E438" s="185" t="str">
        <x:v>Banco Genial</x:v>
      </x:c>
      <x:c r="F438" s="166" t="str">
        <x:v>Ligada a banco</x:v>
      </x:c>
      <x:c r="G438" s="185" t="str">
        <x:v>Ligada a banco</x:v>
      </x:c>
      <x:c r="H438" s="166" t="str">
        <x:v>contém 'GENIAL INVESTIMENTOS'</x:v>
      </x:c>
      <x:c r="I438" s="166" t="str">
        <x:v>Alta</x:v>
      </x:c>
      <x:c r="J438" s="166" t="str">
        <x:v>Confirmar</x:v>
      </x:c>
    </x:row>
    <x:row r="439">
      <x:c r="A439" s="166" t="str">
        <x:v>Gestor</x:v>
      </x:c>
      <x:c r="B439" s="166" t="str">
        <x:v>CAPSICUM ASSETS GESTÃO DE RECURSOS LTDA</x:v>
      </x:c>
      <x:c r="C439" s="169" t="n">
        <x:v>0.01043705934</x:v>
      </x:c>
      <x:c r="D439" s="166" t="str">
        <x:v>CAPSICUM ASSETS GESTÃO DE RECURSOS LTDA</x:v>
      </x:c>
      <x:c r="E439" s="185" t="str">
        <x:v>CAPSICUM ASSETS GESTÃO DE RECURSOS LTDA</x:v>
      </x:c>
      <x:c r="F439" s="166" t="str">
        <x:v>Independente</x:v>
      </x:c>
      <x:c r="G439" s="185" t="str">
        <x:v>Independente</x:v>
      </x:c>
      <x:c r="H439" s="166" t="str">
        <x:v>residual; requer revisão manual</x:v>
      </x:c>
      <x:c r="I439" s="166" t="str">
        <x:v>Baixa</x:v>
      </x:c>
      <x:c r="J439" s="166" t="str">
        <x:v>Sim — alta</x:v>
      </x:c>
    </x:row>
    <x:row r="440">
      <x:c r="A440" s="166" t="str">
        <x:v>Gestor</x:v>
      </x:c>
      <x:c r="B440" s="166" t="str">
        <x:v>Mauá Capital Real Estate LTDA.</x:v>
      </x:c>
      <x:c r="C440" s="169" t="n">
        <x:v>0.00957473401</x:v>
      </x:c>
      <x:c r="D440" s="166" t="str">
        <x:v>Mauá Capital Real Estate LTDA.</x:v>
      </x:c>
      <x:c r="E440" s="185" t="str">
        <x:v>Mauá Capital Real Estate LTDA.</x:v>
      </x:c>
      <x:c r="F440" s="166" t="str">
        <x:v>Independente</x:v>
      </x:c>
      <x:c r="G440" s="185" t="str">
        <x:v>Independente</x:v>
      </x:c>
      <x:c r="H440" s="166" t="str">
        <x:v>residual; requer revisão manual</x:v>
      </x:c>
      <x:c r="I440" s="166" t="str">
        <x:v>Baixa</x:v>
      </x:c>
      <x:c r="J440" s="166" t="str">
        <x:v>Sim — alta</x:v>
      </x:c>
    </x:row>
    <x:row r="441">
      <x:c r="A441" s="166" t="str">
        <x:v>Gestor</x:v>
      </x:c>
      <x:c r="B441" s="166" t="str">
        <x:v>Vinci Soluções de Investimentos</x:v>
      </x:c>
      <x:c r="C441" s="169" t="n">
        <x:v>0.009509697809999999</x:v>
      </x:c>
      <x:c r="D441" s="166" t="str">
        <x:v>Vinci Soluções de Investimentos</x:v>
      </x:c>
      <x:c r="E441" s="185" t="str">
        <x:v>Vinci Soluções de Investimentos</x:v>
      </x:c>
      <x:c r="F441" s="166" t="str">
        <x:v>Independente</x:v>
      </x:c>
      <x:c r="G441" s="185" t="str">
        <x:v>Independente</x:v>
      </x:c>
      <x:c r="H441" s="166" t="str">
        <x:v>residual; requer revisão manual</x:v>
      </x:c>
      <x:c r="I441" s="166" t="str">
        <x:v>Baixa</x:v>
      </x:c>
      <x:c r="J441" s="166" t="str">
        <x:v>Sim — alta</x:v>
      </x:c>
    </x:row>
    <x:row r="442">
      <x:c r="A442" s="166" t="str">
        <x:v>Gestor</x:v>
      </x:c>
      <x:c r="B442" s="166" t="str">
        <x:v>RJI Investimentos</x:v>
      </x:c>
      <x:c r="C442" s="169" t="n">
        <x:v>0.00944036777</x:v>
      </x:c>
      <x:c r="D442" s="166" t="str">
        <x:v>RJI Investimentos</x:v>
      </x:c>
      <x:c r="E442" s="185" t="str">
        <x:v>RJI Investimentos</x:v>
      </x:c>
      <x:c r="F442" s="166" t="str">
        <x:v>Independente</x:v>
      </x:c>
      <x:c r="G442" s="185" t="str">
        <x:v>Independente</x:v>
      </x:c>
      <x:c r="H442" s="166" t="str">
        <x:v>residual; requer revisão manual</x:v>
      </x:c>
      <x:c r="I442" s="166" t="str">
        <x:v>Baixa</x:v>
      </x:c>
      <x:c r="J442" s="166" t="str">
        <x:v>Sim — alta</x:v>
      </x:c>
    </x:row>
    <x:row r="443">
      <x:c r="A443" s="166" t="str">
        <x:v>Gestor</x:v>
      </x:c>
      <x:c r="B443" s="166" t="str">
        <x:v>fama re.capital</x:v>
      </x:c>
      <x:c r="C443" s="169" t="n">
        <x:v>0.00861387554</x:v>
      </x:c>
      <x:c r="D443" s="166" t="str">
        <x:v>fama re.capital</x:v>
      </x:c>
      <x:c r="E443" s="185" t="str">
        <x:v>fama re.capital</x:v>
      </x:c>
      <x:c r="F443" s="166" t="str">
        <x:v>Independente</x:v>
      </x:c>
      <x:c r="G443" s="185" t="str">
        <x:v>Independente</x:v>
      </x:c>
      <x:c r="H443" s="166" t="str">
        <x:v>residual; requer revisão manual</x:v>
      </x:c>
      <x:c r="I443" s="166" t="str">
        <x:v>Baixa</x:v>
      </x:c>
      <x:c r="J443" s="166" t="str">
        <x:v>Sim — alta</x:v>
      </x:c>
    </x:row>
    <x:row r="444">
      <x:c r="A444" s="166" t="str">
        <x:v>Gestor</x:v>
      </x:c>
      <x:c r="B444" s="166" t="str">
        <x:v>ERFOLG</x:v>
      </x:c>
      <x:c r="C444" s="169" t="n">
        <x:v>0.008437907540000001</x:v>
      </x:c>
      <x:c r="D444" s="166" t="str">
        <x:v>ERFOLG</x:v>
      </x:c>
      <x:c r="E444" s="185" t="str">
        <x:v>ERFOLG</x:v>
      </x:c>
      <x:c r="F444" s="166" t="str">
        <x:v>Independente</x:v>
      </x:c>
      <x:c r="G444" s="185" t="str">
        <x:v>Independente</x:v>
      </x:c>
      <x:c r="H444" s="166" t="str">
        <x:v>residual; requer revisão manual</x:v>
      </x:c>
      <x:c r="I444" s="166" t="str">
        <x:v>Baixa</x:v>
      </x:c>
      <x:c r="J444" s="166" t="str">
        <x:v>Sim — alta</x:v>
      </x:c>
    </x:row>
    <x:row r="445">
      <x:c r="A445" s="166" t="str">
        <x:v>Gestor</x:v>
      </x:c>
      <x:c r="B445" s="166" t="str">
        <x:v>Novus Capital</x:v>
      </x:c>
      <x:c r="C445" s="169" t="n">
        <x:v>0.00829338714</x:v>
      </x:c>
      <x:c r="D445" s="166" t="str">
        <x:v>Novus Capital</x:v>
      </x:c>
      <x:c r="E445" s="185" t="str">
        <x:v>Novus Capital</x:v>
      </x:c>
      <x:c r="F445" s="166" t="str">
        <x:v>Independente</x:v>
      </x:c>
      <x:c r="G445" s="185" t="str">
        <x:v>Independente</x:v>
      </x:c>
      <x:c r="H445" s="166" t="str">
        <x:v>residual; requer revisão manual</x:v>
      </x:c>
      <x:c r="I445" s="166" t="str">
        <x:v>Baixa</x:v>
      </x:c>
      <x:c r="J445" s="166" t="str">
        <x:v>Sim — alta</x:v>
      </x:c>
    </x:row>
    <x:row r="446">
      <x:c r="A446" s="166" t="str">
        <x:v>Gestor</x:v>
      </x:c>
      <x:c r="B446" s="166" t="str">
        <x:v>SKADE Capital</x:v>
      </x:c>
      <x:c r="C446" s="169" t="n">
        <x:v>0.00696186565</x:v>
      </x:c>
      <x:c r="D446" s="166" t="str">
        <x:v>SKADE Capital</x:v>
      </x:c>
      <x:c r="E446" s="185" t="str">
        <x:v>SKADE Capital</x:v>
      </x:c>
      <x:c r="F446" s="166" t="str">
        <x:v>Independente</x:v>
      </x:c>
      <x:c r="G446" s="185" t="str">
        <x:v>Independente</x:v>
      </x:c>
      <x:c r="H446" s="166" t="str">
        <x:v>residual; requer revisão manual</x:v>
      </x:c>
      <x:c r="I446" s="166" t="str">
        <x:v>Baixa</x:v>
      </x:c>
      <x:c r="J446" s="166" t="str">
        <x:v>Sim — alta</x:v>
      </x:c>
    </x:row>
    <x:row r="447">
      <x:c r="A447" s="166" t="str">
        <x:v>Gestor</x:v>
      </x:c>
      <x:c r="B447" s="166" t="str">
        <x:v>PARAMIS INVESTIMENTOS</x:v>
      </x:c>
      <x:c r="C447" s="169" t="n">
        <x:v>0.00651841875</x:v>
      </x:c>
      <x:c r="D447" s="166" t="str">
        <x:v>PARAMIS INVESTIMENTOS</x:v>
      </x:c>
      <x:c r="E447" s="185" t="str">
        <x:v>PARAMIS INVESTIMENTOS</x:v>
      </x:c>
      <x:c r="F447" s="166" t="str">
        <x:v>Independente</x:v>
      </x:c>
      <x:c r="G447" s="185" t="str">
        <x:v>Independente</x:v>
      </x:c>
      <x:c r="H447" s="166" t="str">
        <x:v>residual; requer revisão manual</x:v>
      </x:c>
      <x:c r="I447" s="166" t="str">
        <x:v>Baixa</x:v>
      </x:c>
      <x:c r="J447" s="166" t="str">
        <x:v>Sim — alta</x:v>
      </x:c>
    </x:row>
    <x:row r="448">
      <x:c r="A448" s="166" t="str">
        <x:v>Gestor</x:v>
      </x:c>
      <x:c r="B448" s="166" t="str">
        <x:v>V-CAPITAL GESTAO DE RECURSOS E INVESTIMENTOS LTDA</x:v>
      </x:c>
      <x:c r="C448" s="169" t="n">
        <x:v>0.0063003901</x:v>
      </x:c>
      <x:c r="D448" s="166" t="str">
        <x:v>V-CAPITAL GESTAO DE RECURSOS E INVESTIMENTOS LTDA</x:v>
      </x:c>
      <x:c r="E448" s="185" t="str">
        <x:v>V-CAPITAL GESTAO DE RECURSOS E INVESTIMENTOS LTDA</x:v>
      </x:c>
      <x:c r="F448" s="166" t="str">
        <x:v>Independente</x:v>
      </x:c>
      <x:c r="G448" s="185" t="str">
        <x:v>Independente</x:v>
      </x:c>
      <x:c r="H448" s="166" t="str">
        <x:v>residual; requer revisão manual</x:v>
      </x:c>
      <x:c r="I448" s="166" t="str">
        <x:v>Baixa</x:v>
      </x:c>
      <x:c r="J448" s="166" t="str">
        <x:v>Sim — alta</x:v>
      </x:c>
    </x:row>
    <x:row r="449">
      <x:c r="A449" s="166" t="str">
        <x:v>Gestor</x:v>
      </x:c>
      <x:c r="B449" s="166" t="str">
        <x:v>LCP GESTORA DE RECURSOS LTDA</x:v>
      </x:c>
      <x:c r="C449" s="169" t="n">
        <x:v>0.00613574641</x:v>
      </x:c>
      <x:c r="D449" s="166" t="str">
        <x:v>LCP GESTORA DE RECURSOS LTDA</x:v>
      </x:c>
      <x:c r="E449" s="185" t="str">
        <x:v>LCP GESTORA DE RECURSOS LTDA</x:v>
      </x:c>
      <x:c r="F449" s="166" t="str">
        <x:v>Independente</x:v>
      </x:c>
      <x:c r="G449" s="185" t="str">
        <x:v>Independente</x:v>
      </x:c>
      <x:c r="H449" s="166" t="str">
        <x:v>residual; requer revisão manual</x:v>
      </x:c>
      <x:c r="I449" s="166" t="str">
        <x:v>Baixa</x:v>
      </x:c>
      <x:c r="J449" s="166" t="str">
        <x:v>Sim — alta</x:v>
      </x:c>
    </x:row>
    <x:row r="450">
      <x:c r="A450" s="166" t="str">
        <x:v>Gestor</x:v>
      </x:c>
      <x:c r="B450" s="166" t="str">
        <x:v>Featbank Asset Management</x:v>
      </x:c>
      <x:c r="C450" s="169" t="n">
        <x:v>0.00567614148</x:v>
      </x:c>
      <x:c r="D450" s="166" t="str">
        <x:v>Featbank Asset Management</x:v>
      </x:c>
      <x:c r="E450" s="185" t="str">
        <x:v>Featbank Asset Management</x:v>
      </x:c>
      <x:c r="F450" s="166" t="str">
        <x:v>Independente</x:v>
      </x:c>
      <x:c r="G450" s="185" t="str">
        <x:v>Independente</x:v>
      </x:c>
      <x:c r="H450" s="166" t="str">
        <x:v>residual; requer revisão manual</x:v>
      </x:c>
      <x:c r="I450" s="166" t="str">
        <x:v>Baixa</x:v>
      </x:c>
      <x:c r="J450" s="166" t="str">
        <x:v>Sim — alta</x:v>
      </x:c>
    </x:row>
    <x:row r="451">
      <x:c r="A451" s="166" t="str">
        <x:v>Gestor</x:v>
      </x:c>
      <x:c r="B451" s="166" t="str">
        <x:v>ROCHA OPÇÕES DE INVESTIMENTOS</x:v>
      </x:c>
      <x:c r="C451" s="169" t="n">
        <x:v>0.00547705515</x:v>
      </x:c>
      <x:c r="D451" s="166" t="str">
        <x:v>ROCHA OPÇÕES DE INVESTIMENTOS</x:v>
      </x:c>
      <x:c r="E451" s="185" t="str">
        <x:v>ROCHA OPÇÕES DE INVESTIMENTOS</x:v>
      </x:c>
      <x:c r="F451" s="166" t="str">
        <x:v>Independente</x:v>
      </x:c>
      <x:c r="G451" s="185" t="str">
        <x:v>Independente</x:v>
      </x:c>
      <x:c r="H451" s="166" t="str">
        <x:v>residual; requer revisão manual</x:v>
      </x:c>
      <x:c r="I451" s="166" t="str">
        <x:v>Baixa</x:v>
      </x:c>
      <x:c r="J451" s="166" t="str">
        <x:v>Sim — alta</x:v>
      </x:c>
    </x:row>
    <x:row r="452">
      <x:c r="A452" s="166" t="str">
        <x:v>Gestor</x:v>
      </x:c>
      <x:c r="B452" s="166" t="str">
        <x:v>XMS Investimentos</x:v>
      </x:c>
      <x:c r="C452" s="169" t="n">
        <x:v>0.00531187687</x:v>
      </x:c>
      <x:c r="D452" s="166" t="str">
        <x:v>XMS Investimentos</x:v>
      </x:c>
      <x:c r="E452" s="185" t="str">
        <x:v>XMS Investimentos</x:v>
      </x:c>
      <x:c r="F452" s="166" t="str">
        <x:v>Independente</x:v>
      </x:c>
      <x:c r="G452" s="185" t="str">
        <x:v>Independente</x:v>
      </x:c>
      <x:c r="H452" s="166" t="str">
        <x:v>residual; requer revisão manual</x:v>
      </x:c>
      <x:c r="I452" s="166" t="str">
        <x:v>Baixa</x:v>
      </x:c>
      <x:c r="J452" s="166" t="str">
        <x:v>Sim — alta</x:v>
      </x:c>
    </x:row>
    <x:row r="453">
      <x:c r="A453" s="166" t="str">
        <x:v>Gestor</x:v>
      </x:c>
      <x:c r="B453" s="166" t="str">
        <x:v>Porto Real Investimentos</x:v>
      </x:c>
      <x:c r="C453" s="169" t="n">
        <x:v>0.0051646157400000005</x:v>
      </x:c>
      <x:c r="D453" s="166" t="str">
        <x:v>Porto Real Investimentos</x:v>
      </x:c>
      <x:c r="E453" s="185" t="str">
        <x:v>Porto Real Investimentos</x:v>
      </x:c>
      <x:c r="F453" s="166" t="str">
        <x:v>Independente</x:v>
      </x:c>
      <x:c r="G453" s="185" t="str">
        <x:v>Independente</x:v>
      </x:c>
      <x:c r="H453" s="166" t="str">
        <x:v>residual; requer revisão manual</x:v>
      </x:c>
      <x:c r="I453" s="166" t="str">
        <x:v>Baixa</x:v>
      </x:c>
      <x:c r="J453" s="166" t="str">
        <x:v>Sim — alta</x:v>
      </x:c>
    </x:row>
    <x:row r="454">
      <x:c r="A454" s="166" t="str">
        <x:v>Gestor</x:v>
      </x:c>
      <x:c r="B454" s="166" t="str">
        <x:v>BNY MELLON SERVICOS</x:v>
      </x:c>
      <x:c r="C454" s="169" t="n">
        <x:v>0.004905112619999999</x:v>
      </x:c>
      <x:c r="D454" s="166" t="str">
        <x:v>BNY Mellon</x:v>
      </x:c>
      <x:c r="E454" s="185" t="str">
        <x:v>BNY Mellon</x:v>
      </x:c>
      <x:c r="F454" s="166" t="str">
        <x:v>Ligada a banco</x:v>
      </x:c>
      <x:c r="G454" s="185" t="str">
        <x:v>Ligada a banco</x:v>
      </x:c>
      <x:c r="H454" s="166" t="str">
        <x:v>contém 'BNY MELLON'</x:v>
      </x:c>
      <x:c r="I454" s="166" t="str">
        <x:v>Alta</x:v>
      </x:c>
      <x:c r="J454" s="166" t="str">
        <x:v>Confirmar</x:v>
      </x:c>
    </x:row>
    <x:row r="455">
      <x:c r="A455" s="166" t="str">
        <x:v>Gestor</x:v>
      </x:c>
      <x:c r="B455" s="166" t="str">
        <x:v>Etti Partners</x:v>
      </x:c>
      <x:c r="C455" s="169" t="n">
        <x:v>0.00468585929</x:v>
      </x:c>
      <x:c r="D455" s="166" t="str">
        <x:v>Etti Partners</x:v>
      </x:c>
      <x:c r="E455" s="185" t="str">
        <x:v>Etti Partners</x:v>
      </x:c>
      <x:c r="F455" s="166" t="str">
        <x:v>Independente</x:v>
      </x:c>
      <x:c r="G455" s="185" t="str">
        <x:v>Independente</x:v>
      </x:c>
      <x:c r="H455" s="166" t="str">
        <x:v>residual; requer revisão manual</x:v>
      </x:c>
      <x:c r="I455" s="166" t="str">
        <x:v>Baixa</x:v>
      </x:c>
      <x:c r="J455" s="166" t="str">
        <x:v>Sim — alta</x:v>
      </x:c>
    </x:row>
    <x:row r="456">
      <x:c r="A456" s="166" t="str">
        <x:v>Gestor</x:v>
      </x:c>
      <x:c r="B456" s="166" t="str">
        <x:v>AWR Gestão de Recursos</x:v>
      </x:c>
      <x:c r="C456" s="169" t="n">
        <x:v>0.0038083274399999998</x:v>
      </x:c>
      <x:c r="D456" s="166" t="str">
        <x:v>AWR Gestão de Recursos</x:v>
      </x:c>
      <x:c r="E456" s="185" t="str">
        <x:v>AWR Gestão de Recursos</x:v>
      </x:c>
      <x:c r="F456" s="166" t="str">
        <x:v>Independente</x:v>
      </x:c>
      <x:c r="G456" s="185" t="str">
        <x:v>Independente</x:v>
      </x:c>
      <x:c r="H456" s="166" t="str">
        <x:v>residual; requer revisão manual</x:v>
      </x:c>
      <x:c r="I456" s="166" t="str">
        <x:v>Baixa</x:v>
      </x:c>
      <x:c r="J456" s="166" t="str">
        <x:v>Sim — alta</x:v>
      </x:c>
    </x:row>
    <x:row r="457">
      <x:c r="A457" s="166" t="str">
        <x:v>Gestor</x:v>
      </x:c>
      <x:c r="B457" s="166" t="str">
        <x:v>MARIN INVESTIMENTOS</x:v>
      </x:c>
      <x:c r="C457" s="169" t="n">
        <x:v>0.00378482237</x:v>
      </x:c>
      <x:c r="D457" s="166" t="str">
        <x:v>MARIN INVESTIMENTOS</x:v>
      </x:c>
      <x:c r="E457" s="185" t="str">
        <x:v>MARIN INVESTIMENTOS</x:v>
      </x:c>
      <x:c r="F457" s="166" t="str">
        <x:v>Independente</x:v>
      </x:c>
      <x:c r="G457" s="185" t="str">
        <x:v>Independente</x:v>
      </x:c>
      <x:c r="H457" s="166" t="str">
        <x:v>residual; requer revisão manual</x:v>
      </x:c>
      <x:c r="I457" s="166" t="str">
        <x:v>Baixa</x:v>
      </x:c>
      <x:c r="J457" s="166" t="str">
        <x:v>Sim — alta</x:v>
      </x:c>
    </x:row>
    <x:row r="458">
      <x:c r="A458" s="166" t="str">
        <x:v>Gestor</x:v>
      </x:c>
      <x:c r="B458" s="166" t="str">
        <x:v>3J Gestora de Recursos Ltda.</x:v>
      </x:c>
      <x:c r="C458" s="169" t="n">
        <x:v>0.003229682060000001</x:v>
      </x:c>
      <x:c r="D458" s="166" t="str">
        <x:v>3J Gestora de Recursos Ltda.</x:v>
      </x:c>
      <x:c r="E458" s="185" t="str">
        <x:v>3J Gestora de Recursos Ltda.</x:v>
      </x:c>
      <x:c r="F458" s="166" t="str">
        <x:v>Independente</x:v>
      </x:c>
      <x:c r="G458" s="185" t="str">
        <x:v>Independente</x:v>
      </x:c>
      <x:c r="H458" s="166" t="str">
        <x:v>residual; requer revisão manual</x:v>
      </x:c>
      <x:c r="I458" s="166" t="str">
        <x:v>Baixa</x:v>
      </x:c>
      <x:c r="J458" s="166" t="str">
        <x:v>Sim — alta</x:v>
      </x:c>
    </x:row>
    <x:row r="459">
      <x:c r="A459" s="166" t="str">
        <x:v>Gestor</x:v>
      </x:c>
      <x:c r="B459" s="166" t="str">
        <x:v>Merito DTVM</x:v>
      </x:c>
      <x:c r="C459" s="169" t="n">
        <x:v>0.00319959512</x:v>
      </x:c>
      <x:c r="D459" s="166" t="str">
        <x:v>Merito DTVM</x:v>
      </x:c>
      <x:c r="E459" s="185" t="str">
        <x:v>Merito DTVM</x:v>
      </x:c>
      <x:c r="F459" s="166" t="str">
        <x:v>Independente</x:v>
      </x:c>
      <x:c r="G459" s="185" t="str">
        <x:v>Independente</x:v>
      </x:c>
      <x:c r="H459" s="166" t="str">
        <x:v>residual; requer revisão manual</x:v>
      </x:c>
      <x:c r="I459" s="166" t="str">
        <x:v>Baixa</x:v>
      </x:c>
      <x:c r="J459" s="166" t="str">
        <x:v>Sim — alta</x:v>
      </x:c>
    </x:row>
    <x:row r="460">
      <x:c r="A460" s="166" t="str">
        <x:v>Gestor</x:v>
      </x:c>
      <x:c r="B460" s="166" t="str">
        <x:v>Fronteira Invest</x:v>
      </x:c>
      <x:c r="C460" s="169" t="n">
        <x:v>0.00308404067</x:v>
      </x:c>
      <x:c r="D460" s="166" t="str">
        <x:v>Fronteira Invest</x:v>
      </x:c>
      <x:c r="E460" s="185" t="str">
        <x:v>Fronteira Invest</x:v>
      </x:c>
      <x:c r="F460" s="166" t="str">
        <x:v>Independente</x:v>
      </x:c>
      <x:c r="G460" s="185" t="str">
        <x:v>Independente</x:v>
      </x:c>
      <x:c r="H460" s="166" t="str">
        <x:v>residual; requer revisão manual</x:v>
      </x:c>
      <x:c r="I460" s="166" t="str">
        <x:v>Baixa</x:v>
      </x:c>
      <x:c r="J460" s="166" t="str">
        <x:v>Sim — alta</x:v>
      </x:c>
    </x:row>
    <x:row r="461">
      <x:c r="A461" s="166" t="str">
        <x:v>Gestor</x:v>
      </x:c>
      <x:c r="B461" s="166" t="str">
        <x:v>Iter</x:v>
      </x:c>
      <x:c r="C461" s="169" t="n">
        <x:v>0.0030180317099999998</x:v>
      </x:c>
      <x:c r="D461" s="166" t="str">
        <x:v>Iter</x:v>
      </x:c>
      <x:c r="E461" s="185" t="str">
        <x:v>Iter</x:v>
      </x:c>
      <x:c r="F461" s="166" t="str">
        <x:v>Independente</x:v>
      </x:c>
      <x:c r="G461" s="185" t="str">
        <x:v>Independente</x:v>
      </x:c>
      <x:c r="H461" s="166" t="str">
        <x:v>residual; requer revisão manual</x:v>
      </x:c>
      <x:c r="I461" s="166" t="str">
        <x:v>Baixa</x:v>
      </x:c>
      <x:c r="J461" s="166" t="str">
        <x:v>Sim — alta</x:v>
      </x:c>
    </x:row>
    <x:row r="462">
      <x:c r="A462" s="166" t="str">
        <x:v>Gestor</x:v>
      </x:c>
      <x:c r="B462" s="166" t="str">
        <x:v>Planalto Capital</x:v>
      </x:c>
      <x:c r="C462" s="169" t="n">
        <x:v>0.00273816753</x:v>
      </x:c>
      <x:c r="D462" s="166" t="str">
        <x:v>Planalto Capital</x:v>
      </x:c>
      <x:c r="E462" s="185" t="str">
        <x:v>Planalto Capital</x:v>
      </x:c>
      <x:c r="F462" s="166" t="str">
        <x:v>Independente</x:v>
      </x:c>
      <x:c r="G462" s="185" t="str">
        <x:v>Independente</x:v>
      </x:c>
      <x:c r="H462" s="166" t="str">
        <x:v>residual; requer revisão manual</x:v>
      </x:c>
      <x:c r="I462" s="166" t="str">
        <x:v>Baixa</x:v>
      </x:c>
      <x:c r="J462" s="166" t="str">
        <x:v>Sim — alta</x:v>
      </x:c>
    </x:row>
    <x:row r="463">
      <x:c r="A463" s="166" t="str">
        <x:v>Gestor</x:v>
      </x:c>
      <x:c r="B463" s="166" t="str">
        <x:v>Bradesco Asset</x:v>
      </x:c>
      <x:c r="C463" s="169" t="n">
        <x:v>0.00249269193</x:v>
      </x:c>
      <x:c r="D463" s="166" t="str">
        <x:v>Bradesco</x:v>
      </x:c>
      <x:c r="E463" s="185" t="str">
        <x:v>Bradesco</x:v>
      </x:c>
      <x:c r="F463" s="166" t="str">
        <x:v>Ligada a banco</x:v>
      </x:c>
      <x:c r="G463" s="185" t="str">
        <x:v>Ligada a banco</x:v>
      </x:c>
      <x:c r="H463" s="166" t="str">
        <x:v>contém 'BRADESCO ASSET'</x:v>
      </x:c>
      <x:c r="I463" s="166" t="str">
        <x:v>Alta</x:v>
      </x:c>
      <x:c r="J463" s="166" t="str">
        <x:v>Confirmar</x:v>
      </x:c>
    </x:row>
    <x:row r="464">
      <x:c r="A464" s="166" t="str">
        <x:v>Gestor</x:v>
      </x:c>
      <x:c r="B464" s="166" t="str">
        <x:v>Pátria VBI Real Estate Gestão de Carteiras S.A.</x:v>
      </x:c>
      <x:c r="C464" s="169" t="n">
        <x:v>0.00184116396</x:v>
      </x:c>
      <x:c r="D464" s="166" t="str">
        <x:v>Pátria VBI Real Estate Gestão de Carteiras S.A.</x:v>
      </x:c>
      <x:c r="E464" s="185" t="str">
        <x:v>Pátria VBI Real Estate Gestão de Carteiras S.A.</x:v>
      </x:c>
      <x:c r="F464" s="166" t="str">
        <x:v>Independente</x:v>
      </x:c>
      <x:c r="G464" s="185" t="str">
        <x:v>Independente</x:v>
      </x:c>
      <x:c r="H464" s="166" t="str">
        <x:v>residual; requer revisão manual</x:v>
      </x:c>
      <x:c r="I464" s="166" t="str">
        <x:v>Baixa</x:v>
      </x:c>
      <x:c r="J464" s="166" t="str">
        <x:v>Sim — alta</x:v>
      </x:c>
    </x:row>
    <x:row r="465">
      <x:c r="A465" s="166" t="str">
        <x:v>Gestor</x:v>
      </x:c>
      <x:c r="B465" s="166" t="str">
        <x:v>Fortis Gestora de Recursos LTDA</x:v>
      </x:c>
      <x:c r="C465" s="169" t="n">
        <x:v>0.00169618337</x:v>
      </x:c>
      <x:c r="D465" s="166" t="str">
        <x:v>Fortis Gestora de Recursos LTDA</x:v>
      </x:c>
      <x:c r="E465" s="185" t="str">
        <x:v>Fortis Gestora de Recursos LTDA</x:v>
      </x:c>
      <x:c r="F465" s="166" t="str">
        <x:v>Independente</x:v>
      </x:c>
      <x:c r="G465" s="185" t="str">
        <x:v>Independente</x:v>
      </x:c>
      <x:c r="H465" s="166" t="str">
        <x:v>residual; requer revisão manual</x:v>
      </x:c>
      <x:c r="I465" s="166" t="str">
        <x:v>Baixa</x:v>
      </x:c>
      <x:c r="J465" s="166" t="str">
        <x:v>Sim — alta</x:v>
      </x:c>
    </x:row>
    <x:row r="466">
      <x:c r="A466" s="166" t="str">
        <x:v>Gestor</x:v>
      </x:c>
      <x:c r="B466" s="166" t="str">
        <x:v>QR Asset</x:v>
      </x:c>
      <x:c r="C466" s="169" t="n">
        <x:v>0.0016262008299999999</x:v>
      </x:c>
      <x:c r="D466" s="166" t="str">
        <x:v>QR Asset</x:v>
      </x:c>
      <x:c r="E466" s="185" t="str">
        <x:v>QR Asset</x:v>
      </x:c>
      <x:c r="F466" s="166" t="str">
        <x:v>Independente</x:v>
      </x:c>
      <x:c r="G466" s="185" t="str">
        <x:v>Independente</x:v>
      </x:c>
      <x:c r="H466" s="166" t="str">
        <x:v>residual; requer revisão manual</x:v>
      </x:c>
      <x:c r="I466" s="166" t="str">
        <x:v>Baixa</x:v>
      </x:c>
      <x:c r="J466" s="166" t="str">
        <x:v>Sim — alta</x:v>
      </x:c>
    </x:row>
    <x:row r="467">
      <x:c r="A467" s="166" t="str">
        <x:v>Gestor</x:v>
      </x:c>
      <x:c r="B467" s="166" t="str">
        <x:v>R CAPITAL ASSET MANAGEMENT INVESTIMENTOS S.A.</x:v>
      </x:c>
      <x:c r="C467" s="169" t="n">
        <x:v>0.00113662269</x:v>
      </x:c>
      <x:c r="D467" s="166" t="str">
        <x:v>R CAPITAL ASSET MANAGEMENT INVESTIMENTOS S.A.</x:v>
      </x:c>
      <x:c r="E467" s="185" t="str">
        <x:v>R CAPITAL ASSET MANAGEMENT INVESTIMENTOS S.A.</x:v>
      </x:c>
      <x:c r="F467" s="166" t="str">
        <x:v>Independente</x:v>
      </x:c>
      <x:c r="G467" s="185" t="str">
        <x:v>Independente</x:v>
      </x:c>
      <x:c r="H467" s="166" t="str">
        <x:v>residual; requer revisão manual</x:v>
      </x:c>
      <x:c r="I467" s="166" t="str">
        <x:v>Baixa</x:v>
      </x:c>
      <x:c r="J467" s="166" t="str">
        <x:v>Sim — alta</x:v>
      </x:c>
    </x:row>
    <x:row r="468">
      <x:c r="A468" s="166" t="str">
        <x:v>Gestor</x:v>
      </x:c>
      <x:c r="B468" s="166" t="str">
        <x:v>FOURCE GESTAO DE RECURSOS LTDA</x:v>
      </x:c>
      <x:c r="C468" s="169" t="n">
        <x:v>0.0010666768799999999</x:v>
      </x:c>
      <x:c r="D468" s="166" t="str">
        <x:v>FOURCE GESTAO DE RECURSOS LTDA</x:v>
      </x:c>
      <x:c r="E468" s="185" t="str">
        <x:v>FOURCE GESTAO DE RECURSOS LTDA</x:v>
      </x:c>
      <x:c r="F468" s="166" t="str">
        <x:v>Independente</x:v>
      </x:c>
      <x:c r="G468" s="185" t="str">
        <x:v>Independente</x:v>
      </x:c>
      <x:c r="H468" s="166" t="str">
        <x:v>residual; requer revisão manual</x:v>
      </x:c>
      <x:c r="I468" s="166" t="str">
        <x:v>Baixa</x:v>
      </x:c>
      <x:c r="J468" s="166" t="str">
        <x:v>Sim — alta</x:v>
      </x:c>
    </x:row>
    <x:row r="469">
      <x:c r="A469" s="166" t="str">
        <x:v>Gestor</x:v>
      </x:c>
      <x:c r="B469" s="166" t="str">
        <x:v>Bloxs Asset</x:v>
      </x:c>
      <x:c r="C469" s="169" t="n">
        <x:v>0.00083507215</x:v>
      </x:c>
      <x:c r="D469" s="166" t="str">
        <x:v>Bloxs Asset</x:v>
      </x:c>
      <x:c r="E469" s="185" t="str">
        <x:v>Bloxs Asset</x:v>
      </x:c>
      <x:c r="F469" s="166" t="str">
        <x:v>Independente</x:v>
      </x:c>
      <x:c r="G469" s="185" t="str">
        <x:v>Independente</x:v>
      </x:c>
      <x:c r="H469" s="166" t="str">
        <x:v>residual; requer revisão manual</x:v>
      </x:c>
      <x:c r="I469" s="166" t="str">
        <x:v>Baixa</x:v>
      </x:c>
      <x:c r="J469" s="166" t="str">
        <x:v>Sim — alta</x:v>
      </x:c>
    </x:row>
    <x:row r="470">
      <x:c r="A470" s="166" t="str">
        <x:v>Gestor</x:v>
      </x:c>
      <x:c r="B470" s="166" t="str">
        <x:v>Mont Capital Gestão e Administração</x:v>
      </x:c>
      <x:c r="C470" s="169" t="n">
        <x:v>0.00074536378</x:v>
      </x:c>
      <x:c r="D470" s="166" t="str">
        <x:v>Mont Capital Gestão e Administração</x:v>
      </x:c>
      <x:c r="E470" s="185" t="str">
        <x:v>Mont Capital Gestão e Administração</x:v>
      </x:c>
      <x:c r="F470" s="166" t="str">
        <x:v>Independente</x:v>
      </x:c>
      <x:c r="G470" s="185" t="str">
        <x:v>Independente</x:v>
      </x:c>
      <x:c r="H470" s="166" t="str">
        <x:v>residual; requer revisão manual</x:v>
      </x:c>
      <x:c r="I470" s="166" t="str">
        <x:v>Baixa</x:v>
      </x:c>
      <x:c r="J470" s="166" t="str">
        <x:v>Sim — alta</x:v>
      </x:c>
    </x:row>
    <x:row r="471">
      <x:c r="A471" s="166" t="str">
        <x:v>Gestor</x:v>
      </x:c>
      <x:c r="B471" s="166" t="str">
        <x:v>SZ CAPITAL LTDA</x:v>
      </x:c>
      <x:c r="C471" s="169" t="n">
        <x:v>0.00027557419</x:v>
      </x:c>
      <x:c r="D471" s="166" t="str">
        <x:v>SZ CAPITAL LTDA</x:v>
      </x:c>
      <x:c r="E471" s="185" t="str">
        <x:v>SZ CAPITAL LTDA</x:v>
      </x:c>
      <x:c r="F471" s="166" t="str">
        <x:v>Independente</x:v>
      </x:c>
      <x:c r="G471" s="185" t="str">
        <x:v>Independente</x:v>
      </x:c>
      <x:c r="H471" s="166" t="str">
        <x:v>residual; requer revisão manual</x:v>
      </x:c>
      <x:c r="I471" s="166" t="str">
        <x:v>Baixa</x:v>
      </x:c>
      <x:c r="J471" s="166" t="str">
        <x:v>Sim — alta</x:v>
      </x:c>
    </x:row>
    <x:row r="472">
      <x:c r="A472" s="166" t="str">
        <x:v>Gestor</x:v>
      </x:c>
      <x:c r="B472" s="166" t="str">
        <x:v>Privatto Administração de Patrimonio Ltda</x:v>
      </x:c>
      <x:c r="C472" s="169" t="n">
        <x:v>5e-11</x:v>
      </x:c>
      <x:c r="D472" s="166" t="str">
        <x:v>Privatto Administração de Patrimonio Ltda</x:v>
      </x:c>
      <x:c r="E472" s="185" t="str">
        <x:v>Privatto Administração de Patrimonio Ltda</x:v>
      </x:c>
      <x:c r="F472" s="166" t="str">
        <x:v>Independente</x:v>
      </x:c>
      <x:c r="G472" s="185" t="str">
        <x:v>Independente</x:v>
      </x:c>
      <x:c r="H472" s="166" t="str">
        <x:v>residual; requer revisão manual</x:v>
      </x:c>
      <x:c r="I472" s="166" t="str">
        <x:v>Baixa</x:v>
      </x:c>
      <x:c r="J472" s="166" t="str">
        <x:v>Sim — alta</x:v>
      </x:c>
    </x:row>
    <x:row r="473">
      <x:c r="A473" s="166" t="str">
        <x:v>Gestor</x:v>
      </x:c>
      <x:c r="B473" s="166" t="str">
        <x:v>BRAX INVESTIMENTOS</x:v>
      </x:c>
      <x:c r="C473" s="169" t="n">
        <x:v>2.0000000000000002e-11</x:v>
      </x:c>
      <x:c r="D473" s="166" t="str">
        <x:v>BRAX INVESTIMENTOS</x:v>
      </x:c>
      <x:c r="E473" s="185" t="str">
        <x:v>BRAX INVESTIMENTOS</x:v>
      </x:c>
      <x:c r="F473" s="166" t="str">
        <x:v>Independente</x:v>
      </x:c>
      <x:c r="G473" s="185" t="str">
        <x:v>Independente</x:v>
      </x:c>
      <x:c r="H473" s="166" t="str">
        <x:v>residual; requer revisão manual</x:v>
      </x:c>
      <x:c r="I473" s="166" t="str">
        <x:v>Baixa</x:v>
      </x:c>
      <x:c r="J473" s="166" t="str">
        <x:v>Sim — alta</x:v>
      </x:c>
    </x:row>
    <x:row r="474">
      <x:c r="A474" s="166" t="str">
        <x:v>Gestor</x:v>
      </x:c>
      <x:c r="B474" s="166" t="str">
        <x:v>BAYCAP</x:v>
      </x:c>
      <x:c r="C474" s="169" t="n">
        <x:v>0</x:v>
      </x:c>
      <x:c r="D474" s="166" t="str">
        <x:v>BAYCAP</x:v>
      </x:c>
      <x:c r="E474" s="185" t="str">
        <x:v>BAYCAP</x:v>
      </x:c>
      <x:c r="F474" s="166" t="str">
        <x:v>Independente</x:v>
      </x:c>
      <x:c r="G474" s="185" t="str">
        <x:v>Independente</x:v>
      </x:c>
      <x:c r="H474" s="166" t="str">
        <x:v>residual; requer revisão manual</x:v>
      </x:c>
      <x:c r="I474" s="166" t="str">
        <x:v>Baixa</x:v>
      </x:c>
      <x:c r="J474" s="166" t="str">
        <x:v>Sim — alta</x:v>
      </x:c>
    </x:row>
    <x:row r="475">
      <x:c r="A475" s="166" t="str">
        <x:v>Gestor</x:v>
      </x:c>
      <x:c r="B475" s="166" t="str">
        <x:v>Cedro Asset Management LTDA.</x:v>
      </x:c>
      <x:c r="C475" s="169" t="n">
        <x:v>0</x:v>
      </x:c>
      <x:c r="D475" s="166" t="str">
        <x:v>Cedro Asset Management LTDA.</x:v>
      </x:c>
      <x:c r="E475" s="185" t="str">
        <x:v>Cedro Asset Management LTDA.</x:v>
      </x:c>
      <x:c r="F475" s="166" t="str">
        <x:v>Independente</x:v>
      </x:c>
      <x:c r="G475" s="185" t="str">
        <x:v>Independente</x:v>
      </x:c>
      <x:c r="H475" s="166" t="str">
        <x:v>residual; requer revisão manual</x:v>
      </x:c>
      <x:c r="I475" s="166" t="str">
        <x:v>Baixa</x:v>
      </x:c>
      <x:c r="J475" s="166" t="str">
        <x:v>Sim — alta</x:v>
      </x:c>
    </x:row>
    <x:row r="476">
      <x:c r="A476" s="166" t="str">
        <x:v>Gestor</x:v>
      </x:c>
      <x:c r="B476" s="166" t="str">
        <x:v>Eternia Gestora de Recursos Ltda.</x:v>
      </x:c>
      <x:c r="C476" s="169" t="n">
        <x:v>0</x:v>
      </x:c>
      <x:c r="D476" s="166" t="str">
        <x:v>Eternia Gestora de Recursos Ltda.</x:v>
      </x:c>
      <x:c r="E476" s="185" t="str">
        <x:v>Eternia Gestora de Recursos Ltda.</x:v>
      </x:c>
      <x:c r="F476" s="166" t="str">
        <x:v>Independente</x:v>
      </x:c>
      <x:c r="G476" s="185" t="str">
        <x:v>Independente</x:v>
      </x:c>
      <x:c r="H476" s="166" t="str">
        <x:v>residual; requer revisão manual</x:v>
      </x:c>
      <x:c r="I476" s="166" t="str">
        <x:v>Baixa</x:v>
      </x:c>
      <x:c r="J476" s="166" t="str">
        <x:v>Sim — alta</x:v>
      </x:c>
    </x:row>
    <x:row r="477">
      <x:c r="A477" s="166" t="str">
        <x:v>Gestor</x:v>
      </x:c>
      <x:c r="B477" s="166" t="str">
        <x:v>Florida Investimentos</x:v>
      </x:c>
      <x:c r="C477" s="169" t="n">
        <x:v>0</x:v>
      </x:c>
      <x:c r="D477" s="166" t="str">
        <x:v>Florida Investimentos</x:v>
      </x:c>
      <x:c r="E477" s="185" t="str">
        <x:v>Florida Investimentos</x:v>
      </x:c>
      <x:c r="F477" s="166" t="str">
        <x:v>Independente</x:v>
      </x:c>
      <x:c r="G477" s="185" t="str">
        <x:v>Independente</x:v>
      </x:c>
      <x:c r="H477" s="166" t="str">
        <x:v>residual; requer revisão manual</x:v>
      </x:c>
      <x:c r="I477" s="166" t="str">
        <x:v>Baixa</x:v>
      </x:c>
      <x:c r="J477" s="166" t="str">
        <x:v>Sim — alta</x:v>
      </x:c>
    </x:row>
    <x:row r="478">
      <x:c r="A478" s="166" t="str">
        <x:v>Gestor</x:v>
      </x:c>
      <x:c r="B478" s="166" t="str">
        <x:v>Fors Capital</x:v>
      </x:c>
      <x:c r="C478" s="169" t="n">
        <x:v>0</x:v>
      </x:c>
      <x:c r="D478" s="166" t="str">
        <x:v>Fors Capital</x:v>
      </x:c>
      <x:c r="E478" s="185" t="str">
        <x:v>Fors Capital</x:v>
      </x:c>
      <x:c r="F478" s="166" t="str">
        <x:v>Independente</x:v>
      </x:c>
      <x:c r="G478" s="185" t="str">
        <x:v>Independente</x:v>
      </x:c>
      <x:c r="H478" s="166" t="str">
        <x:v>residual; requer revisão manual</x:v>
      </x:c>
      <x:c r="I478" s="166" t="str">
        <x:v>Baixa</x:v>
      </x:c>
      <x:c r="J478" s="166" t="str">
        <x:v>Sim — alta</x:v>
      </x:c>
    </x:row>
    <x:row r="479">
      <x:c r="A479" s="166" t="str">
        <x:v>Gestor</x:v>
      </x:c>
      <x:c r="B479" s="166" t="str">
        <x:v>JERA CAPITAL</x:v>
      </x:c>
      <x:c r="C479" s="169" t="n">
        <x:v>0</x:v>
      </x:c>
      <x:c r="D479" s="166" t="str">
        <x:v>JERA CAPITAL</x:v>
      </x:c>
      <x:c r="E479" s="185" t="str">
        <x:v>JERA CAPITAL</x:v>
      </x:c>
      <x:c r="F479" s="166" t="str">
        <x:v>Independente</x:v>
      </x:c>
      <x:c r="G479" s="185" t="str">
        <x:v>Independente</x:v>
      </x:c>
      <x:c r="H479" s="166" t="str">
        <x:v>residual; requer revisão manual</x:v>
      </x:c>
      <x:c r="I479" s="166" t="str">
        <x:v>Baixa</x:v>
      </x:c>
      <x:c r="J479" s="166" t="str">
        <x:v>Sim — alta</x:v>
      </x:c>
    </x:row>
    <x:row r="480">
      <x:c r="A480" s="166" t="str">
        <x:v>Gestor</x:v>
      </x:c>
      <x:c r="B480" s="166" t="str">
        <x:v>Lucas Esperança Napolitano</x:v>
      </x:c>
      <x:c r="C480" s="169" t="n">
        <x:v>0</x:v>
      </x:c>
      <x:c r="D480" s="166" t="str">
        <x:v>Lucas Esperança Napolitano</x:v>
      </x:c>
      <x:c r="E480" s="185" t="str">
        <x:v>Lucas Esperança Napolitano</x:v>
      </x:c>
      <x:c r="F480" s="166" t="str">
        <x:v>Independente</x:v>
      </x:c>
      <x:c r="G480" s="185" t="str">
        <x:v>Independente</x:v>
      </x:c>
      <x:c r="H480" s="166" t="str">
        <x:v>residual; requer revisão manual</x:v>
      </x:c>
      <x:c r="I480" s="166" t="str">
        <x:v>Baixa</x:v>
      </x:c>
      <x:c r="J480" s="166" t="str">
        <x:v>Sim — alta</x:v>
      </x:c>
    </x:row>
    <x:row r="481">
      <x:c r="A481" s="166" t="str">
        <x:v>Gestor</x:v>
      </x:c>
      <x:c r="B481" s="166" t="str">
        <x:v>Naia Capital Gestão e Consultoria Financeira Ltda.</x:v>
      </x:c>
      <x:c r="C481" s="169" t="n">
        <x:v>0</x:v>
      </x:c>
      <x:c r="D481" s="166" t="str">
        <x:v>Naia Capital Gestão e Consultoria Financeira Ltda.</x:v>
      </x:c>
      <x:c r="E481" s="185" t="str">
        <x:v>Naia Capital Gestão e Consultoria Financeira Ltda.</x:v>
      </x:c>
      <x:c r="F481" s="166" t="str">
        <x:v>Independente</x:v>
      </x:c>
      <x:c r="G481" s="185" t="str">
        <x:v>Independente</x:v>
      </x:c>
      <x:c r="H481" s="166" t="str">
        <x:v>residual; requer revisão manual</x:v>
      </x:c>
      <x:c r="I481" s="166" t="str">
        <x:v>Baixa</x:v>
      </x:c>
      <x:c r="J481" s="166" t="str">
        <x:v>Sim — alta</x:v>
      </x:c>
    </x:row>
    <x:row r="482">
      <x:c r="A482" s="166" t="str">
        <x:v>Gestor</x:v>
      </x:c>
      <x:c r="B482" s="166" t="str">
        <x:v>Reag Administradora de Recursos Ltda</x:v>
      </x:c>
      <x:c r="C482" s="169" t="n">
        <x:v>0</x:v>
      </x:c>
      <x:c r="D482" s="166" t="str">
        <x:v>REAG</x:v>
      </x:c>
      <x:c r="E482" s="185" t="str">
        <x:v>REAG</x:v>
      </x:c>
      <x:c r="F482" s="166" t="str">
        <x:v>Independente</x:v>
      </x:c>
      <x:c r="G482" s="185" t="str">
        <x:v>Independente</x:v>
      </x:c>
      <x:c r="H482" s="166" t="str">
        <x:v>contém 'REAG '</x:v>
      </x:c>
      <x:c r="I482" s="166" t="str">
        <x:v>Alta</x:v>
      </x:c>
      <x:c r="J482" s="166" t="str">
        <x:v>Confirmar</x:v>
      </x:c>
    </x:row>
    <x:row r="483">
      <x:c r="A483" s="166" t="str">
        <x:v>Gestor</x:v>
      </x:c>
      <x:c r="B483" s="166" t="str">
        <x:v>REAG AMBIENTAL GESTÃO DE RECURSOS LTDA.</x:v>
      </x:c>
      <x:c r="C483" s="169" t="n">
        <x:v>0</x:v>
      </x:c>
      <x:c r="D483" s="166" t="str">
        <x:v>REAG</x:v>
      </x:c>
      <x:c r="E483" s="185" t="str">
        <x:v>REAG</x:v>
      </x:c>
      <x:c r="F483" s="166" t="str">
        <x:v>Independente</x:v>
      </x:c>
      <x:c r="G483" s="185" t="str">
        <x:v>Independente</x:v>
      </x:c>
      <x:c r="H483" s="166" t="str">
        <x:v>contém 'REAG '</x:v>
      </x:c>
      <x:c r="I483" s="166" t="str">
        <x:v>Alta</x:v>
      </x:c>
      <x:c r="J483" s="166" t="str">
        <x:v>Confirmar</x:v>
      </x:c>
    </x:row>
    <x:row r="484">
      <x:c r="A484" s="166" t="str">
        <x:v>Gestor</x:v>
      </x:c>
      <x:c r="B484" s="166" t="str">
        <x:v>Reag Jus</x:v>
      </x:c>
      <x:c r="C484" s="169" t="n">
        <x:v>0</x:v>
      </x:c>
      <x:c r="D484" s="166" t="str">
        <x:v>REAG</x:v>
      </x:c>
      <x:c r="E484" s="185" t="str">
        <x:v>REAG</x:v>
      </x:c>
      <x:c r="F484" s="166" t="str">
        <x:v>Independente</x:v>
      </x:c>
      <x:c r="G484" s="185" t="str">
        <x:v>Independente</x:v>
      </x:c>
      <x:c r="H484" s="166" t="str">
        <x:v>contém 'REAG '</x:v>
      </x:c>
      <x:c r="I484" s="166" t="str">
        <x:v>Alta</x:v>
      </x:c>
      <x:c r="J484" s="166" t="str">
        <x:v>Confirmar</x:v>
      </x:c>
    </x:row>
    <x:row r="485">
      <x:c r="A485" s="166" t="str">
        <x:v>Gestor</x:v>
      </x:c>
      <x:c r="B485" s="166" t="str">
        <x:v>REAG PORTFOLIO SOLUTIONS</x:v>
      </x:c>
      <x:c r="C485" s="169" t="n">
        <x:v>0</x:v>
      </x:c>
      <x:c r="D485" s="166" t="str">
        <x:v>REAG</x:v>
      </x:c>
      <x:c r="E485" s="185" t="str">
        <x:v>REAG</x:v>
      </x:c>
      <x:c r="F485" s="166" t="str">
        <x:v>Independente</x:v>
      </x:c>
      <x:c r="G485" s="185" t="str">
        <x:v>Independente</x:v>
      </x:c>
      <x:c r="H485" s="166" t="str">
        <x:v>contém 'REAG '</x:v>
      </x:c>
      <x:c r="I485" s="166" t="str">
        <x:v>Alta</x:v>
      </x:c>
      <x:c r="J485" s="166" t="str">
        <x:v>Confirmar</x:v>
      </x:c>
    </x:row>
    <x:row r="486">
      <x:c r="A486" s="166" t="str">
        <x:v>Gestor</x:v>
      </x:c>
      <x:c r="B486" s="166" t="str">
        <x:v>REAG SPECIALTY FINANCE</x:v>
      </x:c>
      <x:c r="C486" s="169" t="n">
        <x:v>0</x:v>
      </x:c>
      <x:c r="D486" s="166" t="str">
        <x:v>REAG</x:v>
      </x:c>
      <x:c r="E486" s="185" t="str">
        <x:v>REAG</x:v>
      </x:c>
      <x:c r="F486" s="166" t="str">
        <x:v>Independente</x:v>
      </x:c>
      <x:c r="G486" s="185" t="str">
        <x:v>Independente</x:v>
      </x:c>
      <x:c r="H486" s="166" t="str">
        <x:v>contém 'REAG '</x:v>
      </x:c>
      <x:c r="I486" s="166" t="str">
        <x:v>Alta</x:v>
      </x:c>
      <x:c r="J486" s="166" t="str">
        <x:v>Confirmar</x:v>
      </x:c>
    </x:row>
    <x:row r="487">
      <x:c r="A487" s="166" t="str">
        <x:v>Gestor</x:v>
      </x:c>
      <x:c r="B487" s="166" t="str">
        <x:v>Reditus Investimentos LTDA</x:v>
      </x:c>
      <x:c r="C487" s="169" t="n">
        <x:v>0</x:v>
      </x:c>
      <x:c r="D487" s="166" t="str">
        <x:v>Reditus Investimentos LTDA</x:v>
      </x:c>
      <x:c r="E487" s="185" t="str">
        <x:v>Reditus Investimentos LTDA</x:v>
      </x:c>
      <x:c r="F487" s="166" t="str">
        <x:v>Independente</x:v>
      </x:c>
      <x:c r="G487" s="185" t="str">
        <x:v>Independente</x:v>
      </x:c>
      <x:c r="H487" s="166" t="str">
        <x:v>residual; requer revisão manual</x:v>
      </x:c>
      <x:c r="I487" s="166" t="str">
        <x:v>Baixa</x:v>
      </x:c>
      <x:c r="J487" s="166" t="str">
        <x:v>Sim — alta</x:v>
      </x:c>
    </x:row>
    <x:row r="488">
      <x:c r="A488" s="166" t="str">
        <x:v>Gestor</x:v>
      </x:c>
      <x:c r="B488" s="166" t="str">
        <x:v>RIOS ASSET</x:v>
      </x:c>
      <x:c r="C488" s="169" t="n">
        <x:v>0</x:v>
      </x:c>
      <x:c r="D488" s="166" t="str">
        <x:v>RIOS ASSET</x:v>
      </x:c>
      <x:c r="E488" s="185" t="str">
        <x:v>RIOS ASSET</x:v>
      </x:c>
      <x:c r="F488" s="166" t="str">
        <x:v>Independente</x:v>
      </x:c>
      <x:c r="G488" s="185" t="str">
        <x:v>Independente</x:v>
      </x:c>
      <x:c r="H488" s="166" t="str">
        <x:v>residual; requer revisão manual</x:v>
      </x:c>
      <x:c r="I488" s="166" t="str">
        <x:v>Baixa</x:v>
      </x:c>
      <x:c r="J488" s="166" t="str">
        <x:v>Sim — alta</x:v>
      </x:c>
    </x:row>
    <x:row r="489">
      <x:c r="A489" s="166" t="str">
        <x:v>Gestor</x:v>
      </x:c>
      <x:c r="B489" s="166" t="str">
        <x:v>SHORE CAPITAL GESTÃO DE RECURSOS LTDA</x:v>
      </x:c>
      <x:c r="C489" s="169" t="n">
        <x:v>0</x:v>
      </x:c>
      <x:c r="D489" s="166" t="str">
        <x:v>SHORE CAPITAL GESTÃO DE RECURSOS LTDA</x:v>
      </x:c>
      <x:c r="E489" s="185" t="str">
        <x:v>SHORE CAPITAL GESTÃO DE RECURSOS LTDA</x:v>
      </x:c>
      <x:c r="F489" s="166" t="str">
        <x:v>Independente</x:v>
      </x:c>
      <x:c r="G489" s="185" t="str">
        <x:v>Independente</x:v>
      </x:c>
      <x:c r="H489" s="166" t="str">
        <x:v>residual; requer revisão manual</x:v>
      </x:c>
      <x:c r="I489" s="166" t="str">
        <x:v>Baixa</x:v>
      </x:c>
      <x:c r="J489" s="166" t="str">
        <x:v>Sim — alta</x:v>
      </x:c>
    </x:row>
    <x:row r="490">
      <x:c r="A490" s="167" t="str">
        <x:v>Gestor</x:v>
      </x:c>
      <x:c r="B490" s="167" t="str">
        <x:v>Sonar Investimentos</x:v>
      </x:c>
      <x:c r="C490" s="170" t="n">
        <x:v>0</x:v>
      </x:c>
      <x:c r="D490" s="167" t="str">
        <x:v>Sonar Investimentos</x:v>
      </x:c>
      <x:c r="E490" s="186" t="str">
        <x:v>Sonar Investimentos</x:v>
      </x:c>
      <x:c r="F490" s="167" t="str">
        <x:v>Independente</x:v>
      </x:c>
      <x:c r="G490" s="186" t="str">
        <x:v>Independente</x:v>
      </x:c>
      <x:c r="H490" s="167" t="str">
        <x:v>residual; requer revisão manual</x:v>
      </x:c>
      <x:c r="I490" s="167" t="str">
        <x:v>Baixa</x:v>
      </x:c>
      <x:c r="J490" s="167" t="str">
        <x:v>Sim — alta</x:v>
      </x:c>
    </x:row>
  </x:sheetData>
  <x:mergeCells>
    <x:mergeCell ref="A1:J2"/>
    <x:mergeCell ref="A3:J3"/>
  </x:mergeCells>
  <x:dataValidations count="1">
    <x:dataValidation type="list" sqref="G6:G490">
      <x:formula1>"Ligada a banco,Independente,Não classificada"</x:formula1>
    </x:dataValidation>
  </x:dataValidation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5" max="15" width="16" hidden="0" customWidth="1"/>
    <x:col min="16" max="16" width="36" hidden="0" customWidth="1"/>
    <x:col min="17" max="17" width="16" hidden="0" customWidth="1"/>
    <x:col min="18" max="18" width="16" hidden="0" customWidth="1"/>
  </x:cols>
  <x:sheetData>
    <x:row r="1" ht="30" customHeight="1">
      <x:c r="A1" s="4" t="str">
        <x:v>Gestores por conglomerado | evolução e delta de posição</x:v>
      </x:c>
      <x:c r="B1" s="4" t="str">
        <x:v>Gestores por conglomerado | evolução e delta de posição</x:v>
      </x:c>
      <x:c r="C1" s="4" t="str">
        <x:v>Gestores por conglomerado | evolução e delta de posição</x:v>
      </x:c>
      <x:c r="D1" s="4" t="str">
        <x:v>Gestores por conglomerado | evolução e delta de posição</x:v>
      </x:c>
      <x:c r="E1" s="4" t="str">
        <x:v>Gestores por conglomerado | evolução e delta de posição</x:v>
      </x:c>
      <x:c r="F1" s="4" t="str">
        <x:v>Gestores por conglomerado | evolução e delta de posição</x:v>
      </x:c>
      <x:c r="G1" s="4" t="str">
        <x:v>Gestores por conglomerado | evolução e delta de posição</x:v>
      </x:c>
      <x:c r="H1" s="4" t="str">
        <x:v>Gestores por conglomerado | evolução e delta de posição</x:v>
      </x:c>
      <x:c r="I1" s="4" t="str">
        <x:v>Gestores por conglomerado | evolução e delta de posição</x:v>
      </x:c>
      <x:c r="J1" s="4" t="str">
        <x:v>Gestores por conglomerado | evolução e delta de posição</x:v>
      </x:c>
      <x:c r="K1" s="4" t="str">
        <x:v>Gestores por conglomerado | evolução e delta de posição</x:v>
      </x:c>
      <x:c r="L1" s="4" t="str">
        <x:v>Gestores por conglomerado | evolução e delta de posição</x:v>
      </x:c>
      <x:c r="M1" s="4" t="str">
        <x:v>Gestores por conglomerado | evolução e delta de posição</x:v>
      </x:c>
      <x:c r="N1" s="211"/>
      <x:c r="O1" s="211"/>
      <x:c r="P1" s="211"/>
      <x:c r="Q1" s="211"/>
      <x:c r="R1" s="211"/>
    </x:row>
    <x:row r="2" ht="30" customHeight="1">
      <x:c r="A2" s="4" t="str">
        <x:v>Gestores por conglomerado | evolução e delta de posição</x:v>
      </x:c>
      <x:c r="B2" s="4" t="str">
        <x:v>Gestores por conglomerado | evolução e delta de posição</x:v>
      </x:c>
      <x:c r="C2" s="4" t="str">
        <x:v>Gestores por conglomerado | evolução e delta de posição</x:v>
      </x:c>
      <x:c r="D2" s="4" t="str">
        <x:v>Gestores por conglomerado | evolução e delta de posição</x:v>
      </x:c>
      <x:c r="E2" s="4" t="str">
        <x:v>Gestores por conglomerado | evolução e delta de posição</x:v>
      </x:c>
      <x:c r="F2" s="4" t="str">
        <x:v>Gestores por conglomerado | evolução e delta de posição</x:v>
      </x:c>
      <x:c r="G2" s="4" t="str">
        <x:v>Gestores por conglomerado | evolução e delta de posição</x:v>
      </x:c>
      <x:c r="H2" s="4" t="str">
        <x:v>Gestores por conglomerado | evolução e delta de posição</x:v>
      </x:c>
      <x:c r="I2" s="4" t="str">
        <x:v>Gestores por conglomerado | evolução e delta de posição</x:v>
      </x:c>
      <x:c r="J2" s="4" t="str">
        <x:v>Gestores por conglomerado | evolução e delta de posição</x:v>
      </x:c>
      <x:c r="K2" s="4" t="str">
        <x:v>Gestores por conglomerado | evolução e delta de posição</x:v>
      </x:c>
      <x:c r="L2" s="4" t="str">
        <x:v>Gestores por conglomerado | evolução e delta de posição</x:v>
      </x:c>
      <x:c r="M2" s="4" t="str">
        <x:v>Gestores por conglomerado | evolução e delta de posição</x:v>
      </x:c>
      <x:c r="N2" s="211"/>
      <x:c r="O2" s="211"/>
      <x:c r="P2" s="211"/>
      <x:c r="Q2" s="211"/>
      <x:c r="R2" s="211"/>
    </x:row>
    <x:row r="3">
      <x:c r="A3" s="201" t="str">
        <x:v>Posição e share calculados dentro do universo ANBIMA em cada competência. Δ posição positivo = ganho de posições. O período histórico comparável do modelo começa em out/2024.</x:v>
      </x:c>
      <x:c r="B3" s="201" t="str">
        <x:v>Posição e share calculados dentro do universo ANBIMA em cada competência. Δ posição positivo = ganho de posições. O período histórico comparável do modelo começa em out/2024.</x:v>
      </x:c>
      <x:c r="C3" s="201" t="str">
        <x:v>Posição e share calculados dentro do universo ANBIMA em cada competência. Δ posição positivo = ganho de posições. O período histórico comparável do modelo começa em out/2024.</x:v>
      </x:c>
      <x:c r="D3" s="201" t="str">
        <x:v>Posição e share calculados dentro do universo ANBIMA em cada competência. Δ posição positivo = ganho de posições. O período histórico comparável do modelo começa em out/2024.</x:v>
      </x:c>
      <x:c r="E3" s="201" t="str">
        <x:v>Posição e share calculados dentro do universo ANBIMA em cada competência. Δ posição positivo = ganho de posições. O período histórico comparável do modelo começa em out/2024.</x:v>
      </x:c>
      <x:c r="F3" s="201" t="str">
        <x:v>Posição e share calculados dentro do universo ANBIMA em cada competência. Δ posição positivo = ganho de posições. O período histórico comparável do modelo começa em out/2024.</x:v>
      </x:c>
      <x:c r="G3" s="201" t="str">
        <x:v>Posição e share calculados dentro do universo ANBIMA em cada competência. Δ posição positivo = ganho de posições. O período histórico comparável do modelo começa em out/2024.</x:v>
      </x:c>
      <x:c r="H3" s="201" t="str">
        <x:v>Posição e share calculados dentro do universo ANBIMA em cada competência. Δ posição positivo = ganho de posições. O período histórico comparável do modelo começa em out/2024.</x:v>
      </x:c>
      <x:c r="I3" s="201" t="str">
        <x:v>Posição e share calculados dentro do universo ANBIMA em cada competência. Δ posição positivo = ganho de posições. O período histórico comparável do modelo começa em out/2024.</x:v>
      </x:c>
      <x:c r="J3" s="201" t="str">
        <x:v>Posição e share calculados dentro do universo ANBIMA em cada competência. Δ posição positivo = ganho de posições. O período histórico comparável do modelo começa em out/2024.</x:v>
      </x:c>
      <x:c r="K3" s="201" t="str">
        <x:v>Posição e share calculados dentro do universo ANBIMA em cada competência. Δ posição positivo = ganho de posições. O período histórico comparável do modelo começa em out/2024.</x:v>
      </x:c>
      <x:c r="L3" s="201" t="str">
        <x:v>Posição e share calculados dentro do universo ANBIMA em cada competência. Δ posição positivo = ganho de posições. O período histórico comparável do modelo começa em out/2024.</x:v>
      </x:c>
      <x:c r="M3" s="201" t="str">
        <x:v>Posição e share calculados dentro do universo ANBIMA em cada competência. Δ posição positivo = ganho de posições. O período histórico comparável do modelo começa em out/2024.</x:v>
      </x:c>
      <x:c r="N3" s="211"/>
      <x:c r="O3" s="211"/>
      <x:c r="P3" s="211"/>
      <x:c r="Q3" s="211"/>
      <x:c r="R3" s="211"/>
    </x:row>
    <x:row r="4">
      <x:c r="A4" s="211"/>
      <x:c r="B4" s="211"/>
      <x:c r="C4" s="211"/>
      <x:c r="D4" s="211"/>
      <x:c r="E4" s="211"/>
      <x:c r="F4" s="211"/>
      <x:c r="G4" s="211"/>
      <x:c r="H4" s="211"/>
      <x:c r="I4" s="211"/>
      <x:c r="J4" s="211"/>
      <x:c r="K4" s="211"/>
      <x:c r="L4" s="211"/>
      <x:c r="M4" s="211"/>
      <x:c r="N4" s="211"/>
      <x:c r="O4" s="211"/>
      <x:c r="P4" s="211"/>
      <x:c r="Q4" s="211"/>
      <x:c r="R4" s="211"/>
    </x:row>
    <x:row r="5" ht="28" customHeight="1">
      <x:c r="A5" s="20" t="str">
        <x:v>Conglomerado</x:v>
      </x:c>
      <x:c r="B5" s="21" t="str">
        <x:v>Vínculo</x:v>
      </x:c>
      <x:c r="C5" s="21" t="str">
        <x:v>Pos dez/24</x:v>
      </x:c>
      <x:c r="D5" s="21" t="str">
        <x:v>PL dez/24</x:v>
      </x:c>
      <x:c r="E5" s="21" t="str">
        <x:v>Share dez/24</x:v>
      </x:c>
      <x:c r="F5" s="21" t="str">
        <x:v>Pos dez/25</x:v>
      </x:c>
      <x:c r="G5" s="21" t="str">
        <x:v>Δ pos 25</x:v>
      </x:c>
      <x:c r="H5" s="21" t="str">
        <x:v>PL dez/25</x:v>
      </x:c>
      <x:c r="I5" s="21" t="str">
        <x:v>Share dez/25</x:v>
      </x:c>
      <x:c r="J5" s="21" t="str">
        <x:v>Pos mai/26</x:v>
      </x:c>
      <x:c r="K5" s="21" t="str">
        <x:v>Δ pos 26</x:v>
      </x:c>
      <x:c r="L5" s="21" t="str">
        <x:v>PL mai/26</x:v>
      </x:c>
      <x:c r="M5" s="22" t="str">
        <x:v>Share mai/26</x:v>
      </x:c>
      <x:c r="N5" s="211"/>
      <x:c r="O5" s="20" t="str">
        <x:v>Conglomerado</x:v>
      </x:c>
      <x:c r="P5" s="21" t="str">
        <x:v>Dez/24</x:v>
      </x:c>
      <x:c r="Q5" s="21" t="str">
        <x:v>Dez/25</x:v>
      </x:c>
      <x:c r="R5" s="22" t="str">
        <x:v>Mai/26</x:v>
      </x:c>
    </x:row>
    <x:row r="6">
      <x:c r="A6" s="165" t="str">
        <x:v>Oliveira Trust</x:v>
      </x:c>
      <x:c r="B6" s="165" t="str">
        <x:v>Independente</x:v>
      </x:c>
      <x:c r="C6" s="165" t="n">
        <x:v>2</x:v>
      </x:c>
      <x:c r="D6" s="168" t="n">
        <x:v>61.04499210209998</x:v>
      </x:c>
      <x:c r="E6" s="202" t="n">
        <x:v>0.10397979182251049</x:v>
      </x:c>
      <x:c r="F6" s="165" t="n">
        <x:v>2</x:v>
      </x:c>
      <x:c r="G6" s="165" t="n">
        <x:v>0</x:v>
      </x:c>
      <x:c r="H6" s="168" t="n">
        <x:v>60.33876557783001</x:v>
      </x:c>
      <x:c r="I6" s="202" t="n">
        <x:v>0.0809604057024846</x:v>
      </x:c>
      <x:c r="J6" s="165" t="n">
        <x:v>1</x:v>
      </x:c>
      <x:c r="K6" s="165" t="n">
        <x:v>1</x:v>
      </x:c>
      <x:c r="L6" s="168" t="n">
        <x:v>73.96592708442</x:v>
      </x:c>
      <x:c r="M6" s="202" t="n">
        <x:v>0.09847831713621974</x:v>
      </x:c>
      <x:c r="N6" s="211"/>
      <x:c r="O6" s="110" t="str">
        <x:v>Oliveira Trust</x:v>
      </x:c>
      <x:c r="P6" s="119" t="n">
        <x:v>61.04499210209998</x:v>
      </x:c>
      <x:c r="Q6" s="119" t="n">
        <x:v>60.33876557783001</x:v>
      </x:c>
      <x:c r="R6" s="119" t="n">
        <x:v>73.96592708442</x:v>
      </x:c>
    </x:row>
    <x:row r="7">
      <x:c r="A7" s="166" t="str">
        <x:v>Banco do Brasil</x:v>
      </x:c>
      <x:c r="B7" s="166" t="str">
        <x:v>Ligada a banco</x:v>
      </x:c>
      <x:c r="C7" s="166" t="n">
        <x:v>1</x:v>
      </x:c>
      <x:c r="D7" s="169" t="n">
        <x:v>91.80997219781</x:v>
      </x:c>
      <x:c r="E7" s="203" t="n">
        <x:v>0.1563827181825511</x:v>
      </x:c>
      <x:c r="F7" s="166" t="n">
        <x:v>1</x:v>
      </x:c>
      <x:c r="G7" s="166" t="n">
        <x:v>0</x:v>
      </x:c>
      <x:c r="H7" s="169" t="n">
        <x:v>61.56244101642</x:v>
      </x:c>
      <x:c r="I7" s="203" t="n">
        <x:v>0.08260228980481386</x:v>
      </x:c>
      <x:c r="J7" s="166" t="n">
        <x:v>2</x:v>
      </x:c>
      <x:c r="K7" s="166" t="n">
        <x:v>-1</x:v>
      </x:c>
      <x:c r="L7" s="169" t="n">
        <x:v>60.892601464269994</x:v>
      </x:c>
      <x:c r="M7" s="203" t="n">
        <x:v>0.08107247694473808</x:v>
      </x:c>
      <x:c r="N7" s="211"/>
      <x:c r="O7" s="111" t="str">
        <x:v>Banco do Brasil</x:v>
      </x:c>
      <x:c r="P7" s="120" t="n">
        <x:v>91.80997219781</x:v>
      </x:c>
      <x:c r="Q7" s="120" t="n">
        <x:v>61.56244101642</x:v>
      </x:c>
      <x:c r="R7" s="120" t="n">
        <x:v>60.892601464269994</x:v>
      </x:c>
    </x:row>
    <x:row r="8">
      <x:c r="A8" s="166" t="str">
        <x:v>BTG Pactual</x:v>
      </x:c>
      <x:c r="B8" s="166" t="str">
        <x:v>Ligada a banco</x:v>
      </x:c>
      <x:c r="C8" s="166" t="n">
        <x:v>4</x:v>
      </x:c>
      <x:c r="D8" s="169" t="n">
        <x:v>30.67781684324</x:v>
      </x:c>
      <x:c r="E8" s="203" t="n">
        <x:v>0.05225445854090736</x:v>
      </x:c>
      <x:c r="F8" s="166" t="n">
        <x:v>4</x:v>
      </x:c>
      <x:c r="G8" s="166" t="n">
        <x:v>0</x:v>
      </x:c>
      <x:c r="H8" s="169" t="n">
        <x:v>39.11639969570001</x:v>
      </x:c>
      <x:c r="I8" s="203" t="n">
        <x:v>0.05248499134274649</x:v>
      </x:c>
      <x:c r="J8" s="166" t="n">
        <x:v>3</x:v>
      </x:c>
      <x:c r="K8" s="166" t="n">
        <x:v>1</x:v>
      </x:c>
      <x:c r="L8" s="169" t="n">
        <x:v>51.41080680317991</x:v>
      </x:c>
      <x:c r="M8" s="203" t="n">
        <x:v>0.06844840504485342</x:v>
      </x:c>
      <x:c r="N8" s="211"/>
      <x:c r="O8" s="111" t="str">
        <x:v>BTG Pactual</x:v>
      </x:c>
      <x:c r="P8" s="120" t="n">
        <x:v>30.67781684324</x:v>
      </x:c>
      <x:c r="Q8" s="120" t="n">
        <x:v>39.11639969570001</x:v>
      </x:c>
      <x:c r="R8" s="120" t="n">
        <x:v>51.41080680317991</x:v>
      </x:c>
    </x:row>
    <x:row r="9">
      <x:c r="A9" s="166" t="str">
        <x:v>Bradesco</x:v>
      </x:c>
      <x:c r="B9" s="166" t="str">
        <x:v>Ligada a banco</x:v>
      </x:c>
      <x:c r="C9" s="166" t="n">
        <x:v>7</x:v>
      </x:c>
      <x:c r="D9" s="169" t="n">
        <x:v>14.998251324100002</x:v>
      </x:c>
      <x:c r="E9" s="203" t="n">
        <x:v>0.025546977674651257</x:v>
      </x:c>
      <x:c r="F9" s="166" t="n">
        <x:v>5</x:v>
      </x:c>
      <x:c r="G9" s="166" t="n">
        <x:v>2</x:v>
      </x:c>
      <x:c r="H9" s="169" t="n">
        <x:v>35.91551467735</x:v>
      </x:c>
      <x:c r="I9" s="203" t="n">
        <x:v>0.04819015787688191</x:v>
      </x:c>
      <x:c r="J9" s="166" t="n">
        <x:v>4</x:v>
      </x:c>
      <x:c r="K9" s="166" t="n">
        <x:v>1</x:v>
      </x:c>
      <x:c r="L9" s="169" t="n">
        <x:v>40.273611049100026</x:v>
      </x:c>
      <x:c r="M9" s="203" t="n">
        <x:v>0.053620330298671276</x:v>
      </x:c>
      <x:c r="N9" s="211"/>
      <x:c r="O9" s="111" t="str">
        <x:v>Bradesco</x:v>
      </x:c>
      <x:c r="P9" s="120" t="n">
        <x:v>14.998251324100002</x:v>
      </x:c>
      <x:c r="Q9" s="120" t="n">
        <x:v>35.91551467735</x:v>
      </x:c>
      <x:c r="R9" s="120" t="n">
        <x:v>40.273611049100026</x:v>
      </x:c>
    </x:row>
    <x:row r="10">
      <x:c r="A10" s="166" t="str">
        <x:v>Banco Genial</x:v>
      </x:c>
      <x:c r="B10" s="166" t="str">
        <x:v>Ligada a banco</x:v>
      </x:c>
      <x:c r="C10" s="166" t="n">
        <x:v>5</x:v>
      </x:c>
      <x:c r="D10" s="169" t="n">
        <x:v>21.18175565581</x:v>
      </x:c>
      <x:c r="E10" s="203" t="n">
        <x:v>0.036079528683412534</x:v>
      </x:c>
      <x:c r="F10" s="166" t="n">
        <x:v>6</x:v>
      </x:c>
      <x:c r="G10" s="166" t="n">
        <x:v>-1</x:v>
      </x:c>
      <x:c r="H10" s="169" t="n">
        <x:v>25.4617452925</x:v>
      </x:c>
      <x:c r="I10" s="203" t="n">
        <x:v>0.034163662597889395</x:v>
      </x:c>
      <x:c r="J10" s="166" t="n">
        <x:v>5</x:v>
      </x:c>
      <x:c r="K10" s="166" t="n">
        <x:v>1</x:v>
      </x:c>
      <x:c r="L10" s="169" t="n">
        <x:v>26.913128666738917</x:v>
      </x:c>
      <x:c r="M10" s="203" t="n">
        <x:v>0.03583216927634869</x:v>
      </x:c>
      <x:c r="N10" s="211"/>
      <x:c r="O10" s="111" t="str">
        <x:v>Banco Genial</x:v>
      </x:c>
      <x:c r="P10" s="120" t="n">
        <x:v>21.18175565581</x:v>
      </x:c>
      <x:c r="Q10" s="120" t="n">
        <x:v>25.4617452925</x:v>
      </x:c>
      <x:c r="R10" s="120" t="n">
        <x:v>26.913128666738917</x:v>
      </x:c>
    </x:row>
    <x:row r="11">
      <x:c r="A11" s="166" t="str">
        <x:v>TERCON ASSET MANAGEMENT</x:v>
      </x:c>
      <x:c r="B11" s="166" t="str">
        <x:v>Independente</x:v>
      </x:c>
      <x:c r="C11" s="166" t="n">
        <x:v>6</x:v>
      </x:c>
      <x:c r="D11" s="169" t="n">
        <x:v>18.307760957489982</x:v>
      </x:c>
      <x:c r="E11" s="203" t="n">
        <x:v>0.031184166096904244</x:v>
      </x:c>
      <x:c r="F11" s="166" t="n">
        <x:v>7</x:v>
      </x:c>
      <x:c r="G11" s="166" t="n">
        <x:v>-1</x:v>
      </x:c>
      <x:c r="H11" s="169" t="n">
        <x:v>21.251494915690046</x:v>
      </x:c>
      <x:c r="I11" s="203" t="n">
        <x:v>0.02851449865906307</x:v>
      </x:c>
      <x:c r="J11" s="166" t="n">
        <x:v>6</x:v>
      </x:c>
      <x:c r="K11" s="166" t="n">
        <x:v>1</x:v>
      </x:c>
      <x:c r="L11" s="169" t="n">
        <x:v>21.345144152257216</x:v>
      </x:c>
      <x:c r="M11" s="203" t="n">
        <x:v>0.028418948534846118</x:v>
      </x:c>
      <x:c r="N11" s="211"/>
      <x:c r="O11" s="111" t="str">
        <x:v>TERCON ASSET MANAGEMENT</x:v>
      </x:c>
      <x:c r="P11" s="120" t="n">
        <x:v>18.307760957489982</x:v>
      </x:c>
      <x:c r="Q11" s="120" t="n">
        <x:v>21.251494915690046</x:v>
      </x:c>
      <x:c r="R11" s="120" t="n">
        <x:v>21.345144152257216</x:v>
      </x:c>
    </x:row>
    <x:row r="12">
      <x:c r="A12" s="166" t="str">
        <x:v>Itaú Unibanco</x:v>
      </x:c>
      <x:c r="B12" s="166" t="str">
        <x:v>Ligada a banco</x:v>
      </x:c>
      <x:c r="C12" s="166" t="n">
        <x:v>10</x:v>
      </x:c>
      <x:c r="D12" s="169" t="n">
        <x:v>9.954806268409722</x:v>
      </x:c>
      <x:c r="E12" s="203" t="n">
        <x:v>0.016956324307347358</x:v>
      </x:c>
      <x:c r="F12" s="166" t="n">
        <x:v>8</x:v>
      </x:c>
      <x:c r="G12" s="166" t="n">
        <x:v>2</x:v>
      </x:c>
      <x:c r="H12" s="169" t="n">
        <x:v>17.95097579002266</x:v>
      </x:c>
      <x:c r="I12" s="203" t="n">
        <x:v>0.024085979698094773</x:v>
      </x:c>
      <x:c r="J12" s="166" t="n">
        <x:v>7</x:v>
      </x:c>
      <x:c r="K12" s="166" t="n">
        <x:v>1</x:v>
      </x:c>
      <x:c r="L12" s="169" t="n">
        <x:v>20.95369215256001</x:v>
      </x:c>
      <x:c r="M12" s="203" t="n">
        <x:v>0.027897768909451965</x:v>
      </x:c>
      <x:c r="N12" s="211"/>
      <x:c r="O12" s="111" t="str">
        <x:v>Itaú Unibanco</x:v>
      </x:c>
      <x:c r="P12" s="120" t="n">
        <x:v>9.954806268409722</x:v>
      </x:c>
      <x:c r="Q12" s="120" t="n">
        <x:v>17.95097579002266</x:v>
      </x:c>
      <x:c r="R12" s="120" t="n">
        <x:v>20.95369215256001</x:v>
      </x:c>
    </x:row>
    <x:row r="13">
      <x:c r="A13" s="166" t="str">
        <x:v>Integral Investimentos</x:v>
      </x:c>
      <x:c r="B13" s="166" t="str">
        <x:v>Independente</x:v>
      </x:c>
      <x:c r="C13" s="166" t="n">
        <x:v>8</x:v>
      </x:c>
      <x:c r="D13" s="169" t="n">
        <x:v>14.280898010380009</x:v>
      </x:c>
      <x:c r="E13" s="203" t="n">
        <x:v>0.02432508795601491</x:v>
      </x:c>
      <x:c r="F13" s="166" t="n">
        <x:v>9</x:v>
      </x:c>
      <x:c r="G13" s="166" t="n">
        <x:v>-1</x:v>
      </x:c>
      <x:c r="H13" s="169" t="n">
        <x:v>14.896366212770006</x:v>
      </x:c>
      <x:c r="I13" s="203" t="n">
        <x:v>0.019987413407107628</x:v>
      </x:c>
      <x:c r="J13" s="166" t="n">
        <x:v>8</x:v>
      </x:c>
      <x:c r="K13" s="166" t="n">
        <x:v>1</x:v>
      </x:c>
      <x:c r="L13" s="169" t="n">
        <x:v>14.695753349350866</x:v>
      </x:c>
      <x:c r="M13" s="203" t="n">
        <x:v>0.01956594226475768</x:v>
      </x:c>
      <x:c r="N13" s="211"/>
      <x:c r="O13" s="112" t="str">
        <x:v>Integral Investimentos</x:v>
      </x:c>
      <x:c r="P13" s="124" t="n">
        <x:v>14.280898010380009</x:v>
      </x:c>
      <x:c r="Q13" s="124" t="n">
        <x:v>14.896366212770006</x:v>
      </x:c>
      <x:c r="R13" s="124" t="n">
        <x:v>14.695753349350866</x:v>
      </x:c>
    </x:row>
    <x:row r="14">
      <x:c r="A14" s="166" t="str">
        <x:v>VERT Gestora de Recursos Financeiros Ltda.</x:v>
      </x:c>
      <x:c r="B14" s="166" t="str">
        <x:v>Independente</x:v>
      </x:c>
      <x:c r="C14" s="166" t="n">
        <x:v>60</x:v>
      </x:c>
      <x:c r="D14" s="169" t="n">
        <x:v>1.5264794747999997</x:v>
      </x:c>
      <x:c r="E14" s="203" t="n">
        <x:v>0.0026000989195898174</x:v>
      </x:c>
      <x:c r="F14" s="166" t="n">
        <x:v>15</x:v>
      </x:c>
      <x:c r="G14" s="166" t="n">
        <x:v>45</x:v>
      </x:c>
      <x:c r="H14" s="169" t="n">
        <x:v>9.580143275294432</x:v>
      </x:c>
      <x:c r="I14" s="203" t="n">
        <x:v>0.01285429489364208</x:v>
      </x:c>
      <x:c r="J14" s="166" t="n">
        <x:v>9</x:v>
      </x:c>
      <x:c r="K14" s="166" t="n">
        <x:v>6</x:v>
      </x:c>
      <x:c r="L14" s="169" t="n">
        <x:v>13.579469196570889</x:v>
      </x:c>
      <x:c r="M14" s="203" t="n">
        <x:v>0.018079720308989636</x:v>
      </x:c>
      <x:c r="N14" s="211"/>
      <x:c r="O14" s="211"/>
      <x:c r="P14" s="211"/>
      <x:c r="Q14" s="211"/>
      <x:c r="R14" s="211"/>
    </x:row>
    <x:row r="15">
      <x:c r="A15" s="166" t="str">
        <x:v>Solis</x:v>
      </x:c>
      <x:c r="B15" s="166" t="str">
        <x:v>Independente</x:v>
      </x:c>
      <x:c r="C15" s="166" t="n">
        <x:v>16</x:v>
      </x:c>
      <x:c r="D15" s="169" t="n">
        <x:v>6.180890984629996</x:v>
      </x:c>
      <x:c r="E15" s="203" t="n">
        <x:v>0.01052809961519104</x:v>
      </x:c>
      <x:c r="F15" s="166" t="n">
        <x:v>12</x:v>
      </x:c>
      <x:c r="G15" s="166" t="n">
        <x:v>4</x:v>
      </x:c>
      <x:c r="H15" s="169" t="n">
        <x:v>11.052091099499991</x:v>
      </x:c>
      <x:c r="I15" s="203" t="n">
        <x:v>0.014829302036717566</x:v>
      </x:c>
      <x:c r="J15" s="166" t="n">
        <x:v>10</x:v>
      </x:c>
      <x:c r="K15" s="166" t="n">
        <x:v>2</x:v>
      </x:c>
      <x:c r="L15" s="169" t="n">
        <x:v>12.969548505520002</x:v>
      </x:c>
      <x:c r="M15" s="203" t="n">
        <x:v>0.017267671226272156</x:v>
      </x:c>
      <x:c r="N15" s="211"/>
      <x:c r="O15" s="211"/>
      <x:c r="P15" s="211"/>
      <x:c r="Q15" s="211"/>
      <x:c r="R15" s="211"/>
    </x:row>
    <x:row r="16">
      <x:c r="A16" s="166" t="str">
        <x:v>Petra Capital</x:v>
      </x:c>
      <x:c r="B16" s="166" t="str">
        <x:v>Independente</x:v>
      </x:c>
      <x:c r="C16" s="166" t="n">
        <x:v>12</x:v>
      </x:c>
      <x:c r="D16" s="169" t="n">
        <x:v>9.584378009030004</x:v>
      </x:c>
      <x:c r="E16" s="203" t="n">
        <x:v>0.016325362586014726</x:v>
      </x:c>
      <x:c r="F16" s="166" t="n">
        <x:v>13</x:v>
      </x:c>
      <x:c r="G16" s="166" t="n">
        <x:v>-1</x:v>
      </x:c>
      <x:c r="H16" s="169" t="n">
        <x:v>10.95373255952</x:v>
      </x:c>
      <x:c r="I16" s="203" t="n">
        <x:v>0.014697328052417</x:v>
      </x:c>
      <x:c r="J16" s="166" t="n">
        <x:v>11</x:v>
      </x:c>
      <x:c r="K16" s="166" t="n">
        <x:v>2</x:v>
      </x:c>
      <x:c r="L16" s="169" t="n">
        <x:v>12.42540878526</x:v>
      </x:c>
      <x:c r="M16" s="203" t="n">
        <x:v>0.016543203000828042</x:v>
      </x:c>
      <x:c r="N16" s="211"/>
      <x:c r="O16" s="211"/>
      <x:c r="P16" s="211"/>
      <x:c r="Q16" s="211"/>
      <x:c r="R16" s="211"/>
    </x:row>
    <x:row r="17">
      <x:c r="A17" s="166" t="str">
        <x:v>Kanastra</x:v>
      </x:c>
      <x:c r="B17" s="166" t="str">
        <x:v>Independente</x:v>
      </x:c>
      <x:c r="C17" s="166" t="n">
        <x:v>49</x:v>
      </x:c>
      <x:c r="D17" s="169" t="n">
        <x:v>1.8975681593999996</x:v>
      </x:c>
      <x:c r="E17" s="203" t="n">
        <x:v>0.0032321855632879803</x:v>
      </x:c>
      <x:c r="F17" s="166" t="n">
        <x:v>14</x:v>
      </x:c>
      <x:c r="G17" s="166" t="n">
        <x:v>35</x:v>
      </x:c>
      <x:c r="H17" s="169" t="n">
        <x:v>10.56252884918</x:v>
      </x:c>
      <x:c r="I17" s="203" t="n">
        <x:v>0.014172424852987265</x:v>
      </x:c>
      <x:c r="J17" s="166" t="n">
        <x:v>12</x:v>
      </x:c>
      <x:c r="K17" s="166" t="n">
        <x:v>2</x:v>
      </x:c>
      <x:c r="L17" s="169" t="n">
        <x:v>12.281784110259998</x:v>
      </x:c>
      <x:c r="M17" s="203" t="n">
        <x:v>0.0163519809496653</x:v>
      </x:c>
      <x:c r="N17" s="211"/>
      <x:c r="O17" s="211"/>
      <x:c r="P17" s="211"/>
      <x:c r="Q17" s="211"/>
      <x:c r="R17" s="211"/>
    </x:row>
    <x:row r="18">
      <x:c r="A18" s="166" t="str">
        <x:v>VALORA RENDA FIXA LTDA.</x:v>
      </x:c>
      <x:c r="B18" s="166" t="str">
        <x:v>Independente</x:v>
      </x:c>
      <x:c r="C18" s="166" t="n">
        <x:v>17</x:v>
      </x:c>
      <x:c r="D18" s="169" t="n">
        <x:v>6.015559340189999</x:v>
      </x:c>
      <x:c r="E18" s="203" t="n">
        <x:v>0.010246485196406427</x:v>
      </x:c>
      <x:c r="F18" s="166" t="n">
        <x:v>16</x:v>
      </x:c>
      <x:c r="G18" s="166" t="n">
        <x:v>1</x:v>
      </x:c>
      <x:c r="H18" s="169" t="n">
        <x:v>9.095324430469999</x:v>
      </x:c>
      <x:c r="I18" s="203" t="n">
        <x:v>0.01220378224239192</x:v>
      </x:c>
      <x:c r="J18" s="166" t="n">
        <x:v>13</x:v>
      </x:c>
      <x:c r="K18" s="166" t="n">
        <x:v>3</x:v>
      </x:c>
      <x:c r="L18" s="169" t="n">
        <x:v>11.052121795664199</x:v>
      </x:c>
      <x:c r="M18" s="203" t="n">
        <x:v>0.014714807183844547</x:v>
      </x:c>
      <x:c r="N18" s="211"/>
      <x:c r="O18" s="211"/>
      <x:c r="P18" s="211"/>
      <x:c r="Q18" s="211"/>
      <x:c r="R18" s="211"/>
    </x:row>
    <x:row r="19">
      <x:c r="A19" s="166" t="str">
        <x:v>ANGÁ ASSET MANAGEMENT</x:v>
      </x:c>
      <x:c r="B19" s="166" t="str">
        <x:v>Independente</x:v>
      </x:c>
      <x:c r="C19" s="166" t="n">
        <x:v>11</x:v>
      </x:c>
      <x:c r="D19" s="169" t="n">
        <x:v>9.904531493249994</x:v>
      </x:c>
      <x:c r="E19" s="203" t="n">
        <x:v>0.016870689753635093</x:v>
      </x:c>
      <x:c r="F19" s="166" t="n">
        <x:v>11</x:v>
      </x:c>
      <x:c r="G19" s="166" t="n">
        <x:v>0</x:v>
      </x:c>
      <x:c r="H19" s="169" t="n">
        <x:v>11.230751857315694</x:v>
      </x:c>
      <x:c r="I19" s="203" t="n">
        <x:v>0.015069022675636092</x:v>
      </x:c>
      <x:c r="J19" s="166" t="n">
        <x:v>14</x:v>
      </x:c>
      <x:c r="K19" s="166" t="n">
        <x:v>-3</x:v>
      </x:c>
      <x:c r="L19" s="169" t="n">
        <x:v>10.152829765389995</x:v>
      </x:c>
      <x:c r="M19" s="203" t="n">
        <x:v>0.01351748878000246</x:v>
      </x:c>
      <x:c r="N19" s="211"/>
      <x:c r="O19" s="211"/>
      <x:c r="P19" s="211"/>
      <x:c r="Q19" s="211"/>
      <x:c r="R19" s="211"/>
    </x:row>
    <x:row r="20">
      <x:c r="A20" s="166" t="str">
        <x:v>OURO PRETO INVESTIMENTOS</x:v>
      </x:c>
      <x:c r="B20" s="166" t="str">
        <x:v>Independente</x:v>
      </x:c>
      <x:c r="C20" s="166" t="n">
        <x:v>22</x:v>
      </x:c>
      <x:c r="D20" s="169" t="n">
        <x:v>5.141571964300001</x:v>
      </x:c>
      <x:c r="E20" s="203" t="n">
        <x:v>0.008757795915415954</x:v>
      </x:c>
      <x:c r="F20" s="166" t="n">
        <x:v>20</x:v>
      </x:c>
      <x:c r="G20" s="166" t="n">
        <x:v>2</x:v>
      </x:c>
      <x:c r="H20" s="169" t="n">
        <x:v>7.71386280698999</x:v>
      </x:c>
      <x:c r="I20" s="203" t="n">
        <x:v>0.01035018625930723</x:v>
      </x:c>
      <x:c r="J20" s="166" t="n">
        <x:v>15</x:v>
      </x:c>
      <x:c r="K20" s="166" t="n">
        <x:v>5</x:v>
      </x:c>
      <x:c r="L20" s="169" t="n">
        <x:v>8.784503639675004</x:v>
      </x:c>
      <x:c r="M20" s="203" t="n">
        <x:v>0.011695697862677238</x:v>
      </x:c>
      <x:c r="N20" s="211"/>
      <x:c r="O20" s="211"/>
      <x:c r="P20" s="211"/>
      <x:c r="Q20" s="211"/>
      <x:c r="R20" s="211"/>
    </x:row>
    <x:row r="21">
      <x:c r="A21" s="166" t="str">
        <x:v>M8 Partners</x:v>
      </x:c>
      <x:c r="B21" s="166" t="str">
        <x:v>Independente</x:v>
      </x:c>
      <x:c r="C21" s="166" t="n">
        <x:v>24</x:v>
      </x:c>
      <x:c r="D21" s="169" t="n">
        <x:v>4.531978785089998</x:v>
      </x:c>
      <x:c r="E21" s="203" t="n">
        <x:v>0.007719457311576608</x:v>
      </x:c>
      <x:c r="F21" s="166" t="n">
        <x:v>22</x:v>
      </x:c>
      <x:c r="G21" s="166" t="n">
        <x:v>2</x:v>
      </x:c>
      <x:c r="H21" s="169" t="n">
        <x:v>7.45369949476</x:v>
      </x:c>
      <x:c r="I21" s="203" t="n">
        <x:v>0.010001108396919187</x:v>
      </x:c>
      <x:c r="J21" s="166" t="n">
        <x:v>16</x:v>
      </x:c>
      <x:c r="K21" s="166" t="n">
        <x:v>6</x:v>
      </x:c>
      <x:c r="L21" s="169" t="n">
        <x:v>8.372146989929748</x:v>
      </x:c>
      <x:c r="M21" s="203" t="n">
        <x:v>0.011146685763085832</x:v>
      </x:c>
      <x:c r="N21" s="211"/>
      <x:c r="O21" s="211"/>
      <x:c r="P21" s="211"/>
      <x:c r="Q21" s="211"/>
      <x:c r="R21" s="211"/>
    </x:row>
    <x:row r="22">
      <x:c r="A22" s="166" t="str">
        <x:v>JIVE INVESTMENTS</x:v>
      </x:c>
      <x:c r="B22" s="166" t="str">
        <x:v>Independente</x:v>
      </x:c>
      <x:c r="C22" s="166" t="n">
        <x:v>14</x:v>
      </x:c>
      <x:c r="D22" s="169" t="n">
        <x:v>7.51043939921</x:v>
      </x:c>
      <x:c r="E22" s="203" t="n">
        <x:v>0.012792759869954541</x:v>
      </x:c>
      <x:c r="F22" s="166" t="n">
        <x:v>19</x:v>
      </x:c>
      <x:c r="G22" s="166" t="n">
        <x:v>-5</x:v>
      </x:c>
      <x:c r="H22" s="169" t="n">
        <x:v>7.8838925495000005</x:v>
      </x:c>
      <x:c r="I22" s="203" t="n">
        <x:v>0.010578326109423046</x:v>
      </x:c>
      <x:c r="J22" s="166" t="n">
        <x:v>17</x:v>
      </x:c>
      <x:c r="K22" s="166" t="n">
        <x:v>2</x:v>
      </x:c>
      <x:c r="L22" s="169" t="n">
        <x:v>8.3142915831204</x:v>
      </x:c>
      <x:c r="M22" s="203" t="n">
        <x:v>0.011069657010464194</x:v>
      </x:c>
      <x:c r="N22" s="211"/>
      <x:c r="O22" s="211"/>
      <x:c r="P22" s="211"/>
      <x:c r="Q22" s="211"/>
      <x:c r="R22" s="211"/>
    </x:row>
    <x:row r="23">
      <x:c r="A23" s="166" t="str">
        <x:v>Banco Daycoval</x:v>
      </x:c>
      <x:c r="B23" s="166" t="str">
        <x:v>Ligada a banco</x:v>
      </x:c>
      <x:c r="C23" s="166" t="n">
        <x:v>15</x:v>
      </x:c>
      <x:c r="D23" s="169" t="n">
        <x:v>7.2463355800899985</x:v>
      </x:c>
      <x:c r="E23" s="203" t="n">
        <x:v>0.012342903801733621</x:v>
      </x:c>
      <x:c r="F23" s="166" t="n">
        <x:v>24</x:v>
      </x:c>
      <x:c r="G23" s="166" t="n">
        <x:v>-9</x:v>
      </x:c>
      <x:c r="H23" s="169" t="n">
        <x:v>7.217083870079999</x:v>
      </x:c>
      <x:c r="I23" s="203" t="n">
        <x:v>0.009683625982650533</x:v>
      </x:c>
      <x:c r="J23" s="166" t="n">
        <x:v>18</x:v>
      </x:c>
      <x:c r="K23" s="166" t="n">
        <x:v>6</x:v>
      </x:c>
      <x:c r="L23" s="169" t="n">
        <x:v>7.9344462021</x:v>
      </x:c>
      <x:c r="M23" s="203" t="n">
        <x:v>0.01056393045001479</x:v>
      </x:c>
      <x:c r="N23" s="211"/>
      <x:c r="O23" s="211"/>
      <x:c r="P23" s="211"/>
      <x:c r="Q23" s="211"/>
      <x:c r="R23" s="211"/>
    </x:row>
    <x:row r="24">
      <x:c r="A24" s="166" t="str">
        <x:v>Multiplica Capital</x:v>
      </x:c>
      <x:c r="B24" s="166" t="str">
        <x:v>Independente</x:v>
      </x:c>
      <x:c r="C24" s="166" t="n">
        <x:v>28</x:v>
      </x:c>
      <x:c r="D24" s="169" t="n">
        <x:v>3.8871763339699976</x:v>
      </x:c>
      <x:c r="E24" s="203" t="n">
        <x:v>0.006621145683950142</x:v>
      </x:c>
      <x:c r="F24" s="166" t="n">
        <x:v>25</x:v>
      </x:c>
      <x:c r="G24" s="166" t="n">
        <x:v>3</x:v>
      </x:c>
      <x:c r="H24" s="169" t="n">
        <x:v>6.72218760267</x:v>
      </x:c>
      <x:c r="I24" s="203" t="n">
        <x:v>0.009019591804846929</x:v>
      </x:c>
      <x:c r="J24" s="166" t="n">
        <x:v>19</x:v>
      </x:c>
      <x:c r="K24" s="166" t="n">
        <x:v>6</x:v>
      </x:c>
      <x:c r="L24" s="169" t="n">
        <x:v>7.741256760098272</x:v>
      </x:c>
      <x:c r="M24" s="203" t="n">
        <x:v>0.010306717813240811</x:v>
      </x:c>
      <x:c r="N24" s="211"/>
      <x:c r="O24" s="211"/>
      <x:c r="P24" s="211"/>
      <x:c r="Q24" s="211"/>
      <x:c r="R24" s="211"/>
    </x:row>
    <x:row r="25">
      <x:c r="A25" s="166" t="str">
        <x:v>Catálise Investimentos</x:v>
      </x:c>
      <x:c r="B25" s="166" t="str">
        <x:v>Independente</x:v>
      </x:c>
      <x:c r="C25" s="166" t="n">
        <x:v>26</x:v>
      </x:c>
      <x:c r="D25" s="169" t="n">
        <x:v>4.12748597595</x:v>
      </x:c>
      <x:c r="E25" s="203" t="n">
        <x:v>0.007030472406512911</x:v>
      </x:c>
      <x:c r="F25" s="166" t="n">
        <x:v>21</x:v>
      </x:c>
      <x:c r="G25" s="166" t="n">
        <x:v>5</x:v>
      </x:c>
      <x:c r="H25" s="169" t="n">
        <x:v>7.61268022893</x:v>
      </x:c>
      <x:c r="I25" s="203" t="n">
        <x:v>0.010214423081335125</x:v>
      </x:c>
      <x:c r="J25" s="166" t="n">
        <x:v>20</x:v>
      </x:c>
      <x:c r="K25" s="166" t="n">
        <x:v>1</x:v>
      </x:c>
      <x:c r="L25" s="169" t="n">
        <x:v>7.3527872113600035</x:v>
      </x:c>
      <x:c r="M25" s="203" t="n">
        <x:v>0.009789509026352375</x:v>
      </x:c>
      <x:c r="N25" s="211"/>
      <x:c r="O25" s="211"/>
      <x:c r="P25" s="211"/>
      <x:c r="Q25" s="211"/>
      <x:c r="R25" s="211"/>
    </x:row>
    <x:row r="26">
      <x:c r="A26" s="166" t="str">
        <x:v>Jus Capital Gestão de Recursos LTDA</x:v>
      </x:c>
      <x:c r="B26" s="166" t="str">
        <x:v>Independente</x:v>
      </x:c>
      <x:c r="C26" s="166" t="n">
        <x:v>9</x:v>
      </x:c>
      <x:c r="D26" s="169" t="n">
        <x:v>11.284826234</x:v>
      </x:c>
      <x:c r="E26" s="203" t="n">
        <x:v>0.019221787769289587</x:v>
      </x:c>
      <x:c r="F26" s="166" t="n">
        <x:v>10</x:v>
      </x:c>
      <x:c r="G26" s="166" t="n">
        <x:v>-1</x:v>
      </x:c>
      <x:c r="H26" s="169" t="n">
        <x:v>12.14406351837</x:v>
      </x:c>
      <x:c r="I26" s="203" t="n">
        <x:v>0.016294471719938964</x:v>
      </x:c>
      <x:c r="J26" s="166" t="n">
        <x:v>21</x:v>
      </x:c>
      <x:c r="K26" s="166" t="n">
        <x:v>-11</x:v>
      </x:c>
      <x:c r="L26" s="169" t="n">
        <x:v>7.284959793269796</x:v>
      </x:c>
      <x:c r="M26" s="203" t="n">
        <x:v>0.009699203526881046</x:v>
      </x:c>
      <x:c r="N26" s="211"/>
      <x:c r="O26" s="211"/>
      <x:c r="P26" s="211"/>
      <x:c r="Q26" s="211"/>
      <x:c r="R26" s="211"/>
    </x:row>
    <x:row r="27">
      <x:c r="A27" s="166" t="str">
        <x:v>POLÍGONO CAPITAL LTDA.</x:v>
      </x:c>
      <x:c r="B27" s="166" t="str">
        <x:v>Independente</x:v>
      </x:c>
      <x:c r="C27" s="166" t="n">
        <x:v>23</x:v>
      </x:c>
      <x:c r="D27" s="169" t="n">
        <x:v>4.62754086896</x:v>
      </x:c>
      <x:c r="E27" s="203" t="n">
        <x:v>0.007882231115696508</x:v>
      </x:c>
      <x:c r="F27" s="166" t="n">
        <x:v>17</x:v>
      </x:c>
      <x:c r="G27" s="166" t="n">
        <x:v>6</x:v>
      </x:c>
      <x:c r="H27" s="169" t="n">
        <x:v>8.95220378401</x:v>
      </x:c>
      <x:c r="I27" s="203" t="n">
        <x:v>0.012011748058549408</x:v>
      </x:c>
      <x:c r="J27" s="166" t="n">
        <x:v>22</x:v>
      </x:c>
      <x:c r="K27" s="166" t="n">
        <x:v>-5</x:v>
      </x:c>
      <x:c r="L27" s="169" t="n">
        <x:v>6.983214548088701</x:v>
      </x:c>
      <x:c r="M27" s="203" t="n">
        <x:v>0.009297459573677093</x:v>
      </x:c>
      <x:c r="N27" s="211"/>
      <x:c r="O27" s="211"/>
      <x:c r="P27" s="211"/>
      <x:c r="Q27" s="211"/>
      <x:c r="R27" s="211"/>
    </x:row>
    <x:row r="28">
      <x:c r="A28" s="166" t="str">
        <x:v>ORRAM GESTÃO DE RECURSOS LTDA.</x:v>
      </x:c>
      <x:c r="B28" s="166" t="str">
        <x:v>Independente</x:v>
      </x:c>
      <x:c r="C28" s="166" t="n">
        <x:v>27</x:v>
      </x:c>
      <x:c r="D28" s="169" t="n">
        <x:v>4.12364282721</x:v>
      </x:c>
      <x:c r="E28" s="203" t="n">
        <x:v>0.007023926254368935</x:v>
      </x:c>
      <x:c r="F28" s="166" t="n">
        <x:v>26</x:v>
      </x:c>
      <x:c r="G28" s="166" t="n">
        <x:v>1</x:v>
      </x:c>
      <x:c r="H28" s="169" t="n">
        <x:v>6.198409417119998</x:v>
      </x:c>
      <x:c r="I28" s="203" t="n">
        <x:v>0.008316804898383927</x:v>
      </x:c>
      <x:c r="J28" s="166" t="n">
        <x:v>23</x:v>
      </x:c>
      <x:c r="K28" s="166" t="n">
        <x:v>3</x:v>
      </x:c>
      <x:c r="L28" s="169" t="n">
        <x:v>6.981774238613932</x:v>
      </x:c>
      <x:c r="M28" s="203" t="n">
        <x:v>0.009295541944049213</x:v>
      </x:c>
      <x:c r="N28" s="211"/>
      <x:c r="O28" s="211"/>
      <x:c r="P28" s="211"/>
      <x:c r="Q28" s="211"/>
      <x:c r="R28" s="211"/>
    </x:row>
    <x:row r="29">
      <x:c r="A29" s="166" t="str">
        <x:v>RedAsset Gestão de Recursos Ltda.</x:v>
      </x:c>
      <x:c r="B29" s="166" t="str">
        <x:v>Independente</x:v>
      </x:c>
      <x:c r="C29" s="166" t="n">
        <x:v>21</x:v>
      </x:c>
      <x:c r="D29" s="169" t="n">
        <x:v>5.15135487239</x:v>
      </x:c>
      <x:c r="E29" s="203" t="n">
        <x:v>0.008774459440327472</x:v>
      </x:c>
      <x:c r="F29" s="166" t="n">
        <x:v>27</x:v>
      </x:c>
      <x:c r="G29" s="166" t="n">
        <x:v>-6</x:v>
      </x:c>
      <x:c r="H29" s="169" t="n">
        <x:v>6.125259281459999</x:v>
      </x:c>
      <x:c r="I29" s="203" t="n">
        <x:v>0.008218654652791212</x:v>
      </x:c>
      <x:c r="J29" s="166" t="n">
        <x:v>24</x:v>
      </x:c>
      <x:c r="K29" s="166" t="n">
        <x:v>3</x:v>
      </x:c>
      <x:c r="L29" s="169" t="n">
        <x:v>6.475707924679998</x:v>
      </x:c>
      <x:c r="M29" s="203" t="n">
        <x:v>0.008621764693901813</x:v>
      </x:c>
      <x:c r="N29" s="211"/>
      <x:c r="O29" s="211"/>
      <x:c r="P29" s="211"/>
      <x:c r="Q29" s="211"/>
      <x:c r="R29" s="211"/>
    </x:row>
    <x:row r="30">
      <x:c r="A30" s="166" t="str">
        <x:v>Vista Real Estate</x:v>
      </x:c>
      <x:c r="B30" s="166" t="str">
        <x:v>Independente</x:v>
      </x:c>
      <x:c r="C30" s="166" t="n">
        <x:v>32</x:v>
      </x:c>
      <x:c r="D30" s="169" t="n">
        <x:v>3.25198363639</x:v>
      </x:c>
      <x:c r="E30" s="203" t="n">
        <x:v>0.005539202641823433</x:v>
      </x:c>
      <x:c r="F30" s="166" t="n">
        <x:v>29</x:v>
      </x:c>
      <x:c r="G30" s="166" t="n">
        <x:v>3</x:v>
      </x:c>
      <x:c r="H30" s="169" t="n">
        <x:v>5.91406342291</x:v>
      </x:c>
      <x:c r="I30" s="203" t="n">
        <x:v>0.007935279574975982</x:v>
      </x:c>
      <x:c r="J30" s="166" t="n">
        <x:v>25</x:v>
      </x:c>
      <x:c r="K30" s="166" t="n">
        <x:v>4</x:v>
      </x:c>
      <x:c r="L30" s="169" t="n">
        <x:v>5.957382884780001</x:v>
      </x:c>
      <x:c r="M30" s="203" t="n">
        <x:v>0.007931666162443436</x:v>
      </x:c>
      <x:c r="N30" s="211"/>
      <x:c r="O30" s="211"/>
      <x:c r="P30" s="211"/>
      <x:c r="Q30" s="211"/>
      <x:c r="R30" s="211"/>
    </x:row>
    <x:row r="31">
      <x:c r="A31" s="166" t="str">
        <x:v>Emerald Gestão de Investimento</x:v>
      </x:c>
      <x:c r="B31" s="166" t="str">
        <x:v>Independente</x:v>
      </x:c>
      <x:c r="C31" s="166" t="n">
        <x:v>33</x:v>
      </x:c>
      <x:c r="D31" s="169" t="n">
        <x:v>2.996405507010001</x:v>
      </x:c>
      <x:c r="E31" s="203" t="n">
        <x:v>0.005103868640258302</x:v>
      </x:c>
      <x:c r="F31" s="166" t="n">
        <x:v>28</x:v>
      </x:c>
      <x:c r="G31" s="166" t="n">
        <x:v>5</x:v>
      </x:c>
      <x:c r="H31" s="169" t="n">
        <x:v>6.068837298820001</x:v>
      </x:c>
      <x:c r="I31" s="203" t="n">
        <x:v>0.008142949646874564</x:v>
      </x:c>
      <x:c r="J31" s="166" t="n">
        <x:v>26</x:v>
      </x:c>
      <x:c r="K31" s="166" t="n">
        <x:v>2</x:v>
      </x:c>
      <x:c r="L31" s="169" t="n">
        <x:v>5.707700077289999</x:v>
      </x:c>
      <x:c r="M31" s="203" t="n">
        <x:v>0.007599238196369293</x:v>
      </x:c>
      <x:c r="N31" s="211"/>
      <x:c r="O31" s="211"/>
      <x:c r="P31" s="211"/>
      <x:c r="Q31" s="211"/>
      <x:c r="R31" s="211"/>
    </x:row>
    <x:row r="32">
      <x:c r="A32" s="166" t="str">
        <x:v>QI GESTAO DE RECURSOS LTDA</x:v>
      </x:c>
      <x:c r="B32" s="166" t="str">
        <x:v>Independente</x:v>
      </x:c>
      <x:c r="C32" s="166" t="n">
        <x:v>93</x:v>
      </x:c>
      <x:c r="D32" s="169" t="n">
        <x:v>0.8182154510100001</x:v>
      </x:c>
      <x:c r="E32" s="203" t="n">
        <x:v>0.0013936912649556163</x:v>
      </x:c>
      <x:c r="F32" s="166" t="n">
        <x:v>32</x:v>
      </x:c>
      <x:c r="G32" s="166" t="n">
        <x:v>61</x:v>
      </x:c>
      <x:c r="H32" s="169" t="n">
        <x:v>5.047465905645771</x:v>
      </x:c>
      <x:c r="I32" s="203" t="n">
        <x:v>0.006772509904324044</x:v>
      </x:c>
      <x:c r="J32" s="166" t="n">
        <x:v>27</x:v>
      </x:c>
      <x:c r="K32" s="166" t="n">
        <x:v>5</x:v>
      </x:c>
      <x:c r="L32" s="169" t="n">
        <x:v>5.6088455252300005</x:v>
      </x:c>
      <x:c r="M32" s="203" t="n">
        <x:v>0.0074676231364105014</x:v>
      </x:c>
      <x:c r="N32" s="211"/>
      <x:c r="O32" s="211"/>
      <x:c r="P32" s="211"/>
      <x:c r="Q32" s="211"/>
      <x:c r="R32" s="211"/>
    </x:row>
    <x:row r="33">
      <x:c r="A33" s="166" t="str">
        <x:v>Artesanal Investimentos</x:v>
      </x:c>
      <x:c r="B33" s="166" t="str">
        <x:v>Independente</x:v>
      </x:c>
      <x:c r="C33" s="166" t="n">
        <x:v>19</x:v>
      </x:c>
      <x:c r="D33" s="169" t="n">
        <x:v>5.470334505560001</x:v>
      </x:c>
      <x:c r="E33" s="203" t="n">
        <x:v>0.009317787151749956</x:v>
      </x:c>
      <x:c r="F33" s="166" t="n">
        <x:v>30</x:v>
      </x:c>
      <x:c r="G33" s="166" t="n">
        <x:v>-11</x:v>
      </x:c>
      <x:c r="H33" s="169" t="n">
        <x:v>5.237301051319999</x:v>
      </x:c>
      <x:c r="I33" s="203" t="n">
        <x:v>0.0070272239387129554</x:v>
      </x:c>
      <x:c r="J33" s="166" t="n">
        <x:v>28</x:v>
      </x:c>
      <x:c r="K33" s="166" t="n">
        <x:v>2</x:v>
      </x:c>
      <x:c r="L33" s="169" t="n">
        <x:v>5.493843174920001</x:v>
      </x:c>
      <x:c r="M33" s="203" t="n">
        <x:v>0.007314508880000075</x:v>
      </x:c>
      <x:c r="N33" s="211"/>
      <x:c r="O33" s="211"/>
      <x:c r="P33" s="211"/>
      <x:c r="Q33" s="211"/>
      <x:c r="R33" s="211"/>
    </x:row>
    <x:row r="34">
      <x:c r="A34" s="166" t="str">
        <x:v>Versal Finance Gestão de Recursos LTDA.</x:v>
      </x:c>
      <x:c r="B34" s="166" t="str">
        <x:v>Independente</x:v>
      </x:c>
      <x:c r="C34" s="166" t="n">
        <x:v>233</x:v>
      </x:c>
      <x:c r="D34" s="169" t="n">
        <x:v>0.0638739962</x:v>
      </x:c>
      <x:c r="E34" s="203" t="n">
        <x:v>0.0001087985205508668</x:v>
      </x:c>
      <x:c r="F34" s="166" t="n">
        <x:v>268</x:v>
      </x:c>
      <x:c r="G34" s="166" t="n">
        <x:v>-35</x:v>
      </x:c>
      <x:c r="H34" s="169" t="n">
        <x:v>0.08804151218</x:v>
      </x:c>
      <x:c r="I34" s="203" t="n">
        <x:v>0.00011813096400785504</x:v>
      </x:c>
      <x:c r="J34" s="166" t="n">
        <x:v>29</x:v>
      </x:c>
      <x:c r="K34" s="166" t="n">
        <x:v>239</x:v>
      </x:c>
      <x:c r="L34" s="169" t="n">
        <x:v>5.14606973058</x:v>
      </x:c>
      <x:c r="M34" s="203" t="n">
        <x:v>0.006851482931522725</x:v>
      </x:c>
      <x:c r="N34" s="211"/>
      <x:c r="O34" s="211"/>
      <x:c r="P34" s="211"/>
      <x:c r="Q34" s="211"/>
      <x:c r="R34" s="211"/>
    </x:row>
    <x:row r="35">
      <x:c r="A35" s="167" t="str">
        <x:v>BRL TRUST DTVM</x:v>
      </x:c>
      <x:c r="B35" s="167" t="str">
        <x:v>Independente</x:v>
      </x:c>
      <x:c r="C35" s="167" t="n">
        <x:v>25</x:v>
      </x:c>
      <x:c r="D35" s="170" t="n">
        <x:v>4.32272899811</x:v>
      </x:c>
      <x:c r="E35" s="204" t="n">
        <x:v>0.007363035784767427</x:v>
      </x:c>
      <x:c r="F35" s="167" t="n">
        <x:v>33</x:v>
      </x:c>
      <x:c r="G35" s="167" t="n">
        <x:v>-8</x:v>
      </x:c>
      <x:c r="H35" s="170" t="n">
        <x:v>4.683565390230002</x:v>
      </x:c>
      <x:c r="I35" s="204" t="n">
        <x:v>0.006284241158994775</x:v>
      </x:c>
      <x:c r="J35" s="167" t="n">
        <x:v>30</x:v>
      </x:c>
      <x:c r="K35" s="167" t="n">
        <x:v>3</x:v>
      </x:c>
      <x:c r="L35" s="170" t="n">
        <x:v>5.093939059859999</x:v>
      </x:c>
      <x:c r="M35" s="204" t="n">
        <x:v>0.006782076098862754</x:v>
      </x:c>
      <x:c r="N35" s="211"/>
      <x:c r="O35" s="211"/>
      <x:c r="P35" s="211"/>
      <x:c r="Q35" s="211"/>
      <x:c r="R35" s="211"/>
    </x:row>
  </x:sheetData>
  <x:mergeCells>
    <x:mergeCell ref="A1:M2"/>
    <x:mergeCell ref="A3:M3"/>
  </x:mergeCells>
  <x:pageMargins left="0.7" right="0.7" top="0.75" bottom="0.75" header="0.3" footer="0.3"/>
  <x:drawing xmlns:r="http://schemas.openxmlformats.org/officeDocument/2006/relationships" r:id="R93a1cd1ef97d42f4"/>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5" max="15" width="16" hidden="0" customWidth="1"/>
    <x:col min="16" max="16" width="36" hidden="0" customWidth="1"/>
    <x:col min="17" max="17" width="16" hidden="0" customWidth="1"/>
    <x:col min="18" max="18" width="16" hidden="0" customWidth="1"/>
  </x:cols>
  <x:sheetData>
    <x:row r="1" ht="30" customHeight="1">
      <x:c r="A1" s="4" t="str">
        <x:v>Administradores por conglomerado | evolução e delta de posição</x:v>
      </x:c>
      <x:c r="B1" s="4" t="str">
        <x:v>Administradores por conglomerado | evolução e delta de posição</x:v>
      </x:c>
      <x:c r="C1" s="4" t="str">
        <x:v>Administradores por conglomerado | evolução e delta de posição</x:v>
      </x:c>
      <x:c r="D1" s="4" t="str">
        <x:v>Administradores por conglomerado | evolução e delta de posição</x:v>
      </x:c>
      <x:c r="E1" s="4" t="str">
        <x:v>Administradores por conglomerado | evolução e delta de posição</x:v>
      </x:c>
      <x:c r="F1" s="4" t="str">
        <x:v>Administradores por conglomerado | evolução e delta de posição</x:v>
      </x:c>
      <x:c r="G1" s="4" t="str">
        <x:v>Administradores por conglomerado | evolução e delta de posição</x:v>
      </x:c>
      <x:c r="H1" s="4" t="str">
        <x:v>Administradores por conglomerado | evolução e delta de posição</x:v>
      </x:c>
      <x:c r="I1" s="4" t="str">
        <x:v>Administradores por conglomerado | evolução e delta de posição</x:v>
      </x:c>
      <x:c r="J1" s="4" t="str">
        <x:v>Administradores por conglomerado | evolução e delta de posição</x:v>
      </x:c>
      <x:c r="K1" s="4" t="str">
        <x:v>Administradores por conglomerado | evolução e delta de posição</x:v>
      </x:c>
      <x:c r="L1" s="4" t="str">
        <x:v>Administradores por conglomerado | evolução e delta de posição</x:v>
      </x:c>
      <x:c r="M1" s="4" t="str">
        <x:v>Administradores por conglomerado | evolução e delta de posição</x:v>
      </x:c>
      <x:c r="N1" s="211"/>
      <x:c r="O1" s="211"/>
      <x:c r="P1" s="211"/>
      <x:c r="Q1" s="211"/>
      <x:c r="R1" s="211"/>
      <x:c r="S1" s="211"/>
      <x:c r="T1" s="211"/>
      <x:c r="U1" s="211"/>
      <x:c r="V1" s="211"/>
      <x:c r="W1" s="211"/>
    </x:row>
    <x:row r="2" ht="30" customHeight="1">
      <x:c r="A2" s="4" t="str">
        <x:v>Administradores por conglomerado | evolução e delta de posição</x:v>
      </x:c>
      <x:c r="B2" s="4" t="str">
        <x:v>Administradores por conglomerado | evolução e delta de posição</x:v>
      </x:c>
      <x:c r="C2" s="4" t="str">
        <x:v>Administradores por conglomerado | evolução e delta de posição</x:v>
      </x:c>
      <x:c r="D2" s="4" t="str">
        <x:v>Administradores por conglomerado | evolução e delta de posição</x:v>
      </x:c>
      <x:c r="E2" s="4" t="str">
        <x:v>Administradores por conglomerado | evolução e delta de posição</x:v>
      </x:c>
      <x:c r="F2" s="4" t="str">
        <x:v>Administradores por conglomerado | evolução e delta de posição</x:v>
      </x:c>
      <x:c r="G2" s="4" t="str">
        <x:v>Administradores por conglomerado | evolução e delta de posição</x:v>
      </x:c>
      <x:c r="H2" s="4" t="str">
        <x:v>Administradores por conglomerado | evolução e delta de posição</x:v>
      </x:c>
      <x:c r="I2" s="4" t="str">
        <x:v>Administradores por conglomerado | evolução e delta de posição</x:v>
      </x:c>
      <x:c r="J2" s="4" t="str">
        <x:v>Administradores por conglomerado | evolução e delta de posição</x:v>
      </x:c>
      <x:c r="K2" s="4" t="str">
        <x:v>Administradores por conglomerado | evolução e delta de posição</x:v>
      </x:c>
      <x:c r="L2" s="4" t="str">
        <x:v>Administradores por conglomerado | evolução e delta de posição</x:v>
      </x:c>
      <x:c r="M2" s="4" t="str">
        <x:v>Administradores por conglomerado | evolução e delta de posição</x:v>
      </x:c>
      <x:c r="N2" s="211"/>
      <x:c r="O2" s="211"/>
      <x:c r="P2" s="211"/>
      <x:c r="Q2" s="211"/>
      <x:c r="R2" s="211"/>
      <x:c r="S2" s="211"/>
      <x:c r="T2" s="211"/>
      <x:c r="U2" s="211"/>
      <x:c r="V2" s="211"/>
      <x:c r="W2" s="211"/>
    </x:row>
    <x:row r="3">
      <x:c r="A3" s="201" t="str">
        <x:v>Posição e share calculados dentro do universo ANBIMA em cada competência. Δ posição positivo = ganho de posições. O período histórico comparável do modelo começa em out/2024.</x:v>
      </x:c>
      <x:c r="B3" s="201" t="str">
        <x:v>Posição e share calculados dentro do universo ANBIMA em cada competência. Δ posição positivo = ganho de posições. O período histórico comparável do modelo começa em out/2024.</x:v>
      </x:c>
      <x:c r="C3" s="201" t="str">
        <x:v>Posição e share calculados dentro do universo ANBIMA em cada competência. Δ posição positivo = ganho de posições. O período histórico comparável do modelo começa em out/2024.</x:v>
      </x:c>
      <x:c r="D3" s="201" t="str">
        <x:v>Posição e share calculados dentro do universo ANBIMA em cada competência. Δ posição positivo = ganho de posições. O período histórico comparável do modelo começa em out/2024.</x:v>
      </x:c>
      <x:c r="E3" s="201" t="str">
        <x:v>Posição e share calculados dentro do universo ANBIMA em cada competência. Δ posição positivo = ganho de posições. O período histórico comparável do modelo começa em out/2024.</x:v>
      </x:c>
      <x:c r="F3" s="201" t="str">
        <x:v>Posição e share calculados dentro do universo ANBIMA em cada competência. Δ posição positivo = ganho de posições. O período histórico comparável do modelo começa em out/2024.</x:v>
      </x:c>
      <x:c r="G3" s="201" t="str">
        <x:v>Posição e share calculados dentro do universo ANBIMA em cada competência. Δ posição positivo = ganho de posições. O período histórico comparável do modelo começa em out/2024.</x:v>
      </x:c>
      <x:c r="H3" s="201" t="str">
        <x:v>Posição e share calculados dentro do universo ANBIMA em cada competência. Δ posição positivo = ganho de posições. O período histórico comparável do modelo começa em out/2024.</x:v>
      </x:c>
      <x:c r="I3" s="201" t="str">
        <x:v>Posição e share calculados dentro do universo ANBIMA em cada competência. Δ posição positivo = ganho de posições. O período histórico comparável do modelo começa em out/2024.</x:v>
      </x:c>
      <x:c r="J3" s="201" t="str">
        <x:v>Posição e share calculados dentro do universo ANBIMA em cada competência. Δ posição positivo = ganho de posições. O período histórico comparável do modelo começa em out/2024.</x:v>
      </x:c>
      <x:c r="K3" s="201" t="str">
        <x:v>Posição e share calculados dentro do universo ANBIMA em cada competência. Δ posição positivo = ganho de posições. O período histórico comparável do modelo começa em out/2024.</x:v>
      </x:c>
      <x:c r="L3" s="201" t="str">
        <x:v>Posição e share calculados dentro do universo ANBIMA em cada competência. Δ posição positivo = ganho de posições. O período histórico comparável do modelo começa em out/2024.</x:v>
      </x:c>
      <x:c r="M3" s="201" t="str">
        <x:v>Posição e share calculados dentro do universo ANBIMA em cada competência. Δ posição positivo = ganho de posições. O período histórico comparável do modelo começa em out/2024.</x:v>
      </x:c>
      <x:c r="N3" s="211"/>
      <x:c r="O3" s="211"/>
      <x:c r="P3" s="211"/>
      <x:c r="Q3" s="211"/>
      <x:c r="R3" s="211"/>
      <x:c r="S3" s="211"/>
      <x:c r="T3" s="211"/>
      <x:c r="U3" s="211"/>
      <x:c r="V3" s="211"/>
      <x:c r="W3" s="211"/>
    </x:row>
    <x:row r="4">
      <x:c r="A4" s="211"/>
      <x:c r="B4" s="211"/>
      <x:c r="C4" s="211"/>
      <x:c r="D4" s="211"/>
      <x:c r="E4" s="211"/>
      <x:c r="F4" s="211"/>
      <x:c r="G4" s="211"/>
      <x:c r="H4" s="211"/>
      <x:c r="I4" s="211"/>
      <x:c r="J4" s="211"/>
      <x:c r="K4" s="211"/>
      <x:c r="L4" s="211"/>
      <x:c r="M4" s="211"/>
      <x:c r="N4" s="211"/>
      <x:c r="O4" s="211"/>
      <x:c r="P4" s="211"/>
      <x:c r="Q4" s="211"/>
      <x:c r="R4" s="211"/>
      <x:c r="S4" s="211"/>
      <x:c r="T4" s="211"/>
      <x:c r="U4" s="211"/>
      <x:c r="V4" s="211"/>
      <x:c r="W4" s="211"/>
    </x:row>
    <x:row r="5" ht="28" customHeight="1">
      <x:c r="A5" s="20" t="str">
        <x:v>Conglomerado</x:v>
      </x:c>
      <x:c r="B5" s="21" t="str">
        <x:v>Vínculo</x:v>
      </x:c>
      <x:c r="C5" s="21" t="str">
        <x:v>Pos dez/24</x:v>
      </x:c>
      <x:c r="D5" s="21" t="str">
        <x:v>PL dez/24</x:v>
      </x:c>
      <x:c r="E5" s="21" t="str">
        <x:v>Share dez/24</x:v>
      </x:c>
      <x:c r="F5" s="21" t="str">
        <x:v>Pos dez/25</x:v>
      </x:c>
      <x:c r="G5" s="21" t="str">
        <x:v>Δ pos 25</x:v>
      </x:c>
      <x:c r="H5" s="21" t="str">
        <x:v>PL dez/25</x:v>
      </x:c>
      <x:c r="I5" s="21" t="str">
        <x:v>Share dez/25</x:v>
      </x:c>
      <x:c r="J5" s="21" t="str">
        <x:v>Pos mai/26</x:v>
      </x:c>
      <x:c r="K5" s="21" t="str">
        <x:v>Δ pos 26</x:v>
      </x:c>
      <x:c r="L5" s="21" t="str">
        <x:v>PL mai/26</x:v>
      </x:c>
      <x:c r="M5" s="22" t="str">
        <x:v>Share mai/26</x:v>
      </x:c>
      <x:c r="N5" s="211"/>
      <x:c r="O5" s="20" t="str">
        <x:v>Conglomerado</x:v>
      </x:c>
      <x:c r="P5" s="21" t="str">
        <x:v>Dez/24</x:v>
      </x:c>
      <x:c r="Q5" s="21" t="str">
        <x:v>Dez/25</x:v>
      </x:c>
      <x:c r="R5" s="22" t="str">
        <x:v>Mai/26</x:v>
      </x:c>
      <x:c r="S5" s="211"/>
      <x:c r="T5" s="211"/>
      <x:c r="U5" s="211"/>
      <x:c r="V5" s="211"/>
      <x:c r="W5" s="211"/>
    </x:row>
    <x:row r="6">
      <x:c r="A6" s="165" t="str">
        <x:v>QI / Singulare</x:v>
      </x:c>
      <x:c r="B6" s="165" t="str">
        <x:v>Independente</x:v>
      </x:c>
      <x:c r="C6" s="165" t="n">
        <x:v>3</x:v>
      </x:c>
      <x:c r="D6" s="168" t="n">
        <x:v>74.95322074849018</x:v>
      </x:c>
      <x:c r="E6" s="202" t="n">
        <x:v>0.1276701007155438</x:v>
      </x:c>
      <x:c r="F6" s="165" t="n">
        <x:v>1</x:v>
      </x:c>
      <x:c r="G6" s="165" t="n">
        <x:v>2</x:v>
      </x:c>
      <x:c r="H6" s="168" t="n">
        <x:v>111.74915810541097</x:v>
      </x:c>
      <x:c r="I6" s="202" t="n">
        <x:v>0.14994103857585978</x:v>
      </x:c>
      <x:c r="J6" s="165" t="n">
        <x:v>1</x:v>
      </x:c>
      <x:c r="K6" s="165" t="n">
        <x:v>0</x:v>
      </x:c>
      <x:c r="L6" s="168" t="n">
        <x:v>117.12550315522648</x:v>
      </x:c>
      <x:c r="M6" s="202" t="n">
        <x:v>0.1559410244570471</x:v>
      </x:c>
      <x:c r="N6" s="211"/>
      <x:c r="O6" s="110" t="str">
        <x:v>QI / Singulare</x:v>
      </x:c>
      <x:c r="P6" s="119" t="n">
        <x:v>74.95322074849018</x:v>
      </x:c>
      <x:c r="Q6" s="119" t="n">
        <x:v>111.74915810541097</x:v>
      </x:c>
      <x:c r="R6" s="119" t="n">
        <x:v>117.12550315522648</x:v>
      </x:c>
      <x:c r="S6" s="211"/>
      <x:c r="T6" s="211"/>
      <x:c r="U6" s="211"/>
      <x:c r="V6" s="211"/>
      <x:c r="W6" s="211"/>
    </x:row>
    <x:row r="7">
      <x:c r="A7" s="166" t="str">
        <x:v>Oliveira Trust</x:v>
      </x:c>
      <x:c r="B7" s="166" t="str">
        <x:v>Independente</x:v>
      </x:c>
      <x:c r="C7" s="166" t="n">
        <x:v>2</x:v>
      </x:c>
      <x:c r="D7" s="169" t="n">
        <x:v>77.90869852453002</x:v>
      </x:c>
      <x:c r="E7" s="203" t="n">
        <x:v>0.1327042559067623</x:v>
      </x:c>
      <x:c r="F7" s="166" t="n">
        <x:v>2</x:v>
      </x:c>
      <x:c r="G7" s="166" t="n">
        <x:v>0</x:v>
      </x:c>
      <x:c r="H7" s="169" t="n">
        <x:v>79.60032111642008</x:v>
      </x:c>
      <x:c r="I7" s="203" t="n">
        <x:v>0.10680487460952111</x:v>
      </x:c>
      <x:c r="J7" s="166" t="n">
        <x:v>2</x:v>
      </x:c>
      <x:c r="K7" s="166" t="n">
        <x:v>0</x:v>
      </x:c>
      <x:c r="L7" s="169" t="n">
        <x:v>95.43419344046</x:v>
      </x:c>
      <x:c r="M7" s="203" t="n">
        <x:v>0.1270611907093716</x:v>
      </x:c>
      <x:c r="N7" s="211"/>
      <x:c r="O7" s="111" t="str">
        <x:v>Oliveira Trust</x:v>
      </x:c>
      <x:c r="P7" s="120" t="n">
        <x:v>77.90869852453002</x:v>
      </x:c>
      <x:c r="Q7" s="120" t="n">
        <x:v>79.60032111642008</x:v>
      </x:c>
      <x:c r="R7" s="120" t="n">
        <x:v>95.43419344046</x:v>
      </x:c>
      <x:c r="S7" s="211"/>
      <x:c r="T7" s="211"/>
      <x:c r="U7" s="211"/>
      <x:c r="V7" s="211"/>
      <x:c r="W7" s="211"/>
    </x:row>
    <x:row r="8">
      <x:c r="A8" s="166" t="str">
        <x:v>BTG Pactual</x:v>
      </x:c>
      <x:c r="B8" s="166" t="str">
        <x:v>Ligada a banco</x:v>
      </x:c>
      <x:c r="C8" s="166" t="n">
        <x:v>5</x:v>
      </x:c>
      <x:c r="D8" s="169" t="n">
        <x:v>50.45131835633</x:v>
      </x:c>
      <x:c r="E8" s="203" t="n">
        <x:v>0.08593526510886272</x:v>
      </x:c>
      <x:c r="F8" s="166" t="n">
        <x:v>3</x:v>
      </x:c>
      <x:c r="G8" s="166" t="n">
        <x:v>2</x:v>
      </x:c>
      <x:c r="H8" s="169" t="n">
        <x:v>67.50743856587</x:v>
      </x:c>
      <x:c r="I8" s="203" t="n">
        <x:v>0.09057907568855751</x:v>
      </x:c>
      <x:c r="J8" s="166" t="n">
        <x:v>3</x:v>
      </x:c>
      <x:c r="K8" s="166" t="n">
        <x:v>0</x:v>
      </x:c>
      <x:c r="L8" s="169" t="n">
        <x:v>82.98820505143755</x:v>
      </x:c>
      <x:c r="M8" s="203" t="n">
        <x:v>0.11049058800133046</x:v>
      </x:c>
      <x:c r="N8" s="211"/>
      <x:c r="O8" s="111" t="str">
        <x:v>BTG Pactual</x:v>
      </x:c>
      <x:c r="P8" s="120" t="n">
        <x:v>50.45131835633</x:v>
      </x:c>
      <x:c r="Q8" s="120" t="n">
        <x:v>67.50743856587</x:v>
      </x:c>
      <x:c r="R8" s="120" t="n">
        <x:v>82.98820505143755</x:v>
      </x:c>
      <x:c r="S8" s="211"/>
      <x:c r="T8" s="211"/>
      <x:c r="U8" s="211"/>
      <x:c r="V8" s="211"/>
      <x:c r="W8" s="211"/>
    </x:row>
    <x:row r="9">
      <x:c r="A9" s="166" t="str">
        <x:v>Banco do Brasil</x:v>
      </x:c>
      <x:c r="B9" s="166" t="str">
        <x:v>Ligada a banco</x:v>
      </x:c>
      <x:c r="C9" s="166" t="n">
        <x:v>1</x:v>
      </x:c>
      <x:c r="D9" s="169" t="n">
        <x:v>91.87873878538998</x:v>
      </x:c>
      <x:c r="E9" s="203" t="n">
        <x:v>0.15649985040281494</x:v>
      </x:c>
      <x:c r="F9" s="166" t="n">
        <x:v>4</x:v>
      </x:c>
      <x:c r="G9" s="166" t="n">
        <x:v>-3</x:v>
      </x:c>
      <x:c r="H9" s="169" t="n">
        <x:v>61.57005989458001</x:v>
      </x:c>
      <x:c r="I9" s="203" t="n">
        <x:v>0.08261251254405831</x:v>
      </x:c>
      <x:c r="J9" s="166" t="n">
        <x:v>4</x:v>
      </x:c>
      <x:c r="K9" s="166" t="n">
        <x:v>0</x:v>
      </x:c>
      <x:c r="L9" s="169" t="n">
        <x:v>60.90074644365</x:v>
      </x:c>
      <x:c r="M9" s="203" t="n">
        <x:v>0.08108332117929405</x:v>
      </x:c>
      <x:c r="N9" s="211"/>
      <x:c r="O9" s="111" t="str">
        <x:v>Banco do Brasil</x:v>
      </x:c>
      <x:c r="P9" s="120" t="n">
        <x:v>91.87873878538998</x:v>
      </x:c>
      <x:c r="Q9" s="120" t="n">
        <x:v>61.57005989458001</x:v>
      </x:c>
      <x:c r="R9" s="120" t="n">
        <x:v>60.90074644365</x:v>
      </x:c>
      <x:c r="S9" s="211"/>
      <x:c r="T9" s="211"/>
      <x:c r="U9" s="211"/>
      <x:c r="V9" s="211"/>
      <x:c r="W9" s="211"/>
    </x:row>
    <x:row r="10">
      <x:c r="A10" s="166" t="str">
        <x:v>Bradesco</x:v>
      </x:c>
      <x:c r="B10" s="166" t="str">
        <x:v>Ligada a banco</x:v>
      </x:c>
      <x:c r="C10" s="166" t="n">
        <x:v>8</x:v>
      </x:c>
      <x:c r="D10" s="169" t="n">
        <x:v>24.576205737220004</x:v>
      </x:c>
      <x:c r="E10" s="203" t="n">
        <x:v>0.04186139875436915</x:v>
      </x:c>
      <x:c r="F10" s="166" t="n">
        <x:v>6</x:v>
      </x:c>
      <x:c r="G10" s="166" t="n">
        <x:v>2</x:v>
      </x:c>
      <x:c r="H10" s="169" t="n">
        <x:v>44.45989770578</x:v>
      </x:c>
      <x:c r="I10" s="203" t="n">
        <x:v>0.05965470657678582</x:v>
      </x:c>
      <x:c r="J10" s="166" t="n">
        <x:v>5</x:v>
      </x:c>
      <x:c r="K10" s="166" t="n">
        <x:v>1</x:v>
      </x:c>
      <x:c r="L10" s="169" t="n">
        <x:v>48.862054389600004</x:v>
      </x:c>
      <x:c r="M10" s="203" t="n">
        <x:v>0.06505499326215847</x:v>
      </x:c>
      <x:c r="N10" s="211"/>
      <x:c r="O10" s="111" t="str">
        <x:v>Bradesco</x:v>
      </x:c>
      <x:c r="P10" s="120" t="n">
        <x:v>24.576205737220004</x:v>
      </x:c>
      <x:c r="Q10" s="120" t="n">
        <x:v>44.45989770578</x:v>
      </x:c>
      <x:c r="R10" s="120" t="n">
        <x:v>48.862054389600004</x:v>
      </x:c>
      <x:c r="S10" s="211"/>
      <x:c r="T10" s="211"/>
      <x:c r="U10" s="211"/>
      <x:c r="V10" s="211"/>
      <x:c r="W10" s="211"/>
    </x:row>
    <x:row r="11">
      <x:c r="A11" s="166" t="str">
        <x:v>Banco Daycoval</x:v>
      </x:c>
      <x:c r="B11" s="166" t="str">
        <x:v>Ligada a banco</x:v>
      </x:c>
      <x:c r="C11" s="166" t="n">
        <x:v>6</x:v>
      </x:c>
      <x:c r="D11" s="169" t="n">
        <x:v>32.089681549579986</x:v>
      </x:c>
      <x:c r="E11" s="203" t="n">
        <x:v>0.05465933063919911</x:v>
      </x:c>
      <x:c r="F11" s="166" t="n">
        <x:v>7</x:v>
      </x:c>
      <x:c r="G11" s="166" t="n">
        <x:v>-1</x:v>
      </x:c>
      <x:c r="H11" s="169" t="n">
        <x:v>43.118617352220014</x:v>
      </x:c>
      <x:c r="I11" s="203" t="n">
        <x:v>0.05785502438996815</x:v>
      </x:c>
      <x:c r="J11" s="166" t="n">
        <x:v>6</x:v>
      </x:c>
      <x:c r="K11" s="166" t="n">
        <x:v>1</x:v>
      </x:c>
      <x:c r="L11" s="169" t="n">
        <x:v>44.2437610485337</x:v>
      </x:c>
      <x:c r="M11" s="203" t="n">
        <x:v>0.05890619239942423</x:v>
      </x:c>
      <x:c r="N11" s="211"/>
      <x:c r="O11" s="111" t="str">
        <x:v>Banco Daycoval</x:v>
      </x:c>
      <x:c r="P11" s="120" t="n">
        <x:v>32.089681549579986</x:v>
      </x:c>
      <x:c r="Q11" s="120" t="n">
        <x:v>43.118617352220014</x:v>
      </x:c>
      <x:c r="R11" s="120" t="n">
        <x:v>44.2437610485337</x:v>
      </x:c>
      <x:c r="S11" s="211"/>
      <x:c r="T11" s="211"/>
      <x:c r="U11" s="211"/>
      <x:c r="V11" s="211"/>
      <x:c r="W11" s="211"/>
    </x:row>
    <x:row r="12">
      <x:c r="A12" s="166" t="str">
        <x:v>Banco Genial</x:v>
      </x:c>
      <x:c r="B12" s="166" t="str">
        <x:v>Ligada a banco</x:v>
      </x:c>
      <x:c r="C12" s="166" t="n">
        <x:v>7</x:v>
      </x:c>
      <x:c r="D12" s="169" t="n">
        <x:v>26.982790596950004</x:v>
      </x:c>
      <x:c r="E12" s="203" t="n">
        <x:v>0.045960607945835695</x:v>
      </x:c>
      <x:c r="F12" s="166" t="n">
        <x:v>8</x:v>
      </x:c>
      <x:c r="G12" s="166" t="n">
        <x:v>-1</x:v>
      </x:c>
      <x:c r="H12" s="169" t="n">
        <x:v>39.14368178724</x:v>
      </x:c>
      <x:c r="I12" s="203" t="n">
        <x:v>0.05252159748107794</x:v>
      </x:c>
      <x:c r="J12" s="166" t="n">
        <x:v>7</x:v>
      </x:c>
      <x:c r="K12" s="166" t="n">
        <x:v>1</x:v>
      </x:c>
      <x:c r="L12" s="169" t="n">
        <x:v>41.32148813812891</x:v>
      </x:c>
      <x:c r="M12" s="203" t="n">
        <x:v>0.05501547501409393</x:v>
      </x:c>
      <x:c r="N12" s="211"/>
      <x:c r="O12" s="111" t="str">
        <x:v>Banco Genial</x:v>
      </x:c>
      <x:c r="P12" s="120" t="n">
        <x:v>26.982790596950004</x:v>
      </x:c>
      <x:c r="Q12" s="120" t="n">
        <x:v>39.14368178724</x:v>
      </x:c>
      <x:c r="R12" s="120" t="n">
        <x:v>41.32148813812891</x:v>
      </x:c>
      <x:c r="S12" s="211"/>
      <x:c r="T12" s="211"/>
      <x:c r="U12" s="211"/>
      <x:c r="V12" s="211"/>
      <x:c r="W12" s="211"/>
    </x:row>
    <x:row r="13">
      <x:c r="A13" s="166" t="str">
        <x:v>Itaú Unibanco</x:v>
      </x:c>
      <x:c r="B13" s="166" t="str">
        <x:v>Ligada a banco</x:v>
      </x:c>
      <x:c r="C13" s="166" t="n">
        <x:v>13</x:v>
      </x:c>
      <x:c r="D13" s="169" t="n">
        <x:v>9.654414728909725</x:v>
      </x:c>
      <x:c r="E13" s="203" t="n">
        <x:v>0.01644465826125774</x:v>
      </x:c>
      <x:c r="F13" s="166" t="n">
        <x:v>9</x:v>
      </x:c>
      <x:c r="G13" s="166" t="n">
        <x:v>4</x:v>
      </x:c>
      <x:c r="H13" s="169" t="n">
        <x:v>24.200491807562656</x:v>
      </x:c>
      <x:c r="I13" s="203" t="n">
        <x:v>0.03247135761192665</x:v>
      </x:c>
      <x:c r="J13" s="166" t="n">
        <x:v>8</x:v>
      </x:c>
      <x:c r="K13" s="166" t="n">
        <x:v>1</x:v>
      </x:c>
      <x:c r="L13" s="169" t="n">
        <x:v>29.93565323385001</x:v>
      </x:c>
      <x:c r="M13" s="203" t="n">
        <x:v>0.03985636182830927</x:v>
      </x:c>
      <x:c r="N13" s="211"/>
      <x:c r="O13" s="112" t="str">
        <x:v>Itaú Unibanco</x:v>
      </x:c>
      <x:c r="P13" s="124" t="n">
        <x:v>9.654414728909725</x:v>
      </x:c>
      <x:c r="Q13" s="124" t="n">
        <x:v>24.200491807562656</x:v>
      </x:c>
      <x:c r="R13" s="124" t="n">
        <x:v>29.93565323385001</x:v>
      </x:c>
      <x:c r="S13" s="211"/>
      <x:c r="T13" s="211"/>
      <x:c r="U13" s="211"/>
      <x:c r="V13" s="211"/>
      <x:c r="W13" s="211"/>
    </x:row>
    <x:row r="14">
      <x:c r="A14" s="166" t="str">
        <x:v>BRL TRUST DTVM</x:v>
      </x:c>
      <x:c r="B14" s="166" t="str">
        <x:v>Independente</x:v>
      </x:c>
      <x:c r="C14" s="166" t="n">
        <x:v>11</x:v>
      </x:c>
      <x:c r="D14" s="169" t="n">
        <x:v>10.565965484930004</x:v>
      </x:c>
      <x:c r="E14" s="203" t="n">
        <x:v>0.01799733039017067</x:v>
      </x:c>
      <x:c r="F14" s="166" t="n">
        <x:v>10</x:v>
      </x:c>
      <x:c r="G14" s="166" t="n">
        <x:v>1</x:v>
      </x:c>
      <x:c r="H14" s="169" t="n">
        <x:v>18.13256750835</x:v>
      </x:c>
      <x:c r="I14" s="203" t="n">
        <x:v>0.024329632995393834</x:v>
      </x:c>
      <x:c r="J14" s="166" t="n">
        <x:v>9</x:v>
      </x:c>
      <x:c r="K14" s="166" t="n">
        <x:v>1</x:v>
      </x:c>
      <x:c r="L14" s="169" t="n">
        <x:v>20.414136402470007</x:v>
      </x:c>
      <x:c r="M14" s="203" t="n">
        <x:v>0.027179403786962666</x:v>
      </x:c>
      <x:c r="N14" s="211"/>
      <x:c r="O14" s="211"/>
      <x:c r="P14" s="211"/>
      <x:c r="Q14" s="211"/>
      <x:c r="R14" s="211"/>
      <x:c r="S14" s="211"/>
      <x:c r="T14" s="211"/>
      <x:c r="U14" s="211"/>
      <x:c r="V14" s="211"/>
      <x:c r="W14" s="211"/>
    </x:row>
    <x:row r="15">
      <x:c r="A15" s="166" t="str">
        <x:v>HEMERA DTVM</x:v>
      </x:c>
      <x:c r="B15" s="166" t="str">
        <x:v>Independente</x:v>
      </x:c>
      <x:c r="C15" s="166" t="n">
        <x:v>18</x:v>
      </x:c>
      <x:c r="D15" s="169" t="n">
        <x:v>7.385634035640002</x:v>
      </x:c>
      <x:c r="E15" s="203" t="n">
        <x:v>0.012580175098043413</x:v>
      </x:c>
      <x:c r="F15" s="166" t="n">
        <x:v>11</x:v>
      </x:c>
      <x:c r="G15" s="166" t="n">
        <x:v>7</x:v>
      </x:c>
      <x:c r="H15" s="169" t="n">
        <x:v>16.970200510769995</x:v>
      </x:c>
      <x:c r="I15" s="203" t="n">
        <x:v>0.022770010374711106</x:v>
      </x:c>
      <x:c r="J15" s="166" t="n">
        <x:v>10</x:v>
      </x:c>
      <x:c r="K15" s="166" t="n">
        <x:v>1</x:v>
      </x:c>
      <x:c r="L15" s="169" t="n">
        <x:v>20.077561520219994</x:v>
      </x:c>
      <x:c r="M15" s="203" t="n">
        <x:v>0.026731287616439007</x:v>
      </x:c>
      <x:c r="N15" s="211"/>
      <x:c r="O15" s="211"/>
      <x:c r="P15" s="211"/>
      <x:c r="Q15" s="211"/>
      <x:c r="R15" s="211"/>
      <x:c r="S15" s="211"/>
      <x:c r="T15" s="211"/>
      <x:c r="U15" s="211"/>
      <x:c r="V15" s="211"/>
      <x:c r="W15" s="211"/>
    </x:row>
    <x:row r="16">
      <x:c r="A16" s="166" t="str">
        <x:v>Finaxis Corretora de Títulos e Valores Mobiliários S.A.</x:v>
      </x:c>
      <x:c r="B16" s="166" t="str">
        <x:v>Independente</x:v>
      </x:c>
      <x:c r="C16" s="166" t="n">
        <x:v>9</x:v>
      </x:c>
      <x:c r="D16" s="169" t="n">
        <x:v>13.286298325670002</x:v>
      </x:c>
      <x:c r="E16" s="203" t="n">
        <x:v>0.022630956060807013</x:v>
      </x:c>
      <x:c r="F16" s="166" t="n">
        <x:v>12</x:v>
      </x:c>
      <x:c r="G16" s="166" t="n">
        <x:v>-3</x:v>
      </x:c>
      <x:c r="H16" s="169" t="n">
        <x:v>15.159672206690006</x:v>
      </x:c>
      <x:c r="I16" s="203" t="n">
        <x:v>0.020340708007809436</x:v>
      </x:c>
      <x:c r="J16" s="166" t="n">
        <x:v>11</x:v>
      </x:c>
      <x:c r="K16" s="166" t="n">
        <x:v>1</x:v>
      </x:c>
      <x:c r="L16" s="169" t="n">
        <x:v>16.649825185180006</x:v>
      </x:c>
      <x:c r="M16" s="203" t="n">
        <x:v>0.022167595668440513</x:v>
      </x:c>
      <x:c r="N16" s="211"/>
      <x:c r="O16" s="211"/>
      <x:c r="P16" s="211"/>
      <x:c r="Q16" s="211"/>
      <x:c r="R16" s="211"/>
      <x:c r="S16" s="211"/>
      <x:c r="T16" s="211"/>
      <x:c r="U16" s="211"/>
      <x:c r="V16" s="211"/>
      <x:c r="W16" s="211"/>
    </x:row>
    <x:row r="17">
      <x:c r="A17" s="166" t="str">
        <x:v>VERT Distribuidora de Títulos e Valores Mobiliários Ltd</x:v>
      </x:c>
      <x:c r="B17" s="166" t="str">
        <x:v>Independente</x:v>
      </x:c>
      <x:c r="C17" s="166" t="n">
        <x:v>43</x:v>
      </x:c>
      <x:c r="D17" s="169" t="n">
        <x:v>0.03552255669</x:v>
      </x:c>
      <x:c r="E17" s="203" t="n">
        <x:v>0.000060506651281923296</x:v>
      </x:c>
      <x:c r="F17" s="166" t="n">
        <x:v>14</x:v>
      </x:c>
      <x:c r="G17" s="166" t="n">
        <x:v>29</x:v>
      </x:c>
      <x:c r="H17" s="169" t="n">
        <x:v>11.022674843080008</x:v>
      </x:c>
      <x:c r="I17" s="203" t="n">
        <x:v>0.014789832351993274</x:v>
      </x:c>
      <x:c r="J17" s="166" t="n">
        <x:v>12</x:v>
      </x:c>
      <x:c r="K17" s="166" t="n">
        <x:v>2</x:v>
      </x:c>
      <x:c r="L17" s="169" t="n">
        <x:v>14.783619117369994</x:v>
      </x:c>
      <x:c r="M17" s="203" t="n">
        <x:v>0.01968292684548942</x:v>
      </x:c>
      <x:c r="N17" s="211"/>
      <x:c r="O17" s="211"/>
      <x:c r="P17" s="211"/>
      <x:c r="Q17" s="211"/>
      <x:c r="R17" s="211"/>
      <x:c r="S17" s="211"/>
      <x:c r="T17" s="211"/>
      <x:c r="U17" s="211"/>
      <x:c r="V17" s="211"/>
      <x:c r="W17" s="211"/>
    </x:row>
    <x:row r="18">
      <x:c r="A18" s="166" t="str">
        <x:v>PLANNER CV</x:v>
      </x:c>
      <x:c r="B18" s="166" t="str">
        <x:v>Independente</x:v>
      </x:c>
      <x:c r="C18" s="166" t="n">
        <x:v>29</x:v>
      </x:c>
      <x:c r="D18" s="169" t="n">
        <x:v>2.718770426649999</x:v>
      </x:c>
      <x:c r="E18" s="203" t="n">
        <x:v>0.004630964363193682</x:v>
      </x:c>
      <x:c r="F18" s="166" t="n">
        <x:v>23</x:v>
      </x:c>
      <x:c r="G18" s="166" t="n">
        <x:v>6</x:v>
      </x:c>
      <x:c r="H18" s="169" t="n">
        <x:v>7.523025473630002</x:v>
      </x:c>
      <x:c r="I18" s="203" t="n">
        <x:v>0.01009412752519084</x:v>
      </x:c>
      <x:c r="J18" s="166" t="n">
        <x:v>13</x:v>
      </x:c>
      <x:c r="K18" s="166" t="n">
        <x:v>10</x:v>
      </x:c>
      <x:c r="L18" s="169" t="n">
        <x:v>12.468792373459996</x:v>
      </x:c>
      <x:c r="M18" s="203" t="n">
        <x:v>0.016600963958145462</x:v>
      </x:c>
      <x:c r="N18" s="211"/>
      <x:c r="O18" s="211"/>
      <x:c r="P18" s="211"/>
      <x:c r="Q18" s="211"/>
      <x:c r="R18" s="211"/>
      <x:c r="S18" s="211"/>
      <x:c r="T18" s="211"/>
      <x:c r="U18" s="211"/>
      <x:c r="V18" s="211"/>
      <x:c r="W18" s="211"/>
    </x:row>
    <x:row r="19">
      <x:c r="A19" s="166" t="str">
        <x:v>BNY Mellon</x:v>
      </x:c>
      <x:c r="B19" s="166" t="str">
        <x:v>Ligada a banco</x:v>
      </x:c>
      <x:c r="C19" s="166" t="n">
        <x:v>17</x:v>
      </x:c>
      <x:c r="D19" s="169" t="n">
        <x:v>7.84082305051</x:v>
      </x:c>
      <x:c r="E19" s="203" t="n">
        <x:v>0.013355512392328163</x:v>
      </x:c>
      <x:c r="F19" s="166" t="n">
        <x:v>16</x:v>
      </x:c>
      <x:c r="G19" s="166" t="n">
        <x:v>1</x:v>
      </x:c>
      <x:c r="H19" s="169" t="n">
        <x:v>10.623320289009998</x:v>
      </x:c>
      <x:c r="I19" s="203" t="n">
        <x:v>0.014253992640871934</x:v>
      </x:c>
      <x:c r="J19" s="166" t="n">
        <x:v>14</x:v>
      </x:c>
      <x:c r="K19" s="166" t="n">
        <x:v>2</x:v>
      </x:c>
      <x:c r="L19" s="169" t="n">
        <x:v>11.651935012401148</x:v>
      </x:c>
      <x:c r="M19" s="203" t="n">
        <x:v>0.015513399164080262</x:v>
      </x:c>
      <x:c r="N19" s="211"/>
      <x:c r="O19" s="211"/>
      <x:c r="P19" s="211"/>
      <x:c r="Q19" s="211"/>
      <x:c r="R19" s="211"/>
      <x:c r="S19" s="211"/>
      <x:c r="T19" s="211"/>
      <x:c r="U19" s="211"/>
      <x:c r="V19" s="211"/>
      <x:c r="W19" s="211"/>
    </x:row>
    <x:row r="20">
      <x:c r="A20" s="166" t="str">
        <x:v>VÓRTX DTVM</x:v>
      </x:c>
      <x:c r="B20" s="166" t="str">
        <x:v>Independente</x:v>
      </x:c>
      <x:c r="C20" s="166" t="n">
        <x:v>16</x:v>
      </x:c>
      <x:c r="D20" s="169" t="n">
        <x:v>8.368397210430004</x:v>
      </x:c>
      <x:c r="E20" s="203" t="n">
        <x:v>0.01425414550587935</x:v>
      </x:c>
      <x:c r="F20" s="166" t="n">
        <x:v>18</x:v>
      </x:c>
      <x:c r="G20" s="166" t="n">
        <x:v>-2</x:v>
      </x:c>
      <x:c r="H20" s="169" t="n">
        <x:v>10.240956542911075</x:v>
      </x:c>
      <x:c r="I20" s="203" t="n">
        <x:v>0.013740950590481284</x:v>
      </x:c>
      <x:c r="J20" s="166" t="n">
        <x:v>15</x:v>
      </x:c>
      <x:c r="K20" s="166" t="n">
        <x:v>3</x:v>
      </x:c>
      <x:c r="L20" s="169" t="n">
        <x:v>11.295294154570001</x:v>
      </x:c>
      <x:c r="M20" s="203" t="n">
        <x:v>0.015038567131472278</x:v>
      </x:c>
      <x:c r="N20" s="211"/>
      <x:c r="O20" s="211"/>
      <x:c r="P20" s="211"/>
      <x:c r="Q20" s="211"/>
      <x:c r="R20" s="211"/>
      <x:c r="S20" s="211"/>
      <x:c r="T20" s="211"/>
      <x:c r="U20" s="211"/>
      <x:c r="V20" s="211"/>
      <x:c r="W20" s="211"/>
    </x:row>
    <x:row r="21">
      <x:c r="A21" s="166" t="str">
        <x:v>TRUSTEE DTVM</x:v>
      </x:c>
      <x:c r="B21" s="166" t="str">
        <x:v>Independente</x:v>
      </x:c>
      <x:c r="C21" s="166" t="n">
        <x:v>14</x:v>
      </x:c>
      <x:c r="D21" s="169" t="n">
        <x:v>8.51602486959</x:v>
      </x:c>
      <x:c r="E21" s="203" t="n">
        <x:v>0.01450560418804327</x:v>
      </x:c>
      <x:c r="F21" s="166" t="n">
        <x:v>13</x:v>
      </x:c>
      <x:c r="G21" s="166" t="n">
        <x:v>1</x:v>
      </x:c>
      <x:c r="H21" s="169" t="n">
        <x:v>12.36031840197</x:v>
      </x:c>
      <x:c r="I21" s="203" t="n">
        <x:v>0.01658463481730655</x:v>
      </x:c>
      <x:c r="J21" s="166" t="n">
        <x:v>16</x:v>
      </x:c>
      <x:c r="K21" s="166" t="n">
        <x:v>-3</x:v>
      </x:c>
      <x:c r="L21" s="169" t="n">
        <x:v>10.733597093450001</x:v>
      </x:c>
      <x:c r="M21" s="203" t="n">
        <x:v>0.01429072304298644</x:v>
      </x:c>
      <x:c r="N21" s="211"/>
      <x:c r="O21" s="211"/>
      <x:c r="P21" s="211"/>
      <x:c r="Q21" s="211"/>
      <x:c r="R21" s="211"/>
      <x:c r="S21" s="211"/>
      <x:c r="T21" s="211"/>
      <x:c r="U21" s="211"/>
      <x:c r="V21" s="211"/>
      <x:c r="W21" s="211"/>
    </x:row>
    <x:row r="22">
      <x:c r="A22" s="166" t="str">
        <x:v>MAF Distribuidora de Títulos e Valores Mobiliários S.A.</x:v>
      </x:c>
      <x:c r="B22" s="166" t="str">
        <x:v>Independente</x:v>
      </x:c>
      <x:c r="C22" s="166" t="n">
        <x:v>12</x:v>
      </x:c>
      <x:c r="D22" s="169" t="n">
        <x:v>10.2503068655</x:v>
      </x:c>
      <x:c r="E22" s="203" t="n">
        <x:v>0.017459659462465138</x:v>
      </x:c>
      <x:c r="F22" s="166" t="n">
        <x:v>19</x:v>
      </x:c>
      <x:c r="G22" s="166" t="n">
        <x:v>-7</x:v>
      </x:c>
      <x:c r="H22" s="169" t="n">
        <x:v>10.137536049910002</x:v>
      </x:c>
      <x:c r="I22" s="203" t="n">
        <x:v>0.013602184657981095</x:v>
      </x:c>
      <x:c r="J22" s="166" t="n">
        <x:v>17</x:v>
      </x:c>
      <x:c r="K22" s="166" t="n">
        <x:v>2</x:v>
      </x:c>
      <x:c r="L22" s="169" t="n">
        <x:v>10.601394569339996</x:v>
      </x:c>
      <x:c r="M22" s="203" t="n">
        <x:v>0.014114708456153037</x:v>
      </x:c>
      <x:c r="N22" s="211"/>
      <x:c r="O22" s="211"/>
      <x:c r="P22" s="211"/>
      <x:c r="Q22" s="211"/>
      <x:c r="R22" s="211"/>
      <x:c r="S22" s="211"/>
      <x:c r="T22" s="211"/>
      <x:c r="U22" s="211"/>
      <x:c r="V22" s="211"/>
      <x:c r="W22" s="211"/>
    </x:row>
    <x:row r="23">
      <x:c r="A23" s="166" t="str">
        <x:v>ID Corretora de Títulos e Valores Mobiliários S.A.</x:v>
      </x:c>
      <x:c r="B23" s="166" t="str">
        <x:v>Independente</x:v>
      </x:c>
      <x:c r="C23" s="166" t="n">
        <x:v>25</x:v>
      </x:c>
      <x:c r="D23" s="169" t="n">
        <x:v>3.80883350035</x:v>
      </x:c>
      <x:c r="E23" s="203" t="n">
        <x:v>0.006487701952530398</x:v>
      </x:c>
      <x:c r="F23" s="166" t="n">
        <x:v>22</x:v>
      </x:c>
      <x:c r="G23" s="166" t="n">
        <x:v>3</x:v>
      </x:c>
      <x:c r="H23" s="169" t="n">
        <x:v>8.00984691023</x:v>
      </x:c>
      <x:c r="I23" s="203" t="n">
        <x:v>0.010747327182730464</x:v>
      </x:c>
      <x:c r="J23" s="166" t="n">
        <x:v>18</x:v>
      </x:c>
      <x:c r="K23" s="166" t="n">
        <x:v>4</x:v>
      </x:c>
      <x:c r="L23" s="169" t="n">
        <x:v>9.955182324590002</x:v>
      </x:c>
      <x:c r="M23" s="203" t="n">
        <x:v>0.013254340758697341</x:v>
      </x:c>
      <x:c r="N23" s="211"/>
      <x:c r="O23" s="211"/>
      <x:c r="P23" s="211"/>
      <x:c r="Q23" s="211"/>
      <x:c r="R23" s="211"/>
      <x:c r="S23" s="211"/>
      <x:c r="T23" s="211"/>
      <x:c r="U23" s="211"/>
      <x:c r="V23" s="211"/>
      <x:c r="W23" s="211"/>
    </x:row>
    <x:row r="24">
      <x:c r="A24" s="166" t="str">
        <x:v>FIDD DISTRIBUIDORA DE TITULOS E VALORES MOBILIARIOS LTD</x:v>
      </x:c>
      <x:c r="B24" s="166" t="str">
        <x:v>Independente</x:v>
      </x:c>
      <x:c r="C24" s="166" t="n">
        <x:v>21</x:v>
      </x:c>
      <x:c r="D24" s="169" t="n">
        <x:v>4.685366537560001</x:v>
      </x:c>
      <x:c r="E24" s="203" t="n">
        <x:v>0.007980727335877338</x:v>
      </x:c>
      <x:c r="F24" s="166" t="n">
        <x:v>20</x:v>
      </x:c>
      <x:c r="G24" s="166" t="n">
        <x:v>1</x:v>
      </x:c>
      <x:c r="H24" s="169" t="n">
        <x:v>9.00410771376999</x:v>
      </x:c>
      <x:c r="I24" s="203" t="n">
        <x:v>0.01208139090209585</x:v>
      </x:c>
      <x:c r="J24" s="166" t="n">
        <x:v>19</x:v>
      </x:c>
      <x:c r="K24" s="166" t="n">
        <x:v>1</x:v>
      </x:c>
      <x:c r="L24" s="169" t="n">
        <x:v>9.753308535739993</x:v>
      </x:c>
      <x:c r="M24" s="203" t="n">
        <x:v>0.012985565772923535</x:v>
      </x:c>
      <x:c r="N24" s="211"/>
      <x:c r="O24" s="211"/>
      <x:c r="P24" s="211"/>
      <x:c r="Q24" s="211"/>
      <x:c r="R24" s="211"/>
      <x:c r="S24" s="211"/>
      <x:c r="T24" s="211"/>
      <x:c r="U24" s="211"/>
      <x:c r="V24" s="211"/>
      <x:c r="W24" s="211"/>
    </x:row>
    <x:row r="25">
      <x:c r="A25" s="166" t="str">
        <x:v>S3 Caceis Brasil Distribuidora de Títulos e Valores Mob</x:v>
      </x:c>
      <x:c r="B25" s="166" t="str">
        <x:v>Independente</x:v>
      </x:c>
      <x:c r="C25" s="166" t="n">
        <x:v>19</x:v>
      </x:c>
      <x:c r="D25" s="169" t="n">
        <x:v>7.18567987219001</x:v>
      </x:c>
      <x:c r="E25" s="203" t="n">
        <x:v>0.012239587089533226</x:v>
      </x:c>
      <x:c r="F25" s="166" t="n">
        <x:v>21</x:v>
      </x:c>
      <x:c r="G25" s="166" t="n">
        <x:v>-2</x:v>
      </x:c>
      <x:c r="H25" s="169" t="n">
        <x:v>8.872873995770519</x:v>
      </x:c>
      <x:c r="I25" s="203" t="n">
        <x:v>0.011905306175314724</x:v>
      </x:c>
      <x:c r="J25" s="166" t="n">
        <x:v>20</x:v>
      </x:c>
      <x:c r="K25" s="166" t="n">
        <x:v>1</x:v>
      </x:c>
      <x:c r="L25" s="169" t="n">
        <x:v>9.20264530721085</x:v>
      </x:c>
      <x:c r="M25" s="203" t="n">
        <x:v>0.01225241214135403</x:v>
      </x:c>
      <x:c r="N25" s="211"/>
      <x:c r="O25" s="211"/>
      <x:c r="P25" s="211"/>
      <x:c r="Q25" s="211"/>
      <x:c r="R25" s="211"/>
      <x:c r="S25" s="211"/>
      <x:c r="T25" s="211"/>
      <x:c r="U25" s="211"/>
      <x:c r="V25" s="211"/>
      <x:c r="W25" s="211"/>
    </x:row>
    <x:row r="26">
      <x:c r="A26" s="166" t="str">
        <x:v>Limine Trust Distribuidora de Titulos e Valores Mobiliá</x:v>
      </x:c>
      <x:c r="B26" s="166" t="str">
        <x:v>Independente</x:v>
      </x:c>
      <x:c r="C26" s="166" t="n">
        <x:v>26</x:v>
      </x:c>
      <x:c r="D26" s="169" t="n">
        <x:v>3.4680061098700006</x:v>
      </x:c>
      <x:c r="E26" s="203" t="n">
        <x:v>0.005907160291549485</x:v>
      </x:c>
      <x:c r="F26" s="166" t="n">
        <x:v>17</x:v>
      </x:c>
      <x:c r="G26" s="166" t="n">
        <x:v>9</x:v>
      </x:c>
      <x:c r="H26" s="169" t="n">
        <x:v>10.513400744799995</x:v>
      </x:c>
      <x:c r="I26" s="203" t="n">
        <x:v>0.014106506513029374</x:v>
      </x:c>
      <x:c r="J26" s="166" t="n">
        <x:v>21</x:v>
      </x:c>
      <x:c r="K26" s="166" t="n">
        <x:v>-4</x:v>
      </x:c>
      <x:c r="L26" s="169" t="n">
        <x:v>8.517352452465001</x:v>
      </x:c>
      <x:c r="M26" s="203" t="n">
        <x:v>0.01134001247652157</x:v>
      </x:c>
      <x:c r="N26" s="211"/>
      <x:c r="O26" s="211"/>
      <x:c r="P26" s="211"/>
      <x:c r="Q26" s="211"/>
      <x:c r="R26" s="211"/>
      <x:c r="S26" s="211"/>
      <x:c r="T26" s="211"/>
      <x:c r="U26" s="211"/>
      <x:c r="V26" s="211"/>
      <x:c r="W26" s="211"/>
    </x:row>
    <x:row r="27">
      <x:c r="A27" s="166" t="str">
        <x:v>XP Inc.</x:v>
      </x:c>
      <x:c r="B27" s="166" t="str">
        <x:v>Ligada a banco</x:v>
      </x:c>
      <x:c r="C27" s="166" t="n">
        <x:v>23</x:v>
      </x:c>
      <x:c r="D27" s="169" t="n">
        <x:v>4.41223346221</x:v>
      </x:c>
      <x:c r="E27" s="203" t="n">
        <x:v>0.007515491460881488</x:v>
      </x:c>
      <x:c r="F27" s="166" t="n">
        <x:v>24</x:v>
      </x:c>
      <x:c r="G27" s="166" t="n">
        <x:v>-1</x:v>
      </x:c>
      <x:c r="H27" s="169" t="n">
        <x:v>7.406524201399999</x:v>
      </x:c>
      <x:c r="I27" s="203" t="n">
        <x:v>0.0099378102692067</x:v>
      </x:c>
      <x:c r="J27" s="166" t="n">
        <x:v>22</x:v>
      </x:c>
      <x:c r="K27" s="166" t="n">
        <x:v>2</x:v>
      </x:c>
      <x:c r="L27" s="169" t="n">
        <x:v>8.214513221189998</x:v>
      </x:c>
      <x:c r="M27" s="203" t="n">
        <x:v>0.010936811989022095</x:v>
      </x:c>
      <x:c r="N27" s="211"/>
      <x:c r="O27" s="211"/>
      <x:c r="P27" s="211"/>
      <x:c r="Q27" s="211"/>
      <x:c r="R27" s="211"/>
      <x:c r="S27" s="211"/>
      <x:c r="T27" s="211"/>
      <x:c r="U27" s="211"/>
      <x:c r="V27" s="211"/>
      <x:c r="W27" s="211"/>
    </x:row>
    <x:row r="28">
      <x:c r="A28" s="166" t="str">
        <x:v>SEFER DTVM</x:v>
      </x:c>
      <x:c r="B28" s="166" t="str">
        <x:v>Independente</x:v>
      </x:c>
      <x:c r="C28" s="166" t="n">
        <x:v>10</x:v>
      </x:c>
      <x:c r="D28" s="169" t="n">
        <x:v>12.006434949849998</x:v>
      </x:c>
      <x:c r="E28" s="203" t="n">
        <x:v>0.020450925843808403</x:v>
      </x:c>
      <x:c r="F28" s="166" t="n">
        <x:v>15</x:v>
      </x:c>
      <x:c r="G28" s="166" t="n">
        <x:v>-5</x:v>
      </x:c>
      <x:c r="H28" s="169" t="n">
        <x:v>10.659647079440003</x:v>
      </x:c>
      <x:c r="I28" s="203" t="n">
        <x:v>0.014302734633899429</x:v>
      </x:c>
      <x:c r="J28" s="166" t="n">
        <x:v>23</x:v>
      </x:c>
      <x:c r="K28" s="166" t="n">
        <x:v>-8</x:v>
      </x:c>
      <x:c r="L28" s="169" t="n">
        <x:v>7.977639073850002</x:v>
      </x:c>
      <x:c r="M28" s="203" t="n">
        <x:v>0.010621437487239727</x:v>
      </x:c>
      <x:c r="N28" s="211"/>
      <x:c r="O28" s="211"/>
      <x:c r="P28" s="211"/>
      <x:c r="Q28" s="211"/>
      <x:c r="R28" s="211"/>
      <x:c r="S28" s="211"/>
      <x:c r="T28" s="211"/>
      <x:c r="U28" s="211"/>
      <x:c r="V28" s="211"/>
      <x:c r="W28" s="211"/>
    </x:row>
    <x:row r="29">
      <x:c r="A29" s="166" t="str">
        <x:v>Banvox DTVM</x:v>
      </x:c>
      <x:c r="B29" s="166" t="str">
        <x:v>Independente</x:v>
      </x:c>
      <x:c r="C29" s="166" t="n">
        <x:v>15</x:v>
      </x:c>
      <x:c r="D29" s="169" t="n">
        <x:v>8.47767812101</x:v>
      </x:c>
      <x:c r="E29" s="203" t="n">
        <x:v>0.014440287004813077</x:v>
      </x:c>
      <x:c r="F29" s="166" t="n">
        <x:v>25</x:v>
      </x:c>
      <x:c r="G29" s="166" t="n">
        <x:v>-10</x:v>
      </x:c>
      <x:c r="H29" s="169" t="n">
        <x:v>7.3027082917</x:v>
      </x:c>
      <x:c r="I29" s="203" t="n">
        <x:v>0.009798513780669113</x:v>
      </x:c>
      <x:c r="J29" s="166" t="n">
        <x:v>24</x:v>
      </x:c>
      <x:c r="K29" s="166" t="n">
        <x:v>1</x:v>
      </x:c>
      <x:c r="L29" s="169" t="n">
        <x:v>6.222612812850003</x:v>
      </x:c>
      <x:c r="M29" s="203" t="n">
        <x:v>0.008284793582054948</x:v>
      </x:c>
      <x:c r="N29" s="211"/>
      <x:c r="O29" s="211"/>
      <x:c r="P29" s="211"/>
      <x:c r="Q29" s="211"/>
      <x:c r="R29" s="211"/>
      <x:c r="S29" s="211"/>
      <x:c r="T29" s="211"/>
      <x:c r="U29" s="211"/>
      <x:c r="V29" s="211"/>
      <x:c r="W29" s="211"/>
    </x:row>
    <x:row r="30">
      <x:c r="A30" s="166" t="str">
        <x:v>Banco Safra</x:v>
      </x:c>
      <x:c r="B30" s="166" t="str">
        <x:v>Ligada a banco</x:v>
      </x:c>
      <x:c r="C30" s="166" t="n">
        <x:v>28</x:v>
      </x:c>
      <x:c r="D30" s="169" t="n">
        <x:v>2.996405507010001</x:v>
      </x:c>
      <x:c r="E30" s="203" t="n">
        <x:v>0.0051038686402583005</x:v>
      </x:c>
      <x:c r="F30" s="166" t="n">
        <x:v>26</x:v>
      </x:c>
      <x:c r="G30" s="166" t="n">
        <x:v>2</x:v>
      </x:c>
      <x:c r="H30" s="169" t="n">
        <x:v>6.352383494720001</x:v>
      </x:c>
      <x:c r="I30" s="203" t="n">
        <x:v>0.008523401829408025</x:v>
      </x:c>
      <x:c r="J30" s="166" t="n">
        <x:v>25</x:v>
      </x:c>
      <x:c r="K30" s="166" t="n">
        <x:v>1</x:v>
      </x:c>
      <x:c r="L30" s="169" t="n">
        <x:v>5.984543117059999</x:v>
      </x:c>
      <x:c r="M30" s="203" t="n">
        <x:v>0.007967827325743809</x:v>
      </x:c>
      <x:c r="N30" s="211"/>
      <x:c r="O30" s="211"/>
      <x:c r="P30" s="211"/>
      <x:c r="Q30" s="211"/>
      <x:c r="R30" s="211"/>
      <x:c r="S30" s="211"/>
      <x:c r="T30" s="211"/>
      <x:c r="U30" s="211"/>
      <x:c r="V30" s="211"/>
      <x:c r="W30" s="211"/>
    </x:row>
    <x:row r="31">
      <x:c r="A31" s="166" t="str">
        <x:v>CATÁLISE DTVM</x:v>
      </x:c>
      <x:c r="B31" s="166" t="str">
        <x:v>Independente</x:v>
      </x:c>
      <x:c r="C31" s="166" t="n">
        <x:v>27</x:v>
      </x:c>
      <x:c r="D31" s="169" t="n">
        <x:v>3.3443167553400013</x:v>
      </x:c>
      <x:c r="E31" s="203" t="n">
        <x:v>0.005696476451781282</x:v>
      </x:c>
      <x:c r="F31" s="166" t="n">
        <x:v>27</x:v>
      </x:c>
      <x:c r="G31" s="166" t="n">
        <x:v>0</x:v>
      </x:c>
      <x:c r="H31" s="169" t="n">
        <x:v>6.216762418430001</x:v>
      </x:c>
      <x:c r="I31" s="203" t="n">
        <x:v>0.008341430301600035</x:v>
      </x:c>
      <x:c r="J31" s="166" t="n">
        <x:v>26</x:v>
      </x:c>
      <x:c r="K31" s="166" t="n">
        <x:v>1</x:v>
      </x:c>
      <x:c r="L31" s="169" t="n">
        <x:v>5.884727056969999</x:v>
      </x:c>
      <x:c r="M31" s="203" t="n">
        <x:v>0.007834932112930319</x:v>
      </x:c>
      <x:c r="N31" s="211"/>
      <x:c r="O31" s="211"/>
      <x:c r="P31" s="211"/>
      <x:c r="Q31" s="211"/>
      <x:c r="R31" s="211"/>
      <x:c r="S31" s="211"/>
      <x:c r="T31" s="211"/>
      <x:c r="U31" s="211"/>
      <x:c r="V31" s="211"/>
      <x:c r="W31" s="211"/>
    </x:row>
    <x:row r="32">
      <x:c r="A32" s="166" t="str">
        <x:v>Banco Finaxis</x:v>
      </x:c>
      <x:c r="B32" s="166" t="str">
        <x:v>Ligada a banco</x:v>
      </x:c>
      <x:c r="C32" s="166" t="n">
        <x:v>22</x:v>
      </x:c>
      <x:c r="D32" s="169" t="n">
        <x:v>4.59292366413</x:v>
      </x:c>
      <x:c r="E32" s="203" t="n">
        <x:v>0.007823266577775354</x:v>
      </x:c>
      <x:c r="F32" s="166" t="n">
        <x:v>28</x:v>
      </x:c>
      <x:c r="G32" s="166" t="n">
        <x:v>-6</x:v>
      </x:c>
      <x:c r="H32" s="169" t="n">
        <x:v>5.08687284393</x:v>
      </x:c>
      <x:c r="I32" s="203" t="n">
        <x:v>0.006825384729992608</x:v>
      </x:c>
      <x:c r="J32" s="166" t="n">
        <x:v>27</x:v>
      </x:c>
      <x:c r="K32" s="166" t="n">
        <x:v>1</x:v>
      </x:c>
      <x:c r="L32" s="169" t="n">
        <x:v>5.28098169804</x:v>
      </x:c>
      <x:c r="M32" s="203" t="n">
        <x:v>0.007031104874229313</x:v>
      </x:c>
      <x:c r="N32" s="211"/>
      <x:c r="O32" s="211"/>
      <x:c r="P32" s="211"/>
      <x:c r="Q32" s="211"/>
      <x:c r="R32" s="211"/>
      <x:c r="S32" s="211"/>
      <x:c r="T32" s="211"/>
      <x:c r="U32" s="211"/>
      <x:c r="V32" s="211"/>
      <x:c r="W32" s="211"/>
    </x:row>
    <x:row r="33">
      <x:c r="A33" s="166" t="str">
        <x:v>RJI Investimentos</x:v>
      </x:c>
      <x:c r="B33" s="166" t="str">
        <x:v>Independente</x:v>
      </x:c>
      <x:c r="C33" s="166" t="n">
        <x:v>20</x:v>
      </x:c>
      <x:c r="D33" s="169" t="n">
        <x:v>4.80360658764</x:v>
      </x:c>
      <x:c r="E33" s="203" t="n">
        <x:v>0.008182129209627085</x:v>
      </x:c>
      <x:c r="F33" s="166" t="n">
        <x:v>29</x:v>
      </x:c>
      <x:c r="G33" s="166" t="n">
        <x:v>-9</x:v>
      </x:c>
      <x:c r="H33" s="169" t="n">
        <x:v>5.054417862330001</x:v>
      </x:c>
      <x:c r="I33" s="203" t="n">
        <x:v>0.006781837792095555</x:v>
      </x:c>
      <x:c r="J33" s="166" t="n">
        <x:v>28</x:v>
      </x:c>
      <x:c r="K33" s="166" t="n">
        <x:v>1</x:v>
      </x:c>
      <x:c r="L33" s="169" t="n">
        <x:v>5.041522118980001</x:v>
      </x:c>
      <x:c r="M33" s="203" t="n">
        <x:v>0.006712288125795107</x:v>
      </x:c>
      <x:c r="N33" s="211"/>
      <x:c r="O33" s="211"/>
      <x:c r="P33" s="211"/>
      <x:c r="Q33" s="211"/>
      <x:c r="R33" s="211"/>
      <x:c r="S33" s="211"/>
      <x:c r="T33" s="211"/>
      <x:c r="U33" s="211"/>
      <x:c r="V33" s="211"/>
      <x:c r="W33" s="211"/>
    </x:row>
    <x:row r="34">
      <x:c r="A34" s="166" t="str">
        <x:v>Qore DTVM</x:v>
      </x:c>
      <x:c r="B34" s="166" t="str">
        <x:v>Independente</x:v>
      </x:c>
      <x:c r="C34" s="166"/>
      <x:c r="D34" s="169" t="n">
        <x:v>0</x:v>
      </x:c>
      <x:c r="E34" s="203" t="n">
        <x:v>0</x:v>
      </x:c>
      <x:c r="F34" s="166" t="n">
        <x:v>30</x:v>
      </x:c>
      <x:c r="G34" s="166"/>
      <x:c r="H34" s="169" t="n">
        <x:v>3.73302891223</x:v>
      </x:c>
      <x:c r="I34" s="203" t="n">
        <x:v>0.005008845181683526</x:v>
      </x:c>
      <x:c r="J34" s="166" t="n">
        <x:v>29</x:v>
      </x:c>
      <x:c r="K34" s="166" t="n">
        <x:v>1</x:v>
      </x:c>
      <x:c r="L34" s="169" t="n">
        <x:v>4.25268288071</x:v>
      </x:c>
      <x:c r="M34" s="203" t="n">
        <x:v>0.0056620266914027</x:v>
      </x:c>
      <x:c r="N34" s="211"/>
      <x:c r="O34" s="211"/>
      <x:c r="P34" s="211"/>
      <x:c r="Q34" s="211"/>
      <x:c r="R34" s="211"/>
      <x:c r="S34" s="211"/>
      <x:c r="T34" s="211"/>
      <x:c r="U34" s="211"/>
      <x:c r="V34" s="211"/>
      <x:c r="W34" s="211"/>
    </x:row>
    <x:row r="35">
      <x:c r="A35" s="167" t="str">
        <x:v>MONETAR DISTRIBUIDORA DE TITUL</x:v>
      </x:c>
      <x:c r="B35" s="167" t="str">
        <x:v>Independente</x:v>
      </x:c>
      <x:c r="C35" s="167" t="n">
        <x:v>33</x:v>
      </x:c>
      <x:c r="D35" s="170" t="n">
        <x:v>0.9809223823600001</x:v>
      </x:c>
      <x:c r="E35" s="204" t="n">
        <x:v>0.0016708349300994514</x:v>
      </x:c>
      <x:c r="F35" s="167" t="n">
        <x:v>33</x:v>
      </x:c>
      <x:c r="G35" s="167" t="n">
        <x:v>0</x:v>
      </x:c>
      <x:c r="H35" s="170" t="n">
        <x:v>2.302808814530001</x:v>
      </x:c>
      <x:c r="I35" s="204" t="n">
        <x:v>0.003089826815219236</x:v>
      </x:c>
      <x:c r="J35" s="167" t="n">
        <x:v>30</x:v>
      </x:c>
      <x:c r="K35" s="167" t="n">
        <x:v>3</x:v>
      </x:c>
      <x:c r="L35" s="170" t="n">
        <x:v>2.624852293420002</x:v>
      </x:c>
      <x:c r="M35" s="204" t="n">
        <x:v>0.003494731246890524</x:v>
      </x:c>
      <x:c r="N35" s="211"/>
      <x:c r="O35" s="211"/>
      <x:c r="P35" s="211"/>
      <x:c r="Q35" s="211"/>
      <x:c r="R35" s="211"/>
      <x:c r="S35" s="211"/>
      <x:c r="T35" s="211"/>
      <x:c r="U35" s="211"/>
      <x:c r="V35" s="211"/>
      <x:c r="W35" s="211"/>
    </x:row>
    <x:row r="36">
      <x:c r="A36" s="211"/>
      <x:c r="B36" s="211"/>
      <x:c r="C36" s="211"/>
      <x:c r="D36" s="211"/>
      <x:c r="E36" s="211"/>
      <x:c r="F36" s="211"/>
      <x:c r="G36" s="211"/>
      <x:c r="H36" s="211"/>
      <x:c r="I36" s="211"/>
      <x:c r="J36" s="211"/>
      <x:c r="K36" s="211"/>
      <x:c r="L36" s="211"/>
      <x:c r="M36" s="211"/>
      <x:c r="N36" s="211"/>
      <x:c r="O36" s="211"/>
      <x:c r="P36" s="211"/>
      <x:c r="Q36" s="211"/>
      <x:c r="R36" s="211"/>
      <x:c r="S36" s="211"/>
      <x:c r="T36" s="211"/>
      <x:c r="U36" s="211"/>
      <x:c r="V36" s="211"/>
      <x:c r="W36" s="211"/>
    </x:row>
    <x:row r="37" ht="28" customHeight="1">
      <x:c r="A37" s="211"/>
      <x:c r="B37" s="211"/>
      <x:c r="C37" s="211"/>
      <x:c r="D37" s="211"/>
      <x:c r="E37" s="211"/>
      <x:c r="F37" s="211"/>
      <x:c r="G37" s="211"/>
      <x:c r="H37" s="211"/>
      <x:c r="I37" s="211"/>
      <x:c r="J37" s="211"/>
      <x:c r="K37" s="211"/>
      <x:c r="L37" s="211"/>
      <x:c r="M37" s="211"/>
      <x:c r="N37" s="211"/>
      <x:c r="O37" s="20" t="str">
        <x:v>Pos dez/23</x:v>
      </x:c>
      <x:c r="P37" s="21" t="str">
        <x:v>Administrador / conglomerado</x:v>
      </x:c>
      <x:c r="Q37" s="21" t="str">
        <x:v>PL (R$ bi)</x:v>
      </x:c>
      <x:c r="R37" s="22" t="str">
        <x:v>Share</x:v>
      </x:c>
      <x:c r="S37" s="211"/>
      <x:c r="T37" s="211"/>
      <x:c r="U37" s="211"/>
      <x:c r="V37" s="211"/>
      <x:c r="W37" s="211"/>
    </x:row>
    <x:row r="38">
      <x:c r="A38" s="211"/>
      <x:c r="B38" s="211"/>
      <x:c r="C38" s="211"/>
      <x:c r="D38" s="211"/>
      <x:c r="E38" s="211"/>
      <x:c r="F38" s="211"/>
      <x:c r="G38" s="211"/>
      <x:c r="H38" s="211"/>
      <x:c r="I38" s="211"/>
      <x:c r="J38" s="211"/>
      <x:c r="K38" s="211"/>
      <x:c r="L38" s="211"/>
      <x:c r="M38" s="211"/>
      <x:c r="N38" s="211"/>
      <x:c r="O38" s="165" t="n">
        <x:v>1</x:v>
      </x:c>
      <x:c r="P38" s="165" t="str">
        <x:v>QI / Singulare</x:v>
      </x:c>
      <x:c r="Q38" s="168" t="n">
        <x:v>60.2709270465</x:v>
      </x:c>
      <x:c r="R38" s="202" t="n">
        <x:v>0.15002732161895013</x:v>
      </x:c>
      <x:c r="S38" s="211"/>
      <x:c r="T38" s="211"/>
      <x:c r="U38" s="211"/>
      <x:c r="V38" s="211"/>
      <x:c r="W38" s="211"/>
    </x:row>
    <x:row r="39">
      <x:c r="A39" s="211"/>
      <x:c r="B39" s="211"/>
      <x:c r="C39" s="211"/>
      <x:c r="D39" s="211"/>
      <x:c r="E39" s="211"/>
      <x:c r="F39" s="211"/>
      <x:c r="G39" s="211"/>
      <x:c r="H39" s="211"/>
      <x:c r="I39" s="211"/>
      <x:c r="J39" s="211"/>
      <x:c r="K39" s="211"/>
      <x:c r="L39" s="211"/>
      <x:c r="M39" s="211"/>
      <x:c r="N39" s="211"/>
      <x:c r="O39" s="166" t="n">
        <x:v>2</x:v>
      </x:c>
      <x:c r="P39" s="166" t="str">
        <x:v>Oliveira Trust</x:v>
      </x:c>
      <x:c r="Q39" s="169" t="n">
        <x:v>50.48412662431</x:v>
      </x:c>
      <x:c r="R39" s="203" t="n">
        <x:v>0.1256658669921187</x:v>
      </x:c>
      <x:c r="S39" s="211"/>
      <x:c r="T39" s="211"/>
      <x:c r="U39" s="211"/>
      <x:c r="V39" s="211"/>
      <x:c r="W39" s="211"/>
    </x:row>
    <x:row r="40">
      <x:c r="A40" s="211"/>
      <x:c r="B40" s="211"/>
      <x:c r="C40" s="211"/>
      <x:c r="D40" s="211"/>
      <x:c r="E40" s="211"/>
      <x:c r="F40" s="211"/>
      <x:c r="G40" s="211"/>
      <x:c r="H40" s="211"/>
      <x:c r="I40" s="211"/>
      <x:c r="J40" s="211"/>
      <x:c r="K40" s="211"/>
      <x:c r="L40" s="211"/>
      <x:c r="M40" s="211"/>
      <x:c r="N40" s="211"/>
      <x:c r="O40" s="166" t="n">
        <x:v>3</x:v>
      </x:c>
      <x:c r="P40" s="166" t="str">
        <x:v>BTG Pactual</x:v>
      </x:c>
      <x:c r="Q40" s="169" t="n">
        <x:v>49.09224753365</x:v>
      </x:c>
      <x:c r="R40" s="203" t="n">
        <x:v>0.1222011800821591</x:v>
      </x:c>
      <x:c r="S40" s="211"/>
      <x:c r="T40" s="211"/>
      <x:c r="U40" s="211"/>
      <x:c r="V40" s="211"/>
      <x:c r="W40" s="211"/>
    </x:row>
    <x:row r="41">
      <x:c r="A41" s="211"/>
      <x:c r="B41" s="211"/>
      <x:c r="C41" s="211"/>
      <x:c r="D41" s="211"/>
      <x:c r="E41" s="211"/>
      <x:c r="F41" s="211"/>
      <x:c r="G41" s="211"/>
      <x:c r="H41" s="211"/>
      <x:c r="I41" s="211"/>
      <x:c r="J41" s="211"/>
      <x:c r="K41" s="211"/>
      <x:c r="L41" s="211"/>
      <x:c r="M41" s="211"/>
      <x:c r="N41" s="211"/>
      <x:c r="O41" s="166" t="n">
        <x:v>4</x:v>
      </x:c>
      <x:c r="P41" s="166" t="str">
        <x:v>Banco do Brasil</x:v>
      </x:c>
      <x:c r="Q41" s="169" t="n">
        <x:v>37.8859918488</x:v>
      </x:c>
      <x:c r="R41" s="203" t="n">
        <x:v>0.0943063955125096</x:v>
      </x:c>
      <x:c r="S41" s="211"/>
      <x:c r="T41" s="211"/>
      <x:c r="U41" s="211"/>
      <x:c r="V41" s="211"/>
      <x:c r="W41" s="211"/>
    </x:row>
    <x:row r="42">
      <x:c r="A42" s="211"/>
      <x:c r="B42" s="211"/>
      <x:c r="C42" s="211"/>
      <x:c r="D42" s="211"/>
      <x:c r="E42" s="211"/>
      <x:c r="F42" s="211"/>
      <x:c r="G42" s="211"/>
      <x:c r="H42" s="211"/>
      <x:c r="I42" s="211"/>
      <x:c r="J42" s="211"/>
      <x:c r="K42" s="211"/>
      <x:c r="L42" s="211"/>
      <x:c r="M42" s="211"/>
      <x:c r="N42" s="211"/>
      <x:c r="O42" s="166" t="n">
        <x:v>5</x:v>
      </x:c>
      <x:c r="P42" s="166" t="str">
        <x:v>Bradesco</x:v>
      </x:c>
      <x:c r="Q42" s="169" t="n">
        <x:v>31.714804222490002</x:v>
      </x:c>
      <x:c r="R42" s="203" t="n">
        <x:v>0.07894498004815163</x:v>
      </x:c>
      <x:c r="S42" s="211"/>
      <x:c r="T42" s="211"/>
      <x:c r="U42" s="211"/>
      <x:c r="V42" s="211"/>
      <x:c r="W42" s="211"/>
    </x:row>
    <x:row r="43">
      <x:c r="A43" s="211"/>
      <x:c r="B43" s="211"/>
      <x:c r="C43" s="211"/>
      <x:c r="D43" s="211"/>
      <x:c r="E43" s="211"/>
      <x:c r="F43" s="211"/>
      <x:c r="G43" s="211"/>
      <x:c r="H43" s="211"/>
      <x:c r="I43" s="211"/>
      <x:c r="J43" s="211"/>
      <x:c r="K43" s="211"/>
      <x:c r="L43" s="211"/>
      <x:c r="M43" s="211"/>
      <x:c r="N43" s="211"/>
      <x:c r="O43" s="166" t="n">
        <x:v>6</x:v>
      </x:c>
      <x:c r="P43" s="166" t="str">
        <x:v>Banco Daycoval</x:v>
      </x:c>
      <x:c r="Q43" s="169" t="n">
        <x:v>19.58775832161</x:v>
      </x:c>
      <x:c r="R43" s="203" t="n">
        <x:v>0.0487581502644417</x:v>
      </x:c>
      <x:c r="S43" s="211"/>
      <x:c r="T43" s="211"/>
      <x:c r="U43" s="211"/>
      <x:c r="V43" s="211"/>
      <x:c r="W43" s="211"/>
    </x:row>
    <x:row r="44">
      <x:c r="A44" s="211"/>
      <x:c r="B44" s="211"/>
      <x:c r="C44" s="211"/>
      <x:c r="D44" s="211"/>
      <x:c r="E44" s="211"/>
      <x:c r="F44" s="211"/>
      <x:c r="G44" s="211"/>
      <x:c r="H44" s="211"/>
      <x:c r="I44" s="211"/>
      <x:c r="J44" s="211"/>
      <x:c r="K44" s="211"/>
      <x:c r="L44" s="211"/>
      <x:c r="M44" s="211"/>
      <x:c r="N44" s="211"/>
      <x:c r="O44" s="166" t="n">
        <x:v>7</x:v>
      </x:c>
      <x:c r="P44" s="166" t="str">
        <x:v>Banco Genial</x:v>
      </x:c>
      <x:c r="Q44" s="169" t="n">
        <x:v>19.05901498521</x:v>
      </x:c>
      <x:c r="R44" s="203" t="n">
        <x:v>0.04744199419266337</x:v>
      </x:c>
      <x:c r="S44" s="211"/>
      <x:c r="T44" s="211"/>
      <x:c r="U44" s="211"/>
      <x:c r="V44" s="211"/>
      <x:c r="W44" s="211"/>
    </x:row>
    <x:row r="45">
      <x:c r="A45" s="211"/>
      <x:c r="B45" s="211"/>
      <x:c r="C45" s="211"/>
      <x:c r="D45" s="211"/>
      <x:c r="E45" s="211"/>
      <x:c r="F45" s="211"/>
      <x:c r="G45" s="211"/>
      <x:c r="H45" s="211"/>
      <x:c r="I45" s="211"/>
      <x:c r="J45" s="211"/>
      <x:c r="K45" s="211"/>
      <x:c r="L45" s="211"/>
      <x:c r="M45" s="211"/>
      <x:c r="N45" s="211"/>
      <x:c r="O45" s="166" t="n">
        <x:v>8</x:v>
      </x:c>
      <x:c r="P45" s="166" t="str">
        <x:v>BRL TRUST DISTRIBUIDORA DE TITULOS E VALORES MOBILIARIOS S.A.</x:v>
      </x:c>
      <x:c r="Q45" s="169" t="n">
        <x:v>11.81026229908</x:v>
      </x:c>
      <x:c r="R45" s="203" t="n">
        <x:v>0.0293982871539576</x:v>
      </x:c>
      <x:c r="S45" s="211"/>
      <x:c r="T45" s="211"/>
      <x:c r="U45" s="211"/>
      <x:c r="V45" s="211"/>
      <x:c r="W45" s="211"/>
    </x:row>
    <x:row r="46">
      <x:c r="A46" s="211"/>
      <x:c r="B46" s="211"/>
      <x:c r="C46" s="211"/>
      <x:c r="D46" s="211"/>
      <x:c r="E46" s="211"/>
      <x:c r="F46" s="211"/>
      <x:c r="G46" s="211"/>
      <x:c r="H46" s="211"/>
      <x:c r="I46" s="211"/>
      <x:c r="J46" s="211"/>
      <x:c r="K46" s="211"/>
      <x:c r="L46" s="211"/>
      <x:c r="M46" s="211"/>
      <x:c r="N46" s="211"/>
      <x:c r="O46" s="166" t="n">
        <x:v>9</x:v>
      </x:c>
      <x:c r="P46" s="166" t="str">
        <x:v>MAF DISTRIBUIDORA DE TITULOS E VALORES MOBILIARIOS S.A.</x:v>
      </x:c>
      <x:c r="Q46" s="169" t="n">
        <x:v>11.50378297133</x:v>
      </x:c>
      <x:c r="R46" s="203" t="n">
        <x:v>0.028635394082171358</x:v>
      </x:c>
      <x:c r="S46" s="211"/>
      <x:c r="T46" s="211"/>
      <x:c r="U46" s="211"/>
      <x:c r="V46" s="211"/>
      <x:c r="W46" s="211"/>
    </x:row>
    <x:row r="47">
      <x:c r="A47" s="211"/>
      <x:c r="B47" s="211"/>
      <x:c r="C47" s="211"/>
      <x:c r="D47" s="211"/>
      <x:c r="E47" s="211"/>
      <x:c r="F47" s="211"/>
      <x:c r="G47" s="211"/>
      <x:c r="H47" s="211"/>
      <x:c r="I47" s="211"/>
      <x:c r="J47" s="211"/>
      <x:c r="K47" s="211"/>
      <x:c r="L47" s="211"/>
      <x:c r="M47" s="211"/>
      <x:c r="N47" s="211"/>
      <x:c r="O47" s="166" t="n">
        <x:v>10</x:v>
      </x:c>
      <x:c r="P47" s="166" t="str">
        <x:v>CBSF DISTRIBUIDORA DE TÍTULOS E VALORES MOBILIÁRIOS S.A.</x:v>
      </x:c>
      <x:c r="Q47" s="169" t="n">
        <x:v>11.17501292749</x:v>
      </x:c>
      <x:c r="R47" s="203" t="n">
        <x:v>0.027817014615935415</x:v>
      </x:c>
      <x:c r="S47" s="211"/>
      <x:c r="T47" s="211"/>
      <x:c r="U47" s="211"/>
      <x:c r="V47" s="211"/>
      <x:c r="W47" s="211"/>
    </x:row>
    <x:row r="48">
      <x:c r="A48" s="211"/>
      <x:c r="B48" s="211"/>
      <x:c r="C48" s="211"/>
      <x:c r="D48" s="211"/>
      <x:c r="E48" s="211"/>
      <x:c r="F48" s="211"/>
      <x:c r="G48" s="211"/>
      <x:c r="H48" s="211"/>
      <x:c r="I48" s="211"/>
      <x:c r="J48" s="211"/>
      <x:c r="K48" s="211"/>
      <x:c r="L48" s="211"/>
      <x:c r="M48" s="211"/>
      <x:c r="N48" s="211"/>
      <x:c r="O48" s="166" t="n">
        <x:v>11</x:v>
      </x:c>
      <x:c r="P48" s="166" t="str">
        <x:v>SEFER INVESTIMENTOS DISTRIBUIDORA DE TÍTULOS E VALORES MOBILIÁRIOS LTD</x:v>
      </x:c>
      <x:c r="Q48" s="169" t="n">
        <x:v>10.99721849175</x:v>
      </x:c>
      <x:c r="R48" s="203" t="n">
        <x:v>0.027374445963021795</x:v>
      </x:c>
      <x:c r="S48" s="211"/>
      <x:c r="T48" s="211"/>
      <x:c r="U48" s="211"/>
      <x:c r="V48" s="211"/>
      <x:c r="W48" s="211"/>
    </x:row>
    <x:row r="49">
      <x:c r="A49" s="211"/>
      <x:c r="B49" s="211"/>
      <x:c r="C49" s="211"/>
      <x:c r="D49" s="211"/>
      <x:c r="E49" s="211"/>
      <x:c r="F49" s="211"/>
      <x:c r="G49" s="211"/>
      <x:c r="H49" s="211"/>
      <x:c r="I49" s="211"/>
      <x:c r="J49" s="211"/>
      <x:c r="K49" s="211"/>
      <x:c r="L49" s="211"/>
      <x:c r="M49" s="211"/>
      <x:c r="N49" s="211"/>
      <x:c r="O49" s="166" t="n">
        <x:v>12</x:v>
      </x:c>
      <x:c r="P49" s="166" t="str">
        <x:v>FINAXIS CORRETORA DE TÍTULOS E VALORES MOBILIÁRIOS S.A.</x:v>
      </x:c>
      <x:c r="Q49" s="169" t="n">
        <x:v>9.70483205467</x:v>
      </x:c>
      <x:c r="R49" s="203" t="n">
        <x:v>0.02415741770158194</x:v>
      </x:c>
      <x:c r="S49" s="211"/>
      <x:c r="T49" s="211"/>
      <x:c r="U49" s="211"/>
      <x:c r="V49" s="211"/>
      <x:c r="W49" s="211"/>
    </x:row>
    <x:row r="50">
      <x:c r="A50" s="211"/>
      <x:c r="B50" s="211"/>
      <x:c r="C50" s="211"/>
      <x:c r="D50" s="211"/>
      <x:c r="E50" s="211"/>
      <x:c r="F50" s="211"/>
      <x:c r="G50" s="211"/>
      <x:c r="H50" s="211"/>
      <x:c r="I50" s="211"/>
      <x:c r="J50" s="211"/>
      <x:c r="K50" s="211"/>
      <x:c r="L50" s="211"/>
      <x:c r="M50" s="211"/>
      <x:c r="N50" s="211"/>
      <x:c r="O50" s="166" t="n">
        <x:v>13</x:v>
      </x:c>
      <x:c r="P50" s="166" t="str">
        <x:v>HEMERA DISTRIBUIDORA DE TITULOS E VALORES MOBILIARIOS LTDA</x:v>
      </x:c>
      <x:c r="Q50" s="169" t="n">
        <x:v>9.30728418122</x:v>
      </x:c>
      <x:c r="R50" s="203" t="n">
        <x:v>0.02316783540059962</x:v>
      </x:c>
      <x:c r="S50" s="211"/>
      <x:c r="T50" s="211"/>
      <x:c r="U50" s="211"/>
      <x:c r="V50" s="211"/>
      <x:c r="W50" s="211"/>
    </x:row>
    <x:row r="51">
      <x:c r="A51" s="211"/>
      <x:c r="B51" s="211"/>
      <x:c r="C51" s="211"/>
      <x:c r="D51" s="211"/>
      <x:c r="E51" s="211"/>
      <x:c r="F51" s="211"/>
      <x:c r="G51" s="211"/>
      <x:c r="H51" s="211"/>
      <x:c r="I51" s="211"/>
      <x:c r="J51" s="211"/>
      <x:c r="K51" s="211"/>
      <x:c r="L51" s="211"/>
      <x:c r="M51" s="211"/>
      <x:c r="N51" s="211"/>
      <x:c r="O51" s="166" t="n">
        <x:v>14</x:v>
      </x:c>
      <x:c r="P51" s="166" t="str">
        <x:v>PLANNER CORRETORA DE VALORES S.A.</x:v>
      </x:c>
      <x:c r="Q51" s="169" t="n">
        <x:v>6.995351976979999</x:v>
      </x:c>
      <x:c r="R51" s="203" t="n">
        <x:v>0.017412938083372027</x:v>
      </x:c>
      <x:c r="S51" s="211"/>
      <x:c r="T51" s="211"/>
      <x:c r="U51" s="211"/>
      <x:c r="V51" s="211"/>
      <x:c r="W51" s="211"/>
    </x:row>
    <x:row r="52">
      <x:c r="A52" s="211"/>
      <x:c r="B52" s="211"/>
      <x:c r="C52" s="211"/>
      <x:c r="D52" s="211"/>
      <x:c r="E52" s="211"/>
      <x:c r="F52" s="211"/>
      <x:c r="G52" s="211"/>
      <x:c r="H52" s="211"/>
      <x:c r="I52" s="211"/>
      <x:c r="J52" s="211"/>
      <x:c r="K52" s="211"/>
      <x:c r="L52" s="211"/>
      <x:c r="M52" s="211"/>
      <x:c r="N52" s="211"/>
      <x:c r="O52" s="166" t="n">
        <x:v>15</x:v>
      </x:c>
      <x:c r="P52" s="166" t="str">
        <x:v>VORTX DISTRIBUIDORA DE TITULOS E VALORES MOBILIARIOS LTDA.</x:v>
      </x:c>
      <x:c r="Q52" s="169" t="n">
        <x:v>6.91823061042</x:v>
      </x:c>
      <x:c r="R52" s="203" t="n">
        <x:v>0.017220966387704175</x:v>
      </x:c>
      <x:c r="S52" s="211"/>
      <x:c r="T52" s="211"/>
      <x:c r="U52" s="211"/>
      <x:c r="V52" s="211"/>
      <x:c r="W52" s="211"/>
    </x:row>
    <x:row r="53">
      <x:c r="A53" s="211"/>
      <x:c r="B53" s="211"/>
      <x:c r="C53" s="211"/>
      <x:c r="D53" s="211"/>
      <x:c r="E53" s="211"/>
      <x:c r="F53" s="211"/>
      <x:c r="G53" s="211"/>
      <x:c r="H53" s="211"/>
      <x:c r="I53" s="211"/>
      <x:c r="J53" s="211"/>
      <x:c r="K53" s="211"/>
      <x:c r="L53" s="211"/>
      <x:c r="M53" s="211"/>
      <x:c r="N53" s="211"/>
      <x:c r="O53" s="166" t="n">
        <x:v>16</x:v>
      </x:c>
      <x:c r="P53" s="166" t="str">
        <x:v>ID CORRETORA DE TITULOS E VALORES MOBILIARIOS S.A.</x:v>
      </x:c>
      <x:c r="Q53" s="169" t="n">
        <x:v>5.51260008533</x:v>
      </x:c>
      <x:c r="R53" s="203" t="n">
        <x:v>0.01372204919496892</x:v>
      </x:c>
      <x:c r="S53" s="211"/>
      <x:c r="T53" s="211"/>
      <x:c r="U53" s="211"/>
      <x:c r="V53" s="211"/>
      <x:c r="W53" s="211"/>
    </x:row>
    <x:row r="54">
      <x:c r="A54" s="211"/>
      <x:c r="B54" s="211"/>
      <x:c r="C54" s="211"/>
      <x:c r="D54" s="211"/>
      <x:c r="E54" s="211"/>
      <x:c r="F54" s="211"/>
      <x:c r="G54" s="211"/>
      <x:c r="H54" s="211"/>
      <x:c r="I54" s="211"/>
      <x:c r="J54" s="211"/>
      <x:c r="K54" s="211"/>
      <x:c r="L54" s="211"/>
      <x:c r="M54" s="211"/>
      <x:c r="N54" s="211"/>
      <x:c r="O54" s="166" t="n">
        <x:v>17</x:v>
      </x:c>
      <x:c r="P54" s="166" t="str">
        <x:v>FIDD DISTRIBUIDORA DE TITULOS E VALORES MOBILIARIOS LTDA.</x:v>
      </x:c>
      <x:c r="Q54" s="169" t="n">
        <x:v>5.393046356809999</x:v>
      </x:c>
      <x:c r="R54" s="203" t="n">
        <x:v>0.013424454209154672</x:v>
      </x:c>
      <x:c r="S54" s="211"/>
      <x:c r="T54" s="211"/>
      <x:c r="U54" s="211"/>
      <x:c r="V54" s="211"/>
      <x:c r="W54" s="211"/>
    </x:row>
    <x:row r="55">
      <x:c r="A55" s="211"/>
      <x:c r="B55" s="211"/>
      <x:c r="C55" s="211"/>
      <x:c r="D55" s="211"/>
      <x:c r="E55" s="211"/>
      <x:c r="F55" s="211"/>
      <x:c r="G55" s="211"/>
      <x:c r="H55" s="211"/>
      <x:c r="I55" s="211"/>
      <x:c r="J55" s="211"/>
      <x:c r="K55" s="211"/>
      <x:c r="L55" s="211"/>
      <x:c r="M55" s="211"/>
      <x:c r="N55" s="211"/>
      <x:c r="O55" s="166" t="n">
        <x:v>18</x:v>
      </x:c>
      <x:c r="P55" s="166" t="str">
        <x:v>RJI CORRETORA DE TÍTULOS E VALORES MOBILIÁRIOS LTDA.</x:v>
      </x:c>
      <x:c r="Q55" s="169" t="n">
        <x:v>4.76091236752</x:v>
      </x:c>
      <x:c r="R55" s="203" t="n">
        <x:v>0.011850936528825776</x:v>
      </x:c>
      <x:c r="S55" s="211"/>
      <x:c r="T55" s="211"/>
      <x:c r="U55" s="211"/>
      <x:c r="V55" s="211"/>
      <x:c r="W55" s="211"/>
    </x:row>
    <x:row r="56">
      <x:c r="A56" s="211"/>
      <x:c r="B56" s="211"/>
      <x:c r="C56" s="211"/>
      <x:c r="D56" s="211"/>
      <x:c r="E56" s="211"/>
      <x:c r="F56" s="211"/>
      <x:c r="G56" s="211"/>
      <x:c r="H56" s="211"/>
      <x:c r="I56" s="211"/>
      <x:c r="J56" s="211"/>
      <x:c r="K56" s="211"/>
      <x:c r="L56" s="211"/>
      <x:c r="M56" s="211"/>
      <x:c r="N56" s="211"/>
      <x:c r="O56" s="166" t="n">
        <x:v>19</x:v>
      </x:c>
      <x:c r="P56" s="166" t="str">
        <x:v>BANCO FINAXIS</x:v>
      </x:c>
      <x:c r="Q56" s="169" t="n">
        <x:v>4.18860757377</x:v>
      </x:c>
      <x:c r="R56" s="203" t="n">
        <x:v>0.010426346605233682</x:v>
      </x:c>
      <x:c r="S56" s="211"/>
      <x:c r="T56" s="211"/>
      <x:c r="U56" s="211"/>
      <x:c r="V56" s="211"/>
      <x:c r="W56" s="211"/>
    </x:row>
    <x:row r="57">
      <x:c r="A57" s="211"/>
      <x:c r="B57" s="211"/>
      <x:c r="C57" s="211"/>
      <x:c r="D57" s="211"/>
      <x:c r="E57" s="211"/>
      <x:c r="F57" s="211"/>
      <x:c r="G57" s="211"/>
      <x:c r="H57" s="211"/>
      <x:c r="I57" s="211"/>
      <x:c r="J57" s="211"/>
      <x:c r="K57" s="211"/>
      <x:c r="L57" s="211"/>
      <x:c r="M57" s="211"/>
      <x:c r="N57" s="211"/>
      <x:c r="O57" s="166" t="n">
        <x:v>20</x:v>
      </x:c>
      <x:c r="P57" s="166" t="str">
        <x:v>BNY Mellon</x:v>
      </x:c>
      <x:c r="Q57" s="169" t="n">
        <x:v>3.93158500749</x:v>
      </x:c>
      <x:c r="R57" s="203" t="n">
        <x:v>0.00978656206724462</x:v>
      </x:c>
      <x:c r="S57" s="211"/>
      <x:c r="T57" s="211"/>
      <x:c r="U57" s="211"/>
      <x:c r="V57" s="211"/>
      <x:c r="W57" s="211"/>
    </x:row>
    <x:row r="58">
      <x:c r="A58" s="211"/>
      <x:c r="B58" s="211"/>
      <x:c r="C58" s="211"/>
      <x:c r="D58" s="211"/>
      <x:c r="E58" s="211"/>
      <x:c r="F58" s="211"/>
      <x:c r="G58" s="211"/>
      <x:c r="H58" s="211"/>
      <x:c r="I58" s="211"/>
      <x:c r="J58" s="211"/>
      <x:c r="K58" s="211"/>
      <x:c r="L58" s="211"/>
      <x:c r="M58" s="211"/>
      <x:c r="N58" s="211"/>
      <x:c r="O58" s="166" t="n">
        <x:v>21</x:v>
      </x:c>
      <x:c r="P58" s="166" t="str">
        <x:v>LIMINE TRUST DISTRIBUIDORA DE TITULOS E VALORES MOBILIARIOS LTDA.</x:v>
      </x:c>
      <x:c r="Q58" s="169" t="n">
        <x:v>3.90403776979</x:v>
      </x:c>
      <x:c r="R58" s="203" t="n">
        <x:v>0.00971799105809218</x:v>
      </x:c>
      <x:c r="S58" s="211"/>
      <x:c r="T58" s="211"/>
      <x:c r="U58" s="211"/>
      <x:c r="V58" s="211"/>
      <x:c r="W58" s="211"/>
    </x:row>
    <x:row r="59">
      <x:c r="A59" s="211"/>
      <x:c r="B59" s="211"/>
      <x:c r="C59" s="211"/>
      <x:c r="D59" s="211"/>
      <x:c r="E59" s="211"/>
      <x:c r="F59" s="211"/>
      <x:c r="G59" s="211"/>
      <x:c r="H59" s="211"/>
      <x:c r="I59" s="211"/>
      <x:c r="J59" s="211"/>
      <x:c r="K59" s="211"/>
      <x:c r="L59" s="211"/>
      <x:c r="M59" s="211"/>
      <x:c r="N59" s="211"/>
      <x:c r="O59" s="166" t="n">
        <x:v>22</x:v>
      </x:c>
      <x:c r="P59" s="166" t="str">
        <x:v>TRUSTEE DISTRIBUIDORA DE TITULOS E VALORES MOBILIARIOS LTDA.</x:v>
      </x:c>
      <x:c r="Q59" s="169" t="n">
        <x:v>3.42867436081</x:v>
      </x:c>
      <x:c r="R59" s="203" t="n">
        <x:v>0.008534709125330463</x:v>
      </x:c>
      <x:c r="S59" s="211"/>
      <x:c r="T59" s="211"/>
      <x:c r="U59" s="211"/>
      <x:c r="V59" s="211"/>
      <x:c r="W59" s="211"/>
    </x:row>
    <x:row r="60">
      <x:c r="A60" s="211"/>
      <x:c r="B60" s="211"/>
      <x:c r="C60" s="211"/>
      <x:c r="D60" s="211"/>
      <x:c r="E60" s="211"/>
      <x:c r="F60" s="211"/>
      <x:c r="G60" s="211"/>
      <x:c r="H60" s="211"/>
      <x:c r="I60" s="211"/>
      <x:c r="J60" s="211"/>
      <x:c r="K60" s="211"/>
      <x:c r="L60" s="211"/>
      <x:c r="M60" s="211"/>
      <x:c r="N60" s="211"/>
      <x:c r="O60" s="166" t="n">
        <x:v>23</x:v>
      </x:c>
      <x:c r="P60" s="166" t="str">
        <x:v>XP Inc.</x:v>
      </x:c>
      <x:c r="Q60" s="169" t="n">
        <x:v>3.30528108873</x:v>
      </x:c>
      <x:c r="R60" s="203" t="n">
        <x:v>0.008227556688440316</x:v>
      </x:c>
      <x:c r="S60" s="211"/>
      <x:c r="T60" s="211"/>
      <x:c r="U60" s="211"/>
      <x:c r="V60" s="211"/>
      <x:c r="W60" s="211"/>
    </x:row>
    <x:row r="61">
      <x:c r="A61" s="211"/>
      <x:c r="B61" s="211"/>
      <x:c r="C61" s="211"/>
      <x:c r="D61" s="211"/>
      <x:c r="E61" s="211"/>
      <x:c r="F61" s="211"/>
      <x:c r="G61" s="211"/>
      <x:c r="H61" s="211"/>
      <x:c r="I61" s="211"/>
      <x:c r="J61" s="211"/>
      <x:c r="K61" s="211"/>
      <x:c r="L61" s="211"/>
      <x:c r="M61" s="211"/>
      <x:c r="N61" s="211"/>
      <x:c r="O61" s="166" t="n">
        <x:v>24</x:v>
      </x:c>
      <x:c r="P61" s="166" t="str">
        <x:v>S3 CACEIS BRASIL DISTRIBUIDORA DE TITULOS E VALORES MOBILIARIOS S.A</x:v>
      </x:c>
      <x:c r="Q61" s="169" t="n">
        <x:v>3.1897325318600003</x:v>
      </x:c>
      <x:c r="R61" s="203" t="n">
        <x:v>0.007939931437699332</x:v>
      </x:c>
      <x:c r="S61" s="211"/>
      <x:c r="T61" s="211"/>
      <x:c r="U61" s="211"/>
      <x:c r="V61" s="211"/>
      <x:c r="W61" s="211"/>
    </x:row>
    <x:row r="62">
      <x:c r="A62" s="211"/>
      <x:c r="B62" s="211"/>
      <x:c r="C62" s="211"/>
      <x:c r="D62" s="211"/>
      <x:c r="E62" s="211"/>
      <x:c r="F62" s="211"/>
      <x:c r="G62" s="211"/>
      <x:c r="H62" s="211"/>
      <x:c r="I62" s="211"/>
      <x:c r="J62" s="211"/>
      <x:c r="K62" s="211"/>
      <x:c r="L62" s="211"/>
      <x:c r="M62" s="211"/>
      <x:c r="N62" s="211"/>
      <x:c r="O62" s="166" t="n">
        <x:v>25</x:v>
      </x:c>
      <x:c r="P62" s="166" t="str">
        <x:v>OSLO CAPITAL DISTRIBUIDORA DE TITULOS E VALORES MOBILIARIOS S.A.</x:v>
      </x:c>
      <x:c r="Q62" s="169" t="n">
        <x:v>2.9524515342999997</x:v>
      </x:c>
      <x:c r="R62" s="203" t="n">
        <x:v>0.007349287917191766</x:v>
      </x:c>
      <x:c r="S62" s="211"/>
      <x:c r="T62" s="211"/>
      <x:c r="U62" s="211"/>
      <x:c r="V62" s="211"/>
      <x:c r="W62" s="211"/>
    </x:row>
    <x:row r="63">
      <x:c r="A63" s="211"/>
      <x:c r="B63" s="211"/>
      <x:c r="C63" s="211"/>
      <x:c r="D63" s="211"/>
      <x:c r="E63" s="211"/>
      <x:c r="F63" s="211"/>
      <x:c r="G63" s="211"/>
      <x:c r="H63" s="211"/>
      <x:c r="I63" s="211"/>
      <x:c r="J63" s="211"/>
      <x:c r="K63" s="211"/>
      <x:c r="L63" s="211"/>
      <x:c r="M63" s="211"/>
      <x:c r="N63" s="211"/>
      <x:c r="O63" s="167"/>
      <x:c r="P63" s="167"/>
      <x:c r="Q63" s="170"/>
      <x:c r="R63" s="204"/>
      <x:c r="S63" s="211"/>
      <x:c r="T63" s="211"/>
      <x:c r="U63" s="211"/>
      <x:c r="V63" s="211"/>
      <x:c r="W63" s="211"/>
    </x:row>
    <x:row r="64">
      <x:c r="A64" s="211"/>
      <x:c r="B64" s="211"/>
      <x:c r="C64" s="211"/>
      <x:c r="D64" s="211"/>
      <x:c r="E64" s="211"/>
      <x:c r="F64" s="211"/>
      <x:c r="G64" s="211"/>
      <x:c r="H64" s="211"/>
      <x:c r="I64" s="211"/>
      <x:c r="J64" s="211"/>
      <x:c r="K64" s="211"/>
      <x:c r="L64" s="211"/>
      <x:c r="M64" s="211"/>
      <x:c r="N64" s="211"/>
      <x:c r="O64" s="211"/>
      <x:c r="P64" s="211"/>
      <x:c r="Q64" s="211"/>
      <x:c r="R64" s="211"/>
      <x:c r="S64" s="211"/>
      <x:c r="T64" s="211"/>
      <x:c r="U64" s="211"/>
      <x:c r="V64" s="211"/>
      <x:c r="W64" s="211"/>
    </x:row>
    <x:row r="65">
      <x:c r="A65" s="211"/>
      <x:c r="B65" s="211"/>
      <x:c r="C65" s="211"/>
      <x:c r="D65" s="211"/>
      <x:c r="E65" s="211"/>
      <x:c r="F65" s="211"/>
      <x:c r="G65" s="211"/>
      <x:c r="H65" s="211"/>
      <x:c r="I65" s="211"/>
      <x:c r="J65" s="211"/>
      <x:c r="K65" s="211"/>
      <x:c r="L65" s="211"/>
      <x:c r="M65" s="211"/>
      <x:c r="N65" s="211"/>
      <x:c r="O65" s="52" t="str">
        <x:v>Dez/23 é uma tabela separada do Informe Mensal CVM. O universo é maior e os nomes seguem a razão social histórica; não foi calculado delta direto contra a ANBIMA para evitar falsa comparabilidade.</x:v>
      </x:c>
      <x:c r="P65" s="52" t="str">
        <x:v>Dez/23 é uma tabela separada do Informe Mensal CVM. O universo é maior e os nomes seguem a razão social histórica; não foi calculado delta direto contra a ANBIMA para evitar falsa comparabilidade.</x:v>
      </x:c>
      <x:c r="Q65" s="52" t="str">
        <x:v>Dez/23 é uma tabela separada do Informe Mensal CVM. O universo é maior e os nomes seguem a razão social histórica; não foi calculado delta direto contra a ANBIMA para evitar falsa comparabilidade.</x:v>
      </x:c>
      <x:c r="R65" s="52" t="str">
        <x:v>Dez/23 é uma tabela separada do Informe Mensal CVM. O universo é maior e os nomes seguem a razão social histórica; não foi calculado delta direto contra a ANBIMA para evitar falsa comparabilidade.</x:v>
      </x:c>
      <x:c r="S65" s="52" t="str">
        <x:v>Dez/23 é uma tabela separada do Informe Mensal CVM. O universo é maior e os nomes seguem a razão social histórica; não foi calculado delta direto contra a ANBIMA para evitar falsa comparabilidade.</x:v>
      </x:c>
      <x:c r="T65" s="52" t="str">
        <x:v>Dez/23 é uma tabela separada do Informe Mensal CVM. O universo é maior e os nomes seguem a razão social histórica; não foi calculado delta direto contra a ANBIMA para evitar falsa comparabilidade.</x:v>
      </x:c>
      <x:c r="U65" s="52" t="str">
        <x:v>Dez/23 é uma tabela separada do Informe Mensal CVM. O universo é maior e os nomes seguem a razão social histórica; não foi calculado delta direto contra a ANBIMA para evitar falsa comparabilidade.</x:v>
      </x:c>
      <x:c r="V65" s="52" t="str">
        <x:v>Dez/23 é uma tabela separada do Informe Mensal CVM. O universo é maior e os nomes seguem a razão social histórica; não foi calculado delta direto contra a ANBIMA para evitar falsa comparabilidade.</x:v>
      </x:c>
      <x:c r="W65" s="52" t="str">
        <x:v>Dez/23 é uma tabela separada do Informe Mensal CVM. O universo é maior e os nomes seguem a razão social histórica; não foi calculado delta direto contra a ANBIMA para evitar falsa comparabilidade.</x:v>
      </x:c>
    </x:row>
    <x:row r="66">
      <x:c r="A66" s="211"/>
      <x:c r="B66" s="211"/>
      <x:c r="C66" s="211"/>
      <x:c r="D66" s="211"/>
      <x:c r="E66" s="211"/>
      <x:c r="F66" s="211"/>
      <x:c r="G66" s="211"/>
      <x:c r="H66" s="211"/>
      <x:c r="I66" s="211"/>
      <x:c r="J66" s="211"/>
      <x:c r="K66" s="211"/>
      <x:c r="L66" s="211"/>
      <x:c r="M66" s="211"/>
      <x:c r="N66" s="211"/>
      <x:c r="O66" s="52" t="str">
        <x:v>Dez/23 é uma tabela separada do Informe Mensal CVM. O universo é maior e os nomes seguem a razão social histórica; não foi calculado delta direto contra a ANBIMA para evitar falsa comparabilidade.</x:v>
      </x:c>
      <x:c r="P66" s="52" t="str">
        <x:v>Dez/23 é uma tabela separada do Informe Mensal CVM. O universo é maior e os nomes seguem a razão social histórica; não foi calculado delta direto contra a ANBIMA para evitar falsa comparabilidade.</x:v>
      </x:c>
      <x:c r="Q66" s="52" t="str">
        <x:v>Dez/23 é uma tabela separada do Informe Mensal CVM. O universo é maior e os nomes seguem a razão social histórica; não foi calculado delta direto contra a ANBIMA para evitar falsa comparabilidade.</x:v>
      </x:c>
      <x:c r="R66" s="52" t="str">
        <x:v>Dez/23 é uma tabela separada do Informe Mensal CVM. O universo é maior e os nomes seguem a razão social histórica; não foi calculado delta direto contra a ANBIMA para evitar falsa comparabilidade.</x:v>
      </x:c>
      <x:c r="S66" s="52" t="str">
        <x:v>Dez/23 é uma tabela separada do Informe Mensal CVM. O universo é maior e os nomes seguem a razão social histórica; não foi calculado delta direto contra a ANBIMA para evitar falsa comparabilidade.</x:v>
      </x:c>
      <x:c r="T66" s="52" t="str">
        <x:v>Dez/23 é uma tabela separada do Informe Mensal CVM. O universo é maior e os nomes seguem a razão social histórica; não foi calculado delta direto contra a ANBIMA para evitar falsa comparabilidade.</x:v>
      </x:c>
      <x:c r="U66" s="52" t="str">
        <x:v>Dez/23 é uma tabela separada do Informe Mensal CVM. O universo é maior e os nomes seguem a razão social histórica; não foi calculado delta direto contra a ANBIMA para evitar falsa comparabilidade.</x:v>
      </x:c>
      <x:c r="V66" s="52" t="str">
        <x:v>Dez/23 é uma tabela separada do Informe Mensal CVM. O universo é maior e os nomes seguem a razão social histórica; não foi calculado delta direto contra a ANBIMA para evitar falsa comparabilidade.</x:v>
      </x:c>
      <x:c r="W66" s="52" t="str">
        <x:v>Dez/23 é uma tabela separada do Informe Mensal CVM. O universo é maior e os nomes seguem a razão social histórica; não foi calculado delta direto contra a ANBIMA para evitar falsa comparabilidade.</x:v>
      </x:c>
    </x:row>
    <x:row r="67">
      <x:c r="A67" s="211"/>
      <x:c r="B67" s="211"/>
      <x:c r="C67" s="211"/>
      <x:c r="D67" s="211"/>
      <x:c r="E67" s="211"/>
      <x:c r="F67" s="211"/>
      <x:c r="G67" s="211"/>
      <x:c r="H67" s="211"/>
      <x:c r="I67" s="211"/>
      <x:c r="J67" s="211"/>
      <x:c r="K67" s="211"/>
      <x:c r="L67" s="211"/>
      <x:c r="M67" s="211"/>
      <x:c r="N67" s="211"/>
      <x:c r="O67" s="52" t="str">
        <x:v>Dez/23 é uma tabela separada do Informe Mensal CVM. O universo é maior e os nomes seguem a razão social histórica; não foi calculado delta direto contra a ANBIMA para evitar falsa comparabilidade.</x:v>
      </x:c>
      <x:c r="P67" s="52" t="str">
        <x:v>Dez/23 é uma tabela separada do Informe Mensal CVM. O universo é maior e os nomes seguem a razão social histórica; não foi calculado delta direto contra a ANBIMA para evitar falsa comparabilidade.</x:v>
      </x:c>
      <x:c r="Q67" s="52" t="str">
        <x:v>Dez/23 é uma tabela separada do Informe Mensal CVM. O universo é maior e os nomes seguem a razão social histórica; não foi calculado delta direto contra a ANBIMA para evitar falsa comparabilidade.</x:v>
      </x:c>
      <x:c r="R67" s="52" t="str">
        <x:v>Dez/23 é uma tabela separada do Informe Mensal CVM. O universo é maior e os nomes seguem a razão social histórica; não foi calculado delta direto contra a ANBIMA para evitar falsa comparabilidade.</x:v>
      </x:c>
      <x:c r="S67" s="52" t="str">
        <x:v>Dez/23 é uma tabela separada do Informe Mensal CVM. O universo é maior e os nomes seguem a razão social histórica; não foi calculado delta direto contra a ANBIMA para evitar falsa comparabilidade.</x:v>
      </x:c>
      <x:c r="T67" s="52" t="str">
        <x:v>Dez/23 é uma tabela separada do Informe Mensal CVM. O universo é maior e os nomes seguem a razão social histórica; não foi calculado delta direto contra a ANBIMA para evitar falsa comparabilidade.</x:v>
      </x:c>
      <x:c r="U67" s="52" t="str">
        <x:v>Dez/23 é uma tabela separada do Informe Mensal CVM. O universo é maior e os nomes seguem a razão social histórica; não foi calculado delta direto contra a ANBIMA para evitar falsa comparabilidade.</x:v>
      </x:c>
      <x:c r="V67" s="52" t="str">
        <x:v>Dez/23 é uma tabela separada do Informe Mensal CVM. O universo é maior e os nomes seguem a razão social histórica; não foi calculado delta direto contra a ANBIMA para evitar falsa comparabilidade.</x:v>
      </x:c>
      <x:c r="W67" s="52" t="str">
        <x:v>Dez/23 é uma tabela separada do Informe Mensal CVM. O universo é maior e os nomes seguem a razão social histórica; não foi calculado delta direto contra a ANBIMA para evitar falsa comparabilidade.</x:v>
      </x:c>
    </x:row>
    <x:row r="68">
      <x:c r="A68" s="211"/>
      <x:c r="B68" s="211"/>
      <x:c r="C68" s="211"/>
      <x:c r="D68" s="211"/>
      <x:c r="E68" s="211"/>
      <x:c r="F68" s="211"/>
      <x:c r="G68" s="211"/>
      <x:c r="H68" s="211"/>
      <x:c r="I68" s="211"/>
      <x:c r="J68" s="211"/>
      <x:c r="K68" s="211"/>
      <x:c r="L68" s="211"/>
      <x:c r="M68" s="211"/>
      <x:c r="N68" s="211"/>
      <x:c r="O68" s="52" t="str">
        <x:v>Dez/23 é uma tabela separada do Informe Mensal CVM. O universo é maior e os nomes seguem a razão social histórica; não foi calculado delta direto contra a ANBIMA para evitar falsa comparabilidade.</x:v>
      </x:c>
      <x:c r="P68" s="52" t="str">
        <x:v>Dez/23 é uma tabela separada do Informe Mensal CVM. O universo é maior e os nomes seguem a razão social histórica; não foi calculado delta direto contra a ANBIMA para evitar falsa comparabilidade.</x:v>
      </x:c>
      <x:c r="Q68" s="52" t="str">
        <x:v>Dez/23 é uma tabela separada do Informe Mensal CVM. O universo é maior e os nomes seguem a razão social histórica; não foi calculado delta direto contra a ANBIMA para evitar falsa comparabilidade.</x:v>
      </x:c>
      <x:c r="R68" s="52" t="str">
        <x:v>Dez/23 é uma tabela separada do Informe Mensal CVM. O universo é maior e os nomes seguem a razão social histórica; não foi calculado delta direto contra a ANBIMA para evitar falsa comparabilidade.</x:v>
      </x:c>
      <x:c r="S68" s="52" t="str">
        <x:v>Dez/23 é uma tabela separada do Informe Mensal CVM. O universo é maior e os nomes seguem a razão social histórica; não foi calculado delta direto contra a ANBIMA para evitar falsa comparabilidade.</x:v>
      </x:c>
      <x:c r="T68" s="52" t="str">
        <x:v>Dez/23 é uma tabela separada do Informe Mensal CVM. O universo é maior e os nomes seguem a razão social histórica; não foi calculado delta direto contra a ANBIMA para evitar falsa comparabilidade.</x:v>
      </x:c>
      <x:c r="U68" s="52" t="str">
        <x:v>Dez/23 é uma tabela separada do Informe Mensal CVM. O universo é maior e os nomes seguem a razão social histórica; não foi calculado delta direto contra a ANBIMA para evitar falsa comparabilidade.</x:v>
      </x:c>
      <x:c r="V68" s="52" t="str">
        <x:v>Dez/23 é uma tabela separada do Informe Mensal CVM. O universo é maior e os nomes seguem a razão social histórica; não foi calculado delta direto contra a ANBIMA para evitar falsa comparabilidade.</x:v>
      </x:c>
      <x:c r="W68" s="52" t="str">
        <x:v>Dez/23 é uma tabela separada do Informe Mensal CVM. O universo é maior e os nomes seguem a razão social histórica; não foi calculado delta direto contra a ANBIMA para evitar falsa comparabilidade.</x:v>
      </x:c>
    </x:row>
  </x:sheetData>
  <x:mergeCells>
    <x:mergeCell ref="A1:M2"/>
    <x:mergeCell ref="A3:M3"/>
    <x:mergeCell ref="O65:W68"/>
  </x:mergeCells>
  <x:pageMargins left="0.7" right="0.7" top="0.75" bottom="0.75" header="0.3" footer="0.3"/>
  <x:drawing xmlns:r="http://schemas.openxmlformats.org/officeDocument/2006/relationships" r:id="R94750bf47a1b418f"/>
</x:worksheet>
</file>

<file path=xl/worksheets/sheet25.xml><?xml version="1.0" encoding="utf-8"?>
<x:worksheet xmlns:x="http://schemas.openxmlformats.org/spreadsheetml/2006/main">
  <x:sheetViews>
    <x:sheetView showGridLines="0" workbookViewId="0"/>
  </x:sheetViews>
  <x:sheetFormatPr defaultRowHeight="15"/>
  <x:cols>
    <x:col min="1" max="1" width="5" hidden="0" customWidth="1"/>
    <x:col min="2" max="2" width="18" hidden="0" customWidth="1"/>
    <x:col min="3" max="3" width="50" hidden="0" customWidth="1"/>
    <x:col min="4" max="4" width="13" hidden="0" customWidth="1"/>
    <x:col min="5" max="5" width="24" hidden="0" customWidth="1"/>
    <x:col min="6" max="6" width="24" hidden="0" customWidth="1"/>
    <x:col min="7" max="7" width="24" hidden="0" customWidth="1"/>
    <x:col min="8" max="8" width="24" hidden="0" customWidth="1"/>
    <x:col min="9" max="9" width="24" hidden="0" customWidth="1"/>
    <x:col min="10" max="10" width="70" hidden="0" customWidth="1"/>
    <x:col min="11" max="11" width="18" hidden="0" customWidth="1"/>
    <x:col min="12" max="12" width="40" hidden="0" customWidth="1"/>
    <x:col min="13" max="13" width="40"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40" hidden="0" customWidth="1"/>
  </x:cols>
  <x:sheetData>
    <x:row r="1" ht="30" customHeight="1">
      <x:c r="A1" s="4" t="str">
        <x:v>Top 25 FIDCs | lastro, partes e estrutura disponíveis no Toma Conta</x:v>
      </x:c>
      <x:c r="B1" s="4" t="str">
        <x:v>Top 25 FIDCs | lastro, partes e estrutura disponíveis no Toma Conta</x:v>
      </x:c>
      <x:c r="C1" s="4" t="str">
        <x:v>Top 25 FIDCs | lastro, partes e estrutura disponíveis no Toma Conta</x:v>
      </x:c>
      <x:c r="D1" s="4" t="str">
        <x:v>Top 25 FIDCs | lastro, partes e estrutura disponíveis no Toma Conta</x:v>
      </x:c>
      <x:c r="E1" s="4" t="str">
        <x:v>Top 25 FIDCs | lastro, partes e estrutura disponíveis no Toma Conta</x:v>
      </x:c>
      <x:c r="F1" s="4" t="str">
        <x:v>Top 25 FIDCs | lastro, partes e estrutura disponíveis no Toma Conta</x:v>
      </x:c>
      <x:c r="G1" s="4" t="str">
        <x:v>Top 25 FIDCs | lastro, partes e estrutura disponíveis no Toma Conta</x:v>
      </x:c>
      <x:c r="H1" s="4" t="str">
        <x:v>Top 25 FIDCs | lastro, partes e estrutura disponíveis no Toma Conta</x:v>
      </x:c>
      <x:c r="I1" s="4" t="str">
        <x:v>Top 25 FIDCs | lastro, partes e estrutura disponíveis no Toma Conta</x:v>
      </x:c>
      <x:c r="J1" s="4" t="str">
        <x:v>Top 25 FIDCs | lastro, partes e estrutura disponíveis no Toma Conta</x:v>
      </x:c>
      <x:c r="K1" s="4" t="str">
        <x:v>Top 25 FIDCs | lastro, partes e estrutura disponíveis no Toma Conta</x:v>
      </x:c>
      <x:c r="L1" s="4" t="str">
        <x:v>Top 25 FIDCs | lastro, partes e estrutura disponíveis no Toma Conta</x:v>
      </x:c>
      <x:c r="M1" s="4" t="str">
        <x:v>Top 25 FIDCs | lastro, partes e estrutura disponíveis no Toma Conta</x:v>
      </x:c>
      <x:c r="N1" s="4" t="str">
        <x:v>Top 25 FIDCs | lastro, partes e estrutura disponíveis no Toma Conta</x:v>
      </x:c>
      <x:c r="O1" s="4" t="str">
        <x:v>Top 25 FIDCs | lastro, partes e estrutura disponíveis no Toma Conta</x:v>
      </x:c>
      <x:c r="P1" s="4" t="str">
        <x:v>Top 25 FIDCs | lastro, partes e estrutura disponíveis no Toma Conta</x:v>
      </x:c>
      <x:c r="Q1" s="4" t="str">
        <x:v>Top 25 FIDCs | lastro, partes e estrutura disponíveis no Toma Conta</x:v>
      </x:c>
      <x:c r="R1" s="4" t="str">
        <x:v>Top 25 FIDCs | lastro, partes e estrutura disponíveis no Toma Conta</x:v>
      </x:c>
      <x:c r="S1" s="4" t="str">
        <x:v>Top 25 FIDCs | lastro, partes e estrutura disponíveis no Toma Conta</x:v>
      </x:c>
      <x:c r="T1" s="4" t="str">
        <x:v>Top 25 FIDCs | lastro, partes e estrutura disponíveis no Toma Conta</x:v>
      </x:c>
    </x:row>
    <x:row r="2" ht="30" customHeight="1">
      <x:c r="A2" s="4" t="str">
        <x:v>Top 25 FIDCs | lastro, partes e estrutura disponíveis no Toma Conta</x:v>
      </x:c>
      <x:c r="B2" s="4" t="str">
        <x:v>Top 25 FIDCs | lastro, partes e estrutura disponíveis no Toma Conta</x:v>
      </x:c>
      <x:c r="C2" s="4" t="str">
        <x:v>Top 25 FIDCs | lastro, partes e estrutura disponíveis no Toma Conta</x:v>
      </x:c>
      <x:c r="D2" s="4" t="str">
        <x:v>Top 25 FIDCs | lastro, partes e estrutura disponíveis no Toma Conta</x:v>
      </x:c>
      <x:c r="E2" s="4" t="str">
        <x:v>Top 25 FIDCs | lastro, partes e estrutura disponíveis no Toma Conta</x:v>
      </x:c>
      <x:c r="F2" s="4" t="str">
        <x:v>Top 25 FIDCs | lastro, partes e estrutura disponíveis no Toma Conta</x:v>
      </x:c>
      <x:c r="G2" s="4" t="str">
        <x:v>Top 25 FIDCs | lastro, partes e estrutura disponíveis no Toma Conta</x:v>
      </x:c>
      <x:c r="H2" s="4" t="str">
        <x:v>Top 25 FIDCs | lastro, partes e estrutura disponíveis no Toma Conta</x:v>
      </x:c>
      <x:c r="I2" s="4" t="str">
        <x:v>Top 25 FIDCs | lastro, partes e estrutura disponíveis no Toma Conta</x:v>
      </x:c>
      <x:c r="J2" s="4" t="str">
        <x:v>Top 25 FIDCs | lastro, partes e estrutura disponíveis no Toma Conta</x:v>
      </x:c>
      <x:c r="K2" s="4" t="str">
        <x:v>Top 25 FIDCs | lastro, partes e estrutura disponíveis no Toma Conta</x:v>
      </x:c>
      <x:c r="L2" s="4" t="str">
        <x:v>Top 25 FIDCs | lastro, partes e estrutura disponíveis no Toma Conta</x:v>
      </x:c>
      <x:c r="M2" s="4" t="str">
        <x:v>Top 25 FIDCs | lastro, partes e estrutura disponíveis no Toma Conta</x:v>
      </x:c>
      <x:c r="N2" s="4" t="str">
        <x:v>Top 25 FIDCs | lastro, partes e estrutura disponíveis no Toma Conta</x:v>
      </x:c>
      <x:c r="O2" s="4" t="str">
        <x:v>Top 25 FIDCs | lastro, partes e estrutura disponíveis no Toma Conta</x:v>
      </x:c>
      <x:c r="P2" s="4" t="str">
        <x:v>Top 25 FIDCs | lastro, partes e estrutura disponíveis no Toma Conta</x:v>
      </x:c>
      <x:c r="Q2" s="4" t="str">
        <x:v>Top 25 FIDCs | lastro, partes e estrutura disponíveis no Toma Conta</x:v>
      </x:c>
      <x:c r="R2" s="4" t="str">
        <x:v>Top 25 FIDCs | lastro, partes e estrutura disponíveis no Toma Conta</x:v>
      </x:c>
      <x:c r="S2" s="4" t="str">
        <x:v>Top 25 FIDCs | lastro, partes e estrutura disponíveis no Toma Conta</x:v>
      </x:c>
      <x:c r="T2" s="4" t="str">
        <x:v>Top 25 FIDCs | lastro, partes e estrutura disponíveis no Toma Conta</x:v>
      </x:c>
    </x:row>
    <x:row r="3">
      <x:c r="A3" s="201" t="str">
        <x:v>Campos não identificados permanecem explicitamente vazios/não identificados. Tipo e foco são ANBIMA; lastro, cedente/sacado, subordinação e emissão só são preenchidos quando há evidência no Toma Conta/CVM.</x:v>
      </x:c>
      <x:c r="B3" s="201" t="str">
        <x:v>Campos não identificados permanecem explicitamente vazios/não identificados. Tipo e foco são ANBIMA; lastro, cedente/sacado, subordinação e emissão só são preenchidos quando há evidência no Toma Conta/CVM.</x:v>
      </x:c>
      <x:c r="C3" s="201" t="str">
        <x:v>Campos não identificados permanecem explicitamente vazios/não identificados. Tipo e foco são ANBIMA; lastro, cedente/sacado, subordinação e emissão só são preenchidos quando há evidência no Toma Conta/CVM.</x:v>
      </x:c>
      <x:c r="D3" s="201" t="str">
        <x:v>Campos não identificados permanecem explicitamente vazios/não identificados. Tipo e foco são ANBIMA; lastro, cedente/sacado, subordinação e emissão só são preenchidos quando há evidência no Toma Conta/CVM.</x:v>
      </x:c>
      <x:c r="E3" s="201" t="str">
        <x:v>Campos não identificados permanecem explicitamente vazios/não identificados. Tipo e foco são ANBIMA; lastro, cedente/sacado, subordinação e emissão só são preenchidos quando há evidência no Toma Conta/CVM.</x:v>
      </x:c>
      <x:c r="F3" s="201" t="str">
        <x:v>Campos não identificados permanecem explicitamente vazios/não identificados. Tipo e foco são ANBIMA; lastro, cedente/sacado, subordinação e emissão só são preenchidos quando há evidência no Toma Conta/CVM.</x:v>
      </x:c>
      <x:c r="G3" s="201" t="str">
        <x:v>Campos não identificados permanecem explicitamente vazios/não identificados. Tipo e foco são ANBIMA; lastro, cedente/sacado, subordinação e emissão só são preenchidos quando há evidência no Toma Conta/CVM.</x:v>
      </x:c>
      <x:c r="H3" s="201" t="str">
        <x:v>Campos não identificados permanecem explicitamente vazios/não identificados. Tipo e foco são ANBIMA; lastro, cedente/sacado, subordinação e emissão só são preenchidos quando há evidência no Toma Conta/CVM.</x:v>
      </x:c>
      <x:c r="I3" s="201" t="str">
        <x:v>Campos não identificados permanecem explicitamente vazios/não identificados. Tipo e foco são ANBIMA; lastro, cedente/sacado, subordinação e emissão só são preenchidos quando há evidência no Toma Conta/CVM.</x:v>
      </x:c>
      <x:c r="J3" s="201" t="str">
        <x:v>Campos não identificados permanecem explicitamente vazios/não identificados. Tipo e foco são ANBIMA; lastro, cedente/sacado, subordinação e emissão só são preenchidos quando há evidência no Toma Conta/CVM.</x:v>
      </x:c>
      <x:c r="K3" s="201" t="str">
        <x:v>Campos não identificados permanecem explicitamente vazios/não identificados. Tipo e foco são ANBIMA; lastro, cedente/sacado, subordinação e emissão só são preenchidos quando há evidência no Toma Conta/CVM.</x:v>
      </x:c>
      <x:c r="L3" s="201" t="str">
        <x:v>Campos não identificados permanecem explicitamente vazios/não identificados. Tipo e foco são ANBIMA; lastro, cedente/sacado, subordinação e emissão só são preenchidos quando há evidência no Toma Conta/CVM.</x:v>
      </x:c>
      <x:c r="M3" s="201" t="str">
        <x:v>Campos não identificados permanecem explicitamente vazios/não identificados. Tipo e foco são ANBIMA; lastro, cedente/sacado, subordinação e emissão só são preenchidos quando há evidência no Toma Conta/CVM.</x:v>
      </x:c>
      <x:c r="N3" s="201" t="str">
        <x:v>Campos não identificados permanecem explicitamente vazios/não identificados. Tipo e foco são ANBIMA; lastro, cedente/sacado, subordinação e emissão só são preenchidos quando há evidência no Toma Conta/CVM.</x:v>
      </x:c>
      <x:c r="O3" s="201" t="str">
        <x:v>Campos não identificados permanecem explicitamente vazios/não identificados. Tipo e foco são ANBIMA; lastro, cedente/sacado, subordinação e emissão só são preenchidos quando há evidência no Toma Conta/CVM.</x:v>
      </x:c>
      <x:c r="P3" s="201" t="str">
        <x:v>Campos não identificados permanecem explicitamente vazios/não identificados. Tipo e foco são ANBIMA; lastro, cedente/sacado, subordinação e emissão só são preenchidos quando há evidência no Toma Conta/CVM.</x:v>
      </x:c>
      <x:c r="Q3" s="201" t="str">
        <x:v>Campos não identificados permanecem explicitamente vazios/não identificados. Tipo e foco são ANBIMA; lastro, cedente/sacado, subordinação e emissão só são preenchidos quando há evidência no Toma Conta/CVM.</x:v>
      </x:c>
      <x:c r="R3" s="201" t="str">
        <x:v>Campos não identificados permanecem explicitamente vazios/não identificados. Tipo e foco são ANBIMA; lastro, cedente/sacado, subordinação e emissão só são preenchidos quando há evidência no Toma Conta/CVM.</x:v>
      </x:c>
      <x:c r="S3" s="201" t="str">
        <x:v>Campos não identificados permanecem explicitamente vazios/não identificados. Tipo e foco são ANBIMA; lastro, cedente/sacado, subordinação e emissão só são preenchidos quando há evidência no Toma Conta/CVM.</x:v>
      </x:c>
      <x:c r="T3" s="201" t="str">
        <x:v>Campos não identificados permanecem explicitamente vazios/não identificados. Tipo e foco são ANBIMA; lastro, cedente/sacado, subordinação e emissão só são preenchidos quando há evidência no Toma Conta/CVM.</x:v>
      </x:c>
    </x:row>
    <x:row r="4">
      <x:c r="A4" s="211"/>
      <x:c r="B4" s="211"/>
      <x:c r="C4" s="211"/>
      <x:c r="D4" s="211"/>
      <x:c r="E4" s="211"/>
      <x:c r="F4" s="211"/>
      <x:c r="G4" s="211"/>
      <x:c r="H4" s="211"/>
      <x:c r="I4" s="211"/>
      <x:c r="J4" s="211"/>
      <x:c r="K4" s="211"/>
      <x:c r="L4" s="211"/>
      <x:c r="M4" s="211"/>
      <x:c r="N4" s="211"/>
      <x:c r="O4" s="211"/>
      <x:c r="P4" s="211"/>
      <x:c r="Q4" s="211"/>
      <x:c r="R4" s="211"/>
      <x:c r="S4" s="211"/>
      <x:c r="T4" s="211"/>
    </x:row>
    <x:row r="5" ht="28" customHeight="1">
      <x:c r="A5" s="20" t="str">
        <x:v>#</x:v>
      </x:c>
      <x:c r="B5" s="21" t="str">
        <x:v>CNPJ</x:v>
      </x:c>
      <x:c r="C5" s="21" t="str">
        <x:v>FIDC</x:v>
      </x:c>
      <x:c r="D5" s="21" t="str">
        <x:v>PL (R$ bi)</x:v>
      </x:c>
      <x:c r="E5" s="21" t="str">
        <x:v>Tipo ANBIMA</x:v>
      </x:c>
      <x:c r="F5" s="21" t="str">
        <x:v>Foco ANBIMA</x:v>
      </x:c>
      <x:c r="G5" s="21" t="str">
        <x:v>Gestora original</x:v>
      </x:c>
      <x:c r="H5" s="21" t="str">
        <x:v>Conglomerado</x:v>
      </x:c>
      <x:c r="I5" s="21" t="str">
        <x:v>Vínculo</x:v>
      </x:c>
      <x:c r="J5" s="21" t="str">
        <x:v>Recebível / lastro</x:v>
      </x:c>
      <x:c r="K5" s="21" t="str">
        <x:v>Concentração</x:v>
      </x:c>
      <x:c r="L5" s="21" t="str">
        <x:v>Cedente / originador</x:v>
      </x:c>
      <x:c r="M5" s="21" t="str">
        <x:v>Sacado / devedor</x:v>
      </x:c>
      <x:c r="N5" s="21" t="str">
        <x:v>Subord. mín. %</x:v>
      </x:c>
      <x:c r="O5" s="21" t="str">
        <x:v>Última oferta</x:v>
      </x:c>
      <x:c r="P5" s="21" t="str">
        <x:v>Status</x:v>
      </x:c>
      <x:c r="Q5" s="21" t="str">
        <x:v>Volume reg. (R$ bi)</x:v>
      </x:c>
      <x:c r="R5" s="21" t="str">
        <x:v>Benchmark</x:v>
      </x:c>
      <x:c r="S5" s="21" t="str">
        <x:v>Último regulamento</x:v>
      </x:c>
      <x:c r="T5" s="22" t="str">
        <x:v>Fonte / qualidade</x:v>
      </x:c>
    </x:row>
    <x:row r="6" ht="54" customHeight="1">
      <x:c r="A6" s="205" t="n">
        <x:v>1</x:v>
      </x:c>
      <x:c r="B6" s="205" t="str">
        <x:v>09.195.235/0001-50</x:v>
      </x:c>
      <x:c r="C6" s="205" t="str">
        <x:v>FIDC DO SISTEMA PETROBRAS</x:v>
      </x:c>
      <x:c r="D6" s="208" t="n">
        <x:v>60.841973938879995</x:v>
      </x:c>
      <x:c r="E6" s="205" t="str">
        <x:v>Agro, Indústria e Comércio</x:v>
      </x:c>
      <x:c r="F6" s="205" t="str">
        <x:v>Recebíveis Comerciais</x:v>
      </x:c>
      <x:c r="G6" s="205" t="str">
        <x:v>BB Asset Management</x:v>
      </x:c>
      <x:c r="H6" s="205" t="str">
        <x:v>Banco do Brasil</x:v>
      </x:c>
      <x:c r="I6" s="205" t="str">
        <x:v>Ligada a banco</x:v>
      </x:c>
      <x:c r="J6" s="205" t="str">
        <x:v>Recebíveis Comerciais; Industrial; detalhe cedente/sacado não localizado</x:v>
      </x:c>
      <x:c r="K6" s="205" t="str">
        <x:v>Não identificado</x:v>
      </x:c>
      <x:c r="L6" s="205" t="str">
        <x:v>Não identificado</x:v>
      </x:c>
      <x:c r="M6" s="205" t="str">
        <x:v>Não identificado</x:v>
      </x:c>
      <x:c r="N6" s="208"/>
      <x:c r="O6" s="205" t="str">
        <x:v>Não identificada</x:v>
      </x:c>
      <x:c r="P6" s="205" t="str">
        <x:v>Não identificado</x:v>
      </x:c>
      <x:c r="Q6" s="208"/>
      <x:c r="R6" s="205" t="str">
        <x:v>Não identificado</x:v>
      </x:c>
      <x:c r="S6" s="205" t="str">
        <x:v>Não identificada</x:v>
      </x:c>
      <x:c r="T6" s="205" t="str">
        <x:v>ANBIMA (tipo/foco) + IME CVM | Taxonomia; sem leitura documental específica</x:v>
      </x:c>
    </x:row>
    <x:row r="7" ht="54" customHeight="1">
      <x:c r="A7" s="206" t="n">
        <x:v>2</x:v>
      </x:c>
      <x:c r="B7" s="206" t="str">
        <x:v>26.287.464/0001-14</x:v>
      </x:c>
      <x:c r="C7" s="206" t="str">
        <x:v>TAPSO FUNDO DE INVESTIMENTO EM DIREITOS CREDITÓRIOS RESPONSABILIDADE LIMITADA</x:v>
      </x:c>
      <x:c r="D7" s="209" t="n">
        <x:v>40.658253334570006</x:v>
      </x:c>
      <x:c r="E7" s="206" t="str">
        <x:v>Financeiro</x:v>
      </x:c>
      <x:c r="F7" s="206" t="str">
        <x:v>Crédito Pessoal</x:v>
      </x:c>
      <x:c r="G7" s="206" t="str">
        <x:v>Oliveira Trust Servicer</x:v>
      </x:c>
      <x:c r="H7" s="206" t="str">
        <x:v>Oliveira Trust</x:v>
      </x:c>
      <x:c r="I7" s="206" t="str">
        <x:v>Independente</x:v>
      </x:c>
      <x:c r="J7" s="206" t="str">
        <x:v>Crédito Pessoal; Cartao de credito; detalhe cedente/sacado não localizado</x:v>
      </x:c>
      <x:c r="K7" s="206" t="str">
        <x:v>Não identificado</x:v>
      </x:c>
      <x:c r="L7" s="206" t="str">
        <x:v>Não identificado</x:v>
      </x:c>
      <x:c r="M7" s="206" t="str">
        <x:v>Não identificado</x:v>
      </x:c>
      <x:c r="N7" s="209"/>
      <x:c r="O7" s="206" t="str">
        <x:v>Não identificada</x:v>
      </x:c>
      <x:c r="P7" s="206" t="str">
        <x:v>Não identificado</x:v>
      </x:c>
      <x:c r="Q7" s="209"/>
      <x:c r="R7" s="206" t="str">
        <x:v>Não identificado</x:v>
      </x:c>
      <x:c r="S7" s="206" t="str">
        <x:v>Não identificada</x:v>
      </x:c>
      <x:c r="T7" s="206" t="str">
        <x:v>ANBIMA (tipo/foco) + IME CVM | Taxonomia; sem leitura documental específica</x:v>
      </x:c>
    </x:row>
    <x:row r="8" ht="54" customHeight="1">
      <x:c r="A8" s="206" t="n">
        <x:v>3</x:v>
      </x:c>
      <x:c r="B8" s="206" t="str">
        <x:v>62.393.679/0001-83</x:v>
      </x:c>
      <x:c r="C8" s="206" t="str">
        <x:v>CLOUDWALK BELA FUNDO DE INVESTIMENTO EM DIREITOS CREDITÓRIOS SEGMENTO MEIOS DE PAGAMENTO</x:v>
      </x:c>
      <x:c r="D8" s="209" t="n">
        <x:v>9.984886329650003</x:v>
      </x:c>
      <x:c r="E8" s="206" t="str">
        <x:v>Outros</x:v>
      </x:c>
      <x:c r="F8" s="206" t="str">
        <x:v>Multicarteira Outros</x:v>
      </x:c>
      <x:c r="G8" s="206" t="str">
        <x:v>Banco Bradesco S/A</x:v>
      </x:c>
      <x:c r="H8" s="206" t="str">
        <x:v>Bradesco</x:v>
      </x:c>
      <x:c r="I8" s="206" t="str">
        <x:v>Ligada a banco</x:v>
      </x:c>
      <x:c r="J8" s="206" t="str">
        <x:v>Oriundos do pagamento devido pelos Devedores à Cedente, decorrentes de Transações de Pagamento realizadas por Usuários-Finais, operacionalizadas pelo Sistema CloudWalk</x:v>
      </x:c>
      <x:c r="K8" s="206" t="str">
        <x:v>Pulverizado</x:v>
      </x:c>
      <x:c r="L8" s="206" t="str">
        <x:v>Não identificado</x:v>
      </x:c>
      <x:c r="M8" s="206" t="str">
        <x:v>Não identificado</x:v>
      </x:c>
      <x:c r="N8" s="209" t="n">
        <x:v>1</x:v>
      </x:c>
      <x:c r="O8" s="206" t="str">
        <x:v>2026-03-03</x:v>
      </x:c>
      <x:c r="P8" s="206" t="str">
        <x:v>Oferta Encerrada</x:v>
      </x:c>
      <x:c r="Q8" s="209" t="n">
        <x:v>5.5</x:v>
      </x:c>
      <x:c r="R8" s="206" t="str">
        <x:v>OUTRO</x:v>
      </x:c>
      <x:c r="S8" s="206" t="str">
        <x:v>2026-02-19</x:v>
      </x:c>
      <x:c r="T8" s="206" t="str">
        <x:v>CVM oferta pública / Toma Conta | Documental</x:v>
      </x:c>
    </x:row>
    <x:row r="9" ht="54" customHeight="1">
      <x:c r="A9" s="206" t="n">
        <x:v>4</x:v>
      </x:c>
      <x:c r="B9" s="206" t="str">
        <x:v>53.286.499/0001-01</x:v>
      </x:c>
      <x:c r="C9" s="206" t="str">
        <x:v>ITAÚ CRÉDITO PRIVADO FUNDO DE INVESTIMENTO EM DIREITOS CREDITÓRIOS - RESPONSABILIDADE LIMITADA</x:v>
      </x:c>
      <x:c r="D9" s="209" t="n">
        <x:v>8.61589291829</x:v>
      </x:c>
      <x:c r="E9" s="206" t="str">
        <x:v>Outros</x:v>
      </x:c>
      <x:c r="F9" s="206" t="str">
        <x:v>Multicarteira Outros</x:v>
      </x:c>
      <x:c r="G9" s="206" t="str">
        <x:v>ITAU ASSET</x:v>
      </x:c>
      <x:c r="H9" s="206" t="str">
        <x:v>Itaú Unibanco</x:v>
      </x:c>
      <x:c r="I9" s="206" t="str">
        <x:v>Ligada a banco</x:v>
      </x:c>
      <x:c r="J9" s="206" t="str">
        <x:v>Multicarteira Outros; Servicos; detalhe cedente/sacado não localizado</x:v>
      </x:c>
      <x:c r="K9" s="206" t="str">
        <x:v>Não identificado</x:v>
      </x:c>
      <x:c r="L9" s="206" t="str">
        <x:v>Não identificado</x:v>
      </x:c>
      <x:c r="M9" s="206" t="str">
        <x:v>Não identificado</x:v>
      </x:c>
      <x:c r="N9" s="209"/>
      <x:c r="O9" s="206" t="str">
        <x:v>Não identificada</x:v>
      </x:c>
      <x:c r="P9" s="206" t="str">
        <x:v>Não identificado</x:v>
      </x:c>
      <x:c r="Q9" s="209"/>
      <x:c r="R9" s="206" t="str">
        <x:v>Não identificado</x:v>
      </x:c>
      <x:c r="S9" s="206" t="str">
        <x:v>Não identificada</x:v>
      </x:c>
      <x:c r="T9" s="206" t="str">
        <x:v>ANBIMA (tipo/foco) + IME CVM | Taxonomia; sem leitura documental específica</x:v>
      </x:c>
    </x:row>
    <x:row r="10" ht="54" customHeight="1">
      <x:c r="A10" s="206" t="n">
        <x:v>5</x:v>
      </x:c>
      <x:c r="B10" s="206" t="str">
        <x:v>52.242.420/0001-88</x:v>
      </x:c>
      <x:c r="C10" s="206" t="str">
        <x:v>BTG PACTUAL CONSIGNADOS II FUNDO DE INVESTIMENTO EM DIREITOS CREDITÓRIOS</x:v>
      </x:c>
      <x:c r="D10" s="209" t="n">
        <x:v>7.91921619097</x:v>
      </x:c>
      <x:c r="E10" s="206" t="str">
        <x:v>Financeiro</x:v>
      </x:c>
      <x:c r="F10" s="206" t="str">
        <x:v>Crédito Pessoal</x:v>
      </x:c>
      <x:c r="G10" s="206" t="str">
        <x:v>Banco BTG Pactual</x:v>
      </x:c>
      <x:c r="H10" s="206" t="str">
        <x:v>BTG Pactual</x:v>
      </x:c>
      <x:c r="I10" s="206" t="str">
        <x:v>Ligada a banco</x:v>
      </x:c>
      <x:c r="J10" s="206" t="str">
        <x:v>Crédito Pessoal; Servicos; detalhe cedente/sacado não localizado</x:v>
      </x:c>
      <x:c r="K10" s="206" t="str">
        <x:v>Não identificado</x:v>
      </x:c>
      <x:c r="L10" s="206" t="str">
        <x:v>Não identificado</x:v>
      </x:c>
      <x:c r="M10" s="206" t="str">
        <x:v>DEVEDORES . ANEXO I AO REGULAMENTO CLASSE UNICA DO BTG PACTUAL CONSIGNADOS II FUNDO DE INVESTIMENTO EM DIREITOS CREDITO…</x:v>
      </x:c>
      <x:c r="N10" s="209"/>
      <x:c r="O10" s="206" t="str">
        <x:v>Não identificada</x:v>
      </x:c>
      <x:c r="P10" s="206" t="str">
        <x:v>Não identificado</x:v>
      </x:c>
      <x:c r="Q10" s="209"/>
      <x:c r="R10" s="206" t="str">
        <x:v>Não identificado</x:v>
      </x:c>
      <x:c r="S10" s="206" t="str">
        <x:v>2025-06-30</x:v>
      </x:c>
      <x:c r="T10" s="206" t="str">
        <x:v>ANBIMA (tipo/foco) + IME CVM | Taxonomia; sem leitura documental específica</x:v>
      </x:c>
    </x:row>
    <x:row r="11" ht="54" customHeight="1">
      <x:c r="A11" s="206" t="n">
        <x:v>6</x:v>
      </x:c>
      <x:c r="B11" s="206" t="str">
        <x:v>63.953.619/0001-30</x:v>
      </x:c>
      <x:c r="C11" s="206" t="str">
        <x:v>CLASSE CONSIGNADO PRIVADO DO MT GLOBAL FUNDO DE INVESTIMENTO EM DIREITOS CREDITÓRIOS RESP LIMITADA</x:v>
      </x:c>
      <x:c r="D11" s="209" t="n">
        <x:v>7.77805082113</x:v>
      </x:c>
      <x:c r="E11" s="206" t="str">
        <x:v>Financeiro</x:v>
      </x:c>
      <x:c r="F11" s="206" t="str">
        <x:v>Crédito Consignado</x:v>
      </x:c>
      <x:c r="G11" s="206" t="str">
        <x:v>BTG Pactual Asset</x:v>
      </x:c>
      <x:c r="H11" s="206" t="str">
        <x:v>BTG Pactual</x:v>
      </x:c>
      <x:c r="I11" s="206" t="str">
        <x:v>Ligada a banco</x:v>
      </x:c>
      <x:c r="J11" s="206" t="str">
        <x:v>Crédito Consignado; detalhe cedente/sacado não localizado</x:v>
      </x:c>
      <x:c r="K11" s="206" t="str">
        <x:v>Não identificado</x:v>
      </x:c>
      <x:c r="L11" s="206" t="str">
        <x:v>Não identificado</x:v>
      </x:c>
      <x:c r="M11" s="206" t="str">
        <x:v>Não identificado</x:v>
      </x:c>
      <x:c r="N11" s="209"/>
      <x:c r="O11" s="206" t="str">
        <x:v>Não identificada</x:v>
      </x:c>
      <x:c r="P11" s="206" t="str">
        <x:v>Não identificado</x:v>
      </x:c>
      <x:c r="Q11" s="209"/>
      <x:c r="R11" s="206" t="str">
        <x:v>Não identificado</x:v>
      </x:c>
      <x:c r="S11" s="206" t="str">
        <x:v>Não identificada</x:v>
      </x:c>
      <x:c r="T11" s="206" t="str">
        <x:v>ANBIMA (tipo/foco) + IME CVM | Taxonomia; sem leitura documental específica</x:v>
      </x:c>
    </x:row>
    <x:row r="12" ht="54" customHeight="1">
      <x:c r="A12" s="206" t="n">
        <x:v>7</x:v>
      </x:c>
      <x:c r="B12" s="206" t="str">
        <x:v>28.169.275/0001-72</x:v>
      </x:c>
      <x:c r="C12" s="206" t="str">
        <x:v>FUNDO DE INVESTIMENTO EM DIREITOS CREDITÓRIOS PAGSEGURO I</x:v>
      </x:c>
      <x:c r="D12" s="209" t="n">
        <x:v>6.70277891708</x:v>
      </x:c>
      <x:c r="E12" s="206" t="str">
        <x:v>Outros</x:v>
      </x:c>
      <x:c r="F12" s="206" t="str">
        <x:v>Multicarteira Outros</x:v>
      </x:c>
      <x:c r="G12" s="206" t="str">
        <x:v>GENIAL GESTÃO LTDA.</x:v>
      </x:c>
      <x:c r="H12" s="206" t="str">
        <x:v>Banco Genial</x:v>
      </x:c>
      <x:c r="I12" s="206" t="str">
        <x:v>Ligada a banco</x:v>
      </x:c>
      <x:c r="J12" s="206" t="str">
        <x:v>são as U.R.s compostas por direitos creditórios detidos pelo Estabelecimento Credenciado em face do Devedor em decorrência de Transações de Pagamento, na modalidade de crédito pós-pago à vista, e/ou crédito pós-pago parcelado sem juros, e débito, realizadas p…</x:v>
      </x:c>
      <x:c r="K12" s="206" t="str">
        <x:v>Pulverizado</x:v>
      </x:c>
      <x:c r="L12" s="206" t="str">
        <x:v>Não identificado</x:v>
      </x:c>
      <x:c r="M12" s="206" t="str">
        <x:v>Não identificado</x:v>
      </x:c>
      <x:c r="N12" s="209" t="n">
        <x:v>50</x:v>
      </x:c>
      <x:c r="O12" s="206" t="str">
        <x:v>2026-03-30</x:v>
      </x:c>
      <x:c r="P12" s="206" t="str">
        <x:v>Oferta Encerrada</x:v>
      </x:c>
      <x:c r="Q12" s="209" t="n">
        <x:v>1</x:v>
      </x:c>
      <x:c r="R12" s="206" t="str">
        <x:v>CDI+ + 2.10% a.a.</x:v>
      </x:c>
      <x:c r="S12" s="206" t="str">
        <x:v>2026-03-25</x:v>
      </x:c>
      <x:c r="T12" s="206" t="str">
        <x:v>CVM oferta pública / Toma Conta | Documental</x:v>
      </x:c>
    </x:row>
    <x:row r="13" ht="54" customHeight="1">
      <x:c r="A13" s="206" t="n">
        <x:v>8</x:v>
      </x:c>
      <x:c r="B13" s="206" t="str">
        <x:v>26.286.939/0001-58</x:v>
      </x:c>
      <x:c r="C13" s="206" t="str">
        <x:v>CIELO FUNDO DE INVESTIMENTO EM DIREITOS CREDITÓRIOS</x:v>
      </x:c>
      <x:c r="D13" s="209" t="n">
        <x:v>6.46571239818</x:v>
      </x:c>
      <x:c r="E13" s="206" t="str">
        <x:v>Financeiro</x:v>
      </x:c>
      <x:c r="F13" s="206" t="str">
        <x:v>Multicarteira Financeiro</x:v>
      </x:c>
      <x:c r="G13" s="206" t="str">
        <x:v>Banco Bradesco S/A</x:v>
      </x:c>
      <x:c r="H13" s="206" t="str">
        <x:v>Bradesco</x:v>
      </x:c>
      <x:c r="I13" s="206" t="str">
        <x:v>Ligada a banco</x:v>
      </x:c>
      <x:c r="J13" s="206" t="str">
        <x:v>Direitos creditórios de tempos em tempos detidos pelos Estabelecimentos Credenciados contra a Cielo, originários de Transações de Pagamento realizadas por Usuários-Finais com a utilização de Instrumentos de Pagamento para a aquisição de bens ou serviços nos E…</x:v>
      </x:c>
      <x:c r="K13" s="206" t="str">
        <x:v>Concentrado</x:v>
      </x:c>
      <x:c r="L13" s="206" t="str">
        <x:v>Não identificado</x:v>
      </x:c>
      <x:c r="M13" s="206" t="str">
        <x:v>Não identificado</x:v>
      </x:c>
      <x:c r="N13" s="209"/>
      <x:c r="O13" s="206" t="str">
        <x:v>2025-10-24</x:v>
      </x:c>
      <x:c r="P13" s="206" t="str">
        <x:v>Oferta Encerrada</x:v>
      </x:c>
      <x:c r="Q13" s="209" t="n">
        <x:v>1</x:v>
      </x:c>
      <x:c r="R13" s="206" t="str">
        <x:v>Não identificado</x:v>
      </x:c>
      <x:c r="S13" s="206" t="str">
        <x:v>Não identificada</x:v>
      </x:c>
      <x:c r="T13" s="206" t="str">
        <x:v>CVM oferta pública / Toma Conta | Documental</x:v>
      </x:c>
    </x:row>
    <x:row r="14" ht="54" customHeight="1">
      <x:c r="A14" s="206" t="n">
        <x:v>9</x:v>
      </x:c>
      <x:c r="B14" s="206" t="str">
        <x:v>50.906.397/0001-53</x:v>
      </x:c>
      <x:c r="C14" s="206" t="str">
        <x:v>BTG PACTUAL CONSIGNADOS FUNDO DE INVESTIMENTO EM DIREITOS CREDITÓRIOS</x:v>
      </x:c>
      <x:c r="D14" s="209" t="n">
        <x:v>5.93010586045</x:v>
      </x:c>
      <x:c r="E14" s="206" t="str">
        <x:v>Financeiro</x:v>
      </x:c>
      <x:c r="F14" s="206" t="str">
        <x:v>Crédito Pessoal</x:v>
      </x:c>
      <x:c r="G14" s="206" t="str">
        <x:v>Banco BTG Pactual</x:v>
      </x:c>
      <x:c r="H14" s="206" t="str">
        <x:v>BTG Pactual</x:v>
      </x:c>
      <x:c r="I14" s="206" t="str">
        <x:v>Ligada a banco</x:v>
      </x:c>
      <x:c r="J14" s="206" t="str">
        <x:v>Crédito Pessoal; Comercial; detalhe cedente/sacado não localizado</x:v>
      </x:c>
      <x:c r="K14" s="206" t="str">
        <x:v>Não identificado</x:v>
      </x:c>
      <x:c r="L14" s="206" t="str">
        <x:v>Não identificado</x:v>
      </x:c>
      <x:c r="M14" s="206" t="str">
        <x:v>Não identificado</x:v>
      </x:c>
      <x:c r="N14" s="209"/>
      <x:c r="O14" s="206" t="str">
        <x:v>Não identificada</x:v>
      </x:c>
      <x:c r="P14" s="206" t="str">
        <x:v>Não identificado</x:v>
      </x:c>
      <x:c r="Q14" s="209"/>
      <x:c r="R14" s="206" t="str">
        <x:v>Não identificado</x:v>
      </x:c>
      <x:c r="S14" s="206" t="str">
        <x:v>Não identificada</x:v>
      </x:c>
      <x:c r="T14" s="206" t="str">
        <x:v>ANBIMA (tipo/foco) + IME CVM | Taxonomia; sem leitura documental específica</x:v>
      </x:c>
    </x:row>
    <x:row r="15" ht="54" customHeight="1">
      <x:c r="A15" s="206" t="n">
        <x:v>10</x:v>
      </x:c>
      <x:c r="B15" s="206" t="str">
        <x:v>29.225.241/0001-10</x:v>
      </x:c>
      <x:c r="C15" s="206" t="str">
        <x:v>FUNDO DE INVESTIMENTO EM DIREITOS CREDITÓRIOS ALTERNATIVE ASSETS III RESPONSABILIDADE LIMITADA</x:v>
      </x:c>
      <x:c r="D15" s="209" t="n">
        <x:v>5.765091894779999</x:v>
      </x:c>
      <x:c r="E15" s="206" t="str">
        <x:v>Outros</x:v>
      </x:c>
      <x:c r="F15" s="206" t="str">
        <x:v>Multicarteira Outros</x:v>
      </x:c>
      <x:c r="G15" s="206" t="str">
        <x:v>Banco BTG Pactual</x:v>
      </x:c>
      <x:c r="H15" s="206" t="str">
        <x:v>BTG Pactual</x:v>
      </x:c>
      <x:c r="I15" s="206" t="str">
        <x:v>Ligada a banco</x:v>
      </x:c>
      <x:c r="J15" s="206" t="str">
        <x:v>Multicarteira Outros; Setor publico; detalhe cedente/sacado não localizado</x:v>
      </x:c>
      <x:c r="K15" s="206" t="str">
        <x:v>Não identificado</x:v>
      </x:c>
      <x:c r="L15" s="206" t="str">
        <x:v>Não identificado</x:v>
      </x:c>
      <x:c r="M15" s="206" t="str">
        <x:v>Não identificado</x:v>
      </x:c>
      <x:c r="N15" s="209"/>
      <x:c r="O15" s="206" t="str">
        <x:v>Não identificada</x:v>
      </x:c>
      <x:c r="P15" s="206" t="str">
        <x:v>Não identificado</x:v>
      </x:c>
      <x:c r="Q15" s="209"/>
      <x:c r="R15" s="206" t="str">
        <x:v>Não identificado</x:v>
      </x:c>
      <x:c r="S15" s="206" t="str">
        <x:v>Não identificada</x:v>
      </x:c>
      <x:c r="T15" s="206" t="str">
        <x:v>ANBIMA (tipo/foco) + IME CVM | Taxonomia; sem leitura documental específica</x:v>
      </x:c>
    </x:row>
    <x:row r="16" ht="54" customHeight="1">
      <x:c r="A16" s="206" t="n">
        <x:v>11</x:v>
      </x:c>
      <x:c r="B16" s="206" t="str">
        <x:v>63.700.113/0001-10</x:v>
      </x:c>
      <x:c r="C16" s="206" t="str">
        <x:v>NC 2025 I FUNDO DE INVESTIMENTO EM DIREITOS CREDITÓRIOS RESPONSABILIDADE LIMITADA</x:v>
      </x:c>
      <x:c r="D16" s="209" t="n">
        <x:v>5.65508869655</x:v>
      </x:c>
      <x:c r="E16" s="206" t="str">
        <x:v>Outros</x:v>
      </x:c>
      <x:c r="F16" s="206" t="str">
        <x:v>Multicarteira Outros</x:v>
      </x:c>
      <x:c r="G16" s="206" t="str">
        <x:v>Kanastra</x:v>
      </x:c>
      <x:c r="H16" s="206" t="str">
        <x:v>Kanastra</x:v>
      </x:c>
      <x:c r="I16" s="206" t="str">
        <x:v>Independente</x:v>
      </x:c>
      <x:c r="J16" s="206" t="str">
        <x:v>Multicarteira Outros; Financeiro; detalhe cedente/sacado não localizado</x:v>
      </x:c>
      <x:c r="K16" s="206" t="str">
        <x:v>Não identificado</x:v>
      </x:c>
      <x:c r="L16" s="206" t="str">
        <x:v>Não identificado</x:v>
      </x:c>
      <x:c r="M16" s="206" t="str">
        <x:v>Não identificado</x:v>
      </x:c>
      <x:c r="N16" s="209"/>
      <x:c r="O16" s="206" t="str">
        <x:v>Não identificada</x:v>
      </x:c>
      <x:c r="P16" s="206" t="str">
        <x:v>Não identificado</x:v>
      </x:c>
      <x:c r="Q16" s="209"/>
      <x:c r="R16" s="206" t="str">
        <x:v>Não identificado</x:v>
      </x:c>
      <x:c r="S16" s="206" t="str">
        <x:v>Não identificada</x:v>
      </x:c>
      <x:c r="T16" s="206" t="str">
        <x:v>ANBIMA (tipo/foco) + IME CVM | Taxonomia; sem leitura documental específica</x:v>
      </x:c>
    </x:row>
    <x:row r="17" ht="54" customHeight="1">
      <x:c r="A17" s="206" t="n">
        <x:v>12</x:v>
      </x:c>
      <x:c r="B17" s="206" t="str">
        <x:v>42.922.136/0001-07</x:v>
      </x:c>
      <x:c r="C17" s="206" t="str">
        <x:v>FUNDO DE INVESTIMENTO EM DIREITOS CREDITÓRIOS MONEE I DE RESPONSABILIDADE LIMITADA</x:v>
      </x:c>
      <x:c r="D17" s="209" t="n">
        <x:v>5.00160736166</x:v>
      </x:c>
      <x:c r="E17" s="206" t="str">
        <x:v>Outros</x:v>
      </x:c>
      <x:c r="F17" s="206" t="str">
        <x:v>Multicarteira Outros</x:v>
      </x:c>
      <x:c r="G17" s="206" t="str">
        <x:v>VALORA RENDA FIXA LTDA.</x:v>
      </x:c>
      <x:c r="H17" s="206" t="str">
        <x:v>VALORA RENDA FIXA LTDA.</x:v>
      </x:c>
      <x:c r="I17" s="206" t="str">
        <x:v>Independente</x:v>
      </x:c>
      <x:c r="J17" s="206" t="str">
        <x:v>Multicarteira Outros; Financeiro; detalhe cedente/sacado não localizado</x:v>
      </x:c>
      <x:c r="K17" s="206" t="str">
        <x:v>Não identificado</x:v>
      </x:c>
      <x:c r="L17" s="206" t="str">
        <x:v>Não identificado</x:v>
      </x:c>
      <x:c r="M17" s="206" t="str">
        <x:v>Não identificado</x:v>
      </x:c>
      <x:c r="N17" s="209"/>
      <x:c r="O17" s="206" t="str">
        <x:v>Não identificada</x:v>
      </x:c>
      <x:c r="P17" s="206" t="str">
        <x:v>Não identificado</x:v>
      </x:c>
      <x:c r="Q17" s="209"/>
      <x:c r="R17" s="206" t="str">
        <x:v>Não identificado</x:v>
      </x:c>
      <x:c r="S17" s="206" t="str">
        <x:v>Não identificada</x:v>
      </x:c>
      <x:c r="T17" s="206" t="str">
        <x:v>ANBIMA (tipo/foco) + IME CVM | Taxonomia; sem leitura documental específica</x:v>
      </x:c>
    </x:row>
    <x:row r="18" ht="54" customHeight="1">
      <x:c r="A18" s="206" t="n">
        <x:v>13</x:v>
      </x:c>
      <x:c r="B18" s="206" t="str">
        <x:v>32.527.650/0001-86</x:v>
      </x:c>
      <x:c r="C18" s="206" t="str">
        <x:v>FUNDO DE INVESTIMENTO EM DIREITOS CREDITÓRIOS PICPAY I</x:v>
      </x:c>
      <x:c r="D18" s="209" t="n">
        <x:v>4.56416045469</x:v>
      </x:c>
      <x:c r="E18" s="206" t="str">
        <x:v>Financeiro</x:v>
      </x:c>
      <x:c r="F18" s="206" t="str">
        <x:v>Multicarteira Financeiro</x:v>
      </x:c>
      <x:c r="G18" s="206" t="str">
        <x:v>GENIAL GESTÃO LTDA.</x:v>
      </x:c>
      <x:c r="H18" s="206" t="str">
        <x:v>Banco Genial</x:v>
      </x:c>
      <x:c r="I18" s="206" t="str">
        <x:v>Ligada a banco</x:v>
      </x:c>
      <x:c r="J18" s="206" t="str">
        <x:v>Multicarteira Financeiro; Cartao de credito; detalhe cedente/sacado não localizado</x:v>
      </x:c>
      <x:c r="K18" s="206" t="str">
        <x:v>Não identificado</x:v>
      </x:c>
      <x:c r="L18" s="206" t="str">
        <x:v>Não identificado</x:v>
      </x:c>
      <x:c r="M18" s="206" t="str">
        <x:v>Não identificado</x:v>
      </x:c>
      <x:c r="N18" s="209"/>
      <x:c r="O18" s="206" t="str">
        <x:v>Não identificada</x:v>
      </x:c>
      <x:c r="P18" s="206" t="str">
        <x:v>Não identificado</x:v>
      </x:c>
      <x:c r="Q18" s="209"/>
      <x:c r="R18" s="206" t="str">
        <x:v>Não identificado</x:v>
      </x:c>
      <x:c r="S18" s="206" t="str">
        <x:v>Não identificada</x:v>
      </x:c>
      <x:c r="T18" s="206" t="str">
        <x:v>ANBIMA (tipo/foco) + IME CVM | Taxonomia; sem leitura documental específica</x:v>
      </x:c>
    </x:row>
    <x:row r="19" ht="54" customHeight="1">
      <x:c r="A19" s="206" t="n">
        <x:v>14</x:v>
      </x:c>
      <x:c r="B19" s="206" t="str">
        <x:v>50.473.039/0001-02</x:v>
      </x:c>
      <x:c r="C19" s="206" t="str">
        <x:v>SELLER FIDC SEGMENTO MEIOS DE PAGAMENTO DE RESPONSABILIDADE LIMITADA</x:v>
      </x:c>
      <x:c r="D19" s="209" t="n">
        <x:v>3.63384961655</x:v>
      </x:c>
      <x:c r="E19" s="206" t="str">
        <x:v>Financeiro</x:v>
      </x:c>
      <x:c r="F19" s="206" t="str">
        <x:v>Crédito Pessoal</x:v>
      </x:c>
      <x:c r="G19" s="206" t="str">
        <x:v>Oliveira Trust Servicer</x:v>
      </x:c>
      <x:c r="H19" s="206" t="str">
        <x:v>Oliveira Trust</x:v>
      </x:c>
      <x:c r="I19" s="206" t="str">
        <x:v>Independente</x:v>
      </x:c>
      <x:c r="J19" s="206" t="str">
        <x:v>Direitos creditórios originados no âmbito da operação de pagamento com sub-rogação, por meio da qual o Mercado Crédito tem como propósito (i) viabilizar o pagamento antecipado de determinadas U.Rs associadas às Dívidas do Devedor a determinados Estabeleciment…</x:v>
      </x:c>
      <x:c r="K19" s="206" t="str">
        <x:v>Pulverizado</x:v>
      </x:c>
      <x:c r="L19" s="206" t="str">
        <x:v>Não identificado</x:v>
      </x:c>
      <x:c r="M19" s="206" t="str">
        <x:v>Não identificado</x:v>
      </x:c>
      <x:c r="N19" s="209" t="n">
        <x:v>10</x:v>
      </x:c>
      <x:c r="O19" s="206" t="str">
        <x:v>2025-05-28</x:v>
      </x:c>
      <x:c r="P19" s="206" t="str">
        <x:v>Oferta Encerrada</x:v>
      </x:c>
      <x:c r="Q19" s="209" t="n">
        <x:v>1.5</x:v>
      </x:c>
      <x:c r="R19" s="206" t="str">
        <x:v>Não identificado</x:v>
      </x:c>
      <x:c r="S19" s="206" t="str">
        <x:v>2025-05-19</x:v>
      </x:c>
      <x:c r="T19" s="206" t="str">
        <x:v>CVM oferta pública / Toma Conta | Documental</x:v>
      </x:c>
    </x:row>
    <x:row r="20" ht="54" customHeight="1">
      <x:c r="A20" s="206" t="n">
        <x:v>15</x:v>
      </x:c>
      <x:c r="B20" s="206" t="str">
        <x:v>54.979.779/0001-68</x:v>
      </x:c>
      <x:c r="C20" s="206" t="str">
        <x:v>FIDC ACR BEM BANCOS EMISSORES DE CARTÃO DE CRÉDITO - RESPONSABILIDADE LIMITADA</x:v>
      </x:c>
      <x:c r="D20" s="209" t="n">
        <x:v>3.6323227350500003</x:v>
      </x:c>
      <x:c r="E20" s="206" t="str">
        <x:v>Financeiro</x:v>
      </x:c>
      <x:c r="F20" s="206" t="str">
        <x:v>Multicarteira Financeiro</x:v>
      </x:c>
      <x:c r="G20" s="206" t="str">
        <x:v>Banco Bradesco S/A</x:v>
      </x:c>
      <x:c r="H20" s="206" t="str">
        <x:v>Bradesco</x:v>
      </x:c>
      <x:c r="I20" s="206" t="str">
        <x:v>Ligada a banco</x:v>
      </x:c>
      <x:c r="J20" s="206" t="str">
        <x:v>Direitos creditórios detidos decorrentes de Transações de Pagamento realizadas por Usuários-Finais com a utilização de Instrumentos de Pagamento, operacionalizadas pelo Sistema Stone, para a aquisição de bens ou serviços nos Estabelecimentos Credenciados, equ…</x:v>
      </x:c>
      <x:c r="K20" s="206" t="str">
        <x:v>Concentrado</x:v>
      </x:c>
      <x:c r="L20" s="206" t="str">
        <x:v>Não identificado</x:v>
      </x:c>
      <x:c r="M20" s="206" t="str">
        <x:v>Não identificado</x:v>
      </x:c>
      <x:c r="N20" s="209"/>
      <x:c r="O20" s="206" t="str">
        <x:v>2024-05-06</x:v>
      </x:c>
      <x:c r="P20" s="206" t="str">
        <x:v>Oferta Encerrada</x:v>
      </x:c>
      <x:c r="Q20" s="209" t="n">
        <x:v>3.5</x:v>
      </x:c>
      <x:c r="R20" s="206" t="str">
        <x:v>Não identificado</x:v>
      </x:c>
      <x:c r="S20" s="206" t="str">
        <x:v>Não identificada</x:v>
      </x:c>
      <x:c r="T20" s="206" t="str">
        <x:v>CVM oferta pública / Toma Conta | Documental</x:v>
      </x:c>
    </x:row>
    <x:row r="21" ht="54" customHeight="1">
      <x:c r="A21" s="206" t="n">
        <x:v>16</x:v>
      </x:c>
      <x:c r="B21" s="206" t="str">
        <x:v>29.301.202/0001-55</x:v>
      </x:c>
      <x:c r="C21" s="206" t="str">
        <x:v>RSCRED MULTIESTRÉGIA - FUNDO DE INVESTIMENTO EM DIREITOS CREDITÓRIOS NÃO-PADRONIZADOS</x:v>
      </x:c>
      <x:c r="D21" s="209" t="n">
        <x:v>3.5999959734300004</x:v>
      </x:c>
      <x:c r="E21" s="206" t="str">
        <x:v>Outros</x:v>
      </x:c>
      <x:c r="F21" s="206" t="str">
        <x:v>Multicarteira Outros</x:v>
      </x:c>
      <x:c r="G21" s="206" t="str">
        <x:v>SECURITY ADMINISTRAD</x:v>
      </x:c>
      <x:c r="H21" s="206" t="str">
        <x:v>SECURITY ADMINISTRAD</x:v>
      </x:c>
      <x:c r="I21" s="206" t="str">
        <x:v>Independente</x:v>
      </x:c>
      <x:c r="J21" s="206" t="str">
        <x:v>Multicarteira Outros; Financeiro; detalhe cedente/sacado não localizado</x:v>
      </x:c>
      <x:c r="K21" s="206" t="str">
        <x:v>Não identificado</x:v>
      </x:c>
      <x:c r="L21" s="206" t="str">
        <x:v>Não identificado</x:v>
      </x:c>
      <x:c r="M21" s="206" t="str">
        <x:v>Não identificado</x:v>
      </x:c>
      <x:c r="N21" s="209"/>
      <x:c r="O21" s="206" t="str">
        <x:v>Não identificada</x:v>
      </x:c>
      <x:c r="P21" s="206" t="str">
        <x:v>Não identificado</x:v>
      </x:c>
      <x:c r="Q21" s="209"/>
      <x:c r="R21" s="206" t="str">
        <x:v>Não identificado</x:v>
      </x:c>
      <x:c r="S21" s="206" t="str">
        <x:v>Não identificada</x:v>
      </x:c>
      <x:c r="T21" s="206" t="str">
        <x:v>ANBIMA (tipo/foco) + IME CVM | Taxonomia; sem leitura documental específica</x:v>
      </x:c>
    </x:row>
    <x:row r="22" ht="54" customHeight="1">
      <x:c r="A22" s="206" t="n">
        <x:v>17</x:v>
      </x:c>
      <x:c r="B22" s="206" t="str">
        <x:v>12.817.329/0001-29</x:v>
      </x:c>
      <x:c r="C22" s="206" t="str">
        <x:v>HAVAN FUNDO DE INVESTIMENTO EM DIREITOS CREDITÓRIOS SEGMENTO ECONÔMICO, FINANCEIRO E COMERCIAL</x:v>
      </x:c>
      <x:c r="D22" s="209" t="n">
        <x:v>3.57663805352</x:v>
      </x:c>
      <x:c r="E22" s="206" t="str">
        <x:v>Outros</x:v>
      </x:c>
      <x:c r="F22" s="206" t="str">
        <x:v>Multicarteira Outros</x:v>
      </x:c>
      <x:c r="G22" s="206" t="str">
        <x:v>Petra Capital</x:v>
      </x:c>
      <x:c r="H22" s="206" t="str">
        <x:v>Petra Capital</x:v>
      </x:c>
      <x:c r="I22" s="206" t="str">
        <x:v>Independente</x:v>
      </x:c>
      <x:c r="J22" s="206" t="str">
        <x:v>Multicarteira Outros; Comercial; detalhe cedente/sacado não localizado</x:v>
      </x:c>
      <x:c r="K22" s="206" t="str">
        <x:v>Não identificado</x:v>
      </x:c>
      <x:c r="L22" s="206" t="str">
        <x:v>Não identificado</x:v>
      </x:c>
      <x:c r="M22" s="206" t="str">
        <x:v>Não identificado</x:v>
      </x:c>
      <x:c r="N22" s="209"/>
      <x:c r="O22" s="206" t="str">
        <x:v>Não identificada</x:v>
      </x:c>
      <x:c r="P22" s="206" t="str">
        <x:v>Não identificado</x:v>
      </x:c>
      <x:c r="Q22" s="209"/>
      <x:c r="R22" s="206" t="str">
        <x:v>Não identificado</x:v>
      </x:c>
      <x:c r="S22" s="206" t="str">
        <x:v>Não identificada</x:v>
      </x:c>
      <x:c r="T22" s="206" t="str">
        <x:v>ANBIMA (tipo/foco) + IME CVM | Taxonomia; sem leitura documental específica</x:v>
      </x:c>
    </x:row>
    <x:row r="23" ht="54" customHeight="1">
      <x:c r="A23" s="206" t="n">
        <x:v>18</x:v>
      </x:c>
      <x:c r="B23" s="206" t="str">
        <x:v>53.073.485/0001-00</x:v>
      </x:c>
      <x:c r="C23" s="206" t="str">
        <x:v>EXPERT III FUNDO DE INVESTIMENTO EM DIREITOS CREDITÓRIOS DE RESPONSABILIDADE ILIMITADA</x:v>
      </x:c>
      <x:c r="D23" s="209" t="n">
        <x:v>3.54807125128</x:v>
      </x:c>
      <x:c r="E23" s="206" t="str">
        <x:v>Outros</x:v>
      </x:c>
      <x:c r="F23" s="206" t="str">
        <x:v>Multicarteira Outros</x:v>
      </x:c>
      <x:c r="G23" s="206" t="str">
        <x:v>DAYCOVAL ASSET MANAG</x:v>
      </x:c>
      <x:c r="H23" s="206" t="str">
        <x:v>Banco Daycoval</x:v>
      </x:c>
      <x:c r="I23" s="206" t="str">
        <x:v>Ligada a banco</x:v>
      </x:c>
      <x:c r="J23" s="206" t="str">
        <x:v>Multicarteira Outros; detalhe cedente/sacado não localizado</x:v>
      </x:c>
      <x:c r="K23" s="206" t="str">
        <x:v>Não identificado</x:v>
      </x:c>
      <x:c r="L23" s="206" t="str">
        <x:v>Não identificado</x:v>
      </x:c>
      <x:c r="M23" s="206" t="str">
        <x:v>Não identificado</x:v>
      </x:c>
      <x:c r="N23" s="209"/>
      <x:c r="O23" s="206" t="str">
        <x:v>Não identificada</x:v>
      </x:c>
      <x:c r="P23" s="206" t="str">
        <x:v>Não identificado</x:v>
      </x:c>
      <x:c r="Q23" s="209"/>
      <x:c r="R23" s="206" t="str">
        <x:v>Não identificado</x:v>
      </x:c>
      <x:c r="S23" s="206" t="str">
        <x:v>Não identificada</x:v>
      </x:c>
      <x:c r="T23" s="206" t="str">
        <x:v>ANBIMA (tipo/foco) + IME CVM | Taxonomia; sem leitura documental específica</x:v>
      </x:c>
    </x:row>
    <x:row r="24" ht="54" customHeight="1">
      <x:c r="A24" s="206" t="n">
        <x:v>19</x:v>
      </x:c>
      <x:c r="B24" s="206" t="str">
        <x:v>21.126.275/0001-46</x:v>
      </x:c>
      <x:c r="C24" s="206" t="str">
        <x:v>VENDA DE VEÍCULOS FUNDO DE INVESTIMENTO EM DIREITOS CREDITÓRIOS</x:v>
      </x:c>
      <x:c r="D24" s="209" t="n">
        <x:v>3.49213016123086</x:v>
      </x:c>
      <x:c r="E24" s="206" t="str">
        <x:v>Financeiro</x:v>
      </x:c>
      <x:c r="F24" s="206" t="str">
        <x:v>Financiamento de Veículos</x:v>
      </x:c>
      <x:c r="G24" s="206" t="str">
        <x:v>Integral Investimentos</x:v>
      </x:c>
      <x:c r="H24" s="206" t="str">
        <x:v>Integral Investimentos</x:v>
      </x:c>
      <x:c r="I24" s="206" t="str">
        <x:v>Independente</x:v>
      </x:c>
      <x:c r="J24" s="206" t="str">
        <x:v>Financiamento de Veículos; Comercial; detalhe cedente/sacado não localizado</x:v>
      </x:c>
      <x:c r="K24" s="206" t="str">
        <x:v>Não identificado</x:v>
      </x:c>
      <x:c r="L24" s="206" t="str">
        <x:v>Não identificado</x:v>
      </x:c>
      <x:c r="M24" s="206" t="str">
        <x:v>Não identificado</x:v>
      </x:c>
      <x:c r="N24" s="209"/>
      <x:c r="O24" s="206" t="str">
        <x:v>Não identificada</x:v>
      </x:c>
      <x:c r="P24" s="206" t="str">
        <x:v>Não identificado</x:v>
      </x:c>
      <x:c r="Q24" s="209"/>
      <x:c r="R24" s="206" t="str">
        <x:v>Não identificado</x:v>
      </x:c>
      <x:c r="S24" s="206" t="str">
        <x:v>Não identificada</x:v>
      </x:c>
      <x:c r="T24" s="206" t="str">
        <x:v>ANBIMA (tipo/foco) + IME CVM | Taxonomia; sem leitura documental específica</x:v>
      </x:c>
    </x:row>
    <x:row r="25" ht="54" customHeight="1">
      <x:c r="A25" s="206" t="n">
        <x:v>20</x:v>
      </x:c>
      <x:c r="B25" s="206" t="str">
        <x:v>17.250.006/0001-10</x:v>
      </x:c>
      <x:c r="C25" s="206" t="str">
        <x:v>RED FUNDO DE INVESTIMENTO EM DIREITOS CREDITÓRIOS REAL LP DE RESPONSABILIDADE LIMITADA</x:v>
      </x:c>
      <x:c r="D25" s="209" t="n">
        <x:v>3.4864891396099997</x:v>
      </x:c>
      <x:c r="E25" s="206" t="str">
        <x:v>Outros</x:v>
      </x:c>
      <x:c r="F25" s="206" t="str">
        <x:v>Multicarteira Outros</x:v>
      </x:c>
      <x:c r="G25" s="206" t="str">
        <x:v>RedAsset Gestão de Recursos Ltda.</x:v>
      </x:c>
      <x:c r="H25" s="206" t="str">
        <x:v>RedAsset Gestão de Recursos Ltda.</x:v>
      </x:c>
      <x:c r="I25" s="206" t="str">
        <x:v>Independente</x:v>
      </x:c>
      <x:c r="J25" s="206" t="str">
        <x:v>O objetivo do Fundo é a valorização de suas Cotas por meio da aquisição: (i) de Direitos Creditórios, nos termos dos respectivos Contratos de Cessão e (ii) de Ativos Financeiros, conforme política de investimento estabelecida no Regulamento.</x:v>
      </x:c>
      <x:c r="K25" s="206" t="str">
        <x:v>Pulverizado</x:v>
      </x:c>
      <x:c r="L25" s="206" t="str">
        <x:v>Não identificado</x:v>
      </x:c>
      <x:c r="M25" s="206" t="str">
        <x:v>Não identificado</x:v>
      </x:c>
      <x:c r="N25" s="209"/>
      <x:c r="O25" s="206" t="str">
        <x:v>2025-06-26</x:v>
      </x:c>
      <x:c r="P25" s="206" t="str">
        <x:v>Oferta Encerrada</x:v>
      </x:c>
      <x:c r="Q25" s="209" t="n">
        <x:v>1</x:v>
      </x:c>
      <x:c r="R25" s="206" t="str">
        <x:v>Não identificado</x:v>
      </x:c>
      <x:c r="S25" s="206" t="str">
        <x:v>2025-01-10</x:v>
      </x:c>
      <x:c r="T25" s="206" t="str">
        <x:v>CVM oferta pública / Toma Conta | Documental</x:v>
      </x:c>
    </x:row>
    <x:row r="26" ht="54" customHeight="1">
      <x:c r="A26" s="206" t="n">
        <x:v>21</x:v>
      </x:c>
      <x:c r="B26" s="206" t="str">
        <x:v>60.010.416/0001-12</x:v>
      </x:c>
      <x:c r="C26" s="206" t="str">
        <x:v>MT CONSIGNADO PRIVADO I FUNDO DE INVESTIMENTO EM DIREITOS CREDITÓRIOS</x:v>
      </x:c>
      <x:c r="D26" s="209" t="n">
        <x:v>3.3355525912699995</x:v>
      </x:c>
      <x:c r="E26" s="206" t="str">
        <x:v>Financeiro</x:v>
      </x:c>
      <x:c r="F26" s="206" t="str">
        <x:v>Crédito Consignado</x:v>
      </x:c>
      <x:c r="G26" s="206" t="str">
        <x:v>BTG Pactual Asset</x:v>
      </x:c>
      <x:c r="H26" s="206" t="str">
        <x:v>BTG Pactual</x:v>
      </x:c>
      <x:c r="I26" s="206" t="str">
        <x:v>Ligada a banco</x:v>
      </x:c>
      <x:c r="J26" s="206" t="str">
        <x:v>Crédito Consignado; Comercial; detalhe cedente/sacado não localizado</x:v>
      </x:c>
      <x:c r="K26" s="206" t="str">
        <x:v>Não identificado</x:v>
      </x:c>
      <x:c r="L26" s="206" t="str">
        <x:v>Parati Crédito, Financiamento e Investimento S.A</x:v>
      </x:c>
      <x:c r="M26" s="206" t="str">
        <x:v>Não identificado</x:v>
      </x:c>
      <x:c r="N26" s="209"/>
      <x:c r="O26" s="206" t="str">
        <x:v>Não identificada</x:v>
      </x:c>
      <x:c r="P26" s="206" t="str">
        <x:v>Não identificado</x:v>
      </x:c>
      <x:c r="Q26" s="209"/>
      <x:c r="R26" s="206" t="str">
        <x:v>Não identificado</x:v>
      </x:c>
      <x:c r="S26" s="206" t="str">
        <x:v>2025-10-09</x:v>
      </x:c>
      <x:c r="T26" s="206" t="str">
        <x:v>ANBIMA (tipo/foco) + IME CVM | Taxonomia; sem leitura documental específica</x:v>
      </x:c>
    </x:row>
    <x:row r="27" ht="54" customHeight="1">
      <x:c r="A27" s="206" t="n">
        <x:v>22</x:v>
      </x:c>
      <x:c r="B27" s="206" t="str">
        <x:v>48.349.509/0001-70</x:v>
      </x:c>
      <x:c r="C27" s="206" t="str">
        <x:v>OCCAM CRÉDITO CORPORATIVO 30 FUNDO DE INVESTIMENTO EM DIREITOS CREDITÓRIOS RESPONSABILIDADE LIMITADA</x:v>
      </x:c>
      <x:c r="D27" s="209" t="n">
        <x:v>3.32919824042</x:v>
      </x:c>
      <x:c r="E27" s="206" t="str">
        <x:v>Outros</x:v>
      </x:c>
      <x:c r="F27" s="206" t="str">
        <x:v>Multicarteira Outros</x:v>
      </x:c>
      <x:c r="G27" s="206" t="str">
        <x:v>NOVA OCCAM BRASIL GESTÃO DE RECURSOS LTDA.</x:v>
      </x:c>
      <x:c r="H27" s="206" t="str">
        <x:v>NOVA OCCAM BRASIL GESTÃO DE RECURSOS LTDA.</x:v>
      </x:c>
      <x:c r="I27" s="206" t="str">
        <x:v>Independente</x:v>
      </x:c>
      <x:c r="J27" s="206" t="str">
        <x:v>Multicarteira Outros; Financeiro; detalhe cedente/sacado não localizado</x:v>
      </x:c>
      <x:c r="K27" s="206" t="str">
        <x:v>Não identificado</x:v>
      </x:c>
      <x:c r="L27" s="206" t="str">
        <x:v>Não identificado</x:v>
      </x:c>
      <x:c r="M27" s="206" t="str">
        <x:v>Não identificado</x:v>
      </x:c>
      <x:c r="N27" s="209"/>
      <x:c r="O27" s="206" t="str">
        <x:v>Não identificada</x:v>
      </x:c>
      <x:c r="P27" s="206" t="str">
        <x:v>Não identificado</x:v>
      </x:c>
      <x:c r="Q27" s="209"/>
      <x:c r="R27" s="206" t="str">
        <x:v>Não identificado</x:v>
      </x:c>
      <x:c r="S27" s="206" t="str">
        <x:v>Não identificada</x:v>
      </x:c>
      <x:c r="T27" s="206" t="str">
        <x:v>ANBIMA (tipo/foco) + IME CVM | Taxonomia; sem leitura documental específica</x:v>
      </x:c>
    </x:row>
    <x:row r="28" ht="54" customHeight="1">
      <x:c r="A28" s="206" t="n">
        <x:v>23</x:v>
      </x:c>
      <x:c r="B28" s="206" t="str">
        <x:v>60.356.171/0001-80</x:v>
      </x:c>
      <x:c r="C28" s="206" t="str">
        <x:v>CLOUDWALK PI FUNDO DE INVESTIMENTO EM DIREITOS CREDITÓRIOS SEGMENTO MEIOS DE PAGAMENTO</x:v>
      </x:c>
      <x:c r="D28" s="209" t="n">
        <x:v>3.2523546327700004</x:v>
      </x:c>
      <x:c r="E28" s="206" t="str">
        <x:v>Financeiro</x:v>
      </x:c>
      <x:c r="F28" s="206" t="str">
        <x:v>Multicarteira Financeiro</x:v>
      </x:c>
      <x:c r="G28" s="206" t="str">
        <x:v>BTG Pactual Asset</x:v>
      </x:c>
      <x:c r="H28" s="206" t="str">
        <x:v>BTG Pactual</x:v>
      </x:c>
      <x:c r="I28" s="206" t="str">
        <x:v>Ligada a banco</x:v>
      </x:c>
      <x:c r="J28" s="206" t="str">
        <x:v>Significam os direitos creditórios de tempos em tempos detidos pela Cedente em face dos Devedores, conforme as regras dos Arranjos de Pagamentos abertos, decorrentes de Transações de Pagamento realizadas por Usuários-Finais com a utilização de Instrumentos de…</x:v>
      </x:c>
      <x:c r="K28" s="206" t="str">
        <x:v>Pulverizado</x:v>
      </x:c>
      <x:c r="L28" s="206" t="str">
        <x:v>Não identificado</x:v>
      </x:c>
      <x:c r="M28" s="206" t="str">
        <x:v>Não identificado</x:v>
      </x:c>
      <x:c r="N28" s="209" t="n">
        <x:v>15.5</x:v>
      </x:c>
      <x:c r="O28" s="206" t="str">
        <x:v>2025-04-22</x:v>
      </x:c>
      <x:c r="P28" s="206" t="str">
        <x:v>Oferta Encerrada</x:v>
      </x:c>
      <x:c r="Q28" s="209" t="n">
        <x:v>3.14159265359</x:v>
      </x:c>
      <x:c r="R28" s="206" t="str">
        <x:v>OUTRO</x:v>
      </x:c>
      <x:c r="S28" s="206" t="str">
        <x:v>2025-09-04</x:v>
      </x:c>
      <x:c r="T28" s="206" t="str">
        <x:v>CVM oferta pública / Toma Conta | Documental</x:v>
      </x:c>
    </x:row>
    <x:row r="29" ht="54" customHeight="1">
      <x:c r="A29" s="206" t="n">
        <x:v>24</x:v>
      </x:c>
      <x:c r="B29" s="206" t="str">
        <x:v>11.468.186/0001-24</x:v>
      </x:c>
      <x:c r="C29" s="206" t="str">
        <x:v>ATLANTA FUNDO DE INVESTIMENTO EM DIREITOS CREDITÓRIOS DE RESPONSABILIDADE LIMITADA</x:v>
      </x:c>
      <x:c r="D29" s="209" t="n">
        <x:v>3.23263508126</x:v>
      </x:c>
      <x:c r="E29" s="206" t="str">
        <x:v>Fomento Mercantil</x:v>
      </x:c>
      <x:c r="F29" s="206" t="str">
        <x:v>Fomento Mercantil</x:v>
      </x:c>
      <x:c r="G29" s="206" t="str">
        <x:v>TERCON ASSET MANAGEMENT</x:v>
      </x:c>
      <x:c r="H29" s="206" t="str">
        <x:v>TERCON ASSET MANAGEMENT</x:v>
      </x:c>
      <x:c r="I29" s="206" t="str">
        <x:v>Independente</x:v>
      </x:c>
      <x:c r="J29" s="206" t="str">
        <x:v>DIREITOS CREDITÓRIOS</x:v>
      </x:c>
      <x:c r="K29" s="206" t="str">
        <x:v>Pulverizado</x:v>
      </x:c>
      <x:c r="L29" s="206" t="str">
        <x:v>ALCANCE CONSULTORIA SERVICOS E AGENCIAMENTO DE NEGOCIOS LTDA | ALCANCE CONSULTORIA, SERVIÇOS E AGEN…</x:v>
      </x:c>
      <x:c r="M29" s="206" t="str">
        <x:v>Não identificado</x:v>
      </x:c>
      <x:c r="N29" s="209" t="n">
        <x:v>50</x:v>
      </x:c>
      <x:c r="O29" s="206" t="str">
        <x:v>2026-02-23</x:v>
      </x:c>
      <x:c r="P29" s="206" t="str">
        <x:v>Registro Concedido</x:v>
      </x:c>
      <x:c r="Q29" s="209" t="n">
        <x:v>0.25</x:v>
      </x:c>
      <x:c r="R29" s="206" t="str">
        <x:v>Não identificado</x:v>
      </x:c>
      <x:c r="S29" s="206" t="str">
        <x:v>2026-03-06</x:v>
      </x:c>
      <x:c r="T29" s="206" t="str">
        <x:v>CVM oferta pública / Toma Conta | Documental</x:v>
      </x:c>
    </x:row>
    <x:row r="30" ht="54" customHeight="1">
      <x:c r="A30" s="207" t="n">
        <x:v>25</x:v>
      </x:c>
      <x:c r="B30" s="207" t="str">
        <x:v>49.826.785/0001-45</x:v>
      </x:c>
      <x:c r="C30" s="207" t="str">
        <x:v>ASA FUNDO DE INVESTIMENTO EM DIREITOS CREDITÓRIOS RESPONSABILIDADE LIMITADA</x:v>
      </x:c>
      <x:c r="D30" s="210" t="n">
        <x:v>3.15310354427</x:v>
      </x:c>
      <x:c r="E30" s="207" t="str">
        <x:v>Outros</x:v>
      </x:c>
      <x:c r="F30" s="207" t="str">
        <x:v>Multicarteira Outros</x:v>
      </x:c>
      <x:c r="G30" s="207" t="str">
        <x:v>ASA Investments</x:v>
      </x:c>
      <x:c r="H30" s="207" t="str">
        <x:v>ASA Investments</x:v>
      </x:c>
      <x:c r="I30" s="207" t="str">
        <x:v>Independente</x:v>
      </x:c>
      <x:c r="J30" s="207" t="str">
        <x:v>Multicarteira Outros; Financeiro; detalhe cedente/sacado não localizado</x:v>
      </x:c>
      <x:c r="K30" s="207" t="str">
        <x:v>Não identificado</x:v>
      </x:c>
      <x:c r="L30" s="207" t="str">
        <x:v>Não identificado</x:v>
      </x:c>
      <x:c r="M30" s="207" t="str">
        <x:v>Não identificado</x:v>
      </x:c>
      <x:c r="N30" s="210"/>
      <x:c r="O30" s="207" t="str">
        <x:v>Não identificada</x:v>
      </x:c>
      <x:c r="P30" s="207" t="str">
        <x:v>Não identificado</x:v>
      </x:c>
      <x:c r="Q30" s="210"/>
      <x:c r="R30" s="207" t="str">
        <x:v>Não identificado</x:v>
      </x:c>
      <x:c r="S30" s="207" t="str">
        <x:v>Não identificada</x:v>
      </x:c>
      <x:c r="T30" s="207" t="str">
        <x:v>ANBIMA (tipo/foco) + IME CVM | Taxonomia; sem leitura documental específica</x:v>
      </x:c>
    </x:row>
  </x:sheetData>
  <x:mergeCells>
    <x:mergeCell ref="A1:T2"/>
    <x:mergeCell ref="A3:T3"/>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88" hidden="0" customWidth="1"/>
    <x:col min="3" max="3" width="70" hidden="0" customWidth="1"/>
    <x:col min="4" max="4" width="26" hidden="0" customWidth="1"/>
  </x:cols>
  <x:sheetData>
    <x:row r="1" ht="30" customHeight="1">
      <x:c r="A1" s="4" t="str">
        <x:v>Glossário do próprio dashboard ANBIMA | página 2 do Power BI</x:v>
      </x:c>
      <x:c r="B1" s="4" t="str">
        <x:v>Glossário do próprio dashboard ANBIMA | página 2 do Power BI</x:v>
      </x:c>
      <x:c r="C1" s="4" t="str">
        <x:v>Glossário do próprio dashboard ANBIMA | página 2 do Power BI</x:v>
      </x:c>
      <x:c r="D1" s="4" t="str">
        <x:v>Glossário do próprio dashboard ANBIMA | página 2 do Power BI</x:v>
      </x:c>
    </x:row>
    <x:row r="2" ht="30" customHeight="1">
      <x:c r="A2" s="4" t="str">
        <x:v>Glossário do próprio dashboard ANBIMA | página 2 do Power BI</x:v>
      </x:c>
      <x:c r="B2" s="4" t="str">
        <x:v>Glossário do próprio dashboard ANBIMA | página 2 do Power BI</x:v>
      </x:c>
      <x:c r="C2" s="4" t="str">
        <x:v>Glossário do próprio dashboard ANBIMA | página 2 do Power BI</x:v>
      </x:c>
      <x:c r="D2" s="4" t="str">
        <x:v>Glossário do próprio dashboard ANBIMA | página 2 do Power BI</x:v>
      </x:c>
    </x:row>
    <x:row r="3">
      <x:c r="A3" s="211"/>
      <x:c r="B3" s="211"/>
      <x:c r="C3" s="211"/>
      <x:c r="D3" s="211"/>
    </x:row>
    <x:row r="4" ht="28" customHeight="1">
      <x:c r="A4" s="20" t="str">
        <x:v>Termo</x:v>
      </x:c>
      <x:c r="B4" s="21" t="str">
        <x:v>Definição do painel (síntese fiel)</x:v>
      </x:c>
      <x:c r="C4" s="21" t="str">
        <x:v>Fonte</x:v>
      </x:c>
      <x:c r="D4" s="22" t="str">
        <x:v>Observação</x:v>
      </x:c>
    </x:row>
    <x:row r="5" ht="52" customHeight="1">
      <x:c r="A5" s="193" t="str">
        <x:v>Patrimônio líquido</x:v>
      </x:c>
      <x:c r="B5" s="193" t="str">
        <x:v>Valor total dos ativos do fundo deduzido das obrigações; calculado diária ou mensalmente e referente a um momento.</x:v>
      </x:c>
      <x:c r="C5" s="193" t="str">
        <x:v>https://app.powerbi.com/view?r=eyJrIjoiM2M2NzVmOWItMzI0Yi00MTE1LWI5ZmYtZTM0ZWM4ZDUwODNlIiwidCI6Ijk3OTM3M2VkLWQxMzAtNDU4NS1iNTY5LTNjM2NlNjE0MTIyNyJ9</x:v>
      </x:c>
      <x:c r="D5" s="193" t="str"/>
    </x:row>
    <x:row r="6" ht="52" customHeight="1">
      <x:c r="A6" s="194" t="str">
        <x:v>Classe de cotas</x:v>
      </x:c>
      <x:c r="B6" s="194" t="str">
        <x:v>Patrimônio segregado dentro do fundo, com direitos e obrigações próprios; pode ter regras específicas de investimento, tributação e governança.</x:v>
      </x:c>
      <x:c r="C6" s="194" t="str">
        <x:v>https://app.powerbi.com/view?r=eyJrIjoiM2M2NzVmOWItMzI0Yi00MTE1LWI5ZmYtZTM0ZWM4ZDUwODNlIiwidCI6Ijk3OTM3M2VkLWQxMzAtNDU4NS1iNTY5LTNjM2NlNjE0MTIyNyJ9</x:v>
      </x:c>
      <x:c r="D6" s="194" t="str"/>
    </x:row>
    <x:row r="7" ht="52" customHeight="1">
      <x:c r="A7" s="194" t="str">
        <x:v>Subclasse de cotas</x:v>
      </x:c>
      <x:c r="B7" s="194" t="str">
        <x:v>Dentro de uma classe, diferencia público-alvo, taxas, prazos de resgate, condições de entrada e saída, entre outros.</x:v>
      </x:c>
      <x:c r="C7" s="194" t="str">
        <x:v>https://app.powerbi.com/view?r=eyJrIjoiM2M2NzVmOWItMzI0Yi00MTE1LWI5ZmYtZTM0ZWM4ZDUwODNlIiwidCI6Ijk3OTM3M2VkLWQxMzAtNDU4NS1iNTY5LTNjM2NlNjE0MTIyNyJ9</x:v>
      </x:c>
      <x:c r="D7" s="194" t="str"/>
    </x:row>
    <x:row r="8" ht="52" customHeight="1">
      <x:c r="A8" s="194" t="str">
        <x:v>Número de contas</x:v>
      </x:c>
      <x:c r="B8" s="194" t="str">
        <x:v>Quantidade de vínculos de participação de investidores; mede distribuição e pulverização, não CPFs únicos.</x:v>
      </x:c>
      <x:c r="C8" s="194" t="str">
        <x:v>https://app.powerbi.com/view?r=eyJrIjoiM2M2NzVmOWItMzI0Yi00MTE1LWI5ZmYtZTM0ZWM4ZDUwODNlIiwidCI6Ijk3OTM3M2VkLWQxMzAtNDU4NS1iNTY5LTNjM2NlNjE0MTIyNyJ9</x:v>
      </x:c>
      <x:c r="D8" s="194" t="str"/>
    </x:row>
    <x:row r="9" ht="52" customHeight="1">
      <x:c r="A9" s="194" t="str">
        <x:v>Condomínio aberto</x:v>
      </x:c>
      <x:c r="B9" s="194" t="str">
        <x:v>Investidores podem solicitar resgate a qualquer tempo.</x:v>
      </x:c>
      <x:c r="C9" s="194" t="str">
        <x:v>https://app.powerbi.com/view?r=eyJrIjoiM2M2NzVmOWItMzI0Yi00MTE1LWI5ZmYtZTM0ZWM4ZDUwODNlIiwidCI6Ijk3OTM3M2VkLWQxMzAtNDU4NS1iNTY5LTNjM2NlNjE0MTIyNyJ9</x:v>
      </x:c>
      <x:c r="D9" s="194" t="str"/>
    </x:row>
    <x:row r="10" ht="52" customHeight="1">
      <x:c r="A10" s="194" t="str">
        <x:v>Condomínio fechado</x:v>
      </x:c>
      <x:c r="B10" s="194" t="str">
        <x:v>Cotas somente são resgatadas ao término do prazo de duração do fundo.</x:v>
      </x:c>
      <x:c r="C10" s="194" t="str">
        <x:v>https://app.powerbi.com/view?r=eyJrIjoiM2M2NzVmOWItMzI0Yi00MTE1LWI5ZmYtZTM0ZWM4ZDUwODNlIiwidCI6Ijk3OTM3M2VkLWQxMzAtNDU4NS1iNTY5LTNjM2NlNjE0MTIyNyJ9</x:v>
      </x:c>
      <x:c r="D10" s="194" t="str"/>
    </x:row>
    <x:row r="11" ht="52" customHeight="1">
      <x:c r="A11" s="194" t="str">
        <x:v>Valor encerrado da distribuição</x:v>
      </x:c>
      <x:c r="B11" s="194" t="str">
        <x:v>Montante efetivamente captado na oferta pública: preço de emissão × cotas efetivamente subscritas e integralizadas.</x:v>
      </x:c>
      <x:c r="C11" s="194" t="str">
        <x:v>https://app.powerbi.com/view?r=eyJrIjoiM2M2NzVmOWItMzI0Yi00MTE1LWI5ZmYtZTM0ZWM4ZDUwODNlIiwidCI6Ijk3OTM3M2VkLWQxMzAtNDU4NS1iNTY5LTNjM2NlNjE0MTIyNyJ9</x:v>
      </x:c>
      <x:c r="D11" s="194" t="str">
        <x:v>Não é variação de PL</x:v>
      </x:c>
    </x:row>
    <x:row r="12" ht="52" customHeight="1">
      <x:c r="A12" s="194" t="str">
        <x:v>Administrador</x:v>
      </x:c>
      <x:c r="B12" s="194" t="str">
        <x:v>Pessoa jurídica autorizada pela CVM responsável por administração, apreçamento, registros, informações cadastrais e controles da classe.</x:v>
      </x:c>
      <x:c r="C12" s="194" t="str">
        <x:v>https://app.powerbi.com/view?r=eyJrIjoiM2M2NzVmOWItMzI0Yi00MTE1LWI5ZmYtZTM0ZWM4ZDUwODNlIiwidCI6Ijk3OTM3M2VkLWQxMzAtNDU4NS1iNTY5LTNjM2NlNjE0MTIyNyJ9</x:v>
      </x:c>
      <x:c r="D12" s="194" t="str"/>
    </x:row>
    <x:row r="13" ht="52" customHeight="1">
      <x:c r="A13" s="194" t="str">
        <x:v>Gestor</x:v>
      </x:c>
      <x:c r="B13" s="194" t="str">
        <x:v>Pessoa autorizada pela CVM responsável por gerir os recursos conforme a política de investimento do regulamento.</x:v>
      </x:c>
      <x:c r="C13" s="194" t="str">
        <x:v>https://app.powerbi.com/view?r=eyJrIjoiM2M2NzVmOWItMzI0Yi00MTE1LWI5ZmYtZTM0ZWM4ZDUwODNlIiwidCI6Ijk3OTM3M2VkLWQxMzAtNDU4NS1iNTY5LTNjM2NlNjE0MTIyNyJ9</x:v>
      </x:c>
      <x:c r="D13" s="194" t="str"/>
    </x:row>
    <x:row r="14" ht="52" customHeight="1">
      <x:c r="A14" s="194" t="str">
        <x:v>Agro, indústria e comércio</x:v>
      </x:c>
      <x:c r="B14" s="194" t="str">
        <x:v>Direitos creditórios de operações comerciais, industriais ou agropecuárias; financia a cadeia produtiva e comercial.</x:v>
      </x:c>
      <x:c r="C14" s="194" t="str">
        <x:v>https://app.powerbi.com/view?r=eyJrIjoiM2M2NzVmOWItMzI0Yi00MTE1LWI5ZmYtZTM0ZWM4ZDUwODNlIiwidCI6Ijk3OTM3M2VkLWQxMzAtNDU4NS1iNTY5LTNjM2NlNjE0MTIyNyJ9</x:v>
      </x:c>
      <x:c r="D14" s="194" t="str"/>
    </x:row>
    <x:row r="15" ht="52" customHeight="1">
      <x:c r="A15" s="194" t="str">
        <x:v>Financeiro</x:v>
      </x:c>
      <x:c r="B15" s="194" t="str">
        <x:v>Créditos originados por instituições financeiras; inclui imobiliário, consignado, pessoal, veículos e multicarteira financeiro.</x:v>
      </x:c>
      <x:c r="C15" s="194" t="str">
        <x:v>https://app.powerbi.com/view?r=eyJrIjoiM2M2NzVmOWItMzI0Yi00MTE1LWI5ZmYtZTM0ZWM4ZDUwODNlIiwidCI6Ijk3OTM3M2VkLWQxMzAtNDU4NS1iNTY5LTNjM2NlNjE0MTIyNyJ9</x:v>
      </x:c>
      <x:c r="D15" s="194" t="str"/>
    </x:row>
    <x:row r="16" ht="52" customHeight="1">
      <x:c r="A16" s="194" t="str">
        <x:v>Fomento mercantil</x:v>
      </x:c>
      <x:c r="B16" s="194" t="str">
        <x:v>Recebíveis de factoring; carteira pulverizada, como duplicatas e cheques, originada e vendida por diversos cedentes.</x:v>
      </x:c>
      <x:c r="C16" s="194" t="str">
        <x:v>https://app.powerbi.com/view?r=eyJrIjoiM2M2NzVmOWItMzI0Yi00MTE1LWI5ZmYtZTM0ZWM4ZDUwODNlIiwidCI6Ijk3OTM3M2VkLWQxMzAtNDU4NS1iNTY5LTNjM2NlNjE0MTIyNyJ9</x:v>
      </x:c>
      <x:c r="D16" s="194" t="str"/>
    </x:row>
    <x:row r="17" ht="52" customHeight="1">
      <x:c r="A17" s="194" t="str">
        <x:v>Outros</x:v>
      </x:c>
      <x:c r="B17" s="194" t="str">
        <x:v>Categoria residual; inclui recuperação/NPL, Poder Público e multicarteira de tipos não enquadrados nas categorias anteriores.</x:v>
      </x:c>
      <x:c r="C17" s="194" t="str">
        <x:v>https://app.powerbi.com/view?r=eyJrIjoiM2M2NzVmOWItMzI0Yi00MTE1LWI5ZmYtZTM0ZWM4ZDUwODNlIiwidCI6Ijk3OTM3M2VkLWQxMzAtNDU4NS1iNTY5LTNjM2NlNjE0MTIyNyJ9</x:v>
      </x:c>
      <x:c r="D17" s="194" t="str"/>
    </x:row>
    <x:row r="18" ht="52" customHeight="1">
      <x:c r="A18" s="195" t="str">
        <x:v>Multicarteira</x:v>
      </x:c>
      <x:c r="B18" s="195" t="str">
        <x:v>Dois ou mais setores dentro do respectivo Tipo ANBIMA; não significa, por si só, multicedente ou multissacado.</x:v>
      </x:c>
      <x:c r="C18" s="195" t="str">
        <x:v>https://app.powerbi.com/view?r=eyJrIjoiM2M2NzVmOWItMzI0Yi00MTE1LWI5ZmYtZTM0ZWM4ZDUwODNlIiwidCI6Ijk3OTM3M2VkLWQxMzAtNDU4NS1iNTY5LTNjM2NlNjE0MTIyNyJ9</x:v>
      </x:c>
      <x:c r="D18" s="195" t="str"/>
    </x:row>
  </x:sheetData>
  <x:mergeCells>
    <x:mergeCell ref="A1:D2"/>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 hidden="0" customWidth="1"/>
  </x:cols>
  <x:sheetData>
    <x:row r="1" ht="30" customHeight="1">
      <x:c r="A1" s="4" t="str">
        <x:v>Fluxos e variação de PL | não confundir com ofertas encerradas</x:v>
      </x:c>
      <x:c r="B1" s="4" t="str">
        <x:v>Fluxos e variação de PL | não confundir com ofertas encerradas</x:v>
      </x:c>
      <x:c r="C1" s="4" t="str">
        <x:v>Fluxos e variação de PL | não confundir com ofertas encerradas</x:v>
      </x:c>
      <x:c r="D1" s="4" t="str">
        <x:v>Fluxos e variação de PL | não confundir com ofertas encerradas</x:v>
      </x:c>
      <x:c r="E1" s="4" t="str">
        <x:v>Fluxos e variação de PL | não confundir com ofertas encerradas</x:v>
      </x:c>
      <x:c r="F1" s="4" t="str">
        <x:v>Fluxos e variação de PL | não confundir com ofertas encerradas</x:v>
      </x:c>
      <x:c r="G1" s="4" t="str">
        <x:v>Fluxos e variação de PL | não confundir com ofertas encerradas</x:v>
      </x:c>
      <x:c r="H1" s="4" t="str">
        <x:v>Fluxos e variação de PL | não confundir com ofertas encerradas</x:v>
      </x:c>
      <x:c r="I1" s="4" t="str">
        <x:v>Fluxos e variação de PL | não confundir com ofertas encerradas</x:v>
      </x:c>
      <x:c r="J1" s="4" t="str">
        <x:v>Fluxos e variação de PL | não confundir com ofertas encerradas</x:v>
      </x:c>
      <x:c r="K1" s="4" t="str">
        <x:v>Fluxos e variação de PL | não confundir com ofertas encerradas</x:v>
      </x:c>
      <x:c r="L1" s="4" t="str">
        <x:v>Fluxos e variação de PL | não confundir com ofertas encerradas</x:v>
      </x:c>
      <x:c r="M1" s="4" t="str">
        <x:v>Fluxos e variação de PL | não confundir com ofertas encerradas</x:v>
      </x:c>
      <x:c r="N1" s="4" t="str">
        <x:v>Fluxos e variação de PL | não confundir com ofertas encerradas</x:v>
      </x:c>
    </x:row>
    <x:row r="2" ht="30" customHeight="1">
      <x:c r="A2" s="4" t="str">
        <x:v>Fluxos e variação de PL | não confundir com ofertas encerradas</x:v>
      </x:c>
      <x:c r="B2" s="4" t="str">
        <x:v>Fluxos e variação de PL | não confundir com ofertas encerradas</x:v>
      </x:c>
      <x:c r="C2" s="4" t="str">
        <x:v>Fluxos e variação de PL | não confundir com ofertas encerradas</x:v>
      </x:c>
      <x:c r="D2" s="4" t="str">
        <x:v>Fluxos e variação de PL | não confundir com ofertas encerradas</x:v>
      </x:c>
      <x:c r="E2" s="4" t="str">
        <x:v>Fluxos e variação de PL | não confundir com ofertas encerradas</x:v>
      </x:c>
      <x:c r="F2" s="4" t="str">
        <x:v>Fluxos e variação de PL | não confundir com ofertas encerradas</x:v>
      </x:c>
      <x:c r="G2" s="4" t="str">
        <x:v>Fluxos e variação de PL | não confundir com ofertas encerradas</x:v>
      </x:c>
      <x:c r="H2" s="4" t="str">
        <x:v>Fluxos e variação de PL | não confundir com ofertas encerradas</x:v>
      </x:c>
      <x:c r="I2" s="4" t="str">
        <x:v>Fluxos e variação de PL | não confundir com ofertas encerradas</x:v>
      </x:c>
      <x:c r="J2" s="4" t="str">
        <x:v>Fluxos e variação de PL | não confundir com ofertas encerradas</x:v>
      </x:c>
      <x:c r="K2" s="4" t="str">
        <x:v>Fluxos e variação de PL | não confundir com ofertas encerradas</x:v>
      </x:c>
      <x:c r="L2" s="4" t="str">
        <x:v>Fluxos e variação de PL | não confundir com ofertas encerradas</x:v>
      </x:c>
      <x:c r="M2" s="4" t="str">
        <x:v>Fluxos e variação de PL | não confundir com ofertas encerradas</x:v>
      </x:c>
      <x:c r="N2" s="4" t="str">
        <x:v>Fluxos e variação de PL | não confundir com ofertas encerradas</x:v>
      </x:c>
    </x:row>
    <x:row r="3">
      <x:c r="A3" s="211"/>
      <x:c r="B3" s="211"/>
      <x:c r="C3" s="211"/>
      <x:c r="D3" s="211"/>
      <x:c r="E3" s="211"/>
      <x:c r="F3" s="211"/>
      <x:c r="G3" s="211"/>
      <x:c r="H3" s="211"/>
      <x:c r="I3" s="211"/>
      <x:c r="J3" s="211"/>
      <x:c r="K3" s="211"/>
      <x:c r="L3" s="211"/>
      <x:c r="M3" s="211"/>
      <x:c r="N3" s="211"/>
    </x:row>
    <x:row r="4" ht="28" customHeight="1">
      <x:c r="A4" s="20" t="str">
        <x:v>Mês</x:v>
      </x:c>
      <x:c r="B4" s="21" t="str">
        <x:v>PL (R$ bi)</x:v>
      </x:c>
      <x:c r="C4" s="21" t="str">
        <x:v>Δ PL (R$ bi)</x:v>
      </x:c>
      <x:c r="D4" s="21" t="str">
        <x:v>Captação líquida (R$ bi)</x:v>
      </x:c>
      <x:c r="E4" s="21" t="str">
        <x:v>Captações brutas (R$ bi)</x:v>
      </x:c>
      <x:c r="F4" s="21" t="str">
        <x:v>Resgates (R$ bi)</x:v>
      </x:c>
      <x:c r="G4" s="22" t="str">
        <x:v>Amortizações (R$ bi)</x:v>
      </x:c>
      <x:c r="H4" s="211"/>
      <x:c r="I4" s="211"/>
      <x:c r="J4" s="211"/>
      <x:c r="K4" s="211"/>
      <x:c r="L4" s="211"/>
      <x:c r="M4" s="211"/>
      <x:c r="N4" s="211"/>
    </x:row>
    <x:row r="5">
      <x:c r="A5" s="125" t="n">
        <x:v>45292</x:v>
      </x:c>
      <x:c r="B5" s="119" t="n">
        <x:v>494.41353082127</x:v>
      </x:c>
      <x:c r="C5" s="119" t="n">
        <x:v>0</x:v>
      </x:c>
      <x:c r="D5" s="119" t="n">
        <x:v>5.913308697019785</x:v>
      </x:c>
      <x:c r="E5" s="119" t="n">
        <x:v>33.75967971202</x:v>
      </x:c>
      <x:c r="F5" s="119" t="n">
        <x:v>27.704448646269995</x:v>
      </x:c>
      <x:c r="G5" s="119" t="n">
        <x:v>0.14192236873021913</x:v>
      </x:c>
      <x:c r="H5" s="212" t="str">
        <x:v>jan/24</x:v>
      </x:c>
      <x:c r="I5" s="211"/>
      <x:c r="J5" s="211"/>
      <x:c r="K5" s="211"/>
      <x:c r="L5" s="211"/>
      <x:c r="M5" s="211"/>
      <x:c r="N5" s="211"/>
    </x:row>
    <x:row r="6">
      <x:c r="A6" s="126" t="n">
        <x:v>45323</x:v>
      </x:c>
      <x:c r="B6" s="120" t="n">
        <x:v>494.4263661833</x:v>
      </x:c>
      <x:c r="C6" s="120" t="n">
        <x:v>0.012835362029968262</x:v>
      </x:c>
      <x:c r="D6" s="120" t="n">
        <x:v>-2.319563783118257</x:v>
      </x:c>
      <x:c r="E6" s="120" t="n">
        <x:v>27.662566956219997</x:v>
      </x:c>
      <x:c r="F6" s="120" t="n">
        <x:v>29.90128700127</x:v>
      </x:c>
      <x:c r="G6" s="120" t="n">
        <x:v>0.08084373806825391</x:v>
      </x:c>
      <x:c r="H6" s="212" t="str">
        <x:v>fev/24</x:v>
      </x:c>
      <x:c r="I6" s="211"/>
      <x:c r="J6" s="211"/>
      <x:c r="K6" s="211"/>
      <x:c r="L6" s="211"/>
      <x:c r="M6" s="211"/>
      <x:c r="N6" s="211"/>
    </x:row>
    <x:row r="7">
      <x:c r="A7" s="126" t="n">
        <x:v>45352</x:v>
      </x:c>
      <x:c r="B7" s="120" t="n">
        <x:v>501.2223022773299</x:v>
      </x:c>
      <x:c r="C7" s="120" t="n">
        <x:v>6.795936094029908</x:v>
      </x:c>
      <x:c r="D7" s="120" t="n">
        <x:v>6.9617581303683815</x:v>
      </x:c>
      <x:c r="E7" s="120" t="n">
        <x:v>30.377209999029997</x:v>
      </x:c>
      <x:c r="F7" s="120" t="n">
        <x:v>23.384772428548118</x:v>
      </x:c>
      <x:c r="G7" s="120" t="n">
        <x:v>0.03067944011349838</x:v>
      </x:c>
      <x:c r="H7" s="212" t="str">
        <x:v>mar/24</x:v>
      </x:c>
      <x:c r="I7" s="211"/>
      <x:c r="J7" s="211"/>
      <x:c r="K7" s="211"/>
      <x:c r="L7" s="211"/>
      <x:c r="M7" s="211"/>
      <x:c r="N7" s="211"/>
    </x:row>
    <x:row r="8">
      <x:c r="A8" s="126" t="n">
        <x:v>45383</x:v>
      </x:c>
      <x:c r="B8" s="120" t="n">
        <x:v>543.41890172701</x:v>
      </x:c>
      <x:c r="C8" s="120" t="n">
        <x:v>42.196599449680114</x:v>
      </x:c>
      <x:c r="D8" s="120" t="n">
        <x:v>39.77514560263903</x:v>
      </x:c>
      <x:c r="E8" s="120" t="n">
        <x:v>56.0832136008</x:v>
      </x:c>
      <x:c r="F8" s="120" t="n">
        <x:v>16.21979610443</x:v>
      </x:c>
      <x:c r="G8" s="120" t="n">
        <x:v>0.0882718937309698</x:v>
      </x:c>
      <x:c r="H8" s="212" t="str">
        <x:v>abr/24</x:v>
      </x:c>
      <x:c r="I8" s="211"/>
      <x:c r="J8" s="211"/>
      <x:c r="K8" s="211"/>
      <x:c r="L8" s="211"/>
      <x:c r="M8" s="211"/>
      <x:c r="N8" s="211"/>
    </x:row>
    <x:row r="9">
      <x:c r="A9" s="126" t="n">
        <x:v>45413</x:v>
      </x:c>
      <x:c r="B9" s="120" t="n">
        <x:v>550.99335146899</x:v>
      </x:c>
      <x:c r="C9" s="120" t="n">
        <x:v>7.57444974197998</x:v>
      </x:c>
      <x:c r="D9" s="120" t="n">
        <x:v>2.5667710183853583</x:v>
      </x:c>
      <x:c r="E9" s="120" t="n">
        <x:v>45.35286221698</x:v>
      </x:c>
      <x:c r="F9" s="120" t="n">
        <x:v>42.694935686010005</x:v>
      </x:c>
      <x:c r="G9" s="120" t="n">
        <x:v>0.09115551258464274</x:v>
      </x:c>
      <x:c r="H9" s="212" t="str">
        <x:v>mai/24</x:v>
      </x:c>
      <x:c r="I9" s="211"/>
      <x:c r="J9" s="211"/>
      <x:c r="K9" s="211"/>
      <x:c r="L9" s="211"/>
      <x:c r="M9" s="211"/>
      <x:c r="N9" s="211"/>
    </x:row>
    <x:row r="10">
      <x:c r="A10" s="126" t="n">
        <x:v>45444</x:v>
      </x:c>
      <x:c r="B10" s="120" t="n">
        <x:v>555.7209005777099</x:v>
      </x:c>
      <x:c r="C10" s="120" t="n">
        <x:v>4.727549108719971</x:v>
      </x:c>
      <x:c r="D10" s="120" t="n">
        <x:v>5.296127205674263</x:v>
      </x:c>
      <x:c r="E10" s="120" t="n">
        <x:v>47.19479044284726</x:v>
      </x:c>
      <x:c r="F10" s="120" t="n">
        <x:v>41.58856064893</x:v>
      </x:c>
      <x:c r="G10" s="120" t="n">
        <x:v>0.31010258824299614</x:v>
      </x:c>
      <x:c r="H10" s="212" t="str">
        <x:v>jun/24</x:v>
      </x:c>
      <x:c r="I10" s="211"/>
      <x:c r="J10" s="211"/>
      <x:c r="K10" s="211"/>
      <x:c r="L10" s="211"/>
      <x:c r="M10" s="211"/>
      <x:c r="N10" s="211"/>
    </x:row>
    <x:row r="11">
      <x:c r="A11" s="126" t="n">
        <x:v>45474</x:v>
      </x:c>
      <x:c r="B11" s="120" t="n">
        <x:v>610.27541818586</x:v>
      </x:c>
      <x:c r="C11" s="120" t="n">
        <x:v>54.55451760815002</x:v>
      </x:c>
      <x:c r="D11" s="120" t="n">
        <x:v>48.04907485388286</x:v>
      </x:c>
      <x:c r="E11" s="120" t="n">
        <x:v>68.01634465355001</x:v>
      </x:c>
      <x:c r="F11" s="120" t="n">
        <x:v>19.76572150622</x:v>
      </x:c>
      <x:c r="G11" s="120" t="n">
        <x:v>0.2015482934471464</x:v>
      </x:c>
      <x:c r="H11" s="212" t="str">
        <x:v>jul/24</x:v>
      </x:c>
      <x:c r="I11" s="211"/>
      <x:c r="J11" s="211"/>
      <x:c r="K11" s="211"/>
      <x:c r="L11" s="211"/>
      <x:c r="M11" s="211"/>
      <x:c r="N11" s="211"/>
    </x:row>
    <x:row r="12">
      <x:c r="A12" s="126" t="n">
        <x:v>45505</x:v>
      </x:c>
      <x:c r="B12" s="120" t="n">
        <x:v>623.5072111371801</x:v>
      </x:c>
      <x:c r="C12" s="120" t="n">
        <x:v>13.231792951320068</x:v>
      </x:c>
      <x:c r="D12" s="120" t="n">
        <x:v>11.061009396298994</x:v>
      </x:c>
      <x:c r="E12" s="120" t="n">
        <x:v>34.936832116590004</x:v>
      </x:c>
      <x:c r="F12" s="120" t="n">
        <x:v>23.87179857741</x:v>
      </x:c>
      <x:c r="G12" s="120" t="n">
        <x:v>0.00402414288101018</x:v>
      </x:c>
      <x:c r="H12" s="212" t="str">
        <x:v>ago/24</x:v>
      </x:c>
      <x:c r="I12" s="211"/>
      <x:c r="J12" s="211"/>
      <x:c r="K12" s="211"/>
      <x:c r="L12" s="211"/>
      <x:c r="M12" s="211"/>
      <x:c r="N12" s="211"/>
    </x:row>
    <x:row r="13">
      <x:c r="A13" s="126" t="n">
        <x:v>45536</x:v>
      </x:c>
      <x:c r="B13" s="120" t="n">
        <x:v>638.30714588299</x:v>
      </x:c>
      <x:c r="C13" s="120" t="n">
        <x:v>14.799934745809937</x:v>
      </x:c>
      <x:c r="D13" s="120" t="n">
        <x:v>9.459775840013213</x:v>
      </x:c>
      <x:c r="E13" s="120" t="n">
        <x:v>43.58435818369</x:v>
      </x:c>
      <x:c r="F13" s="120" t="n">
        <x:v>34.04805127705</x:v>
      </x:c>
      <x:c r="G13" s="120" t="n">
        <x:v>0.07653106662678859</x:v>
      </x:c>
      <x:c r="H13" s="212" t="str">
        <x:v>set/24</x:v>
      </x:c>
      <x:c r="I13" s="211"/>
      <x:c r="J13" s="211"/>
      <x:c r="K13" s="211"/>
      <x:c r="L13" s="211"/>
      <x:c r="M13" s="211"/>
      <x:c r="N13" s="211"/>
    </x:row>
    <x:row r="14">
      <x:c r="A14" s="126" t="n">
        <x:v>45566</x:v>
      </x:c>
      <x:c r="B14" s="120" t="n">
        <x:v>678.42401800628</x:v>
      </x:c>
      <x:c r="C14" s="120" t="n">
        <x:v>40.11687212329004</x:v>
      </x:c>
      <x:c r="D14" s="120" t="n">
        <x:v>29.617598312337055</x:v>
      </x:c>
      <x:c r="E14" s="120" t="n">
        <x:v>51.30673545917999</x:v>
      </x:c>
      <x:c r="F14" s="120" t="n">
        <x:v>21.59168317424</x:v>
      </x:c>
      <x:c r="G14" s="120" t="n">
        <x:v>0.0974539726029339</x:v>
      </x:c>
      <x:c r="H14" s="212" t="str">
        <x:v>out/24</x:v>
      </x:c>
      <x:c r="I14" s="211"/>
      <x:c r="J14" s="211"/>
      <x:c r="K14" s="211"/>
      <x:c r="L14" s="211"/>
      <x:c r="M14" s="211"/>
      <x:c r="N14" s="211"/>
    </x:row>
    <x:row r="15">
      <x:c r="A15" s="126" t="n">
        <x:v>45597</x:v>
      </x:c>
      <x:c r="B15" s="120" t="n">
        <x:v>695.58506507676</x:v>
      </x:c>
      <x:c r="C15" s="120" t="n">
        <x:v>17.16104707047998</x:v>
      </x:c>
      <x:c r="D15" s="120" t="n">
        <x:v>44.723556538138986</x:v>
      </x:c>
      <x:c r="E15" s="120" t="n">
        <x:v>59.55963102514315</x:v>
      </x:c>
      <x:c r="F15" s="120" t="n">
        <x:v>14.807918198164172</x:v>
      </x:c>
      <x:c r="G15" s="120" t="n">
        <x:v>0.02815628883999038</x:v>
      </x:c>
      <x:c r="H15" s="212" t="str">
        <x:v>nov/24</x:v>
      </x:c>
      <x:c r="I15" s="211"/>
      <x:c r="J15" s="211"/>
      <x:c r="K15" s="211"/>
      <x:c r="L15" s="211"/>
      <x:c r="M15" s="211"/>
      <x:c r="N15" s="211"/>
    </x:row>
    <x:row r="16">
      <x:c r="A16" s="126" t="n">
        <x:v>45627</x:v>
      </x:c>
      <x:c r="B16" s="120" t="n">
        <x:v>731.8371144510799</x:v>
      </x:c>
      <x:c r="C16" s="120" t="n">
        <x:v>36.252049374319824</x:v>
      </x:c>
      <x:c r="D16" s="120" t="n">
        <x:v>70.77554103300415</x:v>
      </x:c>
      <x:c r="E16" s="120" t="n">
        <x:v>88.0171439946</x:v>
      </x:c>
      <x:c r="F16" s="120" t="n">
        <x:v>17.07694288882</x:v>
      </x:c>
      <x:c r="G16" s="120" t="n">
        <x:v>0.16466007277585432</x:v>
      </x:c>
      <x:c r="H16" s="212" t="str">
        <x:v>dez/24</x:v>
      </x:c>
      <x:c r="I16" s="211"/>
      <x:c r="J16" s="211"/>
      <x:c r="K16" s="211"/>
      <x:c r="L16" s="211"/>
      <x:c r="M16" s="211"/>
      <x:c r="N16" s="211"/>
    </x:row>
    <x:row r="17">
      <x:c r="A17" s="126" t="n">
        <x:v>45658</x:v>
      </x:c>
      <x:c r="B17" s="120" t="n">
        <x:v>734.60703757263</x:v>
      </x:c>
      <x:c r="C17" s="120" t="n">
        <x:v>2.7699231215501707</x:v>
      </x:c>
      <x:c r="D17" s="120" t="n">
        <x:v>-2.488337889591647</x:v>
      </x:c>
      <x:c r="E17" s="120" t="n">
        <x:v>39.3542586438</x:v>
      </x:c>
      <x:c r="F17" s="120" t="n">
        <x:v>41.4860578732</x:v>
      </x:c>
      <x:c r="G17" s="120" t="n">
        <x:v>0.3565386601916535</x:v>
      </x:c>
      <x:c r="H17" s="212" t="str">
        <x:v>jan/25</x:v>
      </x:c>
      <x:c r="I17" s="211"/>
      <x:c r="J17" s="211"/>
      <x:c r="K17" s="211"/>
      <x:c r="L17" s="211"/>
      <x:c r="M17" s="211"/>
      <x:c r="N17" s="211"/>
    </x:row>
    <x:row r="18">
      <x:c r="A18" s="126" t="n">
        <x:v>45689</x:v>
      </x:c>
      <x:c r="B18" s="120" t="n">
        <x:v>744.34733792586</x:v>
      </x:c>
      <x:c r="C18" s="120" t="n">
        <x:v>9.74030035322998</x:v>
      </x:c>
      <x:c r="D18" s="120" t="n">
        <x:v>8.928739668697377</x:v>
      </x:c>
      <x:c r="E18" s="120" t="n">
        <x:v>40.19975411774</x:v>
      </x:c>
      <x:c r="F18" s="120" t="n">
        <x:v>31.030492114300003</x:v>
      </x:c>
      <x:c r="G18" s="120" t="n">
        <x:v>0.2405223347426182</x:v>
      </x:c>
      <x:c r="H18" s="212" t="str">
        <x:v>fev/25</x:v>
      </x:c>
      <x:c r="I18" s="211"/>
      <x:c r="J18" s="211"/>
      <x:c r="K18" s="211"/>
      <x:c r="L18" s="211"/>
      <x:c r="M18" s="211"/>
      <x:c r="N18" s="211"/>
    </x:row>
    <x:row r="19">
      <x:c r="A19" s="126" t="n">
        <x:v>45717</x:v>
      </x:c>
      <x:c r="B19" s="120" t="n">
        <x:v>752.19788966919</x:v>
      </x:c>
      <x:c r="C19" s="120" t="n">
        <x:v>7.850551743329956</x:v>
      </x:c>
      <x:c r="D19" s="120" t="n">
        <x:v>8.1145249494487</x:v>
      </x:c>
      <x:c r="E19" s="120" t="n">
        <x:v>42.24437258309</x:v>
      </x:c>
      <x:c r="F19" s="120" t="n">
        <x:v>33.8200103601</x:v>
      </x:c>
      <x:c r="G19" s="120" t="n">
        <x:v>0.3098372735413044</x:v>
      </x:c>
      <x:c r="H19" s="212" t="str">
        <x:v>mar/25</x:v>
      </x:c>
      <x:c r="I19" s="211"/>
      <x:c r="J19" s="211"/>
      <x:c r="K19" s="211"/>
      <x:c r="L19" s="211"/>
      <x:c r="M19" s="211"/>
      <x:c r="N19" s="211"/>
    </x:row>
    <x:row r="20">
      <x:c r="A20" s="126" t="n">
        <x:v>45748</x:v>
      </x:c>
      <x:c r="B20" s="120" t="n">
        <x:v>768.27368208923</x:v>
      </x:c>
      <x:c r="C20" s="120" t="n">
        <x:v>16.075792420040038</x:v>
      </x:c>
      <x:c r="D20" s="120" t="n">
        <x:v>11.37731056427607</x:v>
      </x:c>
      <x:c r="E20" s="120" t="n">
        <x:v>48.88350346383</x:v>
      </x:c>
      <x:c r="F20" s="120" t="n">
        <x:v>37.369496149380005</x:v>
      </x:c>
      <x:c r="G20" s="120" t="n">
        <x:v>0.13669675017392474</x:v>
      </x:c>
      <x:c r="H20" s="212" t="str">
        <x:v>abr/25</x:v>
      </x:c>
      <x:c r="I20" s="211"/>
      <x:c r="J20" s="211"/>
      <x:c r="K20" s="211"/>
      <x:c r="L20" s="211"/>
      <x:c r="M20" s="211"/>
      <x:c r="N20" s="211"/>
    </x:row>
    <x:row r="21">
      <x:c r="A21" s="126" t="n">
        <x:v>45778</x:v>
      </x:c>
      <x:c r="B21" s="120" t="n">
        <x:v>782.6000032051401</x:v>
      </x:c>
      <x:c r="C21" s="120" t="n">
        <x:v>14.326321115910034</x:v>
      </x:c>
      <x:c r="D21" s="120" t="n">
        <x:v>14.158310426175111</x:v>
      </x:c>
      <x:c r="E21" s="120" t="n">
        <x:v>45.2312084264273</x:v>
      </x:c>
      <x:c r="F21" s="120" t="n">
        <x:v>30.84076734939</x:v>
      </x:c>
      <x:c r="G21" s="120" t="n">
        <x:v>0.2321306508621881</x:v>
      </x:c>
      <x:c r="H21" s="212" t="str">
        <x:v>mai/25</x:v>
      </x:c>
      <x:c r="I21" s="211"/>
      <x:c r="J21" s="211"/>
      <x:c r="K21" s="211"/>
      <x:c r="L21" s="211"/>
      <x:c r="M21" s="211"/>
      <x:c r="N21" s="211"/>
    </x:row>
    <x:row r="22">
      <x:c r="A22" s="126" t="n">
        <x:v>45809</x:v>
      </x:c>
      <x:c r="B22" s="120" t="n">
        <x:v>857.89493809249</x:v>
      </x:c>
      <x:c r="C22" s="120" t="n">
        <x:v>75.29493488734998</x:v>
      </x:c>
      <x:c r="D22" s="120" t="n">
        <x:v>66.0047033561081</x:v>
      </x:c>
      <x:c r="E22" s="120" t="n">
        <x:v>83.8206439198</x:v>
      </x:c>
      <x:c r="F22" s="120" t="n">
        <x:v>16.69890807958</x:v>
      </x:c>
      <x:c r="G22" s="120" t="n">
        <x:v>1.1170324841119001</x:v>
      </x:c>
      <x:c r="H22" s="212" t="str">
        <x:v>jun/25</x:v>
      </x:c>
      <x:c r="I22" s="211"/>
      <x:c r="J22" s="211"/>
      <x:c r="K22" s="211"/>
      <x:c r="L22" s="211"/>
      <x:c r="M22" s="211"/>
      <x:c r="N22" s="211"/>
    </x:row>
    <x:row r="23">
      <x:c r="A23" s="126" t="n">
        <x:v>45839</x:v>
      </x:c>
      <x:c r="B23" s="120" t="n">
        <x:v>869.87701729553</x:v>
      </x:c>
      <x:c r="C23" s="120" t="n">
        <x:v>11.982079203040039</x:v>
      </x:c>
      <x:c r="D23" s="120" t="n">
        <x:v>10.107203418428961</x:v>
      </x:c>
      <x:c r="E23" s="120" t="n">
        <x:v>32.59915250911</x:v>
      </x:c>
      <x:c r="F23" s="120" t="n">
        <x:v>22.380154399810003</x:v>
      </x:c>
      <x:c r="G23" s="120" t="n">
        <x:v>0.11179469087103884</x:v>
      </x:c>
      <x:c r="H23" s="212" t="str">
        <x:v>jul/25</x:v>
      </x:c>
      <x:c r="I23" s="211"/>
      <x:c r="J23" s="211"/>
      <x:c r="K23" s="211"/>
      <x:c r="L23" s="211"/>
      <x:c r="M23" s="211"/>
      <x:c r="N23" s="211"/>
    </x:row>
    <x:row r="24">
      <x:c r="A24" s="126" t="n">
        <x:v>45870</x:v>
      </x:c>
      <x:c r="B24" s="120" t="n">
        <x:v>876.5560287733999</x:v>
      </x:c>
      <x:c r="C24" s="120" t="n">
        <x:v>6.6790114778698735</x:v>
      </x:c>
      <x:c r="D24" s="120" t="n">
        <x:v>6.462051115647792</x:v>
      </x:c>
      <x:c r="E24" s="120" t="n">
        <x:v>17.59640991269</x:v>
      </x:c>
      <x:c r="F24" s="120" t="n">
        <x:v>11.06470966821</x:v>
      </x:c>
      <x:c r="G24" s="120" t="n">
        <x:v>0.0696491288322067</x:v>
      </x:c>
      <x:c r="H24" s="212" t="str">
        <x:v>ago/25</x:v>
      </x:c>
      <x:c r="I24" s="211"/>
      <x:c r="J24" s="211"/>
      <x:c r="K24" s="211"/>
      <x:c r="L24" s="211"/>
      <x:c r="M24" s="211"/>
      <x:c r="N24" s="211"/>
    </x:row>
    <x:row r="25">
      <x:c r="A25" s="126" t="n">
        <x:v>45901</x:v>
      </x:c>
      <x:c r="B25" s="120" t="n">
        <x:v>887.12938459826</x:v>
      </x:c>
      <x:c r="C25" s="120" t="n">
        <x:v>10.573355824860107</x:v>
      </x:c>
      <x:c r="D25" s="120" t="n">
        <x:v>10.655770483442133</x:v>
      </x:c>
      <x:c r="E25" s="120" t="n">
        <x:v>29.80698550612</x:v>
      </x:c>
      <x:c r="F25" s="120" t="n">
        <x:v>19.07200344345</x:v>
      </x:c>
      <x:c r="G25" s="120" t="n">
        <x:v>0.07921157922786559</x:v>
      </x:c>
      <x:c r="H25" s="212" t="str">
        <x:v>set/25</x:v>
      </x:c>
      <x:c r="I25" s="211"/>
      <x:c r="J25" s="211"/>
      <x:c r="K25" s="211"/>
      <x:c r="L25" s="211"/>
      <x:c r="M25" s="211"/>
      <x:c r="N25" s="211"/>
    </x:row>
    <x:row r="26">
      <x:c r="A26" s="126" t="n">
        <x:v>45931</x:v>
      </x:c>
      <x:c r="B26" s="120" t="n">
        <x:v>892.0881856265801</x:v>
      </x:c>
      <x:c r="C26" s="120" t="n">
        <x:v>4.958801028320068</x:v>
      </x:c>
      <x:c r="D26" s="120" t="n">
        <x:v>14.653712735847702</x:v>
      </x:c>
      <x:c r="E26" s="120" t="n">
        <x:v>23.040543370189997</x:v>
      </x:c>
      <x:c r="F26" s="120" t="n">
        <x:v>8.36965743978</x:v>
      </x:c>
      <x:c r="G26" s="120" t="n">
        <x:v>0.017173194562298724</x:v>
      </x:c>
      <x:c r="H26" s="212" t="str">
        <x:v>out/25</x:v>
      </x:c>
      <x:c r="I26" s="211"/>
      <x:c r="J26" s="211"/>
      <x:c r="K26" s="211"/>
      <x:c r="L26" s="211"/>
      <x:c r="M26" s="211"/>
      <x:c r="N26" s="211"/>
    </x:row>
    <x:row r="27">
      <x:c r="A27" s="126" t="n">
        <x:v>45962</x:v>
      </x:c>
      <x:c r="B27" s="120" t="n">
        <x:v>889.4365773666199</x:v>
      </x:c>
      <x:c r="C27" s="120" t="n">
        <x:v>-2.651608259960205</x:v>
      </x:c>
      <x:c r="D27" s="120" t="n">
        <x:v>5.650801505081751</x:v>
      </x:c>
      <x:c r="E27" s="120" t="n">
        <x:v>16.61943200102999</x:v>
      </x:c>
      <x:c r="F27" s="120" t="n">
        <x:v>10.94016419753</x:v>
      </x:c>
      <x:c r="G27" s="120" t="n">
        <x:v>0.028466298418237293</x:v>
      </x:c>
      <x:c r="H27" s="212" t="str">
        <x:v>nov/25</x:v>
      </x:c>
      <x:c r="I27" s="211"/>
      <x:c r="J27" s="211"/>
      <x:c r="K27" s="211"/>
      <x:c r="L27" s="211"/>
      <x:c r="M27" s="211"/>
      <x:c r="N27" s="211"/>
    </x:row>
    <x:row r="28">
      <x:c r="A28" s="126" t="n">
        <x:v>45992</x:v>
      </x:c>
      <x:c r="B28" s="120" t="n">
        <x:v>918.13730749373</x:v>
      </x:c>
      <x:c r="C28" s="120" t="n">
        <x:v>28.70073012711011</x:v>
      </x:c>
      <x:c r="D28" s="120" t="n">
        <x:v>32.20003562777971</x:v>
      </x:c>
      <x:c r="E28" s="120" t="n">
        <x:v>45.95684113162522</x:v>
      </x:c>
      <x:c r="F28" s="120" t="n">
        <x:v>13.58381378784826</x:v>
      </x:c>
      <x:c r="G28" s="120" t="n">
        <x:v>0.17299171599725507</x:v>
      </x:c>
      <x:c r="H28" s="212" t="str">
        <x:v>dez/25</x:v>
      </x:c>
      <x:c r="I28" s="211"/>
      <x:c r="J28" s="211"/>
      <x:c r="K28" s="211"/>
      <x:c r="L28" s="211"/>
      <x:c r="M28" s="211"/>
      <x:c r="N28" s="211"/>
    </x:row>
    <x:row r="29">
      <x:c r="A29" s="126" t="n">
        <x:v>46023</x:v>
      </x:c>
      <x:c r="B29" s="120" t="n">
        <x:v>892.5858470015501</x:v>
      </x:c>
      <x:c r="C29" s="120" t="n">
        <x:v>-25.55146049217993</x:v>
      </x:c>
      <x:c r="D29" s="120" t="n">
        <x:v>6.533019011451953</x:v>
      </x:c>
      <x:c r="E29" s="120" t="n">
        <x:v>13.148708271627399</x:v>
      </x:c>
      <x:c r="F29" s="120" t="n">
        <x:v>6.579010384746654</x:v>
      </x:c>
      <x:c r="G29" s="120" t="n">
        <x:v>0.03667887542879226</x:v>
      </x:c>
      <x:c r="H29" s="212" t="str">
        <x:v>jan/26</x:v>
      </x:c>
      <x:c r="I29" s="211"/>
      <x:c r="J29" s="211"/>
      <x:c r="K29" s="211"/>
      <x:c r="L29" s="211"/>
      <x:c r="M29" s="211"/>
      <x:c r="N29" s="211"/>
    </x:row>
    <x:row r="30">
      <x:c r="A30" s="126" t="n">
        <x:v>46054</x:v>
      </x:c>
      <x:c r="B30" s="120" t="n">
        <x:v>906.55690469414</x:v>
      </x:c>
      <x:c r="C30" s="120" t="n">
        <x:v>13.971057692589966</x:v>
      </x:c>
      <x:c r="D30" s="120" t="n">
        <x:v>7.585377117005161</x:v>
      </x:c>
      <x:c r="E30" s="120" t="n">
        <x:v>12.33832824646</x:v>
      </x:c>
      <x:c r="F30" s="120" t="n">
        <x:v>4.718749115853021</x:v>
      </x:c>
      <x:c r="G30" s="120" t="n">
        <x:v>0.034202013601818244</x:v>
      </x:c>
      <x:c r="H30" s="212" t="str">
        <x:v>fev/26</x:v>
      </x:c>
      <x:c r="I30" s="211"/>
      <x:c r="J30" s="211"/>
      <x:c r="K30" s="211"/>
      <x:c r="L30" s="211"/>
      <x:c r="M30" s="211"/>
      <x:c r="N30" s="211"/>
    </x:row>
    <x:row r="31">
      <x:c r="A31" s="126" t="n">
        <x:v>46082</x:v>
      </x:c>
      <x:c r="B31" s="120" t="n">
        <x:v>913.61848274635</x:v>
      </x:c>
      <x:c r="C31" s="120" t="n">
        <x:v>7.061578052209961</x:v>
      </x:c>
      <x:c r="D31" s="120" t="n">
        <x:v>22.374678401644363</x:v>
      </x:c>
      <x:c r="E31" s="120" t="n">
        <x:v>28.682710152543</x:v>
      </x:c>
      <x:c r="F31" s="120" t="n">
        <x:v>6.1861324185985955</x:v>
      </x:c>
      <x:c r="G31" s="120" t="n">
        <x:v>0.121899332300041</x:v>
      </x:c>
      <x:c r="H31" s="212" t="str">
        <x:v>mar/26</x:v>
      </x:c>
      <x:c r="I31" s="211"/>
      <x:c r="J31" s="211"/>
      <x:c r="K31" s="211"/>
      <x:c r="L31" s="211"/>
      <x:c r="M31" s="211"/>
      <x:c r="N31" s="211"/>
    </x:row>
    <x:row r="32">
      <x:c r="A32" s="126" t="n">
        <x:v>46113</x:v>
      </x:c>
      <x:c r="B32" s="120" t="n">
        <x:v>954.77430223753</x:v>
      </x:c>
      <x:c r="C32" s="120" t="n">
        <x:v>41.155819491180054</x:v>
      </x:c>
      <x:c r="D32" s="120" t="n">
        <x:v>16.975394388453836</x:v>
      </x:c>
      <x:c r="E32" s="120" t="n">
        <x:v>24.099275575852403</x:v>
      </x:c>
      <x:c r="F32" s="120" t="n">
        <x:v>5.886970850074967</x:v>
      </x:c>
      <x:c r="G32" s="120" t="n">
        <x:v>1.2369103373236</x:v>
      </x:c>
      <x:c r="H32" s="212" t="str">
        <x:v>abr/26</x:v>
      </x:c>
      <x:c r="I32" s="211"/>
      <x:c r="J32" s="211"/>
      <x:c r="K32" s="211"/>
      <x:c r="L32" s="211"/>
      <x:c r="M32" s="211"/>
      <x:c r="N32" s="211"/>
    </x:row>
    <x:row r="33">
      <x:c r="A33" s="127" t="n">
        <x:v>46143</x:v>
      </x:c>
      <x:c r="B33" s="124" t="n">
        <x:v>958.53566008973</x:v>
      </x:c>
      <x:c r="C33" s="124" t="n">
        <x:v>3.7613578521999513</x:v>
      </x:c>
      <x:c r="D33" s="124" t="n">
        <x:v>20.37609729324916</x:v>
      </x:c>
      <x:c r="E33" s="124" t="n">
        <x:v>26.2031255902776</x:v>
      </x:c>
      <x:c r="F33" s="124" t="n">
        <x:v>5.810184981501382</x:v>
      </x:c>
      <x:c r="G33" s="124" t="n">
        <x:v>0.016843315527059012</x:v>
      </x:c>
      <x:c r="H33" s="212" t="str">
        <x:v>mai/26</x:v>
      </x:c>
      <x:c r="I33" s="211"/>
      <x:c r="J33" s="211"/>
      <x:c r="K33" s="211"/>
      <x:c r="L33" s="211"/>
      <x:c r="M33" s="211"/>
      <x:c r="N33" s="211"/>
    </x:row>
    <x:row r="34">
      <x:c r="A34" s="211"/>
      <x:c r="B34" s="211"/>
      <x:c r="C34" s="211"/>
      <x:c r="D34" s="211"/>
      <x:c r="E34" s="211"/>
      <x:c r="F34" s="211"/>
      <x:c r="G34" s="211"/>
      <x:c r="H34" s="211"/>
      <x:c r="I34" s="211"/>
      <x:c r="J34" s="211"/>
      <x:c r="K34" s="211"/>
      <x:c r="L34" s="211"/>
      <x:c r="M34" s="211"/>
      <x:c r="N34" s="211"/>
    </x:row>
    <x:row r="35">
      <x:c r="A35" s="211"/>
      <x:c r="B35" s="211"/>
      <x:c r="C35" s="211"/>
      <x:c r="D35" s="211"/>
      <x:c r="E35" s="211"/>
      <x:c r="F35" s="211"/>
      <x:c r="G35" s="211"/>
      <x:c r="H35" s="211"/>
      <x:c r="I35" s="211"/>
      <x:c r="J35" s="211"/>
      <x:c r="K35" s="211"/>
      <x:c r="L35" s="211"/>
      <x:c r="M35" s="211"/>
      <x:c r="N35" s="211"/>
    </x:row>
    <x:row r="36">
      <x:c r="A36" s="52" t="str">
        <x:v>Fonte: CVM Informe Mensal, Tabela X.4. Captação líquida = captações − resgates − amortizações. Δ PL também incorpora resultado/valorização, ajustes e mudanças de universo. Nenhum dos dois conceitos é sinônimo de oferta pública encerrada.</x:v>
      </x:c>
      <x:c r="B36" s="52" t="str">
        <x:v>Fonte: CVM Informe Mensal, Tabela X.4. Captação líquida = captações − resgates − amortizações. Δ PL também incorpora resultado/valorização, ajustes e mudanças de universo. Nenhum dos dois conceitos é sinônimo de oferta pública encerrada.</x:v>
      </x:c>
      <x:c r="C36" s="52" t="str">
        <x:v>Fonte: CVM Informe Mensal, Tabela X.4. Captação líquida = captações − resgates − amortizações. Δ PL também incorpora resultado/valorização, ajustes e mudanças de universo. Nenhum dos dois conceitos é sinônimo de oferta pública encerrada.</x:v>
      </x:c>
      <x:c r="D36" s="52" t="str">
        <x:v>Fonte: CVM Informe Mensal, Tabela X.4. Captação líquida = captações − resgates − amortizações. Δ PL também incorpora resultado/valorização, ajustes e mudanças de universo. Nenhum dos dois conceitos é sinônimo de oferta pública encerrada.</x:v>
      </x:c>
      <x:c r="E36" s="52" t="str">
        <x:v>Fonte: CVM Informe Mensal, Tabela X.4. Captação líquida = captações − resgates − amortizações. Δ PL também incorpora resultado/valorização, ajustes e mudanças de universo. Nenhum dos dois conceitos é sinônimo de oferta pública encerrada.</x:v>
      </x:c>
      <x:c r="F36" s="52" t="str">
        <x:v>Fonte: CVM Informe Mensal, Tabela X.4. Captação líquida = captações − resgates − amortizações. Δ PL também incorpora resultado/valorização, ajustes e mudanças de universo. Nenhum dos dois conceitos é sinônimo de oferta pública encerrada.</x:v>
      </x:c>
      <x:c r="G36" s="52" t="str">
        <x:v>Fonte: CVM Informe Mensal, Tabela X.4. Captação líquida = captações − resgates − amortizações. Δ PL também incorpora resultado/valorização, ajustes e mudanças de universo. Nenhum dos dois conceitos é sinônimo de oferta pública encerrada.</x:v>
      </x:c>
      <x:c r="H36" s="211"/>
      <x:c r="I36" s="211"/>
      <x:c r="J36" s="211"/>
      <x:c r="K36" s="211"/>
      <x:c r="L36" s="211"/>
      <x:c r="M36" s="211"/>
      <x:c r="N36" s="211"/>
    </x:row>
    <x:row r="37">
      <x:c r="A37" s="52" t="str">
        <x:v>Fonte: CVM Informe Mensal, Tabela X.4. Captação líquida = captações − resgates − amortizações. Δ PL também incorpora resultado/valorização, ajustes e mudanças de universo. Nenhum dos dois conceitos é sinônimo de oferta pública encerrada.</x:v>
      </x:c>
      <x:c r="B37" s="52" t="str">
        <x:v>Fonte: CVM Informe Mensal, Tabela X.4. Captação líquida = captações − resgates − amortizações. Δ PL também incorpora resultado/valorização, ajustes e mudanças de universo. Nenhum dos dois conceitos é sinônimo de oferta pública encerrada.</x:v>
      </x:c>
      <x:c r="C37" s="52" t="str">
        <x:v>Fonte: CVM Informe Mensal, Tabela X.4. Captação líquida = captações − resgates − amortizações. Δ PL também incorpora resultado/valorização, ajustes e mudanças de universo. Nenhum dos dois conceitos é sinônimo de oferta pública encerrada.</x:v>
      </x:c>
      <x:c r="D37" s="52" t="str">
        <x:v>Fonte: CVM Informe Mensal, Tabela X.4. Captação líquida = captações − resgates − amortizações. Δ PL também incorpora resultado/valorização, ajustes e mudanças de universo. Nenhum dos dois conceitos é sinônimo de oferta pública encerrada.</x:v>
      </x:c>
      <x:c r="E37" s="52" t="str">
        <x:v>Fonte: CVM Informe Mensal, Tabela X.4. Captação líquida = captações − resgates − amortizações. Δ PL também incorpora resultado/valorização, ajustes e mudanças de universo. Nenhum dos dois conceitos é sinônimo de oferta pública encerrada.</x:v>
      </x:c>
      <x:c r="F37" s="52" t="str">
        <x:v>Fonte: CVM Informe Mensal, Tabela X.4. Captação líquida = captações − resgates − amortizações. Δ PL também incorpora resultado/valorização, ajustes e mudanças de universo. Nenhum dos dois conceitos é sinônimo de oferta pública encerrada.</x:v>
      </x:c>
      <x:c r="G37" s="52" t="str">
        <x:v>Fonte: CVM Informe Mensal, Tabela X.4. Captação líquida = captações − resgates − amortizações. Δ PL também incorpora resultado/valorização, ajustes e mudanças de universo. Nenhum dos dois conceitos é sinônimo de oferta pública encerrada.</x:v>
      </x:c>
      <x:c r="H37" s="211"/>
      <x:c r="I37" s="211"/>
      <x:c r="J37" s="211"/>
      <x:c r="K37" s="211"/>
      <x:c r="L37" s="211"/>
      <x:c r="M37" s="211"/>
      <x:c r="N37" s="211"/>
    </x:row>
    <x:row r="38">
      <x:c r="A38" s="52" t="str">
        <x:v>Fonte: CVM Informe Mensal, Tabela X.4. Captação líquida = captações − resgates − amortizações. Δ PL também incorpora resultado/valorização, ajustes e mudanças de universo. Nenhum dos dois conceitos é sinônimo de oferta pública encerrada.</x:v>
      </x:c>
      <x:c r="B38" s="52" t="str">
        <x:v>Fonte: CVM Informe Mensal, Tabela X.4. Captação líquida = captações − resgates − amortizações. Δ PL também incorpora resultado/valorização, ajustes e mudanças de universo. Nenhum dos dois conceitos é sinônimo de oferta pública encerrada.</x:v>
      </x:c>
      <x:c r="C38" s="52" t="str">
        <x:v>Fonte: CVM Informe Mensal, Tabela X.4. Captação líquida = captações − resgates − amortizações. Δ PL também incorpora resultado/valorização, ajustes e mudanças de universo. Nenhum dos dois conceitos é sinônimo de oferta pública encerrada.</x:v>
      </x:c>
      <x:c r="D38" s="52" t="str">
        <x:v>Fonte: CVM Informe Mensal, Tabela X.4. Captação líquida = captações − resgates − amortizações. Δ PL também incorpora resultado/valorização, ajustes e mudanças de universo. Nenhum dos dois conceitos é sinônimo de oferta pública encerrada.</x:v>
      </x:c>
      <x:c r="E38" s="52" t="str">
        <x:v>Fonte: CVM Informe Mensal, Tabela X.4. Captação líquida = captações − resgates − amortizações. Δ PL também incorpora resultado/valorização, ajustes e mudanças de universo. Nenhum dos dois conceitos é sinônimo de oferta pública encerrada.</x:v>
      </x:c>
      <x:c r="F38" s="52" t="str">
        <x:v>Fonte: CVM Informe Mensal, Tabela X.4. Captação líquida = captações − resgates − amortizações. Δ PL também incorpora resultado/valorização, ajustes e mudanças de universo. Nenhum dos dois conceitos é sinônimo de oferta pública encerrada.</x:v>
      </x:c>
      <x:c r="G38" s="52" t="str">
        <x:v>Fonte: CVM Informe Mensal, Tabela X.4. Captação líquida = captações − resgates − amortizações. Δ PL também incorpora resultado/valorização, ajustes e mudanças de universo. Nenhum dos dois conceitos é sinônimo de oferta pública encerrada.</x:v>
      </x:c>
      <x:c r="H38" s="211"/>
      <x:c r="I38" s="211"/>
      <x:c r="J38" s="211"/>
      <x:c r="K38" s="211"/>
      <x:c r="L38" s="211"/>
      <x:c r="M38" s="211"/>
      <x:c r="N38" s="211"/>
    </x:row>
    <x:row r="39">
      <x:c r="A39" s="52" t="str">
        <x:v>Fonte: CVM Informe Mensal, Tabela X.4. Captação líquida = captações − resgates − amortizações. Δ PL também incorpora resultado/valorização, ajustes e mudanças de universo. Nenhum dos dois conceitos é sinônimo de oferta pública encerrada.</x:v>
      </x:c>
      <x:c r="B39" s="52" t="str">
        <x:v>Fonte: CVM Informe Mensal, Tabela X.4. Captação líquida = captações − resgates − amortizações. Δ PL também incorpora resultado/valorização, ajustes e mudanças de universo. Nenhum dos dois conceitos é sinônimo de oferta pública encerrada.</x:v>
      </x:c>
      <x:c r="C39" s="52" t="str">
        <x:v>Fonte: CVM Informe Mensal, Tabela X.4. Captação líquida = captações − resgates − amortizações. Δ PL também incorpora resultado/valorização, ajustes e mudanças de universo. Nenhum dos dois conceitos é sinônimo de oferta pública encerrada.</x:v>
      </x:c>
      <x:c r="D39" s="52" t="str">
        <x:v>Fonte: CVM Informe Mensal, Tabela X.4. Captação líquida = captações − resgates − amortizações. Δ PL também incorpora resultado/valorização, ajustes e mudanças de universo. Nenhum dos dois conceitos é sinônimo de oferta pública encerrada.</x:v>
      </x:c>
      <x:c r="E39" s="52" t="str">
        <x:v>Fonte: CVM Informe Mensal, Tabela X.4. Captação líquida = captações − resgates − amortizações. Δ PL também incorpora resultado/valorização, ajustes e mudanças de universo. Nenhum dos dois conceitos é sinônimo de oferta pública encerrada.</x:v>
      </x:c>
      <x:c r="F39" s="52" t="str">
        <x:v>Fonte: CVM Informe Mensal, Tabela X.4. Captação líquida = captações − resgates − amortizações. Δ PL também incorpora resultado/valorização, ajustes e mudanças de universo. Nenhum dos dois conceitos é sinônimo de oferta pública encerrada.</x:v>
      </x:c>
      <x:c r="G39" s="52" t="str">
        <x:v>Fonte: CVM Informe Mensal, Tabela X.4. Captação líquida = captações − resgates − amortizações. Δ PL também incorpora resultado/valorização, ajustes e mudanças de universo. Nenhum dos dois conceitos é sinônimo de oferta pública encerrada.</x:v>
      </x:c>
      <x:c r="H39" s="211"/>
      <x:c r="I39" s="211"/>
      <x:c r="J39" s="211"/>
      <x:c r="K39" s="211"/>
      <x:c r="L39" s="211"/>
      <x:c r="M39" s="211"/>
      <x:c r="N39" s="211"/>
    </x:row>
    <x:row r="40">
      <x:c r="A40" s="52" t="str">
        <x:v>Fonte: CVM Informe Mensal, Tabela X.4. Captação líquida = captações − resgates − amortizações. Δ PL também incorpora resultado/valorização, ajustes e mudanças de universo. Nenhum dos dois conceitos é sinônimo de oferta pública encerrada.</x:v>
      </x:c>
      <x:c r="B40" s="52" t="str">
        <x:v>Fonte: CVM Informe Mensal, Tabela X.4. Captação líquida = captações − resgates − amortizações. Δ PL também incorpora resultado/valorização, ajustes e mudanças de universo. Nenhum dos dois conceitos é sinônimo de oferta pública encerrada.</x:v>
      </x:c>
      <x:c r="C40" s="52" t="str">
        <x:v>Fonte: CVM Informe Mensal, Tabela X.4. Captação líquida = captações − resgates − amortizações. Δ PL também incorpora resultado/valorização, ajustes e mudanças de universo. Nenhum dos dois conceitos é sinônimo de oferta pública encerrada.</x:v>
      </x:c>
      <x:c r="D40" s="52" t="str">
        <x:v>Fonte: CVM Informe Mensal, Tabela X.4. Captação líquida = captações − resgates − amortizações. Δ PL também incorpora resultado/valorização, ajustes e mudanças de universo. Nenhum dos dois conceitos é sinônimo de oferta pública encerrada.</x:v>
      </x:c>
      <x:c r="E40" s="52" t="str">
        <x:v>Fonte: CVM Informe Mensal, Tabela X.4. Captação líquida = captações − resgates − amortizações. Δ PL também incorpora resultado/valorização, ajustes e mudanças de universo. Nenhum dos dois conceitos é sinônimo de oferta pública encerrada.</x:v>
      </x:c>
      <x:c r="F40" s="52" t="str">
        <x:v>Fonte: CVM Informe Mensal, Tabela X.4. Captação líquida = captações − resgates − amortizações. Δ PL também incorpora resultado/valorização, ajustes e mudanças de universo. Nenhum dos dois conceitos é sinônimo de oferta pública encerrada.</x:v>
      </x:c>
      <x:c r="G40" s="52" t="str">
        <x:v>Fonte: CVM Informe Mensal, Tabela X.4. Captação líquida = captações − resgates − amortizações. Δ PL também incorpora resultado/valorização, ajustes e mudanças de universo. Nenhum dos dois conceitos é sinônimo de oferta pública encerrada.</x:v>
      </x:c>
      <x:c r="H40" s="211"/>
      <x:c r="I40" s="211"/>
      <x:c r="J40" s="211"/>
      <x:c r="K40" s="211"/>
      <x:c r="L40" s="211"/>
      <x:c r="M40" s="211"/>
      <x:c r="N40" s="211"/>
    </x:row>
  </x:sheetData>
  <x:mergeCells>
    <x:mergeCell ref="A1:N2"/>
    <x:mergeCell ref="A36:G40"/>
  </x:mergeCells>
  <x:pageMargins left="0.7" right="0.7" top="0.75" bottom="0.75" header="0.3" footer="0.3"/>
  <x:drawing xmlns:r="http://schemas.openxmlformats.org/officeDocument/2006/relationships" r:id="R514f2a0a9bb7459e"/>
</x:worksheet>
</file>