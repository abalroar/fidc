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olucao PL" sheetId="1" state="visible" r:id="rId1"/>
    <sheet xmlns:r="http://schemas.openxmlformats.org/officeDocument/2006/relationships" name="Composicao Segmento" sheetId="2" state="visible" r:id="rId2"/>
    <sheet xmlns:r="http://schemas.openxmlformats.org/officeDocument/2006/relationships" name="Ranking Admin" sheetId="3" state="visible" r:id="rId3"/>
    <sheet xmlns:r="http://schemas.openxmlformats.org/officeDocument/2006/relationships" name="Ranking Gestor" sheetId="4" state="visible" r:id="rId4"/>
    <sheet xmlns:r="http://schemas.openxmlformats.org/officeDocument/2006/relationships" name="Top 25 FIDCs" sheetId="5" state="visible" r:id="rId5"/>
    <sheet xmlns:r="http://schemas.openxmlformats.org/officeDocument/2006/relationships" name="Cotistas" sheetId="6" state="visible" r:id="rId6"/>
    <sheet xmlns:r="http://schemas.openxmlformats.org/officeDocument/2006/relationships" name="Segmento Investidor" sheetId="7" state="visible" r:id="rId7"/>
    <sheet xmlns:r="http://schemas.openxmlformats.org/officeDocument/2006/relationships" name="Tipo Gestor" sheetId="8" state="visible" r:id="rId8"/>
    <sheet xmlns:r="http://schemas.openxmlformats.org/officeDocument/2006/relationships" name="Fonte e Metodolog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'Evolucao PL'!B3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solidFill>
                <a:srgbClr val="E8703A"/>
              </a:solidFill>
              <a:prstDash val="solid"/>
            </a:ln>
          </spPr>
          <cat>
            <numRef>
              <f>'Evolucao PL'!$A$4:$A$17</f>
            </numRef>
          </cat>
          <val>
            <numRef>
              <f>'Evolucao PL'!$B$4:$B$17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'Composicao Segmento'!B3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'Composicao Segmento'!$A$4:$A$14</f>
            </numRef>
          </cat>
          <val>
            <numRef>
              <f>'Composicao Segmento'!$B$4:$B$14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Admin'!C3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'Ranking Admin'!$B$4:$B$13</f>
            </numRef>
          </cat>
          <val>
            <numRef>
              <f>'Ranking Admin'!$C$4:$C$13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Gestor'!C3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'Ranking Gestor'!$B$4:$B$13</f>
            </numRef>
          </cat>
          <val>
            <numRef>
              <f>'Ranking Gestor'!$C$4:$C$13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'Cotistas'!B4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'Cotistas'!$A$5:$A$8</f>
            </numRef>
          </cat>
          <val>
            <numRef>
              <f>'Cotistas'!$B$5:$B$8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'Segmento Investidor'!B3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'Segmento Investidor'!$A$4:$A$15</f>
            </numRef>
          </cat>
          <val>
            <numRef>
              <f>'Segmento Investidor'!$B$4:$B$15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'Tipo Gestor'!B4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'Tipo Gestor'!$A$5:$A$6</f>
            </numRef>
          </cat>
          <val>
            <numRef>
              <f>'Tipo Gestor'!$B$5:$B$6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79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2</row>
      <rowOff>0</rowOff>
    </from>
    <ext cx="79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2</row>
      <rowOff>0</rowOff>
    </from>
    <ext cx="79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</cols>
  <sheetData>
    <row r="1" ht="26" customHeight="1">
      <c r="A1" s="1" t="inlineStr">
        <is>
          <t>Evolução do PL da indústria de FIDCs — R$ bilhões</t>
        </is>
      </c>
    </row>
    <row r="3">
      <c r="A3" s="2" t="inlineStr">
        <is>
          <t>Ano</t>
        </is>
      </c>
      <c r="B3" s="2" t="inlineStr">
        <is>
          <t>PL (R$ bi)</t>
        </is>
      </c>
    </row>
    <row r="4">
      <c r="A4" s="3" t="n">
        <v>2013</v>
      </c>
      <c r="B4" s="4" t="n">
        <v>85</v>
      </c>
    </row>
    <row r="5">
      <c r="A5" s="3" t="n">
        <v>2014</v>
      </c>
      <c r="B5" s="4" t="n">
        <v>76</v>
      </c>
    </row>
    <row r="6">
      <c r="A6" s="3" t="n">
        <v>2015</v>
      </c>
      <c r="B6" s="4" t="n">
        <v>85</v>
      </c>
    </row>
    <row r="7">
      <c r="A7" s="3" t="n">
        <v>2016</v>
      </c>
      <c r="B7" s="4" t="n">
        <v>94</v>
      </c>
    </row>
    <row r="8">
      <c r="A8" s="3" t="n">
        <v>2017</v>
      </c>
      <c r="B8" s="4" t="n">
        <v>115</v>
      </c>
    </row>
    <row r="9">
      <c r="A9" s="3" t="n">
        <v>2018</v>
      </c>
      <c r="B9" s="4" t="n">
        <v>142</v>
      </c>
    </row>
    <row r="10">
      <c r="A10" s="3" t="n">
        <v>2019</v>
      </c>
      <c r="B10" s="4" t="n">
        <v>237</v>
      </c>
    </row>
    <row r="11">
      <c r="A11" s="3" t="n">
        <v>2020</v>
      </c>
      <c r="B11" s="4" t="n">
        <v>218</v>
      </c>
    </row>
    <row r="12">
      <c r="A12" s="3" t="n">
        <v>2021</v>
      </c>
      <c r="B12" s="4" t="n">
        <v>309</v>
      </c>
    </row>
    <row r="13">
      <c r="A13" s="3" t="n">
        <v>2022</v>
      </c>
      <c r="B13" s="4" t="n">
        <v>379</v>
      </c>
    </row>
    <row r="14">
      <c r="A14" s="3" t="n">
        <v>2023</v>
      </c>
      <c r="B14" s="4" t="n">
        <v>485</v>
      </c>
    </row>
    <row r="15">
      <c r="A15" s="3" t="n">
        <v>2024</v>
      </c>
      <c r="B15" s="4" t="n">
        <v>732</v>
      </c>
    </row>
    <row r="16">
      <c r="A16" s="3" t="n">
        <v>2025</v>
      </c>
      <c r="B16" s="4" t="n">
        <v>918</v>
      </c>
    </row>
    <row r="17">
      <c r="A17" s="3" t="n">
        <v>2026</v>
      </c>
      <c r="B17" s="4" t="n">
        <v>959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26" customHeight="1">
      <c r="A1" s="1" t="inlineStr">
        <is>
          <t>Composição do PL por segmento — 2026-05 (R$ bi e %)</t>
        </is>
      </c>
    </row>
    <row r="3">
      <c r="A3" s="2" t="inlineStr">
        <is>
          <t>Segmento</t>
        </is>
      </c>
      <c r="B3" s="2" t="inlineStr">
        <is>
          <t>PL (R$ bi)</t>
        </is>
      </c>
      <c r="C3" s="2" t="inlineStr">
        <is>
          <t>share_%</t>
        </is>
      </c>
    </row>
    <row r="4">
      <c r="A4" s="3" t="inlineStr">
        <is>
          <t>Financeiro</t>
        </is>
      </c>
      <c r="B4" s="5" t="n">
        <v>333.20389999542</v>
      </c>
      <c r="C4" s="5" t="n">
        <v>34.8</v>
      </c>
    </row>
    <row r="5">
      <c r="A5" s="3" t="inlineStr">
        <is>
          <t>Não classificado</t>
        </is>
      </c>
      <c r="B5" s="5" t="n">
        <v>160.97315255901</v>
      </c>
      <c r="C5" s="5" t="n">
        <v>16.8</v>
      </c>
    </row>
    <row r="6">
      <c r="A6" s="3" t="inlineStr">
        <is>
          <t>Comercial</t>
        </is>
      </c>
      <c r="B6" s="5" t="n">
        <v>119.43418977663</v>
      </c>
      <c r="C6" s="5" t="n">
        <v>12.5</v>
      </c>
    </row>
    <row r="7">
      <c r="A7" s="3" t="inlineStr">
        <is>
          <t>Cartao de credito</t>
        </is>
      </c>
      <c r="B7" s="5" t="n">
        <v>94.95943307135001</v>
      </c>
      <c r="C7" s="5" t="n">
        <v>9.9</v>
      </c>
    </row>
    <row r="8">
      <c r="A8" s="3" t="inlineStr">
        <is>
          <t>Industrial</t>
        </is>
      </c>
      <c r="B8" s="5" t="n">
        <v>81.78142711743001</v>
      </c>
      <c r="C8" s="5" t="n">
        <v>8.5</v>
      </c>
    </row>
    <row r="9">
      <c r="A9" s="3" t="inlineStr">
        <is>
          <t>Servicos</t>
        </is>
      </c>
      <c r="B9" s="5" t="n">
        <v>78.858687467</v>
      </c>
      <c r="C9" s="5" t="n">
        <v>8.199999999999999</v>
      </c>
    </row>
    <row r="10">
      <c r="A10" s="3" t="inlineStr">
        <is>
          <t>Setor publico</t>
        </is>
      </c>
      <c r="B10" s="5" t="n">
        <v>44.90700322412999</v>
      </c>
      <c r="C10" s="5" t="n">
        <v>4.7</v>
      </c>
    </row>
    <row r="11">
      <c r="A11" s="3" t="inlineStr">
        <is>
          <t>Acoes judiciais</t>
        </is>
      </c>
      <c r="B11" s="5" t="n">
        <v>26.68073480255</v>
      </c>
      <c r="C11" s="5" t="n">
        <v>2.8</v>
      </c>
    </row>
    <row r="12">
      <c r="A12" s="3" t="inlineStr">
        <is>
          <t>Agronegocio</t>
        </is>
      </c>
      <c r="B12" s="5" t="n">
        <v>12.36854339407</v>
      </c>
      <c r="C12" s="5" t="n">
        <v>1.3</v>
      </c>
    </row>
    <row r="13">
      <c r="A13" s="3" t="inlineStr">
        <is>
          <t>Imobiliario</t>
        </is>
      </c>
      <c r="B13" s="5" t="n">
        <v>4.1245656075</v>
      </c>
      <c r="C13" s="5" t="n">
        <v>0.4</v>
      </c>
    </row>
    <row r="14">
      <c r="A14" s="3" t="inlineStr">
        <is>
          <t>Factoring</t>
        </is>
      </c>
      <c r="B14" s="5" t="n">
        <v>0.09306000437</v>
      </c>
      <c r="C14" s="5" t="n">
        <v>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6" customWidth="1" min="2" max="2"/>
  </cols>
  <sheetData>
    <row r="1" ht="26" customHeight="1">
      <c r="A1" s="1" t="inlineStr">
        <is>
          <t>Ranking de Administradores por PL — 2026-05 (Top 10, R$ bi)</t>
        </is>
      </c>
    </row>
    <row r="3">
      <c r="A3" s="2" t="inlineStr">
        <is>
          <t>#</t>
        </is>
      </c>
      <c r="B3" s="2" t="inlineStr">
        <is>
          <t>Administrador</t>
        </is>
      </c>
      <c r="C3" s="2" t="inlineStr">
        <is>
          <t>pl_bi</t>
        </is>
      </c>
    </row>
    <row r="4">
      <c r="A4" s="6" t="n">
        <v>1</v>
      </c>
      <c r="B4" s="3" t="inlineStr">
        <is>
          <t>BTG PACTUAL SERVIÇOS FINANCEIROS S/A DTVM</t>
        </is>
      </c>
      <c r="C4" s="5" t="n">
        <v>145.3</v>
      </c>
    </row>
    <row r="5">
      <c r="A5" s="6" t="n">
        <v>2</v>
      </c>
      <c r="B5" s="3" t="inlineStr">
        <is>
          <t>QI CORRETORA DE TÍTULOS E VALORES MOBILIÁRIOS S.A.</t>
        </is>
      </c>
      <c r="C5" s="5" t="n">
        <v>139.2</v>
      </c>
    </row>
    <row r="6">
      <c r="A6" s="6" t="n">
        <v>3</v>
      </c>
      <c r="B6" s="3" t="inlineStr">
        <is>
          <t>OLIVEIRA TRUST DTVM S.A.</t>
        </is>
      </c>
      <c r="C6" s="5" t="n">
        <v>97.7</v>
      </c>
    </row>
    <row r="7">
      <c r="A7" s="6" t="n">
        <v>4</v>
      </c>
      <c r="B7" s="3" t="inlineStr">
        <is>
          <t>BB GESTAO DE RECURSOS DTVM S.A</t>
        </is>
      </c>
      <c r="C7" s="5" t="n">
        <v>60.9</v>
      </c>
    </row>
    <row r="8">
      <c r="A8" s="6" t="n">
        <v>5</v>
      </c>
      <c r="B8" s="3" t="inlineStr">
        <is>
          <t>BANCO DAYCOVAL S.A.</t>
        </is>
      </c>
      <c r="C8" s="5" t="n">
        <v>57.7</v>
      </c>
    </row>
    <row r="9">
      <c r="A9" s="6" t="n">
        <v>6</v>
      </c>
      <c r="B9" s="3" t="inlineStr">
        <is>
          <t>BEM - DISTRIBUIDORA DE TITULOS E VALORES MOBILIARIOS LTDA.</t>
        </is>
      </c>
      <c r="C9" s="5" t="n">
        <v>51.4</v>
      </c>
    </row>
    <row r="10">
      <c r="A10" s="6" t="n">
        <v>7</v>
      </c>
      <c r="B10" s="3" t="inlineStr">
        <is>
          <t>CBSF DISTRIBUIDORA DE TÍTULOS E VALORES MOBILIÁRIOS S.A.</t>
        </is>
      </c>
      <c r="C10" s="5" t="n">
        <v>43</v>
      </c>
    </row>
    <row r="11">
      <c r="A11" s="6" t="n">
        <v>8</v>
      </c>
      <c r="B11" s="3" t="inlineStr">
        <is>
          <t>INTRAG DTVM LTDA.</t>
        </is>
      </c>
      <c r="C11" s="5" t="n">
        <v>31.6</v>
      </c>
    </row>
    <row r="12">
      <c r="A12" s="6" t="n">
        <v>9</v>
      </c>
      <c r="B12" s="3" t="inlineStr">
        <is>
          <t>GENIAL INVESTIMENTOS CORRETORA DE VALORES MOBILIÁRIOS S.A.</t>
        </is>
      </c>
      <c r="C12" s="5" t="n">
        <v>30.7</v>
      </c>
    </row>
    <row r="13">
      <c r="A13" s="6" t="n">
        <v>10</v>
      </c>
      <c r="B13" s="3" t="inlineStr">
        <is>
          <t>HEMERA DISTRIBUIDORA DE TITULOS E VALORES MOBILIARIOS LTDA</t>
        </is>
      </c>
      <c r="C13" s="5" t="n">
        <v>24.5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6" customWidth="1" min="2" max="2"/>
  </cols>
  <sheetData>
    <row r="1" ht="26" customHeight="1">
      <c r="A1" s="1" t="inlineStr">
        <is>
          <t>Ranking de Gestores por PL — 2026-05 (Top 10, R$ bi)</t>
        </is>
      </c>
    </row>
    <row r="3">
      <c r="A3" s="2" t="inlineStr">
        <is>
          <t>#</t>
        </is>
      </c>
      <c r="B3" s="2" t="inlineStr">
        <is>
          <t>Gestor</t>
        </is>
      </c>
      <c r="C3" s="2" t="inlineStr">
        <is>
          <t>pl_bi</t>
        </is>
      </c>
    </row>
    <row r="4">
      <c r="A4" s="6" t="n">
        <v>1</v>
      </c>
      <c r="B4" s="3" t="inlineStr">
        <is>
          <t>OLIVEIRA TRUST SERVICER S/A</t>
        </is>
      </c>
      <c r="C4" s="5" t="n">
        <v>74.40000000000001</v>
      </c>
    </row>
    <row r="5">
      <c r="A5" s="6" t="n">
        <v>2</v>
      </c>
      <c r="B5" s="3" t="inlineStr">
        <is>
          <t>BB GESTAO DE RECURSOS DTVM S.A</t>
        </is>
      </c>
      <c r="C5" s="5" t="n">
        <v>60.9</v>
      </c>
    </row>
    <row r="6">
      <c r="A6" s="6" t="n">
        <v>3</v>
      </c>
      <c r="B6" s="3" t="inlineStr">
        <is>
          <t>BANCO BRADESCO S.A.</t>
        </is>
      </c>
      <c r="C6" s="5" t="n">
        <v>40.7</v>
      </c>
    </row>
    <row r="7">
      <c r="A7" s="6" t="n">
        <v>4</v>
      </c>
      <c r="B7" s="3" t="inlineStr">
        <is>
          <t>BTG PACTUAL ASSET MANAGEMENT S/A DTVM</t>
        </is>
      </c>
      <c r="C7" s="5" t="n">
        <v>28.7</v>
      </c>
    </row>
    <row r="8">
      <c r="A8" s="6" t="n">
        <v>5</v>
      </c>
      <c r="B8" s="3" t="inlineStr">
        <is>
          <t>SOLIS INVESTIMENTOS S A</t>
        </is>
      </c>
      <c r="C8" s="5" t="n">
        <v>27.2</v>
      </c>
    </row>
    <row r="9">
      <c r="A9" s="6" t="n">
        <v>6</v>
      </c>
      <c r="B9" s="3" t="inlineStr">
        <is>
          <t>GENIAL GESTÃO LTDA.</t>
        </is>
      </c>
      <c r="C9" s="5" t="n">
        <v>27</v>
      </c>
    </row>
    <row r="10">
      <c r="A10" s="6" t="n">
        <v>7</v>
      </c>
      <c r="B10" s="3" t="inlineStr">
        <is>
          <t>BANCO BTG PACTUAL S/A</t>
        </is>
      </c>
      <c r="C10" s="5" t="n">
        <v>25</v>
      </c>
    </row>
    <row r="11">
      <c r="A11" s="6" t="n">
        <v>8</v>
      </c>
      <c r="B11" s="3" t="inlineStr">
        <is>
          <t>TERCON INVESTIMENTOS S.A.</t>
        </is>
      </c>
      <c r="C11" s="5" t="n">
        <v>24</v>
      </c>
    </row>
    <row r="12">
      <c r="A12" s="6" t="n">
        <v>9</v>
      </c>
      <c r="B12" s="3" t="inlineStr">
        <is>
          <t>CBSF TRUST ADMINISTRADORA DE RECURSOS LTDA.</t>
        </is>
      </c>
      <c r="C12" s="5" t="n">
        <v>21</v>
      </c>
    </row>
    <row r="13">
      <c r="A13" s="6" t="n">
        <v>10</v>
      </c>
      <c r="B13" s="3" t="inlineStr">
        <is>
          <t>REAG JUS GESTÃO DE ATIVOS JUDICIAIS LTDA.</t>
        </is>
      </c>
      <c r="C13" s="5" t="n">
        <v>16.5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20" customWidth="1" min="3" max="3"/>
    <col width="40" customWidth="1" min="4" max="4"/>
    <col width="12" customWidth="1" min="5" max="5"/>
  </cols>
  <sheetData>
    <row r="1" ht="26" customHeight="1">
      <c r="A1" s="1" t="inlineStr">
        <is>
          <t>Top 25 FIDCs por PL — 2026-05 (R$ bi)</t>
        </is>
      </c>
    </row>
    <row r="3">
      <c r="A3" s="2" t="inlineStr">
        <is>
          <t>#</t>
        </is>
      </c>
      <c r="B3" s="2" t="inlineStr">
        <is>
          <t>Fundo</t>
        </is>
      </c>
      <c r="C3" s="2" t="inlineStr">
        <is>
          <t>segmento</t>
        </is>
      </c>
      <c r="D3" s="2" t="inlineStr">
        <is>
          <t>Gestor</t>
        </is>
      </c>
      <c r="E3" s="2" t="inlineStr">
        <is>
          <t>PL (R$ bi)</t>
        </is>
      </c>
    </row>
    <row r="4">
      <c r="A4" s="6" t="n">
        <v>1</v>
      </c>
      <c r="B4" s="3" t="inlineStr">
        <is>
          <t>FIDC DO SISTEMA PETROBRAS</t>
        </is>
      </c>
      <c r="C4" s="3" t="inlineStr">
        <is>
          <t>Industrial</t>
        </is>
      </c>
      <c r="D4" s="3" t="inlineStr">
        <is>
          <t>BB GESTAO DE RECURSOS DTVM S.A</t>
        </is>
      </c>
      <c r="E4" s="7" t="n">
        <v>60.84</v>
      </c>
    </row>
    <row r="5">
      <c r="A5" s="6" t="n">
        <v>2</v>
      </c>
      <c r="B5" s="3" t="inlineStr">
        <is>
          <t>TAPSO FUNDO DE INVESTIMENTO EM DIREITOS CREDITÓRIOS RESPONSABILIDADE LIMITADA</t>
        </is>
      </c>
      <c r="C5" s="3" t="inlineStr">
        <is>
          <t>Cartao de credito</t>
        </is>
      </c>
      <c r="D5" s="3" t="inlineStr">
        <is>
          <t>OLIVEIRA TRUST SERVICER S/A</t>
        </is>
      </c>
      <c r="E5" s="7" t="n">
        <v>40.66</v>
      </c>
    </row>
    <row r="6">
      <c r="A6" s="6" t="n">
        <v>3</v>
      </c>
      <c r="B6" s="3" t="inlineStr">
        <is>
          <t>CLOUDWALK BELA FUNDO DE INVESTIMENTO EM DIREITOS CREDITÓRIOS SEGMENTO MEIOS DE PAGAMENTO</t>
        </is>
      </c>
      <c r="C6" s="3" t="inlineStr">
        <is>
          <t>Cartao de credito</t>
        </is>
      </c>
      <c r="D6" s="3" t="inlineStr">
        <is>
          <t>BANCO BRADESCO S.A.</t>
        </is>
      </c>
      <c r="E6" s="7" t="n">
        <v>9.98</v>
      </c>
    </row>
    <row r="7">
      <c r="A7" s="6" t="n">
        <v>4</v>
      </c>
      <c r="B7" s="3" t="inlineStr">
        <is>
          <t>ITAÚ CRÉDITO PRIVADO FUNDO DE INVESTIMENTO EM DIREITOS CREDITÓRIOS - RESPONSABILIDADE LIMITADA</t>
        </is>
      </c>
      <c r="C7" s="3" t="inlineStr">
        <is>
          <t>Servicos</t>
        </is>
      </c>
      <c r="D7" s="3" t="inlineStr">
        <is>
          <t>ITAU UNIBANCO ASSET MANAGEMENT LTDA.</t>
        </is>
      </c>
      <c r="E7" s="7" t="n">
        <v>8.619999999999999</v>
      </c>
    </row>
    <row r="8">
      <c r="A8" s="6" t="n">
        <v>5</v>
      </c>
      <c r="B8" s="3" t="inlineStr">
        <is>
          <t>ESPERANZA FUNDO DE INVESTIMENTO EM DIREITOS CREDITÓRIOS</t>
        </is>
      </c>
      <c r="C8" s="3" t="inlineStr">
        <is>
          <t>Financeiro</t>
        </is>
      </c>
      <c r="D8" s="3" t="inlineStr">
        <is>
          <t>REAG JUS GESTÃO DE ATIVOS JUDICIAIS LTDA.</t>
        </is>
      </c>
      <c r="E8" s="7" t="n">
        <v>8.42</v>
      </c>
    </row>
    <row r="9">
      <c r="A9" s="6" t="n">
        <v>6</v>
      </c>
      <c r="B9" s="3" t="inlineStr">
        <is>
          <t>BTG PACTUAL CONSIGNADOS II FUNDO DE INVESTIMENTO EM DIREITOS CREDITÓRIOS</t>
        </is>
      </c>
      <c r="C9" s="3" t="inlineStr">
        <is>
          <t>Servicos</t>
        </is>
      </c>
      <c r="D9" s="3" t="inlineStr">
        <is>
          <t>BANCO BTG PACTUAL S/A</t>
        </is>
      </c>
      <c r="E9" s="7" t="n">
        <v>7.92</v>
      </c>
    </row>
    <row r="10">
      <c r="A10" s="6" t="n">
        <v>7</v>
      </c>
      <c r="B10" s="3" t="inlineStr">
        <is>
          <t>PAN AUTO FUNDO DE INVESTIMENTO EM DIREITOS CREDITÓRIOS RESPONSABILIDADE LIMITADA</t>
        </is>
      </c>
      <c r="C10" s="3" t="inlineStr">
        <is>
          <t>Comercial</t>
        </is>
      </c>
      <c r="D10" s="3" t="inlineStr">
        <is>
          <t>BTG PACTUAL GESTORA DE INVESTIMENTOS ALTERNATIVOS LTDA.</t>
        </is>
      </c>
      <c r="E10" s="7" t="n">
        <v>7.73</v>
      </c>
    </row>
    <row r="11">
      <c r="A11" s="6" t="n">
        <v>8</v>
      </c>
      <c r="B11" s="3" t="inlineStr">
        <is>
          <t>AETOS ENERGIA FUNDO DE INVESTIMENTO EM DIREITOS CREDITÓRIOS</t>
        </is>
      </c>
      <c r="C11" s="3" t="inlineStr">
        <is>
          <t>Servicos</t>
        </is>
      </c>
      <c r="D11" s="3" t="inlineStr">
        <is>
          <t>XP INVESTIMENTOS CCTVM S.A.</t>
        </is>
      </c>
      <c r="E11" s="7" t="n">
        <v>7.38</v>
      </c>
    </row>
    <row r="12">
      <c r="A12" s="6" t="n">
        <v>9</v>
      </c>
      <c r="B12" s="3" t="inlineStr">
        <is>
          <t>FUNDO DE INVESTIMENTO EM DIREITOS CREDITÓRIOS PAGSEGURO I</t>
        </is>
      </c>
      <c r="C12" s="3" t="inlineStr">
        <is>
          <t>Cartao de credito</t>
        </is>
      </c>
      <c r="D12" s="3" t="inlineStr">
        <is>
          <t>GENIAL GESTÃO LTDA.</t>
        </is>
      </c>
      <c r="E12" s="7" t="n">
        <v>6.7</v>
      </c>
    </row>
    <row r="13">
      <c r="A13" s="6" t="n">
        <v>10</v>
      </c>
      <c r="B13" s="3" t="inlineStr">
        <is>
          <t>CLASSE CONSIGNADO PRIVADO DO MT GLOBAL FUNDO DE INVESTIMENTO EM DIREITOS CREDITÓRIOS RESP LIMITADA</t>
        </is>
      </c>
      <c r="C13" s="3" t="inlineStr">
        <is>
          <t>Não classificado</t>
        </is>
      </c>
      <c r="D13" s="3" t="inlineStr">
        <is>
          <t>BTG PACTUAL ASSET MANAGEMENT S/A DTVM</t>
        </is>
      </c>
      <c r="E13" s="7" t="n">
        <v>6.65</v>
      </c>
    </row>
    <row r="14">
      <c r="A14" s="6" t="n">
        <v>11</v>
      </c>
      <c r="B14" s="3" t="inlineStr">
        <is>
          <t>CIELO FUNDO DE INVESTIMENTO EM DIREITOS CREDITÓRIOS</t>
        </is>
      </c>
      <c r="C14" s="3" t="inlineStr">
        <is>
          <t>Cartao de credito</t>
        </is>
      </c>
      <c r="D14" s="3" t="inlineStr">
        <is>
          <t>BANCO BRADESCO S.A.</t>
        </is>
      </c>
      <c r="E14" s="7" t="n">
        <v>6.47</v>
      </c>
    </row>
    <row r="15">
      <c r="A15" s="6" t="n">
        <v>12</v>
      </c>
      <c r="B15" s="3" t="inlineStr">
        <is>
          <t>RIO VERMELHO FUNDO DE INVESTIMENTO EM DIREITOS CREDITÓRIOS NÃO PADRONIZADO</t>
        </is>
      </c>
      <c r="C15" s="3" t="inlineStr">
        <is>
          <t>Financeiro</t>
        </is>
      </c>
      <c r="D15" s="3" t="inlineStr">
        <is>
          <t>CBSF TRUST ADMINISTRADORA DE RECURSOS LTDA.</t>
        </is>
      </c>
      <c r="E15" s="7" t="n">
        <v>6.39</v>
      </c>
    </row>
    <row r="16">
      <c r="A16" s="6" t="n">
        <v>13</v>
      </c>
      <c r="B16" s="3" t="inlineStr">
        <is>
          <t>BTG PACTUAL CONSIGNADOS FUNDO DE INVESTIMENTO EM DIREITOS CREDITÓRIOS</t>
        </is>
      </c>
      <c r="C16" s="3" t="inlineStr">
        <is>
          <t>Comercial</t>
        </is>
      </c>
      <c r="D16" s="3" t="inlineStr">
        <is>
          <t>BANCO BTG PACTUAL S/A</t>
        </is>
      </c>
      <c r="E16" s="7" t="n">
        <v>5.93</v>
      </c>
    </row>
    <row r="17">
      <c r="A17" s="6" t="n">
        <v>14</v>
      </c>
      <c r="B17" s="3" t="inlineStr">
        <is>
          <t>FUNDO DE INVESTIMENTO EM DIREITOS CREDITÓRIOS ALTERNATIVE ASSETS III RESPONSABILIDADE LIMITADA</t>
        </is>
      </c>
      <c r="C17" s="3" t="inlineStr">
        <is>
          <t>Setor publico</t>
        </is>
      </c>
      <c r="D17" s="3" t="inlineStr">
        <is>
          <t>BANCO BTG PACTUAL S/A</t>
        </is>
      </c>
      <c r="E17" s="7" t="n">
        <v>5.77</v>
      </c>
    </row>
    <row r="18">
      <c r="A18" s="6" t="n">
        <v>15</v>
      </c>
      <c r="B18" s="3" t="inlineStr">
        <is>
          <t>NC 2025 I FUNDO DE INVESTIMENTO EM DIREITOS CREDITÓRIOS RESPONSABILIDADE LIMITADA</t>
        </is>
      </c>
      <c r="C18" s="3" t="inlineStr">
        <is>
          <t>Financeiro</t>
        </is>
      </c>
      <c r="D18" s="3" t="inlineStr">
        <is>
          <t>KANASTRA ADMINISTRAÇÃO DE RECURSOS LTDA</t>
        </is>
      </c>
      <c r="E18" s="7" t="n">
        <v>5.66</v>
      </c>
    </row>
    <row r="19">
      <c r="A19" s="6" t="n">
        <v>16</v>
      </c>
      <c r="B19" s="3" t="inlineStr">
        <is>
          <t>FUNDO DE INVESTIMENTO EM DIREITOS CREDITÓRIOS MONEE I DE RESPONSABILIDADE LIMITADA</t>
        </is>
      </c>
      <c r="C19" s="3" t="inlineStr">
        <is>
          <t>Financeiro</t>
        </is>
      </c>
      <c r="D19" s="3" t="inlineStr">
        <is>
          <t>VALORA RENDA FIXA LTDA.</t>
        </is>
      </c>
      <c r="E19" s="7" t="n">
        <v>5</v>
      </c>
    </row>
    <row r="20">
      <c r="A20" s="6" t="n">
        <v>17</v>
      </c>
      <c r="B20" s="3" t="inlineStr">
        <is>
          <t>FUNDO DE INVESTIMENTO EM DIREITOS CREDITÓRIOS PICPAY I</t>
        </is>
      </c>
      <c r="C20" s="3" t="inlineStr">
        <is>
          <t>Cartao de credito</t>
        </is>
      </c>
      <c r="D20" s="3" t="inlineStr">
        <is>
          <t>GENIAL GESTÃO LTDA.</t>
        </is>
      </c>
      <c r="E20" s="7" t="n">
        <v>4.56</v>
      </c>
    </row>
    <row r="21">
      <c r="A21" s="6" t="n">
        <v>18</v>
      </c>
      <c r="B21" s="3" t="inlineStr">
        <is>
          <t>ARTESANAL MASTER FUNDO DE INVESTIMENTO EM DIREITOS CREDITÓRIOS</t>
        </is>
      </c>
      <c r="C21" s="3" t="inlineStr">
        <is>
          <t>Não classificado</t>
        </is>
      </c>
      <c r="D21" s="3" t="inlineStr">
        <is>
          <t>ARTESANAL INVESTIMENTOS LTDA</t>
        </is>
      </c>
      <c r="E21" s="7" t="n">
        <v>4.35</v>
      </c>
    </row>
    <row r="22">
      <c r="A22" s="6" t="n">
        <v>19</v>
      </c>
      <c r="B22" s="3" t="inlineStr">
        <is>
          <t>HIGH TOWER FUNDO DE INVESTIMENTO EM DIREITOS CREDITÓRIOS NÃO-PADRONIZADOS</t>
        </is>
      </c>
      <c r="C22" s="3" t="inlineStr">
        <is>
          <t>Financeiro</t>
        </is>
      </c>
      <c r="D22" s="3" t="inlineStr">
        <is>
          <t>CBSF TRUST ADMINISTRADORA DE RECURSOS LTDA.</t>
        </is>
      </c>
      <c r="E22" s="7" t="n">
        <v>3.97</v>
      </c>
    </row>
    <row r="23">
      <c r="A23" s="6" t="n">
        <v>20</v>
      </c>
      <c r="B23" s="3" t="inlineStr">
        <is>
          <t>DAY MAXX 2 FUNDO DE INVESTIMENTO EM DIREITOS CREDITÓRIOS DE RESPONSABILIDADE LIMITADA</t>
        </is>
      </c>
      <c r="C23" s="3" t="inlineStr">
        <is>
          <t>Financeiro</t>
        </is>
      </c>
      <c r="D23" s="3" t="inlineStr">
        <is>
          <t>DAYCOVAL ASSET MANAGEMENT ADMINISTRACAO DE RECURSOS LTDA</t>
        </is>
      </c>
      <c r="E23" s="7" t="n">
        <v>3.92</v>
      </c>
    </row>
    <row r="24">
      <c r="A24" s="6" t="n">
        <v>21</v>
      </c>
      <c r="B24" s="3" t="inlineStr">
        <is>
          <t>SELLER FIDC SEGMENTO MEIOS DE PAGAMENTO DE RESPONSABILIDADE LIMITADA</t>
        </is>
      </c>
      <c r="C24" s="3" t="inlineStr">
        <is>
          <t>Servicos</t>
        </is>
      </c>
      <c r="D24" s="3" t="inlineStr">
        <is>
          <t>OLIVEIRA TRUST SERVICER S/A</t>
        </is>
      </c>
      <c r="E24" s="7" t="n">
        <v>3.63</v>
      </c>
    </row>
    <row r="25">
      <c r="A25" s="6" t="n">
        <v>22</v>
      </c>
      <c r="B25" s="3" t="inlineStr">
        <is>
          <t>FIDC ACR BEM BANCOS EMISSORES DE CARTÃO DE CRÉDITO - RESPONSABILIDADE LIMITADA</t>
        </is>
      </c>
      <c r="C25" s="3" t="inlineStr">
        <is>
          <t>Cartao de credito</t>
        </is>
      </c>
      <c r="D25" s="3" t="inlineStr">
        <is>
          <t>BANCO BRADESCO S.A.</t>
        </is>
      </c>
      <c r="E25" s="7" t="n">
        <v>3.63</v>
      </c>
    </row>
    <row r="26">
      <c r="A26" s="6" t="n">
        <v>23</v>
      </c>
      <c r="B26" s="3" t="inlineStr">
        <is>
          <t>RSCRED MULTIESTRÉGIA - FUNDO DE INVESTIMENTO EM DIREITOS CREDITÓRIOS NÃO-PADRONIZADOS</t>
        </is>
      </c>
      <c r="C26" s="3" t="inlineStr">
        <is>
          <t>Financeiro</t>
        </is>
      </c>
      <c r="D26" s="3" t="inlineStr">
        <is>
          <t>SECURITY ADM. DE RECURSOS LTDA</t>
        </is>
      </c>
      <c r="E26" s="7" t="n">
        <v>3.6</v>
      </c>
    </row>
    <row r="27">
      <c r="A27" s="6" t="n">
        <v>24</v>
      </c>
      <c r="B27" s="3" t="inlineStr">
        <is>
          <t>HAVAN FUNDO DE INVESTIMENTO EM DIREITOS CREDITÓRIOS SEGMENTO ECONÔMICO, FINANCEIRO E COMERCIAL</t>
        </is>
      </c>
      <c r="C27" s="3" t="inlineStr">
        <is>
          <t>Comercial</t>
        </is>
      </c>
      <c r="D27" s="3" t="inlineStr">
        <is>
          <t>PETRA CAPITAL GESTÃO DE INVESTIMENTOS LTDA</t>
        </is>
      </c>
      <c r="E27" s="7" t="n">
        <v>3.58</v>
      </c>
    </row>
    <row r="28">
      <c r="A28" s="6" t="n">
        <v>25</v>
      </c>
      <c r="B28" s="3" t="inlineStr">
        <is>
          <t>EXPERT III FUNDO DE INVESTIMENTO EM DIREITOS CREDITÓRIOS DE RESPONSABILIDADE ILIMITADA</t>
        </is>
      </c>
      <c r="C28" s="3" t="inlineStr">
        <is>
          <t>Não classificado</t>
        </is>
      </c>
      <c r="D28" s="3" t="inlineStr">
        <is>
          <t>DAYCOVAL ASSET MANAGEMENT ADMINISTRACAO DE RECURSOS LTDA</t>
        </is>
      </c>
      <c r="E28" s="7" t="n">
        <v>3.55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26" customHeight="1">
      <c r="A1" s="1" t="inlineStr">
        <is>
          <t>Número de cotistas — fundos &gt; R$ 200 mi de PL</t>
        </is>
      </c>
    </row>
    <row r="2">
      <c r="A2" t="inlineStr">
        <is>
          <t>Universo: 863 fundos / R$ 794 bi de PL</t>
        </is>
      </c>
    </row>
    <row r="4">
      <c r="A4" s="2" t="inlineStr">
        <is>
          <t>Faixa</t>
        </is>
      </c>
      <c r="B4" s="2" t="inlineStr">
        <is>
          <t># Fundos</t>
        </is>
      </c>
      <c r="C4" s="2" t="inlineStr">
        <is>
          <t>PL (R$ bi)</t>
        </is>
      </c>
    </row>
    <row r="5">
      <c r="A5" s="3" t="inlineStr">
        <is>
          <t>Até 2 cotistas</t>
        </is>
      </c>
      <c r="B5" s="6" t="n">
        <v>273</v>
      </c>
      <c r="C5" s="6" t="n">
        <v>251</v>
      </c>
    </row>
    <row r="6">
      <c r="A6" s="3" t="inlineStr">
        <is>
          <t>3 cotistas</t>
        </is>
      </c>
      <c r="B6" s="6" t="n">
        <v>53</v>
      </c>
      <c r="C6" s="6" t="n">
        <v>33</v>
      </c>
    </row>
    <row r="7">
      <c r="A7" s="3" t="inlineStr">
        <is>
          <t>4 cotistas</t>
        </is>
      </c>
      <c r="B7" s="6" t="n">
        <v>49</v>
      </c>
      <c r="C7" s="6" t="n">
        <v>51</v>
      </c>
    </row>
    <row r="8">
      <c r="A8" s="3" t="inlineStr">
        <is>
          <t>5 ou mais</t>
        </is>
      </c>
      <c r="B8" s="6" t="n">
        <v>488</v>
      </c>
      <c r="C8" s="6" t="n">
        <v>459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 ht="26" customHeight="1">
      <c r="A1" s="1" t="inlineStr">
        <is>
          <t>Nº de cotistas por segmento de investidor — 2026-06</t>
        </is>
      </c>
    </row>
    <row r="3">
      <c r="A3" s="2" t="inlineStr">
        <is>
          <t>Segmento</t>
        </is>
      </c>
      <c r="B3" s="2" t="inlineStr">
        <is>
          <t># Cotistas</t>
        </is>
      </c>
    </row>
    <row r="4">
      <c r="A4" s="3" t="inlineStr">
        <is>
          <t>Outros fundos</t>
        </is>
      </c>
      <c r="B4" s="6" t="n">
        <v>7159</v>
      </c>
    </row>
    <row r="5">
      <c r="A5" s="3" t="inlineStr">
        <is>
          <t>Pessoa fisica</t>
        </is>
      </c>
      <c r="B5" s="6" t="n">
        <v>3578</v>
      </c>
    </row>
    <row r="6">
      <c r="A6" s="3" t="inlineStr">
        <is>
          <t>Outros</t>
        </is>
      </c>
      <c r="B6" s="6" t="n">
        <v>3246</v>
      </c>
    </row>
    <row r="7">
      <c r="A7" s="3" t="inlineStr">
        <is>
          <t>PJ nao financeira</t>
        </is>
      </c>
      <c r="B7" s="6" t="n">
        <v>544</v>
      </c>
    </row>
    <row r="8">
      <c r="A8" s="3" t="inlineStr">
        <is>
          <t>Corretora/distribuidora</t>
        </is>
      </c>
      <c r="B8" s="6" t="n">
        <v>248</v>
      </c>
    </row>
    <row r="9">
      <c r="A9" s="3" t="inlineStr">
        <is>
          <t>Banco comercial</t>
        </is>
      </c>
      <c r="B9" s="6" t="n">
        <v>126</v>
      </c>
    </row>
    <row r="10">
      <c r="A10" s="3" t="inlineStr">
        <is>
          <t>Cotas de FIDC (outros FIDC/FIC-FIDC)</t>
        </is>
      </c>
      <c r="B10" s="6" t="n">
        <v>71</v>
      </c>
    </row>
    <row r="11">
      <c r="A11" s="3" t="inlineStr">
        <is>
          <t>Previdencia fechada (EFPC)</t>
        </is>
      </c>
      <c r="B11" s="6" t="n">
        <v>34</v>
      </c>
    </row>
    <row r="12">
      <c r="A12" s="3" t="inlineStr">
        <is>
          <t>Investidor nao residente</t>
        </is>
      </c>
      <c r="B12" s="6" t="n">
        <v>33</v>
      </c>
    </row>
    <row r="13">
      <c r="A13" s="3" t="inlineStr">
        <is>
          <t>Outra PJ financeira</t>
        </is>
      </c>
      <c r="B13" s="6" t="n">
        <v>12</v>
      </c>
    </row>
    <row r="14">
      <c r="A14" s="3" t="inlineStr">
        <is>
          <t>Clube de investimento</t>
        </is>
      </c>
      <c r="B14" s="6" t="n">
        <v>5</v>
      </c>
    </row>
    <row r="15">
      <c r="A15" s="3" t="inlineStr">
        <is>
          <t>Regime proprio (RPPS)</t>
        </is>
      </c>
      <c r="B15" s="6" t="n">
        <v>4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26" customHeight="1">
      <c r="A1" s="1" t="inlineStr">
        <is>
          <t>PL por tipo de gestor — Independente vs Ligada a banco (heurístico)</t>
        </is>
      </c>
    </row>
    <row r="2">
      <c r="A2" t="inlineStr">
        <is>
          <t>Classificação heurística por palavra-chave no nome do gestor — aproximação, não oficial</t>
        </is>
      </c>
    </row>
    <row r="4">
      <c r="A4" s="2" t="inlineStr">
        <is>
          <t>Tipo de gestor</t>
        </is>
      </c>
      <c r="B4" s="2" t="inlineStr">
        <is>
          <t>PL (R$ bi)</t>
        </is>
      </c>
      <c r="C4" s="2" t="inlineStr">
        <is>
          <t>share_%</t>
        </is>
      </c>
    </row>
    <row r="5">
      <c r="A5" s="3" t="inlineStr">
        <is>
          <t>Independente</t>
        </is>
      </c>
      <c r="B5" s="5" t="n">
        <v>708.9</v>
      </c>
      <c r="C5" s="5" t="n">
        <v>74</v>
      </c>
    </row>
    <row r="6">
      <c r="A6" s="3" t="inlineStr">
        <is>
          <t>Ligada a banco</t>
        </is>
      </c>
      <c r="B6" s="5" t="n">
        <v>248.5</v>
      </c>
      <c r="C6" s="5" t="n">
        <v>26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6" customHeight="1">
      <c r="A1" s="1" t="inlineStr">
        <is>
          <t>Fonte e Metodologia</t>
        </is>
      </c>
    </row>
    <row r="3">
      <c r="A3" t="inlineStr">
        <is>
          <t>• Competência de referência: 2026-05 (último mês completo).</t>
        </is>
      </c>
    </row>
    <row r="4">
      <c r="A4" t="inlineStr">
        <is>
          <t>• Fonte primária: CVM Dados Abertos — Informe Mensal FIDC + Cadastro de fundos.</t>
        </is>
      </c>
    </row>
    <row r="5">
      <c r="A5" t="inlineStr">
        <is>
          <t>• PL: soma de TAB_IV_A_VL_PL (patrimônio líquido) por fundo/classe.</t>
        </is>
      </c>
    </row>
    <row r="6">
      <c r="A6" t="inlineStr">
        <is>
          <t>• PL de indústria (evolução): série mensal agregada; último mês incompleto é descartado.</t>
        </is>
      </c>
    </row>
    <row r="7">
      <c r="A7" t="inlineStr">
        <is>
          <t>• Atenção: a soma bruta contém dupla contagem (master-feeder, FIC-FIDC, classes senior/sub).</t>
        </is>
      </c>
    </row>
    <row r="8">
      <c r="A8" t="inlineStr">
        <is>
          <t>• Administrador e gestor: cadastro CVM (cad_fi / registro_fundo_classe).</t>
        </is>
      </c>
    </row>
    <row r="9">
      <c r="A9" t="inlineStr">
        <is>
          <t>• Segmento: taxonomia interna do projeto (segmento_principal) — análoga, não idêntica às classes ANBIMA.</t>
        </is>
      </c>
    </row>
    <row r="10">
      <c r="A10" t="inlineStr">
        <is>
          <t>• Independente vs banco: classificação HEURÍSTICA por palavra-chave no nome do gestor.</t>
        </is>
      </c>
    </row>
    <row r="11">
      <c r="A11" t="inlineStr">
        <is>
          <t>• Nº de cotistas por segmento de investidor: Informe Mensal FIDC (tabela X).</t>
        </is>
      </c>
    </row>
    <row r="12">
      <c r="A12" t="inlineStr">
        <is>
          <t>• Este material NÃO depende de Power BI nem de dados proprietários da ANBIMA.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2026-07-10T16:35:37Z</dcterms:created>
  <dcterms:modified xmlns:dcterms="http://purl.org/dc/terms/" xmlns:xsi="http://www.w3.org/2001/XMLSchema-instance" xsi:type="dcterms:W3CDTF">2026-07-10T16:35:37Z</dcterms:modified>
</cp:coreProperties>
</file>