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olucao PL" sheetId="1" state="visible" r:id="rId1"/>
    <sheet xmlns:r="http://schemas.openxmlformats.org/officeDocument/2006/relationships" name="Composicao" sheetId="2" state="visible" r:id="rId2"/>
    <sheet xmlns:r="http://schemas.openxmlformats.org/officeDocument/2006/relationships" name="Definicoes ANBIMA" sheetId="3" state="visible" r:id="rId3"/>
    <sheet xmlns:r="http://schemas.openxmlformats.org/officeDocument/2006/relationships" name="Ranking Gestor" sheetId="4" state="visible" r:id="rId4"/>
    <sheet xmlns:r="http://schemas.openxmlformats.org/officeDocument/2006/relationships" name="Evolucao Gestor" sheetId="5" state="visible" r:id="rId5"/>
    <sheet xmlns:r="http://schemas.openxmlformats.org/officeDocument/2006/relationships" name="Ranking Admin" sheetId="6" state="visible" r:id="rId6"/>
    <sheet xmlns:r="http://schemas.openxmlformats.org/officeDocument/2006/relationships" name="Evolucao Admin" sheetId="7" state="visible" r:id="rId7"/>
    <sheet xmlns:r="http://schemas.openxmlformats.org/officeDocument/2006/relationships" name="Tipo de Controle" sheetId="8" state="visible" r:id="rId8"/>
    <sheet xmlns:r="http://schemas.openxmlformats.org/officeDocument/2006/relationships" name="De-para Conglomerados" sheetId="9" state="visible" r:id="rId9"/>
    <sheet xmlns:r="http://schemas.openxmlformats.org/officeDocument/2006/relationships" name="Top 25 FIDCs" sheetId="10" state="visible" r:id="rId10"/>
    <sheet xmlns:r="http://schemas.openxmlformats.org/officeDocument/2006/relationships" name="Cotistas" sheetId="11" state="visible" r:id="rId11"/>
    <sheet xmlns:r="http://schemas.openxmlformats.org/officeDocument/2006/relationships" name="Segmento Investidor" sheetId="12" state="visible" r:id="rId12"/>
    <sheet xmlns:r="http://schemas.openxmlformats.org/officeDocument/2006/relationships" name="Emissoes" sheetId="13" state="visible" r:id="rId13"/>
    <sheet xmlns:r="http://schemas.openxmlformats.org/officeDocument/2006/relationships" name="Fonte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0"/>
    </font>
    <font>
      <name val="Calibri"/>
      <i val="1"/>
      <color rgb="008A94A6"/>
      <sz val="8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2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left" vertical="center" indent="1"/>
    </xf>
    <xf numFmtId="16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style val="10"/>
  <chart>
    <plotArea>
      <barChart>
        <barDir val="col"/>
        <grouping val="clustered"/>
        <ser>
          <idx val="0"/>
          <order val="0"/>
          <tx>
            <strRef>
              <f>'Evolucao PL'!B3</f>
            </strRef>
          </tx>
          <spPr>
            <a:solidFill xmlns:a="http://schemas.openxmlformats.org/drawingml/2006/main">
              <a:srgbClr val="E8703A"/>
            </a:solidFill>
            <a:ln xmlns:a="http://schemas.openxmlformats.org/drawingml/2006/main">
              <a:prstDash val="solid"/>
            </a:ln>
          </spPr>
          <cat>
            <numRef>
              <f>'Evolucao PL'!$A$4:$A$15</f>
            </numRef>
          </cat>
          <val>
            <numRef>
              <f>'Evolucao PL'!$B$4:$B$15</f>
            </numRef>
          </val>
        </ser>
        <dLbls>
          <numFmt formatCode="#,##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plotArea>
      <barChart>
        <barDir val="col"/>
        <grouping val="percentStacked"/>
        <ser>
          <idx val="0"/>
          <order val="0"/>
          <tx>
            <strRef>
              <f>'Composicao'!B3</f>
            </strRef>
          </tx>
          <spPr>
            <a:solidFill xmlns:a="http://schemas.openxmlformats.org/drawingml/2006/main">
              <a:srgbClr val="E8703A"/>
            </a:solidFill>
            <a:ln xmlns:a="http://schemas.openxmlformats.org/drawingml/2006/main">
              <a:prstDash val="solid"/>
            </a:ln>
          </spPr>
          <cat>
            <numRef>
              <f>'Composicao'!$A$4:$A$10</f>
            </numRef>
          </cat>
          <val>
            <numRef>
              <f>'Composicao'!$B$4:$B$10</f>
            </numRef>
          </val>
        </ser>
        <ser>
          <idx val="1"/>
          <order val="1"/>
          <tx>
            <strRef>
              <f>'Composicao'!C3</f>
            </strRef>
          </tx>
          <spPr>
            <a:solidFill xmlns:a="http://schemas.openxmlformats.org/drawingml/2006/main">
              <a:srgbClr val="1F2A44"/>
            </a:solidFill>
            <a:ln xmlns:a="http://schemas.openxmlformats.org/drawingml/2006/main">
              <a:prstDash val="solid"/>
            </a:ln>
          </spPr>
          <cat>
            <numRef>
              <f>'Composicao'!$A$4:$A$10</f>
            </numRef>
          </cat>
          <val>
            <numRef>
              <f>'Composicao'!$C$4:$C$10</f>
            </numRef>
          </val>
        </ser>
        <ser>
          <idx val="2"/>
          <order val="2"/>
          <tx>
            <strRef>
              <f>'Composicao'!D3</f>
            </strRef>
          </tx>
          <spPr>
            <a:solidFill xmlns:a="http://schemas.openxmlformats.org/drawingml/2006/main">
              <a:srgbClr val="5B7DB1"/>
            </a:solidFill>
            <a:ln xmlns:a="http://schemas.openxmlformats.org/drawingml/2006/main">
              <a:prstDash val="solid"/>
            </a:ln>
          </spPr>
          <cat>
            <numRef>
              <f>'Composicao'!$A$4:$A$10</f>
            </numRef>
          </cat>
          <val>
            <numRef>
              <f>'Composicao'!$D$4:$D$10</f>
            </numRef>
          </val>
        </ser>
        <ser>
          <idx val="3"/>
          <order val="3"/>
          <tx>
            <strRef>
              <f>'Composicao'!E3</f>
            </strRef>
          </tx>
          <spPr>
            <a:solidFill xmlns:a="http://schemas.openxmlformats.org/drawingml/2006/main">
              <a:srgbClr val="9AA7BF"/>
            </a:solidFill>
            <a:ln xmlns:a="http://schemas.openxmlformats.org/drawingml/2006/main">
              <a:prstDash val="solid"/>
            </a:ln>
          </spPr>
          <cat>
            <numRef>
              <f>'Composicao'!$A$4:$A$10</f>
            </numRef>
          </cat>
          <val>
            <numRef>
              <f>'Composicao'!$E$4:$E$10</f>
            </numRef>
          </val>
        </ser>
        <ser>
          <idx val="4"/>
          <order val="4"/>
          <tx>
            <strRef>
              <f>'Composicao'!F3</f>
            </strRef>
          </tx>
          <spPr>
            <a:solidFill xmlns:a="http://schemas.openxmlformats.org/drawingml/2006/main">
              <a:srgbClr val="F4A97F"/>
            </a:solidFill>
            <a:ln xmlns:a="http://schemas.openxmlformats.org/drawingml/2006/main">
              <a:prstDash val="solid"/>
            </a:ln>
          </spPr>
          <cat>
            <numRef>
              <f>'Composicao'!$A$4:$A$10</f>
            </numRef>
          </cat>
          <val>
            <numRef>
              <f>'Composicao'!$F$4:$F$10</f>
            </numRef>
          </val>
        </ser>
        <ser>
          <idx val="5"/>
          <order val="5"/>
          <tx>
            <strRef>
              <f>'Composicao'!G3</f>
            </strRef>
          </tx>
          <spPr>
            <a:solidFill xmlns:a="http://schemas.openxmlformats.org/drawingml/2006/main">
              <a:srgbClr val="8A94A6"/>
            </a:solidFill>
            <a:ln xmlns:a="http://schemas.openxmlformats.org/drawingml/2006/main">
              <a:prstDash val="solid"/>
            </a:ln>
          </spPr>
          <cat>
            <numRef>
              <f>'Composicao'!$A$4:$A$10</f>
            </numRef>
          </cat>
          <val>
            <numRef>
              <f>'Composicao'!$G$4:$G$10</f>
            </numRef>
          </val>
        </ser>
        <ser>
          <idx val="6"/>
          <order val="6"/>
          <tx>
            <strRef>
              <f>'Composicao'!H3</f>
            </strRef>
          </tx>
          <spPr>
            <a:solidFill xmlns:a="http://schemas.openxmlformats.org/drawingml/2006/main">
              <a:srgbClr val="C0703A"/>
            </a:solidFill>
            <a:ln xmlns:a="http://schemas.openxmlformats.org/drawingml/2006/main">
              <a:prstDash val="solid"/>
            </a:ln>
          </spPr>
          <cat>
            <numRef>
              <f>'Composicao'!$A$4:$A$10</f>
            </numRef>
          </cat>
          <val>
            <numRef>
              <f>'Composicao'!$H$4:$H$10</f>
            </numRef>
          </val>
        </ser>
        <ser>
          <idx val="7"/>
          <order val="7"/>
          <tx>
            <strRef>
              <f>'Composicao'!I3</f>
            </strRef>
          </tx>
          <spPr>
            <a:solidFill xmlns:a="http://schemas.openxmlformats.org/drawingml/2006/main">
              <a:srgbClr val="6E7B94"/>
            </a:solidFill>
            <a:ln xmlns:a="http://schemas.openxmlformats.org/drawingml/2006/main">
              <a:prstDash val="solid"/>
            </a:ln>
          </spPr>
          <cat>
            <numRef>
              <f>'Composicao'!$A$4:$A$10</f>
            </numRef>
          </cat>
          <val>
            <numRef>
              <f>'Composicao'!$I$4:$I$10</f>
            </numRef>
          </val>
        </ser>
        <ser>
          <idx val="8"/>
          <order val="8"/>
          <tx>
            <strRef>
              <f>'Composicao'!J3</f>
            </strRef>
          </tx>
          <spPr>
            <a:solidFill xmlns:a="http://schemas.openxmlformats.org/drawingml/2006/main">
              <a:srgbClr val="D9DEE7"/>
            </a:solidFill>
            <a:ln xmlns:a="http://schemas.openxmlformats.org/drawingml/2006/main">
              <a:prstDash val="solid"/>
            </a:ln>
          </spPr>
          <cat>
            <numRef>
              <f>'Composicao'!$A$4:$A$10</f>
            </numRef>
          </cat>
          <val>
            <numRef>
              <f>'Composicao'!$J$4:$J$10</f>
            </numRef>
          </val>
        </ser>
        <ser>
          <idx val="9"/>
          <order val="9"/>
          <tx>
            <strRef>
              <f>'Composicao'!K3</f>
            </strRef>
          </tx>
          <spPr>
            <a:solidFill xmlns:a="http://schemas.openxmlformats.org/drawingml/2006/main">
              <a:srgbClr val="B5C2D6"/>
            </a:solidFill>
            <a:ln xmlns:a="http://schemas.openxmlformats.org/drawingml/2006/main">
              <a:prstDash val="solid"/>
            </a:ln>
          </spPr>
          <cat>
            <numRef>
              <f>'Composicao'!$A$4:$A$10</f>
            </numRef>
          </cat>
          <val>
            <numRef>
              <f>'Composicao'!$K$4:$K$10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plotArea>
      <barChart>
        <barDir val="bar"/>
        <grouping val="clustered"/>
        <ser>
          <idx val="0"/>
          <order val="0"/>
          <tx>
            <strRef>
              <f>'Ranking Gestor'!C3</f>
            </strRef>
          </tx>
          <spPr>
            <a:solidFill xmlns:a="http://schemas.openxmlformats.org/drawingml/2006/main">
              <a:srgbClr val="1F2A44"/>
            </a:solidFill>
            <a:ln xmlns:a="http://schemas.openxmlformats.org/drawingml/2006/main">
              <a:prstDash val="solid"/>
            </a:ln>
          </spPr>
          <cat>
            <numRef>
              <f>'Ranking Gestor'!$B$4:$B$15</f>
            </numRef>
          </cat>
          <val>
            <numRef>
              <f>'Ranking Gestor'!$C$4:$C$15</f>
            </numRef>
          </val>
        </ser>
        <dLbls>
          <numFmt formatCode="#,##0.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plotArea>
      <barChart>
        <barDir val="bar"/>
        <grouping val="clustered"/>
        <ser>
          <idx val="0"/>
          <order val="0"/>
          <tx>
            <strRef>
              <f>'Ranking Admin'!C3</f>
            </strRef>
          </tx>
          <spPr>
            <a:solidFill xmlns:a="http://schemas.openxmlformats.org/drawingml/2006/main">
              <a:srgbClr val="E8703A"/>
            </a:solidFill>
            <a:ln xmlns:a="http://schemas.openxmlformats.org/drawingml/2006/main">
              <a:prstDash val="solid"/>
            </a:ln>
          </spPr>
          <cat>
            <numRef>
              <f>'Ranking Admin'!$B$4:$B$15</f>
            </numRef>
          </cat>
          <val>
            <numRef>
              <f>'Ranking Admin'!$C$4:$C$15</f>
            </numRef>
          </val>
        </ser>
        <dLbls>
          <numFmt formatCode="#,##0.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10"/>
  <chart>
    <plotArea>
      <barChart>
        <barDir val="col"/>
        <grouping val="clustered"/>
        <ser>
          <idx val="0"/>
          <order val="0"/>
          <tx>
            <strRef>
              <f>'Cotistas'!B4</f>
            </strRef>
          </tx>
          <spPr>
            <a:solidFill xmlns:a="http://schemas.openxmlformats.org/drawingml/2006/main">
              <a:srgbClr val="E8703A"/>
            </a:solidFill>
            <a:ln xmlns:a="http://schemas.openxmlformats.org/drawingml/2006/main">
              <a:prstDash val="solid"/>
            </a:ln>
          </spPr>
          <cat>
            <numRef>
              <f>'Cotistas'!$A$5:$A$8</f>
            </numRef>
          </cat>
          <val>
            <numRef>
              <f>'Cotistas'!$B$5:$B$8</f>
            </numRef>
          </val>
        </ser>
        <dLbls>
          <numFmt formatCode="#,##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10"/>
  <chart>
    <plotArea>
      <barChart>
        <barDir val="bar"/>
        <grouping val="clustered"/>
        <ser>
          <idx val="0"/>
          <order val="0"/>
          <tx>
            <strRef>
              <f>'Segmento Investidor'!B3</f>
            </strRef>
          </tx>
          <spPr>
            <a:solidFill xmlns:a="http://schemas.openxmlformats.org/drawingml/2006/main">
              <a:srgbClr val="1F2A44"/>
            </a:solidFill>
            <a:ln xmlns:a="http://schemas.openxmlformats.org/drawingml/2006/main">
              <a:prstDash val="solid"/>
            </a:ln>
          </spPr>
          <cat>
            <numRef>
              <f>'Segmento Investidor'!$A$4:$A$15</f>
            </numRef>
          </cat>
          <val>
            <numRef>
              <f>'Segmento Investidor'!$B$4:$B$15</f>
            </numRef>
          </val>
        </ser>
        <dLbls>
          <numFmt formatCode="#,##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10"/>
  <chart>
    <plotArea>
      <barChart>
        <barDir val="col"/>
        <grouping val="clustered"/>
        <ser>
          <idx val="0"/>
          <order val="0"/>
          <tx>
            <strRef>
              <f>'Emissoes'!B3</f>
            </strRef>
          </tx>
          <spPr>
            <a:solidFill xmlns:a="http://schemas.openxmlformats.org/drawingml/2006/main">
              <a:srgbClr val="E8703A"/>
            </a:solidFill>
            <a:ln xmlns:a="http://schemas.openxmlformats.org/drawingml/2006/main">
              <a:prstDash val="solid"/>
            </a:ln>
          </spPr>
          <cat>
            <numRef>
              <f>'Emissoes'!$A$4:$A$10</f>
            </numRef>
          </cat>
          <val>
            <numRef>
              <f>'Emissoes'!$B$4:$B$10</f>
            </numRef>
          </val>
        </ser>
        <dLbls>
          <numFmt formatCode="#,##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12</row>
      <rowOff>0</rowOff>
    </from>
    <ext cx="79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2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2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5</col>
      <colOff>0</colOff>
      <row>3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3</col>
      <colOff>0</colOff>
      <row>2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5</col>
      <colOff>0</colOff>
      <row>2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</cols>
  <sheetData>
    <row r="1" ht="24" customHeight="1">
      <c r="A1" s="1" t="inlineStr">
        <is>
          <t>Evolução do PL da indústria de FIDCs (ex-FIC) — R$ bi · 2026-05</t>
        </is>
      </c>
    </row>
    <row r="3">
      <c r="A3" s="2" t="inlineStr">
        <is>
          <t>Ano</t>
        </is>
      </c>
      <c r="B3" s="2" t="inlineStr">
        <is>
          <t>PL líquido (R$ bi)</t>
        </is>
      </c>
    </row>
    <row r="4">
      <c r="A4" s="3" t="inlineStr">
        <is>
          <t>2015</t>
        </is>
      </c>
      <c r="B4" s="4" t="n">
        <v>52</v>
      </c>
    </row>
    <row r="5">
      <c r="A5" s="3" t="inlineStr">
        <is>
          <t>2016</t>
        </is>
      </c>
      <c r="B5" s="4" t="n">
        <v>67</v>
      </c>
    </row>
    <row r="6">
      <c r="A6" s="3" t="inlineStr">
        <is>
          <t>2017</t>
        </is>
      </c>
      <c r="B6" s="4" t="n">
        <v>82</v>
      </c>
    </row>
    <row r="7">
      <c r="A7" s="3" t="inlineStr">
        <is>
          <t>2018</t>
        </is>
      </c>
      <c r="B7" s="4" t="n">
        <v>96</v>
      </c>
    </row>
    <row r="8">
      <c r="A8" s="3" t="inlineStr">
        <is>
          <t>2019</t>
        </is>
      </c>
      <c r="B8" s="4" t="n">
        <v>160</v>
      </c>
    </row>
    <row r="9">
      <c r="A9" s="3" t="inlineStr">
        <is>
          <t>2020</t>
        </is>
      </c>
      <c r="B9" s="4" t="n">
        <v>130</v>
      </c>
    </row>
    <row r="10">
      <c r="A10" s="3" t="inlineStr">
        <is>
          <t>2021</t>
        </is>
      </c>
      <c r="B10" s="4" t="n">
        <v>225</v>
      </c>
    </row>
    <row r="11">
      <c r="A11" s="3" t="inlineStr">
        <is>
          <t>2022</t>
        </is>
      </c>
      <c r="B11" s="4" t="n">
        <v>284</v>
      </c>
    </row>
    <row r="12">
      <c r="A12" s="3" t="inlineStr">
        <is>
          <t>2023</t>
        </is>
      </c>
      <c r="B12" s="4" t="n">
        <v>386</v>
      </c>
    </row>
    <row r="13">
      <c r="A13" s="3" t="inlineStr">
        <is>
          <t>2024</t>
        </is>
      </c>
      <c r="B13" s="4" t="n">
        <v>627</v>
      </c>
    </row>
    <row r="14">
      <c r="A14" s="3" t="inlineStr">
        <is>
          <t>2025</t>
        </is>
      </c>
      <c r="B14" s="4" t="n">
        <v>794</v>
      </c>
    </row>
    <row r="15">
      <c r="A15" s="3" t="inlineStr">
        <is>
          <t>2026</t>
        </is>
      </c>
      <c r="B15" s="4" t="n">
        <v>880</v>
      </c>
    </row>
    <row r="28">
      <c r="A28" s="5" t="inlineStr">
        <is>
          <t>Fonte: Toma Conta FIDCs — aba Indústria (série mensal, base ex-FIC-FIDC). Origem: Informe Mensal FIDC/CVM. NÃO usa o Power BI/dashboard ANBIMA (dados presos no visual).</t>
        </is>
      </c>
    </row>
  </sheetData>
  <mergeCells count="2">
    <mergeCell ref="A28:H28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selection activeCell="A1" sqref="A1"/>
    </sheetView>
  </sheetViews>
  <sheetFormatPr baseColWidth="8" defaultRowHeight="15"/>
  <sheetData>
    <row r="1" ht="24" customHeight="1">
      <c r="A1" s="1" t="inlineStr">
        <is>
          <t>Composição do PL por segmento (%) — evolução anual</t>
        </is>
      </c>
    </row>
    <row r="3">
      <c r="A3" s="2" t="inlineStr">
        <is>
          <t>Ano</t>
        </is>
      </c>
      <c r="B3" s="2" t="inlineStr">
        <is>
          <t>Financeiro</t>
        </is>
      </c>
      <c r="C3" s="2" t="inlineStr">
        <is>
          <t>Industrial</t>
        </is>
      </c>
      <c r="D3" s="2" t="inlineStr">
        <is>
          <t>Comercial</t>
        </is>
      </c>
      <c r="E3" s="2" t="inlineStr">
        <is>
          <t>Cartao de credito</t>
        </is>
      </c>
      <c r="F3" s="2" t="inlineStr">
        <is>
          <t>Servicos</t>
        </is>
      </c>
      <c r="G3" s="2" t="inlineStr">
        <is>
          <t>Setor publico</t>
        </is>
      </c>
      <c r="H3" s="2" t="inlineStr">
        <is>
          <t>Acoes judiciais</t>
        </is>
      </c>
      <c r="I3" s="2" t="inlineStr">
        <is>
          <t>Agronegocio</t>
        </is>
      </c>
      <c r="J3" s="2" t="inlineStr">
        <is>
          <t>Imobiliario</t>
        </is>
      </c>
      <c r="K3" s="2" t="inlineStr">
        <is>
          <t>Factoring</t>
        </is>
      </c>
    </row>
    <row r="4">
      <c r="A4" s="3" t="inlineStr">
        <is>
          <t>2020</t>
        </is>
      </c>
      <c r="B4" s="6" t="n">
        <v>28.4</v>
      </c>
      <c r="C4" s="4" t="n">
        <v>20</v>
      </c>
      <c r="D4" s="6" t="n">
        <v>12.2</v>
      </c>
      <c r="E4" s="6" t="n">
        <v>14.9</v>
      </c>
      <c r="F4" s="6" t="n">
        <v>8.4</v>
      </c>
      <c r="G4" s="6" t="n">
        <v>6.1</v>
      </c>
      <c r="H4" s="6" t="n">
        <v>8.1</v>
      </c>
      <c r="I4" s="6" t="n">
        <v>1.4</v>
      </c>
      <c r="J4" s="6" t="n">
        <v>0.6</v>
      </c>
      <c r="K4" s="4" t="n">
        <v>0</v>
      </c>
    </row>
    <row r="5">
      <c r="A5" s="3" t="inlineStr">
        <is>
          <t>2021</t>
        </is>
      </c>
      <c r="B5" s="6" t="n">
        <v>24.9</v>
      </c>
      <c r="C5" s="4" t="n">
        <v>33</v>
      </c>
      <c r="D5" s="6" t="n">
        <v>11.1</v>
      </c>
      <c r="E5" s="6" t="n">
        <v>11.3</v>
      </c>
      <c r="F5" s="4" t="n">
        <v>8</v>
      </c>
      <c r="G5" s="6" t="n">
        <v>4.4</v>
      </c>
      <c r="H5" s="6" t="n">
        <v>5.6</v>
      </c>
      <c r="I5" s="6" t="n">
        <v>1.2</v>
      </c>
      <c r="J5" s="6" t="n">
        <v>0.4</v>
      </c>
      <c r="K5" s="4" t="n">
        <v>0</v>
      </c>
    </row>
    <row r="6">
      <c r="A6" s="3" t="inlineStr">
        <is>
          <t>2022</t>
        </is>
      </c>
      <c r="B6" s="4" t="n">
        <v>31</v>
      </c>
      <c r="C6" s="6" t="n">
        <v>20.6</v>
      </c>
      <c r="D6" s="6" t="n">
        <v>13.2</v>
      </c>
      <c r="E6" s="6" t="n">
        <v>13.7</v>
      </c>
      <c r="F6" s="6" t="n">
        <v>7.5</v>
      </c>
      <c r="G6" s="6" t="n">
        <v>5.5</v>
      </c>
      <c r="H6" s="6" t="n">
        <v>6.2</v>
      </c>
      <c r="I6" s="4" t="n">
        <v>2</v>
      </c>
      <c r="J6" s="6" t="n">
        <v>0.5</v>
      </c>
      <c r="K6" s="4" t="n">
        <v>0</v>
      </c>
    </row>
    <row r="7">
      <c r="A7" s="3" t="inlineStr">
        <is>
          <t>2023</t>
        </is>
      </c>
      <c r="B7" s="6" t="n">
        <v>31.1</v>
      </c>
      <c r="C7" s="4" t="n">
        <v>13</v>
      </c>
      <c r="D7" s="6" t="n">
        <v>15.9</v>
      </c>
      <c r="E7" s="4" t="n">
        <v>15</v>
      </c>
      <c r="F7" s="4" t="n">
        <v>10</v>
      </c>
      <c r="G7" s="6" t="n">
        <v>6.5</v>
      </c>
      <c r="H7" s="4" t="n">
        <v>6</v>
      </c>
      <c r="I7" s="6" t="n">
        <v>2.1</v>
      </c>
      <c r="J7" s="6" t="n">
        <v>0.4</v>
      </c>
      <c r="K7" s="4" t="n">
        <v>0</v>
      </c>
    </row>
    <row r="8">
      <c r="A8" s="3" t="inlineStr">
        <is>
          <t>2024</t>
        </is>
      </c>
      <c r="B8" s="6" t="n">
        <v>33.6</v>
      </c>
      <c r="C8" s="6" t="n">
        <v>18.3</v>
      </c>
      <c r="D8" s="4" t="n">
        <v>13</v>
      </c>
      <c r="E8" s="6" t="n">
        <v>12.6</v>
      </c>
      <c r="F8" s="6" t="n">
        <v>10.2</v>
      </c>
      <c r="G8" s="6" t="n">
        <v>5.8</v>
      </c>
      <c r="H8" s="6" t="n">
        <v>4.3</v>
      </c>
      <c r="I8" s="6" t="n">
        <v>1.8</v>
      </c>
      <c r="J8" s="6" t="n">
        <v>0.3</v>
      </c>
      <c r="K8" s="4" t="n">
        <v>0</v>
      </c>
    </row>
    <row r="9">
      <c r="A9" s="3" t="inlineStr">
        <is>
          <t>2025</t>
        </is>
      </c>
      <c r="B9" s="6" t="n">
        <v>41.5</v>
      </c>
      <c r="C9" s="6" t="n">
        <v>11.2</v>
      </c>
      <c r="D9" s="6" t="n">
        <v>13.5</v>
      </c>
      <c r="E9" s="6" t="n">
        <v>11.7</v>
      </c>
      <c r="F9" s="6" t="n">
        <v>10.4</v>
      </c>
      <c r="G9" s="6" t="n">
        <v>5.7</v>
      </c>
      <c r="H9" s="6" t="n">
        <v>3.8</v>
      </c>
      <c r="I9" s="6" t="n">
        <v>1.7</v>
      </c>
      <c r="J9" s="6" t="n">
        <v>0.5</v>
      </c>
      <c r="K9" s="4" t="n">
        <v>0</v>
      </c>
    </row>
    <row r="10">
      <c r="A10" s="3" t="inlineStr">
        <is>
          <t>2026</t>
        </is>
      </c>
      <c r="B10" s="6" t="n">
        <v>41.8</v>
      </c>
      <c r="C10" s="6" t="n">
        <v>10.3</v>
      </c>
      <c r="D10" s="4" t="n">
        <v>15</v>
      </c>
      <c r="E10" s="6" t="n">
        <v>11.9</v>
      </c>
      <c r="F10" s="6" t="n">
        <v>9.9</v>
      </c>
      <c r="G10" s="6" t="n">
        <v>5.6</v>
      </c>
      <c r="H10" s="6" t="n">
        <v>3.4</v>
      </c>
      <c r="I10" s="6" t="n">
        <v>1.6</v>
      </c>
      <c r="J10" s="6" t="n">
        <v>0.5</v>
      </c>
      <c r="K10" s="4" t="n">
        <v>0</v>
      </c>
    </row>
    <row r="27">
      <c r="A27" s="5" t="inlineStr">
        <is>
          <t>Fonte: Toma Conta FIDCs — dimensão 'segmento' (série mensal). Taxonomia interna alinhada às classes ANBIMA. Origem: Informe Mensal FIDC/CVM.</t>
        </is>
      </c>
    </row>
  </sheetData>
  <mergeCells count="2">
    <mergeCell ref="A27:H27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 ht="24" customHeight="1">
      <c r="A1" s="1" t="inlineStr">
        <is>
          <t>Classes ANBIMA de FIDC — definições oficiais</t>
        </is>
      </c>
    </row>
    <row r="3">
      <c r="A3" s="2" t="inlineStr">
        <is>
          <t>Classe</t>
        </is>
      </c>
      <c r="B3" s="2" t="inlineStr">
        <is>
          <t>Definição (ANBIMA — Deliberação nº 72)</t>
        </is>
      </c>
    </row>
    <row r="4" ht="60" customHeight="1">
      <c r="A4" s="3" t="inlineStr">
        <is>
          <t>Fomento Mercantil</t>
        </is>
      </c>
      <c r="B4" s="7" t="inlineStr">
        <is>
          <t>Carteira pulverizada de recebíveis originados/vendidos por diversos cedentes que antecipam recursos (duplicatas, notas promissórias, cheques). Veículo de factoring, cooperativas de crédito e assessoria financeira. (≈ multicedente/multissacado)</t>
        </is>
      </c>
    </row>
    <row r="5" ht="60" customHeight="1">
      <c r="A5" s="3" t="inlineStr">
        <is>
          <t>Financeiro</t>
        </is>
      </c>
      <c r="B5" s="7" t="inlineStr">
        <is>
          <t>Recebíveis originados por instituições financeiras: crédito consignado, crédito pessoal, financiamento de veículos/leasing, crédito imobiliário e multicarteira financeiro.</t>
        </is>
      </c>
    </row>
    <row r="6" ht="60" customHeight="1">
      <c r="A6" s="3" t="inlineStr">
        <is>
          <t>Agro, Indústria e Comércio</t>
        </is>
      </c>
      <c r="B6" s="7" t="inlineStr">
        <is>
          <t>Recebíveis originados no setor real (empresas): infraestrutura (energia, telecom, saneamento), recebíveis comerciais (duplicatas, carnês, faturas de cartão) e agronegócio.</t>
        </is>
      </c>
    </row>
    <row r="7" ht="60" customHeight="1">
      <c r="A7" s="3" t="inlineStr">
        <is>
          <t>Outros</t>
        </is>
      </c>
      <c r="B7" s="7" t="inlineStr">
        <is>
          <t>Inclui Recuperação/Non-Performing Loans (direitos vencidos e inadimplentes), ações judiciais/precatórios e demais focos não enquadrados nas classes acima.</t>
        </is>
      </c>
    </row>
    <row r="8" ht="60" customHeight="1">
      <c r="A8" s="3" t="inlineStr">
        <is>
          <t>Multicedente / Multissacado</t>
        </is>
      </c>
      <c r="B8" s="7" t="inlineStr">
        <is>
          <t>Não é classe formal ANBIMA; é característica estrutural (vários cedentes e/ou vários sacados). Na prática, a maioria cai em 'Fomento Mercantil' ou 'Outros'.</t>
        </is>
      </c>
    </row>
    <row r="10">
      <c r="A10" s="5" t="inlineStr">
        <is>
          <t>Fonte: ANBIMA — Deliberação nº 72 (Diretriz de Classificação de FIDC).</t>
        </is>
      </c>
    </row>
  </sheetData>
  <mergeCells count="2">
    <mergeCell ref="A1:B1"/>
    <mergeCell ref="A10:H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2" max="2"/>
  </cols>
  <sheetData>
    <row r="1" ht="24" customHeight="1">
      <c r="A1" s="1" t="inlineStr">
        <is>
          <t>Ranking de Gestores (consolidado) — 2026-05 · Top 12 · R$ bi</t>
        </is>
      </c>
    </row>
    <row r="3">
      <c r="A3" s="2" t="inlineStr">
        <is>
          <t>#</t>
        </is>
      </c>
      <c r="B3" s="2" t="inlineStr">
        <is>
          <t>Grupo</t>
        </is>
      </c>
      <c r="C3" s="2" t="inlineStr">
        <is>
          <t>PL (R$ bi)</t>
        </is>
      </c>
    </row>
    <row r="4">
      <c r="A4" s="4" t="n">
        <v>1</v>
      </c>
      <c r="B4" s="3" t="inlineStr">
        <is>
          <t>Oliveira Trust</t>
        </is>
      </c>
      <c r="C4" s="6" t="n">
        <v>75.8</v>
      </c>
    </row>
    <row r="5">
      <c r="A5" s="4" t="n">
        <v>2</v>
      </c>
      <c r="B5" s="3" t="inlineStr">
        <is>
          <t>BTG Pactual</t>
        </is>
      </c>
      <c r="C5" s="4" t="n">
        <v>68</v>
      </c>
    </row>
    <row r="6">
      <c r="A6" s="4" t="n">
        <v>3</v>
      </c>
      <c r="B6" s="3" t="inlineStr">
        <is>
          <t>Banco do Brasil</t>
        </is>
      </c>
      <c r="C6" s="6" t="n">
        <v>60.9</v>
      </c>
    </row>
    <row r="7">
      <c r="A7" s="4" t="n">
        <v>4</v>
      </c>
      <c r="B7" s="3" t="inlineStr">
        <is>
          <t>Bradesco</t>
        </is>
      </c>
      <c r="C7" s="6" t="n">
        <v>40.7</v>
      </c>
    </row>
    <row r="8">
      <c r="A8" s="4" t="n">
        <v>5</v>
      </c>
      <c r="B8" s="3" t="inlineStr">
        <is>
          <t>SOLIS INVESTIMENTOS S A</t>
        </is>
      </c>
      <c r="C8" s="6" t="n">
        <v>27.2</v>
      </c>
    </row>
    <row r="9">
      <c r="A9" s="4" t="n">
        <v>6</v>
      </c>
      <c r="B9" s="3" t="inlineStr">
        <is>
          <t>Genial</t>
        </is>
      </c>
      <c r="C9" s="4" t="n">
        <v>27</v>
      </c>
    </row>
    <row r="10">
      <c r="A10" s="4" t="n">
        <v>7</v>
      </c>
      <c r="B10" s="3" t="inlineStr">
        <is>
          <t>TERCON INVESTIMENTOS S.A.</t>
        </is>
      </c>
      <c r="C10" s="4" t="n">
        <v>24</v>
      </c>
    </row>
    <row r="11">
      <c r="A11" s="4" t="n">
        <v>8</v>
      </c>
      <c r="B11" s="3" t="inlineStr">
        <is>
          <t>Itau</t>
        </is>
      </c>
      <c r="C11" s="6" t="n">
        <v>21.4</v>
      </c>
    </row>
    <row r="12">
      <c r="A12" s="4" t="n">
        <v>9</v>
      </c>
      <c r="B12" s="3" t="inlineStr">
        <is>
          <t>CBSF</t>
        </is>
      </c>
      <c r="C12" s="4" t="n">
        <v>21</v>
      </c>
    </row>
    <row r="13">
      <c r="A13" s="4" t="n">
        <v>10</v>
      </c>
      <c r="B13" s="3" t="inlineStr">
        <is>
          <t>REAG</t>
        </is>
      </c>
      <c r="C13" s="6" t="n">
        <v>18.9</v>
      </c>
    </row>
    <row r="14">
      <c r="A14" s="4" t="n">
        <v>11</v>
      </c>
      <c r="B14" s="3" t="inlineStr">
        <is>
          <t>XP</t>
        </is>
      </c>
      <c r="C14" s="6" t="n">
        <v>17.1</v>
      </c>
    </row>
    <row r="15">
      <c r="A15" s="4" t="n">
        <v>12</v>
      </c>
      <c r="B15" s="3" t="inlineStr">
        <is>
          <t>JIVE</t>
        </is>
      </c>
      <c r="C15" s="6" t="n">
        <v>16.8</v>
      </c>
    </row>
    <row r="18">
      <c r="A18" s="5" t="inlineStr">
        <is>
          <t>Fonte: Toma Conta FIDCs — dimensão 'gestor', consolidado por conglomerado (de-para por CNPJ). Origem: Cadastro CVM (gestor) + Informe Mensal (PL).</t>
        </is>
      </c>
    </row>
  </sheetData>
  <mergeCells count="2">
    <mergeCell ref="A18:H18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 ht="24" customHeight="1">
      <c r="A1" s="1" t="inlineStr">
        <is>
          <t>Evolução dos Gestores (consolidado) — PL R$ bi por período</t>
        </is>
      </c>
    </row>
    <row r="3">
      <c r="A3" s="2" t="inlineStr">
        <is>
          <t>Grupo</t>
        </is>
      </c>
      <c r="B3" s="2" t="inlineStr">
        <is>
          <t>2022-12</t>
        </is>
      </c>
      <c r="C3" s="2" t="inlineStr">
        <is>
          <t>2023-12</t>
        </is>
      </c>
      <c r="D3" s="2" t="inlineStr">
        <is>
          <t>2024-12</t>
        </is>
      </c>
      <c r="E3" s="2" t="inlineStr">
        <is>
          <t>2025-12</t>
        </is>
      </c>
      <c r="F3" s="2" t="inlineStr">
        <is>
          <t>2026-05</t>
        </is>
      </c>
      <c r="G3" s="2" t="inlineStr">
        <is>
          <t>Δ PL (bi)</t>
        </is>
      </c>
      <c r="H3" s="2" t="inlineStr">
        <is>
          <t>Δ rank</t>
        </is>
      </c>
    </row>
    <row r="4">
      <c r="A4" s="3" t="inlineStr">
        <is>
          <t>Oliveira Trust</t>
        </is>
      </c>
      <c r="B4" s="6" t="n">
        <v>20.5</v>
      </c>
      <c r="C4" s="6" t="n">
        <v>35.7</v>
      </c>
      <c r="D4" s="6" t="n">
        <v>51.5</v>
      </c>
      <c r="E4" s="4" t="n">
        <v>64</v>
      </c>
      <c r="F4" s="6" t="n">
        <v>75.8</v>
      </c>
      <c r="G4" s="6" t="n">
        <v>55.3</v>
      </c>
      <c r="H4" s="4" t="n">
        <v>1</v>
      </c>
    </row>
    <row r="5">
      <c r="A5" s="3" t="inlineStr">
        <is>
          <t>BTG Pactual</t>
        </is>
      </c>
      <c r="B5" s="6" t="n">
        <v>7.3</v>
      </c>
      <c r="C5" s="6" t="n">
        <v>30.2</v>
      </c>
      <c r="D5" s="6" t="n">
        <v>36.4</v>
      </c>
      <c r="E5" s="6" t="n">
        <v>40.6</v>
      </c>
      <c r="F5" s="4" t="n">
        <v>68</v>
      </c>
      <c r="G5" s="6" t="n">
        <v>60.7</v>
      </c>
      <c r="H5" s="4" t="n">
        <v>7</v>
      </c>
    </row>
    <row r="6">
      <c r="A6" s="3" t="inlineStr">
        <is>
          <t>Banco do Brasil</t>
        </is>
      </c>
      <c r="B6" s="6" t="n">
        <v>47.9</v>
      </c>
      <c r="C6" s="6" t="n">
        <v>37.7</v>
      </c>
      <c r="D6" s="6" t="n">
        <v>91.8</v>
      </c>
      <c r="E6" s="6" t="n">
        <v>61.6</v>
      </c>
      <c r="F6" s="6" t="n">
        <v>60.9</v>
      </c>
      <c r="G6" s="4" t="n">
        <v>13</v>
      </c>
      <c r="H6" s="4" t="n">
        <v>-2</v>
      </c>
    </row>
    <row r="7">
      <c r="A7" s="3" t="inlineStr">
        <is>
          <t>Bradesco</t>
        </is>
      </c>
      <c r="B7" s="6" t="n">
        <v>15.6</v>
      </c>
      <c r="C7" s="6" t="n">
        <v>22.4</v>
      </c>
      <c r="D7" s="6" t="n">
        <v>26.8</v>
      </c>
      <c r="E7" s="6" t="n">
        <v>34.3</v>
      </c>
      <c r="F7" s="6" t="n">
        <v>40.7</v>
      </c>
      <c r="G7" s="6" t="n">
        <v>25.1</v>
      </c>
      <c r="H7" s="4" t="n">
        <v>-1</v>
      </c>
    </row>
    <row r="8">
      <c r="A8" s="3" t="inlineStr">
        <is>
          <t>SOLIS INVESTIMENTOS S A</t>
        </is>
      </c>
      <c r="B8" s="6" t="n">
        <v>4.7</v>
      </c>
      <c r="C8" s="6" t="n">
        <v>5.6</v>
      </c>
      <c r="D8" s="6" t="n">
        <v>10.9</v>
      </c>
      <c r="E8" s="6" t="n">
        <v>25.1</v>
      </c>
      <c r="F8" s="6" t="n">
        <v>27.2</v>
      </c>
      <c r="G8" s="6" t="n">
        <v>22.5</v>
      </c>
      <c r="H8" s="4" t="n">
        <v>8</v>
      </c>
    </row>
    <row r="9">
      <c r="A9" s="3" t="inlineStr">
        <is>
          <t>Genial</t>
        </is>
      </c>
      <c r="B9" s="6" t="n">
        <v>10.2</v>
      </c>
      <c r="C9" s="6" t="n">
        <v>14.2</v>
      </c>
      <c r="D9" s="6" t="n">
        <v>20.1</v>
      </c>
      <c r="E9" s="6" t="n">
        <v>23.8</v>
      </c>
      <c r="F9" s="4" t="n">
        <v>27</v>
      </c>
      <c r="G9" s="6" t="n">
        <v>16.8</v>
      </c>
      <c r="H9" s="4" t="n">
        <v>-1</v>
      </c>
    </row>
    <row r="10">
      <c r="A10" s="3" t="inlineStr">
        <is>
          <t>TERCON INVESTIMENTOS S.A.</t>
        </is>
      </c>
      <c r="B10" s="6" t="n">
        <v>10.8</v>
      </c>
      <c r="C10" s="6" t="n">
        <v>12.5</v>
      </c>
      <c r="D10" s="6" t="n">
        <v>17.4</v>
      </c>
      <c r="E10" s="6" t="n">
        <v>21.6</v>
      </c>
      <c r="F10" s="4" t="n">
        <v>24</v>
      </c>
      <c r="G10" s="6" t="n">
        <v>13.2</v>
      </c>
      <c r="H10" s="4" t="n">
        <v>-3</v>
      </c>
    </row>
    <row r="11">
      <c r="A11" s="3" t="inlineStr">
        <is>
          <t>Itau</t>
        </is>
      </c>
      <c r="B11" s="6" t="n">
        <v>0.5</v>
      </c>
      <c r="C11" s="6" t="n">
        <v>1.1</v>
      </c>
      <c r="D11" s="6" t="n">
        <v>7.3</v>
      </c>
      <c r="E11" s="6" t="n">
        <v>18.4</v>
      </c>
      <c r="F11" s="6" t="n">
        <v>21.4</v>
      </c>
      <c r="G11" s="6" t="n">
        <v>20.9</v>
      </c>
      <c r="H11" s="4" t="n">
        <v>78</v>
      </c>
    </row>
    <row r="12">
      <c r="A12" s="3" t="inlineStr">
        <is>
          <t>CBSF</t>
        </is>
      </c>
      <c r="B12" s="4" t="n">
        <v>1</v>
      </c>
      <c r="C12" s="6" t="n">
        <v>4.8</v>
      </c>
      <c r="D12" s="6" t="n">
        <v>21.5</v>
      </c>
      <c r="E12" s="6" t="n">
        <v>21.3</v>
      </c>
      <c r="F12" s="4" t="n">
        <v>21</v>
      </c>
      <c r="G12" s="4" t="n">
        <v>20</v>
      </c>
      <c r="H12" s="4" t="n">
        <v>47</v>
      </c>
    </row>
    <row r="13">
      <c r="A13" s="3" t="inlineStr">
        <is>
          <t>REAG</t>
        </is>
      </c>
      <c r="B13" s="6" t="n">
        <v>3.2</v>
      </c>
      <c r="C13" s="6" t="n">
        <v>5.1</v>
      </c>
      <c r="D13" s="6" t="n">
        <v>11.1</v>
      </c>
      <c r="E13" s="6" t="n">
        <v>16.8</v>
      </c>
      <c r="F13" s="6" t="n">
        <v>18.9</v>
      </c>
      <c r="G13" s="6" t="n">
        <v>15.7</v>
      </c>
      <c r="H13" s="4" t="n">
        <v>12</v>
      </c>
    </row>
    <row r="14">
      <c r="A14" s="3" t="inlineStr">
        <is>
          <t>XP</t>
        </is>
      </c>
      <c r="B14" s="6" t="n">
        <v>4.6</v>
      </c>
      <c r="C14" s="4" t="n">
        <v>6</v>
      </c>
      <c r="D14" s="6" t="n">
        <v>10.1</v>
      </c>
      <c r="E14" s="6" t="n">
        <v>16.4</v>
      </c>
      <c r="F14" s="6" t="n">
        <v>17.1</v>
      </c>
      <c r="G14" s="6" t="n">
        <v>12.5</v>
      </c>
      <c r="H14" s="4" t="n">
        <v>3</v>
      </c>
    </row>
    <row r="15">
      <c r="A15" s="3" t="inlineStr">
        <is>
          <t>JIVE</t>
        </is>
      </c>
      <c r="B15" s="6" t="n">
        <v>7.7</v>
      </c>
      <c r="C15" s="6" t="n">
        <v>8.699999999999999</v>
      </c>
      <c r="D15" s="6" t="n">
        <v>12.6</v>
      </c>
      <c r="E15" s="6" t="n">
        <v>14.8</v>
      </c>
      <c r="F15" s="6" t="n">
        <v>16.8</v>
      </c>
      <c r="G15" s="6" t="n">
        <v>9.1</v>
      </c>
      <c r="H15" s="4" t="n">
        <v>-4</v>
      </c>
    </row>
    <row r="17">
      <c r="A17" s="5" t="inlineStr">
        <is>
          <t>Fonte: Toma Conta FIDCs — dimensão 'gestor', consolidado por conglomerado (de-para por CNPJ). Origem: Cadastro CVM (gestor) + Informe Mensal (PL).</t>
        </is>
      </c>
    </row>
  </sheetData>
  <mergeCells count="2">
    <mergeCell ref="A17:H17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2" max="2"/>
  </cols>
  <sheetData>
    <row r="1" ht="24" customHeight="1">
      <c r="A1" s="1" t="inlineStr">
        <is>
          <t>Ranking de Administradores (consolidado) — 2026-05 · Top 12 · R$ bi</t>
        </is>
      </c>
    </row>
    <row r="3">
      <c r="A3" s="2" t="inlineStr">
        <is>
          <t>#</t>
        </is>
      </c>
      <c r="B3" s="2" t="inlineStr">
        <is>
          <t>Grupo</t>
        </is>
      </c>
      <c r="C3" s="2" t="inlineStr">
        <is>
          <t>PL (R$ bi)</t>
        </is>
      </c>
    </row>
    <row r="4">
      <c r="A4" s="4" t="n">
        <v>1</v>
      </c>
      <c r="B4" s="3" t="inlineStr">
        <is>
          <t>BTG Pactual</t>
        </is>
      </c>
      <c r="C4" s="6" t="n">
        <v>146.4</v>
      </c>
    </row>
    <row r="5">
      <c r="A5" s="4" t="n">
        <v>2</v>
      </c>
      <c r="B5" s="3" t="inlineStr">
        <is>
          <t>QI Tech</t>
        </is>
      </c>
      <c r="C5" s="6" t="n">
        <v>139.2</v>
      </c>
    </row>
    <row r="6">
      <c r="A6" s="4" t="n">
        <v>3</v>
      </c>
      <c r="B6" s="3" t="inlineStr">
        <is>
          <t>Oliveira Trust</t>
        </is>
      </c>
      <c r="C6" s="6" t="n">
        <v>97.7</v>
      </c>
    </row>
    <row r="7">
      <c r="A7" s="4" t="n">
        <v>4</v>
      </c>
      <c r="B7" s="3" t="inlineStr">
        <is>
          <t>Banco do Brasil</t>
        </is>
      </c>
      <c r="C7" s="6" t="n">
        <v>60.9</v>
      </c>
    </row>
    <row r="8">
      <c r="A8" s="4" t="n">
        <v>5</v>
      </c>
      <c r="B8" s="3" t="inlineStr">
        <is>
          <t>Daycoval</t>
        </is>
      </c>
      <c r="C8" s="6" t="n">
        <v>57.7</v>
      </c>
    </row>
    <row r="9">
      <c r="A9" s="4" t="n">
        <v>6</v>
      </c>
      <c r="B9" s="3" t="inlineStr">
        <is>
          <t>Genial</t>
        </is>
      </c>
      <c r="C9" s="6" t="n">
        <v>51.8</v>
      </c>
    </row>
    <row r="10">
      <c r="A10" s="4" t="n">
        <v>7</v>
      </c>
      <c r="B10" s="3" t="inlineStr">
        <is>
          <t>Bradesco</t>
        </is>
      </c>
      <c r="C10" s="6" t="n">
        <v>51.4</v>
      </c>
    </row>
    <row r="11">
      <c r="A11" s="4" t="n">
        <v>8</v>
      </c>
      <c r="B11" s="3" t="inlineStr">
        <is>
          <t>CBSF</t>
        </is>
      </c>
      <c r="C11" s="4" t="n">
        <v>43</v>
      </c>
    </row>
    <row r="12">
      <c r="A12" s="4" t="n">
        <v>9</v>
      </c>
      <c r="B12" s="3" t="inlineStr">
        <is>
          <t>Itau</t>
        </is>
      </c>
      <c r="C12" s="6" t="n">
        <v>31.6</v>
      </c>
    </row>
    <row r="13">
      <c r="A13" s="4" t="n">
        <v>10</v>
      </c>
      <c r="B13" s="3" t="inlineStr">
        <is>
          <t>HEMERA DISTRIBUIDORA DE TITULOS E VALORES MOBILIARIOS LTDA</t>
        </is>
      </c>
      <c r="C13" s="6" t="n">
        <v>24.5</v>
      </c>
    </row>
    <row r="14">
      <c r="A14" s="4" t="n">
        <v>11</v>
      </c>
      <c r="B14" s="3" t="inlineStr">
        <is>
          <t>Finaxis</t>
        </is>
      </c>
      <c r="C14" s="4" t="n">
        <v>23</v>
      </c>
    </row>
    <row r="15">
      <c r="A15" s="4" t="n">
        <v>12</v>
      </c>
      <c r="B15" s="3" t="inlineStr">
        <is>
          <t>BRL Trust</t>
        </is>
      </c>
      <c r="C15" s="6" t="n">
        <v>22.5</v>
      </c>
    </row>
    <row r="18">
      <c r="A18" s="5" t="inlineStr">
        <is>
          <t>Fonte: Toma Conta FIDCs — dimensão 'administrador', consolidado por conglomerado (de-para por CNPJ). Origem: Informe Mensal FIDC/CVM.</t>
        </is>
      </c>
    </row>
  </sheetData>
  <mergeCells count="2">
    <mergeCell ref="A18:H18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 ht="24" customHeight="1">
      <c r="A1" s="1" t="inlineStr">
        <is>
          <t>Evolução dos Administradores (consolidado) — PL R$ bi por período</t>
        </is>
      </c>
    </row>
    <row r="3">
      <c r="A3" s="2" t="inlineStr">
        <is>
          <t>Grupo</t>
        </is>
      </c>
      <c r="B3" s="2" t="inlineStr">
        <is>
          <t>2022-12</t>
        </is>
      </c>
      <c r="C3" s="2" t="inlineStr">
        <is>
          <t>2023-12</t>
        </is>
      </c>
      <c r="D3" s="2" t="inlineStr">
        <is>
          <t>2024-12</t>
        </is>
      </c>
      <c r="E3" s="2" t="inlineStr">
        <is>
          <t>2025-12</t>
        </is>
      </c>
      <c r="F3" s="2" t="inlineStr">
        <is>
          <t>2026-05</t>
        </is>
      </c>
      <c r="G3" s="2" t="inlineStr">
        <is>
          <t>Δ PL (bi)</t>
        </is>
      </c>
      <c r="H3" s="2" t="inlineStr">
        <is>
          <t>Δ rank</t>
        </is>
      </c>
    </row>
    <row r="4">
      <c r="A4" s="3" t="inlineStr">
        <is>
          <t>BTG Pactual</t>
        </is>
      </c>
      <c r="B4" s="6" t="n">
        <v>18.2</v>
      </c>
      <c r="C4" s="6" t="n">
        <v>49.1</v>
      </c>
      <c r="D4" s="6" t="n">
        <v>73.2</v>
      </c>
      <c r="E4" s="6" t="n">
        <v>112.7</v>
      </c>
      <c r="F4" s="6" t="n">
        <v>146.4</v>
      </c>
      <c r="G4" s="6" t="n">
        <v>128.2</v>
      </c>
      <c r="H4" s="4" t="n">
        <v>4</v>
      </c>
    </row>
    <row r="5">
      <c r="A5" s="3" t="inlineStr">
        <is>
          <t>QI Tech</t>
        </is>
      </c>
      <c r="B5" s="6" t="n">
        <v>44.9</v>
      </c>
      <c r="C5" s="6" t="n">
        <v>60.3</v>
      </c>
      <c r="D5" s="4" t="n">
        <v>88</v>
      </c>
      <c r="E5" s="6" t="n">
        <v>130.1</v>
      </c>
      <c r="F5" s="6" t="n">
        <v>139.2</v>
      </c>
      <c r="G5" s="6" t="n">
        <v>94.3</v>
      </c>
      <c r="H5" s="4" t="n">
        <v>0</v>
      </c>
    </row>
    <row r="6">
      <c r="A6" s="3" t="inlineStr">
        <is>
          <t>Oliveira Trust</t>
        </is>
      </c>
      <c r="B6" s="6" t="n">
        <v>34.3</v>
      </c>
      <c r="C6" s="6" t="n">
        <v>50.5</v>
      </c>
      <c r="D6" s="6" t="n">
        <v>68.59999999999999</v>
      </c>
      <c r="E6" s="6" t="n">
        <v>84.3</v>
      </c>
      <c r="F6" s="6" t="n">
        <v>97.7</v>
      </c>
      <c r="G6" s="6" t="n">
        <v>63.4</v>
      </c>
      <c r="H6" s="4" t="n">
        <v>0</v>
      </c>
    </row>
    <row r="7">
      <c r="A7" s="3" t="inlineStr">
        <is>
          <t>Banco do Brasil</t>
        </is>
      </c>
      <c r="B7" s="6" t="n">
        <v>48.1</v>
      </c>
      <c r="C7" s="6" t="n">
        <v>37.9</v>
      </c>
      <c r="D7" s="6" t="n">
        <v>91.90000000000001</v>
      </c>
      <c r="E7" s="6" t="n">
        <v>61.6</v>
      </c>
      <c r="F7" s="6" t="n">
        <v>60.9</v>
      </c>
      <c r="G7" s="6" t="n">
        <v>12.8</v>
      </c>
      <c r="H7" s="4" t="n">
        <v>-3</v>
      </c>
    </row>
    <row r="8">
      <c r="A8" s="3" t="inlineStr">
        <is>
          <t>Daycoval</t>
        </is>
      </c>
      <c r="B8" s="6" t="n">
        <v>13.1</v>
      </c>
      <c r="C8" s="6" t="n">
        <v>19.6</v>
      </c>
      <c r="D8" s="6" t="n">
        <v>41.6</v>
      </c>
      <c r="E8" s="6" t="n">
        <v>54.9</v>
      </c>
      <c r="F8" s="6" t="n">
        <v>57.7</v>
      </c>
      <c r="G8" s="6" t="n">
        <v>44.6</v>
      </c>
      <c r="H8" s="4" t="n">
        <v>2</v>
      </c>
    </row>
    <row r="9">
      <c r="A9" s="3" t="inlineStr">
        <is>
          <t>Genial</t>
        </is>
      </c>
      <c r="B9" s="6" t="n">
        <v>13.8</v>
      </c>
      <c r="C9" s="6" t="n">
        <v>19.1</v>
      </c>
      <c r="D9" s="6" t="n">
        <v>33.3</v>
      </c>
      <c r="E9" s="6" t="n">
        <v>45.2</v>
      </c>
      <c r="F9" s="6" t="n">
        <v>51.8</v>
      </c>
      <c r="G9" s="4" t="n">
        <v>38</v>
      </c>
      <c r="H9" s="4" t="n">
        <v>0</v>
      </c>
    </row>
    <row r="10">
      <c r="A10" s="3" t="inlineStr">
        <is>
          <t>Bradesco</t>
        </is>
      </c>
      <c r="B10" s="6" t="n">
        <v>24.5</v>
      </c>
      <c r="C10" s="6" t="n">
        <v>31.7</v>
      </c>
      <c r="D10" s="6" t="n">
        <v>37.9</v>
      </c>
      <c r="E10" s="6" t="n">
        <v>46.6</v>
      </c>
      <c r="F10" s="6" t="n">
        <v>51.4</v>
      </c>
      <c r="G10" s="6" t="n">
        <v>26.9</v>
      </c>
      <c r="H10" s="4" t="n">
        <v>-3</v>
      </c>
    </row>
    <row r="11">
      <c r="A11" s="3" t="inlineStr">
        <is>
          <t>CBSF</t>
        </is>
      </c>
      <c r="B11" s="6" t="n">
        <v>4.4</v>
      </c>
      <c r="C11" s="6" t="n">
        <v>11.2</v>
      </c>
      <c r="D11" s="4" t="n">
        <v>38</v>
      </c>
      <c r="E11" s="6" t="n">
        <v>42.1</v>
      </c>
      <c r="F11" s="4" t="n">
        <v>43</v>
      </c>
      <c r="G11" s="6" t="n">
        <v>38.6</v>
      </c>
      <c r="H11" s="4" t="n">
        <v>6</v>
      </c>
    </row>
    <row r="12">
      <c r="A12" s="3" t="inlineStr">
        <is>
          <t>Itau</t>
        </is>
      </c>
      <c r="B12" s="6" t="n">
        <v>1.6</v>
      </c>
      <c r="C12" s="6" t="n">
        <v>2.4</v>
      </c>
      <c r="D12" s="6" t="n">
        <v>8.699999999999999</v>
      </c>
      <c r="E12" s="6" t="n">
        <v>28.3</v>
      </c>
      <c r="F12" s="6" t="n">
        <v>31.6</v>
      </c>
      <c r="G12" s="4" t="n">
        <v>30</v>
      </c>
      <c r="H12" s="4" t="n">
        <v>15</v>
      </c>
    </row>
    <row r="13">
      <c r="A13" s="3" t="inlineStr">
        <is>
          <t>HEMERA DISTRIBUIDORA DE TITULOS E VALORES MOBILIARIOS LTDA</t>
        </is>
      </c>
      <c r="B13" s="6" t="n">
        <v>7.6</v>
      </c>
      <c r="C13" s="6" t="n">
        <v>9.300000000000001</v>
      </c>
      <c r="D13" s="6" t="n">
        <v>14.8</v>
      </c>
      <c r="E13" s="6" t="n">
        <v>22.3</v>
      </c>
      <c r="F13" s="6" t="n">
        <v>24.5</v>
      </c>
      <c r="G13" s="6" t="n">
        <v>16.9</v>
      </c>
      <c r="H13" s="4" t="n">
        <v>1</v>
      </c>
    </row>
    <row r="14">
      <c r="A14" s="3" t="inlineStr">
        <is>
          <t>Finaxis</t>
        </is>
      </c>
      <c r="B14" s="6" t="n">
        <v>11.4</v>
      </c>
      <c r="C14" s="6" t="n">
        <v>13.9</v>
      </c>
      <c r="D14" s="6" t="n">
        <v>18.4</v>
      </c>
      <c r="E14" s="6" t="n">
        <v>21.3</v>
      </c>
      <c r="F14" s="4" t="n">
        <v>23</v>
      </c>
      <c r="G14" s="6" t="n">
        <v>11.6</v>
      </c>
      <c r="H14" s="4" t="n">
        <v>-3</v>
      </c>
    </row>
    <row r="15">
      <c r="A15" s="3" t="inlineStr">
        <is>
          <t>BRL Trust</t>
        </is>
      </c>
      <c r="B15" s="6" t="n">
        <v>9.4</v>
      </c>
      <c r="C15" s="6" t="n">
        <v>11.8</v>
      </c>
      <c r="D15" s="6" t="n">
        <v>13.9</v>
      </c>
      <c r="E15" s="6" t="n">
        <v>20.1</v>
      </c>
      <c r="F15" s="6" t="n">
        <v>22.5</v>
      </c>
      <c r="G15" s="6" t="n">
        <v>13.1</v>
      </c>
      <c r="H15" s="4" t="n">
        <v>-2</v>
      </c>
    </row>
    <row r="17">
      <c r="A17" s="5" t="inlineStr">
        <is>
          <t>Fonte: Toma Conta FIDCs — dimensão 'administrador', consolidado por conglomerado (de-para por CNPJ). Origem: Informe Mensal FIDC/CVM.</t>
        </is>
      </c>
    </row>
  </sheetData>
  <mergeCells count="2"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 ht="24" customHeight="1">
      <c r="A1" s="1" t="inlineStr">
        <is>
          <t>PL por tipo de controle do gestor — evolução (R$ bi)</t>
        </is>
      </c>
    </row>
    <row r="3">
      <c r="A3" s="2" t="inlineStr">
        <is>
          <t>Tipo de controle</t>
        </is>
      </c>
      <c r="B3" s="2" t="inlineStr">
        <is>
          <t>2022-12</t>
        </is>
      </c>
      <c r="C3" s="2" t="inlineStr">
        <is>
          <t>2023-12</t>
        </is>
      </c>
      <c r="D3" s="2" t="inlineStr">
        <is>
          <t>2024-12</t>
        </is>
      </c>
      <c r="E3" s="2" t="inlineStr">
        <is>
          <t>2025-12</t>
        </is>
      </c>
      <c r="F3" s="2" t="inlineStr">
        <is>
          <t>2026-05</t>
        </is>
      </c>
    </row>
    <row r="4">
      <c r="A4" s="3" t="inlineStr">
        <is>
          <t>Independente</t>
        </is>
      </c>
      <c r="B4" s="4" t="n">
        <v>175</v>
      </c>
      <c r="C4" s="6" t="n">
        <v>238.8</v>
      </c>
      <c r="D4" s="6" t="n">
        <v>394.4</v>
      </c>
      <c r="E4" s="6" t="n">
        <v>581.4</v>
      </c>
      <c r="F4" s="6" t="n">
        <v>624.9</v>
      </c>
    </row>
    <row r="5">
      <c r="A5" s="3" t="inlineStr">
        <is>
          <t>Ligada a banco</t>
        </is>
      </c>
      <c r="B5" s="6" t="n">
        <v>93.09999999999999</v>
      </c>
      <c r="C5" s="6" t="n">
        <v>121.1</v>
      </c>
      <c r="D5" s="6" t="n">
        <v>206.5</v>
      </c>
      <c r="E5" s="4" t="n">
        <v>211</v>
      </c>
      <c r="F5" s="6" t="n">
        <v>252.5</v>
      </c>
    </row>
    <row r="6">
      <c r="A6" s="3" t="inlineStr">
        <is>
          <t>Independente Grande</t>
        </is>
      </c>
      <c r="B6" s="6" t="n">
        <v>24.2</v>
      </c>
      <c r="C6" s="6" t="n">
        <v>40.3</v>
      </c>
      <c r="D6" s="6" t="n">
        <v>56.1</v>
      </c>
      <c r="E6" s="6" t="n">
        <v>68.90000000000001</v>
      </c>
      <c r="F6" s="6" t="n">
        <v>81.09999999999999</v>
      </c>
    </row>
    <row r="8">
      <c r="A8" s="5" t="inlineStr">
        <is>
          <t>Fonte: Toma Conta FIDCs — dimensão 'gestor' + taxonomia de controle (Ligada a banco / Independente Grande / Independente; definição do rodapé do deck Itaú BBA).</t>
        </is>
      </c>
    </row>
  </sheetData>
  <mergeCells count="2">
    <mergeCell ref="A8:H8"/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46" customWidth="1" min="4" max="4"/>
  </cols>
  <sheetData>
    <row r="1" ht="24" customHeight="1">
      <c r="A1" s="1" t="inlineStr">
        <is>
          <t>De-para de conglomerados (auditável) — chave: CNPJ</t>
        </is>
      </c>
    </row>
    <row r="3">
      <c r="A3" s="2" t="inlineStr">
        <is>
          <t>grupo</t>
        </is>
      </c>
      <c r="B3" s="2" t="inlineStr">
        <is>
          <t>tipo_controle</t>
        </is>
      </c>
      <c r="C3" s="2" t="inlineStr">
        <is>
          <t>cnpj</t>
        </is>
      </c>
      <c r="D3" s="2" t="inlineStr">
        <is>
          <t>entidade_original</t>
        </is>
      </c>
    </row>
    <row r="4">
      <c r="A4" s="3" t="inlineStr">
        <is>
          <t>Itau</t>
        </is>
      </c>
      <c r="B4" s="3" t="inlineStr">
        <is>
          <t>Ligada a banco</t>
        </is>
      </c>
      <c r="C4" s="3" t="inlineStr">
        <is>
          <t>62418140000131</t>
        </is>
      </c>
      <c r="D4" s="3" t="inlineStr">
        <is>
          <t>INTRAG DTVM LTDA.</t>
        </is>
      </c>
    </row>
    <row r="5">
      <c r="A5" s="3" t="inlineStr">
        <is>
          <t>Itau</t>
        </is>
      </c>
      <c r="B5" s="3" t="inlineStr">
        <is>
          <t>Ligada a banco</t>
        </is>
      </c>
      <c r="C5" s="3" t="inlineStr">
        <is>
          <t>60701190000104</t>
        </is>
      </c>
      <c r="D5" s="3" t="inlineStr">
        <is>
          <t>ITAU UNIBANCO S.A.</t>
        </is>
      </c>
    </row>
    <row r="6">
      <c r="A6" s="3" t="inlineStr">
        <is>
          <t>Itau</t>
        </is>
      </c>
      <c r="B6" s="3" t="inlineStr">
        <is>
          <t>Ligada a banco</t>
        </is>
      </c>
      <c r="C6" s="3" t="inlineStr">
        <is>
          <t>40430971000196</t>
        </is>
      </c>
      <c r="D6" s="3" t="inlineStr">
        <is>
          <t>ITAU UNIBANCO ASSET MANAGEMENT LTDA.</t>
        </is>
      </c>
    </row>
    <row r="7">
      <c r="A7" s="3" t="inlineStr">
        <is>
          <t>Itau</t>
        </is>
      </c>
      <c r="B7" s="3" t="inlineStr">
        <is>
          <t>Ligada a banco</t>
        </is>
      </c>
      <c r="C7" s="3" t="inlineStr">
        <is>
          <t>08604187000144</t>
        </is>
      </c>
      <c r="D7" s="3" t="inlineStr">
        <is>
          <t>KINEA INVESTIMENTOS LTDA.</t>
        </is>
      </c>
    </row>
    <row r="8">
      <c r="A8" s="3" t="inlineStr">
        <is>
          <t>BTG Pactual</t>
        </is>
      </c>
      <c r="B8" s="3" t="inlineStr">
        <is>
          <t>Ligada a banco</t>
        </is>
      </c>
      <c r="C8" s="3" t="inlineStr">
        <is>
          <t>30306294000145</t>
        </is>
      </c>
      <c r="D8" s="3" t="inlineStr">
        <is>
          <t>BANCO BTG PACTUAL S/A</t>
        </is>
      </c>
    </row>
    <row r="9">
      <c r="A9" s="3" t="inlineStr">
        <is>
          <t>BTG Pactual</t>
        </is>
      </c>
      <c r="B9" s="3" t="inlineStr">
        <is>
          <t>Ligada a banco</t>
        </is>
      </c>
      <c r="C9" s="3" t="inlineStr">
        <is>
          <t>59281253000123</t>
        </is>
      </c>
      <c r="D9" s="3" t="inlineStr">
        <is>
          <t>BTG PACTUAL SERVICOS FINANCEIROS S/A DTVM</t>
        </is>
      </c>
    </row>
    <row r="10">
      <c r="A10" s="3" t="inlineStr">
        <is>
          <t>BTG Pactual</t>
        </is>
      </c>
      <c r="B10" s="3" t="inlineStr">
        <is>
          <t>Ligada a banco</t>
        </is>
      </c>
      <c r="C10" s="3" t="inlineStr">
        <is>
          <t>29650082000100</t>
        </is>
      </c>
      <c r="D10" s="3" t="inlineStr">
        <is>
          <t>BTG PACTUAL ASSET MANAGEMENT S/A DTVM</t>
        </is>
      </c>
    </row>
    <row r="11">
      <c r="A11" s="3" t="inlineStr">
        <is>
          <t>BTG Pactual</t>
        </is>
      </c>
      <c r="B11" s="3" t="inlineStr">
        <is>
          <t>Ligada a banco</t>
        </is>
      </c>
      <c r="C11" s="3" t="inlineStr">
        <is>
          <t>07625159000140</t>
        </is>
      </c>
      <c r="D11" s="3" t="inlineStr">
        <is>
          <t>BTG PACTUAL GESTORA DE INVESTIMENTOS ALTERNATIVOS LTDA.</t>
        </is>
      </c>
    </row>
    <row r="12">
      <c r="A12" s="3" t="inlineStr">
        <is>
          <t>BTG Pactual</t>
        </is>
      </c>
      <c r="B12" s="3" t="inlineStr">
        <is>
          <t>Ligada a banco</t>
        </is>
      </c>
      <c r="C12" s="3" t="inlineStr">
        <is>
          <t>12695840000103</t>
        </is>
      </c>
      <c r="D12" s="3" t="inlineStr">
        <is>
          <t>BTG PACTUAL GESTAO E CONSULTORIA DE INVESTIMENTOS LTDA</t>
        </is>
      </c>
    </row>
    <row r="13">
      <c r="A13" s="3" t="inlineStr">
        <is>
          <t>BTG Pactual</t>
        </is>
      </c>
      <c r="B13" s="3" t="inlineStr">
        <is>
          <t>Ligada a banco</t>
        </is>
      </c>
      <c r="C13" s="3" t="inlineStr">
        <is>
          <t>09631542000137</t>
        </is>
      </c>
      <c r="D13" s="3" t="inlineStr">
        <is>
          <t>BTG PACTUAL GESTORA DE RECURSOS LTDA</t>
        </is>
      </c>
    </row>
    <row r="14">
      <c r="A14" s="3" t="inlineStr">
        <is>
          <t>XP</t>
        </is>
      </c>
      <c r="B14" s="3" t="inlineStr">
        <is>
          <t>Ligada a banco</t>
        </is>
      </c>
      <c r="C14" s="3" t="inlineStr">
        <is>
          <t>02332886000104</t>
        </is>
      </c>
      <c r="D14" s="3" t="inlineStr">
        <is>
          <t>XP INVESTIMENTOS CCTVM S.A.</t>
        </is>
      </c>
    </row>
    <row r="15">
      <c r="A15" s="3" t="inlineStr">
        <is>
          <t>XP</t>
        </is>
      </c>
      <c r="B15" s="3" t="inlineStr">
        <is>
          <t>Ligada a banco</t>
        </is>
      </c>
      <c r="C15" s="3" t="inlineStr">
        <is>
          <t>16789525000198</t>
        </is>
      </c>
      <c r="D15" s="3" t="inlineStr">
        <is>
          <t>XP VISTA ASSET MANAGEMENT LTDA.</t>
        </is>
      </c>
    </row>
    <row r="16">
      <c r="A16" s="3" t="inlineStr">
        <is>
          <t>XP</t>
        </is>
      </c>
      <c r="B16" s="3" t="inlineStr">
        <is>
          <t>Ligada a banco</t>
        </is>
      </c>
      <c r="C16" s="3" t="inlineStr">
        <is>
          <t>05389174000101</t>
        </is>
      </c>
      <c r="D16" s="3" t="inlineStr">
        <is>
          <t>XP SERVICOS FINANCEIROS DTVM LTDA.</t>
        </is>
      </c>
    </row>
    <row r="17">
      <c r="A17" s="3" t="inlineStr">
        <is>
          <t>XP</t>
        </is>
      </c>
      <c r="B17" s="3" t="inlineStr">
        <is>
          <t>Ligada a banco</t>
        </is>
      </c>
      <c r="C17" s="3" t="inlineStr">
        <is>
          <t>37918829000188</t>
        </is>
      </c>
      <c r="D17" s="3" t="inlineStr">
        <is>
          <t>XP ALLOCATION ASSET MANAGEMENT LTDA.</t>
        </is>
      </c>
    </row>
    <row r="18">
      <c r="A18" s="3" t="inlineStr">
        <is>
          <t>Bradesco</t>
        </is>
      </c>
      <c r="B18" s="3" t="inlineStr">
        <is>
          <t>Ligada a banco</t>
        </is>
      </c>
      <c r="C18" s="3" t="inlineStr">
        <is>
          <t>60746948000112</t>
        </is>
      </c>
      <c r="D18" s="3" t="inlineStr">
        <is>
          <t>BANCO BRADESCO S.A.</t>
        </is>
      </c>
    </row>
    <row r="19">
      <c r="A19" s="3" t="inlineStr">
        <is>
          <t>Bradesco</t>
        </is>
      </c>
      <c r="B19" s="3" t="inlineStr">
        <is>
          <t>Ligada a banco</t>
        </is>
      </c>
      <c r="C19" s="3" t="inlineStr">
        <is>
          <t>00066670000100</t>
        </is>
      </c>
      <c r="D19" s="3" t="inlineStr">
        <is>
          <t>BEM - DISTRIBUIDORA DE TITULOS E VALORES MOBILIARIOS LTDA.</t>
        </is>
      </c>
    </row>
    <row r="20">
      <c r="A20" s="3" t="inlineStr">
        <is>
          <t>Banco do Brasil</t>
        </is>
      </c>
      <c r="B20" s="3" t="inlineStr">
        <is>
          <t>Ligada a banco</t>
        </is>
      </c>
      <c r="C20" s="3" t="inlineStr">
        <is>
          <t>30822936000169</t>
        </is>
      </c>
      <c r="D20" s="3" t="inlineStr">
        <is>
          <t>BB GESTAO DE RECURSOS DTVM S.A</t>
        </is>
      </c>
    </row>
    <row r="21">
      <c r="A21" s="3" t="inlineStr">
        <is>
          <t>Banco do Brasil</t>
        </is>
      </c>
      <c r="B21" s="3" t="inlineStr">
        <is>
          <t>Ligada a banco</t>
        </is>
      </c>
      <c r="C21" s="3" t="inlineStr">
        <is>
          <t>00000000000191</t>
        </is>
      </c>
      <c r="D21" s="3" t="inlineStr">
        <is>
          <t>BANCO DO BRASIL S.A.</t>
        </is>
      </c>
    </row>
    <row r="22">
      <c r="A22" s="3" t="inlineStr">
        <is>
          <t>Caixa</t>
        </is>
      </c>
      <c r="B22" s="3" t="inlineStr">
        <is>
          <t>Ligada a banco</t>
        </is>
      </c>
      <c r="C22" s="3" t="inlineStr">
        <is>
          <t>00360305000104</t>
        </is>
      </c>
      <c r="D22" s="3" t="inlineStr">
        <is>
          <t>CAIXA ECONOMICA FEDERAL</t>
        </is>
      </c>
    </row>
    <row r="23">
      <c r="A23" s="3" t="inlineStr">
        <is>
          <t>Caixa</t>
        </is>
      </c>
      <c r="B23" s="3" t="inlineStr">
        <is>
          <t>Ligada a banco</t>
        </is>
      </c>
      <c r="C23" s="3" t="inlineStr">
        <is>
          <t>42040639000140</t>
        </is>
      </c>
      <c r="D23" s="3" t="inlineStr">
        <is>
          <t>CAIXA DISTRIBUIDORA DE TITULOS E VALORES MOBILIARIOS S.A.</t>
        </is>
      </c>
    </row>
    <row r="24">
      <c r="A24" s="3" t="inlineStr">
        <is>
          <t>Santander</t>
        </is>
      </c>
      <c r="B24" s="3" t="inlineStr">
        <is>
          <t>Ligada a banco</t>
        </is>
      </c>
      <c r="C24" s="3" t="inlineStr">
        <is>
          <t>62318407000119</t>
        </is>
      </c>
      <c r="D24" s="3" t="inlineStr">
        <is>
          <t>S3 CACEIS BRASIL DTVM S.A</t>
        </is>
      </c>
    </row>
    <row r="25">
      <c r="A25" s="3" t="inlineStr">
        <is>
          <t>Santander</t>
        </is>
      </c>
      <c r="B25" s="3" t="inlineStr">
        <is>
          <t>Ligada a banco</t>
        </is>
      </c>
      <c r="C25" s="3" t="inlineStr">
        <is>
          <t>90400888000142</t>
        </is>
      </c>
      <c r="D25" s="3" t="inlineStr">
        <is>
          <t>BANCO SANTANDER (BRASIL) S.A.</t>
        </is>
      </c>
    </row>
    <row r="26">
      <c r="A26" s="3" t="inlineStr">
        <is>
          <t>Santander</t>
        </is>
      </c>
      <c r="B26" s="3" t="inlineStr">
        <is>
          <t>Ligada a banco</t>
        </is>
      </c>
      <c r="C26" s="3" t="inlineStr">
        <is>
          <t>03502968000104</t>
        </is>
      </c>
      <c r="D26" s="3" t="inlineStr">
        <is>
          <t>SANTANDER DTVM S.A.</t>
        </is>
      </c>
    </row>
    <row r="27">
      <c r="A27" s="3" t="inlineStr">
        <is>
          <t>Genial</t>
        </is>
      </c>
      <c r="B27" s="3" t="inlineStr">
        <is>
          <t>Ligada a banco</t>
        </is>
      </c>
      <c r="C27" s="3" t="inlineStr">
        <is>
          <t>45246410000155</t>
        </is>
      </c>
      <c r="D27" s="3" t="inlineStr">
        <is>
          <t>BANCO GENIAL S.A.</t>
        </is>
      </c>
    </row>
    <row r="28">
      <c r="A28" s="3" t="inlineStr">
        <is>
          <t>Genial</t>
        </is>
      </c>
      <c r="B28" s="3" t="inlineStr">
        <is>
          <t>Ligada a banco</t>
        </is>
      </c>
      <c r="C28" s="3" t="inlineStr">
        <is>
          <t>27652684000162</t>
        </is>
      </c>
      <c r="D28" s="3" t="inlineStr">
        <is>
          <t>GENIAL INVESTIMENTOS CVM S.A.</t>
        </is>
      </c>
    </row>
    <row r="29">
      <c r="A29" s="3" t="inlineStr">
        <is>
          <t>Genial</t>
        </is>
      </c>
      <c r="B29" s="3" t="inlineStr">
        <is>
          <t>Ligada a banco</t>
        </is>
      </c>
      <c r="C29" s="3" t="inlineStr">
        <is>
          <t>22119959000183</t>
        </is>
      </c>
      <c r="D29" s="3" t="inlineStr">
        <is>
          <t>GENIAL GESTAO LTDA.</t>
        </is>
      </c>
    </row>
    <row r="30">
      <c r="A30" s="3" t="inlineStr">
        <is>
          <t>Daycoval</t>
        </is>
      </c>
      <c r="B30" s="3" t="inlineStr">
        <is>
          <t>Ligada a banco</t>
        </is>
      </c>
      <c r="C30" s="3" t="inlineStr">
        <is>
          <t>62232889000190</t>
        </is>
      </c>
      <c r="D30" s="3" t="inlineStr">
        <is>
          <t>BANCO DAYCOVAL S.A.</t>
        </is>
      </c>
    </row>
    <row r="31">
      <c r="A31" s="3" t="inlineStr">
        <is>
          <t>Daycoval</t>
        </is>
      </c>
      <c r="B31" s="3" t="inlineStr">
        <is>
          <t>Ligada a banco</t>
        </is>
      </c>
      <c r="C31" s="3" t="inlineStr">
        <is>
          <t>72027832000102</t>
        </is>
      </c>
      <c r="D31" s="3" t="inlineStr">
        <is>
          <t>DAYCOVAL ASSET MANAGEMENT LTDA</t>
        </is>
      </c>
    </row>
    <row r="32">
      <c r="A32" s="3" t="inlineStr">
        <is>
          <t>Plural</t>
        </is>
      </c>
      <c r="B32" s="3" t="inlineStr">
        <is>
          <t>Ligada a banco</t>
        </is>
      </c>
      <c r="C32" s="3" t="inlineStr">
        <is>
          <t>09630188000126</t>
        </is>
      </c>
      <c r="D32" s="3" t="inlineStr">
        <is>
          <t>PLURAL INVESTIMENTOS GESTAO DE RECURSOS LTDA.</t>
        </is>
      </c>
    </row>
    <row r="33">
      <c r="A33" s="3" t="inlineStr">
        <is>
          <t>Plural</t>
        </is>
      </c>
      <c r="B33" s="3" t="inlineStr">
        <is>
          <t>Ligada a banco</t>
        </is>
      </c>
      <c r="C33" s="3" t="inlineStr">
        <is>
          <t>11397672000280</t>
        </is>
      </c>
      <c r="D33" s="3" t="inlineStr">
        <is>
          <t>PLURAL GESTAO DE RECURSOS LTDA</t>
        </is>
      </c>
    </row>
    <row r="34">
      <c r="A34" s="3" t="inlineStr">
        <is>
          <t>Safra</t>
        </is>
      </c>
      <c r="B34" s="3" t="inlineStr">
        <is>
          <t>Ligada a banco</t>
        </is>
      </c>
      <c r="C34" s="3" t="inlineStr">
        <is>
          <t>03017677000120</t>
        </is>
      </c>
      <c r="D34" s="3" t="inlineStr">
        <is>
          <t>BANCO J. SAFRA S.A.</t>
        </is>
      </c>
    </row>
    <row r="35">
      <c r="A35" s="3" t="inlineStr">
        <is>
          <t>Banco Master</t>
        </is>
      </c>
      <c r="B35" s="3" t="inlineStr">
        <is>
          <t>Ligada a banco</t>
        </is>
      </c>
      <c r="C35" s="3" t="inlineStr">
        <is>
          <t>33886862000112</t>
        </is>
      </c>
      <c r="D35" s="3" t="inlineStr">
        <is>
          <t>MASTER S/A CCTVM</t>
        </is>
      </c>
    </row>
    <row r="36">
      <c r="A36" s="3" t="inlineStr">
        <is>
          <t>Inter</t>
        </is>
      </c>
      <c r="B36" s="3" t="inlineStr">
        <is>
          <t>Ligada a banco</t>
        </is>
      </c>
      <c r="C36" s="3" t="inlineStr">
        <is>
          <t>18945670000146</t>
        </is>
      </c>
      <c r="D36" s="3" t="inlineStr">
        <is>
          <t>INTER DTVM</t>
        </is>
      </c>
    </row>
    <row r="37">
      <c r="A37" s="3" t="inlineStr">
        <is>
          <t>Inter</t>
        </is>
      </c>
      <c r="B37" s="3" t="inlineStr">
        <is>
          <t>Ligada a banco</t>
        </is>
      </c>
      <c r="C37" s="3" t="inlineStr">
        <is>
          <t>05585083000141</t>
        </is>
      </c>
      <c r="D37" s="3" t="inlineStr">
        <is>
          <t>INTER ASSET GESTAO DE RECURSOS LTDA.</t>
        </is>
      </c>
    </row>
    <row r="38">
      <c r="A38" s="3" t="inlineStr">
        <is>
          <t>Oliveira Trust</t>
        </is>
      </c>
      <c r="B38" s="3" t="inlineStr">
        <is>
          <t>Independente Grande</t>
        </is>
      </c>
      <c r="C38" s="3" t="inlineStr">
        <is>
          <t>36113876000191</t>
        </is>
      </c>
      <c r="D38" s="3" t="inlineStr">
        <is>
          <t>OLIVEIRA TRUST DTVM S.A.</t>
        </is>
      </c>
    </row>
    <row r="39">
      <c r="A39" s="3" t="inlineStr">
        <is>
          <t>Oliveira Trust</t>
        </is>
      </c>
      <c r="B39" s="3" t="inlineStr">
        <is>
          <t>Independente Grande</t>
        </is>
      </c>
      <c r="C39" s="3" t="inlineStr">
        <is>
          <t>02150453000120</t>
        </is>
      </c>
      <c r="D39" s="3" t="inlineStr">
        <is>
          <t>OLIVEIRA TRUST SERVICER S/A</t>
        </is>
      </c>
    </row>
    <row r="40">
      <c r="A40" s="3" t="inlineStr">
        <is>
          <t>BRL Trust</t>
        </is>
      </c>
      <c r="B40" s="3" t="inlineStr">
        <is>
          <t>Independente Grande</t>
        </is>
      </c>
      <c r="C40" s="3" t="inlineStr">
        <is>
          <t>13486793000142</t>
        </is>
      </c>
      <c r="D40" s="3" t="inlineStr">
        <is>
          <t>BRL TRUST DTVM S.A.</t>
        </is>
      </c>
    </row>
    <row r="41">
      <c r="A41" s="3" t="inlineStr">
        <is>
          <t>QI Tech</t>
        </is>
      </c>
      <c r="B41" s="3" t="inlineStr">
        <is>
          <t>Independente</t>
        </is>
      </c>
      <c r="C41" s="3" t="inlineStr">
        <is>
          <t>62285390000140</t>
        </is>
      </c>
      <c r="D41" s="3" t="inlineStr">
        <is>
          <t>QI CORRETORA DE TITULOS E VALORES MOBILIARIOS S.A.</t>
        </is>
      </c>
    </row>
    <row r="42">
      <c r="A42" s="3" t="inlineStr">
        <is>
          <t>QI Tech</t>
        </is>
      </c>
      <c r="B42" s="3" t="inlineStr">
        <is>
          <t>Independente</t>
        </is>
      </c>
      <c r="C42" s="3" t="inlineStr">
        <is>
          <t>52332058000136</t>
        </is>
      </c>
      <c r="D42" s="3" t="inlineStr">
        <is>
          <t>QI GESTAO DE RECURSOS LTDA.</t>
        </is>
      </c>
    </row>
    <row r="43">
      <c r="A43" s="3" t="inlineStr">
        <is>
          <t>Vortx</t>
        </is>
      </c>
      <c r="B43" s="3" t="inlineStr">
        <is>
          <t>Independente</t>
        </is>
      </c>
      <c r="C43" s="3" t="inlineStr">
        <is>
          <t>22610500000188</t>
        </is>
      </c>
      <c r="D43" s="3" t="inlineStr">
        <is>
          <t>VORTX DTVM LTDA.</t>
        </is>
      </c>
    </row>
    <row r="44">
      <c r="A44" s="3" t="inlineStr">
        <is>
          <t>Vortx</t>
        </is>
      </c>
      <c r="B44" s="3" t="inlineStr">
        <is>
          <t>Independente</t>
        </is>
      </c>
      <c r="C44" s="3" t="inlineStr">
        <is>
          <t>09645906000138</t>
        </is>
      </c>
      <c r="D44" s="3" t="inlineStr">
        <is>
          <t>VORTX CAPITAL GESTAO DE RECURSOS LTDA</t>
        </is>
      </c>
    </row>
    <row r="45">
      <c r="A45" s="3" t="inlineStr">
        <is>
          <t>REAG</t>
        </is>
      </c>
      <c r="B45" s="3" t="inlineStr">
        <is>
          <t>Independente</t>
        </is>
      </c>
      <c r="C45" s="3" t="inlineStr">
        <is>
          <t>46356742000155</t>
        </is>
      </c>
      <c r="D45" s="3" t="inlineStr">
        <is>
          <t>REAG JUS GESTAO DE ATIVOS JUDICIAIS LTDA.</t>
        </is>
      </c>
    </row>
    <row r="46">
      <c r="A46" s="3" t="inlineStr">
        <is>
          <t>REAG</t>
        </is>
      </c>
      <c r="B46" s="3" t="inlineStr">
        <is>
          <t>Independente</t>
        </is>
      </c>
      <c r="C46" s="3" t="inlineStr">
        <is>
          <t>48954141000170</t>
        </is>
      </c>
      <c r="D46" s="3" t="inlineStr">
        <is>
          <t>REAG PORTFOLIO SOLUTIONS LTDA.</t>
        </is>
      </c>
    </row>
    <row r="47">
      <c r="A47" s="3" t="inlineStr">
        <is>
          <t>REAG</t>
        </is>
      </c>
      <c r="B47" s="3" t="inlineStr">
        <is>
          <t>Independente</t>
        </is>
      </c>
      <c r="C47" s="3" t="inlineStr">
        <is>
          <t>14084509000174</t>
        </is>
      </c>
      <c r="D47" s="3" t="inlineStr">
        <is>
          <t>REAG SPECIALTY FINANCE LTDA.</t>
        </is>
      </c>
    </row>
    <row r="48">
      <c r="A48" s="3" t="inlineStr">
        <is>
          <t>CBSF</t>
        </is>
      </c>
      <c r="B48" s="3" t="inlineStr">
        <is>
          <t>Independente</t>
        </is>
      </c>
      <c r="C48" s="3" t="inlineStr">
        <is>
          <t>34829992000186</t>
        </is>
      </c>
      <c r="D48" s="3" t="inlineStr">
        <is>
          <t>CBSF DTVM S.A.</t>
        </is>
      </c>
    </row>
    <row r="49">
      <c r="A49" s="3" t="inlineStr">
        <is>
          <t>CBSF</t>
        </is>
      </c>
      <c r="B49" s="3" t="inlineStr">
        <is>
          <t>Independente</t>
        </is>
      </c>
      <c r="C49" s="3" t="inlineStr">
        <is>
          <t>23863529000134</t>
        </is>
      </c>
      <c r="D49" s="3" t="inlineStr">
        <is>
          <t>CBSF TRUST ADMINISTRADORA DE RECURSOS LTDA.</t>
        </is>
      </c>
    </row>
    <row r="50">
      <c r="A50" s="3" t="inlineStr">
        <is>
          <t>Finaxis</t>
        </is>
      </c>
      <c r="B50" s="3" t="inlineStr">
        <is>
          <t>Independente</t>
        </is>
      </c>
      <c r="C50" s="3" t="inlineStr">
        <is>
          <t>11758741000152</t>
        </is>
      </c>
      <c r="D50" s="3" t="inlineStr">
        <is>
          <t>BANCO FINAXIS S.A.</t>
        </is>
      </c>
    </row>
    <row r="51">
      <c r="A51" s="3" t="inlineStr">
        <is>
          <t>Finaxis</t>
        </is>
      </c>
      <c r="B51" s="3" t="inlineStr">
        <is>
          <t>Independente</t>
        </is>
      </c>
      <c r="C51" s="3" t="inlineStr">
        <is>
          <t>03317692000194</t>
        </is>
      </c>
      <c r="D51" s="3" t="inlineStr">
        <is>
          <t>FINAXIS CCTVM S.A.</t>
        </is>
      </c>
    </row>
    <row r="52">
      <c r="A52" s="3" t="inlineStr">
        <is>
          <t>JIVE</t>
        </is>
      </c>
      <c r="B52" s="3" t="inlineStr">
        <is>
          <t>Independente</t>
        </is>
      </c>
      <c r="C52" s="3" t="inlineStr">
        <is>
          <t>07170960000149</t>
        </is>
      </c>
      <c r="D52" s="3" t="inlineStr">
        <is>
          <t>JIVE HIGH YIELD GESTAO DE RECURSOS LTDA.</t>
        </is>
      </c>
    </row>
    <row r="53">
      <c r="A53" s="3" t="inlineStr">
        <is>
          <t>JIVE</t>
        </is>
      </c>
      <c r="B53" s="3" t="inlineStr">
        <is>
          <t>Independente</t>
        </is>
      </c>
      <c r="C53" s="3" t="inlineStr">
        <is>
          <t>12600032000107</t>
        </is>
      </c>
      <c r="D53" s="3" t="inlineStr">
        <is>
          <t>JIVE INVESTMENTS GESTAO DE RECURSOS E CONSULTORIA S.A.</t>
        </is>
      </c>
    </row>
    <row r="55">
      <c r="A55" s="5" t="inlineStr">
        <is>
          <t>Fonte: De-para próprio, verificado por CNPJ contra industry_fund_snapshot (mai/2026). Config: config/conglomerados_fidc.json.</t>
        </is>
      </c>
    </row>
  </sheetData>
  <mergeCells count="2">
    <mergeCell ref="A1:D1"/>
    <mergeCell ref="A55:H5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4" customWidth="1" min="1" max="1"/>
    <col width="54" customWidth="1" min="2" max="2"/>
    <col width="30" customWidth="1" min="3" max="3"/>
    <col width="26" customWidth="1" min="4" max="4"/>
    <col width="12" customWidth="1" min="5" max="5"/>
    <col width="10" customWidth="1" min="6" max="6"/>
    <col width="12" customWidth="1" min="7" max="7"/>
    <col width="26" customWidth="1" min="8" max="8"/>
  </cols>
  <sheetData>
    <row r="1" ht="24" customHeight="1">
      <c r="A1" s="1" t="inlineStr">
        <is>
          <t>Top 25 FIDCs por PL — 2026-05 (detalhe)</t>
        </is>
      </c>
    </row>
    <row r="3">
      <c r="A3" s="2" t="inlineStr">
        <is>
          <t>#</t>
        </is>
      </c>
      <c r="B3" s="2" t="inlineStr">
        <is>
          <t>Fundo</t>
        </is>
      </c>
      <c r="C3" s="2" t="inlineStr">
        <is>
          <t>Tipo de recebível</t>
        </is>
      </c>
      <c r="D3" s="2" t="inlineStr">
        <is>
          <t>Gestor</t>
        </is>
      </c>
      <c r="E3" s="2" t="inlineStr">
        <is>
          <t>PL (R$ bi)</t>
        </is>
      </c>
      <c r="F3" s="2" t="inlineStr">
        <is>
          <t>Sub. mín.</t>
        </is>
      </c>
      <c r="G3" s="2" t="inlineStr">
        <is>
          <t>Últ. leitura</t>
        </is>
      </c>
      <c r="H3" s="2" t="inlineStr">
        <is>
          <t>Cedente princ.</t>
        </is>
      </c>
    </row>
    <row r="4">
      <c r="A4" s="4" t="n">
        <v>1</v>
      </c>
      <c r="B4" s="3" t="inlineStr">
        <is>
          <t>FIDC DO SISTEMA PETROBRAS</t>
        </is>
      </c>
      <c r="C4" s="3" t="inlineStr">
        <is>
          <t>Industrial</t>
        </is>
      </c>
      <c r="D4" s="3" t="inlineStr">
        <is>
          <t>Banco do Brasil</t>
        </is>
      </c>
      <c r="E4" s="8" t="n">
        <v>60.84</v>
      </c>
      <c r="F4" s="3" t="inlineStr"/>
      <c r="G4" s="3" t="inlineStr"/>
      <c r="H4" s="3" t="inlineStr"/>
    </row>
    <row r="5">
      <c r="A5" s="4" t="n">
        <v>2</v>
      </c>
      <c r="B5" s="3" t="inlineStr">
        <is>
          <t xml:space="preserve">TAPSO FUNDO DE INVESTIMENTO EM DIREITOS CREDITÓRIOS </t>
        </is>
      </c>
      <c r="C5" s="3" t="inlineStr">
        <is>
          <t>Cartao de credito</t>
        </is>
      </c>
      <c r="D5" s="3" t="inlineStr">
        <is>
          <t>Oliveira Trust</t>
        </is>
      </c>
      <c r="E5" s="8" t="n">
        <v>40.66</v>
      </c>
      <c r="F5" s="3" t="inlineStr"/>
      <c r="G5" s="3" t="inlineStr"/>
      <c r="H5" s="3" t="inlineStr"/>
    </row>
    <row r="6">
      <c r="A6" s="4" t="n">
        <v>3</v>
      </c>
      <c r="B6" s="3" t="inlineStr">
        <is>
          <t>CLOUDWALK BELA FUNDO DE INVESTIMENTO EM DIREITOS CRE</t>
        </is>
      </c>
      <c r="C6" s="3" t="inlineStr">
        <is>
          <t>Arranjos de pagamento/adquirência · Meios de Pagamento e Cartões</t>
        </is>
      </c>
      <c r="D6" s="3" t="inlineStr">
        <is>
          <t>Bradesco</t>
        </is>
      </c>
      <c r="E6" s="8" t="n">
        <v>9.98</v>
      </c>
      <c r="F6" s="3" t="inlineStr"/>
      <c r="G6" s="3" t="inlineStr">
        <is>
          <t>2026-02</t>
        </is>
      </c>
      <c r="H6" s="3" t="inlineStr"/>
    </row>
    <row r="7">
      <c r="A7" s="4" t="n">
        <v>4</v>
      </c>
      <c r="B7" s="3" t="inlineStr">
        <is>
          <t>ITAÚ CRÉDITO PRIVADO FUNDO DE INVESTIMENTO EM DIREIT</t>
        </is>
      </c>
      <c r="C7" s="3" t="inlineStr">
        <is>
          <t>Servicos</t>
        </is>
      </c>
      <c r="D7" s="3" t="inlineStr">
        <is>
          <t>Itau</t>
        </is>
      </c>
      <c r="E7" s="8" t="n">
        <v>8.619999999999999</v>
      </c>
      <c r="F7" s="3" t="inlineStr"/>
      <c r="G7" s="3" t="inlineStr"/>
      <c r="H7" s="3" t="inlineStr"/>
    </row>
    <row r="8">
      <c r="A8" s="4" t="n">
        <v>5</v>
      </c>
      <c r="B8" s="3" t="inlineStr">
        <is>
          <t>ESPERANZA FUNDO DE INVESTIMENTO EM DIREITOS CREDITÓR</t>
        </is>
      </c>
      <c r="C8" s="3" t="inlineStr">
        <is>
          <t>Financeiro</t>
        </is>
      </c>
      <c r="D8" s="3" t="inlineStr">
        <is>
          <t>REAG</t>
        </is>
      </c>
      <c r="E8" s="8" t="n">
        <v>8.42</v>
      </c>
      <c r="F8" s="3" t="inlineStr"/>
      <c r="G8" s="3" t="inlineStr"/>
      <c r="H8" s="3" t="inlineStr"/>
    </row>
    <row r="9">
      <c r="A9" s="4" t="n">
        <v>6</v>
      </c>
      <c r="B9" s="3" t="inlineStr">
        <is>
          <t xml:space="preserve">BTG PACTUAL CONSIGNADOS II FUNDO DE INVESTIMENTO EM </t>
        </is>
      </c>
      <c r="C9" s="3" t="inlineStr">
        <is>
          <t>Servicos · Consignado</t>
        </is>
      </c>
      <c r="D9" s="3" t="inlineStr">
        <is>
          <t>BTG Pactual</t>
        </is>
      </c>
      <c r="E9" s="8" t="n">
        <v>7.92</v>
      </c>
      <c r="F9" s="3" t="inlineStr"/>
      <c r="G9" s="3" t="inlineStr">
        <is>
          <t>2025-06</t>
        </is>
      </c>
      <c r="H9" s="3" t="inlineStr"/>
    </row>
    <row r="10">
      <c r="A10" s="4" t="n">
        <v>7</v>
      </c>
      <c r="B10" s="3" t="inlineStr">
        <is>
          <t>PAN AUTO FUNDO DE INVESTIMENTO EM DIREITOS CREDITÓRI</t>
        </is>
      </c>
      <c r="C10" s="3" t="inlineStr">
        <is>
          <t>Comercial · Veículos/Auto</t>
        </is>
      </c>
      <c r="D10" s="3" t="inlineStr">
        <is>
          <t>BTG Pactual</t>
        </is>
      </c>
      <c r="E10" s="8" t="n">
        <v>7.73</v>
      </c>
      <c r="F10" s="3" t="inlineStr"/>
      <c r="G10" s="3" t="inlineStr"/>
      <c r="H10" s="3" t="inlineStr"/>
    </row>
    <row r="11">
      <c r="A11" s="4" t="n">
        <v>8</v>
      </c>
      <c r="B11" s="3" t="inlineStr">
        <is>
          <t>AETOS ENERGIA FUNDO DE INVESTIMENTO EM DIREITOS CRED</t>
        </is>
      </c>
      <c r="C11" s="3" t="inlineStr">
        <is>
          <t>Servicos · Energia/Infra</t>
        </is>
      </c>
      <c r="D11" s="3" t="inlineStr">
        <is>
          <t>XP</t>
        </is>
      </c>
      <c r="E11" s="8" t="n">
        <v>7.38</v>
      </c>
      <c r="F11" s="3" t="inlineStr"/>
      <c r="G11" s="3" t="inlineStr"/>
      <c r="H11" s="3" t="inlineStr"/>
    </row>
    <row r="12">
      <c r="A12" s="4" t="n">
        <v>9</v>
      </c>
      <c r="B12" s="3" t="inlineStr">
        <is>
          <t>FUNDO DE INVESTIMENTO EM DIREITOS CREDITÓRIOS PAGSEG</t>
        </is>
      </c>
      <c r="C12" s="3" t="inlineStr">
        <is>
          <t>Arranjos de pagamento/adquirência · Meios de Pagamento e Cartões</t>
        </is>
      </c>
      <c r="D12" s="3" t="inlineStr">
        <is>
          <t>Genial</t>
        </is>
      </c>
      <c r="E12" s="8" t="n">
        <v>6.7</v>
      </c>
      <c r="F12" s="3" t="inlineStr">
        <is>
          <t>50%</t>
        </is>
      </c>
      <c r="G12" s="3" t="inlineStr">
        <is>
          <t>2026-03</t>
        </is>
      </c>
      <c r="H12" s="3" t="inlineStr"/>
    </row>
    <row r="13">
      <c r="A13" s="4" t="n">
        <v>10</v>
      </c>
      <c r="B13" s="3" t="inlineStr">
        <is>
          <t>CLASSE CONSIGNADO PRIVADO DO MT GLOBAL FUNDO DE INVE</t>
        </is>
      </c>
      <c r="C13" s="3" t="inlineStr">
        <is>
          <t>Consignado</t>
        </is>
      </c>
      <c r="D13" s="3" t="inlineStr">
        <is>
          <t>BTG Pactual</t>
        </is>
      </c>
      <c r="E13" s="8" t="n">
        <v>6.65</v>
      </c>
      <c r="F13" s="3" t="inlineStr"/>
      <c r="G13" s="3" t="inlineStr"/>
      <c r="H13" s="3" t="inlineStr"/>
    </row>
    <row r="14">
      <c r="A14" s="4" t="n">
        <v>11</v>
      </c>
      <c r="B14" s="3" t="inlineStr">
        <is>
          <t>CIELO FUNDO DE INVESTIMENTO EM DIREITOS CREDITÓRIOS</t>
        </is>
      </c>
      <c r="C14" s="3" t="inlineStr">
        <is>
          <t>Cartao de credito</t>
        </is>
      </c>
      <c r="D14" s="3" t="inlineStr">
        <is>
          <t>Bradesco</t>
        </is>
      </c>
      <c r="E14" s="8" t="n">
        <v>6.47</v>
      </c>
      <c r="F14" s="3" t="inlineStr"/>
      <c r="G14" s="3" t="inlineStr">
        <is>
          <t>2025</t>
        </is>
      </c>
      <c r="H14" s="3" t="inlineStr"/>
    </row>
    <row r="15">
      <c r="A15" s="4" t="n">
        <v>12</v>
      </c>
      <c r="B15" s="3" t="inlineStr">
        <is>
          <t>RIO VERMELHO FUNDO DE INVESTIMENTO EM DIREITOS CREDI</t>
        </is>
      </c>
      <c r="C15" s="3" t="inlineStr">
        <is>
          <t>Não padronizado/NPL · Judicial/Precatórios/NPL · Não padronizado (NP)</t>
        </is>
      </c>
      <c r="D15" s="3" t="inlineStr">
        <is>
          <t>CBSF</t>
        </is>
      </c>
      <c r="E15" s="8" t="n">
        <v>6.39</v>
      </c>
      <c r="F15" s="3" t="inlineStr"/>
      <c r="G15" s="3" t="inlineStr">
        <is>
          <t>2025-04</t>
        </is>
      </c>
      <c r="H15" s="3" t="inlineStr"/>
    </row>
    <row r="16">
      <c r="A16" s="4" t="n">
        <v>13</v>
      </c>
      <c r="B16" s="3" t="inlineStr">
        <is>
          <t>BTG PACTUAL CONSIGNADOS FUNDO DE INVESTIMENTO EM DIR</t>
        </is>
      </c>
      <c r="C16" s="3" t="inlineStr">
        <is>
          <t>Comercial · Consignado</t>
        </is>
      </c>
      <c r="D16" s="3" t="inlineStr">
        <is>
          <t>BTG Pactual</t>
        </is>
      </c>
      <c r="E16" s="8" t="n">
        <v>5.93</v>
      </c>
      <c r="F16" s="3" t="inlineStr"/>
      <c r="G16" s="3" t="inlineStr"/>
      <c r="H16" s="3" t="inlineStr"/>
    </row>
    <row r="17">
      <c r="A17" s="4" t="n">
        <v>14</v>
      </c>
      <c r="B17" s="3" t="inlineStr">
        <is>
          <t>FUNDO DE INVESTIMENTO EM DIREITOS CREDITÓRIOS ALTERN</t>
        </is>
      </c>
      <c r="C17" s="3" t="inlineStr">
        <is>
          <t>Setor publico</t>
        </is>
      </c>
      <c r="D17" s="3" t="inlineStr">
        <is>
          <t>BTG Pactual</t>
        </is>
      </c>
      <c r="E17" s="8" t="n">
        <v>5.77</v>
      </c>
      <c r="F17" s="3" t="inlineStr"/>
      <c r="G17" s="3" t="inlineStr"/>
      <c r="H17" s="3" t="inlineStr"/>
    </row>
    <row r="18">
      <c r="A18" s="4" t="n">
        <v>15</v>
      </c>
      <c r="B18" s="3" t="inlineStr">
        <is>
          <t>NC 2025 I FUNDO DE INVESTIMENTO EM DIREITOS CREDITÓR</t>
        </is>
      </c>
      <c r="C18" s="3" t="inlineStr">
        <is>
          <t>Financeiro</t>
        </is>
      </c>
      <c r="D18" s="3" t="inlineStr">
        <is>
          <t>KANASTRA ADMINISTRAÇÃO DE RECURSOS LTDA</t>
        </is>
      </c>
      <c r="E18" s="8" t="n">
        <v>5.66</v>
      </c>
      <c r="F18" s="3" t="inlineStr"/>
      <c r="G18" s="3" t="inlineStr"/>
      <c r="H18" s="3" t="inlineStr"/>
    </row>
    <row r="19">
      <c r="A19" s="4" t="n">
        <v>16</v>
      </c>
      <c r="B19" s="3" t="inlineStr">
        <is>
          <t xml:space="preserve">FUNDO DE INVESTIMENTO EM DIREITOS CREDITÓRIOS MONEE </t>
        </is>
      </c>
      <c r="C19" s="3" t="inlineStr">
        <is>
          <t>Financeiro</t>
        </is>
      </c>
      <c r="D19" s="3" t="inlineStr">
        <is>
          <t>VALORA RENDA FIXA LTDA.</t>
        </is>
      </c>
      <c r="E19" s="4" t="n">
        <v>5</v>
      </c>
      <c r="F19" s="3" t="inlineStr"/>
      <c r="G19" s="3" t="inlineStr"/>
      <c r="H19" s="3" t="inlineStr"/>
    </row>
    <row r="20">
      <c r="A20" s="4" t="n">
        <v>17</v>
      </c>
      <c r="B20" s="3" t="inlineStr">
        <is>
          <t>FUNDO DE INVESTIMENTO EM DIREITOS CREDITÓRIOS PICPAY</t>
        </is>
      </c>
      <c r="C20" s="3" t="inlineStr">
        <is>
          <t>Cartao de credito</t>
        </is>
      </c>
      <c r="D20" s="3" t="inlineStr">
        <is>
          <t>Genial</t>
        </is>
      </c>
      <c r="E20" s="8" t="n">
        <v>4.56</v>
      </c>
      <c r="F20" s="3" t="inlineStr"/>
      <c r="G20" s="3" t="inlineStr"/>
      <c r="H20" s="3" t="inlineStr"/>
    </row>
    <row r="21">
      <c r="A21" s="4" t="n">
        <v>18</v>
      </c>
      <c r="B21" s="3" t="inlineStr">
        <is>
          <t>ARTESANAL MASTER FUNDO DE INVESTIMENTO EM DIREITOS C</t>
        </is>
      </c>
      <c r="C21" s="3" t="inlineStr">
        <is>
          <t>—</t>
        </is>
      </c>
      <c r="D21" s="3" t="inlineStr">
        <is>
          <t>ARTESANAL INVESTIMENTOS LTDA</t>
        </is>
      </c>
      <c r="E21" s="8" t="n">
        <v>4.35</v>
      </c>
      <c r="F21" s="3" t="inlineStr"/>
      <c r="G21" s="3" t="inlineStr"/>
      <c r="H21" s="3" t="inlineStr"/>
    </row>
    <row r="22">
      <c r="A22" s="4" t="n">
        <v>19</v>
      </c>
      <c r="B22" s="3" t="inlineStr">
        <is>
          <t>HIGH TOWER FUNDO DE INVESTIMENTO EM DIREITOS CREDITÓ</t>
        </is>
      </c>
      <c r="C22" s="3" t="inlineStr">
        <is>
          <t>Financeiro</t>
        </is>
      </c>
      <c r="D22" s="3" t="inlineStr">
        <is>
          <t>CBSF</t>
        </is>
      </c>
      <c r="E22" s="8" t="n">
        <v>3.97</v>
      </c>
      <c r="F22" s="3" t="inlineStr"/>
      <c r="G22" s="3" t="inlineStr"/>
      <c r="H22" s="3" t="inlineStr"/>
    </row>
    <row r="23">
      <c r="A23" s="4" t="n">
        <v>20</v>
      </c>
      <c r="B23" s="3" t="inlineStr">
        <is>
          <t>DAY MAXX 2 FUNDO DE INVESTIMENTO EM DIREITOS CREDITÓ</t>
        </is>
      </c>
      <c r="C23" s="3" t="inlineStr">
        <is>
          <t>Financeiro</t>
        </is>
      </c>
      <c r="D23" s="3" t="inlineStr">
        <is>
          <t>Daycoval</t>
        </is>
      </c>
      <c r="E23" s="8" t="n">
        <v>3.92</v>
      </c>
      <c r="F23" s="3" t="inlineStr"/>
      <c r="G23" s="3" t="inlineStr"/>
      <c r="H23" s="3" t="inlineStr"/>
    </row>
    <row r="24">
      <c r="A24" s="4" t="n">
        <v>21</v>
      </c>
      <c r="B24" s="3" t="inlineStr">
        <is>
          <t>SELLER FIDC SEGMENTO MEIOS DE PAGAMENTO DE RESPONSAB</t>
        </is>
      </c>
      <c r="C24" s="3" t="inlineStr">
        <is>
          <t>Arranjos de pagamento/adquirência · Meios de Pagamento e Cartões</t>
        </is>
      </c>
      <c r="D24" s="3" t="inlineStr">
        <is>
          <t>Oliveira Trust</t>
        </is>
      </c>
      <c r="E24" s="8" t="n">
        <v>3.63</v>
      </c>
      <c r="F24" s="3" t="inlineStr"/>
      <c r="G24" s="3" t="inlineStr">
        <is>
          <t>2025-05</t>
        </is>
      </c>
      <c r="H24" s="3" t="inlineStr"/>
    </row>
    <row r="25">
      <c r="A25" s="4" t="n">
        <v>22</v>
      </c>
      <c r="B25" s="3" t="inlineStr">
        <is>
          <t>FIDC ACR BEM BANCOS EMISSORES DE CARTÃO DE CRÉDITO -</t>
        </is>
      </c>
      <c r="C25" s="3" t="inlineStr">
        <is>
          <t>Cartao de credito · Cartões</t>
        </is>
      </c>
      <c r="D25" s="3" t="inlineStr">
        <is>
          <t>Bradesco</t>
        </is>
      </c>
      <c r="E25" s="8" t="n">
        <v>3.63</v>
      </c>
      <c r="F25" s="3" t="inlineStr"/>
      <c r="G25" s="3" t="inlineStr">
        <is>
          <t>2024</t>
        </is>
      </c>
      <c r="H25" s="3" t="inlineStr"/>
    </row>
    <row r="26">
      <c r="A26" s="4" t="n">
        <v>23</v>
      </c>
      <c r="B26" s="3" t="inlineStr">
        <is>
          <t>RSCRED MULTIESTRÉGIA - FUNDO DE INVESTIMENTO EM DIRE</t>
        </is>
      </c>
      <c r="C26" s="3" t="inlineStr">
        <is>
          <t>Financeiro</t>
        </is>
      </c>
      <c r="D26" s="3" t="inlineStr">
        <is>
          <t>SECURITY ADM. DE RECURSOS LTDA</t>
        </is>
      </c>
      <c r="E26" s="8" t="n">
        <v>3.6</v>
      </c>
      <c r="F26" s="3" t="inlineStr"/>
      <c r="G26" s="3" t="inlineStr"/>
      <c r="H26" s="3" t="inlineStr"/>
    </row>
    <row r="27">
      <c r="A27" s="4" t="n">
        <v>24</v>
      </c>
      <c r="B27" s="3" t="inlineStr">
        <is>
          <t xml:space="preserve">HAVAN FUNDO DE INVESTIMENTO EM DIREITOS CREDITÓRIOS </t>
        </is>
      </c>
      <c r="C27" s="3" t="inlineStr">
        <is>
          <t>Comercial</t>
        </is>
      </c>
      <c r="D27" s="3" t="inlineStr">
        <is>
          <t>PETRA CAPITAL GESTÃO DE INVESTIMENTOS LTDA</t>
        </is>
      </c>
      <c r="E27" s="8" t="n">
        <v>3.58</v>
      </c>
      <c r="F27" s="3" t="inlineStr"/>
      <c r="G27" s="3" t="inlineStr"/>
      <c r="H27" s="3" t="inlineStr"/>
    </row>
    <row r="28">
      <c r="A28" s="4" t="n">
        <v>25</v>
      </c>
      <c r="B28" s="3" t="inlineStr">
        <is>
          <t>EXPERT III FUNDO DE INVESTIMENTO EM DIREITOS CREDITÓ</t>
        </is>
      </c>
      <c r="C28" s="3" t="inlineStr">
        <is>
          <t>—</t>
        </is>
      </c>
      <c r="D28" s="3" t="inlineStr">
        <is>
          <t>Daycoval</t>
        </is>
      </c>
      <c r="E28" s="8" t="n">
        <v>3.55</v>
      </c>
      <c r="F28" s="3" t="inlineStr"/>
      <c r="G28" s="3" t="inlineStr"/>
      <c r="H28" s="3" t="inlineStr"/>
    </row>
    <row r="30">
      <c r="A30" s="5" t="inlineStr">
        <is>
          <t>Fonte: Toma Conta FIDCs — snapshot por fundo (PL, gestor consolidado, leituras de segmento/oferta/subordinação quando há regulamento parseado). Origem: Informe Mensal FIDC/CVM + leituras regulatórias do Toma Conta.</t>
        </is>
      </c>
    </row>
  </sheetData>
  <mergeCells count="2">
    <mergeCell ref="A30:H30"/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 ht="24" customHeight="1">
      <c r="A1" s="1" t="inlineStr">
        <is>
          <t>Número de cotistas — fundos &gt; R$ 200 mi de PL</t>
        </is>
      </c>
    </row>
    <row r="2">
      <c r="A2" t="inlineStr">
        <is>
          <t>Universo: 863 fundos / R$ 794 bi de PL</t>
        </is>
      </c>
    </row>
    <row r="4">
      <c r="A4" s="2" t="inlineStr">
        <is>
          <t>Faixa</t>
        </is>
      </c>
      <c r="B4" s="2" t="inlineStr">
        <is>
          <t># Fundos</t>
        </is>
      </c>
      <c r="C4" s="2" t="inlineStr">
        <is>
          <t>PL (R$ bi)</t>
        </is>
      </c>
    </row>
    <row r="5">
      <c r="A5" s="3" t="inlineStr">
        <is>
          <t>Até 2 cotistas</t>
        </is>
      </c>
      <c r="B5" s="4" t="n">
        <v>273</v>
      </c>
      <c r="C5" s="4" t="n">
        <v>251</v>
      </c>
    </row>
    <row r="6">
      <c r="A6" s="3" t="inlineStr">
        <is>
          <t>3 cotistas</t>
        </is>
      </c>
      <c r="B6" s="4" t="n">
        <v>53</v>
      </c>
      <c r="C6" s="4" t="n">
        <v>33</v>
      </c>
    </row>
    <row r="7">
      <c r="A7" s="3" t="inlineStr">
        <is>
          <t>4 cotistas</t>
        </is>
      </c>
      <c r="B7" s="4" t="n">
        <v>49</v>
      </c>
      <c r="C7" s="4" t="n">
        <v>51</v>
      </c>
    </row>
    <row r="8">
      <c r="A8" s="3" t="inlineStr">
        <is>
          <t>5 ou mais</t>
        </is>
      </c>
      <c r="B8" s="4" t="n">
        <v>488</v>
      </c>
      <c r="C8" s="4" t="n">
        <v>459</v>
      </c>
    </row>
    <row r="12">
      <c r="A12" s="5" t="inlineStr">
        <is>
          <t>Fonte: Informe Mensal FIDC/CVM — Tabela X (nº de cotistas) via Toma Conta. Filtro PL &gt; R$ 200 mi.</t>
        </is>
      </c>
    </row>
  </sheetData>
  <mergeCells count="2">
    <mergeCell ref="A12:H12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 ht="24" customHeight="1">
      <c r="A1" s="1" t="inlineStr">
        <is>
          <t>Nº de cotistas por segmento de investidor — 2026-06</t>
        </is>
      </c>
    </row>
    <row r="3">
      <c r="A3" s="2" t="inlineStr">
        <is>
          <t>Segmento</t>
        </is>
      </c>
      <c r="B3" s="2" t="inlineStr">
        <is>
          <t># Cotistas</t>
        </is>
      </c>
    </row>
    <row r="4">
      <c r="A4" s="3" t="inlineStr">
        <is>
          <t>Outros fundos</t>
        </is>
      </c>
      <c r="B4" s="4" t="n">
        <v>7159</v>
      </c>
    </row>
    <row r="5">
      <c r="A5" s="3" t="inlineStr">
        <is>
          <t>Pessoa fisica</t>
        </is>
      </c>
      <c r="B5" s="4" t="n">
        <v>3578</v>
      </c>
    </row>
    <row r="6">
      <c r="A6" s="3" t="inlineStr">
        <is>
          <t>Outros</t>
        </is>
      </c>
      <c r="B6" s="4" t="n">
        <v>3246</v>
      </c>
    </row>
    <row r="7">
      <c r="A7" s="3" t="inlineStr">
        <is>
          <t>PJ nao financeira</t>
        </is>
      </c>
      <c r="B7" s="4" t="n">
        <v>544</v>
      </c>
    </row>
    <row r="8">
      <c r="A8" s="3" t="inlineStr">
        <is>
          <t>Corretora/distribuidora</t>
        </is>
      </c>
      <c r="B8" s="4" t="n">
        <v>248</v>
      </c>
    </row>
    <row r="9">
      <c r="A9" s="3" t="inlineStr">
        <is>
          <t>Banco comercial</t>
        </is>
      </c>
      <c r="B9" s="4" t="n">
        <v>126</v>
      </c>
    </row>
    <row r="10">
      <c r="A10" s="3" t="inlineStr">
        <is>
          <t>Cotas de FIDC (outros FIDC/FIC-FIDC)</t>
        </is>
      </c>
      <c r="B10" s="4" t="n">
        <v>71</v>
      </c>
    </row>
    <row r="11">
      <c r="A11" s="3" t="inlineStr">
        <is>
          <t>Previdencia fechada (EFPC)</t>
        </is>
      </c>
      <c r="B11" s="4" t="n">
        <v>34</v>
      </c>
    </row>
    <row r="12">
      <c r="A12" s="3" t="inlineStr">
        <is>
          <t>Investidor nao residente</t>
        </is>
      </c>
      <c r="B12" s="4" t="n">
        <v>33</v>
      </c>
    </row>
    <row r="13">
      <c r="A13" s="3" t="inlineStr">
        <is>
          <t>Outra PJ financeira</t>
        </is>
      </c>
      <c r="B13" s="4" t="n">
        <v>12</v>
      </c>
    </row>
    <row r="14">
      <c r="A14" s="3" t="inlineStr">
        <is>
          <t>Clube de investimento</t>
        </is>
      </c>
      <c r="B14" s="4" t="n">
        <v>5</v>
      </c>
    </row>
    <row r="15">
      <c r="A15" s="3" t="inlineStr">
        <is>
          <t>Regime proprio (RPPS)</t>
        </is>
      </c>
      <c r="B15" s="4" t="n">
        <v>4</v>
      </c>
    </row>
    <row r="18">
      <c r="A18" s="5" t="inlineStr">
        <is>
          <t>Fonte: Informe Mensal FIDC/CVM — nº de cotistas por segmento de investidor, via Toma Conta.</t>
        </is>
      </c>
    </row>
  </sheetData>
  <mergeCells count="2">
    <mergeCell ref="A18:H18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8" customWidth="1" min="1" max="1"/>
  </cols>
  <sheetData>
    <row r="1" ht="24" customHeight="1">
      <c r="A1" s="1" t="inlineStr">
        <is>
          <t>Emissões (variação anual de PL, ex-FIC) — R$ bi</t>
        </is>
      </c>
    </row>
    <row r="3">
      <c r="A3" s="2" t="inlineStr">
        <is>
          <t>Ano</t>
        </is>
      </c>
      <c r="B3" s="2" t="inlineStr">
        <is>
          <t>Variação de PL (R$ bi)</t>
        </is>
      </c>
      <c r="C3" s="2" t="inlineStr">
        <is>
          <t>Captação líquida (R$ bi)</t>
        </is>
      </c>
    </row>
    <row r="4">
      <c r="A4" s="4" t="n">
        <v>2020</v>
      </c>
      <c r="B4" s="4" t="n">
        <v>-30</v>
      </c>
      <c r="C4" s="4" t="n">
        <v>-32</v>
      </c>
    </row>
    <row r="5">
      <c r="A5" s="4" t="n">
        <v>2021</v>
      </c>
      <c r="B5" s="4" t="n">
        <v>95</v>
      </c>
      <c r="C5" s="4" t="n">
        <v>82</v>
      </c>
    </row>
    <row r="6">
      <c r="A6" s="4" t="n">
        <v>2022</v>
      </c>
      <c r="B6" s="4" t="n">
        <v>58</v>
      </c>
      <c r="C6" s="4" t="n">
        <v>25</v>
      </c>
    </row>
    <row r="7">
      <c r="A7" s="4" t="n">
        <v>2023</v>
      </c>
      <c r="B7" s="4" t="n">
        <v>102</v>
      </c>
      <c r="C7" s="4" t="n">
        <v>40</v>
      </c>
    </row>
    <row r="8">
      <c r="A8" s="4" t="n">
        <v>2024</v>
      </c>
      <c r="B8" s="4" t="n">
        <v>241</v>
      </c>
      <c r="C8" s="4" t="n">
        <v>245</v>
      </c>
    </row>
    <row r="9">
      <c r="A9" s="4" t="n">
        <v>2025</v>
      </c>
      <c r="B9" s="4" t="n">
        <v>167</v>
      </c>
      <c r="C9" s="4" t="n">
        <v>142</v>
      </c>
    </row>
    <row r="10">
      <c r="A10" s="4" t="n">
        <v>2026</v>
      </c>
      <c r="B10" s="4" t="n">
        <v>86</v>
      </c>
      <c r="C10" s="4" t="n">
        <v>60</v>
      </c>
    </row>
    <row r="13">
      <c r="A13" s="5" t="inlineStr">
        <is>
          <t>Fonte: Toma Conta FIDCs — variação anual de PL (ex-FIC) e captação líquida (dimensão mensal). Métrica preferida: variação de PL. Validação de magnitude: ANBIMA (imprensa, 2024). NÃO é o campo 'emissões encerradas'.</t>
        </is>
      </c>
    </row>
  </sheetData>
  <mergeCells count="2">
    <mergeCell ref="A13:H13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16" customWidth="1" min="1" max="1"/>
    <col width="130" customWidth="1" min="2" max="2"/>
  </cols>
  <sheetData>
    <row r="1" ht="24" customHeight="1">
      <c r="A1" s="1" t="inlineStr">
        <is>
          <t>Fonte exata por gráfico</t>
        </is>
      </c>
    </row>
    <row r="3">
      <c r="A3" s="2" t="inlineStr">
        <is>
          <t>Gráfico</t>
        </is>
      </c>
      <c r="B3" s="2" t="inlineStr">
        <is>
          <t>Fonte</t>
        </is>
      </c>
    </row>
    <row r="4" ht="42" customHeight="1">
      <c r="A4" s="3" t="inlineStr">
        <is>
          <t>pl</t>
        </is>
      </c>
      <c r="B4" s="7" t="inlineStr">
        <is>
          <t>Toma Conta FIDCs — aba Indústria (série mensal, base ex-FIC-FIDC). Origem: Informe Mensal FIDC/CVM. NÃO usa o Power BI/dashboard ANBIMA (dados presos no visual).</t>
        </is>
      </c>
    </row>
    <row r="5" ht="42" customHeight="1">
      <c r="A5" s="3" t="inlineStr">
        <is>
          <t>composicao</t>
        </is>
      </c>
      <c r="B5" s="7" t="inlineStr">
        <is>
          <t>Toma Conta FIDCs — dimensão 'segmento' (série mensal). Taxonomia interna alinhada às classes ANBIMA. Origem: Informe Mensal FIDC/CVM.</t>
        </is>
      </c>
    </row>
    <row r="6" ht="42" customHeight="1">
      <c r="A6" s="3" t="inlineStr">
        <is>
          <t>definicoes</t>
        </is>
      </c>
      <c r="B6" s="7" t="inlineStr">
        <is>
          <t>ANBIMA — Deliberação nº 72 (Diretriz de Classificação de FIDC).</t>
        </is>
      </c>
    </row>
    <row r="7" ht="42" customHeight="1">
      <c r="A7" s="3" t="inlineStr">
        <is>
          <t>gestor</t>
        </is>
      </c>
      <c r="B7" s="7" t="inlineStr">
        <is>
          <t>Toma Conta FIDCs — dimensão 'gestor', consolidado por conglomerado (de-para por CNPJ). Origem: Cadastro CVM (gestor) + Informe Mensal (PL).</t>
        </is>
      </c>
    </row>
    <row r="8" ht="42" customHeight="1">
      <c r="A8" s="3" t="inlineStr">
        <is>
          <t>admin</t>
        </is>
      </c>
      <c r="B8" s="7" t="inlineStr">
        <is>
          <t>Toma Conta FIDCs — dimensão 'administrador', consolidado por conglomerado (de-para por CNPJ). Origem: Informe Mensal FIDC/CVM.</t>
        </is>
      </c>
    </row>
    <row r="9" ht="42" customHeight="1">
      <c r="A9" s="3" t="inlineStr">
        <is>
          <t>controle</t>
        </is>
      </c>
      <c r="B9" s="7" t="inlineStr">
        <is>
          <t>Toma Conta FIDCs — dimensão 'gestor' + taxonomia de controle (Ligada a banco / Independente Grande / Independente; definição do rodapé do deck Itaú BBA).</t>
        </is>
      </c>
    </row>
    <row r="10" ht="42" customHeight="1">
      <c r="A10" s="3" t="inlineStr">
        <is>
          <t>depara</t>
        </is>
      </c>
      <c r="B10" s="7" t="inlineStr">
        <is>
          <t>De-para próprio, verificado por CNPJ contra industry_fund_snapshot (mai/2026). Config: config/conglomerados_fidc.json.</t>
        </is>
      </c>
    </row>
    <row r="11" ht="42" customHeight="1">
      <c r="A11" s="3" t="inlineStr">
        <is>
          <t>top25</t>
        </is>
      </c>
      <c r="B11" s="7" t="inlineStr">
        <is>
          <t>Toma Conta FIDCs — snapshot por fundo (PL, gestor consolidado, leituras de segmento/oferta/subordinação quando há regulamento parseado). Origem: Informe Mensal FIDC/CVM + leituras regulatórias do Toma Conta.</t>
        </is>
      </c>
    </row>
    <row r="12" ht="42" customHeight="1">
      <c r="A12" s="3" t="inlineStr">
        <is>
          <t>cotistas</t>
        </is>
      </c>
      <c r="B12" s="7" t="inlineStr">
        <is>
          <t>Informe Mensal FIDC/CVM — Tabela X (nº de cotistas) via Toma Conta. Filtro PL &gt; R$ 200 mi.</t>
        </is>
      </c>
    </row>
    <row r="13" ht="42" customHeight="1">
      <c r="A13" s="3" t="inlineStr">
        <is>
          <t>investidor</t>
        </is>
      </c>
      <c r="B13" s="7" t="inlineStr">
        <is>
          <t>Informe Mensal FIDC/CVM — nº de cotistas por segmento de investidor, via Toma Conta.</t>
        </is>
      </c>
    </row>
    <row r="14" ht="42" customHeight="1">
      <c r="A14" s="3" t="inlineStr">
        <is>
          <t>emissoes</t>
        </is>
      </c>
      <c r="B14" s="7" t="inlineStr">
        <is>
          <t>Toma Conta FIDCs — variação anual de PL (ex-FIC) e captação líquida (dimensão mensal). Métrica preferida: variação de PL. Validação de magnitude: ANBIMA (imprensa, 2024). NÃO é o campo 'emissões encerradas'.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2026-07-10T21:39:53Z</dcterms:created>
  <dcterms:modified xmlns:dcterms="http://purl.org/dc/terms/" xmlns:xsi="http://www.w3.org/2001/XMLSchema-instance" xsi:type="dcterms:W3CDTF">2026-07-10T21:39:53Z</dcterms:modified>
</cp:coreProperties>
</file>