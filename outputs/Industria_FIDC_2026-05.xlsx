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olucao PL" sheetId="1" state="visible" r:id="rId1"/>
    <sheet xmlns:r="http://schemas.openxmlformats.org/officeDocument/2006/relationships" name="Composicao" sheetId="2" state="visible" r:id="rId2"/>
    <sheet xmlns:r="http://schemas.openxmlformats.org/officeDocument/2006/relationships" name="Definicoes ANBIMA" sheetId="3" state="visible" r:id="rId3"/>
    <sheet xmlns:r="http://schemas.openxmlformats.org/officeDocument/2006/relationships" name="Ranking Gestor" sheetId="4" state="visible" r:id="rId4"/>
    <sheet xmlns:r="http://schemas.openxmlformats.org/officeDocument/2006/relationships" name="Delta por Papel" sheetId="5" state="visible" r:id="rId5"/>
    <sheet xmlns:r="http://schemas.openxmlformats.org/officeDocument/2006/relationships" name="Ranking Admin" sheetId="6" state="visible" r:id="rId6"/>
    <sheet xmlns:r="http://schemas.openxmlformats.org/officeDocument/2006/relationships" name="Originacao Novos" sheetId="7" state="visible" r:id="rId7"/>
    <sheet xmlns:r="http://schemas.openxmlformats.org/officeDocument/2006/relationships" name="Captacao Liquida" sheetId="8" state="visible" r:id="rId8"/>
    <sheet xmlns:r="http://schemas.openxmlformats.org/officeDocument/2006/relationships" name="Tipo de Controle" sheetId="9" state="visible" r:id="rId9"/>
    <sheet xmlns:r="http://schemas.openxmlformats.org/officeDocument/2006/relationships" name="De-para Conglomerados" sheetId="10" state="visible" r:id="rId10"/>
    <sheet xmlns:r="http://schemas.openxmlformats.org/officeDocument/2006/relationships" name="Top 25 FIDCs" sheetId="11" state="visible" r:id="rId11"/>
    <sheet xmlns:r="http://schemas.openxmlformats.org/officeDocument/2006/relationships" name="Cotistas" sheetId="12" state="visible" r:id="rId12"/>
    <sheet xmlns:r="http://schemas.openxmlformats.org/officeDocument/2006/relationships" name="Segmento Investidor" sheetId="13" state="visible" r:id="rId13"/>
    <sheet xmlns:r="http://schemas.openxmlformats.org/officeDocument/2006/relationships" name="Emissoes" sheetId="14" state="visible" r:id="rId14"/>
    <sheet xmlns:r="http://schemas.openxmlformats.org/officeDocument/2006/relationships" name="Cedentes e Sacados" sheetId="15" state="visible" r:id="rId15"/>
    <sheet xmlns:r="http://schemas.openxmlformats.org/officeDocument/2006/relationships" name="Fon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i val="1"/>
      <color rgb="008A94A6"/>
      <sz val="8"/>
    </font>
    <font>
      <name val="Calibri"/>
      <b val="1"/>
      <color rgb="001F2A44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 indent="1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'Evolucao PL'!B3</f>
            </strRef>
          </tx>
          <spPr>
            <a:solidFill xmlns:a="http://schemas.openxmlformats.org/drawingml/2006/main">
              <a:srgbClr val="E8703A"/>
            </a:solidFill>
            <a:ln xmlns:a="http://schemas.openxmlformats.org/drawingml/2006/main">
              <a:prstDash val="solid"/>
            </a:ln>
          </spPr>
          <cat>
            <numRef>
              <f>'Evolucao PL'!$A$4:$A$15</f>
            </numRef>
          </cat>
          <val>
            <numRef>
              <f>'Evolucao PL'!$B$4:$B$15</f>
            </numRef>
          </val>
        </ser>
        <dLbls>
          <numFmt formatCode="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percentStacked"/>
        <ser>
          <idx val="0"/>
          <order val="0"/>
          <tx>
            <strRef>
              <f>'Composicao'!B3</f>
            </strRef>
          </tx>
          <spPr>
            <a:solidFill xmlns:a="http://schemas.openxmlformats.org/drawingml/2006/main">
              <a:srgbClr val="E8703A"/>
            </a:solidFill>
            <a:ln xmlns:a="http://schemas.openxmlformats.org/drawingml/2006/main">
              <a:prstDash val="solid"/>
            </a:ln>
          </spPr>
          <cat>
            <numRef>
              <f>'Composicao'!$A$4:$A$10</f>
            </numRef>
          </cat>
          <val>
            <numRef>
              <f>'Composicao'!$B$4:$B$10</f>
            </numRef>
          </val>
        </ser>
        <ser>
          <idx val="1"/>
          <order val="1"/>
          <tx>
            <strRef>
              <f>'Composicao'!C3</f>
            </strRef>
          </tx>
          <spPr>
            <a:solidFill xmlns:a="http://schemas.openxmlformats.org/drawingml/2006/main">
              <a:srgbClr val="1F2A44"/>
            </a:solidFill>
            <a:ln xmlns:a="http://schemas.openxmlformats.org/drawingml/2006/main">
              <a:prstDash val="solid"/>
            </a:ln>
          </spPr>
          <cat>
            <numRef>
              <f>'Composicao'!$A$4:$A$10</f>
            </numRef>
          </cat>
          <val>
            <numRef>
              <f>'Composicao'!$C$4:$C$10</f>
            </numRef>
          </val>
        </ser>
        <ser>
          <idx val="2"/>
          <order val="2"/>
          <tx>
            <strRef>
              <f>'Composicao'!D3</f>
            </strRef>
          </tx>
          <spPr>
            <a:solidFill xmlns:a="http://schemas.openxmlformats.org/drawingml/2006/main">
              <a:srgbClr val="5B7DB1"/>
            </a:solidFill>
            <a:ln xmlns:a="http://schemas.openxmlformats.org/drawingml/2006/main">
              <a:prstDash val="solid"/>
            </a:ln>
          </spPr>
          <cat>
            <numRef>
              <f>'Composicao'!$A$4:$A$10</f>
            </numRef>
          </cat>
          <val>
            <numRef>
              <f>'Composicao'!$D$4:$D$10</f>
            </numRef>
          </val>
        </ser>
        <ser>
          <idx val="3"/>
          <order val="3"/>
          <tx>
            <strRef>
              <f>'Composicao'!E3</f>
            </strRef>
          </tx>
          <spPr>
            <a:solidFill xmlns:a="http://schemas.openxmlformats.org/drawingml/2006/main">
              <a:srgbClr val="9AA7BF"/>
            </a:solidFill>
            <a:ln xmlns:a="http://schemas.openxmlformats.org/drawingml/2006/main">
              <a:prstDash val="solid"/>
            </a:ln>
          </spPr>
          <cat>
            <numRef>
              <f>'Composicao'!$A$4:$A$10</f>
            </numRef>
          </cat>
          <val>
            <numRef>
              <f>'Composicao'!$E$4:$E$10</f>
            </numRef>
          </val>
        </ser>
        <ser>
          <idx val="4"/>
          <order val="4"/>
          <tx>
            <strRef>
              <f>'Composicao'!F3</f>
            </strRef>
          </tx>
          <spPr>
            <a:solidFill xmlns:a="http://schemas.openxmlformats.org/drawingml/2006/main">
              <a:srgbClr val="F4A97F"/>
            </a:solidFill>
            <a:ln xmlns:a="http://schemas.openxmlformats.org/drawingml/2006/main">
              <a:prstDash val="solid"/>
            </a:ln>
          </spPr>
          <cat>
            <numRef>
              <f>'Composicao'!$A$4:$A$10</f>
            </numRef>
          </cat>
          <val>
            <numRef>
              <f>'Composicao'!$F$4:$F$10</f>
            </numRef>
          </val>
        </ser>
        <ser>
          <idx val="5"/>
          <order val="5"/>
          <tx>
            <strRef>
              <f>'Composicao'!G3</f>
            </strRef>
          </tx>
          <spPr>
            <a:solidFill xmlns:a="http://schemas.openxmlformats.org/drawingml/2006/main">
              <a:srgbClr val="8A94A6"/>
            </a:solidFill>
            <a:ln xmlns:a="http://schemas.openxmlformats.org/drawingml/2006/main">
              <a:prstDash val="solid"/>
            </a:ln>
          </spPr>
          <cat>
            <numRef>
              <f>'Composicao'!$A$4:$A$10</f>
            </numRef>
          </cat>
          <val>
            <numRef>
              <f>'Composicao'!$G$4:$G$10</f>
            </numRef>
          </val>
        </ser>
        <ser>
          <idx val="6"/>
          <order val="6"/>
          <tx>
            <strRef>
              <f>'Composicao'!H3</f>
            </strRef>
          </tx>
          <spPr>
            <a:solidFill xmlns:a="http://schemas.openxmlformats.org/drawingml/2006/main">
              <a:srgbClr val="C0703A"/>
            </a:solidFill>
            <a:ln xmlns:a="http://schemas.openxmlformats.org/drawingml/2006/main">
              <a:prstDash val="solid"/>
            </a:ln>
          </spPr>
          <cat>
            <numRef>
              <f>'Composicao'!$A$4:$A$10</f>
            </numRef>
          </cat>
          <val>
            <numRef>
              <f>'Composicao'!$H$4:$H$10</f>
            </numRef>
          </val>
        </ser>
        <ser>
          <idx val="7"/>
          <order val="7"/>
          <tx>
            <strRef>
              <f>'Composicao'!I3</f>
            </strRef>
          </tx>
          <spPr>
            <a:solidFill xmlns:a="http://schemas.openxmlformats.org/drawingml/2006/main">
              <a:srgbClr val="6E7B94"/>
            </a:solidFill>
            <a:ln xmlns:a="http://schemas.openxmlformats.org/drawingml/2006/main">
              <a:prstDash val="solid"/>
            </a:ln>
          </spPr>
          <cat>
            <numRef>
              <f>'Composicao'!$A$4:$A$10</f>
            </numRef>
          </cat>
          <val>
            <numRef>
              <f>'Composicao'!$I$4:$I$10</f>
            </numRef>
          </val>
        </ser>
        <ser>
          <idx val="8"/>
          <order val="8"/>
          <tx>
            <strRef>
              <f>'Composicao'!J3</f>
            </strRef>
          </tx>
          <spPr>
            <a:solidFill xmlns:a="http://schemas.openxmlformats.org/drawingml/2006/main">
              <a:srgbClr val="D9DEE7"/>
            </a:solidFill>
            <a:ln xmlns:a="http://schemas.openxmlformats.org/drawingml/2006/main">
              <a:prstDash val="solid"/>
            </a:ln>
          </spPr>
          <cat>
            <numRef>
              <f>'Composicao'!$A$4:$A$10</f>
            </numRef>
          </cat>
          <val>
            <numRef>
              <f>'Composicao'!$J$4:$J$10</f>
            </numRef>
          </val>
        </ser>
        <ser>
          <idx val="9"/>
          <order val="9"/>
          <tx>
            <strRef>
              <f>'Composicao'!K3</f>
            </strRef>
          </tx>
          <spPr>
            <a:solidFill xmlns:a="http://schemas.openxmlformats.org/drawingml/2006/main">
              <a:srgbClr val="B5C2D6"/>
            </a:solidFill>
            <a:ln xmlns:a="http://schemas.openxmlformats.org/drawingml/2006/main">
              <a:prstDash val="solid"/>
            </a:ln>
          </spPr>
          <cat>
            <numRef>
              <f>'Composicao'!$A$4:$A$10</f>
            </numRef>
          </cat>
          <val>
            <numRef>
              <f>'Composicao'!$K$4:$K$10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'Ranking Gestor'!C3</f>
            </strRef>
          </tx>
          <spPr>
            <a:solidFill xmlns:a="http://schemas.openxmlformats.org/drawingml/2006/main">
              <a:srgbClr val="1F2A44"/>
            </a:solidFill>
            <a:ln xmlns:a="http://schemas.openxmlformats.org/drawingml/2006/main">
              <a:prstDash val="solid"/>
            </a:ln>
          </spPr>
          <cat>
            <numRef>
              <f>'Ranking Gestor'!$B$4:$B$15</f>
            </numRef>
          </cat>
          <val>
            <numRef>
              <f>'Ranking Gestor'!$C$4:$C$15</f>
            </numRef>
          </val>
        </ser>
        <dLbls>
          <numFmt formatCode="#,##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'Ranking Admin'!C3</f>
            </strRef>
          </tx>
          <spPr>
            <a:solidFill xmlns:a="http://schemas.openxmlformats.org/drawingml/2006/main">
              <a:srgbClr val="E8703A"/>
            </a:solidFill>
            <a:ln xmlns:a="http://schemas.openxmlformats.org/drawingml/2006/main">
              <a:prstDash val="solid"/>
            </a:ln>
          </spPr>
          <cat>
            <numRef>
              <f>'Ranking Admin'!$B$4:$B$15</f>
            </numRef>
          </cat>
          <val>
            <numRef>
              <f>'Ranking Admin'!$C$4:$C$15</f>
            </numRef>
          </val>
        </ser>
        <dLbls>
          <numFmt formatCode="#,##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'Captacao Liquida'!B3</f>
            </strRef>
          </tx>
          <spPr>
            <a:solidFill xmlns:a="http://schemas.openxmlformats.org/drawingml/2006/main">
              <a:srgbClr val="E8703A"/>
            </a:solidFill>
            <a:ln xmlns:a="http://schemas.openxmlformats.org/drawingml/2006/main">
              <a:prstDash val="solid"/>
            </a:ln>
          </spPr>
          <cat>
            <numRef>
              <f>'Captacao Liquida'!$A$4:$A$10</f>
            </numRef>
          </cat>
          <val>
            <numRef>
              <f>'Captacao Liquida'!$B$4:$B$10</f>
            </numRef>
          </val>
        </ser>
        <dLbls>
          <numFmt formatCode="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'Cotistas'!B4</f>
            </strRef>
          </tx>
          <spPr>
            <a:solidFill xmlns:a="http://schemas.openxmlformats.org/drawingml/2006/main">
              <a:srgbClr val="E8703A"/>
            </a:solidFill>
            <a:ln xmlns:a="http://schemas.openxmlformats.org/drawingml/2006/main">
              <a:prstDash val="solid"/>
            </a:ln>
          </spPr>
          <cat>
            <numRef>
              <f>'Cotistas'!$A$5:$A$8</f>
            </numRef>
          </cat>
          <val>
            <numRef>
              <f>'Cotistas'!$B$5:$B$8</f>
            </numRef>
          </val>
        </ser>
        <dLbls>
          <numFmt formatCode="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'Segmento Investidor'!B3</f>
            </strRef>
          </tx>
          <spPr>
            <a:solidFill xmlns:a="http://schemas.openxmlformats.org/drawingml/2006/main">
              <a:srgbClr val="1F2A44"/>
            </a:solidFill>
            <a:ln xmlns:a="http://schemas.openxmlformats.org/drawingml/2006/main">
              <a:prstDash val="solid"/>
            </a:ln>
          </spPr>
          <cat>
            <numRef>
              <f>'Segmento Investidor'!$A$4:$A$15</f>
            </numRef>
          </cat>
          <val>
            <numRef>
              <f>'Segmento Investidor'!$B$4:$B$15</f>
            </numRef>
          </val>
        </ser>
        <dLbls>
          <numFmt formatCode="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'Emissoes'!B3</f>
            </strRef>
          </tx>
          <spPr>
            <a:solidFill xmlns:a="http://schemas.openxmlformats.org/drawingml/2006/main">
              <a:srgbClr val="E8703A"/>
            </a:solidFill>
            <a:ln xmlns:a="http://schemas.openxmlformats.org/drawingml/2006/main">
              <a:prstDash val="solid"/>
            </a:ln>
          </spPr>
          <cat>
            <numRef>
              <f>'Emissoes'!$A$4:$A$10</f>
            </numRef>
          </cat>
          <val>
            <numRef>
              <f>'Emissoes'!$B$4:$B$10</f>
            </numRef>
          </val>
        </ser>
        <dLbls>
          <numFmt formatCode="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12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 ht="24" customHeight="1">
      <c r="A1" s="1" t="inlineStr">
        <is>
          <t>Evolução do PL da indústria de FIDCs (ex-FIC) — R$ bi · 2026-05</t>
        </is>
      </c>
    </row>
    <row r="3">
      <c r="A3" s="2" t="inlineStr">
        <is>
          <t>Ano</t>
        </is>
      </c>
      <c r="B3" s="2" t="inlineStr">
        <is>
          <t>PL líquido (R$ bi)</t>
        </is>
      </c>
    </row>
    <row r="4">
      <c r="A4" s="3" t="inlineStr">
        <is>
          <t>2015</t>
        </is>
      </c>
      <c r="B4" s="4" t="n">
        <v>52</v>
      </c>
    </row>
    <row r="5">
      <c r="A5" s="3" t="inlineStr">
        <is>
          <t>2016</t>
        </is>
      </c>
      <c r="B5" s="4" t="n">
        <v>67</v>
      </c>
    </row>
    <row r="6">
      <c r="A6" s="3" t="inlineStr">
        <is>
          <t>2017</t>
        </is>
      </c>
      <c r="B6" s="4" t="n">
        <v>82</v>
      </c>
    </row>
    <row r="7">
      <c r="A7" s="3" t="inlineStr">
        <is>
          <t>2018</t>
        </is>
      </c>
      <c r="B7" s="4" t="n">
        <v>96</v>
      </c>
    </row>
    <row r="8">
      <c r="A8" s="3" t="inlineStr">
        <is>
          <t>2019</t>
        </is>
      </c>
      <c r="B8" s="4" t="n">
        <v>160</v>
      </c>
    </row>
    <row r="9">
      <c r="A9" s="3" t="inlineStr">
        <is>
          <t>2020</t>
        </is>
      </c>
      <c r="B9" s="4" t="n">
        <v>130</v>
      </c>
    </row>
    <row r="10">
      <c r="A10" s="3" t="inlineStr">
        <is>
          <t>2021</t>
        </is>
      </c>
      <c r="B10" s="4" t="n">
        <v>225</v>
      </c>
    </row>
    <row r="11">
      <c r="A11" s="3" t="inlineStr">
        <is>
          <t>2022</t>
        </is>
      </c>
      <c r="B11" s="4" t="n">
        <v>284</v>
      </c>
    </row>
    <row r="12">
      <c r="A12" s="3" t="inlineStr">
        <is>
          <t>2023</t>
        </is>
      </c>
      <c r="B12" s="4" t="n">
        <v>386</v>
      </c>
    </row>
    <row r="13">
      <c r="A13" s="3" t="inlineStr">
        <is>
          <t>2024</t>
        </is>
      </c>
      <c r="B13" s="4" t="n">
        <v>627</v>
      </c>
    </row>
    <row r="14">
      <c r="A14" s="3" t="inlineStr">
        <is>
          <t>2025</t>
        </is>
      </c>
      <c r="B14" s="4" t="n">
        <v>794</v>
      </c>
    </row>
    <row r="15">
      <c r="A15" s="3" t="inlineStr">
        <is>
          <t>2026</t>
        </is>
      </c>
      <c r="B15" s="4" t="n">
        <v>880</v>
      </c>
    </row>
    <row r="28">
      <c r="A28" s="5" t="inlineStr">
        <is>
          <t>Fonte: Toma Conta FIDCs — aba Indústria (série mensal, base ex-FIC-FIDC). Origem: Informe Mensal FIDC/CVM. NÃO usa o Power BI/dashboard ANBIMA (dados presos no visual).</t>
        </is>
      </c>
    </row>
  </sheetData>
  <mergeCells count="2">
    <mergeCell ref="A28:H28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Composição do PL por segmento (%) — evolução anual</t>
        </is>
      </c>
    </row>
    <row r="3">
      <c r="A3" s="2" t="inlineStr">
        <is>
          <t>Ano</t>
        </is>
      </c>
      <c r="B3" s="2" t="inlineStr">
        <is>
          <t>Financeiro</t>
        </is>
      </c>
      <c r="C3" s="2" t="inlineStr">
        <is>
          <t>Industrial</t>
        </is>
      </c>
      <c r="D3" s="2" t="inlineStr">
        <is>
          <t>Comercial</t>
        </is>
      </c>
      <c r="E3" s="2" t="inlineStr">
        <is>
          <t>Cartao de credito</t>
        </is>
      </c>
      <c r="F3" s="2" t="inlineStr">
        <is>
          <t>Servicos</t>
        </is>
      </c>
      <c r="G3" s="2" t="inlineStr">
        <is>
          <t>Setor publico</t>
        </is>
      </c>
      <c r="H3" s="2" t="inlineStr">
        <is>
          <t>Acoes judiciais</t>
        </is>
      </c>
      <c r="I3" s="2" t="inlineStr">
        <is>
          <t>Agronegocio</t>
        </is>
      </c>
      <c r="J3" s="2" t="inlineStr">
        <is>
          <t>Imobiliario</t>
        </is>
      </c>
      <c r="K3" s="2" t="inlineStr">
        <is>
          <t>Factoring</t>
        </is>
      </c>
    </row>
    <row r="4">
      <c r="A4" s="3" t="inlineStr">
        <is>
          <t>2020</t>
        </is>
      </c>
      <c r="B4" s="6" t="n">
        <v>28.4</v>
      </c>
      <c r="C4" s="4" t="n">
        <v>20</v>
      </c>
      <c r="D4" s="6" t="n">
        <v>12.2</v>
      </c>
      <c r="E4" s="6" t="n">
        <v>14.9</v>
      </c>
      <c r="F4" s="6" t="n">
        <v>8.4</v>
      </c>
      <c r="G4" s="6" t="n">
        <v>6.1</v>
      </c>
      <c r="H4" s="6" t="n">
        <v>8.1</v>
      </c>
      <c r="I4" s="6" t="n">
        <v>1.4</v>
      </c>
      <c r="J4" s="6" t="n">
        <v>0.6</v>
      </c>
      <c r="K4" s="4" t="n">
        <v>0</v>
      </c>
    </row>
    <row r="5">
      <c r="A5" s="3" t="inlineStr">
        <is>
          <t>2021</t>
        </is>
      </c>
      <c r="B5" s="6" t="n">
        <v>24.9</v>
      </c>
      <c r="C5" s="4" t="n">
        <v>33</v>
      </c>
      <c r="D5" s="6" t="n">
        <v>11.1</v>
      </c>
      <c r="E5" s="6" t="n">
        <v>11.3</v>
      </c>
      <c r="F5" s="4" t="n">
        <v>8</v>
      </c>
      <c r="G5" s="6" t="n">
        <v>4.4</v>
      </c>
      <c r="H5" s="6" t="n">
        <v>5.6</v>
      </c>
      <c r="I5" s="6" t="n">
        <v>1.2</v>
      </c>
      <c r="J5" s="6" t="n">
        <v>0.4</v>
      </c>
      <c r="K5" s="4" t="n">
        <v>0</v>
      </c>
    </row>
    <row r="6">
      <c r="A6" s="3" t="inlineStr">
        <is>
          <t>2022</t>
        </is>
      </c>
      <c r="B6" s="4" t="n">
        <v>31</v>
      </c>
      <c r="C6" s="6" t="n">
        <v>20.6</v>
      </c>
      <c r="D6" s="6" t="n">
        <v>13.2</v>
      </c>
      <c r="E6" s="6" t="n">
        <v>13.7</v>
      </c>
      <c r="F6" s="6" t="n">
        <v>7.5</v>
      </c>
      <c r="G6" s="6" t="n">
        <v>5.5</v>
      </c>
      <c r="H6" s="6" t="n">
        <v>6.2</v>
      </c>
      <c r="I6" s="4" t="n">
        <v>2</v>
      </c>
      <c r="J6" s="6" t="n">
        <v>0.5</v>
      </c>
      <c r="K6" s="4" t="n">
        <v>0</v>
      </c>
    </row>
    <row r="7">
      <c r="A7" s="3" t="inlineStr">
        <is>
          <t>2023</t>
        </is>
      </c>
      <c r="B7" s="6" t="n">
        <v>31.1</v>
      </c>
      <c r="C7" s="4" t="n">
        <v>13</v>
      </c>
      <c r="D7" s="6" t="n">
        <v>15.9</v>
      </c>
      <c r="E7" s="4" t="n">
        <v>15</v>
      </c>
      <c r="F7" s="4" t="n">
        <v>10</v>
      </c>
      <c r="G7" s="6" t="n">
        <v>6.5</v>
      </c>
      <c r="H7" s="4" t="n">
        <v>6</v>
      </c>
      <c r="I7" s="6" t="n">
        <v>2.1</v>
      </c>
      <c r="J7" s="6" t="n">
        <v>0.4</v>
      </c>
      <c r="K7" s="4" t="n">
        <v>0</v>
      </c>
    </row>
    <row r="8">
      <c r="A8" s="3" t="inlineStr">
        <is>
          <t>2024</t>
        </is>
      </c>
      <c r="B8" s="6" t="n">
        <v>33.6</v>
      </c>
      <c r="C8" s="6" t="n">
        <v>18.3</v>
      </c>
      <c r="D8" s="4" t="n">
        <v>13</v>
      </c>
      <c r="E8" s="6" t="n">
        <v>12.6</v>
      </c>
      <c r="F8" s="6" t="n">
        <v>10.2</v>
      </c>
      <c r="G8" s="6" t="n">
        <v>5.8</v>
      </c>
      <c r="H8" s="6" t="n">
        <v>4.3</v>
      </c>
      <c r="I8" s="6" t="n">
        <v>1.8</v>
      </c>
      <c r="J8" s="6" t="n">
        <v>0.3</v>
      </c>
      <c r="K8" s="4" t="n">
        <v>0</v>
      </c>
    </row>
    <row r="9">
      <c r="A9" s="3" t="inlineStr">
        <is>
          <t>2025</t>
        </is>
      </c>
      <c r="B9" s="6" t="n">
        <v>41.5</v>
      </c>
      <c r="C9" s="6" t="n">
        <v>11.2</v>
      </c>
      <c r="D9" s="6" t="n">
        <v>13.5</v>
      </c>
      <c r="E9" s="6" t="n">
        <v>11.7</v>
      </c>
      <c r="F9" s="6" t="n">
        <v>10.4</v>
      </c>
      <c r="G9" s="6" t="n">
        <v>5.7</v>
      </c>
      <c r="H9" s="6" t="n">
        <v>3.8</v>
      </c>
      <c r="I9" s="6" t="n">
        <v>1.7</v>
      </c>
      <c r="J9" s="6" t="n">
        <v>0.5</v>
      </c>
      <c r="K9" s="4" t="n">
        <v>0</v>
      </c>
    </row>
    <row r="10">
      <c r="A10" s="3" t="inlineStr">
        <is>
          <t>2026</t>
        </is>
      </c>
      <c r="B10" s="6" t="n">
        <v>41.8</v>
      </c>
      <c r="C10" s="6" t="n">
        <v>10.3</v>
      </c>
      <c r="D10" s="4" t="n">
        <v>15</v>
      </c>
      <c r="E10" s="6" t="n">
        <v>11.9</v>
      </c>
      <c r="F10" s="6" t="n">
        <v>9.9</v>
      </c>
      <c r="G10" s="6" t="n">
        <v>5.6</v>
      </c>
      <c r="H10" s="6" t="n">
        <v>3.4</v>
      </c>
      <c r="I10" s="6" t="n">
        <v>1.6</v>
      </c>
      <c r="J10" s="6" t="n">
        <v>0.5</v>
      </c>
      <c r="K10" s="4" t="n">
        <v>0</v>
      </c>
    </row>
    <row r="27">
      <c r="A27" s="5" t="inlineStr">
        <is>
          <t>Fonte: Toma Conta FIDCs — dimensão 'segmento' (série mensal). Taxonomia interna alinhada às classes ANBIMA. Origem: Informe Mensal FIDC/CVM.</t>
        </is>
      </c>
    </row>
  </sheetData>
  <mergeCells count="2">
    <mergeCell ref="A27:H27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24" customHeight="1">
      <c r="A1" s="1" t="inlineStr">
        <is>
          <t>Classes ANBIMA de FIDC — definições oficiais</t>
        </is>
      </c>
    </row>
    <row r="3">
      <c r="A3" s="2" t="inlineStr">
        <is>
          <t>Classe</t>
        </is>
      </c>
      <c r="B3" s="2" t="inlineStr">
        <is>
          <t>Definição (ANBIMA — Deliberação nº 72)</t>
        </is>
      </c>
    </row>
    <row r="4" ht="60" customHeight="1">
      <c r="A4" s="3" t="inlineStr">
        <is>
          <t>Fomento Mercantil</t>
        </is>
      </c>
      <c r="B4" s="7" t="inlineStr">
        <is>
          <t>Carteira pulverizada de recebíveis originados/vendidos por diversos cedentes que antecipam recursos (duplicatas, notas promissórias, cheques). Veículo de factoring, cooperativas de crédito e assessoria financeira. (≈ multicedente/multissacado)</t>
        </is>
      </c>
    </row>
    <row r="5" ht="60" customHeight="1">
      <c r="A5" s="3" t="inlineStr">
        <is>
          <t>Financeiro</t>
        </is>
      </c>
      <c r="B5" s="7" t="inlineStr">
        <is>
          <t>Recebíveis originados por instituições financeiras: crédito consignado, crédito pessoal, financiamento de veículos/leasing, crédito imobiliário e multicarteira financeiro.</t>
        </is>
      </c>
    </row>
    <row r="6" ht="60" customHeight="1">
      <c r="A6" s="3" t="inlineStr">
        <is>
          <t>Agro, Indústria e Comércio</t>
        </is>
      </c>
      <c r="B6" s="7" t="inlineStr">
        <is>
          <t>Recebíveis originados no setor real (empresas): infraestrutura (energia, telecom, saneamento), recebíveis comerciais (duplicatas, carnês, faturas de cartão) e agronegócio.</t>
        </is>
      </c>
    </row>
    <row r="7" ht="60" customHeight="1">
      <c r="A7" s="3" t="inlineStr">
        <is>
          <t>Outros</t>
        </is>
      </c>
      <c r="B7" s="7" t="inlineStr">
        <is>
          <t>Inclui Recuperação/Non-Performing Loans (direitos vencidos e inadimplentes), ações judiciais/precatórios e demais focos não enquadrados nas classes acima.</t>
        </is>
      </c>
    </row>
    <row r="8" ht="60" customHeight="1">
      <c r="A8" s="3" t="inlineStr">
        <is>
          <t>Multicedente / Multissacado</t>
        </is>
      </c>
      <c r="B8" s="7" t="inlineStr">
        <is>
          <t>Não é classe formal ANBIMA; é característica estrutural (vários cedentes e/ou vários sacados). Na prática, a maioria cai em 'Fomento Mercantil' ou 'Outros'.</t>
        </is>
      </c>
    </row>
    <row r="10">
      <c r="A10" s="5" t="inlineStr">
        <is>
          <t>Fonte: ANBIMA — Deliberação nº 72 (Diretriz de Classificação de FIDC).</t>
        </is>
      </c>
    </row>
  </sheetData>
  <mergeCells count="2">
    <mergeCell ref="A1:B1"/>
    <mergeCell ref="A10:H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 ht="24" customHeight="1">
      <c r="A1" s="1" t="inlineStr">
        <is>
          <t>Ranking de Gestores (consolidado) — 2026-05 · Top 12 · R$ bi</t>
        </is>
      </c>
    </row>
    <row r="3">
      <c r="A3" s="2" t="inlineStr">
        <is>
          <t>#</t>
        </is>
      </c>
      <c r="B3" s="2" t="inlineStr">
        <is>
          <t>Grupo</t>
        </is>
      </c>
      <c r="C3" s="2" t="inlineStr">
        <is>
          <t>PL (R$ bi)</t>
        </is>
      </c>
    </row>
    <row r="4">
      <c r="A4" s="4" t="n">
        <v>1</v>
      </c>
      <c r="B4" s="3" t="inlineStr">
        <is>
          <t>Oliveira Trust</t>
        </is>
      </c>
      <c r="C4" s="6" t="n">
        <v>75.8</v>
      </c>
    </row>
    <row r="5">
      <c r="A5" s="4" t="n">
        <v>2</v>
      </c>
      <c r="B5" s="3" t="inlineStr">
        <is>
          <t>BTG Pactual</t>
        </is>
      </c>
      <c r="C5" s="4" t="n">
        <v>68</v>
      </c>
    </row>
    <row r="6">
      <c r="A6" s="4" t="n">
        <v>3</v>
      </c>
      <c r="B6" s="3" t="inlineStr">
        <is>
          <t>Banco do Brasil</t>
        </is>
      </c>
      <c r="C6" s="6" t="n">
        <v>60.9</v>
      </c>
    </row>
    <row r="7">
      <c r="A7" s="4" t="n">
        <v>4</v>
      </c>
      <c r="B7" s="3" t="inlineStr">
        <is>
          <t>Bradesco</t>
        </is>
      </c>
      <c r="C7" s="6" t="n">
        <v>40.7</v>
      </c>
    </row>
    <row r="8">
      <c r="A8" s="4" t="n">
        <v>5</v>
      </c>
      <c r="B8" s="3" t="inlineStr">
        <is>
          <t>SOLIS INVESTIMENTOS S A</t>
        </is>
      </c>
      <c r="C8" s="6" t="n">
        <v>27.2</v>
      </c>
    </row>
    <row r="9">
      <c r="A9" s="4" t="n">
        <v>6</v>
      </c>
      <c r="B9" s="3" t="inlineStr">
        <is>
          <t>Genial</t>
        </is>
      </c>
      <c r="C9" s="4" t="n">
        <v>27</v>
      </c>
    </row>
    <row r="10">
      <c r="A10" s="4" t="n">
        <v>7</v>
      </c>
      <c r="B10" s="3" t="inlineStr">
        <is>
          <t>TERCON INVESTIMENTOS S.A.</t>
        </is>
      </c>
      <c r="C10" s="4" t="n">
        <v>24</v>
      </c>
    </row>
    <row r="11">
      <c r="A11" s="4" t="n">
        <v>8</v>
      </c>
      <c r="B11" s="3" t="inlineStr">
        <is>
          <t>Itau</t>
        </is>
      </c>
      <c r="C11" s="6" t="n">
        <v>21.4</v>
      </c>
    </row>
    <row r="12">
      <c r="A12" s="4" t="n">
        <v>9</v>
      </c>
      <c r="B12" s="3" t="inlineStr">
        <is>
          <t>CBSF</t>
        </is>
      </c>
      <c r="C12" s="4" t="n">
        <v>21</v>
      </c>
    </row>
    <row r="13">
      <c r="A13" s="4" t="n">
        <v>10</v>
      </c>
      <c r="B13" s="3" t="inlineStr">
        <is>
          <t>REAG</t>
        </is>
      </c>
      <c r="C13" s="6" t="n">
        <v>18.9</v>
      </c>
    </row>
    <row r="14">
      <c r="A14" s="4" t="n">
        <v>11</v>
      </c>
      <c r="B14" s="3" t="inlineStr">
        <is>
          <t>XP</t>
        </is>
      </c>
      <c r="C14" s="6" t="n">
        <v>17.1</v>
      </c>
    </row>
    <row r="15">
      <c r="A15" s="4" t="n">
        <v>12</v>
      </c>
      <c r="B15" s="3" t="inlineStr">
        <is>
          <t>JIVE</t>
        </is>
      </c>
      <c r="C15" s="6" t="n">
        <v>16.8</v>
      </c>
    </row>
    <row r="18">
      <c r="A18" s="5" t="inlineStr">
        <is>
          <t>Fonte: Toma Conta FIDCs — dimensão 'gestor', consolidado por conglomerado (de-para por CNPJ). Origem: Cadastro CVM (gestor) + Informe Mensal (PL).</t>
        </is>
      </c>
    </row>
  </sheetData>
  <mergeCells count="2">
    <mergeCell ref="A18:H18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 ht="24" customHeight="1">
      <c r="A1" s="1" t="inlineStr">
        <is>
          <t>Share e mudança de posição por papel (dez/23 → atual)</t>
        </is>
      </c>
    </row>
    <row r="3">
      <c r="A3" s="8" t="inlineStr">
        <is>
          <t>GESTOR</t>
        </is>
      </c>
    </row>
    <row r="4">
      <c r="A4" s="2" t="inlineStr">
        <is>
          <t>Grupo</t>
        </is>
      </c>
      <c r="B4" s="2" t="inlineStr">
        <is>
          <t>PL (R$ bi)</t>
        </is>
      </c>
      <c r="C4" s="2" t="inlineStr">
        <is>
          <t>Sh 2023 %</t>
        </is>
      </c>
      <c r="D4" s="2" t="inlineStr">
        <is>
          <t>Sh 2024 %</t>
        </is>
      </c>
      <c r="E4" s="2" t="inlineStr">
        <is>
          <t>Sh 2025 %</t>
        </is>
      </c>
      <c r="F4" s="2" t="inlineStr">
        <is>
          <t>Sh 2026-05 %</t>
        </is>
      </c>
      <c r="G4" s="2" t="inlineStr">
        <is>
          <t>Δ share</t>
        </is>
      </c>
      <c r="H4" s="2" t="inlineStr">
        <is>
          <t>Δ rank</t>
        </is>
      </c>
    </row>
    <row r="5">
      <c r="A5" s="3" t="inlineStr">
        <is>
          <t>Oliveira Trust</t>
        </is>
      </c>
      <c r="B5" s="6" t="n">
        <v>75.8</v>
      </c>
      <c r="C5" s="6" t="n">
        <v>8.9</v>
      </c>
      <c r="D5" s="6" t="n">
        <v>7.8</v>
      </c>
      <c r="E5" s="6" t="n">
        <v>7.4</v>
      </c>
      <c r="F5" s="6" t="n">
        <v>7.9</v>
      </c>
      <c r="G5" s="4" t="n">
        <v>-1</v>
      </c>
      <c r="H5" s="4" t="n">
        <v>1</v>
      </c>
    </row>
    <row r="6">
      <c r="A6" s="3" t="inlineStr">
        <is>
          <t>BTG Pactual</t>
        </is>
      </c>
      <c r="B6" s="4" t="n">
        <v>68</v>
      </c>
      <c r="C6" s="6" t="n">
        <v>7.6</v>
      </c>
      <c r="D6" s="6" t="n">
        <v>5.5</v>
      </c>
      <c r="E6" s="6" t="n">
        <v>4.7</v>
      </c>
      <c r="F6" s="6" t="n">
        <v>7.1</v>
      </c>
      <c r="G6" s="6" t="n">
        <v>-0.5</v>
      </c>
      <c r="H6" s="4" t="n">
        <v>1</v>
      </c>
    </row>
    <row r="7">
      <c r="A7" s="3" t="inlineStr">
        <is>
          <t>Banco do Brasil</t>
        </is>
      </c>
      <c r="B7" s="6" t="n">
        <v>60.9</v>
      </c>
      <c r="C7" s="6" t="n">
        <v>9.4</v>
      </c>
      <c r="D7" s="4" t="n">
        <v>14</v>
      </c>
      <c r="E7" s="6" t="n">
        <v>7.1</v>
      </c>
      <c r="F7" s="6" t="n">
        <v>6.4</v>
      </c>
      <c r="G7" s="6" t="n">
        <v>-3.1</v>
      </c>
      <c r="H7" s="4" t="n">
        <v>-2</v>
      </c>
    </row>
    <row r="8">
      <c r="A8" s="3" t="inlineStr">
        <is>
          <t>Bradesco</t>
        </is>
      </c>
      <c r="B8" s="6" t="n">
        <v>40.7</v>
      </c>
      <c r="C8" s="6" t="n">
        <v>5.6</v>
      </c>
      <c r="D8" s="6" t="n">
        <v>4.1</v>
      </c>
      <c r="E8" s="4" t="n">
        <v>4</v>
      </c>
      <c r="F8" s="6" t="n">
        <v>4.2</v>
      </c>
      <c r="G8" s="6" t="n">
        <v>-1.4</v>
      </c>
      <c r="H8" s="4" t="n">
        <v>0</v>
      </c>
    </row>
    <row r="9">
      <c r="A9" s="3" t="inlineStr">
        <is>
          <t>SOLIS INVESTIMENTOS S A</t>
        </is>
      </c>
      <c r="B9" s="6" t="n">
        <v>27.2</v>
      </c>
      <c r="C9" s="6" t="n">
        <v>1.4</v>
      </c>
      <c r="D9" s="6" t="n">
        <v>1.7</v>
      </c>
      <c r="E9" s="6" t="n">
        <v>2.9</v>
      </c>
      <c r="F9" s="6" t="n">
        <v>2.8</v>
      </c>
      <c r="G9" s="6" t="n">
        <v>1.4</v>
      </c>
      <c r="H9" s="4" t="n">
        <v>9</v>
      </c>
    </row>
    <row r="10">
      <c r="A10" s="3" t="inlineStr">
        <is>
          <t>Genial</t>
        </is>
      </c>
      <c r="B10" s="4" t="n">
        <v>27</v>
      </c>
      <c r="C10" s="6" t="n">
        <v>3.6</v>
      </c>
      <c r="D10" s="6" t="n">
        <v>3.1</v>
      </c>
      <c r="E10" s="6" t="n">
        <v>2.8</v>
      </c>
      <c r="F10" s="6" t="n">
        <v>2.8</v>
      </c>
      <c r="G10" s="6" t="n">
        <v>-0.7</v>
      </c>
      <c r="H10" s="4" t="n">
        <v>0</v>
      </c>
    </row>
    <row r="11">
      <c r="A11" s="3" t="inlineStr">
        <is>
          <t>TERCON INVESTIMENTOS S.A.</t>
        </is>
      </c>
      <c r="B11" s="4" t="n">
        <v>24</v>
      </c>
      <c r="C11" s="6" t="n">
        <v>3.1</v>
      </c>
      <c r="D11" s="6" t="n">
        <v>2.7</v>
      </c>
      <c r="E11" s="6" t="n">
        <v>2.5</v>
      </c>
      <c r="F11" s="6" t="n">
        <v>2.5</v>
      </c>
      <c r="G11" s="6" t="n">
        <v>-0.6</v>
      </c>
      <c r="H11" s="4" t="n">
        <v>0</v>
      </c>
    </row>
    <row r="12">
      <c r="A12" s="3" t="inlineStr">
        <is>
          <t>Itau</t>
        </is>
      </c>
      <c r="B12" s="6" t="n">
        <v>21.4</v>
      </c>
      <c r="C12" s="6" t="n">
        <v>0.3</v>
      </c>
      <c r="D12" s="6" t="n">
        <v>1.1</v>
      </c>
      <c r="E12" s="6" t="n">
        <v>2.1</v>
      </c>
      <c r="F12" s="6" t="n">
        <v>2.2</v>
      </c>
      <c r="G12" s="6" t="n">
        <v>1.9</v>
      </c>
      <c r="H12" s="4" t="n">
        <v>58</v>
      </c>
    </row>
    <row r="13">
      <c r="A13" s="3" t="inlineStr">
        <is>
          <t>CBSF</t>
        </is>
      </c>
      <c r="B13" s="4" t="n">
        <v>21</v>
      </c>
      <c r="C13" s="6" t="n">
        <v>1.2</v>
      </c>
      <c r="D13" s="6" t="n">
        <v>3.3</v>
      </c>
      <c r="E13" s="6" t="n">
        <v>2.5</v>
      </c>
      <c r="F13" s="6" t="n">
        <v>2.2</v>
      </c>
      <c r="G13" s="4" t="n">
        <v>1</v>
      </c>
      <c r="H13" s="4" t="n">
        <v>10</v>
      </c>
    </row>
    <row r="14">
      <c r="A14" s="3" t="inlineStr">
        <is>
          <t>REAG</t>
        </is>
      </c>
      <c r="B14" s="6" t="n">
        <v>18.9</v>
      </c>
      <c r="C14" s="6" t="n">
        <v>1.3</v>
      </c>
      <c r="D14" s="6" t="n">
        <v>1.7</v>
      </c>
      <c r="E14" s="4" t="n">
        <v>2</v>
      </c>
      <c r="F14" s="4" t="n">
        <v>2</v>
      </c>
      <c r="G14" s="6" t="n">
        <v>0.7</v>
      </c>
      <c r="H14" s="4" t="n">
        <v>6</v>
      </c>
    </row>
    <row r="16">
      <c r="A16" s="8" t="inlineStr">
        <is>
          <t>ADMINISTRADOR</t>
        </is>
      </c>
    </row>
    <row r="17">
      <c r="A17" s="2" t="inlineStr">
        <is>
          <t>Grupo</t>
        </is>
      </c>
      <c r="B17" s="2" t="inlineStr">
        <is>
          <t>PL (R$ bi)</t>
        </is>
      </c>
      <c r="C17" s="2" t="inlineStr">
        <is>
          <t>Sh 2023 %</t>
        </is>
      </c>
      <c r="D17" s="2" t="inlineStr">
        <is>
          <t>Sh 2024 %</t>
        </is>
      </c>
      <c r="E17" s="2" t="inlineStr">
        <is>
          <t>Sh 2025 %</t>
        </is>
      </c>
      <c r="F17" s="2" t="inlineStr">
        <is>
          <t>Sh 2026-05 %</t>
        </is>
      </c>
      <c r="G17" s="2" t="inlineStr">
        <is>
          <t>Δ share</t>
        </is>
      </c>
      <c r="H17" s="2" t="inlineStr">
        <is>
          <t>Δ rank</t>
        </is>
      </c>
    </row>
    <row r="18">
      <c r="A18" s="3" t="inlineStr">
        <is>
          <t>BTG Pactual</t>
        </is>
      </c>
      <c r="B18" s="6" t="n">
        <v>146.4</v>
      </c>
      <c r="C18" s="6" t="n">
        <v>12.2</v>
      </c>
      <c r="D18" s="6" t="n">
        <v>11.1</v>
      </c>
      <c r="E18" s="4" t="n">
        <v>13</v>
      </c>
      <c r="F18" s="6" t="n">
        <v>15.3</v>
      </c>
      <c r="G18" s="6" t="n">
        <v>3.1</v>
      </c>
      <c r="H18" s="4" t="n">
        <v>2</v>
      </c>
    </row>
    <row r="19">
      <c r="A19" s="3" t="inlineStr">
        <is>
          <t>QI Tech</t>
        </is>
      </c>
      <c r="B19" s="6" t="n">
        <v>139.2</v>
      </c>
      <c r="C19" s="4" t="n">
        <v>15</v>
      </c>
      <c r="D19" s="6" t="n">
        <v>13.4</v>
      </c>
      <c r="E19" s="6" t="n">
        <v>15.1</v>
      </c>
      <c r="F19" s="6" t="n">
        <v>14.5</v>
      </c>
      <c r="G19" s="6" t="n">
        <v>-0.5</v>
      </c>
      <c r="H19" s="4" t="n">
        <v>-1</v>
      </c>
    </row>
    <row r="20">
      <c r="A20" s="3" t="inlineStr">
        <is>
          <t>Oliveira Trust</t>
        </is>
      </c>
      <c r="B20" s="6" t="n">
        <v>97.7</v>
      </c>
      <c r="C20" s="6" t="n">
        <v>12.6</v>
      </c>
      <c r="D20" s="6" t="n">
        <v>10.4</v>
      </c>
      <c r="E20" s="6" t="n">
        <v>9.800000000000001</v>
      </c>
      <c r="F20" s="6" t="n">
        <v>10.2</v>
      </c>
      <c r="G20" s="6" t="n">
        <v>-2.4</v>
      </c>
      <c r="H20" s="4" t="n">
        <v>-1</v>
      </c>
    </row>
    <row r="21">
      <c r="A21" s="3" t="inlineStr">
        <is>
          <t>Banco do Brasil</t>
        </is>
      </c>
      <c r="B21" s="6" t="n">
        <v>60.9</v>
      </c>
      <c r="C21" s="6" t="n">
        <v>9.4</v>
      </c>
      <c r="D21" s="4" t="n">
        <v>14</v>
      </c>
      <c r="E21" s="6" t="n">
        <v>7.1</v>
      </c>
      <c r="F21" s="6" t="n">
        <v>6.4</v>
      </c>
      <c r="G21" s="6" t="n">
        <v>-3.1</v>
      </c>
      <c r="H21" s="4" t="n">
        <v>0</v>
      </c>
    </row>
    <row r="22">
      <c r="A22" s="3" t="inlineStr">
        <is>
          <t>Daycoval</t>
        </is>
      </c>
      <c r="B22" s="6" t="n">
        <v>57.7</v>
      </c>
      <c r="C22" s="6" t="n">
        <v>4.9</v>
      </c>
      <c r="D22" s="6" t="n">
        <v>6.3</v>
      </c>
      <c r="E22" s="6" t="n">
        <v>6.4</v>
      </c>
      <c r="F22" s="4" t="n">
        <v>6</v>
      </c>
      <c r="G22" s="6" t="n">
        <v>1.1</v>
      </c>
      <c r="H22" s="4" t="n">
        <v>1</v>
      </c>
    </row>
    <row r="23">
      <c r="A23" s="3" t="inlineStr">
        <is>
          <t>Genial</t>
        </is>
      </c>
      <c r="B23" s="6" t="n">
        <v>51.8</v>
      </c>
      <c r="C23" s="6" t="n">
        <v>4.7</v>
      </c>
      <c r="D23" s="6" t="n">
        <v>5.1</v>
      </c>
      <c r="E23" s="6" t="n">
        <v>5.2</v>
      </c>
      <c r="F23" s="6" t="n">
        <v>5.4</v>
      </c>
      <c r="G23" s="6" t="n">
        <v>0.7</v>
      </c>
      <c r="H23" s="4" t="n">
        <v>1</v>
      </c>
    </row>
    <row r="24">
      <c r="A24" s="3" t="inlineStr">
        <is>
          <t>Bradesco</t>
        </is>
      </c>
      <c r="B24" s="6" t="n">
        <v>51.4</v>
      </c>
      <c r="C24" s="6" t="n">
        <v>7.9</v>
      </c>
      <c r="D24" s="6" t="n">
        <v>5.8</v>
      </c>
      <c r="E24" s="6" t="n">
        <v>5.4</v>
      </c>
      <c r="F24" s="6" t="n">
        <v>5.4</v>
      </c>
      <c r="G24" s="6" t="n">
        <v>-2.5</v>
      </c>
      <c r="H24" s="4" t="n">
        <v>-2</v>
      </c>
    </row>
    <row r="25">
      <c r="A25" s="3" t="inlineStr">
        <is>
          <t>CBSF</t>
        </is>
      </c>
      <c r="B25" s="4" t="n">
        <v>43</v>
      </c>
      <c r="C25" s="6" t="n">
        <v>2.8</v>
      </c>
      <c r="D25" s="6" t="n">
        <v>5.8</v>
      </c>
      <c r="E25" s="6" t="n">
        <v>4.9</v>
      </c>
      <c r="F25" s="6" t="n">
        <v>4.5</v>
      </c>
      <c r="G25" s="6" t="n">
        <v>1.7</v>
      </c>
      <c r="H25" s="4" t="n">
        <v>3</v>
      </c>
    </row>
    <row r="26">
      <c r="A26" s="3" t="inlineStr">
        <is>
          <t>Itau</t>
        </is>
      </c>
      <c r="B26" s="6" t="n">
        <v>31.6</v>
      </c>
      <c r="C26" s="6" t="n">
        <v>0.6</v>
      </c>
      <c r="D26" s="6" t="n">
        <v>1.3</v>
      </c>
      <c r="E26" s="6" t="n">
        <v>3.3</v>
      </c>
      <c r="F26" s="6" t="n">
        <v>3.3</v>
      </c>
      <c r="G26" s="6" t="n">
        <v>2.7</v>
      </c>
      <c r="H26" s="4" t="n">
        <v>16</v>
      </c>
    </row>
    <row r="27">
      <c r="A27" s="3" t="inlineStr">
        <is>
          <t>HEMERA DISTRIBUIDORA DE TITULOS E VALORES MOBILIARIOS LTDA</t>
        </is>
      </c>
      <c r="B27" s="6" t="n">
        <v>24.5</v>
      </c>
      <c r="C27" s="6" t="n">
        <v>2.3</v>
      </c>
      <c r="D27" s="6" t="n">
        <v>2.3</v>
      </c>
      <c r="E27" s="6" t="n">
        <v>2.6</v>
      </c>
      <c r="F27" s="6" t="n">
        <v>2.6</v>
      </c>
      <c r="G27" s="6" t="n">
        <v>0.2</v>
      </c>
      <c r="H27" s="4" t="n">
        <v>3</v>
      </c>
    </row>
    <row r="29">
      <c r="A29" s="8" t="inlineStr">
        <is>
          <t>CUSTODIANTE</t>
        </is>
      </c>
    </row>
    <row r="30">
      <c r="A30" s="2" t="inlineStr">
        <is>
          <t>Grupo</t>
        </is>
      </c>
      <c r="B30" s="2" t="inlineStr">
        <is>
          <t>PL (R$ bi)</t>
        </is>
      </c>
      <c r="C30" s="2" t="inlineStr">
        <is>
          <t>Sh 2023 %</t>
        </is>
      </c>
      <c r="D30" s="2" t="inlineStr">
        <is>
          <t>Sh 2024 %</t>
        </is>
      </c>
      <c r="E30" s="2" t="inlineStr">
        <is>
          <t>Sh 2025 %</t>
        </is>
      </c>
      <c r="F30" s="2" t="inlineStr">
        <is>
          <t>Sh 2026-05 %</t>
        </is>
      </c>
      <c r="G30" s="2" t="inlineStr">
        <is>
          <t>Δ share</t>
        </is>
      </c>
      <c r="H30" s="2" t="inlineStr">
        <is>
          <t>Δ rank</t>
        </is>
      </c>
    </row>
    <row r="31">
      <c r="A31" s="3" t="inlineStr">
        <is>
          <t>BTG Pactual</t>
        </is>
      </c>
      <c r="B31" s="6" t="n">
        <v>145.7</v>
      </c>
      <c r="C31" s="6" t="n">
        <v>12.3</v>
      </c>
      <c r="D31" s="6" t="n">
        <v>11.2</v>
      </c>
      <c r="E31" s="6" t="n">
        <v>13.1</v>
      </c>
      <c r="F31" s="6" t="n">
        <v>15.4</v>
      </c>
      <c r="G31" s="4" t="n">
        <v>3</v>
      </c>
      <c r="H31" s="4" t="n">
        <v>2</v>
      </c>
    </row>
    <row r="32">
      <c r="A32" s="3" t="inlineStr">
        <is>
          <t>QI Tech</t>
        </is>
      </c>
      <c r="B32" s="6" t="n">
        <v>138.8</v>
      </c>
      <c r="C32" s="6" t="n">
        <v>15.1</v>
      </c>
      <c r="D32" s="6" t="n">
        <v>13.4</v>
      </c>
      <c r="E32" s="6" t="n">
        <v>15.2</v>
      </c>
      <c r="F32" s="6" t="n">
        <v>14.6</v>
      </c>
      <c r="G32" s="6" t="n">
        <v>-0.5</v>
      </c>
      <c r="H32" s="4" t="n">
        <v>-1</v>
      </c>
    </row>
    <row r="33">
      <c r="A33" s="3" t="inlineStr">
        <is>
          <t>Oliveira Trust</t>
        </is>
      </c>
      <c r="B33" s="6" t="n">
        <v>116.5</v>
      </c>
      <c r="C33" s="6" t="n">
        <v>13.2</v>
      </c>
      <c r="D33" s="6" t="n">
        <v>11.7</v>
      </c>
      <c r="E33" s="6" t="n">
        <v>11.8</v>
      </c>
      <c r="F33" s="6" t="n">
        <v>12.3</v>
      </c>
      <c r="G33" s="6" t="n">
        <v>-0.9</v>
      </c>
      <c r="H33" s="4" t="n">
        <v>-1</v>
      </c>
    </row>
    <row r="34">
      <c r="A34" s="3" t="inlineStr">
        <is>
          <t>Daycoval</t>
        </is>
      </c>
      <c r="B34" s="6" t="n">
        <v>63.7</v>
      </c>
      <c r="C34" s="6" t="n">
        <v>5.3</v>
      </c>
      <c r="D34" s="6" t="n">
        <v>6.9</v>
      </c>
      <c r="E34" s="6" t="n">
        <v>7.1</v>
      </c>
      <c r="F34" s="6" t="n">
        <v>6.7</v>
      </c>
      <c r="G34" s="6" t="n">
        <v>1.4</v>
      </c>
      <c r="H34" s="4" t="n">
        <v>2</v>
      </c>
    </row>
    <row r="35">
      <c r="A35" s="3" t="inlineStr">
        <is>
          <t>BANCO DO BRASIL S.A.</t>
        </is>
      </c>
      <c r="B35" s="6" t="n">
        <v>60.8</v>
      </c>
      <c r="C35" s="6" t="n">
        <v>9.5</v>
      </c>
      <c r="D35" s="6" t="n">
        <v>14.2</v>
      </c>
      <c r="E35" s="6" t="n">
        <v>7.2</v>
      </c>
      <c r="F35" s="6" t="n">
        <v>6.4</v>
      </c>
      <c r="G35" s="6" t="n">
        <v>-3.1</v>
      </c>
      <c r="H35" s="4" t="n">
        <v>-1</v>
      </c>
    </row>
    <row r="36">
      <c r="A36" s="3" t="inlineStr">
        <is>
          <t>Bradesco</t>
        </is>
      </c>
      <c r="B36" s="6" t="n">
        <v>49.9</v>
      </c>
      <c r="C36" s="6" t="n">
        <v>7.5</v>
      </c>
      <c r="D36" s="6" t="n">
        <v>5.5</v>
      </c>
      <c r="E36" s="4" t="n">
        <v>5</v>
      </c>
      <c r="F36" s="6" t="n">
        <v>5.3</v>
      </c>
      <c r="G36" s="6" t="n">
        <v>-2.3</v>
      </c>
      <c r="H36" s="4" t="n">
        <v>-1</v>
      </c>
    </row>
    <row r="37">
      <c r="A37" s="3" t="inlineStr">
        <is>
          <t>REAG TRUST DISTRIBUIDORA DE TITULOS E VALORES MOBILIARIOS S.A.</t>
        </is>
      </c>
      <c r="B37" s="6" t="n">
        <v>49.4</v>
      </c>
      <c r="C37" s="6" t="n">
        <v>2.8</v>
      </c>
      <c r="D37" s="6" t="n">
        <v>6.3</v>
      </c>
      <c r="E37" s="6" t="n">
        <v>5.7</v>
      </c>
      <c r="F37" s="6" t="n">
        <v>5.2</v>
      </c>
      <c r="G37" s="6" t="n">
        <v>2.4</v>
      </c>
      <c r="H37" s="4" t="n">
        <v>4</v>
      </c>
    </row>
    <row r="38">
      <c r="A38" s="3" t="inlineStr">
        <is>
          <t>Genial</t>
        </is>
      </c>
      <c r="B38" s="6" t="n">
        <v>42.8</v>
      </c>
      <c r="C38" s="6" t="n">
        <v>4.8</v>
      </c>
      <c r="D38" s="6" t="n">
        <v>4.5</v>
      </c>
      <c r="E38" s="6" t="n">
        <v>4.3</v>
      </c>
      <c r="F38" s="6" t="n">
        <v>4.5</v>
      </c>
      <c r="G38" s="6" t="n">
        <v>-0.3</v>
      </c>
      <c r="H38" s="4" t="n">
        <v>-1</v>
      </c>
    </row>
    <row r="39">
      <c r="A39" s="3" t="inlineStr">
        <is>
          <t>HEMERA DISTRIBUIDORA DE TITULOS E VALORES MOBILIARIOS LTDA</t>
        </is>
      </c>
      <c r="B39" s="6" t="n">
        <v>24.6</v>
      </c>
      <c r="C39" s="6" t="n">
        <v>2.4</v>
      </c>
      <c r="D39" s="6" t="n">
        <v>2.3</v>
      </c>
      <c r="E39" s="6" t="n">
        <v>2.6</v>
      </c>
      <c r="F39" s="6" t="n">
        <v>2.6</v>
      </c>
      <c r="G39" s="6" t="n">
        <v>0.2</v>
      </c>
      <c r="H39" s="4" t="n">
        <v>4</v>
      </c>
    </row>
    <row r="40">
      <c r="A40" s="3" t="inlineStr">
        <is>
          <t>Finaxis</t>
        </is>
      </c>
      <c r="B40" s="4" t="n">
        <v>23</v>
      </c>
      <c r="C40" s="6" t="n">
        <v>3.5</v>
      </c>
      <c r="D40" s="6" t="n">
        <v>2.8</v>
      </c>
      <c r="E40" s="6" t="n">
        <v>2.5</v>
      </c>
      <c r="F40" s="6" t="n">
        <v>2.4</v>
      </c>
      <c r="G40" s="6" t="n">
        <v>-1.1</v>
      </c>
      <c r="H40" s="4" t="n">
        <v>-2</v>
      </c>
    </row>
    <row r="42">
      <c r="A42" s="5" t="inlineStr">
        <is>
          <t>Fonte: Toma Conta FIDCs — dimensão mensal por papel, consolidada por CNPJ. Share = PL do grupo / PL total do papel na competência. Δrank = posição em dez/2023 menos posição em mai/2026. PL de estoque (inclui troca de mandato).</t>
        </is>
      </c>
    </row>
  </sheetData>
  <mergeCells count="2">
    <mergeCell ref="A42:H4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 ht="24" customHeight="1">
      <c r="A1" s="1" t="inlineStr">
        <is>
          <t>Ranking de Administradores (consolidado) — 2026-05 · Top 12 · R$ bi</t>
        </is>
      </c>
    </row>
    <row r="3">
      <c r="A3" s="2" t="inlineStr">
        <is>
          <t>#</t>
        </is>
      </c>
      <c r="B3" s="2" t="inlineStr">
        <is>
          <t>Grupo</t>
        </is>
      </c>
      <c r="C3" s="2" t="inlineStr">
        <is>
          <t>PL (R$ bi)</t>
        </is>
      </c>
    </row>
    <row r="4">
      <c r="A4" s="4" t="n">
        <v>1</v>
      </c>
      <c r="B4" s="3" t="inlineStr">
        <is>
          <t>BTG Pactual</t>
        </is>
      </c>
      <c r="C4" s="6" t="n">
        <v>146.4</v>
      </c>
    </row>
    <row r="5">
      <c r="A5" s="4" t="n">
        <v>2</v>
      </c>
      <c r="B5" s="3" t="inlineStr">
        <is>
          <t>QI Tech</t>
        </is>
      </c>
      <c r="C5" s="6" t="n">
        <v>139.2</v>
      </c>
    </row>
    <row r="6">
      <c r="A6" s="4" t="n">
        <v>3</v>
      </c>
      <c r="B6" s="3" t="inlineStr">
        <is>
          <t>Oliveira Trust</t>
        </is>
      </c>
      <c r="C6" s="6" t="n">
        <v>97.7</v>
      </c>
    </row>
    <row r="7">
      <c r="A7" s="4" t="n">
        <v>4</v>
      </c>
      <c r="B7" s="3" t="inlineStr">
        <is>
          <t>Banco do Brasil</t>
        </is>
      </c>
      <c r="C7" s="6" t="n">
        <v>60.9</v>
      </c>
    </row>
    <row r="8">
      <c r="A8" s="4" t="n">
        <v>5</v>
      </c>
      <c r="B8" s="3" t="inlineStr">
        <is>
          <t>Daycoval</t>
        </is>
      </c>
      <c r="C8" s="6" t="n">
        <v>57.7</v>
      </c>
    </row>
    <row r="9">
      <c r="A9" s="4" t="n">
        <v>6</v>
      </c>
      <c r="B9" s="3" t="inlineStr">
        <is>
          <t>Genial</t>
        </is>
      </c>
      <c r="C9" s="6" t="n">
        <v>51.8</v>
      </c>
    </row>
    <row r="10">
      <c r="A10" s="4" t="n">
        <v>7</v>
      </c>
      <c r="B10" s="3" t="inlineStr">
        <is>
          <t>Bradesco</t>
        </is>
      </c>
      <c r="C10" s="6" t="n">
        <v>51.4</v>
      </c>
    </row>
    <row r="11">
      <c r="A11" s="4" t="n">
        <v>8</v>
      </c>
      <c r="B11" s="3" t="inlineStr">
        <is>
          <t>CBSF</t>
        </is>
      </c>
      <c r="C11" s="4" t="n">
        <v>43</v>
      </c>
    </row>
    <row r="12">
      <c r="A12" s="4" t="n">
        <v>9</v>
      </c>
      <c r="B12" s="3" t="inlineStr">
        <is>
          <t>Itau</t>
        </is>
      </c>
      <c r="C12" s="6" t="n">
        <v>31.6</v>
      </c>
    </row>
    <row r="13">
      <c r="A13" s="4" t="n">
        <v>10</v>
      </c>
      <c r="B13" s="3" t="inlineStr">
        <is>
          <t>HEMERA DISTRIBUIDORA DE TITULOS E VALORES MOBILIARIOS LTDA</t>
        </is>
      </c>
      <c r="C13" s="6" t="n">
        <v>24.5</v>
      </c>
    </row>
    <row r="14">
      <c r="A14" s="4" t="n">
        <v>11</v>
      </c>
      <c r="B14" s="3" t="inlineStr">
        <is>
          <t>Finaxis</t>
        </is>
      </c>
      <c r="C14" s="4" t="n">
        <v>23</v>
      </c>
    </row>
    <row r="15">
      <c r="A15" s="4" t="n">
        <v>12</v>
      </c>
      <c r="B15" s="3" t="inlineStr">
        <is>
          <t>BRL Trust</t>
        </is>
      </c>
      <c r="C15" s="6" t="n">
        <v>22.5</v>
      </c>
    </row>
    <row r="18">
      <c r="A18" s="5" t="inlineStr">
        <is>
          <t>Fonte: Toma Conta FIDCs — dimensão 'administrador', consolidado por conglomerado (de-para por CNPJ). Origem: Informe Mensal FIDC/CVM.</t>
        </is>
      </c>
    </row>
  </sheetData>
  <mergeCells count="2">
    <mergeCell ref="A18:H18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 ht="24" customHeight="1">
      <c r="A1" s="1" t="inlineStr">
        <is>
          <t>Originação — FIDCs novos por ano de 1ª oferta (R$ bi)</t>
        </is>
      </c>
    </row>
    <row r="3">
      <c r="A3" s="8" t="inlineStr">
        <is>
          <t>FIDCs nascidos em 2025: 538 fundos · R$ 101 bi</t>
        </is>
      </c>
    </row>
    <row r="4">
      <c r="A4" s="2" t="inlineStr">
        <is>
          <t>Gestor (consolidado)</t>
        </is>
      </c>
      <c r="B4" s="2" t="inlineStr">
        <is>
          <t>PL originado (R$ bi)</t>
        </is>
      </c>
    </row>
    <row r="5">
      <c r="A5" s="3" t="inlineStr">
        <is>
          <t>Bradesco</t>
        </is>
      </c>
      <c r="B5" s="6" t="n">
        <v>20.7</v>
      </c>
    </row>
    <row r="6">
      <c r="A6" s="3" t="inlineStr">
        <is>
          <t>Oliveira Trust</t>
        </is>
      </c>
      <c r="B6" s="4" t="n">
        <v>13</v>
      </c>
    </row>
    <row r="7">
      <c r="A7" s="3" t="inlineStr">
        <is>
          <t>VERT GESTORA DE RECURSOS FINANCEIROS LTDA.</t>
        </is>
      </c>
      <c r="B7" s="4" t="n">
        <v>7</v>
      </c>
    </row>
    <row r="8">
      <c r="A8" s="3" t="inlineStr">
        <is>
          <t>BTG Pactual</t>
        </is>
      </c>
      <c r="B8" s="6" t="n">
        <v>4.8</v>
      </c>
    </row>
    <row r="9">
      <c r="A9" s="3" t="inlineStr">
        <is>
          <t>ANGÁ ADMINISTRAÇÃO DE RECURSOS LTDA.</t>
        </is>
      </c>
      <c r="B9" s="6" t="n">
        <v>4.4</v>
      </c>
    </row>
    <row r="10">
      <c r="A10" s="3" t="inlineStr">
        <is>
          <t>APEX GROUP INVESTIMENTOS LTDA.</t>
        </is>
      </c>
      <c r="B10" s="6" t="n">
        <v>2.5</v>
      </c>
    </row>
    <row r="11">
      <c r="A11" s="3" t="inlineStr">
        <is>
          <t>GALAPAGOS CAPITAL INVESTIMENTOS E PARTICIPAÇÕES LTDA.</t>
        </is>
      </c>
      <c r="B11" s="6" t="n">
        <v>2.5</v>
      </c>
    </row>
    <row r="12">
      <c r="A12" s="3" t="inlineStr">
        <is>
          <t>JIVE</t>
        </is>
      </c>
      <c r="B12" s="6" t="n">
        <v>2.5</v>
      </c>
    </row>
    <row r="13">
      <c r="A13" s="3" t="inlineStr">
        <is>
          <t>Itau</t>
        </is>
      </c>
      <c r="B13" s="6" t="n">
        <v>2.1</v>
      </c>
    </row>
    <row r="14">
      <c r="A14" s="3" t="inlineStr">
        <is>
          <t>Genial</t>
        </is>
      </c>
      <c r="B14" s="6" t="n">
        <v>1.7</v>
      </c>
    </row>
    <row r="16">
      <c r="A16" s="8" t="inlineStr">
        <is>
          <t>FIDCs nascidos em 2026: 139 fundos · R$ 24 bi</t>
        </is>
      </c>
    </row>
    <row r="17">
      <c r="A17" s="2" t="inlineStr">
        <is>
          <t>Gestor (consolidado)</t>
        </is>
      </c>
      <c r="B17" s="2" t="inlineStr">
        <is>
          <t>PL originado (R$ bi)</t>
        </is>
      </c>
    </row>
    <row r="18">
      <c r="A18" s="3" t="inlineStr">
        <is>
          <t>Oliveira Trust</t>
        </is>
      </c>
      <c r="B18" s="6" t="n">
        <v>6.6</v>
      </c>
    </row>
    <row r="19">
      <c r="A19" s="3" t="inlineStr">
        <is>
          <t>QI Tech</t>
        </is>
      </c>
      <c r="B19" s="6" t="n">
        <v>3.1</v>
      </c>
    </row>
    <row r="20">
      <c r="A20" s="3" t="inlineStr">
        <is>
          <t>VERT GESTORA DE RECURSOS FINANCEIROS LTDA.</t>
        </is>
      </c>
      <c r="B20" s="6" t="n">
        <v>2.3</v>
      </c>
    </row>
    <row r="21">
      <c r="A21" s="3" t="inlineStr">
        <is>
          <t>Bradesco</t>
        </is>
      </c>
      <c r="B21" s="6" t="n">
        <v>2.1</v>
      </c>
    </row>
    <row r="22">
      <c r="A22" s="3" t="inlineStr">
        <is>
          <t>Genial</t>
        </is>
      </c>
      <c r="B22" s="6" t="n">
        <v>1.4</v>
      </c>
    </row>
    <row r="23">
      <c r="A23" s="3" t="inlineStr">
        <is>
          <t>CATÁLISE INVESTIMENTOS LTDA.</t>
        </is>
      </c>
      <c r="B23" s="6" t="n">
        <v>1.2</v>
      </c>
    </row>
    <row r="24">
      <c r="A24" s="3" t="inlineStr">
        <is>
          <t>ANGÁ ADMINISTRAÇÃO DE RECURSOS LTDA.</t>
        </is>
      </c>
      <c r="B24" s="6" t="n">
        <v>0.8</v>
      </c>
    </row>
    <row r="25">
      <c r="A25" s="3" t="inlineStr">
        <is>
          <t>JIVE</t>
        </is>
      </c>
      <c r="B25" s="6" t="n">
        <v>0.6</v>
      </c>
    </row>
    <row r="26">
      <c r="A26" s="3" t="inlineStr">
        <is>
          <t>Itau</t>
        </is>
      </c>
      <c r="B26" s="6" t="n">
        <v>0.6</v>
      </c>
    </row>
    <row r="27">
      <c r="A27" s="3" t="inlineStr">
        <is>
          <t>Santander</t>
        </is>
      </c>
      <c r="B27" s="6" t="n">
        <v>0.5</v>
      </c>
    </row>
    <row r="29">
      <c r="A29" s="5" t="inlineStr">
        <is>
          <t>Fonte: Toma Conta FIDCs — fundos por ANO DE 1ª OFERTA (snapshot: first_offer_year). Mede ORIGINAÇÃO (fundo novo), expurgando troca de gestor/adm de fundos já existentes. Cobertura de 1ª oferta: 1.407 de 4.219 fundos.</t>
        </is>
      </c>
    </row>
  </sheetData>
  <mergeCells count="2">
    <mergeCell ref="A1:D1"/>
    <mergeCell ref="A29:H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</cols>
  <sheetData>
    <row r="1" ht="24" customHeight="1">
      <c r="A1" s="1" t="inlineStr">
        <is>
          <t>Captação líquida anual (captações − resgates) — R$ bi</t>
        </is>
      </c>
    </row>
    <row r="3">
      <c r="A3" s="2" t="inlineStr">
        <is>
          <t>Ano</t>
        </is>
      </c>
      <c r="B3" s="2" t="inlineStr">
        <is>
          <t>Captação líquida (R$ bi)</t>
        </is>
      </c>
    </row>
    <row r="4">
      <c r="A4" s="4" t="n">
        <v>2020</v>
      </c>
      <c r="B4" s="4" t="n">
        <v>-32</v>
      </c>
    </row>
    <row r="5">
      <c r="A5" s="4" t="n">
        <v>2021</v>
      </c>
      <c r="B5" s="4" t="n">
        <v>82</v>
      </c>
    </row>
    <row r="6">
      <c r="A6" s="4" t="n">
        <v>2022</v>
      </c>
      <c r="B6" s="4" t="n">
        <v>25</v>
      </c>
    </row>
    <row r="7">
      <c r="A7" s="4" t="n">
        <v>2023</v>
      </c>
      <c r="B7" s="4" t="n">
        <v>40</v>
      </c>
    </row>
    <row r="8">
      <c r="A8" s="4" t="n">
        <v>2024</v>
      </c>
      <c r="B8" s="4" t="n">
        <v>245</v>
      </c>
    </row>
    <row r="9">
      <c r="A9" s="4" t="n">
        <v>2025</v>
      </c>
      <c r="B9" s="4" t="n">
        <v>142</v>
      </c>
    </row>
    <row r="10">
      <c r="A10" s="4" t="n">
        <v>2026</v>
      </c>
      <c r="B10" s="4" t="n">
        <v>60</v>
      </c>
    </row>
    <row r="13">
      <c r="A13" s="5" t="inlineStr">
        <is>
          <t>Fonte: Toma Conta FIDCs — captação líquida = captações − resgates no mês (Informe Mensal FIDC/CVM), somada por ano. Complementa a variação de PL.</t>
        </is>
      </c>
    </row>
  </sheetData>
  <mergeCells count="2">
    <mergeCell ref="A13:H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 ht="24" customHeight="1">
      <c r="A1" s="1" t="inlineStr">
        <is>
          <t>PL por tipo de controle do gestor — evolução (R$ bi)</t>
        </is>
      </c>
    </row>
    <row r="3">
      <c r="A3" s="2" t="inlineStr">
        <is>
          <t>Tipo de controle</t>
        </is>
      </c>
      <c r="B3" s="2" t="inlineStr">
        <is>
          <t>2022-12</t>
        </is>
      </c>
      <c r="C3" s="2" t="inlineStr">
        <is>
          <t>2023-12</t>
        </is>
      </c>
      <c r="D3" s="2" t="inlineStr">
        <is>
          <t>2024-12</t>
        </is>
      </c>
      <c r="E3" s="2" t="inlineStr">
        <is>
          <t>2025-12</t>
        </is>
      </c>
      <c r="F3" s="2" t="inlineStr">
        <is>
          <t>2026-05</t>
        </is>
      </c>
    </row>
    <row r="4">
      <c r="A4" s="3" t="inlineStr">
        <is>
          <t>Independente</t>
        </is>
      </c>
      <c r="B4" s="4" t="n">
        <v>175</v>
      </c>
      <c r="C4" s="6" t="n">
        <v>238.8</v>
      </c>
      <c r="D4" s="6" t="n">
        <v>394.4</v>
      </c>
      <c r="E4" s="6" t="n">
        <v>581.4</v>
      </c>
      <c r="F4" s="6" t="n">
        <v>624.9</v>
      </c>
    </row>
    <row r="5">
      <c r="A5" s="3" t="inlineStr">
        <is>
          <t>Ligada a banco</t>
        </is>
      </c>
      <c r="B5" s="6" t="n">
        <v>93.09999999999999</v>
      </c>
      <c r="C5" s="6" t="n">
        <v>121.1</v>
      </c>
      <c r="D5" s="6" t="n">
        <v>206.5</v>
      </c>
      <c r="E5" s="4" t="n">
        <v>211</v>
      </c>
      <c r="F5" s="6" t="n">
        <v>252.5</v>
      </c>
    </row>
    <row r="6">
      <c r="A6" s="3" t="inlineStr">
        <is>
          <t>Independente Grande</t>
        </is>
      </c>
      <c r="B6" s="6" t="n">
        <v>24.2</v>
      </c>
      <c r="C6" s="6" t="n">
        <v>40.3</v>
      </c>
      <c r="D6" s="6" t="n">
        <v>56.1</v>
      </c>
      <c r="E6" s="6" t="n">
        <v>68.90000000000001</v>
      </c>
      <c r="F6" s="6" t="n">
        <v>81.09999999999999</v>
      </c>
    </row>
    <row r="8">
      <c r="A8" s="5" t="inlineStr">
        <is>
          <t>Fonte: Toma Conta FIDCs — dimensão 'gestor' + taxonomia de controle (Ligada a banco / Independente Grande / Independente; definição do rodapé do deck Itaú BBA).</t>
        </is>
      </c>
    </row>
  </sheetData>
  <mergeCells count="2">
    <mergeCell ref="A8:H8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46" customWidth="1" min="4" max="4"/>
  </cols>
  <sheetData>
    <row r="1" ht="24" customHeight="1">
      <c r="A1" s="1" t="inlineStr">
        <is>
          <t>De-para de conglomerados (auditável) — chave: CNPJ</t>
        </is>
      </c>
    </row>
    <row r="3">
      <c r="A3" s="2" t="inlineStr">
        <is>
          <t>grupo</t>
        </is>
      </c>
      <c r="B3" s="2" t="inlineStr">
        <is>
          <t>tipo_controle</t>
        </is>
      </c>
      <c r="C3" s="2" t="inlineStr">
        <is>
          <t>cnpj</t>
        </is>
      </c>
      <c r="D3" s="2" t="inlineStr">
        <is>
          <t>entidade_original</t>
        </is>
      </c>
    </row>
    <row r="4">
      <c r="A4" s="3" t="inlineStr">
        <is>
          <t>Itau</t>
        </is>
      </c>
      <c r="B4" s="3" t="inlineStr">
        <is>
          <t>Ligada a banco</t>
        </is>
      </c>
      <c r="C4" s="3" t="inlineStr">
        <is>
          <t>62418140000131</t>
        </is>
      </c>
      <c r="D4" s="3" t="inlineStr">
        <is>
          <t>INTRAG DTVM LTDA.</t>
        </is>
      </c>
    </row>
    <row r="5">
      <c r="A5" s="3" t="inlineStr">
        <is>
          <t>Itau</t>
        </is>
      </c>
      <c r="B5" s="3" t="inlineStr">
        <is>
          <t>Ligada a banco</t>
        </is>
      </c>
      <c r="C5" s="3" t="inlineStr">
        <is>
          <t>60701190000104</t>
        </is>
      </c>
      <c r="D5" s="3" t="inlineStr">
        <is>
          <t>ITAU UNIBANCO S.A.</t>
        </is>
      </c>
    </row>
    <row r="6">
      <c r="A6" s="3" t="inlineStr">
        <is>
          <t>Itau</t>
        </is>
      </c>
      <c r="B6" s="3" t="inlineStr">
        <is>
          <t>Ligada a banco</t>
        </is>
      </c>
      <c r="C6" s="3" t="inlineStr">
        <is>
          <t>40430971000196</t>
        </is>
      </c>
      <c r="D6" s="3" t="inlineStr">
        <is>
          <t>ITAU UNIBANCO ASSET MANAGEMENT LTDA.</t>
        </is>
      </c>
    </row>
    <row r="7">
      <c r="A7" s="3" t="inlineStr">
        <is>
          <t>Itau</t>
        </is>
      </c>
      <c r="B7" s="3" t="inlineStr">
        <is>
          <t>Ligada a banco</t>
        </is>
      </c>
      <c r="C7" s="3" t="inlineStr">
        <is>
          <t>08604187000144</t>
        </is>
      </c>
      <c r="D7" s="3" t="inlineStr">
        <is>
          <t>KINEA INVESTIMENTOS LTDA.</t>
        </is>
      </c>
    </row>
    <row r="8">
      <c r="A8" s="3" t="inlineStr">
        <is>
          <t>BTG Pactual</t>
        </is>
      </c>
      <c r="B8" s="3" t="inlineStr">
        <is>
          <t>Ligada a banco</t>
        </is>
      </c>
      <c r="C8" s="3" t="inlineStr">
        <is>
          <t>30306294000145</t>
        </is>
      </c>
      <c r="D8" s="3" t="inlineStr">
        <is>
          <t>BANCO BTG PACTUAL S/A</t>
        </is>
      </c>
    </row>
    <row r="9">
      <c r="A9" s="3" t="inlineStr">
        <is>
          <t>BTG Pactual</t>
        </is>
      </c>
      <c r="B9" s="3" t="inlineStr">
        <is>
          <t>Ligada a banco</t>
        </is>
      </c>
      <c r="C9" s="3" t="inlineStr">
        <is>
          <t>59281253000123</t>
        </is>
      </c>
      <c r="D9" s="3" t="inlineStr">
        <is>
          <t>BTG PACTUAL SERVICOS FINANCEIROS S/A DTVM</t>
        </is>
      </c>
    </row>
    <row r="10">
      <c r="A10" s="3" t="inlineStr">
        <is>
          <t>BTG Pactual</t>
        </is>
      </c>
      <c r="B10" s="3" t="inlineStr">
        <is>
          <t>Ligada a banco</t>
        </is>
      </c>
      <c r="C10" s="3" t="inlineStr">
        <is>
          <t>29650082000100</t>
        </is>
      </c>
      <c r="D10" s="3" t="inlineStr">
        <is>
          <t>BTG PACTUAL ASSET MANAGEMENT S/A DTVM</t>
        </is>
      </c>
    </row>
    <row r="11">
      <c r="A11" s="3" t="inlineStr">
        <is>
          <t>BTG Pactual</t>
        </is>
      </c>
      <c r="B11" s="3" t="inlineStr">
        <is>
          <t>Ligada a banco</t>
        </is>
      </c>
      <c r="C11" s="3" t="inlineStr">
        <is>
          <t>07625159000140</t>
        </is>
      </c>
      <c r="D11" s="3" t="inlineStr">
        <is>
          <t>BTG PACTUAL GESTORA DE INVESTIMENTOS ALTERNATIVOS LTDA.</t>
        </is>
      </c>
    </row>
    <row r="12">
      <c r="A12" s="3" t="inlineStr">
        <is>
          <t>BTG Pactual</t>
        </is>
      </c>
      <c r="B12" s="3" t="inlineStr">
        <is>
          <t>Ligada a banco</t>
        </is>
      </c>
      <c r="C12" s="3" t="inlineStr">
        <is>
          <t>12695840000103</t>
        </is>
      </c>
      <c r="D12" s="3" t="inlineStr">
        <is>
          <t>BTG PACTUAL GESTAO E CONSULTORIA DE INVESTIMENTOS LTDA</t>
        </is>
      </c>
    </row>
    <row r="13">
      <c r="A13" s="3" t="inlineStr">
        <is>
          <t>BTG Pactual</t>
        </is>
      </c>
      <c r="B13" s="3" t="inlineStr">
        <is>
          <t>Ligada a banco</t>
        </is>
      </c>
      <c r="C13" s="3" t="inlineStr">
        <is>
          <t>09631542000137</t>
        </is>
      </c>
      <c r="D13" s="3" t="inlineStr">
        <is>
          <t>BTG PACTUAL GESTORA DE RECURSOS LTDA</t>
        </is>
      </c>
    </row>
    <row r="14">
      <c r="A14" s="3" t="inlineStr">
        <is>
          <t>XP</t>
        </is>
      </c>
      <c r="B14" s="3" t="inlineStr">
        <is>
          <t>Ligada a banco</t>
        </is>
      </c>
      <c r="C14" s="3" t="inlineStr">
        <is>
          <t>02332886000104</t>
        </is>
      </c>
      <c r="D14" s="3" t="inlineStr">
        <is>
          <t>XP INVESTIMENTOS CCTVM S.A.</t>
        </is>
      </c>
    </row>
    <row r="15">
      <c r="A15" s="3" t="inlineStr">
        <is>
          <t>XP</t>
        </is>
      </c>
      <c r="B15" s="3" t="inlineStr">
        <is>
          <t>Ligada a banco</t>
        </is>
      </c>
      <c r="C15" s="3" t="inlineStr">
        <is>
          <t>16789525000198</t>
        </is>
      </c>
      <c r="D15" s="3" t="inlineStr">
        <is>
          <t>XP VISTA ASSET MANAGEMENT LTDA.</t>
        </is>
      </c>
    </row>
    <row r="16">
      <c r="A16" s="3" t="inlineStr">
        <is>
          <t>XP</t>
        </is>
      </c>
      <c r="B16" s="3" t="inlineStr">
        <is>
          <t>Ligada a banco</t>
        </is>
      </c>
      <c r="C16" s="3" t="inlineStr">
        <is>
          <t>05389174000101</t>
        </is>
      </c>
      <c r="D16" s="3" t="inlineStr">
        <is>
          <t>XP SERVICOS FINANCEIROS DTVM LTDA.</t>
        </is>
      </c>
    </row>
    <row r="17">
      <c r="A17" s="3" t="inlineStr">
        <is>
          <t>XP</t>
        </is>
      </c>
      <c r="B17" s="3" t="inlineStr">
        <is>
          <t>Ligada a banco</t>
        </is>
      </c>
      <c r="C17" s="3" t="inlineStr">
        <is>
          <t>37918829000188</t>
        </is>
      </c>
      <c r="D17" s="3" t="inlineStr">
        <is>
          <t>XP ALLOCATION ASSET MANAGEMENT LTDA.</t>
        </is>
      </c>
    </row>
    <row r="18">
      <c r="A18" s="3" t="inlineStr">
        <is>
          <t>Bradesco</t>
        </is>
      </c>
      <c r="B18" s="3" t="inlineStr">
        <is>
          <t>Ligada a banco</t>
        </is>
      </c>
      <c r="C18" s="3" t="inlineStr">
        <is>
          <t>60746948000112</t>
        </is>
      </c>
      <c r="D18" s="3" t="inlineStr">
        <is>
          <t>BANCO BRADESCO S.A.</t>
        </is>
      </c>
    </row>
    <row r="19">
      <c r="A19" s="3" t="inlineStr">
        <is>
          <t>Bradesco</t>
        </is>
      </c>
      <c r="B19" s="3" t="inlineStr">
        <is>
          <t>Ligada a banco</t>
        </is>
      </c>
      <c r="C19" s="3" t="inlineStr">
        <is>
          <t>00066670000100</t>
        </is>
      </c>
      <c r="D19" s="3" t="inlineStr">
        <is>
          <t>BEM - DISTRIBUIDORA DE TITULOS E VALORES MOBILIARIOS LTDA.</t>
        </is>
      </c>
    </row>
    <row r="20">
      <c r="A20" s="3" t="inlineStr">
        <is>
          <t>Banco do Brasil</t>
        </is>
      </c>
      <c r="B20" s="3" t="inlineStr">
        <is>
          <t>Ligada a banco</t>
        </is>
      </c>
      <c r="C20" s="3" t="inlineStr">
        <is>
          <t>30822936000169</t>
        </is>
      </c>
      <c r="D20" s="3" t="inlineStr">
        <is>
          <t>BB GESTAO DE RECURSOS DTVM S.A</t>
        </is>
      </c>
    </row>
    <row r="21">
      <c r="A21" s="3" t="inlineStr">
        <is>
          <t>Banco do Brasil</t>
        </is>
      </c>
      <c r="B21" s="3" t="inlineStr">
        <is>
          <t>Ligada a banco</t>
        </is>
      </c>
      <c r="C21" s="3" t="inlineStr">
        <is>
          <t>00000000000191</t>
        </is>
      </c>
      <c r="D21" s="3" t="inlineStr">
        <is>
          <t>BANCO DO BRASIL S.A.</t>
        </is>
      </c>
    </row>
    <row r="22">
      <c r="A22" s="3" t="inlineStr">
        <is>
          <t>Caixa</t>
        </is>
      </c>
      <c r="B22" s="3" t="inlineStr">
        <is>
          <t>Ligada a banco</t>
        </is>
      </c>
      <c r="C22" s="3" t="inlineStr">
        <is>
          <t>00360305000104</t>
        </is>
      </c>
      <c r="D22" s="3" t="inlineStr">
        <is>
          <t>CAIXA ECONOMICA FEDERAL</t>
        </is>
      </c>
    </row>
    <row r="23">
      <c r="A23" s="3" t="inlineStr">
        <is>
          <t>Caixa</t>
        </is>
      </c>
      <c r="B23" s="3" t="inlineStr">
        <is>
          <t>Ligada a banco</t>
        </is>
      </c>
      <c r="C23" s="3" t="inlineStr">
        <is>
          <t>42040639000140</t>
        </is>
      </c>
      <c r="D23" s="3" t="inlineStr">
        <is>
          <t>CAIXA DISTRIBUIDORA DE TITULOS E VALORES MOBILIARIOS S.A.</t>
        </is>
      </c>
    </row>
    <row r="24">
      <c r="A24" s="3" t="inlineStr">
        <is>
          <t>Santander</t>
        </is>
      </c>
      <c r="B24" s="3" t="inlineStr">
        <is>
          <t>Ligada a banco</t>
        </is>
      </c>
      <c r="C24" s="3" t="inlineStr">
        <is>
          <t>62318407000119</t>
        </is>
      </c>
      <c r="D24" s="3" t="inlineStr">
        <is>
          <t>S3 CACEIS BRASIL DTVM S.A</t>
        </is>
      </c>
    </row>
    <row r="25">
      <c r="A25" s="3" t="inlineStr">
        <is>
          <t>Santander</t>
        </is>
      </c>
      <c r="B25" s="3" t="inlineStr">
        <is>
          <t>Ligada a banco</t>
        </is>
      </c>
      <c r="C25" s="3" t="inlineStr">
        <is>
          <t>90400888000142</t>
        </is>
      </c>
      <c r="D25" s="3" t="inlineStr">
        <is>
          <t>BANCO SANTANDER (BRASIL) S.A.</t>
        </is>
      </c>
    </row>
    <row r="26">
      <c r="A26" s="3" t="inlineStr">
        <is>
          <t>Santander</t>
        </is>
      </c>
      <c r="B26" s="3" t="inlineStr">
        <is>
          <t>Ligada a banco</t>
        </is>
      </c>
      <c r="C26" s="3" t="inlineStr">
        <is>
          <t>03502968000104</t>
        </is>
      </c>
      <c r="D26" s="3" t="inlineStr">
        <is>
          <t>SANTANDER DTVM S.A.</t>
        </is>
      </c>
    </row>
    <row r="27">
      <c r="A27" s="3" t="inlineStr">
        <is>
          <t>Genial</t>
        </is>
      </c>
      <c r="B27" s="3" t="inlineStr">
        <is>
          <t>Ligada a banco</t>
        </is>
      </c>
      <c r="C27" s="3" t="inlineStr">
        <is>
          <t>45246410000155</t>
        </is>
      </c>
      <c r="D27" s="3" t="inlineStr">
        <is>
          <t>BANCO GENIAL S.A.</t>
        </is>
      </c>
    </row>
    <row r="28">
      <c r="A28" s="3" t="inlineStr">
        <is>
          <t>Genial</t>
        </is>
      </c>
      <c r="B28" s="3" t="inlineStr">
        <is>
          <t>Ligada a banco</t>
        </is>
      </c>
      <c r="C28" s="3" t="inlineStr">
        <is>
          <t>27652684000162</t>
        </is>
      </c>
      <c r="D28" s="3" t="inlineStr">
        <is>
          <t>GENIAL INVESTIMENTOS CVM S.A.</t>
        </is>
      </c>
    </row>
    <row r="29">
      <c r="A29" s="3" t="inlineStr">
        <is>
          <t>Genial</t>
        </is>
      </c>
      <c r="B29" s="3" t="inlineStr">
        <is>
          <t>Ligada a banco</t>
        </is>
      </c>
      <c r="C29" s="3" t="inlineStr">
        <is>
          <t>22119959000183</t>
        </is>
      </c>
      <c r="D29" s="3" t="inlineStr">
        <is>
          <t>GENIAL GESTAO LTDA.</t>
        </is>
      </c>
    </row>
    <row r="30">
      <c r="A30" s="3" t="inlineStr">
        <is>
          <t>Daycoval</t>
        </is>
      </c>
      <c r="B30" s="3" t="inlineStr">
        <is>
          <t>Ligada a banco</t>
        </is>
      </c>
      <c r="C30" s="3" t="inlineStr">
        <is>
          <t>62232889000190</t>
        </is>
      </c>
      <c r="D30" s="3" t="inlineStr">
        <is>
          <t>BANCO DAYCOVAL S.A.</t>
        </is>
      </c>
    </row>
    <row r="31">
      <c r="A31" s="3" t="inlineStr">
        <is>
          <t>Daycoval</t>
        </is>
      </c>
      <c r="B31" s="3" t="inlineStr">
        <is>
          <t>Ligada a banco</t>
        </is>
      </c>
      <c r="C31" s="3" t="inlineStr">
        <is>
          <t>72027832000102</t>
        </is>
      </c>
      <c r="D31" s="3" t="inlineStr">
        <is>
          <t>DAYCOVAL ASSET MANAGEMENT LTDA</t>
        </is>
      </c>
    </row>
    <row r="32">
      <c r="A32" s="3" t="inlineStr">
        <is>
          <t>Plural</t>
        </is>
      </c>
      <c r="B32" s="3" t="inlineStr">
        <is>
          <t>Ligada a banco</t>
        </is>
      </c>
      <c r="C32" s="3" t="inlineStr">
        <is>
          <t>09630188000126</t>
        </is>
      </c>
      <c r="D32" s="3" t="inlineStr">
        <is>
          <t>PLURAL INVESTIMENTOS GESTAO DE RECURSOS LTDA.</t>
        </is>
      </c>
    </row>
    <row r="33">
      <c r="A33" s="3" t="inlineStr">
        <is>
          <t>Plural</t>
        </is>
      </c>
      <c r="B33" s="3" t="inlineStr">
        <is>
          <t>Ligada a banco</t>
        </is>
      </c>
      <c r="C33" s="3" t="inlineStr">
        <is>
          <t>11397672000280</t>
        </is>
      </c>
      <c r="D33" s="3" t="inlineStr">
        <is>
          <t>PLURAL GESTAO DE RECURSOS LTDA</t>
        </is>
      </c>
    </row>
    <row r="34">
      <c r="A34" s="3" t="inlineStr">
        <is>
          <t>Safra</t>
        </is>
      </c>
      <c r="B34" s="3" t="inlineStr">
        <is>
          <t>Ligada a banco</t>
        </is>
      </c>
      <c r="C34" s="3" t="inlineStr">
        <is>
          <t>03017677000120</t>
        </is>
      </c>
      <c r="D34" s="3" t="inlineStr">
        <is>
          <t>BANCO J. SAFRA S.A.</t>
        </is>
      </c>
    </row>
    <row r="35">
      <c r="A35" s="3" t="inlineStr">
        <is>
          <t>Banco Master</t>
        </is>
      </c>
      <c r="B35" s="3" t="inlineStr">
        <is>
          <t>Ligada a banco</t>
        </is>
      </c>
      <c r="C35" s="3" t="inlineStr">
        <is>
          <t>33886862000112</t>
        </is>
      </c>
      <c r="D35" s="3" t="inlineStr">
        <is>
          <t>MASTER S/A CCTVM</t>
        </is>
      </c>
    </row>
    <row r="36">
      <c r="A36" s="3" t="inlineStr">
        <is>
          <t>Inter</t>
        </is>
      </c>
      <c r="B36" s="3" t="inlineStr">
        <is>
          <t>Ligada a banco</t>
        </is>
      </c>
      <c r="C36" s="3" t="inlineStr">
        <is>
          <t>18945670000146</t>
        </is>
      </c>
      <c r="D36" s="3" t="inlineStr">
        <is>
          <t>INTER DTVM</t>
        </is>
      </c>
    </row>
    <row r="37">
      <c r="A37" s="3" t="inlineStr">
        <is>
          <t>Inter</t>
        </is>
      </c>
      <c r="B37" s="3" t="inlineStr">
        <is>
          <t>Ligada a banco</t>
        </is>
      </c>
      <c r="C37" s="3" t="inlineStr">
        <is>
          <t>05585083000141</t>
        </is>
      </c>
      <c r="D37" s="3" t="inlineStr">
        <is>
          <t>INTER ASSET GESTAO DE RECURSOS LTDA.</t>
        </is>
      </c>
    </row>
    <row r="38">
      <c r="A38" s="3" t="inlineStr">
        <is>
          <t>Oliveira Trust</t>
        </is>
      </c>
      <c r="B38" s="3" t="inlineStr">
        <is>
          <t>Independente Grande</t>
        </is>
      </c>
      <c r="C38" s="3" t="inlineStr">
        <is>
          <t>36113876000191</t>
        </is>
      </c>
      <c r="D38" s="3" t="inlineStr">
        <is>
          <t>OLIVEIRA TRUST DTVM S.A.</t>
        </is>
      </c>
    </row>
    <row r="39">
      <c r="A39" s="3" t="inlineStr">
        <is>
          <t>Oliveira Trust</t>
        </is>
      </c>
      <c r="B39" s="3" t="inlineStr">
        <is>
          <t>Independente Grande</t>
        </is>
      </c>
      <c r="C39" s="3" t="inlineStr">
        <is>
          <t>02150453000120</t>
        </is>
      </c>
      <c r="D39" s="3" t="inlineStr">
        <is>
          <t>OLIVEIRA TRUST SERVICER S/A</t>
        </is>
      </c>
    </row>
    <row r="40">
      <c r="A40" s="3" t="inlineStr">
        <is>
          <t>BRL Trust</t>
        </is>
      </c>
      <c r="B40" s="3" t="inlineStr">
        <is>
          <t>Independente Grande</t>
        </is>
      </c>
      <c r="C40" s="3" t="inlineStr">
        <is>
          <t>13486793000142</t>
        </is>
      </c>
      <c r="D40" s="3" t="inlineStr">
        <is>
          <t>BRL TRUST DTVM S.A.</t>
        </is>
      </c>
    </row>
    <row r="41">
      <c r="A41" s="3" t="inlineStr">
        <is>
          <t>QI Tech</t>
        </is>
      </c>
      <c r="B41" s="3" t="inlineStr">
        <is>
          <t>Independente</t>
        </is>
      </c>
      <c r="C41" s="3" t="inlineStr">
        <is>
          <t>62285390000140</t>
        </is>
      </c>
      <c r="D41" s="3" t="inlineStr">
        <is>
          <t>QI CORRETORA DE TITULOS E VALORES MOBILIARIOS S.A.</t>
        </is>
      </c>
    </row>
    <row r="42">
      <c r="A42" s="3" t="inlineStr">
        <is>
          <t>QI Tech</t>
        </is>
      </c>
      <c r="B42" s="3" t="inlineStr">
        <is>
          <t>Independente</t>
        </is>
      </c>
      <c r="C42" s="3" t="inlineStr">
        <is>
          <t>52332058000136</t>
        </is>
      </c>
      <c r="D42" s="3" t="inlineStr">
        <is>
          <t>QI GESTAO DE RECURSOS LTDA.</t>
        </is>
      </c>
    </row>
    <row r="43">
      <c r="A43" s="3" t="inlineStr">
        <is>
          <t>Vortx</t>
        </is>
      </c>
      <c r="B43" s="3" t="inlineStr">
        <is>
          <t>Independente</t>
        </is>
      </c>
      <c r="C43" s="3" t="inlineStr">
        <is>
          <t>22610500000188</t>
        </is>
      </c>
      <c r="D43" s="3" t="inlineStr">
        <is>
          <t>VORTX DTVM LTDA.</t>
        </is>
      </c>
    </row>
    <row r="44">
      <c r="A44" s="3" t="inlineStr">
        <is>
          <t>Vortx</t>
        </is>
      </c>
      <c r="B44" s="3" t="inlineStr">
        <is>
          <t>Independente</t>
        </is>
      </c>
      <c r="C44" s="3" t="inlineStr">
        <is>
          <t>09645906000138</t>
        </is>
      </c>
      <c r="D44" s="3" t="inlineStr">
        <is>
          <t>VORTX CAPITAL GESTAO DE RECURSOS LTDA</t>
        </is>
      </c>
    </row>
    <row r="45">
      <c r="A45" s="3" t="inlineStr">
        <is>
          <t>REAG</t>
        </is>
      </c>
      <c r="B45" s="3" t="inlineStr">
        <is>
          <t>Independente</t>
        </is>
      </c>
      <c r="C45" s="3" t="inlineStr">
        <is>
          <t>46356742000155</t>
        </is>
      </c>
      <c r="D45" s="3" t="inlineStr">
        <is>
          <t>REAG JUS GESTAO DE ATIVOS JUDICIAIS LTDA.</t>
        </is>
      </c>
    </row>
    <row r="46">
      <c r="A46" s="3" t="inlineStr">
        <is>
          <t>REAG</t>
        </is>
      </c>
      <c r="B46" s="3" t="inlineStr">
        <is>
          <t>Independente</t>
        </is>
      </c>
      <c r="C46" s="3" t="inlineStr">
        <is>
          <t>48954141000170</t>
        </is>
      </c>
      <c r="D46" s="3" t="inlineStr">
        <is>
          <t>REAG PORTFOLIO SOLUTIONS LTDA.</t>
        </is>
      </c>
    </row>
    <row r="47">
      <c r="A47" s="3" t="inlineStr">
        <is>
          <t>REAG</t>
        </is>
      </c>
      <c r="B47" s="3" t="inlineStr">
        <is>
          <t>Independente</t>
        </is>
      </c>
      <c r="C47" s="3" t="inlineStr">
        <is>
          <t>14084509000174</t>
        </is>
      </c>
      <c r="D47" s="3" t="inlineStr">
        <is>
          <t>REAG SPECIALTY FINANCE LTDA.</t>
        </is>
      </c>
    </row>
    <row r="48">
      <c r="A48" s="3" t="inlineStr">
        <is>
          <t>CBSF</t>
        </is>
      </c>
      <c r="B48" s="3" t="inlineStr">
        <is>
          <t>Independente</t>
        </is>
      </c>
      <c r="C48" s="3" t="inlineStr">
        <is>
          <t>34829992000186</t>
        </is>
      </c>
      <c r="D48" s="3" t="inlineStr">
        <is>
          <t>CBSF DTVM S.A.</t>
        </is>
      </c>
    </row>
    <row r="49">
      <c r="A49" s="3" t="inlineStr">
        <is>
          <t>CBSF</t>
        </is>
      </c>
      <c r="B49" s="3" t="inlineStr">
        <is>
          <t>Independente</t>
        </is>
      </c>
      <c r="C49" s="3" t="inlineStr">
        <is>
          <t>23863529000134</t>
        </is>
      </c>
      <c r="D49" s="3" t="inlineStr">
        <is>
          <t>CBSF TRUST ADMINISTRADORA DE RECURSOS LTDA.</t>
        </is>
      </c>
    </row>
    <row r="50">
      <c r="A50" s="3" t="inlineStr">
        <is>
          <t>Finaxis</t>
        </is>
      </c>
      <c r="B50" s="3" t="inlineStr">
        <is>
          <t>Independente</t>
        </is>
      </c>
      <c r="C50" s="3" t="inlineStr">
        <is>
          <t>11758741000152</t>
        </is>
      </c>
      <c r="D50" s="3" t="inlineStr">
        <is>
          <t>BANCO FINAXIS S.A.</t>
        </is>
      </c>
    </row>
    <row r="51">
      <c r="A51" s="3" t="inlineStr">
        <is>
          <t>Finaxis</t>
        </is>
      </c>
      <c r="B51" s="3" t="inlineStr">
        <is>
          <t>Independente</t>
        </is>
      </c>
      <c r="C51" s="3" t="inlineStr">
        <is>
          <t>03317692000194</t>
        </is>
      </c>
      <c r="D51" s="3" t="inlineStr">
        <is>
          <t>FINAXIS CCTVM S.A.</t>
        </is>
      </c>
    </row>
    <row r="52">
      <c r="A52" s="3" t="inlineStr">
        <is>
          <t>JIVE</t>
        </is>
      </c>
      <c r="B52" s="3" t="inlineStr">
        <is>
          <t>Independente</t>
        </is>
      </c>
      <c r="C52" s="3" t="inlineStr">
        <is>
          <t>07170960000149</t>
        </is>
      </c>
      <c r="D52" s="3" t="inlineStr">
        <is>
          <t>JIVE HIGH YIELD GESTAO DE RECURSOS LTDA.</t>
        </is>
      </c>
    </row>
    <row r="53">
      <c r="A53" s="3" t="inlineStr">
        <is>
          <t>JIVE</t>
        </is>
      </c>
      <c r="B53" s="3" t="inlineStr">
        <is>
          <t>Independente</t>
        </is>
      </c>
      <c r="C53" s="3" t="inlineStr">
        <is>
          <t>12600032000107</t>
        </is>
      </c>
      <c r="D53" s="3" t="inlineStr">
        <is>
          <t>JIVE INVESTMENTS GESTAO DE RECURSOS E CONSULTORIA S.A.</t>
        </is>
      </c>
    </row>
    <row r="55">
      <c r="A55" s="5" t="inlineStr">
        <is>
          <t>Fonte: De-para próprio, verificado por CNPJ contra industry_fund_snapshot (mai/2026). Config: config/conglomerados_fidc.json.</t>
        </is>
      </c>
    </row>
  </sheetData>
  <mergeCells count="2">
    <mergeCell ref="A1:D1"/>
    <mergeCell ref="A55:H5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8" customWidth="1" min="3" max="3"/>
    <col width="18" customWidth="1" min="4" max="4"/>
    <col width="16" customWidth="1" min="5" max="5"/>
    <col width="8" customWidth="1" min="6" max="6"/>
    <col width="9" customWidth="1" min="7" max="7"/>
    <col width="8" customWidth="1" min="8" max="8"/>
    <col width="9" customWidth="1" min="9" max="9"/>
    <col width="16" customWidth="1" min="10" max="10"/>
    <col width="9" customWidth="1" min="11" max="11"/>
    <col width="8" customWidth="1" min="12" max="12"/>
    <col width="9" customWidth="1" min="13" max="13"/>
    <col width="8" customWidth="1" min="14" max="14"/>
    <col width="34" customWidth="1" min="15" max="15"/>
    <col width="8" customWidth="1" min="16" max="16"/>
    <col width="9" customWidth="1" min="17" max="17"/>
  </cols>
  <sheetData>
    <row r="1" ht="24" customHeight="1">
      <c r="A1" s="1" t="inlineStr">
        <is>
          <t>Top 25 FIDCs por PL — 2026-05 (anatomia documental)</t>
        </is>
      </c>
    </row>
    <row r="3">
      <c r="A3" s="2" t="inlineStr">
        <is>
          <t>#</t>
        </is>
      </c>
      <c r="B3" s="2" t="inlineStr">
        <is>
          <t>fundo</t>
        </is>
      </c>
      <c r="C3" s="2" t="inlineStr">
        <is>
          <t>pl_bi</t>
        </is>
      </c>
      <c r="D3" s="2" t="inlineStr">
        <is>
          <t>gestor</t>
        </is>
      </c>
      <c r="E3" s="2" t="inlineStr">
        <is>
          <t>segmento</t>
        </is>
      </c>
      <c r="F3" s="2" t="inlineStr">
        <is>
          <t>n_classes_series</t>
        </is>
      </c>
      <c r="G3" s="2" t="inlineStr">
        <is>
          <t>subordinacao_%</t>
        </is>
      </c>
      <c r="H3" s="2" t="inlineStr">
        <is>
          <t>n_cedentes_identificados</t>
        </is>
      </c>
      <c r="I3" s="2" t="inlineStr">
        <is>
          <t>maior_cedente_%</t>
        </is>
      </c>
      <c r="J3" s="2" t="inlineStr">
        <is>
          <t>maior_cedente</t>
        </is>
      </c>
      <c r="K3" s="2" t="inlineStr">
        <is>
          <t>pct_vencido_inad</t>
        </is>
      </c>
      <c r="L3" s="2" t="inlineStr">
        <is>
          <t>pct_judicial</t>
        </is>
      </c>
      <c r="M3" s="2" t="inlineStr">
        <is>
          <t>sacado_perform_%</t>
        </is>
      </c>
      <c r="N3" s="2" t="inlineStr">
        <is>
          <t>n_cotistas</t>
        </is>
      </c>
      <c r="O3" s="2" t="inlineStr">
        <is>
          <t>top_investidores</t>
        </is>
      </c>
      <c r="P3" s="2" t="inlineStr">
        <is>
          <t>n_cotistas_institucionais</t>
        </is>
      </c>
      <c r="Q3" s="2" t="inlineStr">
        <is>
          <t>ano_1a_oferta</t>
        </is>
      </c>
    </row>
    <row r="4">
      <c r="A4" s="4" t="n">
        <v>1</v>
      </c>
      <c r="B4" s="3" t="inlineStr">
        <is>
          <t>FIDC DO SISTEMA PETROBRAS</t>
        </is>
      </c>
      <c r="C4" s="6" t="n">
        <v>60.84</v>
      </c>
      <c r="D4" s="3" t="inlineStr">
        <is>
          <t>Banco do Brasil</t>
        </is>
      </c>
      <c r="E4" s="3" t="inlineStr">
        <is>
          <t>Industrial</t>
        </is>
      </c>
      <c r="F4" s="4" t="n">
        <v>2</v>
      </c>
      <c r="G4" s="6" t="n">
        <v>0.2</v>
      </c>
      <c r="H4" s="4" t="n">
        <v>0</v>
      </c>
      <c r="I4" s="3" t="n"/>
      <c r="J4" s="3" t="n"/>
      <c r="K4" s="3" t="n"/>
      <c r="L4" s="3" t="n"/>
      <c r="M4" s="4" t="n">
        <v>100</v>
      </c>
      <c r="N4" s="4" t="n">
        <v>107</v>
      </c>
      <c r="O4" s="3" t="inlineStr">
        <is>
          <t>PJ não financeira (107)</t>
        </is>
      </c>
      <c r="P4" s="4" t="n">
        <v>0</v>
      </c>
      <c r="Q4" s="3" t="n"/>
    </row>
    <row r="5">
      <c r="A5" s="4" t="n">
        <v>2</v>
      </c>
      <c r="B5" s="3" t="inlineStr">
        <is>
          <t>TAPSO FUNDO DE INVESTIMENTO EM DIREITOS CREDITÓRIOS RESPONSABILIDADE L</t>
        </is>
      </c>
      <c r="C5" s="6" t="n">
        <v>40.66</v>
      </c>
      <c r="D5" s="3" t="inlineStr">
        <is>
          <t>Oliveira Trust</t>
        </is>
      </c>
      <c r="E5" s="3" t="inlineStr">
        <is>
          <t>Cartao de credito</t>
        </is>
      </c>
      <c r="F5" s="4" t="n">
        <v>4</v>
      </c>
      <c r="G5" s="4" t="n">
        <v>100</v>
      </c>
      <c r="H5" s="4" t="n">
        <v>0</v>
      </c>
      <c r="I5" s="3" t="n"/>
      <c r="J5" s="3" t="n"/>
      <c r="K5" s="3" t="n"/>
      <c r="L5" s="3" t="n"/>
      <c r="M5" s="4" t="n">
        <v>100</v>
      </c>
      <c r="N5" s="4" t="n">
        <v>10</v>
      </c>
      <c r="O5" s="3" t="inlineStr">
        <is>
          <t>PJ não financeira (6) · Investidor não residente (2) · Outros (2)</t>
        </is>
      </c>
      <c r="P5" s="4" t="n">
        <v>0</v>
      </c>
      <c r="Q5" s="3" t="n"/>
    </row>
    <row r="6">
      <c r="A6" s="4" t="n">
        <v>3</v>
      </c>
      <c r="B6" s="3" t="inlineStr">
        <is>
          <t xml:space="preserve">CLOUDWALK BELA FUNDO DE INVESTIMENTO EM DIREITOS CREDITÓRIOS SEGMENTO </t>
        </is>
      </c>
      <c r="C6" s="6" t="n">
        <v>9.98</v>
      </c>
      <c r="D6" s="3" t="inlineStr">
        <is>
          <t>Bradesco</t>
        </is>
      </c>
      <c r="E6" s="3" t="inlineStr">
        <is>
          <t>Cartao de credito</t>
        </is>
      </c>
      <c r="F6" s="4" t="n">
        <v>7</v>
      </c>
      <c r="G6" s="6" t="n">
        <v>15.3</v>
      </c>
      <c r="H6" s="4" t="n">
        <v>1</v>
      </c>
      <c r="I6" s="6" t="n">
        <v>92.5</v>
      </c>
      <c r="J6" s="3" t="inlineStr">
        <is>
          <t>CNPJ 18189547</t>
        </is>
      </c>
      <c r="K6" s="4" t="n">
        <v>0</v>
      </c>
      <c r="L6" s="4" t="n">
        <v>0</v>
      </c>
      <c r="M6" s="4" t="n">
        <v>100</v>
      </c>
      <c r="N6" s="4" t="n">
        <v>291</v>
      </c>
      <c r="O6" s="3" t="inlineStr">
        <is>
          <t>Outros fundos (279) · Banco (7) · Capitalização (4)</t>
        </is>
      </c>
      <c r="P6" s="4" t="n">
        <v>4</v>
      </c>
      <c r="Q6" s="4" t="n">
        <v>2025</v>
      </c>
    </row>
    <row r="7">
      <c r="A7" s="4" t="n">
        <v>4</v>
      </c>
      <c r="B7" s="3" t="inlineStr">
        <is>
          <t>ITAÚ CRÉDITO PRIVADO FUNDO DE INVESTIMENTO EM DIREITOS CREDITÓRIOS - R</t>
        </is>
      </c>
      <c r="C7" s="6" t="n">
        <v>8.619999999999999</v>
      </c>
      <c r="D7" s="3" t="inlineStr">
        <is>
          <t>Itau</t>
        </is>
      </c>
      <c r="E7" s="3" t="inlineStr">
        <is>
          <t>Servicos</t>
        </is>
      </c>
      <c r="F7" s="4" t="n">
        <v>1</v>
      </c>
      <c r="G7" s="4" t="n">
        <v>0</v>
      </c>
      <c r="H7" s="4" t="n">
        <v>0</v>
      </c>
      <c r="I7" s="3" t="n"/>
      <c r="J7" s="3" t="n"/>
      <c r="K7" s="4" t="n">
        <v>0</v>
      </c>
      <c r="L7" s="4" t="n">
        <v>0</v>
      </c>
      <c r="M7" s="4" t="n">
        <v>100</v>
      </c>
      <c r="N7" s="4" t="n">
        <v>4</v>
      </c>
      <c r="O7" s="3" t="inlineStr">
        <is>
          <t>Outros fundos (4)</t>
        </is>
      </c>
      <c r="P7" s="4" t="n">
        <v>0</v>
      </c>
      <c r="Q7" s="3" t="n"/>
    </row>
    <row r="8">
      <c r="A8" s="4" t="n">
        <v>5</v>
      </c>
      <c r="B8" s="3" t="inlineStr">
        <is>
          <t>ESPERANZA FUNDO DE INVESTIMENTO EM DIREITOS CREDITÓRIOS</t>
        </is>
      </c>
      <c r="C8" s="6" t="n">
        <v>8.42</v>
      </c>
      <c r="D8" s="3" t="inlineStr">
        <is>
          <t>REAG</t>
        </is>
      </c>
      <c r="E8" s="3" t="inlineStr">
        <is>
          <t>Financeiro</t>
        </is>
      </c>
      <c r="F8" s="4" t="n">
        <v>1</v>
      </c>
      <c r="G8" s="4" t="n">
        <v>0</v>
      </c>
      <c r="H8" s="4" t="n">
        <v>0</v>
      </c>
      <c r="I8" s="3" t="n"/>
      <c r="J8" s="3" t="n"/>
      <c r="K8" s="6" t="n">
        <v>5.4</v>
      </c>
      <c r="L8" s="4" t="n">
        <v>0</v>
      </c>
      <c r="M8" s="3" t="n"/>
      <c r="N8" s="4" t="n">
        <v>1</v>
      </c>
      <c r="O8" s="3" t="inlineStr">
        <is>
          <t>Outros fundos (1)</t>
        </is>
      </c>
      <c r="P8" s="4" t="n">
        <v>0</v>
      </c>
      <c r="Q8" s="3" t="n"/>
    </row>
    <row r="9">
      <c r="A9" s="4" t="n">
        <v>6</v>
      </c>
      <c r="B9" s="3" t="inlineStr">
        <is>
          <t>BTG PACTUAL CONSIGNADOS II FUNDO DE INVESTIMENTO EM DIREITOS CREDITÓRI</t>
        </is>
      </c>
      <c r="C9" s="6" t="n">
        <v>7.92</v>
      </c>
      <c r="D9" s="3" t="inlineStr">
        <is>
          <t>BTG Pactual</t>
        </is>
      </c>
      <c r="E9" s="3" t="inlineStr">
        <is>
          <t>Servicos</t>
        </is>
      </c>
      <c r="F9" s="4" t="n">
        <v>1</v>
      </c>
      <c r="G9" s="4" t="n">
        <v>0</v>
      </c>
      <c r="H9" s="4" t="n">
        <v>0</v>
      </c>
      <c r="I9" s="3" t="n"/>
      <c r="J9" s="3" t="n"/>
      <c r="K9" s="3" t="n"/>
      <c r="L9" s="3" t="n"/>
      <c r="M9" s="3" t="n"/>
      <c r="N9" s="4" t="n">
        <v>1</v>
      </c>
      <c r="O9" s="3" t="inlineStr">
        <is>
          <t>Outros fundos (1)</t>
        </is>
      </c>
      <c r="P9" s="4" t="n">
        <v>0</v>
      </c>
      <c r="Q9" s="3" t="n"/>
    </row>
    <row r="10">
      <c r="A10" s="4" t="n">
        <v>7</v>
      </c>
      <c r="B10" s="3" t="inlineStr">
        <is>
          <t>PAN AUTO FUNDO DE INVESTIMENTO EM DIREITOS CREDITÓRIOS RESPONSABILIDAD</t>
        </is>
      </c>
      <c r="C10" s="6" t="n">
        <v>7.73</v>
      </c>
      <c r="D10" s="3" t="inlineStr">
        <is>
          <t>BTG Pactual</t>
        </is>
      </c>
      <c r="E10" s="3" t="inlineStr">
        <is>
          <t>Comercial</t>
        </is>
      </c>
      <c r="F10" s="4" t="n">
        <v>1</v>
      </c>
      <c r="G10" s="4" t="n">
        <v>0</v>
      </c>
      <c r="H10" s="4" t="n">
        <v>0</v>
      </c>
      <c r="I10" s="3" t="n"/>
      <c r="J10" s="3" t="n"/>
      <c r="K10" s="3" t="n"/>
      <c r="L10" s="3" t="n"/>
      <c r="M10" s="3" t="n"/>
      <c r="N10" s="4" t="n">
        <v>1</v>
      </c>
      <c r="O10" s="3" t="inlineStr">
        <is>
          <t>Outros fundos (1)</t>
        </is>
      </c>
      <c r="P10" s="4" t="n">
        <v>0</v>
      </c>
      <c r="Q10" s="3" t="n"/>
    </row>
    <row r="11">
      <c r="A11" s="4" t="n">
        <v>8</v>
      </c>
      <c r="B11" s="3" t="inlineStr">
        <is>
          <t>AETOS ENERGIA FUNDO DE INVESTIMENTO EM DIREITOS CREDITÓRIOS</t>
        </is>
      </c>
      <c r="C11" s="6" t="n">
        <v>7.38</v>
      </c>
      <c r="D11" s="3" t="inlineStr">
        <is>
          <t>XP</t>
        </is>
      </c>
      <c r="E11" s="3" t="inlineStr">
        <is>
          <t>Servicos</t>
        </is>
      </c>
      <c r="F11" s="4" t="n">
        <v>4</v>
      </c>
      <c r="G11" s="6" t="n">
        <v>11.5</v>
      </c>
      <c r="H11" s="4" t="n">
        <v>1</v>
      </c>
      <c r="I11" s="6" t="n">
        <v>96.59999999999999</v>
      </c>
      <c r="J11" s="3" t="inlineStr">
        <is>
          <t>CNPJ 05449127</t>
        </is>
      </c>
      <c r="K11" s="4" t="n">
        <v>0</v>
      </c>
      <c r="L11" s="4" t="n">
        <v>0</v>
      </c>
      <c r="M11" s="3" t="n"/>
      <c r="N11" s="4" t="n">
        <v>8</v>
      </c>
      <c r="O11" s="3" t="inlineStr">
        <is>
          <t>PJ não financeira (5) · Outros fundos (3)</t>
        </is>
      </c>
      <c r="P11" s="4" t="n">
        <v>0</v>
      </c>
      <c r="Q11" s="3" t="n"/>
    </row>
    <row r="12">
      <c r="A12" s="4" t="n">
        <v>9</v>
      </c>
      <c r="B12" s="3" t="inlineStr">
        <is>
          <t>FUNDO DE INVESTIMENTO EM DIREITOS CREDITÓRIOS PAGSEGURO I</t>
        </is>
      </c>
      <c r="C12" s="6" t="n">
        <v>6.7</v>
      </c>
      <c r="D12" s="3" t="inlineStr">
        <is>
          <t>Genial</t>
        </is>
      </c>
      <c r="E12" s="3" t="inlineStr">
        <is>
          <t>Cartao de credito</t>
        </is>
      </c>
      <c r="F12" s="4" t="n">
        <v>5</v>
      </c>
      <c r="G12" s="6" t="n">
        <v>66.2</v>
      </c>
      <c r="H12" s="4" t="n">
        <v>0</v>
      </c>
      <c r="I12" s="3" t="n"/>
      <c r="J12" s="3" t="n"/>
      <c r="K12" s="3" t="n"/>
      <c r="L12" s="3" t="n"/>
      <c r="M12" s="4" t="n">
        <v>100</v>
      </c>
      <c r="N12" s="4" t="n">
        <v>4</v>
      </c>
      <c r="O12" s="3" t="inlineStr">
        <is>
          <t>Banco (2) · PJ não financeira (1) · Investidor não residente (1)</t>
        </is>
      </c>
      <c r="P12" s="4" t="n">
        <v>0</v>
      </c>
      <c r="Q12" s="4" t="n">
        <v>2024</v>
      </c>
    </row>
    <row r="13">
      <c r="A13" s="4" t="n">
        <v>10</v>
      </c>
      <c r="B13" s="3" t="inlineStr">
        <is>
          <t>CLASSE CONSIGNADO PRIVADO DO MT GLOBAL FUNDO DE INVESTIMENTO EM DIREIT</t>
        </is>
      </c>
      <c r="C13" s="6" t="n">
        <v>6.65</v>
      </c>
      <c r="D13" s="3" t="inlineStr">
        <is>
          <t>BTG Pactual</t>
        </is>
      </c>
      <c r="E13" s="3" t="n"/>
      <c r="F13" s="4" t="n">
        <v>0</v>
      </c>
      <c r="G13" s="3" t="n"/>
      <c r="H13" s="4" t="n">
        <v>0</v>
      </c>
      <c r="I13" s="3" t="n"/>
      <c r="J13" s="3" t="n"/>
      <c r="K13" s="3" t="n"/>
      <c r="L13" s="3" t="n"/>
      <c r="M13" s="3" t="n"/>
      <c r="N13" s="4" t="n">
        <v>0</v>
      </c>
      <c r="O13" s="3" t="n"/>
      <c r="P13" s="4" t="n">
        <v>0</v>
      </c>
      <c r="Q13" s="3" t="n"/>
    </row>
    <row r="14">
      <c r="A14" s="4" t="n">
        <v>11</v>
      </c>
      <c r="B14" s="3" t="inlineStr">
        <is>
          <t>CIELO FUNDO DE INVESTIMENTO EM DIREITOS CREDITÓRIOS</t>
        </is>
      </c>
      <c r="C14" s="6" t="n">
        <v>6.47</v>
      </c>
      <c r="D14" s="3" t="inlineStr">
        <is>
          <t>Bradesco</t>
        </is>
      </c>
      <c r="E14" s="3" t="inlineStr">
        <is>
          <t>Cartao de credito</t>
        </is>
      </c>
      <c r="F14" s="4" t="n">
        <v>5</v>
      </c>
      <c r="G14" s="6" t="n">
        <v>84.3</v>
      </c>
      <c r="H14" s="4" t="n">
        <v>0</v>
      </c>
      <c r="I14" s="3" t="n"/>
      <c r="J14" s="3" t="n"/>
      <c r="K14" s="3" t="n"/>
      <c r="L14" s="3" t="n"/>
      <c r="M14" s="4" t="n">
        <v>100</v>
      </c>
      <c r="N14" s="4" t="n">
        <v>61</v>
      </c>
      <c r="O14" s="3" t="inlineStr">
        <is>
          <t>Outros fundos (60) · PJ não financeira (1)</t>
        </is>
      </c>
      <c r="P14" s="4" t="n">
        <v>0</v>
      </c>
      <c r="Q14" s="4" t="n">
        <v>2025</v>
      </c>
    </row>
    <row r="15">
      <c r="A15" s="4" t="n">
        <v>12</v>
      </c>
      <c r="B15" s="3" t="inlineStr">
        <is>
          <t>RIO VERMELHO FUNDO DE INVESTIMENTO EM DIREITOS CREDITÓRIOS NÃO PADRONI</t>
        </is>
      </c>
      <c r="C15" s="6" t="n">
        <v>6.39</v>
      </c>
      <c r="D15" s="3" t="inlineStr">
        <is>
          <t>CBSF</t>
        </is>
      </c>
      <c r="E15" s="3" t="inlineStr">
        <is>
          <t>Financeiro</t>
        </is>
      </c>
      <c r="F15" s="4" t="n">
        <v>1</v>
      </c>
      <c r="G15" s="4" t="n">
        <v>0</v>
      </c>
      <c r="H15" s="4" t="n">
        <v>0</v>
      </c>
      <c r="I15" s="3" t="n"/>
      <c r="J15" s="3" t="n"/>
      <c r="K15" s="4" t="n">
        <v>0</v>
      </c>
      <c r="L15" s="4" t="n">
        <v>0</v>
      </c>
      <c r="M15" s="3" t="n"/>
      <c r="N15" s="4" t="n">
        <v>2</v>
      </c>
      <c r="O15" s="3" t="inlineStr">
        <is>
          <t>Cotas de FIDC (1) · Outros fundos (1)</t>
        </is>
      </c>
      <c r="P15" s="4" t="n">
        <v>0</v>
      </c>
      <c r="Q15" s="4" t="n">
        <v>2024</v>
      </c>
    </row>
    <row r="16">
      <c r="A16" s="4" t="n">
        <v>13</v>
      </c>
      <c r="B16" s="3" t="inlineStr">
        <is>
          <t>BTG PACTUAL CONSIGNADOS FUNDO DE INVESTIMENTO EM DIREITOS CREDITÓRIOS</t>
        </is>
      </c>
      <c r="C16" s="6" t="n">
        <v>5.93</v>
      </c>
      <c r="D16" s="3" t="inlineStr">
        <is>
          <t>BTG Pactual</t>
        </is>
      </c>
      <c r="E16" s="3" t="inlineStr">
        <is>
          <t>Comercial</t>
        </is>
      </c>
      <c r="F16" s="4" t="n">
        <v>1</v>
      </c>
      <c r="G16" s="4" t="n">
        <v>0</v>
      </c>
      <c r="H16" s="4" t="n">
        <v>0</v>
      </c>
      <c r="I16" s="3" t="n"/>
      <c r="J16" s="3" t="n"/>
      <c r="K16" s="3" t="n"/>
      <c r="L16" s="3" t="n"/>
      <c r="M16" s="3" t="n"/>
      <c r="N16" s="4" t="n">
        <v>1</v>
      </c>
      <c r="O16" s="3" t="inlineStr">
        <is>
          <t>Outros fundos (1)</t>
        </is>
      </c>
      <c r="P16" s="4" t="n">
        <v>0</v>
      </c>
      <c r="Q16" s="3" t="n"/>
    </row>
    <row r="17">
      <c r="A17" s="4" t="n">
        <v>14</v>
      </c>
      <c r="B17" s="3" t="inlineStr">
        <is>
          <t>FUNDO DE INVESTIMENTO EM DIREITOS CREDITÓRIOS ALTERNATIVE ASSETS III R</t>
        </is>
      </c>
      <c r="C17" s="6" t="n">
        <v>5.77</v>
      </c>
      <c r="D17" s="3" t="inlineStr">
        <is>
          <t>BTG Pactual</t>
        </is>
      </c>
      <c r="E17" s="3" t="inlineStr">
        <is>
          <t>Setor publico</t>
        </is>
      </c>
      <c r="F17" s="4" t="n">
        <v>1</v>
      </c>
      <c r="G17" s="4" t="n">
        <v>0</v>
      </c>
      <c r="H17" s="4" t="n">
        <v>4</v>
      </c>
      <c r="I17" s="6" t="n">
        <v>20.2</v>
      </c>
      <c r="J17" s="3" t="inlineStr">
        <is>
          <t>CNPJ 80539943</t>
        </is>
      </c>
      <c r="K17" s="4" t="n">
        <v>0</v>
      </c>
      <c r="L17" s="4" t="n">
        <v>0</v>
      </c>
      <c r="M17" s="3" t="n"/>
      <c r="N17" s="4" t="n">
        <v>1</v>
      </c>
      <c r="O17" s="3" t="inlineStr">
        <is>
          <t>Outros fundos (1)</t>
        </is>
      </c>
      <c r="P17" s="4" t="n">
        <v>0</v>
      </c>
      <c r="Q17" s="3" t="n"/>
    </row>
    <row r="18">
      <c r="A18" s="4" t="n">
        <v>15</v>
      </c>
      <c r="B18" s="3" t="inlineStr">
        <is>
          <t>NC 2025 I FUNDO DE INVESTIMENTO EM DIREITOS CREDITÓRIOS RESPONSABILIDA</t>
        </is>
      </c>
      <c r="C18" s="6" t="n">
        <v>5.66</v>
      </c>
      <c r="D18" s="3" t="inlineStr">
        <is>
          <t>KANASTRA ADMINISTRAÇÃO DE RECURSOS LTDA</t>
        </is>
      </c>
      <c r="E18" s="3" t="inlineStr">
        <is>
          <t>Financeiro</t>
        </is>
      </c>
      <c r="F18" s="4" t="n">
        <v>1</v>
      </c>
      <c r="G18" s="4" t="n">
        <v>0</v>
      </c>
      <c r="H18" s="4" t="n">
        <v>0</v>
      </c>
      <c r="I18" s="3" t="n"/>
      <c r="J18" s="3" t="n"/>
      <c r="K18" s="4" t="n">
        <v>0</v>
      </c>
      <c r="L18" s="4" t="n">
        <v>0</v>
      </c>
      <c r="M18" s="4" t="n">
        <v>100</v>
      </c>
      <c r="N18" s="4" t="n">
        <v>1</v>
      </c>
      <c r="O18" s="3" t="inlineStr">
        <is>
          <t>Banco (1)</t>
        </is>
      </c>
      <c r="P18" s="4" t="n">
        <v>0</v>
      </c>
      <c r="Q18" s="3" t="n"/>
    </row>
    <row r="19">
      <c r="A19" s="4" t="n">
        <v>16</v>
      </c>
      <c r="B19" s="3" t="inlineStr">
        <is>
          <t>FUNDO DE INVESTIMENTO EM DIREITOS CREDITÓRIOS MONEE I DE RESPONSABILID</t>
        </is>
      </c>
      <c r="C19" s="4" t="n">
        <v>5</v>
      </c>
      <c r="D19" s="3" t="inlineStr">
        <is>
          <t>VALORA RENDA FIXA LTDA.</t>
        </is>
      </c>
      <c r="E19" s="3" t="inlineStr">
        <is>
          <t>Financeiro</t>
        </is>
      </c>
      <c r="F19" s="4" t="n">
        <v>2</v>
      </c>
      <c r="G19" s="4" t="n">
        <v>100</v>
      </c>
      <c r="H19" s="4" t="n">
        <v>3</v>
      </c>
      <c r="I19" s="6" t="n">
        <v>65.3</v>
      </c>
      <c r="J19" s="3" t="inlineStr">
        <is>
          <t>CNPJ 32402502</t>
        </is>
      </c>
      <c r="K19" s="6" t="n">
        <v>21.9</v>
      </c>
      <c r="L19" s="4" t="n">
        <v>0</v>
      </c>
      <c r="M19" s="4" t="n">
        <v>0</v>
      </c>
      <c r="N19" s="4" t="n">
        <v>2</v>
      </c>
      <c r="O19" s="3" t="inlineStr">
        <is>
          <t>PJ não financeira (2)</t>
        </is>
      </c>
      <c r="P19" s="4" t="n">
        <v>0</v>
      </c>
      <c r="Q19" s="3" t="n"/>
    </row>
    <row r="20">
      <c r="A20" s="4" t="n">
        <v>17</v>
      </c>
      <c r="B20" s="3" t="inlineStr">
        <is>
          <t>FUNDO DE INVESTIMENTO EM DIREITOS CREDITÓRIOS PICPAY I</t>
        </is>
      </c>
      <c r="C20" s="6" t="n">
        <v>4.56</v>
      </c>
      <c r="D20" s="3" t="inlineStr">
        <is>
          <t>Genial</t>
        </is>
      </c>
      <c r="E20" s="3" t="inlineStr">
        <is>
          <t>Cartao de credito</t>
        </is>
      </c>
      <c r="F20" s="4" t="n">
        <v>2</v>
      </c>
      <c r="G20" s="6" t="n">
        <v>10.7</v>
      </c>
      <c r="H20" s="4" t="n">
        <v>1</v>
      </c>
      <c r="I20" s="6" t="n">
        <v>0.9</v>
      </c>
      <c r="J20" s="3" t="inlineStr">
        <is>
          <t>CNPJ 22896431</t>
        </is>
      </c>
      <c r="K20" s="4" t="n">
        <v>0</v>
      </c>
      <c r="L20" s="4" t="n">
        <v>0</v>
      </c>
      <c r="M20" s="3" t="n"/>
      <c r="N20" s="4" t="n">
        <v>2</v>
      </c>
      <c r="O20" s="3" t="inlineStr">
        <is>
          <t>Banco (1) · PJ financeira (1)</t>
        </is>
      </c>
      <c r="P20" s="4" t="n">
        <v>0</v>
      </c>
      <c r="Q20" s="3" t="n"/>
    </row>
    <row r="21">
      <c r="A21" s="4" t="n">
        <v>18</v>
      </c>
      <c r="B21" s="3" t="inlineStr">
        <is>
          <t>ARTESANAL MASTER FUNDO DE INVESTIMENTO EM DIREITOS CREDITÓRIOS</t>
        </is>
      </c>
      <c r="C21" s="6" t="n">
        <v>4.35</v>
      </c>
      <c r="D21" s="3" t="inlineStr">
        <is>
          <t>ARTESANAL INVESTIMENTOS LTDA</t>
        </is>
      </c>
      <c r="E21" s="3" t="n"/>
      <c r="F21" s="4" t="n">
        <v>1</v>
      </c>
      <c r="G21" s="4" t="n">
        <v>0</v>
      </c>
      <c r="H21" s="4" t="n">
        <v>0</v>
      </c>
      <c r="I21" s="3" t="n"/>
      <c r="J21" s="3" t="n"/>
      <c r="K21" s="3" t="n"/>
      <c r="L21" s="3" t="n"/>
      <c r="M21" s="3" t="n"/>
      <c r="N21" s="4" t="n">
        <v>13</v>
      </c>
      <c r="O21" s="3" t="inlineStr">
        <is>
          <t>Cotas de FIDC (10) · Outros fundos (3)</t>
        </is>
      </c>
      <c r="P21" s="4" t="n">
        <v>0</v>
      </c>
      <c r="Q21" s="3" t="n"/>
    </row>
    <row r="22">
      <c r="A22" s="4" t="n">
        <v>19</v>
      </c>
      <c r="B22" s="3" t="inlineStr">
        <is>
          <t>HIGH TOWER FUNDO DE INVESTIMENTO EM DIREITOS CREDITÓRIOS NÃO-PADRONIZA</t>
        </is>
      </c>
      <c r="C22" s="6" t="n">
        <v>3.97</v>
      </c>
      <c r="D22" s="3" t="inlineStr">
        <is>
          <t>CBSF</t>
        </is>
      </c>
      <c r="E22" s="3" t="inlineStr">
        <is>
          <t>Financeiro</t>
        </is>
      </c>
      <c r="F22" s="4" t="n">
        <v>1</v>
      </c>
      <c r="G22" s="4" t="n">
        <v>0</v>
      </c>
      <c r="H22" s="4" t="n">
        <v>0</v>
      </c>
      <c r="I22" s="3" t="n"/>
      <c r="J22" s="3" t="n"/>
      <c r="K22" s="6" t="n">
        <v>0.1</v>
      </c>
      <c r="L22" s="4" t="n">
        <v>0</v>
      </c>
      <c r="M22" s="3" t="n"/>
      <c r="N22" s="4" t="n">
        <v>1</v>
      </c>
      <c r="O22" s="3" t="inlineStr">
        <is>
          <t>Cotas de FIDC (1)</t>
        </is>
      </c>
      <c r="P22" s="4" t="n">
        <v>0</v>
      </c>
      <c r="Q22" s="3" t="n"/>
    </row>
    <row r="23">
      <c r="A23" s="4" t="n">
        <v>20</v>
      </c>
      <c r="B23" s="3" t="inlineStr">
        <is>
          <t>DAY MAXX 2 FUNDO DE INVESTIMENTO EM DIREITOS CREDITÓRIOS DE RESPONSABI</t>
        </is>
      </c>
      <c r="C23" s="6" t="n">
        <v>3.92</v>
      </c>
      <c r="D23" s="3" t="inlineStr">
        <is>
          <t>Daycoval</t>
        </is>
      </c>
      <c r="E23" s="3" t="inlineStr">
        <is>
          <t>Financeiro</t>
        </is>
      </c>
      <c r="F23" s="4" t="n">
        <v>6</v>
      </c>
      <c r="G23" s="6" t="n">
        <v>63.4</v>
      </c>
      <c r="H23" s="4" t="n">
        <v>0</v>
      </c>
      <c r="I23" s="3" t="n"/>
      <c r="J23" s="3" t="n"/>
      <c r="K23" s="6" t="n">
        <v>12.6</v>
      </c>
      <c r="L23" s="4" t="n">
        <v>0</v>
      </c>
      <c r="M23" s="4" t="n">
        <v>97</v>
      </c>
      <c r="N23" s="4" t="n">
        <v>7</v>
      </c>
      <c r="O23" s="3" t="inlineStr">
        <is>
          <t>Outros fundos (4) · PJ não financeira (2) · Banco (1)</t>
        </is>
      </c>
      <c r="P23" s="4" t="n">
        <v>0</v>
      </c>
      <c r="Q23" s="3" t="n"/>
    </row>
    <row r="24">
      <c r="A24" s="4" t="n">
        <v>21</v>
      </c>
      <c r="B24" s="3" t="inlineStr">
        <is>
          <t>SELLER FIDC SEGMENTO MEIOS DE PAGAMENTO DE RESPONSABILIDADE LIMITADA</t>
        </is>
      </c>
      <c r="C24" s="6" t="n">
        <v>3.63</v>
      </c>
      <c r="D24" s="3" t="inlineStr">
        <is>
          <t>Oliveira Trust</t>
        </is>
      </c>
      <c r="E24" s="3" t="inlineStr">
        <is>
          <t>Servicos</t>
        </is>
      </c>
      <c r="F24" s="4" t="n">
        <v>4</v>
      </c>
      <c r="G24" s="6" t="n">
        <v>50.2</v>
      </c>
      <c r="H24" s="4" t="n">
        <v>0</v>
      </c>
      <c r="I24" s="3" t="n"/>
      <c r="J24" s="3" t="n"/>
      <c r="K24" s="3" t="n"/>
      <c r="L24" s="3" t="n"/>
      <c r="M24" s="4" t="n">
        <v>100</v>
      </c>
      <c r="N24" s="4" t="n">
        <v>8</v>
      </c>
      <c r="O24" s="3" t="inlineStr">
        <is>
          <t>PJ financeira (3) · Outros fundos (3) · Outros (2)</t>
        </is>
      </c>
      <c r="P24" s="4" t="n">
        <v>0</v>
      </c>
      <c r="Q24" s="4" t="n">
        <v>2025</v>
      </c>
    </row>
    <row r="25">
      <c r="A25" s="4" t="n">
        <v>22</v>
      </c>
      <c r="B25" s="3" t="inlineStr">
        <is>
          <t xml:space="preserve">FIDC ACR BEM BANCOS EMISSORES DE CARTÃO DE CRÉDITO - RESPONSABILIDADE </t>
        </is>
      </c>
      <c r="C25" s="6" t="n">
        <v>3.63</v>
      </c>
      <c r="D25" s="3" t="inlineStr">
        <is>
          <t>Bradesco</t>
        </is>
      </c>
      <c r="E25" s="3" t="inlineStr">
        <is>
          <t>Cartao de credito</t>
        </is>
      </c>
      <c r="F25" s="4" t="n">
        <v>2</v>
      </c>
      <c r="G25" s="4" t="n">
        <v>3</v>
      </c>
      <c r="H25" s="4" t="n">
        <v>1</v>
      </c>
      <c r="I25" s="4" t="n">
        <v>100</v>
      </c>
      <c r="J25" s="3" t="inlineStr">
        <is>
          <t>CNPJ 16501555</t>
        </is>
      </c>
      <c r="K25" s="4" t="n">
        <v>0</v>
      </c>
      <c r="L25" s="4" t="n">
        <v>0</v>
      </c>
      <c r="M25" s="4" t="n">
        <v>100</v>
      </c>
      <c r="N25" s="4" t="n">
        <v>66</v>
      </c>
      <c r="O25" s="3" t="inlineStr">
        <is>
          <t>Outros fundos (65) · Banco (1)</t>
        </is>
      </c>
      <c r="P25" s="4" t="n">
        <v>0</v>
      </c>
      <c r="Q25" s="4" t="n">
        <v>2024</v>
      </c>
    </row>
    <row r="26">
      <c r="A26" s="4" t="n">
        <v>23</v>
      </c>
      <c r="B26" s="3" t="inlineStr">
        <is>
          <t>RSCRED MULTIESTRÉGIA - FUNDO DE INVESTIMENTO EM DIREITOS CREDITÓRIOS N</t>
        </is>
      </c>
      <c r="C26" s="6" t="n">
        <v>3.6</v>
      </c>
      <c r="D26" s="3" t="inlineStr">
        <is>
          <t>SECURITY ADM. DE RECURSOS LTDA</t>
        </is>
      </c>
      <c r="E26" s="3" t="inlineStr">
        <is>
          <t>Financeiro</t>
        </is>
      </c>
      <c r="F26" s="4" t="n">
        <v>2</v>
      </c>
      <c r="G26" s="4" t="n">
        <v>100</v>
      </c>
      <c r="H26" s="4" t="n">
        <v>0</v>
      </c>
      <c r="I26" s="3" t="n"/>
      <c r="J26" s="3" t="n"/>
      <c r="K26" s="4" t="n">
        <v>0</v>
      </c>
      <c r="L26" s="4" t="n">
        <v>0</v>
      </c>
      <c r="M26" s="4" t="n">
        <v>100</v>
      </c>
      <c r="N26" s="4" t="n">
        <v>1</v>
      </c>
      <c r="O26" s="3" t="inlineStr">
        <is>
          <t>PJ financeira (1)</t>
        </is>
      </c>
      <c r="P26" s="4" t="n">
        <v>0</v>
      </c>
      <c r="Q26" s="3" t="n"/>
    </row>
    <row r="27">
      <c r="A27" s="4" t="n">
        <v>24</v>
      </c>
      <c r="B27" s="3" t="inlineStr">
        <is>
          <t>HAVAN FUNDO DE INVESTIMENTO EM DIREITOS CREDITÓRIOS SEGMENTO ECONÔMICO</t>
        </is>
      </c>
      <c r="C27" s="6" t="n">
        <v>3.58</v>
      </c>
      <c r="D27" s="3" t="inlineStr">
        <is>
          <t>PETRA CAPITAL GESTÃO DE INVESTIMENTOS LTDA</t>
        </is>
      </c>
      <c r="E27" s="3" t="inlineStr">
        <is>
          <t>Comercial</t>
        </is>
      </c>
      <c r="F27" s="4" t="n">
        <v>1</v>
      </c>
      <c r="G27" s="4" t="n">
        <v>0</v>
      </c>
      <c r="H27" s="4" t="n">
        <v>1</v>
      </c>
      <c r="I27" s="6" t="n">
        <v>114.4</v>
      </c>
      <c r="J27" s="3" t="inlineStr">
        <is>
          <t>CNPJ 79379491</t>
        </is>
      </c>
      <c r="K27" s="4" t="n">
        <v>43</v>
      </c>
      <c r="L27" s="4" t="n">
        <v>0</v>
      </c>
      <c r="M27" s="3" t="n"/>
      <c r="N27" s="4" t="n">
        <v>1</v>
      </c>
      <c r="O27" s="3" t="inlineStr">
        <is>
          <t>Outros fundos (1)</t>
        </is>
      </c>
      <c r="P27" s="4" t="n">
        <v>0</v>
      </c>
      <c r="Q27" s="3" t="n"/>
    </row>
    <row r="28">
      <c r="A28" s="4" t="n">
        <v>25</v>
      </c>
      <c r="B28" s="3" t="inlineStr">
        <is>
          <t>EXPERT III FUNDO DE INVESTIMENTO EM DIREITOS CREDITÓRIOS DE RESPONSABI</t>
        </is>
      </c>
      <c r="C28" s="6" t="n">
        <v>3.55</v>
      </c>
      <c r="D28" s="3" t="inlineStr">
        <is>
          <t>Daycoval</t>
        </is>
      </c>
      <c r="E28" s="3" t="n"/>
      <c r="F28" s="4" t="n">
        <v>2</v>
      </c>
      <c r="G28" s="4" t="n">
        <v>100</v>
      </c>
      <c r="H28" s="4" t="n">
        <v>0</v>
      </c>
      <c r="I28" s="3" t="n"/>
      <c r="J28" s="3" t="n"/>
      <c r="K28" s="3" t="n"/>
      <c r="L28" s="3" t="n"/>
      <c r="M28" s="3" t="n"/>
      <c r="N28" s="4" t="n">
        <v>6</v>
      </c>
      <c r="O28" s="3" t="inlineStr">
        <is>
          <t>Pessoa física (6)</t>
        </is>
      </c>
      <c r="P28" s="4" t="n">
        <v>0</v>
      </c>
      <c r="Q28" s="3" t="n"/>
    </row>
    <row r="30">
      <c r="A30" s="5" t="inlineStr">
        <is>
          <t>Fonte: Informe Mensal Estruturado (CVM), mai/2026 + leituras de regulamento (Toma Conta). Subordinação = PL classe subordinada / PL total (Tab X_2). Cedente = TAB_I2A12 (até 9, com %). Cotistas por investidor = Tab X_1_1.</t>
        </is>
      </c>
    </row>
  </sheetData>
  <mergeCells count="2">
    <mergeCell ref="A30:H30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 ht="24" customHeight="1">
      <c r="A1" s="1" t="inlineStr">
        <is>
          <t>Número de cotistas — fundos &gt; R$ 200 mi de PL</t>
        </is>
      </c>
    </row>
    <row r="2">
      <c r="A2" t="inlineStr">
        <is>
          <t>Universo: 863 fundos / R$ 794 bi de PL</t>
        </is>
      </c>
    </row>
    <row r="4">
      <c r="A4" s="2" t="inlineStr">
        <is>
          <t>Faixa</t>
        </is>
      </c>
      <c r="B4" s="2" t="inlineStr">
        <is>
          <t># Fundos</t>
        </is>
      </c>
      <c r="C4" s="2" t="inlineStr">
        <is>
          <t>PL (R$ bi)</t>
        </is>
      </c>
    </row>
    <row r="5">
      <c r="A5" s="3" t="inlineStr">
        <is>
          <t>Até 2 cotistas</t>
        </is>
      </c>
      <c r="B5" s="4" t="n">
        <v>273</v>
      </c>
      <c r="C5" s="4" t="n">
        <v>251</v>
      </c>
    </row>
    <row r="6">
      <c r="A6" s="3" t="inlineStr">
        <is>
          <t>3 cotistas</t>
        </is>
      </c>
      <c r="B6" s="4" t="n">
        <v>53</v>
      </c>
      <c r="C6" s="4" t="n">
        <v>33</v>
      </c>
    </row>
    <row r="7">
      <c r="A7" s="3" t="inlineStr">
        <is>
          <t>4 cotistas</t>
        </is>
      </c>
      <c r="B7" s="4" t="n">
        <v>49</v>
      </c>
      <c r="C7" s="4" t="n">
        <v>51</v>
      </c>
    </row>
    <row r="8">
      <c r="A8" s="3" t="inlineStr">
        <is>
          <t>5 ou mais</t>
        </is>
      </c>
      <c r="B8" s="4" t="n">
        <v>488</v>
      </c>
      <c r="C8" s="4" t="n">
        <v>459</v>
      </c>
    </row>
    <row r="12">
      <c r="A12" s="5" t="inlineStr">
        <is>
          <t>Fonte: Informe Mensal FIDC/CVM — Tabela X (nº de cotistas) via Toma Conta. Filtro PL &gt; R$ 200 mi.</t>
        </is>
      </c>
    </row>
  </sheetData>
  <mergeCells count="2">
    <mergeCell ref="A12:H1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24" customHeight="1">
      <c r="A1" s="1" t="inlineStr">
        <is>
          <t>Nº de cotistas por segmento de investidor — 2026-06</t>
        </is>
      </c>
    </row>
    <row r="3">
      <c r="A3" s="2" t="inlineStr">
        <is>
          <t>Segmento</t>
        </is>
      </c>
      <c r="B3" s="2" t="inlineStr">
        <is>
          <t># Cotistas</t>
        </is>
      </c>
    </row>
    <row r="4">
      <c r="A4" s="3" t="inlineStr">
        <is>
          <t>Outros fundos</t>
        </is>
      </c>
      <c r="B4" s="4" t="n">
        <v>7159</v>
      </c>
    </row>
    <row r="5">
      <c r="A5" s="3" t="inlineStr">
        <is>
          <t>Pessoa fisica</t>
        </is>
      </c>
      <c r="B5" s="4" t="n">
        <v>3578</v>
      </c>
    </row>
    <row r="6">
      <c r="A6" s="3" t="inlineStr">
        <is>
          <t>Outros</t>
        </is>
      </c>
      <c r="B6" s="4" t="n">
        <v>3246</v>
      </c>
    </row>
    <row r="7">
      <c r="A7" s="3" t="inlineStr">
        <is>
          <t>PJ nao financeira</t>
        </is>
      </c>
      <c r="B7" s="4" t="n">
        <v>544</v>
      </c>
    </row>
    <row r="8">
      <c r="A8" s="3" t="inlineStr">
        <is>
          <t>Corretora/distribuidora</t>
        </is>
      </c>
      <c r="B8" s="4" t="n">
        <v>248</v>
      </c>
    </row>
    <row r="9">
      <c r="A9" s="3" t="inlineStr">
        <is>
          <t>Banco comercial</t>
        </is>
      </c>
      <c r="B9" s="4" t="n">
        <v>126</v>
      </c>
    </row>
    <row r="10">
      <c r="A10" s="3" t="inlineStr">
        <is>
          <t>Cotas de FIDC (outros FIDC/FIC-FIDC)</t>
        </is>
      </c>
      <c r="B10" s="4" t="n">
        <v>71</v>
      </c>
    </row>
    <row r="11">
      <c r="A11" s="3" t="inlineStr">
        <is>
          <t>Previdencia fechada (EFPC)</t>
        </is>
      </c>
      <c r="B11" s="4" t="n">
        <v>34</v>
      </c>
    </row>
    <row r="12">
      <c r="A12" s="3" t="inlineStr">
        <is>
          <t>Investidor nao residente</t>
        </is>
      </c>
      <c r="B12" s="4" t="n">
        <v>33</v>
      </c>
    </row>
    <row r="13">
      <c r="A13" s="3" t="inlineStr">
        <is>
          <t>Outra PJ financeira</t>
        </is>
      </c>
      <c r="B13" s="4" t="n">
        <v>12</v>
      </c>
    </row>
    <row r="14">
      <c r="A14" s="3" t="inlineStr">
        <is>
          <t>Clube de investimento</t>
        </is>
      </c>
      <c r="B14" s="4" t="n">
        <v>5</v>
      </c>
    </row>
    <row r="15">
      <c r="A15" s="3" t="inlineStr">
        <is>
          <t>Regime proprio (RPPS)</t>
        </is>
      </c>
      <c r="B15" s="4" t="n">
        <v>4</v>
      </c>
    </row>
    <row r="18">
      <c r="A18" s="5" t="inlineStr">
        <is>
          <t>Fonte: Informe Mensal FIDC/CVM — nº de cotistas por segmento de investidor, via Toma Conta.</t>
        </is>
      </c>
    </row>
  </sheetData>
  <mergeCells count="2">
    <mergeCell ref="A18:H18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</cols>
  <sheetData>
    <row r="1" ht="24" customHeight="1">
      <c r="A1" s="1" t="inlineStr">
        <is>
          <t>Emissões (variação anual de PL, ex-FIC) — R$ bi</t>
        </is>
      </c>
    </row>
    <row r="3">
      <c r="A3" s="2" t="inlineStr">
        <is>
          <t>Ano</t>
        </is>
      </c>
      <c r="B3" s="2" t="inlineStr">
        <is>
          <t>Variação de PL (R$ bi)</t>
        </is>
      </c>
      <c r="C3" s="2" t="inlineStr">
        <is>
          <t>Captação líquida (R$ bi)</t>
        </is>
      </c>
    </row>
    <row r="4">
      <c r="A4" s="4" t="n">
        <v>2020</v>
      </c>
      <c r="B4" s="4" t="n">
        <v>-30</v>
      </c>
      <c r="C4" s="4" t="n">
        <v>-32</v>
      </c>
    </row>
    <row r="5">
      <c r="A5" s="4" t="n">
        <v>2021</v>
      </c>
      <c r="B5" s="4" t="n">
        <v>95</v>
      </c>
      <c r="C5" s="4" t="n">
        <v>82</v>
      </c>
    </row>
    <row r="6">
      <c r="A6" s="4" t="n">
        <v>2022</v>
      </c>
      <c r="B6" s="4" t="n">
        <v>58</v>
      </c>
      <c r="C6" s="4" t="n">
        <v>25</v>
      </c>
    </row>
    <row r="7">
      <c r="A7" s="4" t="n">
        <v>2023</v>
      </c>
      <c r="B7" s="4" t="n">
        <v>102</v>
      </c>
      <c r="C7" s="4" t="n">
        <v>40</v>
      </c>
    </row>
    <row r="8">
      <c r="A8" s="4" t="n">
        <v>2024</v>
      </c>
      <c r="B8" s="4" t="n">
        <v>241</v>
      </c>
      <c r="C8" s="4" t="n">
        <v>245</v>
      </c>
    </row>
    <row r="9">
      <c r="A9" s="4" t="n">
        <v>2025</v>
      </c>
      <c r="B9" s="4" t="n">
        <v>167</v>
      </c>
      <c r="C9" s="4" t="n">
        <v>142</v>
      </c>
    </row>
    <row r="10">
      <c r="A10" s="4" t="n">
        <v>2026</v>
      </c>
      <c r="B10" s="4" t="n">
        <v>86</v>
      </c>
      <c r="C10" s="4" t="n">
        <v>60</v>
      </c>
    </row>
    <row r="13">
      <c r="A13" s="5" t="inlineStr">
        <is>
          <t>Fonte: Toma Conta FIDCs — variação anual de PL (ex-FIC) e captação líquida (dimensão mensal). Métrica preferida: variação de PL. Validação de magnitude: ANBIMA (imprensa, 2024). NÃO é o campo 'emissões encerradas'.</t>
        </is>
      </c>
    </row>
  </sheetData>
  <mergeCells count="2">
    <mergeCell ref="A13:H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 ht="24" customHeight="1">
      <c r="A1" s="1" t="inlineStr">
        <is>
          <t>Cedentes e sacados relevantes (leitura de regulamentos)</t>
        </is>
      </c>
    </row>
    <row r="3">
      <c r="A3" s="8" t="inlineStr">
        <is>
          <t>Maiores CEDENTES (originadores)</t>
        </is>
      </c>
    </row>
    <row r="4">
      <c r="A4" s="2" t="inlineStr">
        <is>
          <t>Parte</t>
        </is>
      </c>
      <c r="B4" s="2" t="inlineStr">
        <is>
          <t>Setor</t>
        </is>
      </c>
      <c r="C4" s="2" t="inlineStr">
        <is>
          <t># Fundos</t>
        </is>
      </c>
      <c r="D4" s="2" t="inlineStr">
        <is>
          <t>Materialidade (R$ bi)</t>
        </is>
      </c>
    </row>
    <row r="5">
      <c r="A5" s="3" t="inlineStr">
        <is>
          <t>Banco BTG Pactual S.A</t>
        </is>
      </c>
      <c r="B5" s="3" t="inlineStr">
        <is>
          <t>Meios de Pagamento e Cartões</t>
        </is>
      </c>
      <c r="C5" s="4" t="n">
        <v>3</v>
      </c>
      <c r="D5" s="6" t="n">
        <v>15.92</v>
      </c>
    </row>
    <row r="6">
      <c r="A6" s="3" t="inlineStr">
        <is>
          <t>MULTIPLIKE CONSULTORIA E COBRANÇA LTDA</t>
        </is>
      </c>
      <c r="B6" s="3" t="inlineStr">
        <is>
          <t>Crédito PJ</t>
        </is>
      </c>
      <c r="C6" s="4" t="n">
        <v>1</v>
      </c>
      <c r="D6" s="6" t="n">
        <v>2.2</v>
      </c>
    </row>
    <row r="7">
      <c r="A7" s="3" t="inlineStr">
        <is>
          <t>PagueVeloz Instituição de Pagamento Ltda</t>
        </is>
      </c>
      <c r="B7" s="3" t="inlineStr">
        <is>
          <t>Sem oferta CVM mapeada</t>
        </is>
      </c>
      <c r="C7" s="4" t="n">
        <v>1</v>
      </c>
      <c r="D7" s="6" t="n">
        <v>2.01</v>
      </c>
    </row>
    <row r="8">
      <c r="A8" s="3" t="inlineStr">
        <is>
          <t>Banco Bradesco S.A</t>
        </is>
      </c>
      <c r="B8" s="3" t="inlineStr">
        <is>
          <t>Meios de Pagamento e Cartões</t>
        </is>
      </c>
      <c r="C8" s="4" t="n">
        <v>4</v>
      </c>
      <c r="D8" s="6" t="n">
        <v>1.67</v>
      </c>
    </row>
    <row r="9">
      <c r="A9" s="3" t="inlineStr">
        <is>
          <t>Banco BMG S.A</t>
        </is>
      </c>
      <c r="B9" s="3" t="inlineStr">
        <is>
          <t>Crédito PF</t>
        </is>
      </c>
      <c r="C9" s="4" t="n">
        <v>1</v>
      </c>
      <c r="D9" s="6" t="n">
        <v>1.52</v>
      </c>
    </row>
    <row r="10">
      <c r="A10" s="3" t="inlineStr">
        <is>
          <t>BRB - BANCO DE BRASÍLIA S.A</t>
        </is>
      </c>
      <c r="B10" s="3" t="inlineStr">
        <is>
          <t>Crédito PF</t>
        </is>
      </c>
      <c r="C10" s="4" t="n">
        <v>1</v>
      </c>
      <c r="D10" s="6" t="n">
        <v>1.42</v>
      </c>
    </row>
    <row r="11">
      <c r="A11" s="3" t="inlineStr">
        <is>
          <t>UPL DO BRASIL INDÚSTRIA E COMÉRCIO DE INSUMOS AGROPECUÁRIOS S.A</t>
        </is>
      </c>
      <c r="B11" s="3" t="inlineStr">
        <is>
          <t>Agro</t>
        </is>
      </c>
      <c r="C11" s="4" t="n">
        <v>1</v>
      </c>
      <c r="D11" s="6" t="n">
        <v>0.9399999999999999</v>
      </c>
    </row>
    <row r="12">
      <c r="A12" s="3" t="inlineStr">
        <is>
          <t>Banco Votorantim S.A</t>
        </is>
      </c>
      <c r="B12" s="3" t="inlineStr">
        <is>
          <t>Sem oferta CVM mapeada</t>
        </is>
      </c>
      <c r="C12" s="4" t="n">
        <v>1</v>
      </c>
      <c r="D12" s="6" t="n">
        <v>0.91</v>
      </c>
    </row>
    <row r="13">
      <c r="A13" s="3" t="inlineStr">
        <is>
          <t>Serviços Técnicos de Seguro Ltda</t>
        </is>
      </c>
      <c r="B13" s="3" t="inlineStr">
        <is>
          <t>Sem oferta CVM mapeada</t>
        </is>
      </c>
      <c r="C13" s="4" t="n">
        <v>1</v>
      </c>
      <c r="D13" s="6" t="n">
        <v>0.91</v>
      </c>
    </row>
    <row r="14">
      <c r="A14" s="3" t="inlineStr">
        <is>
          <t>IBM BRASIL - INDÚSTRIA, MÁQUINAS, E SERVIÇOS LTDA</t>
        </is>
      </c>
      <c r="B14" s="3" t="inlineStr">
        <is>
          <t>Crédito PF</t>
        </is>
      </c>
      <c r="C14" s="4" t="n">
        <v>1</v>
      </c>
      <c r="D14" s="6" t="n">
        <v>0.85</v>
      </c>
    </row>
    <row r="16">
      <c r="A16" s="8" t="inlineStr">
        <is>
          <t>Maiores SACADOS (devedores)</t>
        </is>
      </c>
    </row>
    <row r="17">
      <c r="A17" s="2" t="inlineStr">
        <is>
          <t>Parte</t>
        </is>
      </c>
      <c r="B17" s="2" t="inlineStr">
        <is>
          <t>Setor</t>
        </is>
      </c>
      <c r="C17" s="2" t="inlineStr">
        <is>
          <t># Fundos</t>
        </is>
      </c>
      <c r="D17" s="2" t="inlineStr">
        <is>
          <t>Materialidade (R$ bi)</t>
        </is>
      </c>
    </row>
    <row r="18">
      <c r="A18" s="3" t="inlineStr">
        <is>
          <t>MERCADO PAGO INSTITUIÇÃO DE PAGAMENTO LTDA</t>
        </is>
      </c>
      <c r="B18" s="3" t="inlineStr">
        <is>
          <t>Meios de Pagamento e Cartões</t>
        </is>
      </c>
      <c r="C18" s="4" t="n">
        <v>2</v>
      </c>
      <c r="D18" s="6" t="n">
        <v>5.75</v>
      </c>
    </row>
    <row r="19">
      <c r="A19" s="3" t="inlineStr">
        <is>
          <t>Boletos Banco Votorantim S.A</t>
        </is>
      </c>
      <c r="B19" s="3" t="inlineStr">
        <is>
          <t>Sem oferta CVM mapeada</t>
        </is>
      </c>
      <c r="C19" s="4" t="n">
        <v>1</v>
      </c>
      <c r="D19" s="6" t="n">
        <v>0.91</v>
      </c>
    </row>
    <row r="20">
      <c r="A20" s="3" t="inlineStr">
        <is>
          <t>GRUPO CASAS BAHIA S.A</t>
        </is>
      </c>
      <c r="B20" s="3" t="inlineStr">
        <is>
          <t>Crédito PJ</t>
        </is>
      </c>
      <c r="C20" s="4" t="n">
        <v>1</v>
      </c>
      <c r="D20" s="6" t="n">
        <v>0.78</v>
      </c>
    </row>
    <row r="21">
      <c r="A21" s="3" t="inlineStr">
        <is>
          <t>Oliveira Trust Distribuidora de Títulos e Valores Mobiliários S.A</t>
        </is>
      </c>
      <c r="B21" s="3" t="inlineStr">
        <is>
          <t>Crédito PJ</t>
        </is>
      </c>
      <c r="C21" s="4" t="n">
        <v>1</v>
      </c>
      <c r="D21" s="6" t="n">
        <v>0.78</v>
      </c>
    </row>
    <row r="22">
      <c r="A22" s="3" t="inlineStr">
        <is>
          <t>SafraPay Instituição de Pagamento Ltda</t>
        </is>
      </c>
      <c r="B22" s="3" t="inlineStr">
        <is>
          <t>Crédito PJ</t>
        </is>
      </c>
      <c r="C22" s="4" t="n">
        <v>1</v>
      </c>
      <c r="D22" s="6" t="n">
        <v>0.78</v>
      </c>
    </row>
    <row r="23">
      <c r="A23" s="3" t="inlineStr">
        <is>
          <t>LAVORO AGRO HOLDING S.A</t>
        </is>
      </c>
      <c r="B23" s="3" t="inlineStr">
        <is>
          <t>Agro</t>
        </is>
      </c>
      <c r="C23" s="4" t="n">
        <v>1</v>
      </c>
      <c r="D23" s="6" t="n">
        <v>0.73</v>
      </c>
    </row>
    <row r="24">
      <c r="A24" s="3" t="inlineStr">
        <is>
          <t>Latasa Industria e Comercio Ltda</t>
        </is>
      </c>
      <c r="B24" s="3" t="inlineStr">
        <is>
          <t>Crédito PF</t>
        </is>
      </c>
      <c r="C24" s="4" t="n">
        <v>1</v>
      </c>
      <c r="D24" s="6" t="n">
        <v>0.63</v>
      </c>
    </row>
    <row r="25">
      <c r="A25" s="3" t="inlineStr">
        <is>
          <t>io de Metais Ltda</t>
        </is>
      </c>
      <c r="B25" s="3" t="inlineStr">
        <is>
          <t>Crédito PF</t>
        </is>
      </c>
      <c r="C25" s="4" t="n">
        <v>1</v>
      </c>
      <c r="D25" s="6" t="n">
        <v>0.63</v>
      </c>
    </row>
    <row r="26">
      <c r="A26" s="3" t="inlineStr">
        <is>
          <t>MEUCASHCARD SERVIÇOS TECNOLÓGICOS E FINANCEIROS S/A</t>
        </is>
      </c>
      <c r="B26" s="3" t="inlineStr">
        <is>
          <t>Imobiliário</t>
        </is>
      </c>
      <c r="C26" s="4" t="n">
        <v>1</v>
      </c>
      <c r="D26" s="6" t="n">
        <v>0.55</v>
      </c>
    </row>
    <row r="27">
      <c r="A27" s="3" t="inlineStr">
        <is>
          <t>Rotam do Brasil Agroquímica e Produtos Agrícolas Ltda</t>
        </is>
      </c>
      <c r="B27" s="3" t="inlineStr">
        <is>
          <t>Agro</t>
        </is>
      </c>
      <c r="C27" s="4" t="n">
        <v>1</v>
      </c>
      <c r="D27" s="6" t="n">
        <v>0.51</v>
      </c>
    </row>
    <row r="29">
      <c r="A29" s="5" t="inlineStr">
        <is>
          <t>Fonte: Toma Conta FIDCs — leitura de regulamentos (cedentes/sacados nomeados, materialidade por PL de fundo). Base: reports/fidc_clean_named_parties.</t>
        </is>
      </c>
    </row>
  </sheetData>
  <mergeCells count="2">
    <mergeCell ref="A1:D1"/>
    <mergeCell ref="A29:H2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130" customWidth="1" min="2" max="2"/>
  </cols>
  <sheetData>
    <row r="1" ht="24" customHeight="1">
      <c r="A1" s="1" t="inlineStr">
        <is>
          <t>Fonte exata por gráfico</t>
        </is>
      </c>
    </row>
    <row r="3">
      <c r="A3" s="2" t="inlineStr">
        <is>
          <t>Gráfico</t>
        </is>
      </c>
      <c r="B3" s="2" t="inlineStr">
        <is>
          <t>Fonte</t>
        </is>
      </c>
    </row>
    <row r="4" ht="42" customHeight="1">
      <c r="A4" s="3" t="inlineStr">
        <is>
          <t>pl</t>
        </is>
      </c>
      <c r="B4" s="7" t="inlineStr">
        <is>
          <t>Toma Conta FIDCs — aba Indústria (série mensal, base ex-FIC-FIDC). Origem: Informe Mensal FIDC/CVM. NÃO usa o Power BI/dashboard ANBIMA (dados presos no visual).</t>
        </is>
      </c>
    </row>
    <row r="5" ht="42" customHeight="1">
      <c r="A5" s="3" t="inlineStr">
        <is>
          <t>composicao</t>
        </is>
      </c>
      <c r="B5" s="7" t="inlineStr">
        <is>
          <t>Toma Conta FIDCs — dimensão 'segmento' (série mensal). Taxonomia interna alinhada às classes ANBIMA. Origem: Informe Mensal FIDC/CVM.</t>
        </is>
      </c>
    </row>
    <row r="6" ht="42" customHeight="1">
      <c r="A6" s="3" t="inlineStr">
        <is>
          <t>definicoes</t>
        </is>
      </c>
      <c r="B6" s="7" t="inlineStr">
        <is>
          <t>ANBIMA — Deliberação nº 72 (Diretriz de Classificação de FIDC).</t>
        </is>
      </c>
    </row>
    <row r="7" ht="42" customHeight="1">
      <c r="A7" s="3" t="inlineStr">
        <is>
          <t>gestor</t>
        </is>
      </c>
      <c r="B7" s="7" t="inlineStr">
        <is>
          <t>Toma Conta FIDCs — dimensão 'gestor', consolidado por conglomerado (de-para por CNPJ). Origem: Cadastro CVM (gestor) + Informe Mensal (PL).</t>
        </is>
      </c>
    </row>
    <row r="8" ht="42" customHeight="1">
      <c r="A8" s="3" t="inlineStr">
        <is>
          <t>admin</t>
        </is>
      </c>
      <c r="B8" s="7" t="inlineStr">
        <is>
          <t>Toma Conta FIDCs — dimensão 'administrador', consolidado por conglomerado (de-para por CNPJ). Origem: Informe Mensal FIDC/CVM.</t>
        </is>
      </c>
    </row>
    <row r="9" ht="42" customHeight="1">
      <c r="A9" s="3" t="inlineStr">
        <is>
          <t>controle</t>
        </is>
      </c>
      <c r="B9" s="7" t="inlineStr">
        <is>
          <t>Toma Conta FIDCs — dimensão 'gestor' + taxonomia de controle (Ligada a banco / Independente Grande / Independente; definição do rodapé do deck Itaú BBA).</t>
        </is>
      </c>
    </row>
    <row r="10" ht="42" customHeight="1">
      <c r="A10" s="3" t="inlineStr">
        <is>
          <t>depara</t>
        </is>
      </c>
      <c r="B10" s="7" t="inlineStr">
        <is>
          <t>De-para próprio, verificado por CNPJ contra industry_fund_snapshot (mai/2026). Config: config/conglomerados_fidc.json.</t>
        </is>
      </c>
    </row>
    <row r="11" ht="42" customHeight="1">
      <c r="A11" s="3" t="inlineStr">
        <is>
          <t>top25</t>
        </is>
      </c>
      <c r="B11" s="7" t="inlineStr">
        <is>
          <t>Toma Conta FIDCs — snapshot por fundo (PL, gestor consolidado, leituras de segmento/oferta/subordinação quando há regulamento parseado). Origem: Informe Mensal FIDC/CVM + leituras regulatórias do Toma Conta.</t>
        </is>
      </c>
    </row>
    <row r="12" ht="42" customHeight="1">
      <c r="A12" s="3" t="inlineStr">
        <is>
          <t>cotistas</t>
        </is>
      </c>
      <c r="B12" s="7" t="inlineStr">
        <is>
          <t>Informe Mensal FIDC/CVM — Tabela X (nº de cotistas) via Toma Conta. Filtro PL &gt; R$ 200 mi.</t>
        </is>
      </c>
    </row>
    <row r="13" ht="42" customHeight="1">
      <c r="A13" s="3" t="inlineStr">
        <is>
          <t>investidor</t>
        </is>
      </c>
      <c r="B13" s="7" t="inlineStr">
        <is>
          <t>Informe Mensal FIDC/CVM — nº de cotistas por segmento de investidor, via Toma Conta.</t>
        </is>
      </c>
    </row>
    <row r="14" ht="42" customHeight="1">
      <c r="A14" s="3" t="inlineStr">
        <is>
          <t>emissoes</t>
        </is>
      </c>
      <c r="B14" s="7" t="inlineStr">
        <is>
          <t>Toma Conta FIDCs — variação anual de PL (ex-FIC) e captação líquida (dimensão mensal). Métrica preferida: variação de PL. Validação de magnitude: ANBIMA (imprensa, 2024). NÃO é o campo 'emissões encerradas'.</t>
        </is>
      </c>
    </row>
    <row r="15" ht="42" customHeight="1">
      <c r="A15" s="3" t="inlineStr">
        <is>
          <t>partes</t>
        </is>
      </c>
      <c r="B15" s="7" t="inlineStr">
        <is>
          <t>Toma Conta FIDCs — leitura de regulamentos (cedentes/sacados nomeados, materialidade por PL de fundo). Base: reports/fidc_clean_named_parties.</t>
        </is>
      </c>
    </row>
    <row r="16" ht="42" customHeight="1">
      <c r="A16" s="3" t="inlineStr">
        <is>
          <t>sumario</t>
        </is>
      </c>
      <c r="B16" s="7" t="inlineStr">
        <is>
          <t>Síntese das dimensões do Toma Conta (gestor/admin/custodiante/segmento) consolidadas por conglomerado.</t>
        </is>
      </c>
    </row>
    <row r="17" ht="42" customHeight="1">
      <c r="A17" s="3" t="inlineStr">
        <is>
          <t>delta_papel</t>
        </is>
      </c>
      <c r="B17" s="7" t="inlineStr">
        <is>
          <t>Toma Conta FIDCs — dimensão mensal por papel, consolidada por CNPJ. Share = PL do grupo / PL total do papel na competência. Δrank = posição em dez/2023 menos posição em mai/2026. PL de estoque (inclui troca de mandato).</t>
        </is>
      </c>
    </row>
    <row r="18" ht="42" customHeight="1">
      <c r="A18" s="3" t="inlineStr">
        <is>
          <t>originacao</t>
        </is>
      </c>
      <c r="B18" s="7" t="inlineStr">
        <is>
          <t>Toma Conta FIDCs — fundos por ANO DE 1ª OFERTA (snapshot: first_offer_year). Mede ORIGINAÇÃO (fundo novo), expurgando troca de gestor/adm de fundos já existentes. Cobertura de 1ª oferta: 1.407 de 4.219 fundos.</t>
        </is>
      </c>
    </row>
    <row r="19" ht="42" customHeight="1">
      <c r="A19" s="3" t="inlineStr">
        <is>
          <t>captacao</t>
        </is>
      </c>
      <c r="B19" s="7" t="inlineStr">
        <is>
          <t>Toma Conta FIDCs — captação líquida = captações − resgates no mês (Informe Mensal FIDC/CVM), somada por ano. Complementa a variação de PL.</t>
        </is>
      </c>
    </row>
    <row r="20" ht="42" customHeight="1">
      <c r="A20" s="3" t="inlineStr">
        <is>
          <t>top25det</t>
        </is>
      </c>
      <c r="B20" s="7" t="inlineStr">
        <is>
          <t>Informe Mensal Estruturado (CVM), mai/2026 + leituras de regulamento (Toma Conta). Subordinação = PL classe subordinada / PL total (Tab X_2). Cedente = TAB_I2A12 (até 9, com %). Cotistas por investidor = Tab X_1_1.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2026-07-11T03:45:21Z</dcterms:created>
  <dcterms:modified xmlns:dcterms="http://purl.org/dc/terms/" xmlns:xsi="http://www.w3.org/2001/XMLSchema-instance" xsi:type="dcterms:W3CDTF">2026-07-11T03:45:22Z</dcterms:modified>
</cp:coreProperties>
</file>