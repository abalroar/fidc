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cd5836eb1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62d9cee24ca42ca"/>
    <x:sheet xmlns:r="http://schemas.openxmlformats.org/officeDocument/2006/relationships" name="Dados_waterfall" sheetId="2" r:id="Refe6c79e2ffe4395"/>
    <x:sheet xmlns:r="http://schemas.openxmlformats.org/officeDocument/2006/relationships" name="Reconciliacao" sheetId="3" r:id="R0587173d962944a9"/>
    <x:sheet xmlns:r="http://schemas.openxmlformats.org/officeDocument/2006/relationships" name="Fontes" sheetId="4" r:id="Rc455522738b2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B7280"/>
      <x:name val="Carlito"/>
    </x:font>
    <x:font>
      <x:b/>
      <x:sz val="11"/>
      <x:color rgb="FFFFFFFF"/>
      <x:name val="Carlito"/>
    </x:font>
    <x:font>
      <x:sz val="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1E62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549b4fb234c32" /><Relationship Type="http://schemas.openxmlformats.org/officeDocument/2006/relationships/theme" Target="/xl/theme/theme1.xml" Id="Rd02535a6c48544ad" /><Relationship Type="http://schemas.openxmlformats.org/officeDocument/2006/relationships/sharedStrings" Target="/xl/sharedStrings.xml" Id="R412f9e22af634da0" /><Relationship Type="http://schemas.openxmlformats.org/officeDocument/2006/relationships/worksheet" Target="/xl/worksheets/sheet1.xml" Id="R262d9cee24ca42ca" /><Relationship Type="http://schemas.openxmlformats.org/officeDocument/2006/relationships/worksheet" Target="/xl/worksheets/sheet2.xml" Id="Refe6c79e2ffe4395" /><Relationship Type="http://schemas.openxmlformats.org/officeDocument/2006/relationships/worksheet" Target="/xl/worksheets/sheet3.xml" Id="R0587173d962944a9" /><Relationship Type="http://schemas.openxmlformats.org/officeDocument/2006/relationships/worksheet" Target="/xl/worksheets/sheet4.xml" Id="Rc455522738b249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bbb5b8b2f741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Cascata de risco accruado Itaú BBA (R$ mm)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Amortização/vencimento</c:v>
          </c:tx>
          <c:spPr>
            <a:solidFill xmlns:a="http://schemas.openxmlformats.org/drawingml/2006/main">
              <a:srgbClr val="EC7000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'Resumo'!$K$6:$K$12</c:f>
              <c:strCache>
                <c:ptCount val="0"/>
              </c:strCache>
            </c:strRef>
          </c:cat>
          <c:val>
            <c:numRef>
              <c:f>'Resumo'!$L$6:$L$12</c:f>
              <c:numCache>
                <c:formatCode>R$ #.##0</c:formatCode>
                <c:ptCount val="0"/>
              </c:numCache>
            </c:numRef>
          </c:val>
        </c:ser>
        <c:ser>
          <c:idx val="1"/>
          <c:order val="1"/>
          <c:tx>
            <c:v>Saldo remanescente</c:v>
          </c:tx>
          <c:spPr>
            <a:solidFill xmlns:a="http://schemas.openxmlformats.org/drawingml/2006/main">
              <a:srgbClr val="001E62"/>
            </a:solidFill>
          </c:spP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'Resumo'!$K$6:$K$12</c:f>
              <c:strCache>
                <c:ptCount val="0"/>
              </c:strCache>
            </c:strRef>
          </c:cat>
          <c:val>
            <c:numRef>
              <c:f>'Resumo'!$M$6:$M$12</c:f>
              <c:numCache>
                <c:formatCode>R$ #.##0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.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12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bbb5b8b2f741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aterfallResumo" displayName="WaterfallResumo" ref="A5:H12" headerRowCount="1">
  <x:autoFilter ref="A5:H12"/>
  <x:tableColumns count="8">
    <x:tableColumn id="1" name="Data"/>
    <x:tableColumn id="2" name="Tranche"/>
    <x:tableColumn id="3" name="Série"/>
    <x:tableColumn id="4" name="Amortização/vencimento (R$ mm)"/>
    <x:tableColumn id="5" name="Saldo antes (R$ mm)"/>
    <x:tableColumn id="6" name="Saldo após (R$ mm)"/>
    <x:tableColumn id="7" name="Fonte"/>
    <x:tableColumn id="8" name="Diligência"/>
  </x:tableColumns>
  <x:tableStyleInfo name="TableStyleMedium2" showRowStripes="1"/>
</x:table>
</file>

<file path=xl/tables/table2.xml><?xml version="1.0" encoding="utf-8"?>
<x:table xmlns:x="http://schemas.openxmlformats.org/spreadsheetml/2006/main" id="2" name="ReconciliacaoResumo" displayName="ReconciliacaoResumo" ref="A26:G28" headerRowCount="1">
  <x:autoFilter ref="A26:G28"/>
  <x:tableColumns count="7">
    <x:tableColumn id="1" name="Encarteiramento"/>
    <x:tableColumn id="2" name="Emissão"/>
    <x:tableColumn id="3" name="Principal (R$ mm)"/>
    <x:tableColumn id="4" name="Risco accruado (R$ mm)"/>
    <x:tableColumn id="5" name="Vencimento BBA"/>
    <x:tableColumn id="6" name="Status"/>
    <x:tableColumn id="7" name="Diligência"/>
  </x:tableColumns>
  <x:tableStyleInfo name="TableStyleMedium2" showRowStripes="1"/>
</x:table>
</file>

<file path=xl/tables/table3.xml><?xml version="1.0" encoding="utf-8"?>
<x:table xmlns:x="http://schemas.openxmlformats.org/spreadsheetml/2006/main" id="3" name="WaterfallRaw" displayName="WaterfallRaw" ref="A1:L8" headerRowCount="1">
  <x:autoFilter ref="A1:L8"/>
  <x:tableColumns count="12">
    <x:tableColumn id="1" name="data"/>
    <x:tableColumn id="2" name="tranche"/>
    <x:tableColumn id="3" name="classe_serie"/>
    <x:tableColumn id="4" name="risco_accruado_inicial_mm"/>
    <x:tableColumn id="5" name="percentual_documental"/>
    <x:tableColumn id="6" name="amortizacao_vencimento_mm"/>
    <x:tableColumn id="7" name="saldo_bba_antes_mm"/>
    <x:tableColumn id="8" name="saldo_bba_apos_mm"/>
    <x:tableColumn id="9" name="cor_serie"/>
    <x:tableColumn id="10" name="base"/>
    <x:tableColumn id="11" name="fonte"/>
    <x:tableColumn id="12" name="diligencia"/>
  </x:tableColumns>
  <x:tableStyleInfo name="TableStyleMedium2" showRowStripes="1"/>
</x:table>
</file>

<file path=xl/tables/table4.xml><?xml version="1.0" encoding="utf-8"?>
<x:table xmlns:x="http://schemas.openxmlformats.org/spreadsheetml/2006/main" id="4" name="ReconciliacaoRaw" displayName="ReconciliacaoRaw" ref="A1:L3" headerRowCount="1">
  <x:autoFilter ref="A1:L3"/>
  <x:tableColumns count="12">
    <x:tableColumn id="1" name="data_encarteiramento"/>
    <x:tableColumn id="2" name="montante_principal_mm"/>
    <x:tableColumn id="3" name="risco_accruado_mm"/>
    <x:tableColumn id="4" name="vencimento_insumo_bba"/>
    <x:tableColumn id="5" name="emissao_reconciliada"/>
    <x:tableColumn id="6" name="emissao_total_mm"/>
    <x:tableColumn id="7" name="participacao_bba_sobre_emissao"/>
    <x:tableColumn id="8" name="natureza"/>
    <x:tableColumn id="9" name="base_reconciliacao"/>
    <x:tableColumn id="10" name="fonte"/>
    <x:tableColumn id="11" name="status"/>
    <x:tableColumn id="12" name="diligencia"/>
  </x:tableColumns>
  <x:tableStyleInfo name="TableStyleMedium2" showRowStripes="1"/>
</x:table>
</file>

<file path=xl/tables/table5.xml><?xml version="1.0" encoding="utf-8"?>
<x:table xmlns:x="http://schemas.openxmlformats.org/spreadsheetml/2006/main" id="5" name="FontesRaw" displayName="FontesRaw" ref="A1:E12" headerRowCount="1">
  <x:autoFilter ref="A1:E12"/>
  <x:tableColumns count="5">
    <x:tableColumn id="1" name="id"/>
    <x:tableColumn id="2" name="documento"/>
    <x:tableColumn id="3" name="tipo"/>
    <x:tableColumn id="4" name="arquivo_local"/>
    <x:tableColumn id="5" name="us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36578f3df44ab8" /><Relationship Type="http://schemas.openxmlformats.org/officeDocument/2006/relationships/table" Target="/xl/tables/table1.xml" Id="R2ad55ac16c8143c2" /><Relationship Type="http://schemas.openxmlformats.org/officeDocument/2006/relationships/table" Target="/xl/tables/table2.xml" Id="Rcb340f75242b45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5ad02a5a117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1d015e52d424d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5160be855f541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32" hidden="0" customWidth="1"/>
    <x:col min="8" max="8" width="42" hidden="0" customWidth="1"/>
  </x:cols>
  <x:sheetData>
    <x:row r="1">
      <x:c r="A1" s="2" t="str">
        <x:v>FIDC Sellers - waterfall da carteira Itaú BBA</x:v>
      </x:c>
    </x:row>
    <x:row r="2">
      <x:c r="A2" s="4" t="str">
        <x:v>Base: risco accruado fixo informado pelo Itaú BBA; S5 cascateada por cronograma documental.</x:v>
      </x:c>
    </x:row>
    <x:row r="5">
      <x:c r="A5" s="8" t="str">
        <x:v>Data</x:v>
      </x:c>
      <x:c r="B5" s="8" t="str">
        <x:v>Tranche</x:v>
      </x:c>
      <x:c r="C5" s="8" t="str">
        <x:v>Série</x:v>
      </x:c>
      <x:c r="D5" s="8" t="str">
        <x:v>Amortização/vencimento (R$ mm)</x:v>
      </x:c>
      <x:c r="E5" s="8" t="str">
        <x:v>Saldo antes (R$ mm)</x:v>
      </x:c>
      <x:c r="F5" s="8" t="str">
        <x:v>Saldo após (R$ mm)</x:v>
      </x:c>
      <x:c r="G5" s="8" t="str">
        <x:v>Fonte</x:v>
      </x:c>
      <x:c r="H5" s="8" t="str">
        <x:v>Diligência</x:v>
      </x:c>
      <x:c r="K5" s="11" t="str">
        <x:v>Data</x:v>
      </x:c>
      <x:c r="L5" s="11" t="str">
        <x:v>Amortização/vencimento</x:v>
      </x:c>
      <x:c r="M5" s="11" t="str">
        <x:v>Saldo remanescente</x:v>
      </x:c>
    </x:row>
    <x:row r="6">
      <x:c r="A6" s="9" t="str">
        <x:v>15/09/2026</x:v>
      </x:c>
      <x:c r="B6" s="9" t="str">
        <x:v>Itaú BBA 23/11/2023</x:v>
      </x:c>
      <x:c r="C6" s="9" t="str">
        <x:v>Sênior 3ª série</x:v>
      </x:c>
      <x:c r="D6" s="9" t="str">
        <x:v>150,5</x:v>
      </x:c>
      <x:c r="E6" s="9" t="str">
        <x:v>912,5</x:v>
      </x:c>
      <x:c r="F6" s="9" t="str">
        <x:v>762,0</x:v>
      </x:c>
      <x:c r="G6" s="9" t="str">
        <x:v>558803 pp.4-5; 559856 pp.1-2; insumo fixo Itaú BBA</x:v>
      </x:c>
      <x:c r="H6" s="9" t="str">
        <x:v>Suplemento da série não disponível localmente.</x:v>
      </x:c>
      <x:c r="K6" s="11" t="str">
        <x:v>15/09/2026</x:v>
      </x:c>
      <x:c r="L6" s="11" t="n">
        <x:v>150.5</x:v>
      </x:c>
      <x:c r="M6" s="11" t="n">
        <x:v>762</x:v>
      </x:c>
    </x:row>
    <x:row r="7">
      <x:c r="A7" s="9" t="str">
        <x:v>15/12/2027</x:v>
      </x:c>
      <x:c r="B7" s="9" t="str">
        <x:v>Itaú BBA 26/05/2025</x:v>
      </x:c>
      <x:c r="C7" s="9" t="str">
        <x:v>Sênior 5ª série</x:v>
      </x:c>
      <x:c r="D7" s="9" t="str">
        <x:v>127,0</x:v>
      </x:c>
      <x:c r="E7" s="9" t="str">
        <x:v>762,0</x:v>
      </x:c>
      <x:c r="F7" s="9" t="str">
        <x:v>635,0</x:v>
      </x:c>
      <x:c r="G7" s="9" t="str">
        <x:v>912093 pp.3-5; insumo fixo Itaú BBA</x:v>
      </x:c>
      <x:c r="H7" s="9" t="str">
        <x:v>Data final documental 15/05/2028 diverge do vencimento BBA 26/05/2028.</x:v>
      </x:c>
      <x:c r="K7" s="11" t="str">
        <x:v>15/12/2027</x:v>
      </x:c>
      <x:c r="L7" s="11" t="n">
        <x:v>127.03</x:v>
      </x:c>
      <x:c r="M7" s="11" t="n">
        <x:v>634.97</x:v>
      </x:c>
    </x:row>
    <x:row r="8">
      <x:c r="A8" s="9" t="str">
        <x:v>15/01/2028</x:v>
      </x:c>
      <x:c r="B8" s="9" t="str">
        <x:v>Itaú BBA 26/05/2025</x:v>
      </x:c>
      <x:c r="C8" s="9" t="str">
        <x:v>Sênior 5ª série</x:v>
      </x:c>
      <x:c r="D8" s="9" t="str">
        <x:v>127,0</x:v>
      </x:c>
      <x:c r="E8" s="9" t="str">
        <x:v>635,0</x:v>
      </x:c>
      <x:c r="F8" s="9" t="str">
        <x:v>508,0</x:v>
      </x:c>
      <x:c r="G8" s="9" t="str">
        <x:v>912093 pp.3-5; insumo fixo Itaú BBA</x:v>
      </x:c>
      <x:c r="H8" s="9" t="str">
        <x:v>Data final documental 15/05/2028 diverge do vencimento BBA 26/05/2028.</x:v>
      </x:c>
      <x:c r="K8" s="11" t="str">
        <x:v>15/01/2028</x:v>
      </x:c>
      <x:c r="L8" s="11" t="n">
        <x:v>126.99</x:v>
      </x:c>
      <x:c r="M8" s="11" t="n">
        <x:v>507.98</x:v>
      </x:c>
    </x:row>
    <x:row r="9">
      <x:c r="A9" s="9" t="str">
        <x:v>15/02/2028</x:v>
      </x:c>
      <x:c r="B9" s="9" t="str">
        <x:v>Itaú BBA 26/05/2025</x:v>
      </x:c>
      <x:c r="C9" s="9" t="str">
        <x:v>Sênior 5ª série</x:v>
      </x:c>
      <x:c r="D9" s="9" t="str">
        <x:v>127,0</x:v>
      </x:c>
      <x:c r="E9" s="9" t="str">
        <x:v>508,0</x:v>
      </x:c>
      <x:c r="F9" s="9" t="str">
        <x:v>381,0</x:v>
      </x:c>
      <x:c r="G9" s="9" t="str">
        <x:v>912093 pp.3-5; insumo fixo Itaú BBA</x:v>
      </x:c>
      <x:c r="H9" s="9" t="str">
        <x:v>Data final documental 15/05/2028 diverge do vencimento BBA 26/05/2028.</x:v>
      </x:c>
      <x:c r="K9" s="11" t="str">
        <x:v>15/02/2028</x:v>
      </x:c>
      <x:c r="L9" s="11" t="n">
        <x:v>126.99</x:v>
      </x:c>
      <x:c r="M9" s="11" t="n">
        <x:v>380.98</x:v>
      </x:c>
    </x:row>
    <x:row r="10">
      <x:c r="A10" s="9" t="str">
        <x:v>15/03/2028</x:v>
      </x:c>
      <x:c r="B10" s="9" t="str">
        <x:v>Itaú BBA 26/05/2025</x:v>
      </x:c>
      <x:c r="C10" s="9" t="str">
        <x:v>Sênior 5ª série</x:v>
      </x:c>
      <x:c r="D10" s="9" t="str">
        <x:v>127,0</x:v>
      </x:c>
      <x:c r="E10" s="9" t="str">
        <x:v>381,0</x:v>
      </x:c>
      <x:c r="F10" s="9" t="str">
        <x:v>254,0</x:v>
      </x:c>
      <x:c r="G10" s="9" t="str">
        <x:v>912093 pp.3-5; insumo fixo Itaú BBA</x:v>
      </x:c>
      <x:c r="H10" s="9" t="str">
        <x:v>Data final documental 15/05/2028 diverge do vencimento BBA 26/05/2028.</x:v>
      </x:c>
      <x:c r="K10" s="11" t="str">
        <x:v>15/03/2028</x:v>
      </x:c>
      <x:c r="L10" s="11" t="n">
        <x:v>126.98</x:v>
      </x:c>
      <x:c r="M10" s="11" t="n">
        <x:v>254</x:v>
      </x:c>
    </x:row>
    <x:row r="11">
      <x:c r="A11" s="9" t="str">
        <x:v>15/04/2028</x:v>
      </x:c>
      <x:c r="B11" s="9" t="str">
        <x:v>Itaú BBA 26/05/2025</x:v>
      </x:c>
      <x:c r="C11" s="9" t="str">
        <x:v>Sênior 5ª série</x:v>
      </x:c>
      <x:c r="D11" s="9" t="str">
        <x:v>127,0</x:v>
      </x:c>
      <x:c r="E11" s="9" t="str">
        <x:v>254,0</x:v>
      </x:c>
      <x:c r="F11" s="9" t="str">
        <x:v>127,0</x:v>
      </x:c>
      <x:c r="G11" s="9" t="str">
        <x:v>912093 pp.3-5; insumo fixo Itaú BBA</x:v>
      </x:c>
      <x:c r="H11" s="9" t="str">
        <x:v>Data final documental 15/05/2028 diverge do vencimento BBA 26/05/2028.</x:v>
      </x:c>
      <x:c r="K11" s="11" t="str">
        <x:v>15/04/2028</x:v>
      </x:c>
      <x:c r="L11" s="11" t="n">
        <x:v>127</x:v>
      </x:c>
      <x:c r="M11" s="11" t="n">
        <x:v>127</x:v>
      </x:c>
    </x:row>
    <x:row r="12">
      <x:c r="A12" s="9" t="str">
        <x:v>15/05/2028</x:v>
      </x:c>
      <x:c r="B12" s="9" t="str">
        <x:v>Itaú BBA 26/05/2025</x:v>
      </x:c>
      <x:c r="C12" s="9" t="str">
        <x:v>Sênior 5ª série</x:v>
      </x:c>
      <x:c r="D12" s="9" t="str">
        <x:v>127,0</x:v>
      </x:c>
      <x:c r="E12" s="9" t="str">
        <x:v>127,0</x:v>
      </x:c>
      <x:c r="F12" s="9" t="str">
        <x:v>0,0</x:v>
      </x:c>
      <x:c r="G12" s="9" t="str">
        <x:v>912093 pp.3-5; insumo fixo Itaú BBA</x:v>
      </x:c>
      <x:c r="H12" s="9" t="str">
        <x:v>Data final documental 15/05/2028 diverge do vencimento BBA 26/05/2028.</x:v>
      </x:c>
      <x:c r="K12" s="11" t="str">
        <x:v>15/05/2028</x:v>
      </x:c>
      <x:c r="L12" s="11" t="n">
        <x:v>127</x:v>
      </x:c>
      <x:c r="M12" s="11" t="n">
        <x:v>0</x:v>
      </x:c>
    </x:row>
    <x:row r="26">
      <x:c r="A26" s="8" t="str">
        <x:v>Encarteiramento</x:v>
      </x:c>
      <x:c r="B26" s="8" t="str">
        <x:v>Emissão</x:v>
      </x:c>
      <x:c r="C26" s="8" t="str">
        <x:v>Principal (R$ mm)</x:v>
      </x:c>
      <x:c r="D26" s="8" t="str">
        <x:v>Risco accruado (R$ mm)</x:v>
      </x:c>
      <x:c r="E26" s="8" t="str">
        <x:v>Vencimento BBA</x:v>
      </x:c>
      <x:c r="F26" s="8" t="str">
        <x:v>Status</x:v>
      </x:c>
      <x:c r="G26" s="8" t="str">
        <x:v>Diligência</x:v>
      </x:c>
    </x:row>
    <x:row r="27">
      <x:c r="A27" s="9" t="str">
        <x:v>23/11/2023</x:v>
      </x:c>
      <x:c r="B27" s="9" t="str">
        <x:v>Sênior 3ª série</x:v>
      </x:c>
      <x:c r="C27" s="9" t="str">
        <x:v>150,5</x:v>
      </x:c>
      <x:c r="D27" s="9" t="str">
        <x:v>150,5</x:v>
      </x:c>
      <x:c r="E27" s="9" t="str">
        <x:v>15/09/2026</x:v>
      </x:c>
      <x:c r="F27" s="9" t="str">
        <x:v>Parcialmente confirmado</x:v>
      </x:c>
      <x:c r="G27" s="9" t="str">
        <x:v>Suplemento/calendário da 3ª série não disponível na documentação local para confirmar o vencimento quebrado.</x:v>
      </x:c>
    </x:row>
    <x:row r="28">
      <x:c r="A28" s="9" t="str">
        <x:v>26/05/2025</x:v>
      </x:c>
      <x:c r="B28" s="9" t="str">
        <x:v>Sênior 5ª série</x:v>
      </x:c>
      <x:c r="C28" s="9" t="str">
        <x:v>750,0</x:v>
      </x:c>
      <x:c r="D28" s="9" t="str">
        <x:v>762,0</x:v>
      </x:c>
      <x:c r="E28" s="9" t="str">
        <x:v>26/05/2028</x:v>
      </x:c>
      <x:c r="F28" s="9" t="str">
        <x:v>Confirmado com divergência de vencimento</x:v>
      </x:c>
      <x:c r="G28" s="9" t="str">
        <x:v>Insumo BBA indica 26/05/2028, mas o documento 912093 pp.3-5 traz amortização final em 15/05/2028.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3436578f3df44ab8"/>
  <x:tableParts count="2">
    <x:tablePart xmlns:r="http://schemas.openxmlformats.org/officeDocument/2006/relationships" r:id="R2ad55ac16c8143c2"/>
    <x:tablePart xmlns:r="http://schemas.openxmlformats.org/officeDocument/2006/relationships" r:id="Rcb340f75242b45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80000114440918" hidden="0" customWidth="1"/>
    <x:col min="2" max="2" width="16.1299991607666" hidden="0" customWidth="1"/>
    <x:col min="3" max="3" width="12.130000114440918" hidden="0" customWidth="1"/>
    <x:col min="4" max="4" width="23.75" hidden="0" customWidth="1"/>
    <x:col min="5" max="5" width="21.25" hidden="0" customWidth="1"/>
    <x:col min="6" max="6" width="26.25" hidden="0" customWidth="1"/>
    <x:col min="7" max="7" width="19.8799991607666" hidden="0" customWidth="1"/>
    <x:col min="8" max="8" width="19.3799991607666" hidden="0" customWidth="1"/>
    <x:col min="9" max="9" width="10" hidden="0" customWidth="1"/>
    <x:col min="10" max="10" width="66" hidden="0" customWidth="1"/>
    <x:col min="11" max="11" width="39.380001068115234" hidden="0" customWidth="1"/>
    <x:col min="12" max="12" width="56.880001068115234" hidden="0" customWidth="1"/>
  </x:cols>
  <x:sheetData>
    <x:row r="1">
      <x:c r="A1" s="8" t="str">
        <x:v>data</x:v>
      </x:c>
      <x:c r="B1" s="8" t="str">
        <x:v>tranche</x:v>
      </x:c>
      <x:c r="C1" s="8" t="str">
        <x:v>classe_serie</x:v>
      </x:c>
      <x:c r="D1" s="8" t="str">
        <x:v>risco_accruado_inicial_mm</x:v>
      </x:c>
      <x:c r="E1" s="8" t="str">
        <x:v>percentual_documental</x:v>
      </x:c>
      <x:c r="F1" s="8" t="str">
        <x:v>amortizacao_vencimento_mm</x:v>
      </x:c>
      <x:c r="G1" s="8" t="str">
        <x:v>saldo_bba_antes_mm</x:v>
      </x:c>
      <x:c r="H1" s="8" t="str">
        <x:v>saldo_bba_apos_mm</x:v>
      </x:c>
      <x:c r="I1" s="8" t="str">
        <x:v>cor_serie</x:v>
      </x:c>
      <x:c r="J1" s="8" t="str">
        <x:v>base</x:v>
      </x:c>
      <x:c r="K1" s="8" t="str">
        <x:v>fonte</x:v>
      </x:c>
      <x:c r="L1" s="8" t="str">
        <x:v>diligencia</x:v>
      </x:c>
    </x:row>
    <x:row r="2">
      <x:c r="A2" s="9" t="str">
        <x:v>15/09/2026</x:v>
      </x:c>
      <x:c r="B2" s="9" t="str">
        <x:v>Itaú BBA 23/11/2023</x:v>
      </x:c>
      <x:c r="C2" s="9" t="str">
        <x:v>Sênior 3ª série</x:v>
      </x:c>
      <x:c r="D2" s="9" t="n">
        <x:v>150.5</x:v>
      </x:c>
      <x:c r="E2" s="9"/>
      <x:c r="F2" s="9" t="n">
        <x:v>150.5</x:v>
      </x:c>
      <x:c r="G2" s="9" t="n">
        <x:v>912.5</x:v>
      </x:c>
      <x:c r="H2" s="9" t="n">
        <x:v>762</x:v>
      </x:c>
      <x:c r="I2" s="9" t="str">
        <x:v>#EC7000</x:v>
      </x:c>
      <x:c r="J2" s="9" t="str">
        <x:v>Risco accruado do insumo BBA; vencimento não confirmado nos PDFs locais</x:v>
      </x:c>
      <x:c r="K2" s="9" t="str">
        <x:v>558803 pp.4-5; 559856 pp.1-2; insumo fixo Itaú BBA</x:v>
      </x:c>
      <x:c r="L2" s="9" t="str">
        <x:v>Suplemento da série não disponível localmente.</x:v>
      </x:c>
    </x:row>
    <x:row r="3">
      <x:c r="A3" s="9" t="str">
        <x:v>15/12/2027</x:v>
      </x:c>
      <x:c r="B3" s="9" t="str">
        <x:v>Itaú BBA 26/05/2025</x:v>
      </x:c>
      <x:c r="C3" s="9" t="str">
        <x:v>Sênior 5ª série</x:v>
      </x:c>
      <x:c r="D3" s="9" t="n">
        <x:v>762</x:v>
      </x:c>
      <x:c r="E3" s="9" t="n">
        <x:v>16.67</x:v>
      </x:c>
      <x:c r="F3" s="9" t="n">
        <x:v>127.03</x:v>
      </x:c>
      <x:c r="G3" s="9" t="n">
        <x:v>762</x:v>
      </x:c>
      <x:c r="H3" s="9" t="n">
        <x:v>634.97</x:v>
      </x:c>
      <x:c r="I3" s="9" t="str">
        <x:v>#EC7000</x:v>
      </x:c>
      <x:c r="J3" s="9" t="str">
        <x:v>Risco accruado R$ 762,0 mm cascateado pelos percentuais documentais de amortização</x:v>
      </x:c>
      <x:c r="K3" s="9" t="str">
        <x:v>912093 pp.3-5; insumo fixo Itaú BBA</x:v>
      </x:c>
      <x:c r="L3" s="9" t="str">
        <x:v>Data final documental 15/05/2028 diverge do vencimento BBA 26/05/2028.</x:v>
      </x:c>
    </x:row>
    <x:row r="4">
      <x:c r="A4" s="9" t="str">
        <x:v>15/01/2028</x:v>
      </x:c>
      <x:c r="B4" s="9" t="str">
        <x:v>Itaú BBA 26/05/2025</x:v>
      </x:c>
      <x:c r="C4" s="9" t="str">
        <x:v>Sênior 5ª série</x:v>
      </x:c>
      <x:c r="D4" s="9" t="n">
        <x:v>762</x:v>
      </x:c>
      <x:c r="E4" s="9" t="n">
        <x:v>20</x:v>
      </x:c>
      <x:c r="F4" s="9" t="n">
        <x:v>126.99</x:v>
      </x:c>
      <x:c r="G4" s="9" t="n">
        <x:v>634.97</x:v>
      </x:c>
      <x:c r="H4" s="9" t="n">
        <x:v>507.98</x:v>
      </x:c>
      <x:c r="I4" s="9" t="str">
        <x:v>#EC7000</x:v>
      </x:c>
      <x:c r="J4" s="9" t="str">
        <x:v>Risco accruado R$ 762,0 mm cascateado pelos percentuais documentais de amortização</x:v>
      </x:c>
      <x:c r="K4" s="9" t="str">
        <x:v>912093 pp.3-5; insumo fixo Itaú BBA</x:v>
      </x:c>
      <x:c r="L4" s="9" t="str">
        <x:v>Data final documental 15/05/2028 diverge do vencimento BBA 26/05/2028.</x:v>
      </x:c>
    </x:row>
    <x:row r="5">
      <x:c r="A5" s="9" t="str">
        <x:v>15/02/2028</x:v>
      </x:c>
      <x:c r="B5" s="9" t="str">
        <x:v>Itaú BBA 26/05/2025</x:v>
      </x:c>
      <x:c r="C5" s="9" t="str">
        <x:v>Sênior 5ª série</x:v>
      </x:c>
      <x:c r="D5" s="9" t="n">
        <x:v>762</x:v>
      </x:c>
      <x:c r="E5" s="9" t="n">
        <x:v>25</x:v>
      </x:c>
      <x:c r="F5" s="9" t="n">
        <x:v>126.99</x:v>
      </x:c>
      <x:c r="G5" s="9" t="n">
        <x:v>507.98</x:v>
      </x:c>
      <x:c r="H5" s="9" t="n">
        <x:v>380.98</x:v>
      </x:c>
      <x:c r="I5" s="9" t="str">
        <x:v>#EC7000</x:v>
      </x:c>
      <x:c r="J5" s="9" t="str">
        <x:v>Risco accruado R$ 762,0 mm cascateado pelos percentuais documentais de amortização</x:v>
      </x:c>
      <x:c r="K5" s="9" t="str">
        <x:v>912093 pp.3-5; insumo fixo Itaú BBA</x:v>
      </x:c>
      <x:c r="L5" s="9" t="str">
        <x:v>Data final documental 15/05/2028 diverge do vencimento BBA 26/05/2028.</x:v>
      </x:c>
    </x:row>
    <x:row r="6">
      <x:c r="A6" s="9" t="str">
        <x:v>15/03/2028</x:v>
      </x:c>
      <x:c r="B6" s="9" t="str">
        <x:v>Itaú BBA 26/05/2025</x:v>
      </x:c>
      <x:c r="C6" s="9" t="str">
        <x:v>Sênior 5ª série</x:v>
      </x:c>
      <x:c r="D6" s="9" t="n">
        <x:v>762</x:v>
      </x:c>
      <x:c r="E6" s="9" t="n">
        <x:v>33.33</x:v>
      </x:c>
      <x:c r="F6" s="9" t="n">
        <x:v>126.98</x:v>
      </x:c>
      <x:c r="G6" s="9" t="n">
        <x:v>380.98</x:v>
      </x:c>
      <x:c r="H6" s="9" t="n">
        <x:v>254</x:v>
      </x:c>
      <x:c r="I6" s="9" t="str">
        <x:v>#EC7000</x:v>
      </x:c>
      <x:c r="J6" s="9" t="str">
        <x:v>Risco accruado R$ 762,0 mm cascateado pelos percentuais documentais de amortização</x:v>
      </x:c>
      <x:c r="K6" s="9" t="str">
        <x:v>912093 pp.3-5; insumo fixo Itaú BBA</x:v>
      </x:c>
      <x:c r="L6" s="9" t="str">
        <x:v>Data final documental 15/05/2028 diverge do vencimento BBA 26/05/2028.</x:v>
      </x:c>
    </x:row>
    <x:row r="7">
      <x:c r="A7" s="9" t="str">
        <x:v>15/04/2028</x:v>
      </x:c>
      <x:c r="B7" s="9" t="str">
        <x:v>Itaú BBA 26/05/2025</x:v>
      </x:c>
      <x:c r="C7" s="9" t="str">
        <x:v>Sênior 5ª série</x:v>
      </x:c>
      <x:c r="D7" s="9" t="n">
        <x:v>762</x:v>
      </x:c>
      <x:c r="E7" s="9" t="n">
        <x:v>50</x:v>
      </x:c>
      <x:c r="F7" s="9" t="n">
        <x:v>127</x:v>
      </x:c>
      <x:c r="G7" s="9" t="n">
        <x:v>254</x:v>
      </x:c>
      <x:c r="H7" s="9" t="n">
        <x:v>127</x:v>
      </x:c>
      <x:c r="I7" s="9" t="str">
        <x:v>#EC7000</x:v>
      </x:c>
      <x:c r="J7" s="9" t="str">
        <x:v>Risco accruado R$ 762,0 mm cascateado pelos percentuais documentais de amortização</x:v>
      </x:c>
      <x:c r="K7" s="9" t="str">
        <x:v>912093 pp.3-5; insumo fixo Itaú BBA</x:v>
      </x:c>
      <x:c r="L7" s="9" t="str">
        <x:v>Data final documental 15/05/2028 diverge do vencimento BBA 26/05/2028.</x:v>
      </x:c>
    </x:row>
    <x:row r="8">
      <x:c r="A8" s="9" t="str">
        <x:v>15/05/2028</x:v>
      </x:c>
      <x:c r="B8" s="9" t="str">
        <x:v>Itaú BBA 26/05/2025</x:v>
      </x:c>
      <x:c r="C8" s="9" t="str">
        <x:v>Sênior 5ª série</x:v>
      </x:c>
      <x:c r="D8" s="9" t="n">
        <x:v>762</x:v>
      </x:c>
      <x:c r="E8" s="9" t="n">
        <x:v>100</x:v>
      </x:c>
      <x:c r="F8" s="9" t="n">
        <x:v>127</x:v>
      </x:c>
      <x:c r="G8" s="9" t="n">
        <x:v>127</x:v>
      </x:c>
      <x:c r="H8" s="9" t="n">
        <x:v>0</x:v>
      </x:c>
      <x:c r="I8" s="9" t="str">
        <x:v>#EC7000</x:v>
      </x:c>
      <x:c r="J8" s="9" t="str">
        <x:v>Risco accruado R$ 762,0 mm cascateado pelos percentuais documentais de amortização</x:v>
      </x:c>
      <x:c r="K8" s="9" t="str">
        <x:v>912093 pp.3-5; insumo fixo Itaú BBA</x:v>
      </x:c>
      <x:c r="L8" s="9" t="str">
        <x:v>Data final documental 15/05/2028 diverge do vencimento BBA 26/05/2028.</x:v>
      </x:c>
    </x:row>
  </x:sheetData>
  <x:pageMargins left="0.7" right="0.7" top="0.75" bottom="0.75" header="0.3" footer="0.3"/>
  <x:tableParts count="1">
    <x:tablePart xmlns:r="http://schemas.openxmlformats.org/officeDocument/2006/relationships" r:id="R15ad02a5a11749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299991607666" hidden="0" customWidth="1"/>
    <x:col min="2" max="2" width="22" hidden="0" customWidth="1"/>
    <x:col min="3" max="3" width="18.3799991607666" hidden="0" customWidth="1"/>
    <x:col min="4" max="4" width="22.3799991607666" hidden="0" customWidth="1"/>
    <x:col min="5" max="5" width="19.3799991607666" hidden="0" customWidth="1"/>
    <x:col min="6" max="6" width="17.6299991607666" hidden="0" customWidth="1"/>
    <x:col min="7" max="7" width="28.5" hidden="0" customWidth="1"/>
    <x:col min="8" max="8" width="57.25" hidden="0" customWidth="1"/>
    <x:col min="9" max="9" width="129.25" hidden="0" customWidth="1"/>
    <x:col min="10" max="10" width="55.380001068115234" hidden="0" customWidth="1"/>
    <x:col min="11" max="11" width="33.380001068115234" hidden="0" customWidth="1"/>
    <x:col min="12" max="12" width="85.25" hidden="0" customWidth="1"/>
  </x:cols>
  <x:sheetData>
    <x:row r="1">
      <x:c r="A1" s="8" t="str">
        <x:v>data_encarteiramento</x:v>
      </x:c>
      <x:c r="B1" s="8" t="str">
        <x:v>montante_principal_mm</x:v>
      </x:c>
      <x:c r="C1" s="8" t="str">
        <x:v>risco_accruado_mm</x:v>
      </x:c>
      <x:c r="D1" s="8" t="str">
        <x:v>vencimento_insumo_bba</x:v>
      </x:c>
      <x:c r="E1" s="8" t="str">
        <x:v>emissao_reconciliada</x:v>
      </x:c>
      <x:c r="F1" s="8" t="str">
        <x:v>emissao_total_mm</x:v>
      </x:c>
      <x:c r="G1" s="8" t="str">
        <x:v>participacao_bba_sobre_emissao</x:v>
      </x:c>
      <x:c r="H1" s="8" t="str">
        <x:v>natureza</x:v>
      </x:c>
      <x:c r="I1" s="8" t="str">
        <x:v>base_reconciliacao</x:v>
      </x:c>
      <x:c r="J1" s="8" t="str">
        <x:v>fonte</x:v>
      </x:c>
      <x:c r="K1" s="8" t="str">
        <x:v>status</x:v>
      </x:c>
      <x:c r="L1" s="8" t="str">
        <x:v>diligencia</x:v>
      </x:c>
    </x:row>
    <x:row r="2">
      <x:c r="A2" s="9" t="str">
        <x:v>23/11/2023</x:v>
      </x:c>
      <x:c r="B2" s="9" t="n">
        <x:v>150.5</x:v>
      </x:c>
      <x:c r="C2" s="9" t="n">
        <x:v>150.5</x:v>
      </x:c>
      <x:c r="D2" s="9" t="str">
        <x:v>15/09/2026</x:v>
      </x:c>
      <x:c r="E2" s="9" t="str">
        <x:v>Sênior 3ª série</x:v>
      </x:c>
      <x:c r="F2" s="9" t="n">
        <x:v>200</x:v>
      </x:c>
      <x:c r="G2" s="9" t="n">
        <x:v>0.7525</x:v>
      </x:c>
      <x:c r="H2" s="9" t="str">
        <x:v>Participação em emissão tradicional de mercado; não customizada/exclusiva</x:v>
      </x:c>
      <x:c r="I2" s="9" t="str">
        <x:v>Casa data de deliberação/oferta de 23/11/2023 e volume da 3ª série; vencimento de 15/09/2026 vem do insumo BBA, pois o suplemento específico não está nos PDFs locais.</x:v>
      </x:c>
      <x:c r="J2" s="9" t="str">
        <x:v>558803 pp.4-5; 559856 pp.1-2; insumo fixo Itaú BBA</x:v>
      </x:c>
      <x:c r="K2" s="9" t="str">
        <x:v>Parcialmente confirmado</x:v>
      </x:c>
      <x:c r="L2" s="9" t="str">
        <x:v>Suplemento/calendário da 3ª série não disponível na documentação local para confirmar o vencimento quebrado.</x:v>
      </x:c>
    </x:row>
    <x:row r="3">
      <x:c r="A3" s="9" t="str">
        <x:v>26/05/2025</x:v>
      </x:c>
      <x:c r="B3" s="9" t="n">
        <x:v>750</x:v>
      </x:c>
      <x:c r="C3" s="9" t="n">
        <x:v>762</x:v>
      </x:c>
      <x:c r="D3" s="9" t="str">
        <x:v>26/05/2028</x:v>
      </x:c>
      <x:c r="E3" s="9" t="str">
        <x:v>Sênior 5ª série</x:v>
      </x:c>
      <x:c r="F3" s="9" t="n">
        <x:v>1500</x:v>
      </x:c>
      <x:c r="G3" s="9" t="n">
        <x:v>0.5</x:v>
      </x:c>
      <x:c r="H3" s="9" t="str">
        <x:v>Participação em emissão tradicional de mercado; não customizada/exclusiva</x:v>
      </x:c>
      <x:c r="I3" s="9" t="str">
        <x:v>Casa 3ª emissão/5ª série aprovada em 19/05/2025 e instrumento de emissão de 26/05/2025; oferta encerrada em 04/06/2025 com 2 instituições financeiras.</x:v>
      </x:c>
      <x:c r="J3" s="9" t="str">
        <x:v>909546 p.9; 912093 pp.3-5; 912172 p.2; 932137 p.2; insumo fixo Itaú BBA</x:v>
      </x:c>
      <x:c r="K3" s="9" t="str">
        <x:v>Confirmado com divergência de vencimento</x:v>
      </x:c>
      <x:c r="L3" s="9" t="str">
        <x:v>Insumo BBA indica 26/05/2028, mas o documento 912093 pp.3-5 traz amortização final em 15/05/2028.</x:v>
      </x:c>
    </x:row>
  </x:sheetData>
  <x:pageMargins left="0.7" right="0.7" top="0.75" bottom="0.75" header="0.3" footer="0.3"/>
  <x:tableParts count="1">
    <x:tablePart xmlns:r="http://schemas.openxmlformats.org/officeDocument/2006/relationships" r:id="R31d015e52d424d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30000114440918" hidden="0" customWidth="1"/>
    <x:col min="2" max="2" width="50.380001068115234" hidden="0" customWidth="1"/>
    <x:col min="3" max="3" width="19" hidden="0" customWidth="1"/>
    <x:col min="4" max="4" width="219.5" hidden="0" customWidth="1"/>
    <x:col min="5" max="5" width="75" hidden="0" customWidth="1"/>
  </x:cols>
  <x:sheetData>
    <x:row r="1">
      <x:c r="A1" s="8" t="str">
        <x:v>id</x:v>
      </x:c>
      <x:c r="B1" s="8" t="str">
        <x:v>documento</x:v>
      </x:c>
      <x:c r="C1" s="8" t="str">
        <x:v>tipo</x:v>
      </x:c>
      <x:c r="D1" s="8" t="str">
        <x:v>arquivo_local</x:v>
      </x:c>
      <x:c r="E1" s="8" t="str">
        <x:v>uso</x:v>
      </x:c>
    </x:row>
    <x:row r="2">
      <x:c r="A2" s="9" t="n">
        <x:v>467929</x:v>
      </x:c>
      <x:c r="B2" s="9" t="str">
        <x:v>Regulamento 05/05/2023</x:v>
      </x:c>
      <x:c r="C2" s="9" t="str">
        <x:v>regulamento</x:v>
      </x:c>
      <x:c r="D2" s="9" t="str">
        <x:v>data/raw/50473039000102/467929_regulamento_regulamento_467929_2023-05-05.pdf</x:v>
      </x:c>
      <x:c r="E2" s="9" t="str">
        <x:v>Suplementos e cronogramas Sênior 1ª e 2ª séries, pp.115-120.</x:v>
      </x:c>
    </x:row>
    <x:row r="3">
      <x:c r="A3" s="9" t="n">
        <x:v>468755</x:v>
      </x:c>
      <x:c r="B3" s="9" t="str">
        <x:v>AGE 22/05/2023</x:v>
      </x:c>
      <x:c r="C3" s="9" t="str">
        <x:v>assembleia</x:v>
      </x:c>
      <x:c r="D3" s="9" t="str">
        <x:v>data/raw/50473039000102/468755_assembleia_assembleia_468755_2023-05-22.pdf</x:v>
      </x:c>
      <x:c r="E3" s="9" t="str">
        <x:v>Aprovação das primeiras séries.</x:v>
      </x:c>
    </x:row>
    <x:row r="4">
      <x:c r="A4" s="9" t="n">
        <x:v>471622</x:v>
      </x:c>
      <x:c r="B4" s="9" t="str">
        <x:v>Aviso ao Mercado 30/05/2023</x:v>
      </x:c>
      <x:c r="C4" s="9" t="str">
        <x:v>emissao</x:v>
      </x:c>
      <x:c r="D4" s="9" t="str">
        <x:v>data/raw/50473039000102/471622_emissao_emissao_471622_2023-05-30.pdf</x:v>
      </x:c>
      <x:c r="E4" s="9" t="str">
        <x:v>Liquidação 31/05/2023 e cronograma da oferta.</x:v>
      </x:c>
    </x:row>
    <x:row r="5">
      <x:c r="A5" s="9" t="n">
        <x:v>558803</x:v>
      </x:c>
      <x:c r="B5" s="9" t="str">
        <x:v>AGE 23/11/2023</x:v>
      </x:c>
      <x:c r="C5" s="9" t="str">
        <x:v>assembleia</x:v>
      </x:c>
      <x:c r="D5" s="9" t="str">
        <x:v>data/raw/50473039000102/558803_assembleia_assembleia_558803_2023-11-23.pdf</x:v>
      </x:c>
      <x:c r="E5" s="9" t="str">
        <x:v>Aprovação da 3ª/4ª séries e subordinada júnior.</x:v>
      </x:c>
    </x:row>
    <x:row r="6">
      <x:c r="A6" s="9" t="n">
        <x:v>559856</x:v>
      </x:c>
      <x:c r="B6" s="9" t="str">
        <x:v>Anúncio de Início 27/11/2023</x:v>
      </x:c>
      <x:c r="C6" s="9" t="str">
        <x:v>emissao</x:v>
      </x:c>
      <x:c r="D6" s="9" t="str">
        <x:v>data/raw/50473039000102/559856_emissao_emissao_559856_2023-11-27.pdf</x:v>
      </x:c>
      <x:c r="E6" s="9" t="str">
        <x:v>Oferta tradicional de mercado de R$300 mm (3ª e 4ª séries).</x:v>
      </x:c>
    </x:row>
    <x:row r="7">
      <x:c r="A7" s="9" t="n">
        <x:v>909546</x:v>
      </x:c>
      <x:c r="B7" s="9" t="str">
        <x:v>AGO/E 19/05/2025</x:v>
      </x:c>
      <x:c r="C7" s="9" t="str">
        <x:v>assembleia</x:v>
      </x:c>
      <x:c r="D7" s="9" t="str">
        <x:v>data/raw/50473039000102/909546_assembleia_assembleia_909546_2025-05-19.pdf</x:v>
      </x:c>
      <x:c r="E7" s="9" t="str">
        <x:v>Aprovação da emissão de 2025.</x:v>
      </x:c>
    </x:row>
    <x:row r="8">
      <x:c r="A8" s="9" t="n">
        <x:v>912093</x:v>
      </x:c>
      <x:c r="B8" s="9" t="str">
        <x:v>Instrumento Particular de Emissão de Cotas 26/05/2025</x:v>
      </x:c>
      <x:c r="C8" s="9" t="str">
        <x:v>emissao</x:v>
      </x:c>
      <x:c r="D8" s="9" t="str">
        <x:v>data/raw/50473039000102/912093_assembleia_assembleia_912093_2025-05-26.pdf</x:v>
      </x:c>
      <x:c r="E8" s="9" t="str">
        <x:v>Sênior 5ª série: R$1,5 bi, DI+0,85%, cronograma até 15/05/2028.</x:v>
      </x:c>
    </x:row>
    <x:row r="9">
      <x:c r="A9" s="9" t="n">
        <x:v>912172</x:v>
      </x:c>
      <x:c r="B9" s="9" t="str">
        <x:v>Anúncio de Início 28/05/2025</x:v>
      </x:c>
      <x:c r="C9" s="9" t="str">
        <x:v>emissao</x:v>
      </x:c>
      <x:c r="D9" s="9" t="str">
        <x:v>data/raw/50473039000102/912172_emissao_emissao_912172_2025-05-28.pdf</x:v>
      </x:c>
      <x:c r="E9" s="9" t="str">
        <x:v>Primeira integralização em 29/05/2025.</x:v>
      </x:c>
    </x:row>
    <x:row r="10">
      <x:c r="A10" s="9" t="n">
        <x:v>932137</x:v>
      </x:c>
      <x:c r="B10" s="9" t="str">
        <x:v>Anúncio de Encerramento 04/06/2025</x:v>
      </x:c>
      <x:c r="C10" s="9" t="str">
        <x:v>emissao</x:v>
      </x:c>
      <x:c r="D10" s="9" t="str">
        <x:v>data/raw/50473039000102/932137_emissao_emissao_932137_2025-06-04.pdf</x:v>
      </x:c>
      <x:c r="E10" s="9" t="str">
        <x:v>Oferta integralmente subscrita por 2 instituições financeiras.</x:v>
      </x:c>
    </x:row>
    <x:row r="11">
      <x:c r="A11" s="9" t="str">
        <x:v>IME</x:v>
      </x:c>
      <x:c r="B11" s="9" t="str">
        <x:v>Informes Mensais Estruturados 02/2025-03/2026</x:v>
      </x:c>
      <x:c r="C11" s="9" t="str">
        <x:v>relatorios_administrador</x:v>
      </x:c>
      <x:c r="D11" s="9" t="str">
        <x:v>.cache/fundonet-ime/c0ce8a5069fe47b6253df9ee86a9b53b58dc2ecca778de89072d8bbab0807695/</x:v>
      </x:c>
      <x:c r="E11" s="9" t="str">
        <x:v>VNU, quantidade de cotas e evidência de pagamentos/amortizações.</x:v>
      </x:c>
    </x:row>
    <x:row r="12">
      <x:c r="A12" s="9" t="str">
        <x:v>MELI-10Q-1T26</x:v>
      </x:c>
      <x:c r="B12" s="9" t="str">
        <x:v>MercadoLibre Form 10-Q, 1T26, nota de securitization transactions</x:v>
      </x:c>
      <x:c r="C12" s="9" t="str">
        <x:v>fonte externa</x:v>
      </x:c>
      <x:c r="D12" s="9" t="str">
        <x:v>https://investor.mercadolibre.com/open-file?file=aHR0cHM6Ly9odHRwMi5tbHN0YXRpYy5jb20vc3RvcmFnZS9tbC1jbXMtYmFja2VuZC9jbXMtZG9jdW1lbnRzLXByb2Qvc2VjLzAwMDEwOTk1OTAvMDAwMTA5OTU5MC0yNi0wMDAwMTcvZm9ybTEwLVEtMDAwMTA5OTU5MC0yNi0wMDAwMTcucGRm</x:v>
      </x:c>
      <x:c r="E12" s="9" t="str">
        <x:v>Corroboração externa dos meses de vencimento das séries 3 e 4: setembro/2026 e novembro/2026.</x:v>
      </x:c>
    </x:row>
  </x:sheetData>
  <x:pageMargins left="0.7" right="0.7" top="0.75" bottom="0.75" header="0.3" footer="0.3"/>
  <x:tableParts count="1">
    <x:tablePart xmlns:r="http://schemas.openxmlformats.org/officeDocument/2006/relationships" r:id="R65160be855f54120"/>
  </x:tableParts>
</x:worksheet>
</file>