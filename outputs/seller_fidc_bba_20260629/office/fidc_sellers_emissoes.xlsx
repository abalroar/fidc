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0ee3815bf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15e96d666c145fb"/>
    <x:sheet xmlns:r="http://schemas.openxmlformats.org/officeDocument/2006/relationships" name="Dados_emissoes" sheetId="2" r:id="R1a1860d629c8424a"/>
    <x:sheet xmlns:r="http://schemas.openxmlformats.org/officeDocument/2006/relationships" name="Inventario" sheetId="3" r:id="Ra6110f15acb84eff"/>
    <x:sheet xmlns:r="http://schemas.openxmlformats.org/officeDocument/2006/relationships" name="Fontes" sheetId="4" r:id="R3b228de6f463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1E62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e6b844c554b5a" /><Relationship Type="http://schemas.openxmlformats.org/officeDocument/2006/relationships/theme" Target="/xl/theme/theme1.xml" Id="Rba082f7f7159455a" /><Relationship Type="http://schemas.openxmlformats.org/officeDocument/2006/relationships/sharedStrings" Target="/xl/sharedStrings.xml" Id="Re457599e46e44eed" /><Relationship Type="http://schemas.openxmlformats.org/officeDocument/2006/relationships/worksheet" Target="/xl/worksheets/sheet1.xml" Id="Rc15e96d666c145fb" /><Relationship Type="http://schemas.openxmlformats.org/officeDocument/2006/relationships/worksheet" Target="/xl/worksheets/sheet2.xml" Id="R1a1860d629c8424a" /><Relationship Type="http://schemas.openxmlformats.org/officeDocument/2006/relationships/worksheet" Target="/xl/worksheets/sheet3.xml" Id="Ra6110f15acb84eff" /><Relationship Type="http://schemas.openxmlformats.org/officeDocument/2006/relationships/worksheet" Target="/xl/worksheets/sheet4.xml" Id="R3b228de6f46349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c0069a7bd246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Emissões do fundo vs posições Itaú BBA (R$ mm)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Volume emissão</c:v>
          </c:tx>
          <c:spPr>
            <a:solidFill xmlns:a="http://schemas.openxmlformats.org/drawingml/2006/main">
              <a:srgbClr val="001E62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'Resumo'!$K$6:$K$11</c:f>
              <c:strCache>
                <c:ptCount val="0"/>
              </c:strCache>
            </c:strRef>
          </c:cat>
          <c:val>
            <c:numRef>
              <c:f>'Resumo'!$L$6:$L$11</c:f>
              <c:numCache>
                <c:formatCode>R$ #.##0</c:formatCode>
                <c:ptCount val="0"/>
              </c:numCache>
            </c:numRef>
          </c:val>
        </c:ser>
        <c:ser>
          <c:idx val="1"/>
          <c:order val="1"/>
          <c:tx>
            <c:v>BBA principal</c:v>
          </c:tx>
          <c:spPr>
            <a:solidFill xmlns:a="http://schemas.openxmlformats.org/drawingml/2006/main">
              <a:srgbClr val="EC7000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'Resumo'!$K$6:$K$11</c:f>
              <c:strCache>
                <c:ptCount val="0"/>
              </c:strCache>
            </c:strRef>
          </c:cat>
          <c:val>
            <c:numRef>
              <c:f>'Resumo'!$M$6:$M$11</c:f>
              <c:numCache>
                <c:formatCode>R$ #.##0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.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c0069a7bd246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issoesResumo" displayName="EmissoesResumo" ref="A5:H11" headerRowCount="1">
  <x:autoFilter ref="A5:H11"/>
  <x:tableColumns count="8">
    <x:tableColumn id="1" name="Série"/>
    <x:tableColumn id="2" name="Classe"/>
    <x:tableColumn id="3" name="Data emissão"/>
    <x:tableColumn id="4" name="Volume emissão (R$ mm)"/>
    <x:tableColumn id="5" name="PU emissão (R$)"/>
    <x:tableColumn id="6" name="BBA principal (R$ mm)"/>
    <x:tableColumn id="7" name="Remuneração"/>
    <x:tableColumn id="8" name="Fonte"/>
  </x:tableColumns>
  <x:tableStyleInfo name="TableStyleMedium2" showRowStripes="1"/>
</x:table>
</file>

<file path=xl/tables/table2.xml><?xml version="1.0" encoding="utf-8"?>
<x:table xmlns:x="http://schemas.openxmlformats.org/spreadsheetml/2006/main" id="2" name="EmissoesRaw" displayName="EmissoesRaw" ref="A1:R7" headerRowCount="1">
  <x:autoFilter ref="A1:R7"/>
  <x:tableColumns count="18">
    <x:tableColumn id="1" name="fundo"/>
    <x:tableColumn id="2" name="cnpj"/>
    <x:tableColumn id="3" name="classe_serie"/>
    <x:tableColumn id="4" name="serie_curta"/>
    <x:tableColumn id="5" name="tipo"/>
    <x:tableColumn id="6" name="data_deliberacao"/>
    <x:tableColumn id="7" name="data_emissao_integralizacao"/>
    <x:tableColumn id="8" name="data_encerramento_oferta"/>
    <x:tableColumn id="9" name="quantidade_cotas"/>
    <x:tableColumn id="10" name="volume_brl"/>
    <x:tableColumn id="11" name="volume_mm"/>
    <x:tableColumn id="12" name="pu_emissao_brl"/>
    <x:tableColumn id="13" name="remuneracao"/>
    <x:tableColumn id="14" name="juros_remuneracao"/>
    <x:tableColumn id="15" name="amortizacao_principal"/>
    <x:tableColumn id="16" name="status_evidencia"/>
    <x:tableColumn id="17" name="fonte"/>
    <x:tableColumn id="18" name="tipo_dado"/>
  </x:tableColumns>
  <x:tableStyleInfo name="TableStyleMedium2" showRowStripes="1"/>
</x:table>
</file>

<file path=xl/tables/table3.xml><?xml version="1.0" encoding="utf-8"?>
<x:table xmlns:x="http://schemas.openxmlformats.org/spreadsheetml/2006/main" id="3" name="InventarioRaw" displayName="InventarioRaw" ref="A1:N45" headerRowCount="1">
  <x:autoFilter ref="A1:N45"/>
  <x:tableColumns count="14">
    <x:tableColumn id="1" name="grupo"/>
    <x:tableColumn id="2" name="fundo"/>
    <x:tableColumn id="3" name="nome_curto"/>
    <x:tableColumn id="4" name="cnpj"/>
    <x:tableColumn id="5" name="cnpj_digits"/>
    <x:tableColumn id="6" name="data_referencia"/>
    <x:tableColumn id="7" name="categoria"/>
    <x:tableColumn id="8" name="tipo_documento"/>
    <x:tableColumn id="9" name="especie"/>
    <x:tableColumn id="10" name="documento_id"/>
    <x:tableColumn id="11" name="source_file"/>
    <x:tableColumn id="12" name="arquivo_local_existe"/>
    <x:tableColumn id="13" name="page_count"/>
    <x:tableColumn id="14" name="fonte_cobertura"/>
  </x:tableColumns>
  <x:tableStyleInfo name="TableStyleMedium2" showRowStripes="1"/>
</x:table>
</file>

<file path=xl/tables/table4.xml><?xml version="1.0" encoding="utf-8"?>
<x:table xmlns:x="http://schemas.openxmlformats.org/spreadsheetml/2006/main" id="4" name="FontesRaw" displayName="FontesRaw" ref="A1:E12" headerRowCount="1">
  <x:autoFilter ref="A1:E12"/>
  <x:tableColumns count="5">
    <x:tableColumn id="1" name="id"/>
    <x:tableColumn id="2" name="documento"/>
    <x:tableColumn id="3" name="tipo"/>
    <x:tableColumn id="4" name="arquivo_local"/>
    <x:tableColumn id="5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84cbc9f28f4273" /><Relationship Type="http://schemas.openxmlformats.org/officeDocument/2006/relationships/table" Target="/xl/tables/table1.xml" Id="R52f56dfdc4784f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d93f71977248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579e3f746d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2ccad0dbae43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5" hidden="0" customWidth="1"/>
    <x:col min="5" max="5" width="12" hidden="0" customWidth="1"/>
    <x:col min="6" max="6" width="15" hidden="0" customWidth="1"/>
    <x:col min="7" max="7" width="28" hidden="0" customWidth="1"/>
    <x:col min="8" max="8" width="36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2" t="str">
        <x:v>FIDC Sellers - histórico de emissões</x:v>
      </x:c>
    </x:row>
    <x:row r="2">
      <x:c r="A2" s="4" t="str">
        <x:v>Base: curadoria Toma Conta filtrada para CNPJ 50.473.039/0001-02; valores em R$ mm.</x:v>
      </x:c>
    </x:row>
    <x:row r="5">
      <x:c r="A5" s="8" t="str">
        <x:v>Série</x:v>
      </x:c>
      <x:c r="B5" s="8" t="str">
        <x:v>Classe</x:v>
      </x:c>
      <x:c r="C5" s="8" t="str">
        <x:v>Data emissão</x:v>
      </x:c>
      <x:c r="D5" s="8" t="str">
        <x:v>Volume emissão (R$ mm)</x:v>
      </x:c>
      <x:c r="E5" s="8" t="str">
        <x:v>PU emissão (R$)</x:v>
      </x:c>
      <x:c r="F5" s="8" t="str">
        <x:v>BBA principal (R$ mm)</x:v>
      </x:c>
      <x:c r="G5" s="8" t="str">
        <x:v>Remuneração</x:v>
      </x:c>
      <x:c r="H5" s="8" t="str">
        <x:v>Fonte</x:v>
      </x:c>
      <x:c r="K5" s="11" t="str">
        <x:v>Série</x:v>
      </x:c>
      <x:c r="L5" s="11" t="str">
        <x:v>Volume emissão</x:v>
      </x:c>
      <x:c r="M5" s="11" t="str">
        <x:v>BBA principal</x:v>
      </x:c>
    </x:row>
    <x:row r="6">
      <x:c r="A6" s="9" t="str">
        <x:v>S1</x:v>
      </x:c>
      <x:c r="B6" s="9" t="str">
        <x:v>Sênior</x:v>
      </x:c>
      <x:c r="C6" s="9" t="str">
        <x:v>31/05/2023</x:v>
      </x:c>
      <x:c r="D6" s="9" t="str">
        <x:v>1.000,0</x:v>
      </x:c>
      <x:c r="E6" s="9" t="str">
        <x:v>1.000,00</x:v>
      </x:c>
      <x:c r="F6" s="9" t="str">
        <x:v>0,0</x:v>
      </x:c>
      <x:c r="G6" s="9" t="str">
        <x:v>DI + 1,60% a.a. (252 d.u.)</x:v>
      </x:c>
      <x:c r="H6" s="9" t="str">
        <x:v>468755 p.3; 471622 p.2; 467929 pp.115-117</x:v>
      </x:c>
      <x:c r="K6" s="11" t="str">
        <x:v>S1</x:v>
      </x:c>
      <x:c r="L6" s="11" t="n">
        <x:v>1000</x:v>
      </x:c>
      <x:c r="M6" s="11" t="n">
        <x:v>0</x:v>
      </x:c>
    </x:row>
    <x:row r="7">
      <x:c r="A7" s="9" t="str">
        <x:v>S2</x:v>
      </x:c>
      <x:c r="B7" s="9" t="str">
        <x:v>Sênior</x:v>
      </x:c>
      <x:c r="C7" s="9" t="str">
        <x:v>31/05/2023</x:v>
      </x:c>
      <x:c r="D7" s="9" t="str">
        <x:v>500,0</x:v>
      </x:c>
      <x:c r="E7" s="9" t="str">
        <x:v>1.000,00</x:v>
      </x:c>
      <x:c r="F7" s="9" t="str">
        <x:v>0,0</x:v>
      </x:c>
      <x:c r="G7" s="9" t="str">
        <x:v>DI + 1,80% a.a. (252 d.u.)</x:v>
      </x:c>
      <x:c r="H7" s="9" t="str">
        <x:v>468755 p.3; 471622 p.2; 467929 pp.118-120</x:v>
      </x:c>
      <x:c r="K7" s="11" t="str">
        <x:v>S2</x:v>
      </x:c>
      <x:c r="L7" s="11" t="n">
        <x:v>500</x:v>
      </x:c>
      <x:c r="M7" s="11" t="n">
        <x:v>0</x:v>
      </x:c>
    </x:row>
    <x:row r="8">
      <x:c r="A8" s="9" t="str">
        <x:v>S3</x:v>
      </x:c>
      <x:c r="B8" s="9" t="str">
        <x:v>Sênior</x:v>
      </x:c>
      <x:c r="C8" s="9" t="str">
        <x:v>não disponível</x:v>
      </x:c>
      <x:c r="D8" s="9" t="str">
        <x:v>200,0</x:v>
      </x:c>
      <x:c r="E8" s="9" t="str">
        <x:v>1.000,00</x:v>
      </x:c>
      <x:c r="F8" s="9" t="str">
        <x:v>150,5</x:v>
      </x:c>
      <x:c r="G8" s="9" t="str">
        <x:v>Não identificada nos PDFs baixados</x:v>
      </x:c>
      <x:c r="H8" s="9" t="str">
        <x:v>558803 pp.4-5; 559856 pp.1-2</x:v>
      </x:c>
      <x:c r="K8" s="11" t="str">
        <x:v>S3</x:v>
      </x:c>
      <x:c r="L8" s="11" t="n">
        <x:v>200</x:v>
      </x:c>
      <x:c r="M8" s="11" t="n">
        <x:v>150.5</x:v>
      </x:c>
    </x:row>
    <x:row r="9">
      <x:c r="A9" s="9" t="str">
        <x:v>S4</x:v>
      </x:c>
      <x:c r="B9" s="9" t="str">
        <x:v>Sênior</x:v>
      </x:c>
      <x:c r="C9" s="9" t="str">
        <x:v>não disponível</x:v>
      </x:c>
      <x:c r="D9" s="9" t="str">
        <x:v>100,0</x:v>
      </x:c>
      <x:c r="E9" s="9" t="str">
        <x:v>1.000,00</x:v>
      </x:c>
      <x:c r="F9" s="9" t="str">
        <x:v>0,0</x:v>
      </x:c>
      <x:c r="G9" s="9" t="str">
        <x:v>Não identificada nos PDFs baixados</x:v>
      </x:c>
      <x:c r="H9" s="9" t="str">
        <x:v>558803 pp.4-5; 559856 pp.1-2</x:v>
      </x:c>
      <x:c r="K9" s="11" t="str">
        <x:v>S4</x:v>
      </x:c>
      <x:c r="L9" s="11" t="n">
        <x:v>100</x:v>
      </x:c>
      <x:c r="M9" s="11" t="n">
        <x:v>0</x:v>
      </x:c>
    </x:row>
    <x:row r="10">
      <x:c r="A10" s="9" t="str">
        <x:v>Sub Jr 2023</x:v>
      </x:c>
      <x:c r="B10" s="9" t="str">
        <x:v>Subordinada Júnior</x:v>
      </x:c>
      <x:c r="C10" s="9" t="str">
        <x:v>não disponível</x:v>
      </x:c>
      <x:c r="D10" s="9" t="str">
        <x:v>200,0</x:v>
      </x:c>
      <x:c r="E10" s="9" t="str">
        <x:v>n.d.</x:v>
      </x:c>
      <x:c r="F10" s="9" t="str">
        <x:v>0,0</x:v>
      </x:c>
      <x:c r="G10" s="9" t="str">
        <x:v>Residual / sem parâmetro definido</x:v>
      </x:c>
      <x:c r="H10" s="9" t="str">
        <x:v>558803 p.4</x:v>
      </x:c>
      <x:c r="K10" s="11" t="str">
        <x:v>Sub Jr 2023</x:v>
      </x:c>
      <x:c r="L10" s="11" t="n">
        <x:v>200</x:v>
      </x:c>
      <x:c r="M10" s="11" t="n">
        <x:v>0</x:v>
      </x:c>
    </x:row>
    <x:row r="11">
      <x:c r="A11" s="9" t="str">
        <x:v>S5</x:v>
      </x:c>
      <x:c r="B11" s="9" t="str">
        <x:v>Sênior</x:v>
      </x:c>
      <x:c r="C11" s="9" t="str">
        <x:v>29/05/2025</x:v>
      </x:c>
      <x:c r="D11" s="9" t="str">
        <x:v>1.500,0</x:v>
      </x:c>
      <x:c r="E11" s="9" t="str">
        <x:v>1.000,00</x:v>
      </x:c>
      <x:c r="F11" s="9" t="str">
        <x:v>750,0</x:v>
      </x:c>
      <x:c r="G11" s="9" t="str">
        <x:v>DI + 0,85% a.a. (252 d.u.)</x:v>
      </x:c>
      <x:c r="H11" s="9" t="str">
        <x:v>909546 p.9; 912093 pp.3-5; 912172 p.2; 932137 p.2</x:v>
      </x:c>
      <x:c r="K11" s="11" t="str">
        <x:v>S5</x:v>
      </x:c>
      <x:c r="L11" s="11" t="n">
        <x:v>1500</x:v>
      </x:c>
      <x:c r="M11" s="11" t="n">
        <x:v>750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9484cbc9f28f4273"/>
  <x:tableParts count="1">
    <x:tablePart xmlns:r="http://schemas.openxmlformats.org/officeDocument/2006/relationships" r:id="R52f56dfdc4784f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15.75" hidden="0" customWidth="1"/>
    <x:col min="3" max="3" width="26.6299991607666" hidden="0" customWidth="1"/>
    <x:col min="4" max="4" width="11.630000114440918" hidden="0" customWidth="1"/>
    <x:col min="5" max="5" width="14.880000114440918" hidden="0" customWidth="1"/>
    <x:col min="6" max="6" width="20" hidden="0" customWidth="1"/>
    <x:col min="7" max="7" width="25" hidden="0" customWidth="1"/>
    <x:col min="8" max="8" width="52.380001068115234" hidden="0" customWidth="1"/>
    <x:col min="9" max="9" width="16.6299991607666" hidden="0" customWidth="1"/>
    <x:col min="10" max="10" width="11.75" hidden="0" customWidth="1"/>
    <x:col min="11" max="11" width="12.630000114440918" hidden="0" customWidth="1"/>
    <x:col min="12" max="12" width="15.130000114440918" hidden="0" customWidth="1"/>
    <x:col min="13" max="13" width="26.75" hidden="0" customWidth="1"/>
    <x:col min="14" max="14" width="51.130001068115234" hidden="0" customWidth="1"/>
    <x:col min="15" max="15" width="97.5" hidden="0" customWidth="1"/>
    <x:col min="16" max="16" width="105.5" hidden="0" customWidth="1"/>
    <x:col min="17" max="17" width="39.130001068115234" hidden="0" customWidth="1"/>
    <x:col min="18" max="18" width="32" hidden="0" customWidth="1"/>
  </x:cols>
  <x:sheetData>
    <x:row r="1">
      <x:c r="A1" s="8" t="str">
        <x:v>fundo</x:v>
      </x:c>
      <x:c r="B1" s="8" t="str">
        <x:v>cnpj</x:v>
      </x:c>
      <x:c r="C1" s="8" t="str">
        <x:v>classe_serie</x:v>
      </x:c>
      <x:c r="D1" s="8" t="str">
        <x:v>serie_curta</x:v>
      </x:c>
      <x:c r="E1" s="8" t="str">
        <x:v>tipo</x:v>
      </x:c>
      <x:c r="F1" s="8" t="str">
        <x:v>data_deliberacao</x:v>
      </x:c>
      <x:c r="G1" s="8" t="str">
        <x:v>data_emissao_integralizacao</x:v>
      </x:c>
      <x:c r="H1" s="8" t="str">
        <x:v>data_encerramento_oferta</x:v>
      </x:c>
      <x:c r="I1" s="8" t="str">
        <x:v>quantidade_cotas</x:v>
      </x:c>
      <x:c r="J1" s="8" t="str">
        <x:v>volume_brl</x:v>
      </x:c>
      <x:c r="K1" s="8" t="str">
        <x:v>volume_mm</x:v>
      </x:c>
      <x:c r="L1" s="8" t="str">
        <x:v>pu_emissao_brl</x:v>
      </x:c>
      <x:c r="M1" s="8" t="str">
        <x:v>remuneracao</x:v>
      </x:c>
      <x:c r="N1" s="8" t="str">
        <x:v>juros_remuneracao</x:v>
      </x:c>
      <x:c r="O1" s="8" t="str">
        <x:v>amortizacao_principal</x:v>
      </x:c>
      <x:c r="P1" s="8" t="str">
        <x:v>status_evidencia</x:v>
      </x:c>
      <x:c r="Q1" s="8" t="str">
        <x:v>fonte</x:v>
      </x:c>
      <x:c r="R1" s="8" t="str">
        <x:v>tipo_dado</x:v>
      </x:c>
    </x:row>
    <x:row r="2">
      <x:c r="A2" s="9" t="str">
        <x:v>SELLER</x:v>
      </x:c>
      <x:c r="B2" s="9" t="str">
        <x:v>50.473.039/0001-02</x:v>
      </x:c>
      <x:c r="C2" s="9" t="str">
        <x:v>Sênior 1ª série</x:v>
      </x:c>
      <x:c r="D2" s="9" t="str">
        <x:v>S1</x:v>
      </x:c>
      <x:c r="E2" s="9" t="str">
        <x:v>Sênior</x:v>
      </x:c>
      <x:c r="F2" s="9" t="str">
        <x:v>22/05/2023</x:v>
      </x:c>
      <x:c r="G2" s="9" t="str">
        <x:v>31/05/2023</x:v>
      </x:c>
      <x:c r="H2" s="9" t="str">
        <x:v>31/05/2023 (liquidação ajustada; encerramento máximo 20/11/2023)</x:v>
      </x:c>
      <x:c r="I2" s="9" t="n">
        <x:v>1000000</x:v>
      </x:c>
      <x:c r="J2" s="9" t="n">
        <x:v>1000000000</x:v>
      </x:c>
      <x:c r="K2" s="9" t="n">
        <x:v>1000</x:v>
      </x:c>
      <x:c r="L2" s="9" t="n">
        <x:v>1000</x:v>
      </x:c>
      <x:c r="M2" s="9" t="str">
        <x:v>DI + 1,60% a.a. (252 d.u.)</x:v>
      </x:c>
      <x:c r="N2" s="9" t="str">
        <x:v>Semestral, a cada 6 meses a partir do 6º mês até a amortização final</x:v>
      </x:c>
      <x:c r="O2" s="9" t="str">
        <x:v>15/12/2025: 25,00%; 15/01/2026: 33,33%; 15/02/2026: 50,00%; 15/03/2026: 100,00%</x:v>
      </x:c>
      <x:c r="P2" s="9" t="str">
        <x:v>Data de liquidação ajustada para 31/05/2023; suplemento traz calendário completo</x:v>
      </x:c>
      <x:c r="Q2" s="9" t="str">
        <x:v>468755 p.3; 471622 p.2; 467929 pp.115-117</x:v>
      </x:c>
      <x:c r="R2" s="9" t="str">
        <x:v>Curadoria Toma Conta/regulatory_profiles</x:v>
      </x:c>
    </x:row>
    <x:row r="3">
      <x:c r="A3" s="9" t="str">
        <x:v>SELLER</x:v>
      </x:c>
      <x:c r="B3" s="9" t="str">
        <x:v>50.473.039/0001-02</x:v>
      </x:c>
      <x:c r="C3" s="9" t="str">
        <x:v>Sênior 2ª série</x:v>
      </x:c>
      <x:c r="D3" s="9" t="str">
        <x:v>S2</x:v>
      </x:c>
      <x:c r="E3" s="9" t="str">
        <x:v>Sênior</x:v>
      </x:c>
      <x:c r="F3" s="9" t="str">
        <x:v>22/05/2023</x:v>
      </x:c>
      <x:c r="G3" s="9" t="str">
        <x:v>31/05/2023</x:v>
      </x:c>
      <x:c r="H3" s="9" t="str">
        <x:v>31/05/2023 (liquidação ajustada; encerramento máximo 20/11/2023)</x:v>
      </x:c>
      <x:c r="I3" s="9" t="n">
        <x:v>500000</x:v>
      </x:c>
      <x:c r="J3" s="9" t="n">
        <x:v>500000000</x:v>
      </x:c>
      <x:c r="K3" s="9" t="n">
        <x:v>500</x:v>
      </x:c>
      <x:c r="L3" s="9" t="n">
        <x:v>1000</x:v>
      </x:c>
      <x:c r="M3" s="9" t="str">
        <x:v>DI + 1,80% a.a. (252 d.u.)</x:v>
      </x:c>
      <x:c r="N3" s="9" t="str">
        <x:v>Semestral, a cada 6 meses a partir do 6º mês até a amortização final</x:v>
      </x:c>
      <x:c r="O3" s="9" t="str">
        <x:v>15/04/2026: 50,00%; 15/05/2026: 100,00%</x:v>
      </x:c>
      <x:c r="P3" s="9" t="str">
        <x:v>Data de liquidação ajustada para 31/05/2023; suplemento traz calendário completo</x:v>
      </x:c>
      <x:c r="Q3" s="9" t="str">
        <x:v>468755 p.3; 471622 p.2; 467929 pp.118-120</x:v>
      </x:c>
      <x:c r="R3" s="9" t="str">
        <x:v>Curadoria Toma Conta/regulatory_profiles</x:v>
      </x:c>
    </x:row>
    <x:row r="4">
      <x:c r="A4" s="9" t="str">
        <x:v>SELLER</x:v>
      </x:c>
      <x:c r="B4" s="9" t="str">
        <x:v>50.473.039/0001-02</x:v>
      </x:c>
      <x:c r="C4" s="9" t="str">
        <x:v>Sênior 3ª série</x:v>
      </x:c>
      <x:c r="D4" s="9" t="str">
        <x:v>S3</x:v>
      </x:c>
      <x:c r="E4" s="9" t="str">
        <x:v>Sênior</x:v>
      </x:c>
      <x:c r="F4" s="9" t="str">
        <x:v>23/11/2023</x:v>
      </x:c>
      <x:c r="G4" s="9"/>
      <x:c r="H4" s="9" t="str">
        <x:v>Anúncio de início 27/11/2023; encerramento máximo 24/05/2024</x:v>
      </x:c>
      <x:c r="I4" s="9" t="n">
        <x:v>200000</x:v>
      </x:c>
      <x:c r="J4" s="9" t="n">
        <x:v>200000000</x:v>
      </x:c>
      <x:c r="K4" s="9" t="n">
        <x:v>200</x:v>
      </x:c>
      <x:c r="L4" s="9" t="n">
        <x:v>1000</x:v>
      </x:c>
      <x:c r="M4" s="9" t="str">
        <x:v>Não identificada nos PDFs baixados</x:v>
      </x:c>
      <x:c r="N4" s="9" t="str">
        <x:v>Não identificado</x:v>
      </x:c>
      <x:c r="O4" s="9" t="str">
        <x:v>Não identificado</x:v>
      </x:c>
      <x:c r="P4" s="9" t="str">
        <x:v>Ata aprova emissão e remete a suplemento; suplemento com calendário específico não apareceu no texto extraído dos documentos baixados</x:v>
      </x:c>
      <x:c r="Q4" s="9" t="str">
        <x:v>558803 pp.4-5; 559856 pp.1-2</x:v>
      </x:c>
      <x:c r="R4" s="9" t="str">
        <x:v>Curadoria Toma Conta/regulatory_profiles</x:v>
      </x:c>
    </x:row>
    <x:row r="5">
      <x:c r="A5" s="9" t="str">
        <x:v>SELLER</x:v>
      </x:c>
      <x:c r="B5" s="9" t="str">
        <x:v>50.473.039/0001-02</x:v>
      </x:c>
      <x:c r="C5" s="9" t="str">
        <x:v>Sênior 4ª série</x:v>
      </x:c>
      <x:c r="D5" s="9" t="str">
        <x:v>S4</x:v>
      </x:c>
      <x:c r="E5" s="9" t="str">
        <x:v>Sênior</x:v>
      </x:c>
      <x:c r="F5" s="9" t="str">
        <x:v>23/11/2023</x:v>
      </x:c>
      <x:c r="G5" s="9"/>
      <x:c r="H5" s="9" t="str">
        <x:v>Anúncio de início 27/11/2023; encerramento máximo 24/05/2024</x:v>
      </x:c>
      <x:c r="I5" s="9" t="n">
        <x:v>100000</x:v>
      </x:c>
      <x:c r="J5" s="9" t="n">
        <x:v>100000000</x:v>
      </x:c>
      <x:c r="K5" s="9" t="n">
        <x:v>100</x:v>
      </x:c>
      <x:c r="L5" s="9" t="n">
        <x:v>1000</x:v>
      </x:c>
      <x:c r="M5" s="9" t="str">
        <x:v>Não identificada nos PDFs baixados</x:v>
      </x:c>
      <x:c r="N5" s="9" t="str">
        <x:v>Não identificado</x:v>
      </x:c>
      <x:c r="O5" s="9" t="str">
        <x:v>Não identificado</x:v>
      </x:c>
      <x:c r="P5" s="9" t="str">
        <x:v>Ata aprova emissão e remete a suplemento; suplemento com calendário específico não apareceu no texto extraído dos documentos baixados</x:v>
      </x:c>
      <x:c r="Q5" s="9" t="str">
        <x:v>558803 pp.4-5; 559856 pp.1-2</x:v>
      </x:c>
      <x:c r="R5" s="9" t="str">
        <x:v>Curadoria Toma Conta/regulatory_profiles</x:v>
      </x:c>
    </x:row>
    <x:row r="6">
      <x:c r="A6" s="9" t="str">
        <x:v>SELLER</x:v>
      </x:c>
      <x:c r="B6" s="9" t="str">
        <x:v>50.473.039/0001-02</x:v>
      </x:c>
      <x:c r="C6" s="9" t="str">
        <x:v>Subordinada Júnior (emissão 2023)</x:v>
      </x:c>
      <x:c r="D6" s="9" t="str">
        <x:v>Sub Jr 2023</x:v>
      </x:c>
      <x:c r="E6" s="9" t="str">
        <x:v>Subordinada Júnior</x:v>
      </x:c>
      <x:c r="F6" s="9" t="str">
        <x:v>23/11/2023</x:v>
      </x:c>
      <x:c r="G6" s="9"/>
      <x:c r="H6" s="9" t="str">
        <x:v>Colocação privada</x:v>
      </x:c>
      <x:c r="I6" s="9"/>
      <x:c r="J6" s="9" t="n">
        <x:v>200000000</x:v>
      </x:c>
      <x:c r="K6" s="9" t="n">
        <x:v>200</x:v>
      </x:c>
      <x:c r="L6" s="9"/>
      <x:c r="M6" s="9" t="str">
        <x:v>Residual / sem parâmetro definido</x:v>
      </x:c>
      <x:c r="N6" s="9" t="str">
        <x:v>Sem calendário fixo identificado</x:v>
      </x:c>
      <x:c r="O6" s="9" t="str">
        <x:v>Pode ser extraordinária se respeitado o índice de subordinação e caixa excedente; sem calendário fixo</x:v>
      </x:c>
      <x:c r="P6" s="9" t="str">
        <x:v>Aprovada em assembleia como colocação privada</x:v>
      </x:c>
      <x:c r="Q6" s="9" t="str">
        <x:v>558803 p.4</x:v>
      </x:c>
      <x:c r="R6" s="9" t="str">
        <x:v>Curadoria Toma Conta/regulatory_profiles</x:v>
      </x:c>
    </x:row>
    <x:row r="7">
      <x:c r="A7" s="9" t="str">
        <x:v>SELLER</x:v>
      </x:c>
      <x:c r="B7" s="9" t="str">
        <x:v>50.473.039/0001-02</x:v>
      </x:c>
      <x:c r="C7" s="9" t="str">
        <x:v>Sênior 5ª série</x:v>
      </x:c>
      <x:c r="D7" s="9" t="str">
        <x:v>S5</x:v>
      </x:c>
      <x:c r="E7" s="9" t="str">
        <x:v>Sênior</x:v>
      </x:c>
      <x:c r="F7" s="9" t="str">
        <x:v>19/05/2025 e 26/05/2025</x:v>
      </x:c>
      <x:c r="G7" s="9" t="str">
        <x:v>29/05/2025</x:v>
      </x:c>
      <x:c r="H7" s="9" t="str">
        <x:v>04/06/2025</x:v>
      </x:c>
      <x:c r="I7" s="9" t="n">
        <x:v>1500000</x:v>
      </x:c>
      <x:c r="J7" s="9" t="n">
        <x:v>1500000000</x:v>
      </x:c>
      <x:c r="K7" s="9" t="n">
        <x:v>1500</x:v>
      </x:c>
      <x:c r="L7" s="9" t="n">
        <x:v>1000</x:v>
      </x:c>
      <x:c r="M7" s="9" t="str">
        <x:v>DI + 0,85% a.a. (252 d.u.)</x:v>
      </x:c>
      <x:c r="N7" s="9" t="str">
        <x:v>Semestral, a cada 6 meses a partir do 6º mês até a amortização final</x:v>
      </x:c>
      <x:c r="O7" s="9" t="str">
        <x:v>15/12/2027: 16,67%; 15/01/2028: 20,00%; 15/02/2028: 25,00%; 15/03/2028: 33,33%; 15/04/2028: 50,00%; 15/05/2028: 100,00%</x:v>
      </x:c>
      <x:c r="P7" s="9" t="str">
        <x:v>Oferta integralmente subscrita por 2 instituições financeiras ligadas</x:v>
      </x:c>
      <x:c r="Q7" s="9" t="str">
        <x:v>909546 p.9; 912093 pp.3-5; 912172 p.2; 932137 p.2</x:v>
      </x:c>
      <x:c r="R7" s="9" t="str">
        <x:v>Curadoria Toma Conta/regulatory_profiles</x:v>
      </x:c>
    </x:row>
  </x:sheetData>
  <x:pageMargins left="0.7" right="0.7" top="0.75" bottom="0.75" header="0.3" footer="0.3"/>
  <x:tableParts count="1">
    <x:tablePart xmlns:r="http://schemas.openxmlformats.org/officeDocument/2006/relationships" r:id="R9fd93f71977248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61.880001068115234" hidden="0" customWidth="1"/>
    <x:col min="3" max="3" width="12.380000114440918" hidden="0" customWidth="1"/>
    <x:col min="4" max="4" width="15.75" hidden="0" customWidth="1"/>
    <x:col min="5" max="5" width="11.25" hidden="0" customWidth="1"/>
    <x:col min="6" max="6" width="15" hidden="0" customWidth="1"/>
    <x:col min="7" max="7" width="10.130000114440918" hidden="0" customWidth="1"/>
    <x:col min="8" max="8" width="39.75" hidden="0" customWidth="1"/>
    <x:col min="9" max="9" width="14.130000114440918" hidden="0" customWidth="1"/>
    <x:col min="10" max="10" width="14.130000114440918" hidden="0" customWidth="1"/>
    <x:col min="11" max="11" width="67.12999725341797" hidden="0" customWidth="1"/>
    <x:col min="12" max="12" width="18.6299991607666" hidden="0" customWidth="1"/>
    <x:col min="13" max="13" width="12" hidden="0" customWidth="1"/>
    <x:col min="14" max="14" width="18.8799991607666" hidden="0" customWidth="1"/>
  </x:cols>
  <x:sheetData>
    <x:row r="1">
      <x:c r="A1" s="8" t="str">
        <x:v>grupo</x:v>
      </x:c>
      <x:c r="B1" s="8" t="str">
        <x:v>fundo</x:v>
      </x:c>
      <x:c r="C1" s="8" t="str">
        <x:v>nome_curto</x:v>
      </x:c>
      <x:c r="D1" s="8" t="str">
        <x:v>cnpj</x:v>
      </x:c>
      <x:c r="E1" s="8" t="str">
        <x:v>cnpj_digits</x:v>
      </x:c>
      <x:c r="F1" s="8" t="str">
        <x:v>data_referencia</x:v>
      </x:c>
      <x:c r="G1" s="8" t="str">
        <x:v>categoria</x:v>
      </x:c>
      <x:c r="H1" s="8" t="str">
        <x:v>tipo_documento</x:v>
      </x:c>
      <x:c r="I1" s="8" t="str">
        <x:v>especie</x:v>
      </x:c>
      <x:c r="J1" s="8" t="str">
        <x:v>documento_id</x:v>
      </x:c>
      <x:c r="K1" s="8" t="str">
        <x:v>source_file</x:v>
      </x:c>
      <x:c r="L1" s="8" t="str">
        <x:v>arquivo_local_existe</x:v>
      </x:c>
      <x:c r="M1" s="8" t="str">
        <x:v>page_count</x:v>
      </x:c>
      <x:c r="N1" s="8" t="str">
        <x:v>fonte_cobertura</x:v>
      </x:c>
    </x:row>
    <x:row r="2">
      <x:c r="A2" s="9" t="str">
        <x:v>Sellers</x:v>
      </x:c>
      <x:c r="B2" s="9" t="str">
        <x:v>SELLER FIDC SEGMENTO MEIOS DE PAGAMENTO DE RESPONSABILIDADE LIMITADA</x:v>
      </x:c>
      <x:c r="C2" s="9" t="str">
        <x:v>Seller FIDC</x:v>
      </x:c>
      <x:c r="D2" s="9" t="str">
        <x:v>50.473.039/0001-02</x:v>
      </x:c>
      <x:c r="E2" s="9" t="n">
        <x:v>50473039000102</x:v>
      </x:c>
      <x:c r="F2" s="9" t="str">
        <x:v>05/05/2023</x:v>
      </x:c>
      <x:c r="G2" s="9" t="str">
        <x:v>regulamento</x:v>
      </x:c>
      <x:c r="H2" s="9" t="str">
        <x:v>Regulamento</x:v>
      </x:c>
      <x:c r="I2" s="9"/>
      <x:c r="J2" s="9" t="n">
        <x:v>467929</x:v>
      </x:c>
      <x:c r="K2" s="9" t="str">
        <x:v>data/raw/50473039000102/467929_regulamento_regulamento_467929_2023-05-05.pdf</x:v>
      </x:c>
      <x:c r="L2" s="9" t="str">
        <x:v>True</x:v>
      </x:c>
      <x:c r="M2" s="9" t="n">
        <x:v>130</x:v>
      </x:c>
      <x:c r="N2" s="9" t="str">
        <x:v>PDF local</x:v>
      </x:c>
    </x:row>
    <x:row r="3">
      <x:c r="A3" s="9" t="str">
        <x:v>Sellers</x:v>
      </x:c>
      <x:c r="B3" s="9" t="str">
        <x:v>SELLER FIDC SEGMENTO MEIOS DE PAGAMENTO DE RESPONSABILIDADE LIMITADA</x:v>
      </x:c>
      <x:c r="C3" s="9" t="str">
        <x:v>Seller FIDC</x:v>
      </x:c>
      <x:c r="D3" s="9" t="str">
        <x:v>50.473.039/0001-02</x:v>
      </x:c>
      <x:c r="E3" s="9" t="n">
        <x:v>50473039000102</x:v>
      </x:c>
      <x:c r="F3" s="9" t="str">
        <x:v>05/05/2023</x:v>
      </x:c>
      <x:c r="G3" s="9" t="str">
        <x:v>regulamento</x:v>
      </x:c>
      <x:c r="H3" s="9" t="str">
        <x:v>Instrumento Particular de Alteração do Regulamento</x:v>
      </x:c>
      <x:c r="I3" s="9"/>
      <x:c r="J3" s="9" t="n">
        <x:v>467930</x:v>
      </x:c>
      <x:c r="K3" s="9" t="str">
        <x:v>data/raw/50473039000102/467930_regulamento_regulamento_467930_2023-05-05.pdf</x:v>
      </x:c>
      <x:c r="L3" s="9" t="str">
        <x:v>True</x:v>
      </x:c>
      <x:c r="M3" s="9" t="n">
        <x:v>3</x:v>
      </x:c>
      <x:c r="N3" s="9" t="str">
        <x:v>PDF local</x:v>
      </x:c>
    </x:row>
    <x:row r="4">
      <x:c r="A4" s="9" t="str">
        <x:v>Sellers</x:v>
      </x:c>
      <x:c r="B4" s="9" t="str">
        <x:v>SELLER FIDC SEGMENTO MEIOS DE PAGAMENTO DE RESPONSABILIDADE LIMITADA</x:v>
      </x:c>
      <x:c r="C4" s="9" t="str">
        <x:v>Seller FIDC</x:v>
      </x:c>
      <x:c r="D4" s="9" t="str">
        <x:v>50.473.039/0001-02</x:v>
      </x:c>
      <x:c r="E4" s="9" t="n">
        <x:v>50473039000102</x:v>
      </x:c>
      <x:c r="F4" s="9" t="str">
        <x:v>22/05/2023 10:00</x:v>
      </x:c>
      <x:c r="G4" s="9" t="str">
        <x:v>assembleia</x:v>
      </x:c>
      <x:c r="H4" s="9" t="str">
        <x:v>AGE</x:v>
      </x:c>
      <x:c r="I4" s="9" t="str">
        <x:v>Ata da Assembleia</x:v>
      </x:c>
      <x:c r="J4" s="9" t="n">
        <x:v>468755</x:v>
      </x:c>
      <x:c r="K4" s="9" t="str">
        <x:v>data/raw/50473039000102/468755_assembleia_assembleia_468755_2023-05-22.pdf</x:v>
      </x:c>
      <x:c r="L4" s="9" t="str">
        <x:v>True</x:v>
      </x:c>
      <x:c r="M4" s="9" t="n">
        <x:v>3</x:v>
      </x:c>
      <x:c r="N4" s="9" t="str">
        <x:v>PDF local</x:v>
      </x:c>
    </x:row>
    <x:row r="5">
      <x:c r="A5" s="9" t="str">
        <x:v>Sellers</x:v>
      </x:c>
      <x:c r="B5" s="9" t="str">
        <x:v>SELLER FIDC SEGMENTO MEIOS DE PAGAMENTO DE RESPONSABILIDADE LIMITADA</x:v>
      </x:c>
      <x:c r="C5" s="9" t="str">
        <x:v>Seller FIDC</x:v>
      </x:c>
      <x:c r="D5" s="9" t="str">
        <x:v>50.473.039/0001-02</x:v>
      </x:c>
      <x:c r="E5" s="9" t="n">
        <x:v>50473039000102</x:v>
      </x:c>
      <x:c r="F5" s="9" t="str">
        <x:v>22/05/2023</x:v>
      </x:c>
      <x:c r="G5" s="9" t="str">
        <x:v>regulamento</x:v>
      </x:c>
      <x:c r="H5" s="9" t="str">
        <x:v>Regulamento</x:v>
      </x:c>
      <x:c r="I5" s="9"/>
      <x:c r="J5" s="9" t="n">
        <x:v>468756</x:v>
      </x:c>
      <x:c r="K5" s="9" t="str">
        <x:v>data/raw/50473039000102/468756_regulamento_regulamento_468756_2023-05-22.pdf</x:v>
      </x:c>
      <x:c r="L5" s="9" t="str">
        <x:v>True</x:v>
      </x:c>
      <x:c r="M5" s="9" t="n">
        <x:v>111</x:v>
      </x:c>
      <x:c r="N5" s="9" t="str">
        <x:v>PDF local</x:v>
      </x:c>
    </x:row>
    <x:row r="6">
      <x:c r="A6" s="9" t="str">
        <x:v>Sellers</x:v>
      </x:c>
      <x:c r="B6" s="9" t="str">
        <x:v>SELLER FIDC SEGMENTO MEIOS DE PAGAMENTO DE RESPONSABILIDADE LIMITADA</x:v>
      </x:c>
      <x:c r="C6" s="9" t="str">
        <x:v>Seller FIDC</x:v>
      </x:c>
      <x:c r="D6" s="9" t="str">
        <x:v>50.473.039/0001-02</x:v>
      </x:c>
      <x:c r="E6" s="9" t="n">
        <x:v>50473039000102</x:v>
      </x:c>
      <x:c r="F6" s="9" t="str">
        <x:v>24/05/2023</x:v>
      </x:c>
      <x:c r="G6" s="9" t="str">
        <x:v>emissao</x:v>
      </x:c>
      <x:c r="H6" s="9" t="str">
        <x:v>Anúncio de Início</x:v>
      </x:c>
      <x:c r="I6" s="9"/>
      <x:c r="J6" s="9" t="n">
        <x:v>468767</x:v>
      </x:c>
      <x:c r="K6" s="9" t="str">
        <x:v>data/raw/50473039000102/468767_emissao_emissao_468767_2023-05-24.pdf</x:v>
      </x:c>
      <x:c r="L6" s="9" t="str">
        <x:v>True</x:v>
      </x:c>
      <x:c r="M6" s="9" t="n">
        <x:v>3</x:v>
      </x:c>
      <x:c r="N6" s="9" t="str">
        <x:v>PDF local</x:v>
      </x:c>
    </x:row>
    <x:row r="7">
      <x:c r="A7" s="9" t="str">
        <x:v>Sellers</x:v>
      </x:c>
      <x:c r="B7" s="9" t="str">
        <x:v>SELLER FIDC SEGMENTO MEIOS DE PAGAMENTO DE RESPONSABILIDADE LIMITADA</x:v>
      </x:c>
      <x:c r="C7" s="9" t="str">
        <x:v>Seller FIDC</x:v>
      </x:c>
      <x:c r="D7" s="9" t="str">
        <x:v>50.473.039/0001-02</x:v>
      </x:c>
      <x:c r="E7" s="9" t="n">
        <x:v>50473039000102</x:v>
      </x:c>
      <x:c r="F7" s="9" t="str">
        <x:v>29/05/2023 10:00</x:v>
      </x:c>
      <x:c r="G7" s="9" t="str">
        <x:v>assembleia</x:v>
      </x:c>
      <x:c r="H7" s="9" t="str">
        <x:v>AGE</x:v>
      </x:c>
      <x:c r="I7" s="9" t="str">
        <x:v>Ata da Assembleia</x:v>
      </x:c>
      <x:c r="J7" s="9" t="n">
        <x:v>471084</x:v>
      </x:c>
      <x:c r="K7" s="9" t="str">
        <x:v>data/raw/50473039000102/471084_assembleia_assembleia_471084_2023-05-29.pdf</x:v>
      </x:c>
      <x:c r="L7" s="9" t="str">
        <x:v>True</x:v>
      </x:c>
      <x:c r="M7" s="9" t="n">
        <x:v>2</x:v>
      </x:c>
      <x:c r="N7" s="9" t="str">
        <x:v>PDF local</x:v>
      </x:c>
    </x:row>
    <x:row r="8">
      <x:c r="A8" s="9" t="str">
        <x:v>Sellers</x:v>
      </x:c>
      <x:c r="B8" s="9" t="str">
        <x:v>SELLER FIDC SEGMENTO MEIOS DE PAGAMENTO DE RESPONSABILIDADE LIMITADA</x:v>
      </x:c>
      <x:c r="C8" s="9" t="str">
        <x:v>Seller FIDC</x:v>
      </x:c>
      <x:c r="D8" s="9" t="str">
        <x:v>50.473.039/0001-02</x:v>
      </x:c>
      <x:c r="E8" s="9" t="n">
        <x:v>50473039000102</x:v>
      </x:c>
      <x:c r="F8" s="9" t="str">
        <x:v>29/05/2023</x:v>
      </x:c>
      <x:c r="G8" s="9" t="str">
        <x:v>regulamento</x:v>
      </x:c>
      <x:c r="H8" s="9" t="str">
        <x:v>Regulamento</x:v>
      </x:c>
      <x:c r="I8" s="9"/>
      <x:c r="J8" s="9" t="n">
        <x:v>471085</x:v>
      </x:c>
      <x:c r="K8" s="9" t="str">
        <x:v>data/raw/50473039000102/471085_regulamento_regulamento_471085_2023-05-29.pdf</x:v>
      </x:c>
      <x:c r="L8" s="9" t="str">
        <x:v>True</x:v>
      </x:c>
      <x:c r="M8" s="9" t="n">
        <x:v>112</x:v>
      </x:c>
      <x:c r="N8" s="9" t="str">
        <x:v>PDF local</x:v>
      </x:c>
    </x:row>
    <x:row r="9">
      <x:c r="A9" s="9" t="str">
        <x:v>Sellers</x:v>
      </x:c>
      <x:c r="B9" s="9" t="str">
        <x:v>SELLER FIDC SEGMENTO MEIOS DE PAGAMENTO DE RESPONSABILIDADE LIMITADA</x:v>
      </x:c>
      <x:c r="C9" s="9" t="str">
        <x:v>Seller FIDC</x:v>
      </x:c>
      <x:c r="D9" s="9" t="str">
        <x:v>50.473.039/0001-02</x:v>
      </x:c>
      <x:c r="E9" s="9" t="n">
        <x:v>50473039000102</x:v>
      </x:c>
      <x:c r="F9" s="9" t="str">
        <x:v>30/05/2023</x:v>
      </x:c>
      <x:c r="G9" s="9" t="str">
        <x:v>emissao</x:v>
      </x:c>
      <x:c r="H9" s="9" t="str">
        <x:v>Aviso ao Mercado</x:v>
      </x:c>
      <x:c r="I9" s="9"/>
      <x:c r="J9" s="9" t="n">
        <x:v>471622</x:v>
      </x:c>
      <x:c r="K9" s="9" t="str">
        <x:v>data/raw/50473039000102/471622_emissao_emissao_471622_2023-05-30.pdf</x:v>
      </x:c>
      <x:c r="L9" s="9" t="str">
        <x:v>True</x:v>
      </x:c>
      <x:c r="M9" s="9" t="n">
        <x:v>3</x:v>
      </x:c>
      <x:c r="N9" s="9" t="str">
        <x:v>PDF local</x:v>
      </x:c>
    </x:row>
    <x:row r="10">
      <x:c r="A10" s="9" t="str">
        <x:v>Sellers</x:v>
      </x:c>
      <x:c r="B10" s="9" t="str">
        <x:v>SELLER FIDC SEGMENTO MEIOS DE PAGAMENTO DE RESPONSABILIDADE LIMITADA</x:v>
      </x:c>
      <x:c r="C10" s="9" t="str">
        <x:v>Seller FIDC</x:v>
      </x:c>
      <x:c r="D10" s="9" t="str">
        <x:v>50.473.039/0001-02</x:v>
      </x:c>
      <x:c r="E10" s="9" t="n">
        <x:v>50473039000102</x:v>
      </x:c>
      <x:c r="F10" s="9" t="str">
        <x:v>06/2023</x:v>
      </x:c>
      <x:c r="G10" s="9" t="str">
        <x:v>outro</x:v>
      </x:c>
      <x:c r="H10" s="9" t="str">
        <x:v>Informe Trimestral</x:v>
      </x:c>
      <x:c r="I10" s="9"/>
      <x:c r="J10" s="9" t="n">
        <x:v>507608</x:v>
      </x:c>
      <x:c r="K10" s="9"/>
      <x:c r="L10" s="9" t="str">
        <x:v>False</x:v>
      </x:c>
      <x:c r="M10" s="9"/>
      <x:c r="N10" s="9" t="str">
        <x:v>Inventário sem PDF local</x:v>
      </x:c>
    </x:row>
    <x:row r="11">
      <x:c r="A11" s="9" t="str">
        <x:v>Sellers</x:v>
      </x:c>
      <x:c r="B11" s="9" t="str">
        <x:v>SELLER FIDC SEGMENTO MEIOS DE PAGAMENTO DE RESPONSABILIDADE LIMITADA</x:v>
      </x:c>
      <x:c r="C11" s="9" t="str">
        <x:v>Seller FIDC</x:v>
      </x:c>
      <x:c r="D11" s="9" t="str">
        <x:v>50.473.039/0001-02</x:v>
      </x:c>
      <x:c r="E11" s="9" t="n">
        <x:v>50473039000102</x:v>
      </x:c>
      <x:c r="F11" s="9" t="str">
        <x:v>09/2023</x:v>
      </x:c>
      <x:c r="G11" s="9" t="str">
        <x:v>outro</x:v>
      </x:c>
      <x:c r="H11" s="9" t="str">
        <x:v>Informe Trimestral</x:v>
      </x:c>
      <x:c r="I11" s="9"/>
      <x:c r="J11" s="9" t="n">
        <x:v>552582</x:v>
      </x:c>
      <x:c r="K11" s="9"/>
      <x:c r="L11" s="9" t="str">
        <x:v>False</x:v>
      </x:c>
      <x:c r="M11" s="9"/>
      <x:c r="N11" s="9" t="str">
        <x:v>Inventário sem PDF local</x:v>
      </x:c>
    </x:row>
    <x:row r="12">
      <x:c r="A12" s="9" t="str">
        <x:v>Sellers</x:v>
      </x:c>
      <x:c r="B12" s="9" t="str">
        <x:v>SELLER FIDC SEGMENTO MEIOS DE PAGAMENTO DE RESPONSABILIDADE LIMITADA</x:v>
      </x:c>
      <x:c r="C12" s="9" t="str">
        <x:v>Seller FIDC</x:v>
      </x:c>
      <x:c r="D12" s="9" t="str">
        <x:v>50.473.039/0001-02</x:v>
      </x:c>
      <x:c r="E12" s="9" t="n">
        <x:v>50473039000102</x:v>
      </x:c>
      <x:c r="F12" s="9" t="str">
        <x:v>09/2023</x:v>
      </x:c>
      <x:c r="G12" s="9" t="str">
        <x:v>outro</x:v>
      </x:c>
      <x:c r="H12" s="9" t="str">
        <x:v>Informe Trimestral</x:v>
      </x:c>
      <x:c r="I12" s="9"/>
      <x:c r="J12" s="9" t="n">
        <x:v>553928</x:v>
      </x:c>
      <x:c r="K12" s="9"/>
      <x:c r="L12" s="9" t="str">
        <x:v>False</x:v>
      </x:c>
      <x:c r="M12" s="9"/>
      <x:c r="N12" s="9" t="str">
        <x:v>Inventário sem PDF local</x:v>
      </x:c>
    </x:row>
    <x:row r="13">
      <x:c r="A13" s="9" t="str">
        <x:v>Sellers</x:v>
      </x:c>
      <x:c r="B13" s="9" t="str">
        <x:v>SELLER FIDC SEGMENTO MEIOS DE PAGAMENTO DE RESPONSABILIDADE LIMITADA</x:v>
      </x:c>
      <x:c r="C13" s="9" t="str">
        <x:v>Seller FIDC</x:v>
      </x:c>
      <x:c r="D13" s="9" t="str">
        <x:v>50.473.039/0001-02</x:v>
      </x:c>
      <x:c r="E13" s="9" t="n">
        <x:v>50473039000102</x:v>
      </x:c>
      <x:c r="F13" s="9" t="str">
        <x:v>23/11/2023</x:v>
      </x:c>
      <x:c r="G13" s="9" t="str">
        <x:v>emissao</x:v>
      </x:c>
      <x:c r="H13" s="9" t="str">
        <x:v>Aviso ao Mercado</x:v>
      </x:c>
      <x:c r="I13" s="9"/>
      <x:c r="J13" s="9" t="n">
        <x:v>558430</x:v>
      </x:c>
      <x:c r="K13" s="9" t="str">
        <x:v>data/raw/50473039000102/558430_emissao_emissao_558430_2023-11-23.pdf</x:v>
      </x:c>
      <x:c r="L13" s="9" t="str">
        <x:v>True</x:v>
      </x:c>
      <x:c r="M13" s="9" t="n">
        <x:v>3</x:v>
      </x:c>
      <x:c r="N13" s="9" t="str">
        <x:v>PDF local</x:v>
      </x:c>
    </x:row>
    <x:row r="14">
      <x:c r="A14" s="9" t="str">
        <x:v>Sellers</x:v>
      </x:c>
      <x:c r="B14" s="9" t="str">
        <x:v>SELLER FIDC SEGMENTO MEIOS DE PAGAMENTO DE RESPONSABILIDADE LIMITADA</x:v>
      </x:c>
      <x:c r="C14" s="9" t="str">
        <x:v>Seller FIDC</x:v>
      </x:c>
      <x:c r="D14" s="9" t="str">
        <x:v>50.473.039/0001-02</x:v>
      </x:c>
      <x:c r="E14" s="9" t="n">
        <x:v>50473039000102</x:v>
      </x:c>
      <x:c r="F14" s="9" t="str">
        <x:v>23/11/2023 14:00</x:v>
      </x:c>
      <x:c r="G14" s="9" t="str">
        <x:v>assembleia</x:v>
      </x:c>
      <x:c r="H14" s="9" t="str">
        <x:v>AGE</x:v>
      </x:c>
      <x:c r="I14" s="9" t="str">
        <x:v>Ata da Assembleia</x:v>
      </x:c>
      <x:c r="J14" s="9" t="n">
        <x:v>558803</x:v>
      </x:c>
      <x:c r="K14" s="9" t="str">
        <x:v>data/raw/50473039000102/558803_assembleia_assembleia_558803_2023-11-23.pdf</x:v>
      </x:c>
      <x:c r="L14" s="9" t="str">
        <x:v>True</x:v>
      </x:c>
      <x:c r="M14" s="9" t="n">
        <x:v>6</x:v>
      </x:c>
      <x:c r="N14" s="9" t="str">
        <x:v>PDF local</x:v>
      </x:c>
    </x:row>
    <x:row r="15">
      <x:c r="A15" s="9" t="str">
        <x:v>Sellers</x:v>
      </x:c>
      <x:c r="B15" s="9" t="str">
        <x:v>SELLER FIDC SEGMENTO MEIOS DE PAGAMENTO DE RESPONSABILIDADE LIMITADA</x:v>
      </x:c>
      <x:c r="C15" s="9" t="str">
        <x:v>Seller FIDC</x:v>
      </x:c>
      <x:c r="D15" s="9" t="str">
        <x:v>50.473.039/0001-02</x:v>
      </x:c>
      <x:c r="E15" s="9" t="n">
        <x:v>50473039000102</x:v>
      </x:c>
      <x:c r="F15" s="9" t="str">
        <x:v>23/11/2023</x:v>
      </x:c>
      <x:c r="G15" s="9" t="str">
        <x:v>regulamento</x:v>
      </x:c>
      <x:c r="H15" s="9" t="str">
        <x:v>Regulamento</x:v>
      </x:c>
      <x:c r="I15" s="9"/>
      <x:c r="J15" s="9" t="n">
        <x:v>558844</x:v>
      </x:c>
      <x:c r="K15" s="9" t="str">
        <x:v>data/raw/50473039000102/558844_regulamento_regulamento_558844_2023-11-23.pdf</x:v>
      </x:c>
      <x:c r="L15" s="9" t="str">
        <x:v>True</x:v>
      </x:c>
      <x:c r="M15" s="9" t="n">
        <x:v>111</x:v>
      </x:c>
      <x:c r="N15" s="9" t="str">
        <x:v>PDF local</x:v>
      </x:c>
    </x:row>
    <x:row r="16">
      <x:c r="A16" s="9" t="str">
        <x:v>Sellers</x:v>
      </x:c>
      <x:c r="B16" s="9" t="str">
        <x:v>SELLER FIDC SEGMENTO MEIOS DE PAGAMENTO DE RESPONSABILIDADE LIMITADA</x:v>
      </x:c>
      <x:c r="C16" s="9" t="str">
        <x:v>Seller FIDC</x:v>
      </x:c>
      <x:c r="D16" s="9" t="str">
        <x:v>50.473.039/0001-02</x:v>
      </x:c>
      <x:c r="E16" s="9" t="n">
        <x:v>50473039000102</x:v>
      </x:c>
      <x:c r="F16" s="9" t="str">
        <x:v>27/11/2023</x:v>
      </x:c>
      <x:c r="G16" s="9" t="str">
        <x:v>emissao</x:v>
      </x:c>
      <x:c r="H16" s="9" t="str">
        <x:v>Anúncio de Início</x:v>
      </x:c>
      <x:c r="I16" s="9"/>
      <x:c r="J16" s="9" t="n">
        <x:v>559856</x:v>
      </x:c>
      <x:c r="K16" s="9" t="str">
        <x:v>data/raw/50473039000102/559856_emissao_emissao_559856_2023-11-27.pdf</x:v>
      </x:c>
      <x:c r="L16" s="9" t="str">
        <x:v>True</x:v>
      </x:c>
      <x:c r="M16" s="9" t="n">
        <x:v>3</x:v>
      </x:c>
      <x:c r="N16" s="9" t="str">
        <x:v>PDF local</x:v>
      </x:c>
    </x:row>
    <x:row r="17">
      <x:c r="A17" s="9" t="str">
        <x:v>Sellers</x:v>
      </x:c>
      <x:c r="B17" s="9" t="str">
        <x:v>SELLER FIDC SEGMENTO MEIOS DE PAGAMENTO DE RESPONSABILIDADE LIMITADA</x:v>
      </x:c>
      <x:c r="C17" s="9" t="str">
        <x:v>Seller FIDC</x:v>
      </x:c>
      <x:c r="D17" s="9" t="str">
        <x:v>50.473.039/0001-02</x:v>
      </x:c>
      <x:c r="E17" s="9" t="n">
        <x:v>50473039000102</x:v>
      </x:c>
      <x:c r="F17" s="9" t="str">
        <x:v>12/2023</x:v>
      </x:c>
      <x:c r="G17" s="9" t="str">
        <x:v>outro</x:v>
      </x:c>
      <x:c r="H17" s="9" t="str">
        <x:v>Informe Trimestral</x:v>
      </x:c>
      <x:c r="I17" s="9"/>
      <x:c r="J17" s="9" t="n">
        <x:v>602416</x:v>
      </x:c>
      <x:c r="K17" s="9"/>
      <x:c r="L17" s="9" t="str">
        <x:v>False</x:v>
      </x:c>
      <x:c r="M17" s="9"/>
      <x:c r="N17" s="9" t="str">
        <x:v>Inventário sem PDF local</x:v>
      </x:c>
    </x:row>
    <x:row r="18">
      <x:c r="A18" s="9" t="str">
        <x:v>Sellers</x:v>
      </x:c>
      <x:c r="B18" s="9" t="str">
        <x:v>SELLER FIDC SEGMENTO MEIOS DE PAGAMENTO DE RESPONSABILIDADE LIMITADA</x:v>
      </x:c>
      <x:c r="C18" s="9" t="str">
        <x:v>Seller FIDC</x:v>
      </x:c>
      <x:c r="D18" s="9" t="str">
        <x:v>50.473.039/0001-02</x:v>
      </x:c>
      <x:c r="E18" s="9" t="n">
        <x:v>50473039000102</x:v>
      </x:c>
      <x:c r="F18" s="9" t="str">
        <x:v>19/12/2023 09:00</x:v>
      </x:c>
      <x:c r="G18" s="9" t="str">
        <x:v>assembleia</x:v>
      </x:c>
      <x:c r="H18" s="9" t="str">
        <x:v>AGE</x:v>
      </x:c>
      <x:c r="I18" s="9" t="str">
        <x:v>Ata da Assembleia</x:v>
      </x:c>
      <x:c r="J18" s="9" t="n">
        <x:v>594378</x:v>
      </x:c>
      <x:c r="K18" s="9" t="str">
        <x:v>data/raw/50473039000102/594378_assembleia_assembleia_594378_2023-12-19.pdf</x:v>
      </x:c>
      <x:c r="L18" s="9" t="str">
        <x:v>True</x:v>
      </x:c>
      <x:c r="M18" s="9" t="n">
        <x:v>2</x:v>
      </x:c>
      <x:c r="N18" s="9" t="str">
        <x:v>PDF local</x:v>
      </x:c>
    </x:row>
    <x:row r="19">
      <x:c r="A19" s="9" t="str">
        <x:v>Sellers</x:v>
      </x:c>
      <x:c r="B19" s="9" t="str">
        <x:v>SELLER FIDC SEGMENTO MEIOS DE PAGAMENTO DE RESPONSABILIDADE LIMITADA</x:v>
      </x:c>
      <x:c r="C19" s="9" t="str">
        <x:v>Seller FIDC</x:v>
      </x:c>
      <x:c r="D19" s="9" t="str">
        <x:v>50.473.039/0001-02</x:v>
      </x:c>
      <x:c r="E19" s="9" t="n">
        <x:v>50473039000102</x:v>
      </x:c>
      <x:c r="F19" s="9" t="str">
        <x:v>07/02/2024</x:v>
      </x:c>
      <x:c r="G19" s="9" t="str">
        <x:v>outro</x:v>
      </x:c>
      <x:c r="H19" s="9" t="str">
        <x:v>Relatório de Agência de Rating</x:v>
      </x:c>
      <x:c r="I19" s="9"/>
      <x:c r="J19" s="9" t="n">
        <x:v>603641</x:v>
      </x:c>
      <x:c r="K19" s="9"/>
      <x:c r="L19" s="9" t="str">
        <x:v>False</x:v>
      </x:c>
      <x:c r="M19" s="9"/>
      <x:c r="N19" s="9" t="str">
        <x:v>Inventário sem PDF local</x:v>
      </x:c>
    </x:row>
    <x:row r="20">
      <x:c r="A20" s="9" t="str">
        <x:v>Sellers</x:v>
      </x:c>
      <x:c r="B20" s="9" t="str">
        <x:v>SELLER FIDC SEGMENTO MEIOS DE PAGAMENTO DE RESPONSABILIDADE LIMITADA</x:v>
      </x:c>
      <x:c r="C20" s="9" t="str">
        <x:v>Seller FIDC</x:v>
      </x:c>
      <x:c r="D20" s="9" t="str">
        <x:v>50.473.039/0001-02</x:v>
      </x:c>
      <x:c r="E20" s="9" t="n">
        <x:v>50473039000102</x:v>
      </x:c>
      <x:c r="F20" s="9" t="str">
        <x:v>03/2024</x:v>
      </x:c>
      <x:c r="G20" s="9" t="str">
        <x:v>outro</x:v>
      </x:c>
      <x:c r="H20" s="9" t="str">
        <x:v>Informe Trimestral</x:v>
      </x:c>
      <x:c r="I20" s="9"/>
      <x:c r="J20" s="9" t="n">
        <x:v>661359</x:v>
      </x:c>
      <x:c r="K20" s="9"/>
      <x:c r="L20" s="9" t="str">
        <x:v>False</x:v>
      </x:c>
      <x:c r="M20" s="9"/>
      <x:c r="N20" s="9" t="str">
        <x:v>Inventário sem PDF local</x:v>
      </x:c>
    </x:row>
    <x:row r="21">
      <x:c r="A21" s="9" t="str">
        <x:v>Sellers</x:v>
      </x:c>
      <x:c r="B21" s="9" t="str">
        <x:v>SELLER FIDC SEGMENTO MEIOS DE PAGAMENTO DE RESPONSABILIDADE LIMITADA</x:v>
      </x:c>
      <x:c r="C21" s="9" t="str">
        <x:v>Seller FIDC</x:v>
      </x:c>
      <x:c r="D21" s="9" t="str">
        <x:v>50.473.039/0001-02</x:v>
      </x:c>
      <x:c r="E21" s="9" t="n">
        <x:v>50473039000102</x:v>
      </x:c>
      <x:c r="F21" s="9" t="str">
        <x:v>31/03/2024</x:v>
      </x:c>
      <x:c r="G21" s="9" t="str">
        <x:v>outro</x:v>
      </x:c>
      <x:c r="H21" s="9" t="str">
        <x:v>Demonstrações Financeiras</x:v>
      </x:c>
      <x:c r="I21" s="9"/>
      <x:c r="J21" s="9" t="n">
        <x:v>675897</x:v>
      </x:c>
      <x:c r="K21" s="9"/>
      <x:c r="L21" s="9" t="str">
        <x:v>False</x:v>
      </x:c>
      <x:c r="M21" s="9"/>
      <x:c r="N21" s="9" t="str">
        <x:v>Inventário sem PDF local</x:v>
      </x:c>
    </x:row>
    <x:row r="22">
      <x:c r="A22" s="9" t="str">
        <x:v>Sellers</x:v>
      </x:c>
      <x:c r="B22" s="9" t="str">
        <x:v>SELLER FIDC SEGMENTO MEIOS DE PAGAMENTO DE RESPONSABILIDADE LIMITADA</x:v>
      </x:c>
      <x:c r="C22" s="9" t="str">
        <x:v>Seller FIDC</x:v>
      </x:c>
      <x:c r="D22" s="9" t="str">
        <x:v>50.473.039/0001-02</x:v>
      </x:c>
      <x:c r="E22" s="9" t="n">
        <x:v>50473039000102</x:v>
      </x:c>
      <x:c r="F22" s="9" t="str">
        <x:v>06/2024</x:v>
      </x:c>
      <x:c r="G22" s="9" t="str">
        <x:v>outro</x:v>
      </x:c>
      <x:c r="H22" s="9" t="str">
        <x:v>Informe Trimestral</x:v>
      </x:c>
      <x:c r="I22" s="9"/>
      <x:c r="J22" s="9" t="n">
        <x:v>718119</x:v>
      </x:c>
      <x:c r="K22" s="9"/>
      <x:c r="L22" s="9" t="str">
        <x:v>False</x:v>
      </x:c>
      <x:c r="M22" s="9"/>
      <x:c r="N22" s="9" t="str">
        <x:v>Inventário sem PDF local</x:v>
      </x:c>
    </x:row>
    <x:row r="23">
      <x:c r="A23" s="9" t="str">
        <x:v>Sellers</x:v>
      </x:c>
      <x:c r="B23" s="9" t="str">
        <x:v>SELLER FIDC SEGMENTO MEIOS DE PAGAMENTO DE RESPONSABILIDADE LIMITADA</x:v>
      </x:c>
      <x:c r="C23" s="9" t="str">
        <x:v>Seller FIDC</x:v>
      </x:c>
      <x:c r="D23" s="9" t="str">
        <x:v>50.473.039/0001-02</x:v>
      </x:c>
      <x:c r="E23" s="9" t="n">
        <x:v>50473039000102</x:v>
      </x:c>
      <x:c r="F23" s="9" t="str">
        <x:v>26/06/2024</x:v>
      </x:c>
      <x:c r="G23" s="9" t="str">
        <x:v>outro</x:v>
      </x:c>
      <x:c r="H23" s="9" t="str">
        <x:v>Relatório de Agência de Rating</x:v>
      </x:c>
      <x:c r="I23" s="9"/>
      <x:c r="J23" s="9" t="n">
        <x:v>690671</x:v>
      </x:c>
      <x:c r="K23" s="9"/>
      <x:c r="L23" s="9" t="str">
        <x:v>False</x:v>
      </x:c>
      <x:c r="M23" s="9"/>
      <x:c r="N23" s="9" t="str">
        <x:v>Inventário sem PDF local</x:v>
      </x:c>
    </x:row>
    <x:row r="24">
      <x:c r="A24" s="9" t="str">
        <x:v>Sellers</x:v>
      </x:c>
      <x:c r="B24" s="9" t="str">
        <x:v>SELLER FIDC SEGMENTO MEIOS DE PAGAMENTO DE RESPONSABILIDADE LIMITADA</x:v>
      </x:c>
      <x:c r="C24" s="9" t="str">
        <x:v>Seller FIDC</x:v>
      </x:c>
      <x:c r="D24" s="9" t="str">
        <x:v>50.473.039/0001-02</x:v>
      </x:c>
      <x:c r="E24" s="9" t="n">
        <x:v>50473039000102</x:v>
      </x:c>
      <x:c r="F24" s="9" t="str">
        <x:v>12/08/2024</x:v>
      </x:c>
      <x:c r="G24" s="9" t="str">
        <x:v>outro</x:v>
      </x:c>
      <x:c r="H24" s="9" t="str">
        <x:v>Relatório de Agência de Rating</x:v>
      </x:c>
      <x:c r="I24" s="9"/>
      <x:c r="J24" s="9" t="n">
        <x:v>716991</x:v>
      </x:c>
      <x:c r="K24" s="9"/>
      <x:c r="L24" s="9" t="str">
        <x:v>False</x:v>
      </x:c>
      <x:c r="M24" s="9"/>
      <x:c r="N24" s="9" t="str">
        <x:v>Inventário sem PDF local</x:v>
      </x:c>
    </x:row>
    <x:row r="25">
      <x:c r="A25" s="9" t="str">
        <x:v>Sellers</x:v>
      </x:c>
      <x:c r="B25" s="9" t="str">
        <x:v>SELLER FIDC SEGMENTO MEIOS DE PAGAMENTO DE RESPONSABILIDADE LIMITADA</x:v>
      </x:c>
      <x:c r="C25" s="9" t="str">
        <x:v>Seller FIDC</x:v>
      </x:c>
      <x:c r="D25" s="9" t="str">
        <x:v>50.473.039/0001-02</x:v>
      </x:c>
      <x:c r="E25" s="9" t="n">
        <x:v>50473039000102</x:v>
      </x:c>
      <x:c r="F25" s="9" t="str">
        <x:v>09/2024</x:v>
      </x:c>
      <x:c r="G25" s="9" t="str">
        <x:v>outro</x:v>
      </x:c>
      <x:c r="H25" s="9" t="str">
        <x:v>Informe Trimestral</x:v>
      </x:c>
      <x:c r="I25" s="9"/>
      <x:c r="J25" s="9" t="n">
        <x:v>780777</x:v>
      </x:c>
      <x:c r="K25" s="9"/>
      <x:c r="L25" s="9" t="str">
        <x:v>False</x:v>
      </x:c>
      <x:c r="M25" s="9"/>
      <x:c r="N25" s="9" t="str">
        <x:v>Inventário sem PDF local</x:v>
      </x:c>
    </x:row>
    <x:row r="26">
      <x:c r="A26" s="9" t="str">
        <x:v>Sellers</x:v>
      </x:c>
      <x:c r="B26" s="9" t="str">
        <x:v>SELLER FIDC SEGMENTO MEIOS DE PAGAMENTO DE RESPONSABILIDADE LIMITADA</x:v>
      </x:c>
      <x:c r="C26" s="9" t="str">
        <x:v>Seller FIDC</x:v>
      </x:c>
      <x:c r="D26" s="9" t="str">
        <x:v>50.473.039/0001-02</x:v>
      </x:c>
      <x:c r="E26" s="9" t="n">
        <x:v>50473039000102</x:v>
      </x:c>
      <x:c r="F26" s="9" t="str">
        <x:v>27/11/2024</x:v>
      </x:c>
      <x:c r="G26" s="9" t="str">
        <x:v>outro</x:v>
      </x:c>
      <x:c r="H26" s="9" t="str">
        <x:v>Relatório de Agência de Rating</x:v>
      </x:c>
      <x:c r="I26" s="9"/>
      <x:c r="J26" s="9" t="n">
        <x:v>798081</x:v>
      </x:c>
      <x:c r="K26" s="9"/>
      <x:c r="L26" s="9" t="str">
        <x:v>False</x:v>
      </x:c>
      <x:c r="M26" s="9"/>
      <x:c r="N26" s="9" t="str">
        <x:v>Inventário sem PDF local</x:v>
      </x:c>
    </x:row>
    <x:row r="27">
      <x:c r="A27" s="9" t="str">
        <x:v>Sellers</x:v>
      </x:c>
      <x:c r="B27" s="9" t="str">
        <x:v>SELLER FIDC SEGMENTO MEIOS DE PAGAMENTO DE RESPONSABILIDADE LIMITADA</x:v>
      </x:c>
      <x:c r="C27" s="9" t="str">
        <x:v>Seller FIDC</x:v>
      </x:c>
      <x:c r="D27" s="9" t="str">
        <x:v>50.473.039/0001-02</x:v>
      </x:c>
      <x:c r="E27" s="9" t="n">
        <x:v>50473039000102</x:v>
      </x:c>
      <x:c r="F27" s="9" t="str">
        <x:v>28/11/2024</x:v>
      </x:c>
      <x:c r="G27" s="9" t="str">
        <x:v>regulamento</x:v>
      </x:c>
      <x:c r="H27" s="9" t="str">
        <x:v>Instrumento Particular de Alteração do Regulamento</x:v>
      </x:c>
      <x:c r="I27" s="9"/>
      <x:c r="J27" s="9" t="n">
        <x:v>790772</x:v>
      </x:c>
      <x:c r="K27" s="9" t="str">
        <x:v>data/raw/50473039000102/790772_regulamento_regulamento_790772_2024-11-28.pdf</x:v>
      </x:c>
      <x:c r="L27" s="9" t="str">
        <x:v>True</x:v>
      </x:c>
      <x:c r="M27" s="9" t="n">
        <x:v>191</x:v>
      </x:c>
      <x:c r="N27" s="9" t="str">
        <x:v>PDF local</x:v>
      </x:c>
    </x:row>
    <x:row r="28">
      <x:c r="A28" s="9" t="str">
        <x:v>Sellers</x:v>
      </x:c>
      <x:c r="B28" s="9" t="str">
        <x:v>SELLER FIDC SEGMENTO MEIOS DE PAGAMENTO DE RESPONSABILIDADE LIMITADA</x:v>
      </x:c>
      <x:c r="C28" s="9" t="str">
        <x:v>Seller FIDC</x:v>
      </x:c>
      <x:c r="D28" s="9" t="str">
        <x:v>50.473.039/0001-02</x:v>
      </x:c>
      <x:c r="E28" s="9" t="n">
        <x:v>50473039000102</x:v>
      </x:c>
      <x:c r="F28" s="9" t="str">
        <x:v>28/11/2024</x:v>
      </x:c>
      <x:c r="G28" s="9" t="str">
        <x:v>regulamento</x:v>
      </x:c>
      <x:c r="H28" s="9" t="str">
        <x:v>Regulamento</x:v>
      </x:c>
      <x:c r="I28" s="9"/>
      <x:c r="J28" s="9" t="n">
        <x:v>790777</x:v>
      </x:c>
      <x:c r="K28" s="9" t="str">
        <x:v>data/raw/50473039000102/790777_regulamento_regulamento_790777_2024-11-28.pdf</x:v>
      </x:c>
      <x:c r="L28" s="9" t="str">
        <x:v>True</x:v>
      </x:c>
      <x:c r="M28" s="9" t="n">
        <x:v>188</x:v>
      </x:c>
      <x:c r="N28" s="9" t="str">
        <x:v>PDF local</x:v>
      </x:c>
    </x:row>
    <x:row r="29">
      <x:c r="A29" s="9" t="str">
        <x:v>Sellers</x:v>
      </x:c>
      <x:c r="B29" s="9" t="str">
        <x:v>SELLER FIDC SEGMENTO MEIOS DE PAGAMENTO DE RESPONSABILIDADE LIMITADA</x:v>
      </x:c>
      <x:c r="C29" s="9" t="str">
        <x:v>Seller FIDC</x:v>
      </x:c>
      <x:c r="D29" s="9" t="str">
        <x:v>50.473.039/0001-02</x:v>
      </x:c>
      <x:c r="E29" s="9" t="n">
        <x:v>50473039000102</x:v>
      </x:c>
      <x:c r="F29" s="9" t="str">
        <x:v>12/2024</x:v>
      </x:c>
      <x:c r="G29" s="9" t="str">
        <x:v>outro</x:v>
      </x:c>
      <x:c r="H29" s="9" t="str">
        <x:v>Informe Trimestral</x:v>
      </x:c>
      <x:c r="I29" s="9"/>
      <x:c r="J29" s="9" t="n">
        <x:v>842063</x:v>
      </x:c>
      <x:c r="K29" s="9"/>
      <x:c r="L29" s="9" t="str">
        <x:v>False</x:v>
      </x:c>
      <x:c r="M29" s="9"/>
      <x:c r="N29" s="9" t="str">
        <x:v>Inventário sem PDF local</x:v>
      </x:c>
    </x:row>
    <x:row r="30">
      <x:c r="A30" s="9" t="str">
        <x:v>Sellers</x:v>
      </x:c>
      <x:c r="B30" s="9" t="str">
        <x:v>SELLER FIDC SEGMENTO MEIOS DE PAGAMENTO DE RESPONSABILIDADE LIMITADA</x:v>
      </x:c>
      <x:c r="C30" s="9" t="str">
        <x:v>Seller FIDC</x:v>
      </x:c>
      <x:c r="D30" s="9" t="str">
        <x:v>50.473.039/0001-02</x:v>
      </x:c>
      <x:c r="E30" s="9" t="n">
        <x:v>50473039000102</x:v>
      </x:c>
      <x:c r="F30" s="9" t="str">
        <x:v>26/02/2025</x:v>
      </x:c>
      <x:c r="G30" s="9" t="str">
        <x:v>outro</x:v>
      </x:c>
      <x:c r="H30" s="9" t="str">
        <x:v>Relatório de Agência de Rating</x:v>
      </x:c>
      <x:c r="I30" s="9"/>
      <x:c r="J30" s="9" t="n">
        <x:v>858232</x:v>
      </x:c>
      <x:c r="K30" s="9"/>
      <x:c r="L30" s="9" t="str">
        <x:v>False</x:v>
      </x:c>
      <x:c r="M30" s="9"/>
      <x:c r="N30" s="9" t="str">
        <x:v>Inventário sem PDF local</x:v>
      </x:c>
    </x:row>
    <x:row r="31">
      <x:c r="A31" s="9" t="str">
        <x:v>Sellers</x:v>
      </x:c>
      <x:c r="B31" s="9" t="str">
        <x:v>SELLER FIDC SEGMENTO MEIOS DE PAGAMENTO DE RESPONSABILIDADE LIMITADA</x:v>
      </x:c>
      <x:c r="C31" s="9" t="str">
        <x:v>Seller FIDC</x:v>
      </x:c>
      <x:c r="D31" s="9" t="str">
        <x:v>50.473.039/0001-02</x:v>
      </x:c>
      <x:c r="E31" s="9" t="n">
        <x:v>50473039000102</x:v>
      </x:c>
      <x:c r="F31" s="9" t="str">
        <x:v>03/2025</x:v>
      </x:c>
      <x:c r="G31" s="9" t="str">
        <x:v>outro</x:v>
      </x:c>
      <x:c r="H31" s="9" t="str">
        <x:v>Informe Trimestral</x:v>
      </x:c>
      <x:c r="I31" s="9"/>
      <x:c r="J31" s="9" t="n">
        <x:v>903889</x:v>
      </x:c>
      <x:c r="K31" s="9"/>
      <x:c r="L31" s="9" t="str">
        <x:v>False</x:v>
      </x:c>
      <x:c r="M31" s="9"/>
      <x:c r="N31" s="9" t="str">
        <x:v>Inventário sem PDF local</x:v>
      </x:c>
    </x:row>
    <x:row r="32">
      <x:c r="A32" s="9" t="str">
        <x:v>Sellers</x:v>
      </x:c>
      <x:c r="B32" s="9" t="str">
        <x:v>SELLER FIDC SEGMENTO MEIOS DE PAGAMENTO DE RESPONSABILIDADE LIMITADA</x:v>
      </x:c>
      <x:c r="C32" s="9" t="str">
        <x:v>Seller FIDC</x:v>
      </x:c>
      <x:c r="D32" s="9" t="str">
        <x:v>50.473.039/0001-02</x:v>
      </x:c>
      <x:c r="E32" s="9" t="n">
        <x:v>50473039000102</x:v>
      </x:c>
      <x:c r="F32" s="9" t="str">
        <x:v>31/03/2025</x:v>
      </x:c>
      <x:c r="G32" s="9" t="str">
        <x:v>outro</x:v>
      </x:c>
      <x:c r="H32" s="9" t="str">
        <x:v>Demonstrações Financeiras</x:v>
      </x:c>
      <x:c r="I32" s="9"/>
      <x:c r="J32" s="9" t="n">
        <x:v>936462</x:v>
      </x:c>
      <x:c r="K32" s="9"/>
      <x:c r="L32" s="9" t="str">
        <x:v>False</x:v>
      </x:c>
      <x:c r="M32" s="9"/>
      <x:c r="N32" s="9" t="str">
        <x:v>Inventário sem PDF local</x:v>
      </x:c>
    </x:row>
    <x:row r="33">
      <x:c r="A33" s="9" t="str">
        <x:v>Sellers</x:v>
      </x:c>
      <x:c r="B33" s="9" t="str">
        <x:v>SELLER FIDC SEGMENTO MEIOS DE PAGAMENTO DE RESPONSABILIDADE LIMITADA</x:v>
      </x:c>
      <x:c r="C33" s="9" t="str">
        <x:v>Seller FIDC</x:v>
      </x:c>
      <x:c r="D33" s="9" t="str">
        <x:v>50.473.039/0001-02</x:v>
      </x:c>
      <x:c r="E33" s="9" t="n">
        <x:v>50473039000102</x:v>
      </x:c>
      <x:c r="F33" s="9" t="str">
        <x:v>15/05/2025</x:v>
      </x:c>
      <x:c r="G33" s="9" t="str">
        <x:v>outro</x:v>
      </x:c>
      <x:c r="H33" s="9" t="str">
        <x:v>Relatório de Agência de Rating</x:v>
      </x:c>
      <x:c r="I33" s="9"/>
      <x:c r="J33" s="9" t="n">
        <x:v>909988</x:v>
      </x:c>
      <x:c r="K33" s="9"/>
      <x:c r="L33" s="9" t="str">
        <x:v>False</x:v>
      </x:c>
      <x:c r="M33" s="9"/>
      <x:c r="N33" s="9" t="str">
        <x:v>Inventário sem PDF local</x:v>
      </x:c>
    </x:row>
    <x:row r="34">
      <x:c r="A34" s="9" t="str">
        <x:v>Sellers</x:v>
      </x:c>
      <x:c r="B34" s="9" t="str">
        <x:v>SELLER FIDC SEGMENTO MEIOS DE PAGAMENTO DE RESPONSABILIDADE LIMITADA</x:v>
      </x:c>
      <x:c r="C34" s="9" t="str">
        <x:v>Seller FIDC</x:v>
      </x:c>
      <x:c r="D34" s="9" t="str">
        <x:v>50.473.039/0001-02</x:v>
      </x:c>
      <x:c r="E34" s="9" t="n">
        <x:v>50473039000102</x:v>
      </x:c>
      <x:c r="F34" s="9" t="str">
        <x:v>19/05/2025 10:00</x:v>
      </x:c>
      <x:c r="G34" s="9" t="str">
        <x:v>assembleia</x:v>
      </x:c>
      <x:c r="H34" s="9" t="str">
        <x:v>AGO/E</x:v>
      </x:c>
      <x:c r="I34" s="9" t="str">
        <x:v>Ata da Assembleia</x:v>
      </x:c>
      <x:c r="J34" s="9" t="n">
        <x:v>909546</x:v>
      </x:c>
      <x:c r="K34" s="9" t="str">
        <x:v>data/raw/50473039000102/909546_assembleia_assembleia_909546_2025-05-19.pdf</x:v>
      </x:c>
      <x:c r="L34" s="9" t="str">
        <x:v>True</x:v>
      </x:c>
      <x:c r="M34" s="9" t="n">
        <x:v>10</x:v>
      </x:c>
      <x:c r="N34" s="9" t="str">
        <x:v>PDF local</x:v>
      </x:c>
    </x:row>
    <x:row r="35">
      <x:c r="A35" s="9" t="str">
        <x:v>Sellers</x:v>
      </x:c>
      <x:c r="B35" s="9" t="str">
        <x:v>SELLER FIDC SEGMENTO MEIOS DE PAGAMENTO DE RESPONSABILIDADE LIMITADA</x:v>
      </x:c>
      <x:c r="C35" s="9" t="str">
        <x:v>Seller FIDC</x:v>
      </x:c>
      <x:c r="D35" s="9" t="str">
        <x:v>50.473.039/0001-02</x:v>
      </x:c>
      <x:c r="E35" s="9" t="n">
        <x:v>50473039000102</x:v>
      </x:c>
      <x:c r="F35" s="9" t="str">
        <x:v>19/05/2025</x:v>
      </x:c>
      <x:c r="G35" s="9" t="str">
        <x:v>regulamento</x:v>
      </x:c>
      <x:c r="H35" s="9" t="str">
        <x:v>Regulamento</x:v>
      </x:c>
      <x:c r="I35" s="9"/>
      <x:c r="J35" s="9" t="n">
        <x:v>909547</x:v>
      </x:c>
      <x:c r="K35" s="9" t="str">
        <x:v>data/raw/50473039000102/909547_regulamento_regulamento_909547_2025-05-19.pdf</x:v>
      </x:c>
      <x:c r="L35" s="9" t="str">
        <x:v>True</x:v>
      </x:c>
      <x:c r="M35" s="9" t="n">
        <x:v>152</x:v>
      </x:c>
      <x:c r="N35" s="9" t="str">
        <x:v>PDF local</x:v>
      </x:c>
    </x:row>
    <x:row r="36">
      <x:c r="A36" s="9" t="str">
        <x:v>Sellers</x:v>
      </x:c>
      <x:c r="B36" s="9" t="str">
        <x:v>SELLER FIDC SEGMENTO MEIOS DE PAGAMENTO DE RESPONSABILIDADE LIMITADA</x:v>
      </x:c>
      <x:c r="C36" s="9" t="str">
        <x:v>Seller FIDC</x:v>
      </x:c>
      <x:c r="D36" s="9" t="str">
        <x:v>50.473.039/0001-02</x:v>
      </x:c>
      <x:c r="E36" s="9" t="n">
        <x:v>50473039000102</x:v>
      </x:c>
      <x:c r="F36" s="9" t="str">
        <x:v>23/05/2025</x:v>
      </x:c>
      <x:c r="G36" s="9" t="str">
        <x:v>emissao</x:v>
      </x:c>
      <x:c r="H36" s="9" t="str">
        <x:v>Aviso ao Mercado</x:v>
      </x:c>
      <x:c r="I36" s="9"/>
      <x:c r="J36" s="9" t="n">
        <x:v>911027</x:v>
      </x:c>
      <x:c r="K36" s="9" t="str">
        <x:v>data/raw/50473039000102/911027_emissao_emissao_911027_2025-05-23.pdf</x:v>
      </x:c>
      <x:c r="L36" s="9" t="str">
        <x:v>True</x:v>
      </x:c>
      <x:c r="M36" s="9" t="n">
        <x:v>3</x:v>
      </x:c>
      <x:c r="N36" s="9" t="str">
        <x:v>PDF local</x:v>
      </x:c>
    </x:row>
    <x:row r="37">
      <x:c r="A37" s="9" t="str">
        <x:v>Sellers</x:v>
      </x:c>
      <x:c r="B37" s="9" t="str">
        <x:v>SELLER FIDC SEGMENTO MEIOS DE PAGAMENTO DE RESPONSABILIDADE LIMITADA</x:v>
      </x:c>
      <x:c r="C37" s="9" t="str">
        <x:v>Seller FIDC</x:v>
      </x:c>
      <x:c r="D37" s="9" t="str">
        <x:v>50.473.039/0001-02</x:v>
      </x:c>
      <x:c r="E37" s="9" t="n">
        <x:v>50473039000102</x:v>
      </x:c>
      <x:c r="F37" s="9" t="str">
        <x:v>26/05/2025</x:v>
      </x:c>
      <x:c r="G37" s="9" t="str">
        <x:v>assembleia</x:v>
      </x:c>
      <x:c r="H37" s="9" t="str">
        <x:v>Instrumento Particular de Emissão de Cotas</x:v>
      </x:c>
      <x:c r="I37" s="9"/>
      <x:c r="J37" s="9" t="n">
        <x:v>912093</x:v>
      </x:c>
      <x:c r="K37" s="9" t="str">
        <x:v>data/raw/50473039000102/912093_assembleia_assembleia_912093_2025-05-26.pdf</x:v>
      </x:c>
      <x:c r="L37" s="9" t="str">
        <x:v>True</x:v>
      </x:c>
      <x:c r="M37" s="9" t="n">
        <x:v>5</x:v>
      </x:c>
      <x:c r="N37" s="9" t="str">
        <x:v>PDF local</x:v>
      </x:c>
    </x:row>
    <x:row r="38">
      <x:c r="A38" s="9" t="str">
        <x:v>Sellers</x:v>
      </x:c>
      <x:c r="B38" s="9" t="str">
        <x:v>SELLER FIDC SEGMENTO MEIOS DE PAGAMENTO DE RESPONSABILIDADE LIMITADA</x:v>
      </x:c>
      <x:c r="C38" s="9" t="str">
        <x:v>Seller FIDC</x:v>
      </x:c>
      <x:c r="D38" s="9" t="str">
        <x:v>50.473.039/0001-02</x:v>
      </x:c>
      <x:c r="E38" s="9" t="n">
        <x:v>50473039000102</x:v>
      </x:c>
      <x:c r="F38" s="9" t="str">
        <x:v>28/05/2025</x:v>
      </x:c>
      <x:c r="G38" s="9" t="str">
        <x:v>emissao</x:v>
      </x:c>
      <x:c r="H38" s="9" t="str">
        <x:v>Anúncio de Início</x:v>
      </x:c>
      <x:c r="I38" s="9"/>
      <x:c r="J38" s="9" t="n">
        <x:v>912172</x:v>
      </x:c>
      <x:c r="K38" s="9" t="str">
        <x:v>data/raw/50473039000102/912172_emissao_emissao_912172_2025-05-28.pdf</x:v>
      </x:c>
      <x:c r="L38" s="9" t="str">
        <x:v>True</x:v>
      </x:c>
      <x:c r="M38" s="9" t="n">
        <x:v>3</x:v>
      </x:c>
      <x:c r="N38" s="9" t="str">
        <x:v>PDF local</x:v>
      </x:c>
    </x:row>
    <x:row r="39">
      <x:c r="A39" s="9" t="str">
        <x:v>Sellers</x:v>
      </x:c>
      <x:c r="B39" s="9" t="str">
        <x:v>SELLER FIDC SEGMENTO MEIOS DE PAGAMENTO DE RESPONSABILIDADE LIMITADA</x:v>
      </x:c>
      <x:c r="C39" s="9" t="str">
        <x:v>Seller FIDC</x:v>
      </x:c>
      <x:c r="D39" s="9" t="str">
        <x:v>50.473.039/0001-02</x:v>
      </x:c>
      <x:c r="E39" s="9" t="n">
        <x:v>50473039000102</x:v>
      </x:c>
      <x:c r="F39" s="9" t="str">
        <x:v>06/2025</x:v>
      </x:c>
      <x:c r="G39" s="9" t="str">
        <x:v>outro</x:v>
      </x:c>
      <x:c r="H39" s="9" t="str">
        <x:v>Informe Trimestral</x:v>
      </x:c>
      <x:c r="I39" s="9"/>
      <x:c r="J39" s="9" t="n">
        <x:v>969075</x:v>
      </x:c>
      <x:c r="K39" s="9"/>
      <x:c r="L39" s="9" t="str">
        <x:v>False</x:v>
      </x:c>
      <x:c r="M39" s="9"/>
      <x:c r="N39" s="9" t="str">
        <x:v>Inventário sem PDF local</x:v>
      </x:c>
    </x:row>
    <x:row r="40">
      <x:c r="A40" s="9" t="str">
        <x:v>Sellers</x:v>
      </x:c>
      <x:c r="B40" s="9" t="str">
        <x:v>SELLER FIDC SEGMENTO MEIOS DE PAGAMENTO DE RESPONSABILIDADE LIMITADA</x:v>
      </x:c>
      <x:c r="C40" s="9" t="str">
        <x:v>Seller FIDC</x:v>
      </x:c>
      <x:c r="D40" s="9" t="str">
        <x:v>50.473.039/0001-02</x:v>
      </x:c>
      <x:c r="E40" s="9" t="n">
        <x:v>50473039000102</x:v>
      </x:c>
      <x:c r="F40" s="9" t="str">
        <x:v>04/06/2025</x:v>
      </x:c>
      <x:c r="G40" s="9" t="str">
        <x:v>emissao</x:v>
      </x:c>
      <x:c r="H40" s="9" t="str">
        <x:v>Anúncio de Encerramento</x:v>
      </x:c>
      <x:c r="I40" s="9"/>
      <x:c r="J40" s="9" t="n">
        <x:v>932137</x:v>
      </x:c>
      <x:c r="K40" s="9" t="str">
        <x:v>data/raw/50473039000102/932137_emissao_emissao_932137_2025-06-04.pdf</x:v>
      </x:c>
      <x:c r="L40" s="9" t="str">
        <x:v>True</x:v>
      </x:c>
      <x:c r="M40" s="9" t="n">
        <x:v>3</x:v>
      </x:c>
      <x:c r="N40" s="9" t="str">
        <x:v>PDF local</x:v>
      </x:c>
    </x:row>
    <x:row r="41">
      <x:c r="A41" s="9" t="str">
        <x:v>Sellers</x:v>
      </x:c>
      <x:c r="B41" s="9" t="str">
        <x:v>SELLER FIDC SEGMENTO MEIOS DE PAGAMENTO DE RESPONSABILIDADE LIMITADA</x:v>
      </x:c>
      <x:c r="C41" s="9" t="str">
        <x:v>Seller FIDC</x:v>
      </x:c>
      <x:c r="D41" s="9" t="str">
        <x:v>50.473.039/0001-02</x:v>
      </x:c>
      <x:c r="E41" s="9" t="n">
        <x:v>50473039000102</x:v>
      </x:c>
      <x:c r="F41" s="9" t="str">
        <x:v>09/2025</x:v>
      </x:c>
      <x:c r="G41" s="9" t="str">
        <x:v>outro</x:v>
      </x:c>
      <x:c r="H41" s="9" t="str">
        <x:v>Informe Trimestral</x:v>
      </x:c>
      <x:c r="I41" s="9"/>
      <x:c r="J41" s="9" t="n">
        <x:v>1039870</x:v>
      </x:c>
      <x:c r="K41" s="9"/>
      <x:c r="L41" s="9" t="str">
        <x:v>False</x:v>
      </x:c>
      <x:c r="M41" s="9"/>
      <x:c r="N41" s="9" t="str">
        <x:v>Inventário sem PDF local</x:v>
      </x:c>
    </x:row>
    <x:row r="42">
      <x:c r="A42" s="9" t="str">
        <x:v>Sellers</x:v>
      </x:c>
      <x:c r="B42" s="9" t="str">
        <x:v>SELLER FIDC SEGMENTO MEIOS DE PAGAMENTO DE RESPONSABILIDADE LIMITADA</x:v>
      </x:c>
      <x:c r="C42" s="9" t="str">
        <x:v>Seller FIDC</x:v>
      </x:c>
      <x:c r="D42" s="9" t="str">
        <x:v>50.473.039/0001-02</x:v>
      </x:c>
      <x:c r="E42" s="9" t="n">
        <x:v>50473039000102</x:v>
      </x:c>
      <x:c r="F42" s="9" t="str">
        <x:v>15/09/2025</x:v>
      </x:c>
      <x:c r="G42" s="9" t="str">
        <x:v>outro</x:v>
      </x:c>
      <x:c r="H42" s="9" t="str">
        <x:v>Relatório de Agência de Rating</x:v>
      </x:c>
      <x:c r="I42" s="9"/>
      <x:c r="J42" s="9" t="n">
        <x:v>998447</x:v>
      </x:c>
      <x:c r="K42" s="9"/>
      <x:c r="L42" s="9" t="str">
        <x:v>False</x:v>
      </x:c>
      <x:c r="M42" s="9"/>
      <x:c r="N42" s="9" t="str">
        <x:v>Inventário sem PDF local</x:v>
      </x:c>
    </x:row>
    <x:row r="43">
      <x:c r="A43" s="9" t="str">
        <x:v>Sellers</x:v>
      </x:c>
      <x:c r="B43" s="9" t="str">
        <x:v>SELLER FIDC SEGMENTO MEIOS DE PAGAMENTO DE RESPONSABILIDADE LIMITADA</x:v>
      </x:c>
      <x:c r="C43" s="9" t="str">
        <x:v>Seller FIDC</x:v>
      </x:c>
      <x:c r="D43" s="9" t="str">
        <x:v>50.473.039/0001-02</x:v>
      </x:c>
      <x:c r="E43" s="9" t="n">
        <x:v>50473039000102</x:v>
      </x:c>
      <x:c r="F43" s="9" t="str">
        <x:v>07/11/2025</x:v>
      </x:c>
      <x:c r="G43" s="9" t="str">
        <x:v>outro</x:v>
      </x:c>
      <x:c r="H43" s="9" t="str">
        <x:v>Relatório de Agência de Rating</x:v>
      </x:c>
      <x:c r="I43" s="9"/>
      <x:c r="J43" s="9" t="n">
        <x:v>1037116</x:v>
      </x:c>
      <x:c r="K43" s="9"/>
      <x:c r="L43" s="9" t="str">
        <x:v>False</x:v>
      </x:c>
      <x:c r="M43" s="9"/>
      <x:c r="N43" s="9" t="str">
        <x:v>Inventário sem PDF local</x:v>
      </x:c>
    </x:row>
    <x:row r="44">
      <x:c r="A44" s="9" t="str">
        <x:v>Sellers</x:v>
      </x:c>
      <x:c r="B44" s="9" t="str">
        <x:v>SELLER FIDC SEGMENTO MEIOS DE PAGAMENTO DE RESPONSABILIDADE LIMITADA</x:v>
      </x:c>
      <x:c r="C44" s="9" t="str">
        <x:v>Seller FIDC</x:v>
      </x:c>
      <x:c r="D44" s="9" t="str">
        <x:v>50.473.039/0001-02</x:v>
      </x:c>
      <x:c r="E44" s="9" t="n">
        <x:v>50473039000102</x:v>
      </x:c>
      <x:c r="F44" s="9" t="str">
        <x:v>12/2025</x:v>
      </x:c>
      <x:c r="G44" s="9" t="str">
        <x:v>outro</x:v>
      </x:c>
      <x:c r="H44" s="9" t="str">
        <x:v>Informe Trimestral</x:v>
      </x:c>
      <x:c r="I44" s="9"/>
      <x:c r="J44" s="9" t="n">
        <x:v>1115964</x:v>
      </x:c>
      <x:c r="K44" s="9"/>
      <x:c r="L44" s="9" t="str">
        <x:v>False</x:v>
      </x:c>
      <x:c r="M44" s="9"/>
      <x:c r="N44" s="9" t="str">
        <x:v>Inventário sem PDF local</x:v>
      </x:c>
    </x:row>
    <x:row r="45">
      <x:c r="A45" s="9" t="str">
        <x:v>Sellers</x:v>
      </x:c>
      <x:c r="B45" s="9" t="str">
        <x:v>SELLER FIDC SEGMENTO MEIOS DE PAGAMENTO DE RESPONSABILIDADE LIMITADA</x:v>
      </x:c>
      <x:c r="C45" s="9" t="str">
        <x:v>Seller FIDC</x:v>
      </x:c>
      <x:c r="D45" s="9" t="str">
        <x:v>50.473.039/0001-02</x:v>
      </x:c>
      <x:c r="E45" s="9" t="n">
        <x:v>50473039000102</x:v>
      </x:c>
      <x:c r="F45" s="9" t="str">
        <x:v>12/02/2026</x:v>
      </x:c>
      <x:c r="G45" s="9" t="str">
        <x:v>outro</x:v>
      </x:c>
      <x:c r="H45" s="9" t="str">
        <x:v>Relatório de Agência de Rating</x:v>
      </x:c>
      <x:c r="I45" s="9"/>
      <x:c r="J45" s="9" t="n">
        <x:v>1119230</x:v>
      </x:c>
      <x:c r="K45" s="9"/>
      <x:c r="L45" s="9" t="str">
        <x:v>False</x:v>
      </x:c>
      <x:c r="M45" s="9"/>
      <x:c r="N45" s="9" t="str">
        <x:v>Inventário sem PDF local</x:v>
      </x:c>
    </x:row>
  </x:sheetData>
  <x:pageMargins left="0.7" right="0.7" top="0.75" bottom="0.75" header="0.3" footer="0.3"/>
  <x:tableParts count="1">
    <x:tablePart xmlns:r="http://schemas.openxmlformats.org/officeDocument/2006/relationships" r:id="Rbc579e3f746d42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50.380001068115234" hidden="0" customWidth="1"/>
    <x:col min="3" max="3" width="19" hidden="0" customWidth="1"/>
    <x:col min="4" max="4" width="219.5" hidden="0" customWidth="1"/>
    <x:col min="5" max="5" width="75" hidden="0" customWidth="1"/>
  </x:cols>
  <x:sheetData>
    <x:row r="1">
      <x:c r="A1" s="8" t="str">
        <x:v>id</x:v>
      </x:c>
      <x:c r="B1" s="8" t="str">
        <x:v>documento</x:v>
      </x:c>
      <x:c r="C1" s="8" t="str">
        <x:v>tipo</x:v>
      </x:c>
      <x:c r="D1" s="8" t="str">
        <x:v>arquivo_local</x:v>
      </x:c>
      <x:c r="E1" s="8" t="str">
        <x:v>uso</x:v>
      </x:c>
    </x:row>
    <x:row r="2">
      <x:c r="A2" s="9" t="n">
        <x:v>467929</x:v>
      </x:c>
      <x:c r="B2" s="9" t="str">
        <x:v>Regulamento 05/05/2023</x:v>
      </x:c>
      <x:c r="C2" s="9" t="str">
        <x:v>regulamento</x:v>
      </x:c>
      <x:c r="D2" s="9" t="str">
        <x:v>data/raw/50473039000102/467929_regulamento_regulamento_467929_2023-05-05.pdf</x:v>
      </x:c>
      <x:c r="E2" s="9" t="str">
        <x:v>Suplementos e cronogramas Sênior 1ª e 2ª séries, pp.115-120.</x:v>
      </x:c>
    </x:row>
    <x:row r="3">
      <x:c r="A3" s="9" t="n">
        <x:v>468755</x:v>
      </x:c>
      <x:c r="B3" s="9" t="str">
        <x:v>AGE 22/05/2023</x:v>
      </x:c>
      <x:c r="C3" s="9" t="str">
        <x:v>assembleia</x:v>
      </x:c>
      <x:c r="D3" s="9" t="str">
        <x:v>data/raw/50473039000102/468755_assembleia_assembleia_468755_2023-05-22.pdf</x:v>
      </x:c>
      <x:c r="E3" s="9" t="str">
        <x:v>Aprovação das primeiras séries.</x:v>
      </x:c>
    </x:row>
    <x:row r="4">
      <x:c r="A4" s="9" t="n">
        <x:v>471622</x:v>
      </x:c>
      <x:c r="B4" s="9" t="str">
        <x:v>Aviso ao Mercado 30/05/2023</x:v>
      </x:c>
      <x:c r="C4" s="9" t="str">
        <x:v>emissao</x:v>
      </x:c>
      <x:c r="D4" s="9" t="str">
        <x:v>data/raw/50473039000102/471622_emissao_emissao_471622_2023-05-30.pdf</x:v>
      </x:c>
      <x:c r="E4" s="9" t="str">
        <x:v>Liquidação 31/05/2023 e cronograma da oferta.</x:v>
      </x:c>
    </x:row>
    <x:row r="5">
      <x:c r="A5" s="9" t="n">
        <x:v>558803</x:v>
      </x:c>
      <x:c r="B5" s="9" t="str">
        <x:v>AGE 23/11/2023</x:v>
      </x:c>
      <x:c r="C5" s="9" t="str">
        <x:v>assembleia</x:v>
      </x:c>
      <x:c r="D5" s="9" t="str">
        <x:v>data/raw/50473039000102/558803_assembleia_assembleia_558803_2023-11-23.pdf</x:v>
      </x:c>
      <x:c r="E5" s="9" t="str">
        <x:v>Aprovação da 3ª/4ª séries e subordinada júnior.</x:v>
      </x:c>
    </x:row>
    <x:row r="6">
      <x:c r="A6" s="9" t="n">
        <x:v>559856</x:v>
      </x:c>
      <x:c r="B6" s="9" t="str">
        <x:v>Anúncio de Início 27/11/2023</x:v>
      </x:c>
      <x:c r="C6" s="9" t="str">
        <x:v>emissao</x:v>
      </x:c>
      <x:c r="D6" s="9" t="str">
        <x:v>data/raw/50473039000102/559856_emissao_emissao_559856_2023-11-27.pdf</x:v>
      </x:c>
      <x:c r="E6" s="9" t="str">
        <x:v>Oferta tradicional de mercado de R$300 mm (3ª e 4ª séries).</x:v>
      </x:c>
    </x:row>
    <x:row r="7">
      <x:c r="A7" s="9" t="n">
        <x:v>909546</x:v>
      </x:c>
      <x:c r="B7" s="9" t="str">
        <x:v>AGO/E 19/05/2025</x:v>
      </x:c>
      <x:c r="C7" s="9" t="str">
        <x:v>assembleia</x:v>
      </x:c>
      <x:c r="D7" s="9" t="str">
        <x:v>data/raw/50473039000102/909546_assembleia_assembleia_909546_2025-05-19.pdf</x:v>
      </x:c>
      <x:c r="E7" s="9" t="str">
        <x:v>Aprovação da emissão de 2025.</x:v>
      </x:c>
    </x:row>
    <x:row r="8">
      <x:c r="A8" s="9" t="n">
        <x:v>912093</x:v>
      </x:c>
      <x:c r="B8" s="9" t="str">
        <x:v>Instrumento Particular de Emissão de Cotas 26/05/2025</x:v>
      </x:c>
      <x:c r="C8" s="9" t="str">
        <x:v>emissao</x:v>
      </x:c>
      <x:c r="D8" s="9" t="str">
        <x:v>data/raw/50473039000102/912093_assembleia_assembleia_912093_2025-05-26.pdf</x:v>
      </x:c>
      <x:c r="E8" s="9" t="str">
        <x:v>Sênior 5ª série: R$1,5 bi, DI+0,85%, cronograma até 15/05/2028.</x:v>
      </x:c>
    </x:row>
    <x:row r="9">
      <x:c r="A9" s="9" t="n">
        <x:v>912172</x:v>
      </x:c>
      <x:c r="B9" s="9" t="str">
        <x:v>Anúncio de Início 28/05/2025</x:v>
      </x:c>
      <x:c r="C9" s="9" t="str">
        <x:v>emissao</x:v>
      </x:c>
      <x:c r="D9" s="9" t="str">
        <x:v>data/raw/50473039000102/912172_emissao_emissao_912172_2025-05-28.pdf</x:v>
      </x:c>
      <x:c r="E9" s="9" t="str">
        <x:v>Primeira integralização em 29/05/2025.</x:v>
      </x:c>
    </x:row>
    <x:row r="10">
      <x:c r="A10" s="9" t="n">
        <x:v>932137</x:v>
      </x:c>
      <x:c r="B10" s="9" t="str">
        <x:v>Anúncio de Encerramento 04/06/2025</x:v>
      </x:c>
      <x:c r="C10" s="9" t="str">
        <x:v>emissao</x:v>
      </x:c>
      <x:c r="D10" s="9" t="str">
        <x:v>data/raw/50473039000102/932137_emissao_emissao_932137_2025-06-04.pdf</x:v>
      </x:c>
      <x:c r="E10" s="9" t="str">
        <x:v>Oferta integralmente subscrita por 2 instituições financeiras.</x:v>
      </x:c>
    </x:row>
    <x:row r="11">
      <x:c r="A11" s="9" t="str">
        <x:v>IME</x:v>
      </x:c>
      <x:c r="B11" s="9" t="str">
        <x:v>Informes Mensais Estruturados 02/2025-03/2026</x:v>
      </x:c>
      <x:c r="C11" s="9" t="str">
        <x:v>relatorios_administrador</x:v>
      </x:c>
      <x:c r="D11" s="9" t="str">
        <x:v>.cache/fundonet-ime/c0ce8a5069fe47b6253df9ee86a9b53b58dc2ecca778de89072d8bbab0807695/</x:v>
      </x:c>
      <x:c r="E11" s="9" t="str">
        <x:v>VNU, quantidade de cotas e evidência de pagamentos/amortizações.</x:v>
      </x:c>
    </x:row>
    <x:row r="12">
      <x:c r="A12" s="9" t="str">
        <x:v>MELI-10Q-1T26</x:v>
      </x:c>
      <x:c r="B12" s="9" t="str">
        <x:v>MercadoLibre Form 10-Q, 1T26, nota de securitization transactions</x:v>
      </x:c>
      <x:c r="C12" s="9" t="str">
        <x:v>fonte externa</x:v>
      </x:c>
      <x:c r="D12" s="9" t="str">
        <x:v>https://investor.mercadolibre.com/open-file?file=aHR0cHM6Ly9odHRwMi5tbHN0YXRpYy5jb20vc3RvcmFnZS9tbC1jbXMtYmFja2VuZC9jbXMtZG9jdW1lbnRzLXByb2Qvc2VjLzAwMDEwOTk1OTAvMDAwMTA5OTU5MC0yNi0wMDAwMTcvZm9ybTEwLVEtMDAwMTA5OTU5MC0yNi0wMDAwMTcucGRm</x:v>
      </x:c>
      <x:c r="E12" s="9" t="str">
        <x:v>Corroboração externa dos meses de vencimento das séries 3 e 4: setembro/2026 e novembro/2026.</x:v>
      </x:c>
    </x:row>
  </x:sheetData>
  <x:pageMargins left="0.7" right="0.7" top="0.75" bottom="0.75" header="0.3" footer="0.3"/>
  <x:tableParts count="1">
    <x:tablePart xmlns:r="http://schemas.openxmlformats.org/officeDocument/2006/relationships" r:id="R192ccad0dbae4308"/>
  </x:tableParts>
</x:worksheet>
</file>