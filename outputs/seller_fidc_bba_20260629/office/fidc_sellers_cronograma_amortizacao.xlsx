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f5308ab05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f046c70b4554705"/>
    <x:sheet xmlns:r="http://schemas.openxmlformats.org/officeDocument/2006/relationships" name="Dados_cronograma" sheetId="2" r:id="Rab087c68007a4c76"/>
    <x:sheet xmlns:r="http://schemas.openxmlformats.org/officeDocument/2006/relationships" name="Dados_emissoes" sheetId="3" r:id="R9223140cf00f402e"/>
    <x:sheet xmlns:r="http://schemas.openxmlformats.org/officeDocument/2006/relationships" name="Fontes" sheetId="4" r:id="R14833fbc401b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1E62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FFF3E6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376a25e3346c1" /><Relationship Type="http://schemas.openxmlformats.org/officeDocument/2006/relationships/theme" Target="/xl/theme/theme1.xml" Id="R025b80083e4147bc" /><Relationship Type="http://schemas.openxmlformats.org/officeDocument/2006/relationships/sharedStrings" Target="/xl/sharedStrings.xml" Id="R9087865276494de4" /><Relationship Type="http://schemas.openxmlformats.org/officeDocument/2006/relationships/worksheet" Target="/xl/worksheets/sheet1.xml" Id="Rdf046c70b4554705" /><Relationship Type="http://schemas.openxmlformats.org/officeDocument/2006/relationships/worksheet" Target="/xl/worksheets/sheet2.xml" Id="Rab087c68007a4c76" /><Relationship Type="http://schemas.openxmlformats.org/officeDocument/2006/relationships/worksheet" Target="/xl/worksheets/sheet3.xml" Id="R9223140cf00f402e" /><Relationship Type="http://schemas.openxmlformats.org/officeDocument/2006/relationships/worksheet" Target="/xl/worksheets/sheet4.xml" Id="R14833fbc401b45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56ec6e0be84c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Amortização programada por série (R$ mm)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S1</c:v>
          </c:tx>
          <c:spPr>
            <a:solidFill xmlns:a="http://schemas.openxmlformats.org/drawingml/2006/main">
              <a:srgbClr val="001E62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'Resumo'!$K$6:$K$17</c:f>
              <c:strCache>
                <c:ptCount val="0"/>
              </c:strCache>
            </c:strRef>
          </c:cat>
          <c:val>
            <c:numRef>
              <c:f>'Resumo'!$L$6:$L$17</c:f>
              <c:numCache>
                <c:formatCode>R$ #.##0</c:formatCode>
                <c:ptCount val="0"/>
              </c:numCache>
            </c:numRef>
          </c:val>
        </c:ser>
        <c:ser>
          <c:idx val="1"/>
          <c:order val="1"/>
          <c:tx>
            <c:v>S2</c:v>
          </c:tx>
          <c:spPr>
            <a:solidFill xmlns:a="http://schemas.openxmlformats.org/drawingml/2006/main">
              <a:srgbClr val="4E73DF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'Resumo'!$K$6:$K$17</c:f>
              <c:strCache>
                <c:ptCount val="0"/>
              </c:strCache>
            </c:strRef>
          </c:cat>
          <c:val>
            <c:numRef>
              <c:f>'Resumo'!$M$6:$M$17</c:f>
              <c:numCache>
                <c:formatCode>R$ #.##0</c:formatCode>
                <c:ptCount val="0"/>
              </c:numCache>
            </c:numRef>
          </c:val>
        </c:ser>
        <c:ser>
          <c:idx val="2"/>
          <c:order val="2"/>
          <c:tx>
            <c:v>S5</c:v>
          </c:tx>
          <c:spPr>
            <a:solidFill xmlns:a="http://schemas.openxmlformats.org/drawingml/2006/main">
              <a:srgbClr val="EC7000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'Resumo'!$K$6:$K$17</c:f>
              <c:strCache>
                <c:ptCount val="0"/>
              </c:strCache>
            </c:strRef>
          </c:cat>
          <c:val>
            <c:numRef>
              <c:f>'Resumo'!$N$6:$N$17</c:f>
              <c:numCache>
                <c:formatCode>R$ #.##0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.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56ec6e0be84c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onogramaResumo" displayName="CronogramaResumo" ref="A5:H17" headerRowCount="1">
  <x:autoFilter ref="A5:H17"/>
  <x:tableColumns count="8">
    <x:tableColumn id="1" name="Data"/>
    <x:tableColumn id="2" name="Série"/>
    <x:tableColumn id="3" name="Parcela"/>
    <x:tableColumn id="4" name="% documental"/>
    <x:tableColumn id="5" name="Amortização (R$ mm)"/>
    <x:tableColumn id="6" name="Saldo após (R$ mm)"/>
    <x:tableColumn id="7" name="Definição"/>
    <x:tableColumn id="8" name="Fonte"/>
  </x:tableColumns>
  <x:tableStyleInfo name="TableStyleMedium2" showRowStripes="1"/>
</x:table>
</file>

<file path=xl/tables/table2.xml><?xml version="1.0" encoding="utf-8"?>
<x:table xmlns:x="http://schemas.openxmlformats.org/spreadsheetml/2006/main" id="2" name="CronogramaLacunas" displayName="CronogramaLacunas" ref="A26:E29" headerRowCount="1">
  <x:autoFilter ref="A26:E29"/>
  <x:tableColumns count="5">
    <x:tableColumn id="1" name="Série"/>
    <x:tableColumn id="2" name="Status"/>
    <x:tableColumn id="3" name="Definição"/>
    <x:tableColumn id="4" name="Observação"/>
    <x:tableColumn id="5" name="Fonte"/>
  </x:tableColumns>
  <x:tableStyleInfo name="TableStyleMedium2" showRowStripes="1"/>
</x:table>
</file>

<file path=xl/tables/table3.xml><?xml version="1.0" encoding="utf-8"?>
<x:table xmlns:x="http://schemas.openxmlformats.org/spreadsheetml/2006/main" id="3" name="CronogramaRaw" displayName="CronogramaRaw" ref="A1:L16" headerRowCount="1">
  <x:autoFilter ref="A1:L16"/>
  <x:tableColumns count="12">
    <x:tableColumn id="1" name="classe_serie"/>
    <x:tableColumn id="2" name="serie_curta"/>
    <x:tableColumn id="3" name="tipo"/>
    <x:tableColumn id="4" name="data"/>
    <x:tableColumn id="5" name="ordem_parcela"/>
    <x:tableColumn id="6" name="amortizacao_programada"/>
    <x:tableColumn id="7" name="definicao_parcela"/>
    <x:tableColumn id="8" name="percentual_documental"/>
    <x:tableColumn id="9" name="amortizacao_principal_mm_calculada"/>
    <x:tableColumn id="10" name="saldo_apos_mm_calculado"/>
    <x:tableColumn id="11" name="fonte"/>
    <x:tableColumn id="12" name="observacao"/>
  </x:tableColumns>
  <x:tableStyleInfo name="TableStyleMedium2" showRowStripes="1"/>
</x:table>
</file>

<file path=xl/tables/table4.xml><?xml version="1.0" encoding="utf-8"?>
<x:table xmlns:x="http://schemas.openxmlformats.org/spreadsheetml/2006/main" id="4" name="EmissoesRaw" displayName="EmissoesRaw" ref="A1:R7" headerRowCount="1">
  <x:autoFilter ref="A1:R7"/>
  <x:tableColumns count="18">
    <x:tableColumn id="1" name="fundo"/>
    <x:tableColumn id="2" name="cnpj"/>
    <x:tableColumn id="3" name="classe_serie"/>
    <x:tableColumn id="4" name="serie_curta"/>
    <x:tableColumn id="5" name="tipo"/>
    <x:tableColumn id="6" name="data_deliberacao"/>
    <x:tableColumn id="7" name="data_emissao_integralizacao"/>
    <x:tableColumn id="8" name="data_encerramento_oferta"/>
    <x:tableColumn id="9" name="quantidade_cotas"/>
    <x:tableColumn id="10" name="volume_brl"/>
    <x:tableColumn id="11" name="volume_mm"/>
    <x:tableColumn id="12" name="pu_emissao_brl"/>
    <x:tableColumn id="13" name="remuneracao"/>
    <x:tableColumn id="14" name="juros_remuneracao"/>
    <x:tableColumn id="15" name="amortizacao_principal"/>
    <x:tableColumn id="16" name="status_evidencia"/>
    <x:tableColumn id="17" name="fonte"/>
    <x:tableColumn id="18" name="tipo_dado"/>
  </x:tableColumns>
  <x:tableStyleInfo name="TableStyleMedium2" showRowStripes="1"/>
</x:table>
</file>

<file path=xl/tables/table5.xml><?xml version="1.0" encoding="utf-8"?>
<x:table xmlns:x="http://schemas.openxmlformats.org/spreadsheetml/2006/main" id="5" name="FontesRaw" displayName="FontesRaw" ref="A1:E12" headerRowCount="1">
  <x:autoFilter ref="A1:E12"/>
  <x:tableColumns count="5">
    <x:tableColumn id="1" name="id"/>
    <x:tableColumn id="2" name="documento"/>
    <x:tableColumn id="3" name="tipo"/>
    <x:tableColumn id="4" name="arquivo_local"/>
    <x:tableColumn id="5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9c909c0499432d" /><Relationship Type="http://schemas.openxmlformats.org/officeDocument/2006/relationships/table" Target="/xl/tables/table1.xml" Id="R58cdfac7df1846ad" /><Relationship Type="http://schemas.openxmlformats.org/officeDocument/2006/relationships/table" Target="/xl/tables/table2.xml" Id="R07502d5f323b47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94c7a14543f43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15f92384bec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4b4d3bdcce8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13" hidden="0" customWidth="1"/>
    <x:col min="5" max="5" width="14" hidden="0" customWidth="1"/>
    <x:col min="6" max="6" width="14" hidden="0" customWidth="1"/>
    <x:col min="7" max="7" width="34" hidden="0" customWidth="1"/>
    <x:col min="8" max="8" width="34" hidden="0" customWidth="1"/>
  </x:cols>
  <x:sheetData>
    <x:row r="1">
      <x:c r="A1" s="2" t="str">
        <x:v>FIDC Sellers - cronograma de amortização</x:v>
      </x:c>
    </x:row>
    <x:row r="2">
      <x:c r="A2" s="4" t="str">
        <x:v>Parcelas em percentual do saldo remanescente; valores em R$ mm calculados mecanicamente sobre o volume de emissão.</x:v>
      </x:c>
    </x:row>
    <x:row r="5">
      <x:c r="A5" s="8" t="str">
        <x:v>Data</x:v>
      </x:c>
      <x:c r="B5" s="8" t="str">
        <x:v>Série</x:v>
      </x:c>
      <x:c r="C5" s="8" t="str">
        <x:v>Parcela</x:v>
      </x:c>
      <x:c r="D5" s="8" t="str">
        <x:v>% documental</x:v>
      </x:c>
      <x:c r="E5" s="8" t="str">
        <x:v>Amortização (R$ mm)</x:v>
      </x:c>
      <x:c r="F5" s="8" t="str">
        <x:v>Saldo após (R$ mm)</x:v>
      </x:c>
      <x:c r="G5" s="8" t="str">
        <x:v>Definição</x:v>
      </x:c>
      <x:c r="H5" s="8" t="str">
        <x:v>Fonte</x:v>
      </x:c>
      <x:c r="K5" s="11" t="str">
        <x:v>Data</x:v>
      </x:c>
      <x:c r="L5" s="11" t="str">
        <x:v>S1</x:v>
      </x:c>
      <x:c r="M5" s="11" t="str">
        <x:v>S2</x:v>
      </x:c>
      <x:c r="N5" s="11" t="str">
        <x:v>S5</x:v>
      </x:c>
    </x:row>
    <x:row r="6">
      <x:c r="A6" s="9" t="str">
        <x:v>15/12/2025</x:v>
      </x:c>
      <x:c r="B6" s="9" t="str">
        <x:v>S1</x:v>
      </x:c>
      <x:c r="C6" s="9" t="str">
        <x:v>1</x:v>
      </x:c>
      <x:c r="D6" s="9" t="str">
        <x:v>25,00%</x:v>
      </x:c>
      <x:c r="E6" s="9" t="str">
        <x:v>250,0</x:v>
      </x:c>
      <x:c r="F6" s="9" t="str">
        <x:v>750,0</x:v>
      </x:c>
      <x:c r="G6" s="9" t="str">
        <x:v>Percentual do saldo de principal remanescente</x:v>
      </x:c>
      <x:c r="H6" s="9" t="str">
        <x:v>468755 p.3; 471622 p.2; 467929 pp.115-117</x:v>
      </x:c>
      <x:c r="K6" s="11" t="str">
        <x:v>15/12/2025</x:v>
      </x:c>
      <x:c r="L6" s="11" t="n">
        <x:v>250</x:v>
      </x:c>
      <x:c r="M6" s="11" t="n">
        <x:v>0</x:v>
      </x:c>
      <x:c r="N6" s="11" t="n">
        <x:v>0</x:v>
      </x:c>
    </x:row>
    <x:row r="7">
      <x:c r="A7" s="9" t="str">
        <x:v>15/01/2026</x:v>
      </x:c>
      <x:c r="B7" s="9" t="str">
        <x:v>S1</x:v>
      </x:c>
      <x:c r="C7" s="9" t="str">
        <x:v>2</x:v>
      </x:c>
      <x:c r="D7" s="9" t="str">
        <x:v>33,33%</x:v>
      </x:c>
      <x:c r="E7" s="9" t="str">
        <x:v>250,0</x:v>
      </x:c>
      <x:c r="F7" s="9" t="str">
        <x:v>500,0</x:v>
      </x:c>
      <x:c r="G7" s="9" t="str">
        <x:v>Percentual do saldo de principal remanescente</x:v>
      </x:c>
      <x:c r="H7" s="9" t="str">
        <x:v>468755 p.3; 471622 p.2; 467929 pp.115-117</x:v>
      </x:c>
      <x:c r="K7" s="11" t="str">
        <x:v>15/01/2026</x:v>
      </x:c>
      <x:c r="L7" s="11" t="n">
        <x:v>249.98</x:v>
      </x:c>
      <x:c r="M7" s="11" t="n">
        <x:v>0</x:v>
      </x:c>
      <x:c r="N7" s="11" t="n">
        <x:v>0</x:v>
      </x:c>
    </x:row>
    <x:row r="8">
      <x:c r="A8" s="9" t="str">
        <x:v>15/02/2026</x:v>
      </x:c>
      <x:c r="B8" s="9" t="str">
        <x:v>S1</x:v>
      </x:c>
      <x:c r="C8" s="9" t="str">
        <x:v>3</x:v>
      </x:c>
      <x:c r="D8" s="9" t="str">
        <x:v>50,00%</x:v>
      </x:c>
      <x:c r="E8" s="9" t="str">
        <x:v>250,0</x:v>
      </x:c>
      <x:c r="F8" s="9" t="str">
        <x:v>250,0</x:v>
      </x:c>
      <x:c r="G8" s="9" t="str">
        <x:v>Percentual do saldo de principal remanescente</x:v>
      </x:c>
      <x:c r="H8" s="9" t="str">
        <x:v>468755 p.3; 471622 p.2; 467929 pp.115-117</x:v>
      </x:c>
      <x:c r="K8" s="11" t="str">
        <x:v>15/02/2026</x:v>
      </x:c>
      <x:c r="L8" s="11" t="n">
        <x:v>250.01</x:v>
      </x:c>
      <x:c r="M8" s="11" t="n">
        <x:v>0</x:v>
      </x:c>
      <x:c r="N8" s="11" t="n">
        <x:v>0</x:v>
      </x:c>
    </x:row>
    <x:row r="9">
      <x:c r="A9" s="9" t="str">
        <x:v>15/03/2026</x:v>
      </x:c>
      <x:c r="B9" s="9" t="str">
        <x:v>S1</x:v>
      </x:c>
      <x:c r="C9" s="9" t="str">
        <x:v>4</x:v>
      </x:c>
      <x:c r="D9" s="9" t="str">
        <x:v>100,00%</x:v>
      </x:c>
      <x:c r="E9" s="9" t="str">
        <x:v>250,0</x:v>
      </x:c>
      <x:c r="F9" s="9" t="str">
        <x:v>0,0</x:v>
      </x:c>
      <x:c r="G9" s="9" t="str">
        <x:v>Percentual do saldo de principal remanescente</x:v>
      </x:c>
      <x:c r="H9" s="9" t="str">
        <x:v>468755 p.3; 471622 p.2; 467929 pp.115-117</x:v>
      </x:c>
      <x:c r="K9" s="11" t="str">
        <x:v>15/03/2026</x:v>
      </x:c>
      <x:c r="L9" s="11" t="n">
        <x:v>250.01</x:v>
      </x:c>
      <x:c r="M9" s="11" t="n">
        <x:v>0</x:v>
      </x:c>
      <x:c r="N9" s="11" t="n">
        <x:v>0</x:v>
      </x:c>
    </x:row>
    <x:row r="10">
      <x:c r="A10" s="9" t="str">
        <x:v>15/04/2026</x:v>
      </x:c>
      <x:c r="B10" s="9" t="str">
        <x:v>S2</x:v>
      </x:c>
      <x:c r="C10" s="9" t="str">
        <x:v>1</x:v>
      </x:c>
      <x:c r="D10" s="9" t="str">
        <x:v>50,00%</x:v>
      </x:c>
      <x:c r="E10" s="9" t="str">
        <x:v>250,0</x:v>
      </x:c>
      <x:c r="F10" s="9" t="str">
        <x:v>250,0</x:v>
      </x:c>
      <x:c r="G10" s="9" t="str">
        <x:v>Percentual do saldo de principal remanescente</x:v>
      </x:c>
      <x:c r="H10" s="9" t="str">
        <x:v>468755 p.3; 471622 p.2; 467929 pp.118-120</x:v>
      </x:c>
      <x:c r="K10" s="11" t="str">
        <x:v>15/04/2026</x:v>
      </x:c>
      <x:c r="L10" s="11" t="n">
        <x:v>0</x:v>
      </x:c>
      <x:c r="M10" s="11" t="n">
        <x:v>250</x:v>
      </x:c>
      <x:c r="N10" s="11" t="n">
        <x:v>0</x:v>
      </x:c>
    </x:row>
    <x:row r="11">
      <x:c r="A11" s="9" t="str">
        <x:v>15/05/2026</x:v>
      </x:c>
      <x:c r="B11" s="9" t="str">
        <x:v>S2</x:v>
      </x:c>
      <x:c r="C11" s="9" t="str">
        <x:v>2</x:v>
      </x:c>
      <x:c r="D11" s="9" t="str">
        <x:v>100,00%</x:v>
      </x:c>
      <x:c r="E11" s="9" t="str">
        <x:v>250,0</x:v>
      </x:c>
      <x:c r="F11" s="9" t="str">
        <x:v>0,0</x:v>
      </x:c>
      <x:c r="G11" s="9" t="str">
        <x:v>Percentual do saldo de principal remanescente</x:v>
      </x:c>
      <x:c r="H11" s="9" t="str">
        <x:v>468755 p.3; 471622 p.2; 467929 pp.118-120</x:v>
      </x:c>
      <x:c r="K11" s="11" t="str">
        <x:v>15/05/2026</x:v>
      </x:c>
      <x:c r="L11" s="11" t="n">
        <x:v>0</x:v>
      </x:c>
      <x:c r="M11" s="11" t="n">
        <x:v>250</x:v>
      </x:c>
      <x:c r="N11" s="11" t="n">
        <x:v>0</x:v>
      </x:c>
    </x:row>
    <x:row r="12">
      <x:c r="A12" s="9" t="str">
        <x:v>15/12/2027</x:v>
      </x:c>
      <x:c r="B12" s="9" t="str">
        <x:v>S5</x:v>
      </x:c>
      <x:c r="C12" s="9" t="str">
        <x:v>1</x:v>
      </x:c>
      <x:c r="D12" s="9" t="str">
        <x:v>16,67%</x:v>
      </x:c>
      <x:c r="E12" s="9" t="str">
        <x:v>250,1</x:v>
      </x:c>
      <x:c r="F12" s="9" t="str">
        <x:v>1.250,0</x:v>
      </x:c>
      <x:c r="G12" s="9" t="str">
        <x:v>Percentual do saldo de principal remanescente</x:v>
      </x:c>
      <x:c r="H12" s="9" t="str">
        <x:v>909546 p.9; 912093 pp.3-5; 912172 p.2; 932137 p.2</x:v>
      </x:c>
      <x:c r="K12" s="11" t="str">
        <x:v>15/12/2027</x:v>
      </x:c>
      <x:c r="L12" s="11" t="n">
        <x:v>0</x:v>
      </x:c>
      <x:c r="M12" s="11" t="n">
        <x:v>0</x:v>
      </x:c>
      <x:c r="N12" s="11" t="n">
        <x:v>250.05</x:v>
      </x:c>
    </x:row>
    <x:row r="13">
      <x:c r="A13" s="9" t="str">
        <x:v>15/01/2028</x:v>
      </x:c>
      <x:c r="B13" s="9" t="str">
        <x:v>S5</x:v>
      </x:c>
      <x:c r="C13" s="9" t="str">
        <x:v>2</x:v>
      </x:c>
      <x:c r="D13" s="9" t="str">
        <x:v>20,00%</x:v>
      </x:c>
      <x:c r="E13" s="9" t="str">
        <x:v>250,0</x:v>
      </x:c>
      <x:c r="F13" s="9" t="str">
        <x:v>1.000,0</x:v>
      </x:c>
      <x:c r="G13" s="9" t="str">
        <x:v>Percentual do saldo de principal remanescente</x:v>
      </x:c>
      <x:c r="H13" s="9" t="str">
        <x:v>909546 p.9; 912093 pp.3-5; 912172 p.2; 932137 p.2</x:v>
      </x:c>
      <x:c r="K13" s="11" t="str">
        <x:v>15/01/2028</x:v>
      </x:c>
      <x:c r="L13" s="11" t="n">
        <x:v>0</x:v>
      </x:c>
      <x:c r="M13" s="11" t="n">
        <x:v>0</x:v>
      </x:c>
      <x:c r="N13" s="11" t="n">
        <x:v>249.99</x:v>
      </x:c>
    </x:row>
    <x:row r="14">
      <x:c r="A14" s="9" t="str">
        <x:v>15/02/2028</x:v>
      </x:c>
      <x:c r="B14" s="9" t="str">
        <x:v>S5</x:v>
      </x:c>
      <x:c r="C14" s="9" t="str">
        <x:v>3</x:v>
      </x:c>
      <x:c r="D14" s="9" t="str">
        <x:v>25,00%</x:v>
      </x:c>
      <x:c r="E14" s="9" t="str">
        <x:v>250,0</x:v>
      </x:c>
      <x:c r="F14" s="9" t="str">
        <x:v>750,0</x:v>
      </x:c>
      <x:c r="G14" s="9" t="str">
        <x:v>Percentual do saldo de principal remanescente</x:v>
      </x:c>
      <x:c r="H14" s="9" t="str">
        <x:v>909546 p.9; 912093 pp.3-5; 912172 p.2; 932137 p.2</x:v>
      </x:c>
      <x:c r="K14" s="11" t="str">
        <x:v>15/02/2028</x:v>
      </x:c>
      <x:c r="L14" s="11" t="n">
        <x:v>0</x:v>
      </x:c>
      <x:c r="M14" s="11" t="n">
        <x:v>0</x:v>
      </x:c>
      <x:c r="N14" s="11" t="n">
        <x:v>249.99</x:v>
      </x:c>
    </x:row>
    <x:row r="15">
      <x:c r="A15" s="9" t="str">
        <x:v>15/03/2028</x:v>
      </x:c>
      <x:c r="B15" s="9" t="str">
        <x:v>S5</x:v>
      </x:c>
      <x:c r="C15" s="9" t="str">
        <x:v>4</x:v>
      </x:c>
      <x:c r="D15" s="9" t="str">
        <x:v>33,33%</x:v>
      </x:c>
      <x:c r="E15" s="9" t="str">
        <x:v>250,0</x:v>
      </x:c>
      <x:c r="F15" s="9" t="str">
        <x:v>500,0</x:v>
      </x:c>
      <x:c r="G15" s="9" t="str">
        <x:v>Percentual do saldo de principal remanescente</x:v>
      </x:c>
      <x:c r="H15" s="9" t="str">
        <x:v>909546 p.9; 912093 pp.3-5; 912172 p.2; 932137 p.2</x:v>
      </x:c>
      <x:c r="K15" s="11" t="str">
        <x:v>15/03/2028</x:v>
      </x:c>
      <x:c r="L15" s="11" t="n">
        <x:v>0</x:v>
      </x:c>
      <x:c r="M15" s="11" t="n">
        <x:v>0</x:v>
      </x:c>
      <x:c r="N15" s="11" t="n">
        <x:v>249.97</x:v>
      </x:c>
    </x:row>
    <x:row r="16">
      <x:c r="A16" s="9" t="str">
        <x:v>15/04/2028</x:v>
      </x:c>
      <x:c r="B16" s="9" t="str">
        <x:v>S5</x:v>
      </x:c>
      <x:c r="C16" s="9" t="str">
        <x:v>5</x:v>
      </x:c>
      <x:c r="D16" s="9" t="str">
        <x:v>50,00%</x:v>
      </x:c>
      <x:c r="E16" s="9" t="str">
        <x:v>250,0</x:v>
      </x:c>
      <x:c r="F16" s="9" t="str">
        <x:v>250,0</x:v>
      </x:c>
      <x:c r="G16" s="9" t="str">
        <x:v>Percentual do saldo de principal remanescente</x:v>
      </x:c>
      <x:c r="H16" s="9" t="str">
        <x:v>909546 p.9; 912093 pp.3-5; 912172 p.2; 932137 p.2</x:v>
      </x:c>
      <x:c r="K16" s="11" t="str">
        <x:v>15/04/2028</x:v>
      </x:c>
      <x:c r="L16" s="11" t="n">
        <x:v>0</x:v>
      </x:c>
      <x:c r="M16" s="11" t="n">
        <x:v>0</x:v>
      </x:c>
      <x:c r="N16" s="11" t="n">
        <x:v>250</x:v>
      </x:c>
    </x:row>
    <x:row r="17">
      <x:c r="A17" s="9" t="str">
        <x:v>15/05/2028</x:v>
      </x:c>
      <x:c r="B17" s="9" t="str">
        <x:v>S5</x:v>
      </x:c>
      <x:c r="C17" s="9" t="str">
        <x:v>6</x:v>
      </x:c>
      <x:c r="D17" s="9" t="str">
        <x:v>100,00%</x:v>
      </x:c>
      <x:c r="E17" s="9" t="str">
        <x:v>250,0</x:v>
      </x:c>
      <x:c r="F17" s="9" t="str">
        <x:v>0,0</x:v>
      </x:c>
      <x:c r="G17" s="9" t="str">
        <x:v>Percentual do saldo de principal remanescente</x:v>
      </x:c>
      <x:c r="H17" s="9" t="str">
        <x:v>909546 p.9; 912093 pp.3-5; 912172 p.2; 932137 p.2</x:v>
      </x:c>
      <x:c r="K17" s="11" t="str">
        <x:v>15/05/2028</x:v>
      </x:c>
      <x:c r="L17" s="11" t="n">
        <x:v>0</x:v>
      </x:c>
      <x:c r="M17" s="11" t="n">
        <x:v>0</x:v>
      </x:c>
      <x:c r="N17" s="11" t="n">
        <x:v>250</x:v>
      </x:c>
    </x:row>
    <x:row r="26">
      <x:c r="A26" s="8" t="str">
        <x:v>Série</x:v>
      </x:c>
      <x:c r="B26" s="8" t="str">
        <x:v>Status</x:v>
      </x:c>
      <x:c r="C26" s="8" t="str">
        <x:v>Definição</x:v>
      </x:c>
      <x:c r="D26" s="8" t="str">
        <x:v>Observação</x:v>
      </x:c>
      <x:c r="E26" s="8" t="str">
        <x:v>Fonte</x:v>
      </x:c>
    </x:row>
    <x:row r="27">
      <x:c r="A27" s="12" t="str">
        <x:v>S3</x:v>
      </x:c>
      <x:c r="B27" s="12" t="str">
        <x:v>Não identificada</x:v>
      </x:c>
      <x:c r="C27" s="12" t="str">
        <x:v>não disponível na documentação</x:v>
      </x:c>
      <x:c r="D27" s="12" t="str">
        <x:v>Ata aprova emissão e remete a suplemento; suplemento com calendário específico não apareceu no texto extraído dos documentos baixados</x:v>
      </x:c>
      <x:c r="E27" s="12" t="str">
        <x:v>558803 pp.4-5; 559856 pp.1-2</x:v>
      </x:c>
    </x:row>
    <x:row r="28">
      <x:c r="A28" s="12" t="str">
        <x:v>S4</x:v>
      </x:c>
      <x:c r="B28" s="12" t="str">
        <x:v>Não identificada</x:v>
      </x:c>
      <x:c r="C28" s="12" t="str">
        <x:v>não disponível na documentação</x:v>
      </x:c>
      <x:c r="D28" s="12" t="str">
        <x:v>Ata aprova emissão e remete a suplemento; suplemento com calendário específico não apareceu no texto extraído dos documentos baixados</x:v>
      </x:c>
      <x:c r="E28" s="12" t="str">
        <x:v>558803 pp.4-5; 559856 pp.1-2</x:v>
      </x:c>
    </x:row>
    <x:row r="29">
      <x:c r="A29" s="12" t="str">
        <x:v>Sub Jr 2023</x:v>
      </x:c>
      <x:c r="B29" s="12" t="str">
        <x:v>Condicionada/residual</x:v>
      </x:c>
      <x:c r="C29" s="12" t="str">
        <x:v>Residual / evento extraordinário</x:v>
      </x:c>
      <x:c r="D29" s="12" t="str">
        <x:v>Aprovada em assembleia como colocação privada</x:v>
      </x:c>
      <x:c r="E29" s="12" t="str">
        <x:v>558803 p.4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c39c909c0499432d"/>
  <x:tableParts count="2">
    <x:tablePart xmlns:r="http://schemas.openxmlformats.org/officeDocument/2006/relationships" r:id="R58cdfac7df1846ad"/>
    <x:tablePart xmlns:r="http://schemas.openxmlformats.org/officeDocument/2006/relationships" r:id="R07502d5f323b47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299991607666" hidden="0" customWidth="1"/>
    <x:col min="2" max="2" width="11.630000114440918" hidden="0" customWidth="1"/>
    <x:col min="3" max="3" width="14.880000114440918" hidden="0" customWidth="1"/>
    <x:col min="4" max="4" width="25.1299991607666" hidden="0" customWidth="1"/>
    <x:col min="5" max="5" width="14.5" hidden="0" customWidth="1"/>
    <x:col min="6" max="6" width="22.6299991607666" hidden="0" customWidth="1"/>
    <x:col min="7" max="7" width="35.380001068115234" hidden="0" customWidth="1"/>
    <x:col min="8" max="8" width="21.25" hidden="0" customWidth="1"/>
    <x:col min="9" max="9" width="31.8799991607666" hidden="0" customWidth="1"/>
    <x:col min="10" max="10" width="23.6299991607666" hidden="0" customWidth="1"/>
    <x:col min="11" max="11" width="39.130001068115234" hidden="0" customWidth="1"/>
    <x:col min="12" max="12" width="105.5" hidden="0" customWidth="1"/>
  </x:cols>
  <x:sheetData>
    <x:row r="1">
      <x:c r="A1" s="8" t="str">
        <x:v>classe_serie</x:v>
      </x:c>
      <x:c r="B1" s="8" t="str">
        <x:v>serie_curta</x:v>
      </x:c>
      <x:c r="C1" s="8" t="str">
        <x:v>tipo</x:v>
      </x:c>
      <x:c r="D1" s="8" t="str">
        <x:v>data</x:v>
      </x:c>
      <x:c r="E1" s="8" t="str">
        <x:v>ordem_parcela</x:v>
      </x:c>
      <x:c r="F1" s="8" t="str">
        <x:v>amortizacao_programada</x:v>
      </x:c>
      <x:c r="G1" s="8" t="str">
        <x:v>definicao_parcela</x:v>
      </x:c>
      <x:c r="H1" s="8" t="str">
        <x:v>percentual_documental</x:v>
      </x:c>
      <x:c r="I1" s="8" t="str">
        <x:v>amortizacao_principal_mm_calculada</x:v>
      </x:c>
      <x:c r="J1" s="8" t="str">
        <x:v>saldo_apos_mm_calculado</x:v>
      </x:c>
      <x:c r="K1" s="8" t="str">
        <x:v>fonte</x:v>
      </x:c>
      <x:c r="L1" s="8" t="str">
        <x:v>observacao</x:v>
      </x:c>
    </x:row>
    <x:row r="2">
      <x:c r="A2" s="9" t="str">
        <x:v>Sênior 1ª série</x:v>
      </x:c>
      <x:c r="B2" s="9" t="str">
        <x:v>S1</x:v>
      </x:c>
      <x:c r="C2" s="9" t="str">
        <x:v>Sênior</x:v>
      </x:c>
      <x:c r="D2" s="9" t="str">
        <x:v>15/12/2025</x:v>
      </x:c>
      <x:c r="E2" s="9" t="n">
        <x:v>1</x:v>
      </x:c>
      <x:c r="F2" s="9" t="str">
        <x:v>Sim</x:v>
      </x:c>
      <x:c r="G2" s="9" t="str">
        <x:v>Percentual do saldo de principal remanescente</x:v>
      </x:c>
      <x:c r="H2" s="9" t="n">
        <x:v>25</x:v>
      </x:c>
      <x:c r="I2" s="9" t="n">
        <x:v>250</x:v>
      </x:c>
      <x:c r="J2" s="9" t="n">
        <x:v>750</x:v>
      </x:c>
      <x:c r="K2" s="9" t="str">
        <x:v>468755 p.3; 471622 p.2; 467929 pp.115-117</x:v>
      </x:c>
      <x:c r="L2" s="9" t="str">
        <x:v>Valor em R$ calculado mecanicamente sobre o volume de emissão; documento traz percentual, não valor nominal fixo.</x:v>
      </x:c>
    </x:row>
    <x:row r="3">
      <x:c r="A3" s="9" t="str">
        <x:v>Sênior 1ª série</x:v>
      </x:c>
      <x:c r="B3" s="9" t="str">
        <x:v>S1</x:v>
      </x:c>
      <x:c r="C3" s="9" t="str">
        <x:v>Sênior</x:v>
      </x:c>
      <x:c r="D3" s="9" t="str">
        <x:v>15/01/2026</x:v>
      </x:c>
      <x:c r="E3" s="9" t="n">
        <x:v>2</x:v>
      </x:c>
      <x:c r="F3" s="9" t="str">
        <x:v>Sim</x:v>
      </x:c>
      <x:c r="G3" s="9" t="str">
        <x:v>Percentual do saldo de principal remanescente</x:v>
      </x:c>
      <x:c r="H3" s="9" t="n">
        <x:v>33.33</x:v>
      </x:c>
      <x:c r="I3" s="9" t="n">
        <x:v>249.98</x:v>
      </x:c>
      <x:c r="J3" s="9" t="n">
        <x:v>500.03</x:v>
      </x:c>
      <x:c r="K3" s="9" t="str">
        <x:v>468755 p.3; 471622 p.2; 467929 pp.115-117</x:v>
      </x:c>
      <x:c r="L3" s="9" t="str">
        <x:v>Valor em R$ calculado mecanicamente sobre o volume de emissão; documento traz percentual, não valor nominal fixo.</x:v>
      </x:c>
    </x:row>
    <x:row r="4">
      <x:c r="A4" s="9" t="str">
        <x:v>Sênior 1ª série</x:v>
      </x:c>
      <x:c r="B4" s="9" t="str">
        <x:v>S1</x:v>
      </x:c>
      <x:c r="C4" s="9" t="str">
        <x:v>Sênior</x:v>
      </x:c>
      <x:c r="D4" s="9" t="str">
        <x:v>15/02/2026</x:v>
      </x:c>
      <x:c r="E4" s="9" t="n">
        <x:v>3</x:v>
      </x:c>
      <x:c r="F4" s="9" t="str">
        <x:v>Sim</x:v>
      </x:c>
      <x:c r="G4" s="9" t="str">
        <x:v>Percentual do saldo de principal remanescente</x:v>
      </x:c>
      <x:c r="H4" s="9" t="n">
        <x:v>50</x:v>
      </x:c>
      <x:c r="I4" s="9" t="n">
        <x:v>250.01</x:v>
      </x:c>
      <x:c r="J4" s="9" t="n">
        <x:v>250.01</x:v>
      </x:c>
      <x:c r="K4" s="9" t="str">
        <x:v>468755 p.3; 471622 p.2; 467929 pp.115-117</x:v>
      </x:c>
      <x:c r="L4" s="9" t="str">
        <x:v>Valor em R$ calculado mecanicamente sobre o volume de emissão; documento traz percentual, não valor nominal fixo.</x:v>
      </x:c>
    </x:row>
    <x:row r="5">
      <x:c r="A5" s="9" t="str">
        <x:v>Sênior 1ª série</x:v>
      </x:c>
      <x:c r="B5" s="9" t="str">
        <x:v>S1</x:v>
      </x:c>
      <x:c r="C5" s="9" t="str">
        <x:v>Sênior</x:v>
      </x:c>
      <x:c r="D5" s="9" t="str">
        <x:v>15/03/2026</x:v>
      </x:c>
      <x:c r="E5" s="9" t="n">
        <x:v>4</x:v>
      </x:c>
      <x:c r="F5" s="9" t="str">
        <x:v>Sim</x:v>
      </x:c>
      <x:c r="G5" s="9" t="str">
        <x:v>Percentual do saldo de principal remanescente</x:v>
      </x:c>
      <x:c r="H5" s="9" t="n">
        <x:v>100</x:v>
      </x:c>
      <x:c r="I5" s="9" t="n">
        <x:v>250.01</x:v>
      </x:c>
      <x:c r="J5" s="9" t="n">
        <x:v>0</x:v>
      </x:c>
      <x:c r="K5" s="9" t="str">
        <x:v>468755 p.3; 471622 p.2; 467929 pp.115-117</x:v>
      </x:c>
      <x:c r="L5" s="9" t="str">
        <x:v>Valor em R$ calculado mecanicamente sobre o volume de emissão; documento traz percentual, não valor nominal fixo.</x:v>
      </x:c>
    </x:row>
    <x:row r="6">
      <x:c r="A6" s="9" t="str">
        <x:v>Sênior 2ª série</x:v>
      </x:c>
      <x:c r="B6" s="9" t="str">
        <x:v>S2</x:v>
      </x:c>
      <x:c r="C6" s="9" t="str">
        <x:v>Sênior</x:v>
      </x:c>
      <x:c r="D6" s="9" t="str">
        <x:v>15/04/2026</x:v>
      </x:c>
      <x:c r="E6" s="9" t="n">
        <x:v>1</x:v>
      </x:c>
      <x:c r="F6" s="9" t="str">
        <x:v>Sim</x:v>
      </x:c>
      <x:c r="G6" s="9" t="str">
        <x:v>Percentual do saldo de principal remanescente</x:v>
      </x:c>
      <x:c r="H6" s="9" t="n">
        <x:v>50</x:v>
      </x:c>
      <x:c r="I6" s="9" t="n">
        <x:v>250</x:v>
      </x:c>
      <x:c r="J6" s="9" t="n">
        <x:v>250</x:v>
      </x:c>
      <x:c r="K6" s="9" t="str">
        <x:v>468755 p.3; 471622 p.2; 467929 pp.118-120</x:v>
      </x:c>
      <x:c r="L6" s="9" t="str">
        <x:v>Valor em R$ calculado mecanicamente sobre o volume de emissão; documento traz percentual, não valor nominal fixo.</x:v>
      </x:c>
    </x:row>
    <x:row r="7">
      <x:c r="A7" s="9" t="str">
        <x:v>Sênior 2ª série</x:v>
      </x:c>
      <x:c r="B7" s="9" t="str">
        <x:v>S2</x:v>
      </x:c>
      <x:c r="C7" s="9" t="str">
        <x:v>Sênior</x:v>
      </x:c>
      <x:c r="D7" s="9" t="str">
        <x:v>15/05/2026</x:v>
      </x:c>
      <x:c r="E7" s="9" t="n">
        <x:v>2</x:v>
      </x:c>
      <x:c r="F7" s="9" t="str">
        <x:v>Sim</x:v>
      </x:c>
      <x:c r="G7" s="9" t="str">
        <x:v>Percentual do saldo de principal remanescente</x:v>
      </x:c>
      <x:c r="H7" s="9" t="n">
        <x:v>100</x:v>
      </x:c>
      <x:c r="I7" s="9" t="n">
        <x:v>250</x:v>
      </x:c>
      <x:c r="J7" s="9" t="n">
        <x:v>0</x:v>
      </x:c>
      <x:c r="K7" s="9" t="str">
        <x:v>468755 p.3; 471622 p.2; 467929 pp.118-120</x:v>
      </x:c>
      <x:c r="L7" s="9" t="str">
        <x:v>Valor em R$ calculado mecanicamente sobre o volume de emissão; documento traz percentual, não valor nominal fixo.</x:v>
      </x:c>
    </x:row>
    <x:row r="8">
      <x:c r="A8" s="9" t="str">
        <x:v>Sênior 3ª série</x:v>
      </x:c>
      <x:c r="B8" s="9" t="str">
        <x:v>S3</x:v>
      </x:c>
      <x:c r="C8" s="9" t="str">
        <x:v>Sênior</x:v>
      </x:c>
      <x:c r="D8" s="9" t="str">
        <x:v>não disponível na documentação</x:v>
      </x:c>
      <x:c r="E8" s="9"/>
      <x:c r="F8" s="9" t="str">
        <x:v>Não identificada</x:v>
      </x:c>
      <x:c r="G8" s="9" t="str">
        <x:v>não disponível na documentação</x:v>
      </x:c>
      <x:c r="H8" s="9"/>
      <x:c r="I8" s="9"/>
      <x:c r="J8" s="9"/>
      <x:c r="K8" s="9" t="str">
        <x:v>558803 pp.4-5; 559856 pp.1-2</x:v>
      </x:c>
      <x:c r="L8" s="9" t="str">
        <x:v>Ata aprova emissão e remete a suplemento; suplemento com calendário específico não apareceu no texto extraído dos documentos baixados</x:v>
      </x:c>
    </x:row>
    <x:row r="9">
      <x:c r="A9" s="9" t="str">
        <x:v>Sênior 4ª série</x:v>
      </x:c>
      <x:c r="B9" s="9" t="str">
        <x:v>S4</x:v>
      </x:c>
      <x:c r="C9" s="9" t="str">
        <x:v>Sênior</x:v>
      </x:c>
      <x:c r="D9" s="9" t="str">
        <x:v>não disponível na documentação</x:v>
      </x:c>
      <x:c r="E9" s="9"/>
      <x:c r="F9" s="9" t="str">
        <x:v>Não identificada</x:v>
      </x:c>
      <x:c r="G9" s="9" t="str">
        <x:v>não disponível na documentação</x:v>
      </x:c>
      <x:c r="H9" s="9"/>
      <x:c r="I9" s="9"/>
      <x:c r="J9" s="9"/>
      <x:c r="K9" s="9" t="str">
        <x:v>558803 pp.4-5; 559856 pp.1-2</x:v>
      </x:c>
      <x:c r="L9" s="9" t="str">
        <x:v>Ata aprova emissão e remete a suplemento; suplemento com calendário específico não apareceu no texto extraído dos documentos baixados</x:v>
      </x:c>
    </x:row>
    <x:row r="10">
      <x:c r="A10" s="9" t="str">
        <x:v>Subordinada Júnior (emissão 2023)</x:v>
      </x:c>
      <x:c r="B10" s="9" t="str">
        <x:v>Sub Jr 2023</x:v>
      </x:c>
      <x:c r="C10" s="9" t="str">
        <x:v>Subordinada Júnior</x:v>
      </x:c>
      <x:c r="D10" s="9" t="str">
        <x:v>não disponível na documentação</x:v>
      </x:c>
      <x:c r="E10" s="9"/>
      <x:c r="F10" s="9" t="str">
        <x:v>Condicionada/residual</x:v>
      </x:c>
      <x:c r="G10" s="9" t="str">
        <x:v>Residual / evento extraordinário</x:v>
      </x:c>
      <x:c r="H10" s="9"/>
      <x:c r="I10" s="9"/>
      <x:c r="J10" s="9"/>
      <x:c r="K10" s="9" t="str">
        <x:v>558803 p.4</x:v>
      </x:c>
      <x:c r="L10" s="9" t="str">
        <x:v>Aprovada em assembleia como colocação privada</x:v>
      </x:c>
    </x:row>
    <x:row r="11">
      <x:c r="A11" s="9" t="str">
        <x:v>Sênior 5ª série</x:v>
      </x:c>
      <x:c r="B11" s="9" t="str">
        <x:v>S5</x:v>
      </x:c>
      <x:c r="C11" s="9" t="str">
        <x:v>Sênior</x:v>
      </x:c>
      <x:c r="D11" s="9" t="str">
        <x:v>15/12/2027</x:v>
      </x:c>
      <x:c r="E11" s="9" t="n">
        <x:v>1</x:v>
      </x:c>
      <x:c r="F11" s="9" t="str">
        <x:v>Sim</x:v>
      </x:c>
      <x:c r="G11" s="9" t="str">
        <x:v>Percentual do saldo de principal remanescente</x:v>
      </x:c>
      <x:c r="H11" s="9" t="n">
        <x:v>16.67</x:v>
      </x:c>
      <x:c r="I11" s="9" t="n">
        <x:v>250.05</x:v>
      </x:c>
      <x:c r="J11" s="9" t="n">
        <x:v>1249.95</x:v>
      </x:c>
      <x:c r="K11" s="9" t="str">
        <x:v>909546 p.9; 912093 pp.3-5; 912172 p.2; 932137 p.2</x:v>
      </x:c>
      <x:c r="L11" s="9" t="str">
        <x:v>Valor em R$ calculado mecanicamente sobre o volume de emissão; documento traz percentual, não valor nominal fixo.</x:v>
      </x:c>
    </x:row>
    <x:row r="12">
      <x:c r="A12" s="9" t="str">
        <x:v>Sênior 5ª série</x:v>
      </x:c>
      <x:c r="B12" s="9" t="str">
        <x:v>S5</x:v>
      </x:c>
      <x:c r="C12" s="9" t="str">
        <x:v>Sênior</x:v>
      </x:c>
      <x:c r="D12" s="9" t="str">
        <x:v>15/01/2028</x:v>
      </x:c>
      <x:c r="E12" s="9" t="n">
        <x:v>2</x:v>
      </x:c>
      <x:c r="F12" s="9" t="str">
        <x:v>Sim</x:v>
      </x:c>
      <x:c r="G12" s="9" t="str">
        <x:v>Percentual do saldo de principal remanescente</x:v>
      </x:c>
      <x:c r="H12" s="9" t="n">
        <x:v>20</x:v>
      </x:c>
      <x:c r="I12" s="9" t="n">
        <x:v>249.99</x:v>
      </x:c>
      <x:c r="J12" s="9" t="n">
        <x:v>999.96</x:v>
      </x:c>
      <x:c r="K12" s="9" t="str">
        <x:v>909546 p.9; 912093 pp.3-5; 912172 p.2; 932137 p.2</x:v>
      </x:c>
      <x:c r="L12" s="9" t="str">
        <x:v>Valor em R$ calculado mecanicamente sobre o volume de emissão; documento traz percentual, não valor nominal fixo.</x:v>
      </x:c>
    </x:row>
    <x:row r="13">
      <x:c r="A13" s="9" t="str">
        <x:v>Sênior 5ª série</x:v>
      </x:c>
      <x:c r="B13" s="9" t="str">
        <x:v>S5</x:v>
      </x:c>
      <x:c r="C13" s="9" t="str">
        <x:v>Sênior</x:v>
      </x:c>
      <x:c r="D13" s="9" t="str">
        <x:v>15/02/2028</x:v>
      </x:c>
      <x:c r="E13" s="9" t="n">
        <x:v>3</x:v>
      </x:c>
      <x:c r="F13" s="9" t="str">
        <x:v>Sim</x:v>
      </x:c>
      <x:c r="G13" s="9" t="str">
        <x:v>Percentual do saldo de principal remanescente</x:v>
      </x:c>
      <x:c r="H13" s="9" t="n">
        <x:v>25</x:v>
      </x:c>
      <x:c r="I13" s="9" t="n">
        <x:v>249.99</x:v>
      </x:c>
      <x:c r="J13" s="9" t="n">
        <x:v>749.97</x:v>
      </x:c>
      <x:c r="K13" s="9" t="str">
        <x:v>909546 p.9; 912093 pp.3-5; 912172 p.2; 932137 p.2</x:v>
      </x:c>
      <x:c r="L13" s="9" t="str">
        <x:v>Valor em R$ calculado mecanicamente sobre o volume de emissão; documento traz percentual, não valor nominal fixo.</x:v>
      </x:c>
    </x:row>
    <x:row r="14">
      <x:c r="A14" s="9" t="str">
        <x:v>Sênior 5ª série</x:v>
      </x:c>
      <x:c r="B14" s="9" t="str">
        <x:v>S5</x:v>
      </x:c>
      <x:c r="C14" s="9" t="str">
        <x:v>Sênior</x:v>
      </x:c>
      <x:c r="D14" s="9" t="str">
        <x:v>15/03/2028</x:v>
      </x:c>
      <x:c r="E14" s="9" t="n">
        <x:v>4</x:v>
      </x:c>
      <x:c r="F14" s="9" t="str">
        <x:v>Sim</x:v>
      </x:c>
      <x:c r="G14" s="9" t="str">
        <x:v>Percentual do saldo de principal remanescente</x:v>
      </x:c>
      <x:c r="H14" s="9" t="n">
        <x:v>33.33</x:v>
      </x:c>
      <x:c r="I14" s="9" t="n">
        <x:v>249.97</x:v>
      </x:c>
      <x:c r="J14" s="9" t="n">
        <x:v>500</x:v>
      </x:c>
      <x:c r="K14" s="9" t="str">
        <x:v>909546 p.9; 912093 pp.3-5; 912172 p.2; 932137 p.2</x:v>
      </x:c>
      <x:c r="L14" s="9" t="str">
        <x:v>Valor em R$ calculado mecanicamente sobre o volume de emissão; documento traz percentual, não valor nominal fixo.</x:v>
      </x:c>
    </x:row>
    <x:row r="15">
      <x:c r="A15" s="9" t="str">
        <x:v>Sênior 5ª série</x:v>
      </x:c>
      <x:c r="B15" s="9" t="str">
        <x:v>S5</x:v>
      </x:c>
      <x:c r="C15" s="9" t="str">
        <x:v>Sênior</x:v>
      </x:c>
      <x:c r="D15" s="9" t="str">
        <x:v>15/04/2028</x:v>
      </x:c>
      <x:c r="E15" s="9" t="n">
        <x:v>5</x:v>
      </x:c>
      <x:c r="F15" s="9" t="str">
        <x:v>Sim</x:v>
      </x:c>
      <x:c r="G15" s="9" t="str">
        <x:v>Percentual do saldo de principal remanescente</x:v>
      </x:c>
      <x:c r="H15" s="9" t="n">
        <x:v>50</x:v>
      </x:c>
      <x:c r="I15" s="9" t="n">
        <x:v>250</x:v>
      </x:c>
      <x:c r="J15" s="9" t="n">
        <x:v>250</x:v>
      </x:c>
      <x:c r="K15" s="9" t="str">
        <x:v>909546 p.9; 912093 pp.3-5; 912172 p.2; 932137 p.2</x:v>
      </x:c>
      <x:c r="L15" s="9" t="str">
        <x:v>Valor em R$ calculado mecanicamente sobre o volume de emissão; documento traz percentual, não valor nominal fixo.</x:v>
      </x:c>
    </x:row>
    <x:row r="16">
      <x:c r="A16" s="9" t="str">
        <x:v>Sênior 5ª série</x:v>
      </x:c>
      <x:c r="B16" s="9" t="str">
        <x:v>S5</x:v>
      </x:c>
      <x:c r="C16" s="9" t="str">
        <x:v>Sênior</x:v>
      </x:c>
      <x:c r="D16" s="9" t="str">
        <x:v>15/05/2028</x:v>
      </x:c>
      <x:c r="E16" s="9" t="n">
        <x:v>6</x:v>
      </x:c>
      <x:c r="F16" s="9" t="str">
        <x:v>Sim</x:v>
      </x:c>
      <x:c r="G16" s="9" t="str">
        <x:v>Percentual do saldo de principal remanescente</x:v>
      </x:c>
      <x:c r="H16" s="9" t="n">
        <x:v>100</x:v>
      </x:c>
      <x:c r="I16" s="9" t="n">
        <x:v>250</x:v>
      </x:c>
      <x:c r="J16" s="9" t="n">
        <x:v>0</x:v>
      </x:c>
      <x:c r="K16" s="9" t="str">
        <x:v>909546 p.9; 912093 pp.3-5; 912172 p.2; 932137 p.2</x:v>
      </x:c>
      <x:c r="L16" s="9" t="str">
        <x:v>Valor em R$ calculado mecanicamente sobre o volume de emissão; documento traz percentual, não valor nominal fixo.</x:v>
      </x:c>
    </x:row>
  </x:sheetData>
  <x:pageMargins left="0.7" right="0.7" top="0.75" bottom="0.75" header="0.3" footer="0.3"/>
  <x:tableParts count="1">
    <x:tablePart xmlns:r="http://schemas.openxmlformats.org/officeDocument/2006/relationships" r:id="R494c7a14543f43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15.75" hidden="0" customWidth="1"/>
    <x:col min="3" max="3" width="26.6299991607666" hidden="0" customWidth="1"/>
    <x:col min="4" max="4" width="11.630000114440918" hidden="0" customWidth="1"/>
    <x:col min="5" max="5" width="14.880000114440918" hidden="0" customWidth="1"/>
    <x:col min="6" max="6" width="20" hidden="0" customWidth="1"/>
    <x:col min="7" max="7" width="25" hidden="0" customWidth="1"/>
    <x:col min="8" max="8" width="52.380001068115234" hidden="0" customWidth="1"/>
    <x:col min="9" max="9" width="16.6299991607666" hidden="0" customWidth="1"/>
    <x:col min="10" max="10" width="11.75" hidden="0" customWidth="1"/>
    <x:col min="11" max="11" width="12.630000114440918" hidden="0" customWidth="1"/>
    <x:col min="12" max="12" width="15.130000114440918" hidden="0" customWidth="1"/>
    <x:col min="13" max="13" width="26.75" hidden="0" customWidth="1"/>
    <x:col min="14" max="14" width="51.130001068115234" hidden="0" customWidth="1"/>
    <x:col min="15" max="15" width="97.5" hidden="0" customWidth="1"/>
    <x:col min="16" max="16" width="105.5" hidden="0" customWidth="1"/>
    <x:col min="17" max="17" width="39.130001068115234" hidden="0" customWidth="1"/>
    <x:col min="18" max="18" width="32" hidden="0" customWidth="1"/>
  </x:cols>
  <x:sheetData>
    <x:row r="1">
      <x:c r="A1" s="8" t="str">
        <x:v>fundo</x:v>
      </x:c>
      <x:c r="B1" s="8" t="str">
        <x:v>cnpj</x:v>
      </x:c>
      <x:c r="C1" s="8" t="str">
        <x:v>classe_serie</x:v>
      </x:c>
      <x:c r="D1" s="8" t="str">
        <x:v>serie_curta</x:v>
      </x:c>
      <x:c r="E1" s="8" t="str">
        <x:v>tipo</x:v>
      </x:c>
      <x:c r="F1" s="8" t="str">
        <x:v>data_deliberacao</x:v>
      </x:c>
      <x:c r="G1" s="8" t="str">
        <x:v>data_emissao_integralizacao</x:v>
      </x:c>
      <x:c r="H1" s="8" t="str">
        <x:v>data_encerramento_oferta</x:v>
      </x:c>
      <x:c r="I1" s="8" t="str">
        <x:v>quantidade_cotas</x:v>
      </x:c>
      <x:c r="J1" s="8" t="str">
        <x:v>volume_brl</x:v>
      </x:c>
      <x:c r="K1" s="8" t="str">
        <x:v>volume_mm</x:v>
      </x:c>
      <x:c r="L1" s="8" t="str">
        <x:v>pu_emissao_brl</x:v>
      </x:c>
      <x:c r="M1" s="8" t="str">
        <x:v>remuneracao</x:v>
      </x:c>
      <x:c r="N1" s="8" t="str">
        <x:v>juros_remuneracao</x:v>
      </x:c>
      <x:c r="O1" s="8" t="str">
        <x:v>amortizacao_principal</x:v>
      </x:c>
      <x:c r="P1" s="8" t="str">
        <x:v>status_evidencia</x:v>
      </x:c>
      <x:c r="Q1" s="8" t="str">
        <x:v>fonte</x:v>
      </x:c>
      <x:c r="R1" s="8" t="str">
        <x:v>tipo_dado</x:v>
      </x:c>
    </x:row>
    <x:row r="2">
      <x:c r="A2" s="9" t="str">
        <x:v>SELLER</x:v>
      </x:c>
      <x:c r="B2" s="9" t="str">
        <x:v>50.473.039/0001-02</x:v>
      </x:c>
      <x:c r="C2" s="9" t="str">
        <x:v>Sênior 1ª série</x:v>
      </x:c>
      <x:c r="D2" s="9" t="str">
        <x:v>S1</x:v>
      </x:c>
      <x:c r="E2" s="9" t="str">
        <x:v>Sênior</x:v>
      </x:c>
      <x:c r="F2" s="9" t="str">
        <x:v>22/05/2023</x:v>
      </x:c>
      <x:c r="G2" s="9" t="str">
        <x:v>31/05/2023</x:v>
      </x:c>
      <x:c r="H2" s="9" t="str">
        <x:v>31/05/2023 (liquidação ajustada; encerramento máximo 20/11/2023)</x:v>
      </x:c>
      <x:c r="I2" s="9" t="n">
        <x:v>1000000</x:v>
      </x:c>
      <x:c r="J2" s="9" t="n">
        <x:v>1000000000</x:v>
      </x:c>
      <x:c r="K2" s="9" t="n">
        <x:v>1000</x:v>
      </x:c>
      <x:c r="L2" s="9" t="n">
        <x:v>1000</x:v>
      </x:c>
      <x:c r="M2" s="9" t="str">
        <x:v>DI + 1,60% a.a. (252 d.u.)</x:v>
      </x:c>
      <x:c r="N2" s="9" t="str">
        <x:v>Semestral, a cada 6 meses a partir do 6º mês até a amortização final</x:v>
      </x:c>
      <x:c r="O2" s="9" t="str">
        <x:v>15/12/2025: 25,00%; 15/01/2026: 33,33%; 15/02/2026: 50,00%; 15/03/2026: 100,00%</x:v>
      </x:c>
      <x:c r="P2" s="9" t="str">
        <x:v>Data de liquidação ajustada para 31/05/2023; suplemento traz calendário completo</x:v>
      </x:c>
      <x:c r="Q2" s="9" t="str">
        <x:v>468755 p.3; 471622 p.2; 467929 pp.115-117</x:v>
      </x:c>
      <x:c r="R2" s="9" t="str">
        <x:v>Curadoria Toma Conta/regulatory_profiles</x:v>
      </x:c>
    </x:row>
    <x:row r="3">
      <x:c r="A3" s="9" t="str">
        <x:v>SELLER</x:v>
      </x:c>
      <x:c r="B3" s="9" t="str">
        <x:v>50.473.039/0001-02</x:v>
      </x:c>
      <x:c r="C3" s="9" t="str">
        <x:v>Sênior 2ª série</x:v>
      </x:c>
      <x:c r="D3" s="9" t="str">
        <x:v>S2</x:v>
      </x:c>
      <x:c r="E3" s="9" t="str">
        <x:v>Sênior</x:v>
      </x:c>
      <x:c r="F3" s="9" t="str">
        <x:v>22/05/2023</x:v>
      </x:c>
      <x:c r="G3" s="9" t="str">
        <x:v>31/05/2023</x:v>
      </x:c>
      <x:c r="H3" s="9" t="str">
        <x:v>31/05/2023 (liquidação ajustada; encerramento máximo 20/11/2023)</x:v>
      </x:c>
      <x:c r="I3" s="9" t="n">
        <x:v>500000</x:v>
      </x:c>
      <x:c r="J3" s="9" t="n">
        <x:v>500000000</x:v>
      </x:c>
      <x:c r="K3" s="9" t="n">
        <x:v>500</x:v>
      </x:c>
      <x:c r="L3" s="9" t="n">
        <x:v>1000</x:v>
      </x:c>
      <x:c r="M3" s="9" t="str">
        <x:v>DI + 1,80% a.a. (252 d.u.)</x:v>
      </x:c>
      <x:c r="N3" s="9" t="str">
        <x:v>Semestral, a cada 6 meses a partir do 6º mês até a amortização final</x:v>
      </x:c>
      <x:c r="O3" s="9" t="str">
        <x:v>15/04/2026: 50,00%; 15/05/2026: 100,00%</x:v>
      </x:c>
      <x:c r="P3" s="9" t="str">
        <x:v>Data de liquidação ajustada para 31/05/2023; suplemento traz calendário completo</x:v>
      </x:c>
      <x:c r="Q3" s="9" t="str">
        <x:v>468755 p.3; 471622 p.2; 467929 pp.118-120</x:v>
      </x:c>
      <x:c r="R3" s="9" t="str">
        <x:v>Curadoria Toma Conta/regulatory_profiles</x:v>
      </x:c>
    </x:row>
    <x:row r="4">
      <x:c r="A4" s="9" t="str">
        <x:v>SELLER</x:v>
      </x:c>
      <x:c r="B4" s="9" t="str">
        <x:v>50.473.039/0001-02</x:v>
      </x:c>
      <x:c r="C4" s="9" t="str">
        <x:v>Sênior 3ª série</x:v>
      </x:c>
      <x:c r="D4" s="9" t="str">
        <x:v>S3</x:v>
      </x:c>
      <x:c r="E4" s="9" t="str">
        <x:v>Sênior</x:v>
      </x:c>
      <x:c r="F4" s="9" t="str">
        <x:v>23/11/2023</x:v>
      </x:c>
      <x:c r="G4" s="9"/>
      <x:c r="H4" s="9" t="str">
        <x:v>Anúncio de início 27/11/2023; encerramento máximo 24/05/2024</x:v>
      </x:c>
      <x:c r="I4" s="9" t="n">
        <x:v>200000</x:v>
      </x:c>
      <x:c r="J4" s="9" t="n">
        <x:v>200000000</x:v>
      </x:c>
      <x:c r="K4" s="9" t="n">
        <x:v>200</x:v>
      </x:c>
      <x:c r="L4" s="9" t="n">
        <x:v>1000</x:v>
      </x:c>
      <x:c r="M4" s="9" t="str">
        <x:v>Não identificada nos PDFs baixados</x:v>
      </x:c>
      <x:c r="N4" s="9" t="str">
        <x:v>Não identificado</x:v>
      </x:c>
      <x:c r="O4" s="9" t="str">
        <x:v>Não identificado</x:v>
      </x:c>
      <x:c r="P4" s="9" t="str">
        <x:v>Ata aprova emissão e remete a suplemento; suplemento com calendário específico não apareceu no texto extraído dos documentos baixados</x:v>
      </x:c>
      <x:c r="Q4" s="9" t="str">
        <x:v>558803 pp.4-5; 559856 pp.1-2</x:v>
      </x:c>
      <x:c r="R4" s="9" t="str">
        <x:v>Curadoria Toma Conta/regulatory_profiles</x:v>
      </x:c>
    </x:row>
    <x:row r="5">
      <x:c r="A5" s="9" t="str">
        <x:v>SELLER</x:v>
      </x:c>
      <x:c r="B5" s="9" t="str">
        <x:v>50.473.039/0001-02</x:v>
      </x:c>
      <x:c r="C5" s="9" t="str">
        <x:v>Sênior 4ª série</x:v>
      </x:c>
      <x:c r="D5" s="9" t="str">
        <x:v>S4</x:v>
      </x:c>
      <x:c r="E5" s="9" t="str">
        <x:v>Sênior</x:v>
      </x:c>
      <x:c r="F5" s="9" t="str">
        <x:v>23/11/2023</x:v>
      </x:c>
      <x:c r="G5" s="9"/>
      <x:c r="H5" s="9" t="str">
        <x:v>Anúncio de início 27/11/2023; encerramento máximo 24/05/2024</x:v>
      </x:c>
      <x:c r="I5" s="9" t="n">
        <x:v>100000</x:v>
      </x:c>
      <x:c r="J5" s="9" t="n">
        <x:v>100000000</x:v>
      </x:c>
      <x:c r="K5" s="9" t="n">
        <x:v>100</x:v>
      </x:c>
      <x:c r="L5" s="9" t="n">
        <x:v>1000</x:v>
      </x:c>
      <x:c r="M5" s="9" t="str">
        <x:v>Não identificada nos PDFs baixados</x:v>
      </x:c>
      <x:c r="N5" s="9" t="str">
        <x:v>Não identificado</x:v>
      </x:c>
      <x:c r="O5" s="9" t="str">
        <x:v>Não identificado</x:v>
      </x:c>
      <x:c r="P5" s="9" t="str">
        <x:v>Ata aprova emissão e remete a suplemento; suplemento com calendário específico não apareceu no texto extraído dos documentos baixados</x:v>
      </x:c>
      <x:c r="Q5" s="9" t="str">
        <x:v>558803 pp.4-5; 559856 pp.1-2</x:v>
      </x:c>
      <x:c r="R5" s="9" t="str">
        <x:v>Curadoria Toma Conta/regulatory_profiles</x:v>
      </x:c>
    </x:row>
    <x:row r="6">
      <x:c r="A6" s="9" t="str">
        <x:v>SELLER</x:v>
      </x:c>
      <x:c r="B6" s="9" t="str">
        <x:v>50.473.039/0001-02</x:v>
      </x:c>
      <x:c r="C6" s="9" t="str">
        <x:v>Subordinada Júnior (emissão 2023)</x:v>
      </x:c>
      <x:c r="D6" s="9" t="str">
        <x:v>Sub Jr 2023</x:v>
      </x:c>
      <x:c r="E6" s="9" t="str">
        <x:v>Subordinada Júnior</x:v>
      </x:c>
      <x:c r="F6" s="9" t="str">
        <x:v>23/11/2023</x:v>
      </x:c>
      <x:c r="G6" s="9"/>
      <x:c r="H6" s="9" t="str">
        <x:v>Colocação privada</x:v>
      </x:c>
      <x:c r="I6" s="9"/>
      <x:c r="J6" s="9" t="n">
        <x:v>200000000</x:v>
      </x:c>
      <x:c r="K6" s="9" t="n">
        <x:v>200</x:v>
      </x:c>
      <x:c r="L6" s="9"/>
      <x:c r="M6" s="9" t="str">
        <x:v>Residual / sem parâmetro definido</x:v>
      </x:c>
      <x:c r="N6" s="9" t="str">
        <x:v>Sem calendário fixo identificado</x:v>
      </x:c>
      <x:c r="O6" s="9" t="str">
        <x:v>Pode ser extraordinária se respeitado o índice de subordinação e caixa excedente; sem calendário fixo</x:v>
      </x:c>
      <x:c r="P6" s="9" t="str">
        <x:v>Aprovada em assembleia como colocação privada</x:v>
      </x:c>
      <x:c r="Q6" s="9" t="str">
        <x:v>558803 p.4</x:v>
      </x:c>
      <x:c r="R6" s="9" t="str">
        <x:v>Curadoria Toma Conta/regulatory_profiles</x:v>
      </x:c>
    </x:row>
    <x:row r="7">
      <x:c r="A7" s="9" t="str">
        <x:v>SELLER</x:v>
      </x:c>
      <x:c r="B7" s="9" t="str">
        <x:v>50.473.039/0001-02</x:v>
      </x:c>
      <x:c r="C7" s="9" t="str">
        <x:v>Sênior 5ª série</x:v>
      </x:c>
      <x:c r="D7" s="9" t="str">
        <x:v>S5</x:v>
      </x:c>
      <x:c r="E7" s="9" t="str">
        <x:v>Sênior</x:v>
      </x:c>
      <x:c r="F7" s="9" t="str">
        <x:v>19/05/2025 e 26/05/2025</x:v>
      </x:c>
      <x:c r="G7" s="9" t="str">
        <x:v>29/05/2025</x:v>
      </x:c>
      <x:c r="H7" s="9" t="str">
        <x:v>04/06/2025</x:v>
      </x:c>
      <x:c r="I7" s="9" t="n">
        <x:v>1500000</x:v>
      </x:c>
      <x:c r="J7" s="9" t="n">
        <x:v>1500000000</x:v>
      </x:c>
      <x:c r="K7" s="9" t="n">
        <x:v>1500</x:v>
      </x:c>
      <x:c r="L7" s="9" t="n">
        <x:v>1000</x:v>
      </x:c>
      <x:c r="M7" s="9" t="str">
        <x:v>DI + 0,85% a.a. (252 d.u.)</x:v>
      </x:c>
      <x:c r="N7" s="9" t="str">
        <x:v>Semestral, a cada 6 meses a partir do 6º mês até a amortização final</x:v>
      </x:c>
      <x:c r="O7" s="9" t="str">
        <x:v>15/12/2027: 16,67%; 15/01/2028: 20,00%; 15/02/2028: 25,00%; 15/03/2028: 33,33%; 15/04/2028: 50,00%; 15/05/2028: 100,00%</x:v>
      </x:c>
      <x:c r="P7" s="9" t="str">
        <x:v>Oferta integralmente subscrita por 2 instituições financeiras ligadas</x:v>
      </x:c>
      <x:c r="Q7" s="9" t="str">
        <x:v>909546 p.9; 912093 pp.3-5; 912172 p.2; 932137 p.2</x:v>
      </x:c>
      <x:c r="R7" s="9" t="str">
        <x:v>Curadoria Toma Conta/regulatory_profiles</x:v>
      </x:c>
    </x:row>
  </x:sheetData>
  <x:pageMargins left="0.7" right="0.7" top="0.75" bottom="0.75" header="0.3" footer="0.3"/>
  <x:tableParts count="1">
    <x:tablePart xmlns:r="http://schemas.openxmlformats.org/officeDocument/2006/relationships" r:id="R515f92384bec4e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50.380001068115234" hidden="0" customWidth="1"/>
    <x:col min="3" max="3" width="19" hidden="0" customWidth="1"/>
    <x:col min="4" max="4" width="219.5" hidden="0" customWidth="1"/>
    <x:col min="5" max="5" width="75" hidden="0" customWidth="1"/>
  </x:cols>
  <x:sheetData>
    <x:row r="1">
      <x:c r="A1" s="8" t="str">
        <x:v>id</x:v>
      </x:c>
      <x:c r="B1" s="8" t="str">
        <x:v>documento</x:v>
      </x:c>
      <x:c r="C1" s="8" t="str">
        <x:v>tipo</x:v>
      </x:c>
      <x:c r="D1" s="8" t="str">
        <x:v>arquivo_local</x:v>
      </x:c>
      <x:c r="E1" s="8" t="str">
        <x:v>uso</x:v>
      </x:c>
    </x:row>
    <x:row r="2">
      <x:c r="A2" s="9" t="n">
        <x:v>467929</x:v>
      </x:c>
      <x:c r="B2" s="9" t="str">
        <x:v>Regulamento 05/05/2023</x:v>
      </x:c>
      <x:c r="C2" s="9" t="str">
        <x:v>regulamento</x:v>
      </x:c>
      <x:c r="D2" s="9" t="str">
        <x:v>data/raw/50473039000102/467929_regulamento_regulamento_467929_2023-05-05.pdf</x:v>
      </x:c>
      <x:c r="E2" s="9" t="str">
        <x:v>Suplementos e cronogramas Sênior 1ª e 2ª séries, pp.115-120.</x:v>
      </x:c>
    </x:row>
    <x:row r="3">
      <x:c r="A3" s="9" t="n">
        <x:v>468755</x:v>
      </x:c>
      <x:c r="B3" s="9" t="str">
        <x:v>AGE 22/05/2023</x:v>
      </x:c>
      <x:c r="C3" s="9" t="str">
        <x:v>assembleia</x:v>
      </x:c>
      <x:c r="D3" s="9" t="str">
        <x:v>data/raw/50473039000102/468755_assembleia_assembleia_468755_2023-05-22.pdf</x:v>
      </x:c>
      <x:c r="E3" s="9" t="str">
        <x:v>Aprovação das primeiras séries.</x:v>
      </x:c>
    </x:row>
    <x:row r="4">
      <x:c r="A4" s="9" t="n">
        <x:v>471622</x:v>
      </x:c>
      <x:c r="B4" s="9" t="str">
        <x:v>Aviso ao Mercado 30/05/2023</x:v>
      </x:c>
      <x:c r="C4" s="9" t="str">
        <x:v>emissao</x:v>
      </x:c>
      <x:c r="D4" s="9" t="str">
        <x:v>data/raw/50473039000102/471622_emissao_emissao_471622_2023-05-30.pdf</x:v>
      </x:c>
      <x:c r="E4" s="9" t="str">
        <x:v>Liquidação 31/05/2023 e cronograma da oferta.</x:v>
      </x:c>
    </x:row>
    <x:row r="5">
      <x:c r="A5" s="9" t="n">
        <x:v>558803</x:v>
      </x:c>
      <x:c r="B5" s="9" t="str">
        <x:v>AGE 23/11/2023</x:v>
      </x:c>
      <x:c r="C5" s="9" t="str">
        <x:v>assembleia</x:v>
      </x:c>
      <x:c r="D5" s="9" t="str">
        <x:v>data/raw/50473039000102/558803_assembleia_assembleia_558803_2023-11-23.pdf</x:v>
      </x:c>
      <x:c r="E5" s="9" t="str">
        <x:v>Aprovação da 3ª/4ª séries e subordinada júnior.</x:v>
      </x:c>
    </x:row>
    <x:row r="6">
      <x:c r="A6" s="9" t="n">
        <x:v>559856</x:v>
      </x:c>
      <x:c r="B6" s="9" t="str">
        <x:v>Anúncio de Início 27/11/2023</x:v>
      </x:c>
      <x:c r="C6" s="9" t="str">
        <x:v>emissao</x:v>
      </x:c>
      <x:c r="D6" s="9" t="str">
        <x:v>data/raw/50473039000102/559856_emissao_emissao_559856_2023-11-27.pdf</x:v>
      </x:c>
      <x:c r="E6" s="9" t="str">
        <x:v>Oferta tradicional de mercado de R$300 mm (3ª e 4ª séries).</x:v>
      </x:c>
    </x:row>
    <x:row r="7">
      <x:c r="A7" s="9" t="n">
        <x:v>909546</x:v>
      </x:c>
      <x:c r="B7" s="9" t="str">
        <x:v>AGO/E 19/05/2025</x:v>
      </x:c>
      <x:c r="C7" s="9" t="str">
        <x:v>assembleia</x:v>
      </x:c>
      <x:c r="D7" s="9" t="str">
        <x:v>data/raw/50473039000102/909546_assembleia_assembleia_909546_2025-05-19.pdf</x:v>
      </x:c>
      <x:c r="E7" s="9" t="str">
        <x:v>Aprovação da emissão de 2025.</x:v>
      </x:c>
    </x:row>
    <x:row r="8">
      <x:c r="A8" s="9" t="n">
        <x:v>912093</x:v>
      </x:c>
      <x:c r="B8" s="9" t="str">
        <x:v>Instrumento Particular de Emissão de Cotas 26/05/2025</x:v>
      </x:c>
      <x:c r="C8" s="9" t="str">
        <x:v>emissao</x:v>
      </x:c>
      <x:c r="D8" s="9" t="str">
        <x:v>data/raw/50473039000102/912093_assembleia_assembleia_912093_2025-05-26.pdf</x:v>
      </x:c>
      <x:c r="E8" s="9" t="str">
        <x:v>Sênior 5ª série: R$1,5 bi, DI+0,85%, cronograma até 15/05/2028.</x:v>
      </x:c>
    </x:row>
    <x:row r="9">
      <x:c r="A9" s="9" t="n">
        <x:v>912172</x:v>
      </x:c>
      <x:c r="B9" s="9" t="str">
        <x:v>Anúncio de Início 28/05/2025</x:v>
      </x:c>
      <x:c r="C9" s="9" t="str">
        <x:v>emissao</x:v>
      </x:c>
      <x:c r="D9" s="9" t="str">
        <x:v>data/raw/50473039000102/912172_emissao_emissao_912172_2025-05-28.pdf</x:v>
      </x:c>
      <x:c r="E9" s="9" t="str">
        <x:v>Primeira integralização em 29/05/2025.</x:v>
      </x:c>
    </x:row>
    <x:row r="10">
      <x:c r="A10" s="9" t="n">
        <x:v>932137</x:v>
      </x:c>
      <x:c r="B10" s="9" t="str">
        <x:v>Anúncio de Encerramento 04/06/2025</x:v>
      </x:c>
      <x:c r="C10" s="9" t="str">
        <x:v>emissao</x:v>
      </x:c>
      <x:c r="D10" s="9" t="str">
        <x:v>data/raw/50473039000102/932137_emissao_emissao_932137_2025-06-04.pdf</x:v>
      </x:c>
      <x:c r="E10" s="9" t="str">
        <x:v>Oferta integralmente subscrita por 2 instituições financeiras.</x:v>
      </x:c>
    </x:row>
    <x:row r="11">
      <x:c r="A11" s="9" t="str">
        <x:v>IME</x:v>
      </x:c>
      <x:c r="B11" s="9" t="str">
        <x:v>Informes Mensais Estruturados 02/2025-03/2026</x:v>
      </x:c>
      <x:c r="C11" s="9" t="str">
        <x:v>relatorios_administrador</x:v>
      </x:c>
      <x:c r="D11" s="9" t="str">
        <x:v>.cache/fundonet-ime/c0ce8a5069fe47b6253df9ee86a9b53b58dc2ecca778de89072d8bbab0807695/</x:v>
      </x:c>
      <x:c r="E11" s="9" t="str">
        <x:v>VNU, quantidade de cotas e evidência de pagamentos/amortizações.</x:v>
      </x:c>
    </x:row>
    <x:row r="12">
      <x:c r="A12" s="9" t="str">
        <x:v>MELI-10Q-1T26</x:v>
      </x:c>
      <x:c r="B12" s="9" t="str">
        <x:v>MercadoLibre Form 10-Q, 1T26, nota de securitization transactions</x:v>
      </x:c>
      <x:c r="C12" s="9" t="str">
        <x:v>fonte externa</x:v>
      </x:c>
      <x:c r="D12" s="9" t="str">
        <x:v>https://investor.mercadolibre.com/open-file?file=aHR0cHM6Ly9odHRwMi5tbHN0YXRpYy5jb20vc3RvcmFnZS9tbC1jbXMtYmFja2VuZC9jbXMtZG9jdW1lbnRzLXByb2Qvc2VjLzAwMDEwOTk1OTAvMDAwMTA5OTU5MC0yNi0wMDAwMTcvZm9ybTEwLVEtMDAwMTA5OTU5MC0yNi0wMDAwMTcucGRm</x:v>
      </x:c>
      <x:c r="E12" s="9" t="str">
        <x:v>Corroboração externa dos meses de vencimento das séries 3 e 4: setembro/2026 e novembro/2026.</x:v>
      </x:c>
    </x:row>
  </x:sheetData>
  <x:pageMargins left="0.7" right="0.7" top="0.75" bottom="0.75" header="0.3" footer="0.3"/>
  <x:tableParts count="1">
    <x:tablePart xmlns:r="http://schemas.openxmlformats.org/officeDocument/2006/relationships" r:id="R64b4d3bdcce84f80"/>
  </x:tableParts>
</x:worksheet>
</file>