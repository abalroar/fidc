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C" sheetId="1" state="visible" r:id="rId1"/>
    <sheet name="CRI" sheetId="2" state="visible" r:id="rId2"/>
    <sheet name="Como 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;-"/>
    <numFmt numFmtId="165" formatCode="0.0%;(0.0%);-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9"/>
    </font>
    <font>
      <name val="Arial"/>
      <color rgb="000000FF"/>
      <sz val="9"/>
    </font>
    <font>
      <name val="Arial"/>
      <b val="1"/>
      <sz val="9"/>
    </font>
    <font>
      <name val="Arial"/>
      <i val="1"/>
      <color rgb="00595959"/>
      <sz val="8"/>
    </font>
    <font>
      <name val="Arial"/>
      <b val="1"/>
      <color rgb="001F3864"/>
      <sz val="9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horizontal="right" vertical="top"/>
    </xf>
    <xf numFmtId="165" fontId="5" fillId="0" borderId="1" applyAlignment="1" pivotButton="0" quotePrefix="0" xfId="0">
      <alignment horizontal="right" vertical="top"/>
    </xf>
    <xf numFmtId="165" fontId="7" fillId="0" borderId="1" applyAlignment="1" pivotButton="0" quotePrefix="0" xfId="0">
      <alignment horizontal="right" vertical="top"/>
    </xf>
    <xf numFmtId="0" fontId="8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64" fontId="6" fillId="0" borderId="1" pivotButton="0" quotePrefix="0" xfId="0"/>
    <xf numFmtId="0" fontId="10" fillId="0" borderId="1" applyAlignment="1" pivotButton="0" quotePrefix="0" xfId="0">
      <alignment horizontal="right"/>
    </xf>
    <xf numFmtId="0" fontId="9" fillId="0" borderId="1" pivotButton="0" quotePrefix="0" xfId="0"/>
    <xf numFmtId="164" fontId="7" fillId="0" borderId="1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0" customHeight="1">
      <c r="A1" s="1" t="inlineStr">
        <is>
          <t>Securitizações Solfácil — FIDCs</t>
        </is>
      </c>
    </row>
    <row r="2" ht="26" customHeight="1">
      <c r="A2" s="2" t="inlineStr">
        <is>
          <t>Comparativo estrutural das 7 classes de FIDC. Fontes: regulamentos e relatórios de rating no Fundos.NET (CVM), cadastro e informe mensal FIDC em dados.cvm.gov.br. Colunas em ordem cronológica de 1ª emissão. Posição patrimonial: jul/2026.</t>
        </is>
      </c>
    </row>
    <row r="4" ht="34" customHeight="1">
      <c r="A4" s="3" t="inlineStr">
        <is>
          <t>Atributo</t>
        </is>
      </c>
      <c r="B4" s="3" t="inlineStr">
        <is>
          <t>IS Green Solfácil I
FIDC RL</t>
        </is>
      </c>
      <c r="C4" s="3" t="inlineStr">
        <is>
          <t>IS Green Solfácil II
FIDC RL</t>
        </is>
      </c>
      <c r="D4" s="3" t="inlineStr">
        <is>
          <t>Solfácil IV
FIDC</t>
        </is>
      </c>
      <c r="E4" s="3" t="inlineStr">
        <is>
          <t>IS Green Solfácil V
FIDC RL</t>
        </is>
      </c>
      <c r="F4" s="3" t="inlineStr">
        <is>
          <t>IS Green Solfácil III
FIDC RL</t>
        </is>
      </c>
      <c r="G4" s="3" t="inlineStr">
        <is>
          <t>IS Green Solfácil VI
FIDC RL</t>
        </is>
      </c>
      <c r="H4" s="3" t="inlineStr">
        <is>
          <t>IS Green Solfácil VII Financeiro
FIDC RL</t>
        </is>
      </c>
    </row>
    <row r="5" ht="18" customHeight="1">
      <c r="A5" s="4" t="inlineStr">
        <is>
          <t>IDENTIFICAÇÃO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CNPJ</t>
        </is>
      </c>
      <c r="B6" s="6" t="inlineStr">
        <is>
          <t>36.771.685/0001-17</t>
        </is>
      </c>
      <c r="C6" s="6" t="inlineStr">
        <is>
          <t>42.462.306/0001-00</t>
        </is>
      </c>
      <c r="D6" s="6" t="inlineStr">
        <is>
          <t>44.909.456/0001-44</t>
        </is>
      </c>
      <c r="E6" s="6" t="inlineStr">
        <is>
          <t>47.240.785/0001-33</t>
        </is>
      </c>
      <c r="F6" s="6" t="inlineStr">
        <is>
          <t>49.920.525/0001-34</t>
        </is>
      </c>
      <c r="G6" s="6" t="inlineStr">
        <is>
          <t>57.028.406/0001-08</t>
        </is>
      </c>
      <c r="H6" s="6" t="inlineStr">
        <is>
          <t>63.505.455/0001-89</t>
        </is>
      </c>
    </row>
    <row r="7">
      <c r="A7" s="5" t="inlineStr">
        <is>
          <t>Registro CVM</t>
        </is>
      </c>
      <c r="B7" s="6" t="inlineStr">
        <is>
          <t>09/12/2020</t>
        </is>
      </c>
      <c r="C7" s="6" t="inlineStr">
        <is>
          <t>17/09/2021</t>
        </is>
      </c>
      <c r="D7" s="6" t="inlineStr">
        <is>
          <t>04/05/2022</t>
        </is>
      </c>
      <c r="E7" s="6" t="inlineStr">
        <is>
          <t>08/12/2022</t>
        </is>
      </c>
      <c r="F7" s="6" t="inlineStr">
        <is>
          <t>13/03/2023</t>
        </is>
      </c>
      <c r="G7" s="6" t="inlineStr">
        <is>
          <t>27/08/2024</t>
        </is>
      </c>
      <c r="H7" s="6" t="inlineStr">
        <is>
          <t>04/11/2025</t>
        </is>
      </c>
    </row>
    <row r="8">
      <c r="A8" s="5" t="inlineStr">
        <is>
          <t>1ª emissão / início de operação</t>
        </is>
      </c>
      <c r="B8" s="6" t="inlineStr">
        <is>
          <t>dez/2020</t>
        </is>
      </c>
      <c r="C8" s="6" t="inlineStr">
        <is>
          <t>out/2021</t>
        </is>
      </c>
      <c r="D8" s="6" t="inlineStr">
        <is>
          <t>jun/2022 (1ª emissão privada)
jan/2023 (1ª oferta pública, R$ 250 mm)</t>
        </is>
      </c>
      <c r="E8" s="6" t="inlineStr">
        <is>
          <t>mar/2023</t>
        </is>
      </c>
      <c r="F8" s="6" t="inlineStr">
        <is>
          <t>jul/2023 — 1ª integralização em 14/07/2023
(oferta R$ 480 mm)</t>
        </is>
      </c>
      <c r="G8" s="6" t="inlineStr">
        <is>
          <t>nov/2024 — 1ª integralização em 29/11/2024
(oferta R$ 896 mm)</t>
        </is>
      </c>
      <c r="H8" s="6" t="inlineStr">
        <is>
          <t>jan/2026 — anúncio de início 13/01/2026
(oferta R$ 768 mm, encerrada 08/06/2026)</t>
        </is>
      </c>
    </row>
    <row r="9">
      <c r="A9" s="5" t="inlineStr">
        <is>
          <t>Administrador</t>
        </is>
      </c>
      <c r="B9" s="6" t="inlineStr">
        <is>
          <t>Banco Daycoval</t>
        </is>
      </c>
      <c r="C9" s="6" t="inlineStr">
        <is>
          <t>Banco Genial</t>
        </is>
      </c>
      <c r="D9" s="6" t="inlineStr">
        <is>
          <t>Banco Genial</t>
        </is>
      </c>
      <c r="E9" s="6" t="inlineStr">
        <is>
          <t>Banco Daycoval</t>
        </is>
      </c>
      <c r="F9" s="6" t="inlineStr">
        <is>
          <t>Banco Daycoval</t>
        </is>
      </c>
      <c r="G9" s="6" t="inlineStr">
        <is>
          <t>Limine Trust DTVM</t>
        </is>
      </c>
      <c r="H9" s="6" t="inlineStr">
        <is>
          <t>Genial Investimentos CVM</t>
        </is>
      </c>
    </row>
    <row r="10">
      <c r="A10" s="5" t="inlineStr">
        <is>
          <t>Gestor</t>
        </is>
      </c>
      <c r="B10" s="6" t="inlineStr">
        <is>
          <t>Angá Administração de Recursos</t>
        </is>
      </c>
      <c r="C10" s="6" t="inlineStr">
        <is>
          <t>Angá Administração de Recursos</t>
        </is>
      </c>
      <c r="D10" s="6" t="inlineStr">
        <is>
          <t>Genial Gestão</t>
        </is>
      </c>
      <c r="E10" s="6" t="inlineStr">
        <is>
          <t>Angá Administração de Recursos</t>
        </is>
      </c>
      <c r="F10" s="6" t="inlineStr">
        <is>
          <t>Régia Capital (originalmente JGP)</t>
        </is>
      </c>
      <c r="G10" s="6" t="inlineStr">
        <is>
          <t>Régia Capital (originalmente JGP)</t>
        </is>
      </c>
      <c r="H10" s="6" t="inlineStr">
        <is>
          <t>Angá Administração de Recursos</t>
        </is>
      </c>
    </row>
    <row r="11">
      <c r="A11" s="5" t="inlineStr">
        <is>
          <t>Coordenador líder da oferta</t>
        </is>
      </c>
      <c r="B11" s="6" t="inlineStr">
        <is>
          <t>Colocação privada</t>
        </is>
      </c>
      <c r="C11" s="6" t="inlineStr">
        <is>
          <t>Colocação privada / Genial</t>
        </is>
      </c>
      <c r="D11" s="6" t="inlineStr">
        <is>
          <t>Banco Genial</t>
        </is>
      </c>
      <c r="E11" s="6" t="inlineStr">
        <is>
          <t>Colocação privada</t>
        </is>
      </c>
      <c r="F11" s="6" t="inlineStr">
        <is>
          <t>Itaú BBA</t>
        </is>
      </c>
      <c r="G11" s="6" t="inlineStr">
        <is>
          <t>Banco Modal</t>
        </is>
      </c>
      <c r="H11" s="6" t="inlineStr">
        <is>
          <t>Itaú BBA</t>
        </is>
      </c>
    </row>
    <row r="12">
      <c r="A12" s="5" t="inlineStr">
        <is>
          <t>Rating (agência, data)</t>
        </is>
      </c>
      <c r="B12" s="6" t="inlineStr">
        <is>
          <t>SR Rating, out/2024
Sr brA+ · Mez brBBB+ · Jr brBB+</t>
        </is>
      </c>
      <c r="C12" s="6" t="inlineStr">
        <is>
          <t>Austin, set/2025
Sr brAA(sf) · Mez brBBB+(sf) · Jr brBB+(sf)</t>
        </is>
      </c>
      <c r="D12" s="6" t="inlineStr">
        <is>
          <t>Austin, ago/2024 — ratings encerrados
Mez A1/A2/B1/B2 brBBB+(sf)</t>
        </is>
      </c>
      <c r="E12" s="6" t="inlineStr">
        <is>
          <t>SR Rating, ago/2024
Sr brA+ · Mez brBBB+ · Jr brBB+</t>
        </is>
      </c>
      <c r="F12" s="6" t="inlineStr">
        <is>
          <t>Fitch, nov/2025
Sr AA+sf(bra) persp. positiva · Mez A BBBsf(bra)</t>
        </is>
      </c>
      <c r="G12" s="6" t="inlineStr">
        <is>
          <t>Austin, nov/2025
Sr (1ª série) brAA(sf) estável</t>
        </is>
      </c>
      <c r="H12" s="6" t="inlineStr">
        <is>
          <t>Moody's (1ª série sênior), conforme registro CVM
relatório não publicado no Fundos.NET</t>
        </is>
      </c>
    </row>
    <row r="13">
      <c r="A13" s="5" t="inlineStr">
        <is>
          <t>Prazo do fundo</t>
        </is>
      </c>
      <c r="B13" s="6" t="inlineStr">
        <is>
          <t>Indeterminado</t>
        </is>
      </c>
      <c r="C13" s="6" t="inlineStr">
        <is>
          <t>Indeterminado</t>
        </is>
      </c>
      <c r="D13" s="6" t="inlineStr">
        <is>
          <t>Indeterminado</t>
        </is>
      </c>
      <c r="E13" s="6" t="inlineStr">
        <is>
          <t>Indeterminado</t>
        </is>
      </c>
      <c r="F13" s="6" t="inlineStr">
        <is>
          <t>Indeterminado (fundo)
Séries com vencimento definido</t>
        </is>
      </c>
      <c r="G13" s="6" t="inlineStr">
        <is>
          <t>Indeterminado</t>
        </is>
      </c>
      <c r="H13" s="6" t="inlineStr">
        <is>
          <t>Indeterminado</t>
        </is>
      </c>
    </row>
    <row r="14">
      <c r="A14" s="5" t="inlineStr">
        <is>
          <t>Vencimento das séries</t>
        </is>
      </c>
      <c r="B14" s="6" t="inlineStr">
        <is>
          <t>Definido no Suplemento de cada série</t>
        </is>
      </c>
      <c r="C14" s="6" t="inlineStr">
        <is>
          <t>Definido no Suplemento de cada série</t>
        </is>
      </c>
      <c r="D14" s="6" t="inlineStr">
        <is>
          <t>Definido no Apêndice de cada emissão (em branco no modelo)</t>
        </is>
      </c>
      <c r="E14" s="6" t="inlineStr">
        <is>
          <t>Definido no Suplemento de cada série</t>
        </is>
      </c>
      <c r="F14" s="6" t="inlineStr">
        <is>
          <t>Sênior ago/2031 (98 m)
Mez A ago/2033 (120 m)
Mez B fev/2036 (150 m)</t>
        </is>
      </c>
      <c r="G14" s="6" t="inlineStr">
        <is>
          <t>Data de Resgate de cada série (Suplemento)</t>
        </is>
      </c>
      <c r="H14" s="6" t="inlineStr">
        <is>
          <t>Data de Resgate de cada série (Suplemento)</t>
        </is>
      </c>
    </row>
    <row r="15" ht="18" customHeight="1">
      <c r="A15" s="4" t="inlineStr">
        <is>
          <t>ESTRUTURA DE CAPITAL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Subclasses</t>
        </is>
      </c>
      <c r="B16" s="6" t="inlineStr">
        <is>
          <t>Sênior · Mezanino Tipo A · Mezanino Tipo B · Júnior</t>
        </is>
      </c>
      <c r="C16" s="6" t="inlineStr">
        <is>
          <t>Sênior (sér. 1 e 2) · Mezanino (sér. 1 e 2) · Júnior</t>
        </is>
      </c>
      <c r="D16" s="6" t="inlineStr">
        <is>
          <t>Sênior (subclasse única, exclusiva) · Mezanino A1/A2/B1/B2 · Júnior</t>
        </is>
      </c>
      <c r="E16" s="6" t="inlineStr">
        <is>
          <t>Sênior · Mezanino · Júnior</t>
        </is>
      </c>
      <c r="F16" s="6" t="inlineStr">
        <is>
          <t>Sênior · Mezanino A · Mezanino B · Júnior</t>
        </is>
      </c>
      <c r="G16" s="6" t="inlineStr">
        <is>
          <t>Sênior · Mezanino A · Mezanino B · Júnior</t>
        </is>
      </c>
      <c r="H16" s="6" t="inlineStr">
        <is>
          <t>Sênior · Mezanino A · Mezanino B · Júnior</t>
        </is>
      </c>
    </row>
    <row r="17">
      <c r="A17" s="5" t="inlineStr">
        <is>
          <t>Volume da 1ª emissão por classe</t>
        </is>
      </c>
      <c r="B17" s="6" t="inlineStr">
        <is>
          <t>Não divulgado (colocação privada)</t>
        </is>
      </c>
      <c r="C17" s="6" t="inlineStr">
        <is>
          <t>Não divulgado (colocação privada)</t>
        </is>
      </c>
      <c r="D17" s="6" t="inlineStr">
        <is>
          <t>R$ 250 mm registrados na 1ª oferta pública (jan/2023);
reaberturas de R$ 10/50/250/260 mm</t>
        </is>
      </c>
      <c r="E17" s="6" t="inlineStr">
        <is>
          <t>Não divulgado (colocação privada)</t>
        </is>
      </c>
      <c r="F17" s="6" t="inlineStr">
        <is>
          <t>Sr R$ 319,3 mm · Mez A R$ 64,0 mm
Mez B R$ 18,7 mm · Sub R$ 20,0 mm</t>
        </is>
      </c>
      <c r="G17" s="6" t="inlineStr">
        <is>
          <t>Sr R$ 700 mm (78%) · Mez A R$ 140 mm (16%)
Mez B R$ 56 mm (6%) · Jr privada</t>
        </is>
      </c>
      <c r="H17" s="6" t="inlineStr">
        <is>
          <t>Sr R$ 600 mm (78%) · Mez A R$ 120 mm (16%)
Mez B R$ 48 mm (6%) · Jr privada</t>
        </is>
      </c>
    </row>
    <row r="18">
      <c r="A18" s="5" t="inlineStr">
        <is>
          <t>Remuneração-alvo (benchmark)</t>
        </is>
      </c>
      <c r="B18" s="6" t="inlineStr">
        <is>
          <t>Sr IPCA + 6,75% a.a.
Mez A IPCA + 8,00% · Mez B IPCA (sem spread)</t>
        </is>
      </c>
      <c r="C18" s="6" t="inlineStr">
        <is>
          <t>Sr sér.1: IPCA+11% (12 m) → +8% (13º) → +7% (50º)
Sr sér.2: IPCA+11% (6 m) → +8% (7º-13º) → +7% (44º)
Mez: IPCA+13% → +12,5% → +11,5%</t>
        </is>
      </c>
      <c r="D18" s="6" t="inlineStr">
        <is>
          <t>Mez A1 DI+6,65% · Mez A2 DI+7,3% → 8,30%
Mez B1 DI+6,2% → 7,20% · Mez B2 DI+7,3% → 8,30%
(quebra em 23/06/2025)</t>
        </is>
      </c>
      <c r="E18" s="6" t="inlineStr">
        <is>
          <t>Sr IPCA + 10,0% a.a.
Mez IPCA + 13,0% a.a.</t>
        </is>
      </c>
      <c r="F18" s="6" t="inlineStr">
        <is>
          <t>Sr CDI + 3,50%
Mez A CDI + 5,75% · Mez B CDI + 6,75%</t>
        </is>
      </c>
      <c r="G18" s="6" t="inlineStr">
        <is>
          <t>Sr CDI + 3,50%</t>
        </is>
      </c>
      <c r="H18" s="6" t="inlineStr">
        <is>
          <t>Não divulgado em documento público (definido no Suplemento)</t>
        </is>
      </c>
    </row>
    <row r="19" ht="18" customHeight="1">
      <c r="A19" s="4" t="inlineStr">
        <is>
          <t>SUBORDINAÇÃO MÍNIMA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5" t="inlineStr">
        <is>
          <t>Métrica de subordinação usada</t>
        </is>
      </c>
      <c r="B20" s="6" t="inlineStr">
        <is>
          <t>Razão de Garantia = PL / Cotas Seniores</t>
        </is>
      </c>
      <c r="C20" s="6" t="inlineStr">
        <is>
          <t>Relação Mínima Sênior e Relação Mínima Mezanino
(% do PL em cotas subordinadas)</t>
        </is>
      </c>
      <c r="D20" s="6" t="inlineStr">
        <is>
          <t>Não publicada no regulamento vigente
(anexo de índices mínimos ausente)</t>
        </is>
      </c>
      <c r="E20" s="6" t="inlineStr">
        <is>
          <t>Razão de Garantia = PL / Cotas Seniores</t>
        </is>
      </c>
      <c r="F20" s="6" t="inlineStr">
        <is>
          <t>Índices de Subordinação (% do PL) por classe</t>
        </is>
      </c>
      <c r="G20" s="6" t="inlineStr">
        <is>
          <t>Índice de Subordinação (% do PL) + Razão de Cobertura
(ativos / saldo das cotas)</t>
        </is>
      </c>
      <c r="H20" s="6" t="inlineStr">
        <is>
          <t>Índice de Subordinação (% do PL) + Razão de Cobertura
(ativos / saldo das cotas)</t>
        </is>
      </c>
    </row>
    <row r="21">
      <c r="A21" s="5" t="inlineStr">
        <is>
          <t>Subordinação mínima sob a Sênior</t>
        </is>
      </c>
      <c r="B21" s="6" t="inlineStr">
        <is>
          <t>25,0% do PL (Razão de Garantia ≥ 133%)</t>
        </is>
      </c>
      <c r="C21" s="6" t="inlineStr">
        <is>
          <t>20,0% do PL</t>
        </is>
      </c>
      <c r="D21" s="6" t="inlineStr">
        <is>
          <t>Não divulgado; Austin reporta mín. de 10,0% do PL em Júnior</t>
        </is>
      </c>
      <c r="E21" s="6" t="inlineStr">
        <is>
          <t>20,0% do PL (Razão de Garantia ≥ 125%)</t>
        </is>
      </c>
      <c r="F21" s="6" t="inlineStr">
        <is>
          <t>25,0% do PL</t>
        </is>
      </c>
      <c r="G21" s="6" t="inlineStr">
        <is>
          <t>25,0% implícitos (Razão de Cobertura Sênior ≥ 133,3%)</t>
        </is>
      </c>
      <c r="H21" s="6" t="inlineStr">
        <is>
          <t>25,0% implícitos (Razão de Cobertura Sênior ≥ 133,33%)</t>
        </is>
      </c>
    </row>
    <row r="22">
      <c r="A22" s="5" t="inlineStr">
        <is>
          <t>Subordinação mínima sob o Mezanino</t>
        </is>
      </c>
      <c r="B22" s="6" t="inlineStr">
        <is>
          <t>Mez B + Júnior ≥ 15,0% do PL</t>
        </is>
      </c>
      <c r="C22" s="6" t="inlineStr">
        <is>
          <t>n/a (única faixa mezanino)</t>
        </is>
      </c>
      <c r="D22" s="6" t="inlineStr">
        <is>
          <t>Não divulgado</t>
        </is>
      </c>
      <c r="E22" s="6" t="inlineStr">
        <is>
          <t>n/a (única faixa mezanino)</t>
        </is>
      </c>
      <c r="F22" s="6" t="inlineStr">
        <is>
          <t>Mez A ≥ 10,0% (Mez B + Jr) · Mez B ≥ 4,0% (Jr)</t>
        </is>
      </c>
      <c r="G22" s="6" t="inlineStr">
        <is>
          <t>Mez A ≥ 5,0% · Mez B ≥ 2,5% (Índice de Subordinação)
Cobertura: Mez A ≥ 111,1% · Mez B ≥ 104,2%</t>
        </is>
      </c>
      <c r="H22" s="6" t="inlineStr">
        <is>
          <t>Mez A ≥ 5,0% · Mez B ≥ 2,5% (Índice de Subordinação)
Cobertura: Mez A ≥ 111,11% · Mez B ≥ 104,17%</t>
        </is>
      </c>
    </row>
    <row r="23">
      <c r="A23" s="5" t="inlineStr">
        <is>
          <t>Subordinação mínima do Júnior</t>
        </is>
      </c>
      <c r="B23" s="6" t="inlineStr">
        <is>
          <t>Incluída nos 15% de Mez B + Júnior</t>
        </is>
      </c>
      <c r="C23" s="6" t="inlineStr">
        <is>
          <t>4,5% do PL (3,0% pro forma na integralização)</t>
        </is>
      </c>
      <c r="D23" s="6" t="inlineStr">
        <is>
          <t>10,0% do PL (fonte: Austin)</t>
        </is>
      </c>
      <c r="E23" s="6" t="inlineStr">
        <is>
          <t>7,0% do PL</t>
        </is>
      </c>
      <c r="F23" s="6" t="inlineStr">
        <is>
          <t>4,0% do PL</t>
        </is>
      </c>
      <c r="G23" s="6" t="inlineStr">
        <is>
          <t>2,0% do PL</t>
        </is>
      </c>
      <c r="H23" s="6" t="inlineStr">
        <is>
          <t>2,0% do PL</t>
        </is>
      </c>
    </row>
    <row r="24">
      <c r="A24" s="5" t="inlineStr">
        <is>
          <t>Trava para amortizar o Júnior</t>
        </is>
      </c>
      <c r="B24" s="6" t="inlineStr">
        <is>
          <t>Pro forma: subordinadas ≥ 26,5% e Mez B + Jr ≥ 16,5% do PL;
Razão de Garantia de Cotas Públicas ≥ 110%</t>
        </is>
      </c>
      <c r="C24" s="6" t="inlineStr">
        <is>
          <t>Índices de atraso enquadrados, relações mínimas mantidas
e rentabilidade da Júnior positiva nos últimos 3 meses</t>
        </is>
      </c>
      <c r="D24" s="6" t="inlineStr">
        <is>
          <t>Não divulgado</t>
        </is>
      </c>
      <c r="E24" s="6" t="inlineStr">
        <is>
          <t>Pro forma: subordinadas ≥ 22% e Júnior ≥ 9% do PL;
Índice de Garantia de Cotas Públicas ≥ 105%</t>
        </is>
      </c>
      <c r="F24" s="6" t="inlineStr">
        <is>
          <t>Índices de Subordinação enquadrados e alvo de 12% do PL</t>
        </is>
      </c>
      <c r="G24" s="6" t="inlineStr">
        <is>
          <t>Solicitação de 75% das Júnior; cobertura acima do Patamar de
Liberação de Amortização Extraordinária (136,0/113,3/106,3%)</t>
        </is>
      </c>
      <c r="H24" s="6" t="inlineStr">
        <is>
          <t>Solicitação de 75% das Júnior; cobertura acima do Patamar de
Liberação (136,0/113,3/106,3%); Pro Rata em curso</t>
        </is>
      </c>
    </row>
    <row r="25" ht="18" customHeight="1">
      <c r="A25" s="4" t="inlineStr">
        <is>
          <t>AMORTIZAÇÃO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Tipo de amortização (como funciona)</t>
        </is>
      </c>
      <c r="B26" s="6" t="inlineStr">
        <is>
          <t>Programada linear. A Reserva de Amortização é constituída todo mês
como PL da classe ÷ nº de meses restantes, paga a Sênior e depois o
Mezanino A. Não há regimes pro rata / sequencial nomeados.</t>
        </is>
      </c>
      <c r="C26" s="6" t="inlineStr">
        <is>
          <t>Alvo de composição (pro rata). Em cada Data de Pagamento o caixa
leva cada classe de volta ao seu alvo de % do PL — Sr 80%, Mez 16%,
Jr 10%. A partir do 60º mês vira sequencial pura.</t>
        </is>
      </c>
      <c r="D26" s="6" t="inlineStr">
        <is>
          <t>Definida em cada Apêndice de emissão; o regulamento vigente não
traz cronograma nem regimes nomeados. Fundo em run-off.</t>
        </is>
      </c>
      <c r="E26" s="6" t="inlineStr">
        <is>
          <t>Programada linear, mesma mecânica do FIDC I (Reserva de
Amortização mensal sobre o prazo remanescente da série).</t>
        </is>
      </c>
      <c r="F26" s="6" t="inlineStr">
        <is>
          <t>Alvo de composição (pro rata) até o 47º mês — Sr 67%, Mez A 15%,
Mez B 6%, Jr 12% do PL. Do 48º mês em diante, cascata sequencial.</t>
        </is>
      </c>
      <c r="G26" s="6" t="inlineStr">
        <is>
          <t>Bullet. Meta de Amortização de Principal = 0% durante todo o Período
de Carência; o principal só sai no Período de Desinvestimento
(6 meses antes do resgate), em Evento de Venda, por call do Júnior
ou sob Amortização Sequencial.</t>
        </is>
      </c>
      <c r="H26" s="6" t="inlineStr">
        <is>
          <t>Revolvente 12 meses (só juros) e depois alvo de composição
(pro rata) — Sr 73%, Mez A 15%, Mez B 6%, Jr 6% do PL.</t>
        </is>
      </c>
    </row>
    <row r="27">
      <c r="A27" s="5" t="inlineStr">
        <is>
          <t>Carência de principal</t>
        </is>
      </c>
      <c r="B27" s="6" t="inlineStr">
        <is>
          <t>Período de Carência definido no Suplemento da série;
nenhuma cota amortiza durante ele</t>
        </is>
      </c>
      <c r="C27" s="6" t="inlineStr">
        <is>
          <t>Período de Carência definido no Suplemento;
recursos reinvestidos em novos direitos creditórios</t>
        </is>
      </c>
      <c r="D27" s="6" t="inlineStr">
        <is>
          <t>Definida no Apêndice</t>
        </is>
      </c>
      <c r="E27" s="6" t="inlineStr">
        <is>
          <t>Período de Carência definido no Suplemento
(Júnior pode amortizar extraordinariamente)</t>
        </is>
      </c>
      <c r="F27" s="6" t="inlineStr">
        <is>
          <t>Zero — todas as séries amortizam desde o 1º mês (fonte: Fitch)</t>
        </is>
      </c>
      <c r="G27" s="6" t="inlineStr">
        <is>
          <t>Integral: da 1ª integralização até o mês anterior ao
Período de Desinvestimento</t>
        </is>
      </c>
      <c r="H27" s="6" t="inlineStr">
        <is>
          <t>12 meses (Período de Revolvência)</t>
        </is>
      </c>
    </row>
    <row r="28">
      <c r="A28" s="5" t="inlineStr">
        <is>
          <t>Carência de juros</t>
        </is>
      </c>
      <c r="B28" s="6" t="inlineStr">
        <is>
          <t>Não prevista</t>
        </is>
      </c>
      <c r="C28" s="6" t="inlineStr">
        <is>
          <t>Não prevista</t>
        </is>
      </c>
      <c r="D28" s="6" t="inlineStr">
        <is>
          <t>Definida no Apêndice</t>
        </is>
      </c>
      <c r="E28" s="6" t="inlineStr">
        <is>
          <t>Não prevista</t>
        </is>
      </c>
      <c r="F28" s="6" t="inlineStr">
        <is>
          <t>Não prevista</t>
        </is>
      </c>
      <c r="G28" s="6" t="inlineStr">
        <is>
          <t>Não prevista</t>
        </is>
      </c>
      <c r="H28" s="6" t="inlineStr">
        <is>
          <t>3 meses iniciais</t>
        </is>
      </c>
    </row>
    <row r="29">
      <c r="A29" s="5" t="inlineStr">
        <is>
          <t>Datas de pagamento</t>
        </is>
      </c>
      <c r="B29" s="6" t="inlineStr">
        <is>
          <t>Mensais, conforme Suplemento da série</t>
        </is>
      </c>
      <c r="C29" s="6" t="inlineStr">
        <is>
          <t>Mensais, conforme Suplemento da série</t>
        </is>
      </c>
      <c r="D29" s="6" t="inlineStr">
        <is>
          <t>Conforme Apêndice</t>
        </is>
      </c>
      <c r="E29" s="6" t="inlineStr">
        <is>
          <t>Mensais, conforme Suplemento da série</t>
        </is>
      </c>
      <c r="F29" s="6" t="inlineStr">
        <is>
          <t>Mensais</t>
        </is>
      </c>
      <c r="G29" s="6" t="inlineStr">
        <is>
          <t>Mensais (Data de Referência da Classe)</t>
        </is>
      </c>
      <c r="H29" s="6" t="inlineStr">
        <is>
          <t>Mensais (Data de Referência da Classe)</t>
        </is>
      </c>
    </row>
    <row r="30">
      <c r="A30" s="5" t="inlineStr">
        <is>
          <t>Regime pro rata × sequencial</t>
        </is>
      </c>
      <c r="B30" s="6" t="inlineStr">
        <is>
          <t>Não existe. A cascata é fixa: encargos → Reserva de Caixa →
Reserva de Amortização Sênior → Mezanino A → demais</t>
        </is>
      </c>
      <c r="C30" s="6" t="inlineStr">
        <is>
          <t>Pro rata por alvo até o 59º mês; sequencial a partir do 60º mês
(Sênior integral → Mezanino integral → Júnior)</t>
        </is>
      </c>
      <c r="D30" s="6" t="inlineStr">
        <is>
          <t>Não previsto no regulamento vigente</t>
        </is>
      </c>
      <c r="E30" s="6" t="inlineStr">
        <is>
          <t>Não existe. Cascata fixa, como no FIDC I</t>
        </is>
      </c>
      <c r="F30" s="6" t="inlineStr">
        <is>
          <t>Pro rata por alvo até o 47º mês; sequencial do 48º mês em diante
ou sob Amortização Sequencial</t>
        </is>
      </c>
      <c r="G30" s="6" t="inlineStr">
        <is>
          <t>Pro Rata até Evento de Desalavancagem; Sequencial depois dele,
voltando a Pro Rata com Evento de Realavancagem</t>
        </is>
      </c>
      <c r="H30" s="6" t="inlineStr">
        <is>
          <t>Pro Rata desde a 1ª integralização de Sênior; Sequencial após
Evento de Desalavancagem; retorna com Realavancagem</t>
        </is>
      </c>
    </row>
    <row r="31">
      <c r="A31" s="5" t="inlineStr">
        <is>
          <t>Gatilhos que disparam a amortização sequencial</t>
        </is>
      </c>
      <c r="B31" s="6" t="inlineStr">
        <is>
          <t>Não aplicável. Desenquadramento da Razão de Garantia suspende
aquisições e obriga aporte dos subordinados em até 2 dias úteis</t>
        </is>
      </c>
      <c r="C31" s="6" t="inlineStr">
        <is>
          <t>Passagem do 60º mês (por prazo). Desenquadramento das Relações
Mínimas bloqueia amortização de Júnior</t>
        </is>
      </c>
      <c r="D31" s="6" t="inlineStr">
        <is>
          <t>Não aplicável</t>
        </is>
      </c>
      <c r="E31" s="6" t="inlineStr">
        <is>
          <t>Não aplicável. Mesma mecânica de reenquadramento do FIDC I</t>
        </is>
      </c>
      <c r="F31" s="6" t="inlineStr">
        <is>
          <t>Passagem do 48º mês (por prazo) ou desenquadramento dos
Índices de Subordinação / Índices de Atraso</t>
        </is>
      </c>
      <c r="G31" s="6" t="inlineStr">
        <is>
          <t>Evento de Desalavancagem: (i) cobertura &lt; Patamar 1 em 2 datas
consecutivas ou 4 alternadas em 12 m, ou &lt; Patamar 2 em qualquer
data; (ii) não pagamento da Meta Sênior em 3 dias úteis;
(iii) Índice de Atraso 90 &gt; 15%; (iv) Evento de Liquidação Antecipada</t>
        </is>
      </c>
      <c r="H31" s="6" t="inlineStr">
        <is>
          <t>Idênticos ao VI. Encerram automaticamente a revolvência.</t>
        </is>
      </c>
    </row>
    <row r="32">
      <c r="A32" s="5" t="inlineStr">
        <is>
          <t>Gatilho de retorno ao pro rata</t>
        </is>
      </c>
      <c r="B32" s="6" t="inlineStr">
        <is>
          <t>n/a</t>
        </is>
      </c>
      <c r="C32" s="6" t="inlineStr">
        <is>
          <t>n/a (mudança é por prazo)</t>
        </is>
      </c>
      <c r="D32" s="6" t="inlineStr">
        <is>
          <t>n/a</t>
        </is>
      </c>
      <c r="E32" s="6" t="inlineStr">
        <is>
          <t>n/a</t>
        </is>
      </c>
      <c r="F32" s="6" t="inlineStr">
        <is>
          <t>Reenquadramento dos índices (a troca do 48º mês é definitiva)</t>
        </is>
      </c>
      <c r="G32" s="6" t="inlineStr">
        <is>
          <t>Evento de Realavancagem: cobertura ≥ Patamar de Liberação
(136,0 / 113,3 / 106,3%) e Índice de Atraso 90 &lt; 14%</t>
        </is>
      </c>
      <c r="H32" s="6" t="inlineStr">
        <is>
          <t>Evento de Realavancagem, mesmos patamares do VI</t>
        </is>
      </c>
    </row>
    <row r="33">
      <c r="A33" s="5" t="inlineStr">
        <is>
          <t>Aceleração de vencimento</t>
        </is>
      </c>
      <c r="B33" s="6" t="inlineStr">
        <is>
          <t>Eventos de Avaliação e de Liquidação (assembleia decide)</t>
        </is>
      </c>
      <c r="C33" s="6" t="inlineStr">
        <is>
          <t>Eventos de Avaliação e de Liquidação (assembleia decide)</t>
        </is>
      </c>
      <c r="D33" s="6" t="inlineStr">
        <is>
          <t>Anexo VII: Eventos de Avaliação e de Liquidação</t>
        </is>
      </c>
      <c r="E33" s="6" t="inlineStr">
        <is>
          <t>Eventos de Avaliação e de Liquidação (assembleia decide)</t>
        </is>
      </c>
      <c r="F33" s="6" t="inlineStr">
        <is>
          <t>Eventos de Avaliação e de Liquidação (assembleia decide)</t>
        </is>
      </c>
      <c r="G33" s="6" t="inlineStr">
        <is>
          <t>6 Datas de Pagamento consecutivas em Amortização Sequencial;
mudança definitiva, sem deliberação de assembleia</t>
        </is>
      </c>
      <c r="H33" s="6" t="inlineStr">
        <is>
          <t>6 Datas de Pagamento consecutivas em Amortização Sequencial;
mudança definitiva, sem deliberação de assembleia</t>
        </is>
      </c>
    </row>
    <row r="34">
      <c r="A34" s="5" t="inlineStr">
        <is>
          <t>Call / amortização antecipada</t>
        </is>
      </c>
      <c r="B34" s="6" t="inlineStr">
        <is>
          <t>Amortização extraordinária de Mez B e Júnior sujeita às travas acima</t>
        </is>
      </c>
      <c r="C34" s="6" t="inlineStr">
        <is>
          <t>Evento de Venda com prêmio ao Júnior (10% do excedente sobre
IPCA+11,5% e 1,5% do valor dos direitos vendidos)</t>
        </is>
      </c>
      <c r="D34" s="6" t="inlineStr">
        <is>
          <t>Não previsto no regulamento vigente</t>
        </is>
      </c>
      <c r="E34" s="6" t="inlineStr">
        <is>
          <t>Amortização extraordinária de Júnior</t>
        </is>
      </c>
      <c r="F34" s="6" t="inlineStr">
        <is>
          <t>Amortização extraordinária sujeita aos Índices de Subordinação</t>
        </is>
      </c>
      <c r="G34" s="6" t="inlineStr">
        <is>
          <t>A partir do 18º mês, 75% das Júnior podem solicitar amortização
antecipada das Cotas Públicas (3 a 8 dias úteis)</t>
        </is>
      </c>
      <c r="H34" s="6" t="inlineStr">
        <is>
          <t>A partir do 24º mês, mesma mecânica, com Premiação por
Amortização Antecipada paga junto à amortização</t>
        </is>
      </c>
    </row>
    <row r="35" ht="18" customHeight="1">
      <c r="A35" s="4" t="inlineStr">
        <is>
          <t>CRITÉRIOS DE ELEGIBILIDADE</t>
        </is>
      </c>
      <c r="B35" s="4" t="n"/>
      <c r="C35" s="4" t="n"/>
      <c r="D35" s="4" t="n"/>
      <c r="E35" s="4" t="n"/>
      <c r="F35" s="4" t="n"/>
      <c r="G35" s="4" t="n"/>
      <c r="H35" s="4" t="n"/>
    </row>
    <row r="36">
      <c r="A36" s="5" t="inlineStr">
        <is>
          <t>Ativo-lastro</t>
        </is>
      </c>
      <c r="B36" s="6" t="inlineStr">
        <is>
          <t>CCB de financiamento solar originada na Plataforma Solfácil</t>
        </is>
      </c>
      <c r="C36" s="6" t="inlineStr">
        <is>
          <t>CCB de financiamento solar (pré e pós-fixadas)</t>
        </is>
      </c>
      <c r="D36" s="6" t="inlineStr">
        <is>
          <t>CCB de financiamento solar</t>
        </is>
      </c>
      <c r="E36" s="6" t="inlineStr">
        <is>
          <t>CCB de financiamento solar + CPR-Financeira (agro)</t>
        </is>
      </c>
      <c r="F36" s="6" t="inlineStr">
        <is>
          <t>CCB de financiamento solar pré-fixadas</t>
        </is>
      </c>
      <c r="G36" s="6" t="inlineStr">
        <is>
          <t>CCB de financiamento solar pré-fixadas, aderentes à categoria
'Energia Renovável' (Green Bond Principles)</t>
        </is>
      </c>
      <c r="H36" s="6" t="inlineStr">
        <is>
          <t>CCB de financiamento solar pré-fixadas (título verde)</t>
        </is>
      </c>
    </row>
    <row r="37">
      <c r="A37" s="5" t="inlineStr">
        <is>
          <t>Prazo máximo do recebível</t>
        </is>
      </c>
      <c r="B37" s="6" t="inlineStr">
        <is>
          <t>126 meses (3.836 dias), já incluída a carência</t>
        </is>
      </c>
      <c r="C37" s="6" t="inlineStr">
        <is>
          <t>Pré-fixado 2.340 dias (78 m) · Pós-fixado 4.500 dias (150 m)</t>
        </is>
      </c>
      <c r="D37" s="6" t="inlineStr">
        <is>
          <t>3.870 dias (≈127 meses)</t>
        </is>
      </c>
      <c r="E37" s="6" t="inlineStr">
        <is>
          <t>4.760 dias (≈156 meses), já incluída a carência</t>
        </is>
      </c>
      <c r="F37" s="6" t="inlineStr">
        <is>
          <t>3.845 dias (≈126 meses)</t>
        </is>
      </c>
      <c r="G37" s="6" t="inlineStr">
        <is>
          <t>126 meses</t>
        </is>
      </c>
      <c r="H37" s="6" t="inlineStr">
        <is>
          <t>126 meses</t>
        </is>
      </c>
    </row>
    <row r="38">
      <c r="A38" s="5" t="inlineStr">
        <is>
          <t>Prazo médio ponderado máximo da carteira</t>
        </is>
      </c>
      <c r="B38" s="6" t="inlineStr">
        <is>
          <t>70 meses (2.135 dias)</t>
        </is>
      </c>
      <c r="C38" s="6" t="inlineStr">
        <is>
          <t>80 meses (2.400 dias)</t>
        </is>
      </c>
      <c r="D38" s="6" t="inlineStr">
        <is>
          <t>6,5 anos (78 meses)</t>
        </is>
      </c>
      <c r="E38" s="6" t="inlineStr">
        <is>
          <t>Não fixado</t>
        </is>
      </c>
      <c r="F38" s="6" t="inlineStr">
        <is>
          <t>66 meses (2.000 dias)</t>
        </is>
      </c>
      <c r="G38" s="6" t="inlineStr">
        <is>
          <t>80 meses (2.400 dias)</t>
        </is>
      </c>
      <c r="H38" s="6" t="inlineStr">
        <is>
          <t>80 meses (2.400 dias)</t>
        </is>
      </c>
    </row>
    <row r="39">
      <c r="A39" s="5" t="inlineStr">
        <is>
          <t>Carência máxima do recebível</t>
        </is>
      </c>
      <c r="B39" s="6" t="inlineStr">
        <is>
          <t>Sem teto autônomo (o limite de 126 meses já inclui a carência)</t>
        </is>
      </c>
      <c r="C39" s="6" t="inlineStr">
        <is>
          <t>180 dias</t>
        </is>
      </c>
      <c r="D39" s="6" t="inlineStr">
        <is>
          <t>185 dias</t>
        </is>
      </c>
      <c r="E39" s="6" t="inlineStr">
        <is>
          <t>185 dias (CCB) · 366 dias (CPR-Financeira)</t>
        </is>
      </c>
      <c r="F39" s="6" t="inlineStr">
        <is>
          <t>185 dias</t>
        </is>
      </c>
      <c r="G39" s="6" t="inlineStr">
        <is>
          <t>185 dias</t>
        </is>
      </c>
      <c r="H39" s="6" t="inlineStr">
        <is>
          <t>185 dias</t>
        </is>
      </c>
    </row>
    <row r="40">
      <c r="A40" s="5" t="inlineStr">
        <is>
          <t>Teto por devedor — Pessoa Física</t>
        </is>
      </c>
      <c r="B40" s="6" t="inlineStr">
        <is>
          <t>R$ 201.000 (preço de aquisição da CCB)</t>
        </is>
      </c>
      <c r="C40" s="6" t="inlineStr">
        <is>
          <t>R$ 300.000 (valor nominal)</t>
        </is>
      </c>
      <c r="D40" s="6" t="inlineStr">
        <is>
          <t>R$ 300.000</t>
        </is>
      </c>
      <c r="E40" s="6" t="inlineStr">
        <is>
          <t>R$ 500.000 (preço de aquisição)</t>
        </is>
      </c>
      <c r="F40" s="6" t="inlineStr">
        <is>
          <t>R$ 350.000 (valor nominal)</t>
        </is>
      </c>
      <c r="G40" s="6" t="inlineStr">
        <is>
          <t>R$ 350.000</t>
        </is>
      </c>
      <c r="H40" s="6" t="inlineStr">
        <is>
          <t>R$ 350.000 (por CCB e por devedor)</t>
        </is>
      </c>
    </row>
    <row r="41">
      <c r="A41" s="5" t="inlineStr">
        <is>
          <t>Teto por devedor — Pessoa Jurídica</t>
        </is>
      </c>
      <c r="B41" s="6" t="inlineStr">
        <is>
          <t>R$ 502.000</t>
        </is>
      </c>
      <c r="C41" s="6" t="inlineStr">
        <is>
          <t>R$ 500.000</t>
        </is>
      </c>
      <c r="D41" s="6" t="inlineStr">
        <is>
          <t>R$ 500.000</t>
        </is>
      </c>
      <c r="E41" s="6" t="inlineStr">
        <is>
          <t>R$ 700.000</t>
        </is>
      </c>
      <c r="F41" s="6" t="inlineStr">
        <is>
          <t>R$ 600.000</t>
        </is>
      </c>
      <c r="G41" s="6" t="inlineStr">
        <is>
          <t>R$ 700.000</t>
        </is>
      </c>
      <c r="H41" s="6" t="inlineStr">
        <is>
          <t>R$ 700.000 (por CCB e por devedor)</t>
        </is>
      </c>
    </row>
    <row r="42">
      <c r="A42" s="5" t="inlineStr">
        <is>
          <t>Limite de PJ na carteira</t>
        </is>
      </c>
      <c r="B42" s="6" t="inlineStr">
        <is>
          <t>Sem limite explícito</t>
        </is>
      </c>
      <c r="C42" s="6" t="inlineStr">
        <is>
          <t>Sem limite explícito</t>
        </is>
      </c>
      <c r="D42" s="6" t="inlineStr">
        <is>
          <t>Máx. 35% dos direitos creditórios adquiridos</t>
        </is>
      </c>
      <c r="E42" s="6" t="inlineStr">
        <is>
          <t>Sem limite explícito (tetos nominais por devedor)</t>
        </is>
      </c>
      <c r="F42" s="6" t="inlineStr">
        <is>
          <t>Sem limite explícito</t>
        </is>
      </c>
      <c r="G42" s="6" t="inlineStr">
        <is>
          <t>Sem limite explícito</t>
        </is>
      </c>
      <c r="H42" s="6" t="inlineStr">
        <is>
          <t>Sem limite explícito</t>
        </is>
      </c>
    </row>
    <row r="43">
      <c r="A43" s="5" t="inlineStr">
        <is>
          <t>Requisitos do devedor PJ</t>
        </is>
      </c>
      <c r="B43" s="6" t="inlineStr">
        <is>
          <t>Não especificado</t>
        </is>
      </c>
      <c r="C43" s="6" t="inlineStr">
        <is>
          <t>Constituída há ≥ 2 anos</t>
        </is>
      </c>
      <c r="D43" s="6" t="inlineStr">
        <is>
          <t>Não especificado</t>
        </is>
      </c>
      <c r="E43" s="6" t="inlineStr">
        <is>
          <t>Não especificado</t>
        </is>
      </c>
      <c r="F43" s="6" t="inlineStr">
        <is>
          <t>Constituída há ≥ 2 anos</t>
        </is>
      </c>
      <c r="G43" s="6" t="inlineStr">
        <is>
          <t>Constituída há ≥ 2 anos + coobrigação de sócio (≤ 71 anos)</t>
        </is>
      </c>
      <c r="H43" s="6" t="inlineStr">
        <is>
          <t>Constituída há ≥ 2 anos + coobrigação de sócio (≤ 71 anos)</t>
        </is>
      </c>
    </row>
    <row r="44">
      <c r="A44" s="5" t="inlineStr">
        <is>
          <t>Idade máxima do devedor PF</t>
        </is>
      </c>
      <c r="B44" s="6" t="inlineStr">
        <is>
          <t>Não especificada</t>
        </is>
      </c>
      <c r="C44" s="6" t="inlineStr">
        <is>
          <t>70 anos</t>
        </is>
      </c>
      <c r="D44" s="6" t="inlineStr">
        <is>
          <t>Não especificada</t>
        </is>
      </c>
      <c r="E44" s="6" t="inlineStr">
        <is>
          <t>Não especificada</t>
        </is>
      </c>
      <c r="F44" s="6" t="inlineStr">
        <is>
          <t>71 anos</t>
        </is>
      </c>
      <c r="G44" s="6" t="inlineStr">
        <is>
          <t>71 anos</t>
        </is>
      </c>
      <c r="H44" s="6" t="inlineStr">
        <is>
          <t>71 anos</t>
        </is>
      </c>
    </row>
    <row r="45">
      <c r="A45" s="5" t="inlineStr">
        <is>
          <t>Concentração por devedor</t>
        </is>
      </c>
      <c r="B45" s="6" t="inlineStr">
        <is>
          <t>2% do PL por devedor · 10% nos 10 maiores (acima de PL R$ 50 mm)</t>
        </is>
      </c>
      <c r="C45" s="6" t="inlineStr">
        <is>
          <t>2% do PL por devedor · 10% nos 10 maiores (acima de R$ 50 mm)</t>
        </is>
      </c>
      <c r="D45" s="6" t="inlineStr">
        <is>
          <t>Top 5 integradores ≤ 30% · estado principal ≤ 20%
4 maiores estados ≤ 40% · score &lt; 300 ≤ 8%
prazo &gt; 7,5 anos ≤ 17,5% · refinanciados ≤ 5%</t>
        </is>
      </c>
      <c r="E45" s="6" t="inlineStr">
        <is>
          <t>2% do PL por devedor · 10% nos 10 maiores
maior integrador ≤ 10% · top 5 integradores ≤ 30%
CCB PF &gt; R$ 350 mil ≤ 1% do PL · PJ &gt; R$ 550 mil ≤ 1% do PL</t>
        </is>
      </c>
      <c r="F45" s="6" t="inlineStr">
        <is>
          <t>0,10% do PL por devedor · 1% nos 10 maiores</t>
        </is>
      </c>
      <c r="G45" s="6" t="inlineStr">
        <is>
          <t>Sem limite específico por devedor além dos tetos nominais</t>
        </is>
      </c>
      <c r="H45" s="6" t="inlineStr">
        <is>
          <t>20% do PL por devedor/grupo econômico (regra geral)
além dos tetos nominais</t>
        </is>
      </c>
    </row>
    <row r="46">
      <c r="A46" s="5" t="inlineStr">
        <is>
          <t>Taxa mínima da carteira</t>
        </is>
      </c>
      <c r="B46" s="6" t="inlineStr">
        <is>
          <t>15,75% a.a. (pré) ou IPCA + 11,5% a.a.</t>
        </is>
      </c>
      <c r="C46" s="6" t="inlineStr">
        <is>
          <t>16,50% a.a. (pré) · 11,75% a.a. (pós)</t>
        </is>
      </c>
      <c r="D46" s="6" t="inlineStr">
        <is>
          <t>20,50% a.a.</t>
        </is>
      </c>
      <c r="E46" s="6" t="inlineStr">
        <is>
          <t>Definida por faixa no regulamento</t>
        </is>
      </c>
      <c r="F46" s="6" t="inlineStr">
        <is>
          <t>23,00% a.a.</t>
        </is>
      </c>
      <c r="G46" s="6" t="inlineStr">
        <is>
          <t>Taxa Mínima de Transferência (não numérica no regulamento)</t>
        </is>
      </c>
      <c r="H46" s="6" t="inlineStr">
        <is>
          <t>Taxa Mínima de Transferência (não numérica no regulamento)</t>
        </is>
      </c>
    </row>
    <row r="47">
      <c r="A47" s="5" t="inlineStr">
        <is>
          <t>Preço de aquisição máximo</t>
        </is>
      </c>
      <c r="B47" s="6" t="inlineStr">
        <is>
          <t>100,4% do valor nominal da CCB</t>
        </is>
      </c>
      <c r="C47" s="6" t="inlineStr">
        <is>
          <t>Não especificado</t>
        </is>
      </c>
      <c r="D47" s="6" t="inlineStr">
        <is>
          <t>Não especificado</t>
        </is>
      </c>
      <c r="E47" s="6" t="inlineStr">
        <is>
          <t>Não especificado</t>
        </is>
      </c>
      <c r="F47" s="6" t="inlineStr">
        <is>
          <t>Não especificado</t>
        </is>
      </c>
      <c r="G47" s="6" t="inlineStr">
        <is>
          <t>101,0% do saldo contábil da CCB</t>
        </is>
      </c>
      <c r="H47" s="6" t="inlineStr">
        <is>
          <t>104,0% do saldo contábil da CCB</t>
        </is>
      </c>
    </row>
    <row r="48" ht="18" customHeight="1">
      <c r="A48" s="4" t="inlineStr">
        <is>
          <t>MONITORAMENTO</t>
        </is>
      </c>
      <c r="B48" s="4" t="n"/>
      <c r="C48" s="4" t="n"/>
      <c r="D48" s="4" t="n"/>
      <c r="E48" s="4" t="n"/>
      <c r="F48" s="4" t="n"/>
      <c r="G48" s="4" t="n"/>
      <c r="H48" s="4" t="n"/>
    </row>
    <row r="49">
      <c r="A49" s="5" t="inlineStr">
        <is>
          <t>Índices de atraso (limite)</t>
        </is>
      </c>
      <c r="B49" s="6" t="inlineStr">
        <is>
          <t>Atraso Estoque &gt; 15% ou Atraso Parcelas &gt; 15% → evento</t>
        </is>
      </c>
      <c r="C49" s="6" t="inlineStr">
        <is>
          <t>Atraso Estoque ≤ 12% · Média de Rolagem 90 mensal ≤ 0,9%</t>
        </is>
      </c>
      <c r="D49" s="6" t="inlineStr">
        <is>
          <t>Não divulgado</t>
        </is>
      </c>
      <c r="E49" s="6" t="inlineStr">
        <is>
          <t>Atraso Estoque &gt; 15% ou Atraso de Arrecadação &gt; 10% → evento</t>
        </is>
      </c>
      <c r="F49" s="6" t="inlineStr">
        <is>
          <t>Atraso Estoque ≤ 12% · Atraso Parcelas ≤ 8,5%</t>
        </is>
      </c>
      <c r="G49" s="6" t="inlineStr">
        <is>
          <t>Índice de Atraso 90 &gt; 15% → desalavancagem; &lt; 14% → realavancagem
Avaliação de rolagens: 1,6%</t>
        </is>
      </c>
      <c r="H49" s="6" t="inlineStr">
        <is>
          <t>Índice de Atraso 90 &gt; 15% → desalavancagem; &lt; 14% → realavancagem
Avaliação de rolagens: 1,6%</t>
        </is>
      </c>
    </row>
    <row r="50">
      <c r="A50" s="5" t="inlineStr">
        <is>
          <t>Derivativos</t>
        </is>
      </c>
      <c r="B50" s="6" t="inlineStr">
        <is>
          <t>Não previsto</t>
        </is>
      </c>
      <c r="C50" s="6" t="inlineStr">
        <is>
          <t>Não previsto</t>
        </is>
      </c>
      <c r="D50" s="6" t="inlineStr">
        <is>
          <t>Não previsto</t>
        </is>
      </c>
      <c r="E50" s="6" t="inlineStr">
        <is>
          <t>Não previsto</t>
        </is>
      </c>
      <c r="F50" s="6" t="inlineStr">
        <is>
          <t>Swap de fluxo de caixa (posição em jul/26: R$ 179 mil)</t>
        </is>
      </c>
      <c r="G50" s="6" t="inlineStr">
        <is>
          <t>Swap de fluxo de caixa com Reserva de MtM</t>
        </is>
      </c>
      <c r="H50" s="6" t="inlineStr">
        <is>
          <t>Swap de fluxo de caixa com Reserva de MtM;
aporte obrigatório do Júnior quando o MtM excede 1% do PL</t>
        </is>
      </c>
    </row>
    <row r="51" ht="18" customHeight="1">
      <c r="A51" s="4" t="inlineStr">
        <is>
          <t>POSIÇÃO EM JUL/2026 (Informe Mensal CVM)</t>
        </is>
      </c>
      <c r="B51" s="4" t="n"/>
      <c r="C51" s="4" t="n"/>
      <c r="D51" s="4" t="n"/>
      <c r="E51" s="4" t="n"/>
      <c r="F51" s="4" t="n"/>
      <c r="G51" s="4" t="n"/>
      <c r="H51" s="4" t="n"/>
    </row>
    <row r="52">
      <c r="A52" s="5" t="inlineStr">
        <is>
          <t>Cotas sêniores (R$ mm)</t>
        </is>
      </c>
      <c r="B52" s="7" t="n">
        <v>53.2</v>
      </c>
      <c r="C52" s="7" t="n">
        <v>68.5</v>
      </c>
      <c r="D52" s="7" t="n">
        <v>17.5</v>
      </c>
      <c r="E52" s="7" t="n">
        <v>53.4</v>
      </c>
      <c r="F52" s="7" t="n">
        <v>94.3</v>
      </c>
      <c r="G52" s="7" t="n">
        <v>140.1</v>
      </c>
      <c r="H52" s="7" t="n">
        <v>458.5</v>
      </c>
    </row>
    <row r="53">
      <c r="A53" s="5" t="inlineStr">
        <is>
          <t>Cotas mezanino (R$ mm)</t>
        </is>
      </c>
      <c r="B53" s="7" t="n">
        <v>27.2</v>
      </c>
      <c r="C53" s="7" t="n">
        <v>14</v>
      </c>
      <c r="D53" s="7" t="n">
        <v>0</v>
      </c>
      <c r="E53" s="7" t="n">
        <v>9.1</v>
      </c>
      <c r="F53" s="7" t="n">
        <v>29.6</v>
      </c>
      <c r="G53" s="7" t="n">
        <v>39.4</v>
      </c>
      <c r="H53" s="7" t="n">
        <v>128.8</v>
      </c>
    </row>
    <row r="54">
      <c r="A54" s="5" t="inlineStr">
        <is>
          <t>Cotas júnior (R$ mm)</t>
        </is>
      </c>
      <c r="B54" s="7" t="n">
        <v>3.3</v>
      </c>
      <c r="C54" s="7" t="n">
        <v>11.5</v>
      </c>
      <c r="D54" s="7" t="n">
        <v>0</v>
      </c>
      <c r="E54" s="7" t="n">
        <v>5</v>
      </c>
      <c r="F54" s="7" t="n">
        <v>17.2</v>
      </c>
      <c r="G54" s="7" t="n">
        <v>31.5</v>
      </c>
      <c r="H54" s="7" t="n">
        <v>32.4</v>
      </c>
    </row>
    <row r="55">
      <c r="A55" s="5" t="inlineStr">
        <is>
          <t>Total de cotas (R$ mm)</t>
        </is>
      </c>
      <c r="B55" s="8">
        <f>SUM(B52:B54)</f>
        <v>83.7</v>
        <v/>
      </c>
      <c r="C55" s="8">
        <f>SUM(C52:C54)</f>
        <v>94.0</v>
        <v/>
      </c>
      <c r="D55" s="8">
        <f>SUM(D52:D54)</f>
        <v>17.5</v>
        <v/>
      </c>
      <c r="E55" s="8">
        <f>SUM(E52:E54)</f>
        <v>67.5</v>
        <v/>
      </c>
      <c r="F55" s="8">
        <f>SUM(F52:F54)</f>
        <v>141.1</v>
        <v/>
      </c>
      <c r="G55" s="8">
        <f>SUM(G52:G54)</f>
        <v>211.0</v>
        <v/>
      </c>
      <c r="H55" s="8">
        <f>SUM(H52:H54)</f>
        <v>619.7</v>
        <v/>
      </c>
    </row>
    <row r="56">
      <c r="A56" s="5" t="inlineStr">
        <is>
          <t>Sênior (% do total)</t>
        </is>
      </c>
      <c r="B56" s="9">
        <f>IF(B55=0,0,B52/B55)</f>
        <v>0.6356033453</v>
        <v/>
      </c>
      <c r="C56" s="9">
        <f>IF(C55=0,0,C52/C55)</f>
        <v>0.7287234043</v>
        <v/>
      </c>
      <c r="D56" s="9">
        <f>IF(D55=0,0,D52/D55)</f>
        <v>1.0</v>
        <v/>
      </c>
      <c r="E56" s="9">
        <f>IF(E55=0,0,E52/E55)</f>
        <v>0.7911111111</v>
        <v/>
      </c>
      <c r="F56" s="9">
        <f>IF(F55=0,0,F52/F55)</f>
        <v>0.6683203402</v>
        <v/>
      </c>
      <c r="G56" s="9">
        <f>IF(G55=0,0,G52/G55)</f>
        <v>0.6639810427</v>
        <v/>
      </c>
      <c r="H56" s="9">
        <f>IF(H55=0,0,H52/H55)</f>
        <v>0.7398741326</v>
        <v/>
      </c>
    </row>
    <row r="57">
      <c r="A57" s="5" t="inlineStr">
        <is>
          <t>Mezanino (% do total)</t>
        </is>
      </c>
      <c r="B57" s="9">
        <f>IF(B55=0,0,B53/B55)</f>
        <v>0.3249701314</v>
        <v/>
      </c>
      <c r="C57" s="9">
        <f>IF(C55=0,0,C53/C55)</f>
        <v>0.1489361702</v>
        <v/>
      </c>
      <c r="D57" s="9">
        <f>IF(D55=0,0,D53/D55)</f>
        <v>0.0</v>
        <v/>
      </c>
      <c r="E57" s="9">
        <f>IF(E55=0,0,E53/E55)</f>
        <v>0.1348148148</v>
        <v/>
      </c>
      <c r="F57" s="9">
        <f>IF(F55=0,0,F53/F55)</f>
        <v>0.2097802977</v>
        <v/>
      </c>
      <c r="G57" s="9">
        <f>IF(G55=0,0,G53/G55)</f>
        <v>0.1867298578</v>
        <v/>
      </c>
      <c r="H57" s="9">
        <f>IF(H55=0,0,H53/H55)</f>
        <v>0.2078425044</v>
        <v/>
      </c>
    </row>
    <row r="58">
      <c r="A58" s="5" t="inlineStr">
        <is>
          <t>Júnior (% do total)</t>
        </is>
      </c>
      <c r="B58" s="9">
        <f>IF(B55=0,0,B54/B55)</f>
        <v>0.0394265233</v>
        <v/>
      </c>
      <c r="C58" s="9">
        <f>IF(C55=0,0,C54/C55)</f>
        <v>0.1223404255</v>
        <v/>
      </c>
      <c r="D58" s="9">
        <f>IF(D55=0,0,D54/D55)</f>
        <v>0.0</v>
        <v/>
      </c>
      <c r="E58" s="9">
        <f>IF(E55=0,0,E54/E55)</f>
        <v>0.0740740741</v>
        <v/>
      </c>
      <c r="F58" s="9">
        <f>IF(F55=0,0,F54/F55)</f>
        <v>0.1218993622</v>
        <v/>
      </c>
      <c r="G58" s="9">
        <f>IF(G55=0,0,G54/G55)</f>
        <v>0.1492890995</v>
        <v/>
      </c>
      <c r="H58" s="9">
        <f>IF(H55=0,0,H54/H55)</f>
        <v>0.0522833629</v>
        <v/>
      </c>
    </row>
    <row r="59">
      <c r="A59" s="5" t="inlineStr">
        <is>
          <t>Subordinação atual (% do total)</t>
        </is>
      </c>
      <c r="B59" s="10">
        <f>IF(B55=0,0,(B53+B54)/B55)</f>
        <v>0.3643966547</v>
        <v/>
      </c>
      <c r="C59" s="10">
        <f>IF(C55=0,0,(C53+C54)/C55)</f>
        <v>0.2712765957</v>
        <v/>
      </c>
      <c r="D59" s="10">
        <f>IF(D55=0,0,(D53+D54)/D55)</f>
        <v>0.0</v>
        <v/>
      </c>
      <c r="E59" s="10">
        <f>IF(E55=0,0,(E53+E54)/E55)</f>
        <v>0.2088888889</v>
        <v/>
      </c>
      <c r="F59" s="10">
        <f>IF(F55=0,0,(F53+F54)/F55)</f>
        <v>0.3316796598</v>
        <v/>
      </c>
      <c r="G59" s="10">
        <f>IF(G55=0,0,(G53+G54)/G55)</f>
        <v>0.3360189573</v>
        <v/>
      </c>
      <c r="H59" s="10">
        <f>IF(H55=0,0,(H53+H54)/H55)</f>
        <v>0.2601258674</v>
        <v/>
      </c>
    </row>
    <row r="60" ht="18" customHeight="1">
      <c r="A60" s="4" t="inlineStr">
        <is>
          <t>LEITURA DE CRÉDITO</t>
        </is>
      </c>
      <c r="B60" s="4" t="n"/>
      <c r="C60" s="4" t="n"/>
      <c r="D60" s="4" t="n"/>
      <c r="E60" s="4" t="n"/>
      <c r="F60" s="4" t="n"/>
      <c r="G60" s="4" t="n"/>
      <c r="H60" s="4" t="n"/>
    </row>
    <row r="61">
      <c r="A61" s="5" t="inlineStr">
        <is>
          <t>Observações de crédito</t>
        </is>
      </c>
      <c r="B61" s="6" t="inlineStr">
        <is>
          <t>Fundo maduro, em amortização. Mezanino B remunerado só por IPCA
funciona como camada de absorção de perdas.</t>
        </is>
      </c>
      <c r="C61" s="6" t="inlineStr">
        <is>
          <t>Único da família que admite recebíveis pós-fixados (mínimo de 22%
da carteira acima de PL de R$ 50 mm).</t>
        </is>
      </c>
      <c r="D61" s="6" t="inlineStr">
        <is>
          <t>Em run-off: PL caiu para R$ 17,5 mm, só cotas sêniores em circulação,
ratings encerrados e regulamento vigente com referências quebradas.</t>
        </is>
      </c>
      <c r="E61" s="6" t="inlineStr">
        <is>
          <t>Único que admite CPR-Financeira (até 15% do PL) — exposição agro
dentro de um fundo solar.</t>
        </is>
      </c>
      <c r="F61" s="6" t="inlineStr">
        <is>
          <t>Primeira operação com rating internacional e distribuição pública ampla.
Amortiza desde o 1º mês, sem carência.</t>
        </is>
      </c>
      <c r="G61" s="6" t="inlineStr">
        <is>
          <t>Estrutura bullet: nenhuma amortização programada até o fim.
Em mai/2026 a carteira foi cedida ao CRI 174ª da Vert — PL caiu de
R$ 895,8 mm (set/25) para R$ 211,1 mm (jul/26).</t>
        </is>
      </c>
      <c r="H61" s="6" t="inlineStr">
        <is>
          <t>Maior e mais recente. Estrutura de covenants mais completa da família
(revolvência, razões de cobertura em dois patamares, reserva de MtM).</t>
        </is>
      </c>
    </row>
    <row r="63" ht="46" customHeight="1">
      <c r="A63" s="11" t="inlineStr">
        <is>
          <t>Notas: (1) valores em R$ mm apurados a partir do Informe Mensal FIDC de jul/2026 (dados.cvm.gov.br), quantidade × valor da cota por subclasse — células em azul são entradas. (2) 'Não divulgado' significa que a informação não consta dos documentos públicos consultados (regulamento vigente, relatórios de rating e documentos de oferta). (3) O Solfácil IV é o único cujo regulamento vigente não publica índices mínimos de subordinação; o número de 10% vem do relatório da Austin Rating de ago/2024.</t>
        </is>
      </c>
    </row>
  </sheetData>
  <mergeCells count="1">
    <mergeCell ref="A63:H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62" customWidth="1" min="2" max="2"/>
    <col width="62" customWidth="1" min="3" max="3"/>
  </cols>
  <sheetData>
    <row r="1" ht="20" customHeight="1">
      <c r="A1" s="1" t="inlineStr">
        <is>
          <t>Securitizações Solfácil — CRI</t>
        </is>
      </c>
    </row>
    <row r="2" ht="26" customHeight="1">
      <c r="A2" s="2" t="inlineStr">
        <is>
          <t>Certificados de recebíveis imobiliários lastreados em CCB originadas na Plataforma Solfácil. Fontes: lâmina e prospecto definitivo da 174ª emissão e anúncio de início da 177ª emissão (Sistema de Registro de Ofertas da CVM), e base de ofertas encerradas em dados.cvm.gov.br.</t>
        </is>
      </c>
    </row>
    <row r="4" ht="34" customHeight="1">
      <c r="A4" s="3" t="inlineStr">
        <is>
          <t>Atributo</t>
        </is>
      </c>
      <c r="B4" s="3" t="inlineStr">
        <is>
          <t>CRI Vert 174ª emissão
6 séries · mai/2026</t>
        </is>
      </c>
      <c r="C4" s="3" t="inlineStr">
        <is>
          <t>CRI Vert 177ª emissão
5 séries · jul-set/2026</t>
        </is>
      </c>
    </row>
    <row r="5" ht="18" customHeight="1">
      <c r="A5" s="4" t="inlineStr">
        <is>
          <t>IDENTIFICAÇÃO</t>
        </is>
      </c>
      <c r="B5" s="4" t="n"/>
      <c r="C5" s="4" t="n"/>
    </row>
    <row r="6">
      <c r="A6" s="5" t="inlineStr">
        <is>
          <t>Emissora</t>
        </is>
      </c>
      <c r="B6" s="6" t="inlineStr">
        <is>
          <t>Vert Companhia Securitizadora
CNPJ 25.005.683/0001-09 · registro CVM 680 (S2)</t>
        </is>
      </c>
      <c r="C6" s="6" t="inlineStr">
        <is>
          <t>Vert Companhia Securitizadora
CNPJ 25.005.683/0001-09 · registro CVM 680 (S2)</t>
        </is>
      </c>
    </row>
    <row r="7">
      <c r="A7" s="5" t="inlineStr">
        <is>
          <t>Originadora / agente de cobrança</t>
        </is>
      </c>
      <c r="B7" s="6" t="inlineStr">
        <is>
          <t>Solfácil Energia Solar Tecnologia e Serviços Financeiros
CNPJ 31.931.053/0001-50</t>
        </is>
      </c>
      <c r="C7" s="6" t="inlineStr">
        <is>
          <t>Solfácil Energia Solar Tecnologia e Serviços Financeiros
CNPJ 31.931.053/0001-50</t>
        </is>
      </c>
    </row>
    <row r="8">
      <c r="A8" s="5" t="inlineStr">
        <is>
          <t>Cedentes</t>
        </is>
      </c>
      <c r="B8" s="6" t="inlineStr">
        <is>
          <t>FIDC IS Green Solfácil VI e Solfácil
(take-out da carteira do FIDC VI)</t>
        </is>
      </c>
      <c r="C8" s="6" t="inlineStr">
        <is>
          <t>Cedentes Fundos (FIDCs Solfácil) e Solfácil</t>
        </is>
      </c>
    </row>
    <row r="9">
      <c r="A9" s="5" t="inlineStr">
        <is>
          <t>Coordenadores</t>
        </is>
      </c>
      <c r="B9" s="6" t="inlineStr">
        <is>
          <t>XP Investimentos (líder)</t>
        </is>
      </c>
      <c r="C9" s="6" t="inlineStr">
        <is>
          <t>XP Investimentos (líder) e Bradesco BBI</t>
        </is>
      </c>
    </row>
    <row r="10">
      <c r="A10" s="5" t="inlineStr">
        <is>
          <t>Agente fiduciário</t>
        </is>
      </c>
      <c r="B10" s="6" t="inlineStr">
        <is>
          <t>Oliveira Trust DTVM</t>
        </is>
      </c>
      <c r="C10" s="6" t="inlineStr">
        <is>
          <t>Oliveira Trust DTVM</t>
        </is>
      </c>
    </row>
    <row r="11">
      <c r="A11" s="5" t="inlineStr">
        <is>
          <t>Custodiante / escriturador</t>
        </is>
      </c>
      <c r="B11" s="6" t="inlineStr">
        <is>
          <t>Vert DTVM</t>
        </is>
      </c>
      <c r="C11" s="6" t="inlineStr">
        <is>
          <t>Vert DTVM</t>
        </is>
      </c>
    </row>
    <row r="12">
      <c r="A12" s="5" t="inlineStr">
        <is>
          <t>Registro CVM</t>
        </is>
      </c>
      <c r="B12" s="6" t="inlineStr">
        <is>
          <t>SRE/1197/2026 — registrado em 20/05/2026
encerrada em 28/05/2026</t>
        </is>
      </c>
      <c r="C12" s="6" t="inlineStr">
        <is>
          <t>SRE/2316/2026 — registrado em 20/07/2026
encerrada em 02/09/2026</t>
        </is>
      </c>
    </row>
    <row r="13">
      <c r="A13" s="5" t="inlineStr">
        <is>
          <t>Rito e público-alvo</t>
        </is>
      </c>
      <c r="B13" s="6" t="inlineStr">
        <is>
          <t>Rito automático, com bookbuilding
Investidor qualificado</t>
        </is>
      </c>
      <c r="C13" s="6" t="inlineStr">
        <is>
          <t>Rito automático, sem bookbuilding
Investidor profissional</t>
        </is>
      </c>
    </row>
    <row r="14">
      <c r="A14" s="5" t="inlineStr">
        <is>
          <t>Data de emissão</t>
        </is>
      </c>
      <c r="B14" s="6" t="inlineStr">
        <is>
          <t>20/05/2026</t>
        </is>
      </c>
      <c r="C14" s="6" t="inlineStr">
        <is>
          <t>20/07/2026</t>
        </is>
      </c>
    </row>
    <row r="15">
      <c r="A15" s="5" t="inlineStr">
        <is>
          <t>Volume</t>
        </is>
      </c>
      <c r="B15" s="6" t="inlineStr">
        <is>
          <t>R$ 456,481 mm distribuídos publicamente
+ R$ 14,118 mm da 6ª série em colocação privada
Total R$ 470,599 mm</t>
        </is>
      </c>
      <c r="C15" s="6" t="inlineStr">
        <is>
          <t>R$ 627,647 mm distribuídos publicamente
+ 5ª série em colocação privada (valor não divulgado)</t>
        </is>
      </c>
    </row>
    <row r="16">
      <c r="A16" s="5" t="inlineStr">
        <is>
          <t>Rating</t>
        </is>
      </c>
      <c r="B16" s="6" t="inlineStr">
        <is>
          <t>Moody's AAA (1ª série Super Sênior A)
demais séries conforme prospecto</t>
        </is>
      </c>
      <c r="C16" s="6" t="inlineStr">
        <is>
          <t>Sem classificação de risco</t>
        </is>
      </c>
    </row>
    <row r="17">
      <c r="A17" s="5" t="inlineStr">
        <is>
          <t>Vencimento por série</t>
        </is>
      </c>
      <c r="B17" s="6" t="inlineStr">
        <is>
          <t>Super Sênior A e B: 20/05/2031 (1.826 dias)
Sênior: 22/05/2034
Mezanino e Subordinado: 20/05/2036</t>
        </is>
      </c>
      <c r="C17" s="6" t="inlineStr">
        <is>
          <t>Não divulgado (dispensa de prospecto e lâmina)</t>
        </is>
      </c>
    </row>
    <row r="18" ht="18" customHeight="1">
      <c r="A18" s="4" t="inlineStr">
        <is>
          <t>ESTRUTURA DE CAPITAL</t>
        </is>
      </c>
      <c r="B18" s="4" t="n"/>
      <c r="C18" s="4" t="n"/>
    </row>
    <row r="19">
      <c r="A19" s="5" t="inlineStr">
        <is>
          <t>Estrutura de séries</t>
        </is>
      </c>
      <c r="B19" s="6" t="inlineStr">
        <is>
          <t>1ª Super Sênior A · 2ª Super Sênior B · 3ª Sênior
4ª Mezanino · 5ª Subordinado
6ª Subordinado Jr (privada, subscrita pela Solfácil)</t>
        </is>
      </c>
      <c r="C19" s="6" t="inlineStr">
        <is>
          <t>1ª Sênior A · 2ª Sênior B
3ª Mezanino I · 4ª Mezanino II
5ª série privada (subordinada, Solfácil)</t>
        </is>
      </c>
    </row>
    <row r="20">
      <c r="A20" s="5" t="inlineStr">
        <is>
          <t>Remuneração por série</t>
        </is>
      </c>
      <c r="B20" s="6" t="inlineStr">
        <is>
          <t>Super Sênior A: pré 14,8064% a.a.
Super Sênior B: 104% do CDI
Sênior: pré 15,7760% a.a.
Mezanino: CDI + 5,50%
Subordinado: CDI + 8,00%
6ª série: atrelada ao CDI</t>
        </is>
      </c>
      <c r="C20" s="6" t="inlineStr">
        <is>
          <t>Não divulgada (dispensa de prospecto e lâmina)</t>
        </is>
      </c>
    </row>
    <row r="21" ht="18" customHeight="1">
      <c r="A21" s="4" t="inlineStr">
        <is>
          <t>TAMANHO DAS SÉRIES (R$ mm)</t>
        </is>
      </c>
      <c r="B21" s="4" t="n"/>
      <c r="C21" s="4" t="n"/>
    </row>
    <row r="22">
      <c r="A22" s="12" t="inlineStr">
        <is>
          <t>1ª série — Super Sênior A  |  1ª série — Sênior A</t>
        </is>
      </c>
      <c r="B22" s="13" t="n">
        <v>103.87</v>
      </c>
      <c r="C22" s="13" t="n">
        <v>100</v>
      </c>
    </row>
    <row r="23">
      <c r="A23" s="12" t="inlineStr">
        <is>
          <t>2ª série — Super Sênior B  |  2ª série — Sênior B</t>
        </is>
      </c>
      <c r="B23" s="13" t="n">
        <v>225.55</v>
      </c>
      <c r="C23" s="13" t="n">
        <v>450</v>
      </c>
    </row>
    <row r="24">
      <c r="A24" s="12" t="inlineStr">
        <is>
          <t>3ª série — Sênior  |  3ª série — Mezanino I</t>
        </is>
      </c>
      <c r="B24" s="13" t="n">
        <v>70.59</v>
      </c>
      <c r="C24" s="13" t="n">
        <v>51.765</v>
      </c>
    </row>
    <row r="25">
      <c r="A25" s="12" t="inlineStr">
        <is>
          <t>4ª série — Mezanino  |  4ª série — Mezanino II</t>
        </is>
      </c>
      <c r="B25" s="13" t="n">
        <v>37.647</v>
      </c>
      <c r="C25" s="13" t="n">
        <v>25.882</v>
      </c>
    </row>
    <row r="26">
      <c r="A26" s="12" t="inlineStr">
        <is>
          <t>5ª série — Subordinado  |  5ª série — privada (subordinada)</t>
        </is>
      </c>
      <c r="B26" s="13" t="n">
        <v>18.824</v>
      </c>
      <c r="C26" s="14" t="inlineStr">
        <is>
          <t>n.d.</t>
        </is>
      </c>
    </row>
    <row r="27">
      <c r="A27" s="12" t="inlineStr">
        <is>
          <t>6ª série — Subordinado Jr (privada)  |  —</t>
        </is>
      </c>
      <c r="B27" s="13" t="n">
        <v>14.118</v>
      </c>
      <c r="C27" s="14" t="n"/>
    </row>
    <row r="28">
      <c r="A28" s="15" t="inlineStr">
        <is>
          <t>Total emitido (R$ mm)</t>
        </is>
      </c>
      <c r="B28" s="16">
        <f>SUM(B22:B27)</f>
        <v>470.599</v>
        <v/>
      </c>
      <c r="C28" s="16">
        <f>SUM(C22:C27)</f>
        <v>627.647</v>
        <v/>
      </c>
    </row>
    <row r="29" ht="18" customHeight="1">
      <c r="A29" s="4" t="inlineStr">
        <is>
          <t>SUBORDINAÇÃO</t>
        </is>
      </c>
      <c r="B29" s="4" t="n"/>
      <c r="C29" s="4" t="n"/>
    </row>
    <row r="30">
      <c r="A30" s="5" t="inlineStr">
        <is>
          <t>Subordinação mínima</t>
        </is>
      </c>
      <c r="B30" s="6" t="inlineStr">
        <is>
          <t>Razões de Cobertura apuradas diariamente
(ativos com PDD ÷ saldo devedor acumulado):
Super Sênior 147,06% → 32,0% de subordinação
Sênior 120,48% → 17,0%
Mezanino 109,89% → 9,0%
Subordinada 105,26% → 5,0%</t>
        </is>
      </c>
      <c r="C30" s="6" t="inlineStr">
        <is>
          <t>Não divulgada</t>
        </is>
      </c>
    </row>
    <row r="31" ht="18" customHeight="1">
      <c r="A31" s="4" t="inlineStr">
        <is>
          <t>AMORTIZAÇÃO</t>
        </is>
      </c>
      <c r="B31" s="4" t="n"/>
      <c r="C31" s="4" t="n"/>
    </row>
    <row r="32">
      <c r="A32" s="5" t="inlineStr">
        <is>
          <t>Tipo de amortização (como funciona)</t>
        </is>
      </c>
      <c r="B32" s="6" t="inlineStr">
        <is>
          <t>Duas mecânicas convivendo. As séries Super Sênior A e B têm
cronograma de amortização estabelecida (Anexo I do Termo de
Securitização): pagamento mensal no dia 20, carência de 2 meses e,
a partir de 20/08/2026, amortização linear crescente (1/58, 1/57 …)
até 20/05/2031. As séries Sênior, Mezanino e Subordinado não têm
cronograma: amortizam apenas por Amortização Extraordinária
— varredura do caixa disponível na cascata, condicionada às
Razões de Cobertura.</t>
        </is>
      </c>
      <c r="C32" s="6" t="inlineStr">
        <is>
          <t>Não divulgada</t>
        </is>
      </c>
    </row>
    <row r="33">
      <c r="A33" s="5" t="inlineStr">
        <is>
          <t>Carência</t>
        </is>
      </c>
      <c r="B33" s="6" t="inlineStr">
        <is>
          <t>Principal e juros: 2 meses para Super Sênior A/B e Sênior
(1º pagamento em 20/08/2026); 3 meses para Mezanino e
Subordinado (1º pagamento em 21/09/2026)</t>
        </is>
      </c>
      <c r="C33" s="6" t="inlineStr">
        <is>
          <t>Não divulgada</t>
        </is>
      </c>
    </row>
    <row r="34">
      <c r="A34" s="5" t="inlineStr">
        <is>
          <t>Datas de pagamento</t>
        </is>
      </c>
      <c r="B34" s="6" t="inlineStr">
        <is>
          <t>Mensais, dia 20 (ou dia útil seguinte)</t>
        </is>
      </c>
      <c r="C34" s="6" t="inlineStr">
        <is>
          <t>Não divulgadas</t>
        </is>
      </c>
    </row>
    <row r="35">
      <c r="A35" s="5" t="inlineStr">
        <is>
          <t>Regime pro rata × sequencial</t>
        </is>
      </c>
      <c r="B35" s="6" t="inlineStr">
        <is>
          <t>Amortização Pro Rata da 1ª integralização até o 47º mês
(inclusive). Amortização Sequencial a partir do 48º mês — ou antes,
se ocorrer Evento de Desalavancagem. Havendo Evento de
Realavancagem, volta ao Pro Rata apenas se a causa tiver sido
desalavancagem; a troca do 48º mês é definitiva.</t>
        </is>
      </c>
      <c r="C35" s="6" t="inlineStr">
        <is>
          <t>Não divulgado</t>
        </is>
      </c>
    </row>
    <row r="36">
      <c r="A36" s="5" t="inlineStr">
        <is>
          <t>Gatilhos de amortização sequencial</t>
        </is>
      </c>
      <c r="B36" s="6" t="inlineStr">
        <is>
          <t>Evento de Desalavancagem:
(i) Índice de Atraso de Estoque desenquadrado (&gt; 15%) em 3 datas
de verificação consecutivas;
(ii) rebaixamento de 2 níveis do rating das séries Super Sênior/Sênior;
(iii) não pagamento de remuneração ou amortização das 1ª e 2ª séries,
não sanado em 5 dias úteis;
(iv) não divulgação do Relatório da Emissão;
(v) desenquadramento das Razões de Cobertura em 2 Datas de
Pagamento consecutivas ou 4 alternadas em 12 meses.
Passagem do 48º mês também dispara o sequencial, por prazo.</t>
        </is>
      </c>
      <c r="C36" s="6" t="inlineStr">
        <is>
          <t>Não divulgados</t>
        </is>
      </c>
    </row>
    <row r="37">
      <c r="A37" s="5" t="inlineStr">
        <is>
          <t>Resgate antecipado obrigatório</t>
        </is>
      </c>
      <c r="B37" s="6" t="inlineStr">
        <is>
          <t>Quando amortizados 98% do valor nominal unitário da série e houver
caixa suficiente para o resgate integral</t>
        </is>
      </c>
      <c r="C37" s="6" t="inlineStr">
        <is>
          <t>Não divulgado</t>
        </is>
      </c>
    </row>
    <row r="38">
      <c r="A38" s="5" t="inlineStr">
        <is>
          <t>Revolvência</t>
        </is>
      </c>
      <c r="B38" s="6" t="inlineStr">
        <is>
          <t>Não há</t>
        </is>
      </c>
      <c r="C38" s="6" t="inlineStr">
        <is>
          <t>Não há</t>
        </is>
      </c>
    </row>
    <row r="39" ht="18" customHeight="1">
      <c r="A39" s="4" t="inlineStr">
        <is>
          <t>LASTRO E ELEGIBILIDADE</t>
        </is>
      </c>
      <c r="B39" s="4" t="n"/>
      <c r="C39" s="4" t="n"/>
    </row>
    <row r="40">
      <c r="A40" s="5" t="inlineStr">
        <is>
          <t>Ativo-lastro</t>
        </is>
      </c>
      <c r="B40" s="6" t="inlineStr">
        <is>
          <t>CCB pré-fixadas de financiamento solar originadas na
Plataforma Solfácil, para aquisição de sistema solar em imóveis</t>
        </is>
      </c>
      <c r="C40" s="6" t="inlineStr">
        <is>
          <t>CCB pré-fixadas de financiamento solar originadas na
Plataforma Solfácil</t>
        </is>
      </c>
    </row>
    <row r="41">
      <c r="A41" s="5" t="inlineStr">
        <is>
          <t>Critérios de elegibilidade</t>
        </is>
      </c>
      <c r="B41" s="6" t="inlineStr">
        <is>
          <t>Taxa pré-fixada, pagamento em reais, parcelas mensais sem balão
Prazo máximo do recebível: 3.845 dias (≈126 meses)
Prazo médio ponderado da carteira: máx. 2.000 dias (66 meses)
Carência máxima da CCB: 185 dias
Idade máxima do devedor PF: 71 anos
PJ (Res. CMN 5.118): constituída há ≥ 2 anos
Valor presente máximo: PF R$ 350 mil · PJ R$ 700 mil
Concentração por devedor: 0,15% do patrimônio separado,
caindo para 0,07% acima de 750.000 CRI integralizados
Taxa de retorno da carteira ≥ Taxa Média Mínima de Retorno</t>
        </is>
      </c>
      <c r="C41" s="6" t="inlineStr">
        <is>
          <t>Mesmo padrão da 174ª emissão (não publicado)</t>
        </is>
      </c>
    </row>
    <row r="42">
      <c r="A42" s="5" t="inlineStr">
        <is>
          <t>Índice de atraso (limite)</t>
        </is>
      </c>
      <c r="B42" s="6" t="inlineStr">
        <is>
          <t>Índice de Atraso de Estoque ≤ 15% do valor presente cedido
(atrasos acima de 90 dias)</t>
        </is>
      </c>
      <c r="C42" s="6" t="inlineStr">
        <is>
          <t>Não divulgado</t>
        </is>
      </c>
    </row>
    <row r="43">
      <c r="A43" s="5" t="inlineStr">
        <is>
          <t>Regime fiduciário / patrimônio separado</t>
        </is>
      </c>
      <c r="B43" s="6" t="inlineStr">
        <is>
          <t>Sim</t>
        </is>
      </c>
      <c r="C43" s="6" t="inlineStr">
        <is>
          <t>Sim</t>
        </is>
      </c>
    </row>
    <row r="44">
      <c r="A44" s="5" t="inlineStr">
        <is>
          <t>Título verde</t>
        </is>
      </c>
      <c r="B44" s="6" t="inlineStr">
        <is>
          <t>Sim — Green Bond Principles (ICMA), com parecer de segunda opinião</t>
        </is>
      </c>
      <c r="C44" s="6" t="inlineStr">
        <is>
          <t>Sim — Green Bond Principles (ICMA), com parecer de segunda opinião</t>
        </is>
      </c>
    </row>
    <row r="45" ht="18" customHeight="1">
      <c r="A45" s="4" t="inlineStr">
        <is>
          <t>DISTRIBUIÇÃO E LEITURA DE CRÉDITO</t>
        </is>
      </c>
      <c r="B45" s="4" t="n"/>
      <c r="C45" s="4" t="n"/>
    </row>
    <row r="46">
      <c r="A46" s="5" t="inlineStr">
        <is>
          <t>Distribuição alcançada</t>
        </is>
      </c>
      <c r="B46" s="6" t="inlineStr">
        <is>
          <t>2.505 pessoas físicas · 13 fundos · 4 instituições financeiras
10 demais pessoas jurídicas</t>
        </is>
      </c>
      <c r="C46" s="6" t="inlineStr">
        <is>
          <t>7 fundos · 3 instituições financeiras</t>
        </is>
      </c>
    </row>
    <row r="47">
      <c r="A47" s="5" t="inlineStr">
        <is>
          <t>Observações de crédito</t>
        </is>
      </c>
      <c r="B47" s="6" t="inlineStr">
        <is>
          <t>É o take-out do FIDC Solfácil VI: a carteira do fundo foi cedida à
securitizadora, e o PL do VI caiu de R$ 895,8 mm (set/25) para
R$ 211,1 mm (jul/26). A estrutura tem seis camadas — mais
granular que qualquer FIDC da família — e move o funding do
mercado profissional para o varejo qualificado (2.505 pessoas físicas).</t>
        </is>
      </c>
      <c r="C47" s="6" t="inlineStr">
        <is>
          <t>Distribuída a investidores profissionais sob dispensa de prospecto e
de lâmina (art. 9º, I e art. 23, §1º da Res. CVM 160), de modo que o
Termo de Securitização não é público. As características estruturais
só podem ser confirmadas junto à emissora ou aos coordenadores.</t>
        </is>
      </c>
    </row>
    <row r="49" ht="46" customHeight="1">
      <c r="A49" s="11" t="inlineStr">
        <is>
          <t>Notas: (1) tamanhos das séries em azul são entradas, calculados como quantidade × R$ 1.000 de valor nominal unitário. (2) Na 177ª emissão a 5ª série é de colocação privada e sua quantidade não foi divulgada, de modo que o total soma apenas as séries públicas. (3) A subordinação da 174ª emissão está expressa como razão de cobertura; a subordinação equivalente em % é o complemento de 1 ÷ razão. (4) 'Não divulgado' na 177ª emissão decorre da dispensa de prospecto e de lâmina para ofertas a investidores profissionais.</t>
        </is>
      </c>
    </row>
  </sheetData>
  <mergeCells count="1">
    <mergeCell ref="A49:C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16" customWidth="1" min="2" max="2"/>
  </cols>
  <sheetData>
    <row r="1" ht="20" customHeight="1">
      <c r="A1" s="1" t="inlineStr">
        <is>
          <t>Como ler o comparativo</t>
        </is>
      </c>
    </row>
    <row r="3" ht="18" customHeight="1">
      <c r="A3" s="4" t="inlineStr">
        <is>
          <t>OS QUATRO DESENHOS DE AMORTIZAÇÃO DA FAMÍLIA SOLFÁCIL</t>
        </is>
      </c>
      <c r="B3" s="4" t="n"/>
    </row>
    <row r="5">
      <c r="A5" s="17" t="inlineStr">
        <is>
          <t>1. Programada linear  —  FIDC I e V</t>
        </is>
      </c>
      <c r="B5" s="18" t="inlineStr">
        <is>
          <t>Todo mês o administrador constitui uma Reserva de Amortização igual ao PL da classe dividido pelo número de meses que faltam até o vencimento da série. O caixa paga primeiro a Sênior, depois o Mezanino A. É o desenho mais previsível e o mais rígido: a amortização não reage à performance da carteira, só ao calendário. Não existe regime pro rata nem sequencial; o que protege a Sênior é a Razão de Garantia (PL ÷ cotas sêniores), cujo desenquadramento suspende a compra de novos recebíveis e obriga o cotista subordinado a aportar em até dois dias úteis.</t>
        </is>
      </c>
    </row>
    <row r="6">
      <c r="A6" s="17" t="inlineStr">
        <is>
          <t>2. Alvo de composição, ou pro rata  —  FIDC II, III e VII</t>
        </is>
      </c>
      <c r="B6" s="18" t="inlineStr">
        <is>
          <t>Em cada data de pagamento o administrador calcula quanto cada classe deveria representar do PL (o 'target') e devolve caixa a quem estiver acima do alvo. Enquanto todas as classes estão no alvo, todo mundo amortiza junto, na proporção do desenho original. Os alvos são: FIDC II — Sr 80% / Mez 16% / Jr 10%; FIDC III — Sr 67% / Mez A 15% / Mez B 6% / Jr 12%; FIDC VII — Sr 73% / Mez A 15% / Mez B 6% / Jr 6%. O regime tem prazo de validade: no FIDC II ele acaba no 60º mês e no FIDC III no 48º, quando a cascata vira sequencial por decurso de prazo, independentemente de performance.</t>
        </is>
      </c>
    </row>
    <row r="7">
      <c r="A7" s="17" t="inlineStr">
        <is>
          <t>3. Sequencial  —  o modo de estresse</t>
        </is>
      </c>
      <c r="B7" s="18" t="inlineStr">
        <is>
          <t>A cascata paga remuneração e principal da Sênior até o resgate integral, só então passa ao Mezanino A, depois ao Mezanino B e por último ao Júnior. Nos FIDC VI e VII o sequencial é acionado por gatilho de performance (Evento de Desalavancagem) e pode ser revertido por um Evento de Realavancagem; nos FIDC II e III ele chega por prazo e é definitivo. Seis datas de pagamento seguidas em sequencial nos FIDC VI e VII configuram Evento de Aceleração de Vencimento — mudança definitiva, sem assembleia.</t>
        </is>
      </c>
    </row>
    <row r="8">
      <c r="A8" s="17" t="inlineStr">
        <is>
          <t>4. Bullet  —  FIDC VI</t>
        </is>
      </c>
      <c r="B8" s="18" t="inlineStr">
        <is>
          <t>A Meta de Amortização de Principal é zero durante todo o Período de Carência, que vai da primeira integralização até o mês anterior ao Período de Desinvestimento (os 6 meses que antecedem a data de resgate). O principal só sai por quatro caminhos: o Período de Desinvestimento, um Evento de Venda da carteira, uma solicitação de 75% das cotas Júnior a partir do 18º mês, ou a Amortização Sequencial após um gatilho. Na prática o caminho usado foi o Evento de Venda: a carteira foi cedida ao CRI 174ª da Vert em maio de 2026.</t>
        </is>
      </c>
    </row>
    <row r="9" ht="18" customHeight="1">
      <c r="A9" s="4" t="inlineStr">
        <is>
          <t>O QUE MUDA ENTRE AS GERAÇÕES</t>
        </is>
      </c>
      <c r="B9" s="4" t="n"/>
    </row>
    <row r="11">
      <c r="A11" s="17" t="inlineStr">
        <is>
          <t>Da geração Daycoval/Angá (I, V) para a geração Itaú BBA/Fitch (III)</t>
        </is>
      </c>
      <c r="B11" s="18" t="inlineStr">
        <is>
          <t>Sai a amortização por calendário e entra o alvo de composição, com índices de subordinação nomeados por classe (25% / 10% / 4%) e limites de concentração muito mais apertados — 0,10% do PL por devedor no III contra 2% no I e no V. A remuneração deixa de ser indexada ao IPCA e passa ao CDI.</t>
        </is>
      </c>
    </row>
    <row r="12">
      <c r="A12" s="17" t="inlineStr">
        <is>
          <t>Da geração III para VI e VII</t>
        </is>
      </c>
      <c r="B12" s="18" t="inlineStr">
        <is>
          <t>Entram as Razões de Cobertura em dois patamares (desalavancagem 1 e 2) e um terceiro patamar para liberar amortização extraordinária, mais o Índice de Atraso 90 como gatilho autônomo em 15%. O regime deixa de trocar por calendário e passa a trocar por performance, com caminho de volta. O VII acrescenta um período de revolvência de 12 meses, carência inicial de 3 meses nos juros e uma Reserva de MtM para os derivativos, com aporte obrigatório do Júnior quando o MtM excede 1% do PL.</t>
        </is>
      </c>
    </row>
    <row r="13">
      <c r="A13" s="17" t="inlineStr">
        <is>
          <t>Do FIDC para o CRI</t>
        </is>
      </c>
      <c r="B13" s="18" t="inlineStr">
        <is>
          <t>A 174ª emissão da Vert repete a lógica dos FIDC VI e VII — pro rata até o 47º mês, sequencial depois, gatilhos de desalavancagem por cobertura e por atraso — mas separa a dívida sênior em duas camadas (Super Sênior A pré-fixada e Super Sênior B em CDI) e dá a elas o único cronograma de amortização contratado da estrutura. As demais séries vivem de varredura de caixa. Também muda o investidor: 2.505 pessoas físicas na 174ª, contra dezenas de cotistas profissionais nos FIDCs.</t>
        </is>
      </c>
    </row>
    <row r="14" ht="18" customHeight="1">
      <c r="A14" s="4" t="inlineStr">
        <is>
          <t>TERMOS QUE APARECEM NAS TABELAS</t>
        </is>
      </c>
      <c r="B14" s="4" t="n"/>
    </row>
    <row r="16">
      <c r="A16" s="17" t="inlineStr">
        <is>
          <t>Razão de Garantia / Razão de Cobertura</t>
        </is>
      </c>
      <c r="B16" s="18" t="inlineStr">
        <is>
          <t>Ativos divididos por passivo de uma faixa de cotas. Uma razão de 133% sob a Sênior equivale a 25% de subordinação (1 − 1 ÷ 1,333). Nos FIDC I e V a razão é calculada sobre o PL; nos VI, VII e no CRI é calculada sobre o valor presente dos direitos creditórios líquido de PDD mais as disponibilidades.</t>
        </is>
      </c>
    </row>
    <row r="17">
      <c r="A17" s="17" t="inlineStr">
        <is>
          <t>Índice de Subordinação</t>
        </is>
      </c>
      <c r="B17" s="18" t="inlineStr">
        <is>
          <t>Percentual do PL representado pelas cotas de prioridade igual ou inferior à faixa em questão. É a leitura direta de quanto capital está abaixo de cada tranche.</t>
        </is>
      </c>
    </row>
    <row r="18">
      <c r="A18" s="17" t="inlineStr">
        <is>
          <t>Evento de Desalavancagem / Realavancagem</t>
        </is>
      </c>
      <c r="B18" s="18" t="inlineStr">
        <is>
          <t>Gatilho que troca o regime de amortização de pro rata para sequencial, e o gatilho inverso que devolve a estrutura ao pro rata. Existem apenas nos FIDC VI e VII e no CRI 174ª.</t>
        </is>
      </c>
    </row>
    <row r="19">
      <c r="A19" s="17" t="inlineStr">
        <is>
          <t>Período de Desinvestimento</t>
        </is>
      </c>
      <c r="B19" s="18" t="inlineStr">
        <is>
          <t>Janela final em que o fundo para de reinvestir e devolve caixa. No FIDC VI são os 6 meses anteriores à data de resgate; no VII começa no 61º mês ou quando o PL cai a R$ 100 mm.</t>
        </is>
      </c>
    </row>
    <row r="20">
      <c r="A20" s="17" t="inlineStr">
        <is>
          <t>Amortização Extraordinária</t>
        </is>
      </c>
      <c r="B20" s="18" t="inlineStr">
        <is>
          <t>Pagamento de principal fora do cronograma, alimentado pelo caixa que sobra na cascata. É o único mecanismo de amortização das séries Sênior, Mezanino e Subordinado do CRI 174ª, e depende de as razões de cobertura estarem acima do patamar de liberação.</t>
        </is>
      </c>
    </row>
    <row r="21" ht="18" customHeight="1">
      <c r="A21" s="4" t="inlineStr">
        <is>
          <t>FONTES</t>
        </is>
      </c>
      <c r="B21" s="4" t="n"/>
    </row>
    <row r="23">
      <c r="A23" s="17" t="inlineStr">
        <is>
          <t>Documentos consultados</t>
        </is>
      </c>
      <c r="B23" s="18" t="inlineStr">
        <is>
          <t>Regulamentos vigentes das 7 classes e relatórios de rating (Austin, Fitch, SR Rating), obtidos no Fundos.NET da B3/CVM. Cadastro de fundos, classes e subclasses (registro_fundo_classe) e Informe Mensal FIDC de julho de 2026, em dados.cvm.gov.br. Base de ofertas públicas encerradas sob a Resolução CVM 160. Lâmina e prospecto definitivo da 174ª emissão e anúncio de início da 177ª emissão, no Sistema de Registro de Ofertas da CVM. Consulta realizada em setembro de 2026.</t>
        </is>
      </c>
    </row>
    <row r="24">
      <c r="A24" s="17" t="inlineStr">
        <is>
          <t>Escopo</t>
        </is>
      </c>
      <c r="B24" s="18" t="inlineStr">
        <is>
          <t>Foram identificadas 7 classes de FIDC com o nome Solfácil no cadastro da CVM e 2 emissões de CRI cujo lastro é declaradamente originado na Plataforma Solfácil. O FIDC Solfarma, apesar do nome parecido, é de outra companhia e não integra este comparativo.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2026-09-07T10:57:53Z</dcterms:created>
  <dcterms:modified xsi:type="dcterms:W3CDTF">2026-09-07T11:00:18Z</dcterms:modified>
</cp:coreProperties>
</file>