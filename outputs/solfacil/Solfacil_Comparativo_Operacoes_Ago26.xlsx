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tivo" sheetId="1" state="visible" r:id="rId1"/>
    <sheet xmlns:r="http://schemas.openxmlformats.org/officeDocument/2006/relationships" name="Dados" sheetId="2" state="visible" r:id="rId2"/>
    <sheet xmlns:r="http://schemas.openxmlformats.org/officeDocument/2006/relationships" name="Validação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4">
    <numFmt numFmtId="164" formatCode="#,##0.0;(#,##0.0);-"/>
    <numFmt numFmtId="165" formatCode="#,##0;(#,##0);-"/>
    <numFmt numFmtId="166" formatCode="0.0%;(0.0%);-"/>
    <numFmt numFmtId="167" formatCode="0%;(0%);-"/>
  </numFmts>
  <fonts count="13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b val="1"/>
      <color rgb="001F3864"/>
      <sz val="10"/>
    </font>
    <font>
      <name val="Arial"/>
      <color rgb="000000FF"/>
      <sz val="10"/>
    </font>
    <font>
      <name val="Arial"/>
      <color rgb="00808080"/>
      <sz val="10"/>
    </font>
    <font>
      <name val="Arial"/>
      <b val="1"/>
      <color rgb="001F3864"/>
      <sz val="14"/>
    </font>
    <font>
      <name val="Arial"/>
      <sz val="9"/>
    </font>
    <font>
      <name val="Arial"/>
      <color rgb="00808080"/>
      <sz val="9"/>
    </font>
    <font>
      <name val="Arial"/>
      <sz val="10"/>
    </font>
    <font>
      <name val="Arial"/>
      <i val="1"/>
      <color rgb="00595959"/>
      <sz val="8"/>
    </font>
    <font>
      <name val="Arial"/>
      <b val="1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C8A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7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164" fontId="10" fillId="0" borderId="1" applyAlignment="1" pivotButton="0" quotePrefix="0" xfId="0">
      <alignment horizontal="center"/>
    </xf>
    <xf numFmtId="165" fontId="10" fillId="0" borderId="1" applyAlignment="1" pivotButton="0" quotePrefix="0" xfId="0">
      <alignment horizontal="center"/>
    </xf>
    <xf numFmtId="166" fontId="10" fillId="0" borderId="1" applyAlignment="1" pivotButton="0" quotePrefix="0" xfId="0">
      <alignment horizontal="center"/>
    </xf>
    <xf numFmtId="167" fontId="10" fillId="0" borderId="1" applyAlignment="1" pivotButton="0" quotePrefix="0" xfId="0">
      <alignment horizontal="center"/>
    </xf>
    <xf numFmtId="167" fontId="9" fillId="0" borderId="1" applyAlignment="1" pivotButton="0" quotePrefix="0" xfId="0">
      <alignment horizontal="center"/>
    </xf>
    <xf numFmtId="166" fontId="9" fillId="0" borderId="1" applyAlignment="1" pivotButton="0" quotePrefix="0" xfId="0">
      <alignment horizontal="center"/>
    </xf>
    <xf numFmtId="0" fontId="11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4" fillId="0" borderId="1" pivotButton="0" quotePrefix="0" xfId="0"/>
    <xf numFmtId="164" fontId="5" fillId="0" borderId="1" applyAlignment="1" pivotButton="0" quotePrefix="0" xfId="0">
      <alignment horizontal="right"/>
    </xf>
    <xf numFmtId="164" fontId="6" fillId="0" borderId="1" applyAlignment="1" pivotButton="0" quotePrefix="0" xfId="0">
      <alignment horizontal="right"/>
    </xf>
    <xf numFmtId="165" fontId="5" fillId="0" borderId="1" applyAlignment="1" pivotButton="0" quotePrefix="0" xfId="0">
      <alignment horizontal="right"/>
    </xf>
    <xf numFmtId="0" fontId="3" fillId="3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center" vertical="top" wrapText="1"/>
    </xf>
    <xf numFmtId="0" fontId="12" fillId="4" borderId="1" applyAlignment="1" pivotButton="0" quotePrefix="0" xfId="0">
      <alignment horizontal="center" vertical="top" wrapText="1"/>
    </xf>
    <xf numFmtId="0" fontId="12" fillId="5" borderId="1" applyAlignment="1" pivotButton="0" quotePrefix="0" xfId="0">
      <alignment horizontal="center" vertical="top" wrapText="1"/>
    </xf>
    <xf numFmtId="0" fontId="12" fillId="6" borderId="1" applyAlignment="1" pivotButton="0" quotePrefix="0" xfId="0">
      <alignment horizontal="center" vertical="top" wrapText="1"/>
    </xf>
    <xf numFmtId="0" fontId="12" fillId="7" borderId="1" applyAlignment="1" pivotButton="0" quotePrefix="0" xfId="0">
      <alignment horizontal="center" vertical="top" wrapText="1"/>
    </xf>
    <xf numFmtId="0" fontId="12" fillId="8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>
      <c r="A1" s="1" t="inlineStr">
        <is>
          <t>Solfácil — comparativo de operações</t>
        </is>
      </c>
    </row>
    <row r="2">
      <c r="A2" s="2" t="inlineStr">
        <is>
          <t>Indicadores de carteira e estrutura na competência de agosto de 2026. Linhas derivadas calculadas por fórmula sobre a aba Dados.</t>
        </is>
      </c>
    </row>
    <row r="4" ht="24" customHeight="1">
      <c r="A4" s="3" t="inlineStr">
        <is>
          <t>Indicador</t>
        </is>
      </c>
      <c r="B4" s="3" t="inlineStr">
        <is>
          <t>FIDC III</t>
        </is>
      </c>
      <c r="C4" s="3" t="inlineStr">
        <is>
          <t>FIDC VI</t>
        </is>
      </c>
      <c r="D4" s="3" t="inlineStr">
        <is>
          <t>FIDC VII</t>
        </is>
      </c>
      <c r="E4" s="3" t="inlineStr">
        <is>
          <t>FIDC VIII</t>
        </is>
      </c>
      <c r="F4" s="3" t="inlineStr">
        <is>
          <t>CRI II</t>
        </is>
      </c>
      <c r="G4" s="3" t="inlineStr">
        <is>
          <t>CRI IV</t>
        </is>
      </c>
      <c r="H4" s="3" t="inlineStr">
        <is>
          <t>CRI VI</t>
        </is>
      </c>
    </row>
    <row r="5" ht="20" customHeight="1">
      <c r="A5" s="4" t="inlineStr">
        <is>
          <t>Tipo</t>
        </is>
      </c>
      <c r="B5" s="5" t="inlineStr">
        <is>
          <t>Derivativo</t>
        </is>
      </c>
      <c r="C5" s="5" t="inlineStr">
        <is>
          <t>Cota Sr.</t>
        </is>
      </c>
      <c r="D5" s="5" t="inlineStr">
        <is>
          <t>Derivativo</t>
        </is>
      </c>
      <c r="E5" s="6" t="inlineStr">
        <is>
          <t>n.d.</t>
        </is>
      </c>
      <c r="F5" s="5" t="inlineStr">
        <is>
          <t>Super Sr / Sr</t>
        </is>
      </c>
      <c r="G5" s="5" t="inlineStr">
        <is>
          <t>Derivativo</t>
        </is>
      </c>
      <c r="H5" s="5" t="inlineStr">
        <is>
          <t>Derivativo</t>
        </is>
      </c>
    </row>
    <row r="6" ht="20" customHeight="1">
      <c r="A6" s="4" t="inlineStr">
        <is>
          <t>PL / Valor total (R$ mm)</t>
        </is>
      </c>
      <c r="B6" s="7">
        <f>'Dados'!B5</f>
        <v>133.748889</v>
      </c>
      <c r="C6" s="7">
        <f>'Dados'!C5</f>
        <v>145.184644</v>
      </c>
      <c r="D6" s="7">
        <f>'Dados'!D5</f>
        <v>619.101889</v>
      </c>
      <c r="E6" s="7">
        <f>'Dados'!E5</f>
        <v>750</v>
      </c>
      <c r="F6" s="7">
        <f>'Dados'!F5</f>
        <v>750</v>
      </c>
      <c r="G6" s="7">
        <f>'Dados'!G5</f>
        <v>450</v>
      </c>
      <c r="H6" s="7">
        <f>'Dados'!H5</f>
        <v>450</v>
      </c>
    </row>
    <row r="7" ht="20" customHeight="1">
      <c r="A7" s="4" t="inlineStr">
        <is>
          <t>Duration (meses)</t>
        </is>
      </c>
      <c r="B7" s="8">
        <f>'Dados'!B14</f>
        <v>12</v>
      </c>
      <c r="C7" s="8">
        <f>'Dados'!C14</f>
        <v>17</v>
      </c>
      <c r="D7" s="8">
        <f>'Dados'!D14</f>
        <v>16</v>
      </c>
      <c r="E7" s="8">
        <f>'Dados'!E14</f>
        <v>24</v>
      </c>
      <c r="F7" s="8">
        <f>'Dados'!F14</f>
        <v>14</v>
      </c>
      <c r="G7" s="8">
        <f>'Dados'!G14</f>
        <v>48</v>
      </c>
      <c r="H7" s="8">
        <f>'Dados'!H14</f>
        <v>27</v>
      </c>
    </row>
    <row r="8" ht="20" customHeight="1">
      <c r="A8" s="4" t="inlineStr">
        <is>
          <t>Sub / PL em Ago-26</t>
        </is>
      </c>
      <c r="B8" s="9">
        <f>'Dados'!B6/'Dados'!B5</f>
        <v>0.3286961584</v>
      </c>
      <c r="C8" s="9">
        <f>'Dados'!C6/'Dados'!C5</f>
        <v>0.2519140936</v>
      </c>
      <c r="D8" s="9">
        <f>'Dados'!D6/'Dados'!D5</f>
        <v>0.2619722131</v>
      </c>
      <c r="E8" s="9">
        <f>'Dados'!E6/'Dados'!E5</f>
        <v>0.25</v>
      </c>
      <c r="F8" s="9">
        <f>'Dados'!F6/'Dados'!F5</f>
        <v>0.35</v>
      </c>
      <c r="G8" s="9">
        <f>'Dados'!G6/'Dados'!G5</f>
        <v>0.35</v>
      </c>
      <c r="H8" s="9">
        <f>'Dados'!H6/'Dados'!H5</f>
        <v>0.15</v>
      </c>
    </row>
    <row r="9" ht="20" customHeight="1">
      <c r="A9" s="4" t="inlineStr">
        <is>
          <t>Cobertura PDD / NPL &gt; 90d</t>
        </is>
      </c>
      <c r="B9" s="10">
        <f>IF('Dados'!B10=0,"n.a.",'Dados'!B8/'Dados'!B10)</f>
        <v>4.4979754347</v>
      </c>
      <c r="C9" s="10">
        <f>IF('Dados'!C10=0,"n.a.",'Dados'!C8/'Dados'!C10)</f>
        <v>5.3900236534</v>
      </c>
      <c r="D9" s="10">
        <f>IF('Dados'!D10=0,"n.a.",'Dados'!D8/'Dados'!D10)</f>
        <v>15.6511611684</v>
      </c>
      <c r="E9" s="11" t="inlineStr">
        <is>
          <t>n.d.</t>
        </is>
      </c>
      <c r="F9" s="10">
        <f>IF('Dados'!F10=0,"n.a.",'Dados'!F8/'Dados'!F10)</f>
        <v>3.0651691263</v>
      </c>
      <c r="G9" s="10">
        <f>IF('Dados'!G10=0,"n.a.",'Dados'!G8/'Dados'!G10)</f>
        <v>5.9897649735</v>
      </c>
      <c r="H9" s="10" t="str">
        <f>IF('Dados'!H10=0,"n.a.",'Dados'!H8/'Dados'!H10)</f>
        <v>n.a.</v>
      </c>
    </row>
    <row r="10" ht="20" customHeight="1">
      <c r="A10" s="4" t="inlineStr">
        <is>
          <t>Vencidos / Carteira</t>
        </is>
      </c>
      <c r="B10" s="9">
        <f>'Dados'!B9/'Dados'!B7</f>
        <v>0.0337048408</v>
      </c>
      <c r="C10" s="9">
        <f>'Dados'!C9/'Dados'!C7</f>
        <v>0.1147298214</v>
      </c>
      <c r="D10" s="9">
        <f>'Dados'!D9/'Dados'!D7</f>
        <v>0.0030958759</v>
      </c>
      <c r="E10" s="12" t="inlineStr">
        <is>
          <t>n.d.</t>
        </is>
      </c>
      <c r="F10" s="9">
        <f>'Dados'!F9/'Dados'!F7</f>
        <v>0.0609187058</v>
      </c>
      <c r="G10" s="9">
        <f>'Dados'!G9/'Dados'!G7</f>
        <v>0.0151195912</v>
      </c>
      <c r="H10" s="9">
        <f>'Dados'!H9/'Dados'!H7</f>
        <v>0.0033215289</v>
      </c>
    </row>
    <row r="11" ht="20" customHeight="1">
      <c r="A11" s="4" t="inlineStr">
        <is>
          <t>NPL &gt; 90d / Carteira</t>
        </is>
      </c>
      <c r="B11" s="9">
        <f>'Dados'!B10/'Dados'!B7</f>
        <v>0.012624144</v>
      </c>
      <c r="C11" s="9">
        <f>'Dados'!C10/'Dados'!C7</f>
        <v>0.0652306481</v>
      </c>
      <c r="D11" s="9">
        <f>'Dados'!D10/'Dados'!D7</f>
        <v>0.000310021</v>
      </c>
      <c r="E11" s="12" t="inlineStr">
        <is>
          <t>n.d.</t>
        </is>
      </c>
      <c r="F11" s="9">
        <f>'Dados'!F10/'Dados'!F7</f>
        <v>0.0392836896</v>
      </c>
      <c r="G11" s="9">
        <f>'Dados'!G10/'Dados'!G7</f>
        <v>0.0068874947</v>
      </c>
      <c r="H11" s="9">
        <f>'Dados'!H10/'Dados'!H7</f>
        <v>0.0</v>
      </c>
    </row>
    <row r="12" ht="20" customHeight="1">
      <c r="A12" s="4" t="inlineStr">
        <is>
          <t>Base subordinada (R$ mm)</t>
        </is>
      </c>
      <c r="B12" s="7">
        <f>'Dados'!B6</f>
        <v>43.962746</v>
      </c>
      <c r="C12" s="7">
        <f>'Dados'!C6</f>
        <v>36.574058</v>
      </c>
      <c r="D12" s="7">
        <f>'Dados'!D6</f>
        <v>162.187492</v>
      </c>
      <c r="E12" s="7">
        <f>'Dados'!E6</f>
        <v>187.5</v>
      </c>
      <c r="F12" s="7">
        <f>'Dados'!F6</f>
        <v>262.5</v>
      </c>
      <c r="G12" s="7">
        <f>'Dados'!G6</f>
        <v>157.5</v>
      </c>
      <c r="H12" s="7">
        <f>'Dados'!H6</f>
        <v>67.5</v>
      </c>
    </row>
    <row r="13" ht="28" customHeight="1">
      <c r="A13" s="4" t="inlineStr">
        <is>
          <t>Rating Sr</t>
        </is>
      </c>
      <c r="B13" s="5" t="inlineStr">
        <is>
          <t>AA+ (Fitch)</t>
        </is>
      </c>
      <c r="C13" s="5" t="inlineStr">
        <is>
          <t>brAA (Austin)</t>
        </is>
      </c>
      <c r="D13" s="5" t="inlineStr">
        <is>
          <t>–</t>
        </is>
      </c>
      <c r="E13" s="5" t="inlineStr">
        <is>
          <t>–</t>
        </is>
      </c>
      <c r="F13" s="5" t="inlineStr">
        <is>
          <t>AAA (Moody's) / AA+ (Fitch)</t>
        </is>
      </c>
      <c r="G13" s="5" t="inlineStr">
        <is>
          <t>AAA (Moody's)</t>
        </is>
      </c>
      <c r="H13" s="5" t="inlineStr">
        <is>
          <t>Sem rating</t>
        </is>
      </c>
    </row>
    <row r="14" ht="20" customHeight="1">
      <c r="A14" s="4" t="inlineStr">
        <is>
          <t>Rating Mezanino A</t>
        </is>
      </c>
      <c r="B14" s="5" t="inlineStr">
        <is>
          <t>BBB (Fitch)</t>
        </is>
      </c>
      <c r="C14" s="5" t="inlineStr">
        <is>
          <t>–</t>
        </is>
      </c>
      <c r="D14" s="5" t="inlineStr">
        <is>
          <t>–</t>
        </is>
      </c>
      <c r="E14" s="5" t="inlineStr">
        <is>
          <t>–</t>
        </is>
      </c>
      <c r="F14" s="5" t="inlineStr">
        <is>
          <t>AA− (Moody's)</t>
        </is>
      </c>
      <c r="G14" s="5" t="inlineStr">
        <is>
          <t>AA− (Moody's)</t>
        </is>
      </c>
      <c r="H14" s="5" t="inlineStr">
        <is>
          <t>Sem rating</t>
        </is>
      </c>
    </row>
    <row r="15" ht="26" customHeight="1">
      <c r="A15" s="4" t="inlineStr">
        <is>
          <t>Preço Cota Sr.</t>
        </is>
      </c>
      <c r="B15" s="5" t="inlineStr">
        <is>
          <t>CDI + 3,5%</t>
        </is>
      </c>
      <c r="C15" s="5" t="inlineStr">
        <is>
          <t>CDI + 3,5%</t>
        </is>
      </c>
      <c r="D15" s="5" t="inlineStr">
        <is>
          <t>CDI + 2,0%</t>
        </is>
      </c>
      <c r="E15" s="5" t="inlineStr">
        <is>
          <t>CDI + 1,75%</t>
        </is>
      </c>
      <c r="F15" s="5" t="inlineStr">
        <is>
          <t>Pré 13,1926% a.a.</t>
        </is>
      </c>
      <c r="G15" s="5" t="inlineStr">
        <is>
          <t>Pré 14,2216% a.a.</t>
        </is>
      </c>
      <c r="H15" s="5" t="inlineStr">
        <is>
          <t>CDI + 1,5% / CDI + 2,0%</t>
        </is>
      </c>
    </row>
    <row r="17" ht="46" customHeight="1">
      <c r="A17" s="13" t="inlineStr">
        <is>
          <t>Definições. Sub / PL = base subordinada ÷ linha PL / Valor total; nos FIDCs a base subordinada é mezanino + júnior sobre o PL, nos CRIs é a soma das séries abaixo da camada de topo sobre o valor emitido. Vencidos = saldo de direitos creditórios em atraso em todas as faixas. NPL &gt; 90d = faixas acima de 90 dias. Carteira = direitos creditórios a vencer mais em atraso, antes da PDD. Não há FIDC Solfácil VIII registrado na CVM até 19/10/2026: a coluna reproduz os valores da planilha de origem e não foi verificada em fonte pública.</t>
        </is>
      </c>
    </row>
  </sheetData>
  <mergeCells count="1"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4" t="inlineStr">
        <is>
          <t>Insumos — base 31/08/2026</t>
        </is>
      </c>
    </row>
    <row r="2" ht="16" customHeight="1">
      <c r="A2" s="15" t="inlineStr">
        <is>
          <t>Valores em R$ milhões. Células em azul são entradas. FIDC: informe mensal FIDC (dados.cvm.gov.br), tabelas I, IV, V e X.2. CRI: informe mensal de CRI de 08/2026 no Fundos.NET. Ratings e taxas: prospectos definitivos e termos de securitização registrados na CVM.</t>
        </is>
      </c>
    </row>
    <row r="4" ht="28" customHeight="1">
      <c r="A4" s="3" t="inlineStr">
        <is>
          <t>Insumo</t>
        </is>
      </c>
      <c r="B4" s="3" t="inlineStr">
        <is>
          <t>FIDC III</t>
        </is>
      </c>
      <c r="C4" s="3" t="inlineStr">
        <is>
          <t>FIDC VI</t>
        </is>
      </c>
      <c r="D4" s="3" t="inlineStr">
        <is>
          <t>FIDC VII</t>
        </is>
      </c>
      <c r="E4" s="3" t="inlineStr">
        <is>
          <t>FIDC VIII</t>
        </is>
      </c>
      <c r="F4" s="3" t="inlineStr">
        <is>
          <t>CRI II</t>
        </is>
      </c>
      <c r="G4" s="3" t="inlineStr">
        <is>
          <t>CRI IV</t>
        </is>
      </c>
      <c r="H4" s="3" t="inlineStr">
        <is>
          <t>CRI VI</t>
        </is>
      </c>
    </row>
    <row r="5">
      <c r="A5" s="16" t="inlineStr">
        <is>
          <t>PL (FIDC) / valor total emitido (CRI)</t>
        </is>
      </c>
      <c r="B5" s="17" t="n">
        <v>133.748889</v>
      </c>
      <c r="C5" s="17" t="n">
        <v>145.184644</v>
      </c>
      <c r="D5" s="17" t="n">
        <v>619.101889</v>
      </c>
      <c r="E5" s="17" t="n">
        <v>750</v>
      </c>
      <c r="F5" s="17" t="n">
        <v>750</v>
      </c>
      <c r="G5" s="17" t="n">
        <v>450</v>
      </c>
      <c r="H5" s="17" t="n">
        <v>450</v>
      </c>
    </row>
    <row r="6">
      <c r="A6" s="16" t="inlineStr">
        <is>
          <t>Base subordinada</t>
        </is>
      </c>
      <c r="B6" s="17" t="n">
        <v>43.962746</v>
      </c>
      <c r="C6" s="17" t="n">
        <v>36.574058</v>
      </c>
      <c r="D6" s="17" t="n">
        <v>162.187492</v>
      </c>
      <c r="E6" s="17" t="n">
        <v>187.5</v>
      </c>
      <c r="F6" s="17" t="n">
        <v>262.5</v>
      </c>
      <c r="G6" s="17" t="n">
        <v>157.5</v>
      </c>
      <c r="H6" s="17" t="n">
        <v>67.5</v>
      </c>
    </row>
    <row r="7">
      <c r="A7" s="16" t="inlineStr">
        <is>
          <t>Carteira de direitos creditórios</t>
        </is>
      </c>
      <c r="B7" s="17" t="n">
        <v>132.363509</v>
      </c>
      <c r="C7" s="17" t="n">
        <v>218.169563</v>
      </c>
      <c r="D7" s="17" t="n">
        <v>554.881744</v>
      </c>
      <c r="E7" s="18" t="inlineStr">
        <is>
          <t>n.d.</t>
        </is>
      </c>
      <c r="F7" s="17" t="n">
        <v>389.831</v>
      </c>
      <c r="G7" s="17" t="n">
        <v>383.013</v>
      </c>
      <c r="H7" s="17" t="n">
        <v>445.879</v>
      </c>
    </row>
    <row r="8">
      <c r="A8" s="16" t="inlineStr">
        <is>
          <t>PDD</t>
        </is>
      </c>
      <c r="B8" s="17" t="n">
        <v>7.516009</v>
      </c>
      <c r="C8" s="17" t="n">
        <v>76.70726999999999</v>
      </c>
      <c r="D8" s="17" t="n">
        <v>2.692391</v>
      </c>
      <c r="E8" s="18" t="inlineStr">
        <is>
          <t>n.d.</t>
        </is>
      </c>
      <c r="F8" s="17" t="n">
        <v>46.94</v>
      </c>
      <c r="G8" s="17" t="n">
        <v>15.801</v>
      </c>
      <c r="H8" s="17" t="n">
        <v>0.494</v>
      </c>
    </row>
    <row r="9">
      <c r="A9" s="16" t="inlineStr">
        <is>
          <t>Saldo em atraso (todas as faixas)</t>
        </is>
      </c>
      <c r="B9" s="17" t="n">
        <v>4.461291</v>
      </c>
      <c r="C9" s="17" t="n">
        <v>25.030555</v>
      </c>
      <c r="D9" s="17" t="n">
        <v>1.717845</v>
      </c>
      <c r="E9" s="18" t="inlineStr">
        <is>
          <t>n.d.</t>
        </is>
      </c>
      <c r="F9" s="17" t="n">
        <v>23.748</v>
      </c>
      <c r="G9" s="17" t="n">
        <v>5.791</v>
      </c>
      <c r="H9" s="17" t="n">
        <v>1.481</v>
      </c>
    </row>
    <row r="10">
      <c r="A10" s="16" t="inlineStr">
        <is>
          <t>Saldo em atraso acima de 90 dias</t>
        </is>
      </c>
      <c r="B10" s="17" t="n">
        <v>1.670976</v>
      </c>
      <c r="C10" s="17" t="n">
        <v>14.231342</v>
      </c>
      <c r="D10" s="17" t="n">
        <v>0.172025</v>
      </c>
      <c r="E10" s="18" t="inlineStr">
        <is>
          <t>n.d.</t>
        </is>
      </c>
      <c r="F10" s="17" t="n">
        <v>15.314</v>
      </c>
      <c r="G10" s="17" t="n">
        <v>2.638</v>
      </c>
      <c r="H10" s="17" t="n">
        <v>0</v>
      </c>
    </row>
    <row r="11">
      <c r="A11" s="16" t="inlineStr">
        <is>
          <t>Saldo da camada sênior</t>
        </is>
      </c>
      <c r="B11" s="17" t="n">
        <v>89.78614399999999</v>
      </c>
      <c r="C11" s="17" t="n">
        <v>108.610586</v>
      </c>
      <c r="D11" s="17" t="n">
        <v>456.914397</v>
      </c>
      <c r="E11" s="18" t="inlineStr">
        <is>
          <t>n.d.</t>
        </is>
      </c>
      <c r="F11" s="17" t="n">
        <v>487.5</v>
      </c>
      <c r="G11" s="17" t="n">
        <v>292.5</v>
      </c>
      <c r="H11" s="17" t="n">
        <v>382.5</v>
      </c>
    </row>
    <row r="12">
      <c r="A12" s="16" t="inlineStr">
        <is>
          <t>Cotas mezanino (FIDC)</t>
        </is>
      </c>
      <c r="B12" s="17" t="n">
        <v>28.182698</v>
      </c>
      <c r="C12" s="17" t="n">
        <v>30.473428</v>
      </c>
      <c r="D12" s="17" t="n">
        <v>129.012853</v>
      </c>
      <c r="E12" s="18" t="inlineStr">
        <is>
          <t>n.d.</t>
        </is>
      </c>
      <c r="F12" s="18" t="inlineStr">
        <is>
          <t>n.d.</t>
        </is>
      </c>
      <c r="G12" s="18" t="inlineStr">
        <is>
          <t>n.d.</t>
        </is>
      </c>
      <c r="H12" s="18" t="inlineStr">
        <is>
          <t>n.d.</t>
        </is>
      </c>
    </row>
    <row r="13">
      <c r="A13" s="16" t="inlineStr">
        <is>
          <t>Cotas júnior (FIDC)</t>
        </is>
      </c>
      <c r="B13" s="17" t="n">
        <v>15.780047</v>
      </c>
      <c r="C13" s="17" t="n">
        <v>6.100631</v>
      </c>
      <c r="D13" s="17" t="n">
        <v>33.174639</v>
      </c>
      <c r="E13" s="18" t="inlineStr">
        <is>
          <t>n.d.</t>
        </is>
      </c>
      <c r="F13" s="18" t="inlineStr">
        <is>
          <t>n.d.</t>
        </is>
      </c>
      <c r="G13" s="18" t="inlineStr">
        <is>
          <t>n.d.</t>
        </is>
      </c>
      <c r="H13" s="18" t="inlineStr">
        <is>
          <t>n.d.</t>
        </is>
      </c>
    </row>
    <row r="14">
      <c r="A14" s="16" t="inlineStr">
        <is>
          <t>Duration da carteira (meses)</t>
        </is>
      </c>
      <c r="B14" s="19" t="n">
        <v>12</v>
      </c>
      <c r="C14" s="19" t="n">
        <v>17</v>
      </c>
      <c r="D14" s="19" t="n">
        <v>16</v>
      </c>
      <c r="E14" s="19" t="n">
        <v>24</v>
      </c>
      <c r="F14" s="19" t="n">
        <v>14</v>
      </c>
      <c r="G14" s="19" t="n">
        <v>48</v>
      </c>
      <c r="H14" s="19" t="n">
        <v>27</v>
      </c>
    </row>
  </sheetData>
  <mergeCells count="1">
    <mergeCell ref="A2:H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0" customWidth="1" min="3" max="3"/>
    <col width="20" customWidth="1" min="4" max="4"/>
    <col width="13" customWidth="1" min="5" max="5"/>
    <col width="74" customWidth="1" min="6" max="6"/>
  </cols>
  <sheetData>
    <row r="1">
      <c r="A1" s="14" t="inlineStr">
        <is>
          <t>Validação contra a planilha de origem</t>
        </is>
      </c>
    </row>
    <row r="3" ht="22" customHeight="1">
      <c r="A3" s="20" t="inlineStr">
        <is>
          <t>Coluna</t>
        </is>
      </c>
      <c r="B3" s="20" t="inlineStr">
        <is>
          <t>Indicador</t>
        </is>
      </c>
      <c r="C3" s="20" t="inlineStr">
        <is>
          <t>Planilha de origem</t>
        </is>
      </c>
      <c r="D3" s="20" t="inlineStr">
        <is>
          <t>Apurado (ago/2026)</t>
        </is>
      </c>
      <c r="E3" s="20" t="inlineStr">
        <is>
          <t>Situação</t>
        </is>
      </c>
      <c r="F3" s="20" t="inlineStr">
        <is>
          <t>Observação</t>
        </is>
      </c>
    </row>
    <row r="4">
      <c r="A4" s="21" t="inlineStr">
        <is>
          <t>FIDC III</t>
        </is>
      </c>
      <c r="B4" s="21" t="inlineStr">
        <is>
          <t>PL</t>
        </is>
      </c>
      <c r="C4" s="22" t="inlineStr">
        <is>
          <t>134</t>
        </is>
      </c>
      <c r="D4" s="22" t="inlineStr">
        <is>
          <t>133,7</t>
        </is>
      </c>
      <c r="E4" s="23" t="inlineStr">
        <is>
          <t>confere</t>
        </is>
      </c>
      <c r="F4" s="21" t="inlineStr"/>
    </row>
    <row r="5">
      <c r="A5" s="21" t="inlineStr">
        <is>
          <t>FIDC III</t>
        </is>
      </c>
      <c r="B5" s="21" t="inlineStr">
        <is>
          <t>Base subordinada</t>
        </is>
      </c>
      <c r="C5" s="22" t="inlineStr">
        <is>
          <t>44,0</t>
        </is>
      </c>
      <c r="D5" s="22" t="inlineStr">
        <is>
          <t>44,0</t>
        </is>
      </c>
      <c r="E5" s="23" t="inlineStr">
        <is>
          <t>confere</t>
        </is>
      </c>
      <c r="F5" s="21" t="inlineStr"/>
    </row>
    <row r="6">
      <c r="A6" s="21" t="inlineStr">
        <is>
          <t>FIDC III</t>
        </is>
      </c>
      <c r="B6" s="21" t="inlineStr">
        <is>
          <t>Sub / PL</t>
        </is>
      </c>
      <c r="C6" s="22" t="inlineStr">
        <is>
          <t>33%</t>
        </is>
      </c>
      <c r="D6" s="22" t="inlineStr">
        <is>
          <t>32,9%</t>
        </is>
      </c>
      <c r="E6" s="23" t="inlineStr">
        <is>
          <t>confere</t>
        </is>
      </c>
      <c r="F6" s="21" t="inlineStr"/>
    </row>
    <row r="7">
      <c r="A7" s="21" t="inlineStr">
        <is>
          <t>FIDC III</t>
        </is>
      </c>
      <c r="B7" s="21" t="inlineStr">
        <is>
          <t>Vencidos / Carteira</t>
        </is>
      </c>
      <c r="C7" s="22" t="inlineStr">
        <is>
          <t>3%</t>
        </is>
      </c>
      <c r="D7" s="22" t="inlineStr">
        <is>
          <t>3,4%</t>
        </is>
      </c>
      <c r="E7" s="23" t="inlineStr">
        <is>
          <t>confere</t>
        </is>
      </c>
      <c r="F7" s="21" t="inlineStr"/>
    </row>
    <row r="8">
      <c r="A8" s="21" t="inlineStr">
        <is>
          <t>FIDC III</t>
        </is>
      </c>
      <c r="B8" s="21" t="inlineStr">
        <is>
          <t>NPL &gt; 90d / Carteira</t>
        </is>
      </c>
      <c r="C8" s="22" t="inlineStr">
        <is>
          <t>1%</t>
        </is>
      </c>
      <c r="D8" s="22" t="inlineStr">
        <is>
          <t>1,3%</t>
        </is>
      </c>
      <c r="E8" s="23" t="inlineStr">
        <is>
          <t>confere</t>
        </is>
      </c>
      <c r="F8" s="21" t="inlineStr"/>
    </row>
    <row r="9">
      <c r="A9" s="21" t="inlineStr">
        <is>
          <t>FIDC III</t>
        </is>
      </c>
      <c r="B9" s="21" t="inlineStr">
        <is>
          <t>Cobertura PDD / NPL</t>
        </is>
      </c>
      <c r="C9" s="22" t="inlineStr">
        <is>
          <t>450%</t>
        </is>
      </c>
      <c r="D9" s="22" t="inlineStr">
        <is>
          <t>450%</t>
        </is>
      </c>
      <c r="E9" s="23" t="inlineStr">
        <is>
          <t>confere</t>
        </is>
      </c>
      <c r="F9" s="21" t="inlineStr">
        <is>
          <t>Bate na casa decimal: PDD 7,516 ÷ NPL&gt;90d 1,671.</t>
        </is>
      </c>
    </row>
    <row r="10">
      <c r="A10" s="21" t="inlineStr">
        <is>
          <t>FIDC III</t>
        </is>
      </c>
      <c r="B10" s="21" t="inlineStr">
        <is>
          <t>Rating Sr / Mez A</t>
        </is>
      </c>
      <c r="C10" s="22" t="inlineStr">
        <is>
          <t>AA+ / BBB (Fitch)</t>
        </is>
      </c>
      <c r="D10" s="22" t="inlineStr">
        <is>
          <t>AA+sf(bra) / BBBsf(bra)</t>
        </is>
      </c>
      <c r="E10" s="23" t="inlineStr">
        <is>
          <t>confere</t>
        </is>
      </c>
      <c r="F10" s="21" t="inlineStr">
        <is>
          <t>Relatório Fitch de 12/11/2025, perspectiva positiva.</t>
        </is>
      </c>
    </row>
    <row r="11">
      <c r="A11" s="21" t="inlineStr">
        <is>
          <t>FIDC VI</t>
        </is>
      </c>
      <c r="B11" s="21" t="inlineStr">
        <is>
          <t>PL</t>
        </is>
      </c>
      <c r="C11" s="22" t="inlineStr">
        <is>
          <t>145</t>
        </is>
      </c>
      <c r="D11" s="22" t="inlineStr">
        <is>
          <t>145,2</t>
        </is>
      </c>
      <c r="E11" s="23" t="inlineStr">
        <is>
          <t>confere</t>
        </is>
      </c>
      <c r="F11" s="21" t="inlineStr"/>
    </row>
    <row r="12">
      <c r="A12" s="21" t="inlineStr">
        <is>
          <t>FIDC VI</t>
        </is>
      </c>
      <c r="B12" s="21" t="inlineStr">
        <is>
          <t>Base subordinada</t>
        </is>
      </c>
      <c r="C12" s="22" t="inlineStr">
        <is>
          <t>37,0</t>
        </is>
      </c>
      <c r="D12" s="22" t="inlineStr">
        <is>
          <t>36,6</t>
        </is>
      </c>
      <c r="E12" s="23" t="inlineStr">
        <is>
          <t>confere</t>
        </is>
      </c>
      <c r="F12" s="21" t="inlineStr"/>
    </row>
    <row r="13">
      <c r="A13" s="21" t="inlineStr">
        <is>
          <t>FIDC VI</t>
        </is>
      </c>
      <c r="B13" s="21" t="inlineStr">
        <is>
          <t>Sub / PL</t>
        </is>
      </c>
      <c r="C13" s="22" t="inlineStr">
        <is>
          <t>25%</t>
        </is>
      </c>
      <c r="D13" s="22" t="inlineStr">
        <is>
          <t>25,2%</t>
        </is>
      </c>
      <c r="E13" s="23" t="inlineStr">
        <is>
          <t>confere</t>
        </is>
      </c>
      <c r="F13" s="21" t="inlineStr"/>
    </row>
    <row r="14">
      <c r="A14" s="21" t="inlineStr">
        <is>
          <t>FIDC VI</t>
        </is>
      </c>
      <c r="B14" s="21" t="inlineStr">
        <is>
          <t>Vencidos / Carteira</t>
        </is>
      </c>
      <c r="C14" s="22" t="inlineStr">
        <is>
          <t>11%</t>
        </is>
      </c>
      <c r="D14" s="22" t="inlineStr">
        <is>
          <t>11,5%</t>
        </is>
      </c>
      <c r="E14" s="23" t="inlineStr">
        <is>
          <t>confere</t>
        </is>
      </c>
      <c r="F14" s="21" t="inlineStr"/>
    </row>
    <row r="15">
      <c r="A15" s="21" t="inlineStr">
        <is>
          <t>FIDC VI</t>
        </is>
      </c>
      <c r="B15" s="21" t="inlineStr">
        <is>
          <t>NPL &gt; 90d / Carteira</t>
        </is>
      </c>
      <c r="C15" s="22" t="inlineStr">
        <is>
          <t>6%</t>
        </is>
      </c>
      <c r="D15" s="22" t="inlineStr">
        <is>
          <t>6,5%</t>
        </is>
      </c>
      <c r="E15" s="23" t="inlineStr">
        <is>
          <t>confere</t>
        </is>
      </c>
      <c r="F15" s="21" t="inlineStr"/>
    </row>
    <row r="16">
      <c r="A16" s="21" t="inlineStr">
        <is>
          <t>FIDC VI</t>
        </is>
      </c>
      <c r="B16" s="21" t="inlineStr">
        <is>
          <t>Cobertura PDD / NPL</t>
        </is>
      </c>
      <c r="C16" s="22" t="inlineStr">
        <is>
          <t>584%</t>
        </is>
      </c>
      <c r="D16" s="22" t="inlineStr">
        <is>
          <t>539%</t>
        </is>
      </c>
      <c r="E16" s="24" t="inlineStr">
        <is>
          <t>ajustado</t>
        </is>
      </c>
      <c r="F16" s="21" t="inlineStr">
        <is>
          <t>Diferença vem do corte do NPL. Incluindo a faixa acima de 720 dias (R$ 1,33 mm) a cobertura é 539%; excluindo-a, 595%.</t>
        </is>
      </c>
    </row>
    <row r="17">
      <c r="A17" s="21" t="inlineStr">
        <is>
          <t>FIDC VII</t>
        </is>
      </c>
      <c r="B17" s="21" t="inlineStr">
        <is>
          <t>PL</t>
        </is>
      </c>
      <c r="C17" s="22" t="inlineStr">
        <is>
          <t>447</t>
        </is>
      </c>
      <c r="D17" s="22" t="inlineStr">
        <is>
          <t>619,1</t>
        </is>
      </c>
      <c r="E17" s="25" t="inlineStr">
        <is>
          <t>corrigido</t>
        </is>
      </c>
      <c r="F17" s="21" t="inlineStr">
        <is>
          <t>O PL de 447 não fecha com a própria linha de base subordinada: 161 ÷ 447 daria 36%, e a planilha traz 26%. Com PL de 619,1 a conta fecha em 26,2%.</t>
        </is>
      </c>
    </row>
    <row r="18">
      <c r="A18" s="21" t="inlineStr">
        <is>
          <t>FIDC VII</t>
        </is>
      </c>
      <c r="B18" s="21" t="inlineStr">
        <is>
          <t>Base subordinada</t>
        </is>
      </c>
      <c r="C18" s="22" t="inlineStr">
        <is>
          <t>161,0</t>
        </is>
      </c>
      <c r="D18" s="22" t="inlineStr">
        <is>
          <t>162,2</t>
        </is>
      </c>
      <c r="E18" s="23" t="inlineStr">
        <is>
          <t>confere</t>
        </is>
      </c>
      <c r="F18" s="21" t="inlineStr"/>
    </row>
    <row r="19">
      <c r="A19" s="21" t="inlineStr">
        <is>
          <t>FIDC VII</t>
        </is>
      </c>
      <c r="B19" s="21" t="inlineStr">
        <is>
          <t>Sub / PL</t>
        </is>
      </c>
      <c r="C19" s="22" t="inlineStr">
        <is>
          <t>26%</t>
        </is>
      </c>
      <c r="D19" s="22" t="inlineStr">
        <is>
          <t>26,2%</t>
        </is>
      </c>
      <c r="E19" s="23" t="inlineStr">
        <is>
          <t>confere</t>
        </is>
      </c>
      <c r="F19" s="21" t="inlineStr"/>
    </row>
    <row r="20">
      <c r="A20" s="21" t="inlineStr">
        <is>
          <t>FIDC VII</t>
        </is>
      </c>
      <c r="B20" s="21" t="inlineStr">
        <is>
          <t>Vencidos / Carteira</t>
        </is>
      </c>
      <c r="C20" s="22" t="inlineStr">
        <is>
          <t>0,3%</t>
        </is>
      </c>
      <c r="D20" s="22" t="inlineStr">
        <is>
          <t>0,3%</t>
        </is>
      </c>
      <c r="E20" s="23" t="inlineStr">
        <is>
          <t>confere</t>
        </is>
      </c>
      <c r="F20" s="21" t="inlineStr"/>
    </row>
    <row r="21">
      <c r="A21" s="21" t="inlineStr">
        <is>
          <t>FIDC VII</t>
        </is>
      </c>
      <c r="B21" s="21" t="inlineStr">
        <is>
          <t>NPL &gt; 90d / Carteira</t>
        </is>
      </c>
      <c r="C21" s="22" t="inlineStr">
        <is>
          <t>0,0%</t>
        </is>
      </c>
      <c r="D21" s="22" t="inlineStr">
        <is>
          <t>0,03%</t>
        </is>
      </c>
      <c r="E21" s="23" t="inlineStr">
        <is>
          <t>confere</t>
        </is>
      </c>
      <c r="F21" s="21" t="inlineStr"/>
    </row>
    <row r="22">
      <c r="A22" s="21" t="inlineStr">
        <is>
          <t>FIDC VII</t>
        </is>
      </c>
      <c r="B22" s="21" t="inlineStr">
        <is>
          <t>Cobertura PDD / NPL</t>
        </is>
      </c>
      <c r="C22" s="22" t="inlineStr">
        <is>
          <t>3.724%</t>
        </is>
      </c>
      <c r="D22" s="22" t="inlineStr">
        <is>
          <t>1.565%</t>
        </is>
      </c>
      <c r="E22" s="24" t="inlineStr">
        <is>
          <t>ajustado</t>
        </is>
      </c>
      <c r="F22" s="21" t="inlineStr">
        <is>
          <t>PDD 2,692 ÷ NPL&gt;90d 0,172. Não encontrei combinação de faixas que reproduza 3.724% em ago/2026.</t>
        </is>
      </c>
    </row>
    <row r="23">
      <c r="A23" s="21" t="inlineStr">
        <is>
          <t>FIDC VIII</t>
        </is>
      </c>
      <c r="B23" s="21" t="inlineStr">
        <is>
          <t>Todos</t>
        </is>
      </c>
      <c r="C23" s="22" t="inlineStr">
        <is>
          <t>750 / 187,5 / 25%</t>
        </is>
      </c>
      <c r="D23" s="22" t="inlineStr">
        <is>
          <t>não verificável</t>
        </is>
      </c>
      <c r="E23" s="25" t="inlineStr">
        <is>
          <t>aberto</t>
        </is>
      </c>
      <c r="F23" s="21" t="inlineStr">
        <is>
          <t>Não há FIDC Solfácil VIII no cadastro da CVM nem no Fundos.NET em 19/10/2026. Os sete fundos do programa são I a VII. Em set/2026 o FIDC VII estava com PL de 718,5 e base subordinada de 187,4 — vale checar se a coluna se refere a ele em data posterior.</t>
        </is>
      </c>
    </row>
    <row r="24">
      <c r="A24" s="21" t="inlineStr">
        <is>
          <t>FIDC VIII</t>
        </is>
      </c>
      <c r="B24" s="21" t="inlineStr">
        <is>
          <t>Tipo</t>
        </is>
      </c>
      <c r="C24" s="22" t="inlineStr">
        <is>
          <t>150</t>
        </is>
      </c>
      <c r="D24" s="22" t="inlineStr">
        <is>
          <t>–</t>
        </is>
      </c>
      <c r="E24" s="25" t="inlineStr">
        <is>
          <t>corrigido</t>
        </is>
      </c>
      <c r="F24" s="21" t="inlineStr">
        <is>
          <t>A célula trazia 150, que é o valor da linha de exposição. Deixada em branco.</t>
        </is>
      </c>
    </row>
    <row r="25">
      <c r="A25" s="21" t="inlineStr">
        <is>
          <t>CRI II</t>
        </is>
      </c>
      <c r="B25" s="21" t="inlineStr">
        <is>
          <t>Valor total</t>
        </is>
      </c>
      <c r="C25" s="22" t="inlineStr">
        <is>
          <t>750</t>
        </is>
      </c>
      <c r="D25" s="22" t="inlineStr">
        <is>
          <t>750,0</t>
        </is>
      </c>
      <c r="E25" s="23" t="inlineStr">
        <is>
          <t>confere</t>
        </is>
      </c>
      <c r="F25" s="21" t="inlineStr">
        <is>
          <t>Quatro séries públicas de R$ 727,5 mm mais a 5ª série privada de R$ 22,5 mm.</t>
        </is>
      </c>
    </row>
    <row r="26">
      <c r="A26" s="21" t="inlineStr">
        <is>
          <t>CRI II</t>
        </is>
      </c>
      <c r="B26" s="21" t="inlineStr">
        <is>
          <t>Sub / PL</t>
        </is>
      </c>
      <c r="C26" s="22" t="inlineStr">
        <is>
          <t>35%</t>
        </is>
      </c>
      <c r="D26" s="22" t="inlineStr">
        <is>
          <t>35,0%</t>
        </is>
      </c>
      <c r="E26" s="23" t="inlineStr">
        <is>
          <t>confere</t>
        </is>
      </c>
      <c r="F26" s="21" t="inlineStr">
        <is>
          <t>Abaixo do Super Sênior: Sênior 135,0 + Mezanino 75,0 + Subordinado 30,0 + Subordinado Jr 22,5 = 262,5.</t>
        </is>
      </c>
    </row>
    <row r="27">
      <c r="A27" s="21" t="inlineStr">
        <is>
          <t>CRI II</t>
        </is>
      </c>
      <c r="B27" s="21" t="inlineStr">
        <is>
          <t>Duration</t>
        </is>
      </c>
      <c r="C27" s="22" t="inlineStr">
        <is>
          <t>em branco</t>
        </is>
      </c>
      <c r="D27" s="22" t="inlineStr">
        <is>
          <t>14</t>
        </is>
      </c>
      <c r="E27" s="26" t="inlineStr">
        <is>
          <t>preenchido</t>
        </is>
      </c>
      <c r="F27" s="21" t="inlineStr">
        <is>
          <t>1 ano e 2 meses, conforme o informe mensal de CRI de 08/2026.</t>
        </is>
      </c>
    </row>
    <row r="28">
      <c r="A28" s="21" t="inlineStr">
        <is>
          <t>CRI II</t>
        </is>
      </c>
      <c r="B28" s="21" t="inlineStr">
        <is>
          <t>Vencidos / Carteira</t>
        </is>
      </c>
      <c r="C28" s="22" t="inlineStr">
        <is>
          <t>em branco</t>
        </is>
      </c>
      <c r="D28" s="22" t="inlineStr">
        <is>
          <t>6,1%</t>
        </is>
      </c>
      <c r="E28" s="26" t="inlineStr">
        <is>
          <t>preenchido</t>
        </is>
      </c>
      <c r="F28" s="21" t="inlineStr"/>
    </row>
    <row r="29">
      <c r="A29" s="21" t="inlineStr">
        <is>
          <t>CRI II</t>
        </is>
      </c>
      <c r="B29" s="21" t="inlineStr">
        <is>
          <t>NPL &gt; 90d / Carteira</t>
        </is>
      </c>
      <c r="C29" s="22" t="inlineStr">
        <is>
          <t>em branco</t>
        </is>
      </c>
      <c r="D29" s="22" t="inlineStr">
        <is>
          <t>3,9%</t>
        </is>
      </c>
      <c r="E29" s="26" t="inlineStr">
        <is>
          <t>preenchido</t>
        </is>
      </c>
      <c r="F29" s="21" t="inlineStr"/>
    </row>
    <row r="30">
      <c r="A30" s="21" t="inlineStr">
        <is>
          <t>CRI II</t>
        </is>
      </c>
      <c r="B30" s="21" t="inlineStr">
        <is>
          <t>Cobertura PDD / NPL</t>
        </is>
      </c>
      <c r="C30" s="22" t="inlineStr">
        <is>
          <t>em branco</t>
        </is>
      </c>
      <c r="D30" s="22" t="inlineStr">
        <is>
          <t>307%</t>
        </is>
      </c>
      <c r="E30" s="26" t="inlineStr">
        <is>
          <t>preenchido</t>
        </is>
      </c>
      <c r="F30" s="21" t="inlineStr">
        <is>
          <t>PDD 46,94 ÷ NPL&gt;90d 15,31.</t>
        </is>
      </c>
    </row>
    <row r="31">
      <c r="A31" s="21" t="inlineStr">
        <is>
          <t>CRI IV</t>
        </is>
      </c>
      <c r="B31" s="21" t="inlineStr">
        <is>
          <t>Valor total</t>
        </is>
      </c>
      <c r="C31" s="22" t="inlineStr">
        <is>
          <t>450</t>
        </is>
      </c>
      <c r="D31" s="22" t="inlineStr">
        <is>
          <t>450,0</t>
        </is>
      </c>
      <c r="E31" s="23" t="inlineStr">
        <is>
          <t>confere</t>
        </is>
      </c>
      <c r="F31" s="21" t="inlineStr">
        <is>
          <t>Seis séries públicas de R$ 436,5 mm mais a 7ª série privada de R$ 13,5 mm.</t>
        </is>
      </c>
    </row>
    <row r="32">
      <c r="A32" s="21" t="inlineStr">
        <is>
          <t>CRI IV</t>
        </is>
      </c>
      <c r="B32" s="21" t="inlineStr">
        <is>
          <t>Sub / PL</t>
        </is>
      </c>
      <c r="C32" s="22" t="inlineStr">
        <is>
          <t>35%</t>
        </is>
      </c>
      <c r="D32" s="22" t="inlineStr">
        <is>
          <t>35,0%</t>
        </is>
      </c>
      <c r="E32" s="23" t="inlineStr">
        <is>
          <t>confere</t>
        </is>
      </c>
      <c r="F32" s="21" t="inlineStr">
        <is>
          <t>Abaixo do Super Sênior A e B: 54,0 + 27,0 + 45,0 + 18,0 + 13,5 = 157,5.</t>
        </is>
      </c>
    </row>
    <row r="33">
      <c r="A33" s="21" t="inlineStr">
        <is>
          <t>CRI IV</t>
        </is>
      </c>
      <c r="B33" s="21" t="inlineStr">
        <is>
          <t>Duration</t>
        </is>
      </c>
      <c r="C33" s="22" t="inlineStr">
        <is>
          <t>em branco</t>
        </is>
      </c>
      <c r="D33" s="22" t="inlineStr">
        <is>
          <t>48</t>
        </is>
      </c>
      <c r="E33" s="26" t="inlineStr">
        <is>
          <t>preenchido</t>
        </is>
      </c>
      <c r="F33" s="21" t="inlineStr">
        <is>
          <t>4 anos, conforme o informe de 08/2026. O campo é texto livre e os emissores preenchem de forma inconsistente.</t>
        </is>
      </c>
    </row>
    <row r="34">
      <c r="A34" s="21" t="inlineStr">
        <is>
          <t>CRI IV</t>
        </is>
      </c>
      <c r="B34" s="21" t="inlineStr">
        <is>
          <t>Vencidos / Carteira</t>
        </is>
      </c>
      <c r="C34" s="22" t="inlineStr">
        <is>
          <t>em branco</t>
        </is>
      </c>
      <c r="D34" s="22" t="inlineStr">
        <is>
          <t>1,5%</t>
        </is>
      </c>
      <c r="E34" s="26" t="inlineStr">
        <is>
          <t>preenchido</t>
        </is>
      </c>
      <c r="F34" s="21" t="inlineStr"/>
    </row>
    <row r="35">
      <c r="A35" s="21" t="inlineStr">
        <is>
          <t>CRI IV</t>
        </is>
      </c>
      <c r="B35" s="21" t="inlineStr">
        <is>
          <t>NPL &gt; 90d / Carteira</t>
        </is>
      </c>
      <c r="C35" s="22" t="inlineStr">
        <is>
          <t>em branco</t>
        </is>
      </c>
      <c r="D35" s="22" t="inlineStr">
        <is>
          <t>0,7%</t>
        </is>
      </c>
      <c r="E35" s="26" t="inlineStr">
        <is>
          <t>preenchido</t>
        </is>
      </c>
      <c r="F35" s="21" t="inlineStr"/>
    </row>
    <row r="36">
      <c r="A36" s="21" t="inlineStr">
        <is>
          <t>CRI IV</t>
        </is>
      </c>
      <c r="B36" s="21" t="inlineStr">
        <is>
          <t>Cobertura PDD / NPL</t>
        </is>
      </c>
      <c r="C36" s="22" t="inlineStr">
        <is>
          <t>em branco</t>
        </is>
      </c>
      <c r="D36" s="22" t="inlineStr">
        <is>
          <t>599%</t>
        </is>
      </c>
      <c r="E36" s="26" t="inlineStr">
        <is>
          <t>preenchido</t>
        </is>
      </c>
      <c r="F36" s="21" t="inlineStr">
        <is>
          <t>PDD 15,80 ÷ NPL&gt;90d 2,64.</t>
        </is>
      </c>
    </row>
    <row r="37">
      <c r="A37" s="21" t="inlineStr">
        <is>
          <t>CRI VI</t>
        </is>
      </c>
      <c r="B37" s="21" t="inlineStr">
        <is>
          <t>Valor total</t>
        </is>
      </c>
      <c r="C37" s="22" t="inlineStr">
        <is>
          <t>456</t>
        </is>
      </c>
      <c r="D37" s="22" t="inlineStr">
        <is>
          <t>450,0</t>
        </is>
      </c>
      <c r="E37" s="24" t="inlineStr">
        <is>
          <t>ajustado</t>
        </is>
      </c>
      <c r="F37" s="21" t="inlineStr">
        <is>
          <t>450,0 é o integralizado até 31/08/2026; 456 corresponde ao saldo atualizado das séries (457,2). O registro total da oferta é de R$ 647,1 mm com a série privada.</t>
        </is>
      </c>
    </row>
    <row r="38">
      <c r="A38" s="21" t="inlineStr">
        <is>
          <t>CRI VI</t>
        </is>
      </c>
      <c r="B38" s="21" t="inlineStr">
        <is>
          <t>Sub / PL</t>
        </is>
      </c>
      <c r="C38" s="22" t="inlineStr">
        <is>
          <t>16%</t>
        </is>
      </c>
      <c r="D38" s="22" t="inlineStr">
        <is>
          <t>15,0%</t>
        </is>
      </c>
      <c r="E38" s="25" t="inlineStr">
        <is>
          <t>corrigido</t>
        </is>
      </c>
      <c r="F38" s="21" t="inlineStr">
        <is>
          <t>Abaixo do Sênior A e B: Mezanino I 36,0 + Mezanino II 18,0 + Subordinada 13,5 = 67,5 sobre 450,0.</t>
        </is>
      </c>
    </row>
    <row r="39">
      <c r="A39" s="21" t="inlineStr">
        <is>
          <t>CRI VI</t>
        </is>
      </c>
      <c r="B39" s="21" t="inlineStr">
        <is>
          <t>Duration</t>
        </is>
      </c>
      <c r="C39" s="22" t="inlineStr">
        <is>
          <t>em branco</t>
        </is>
      </c>
      <c r="D39" s="22" t="inlineStr">
        <is>
          <t>27</t>
        </is>
      </c>
      <c r="E39" s="26" t="inlineStr">
        <is>
          <t>preenchido</t>
        </is>
      </c>
      <c r="F39" s="21" t="inlineStr">
        <is>
          <t>26,73 meses, conforme o informe de 08/2026.</t>
        </is>
      </c>
    </row>
    <row r="40">
      <c r="A40" s="21" t="inlineStr">
        <is>
          <t>CRI VI</t>
        </is>
      </c>
      <c r="B40" s="21" t="inlineStr">
        <is>
          <t>Vencidos / Carteira</t>
        </is>
      </c>
      <c r="C40" s="22" t="inlineStr">
        <is>
          <t>em branco</t>
        </is>
      </c>
      <c r="D40" s="22" t="inlineStr">
        <is>
          <t>0,3%</t>
        </is>
      </c>
      <c r="E40" s="26" t="inlineStr">
        <is>
          <t>preenchido</t>
        </is>
      </c>
      <c r="F40" s="21" t="inlineStr">
        <is>
          <t>Carteira originada em julho; atraso concentrado na faixa de 1 a 30 dias.</t>
        </is>
      </c>
    </row>
    <row r="41">
      <c r="A41" s="21" t="inlineStr">
        <is>
          <t>CRI VI</t>
        </is>
      </c>
      <c r="B41" s="21" t="inlineStr">
        <is>
          <t>NPL &gt; 90d / Carteira</t>
        </is>
      </c>
      <c r="C41" s="22" t="inlineStr">
        <is>
          <t>em branco</t>
        </is>
      </c>
      <c r="D41" s="22" t="inlineStr">
        <is>
          <t>0,0%</t>
        </is>
      </c>
      <c r="E41" s="26" t="inlineStr">
        <is>
          <t>preenchido</t>
        </is>
      </c>
      <c r="F41" s="21" t="inlineStr">
        <is>
          <t>Nenhum contrato acima de 90 dias.</t>
        </is>
      </c>
    </row>
    <row r="42">
      <c r="A42" s="21" t="inlineStr">
        <is>
          <t>CRI VI</t>
        </is>
      </c>
      <c r="B42" s="21" t="inlineStr">
        <is>
          <t>Cobertura PDD / NPL</t>
        </is>
      </c>
      <c r="C42" s="22" t="inlineStr">
        <is>
          <t>em branco</t>
        </is>
      </c>
      <c r="D42" s="22" t="inlineStr">
        <is>
          <t>n.a.</t>
        </is>
      </c>
      <c r="E42" s="26" t="inlineStr">
        <is>
          <t>preenchido</t>
        </is>
      </c>
      <c r="F42" s="21" t="inlineStr">
        <is>
          <t>Sem NPL acima de 90 dias; a razão não é calculável.</t>
        </is>
      </c>
    </row>
    <row r="43">
      <c r="A43" s="21" t="inlineStr">
        <is>
          <t>CRI VI</t>
        </is>
      </c>
      <c r="B43" s="21" t="inlineStr">
        <is>
          <t>Rating</t>
        </is>
      </c>
      <c r="C43" s="22" t="inlineStr">
        <is>
          <t>Baa4 (interno)</t>
        </is>
      </c>
      <c r="D43" s="22" t="inlineStr">
        <is>
          <t>sem rating externo</t>
        </is>
      </c>
      <c r="E43" s="27" t="inlineStr">
        <is>
          <t>nota</t>
        </is>
      </c>
      <c r="F43" s="21" t="inlineStr">
        <is>
          <t>A 177ª emissão foi distribuída a investidores profissionais sem classificação de risco.</t>
        </is>
      </c>
    </row>
    <row r="44">
      <c r="A44" s="21" t="inlineStr">
        <is>
          <t>CRI II / IV / VI</t>
        </is>
      </c>
      <c r="B44" s="21" t="inlineStr">
        <is>
          <t>Tipo</t>
        </is>
      </c>
      <c r="C44" s="22" t="inlineStr">
        <is>
          <t>Super Sr / Sr; Derivativo</t>
        </is>
      </c>
      <c r="D44" s="22" t="inlineStr">
        <is>
          <t>mantido</t>
        </is>
      </c>
      <c r="E44" s="27" t="inlineStr">
        <is>
          <t>nota</t>
        </is>
      </c>
      <c r="F44" s="21" t="inlineStr">
        <is>
          <t>Classificação interna de exposição, não verificável em fonte pública.</t>
        </is>
      </c>
    </row>
    <row r="45">
      <c r="A45" s="21" t="inlineStr">
        <is>
          <t>CRI VI</t>
        </is>
      </c>
      <c r="B45" s="21" t="inlineStr">
        <is>
          <t>Super Sênior</t>
        </is>
      </c>
      <c r="C45" s="22" t="inlineStr">
        <is>
          <t>–</t>
        </is>
      </c>
      <c r="D45" s="22" t="inlineStr">
        <is>
          <t>não existe</t>
        </is>
      </c>
      <c r="E45" s="27" t="inlineStr">
        <is>
          <t>nota</t>
        </is>
      </c>
      <c r="F45" s="21" t="inlineStr">
        <is>
          <t>O termo de securitização da 177ª emissão não tem nenhuma série Super Sênior. A camada de topo é Sênior A e B, com razão de cobertura de 120,48%, contra 159,00% do Super Sênior do CRI II e 158,73% do CRI IV.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2026-10-19T18:34:25Z</dcterms:created>
  <dcterms:modified xmlns:dcterms="http://purl.org/dc/terms/" xmlns:xsi="http://www.w3.org/2001/XMLSchema-instance" xsi:type="dcterms:W3CDTF">2026-10-19T18:34:25Z</dcterms:modified>
</cp:coreProperties>
</file>