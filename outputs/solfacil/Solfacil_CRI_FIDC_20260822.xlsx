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4292c0f9d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ainel" sheetId="1" r:id="Rb4fccdc740f3485d"/>
    <x:sheet xmlns:r="http://schemas.openxmlformats.org/officeDocument/2006/relationships" name="01_Veiculos" sheetId="2" r:id="R937c195ae0f64fdf"/>
    <x:sheet xmlns:r="http://schemas.openxmlformats.org/officeDocument/2006/relationships" name="02_Series" sheetId="3" r:id="Re8c9e8329b1f4e5c"/>
    <x:sheet xmlns:r="http://schemas.openxmlformats.org/officeDocument/2006/relationships" name="03_Elegibilidade" sheetId="4" r:id="R2964e6272155496b"/>
    <x:sheet xmlns:r="http://schemas.openxmlformats.org/officeDocument/2006/relationships" name="04_Concentracao" sheetId="5" r:id="R0baaa54971184b8b"/>
    <x:sheet xmlns:r="http://schemas.openxmlformats.org/officeDocument/2006/relationships" name="05_Prazos_WAM" sheetId="6" r:id="R9538a56b05174960"/>
    <x:sheet xmlns:r="http://schemas.openxmlformats.org/officeDocument/2006/relationships" name="06_Waterfall" sheetId="7" r:id="Re569f3971d8e4d3d"/>
    <x:sheet xmlns:r="http://schemas.openxmlformats.org/officeDocument/2006/relationships" name="06b_Waterfall_Visual" sheetId="8" r:id="Rbf513602ac474291"/>
    <x:sheet xmlns:r="http://schemas.openxmlformats.org/officeDocument/2006/relationships" name="07_Subordinada" sheetId="9" r:id="R1bf23dcb19c24cb1"/>
    <x:sheet xmlns:r="http://schemas.openxmlformats.org/officeDocument/2006/relationships" name="08_PDD" sheetId="10" r:id="R80f6979062444546"/>
    <x:sheet xmlns:r="http://schemas.openxmlformats.org/officeDocument/2006/relationships" name="09_Eventos" sheetId="11" r:id="R7a830d60cbae44c2"/>
    <x:sheet xmlns:r="http://schemas.openxmlformats.org/officeDocument/2006/relationships" name="10_Subscritores" sheetId="12" r:id="R8a9d0de03c894882"/>
    <x:sheet xmlns:r="http://schemas.openxmlformats.org/officeDocument/2006/relationships" name="11_Matriz_FIDC_CRI" sheetId="13" r:id="Ra0c41502804046c8"/>
    <x:sheet xmlns:r="http://schemas.openxmlformats.org/officeDocument/2006/relationships" name="11b_Cessoes" sheetId="14" r:id="Rdbe6003cd5cd4378"/>
    <x:sheet xmlns:r="http://schemas.openxmlformats.org/officeDocument/2006/relationships" name="12_Custo_Captacao" sheetId="15" r:id="Rc2487940d1d041d6"/>
    <x:sheet xmlns:r="http://schemas.openxmlformats.org/officeDocument/2006/relationships" name="13_Cronograma_Pagamentos" sheetId="16" r:id="R680a30d954ea4778"/>
    <x:sheet xmlns:r="http://schemas.openxmlformats.org/officeDocument/2006/relationships" name="14_Antes_Depois" sheetId="17" r:id="Rb2ef82255c274432"/>
    <x:sheet xmlns:r="http://schemas.openxmlformats.org/officeDocument/2006/relationships" name="15_FIDC_vs_CRI" sheetId="18" r:id="R10c7c626f4d44610"/>
    <x:sheet xmlns:r="http://schemas.openxmlformats.org/officeDocument/2006/relationships" name="16_Conflitos" sheetId="19" r:id="R3c0185e8bbec4793"/>
    <x:sheet xmlns:r="http://schemas.openxmlformats.org/officeDocument/2006/relationships" name="17_Fontes" sheetId="20" r:id="R845f61bbd95d46f8"/>
    <x:sheet xmlns:r="http://schemas.openxmlformats.org/officeDocument/2006/relationships" name="18_Metodologia" sheetId="21" r:id="R278b220ae24a450e"/>
    <x:sheet xmlns:r="http://schemas.openxmlformats.org/officeDocument/2006/relationships" name="19_Glossario" sheetId="22" r:id="R9fb7ac3a7a1d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&quot;R$&quot; #,##0.0"/>
    <x:numFmt numFmtId="202" formatCode="#,##0.0"/>
    <x:numFmt numFmtId="203" formatCode="&quot;R$&quot; #,##0"/>
    <x:numFmt numFmtId="204" formatCode="0.0%"/>
    <x:numFmt numFmtId="205" formatCode="#,##0"/>
    <x:numFmt numFmtId="206" formatCode="&quot;R$&quot; #,##0,, &quot;mi&quot;"/>
  </x:numFmts>
  <x:fonts count="13">
    <x:font>
      <x:sz val="11"/>
      <x:name val="Carlito"/>
    </x:font>
    <x:font>
      <x:b/>
      <x:sz val="18"/>
      <x:color rgb="FFFFFFFF"/>
      <x:name val="Aptos Display"/>
    </x:font>
    <x:font>
      <x:sz val="11"/>
      <x:color rgb="FF3C3C3C"/>
      <x:name val="Aptos"/>
    </x:font>
    <x:font>
      <x:sz val="9"/>
      <x:color rgb="FF707070"/>
      <x:name val="Aptos"/>
    </x:font>
    <x:font>
      <x:b/>
      <x:sz val="9"/>
      <x:color rgb="FFFFFFFF"/>
      <x:name val="Aptos"/>
    </x:font>
    <x:font>
      <x:sz val="9"/>
      <x:color rgb="FF171717"/>
      <x:name val="Aptos"/>
    </x:font>
    <x:font>
      <x:i/>
      <x:sz val="8"/>
      <x:color rgb="FF707070"/>
      <x:name val="Aptos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0"/>
      <x:color rgb="FF171717"/>
      <x:name val="Carlito"/>
    </x:font>
    <x:font>
      <x:sz val="10"/>
      <x:color rgb="FF171717"/>
      <x:name val="Carlito"/>
    </x:font>
    <x:font>
      <x:sz val="8"/>
      <x:color rgb="FF707070"/>
      <x:name val="Aptos"/>
    </x:font>
    <x:font>
      <x:b/>
      <x:sz val="8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8D5"/>
      </x:patternFill>
    </x:fill>
    <x:fill>
      <x:patternFill patternType="solid">
        <x:fgColor rgb="FFE46C0A"/>
      </x:patternFill>
    </x:fill>
  </x:fills>
  <x:borders count="3">
    <x:border/>
    <x:border>
      <x:left style="thin">
        <x:color rgb="FF3C3C3C"/>
      </x:left>
      <x:right style="thin">
        <x:color rgb="FF3C3C3C"/>
      </x:right>
      <x:top style="thin">
        <x:color rgb="FF3C3C3C"/>
      </x:top>
      <x:bottom style="thin">
        <x:color rgb="FF3C3C3C"/>
      </x:bottom>
    </x:border>
    <x:border>
      <x:left style="thin">
        <x:color rgb="FFD7D7D7"/>
      </x:left>
      <x:right style="thin">
        <x:color rgb="FFD7D7D7"/>
      </x:right>
      <x:top style="thin">
        <x:color rgb="FFD7D7D7"/>
      </x:top>
      <x:bottom style="thin">
        <x:color rgb="FFD7D7D7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201" fontId="5" fillId="0" borderId="2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5" fontId="5" fillId="0" borderId="2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2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2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horizont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2" xfId="0" applyNumberFormat="1" applyFont="1" applyFill="1" applyBorder="1"/>
    <x:xf numFmtId="0" fontId="10" fillId="4" borderId="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horizont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6" fontId="0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/>
    <x:xf numFmtId="206" fontId="11" fillId="0" borderId="0" xfId="0" applyNumberFormat="1" applyFont="1" applyFill="1" applyBorder="1"/>
    <x:xf numFmtId="200" fontId="11" fillId="0" borderId="2" xfId="0" applyNumberFormat="1" applyFont="1" applyFill="1" applyBorder="1"/>
    <x:xf numFmtId="0" fontId="11" fillId="0" borderId="2" xfId="0" applyNumberFormat="1" applyFont="1" applyFill="1" applyBorder="1"/>
    <x:xf numFmtId="206" fontId="11" fillId="0" borderId="2" xfId="0" applyNumberFormat="1" applyFont="1" applyFill="1" applyBorder="1"/>
    <x:xf numFmtId="200" fontId="11" fillId="2" borderId="2" xfId="0" applyNumberFormat="1" applyFont="1" applyFill="1" applyBorder="1"/>
    <x:xf numFmtId="0" fontId="11" fillId="2" borderId="2" xfId="0" applyNumberFormat="1" applyFont="1" applyFill="1" applyBorder="1"/>
    <x:xf numFmtId="200" fontId="12" fillId="2" borderId="2" xfId="0" applyNumberFormat="1" applyFont="1" applyFill="1" applyBorder="1"/>
    <x:xf numFmtId="0" fontId="12" fillId="2" borderId="2" xfId="0" applyNumberFormat="1" applyFont="1" applyFill="1" applyBorder="1"/>
    <x:xf numFmtId="200" fontId="12" fillId="2" borderId="2" xfId="0" applyNumberFormat="1" applyFont="1" applyFill="1" applyBorder="1" applyAlignment="1">
      <x:alignment wrapText="1"/>
    </x:xf>
    <x:xf numFmtId="0" fontId="12" fillId="2" borderId="2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horizont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11" fillId="2" borderId="2" xfId="0" applyNumberFormat="1" applyFont="1" applyFill="1" applyBorder="1" applyAlignment="1">
      <x:alignment horizontal="center" vertical="center"/>
    </x:xf>
    <x:xf numFmtId="0" fontId="12" fillId="2" borderId="2" xfId="0" applyNumberFormat="1" applyFont="1" applyFill="1" applyBorder="1" applyAlignment="1">
      <x:alignment horizontal="center" vertical="center"/>
    </x:xf>
    <x:xf numFmtId="0" fontId="12" fillId="2" borderId="2" xfId="0" applyNumberFormat="1" applyFont="1" applyFill="1" applyBorder="1" applyAlignment="1">
      <x:alignment horizontal="center" vertical="center" wrapText="1"/>
    </x:xf>
    <x:xf numFmtId="204" fontId="1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71717"/>
      </x:font>
      <x:fill>
        <x:patternFill patternType="solid">
          <x:bgColor rgb="FFFCE8D5"/>
        </x:patternFill>
      </x:fill>
    </x:dxf>
    <x:dxf>
      <x:font>
        <x:b/>
        <x:color rgb="FF171717"/>
      </x:font>
      <x:fill>
        <x:patternFill patternType="solid">
          <x:bgColor rgb="FFFCE8D5"/>
        </x:patternFill>
      </x:fill>
    </x:dxf>
    <x:dxf>
      <x:font>
        <x:b/>
        <x:color rgb="FF171717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6461e34064798" /><Relationship Type="http://schemas.openxmlformats.org/officeDocument/2006/relationships/theme" Target="/xl/theme/theme1.xml" Id="Rb425ff5778944022" /><Relationship Type="http://schemas.openxmlformats.org/officeDocument/2006/relationships/sharedStrings" Target="/xl/sharedStrings.xml" Id="Rb92f6b981ddc42ef" /><Relationship Type="http://schemas.openxmlformats.org/officeDocument/2006/relationships/worksheet" Target="/xl/worksheets/sheet1.xml" Id="Rb4fccdc740f3485d" /><Relationship Type="http://schemas.openxmlformats.org/officeDocument/2006/relationships/worksheet" Target="/xl/worksheets/sheet2.xml" Id="R937c195ae0f64fdf" /><Relationship Type="http://schemas.openxmlformats.org/officeDocument/2006/relationships/worksheet" Target="/xl/worksheets/sheet3.xml" Id="Re8c9e8329b1f4e5c" /><Relationship Type="http://schemas.openxmlformats.org/officeDocument/2006/relationships/worksheet" Target="/xl/worksheets/sheet4.xml" Id="R2964e6272155496b" /><Relationship Type="http://schemas.openxmlformats.org/officeDocument/2006/relationships/worksheet" Target="/xl/worksheets/sheet5.xml" Id="R0baaa54971184b8b" /><Relationship Type="http://schemas.openxmlformats.org/officeDocument/2006/relationships/worksheet" Target="/xl/worksheets/sheet6.xml" Id="R9538a56b05174960" /><Relationship Type="http://schemas.openxmlformats.org/officeDocument/2006/relationships/worksheet" Target="/xl/worksheets/sheet7.xml" Id="Re569f3971d8e4d3d" /><Relationship Type="http://schemas.openxmlformats.org/officeDocument/2006/relationships/worksheet" Target="/xl/worksheets/sheet8.xml" Id="Rbf513602ac474291" /><Relationship Type="http://schemas.openxmlformats.org/officeDocument/2006/relationships/worksheet" Target="/xl/worksheets/sheet9.xml" Id="R1bf23dcb19c24cb1" /><Relationship Type="http://schemas.openxmlformats.org/officeDocument/2006/relationships/worksheet" Target="/xl/worksheets/sheet10.xml" Id="R80f6979062444546" /><Relationship Type="http://schemas.openxmlformats.org/officeDocument/2006/relationships/worksheet" Target="/xl/worksheets/sheet11.xml" Id="R7a830d60cbae44c2" /><Relationship Type="http://schemas.openxmlformats.org/officeDocument/2006/relationships/worksheet" Target="/xl/worksheets/sheet12.xml" Id="R8a9d0de03c894882" /><Relationship Type="http://schemas.openxmlformats.org/officeDocument/2006/relationships/worksheet" Target="/xl/worksheets/sheet13.xml" Id="Ra0c41502804046c8" /><Relationship Type="http://schemas.openxmlformats.org/officeDocument/2006/relationships/worksheet" Target="/xl/worksheets/sheet14.xml" Id="Rdbe6003cd5cd4378" /><Relationship Type="http://schemas.openxmlformats.org/officeDocument/2006/relationships/worksheet" Target="/xl/worksheets/sheet15.xml" Id="Rc2487940d1d041d6" /><Relationship Type="http://schemas.openxmlformats.org/officeDocument/2006/relationships/worksheet" Target="/xl/worksheets/sheet16.xml" Id="R680a30d954ea4778" /><Relationship Type="http://schemas.openxmlformats.org/officeDocument/2006/relationships/worksheet" Target="/xl/worksheets/sheet17.xml" Id="Rb2ef82255c274432" /><Relationship Type="http://schemas.openxmlformats.org/officeDocument/2006/relationships/worksheet" Target="/xl/worksheets/sheet18.xml" Id="R10c7c626f4d44610" /><Relationship Type="http://schemas.openxmlformats.org/officeDocument/2006/relationships/worksheet" Target="/xl/worksheets/sheet19.xml" Id="R3c0185e8bbec4793" /><Relationship Type="http://schemas.openxmlformats.org/officeDocument/2006/relationships/worksheet" Target="/xl/worksheets/sheet20.xml" Id="R845f61bbd95d46f8" /><Relationship Type="http://schemas.openxmlformats.org/officeDocument/2006/relationships/worksheet" Target="/xl/worksheets/sheet21.xml" Id="R278b220ae24a450e" /><Relationship Type="http://schemas.openxmlformats.org/officeDocument/2006/relationships/worksheet" Target="/xl/worksheets/sheet22.xml" Id="R9fb7ac3a7a1d47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64cc83e9fe47e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576f4feea70459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dc841cfbc6241cd" /><Relationship Type="http://schemas.openxmlformats.org/officeDocument/2006/relationships/chart" Target="/xl/drawings/charts/chart4.xml" Id="R3aae0478120746c1" /><Relationship Type="http://schemas.openxmlformats.org/officeDocument/2006/relationships/chart" Target="/xl/drawings/charts/chart5.xml" Id="Rcc385fcfc24a4075" /><Relationship Type="http://schemas.openxmlformats.org/officeDocument/2006/relationships/chart" Target="/xl/drawings/charts/chart6.xml" Id="R46e7354853f94267" /><Relationship Type="http://schemas.openxmlformats.org/officeDocument/2006/relationships/chart" Target="/xl/drawings/charts/chart7.xml" Id="R61dac05cf6aa402c" /><Relationship Type="http://schemas.openxmlformats.org/officeDocument/2006/relationships/chart" Target="/xl/drawings/charts/chart8.xml" Id="Rf9f22cc48d7d4ade" /><Relationship Type="http://schemas.openxmlformats.org/officeDocument/2006/relationships/chart" Target="/xl/drawings/charts/chart9.xml" Id="R8c023daf37a2459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ade42575f7b14b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Prazo do recebível e do veículo (meses)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Prazo máximo do recebível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'05_Prazos_WAM'!$A$6:$A$18</c:f>
              <c:strCache>
                <c:ptCount val="0"/>
              </c:strCache>
            </c:strRef>
          </c:cat>
          <c:val>
            <c:numRef>
              <c:f>'05_Prazos_WAM'!$E$6:$E$18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Prazo do veículo / série mais longa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'05_Prazos_WAM'!$A$6:$A$18</c:f>
              <c:strCache>
                <c:ptCount val="0"/>
              </c:strCache>
            </c:strRef>
          </c:cat>
          <c:val>
            <c:numRef>
              <c:f>'05_Prazos_WAM'!$G$6:$G$18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PDD e saldo acima de 90 dias (% da carteira)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PDD observada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'08_PDD'!$A$6:$A$18</c:f>
              <c:strCache>
                <c:ptCount val="0"/>
              </c:strCache>
            </c:strRef>
          </c:cat>
          <c:val>
            <c:numRef>
              <c:f>'08_PDD'!$M$6:$M$18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Saldo &gt;90d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'08_PDD'!$A$6:$A$18</c:f>
              <c:strCache>
                <c:ptCount val="0"/>
              </c:strCache>
            </c:strRef>
          </c:cat>
          <c:val>
            <c:numRef>
              <c:f>'08_PDD'!$N$6:$N$18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CRI_K1 — saldo realizado por camada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'13_Cronograma_Pagamentos'!$P$6:$P$29</c:f>
              <c:strCache>
                <c:ptCount val="0"/>
              </c:strCache>
            </c:strRef>
          </c:cat>
          <c:val>
            <c:numRef>
              <c:f>'13_Cronograma_Pagamentos'!$Q$6:$Q$29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'13_Cronograma_Pagamentos'!$P$6:$P$29</c:f>
              <c:strCache>
                <c:ptCount val="0"/>
              </c:strCache>
            </c:strRef>
          </c:cat>
          <c:val>
            <c:numRef>
              <c:f>'13_Cronograma_Pagamentos'!$R$6:$R$29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'13_Cronograma_Pagamentos'!$P$6:$P$29</c:f>
              <c:strCache>
                <c:ptCount val="0"/>
              </c:strCache>
            </c:strRef>
          </c:cat>
          <c:val>
            <c:numRef>
              <c:f>'13_Cronograma_Pagamentos'!$S$6:$S$29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'13_Cronograma_Pagamentos'!$P$6:$P$29</c:f>
              <c:strCache>
                <c:ptCount val="0"/>
              </c:strCache>
            </c:strRef>
          </c:cat>
          <c:val>
            <c:numRef>
              <c:f>'13_Cronograma_Pagamentos'!$T$6:$T$29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CRI_K2 — saldo realizado por camada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'13_Cronograma_Pagamentos'!$P$41:$P$61</c:f>
              <c:strCache>
                <c:ptCount val="0"/>
              </c:strCache>
            </c:strRef>
          </c:cat>
          <c:val>
            <c:numRef>
              <c:f>'13_Cronograma_Pagamentos'!$Q$41:$Q$61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'13_Cronograma_Pagamentos'!$P$41:$P$61</c:f>
              <c:strCache>
                <c:ptCount val="0"/>
              </c:strCache>
            </c:strRef>
          </c:cat>
          <c:val>
            <c:numRef>
              <c:f>'13_Cronograma_Pagamentos'!$R$41:$R$61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'13_Cronograma_Pagamentos'!$P$41:$P$61</c:f>
              <c:strCache>
                <c:ptCount val="0"/>
              </c:strCache>
            </c:strRef>
          </c:cat>
          <c:val>
            <c:numRef>
              <c:f>'13_Cronograma_Pagamentos'!$S$41:$S$61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'13_Cronograma_Pagamentos'!$P$41:$P$61</c:f>
              <c:strCache>
                <c:ptCount val="0"/>
              </c:strCache>
            </c:strRef>
          </c:cat>
          <c:val>
            <c:numRef>
              <c:f>'13_Cronograma_Pagamentos'!$T$41:$T$61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CRI_K3 — saldo realizado por camada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'13_Cronograma_Pagamentos'!$P$76:$P$78</c:f>
              <c:strCache>
                <c:ptCount val="0"/>
              </c:strCache>
            </c:strRef>
          </c:cat>
          <c:val>
            <c:numRef>
              <c:f>'13_Cronograma_Pagamentos'!$Q$76:$Q$78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'13_Cronograma_Pagamentos'!$P$76:$P$78</c:f>
              <c:strCache>
                <c:ptCount val="0"/>
              </c:strCache>
            </c:strRef>
          </c:cat>
          <c:val>
            <c:numRef>
              <c:f>'13_Cronograma_Pagamentos'!$R$76:$R$78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'13_Cronograma_Pagamentos'!$P$76:$P$78</c:f>
              <c:strCache>
                <c:ptCount val="0"/>
              </c:strCache>
            </c:strRef>
          </c:cat>
          <c:val>
            <c:numRef>
              <c:f>'13_Cronograma_Pagamentos'!$S$76:$S$78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'13_Cronograma_Pagamentos'!$P$76:$P$78</c:f>
              <c:strCache>
                <c:ptCount val="0"/>
              </c:strCache>
            </c:strRef>
          </c:cat>
          <c:val>
            <c:numRef>
              <c:f>'13_Cronograma_Pagamentos'!$T$76:$T$78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CRI_K4 — saldo realizado por camada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'13_Cronograma_Pagamentos'!$P$111:$P$116</c:f>
              <c:strCache>
                <c:ptCount val="0"/>
              </c:strCache>
            </c:strRef>
          </c:cat>
          <c:val>
            <c:numRef>
              <c:f>'13_Cronograma_Pagamentos'!$Q$111:$Q$116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'13_Cronograma_Pagamentos'!$P$111:$P$116</c:f>
              <c:strCache>
                <c:ptCount val="0"/>
              </c:strCache>
            </c:strRef>
          </c:cat>
          <c:val>
            <c:numRef>
              <c:f>'13_Cronograma_Pagamentos'!$R$111:$R$116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'13_Cronograma_Pagamentos'!$P$111:$P$116</c:f>
              <c:strCache>
                <c:ptCount val="0"/>
              </c:strCache>
            </c:strRef>
          </c:cat>
          <c:val>
            <c:numRef>
              <c:f>'13_Cronograma_Pagamentos'!$S$111:$S$116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'13_Cronograma_Pagamentos'!$P$111:$P$116</c:f>
              <c:strCache>
                <c:ptCount val="0"/>
              </c:strCache>
            </c:strRef>
          </c:cat>
          <c:val>
            <c:numRef>
              <c:f>'13_Cronograma_Pagamentos'!$T$111:$T$116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CRI_V174 — saldo realizado por camada (R$) — n/d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'13_Cronograma_Pagamentos'!$P$146</c:f>
              <c:strCache>
                <c:ptCount val="0"/>
              </c:strCache>
            </c:strRef>
          </c:cat>
          <c:val>
            <c:numRef>
              <c:f>'13_Cronograma_Pagamentos'!$Q$146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'13_Cronograma_Pagamentos'!$P$146</c:f>
              <c:strCache>
                <c:ptCount val="0"/>
              </c:strCache>
            </c:strRef>
          </c:cat>
          <c:val>
            <c:numRef>
              <c:f>'13_Cronograma_Pagamentos'!$R$146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'13_Cronograma_Pagamentos'!$P$146</c:f>
              <c:strCache>
                <c:ptCount val="0"/>
              </c:strCache>
            </c:strRef>
          </c:cat>
          <c:val>
            <c:numRef>
              <c:f>'13_Cronograma_Pagamentos'!$S$146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'13_Cronograma_Pagamentos'!$P$146</c:f>
              <c:strCache>
                <c:ptCount val="0"/>
              </c:strCache>
            </c:strRef>
          </c:cat>
          <c:val>
            <c:numRef>
              <c:f>'13_Cronograma_Pagamentos'!$T$146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CRI_V177 — saldo realizado por camada (R$) — n/d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'13_Cronograma_Pagamentos'!$P$181</c:f>
              <c:strCache>
                <c:ptCount val="0"/>
              </c:strCache>
            </c:strRef>
          </c:cat>
          <c:val>
            <c:numRef>
              <c:f>'13_Cronograma_Pagamentos'!$Q$181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'13_Cronograma_Pagamentos'!$P$181</c:f>
              <c:strCache>
                <c:ptCount val="0"/>
              </c:strCache>
            </c:strRef>
          </c:cat>
          <c:val>
            <c:numRef>
              <c:f>'13_Cronograma_Pagamentos'!$R$181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'13_Cronograma_Pagamentos'!$P$181</c:f>
              <c:strCache>
                <c:ptCount val="0"/>
              </c:strCache>
            </c:strRef>
          </c:cat>
          <c:val>
            <c:numRef>
              <c:f>'13_Cronograma_Pagamentos'!$S$181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'13_Cronograma_Pagamentos'!$P$181</c:f>
              <c:strCache>
                <c:ptCount val="0"/>
              </c:strCache>
            </c:strRef>
          </c:cat>
          <c:val>
            <c:numRef>
              <c:f>'13_Cronograma_Pagamentos'!$T$181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Consolidado — saldo realizado por camada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Super Sênior</c:v>
          </c:tx>
          <c:spPr>
            <a:solidFill xmlns:a="http://schemas.openxmlformats.org/drawingml/2006/main">
              <a:srgbClr val="E46C0A"/>
            </a:solidFill>
          </c:spPr>
          <c:cat>
            <c:strRef>
              <c:f>'13_Cronograma_Pagamentos'!$P$216:$P$226</c:f>
              <c:strCache>
                <c:ptCount val="0"/>
              </c:strCache>
            </c:strRef>
          </c:cat>
          <c:val>
            <c:numRef>
              <c:f>'13_Cronograma_Pagamentos'!$Q$216:$Q$226</c:f>
              <c:numCache>
                <c:formatCode>"R$" #,##0,, "mi"</c:formatCode>
                <c:ptCount val="0"/>
              </c:numCache>
            </c:numRef>
          </c:val>
        </c:ser>
        <c:ser>
          <c:idx val="1"/>
          <c:order val="1"/>
          <c:tx>
            <c:v>Sênior</c:v>
          </c:tx>
          <c:spPr>
            <a:solidFill xmlns:a="http://schemas.openxmlformats.org/drawingml/2006/main">
              <a:srgbClr val="3C3C3C"/>
            </a:solidFill>
          </c:spPr>
          <c:cat>
            <c:strRef>
              <c:f>'13_Cronograma_Pagamentos'!$P$216:$P$226</c:f>
              <c:strCache>
                <c:ptCount val="0"/>
              </c:strCache>
            </c:strRef>
          </c:cat>
          <c:val>
            <c:numRef>
              <c:f>'13_Cronograma_Pagamentos'!$R$216:$R$226</c:f>
              <c:numCache>
                <c:formatCode>"R$" #,##0,, "mi"</c:formatCode>
                <c:ptCount val="0"/>
              </c:numCache>
            </c:numRef>
          </c:val>
        </c:ser>
        <c:ser>
          <c:idx val="2"/>
          <c:order val="2"/>
          <c:tx>
            <c:v>Mezanino</c:v>
          </c:tx>
          <c:spPr>
            <a:solidFill xmlns:a="http://schemas.openxmlformats.org/drawingml/2006/main">
              <a:srgbClr val="707070"/>
            </a:solidFill>
          </c:spPr>
          <c:cat>
            <c:strRef>
              <c:f>'13_Cronograma_Pagamentos'!$P$216:$P$226</c:f>
              <c:strCache>
                <c:ptCount val="0"/>
              </c:strCache>
            </c:strRef>
          </c:cat>
          <c:val>
            <c:numRef>
              <c:f>'13_Cronograma_Pagamentos'!$S$216:$S$226</c:f>
              <c:numCache>
                <c:formatCode>"R$" #,##0,, "mi"</c:formatCode>
                <c:ptCount val="0"/>
              </c:numCache>
            </c:numRef>
          </c:val>
        </c:ser>
        <c:ser>
          <c:idx val="3"/>
          <c:order val="3"/>
          <c:tx>
            <c:v>Subordinada/Júnior</c:v>
          </c:tx>
          <c:spPr>
            <a:solidFill xmlns:a="http://schemas.openxmlformats.org/drawingml/2006/main">
              <a:srgbClr val="B8B8B8"/>
            </a:solidFill>
          </c:spPr>
          <c:cat>
            <c:strRef>
              <c:f>'13_Cronograma_Pagamentos'!$P$216:$P$226</c:f>
              <c:strCache>
                <c:ptCount val="0"/>
              </c:strCache>
            </c:strRef>
          </c:cat>
          <c:val>
            <c:numRef>
              <c:f>'13_Cronograma_Pagamentos'!$T$216:$T$226</c:f>
              <c:numCache>
                <c:formatCode>"R$" #,##0,, "mi"</c:formatCode>
                <c:ptCount val="0"/>
              </c:numCache>
            </c:numRef>
          </c:val>
        </c:ser>
        <c:overlap val="10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&quot;R$&quot; #,##0,,&quot; m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solidFill>
                <a:srgbClr val="3C3C3C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PDD em torno das cessões (t=0)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FIDC_II / CRI_K1</c:v>
          </c:tx>
          <c:spPr>
            <a:solidFill xmlns:a="http://schemas.openxmlformats.org/drawingml/2006/main">
              <a:srgbClr val="E46C0A"/>
            </a:solidFill>
          </c:spPr>
          <c:marker>
            <c:symbol val="none"/>
          </c:marker>
          <c:cat>
            <c:strRef>
              <c:f>'14_Antes_Depois'!$R$6:$R$12</c:f>
              <c:strCache>
                <c:ptCount val="0"/>
              </c:strCache>
            </c:strRef>
          </c:cat>
          <c:val>
            <c:numRef>
              <c:f>'14_Antes_Depois'!$S$6:$S$12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FIDC_IV / CRI_K1</c:v>
          </c:tx>
          <c:spPr>
            <a:solidFill xmlns:a="http://schemas.openxmlformats.org/drawingml/2006/main">
              <a:srgbClr val="F2A15B"/>
            </a:solidFill>
          </c:spPr>
          <c:marker>
            <c:symbol val="none"/>
          </c:marker>
          <c:cat>
            <c:strRef>
              <c:f>'14_Antes_Depois'!$R$6:$R$12</c:f>
              <c:strCache>
                <c:ptCount val="0"/>
              </c:strCache>
            </c:strRef>
          </c:cat>
          <c:val>
            <c:numRef>
              <c:f>'14_Antes_Depois'!$T$6:$T$12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FIDC_II / CRI_K2</c:v>
          </c:tx>
          <c:spPr>
            <a:solidFill xmlns:a="http://schemas.openxmlformats.org/drawingml/2006/main">
              <a:srgbClr val="3C3C3C"/>
            </a:solidFill>
          </c:spPr>
          <c:marker>
            <c:symbol val="none"/>
          </c:marker>
          <c:cat>
            <c:strRef>
              <c:f>'14_Antes_Depois'!$R$6:$R$12</c:f>
              <c:strCache>
                <c:ptCount val="0"/>
              </c:strCache>
            </c:strRef>
          </c:cat>
          <c:val>
            <c:numRef>
              <c:f>'14_Antes_Depois'!$U$6:$U$12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FIDC_IV / CRI_K2</c:v>
          </c:tx>
          <c:spPr>
            <a:solidFill xmlns:a="http://schemas.openxmlformats.org/drawingml/2006/main">
              <a:srgbClr val="707070"/>
            </a:solidFill>
          </c:spPr>
          <c:marker>
            <c:symbol val="none"/>
          </c:marker>
          <c:cat>
            <c:strRef>
              <c:f>'14_Antes_Depois'!$R$6:$R$12</c:f>
              <c:strCache>
                <c:ptCount val="0"/>
              </c:strCache>
            </c:strRef>
          </c:cat>
          <c:val>
            <c:numRef>
              <c:f>'14_Antes_Depois'!$V$6:$V$12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Evento t=0</c:v>
          </c:tx>
          <c:spPr>
            <a:solidFill xmlns:a="http://schemas.openxmlformats.org/drawingml/2006/main">
              <a:srgbClr val="171717"/>
            </a:solidFill>
          </c:spPr>
          <c:marker>
            <c:symbol val="none"/>
          </c:marker>
          <c:cat>
            <c:strRef>
              <c:f>'14_Antes_Depois'!$R$6:$R$12</c:f>
              <c:strCache>
                <c:ptCount val="0"/>
              </c:strCache>
            </c:strRef>
          </c:cat>
          <c:val>
            <c:numRef>
              <c:f>'14_Antes_Depois'!$W$6:$W$12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7D7D7"/>
              </a:solidFill>
              <a:prstDash val="solid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64cc83e9fe47e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4</xdr:row>
      <xdr:rowOff>0</xdr:rowOff>
    </xdr:from>
    <xdr:to>
      <xdr:col>36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76f4feea70459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c841cfbc6241cd"/>
        </a:graphicData>
      </a:graphic>
    </xdr:graphicFrame>
    <xdr:clientData/>
  </xdr:twoCellAnchor>
  <xdr:twoCellAnchor>
    <xdr:from>
      <xdr:col>27</xdr:col>
      <xdr:colOff>0</xdr:colOff>
      <xdr:row>4</xdr:row>
      <xdr:rowOff>0</xdr:rowOff>
    </xdr:from>
    <xdr:to>
      <xdr:col>38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ae0478120746c1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385fcfc24a4075"/>
        </a:graphicData>
      </a:graphic>
    </xdr:graphicFrame>
    <xdr:clientData/>
  </xdr:twoCellAnchor>
  <xdr:twoCellAnchor>
    <xdr:from>
      <xdr:col>27</xdr:col>
      <xdr:colOff>0</xdr:colOff>
      <xdr:row>26</xdr:row>
      <xdr:rowOff>0</xdr:rowOff>
    </xdr:from>
    <xdr:to>
      <xdr:col>38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7354853f94267"/>
        </a:graphicData>
      </a:graphic>
    </xdr:graphicFrame>
    <xdr:clientData/>
  </xdr:twoCellAnchor>
  <xdr:twoCellAnchor>
    <xdr:from>
      <xdr:col>15</xdr:col>
      <xdr:colOff>0</xdr:colOff>
      <xdr:row>48</xdr:row>
      <xdr:rowOff>0</xdr:rowOff>
    </xdr:from>
    <xdr:to>
      <xdr:col>26</xdr:col>
      <xdr:colOff>0</xdr:colOff>
      <xdr:row>67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ac05cf6aa402c"/>
        </a:graphicData>
      </a:graphic>
    </xdr:graphicFrame>
    <xdr:clientData/>
  </xdr:twoCellAnchor>
  <xdr:twoCellAnchor>
    <xdr:from>
      <xdr:col>27</xdr:col>
      <xdr:colOff>0</xdr:colOff>
      <xdr:row>48</xdr:row>
      <xdr:rowOff>0</xdr:rowOff>
    </xdr:from>
    <xdr:to>
      <xdr:col>38</xdr:col>
      <xdr:colOff>0</xdr:colOff>
      <xdr:row>67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f22cc48d7d4ade"/>
        </a:graphicData>
      </a:graphic>
    </xdr:graphicFrame>
    <xdr:clientData/>
  </xdr:twoCellAnchor>
  <xdr:twoCellAnchor>
    <xdr:from>
      <xdr:col>15</xdr:col>
      <xdr:colOff>0</xdr:colOff>
      <xdr:row>70</xdr:row>
      <xdr:rowOff>0</xdr:rowOff>
    </xdr:from>
    <xdr:to>
      <xdr:col>26</xdr:col>
      <xdr:colOff>0</xdr:colOff>
      <xdr:row>89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23daf37a2459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24</xdr:col>
      <xdr:colOff>0</xdr:colOff>
      <xdr:row>4</xdr:row>
      <xdr:rowOff>0</xdr:rowOff>
    </xdr:from>
    <xdr:to>
      <xdr:col>39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42575f7b14b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00_Painel" displayName="tbl_00_Painel" ref="A5:I27" headerRowCount="1" totalsRowCount="0" totalsRowShown="0">
  <x:autoFilter ref="A5:I27"/>
  <x:tableColumns count="9">
    <x:tableColumn id="1" name="tipo"/>
    <x:tableColumn id="2" name="indicador_ou_etapa"/>
    <x:tableColumn id="3" name="valor"/>
    <x:tableColumn id="4" name="unidade"/>
    <x:tableColumn id="5" name="data_base"/>
    <x:tableColumn id="6" name="fonte_id"/>
    <x:tableColumn id="7" name="status"/>
    <x:tableColumn id="8" name="leitura"/>
    <x:tableColumn id="9" name="nota_metodo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tbl_01_Veiculos" displayName="tbl_01_Veiculos" ref="A5:S18" headerRowCount="1" totalsRowCount="0" totalsRowShown="0">
  <x:autoFilter ref="A5:S18"/>
  <x:tableColumns count="19">
    <x:tableColumn id="1" name="veiculo_id"/>
    <x:tableColumn id="2" name="tipo"/>
    <x:tableColumn id="3" name="nome"/>
    <x:tableColumn id="4" name="cnpj_ou_emissora"/>
    <x:tableColumn id="5" name="securitizadora"/>
    <x:tableColumn id="6" name="data_inicio_ou_emissao"/>
    <x:tableColumn id="7" name="situacao"/>
    <x:tableColumn id="8" name="administrador"/>
    <x:tableColumn id="9" name="gestor"/>
    <x:tableColumn id="10" name="custodiante"/>
    <x:tableColumn id="11" name="agente_fiduciario"/>
    <x:tableColumn id="12" name="auditor"/>
    <x:tableColumn id="13" name="agencia_rating"/>
    <x:tableColumn id="14" name="pl_ou_saldo_R$mi"/>
    <x:tableColumn id="15" name="carteira_R$mi"/>
    <x:tableColumn id="16" name="data_base"/>
    <x:tableColumn id="17" name="fonte_id"/>
    <x:tableColumn id="18" name="status"/>
    <x:tableColumn id="19" name="nota_metodo"/>
  </x:tableColumns>
  <x:tableStyleInfo name="TableStyleMedium1" showFirstColumn="0" showLastColumn="0" showRowStripes="1" showColumnStripes="0"/>
</x:table>
</file>

<file path=xl/tables/table3.xml><?xml version="1.0" encoding="utf-8"?>
<x:table xmlns:x="http://schemas.openxmlformats.org/spreadsheetml/2006/main" id="3" name="tbl_02_Series" displayName="tbl_02_Series" ref="A5:X64" headerRowCount="1" totalsRowCount="0" totalsRowShown="0">
  <x:autoFilter ref="A5:X64"/>
  <x:tableColumns count="24">
    <x:tableColumn id="1" name="veiculo_id"/>
    <x:tableColumn id="2" name="camada"/>
    <x:tableColumn id="3" name="serie"/>
    <x:tableColumn id="4" name="isin"/>
    <x:tableColumn id="5" name="data_emissao"/>
    <x:tableColumn id="6" name="data_vencimento"/>
    <x:tableColumn id="7" name="prazo_meses"/>
    <x:tableColumn id="8" name="montante_emitido_R$"/>
    <x:tableColumn id="9" name="montante_subscrito_R$"/>
    <x:tableColumn id="10" name="saldo_atual_R$"/>
    <x:tableColumn id="11" name="pct_da_emissao"/>
    <x:tableColumn id="12" name="indexador"/>
    <x:tableColumn id="13" name="taxa_contratada"/>
    <x:tableColumn id="14" name="taxa_preliminar_ou_teto"/>
    <x:tableColumn id="15" name="pu_atual"/>
    <x:tableColumn id="16" name="rating_agencia"/>
    <x:tableColumn id="17" name="rating_nota"/>
    <x:tableColumn id="18" name="colocacao"/>
    <x:tableColumn id="19" name="retida_pelo_originador"/>
    <x:tableColumn id="20" name="data_base"/>
    <x:tableColumn id="21" name="conflito"/>
    <x:tableColumn id="22" name="fonte_id"/>
    <x:tableColumn id="23" name="status"/>
    <x:tableColumn id="24" name="nota_metodo"/>
  </x:tableColumns>
  <x:tableStyleInfo name="TableStyleMedium1" showFirstColumn="0" showLastColumn="0" showRowStripes="1" showColumnStripes="0"/>
</x:table>
</file>

<file path=xl/tables/table4.xml><?xml version="1.0" encoding="utf-8"?>
<x:table xmlns:x="http://schemas.openxmlformats.org/spreadsheetml/2006/main" id="4" name="tbl_03_Elegibilidade" displayName="tbl_03_Elegibilidade" ref="A5:U22" headerRowCount="1" totalsRowCount="0" totalsRowShown="0">
  <x:autoFilter ref="A5:U22"/>
  <x:tableColumns count="21">
    <x:tableColumn id="1" name="veiculo_id"/>
    <x:tableColumn id="2" name="adimplencia_na_cessao"/>
    <x:tableColumn id="3" name="seasoning_minimo_meses"/>
    <x:tableColumn id="4" name="idade_maxima_devedor"/>
    <x:tableColumn id="5" name="prazo_max_recebivel_dias"/>
    <x:tableColumn id="6" name="prazo_max_recebivel_meses"/>
    <x:tableColumn id="7" name="wam_max_dias"/>
    <x:tableColumn id="8" name="ticket_max_PF_R$"/>
    <x:tableColumn id="9" name="ticket_max_PJ_R$"/>
    <x:tableColumn id="10" name="tipos_de_ativo"/>
    <x:tableColumn id="11" name="carencia_max_dias"/>
    <x:tableColumn id="12" name="preco_max_aquisicao_pct_saldo"/>
    <x:tableColumn id="13" name="preco_efetivo_aquisicao_pct_saldo"/>
    <x:tableColumn id="14" name="quem_atesta_elegibilidade"/>
    <x:tableColumn id="15" name="restricao_geografica"/>
    <x:tableColumn id="16" name="restricao_score"/>
    <x:tableColumn id="17" name="vedacoes_expressas"/>
    <x:tableColumn id="18" name="redacao_literal"/>
    <x:tableColumn id="19" name="fonte_id"/>
    <x:tableColumn id="20" name="status"/>
    <x:tableColumn id="21" name="nota_metodo"/>
  </x:tableColumns>
  <x:tableStyleInfo name="TableStyleMedium1" showFirstColumn="0" showLastColumn="0" showRowStripes="1" showColumnStripes="0"/>
</x:table>
</file>

<file path=xl/tables/table5.xml><?xml version="1.0" encoding="utf-8"?>
<x:table xmlns:x="http://schemas.openxmlformats.org/spreadsheetml/2006/main" id="5" name="tbl_04_Concentracao" displayName="tbl_04_Concentracao" ref="A5:O18" headerRowCount="1" totalsRowCount="0" totalsRowShown="0">
  <x:autoFilter ref="A5:O18"/>
  <x:tableColumns count="15">
    <x:tableColumn id="1" name="veiculo_id"/>
    <x:tableColumn id="2" name="cap_individual_pct"/>
    <x:tableColumn id="3" name="cap_top10_pct"/>
    <x:tableColumn id="4" name="cap_por_devedor_ANBIMA_pct"/>
    <x:tableColumn id="5" name="cap_por_integrador"/>
    <x:tableColumn id="6" name="cap_por_UF"/>
    <x:tableColumn id="7" name="cap_PJ_pct"/>
    <x:tableColumn id="8" name="cap_por_safra"/>
    <x:tableColumn id="9" name="concentracao_observada_individual"/>
    <x:tableColumn id="10" name="concentracao_observada_top10"/>
    <x:tableColumn id="11" name="folga_vs_limite_pp"/>
    <x:tableColumn id="12" name="data_base"/>
    <x:tableColumn id="13" name="fonte_id"/>
    <x:tableColumn id="14" name="status"/>
    <x:tableColumn id="15" name="nota_metodo"/>
  </x:tableColumns>
  <x:tableStyleInfo name="TableStyleMedium1" showFirstColumn="0" showLastColumn="0" showRowStripes="1" showColumnStripes="0"/>
</x:table>
</file>

<file path=xl/tables/table6.xml><?xml version="1.0" encoding="utf-8"?>
<x:table xmlns:x="http://schemas.openxmlformats.org/spreadsheetml/2006/main" id="6" name="tbl_05_Prazos_WAM" displayName="tbl_05_Prazos_WAM" ref="A5:N18" headerRowCount="1" totalsRowCount="0" totalsRowShown="0">
  <x:autoFilter ref="A5:N18"/>
  <x:tableColumns count="14">
    <x:tableColumn id="1" name="veiculo_id"/>
    <x:tableColumn id="2" name="wam_contratual_max_dias"/>
    <x:tableColumn id="3" name="wam_observado_dias"/>
    <x:tableColumn id="4" name="prazo_medio_recebivel_meses"/>
    <x:tableColumn id="5" name="prazo_max_recebivel_meses"/>
    <x:tableColumn id="6" name="vencimento_do_veiculo"/>
    <x:tableColumn id="7" name="prazo_do_veiculo_meses"/>
    <x:tableColumn id="8" name="duration_serie_mais_longa"/>
    <x:tableColumn id="9" name="gap_ativo_passivo_meses"/>
    <x:tableColumn id="10" name="periodo_revolvencia_meses"/>
    <x:tableColumn id="11" name="inicio_amortizacao"/>
    <x:tableColumn id="12" name="fonte_id"/>
    <x:tableColumn id="13" name="status"/>
    <x:tableColumn id="14" name="nota_metodo"/>
  </x:tableColumns>
  <x:tableStyleInfo name="TableStyleMedium1" showFirstColumn="0" showLastColumn="0" showRowStripes="1" showColumnStripes="0"/>
</x:table>
</file>

<file path=xl/tables/table7.xml><?xml version="1.0" encoding="utf-8"?>
<x:table xmlns:x="http://schemas.openxmlformats.org/spreadsheetml/2006/main" id="7" name="tbl_06_Waterfall" displayName="tbl_06_Waterfall" ref="A5:T18" headerRowCount="1" totalsRowCount="0" totalsRowShown="0">
  <x:autoFilter ref="A5:T18"/>
  <x:tableColumns count="20">
    <x:tableColumn id="1" name="veiculo_id"/>
    <x:tableColumn id="2" name="regime"/>
    <x:tableColumn id="3" name="ordem_1"/>
    <x:tableColumn id="4" name="ordem_2"/>
    <x:tableColumn id="5" name="ordem_3"/>
    <x:tableColumn id="6" name="ordem_4"/>
    <x:tableColumn id="7" name="ordem_5"/>
    <x:tableColumn id="8" name="gatilho_de_mudanca_para_sequencial"/>
    <x:tableColumn id="9" name="quem_recebe_juros_antes_de_principal"/>
    <x:tableColumn id="10" name="super_senior_prioridade"/>
    <x:tableColumn id="11" name="senior_prioridade"/>
    <x:tableColumn id="12" name="mezanino_prioridade"/>
    <x:tableColumn id="13" name="junior_prioridade"/>
    <x:tableColumn id="14" name="cash_sweep"/>
    <x:tableColumn id="15" name="reserva_de_despesas"/>
    <x:tableColumn id="16" name="reserva_de_juros"/>
    <x:tableColumn id="17" name="reserva_MTM"/>
    <x:tableColumn id="18" name="fonte_id"/>
    <x:tableColumn id="19" name="status"/>
    <x:tableColumn id="20" name="nota_metodo"/>
  </x:tableColumns>
  <x:tableStyleInfo name="TableStyleMedium1" showFirstColumn="0" showLastColumn="0" showRowStripes="1" showColumnStripes="0"/>
</x:table>
</file>

<file path=xl/tables/table8.xml><?xml version="1.0" encoding="utf-8"?>
<x:table xmlns:x="http://schemas.openxmlformats.org/spreadsheetml/2006/main" id="8" name="tbl_06b_Waterfall_Visual" displayName="tbl_06b_Waterfall_Visual" ref="A5:G15" headerRowCount="1" totalsRowCount="0" totalsRowShown="0">
  <x:autoFilter ref="A5:G15"/>
  <x:tableColumns count="7">
    <x:tableColumn id="1" name="regime"/>
    <x:tableColumn id="2" name="ordem"/>
    <x:tableColumn id="3" name="degrau"/>
    <x:tableColumn id="4" name="condicao"/>
    <x:tableColumn id="5" name="fonte_id"/>
    <x:tableColumn id="6" name="status"/>
    <x:tableColumn id="7" name="nota_metodo"/>
  </x:tableColumns>
  <x:tableStyleInfo name="TableStyleMedium1" showFirstColumn="0" showLastColumn="0" showRowStripes="1" showColumnStripes="0"/>
</x:table>
</file>

<file path=xl/tables/table9.xml><?xml version="1.0" encoding="utf-8"?>
<x:table xmlns:x="http://schemas.openxmlformats.org/spreadsheetml/2006/main" id="9" name="tbl_07_Subordinada" displayName="tbl_07_Subordinada" ref="A5:U18" headerRowCount="1" totalsRowCount="0" totalsRowShown="0">
  <x:autoFilter ref="A5:U18"/>
  <x:tableColumns count="21">
    <x:tableColumn id="1" name="veiculo_id"/>
    <x:tableColumn id="2" name="saque_permitido"/>
    <x:tableColumn id="3" name="quem_solicita"/>
    <x:tableColumn id="4" name="quem_autoriza"/>
    <x:tableColumn id="5" name="quorum"/>
    <x:tableColumn id="6" name="testes_exigidos"/>
    <x:tableColumn id="7" name="pisos_de_subordinacao_pct"/>
    <x:tableColumn id="8" name="indices_de_cobertura"/>
    <x:tableColumn id="9" name="trava_temporal"/>
    <x:tableColumn id="10" name="vedacoes_pos_evento"/>
    <x:tableColumn id="11" name="principal_subordinado_ja_pago_R$mi"/>
    <x:tableColumn id="12" name="primeira_ocorrencia"/>
    <x:tableColumn id="13" name="ultima_ocorrencia"/>
    <x:tableColumn id="14" name="attachment_atual_pct_carteira"/>
    <x:tableColumn id="15" name="subordinacao_antes_do_saque_pct"/>
    <x:tableColumn id="16" name="subordinacao_depois_pct"/>
    <x:tableColumn id="17" name="variacao_pp"/>
    <x:tableColumn id="18" name="impacto_na_senior"/>
    <x:tableColumn id="19" name="fonte_id"/>
    <x:tableColumn id="20" name="status"/>
    <x:tableColumn id="21" name="nota_metodo"/>
  </x:tableColumns>
  <x:tableStyleInfo name="TableStyleMedium1" showFirstColumn="0" showLastColumn="0" showRowStripes="1" showColumnStripes="0"/>
</x:table>
</file>

<file path=xl/tables/table10.xml><?xml version="1.0" encoding="utf-8"?>
<x:table xmlns:x="http://schemas.openxmlformats.org/spreadsheetml/2006/main" id="10" name="tbl_08_PDD" displayName="tbl_08_PDD" ref="A5:T18" headerRowCount="1" totalsRowCount="0" totalsRowShown="0">
  <x:autoFilter ref="A5:T18"/>
  <x:tableColumns count="20">
    <x:tableColumn id="1" name="veiculo_id"/>
    <x:tableColumn id="2" name="ate_15d"/>
    <x:tableColumn id="3" name="16_30d"/>
    <x:tableColumn id="4" name="31_60d"/>
    <x:tableColumn id="5" name="61_90d"/>
    <x:tableColumn id="6" name="91_120d"/>
    <x:tableColumn id="7" name="121_150d"/>
    <x:tableColumn id="8" name="151_180d"/>
    <x:tableColumn id="9" name="acima_180d"/>
    <x:tableColumn id="10" name="base_de_incidencia"/>
    <x:tableColumn id="11" name="efeito_vagao"/>
    <x:tableColumn id="12" name="tratamento_do_dia_181"/>
    <x:tableColumn id="13" name="pdd_adicional_discricionaria"/>
    <x:tableColumn id="14" name="pdd_observada_pct_carteira"/>
    <x:tableColumn id="15" name="saldo_90d_pct_carteira"/>
    <x:tableColumn id="16" name="razao_pdd_sobre_90d"/>
    <x:tableColumn id="17" name="data_base"/>
    <x:tableColumn id="18" name="fonte_id"/>
    <x:tableColumn id="19" name="status"/>
    <x:tableColumn id="20" name="nota_metodo"/>
  </x:tableColumns>
  <x:tableStyleInfo name="TableStyleMedium1" showFirstColumn="0" showLastColumn="0" showRowStripes="1" showColumnStripes="0"/>
</x:table>
</file>

<file path=xl/tables/table11.xml><?xml version="1.0" encoding="utf-8"?>
<x:table xmlns:x="http://schemas.openxmlformats.org/spreadsheetml/2006/main" id="11" name="tbl_09_Eventos" displayName="tbl_09_Eventos" ref="A5:L25" headerRowCount="1" totalsRowCount="0" totalsRowShown="0">
  <x:autoFilter ref="A5:L25"/>
  <x:tableColumns count="12">
    <x:tableColumn id="1" name="veiculo_id"/>
    <x:tableColumn id="2" name="tipo"/>
    <x:tableColumn id="3" name="descricao_do_gatilho"/>
    <x:tableColumn id="4" name="parametro_numerico"/>
    <x:tableColumn id="5" name="consequencia_automatica"/>
    <x:tableColumn id="6" name="quorum_de_dispensa"/>
    <x:tableColumn id="7" name="prazo_de_cura"/>
    <x:tableColumn id="8" name="ja_ocorreu"/>
    <x:tableColumn id="9" name="data_da_ocorrencia"/>
    <x:tableColumn id="10" name="fonte_id"/>
    <x:tableColumn id="11" name="status"/>
    <x:tableColumn id="12" name="nota_metodo"/>
  </x:tableColumns>
  <x:tableStyleInfo name="TableStyleMedium1" showFirstColumn="0" showLastColumn="0" showRowStripes="1" showColumnStripes="0"/>
</x:table>
</file>

<file path=xl/tables/table12.xml><?xml version="1.0" encoding="utf-8"?>
<x:table xmlns:x="http://schemas.openxmlformats.org/spreadsheetml/2006/main" id="12" name="tbl_10_Subscritores" displayName="tbl_10_Subscritores" ref="A5:Q36" headerRowCount="1" totalsRowCount="0" totalsRowShown="0">
  <x:autoFilter ref="A5:Q36"/>
  <x:tableColumns count="17">
    <x:tableColumn id="1" name="veiculo_id"/>
    <x:tableColumn id="2" name="serie"/>
    <x:tableColumn id="3" name="qtd_cotistas_PF"/>
    <x:tableColumn id="4" name="qtd_fundos"/>
    <x:tableColumn id="5" name="qtd_IFs"/>
    <x:tableColumn id="6" name="qtd_outras_PJ"/>
    <x:tableColumn id="7" name="qtd_total"/>
    <x:tableColumn id="8" name="ticket_medio_R$"/>
    <x:tableColumn id="9" name="pct_distribuido_varejo"/>
    <x:tableColumn id="10" name="coordenadores"/>
    <x:tableColumn id="11" name="titulares_atuais"/>
    <x:tableColumn id="12" name="concentracao_maior_titular"/>
    <x:tableColumn id="13" name="fonte_da_posicao"/>
    <x:tableColumn id="14" name="data_base"/>
    <x:tableColumn id="15" name="fonte_id"/>
    <x:tableColumn id="16" name="status"/>
    <x:tableColumn id="17" name="nota_metodo"/>
  </x:tableColumns>
  <x:tableStyleInfo name="TableStyleMedium1" showFirstColumn="0" showLastColumn="0" showRowStripes="1" showColumnStripes="0"/>
</x:table>
</file>

<file path=xl/tables/table13.xml><?xml version="1.0" encoding="utf-8"?>
<x:table xmlns:x="http://schemas.openxmlformats.org/spreadsheetml/2006/main" id="13" name="tbl_11_Matriz_FIDC_CRI" displayName="tbl_11_Matriz_FIDC_CRI" ref="A5:J12" headerRowCount="1" totalsRowCount="0" totalsRowShown="0">
  <x:autoFilter ref="A5:J12"/>
  <x:tableColumns count="10">
    <x:tableColumn id="1" name="fidc"/>
    <x:tableColumn id="2" name="CRI_K1"/>
    <x:tableColumn id="3" name="CRI_K2"/>
    <x:tableColumn id="4" name="CRI_K3"/>
    <x:tableColumn id="5" name="CRI_K4"/>
    <x:tableColumn id="6" name="CRI_V174"/>
    <x:tableColumn id="7" name="CRI_V177"/>
    <x:tableColumn id="8" name="fonte_id"/>
    <x:tableColumn id="9" name="status"/>
    <x:tableColumn id="10" name="nota_metodo"/>
  </x:tableColumns>
  <x:tableStyleInfo name="TableStyleMedium1" showFirstColumn="0" showLastColumn="0" showRowStripes="1" showColumnStripes="0"/>
</x:table>
</file>

<file path=xl/tables/table14.xml><?xml version="1.0" encoding="utf-8"?>
<x:table xmlns:x="http://schemas.openxmlformats.org/spreadsheetml/2006/main" id="14" name="tbl_11b_Cessoes" displayName="tbl_11b_Cessoes" ref="A5:J9" headerRowCount="1" totalsRowCount="0" totalsRowShown="0">
  <x:autoFilter ref="A5:J9"/>
  <x:tableColumns count="10">
    <x:tableColumn id="1" name="data"/>
    <x:tableColumn id="2" name="fidc_cedente"/>
    <x:tableColumn id="3" name="cri_cessionario"/>
    <x:tableColumn id="4" name="volume_R$mi"/>
    <x:tableColumn id="5" name="pct_do_pool_do_CRI"/>
    <x:tableColumn id="6" name="preco_pct_saldo"/>
    <x:tableColumn id="7" name="cessao_direta_do_originador"/>
    <x:tableColumn id="8" name="fonte_id"/>
    <x:tableColumn id="9" name="status"/>
    <x:tableColumn id="10" name="nota_metodo"/>
  </x:tableColumns>
  <x:tableStyleInfo name="TableStyleMedium1" showFirstColumn="0" showLastColumn="0" showRowStripes="1" showColumnStripes="0"/>
</x:table>
</file>

<file path=xl/tables/table15.xml><?xml version="1.0" encoding="utf-8"?>
<x:table xmlns:x="http://schemas.openxmlformats.org/spreadsheetml/2006/main" id="15" name="tbl_12_Custo_Captacao" displayName="tbl_12_Custo_Captacao" ref="A5:R77" headerRowCount="1" totalsRowCount="0" totalsRowShown="0">
  <x:autoFilter ref="A5:R77"/>
  <x:tableColumns count="18">
    <x:tableColumn id="1" name="veiculo_id"/>
    <x:tableColumn id="2" name="serie"/>
    <x:tableColumn id="3" name="saldo_atual_R$"/>
    <x:tableColumn id="4" name="indexador"/>
    <x:tableColumn id="5" name="taxa_contratada"/>
    <x:tableColumn id="6" name="taxa_equivalente_CDI_hoje"/>
    <x:tableColumn id="7" name="taxa_equivalente_pre_hoje"/>
    <x:tableColumn id="8" name="spread_sobre_DI_bps"/>
    <x:tableColumn id="9" name="custo_ponderado_da_camada"/>
    <x:tableColumn id="10" name="custo_medio_ponderado_das_cotas_publicas"/>
    <x:tableColumn id="11" name="custo_da_subordinada"/>
    <x:tableColumn id="12" name="custos_fixos_anualizados_bps"/>
    <x:tableColumn id="13" name="custo_distribuicao_uma_vez_bps"/>
    <x:tableColumn id="14" name="custo_all_in_bps"/>
    <x:tableColumn id="15" name="data_base"/>
    <x:tableColumn id="16" name="fonte_id"/>
    <x:tableColumn id="17" name="status"/>
    <x:tableColumn id="18" name="nota_metodo"/>
  </x:tableColumns>
  <x:tableStyleInfo name="TableStyleMedium1" showFirstColumn="0" showLastColumn="0" showRowStripes="1" showColumnStripes="0"/>
</x:table>
</file>

<file path=xl/tables/table16.xml><?xml version="1.0" encoding="utf-8"?>
<x:table xmlns:x="http://schemas.openxmlformats.org/spreadsheetml/2006/main" id="16" name="tbl_13_Cronograma_Pagamentos" displayName="tbl_13_Cronograma_Pagamentos" ref="A5:N451" headerRowCount="1" totalsRowCount="0" totalsRowShown="0">
  <x:autoFilter ref="A5:N451"/>
  <x:tableColumns count="14">
    <x:tableColumn id="1" name="veiculo_id"/>
    <x:tableColumn id="2" name="serie"/>
    <x:tableColumn id="3" name="camada"/>
    <x:tableColumn id="4" name="competencia"/>
    <x:tableColumn id="5" name="saldo_inicial"/>
    <x:tableColumn id="6" name="juros_programados"/>
    <x:tableColumn id="7" name="amortizacao_programada"/>
    <x:tableColumn id="8" name="saldo_final"/>
    <x:tableColumn id="9" name="juros_pagos_realizado"/>
    <x:tableColumn id="10" name="amortizacao_paga_realizada"/>
    <x:tableColumn id="11" name="status"/>
    <x:tableColumn id="12" name="fonte_id"/>
    <x:tableColumn id="13" name="status_dado"/>
    <x:tableColumn id="14" name="nota_metodo"/>
  </x:tableColumns>
  <x:tableStyleInfo name="TableStyleMedium1" showFirstColumn="0" showLastColumn="0" showRowStripes="1" showColumnStripes="0"/>
</x:table>
</file>

<file path=xl/tables/table17.xml><?xml version="1.0" encoding="utf-8"?>
<x:table xmlns:x="http://schemas.openxmlformats.org/spreadsheetml/2006/main" id="17" name="tbl_14_Antes_Depois" displayName="tbl_14_Antes_Depois" ref="A5:P33" headerRowCount="1" totalsRowCount="0" totalsRowShown="0">
  <x:autoFilter ref="A5:P33"/>
  <x:tableColumns count="16">
    <x:tableColumn id="1" name="fidc"/>
    <x:tableColumn id="2" name="cri_evento"/>
    <x:tableColumn id="3" name="competencia"/>
    <x:tableColumn id="4" name="mob"/>
    <x:tableColumn id="5" name="pl_R$mi"/>
    <x:tableColumn id="6" name="carteira_R$mi"/>
    <x:tableColumn id="7" name="pdd_pct_carteira"/>
    <x:tableColumn id="8" name="saldo_90d_pct_carteira"/>
    <x:tableColumn id="9" name="wam_observado"/>
    <x:tableColumn id="10" name="ticket_medio"/>
    <x:tableColumn id="11" name="subordinacao_pct"/>
    <x:tableColumn id="12" name="evento"/>
    <x:tableColumn id="13" name="leitura"/>
    <x:tableColumn id="14" name="fonte_id"/>
    <x:tableColumn id="15" name="status"/>
    <x:tableColumn id="16" name="nota_metodo"/>
  </x:tableColumns>
  <x:tableStyleInfo name="TableStyleMedium1" showFirstColumn="0" showLastColumn="0" showRowStripes="1" showColumnStripes="0"/>
</x:table>
</file>

<file path=xl/tables/table18.xml><?xml version="1.0" encoding="utf-8"?>
<x:table xmlns:x="http://schemas.openxmlformats.org/spreadsheetml/2006/main" id="18" name="tbl_15_FIDC_vs_CRI" displayName="tbl_15_FIDC_vs_CRI" ref="A5:I15" headerRowCount="1" totalsRowCount="0" totalsRowShown="0">
  <x:autoFilter ref="A5:I15"/>
  <x:tableColumns count="9">
    <x:tableColumn id="1" name="dimensao"/>
    <x:tableColumn id="2" name="como_funciona_no_FIDC"/>
    <x:tableColumn id="3" name="como_funciona_no_CRI"/>
    <x:tableColumn id="4" name="vantagem_real"/>
    <x:tableColumn id="5" name="evidencia"/>
    <x:tableColumn id="6" name="o_que_falta_para_confirmar"/>
    <x:tableColumn id="7" name="fonte_id"/>
    <x:tableColumn id="8" name="status"/>
    <x:tableColumn id="9" name="nota_metodo"/>
  </x:tableColumns>
  <x:tableStyleInfo name="TableStyleMedium1" showFirstColumn="0" showLastColumn="0" showRowStripes="1" showColumnStripes="0"/>
</x:table>
</file>

<file path=xl/tables/table19.xml><?xml version="1.0" encoding="utf-8"?>
<x:table xmlns:x="http://schemas.openxmlformats.org/spreadsheetml/2006/main" id="19" name="tbl_16_Conflitos" displayName="tbl_16_Conflitos" ref="A5:O25" headerRowCount="1" totalsRowCount="0" totalsRowShown="0">
  <x:autoFilter ref="A5:O25"/>
  <x:tableColumns count="15">
    <x:tableColumn id="1" name="conflito_id"/>
    <x:tableColumn id="2" name="veiculo_id"/>
    <x:tableColumn id="3" name="campo"/>
    <x:tableColumn id="4" name="valor_fonte_A"/>
    <x:tableColumn id="5" name="fonte_A"/>
    <x:tableColumn id="6" name="data_base_A"/>
    <x:tableColumn id="7" name="valor_fonte_B"/>
    <x:tableColumn id="8" name="fonte_B"/>
    <x:tableColumn id="9" name="data_base_B"/>
    <x:tableColumn id="10" name="valor_adotado"/>
    <x:tableColumn id="11" name="decisao_justificativa"/>
    <x:tableColumn id="12" name="conflito"/>
    <x:tableColumn id="13" name="fonte_id"/>
    <x:tableColumn id="14" name="status"/>
    <x:tableColumn id="15" name="nota_metodo"/>
  </x:tableColumns>
  <x:tableStyleInfo name="TableStyleMedium1" showFirstColumn="0" showLastColumn="0" showRowStripes="1" showColumnStripes="0"/>
</x:table>
</file>

<file path=xl/tables/table20.xml><?xml version="1.0" encoding="utf-8"?>
<x:table xmlns:x="http://schemas.openxmlformats.org/spreadsheetml/2006/main" id="20" name="tbl_17_Fontes" displayName="tbl_17_Fontes" ref="A5:K48" headerRowCount="1" totalsRowCount="0" totalsRowShown="0">
  <x:autoFilter ref="A5:K48"/>
  <x:tableColumns count="11">
    <x:tableColumn id="1" name="fonte_id"/>
    <x:tableColumn id="2" name="documento"/>
    <x:tableColumn id="3" name="url_ou_caminho"/>
    <x:tableColumn id="4" name="data_acesso"/>
    <x:tableColumn id="5" name="data_base"/>
    <x:tableColumn id="6" name="trecho_ou_pagina"/>
    <x:tableColumn id="7" name="status_obtencao"/>
    <x:tableColumn id="8" name="sha256"/>
    <x:tableColumn id="9" name="observacao"/>
    <x:tableColumn id="10" name="status"/>
    <x:tableColumn id="11" name="nota_metodo"/>
  </x:tableColumns>
  <x:tableStyleInfo name="TableStyleMedium1" showFirstColumn="0" showLastColumn="0" showRowStripes="1" showColumnStripes="0"/>
</x:table>
</file>

<file path=xl/tables/table21.xml><?xml version="1.0" encoding="utf-8"?>
<x:table xmlns:x="http://schemas.openxmlformats.org/spreadsheetml/2006/main" id="21" name="tbl_18_Metodologia" displayName="tbl_18_Metodologia" ref="A5:G19" headerRowCount="1" totalsRowCount="0" totalsRowShown="0">
  <x:autoFilter ref="A5:G19"/>
  <x:tableColumns count="7">
    <x:tableColumn id="1" name="metrica"/>
    <x:tableColumn id="2" name="formula"/>
    <x:tableColumn id="3" name="unidade"/>
    <x:tableColumn id="4" name="qualificador"/>
    <x:tableColumn id="5" name="fonte_id"/>
    <x:tableColumn id="6" name="status"/>
    <x:tableColumn id="7" name="nota_metodo"/>
  </x:tableColumns>
  <x:tableStyleInfo name="TableStyleMedium1" showFirstColumn="0" showLastColumn="0" showRowStripes="1" showColumnStripes="0"/>
</x:table>
</file>

<file path=xl/tables/table22.xml><?xml version="1.0" encoding="utf-8"?>
<x:table xmlns:x="http://schemas.openxmlformats.org/spreadsheetml/2006/main" id="22" name="tbl_19_Glossario" displayName="tbl_19_Glossario" ref="A5:E25" headerRowCount="1" totalsRowCount="0" totalsRowShown="0">
  <x:autoFilter ref="A5:E25"/>
  <x:tableColumns count="5">
    <x:tableColumn id="1" name="termo"/>
    <x:tableColumn id="2" name="definicao"/>
    <x:tableColumn id="3" name="fonte_id"/>
    <x:tableColumn id="4" name="status"/>
    <x:tableColumn id="5" name="nota_metodo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ae216aa8a45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51d4d3bf32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e51ed425964f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725da2d3d043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daf53378c242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af9d96d9c38428e" /><Relationship Type="http://schemas.openxmlformats.org/officeDocument/2006/relationships/table" Target="/xl/tables/table6.xml" Id="Rdf7e714e0d1241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827d2ea34d54d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d7978b1810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596d5faf2554a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13c5c55e0580404b" /><Relationship Type="http://schemas.openxmlformats.org/officeDocument/2006/relationships/table" Target="/xl/tables/table10.xml" Id="R18974a30ad29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622964320564f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4e734796dc940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f34d1c16e5149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8728a4204e34e1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430d2701d6d485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3.xml" Id="Raaa84a8b809e4052" /><Relationship Type="http://schemas.openxmlformats.org/officeDocument/2006/relationships/table" Target="/xl/tables/table16.xml" Id="R2b6f8f7450c64ad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4.xml" Id="R3d4149f7acd54dfd" /><Relationship Type="http://schemas.openxmlformats.org/officeDocument/2006/relationships/table" Target="/xl/tables/table17.xml" Id="R5e777ac104d2491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b17a8c6bb7a4ea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0c585345a4648b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66c1d3b2ff74de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baf025b80fc440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8b90f00b62c42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15" hidden="0" customWidth="1"/>
    <x:col min="5" max="5" width="13" hidden="0" customWidth="1"/>
    <x:col min="6" max="6" width="34" hidden="0" customWidth="1"/>
    <x:col min="7" max="7" width="19" hidden="0" customWidth="1"/>
    <x:col min="8" max="8" width="42" hidden="0" customWidth="1"/>
    <x:col min="9" max="9" width="42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0" customHeight="1">
      <x:c r="A1" s="3" t="str">
        <x:v>00 Painel</x:v>
      </x:c>
    </x:row>
    <x:row r="2" ht="34" customHeight="1">
      <x:c r="A2" s="7" t="str">
        <x:v>O programa reúne originação, warehouses FIDC, take-outs CRI e investidores. Os indicadores abaixo preservam perímetro e data-base.</x:v>
      </x:c>
    </x:row>
    <x:row r="3" ht="24" customHeight="1">
      <x:c r="A3" s="11" t="str">
        <x:v>Data-base: 2026-07-31 a 2026-08-22 | Fontes: UNIVERSO_SEARCH_20260822; CVM_FUNDOSNET_VERT177_20260720; CVM_CRI_2026_CLASSE; CVM_FIDC_202607_X2; CVM_FUNDOSNET_TERMOS_CRI_20260822;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</x:row>
    <x:row r="5" ht="34" customHeight="1">
      <x:c r="A5" s="16" t="str">
        <x:v>tipo</x:v>
      </x:c>
      <x:c r="B5" s="16" t="str">
        <x:v>indicador_ou_etapa</x:v>
      </x:c>
      <x:c r="C5" s="16" t="str">
        <x:v>valor</x:v>
      </x:c>
      <x:c r="D5" s="16" t="str">
        <x:v>unidade</x:v>
      </x:c>
      <x:c r="E5" s="16" t="str">
        <x:v>data_base</x:v>
      </x:c>
      <x:c r="F5" s="16" t="str">
        <x:v>fonte_id</x:v>
      </x:c>
      <x:c r="G5" s="16" t="str">
        <x:v>status</x:v>
      </x:c>
      <x:c r="H5" s="16" t="str">
        <x:v>leitura</x:v>
      </x:c>
      <x:c r="I5" s="16" t="str">
        <x:v>nota_metodo</x:v>
      </x:c>
      <x:c r="K5" s="28" t="str">
        <x:v>Índice clicável</x:v>
      </x:c>
    </x:row>
    <x:row r="6">
      <x:c r="A6" s="20" t="str">
        <x:v>indicador</x:v>
      </x:c>
      <x:c r="B6" s="20" t="str">
        <x:v>FIDCs confirmados</x:v>
      </x:c>
      <x:c r="C6" s="20" t="n">
        <x:v>7</x:v>
      </x:c>
      <x:c r="D6" s="20" t="str">
        <x:v>veículos</x:v>
      </x:c>
      <x:c r="E6" s="21" t="n">
        <x:v>46234</x:v>
      </x:c>
      <x:c r="F6" s="20" t="str">
        <x:v>UNIVERSO_SEARCH_20260822</x:v>
      </x:c>
      <x:c r="G6" s="20" t="str">
        <x:v>Documentado</x:v>
      </x:c>
      <x:c r="H6" s="20" t="str">
        <x:v>Sete fundos/classes I–VII; busca por VIII+ sem ocorrência.</x:v>
      </x:c>
      <x:c r="I6" s="20" t="str">
        <x:v>Todos os números desta aba aparecem detalhados nos CSVs analíticos.</x:v>
      </x:c>
      <x:c r="K6" t="e">
        <x:f>HYPERLINK("#'01_Veiculos'!A1","01_Veiculos")</x:f>
        <x:v>HYPERLINK is not implemented. linkLocation=#'01_Veiculos'!A1, friendlyName=01_Veiculos</x:v>
      </x:c>
    </x:row>
    <x:row r="7">
      <x:c r="A7" s="20" t="str">
        <x:v>indicador</x:v>
      </x:c>
      <x:c r="B7" s="20" t="str">
        <x:v>Operações de CRI</x:v>
      </x:c>
      <x:c r="C7" s="20" t="n">
        <x:v>6</x:v>
      </x:c>
      <x:c r="D7" s="20" t="str">
        <x:v>operações</x:v>
      </x:c>
      <x:c r="E7" s="21" t="n">
        <x:v>46256</x:v>
      </x:c>
      <x:c r="F7" s="20" t="str">
        <x:v>UNIVERSO_SEARCH_20260822</x:v>
      </x:c>
      <x:c r="G7" s="20" t="str">
        <x:v>Documentado</x:v>
      </x:c>
      <x:c r="H7" s="20" t="str">
        <x:v>Kanastra 1ª–4ª e VERT 174ª/177ª.</x:v>
      </x:c>
      <x:c r="I7" s="20" t="str">
        <x:v>Todos os números desta aba aparecem detalhados nos CSVs analíticos.</x:v>
      </x:c>
      <x:c r="K7" t="e">
        <x:f>HYPERLINK("#'02_Series'!A1","02_Series")</x:f>
        <x:v>HYPERLINK is not implemented. linkLocation=#'02_Series'!A1, friendlyName=02_Series</x:v>
      </x:c>
    </x:row>
    <x:row r="8">
      <x:c r="A8" s="20" t="str">
        <x:v>indicador</x:v>
      </x:c>
      <x:c r="B8" s="20" t="str">
        <x:v>Séries de CRI</x:v>
      </x:c>
      <x:c r="C8" s="20" t="n">
        <x:v>34</x:v>
      </x:c>
      <x:c r="D8" s="20" t="str">
        <x:v>séries totais</x:v>
      </x:c>
      <x:c r="E8" s="21" t="n">
        <x:v>46256</x:v>
      </x:c>
      <x:c r="F8" s="20" t="str">
        <x:v>CVM_FUNDOSNET_VERT177_20260720 | CVM_CRI_2026_CLASSE</x:v>
      </x:c>
      <x:c r="G8" s="20" t="str">
        <x:v>Documentado</x:v>
      </x:c>
      <x:c r="H8" s="20" t="str">
        <x:v>Inclui séries privadas.</x:v>
      </x:c>
      <x:c r="I8" s="20" t="str">
        <x:v>Todos os números desta aba aparecem detalhados nos CSVs analíticos.</x:v>
      </x:c>
      <x:c r="K8" t="e">
        <x:f>HYPERLINK("#'03_Elegibilidade'!A1","03_Elegibilidade")</x:f>
        <x:v>HYPERLINK is not implemented. linkLocation=#'03_Elegibilidade'!A1, friendlyName=03_Elegibilidade</x:v>
      </x:c>
    </x:row>
    <x:row r="9">
      <x:c r="A9" s="20" t="str">
        <x:v>indicador</x:v>
      </x:c>
      <x:c r="B9" s="20" t="str">
        <x:v>Classes/subclasses FIDC</x:v>
      </x:c>
      <x:c r="C9" s="20" t="n">
        <x:v>25</x:v>
      </x:c>
      <x:c r="D9" s="20" t="str">
        <x:v>classes</x:v>
      </x:c>
      <x:c r="E9" s="21" t="n">
        <x:v>46234</x:v>
      </x:c>
      <x:c r="F9" s="20" t="str">
        <x:v>CVM_FIDC_202607_X2</x:v>
      </x:c>
      <x:c r="G9" s="20" t="str">
        <x:v>Documentado</x:v>
      </x:c>
      <x:c r="H9" s="20" t="str">
        <x:v>Posição da última competência.</x:v>
      </x:c>
      <x:c r="I9" s="20" t="str">
        <x:v>Todos os números desta aba aparecem detalhados nos CSVs analíticos.</x:v>
      </x:c>
      <x:c r="K9" t="e">
        <x:f>HYPERLINK("#'04_Concentracao'!A1","04_Concentracao")</x:f>
        <x:v>HYPERLINK is not implemented. linkLocation=#'04_Concentracao'!A1, friendlyName=04_Concentracao</x:v>
      </x:c>
    </x:row>
    <x:row r="10">
      <x:c r="A10" s="20" t="str">
        <x:v>indicador</x:v>
      </x:c>
      <x:c r="B10" s="20" t="str">
        <x:v>Volume nominal total</x:v>
      </x:c>
      <x:c r="C10" s="20" t="n">
        <x:v>3670.66282189</x:v>
      </x:c>
      <x:c r="D10" s="20" t="str">
        <x:v>R$ mi</x:v>
      </x:c>
      <x:c r="E10" s="21" t="n">
        <x:v>46256</x:v>
      </x:c>
      <x:c r="F10" s="20" t="str">
        <x:v>CVM_FUNDOSNET_TERMOS_CRI_20260822</x:v>
      </x:c>
      <x:c r="G10" s="20" t="str">
        <x:v>Documentado</x:v>
      </x:c>
      <x:c r="H10" s="20" t="str">
        <x:v>Soma nominal das 34 séries; o agregado público CVM permanece em linha separada.</x:v>
      </x:c>
      <x:c r="I10" s="20" t="str">
        <x:v>Todos os números desta aba aparecem detalhados nos CSVs analíticos.</x:v>
      </x:c>
      <x:c r="K10" t="e">
        <x:f>HYPERLINK("#'05_Prazos_WAM'!A1","05_Prazos_WAM")</x:f>
        <x:v>HYPERLINK is not implemented. linkLocation=#'05_Prazos_WAM'!A1, friendlyName=05_Prazos_WAM</x:v>
      </x:c>
    </x:row>
    <x:row r="11">
      <x:c r="A11" s="20" t="str">
        <x:v>indicador</x:v>
      </x:c>
      <x:c r="B11" s="20" t="str">
        <x:v>Volume público registrado</x:v>
      </x:c>
      <x:c r="C11" s="20" t="n">
        <x:v>3563.628</x:v>
      </x:c>
      <x:c r="D11" s="20" t="str">
        <x:v>R$ mi</x:v>
      </x:c>
      <x:c r="E11" s="21" t="n">
        <x:v>46256</x:v>
      </x:c>
      <x:c r="F11" s="20" t="str">
        <x:v>CVM_OFERTAS_RCVM160_20260822</x:v>
      </x:c>
      <x:c r="G11" s="20" t="str">
        <x:v>Documentado</x:v>
      </x:c>
      <x:c r="H11" s="20" t="str">
        <x:v>Soma do Valor_Total_Registrado das seis ofertas.</x:v>
      </x:c>
      <x:c r="I11" s="20" t="str">
        <x:v>Todos os números desta aba aparecem detalhados nos CSVs analíticos.</x:v>
      </x:c>
      <x:c r="K11" t="e">
        <x:f>HYPERLINK("#'06_Waterfall'!A1","06_Waterfall")</x:f>
        <x:v>HYPERLINK is not implemented. linkLocation=#'06_Waterfall'!A1, friendlyName=06_Waterfall</x:v>
      </x:c>
    </x:row>
    <x:row r="12">
      <x:c r="A12" s="20" t="str">
        <x:v>indicador</x:v>
      </x:c>
      <x:c r="B12" s="20" t="str">
        <x:v>PL dos FIDCs</x:v>
      </x:c>
      <x:c r="C12" s="20" t="n">
        <x:v>1234.70107138</x:v>
      </x:c>
      <x:c r="D12" s="20" t="str">
        <x:v>R$ mi</x:v>
      </x:c>
      <x:c r="E12" s="21" t="n">
        <x:v>46234</x:v>
      </x:c>
      <x:c r="F12" s="20" t="str">
        <x:v>CVM_FIDC_202607_I_IV</x:v>
      </x:c>
      <x:c r="G12" s="20" t="str">
        <x:v>Documentado</x:v>
      </x:c>
      <x:c r="H12" s="20" t="str">
        <x:v>Soma simples dos sete veículos na mesma competência.</x:v>
      </x:c>
      <x:c r="I12" s="20" t="str">
        <x:v>Todos os números desta aba aparecem detalhados nos CSVs analíticos.</x:v>
      </x:c>
      <x:c r="K12" t="e">
        <x:f>HYPERLINK("#'06b_Waterfall_Visual'!A1","06b_Waterfall_Visual")</x:f>
        <x:v>HYPERLINK is not implemented. linkLocation=#'06b_Waterfall_Visual'!A1, friendlyName=06b_Waterfall_Visual</x:v>
      </x:c>
    </x:row>
    <x:row r="13">
      <x:c r="A13" s="20" t="str">
        <x:v>indicador</x:v>
      </x:c>
      <x:c r="B13" s="20" t="str">
        <x:v>CRIs com Informe Mensal</x:v>
      </x:c>
      <x:c r="C13" s="20" t="n">
        <x:v>5</x:v>
      </x:c>
      <x:c r="D13" s="20" t="str">
        <x:v>operações</x:v>
      </x:c>
      <x:c r="E13" s="21" t="n">
        <x:v>46256</x:v>
      </x:c>
      <x:c r="F13" s="20" t="str">
        <x:v>CVM_CRI_2026_GERAL_ATIVO</x:v>
      </x:c>
      <x:c r="G13" s="20" t="str">
        <x:v>Documentado</x:v>
      </x:c>
      <x:c r="H13" s="20" t="str">
        <x:v>VERT 177 ainda sem competência publicada.</x:v>
      </x:c>
      <x:c r="I13" s="20" t="str">
        <x:v>Todos os números desta aba aparecem detalhados nos CSVs analíticos.</x:v>
      </x:c>
      <x:c r="K13" t="e">
        <x:f>HYPERLINK("#'07_Subordinada'!A1","07_Subordinada")</x:f>
        <x:v>HYPERLINK is not implemented. linkLocation=#'07_Subordinada'!A1, friendlyName=07_Subordinada</x:v>
      </x:c>
    </x:row>
    <x:row r="14">
      <x:c r="A14" s="20" t="str">
        <x:v>indicador</x:v>
      </x:c>
      <x:c r="B14" s="20" t="str">
        <x:v>Cessões documentadas</x:v>
      </x:c>
      <x:c r="C14" s="20" t="n">
        <x:v>4</x:v>
      </x:c>
      <x:c r="D14" s="20" t="str">
        <x:v>linhas</x:v>
      </x:c>
      <x:c r="E14" s="21" t="n">
        <x:v>46256</x:v>
      </x:c>
      <x:c r="F14" s="20" t="str">
        <x:v>ANX_CRI1_PROSP_20240216 | ANX_CRI2_RATING_202406</x:v>
      </x:c>
      <x:c r="G14" s="20" t="str">
        <x:v>Documentado</x:v>
      </x:c>
      <x:c r="H14" s="20" t="str">
        <x:v>FIDC II/IV para CRI 1/2.</x:v>
      </x:c>
      <x:c r="I14" s="20" t="str">
        <x:v>Todos os números desta aba aparecem detalhados nos CSVs analíticos.</x:v>
      </x:c>
      <x:c r="K14" t="e">
        <x:f>HYPERLINK("#'08_PDD'!A1","08_PDD")</x:f>
        <x:v>HYPERLINK is not implemented. linkLocation=#'08_PDD'!A1, friendlyName=08_PDD</x:v>
      </x:c>
    </x:row>
    <x:row r="15">
      <x:c r="A15" s="20" t="str">
        <x:v>indicador</x:v>
      </x:c>
      <x:c r="B15" s="20" t="str">
        <x:v>Conflitos reconciliados</x:v>
      </x:c>
      <x:c r="C15" s="20" t="n">
        <x:v>20</x:v>
      </x:c>
      <x:c r="D15" s="20" t="str">
        <x:v>campos</x:v>
      </x:c>
      <x:c r="E15" s="21" t="n">
        <x:v>46256</x:v>
      </x:c>
      <x:c r="F15" s="20" t="str">
        <x:v>METH_RECONCILIACAO</x:v>
      </x:c>
      <x:c r="G15" s="20" t="str">
        <x:v>Documentado</x:v>
      </x:c>
      <x:c r="H15" s="20" t="str">
        <x:v>Cada decisão permanece na aba Conflitos.</x:v>
      </x:c>
      <x:c r="I15" s="20" t="str">
        <x:v>Todos os números desta aba aparecem detalhados nos CSVs analíticos.</x:v>
      </x:c>
      <x:c r="K15" t="e">
        <x:f>HYPERLINK("#'09_Eventos'!A1","09_Eventos")</x:f>
        <x:v>HYPERLINK is not implemented. linkLocation=#'09_Eventos'!A1, friendlyName=09_Eventos</x:v>
      </x:c>
    </x:row>
    <x:row r="16">
      <x:c r="A16" s="20" t="str">
        <x:v>mapa</x:v>
      </x:c>
      <x:c r="B16" s="20" t="str">
        <x:v>Originação Solfácil</x:v>
      </x:c>
      <x:c r="C16" s="20" t="n">
        <x:v>1</x:v>
      </x:c>
      <x:c r="D16" s="20" t="str">
        <x:v>etapa</x:v>
      </x:c>
      <x:c r="E16" s="21" t="n">
        <x:v>46256</x:v>
      </x:c>
      <x:c r="F16" s="20" t="str">
        <x:v>METH_COMPARACAO_FIDC_CRI</x:v>
      </x:c>
      <x:c r="G16" s="20" t="str">
        <x:v>Inferido</x:v>
      </x:c>
      <x:c r="H16" s="20" t="str">
        <x:v>CCBs de financiamento solar entram no programa.</x:v>
      </x:c>
      <x:c r="I16" s="20" t="str">
        <x:v>Todos os números desta aba aparecem detalhados nos CSVs analíticos.</x:v>
      </x:c>
      <x:c r="K16" t="e">
        <x:f>HYPERLINK("#'10_Subscritores'!A1","10_Subscritores")</x:f>
        <x:v>HYPERLINK is not implemented. linkLocation=#'10_Subscritores'!A1, friendlyName=10_Subscritores</x:v>
      </x:c>
    </x:row>
    <x:row r="17">
      <x:c r="A17" s="20" t="str">
        <x:v>mapa</x:v>
      </x:c>
      <x:c r="B17" s="20" t="str">
        <x:v>Warehouse FIDC</x:v>
      </x:c>
      <x:c r="C17" s="20" t="n">
        <x:v>2</x:v>
      </x:c>
      <x:c r="D17" s="20" t="str">
        <x:v>etapa</x:v>
      </x:c>
      <x:c r="E17" s="21" t="n">
        <x:v>46256</x:v>
      </x:c>
      <x:c r="F17" s="20" t="str">
        <x:v>METH_COMPARACAO_FIDC_CRI</x:v>
      </x:c>
      <x:c r="G17" s="20" t="str">
        <x:v>Inferido</x:v>
      </x:c>
      <x:c r="H17" s="20" t="str">
        <x:v>FIDCs acumulam e financiam créditos durante a revolvência permitida.</x:v>
      </x:c>
      <x:c r="I17" s="20" t="str">
        <x:v>Todos os números desta aba aparecem detalhados nos CSVs analíticos.</x:v>
      </x:c>
      <x:c r="K17" t="e">
        <x:f>HYPERLINK("#'11_Matriz_FIDC_CRI'!A1","11_Matriz_FIDC_CRI")</x:f>
        <x:v>HYPERLINK is not implemented. linkLocation=#'11_Matriz_FIDC_CRI'!A1, friendlyName=11_Matriz_FIDC_CRI</x:v>
      </x:c>
    </x:row>
    <x:row r="18">
      <x:c r="A18" s="20" t="str">
        <x:v>mapa</x:v>
      </x:c>
      <x:c r="B18" s="20" t="str">
        <x:v>Take-out CRI</x:v>
      </x:c>
      <x:c r="C18" s="20" t="n">
        <x:v>3</x:v>
      </x:c>
      <x:c r="D18" s="20" t="str">
        <x:v>etapa</x:v>
      </x:c>
      <x:c r="E18" s="21" t="n">
        <x:v>46256</x:v>
      </x:c>
      <x:c r="F18" s="20" t="str">
        <x:v>METH_COMPARACAO_FIDC_CRI</x:v>
      </x:c>
      <x:c r="G18" s="20" t="str">
        <x:v>Inferido</x:v>
      </x:c>
      <x:c r="H18" s="20" t="str">
        <x:v>Cessão transfere um pool elegível para o patrimônio separado.</x:v>
      </x:c>
      <x:c r="I18" s="20" t="str">
        <x:v>Todos os números desta aba aparecem detalhados nos CSVs analíticos.</x:v>
      </x:c>
      <x:c r="K18" t="e">
        <x:f>HYPERLINK("#'11b_Cessoes'!A1","11b_Cessoes")</x:f>
        <x:v>HYPERLINK is not implemented. linkLocation=#'11b_Cessoes'!A1, friendlyName=11b_Cessoes</x:v>
      </x:c>
    </x:row>
    <x:row r="19">
      <x:c r="A19" s="20" t="str">
        <x:v>mapa</x:v>
      </x:c>
      <x:c r="B19" s="20" t="str">
        <x:v>Investidores</x:v>
      </x:c>
      <x:c r="C19" s="20" t="n">
        <x:v>4</x:v>
      </x:c>
      <x:c r="D19" s="20" t="str">
        <x:v>etapa</x:v>
      </x:c>
      <x:c r="E19" s="21" t="n">
        <x:v>46256</x:v>
      </x:c>
      <x:c r="F19" s="20" t="str">
        <x:v>CVM_OFERTAS_RCVM160_20260822</x:v>
      </x:c>
      <x:c r="G19" s="20" t="str">
        <x:v>Inferido</x:v>
      </x:c>
      <x:c r="H19" s="20" t="str">
        <x:v>Séries públicas e privadas distribuem risco por camada.</x:v>
      </x:c>
      <x:c r="I19" s="20" t="str">
        <x:v>Todos os números desta aba aparecem detalhados nos CSVs analíticos.</x:v>
      </x:c>
      <x:c r="K19" t="e">
        <x:f>HYPERLINK("#'12_Custo_Captacao'!A1","12_Custo_Captacao")</x:f>
        <x:v>HYPERLINK is not implemented. linkLocation=#'12_Custo_Captacao'!A1, friendlyName=12_Custo_Captacao</x:v>
      </x:c>
    </x:row>
    <x:row r="20">
      <x:c r="A20" s="20" t="str">
        <x:v>pergunta</x:v>
      </x:c>
      <x:c r="B20" s="20" t="str">
        <x:v>P1 — descasamento de prazo</x:v>
      </x:c>
      <x:c r="C20" s="20" t="str">
        <x:v>05_Prazos_WAM</x:v>
      </x:c>
      <x:c r="D20" s="20" t="str">
        <x:v>aba</x:v>
      </x:c>
      <x:c r="E20" s="21" t="n">
        <x:v>46256</x:v>
      </x:c>
      <x:c r="F20" s="20" t="str">
        <x:v>METH_COMPARACAO_FIDC_CRI</x:v>
      </x:c>
      <x:c r="G20" s="20" t="str">
        <x:v>Inferido</x:v>
      </x:c>
      <x:c r="H20" s="20" t="str">
        <x:v>Prazo médio observado do recebível e prazo legal dos FIDCs estão n/d; os CRIs têm 119,4–144,0 meses. Suplementos dos FIDCs são necessários para quantificar rollover.</x:v>
      </x:c>
      <x:c r="I20" s="20" t="str">
        <x:v>Todos os números desta aba aparecem detalhados nos CSVs analíticos.</x:v>
      </x:c>
      <x:c r="K20" t="e">
        <x:f>HYPERLINK("#'13_Cronograma_Pagamentos'!A1","13_Cronograma_Pagamentos")</x:f>
        <x:v>HYPERLINK is not implemented. linkLocation=#'13_Cronograma_Pagamentos'!A1, friendlyName=13_Cronograma_Pagamentos</x:v>
      </x:c>
    </x:row>
    <x:row r="21">
      <x:c r="A21" s="20" t="str">
        <x:v>pergunta</x:v>
      </x:c>
      <x:c r="B21" s="20" t="str">
        <x:v>P2 — seleção do pool</x:v>
      </x:c>
      <x:c r="C21" s="20" t="str">
        <x:v>03_Elegibilidade + 11_Matriz_FIDC_CRI</x:v>
      </x:c>
      <x:c r="D21" s="20" t="str">
        <x:v>abas</x:v>
      </x:c>
      <x:c r="E21" s="21" t="n">
        <x:v>46256</x:v>
      </x:c>
      <x:c r="F21" s="20" t="str">
        <x:v>METH_MATRIZ_ELEGIBILIDADE</x:v>
      </x:c>
      <x:c r="G21" s="20" t="str">
        <x:v>Inferido</x:v>
      </x:c>
      <x:c r="H21" s="20" t="str">
        <x:v>Os CRIs exigem adimplência, WAM de 2.000 dias, prazo e tickets máximos. Seasoning, MoB e safra performada permanecem n/d.</x:v>
      </x:c>
      <x:c r="I21" s="20" t="str">
        <x:v>Todos os números desta aba aparecem detalhados nos CSVs analíticos.</x:v>
      </x:c>
      <x:c r="K21" t="e">
        <x:f>HYPERLINK("#'14_Antes_Depois'!A1","14_Antes_Depois")</x:f>
        <x:v>HYPERLINK is not implemented. linkLocation=#'14_Antes_Depois'!A1, friendlyName=14_Antes_Depois</x:v>
      </x:c>
    </x:row>
    <x:row r="22">
      <x:c r="A22" s="20" t="str">
        <x:v>pergunta</x:v>
      </x:c>
      <x:c r="B22" s="20" t="str">
        <x:v>P3 — antes e depois</x:v>
      </x:c>
      <x:c r="C22" s="20" t="str">
        <x:v>14_Antes_Depois</x:v>
      </x:c>
      <x:c r="D22" s="20" t="str">
        <x:v>aba</x:v>
      </x:c>
      <x:c r="E22" s="21" t="n">
        <x:v>46256</x:v>
      </x:c>
      <x:c r="F22" s="20" t="str">
        <x:v>CVM_FIDC_2023_I_IV_V_X2 | CVM_FIDC_2024_I_IV_V_X2</x:v>
      </x:c>
      <x:c r="G22" s="20" t="str">
        <x:v>Inferido</x:v>
      </x:c>
      <x:c r="H22" s="20" t="str">
        <x:v>PDD e atraso mudam ao redor das cessões; sem tape por CCB, o dado agregado não separa seleção do pool e mudança do denominador.</x:v>
      </x:c>
      <x:c r="I22" s="20" t="str">
        <x:v>Todos os números desta aba aparecem detalhados nos CSVs analíticos.</x:v>
      </x:c>
      <x:c r="K22" t="e">
        <x:f>HYPERLINK("#'15_FIDC_vs_CRI'!A1","15_FIDC_vs_CRI")</x:f>
        <x:v>HYPERLINK is not implemented. linkLocation=#'15_FIDC_vs_CRI'!A1, friendlyName=15_FIDC_vs_CRI</x:v>
      </x:c>
    </x:row>
    <x:row r="23">
      <x:c r="A23" s="20" t="str">
        <x:v>pergunta</x:v>
      </x:c>
      <x:c r="B23" s="20" t="str">
        <x:v>P4 — saque da subordinada</x:v>
      </x:c>
      <x:c r="C23" s="20" t="str">
        <x:v>07_Subordinada</x:v>
      </x:c>
      <x:c r="D23" s="20" t="str">
        <x:v>aba</x:v>
      </x:c>
      <x:c r="E23" s="21" t="n">
        <x:v>46256</x:v>
      </x:c>
      <x:c r="F23" s="20" t="str">
        <x:v>METH_RECONCILIACAO</x:v>
      </x:c>
      <x:c r="G23" s="20" t="str">
        <x:v>Inferido</x:v>
      </x:c>
      <x:c r="H23" s="20" t="str">
        <x:v>Os sete FIDCs permitem saque condicionado. CRIs I e II pagam a subordinada pelo waterfall. Valores e datas de saques observados permanecem n/d.</x:v>
      </x:c>
      <x:c r="I23" s="20" t="str">
        <x:v>Todos os números desta aba aparecem detalhados nos CSVs analíticos.</x:v>
      </x:c>
      <x:c r="K23" t="e">
        <x:f>HYPERLINK("#'16_Conflitos'!A1","16_Conflitos")</x:f>
        <x:v>HYPERLINK is not implemented. linkLocation=#'16_Conflitos'!A1, friendlyName=16_Conflitos</x:v>
      </x:c>
    </x:row>
    <x:row r="24">
      <x:c r="A24" s="20" t="str">
        <x:v>pergunta</x:v>
      </x:c>
      <x:c r="B24" s="20" t="str">
        <x:v>P5 — pró-rata e sequencial</x:v>
      </x:c>
      <x:c r="C24" s="20" t="str">
        <x:v>06_Waterfall + 07_Subordinada</x:v>
      </x:c>
      <x:c r="D24" s="20" t="str">
        <x:v>abas</x:v>
      </x:c>
      <x:c r="E24" s="21" t="n">
        <x:v>46256</x:v>
      </x:c>
      <x:c r="F24" s="20" t="str">
        <x:v>METH_WATERFALL_COMPARATIVO</x:v>
      </x:c>
      <x:c r="G24" s="20" t="str">
        <x:v>Inferido</x:v>
      </x:c>
      <x:c r="H24" s="20" t="str">
        <x:v>O pró-rata vigora enquanto testes e prazos permitem; evento ou passagem do tempo ativa sequência. A júnior sai apenas quando os testes contratuais passam.</x:v>
      </x:c>
      <x:c r="I24" s="20" t="str">
        <x:v>Todos os números desta aba aparecem detalhados nos CSVs analíticos.</x:v>
      </x:c>
      <x:c r="K24" t="e">
        <x:f>HYPERLINK("#'17_Fontes'!A1","17_Fontes")</x:f>
        <x:v>HYPERLINK is not implemented. linkLocation=#'17_Fontes'!A1, friendlyName=17_Fontes</x:v>
      </x:c>
    </x:row>
    <x:row r="25">
      <x:c r="A25" s="20" t="str">
        <x:v>pergunta</x:v>
      </x:c>
      <x:c r="B25" s="20" t="str">
        <x:v>P6 — curva de amortização</x:v>
      </x:c>
      <x:c r="C25" s="20" t="str">
        <x:v>13_Cronograma_Pagamentos</x:v>
      </x:c>
      <x:c r="D25" s="20" t="str">
        <x:v>aba</x:v>
      </x:c>
      <x:c r="E25" s="21" t="n">
        <x:v>46256</x:v>
      </x:c>
      <x:c r="F25" s="20" t="str">
        <x:v>CVM_CRI_2024_CLASSE | CVM_CRI_2025_CLASSE | CVM_CRI_2026_CLASSE</x:v>
      </x:c>
      <x:c r="G25" s="20" t="str">
        <x:v>Inferido</x:v>
      </x:c>
      <x:c r="H25" s="20" t="str">
        <x:v>O realizado vem do Informe Mensal com lacunas de unidade preservadas. Curvas projetadas por série estão n/d porque os cronogramas mensais não foram localizados.</x:v>
      </x:c>
      <x:c r="I25" s="20" t="str">
        <x:v>Todos os números desta aba aparecem detalhados nos CSVs analíticos.</x:v>
      </x:c>
      <x:c r="K25" t="e">
        <x:f>HYPERLINK("#'18_Metodologia'!A1","18_Metodologia")</x:f>
        <x:v>HYPERLINK is not implemented. linkLocation=#'18_Metodologia'!A1, friendlyName=18_Metodologia</x:v>
      </x:c>
    </x:row>
    <x:row r="26">
      <x:c r="A26" s="20" t="str">
        <x:v>pergunta</x:v>
      </x:c>
      <x:c r="B26" s="20" t="str">
        <x:v>P7 — custo de captação</x:v>
      </x:c>
      <x:c r="C26" s="20" t="str">
        <x:v>12_Custo_Captacao</x:v>
      </x:c>
      <x:c r="D26" s="20" t="str">
        <x:v>aba</x:v>
      </x:c>
      <x:c r="E26" s="21" t="n">
        <x:v>46256</x:v>
      </x:c>
      <x:c r="F26" s="20" t="str">
        <x:v>B3_CURVA_DI_20260822 | ANBIMA_CURVA_20260822</x:v>
      </x:c>
      <x:c r="G26" s="20" t="str">
        <x:v>Inferido</x:v>
      </x:c>
      <x:c r="H26" s="20" t="str">
        <x:v>Taxas contratadas estão documentadas; custo all-in comparável permanece n/d sem curvas datadas, custos completos, hedge e preço de cessão.</x:v>
      </x:c>
      <x:c r="I26" s="20" t="str">
        <x:v>Todos os números desta aba aparecem detalhados nos CSVs analíticos.</x:v>
      </x:c>
      <x:c r="K26" t="e">
        <x:f>HYPERLINK("#'19_Glossario'!A1","19_Glossario")</x:f>
        <x:v>HYPERLINK is not implemented. linkLocation=#'19_Glossario'!A1, friendlyName=19_Glossario</x:v>
      </x:c>
    </x:row>
    <x:row r="27">
      <x:c r="A27" s="20" t="str">
        <x:v>pergunta</x:v>
      </x:c>
      <x:c r="B27" s="20" t="str">
        <x:v>P8 — matriz de cessão</x:v>
      </x:c>
      <x:c r="C27" s="20" t="str">
        <x:v>11_Matriz_FIDC_CRI + 11b_Cessoes</x:v>
      </x:c>
      <x:c r="D27" s="20" t="str">
        <x:v>abas</x:v>
      </x:c>
      <x:c r="E27" s="21" t="n">
        <x:v>46256</x:v>
      </x:c>
      <x:c r="F27" s="20" t="str">
        <x:v>METH_MATRIZ_ELEGIBILIDADE</x:v>
      </x:c>
      <x:c r="G27" s="20" t="str">
        <x:v>Inferido</x:v>
      </x:c>
      <x:c r="H27" s="20" t="str">
        <x:v>FIDCs II e IV cederam para CRIs I e II. Os demais estados Pode ceder são inferências de mandato e critérios, sem prova de uma fita concreta.</x:v>
      </x:c>
      <x:c r="I27" s="20" t="str">
        <x:v>Todos os números desta aba aparecem detalhados nos CSVs analíticos.</x:v>
      </x:c>
    </x:row>
    <x:row r="30">
      <x:c r="K30" s="30" t="str">
        <x:v>Mapa do programa</x:v>
      </x:c>
      <x:c r="L30" s="30" t="str"/>
      <x:c r="M30" s="30" t="str"/>
      <x:c r="N30" s="30" t="str"/>
    </x:row>
    <x:row r="31">
      <x:c r="K31" s="36" t="str">
        <x:v>Originação</x:v>
      </x:c>
      <x:c r="L31" s="35" t="str">
        <x:v>Warehouse FIDC</x:v>
      </x:c>
      <x:c r="M31" s="35" t="str">
        <x:v>Take-out CRI</x:v>
      </x:c>
      <x:c r="N31" s="35" t="str">
        <x:v>Investidores</x:v>
      </x:c>
    </x:row>
    <x:row r="32">
      <x:c r="K32" s="36" t="str">
        <x:v>CCBs solares</x:v>
      </x:c>
      <x:c r="L32" s="35" t="str">
        <x:v>Acumula e financia</x:v>
      </x:c>
      <x:c r="M32" s="35" t="str">
        <x:v>Compra pool elegível</x:v>
      </x:c>
      <x:c r="N32" s="35" t="str">
        <x:v>Absorvem camadas</x:v>
      </x:c>
    </x:row>
    <x:row r="33">
      <x:c r="K33" s="36" t="str">
        <x:v>1</x:v>
      </x:c>
      <x:c r="L33" s="35" t="str">
        <x:v>2</x:v>
      </x:c>
      <x:c r="M33" s="35" t="str">
        <x:v>3</x:v>
      </x:c>
      <x:c r="N33" s="35" t="str">
        <x:v>4</x:v>
      </x:c>
    </x:row>
    <x:row r="34">
      <x:c r="K34" t="str">
        <x:v>Fonte: METH_COMPARACAO_FIDC_CRI</x:v>
      </x:c>
      <x:c r="L34" t="str"/>
      <x:c r="M34" t="str"/>
      <x:c r="N34" t="str"/>
    </x:row>
  </x:sheetData>
  <x:mergeCells>
    <x:mergeCell ref="A1:I1"/>
    <x:mergeCell ref="A2:I2"/>
    <x:mergeCell ref="A3:I3"/>
    <x:mergeCell ref="K30:N30"/>
    <x:mergeCell ref="K34:N34"/>
  </x:mergeCells>
  <x:pageMargins left="0.7" right="0.7" top="0.75" bottom="0.75" header="0.3" footer="0.3"/>
  <x:tableParts count="1">
    <x:tablePart xmlns:r="http://schemas.openxmlformats.org/officeDocument/2006/relationships" r:id="Rd78ae216aa8a45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28" hidden="0" customWidth="1"/>
    <x:col min="4" max="4" width="24" hidden="0" customWidth="1"/>
    <x:col min="5" max="5" width="28" hidden="0" customWidth="1"/>
    <x:col min="6" max="6" width="13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9" hidden="0" customWidth="1"/>
    <x:col min="14" max="14" width="20" hidden="0" customWidth="1"/>
    <x:col min="15" max="15" width="20" hidden="0" customWidth="1"/>
    <x:col min="16" max="16" width="13" hidden="0" customWidth="1"/>
    <x:col min="17" max="17" width="34" hidden="0" customWidth="1"/>
    <x:col min="18" max="18" width="19" hidden="0" customWidth="1"/>
    <x:col min="19" max="19" width="42" hidden="0" customWidth="1"/>
  </x:cols>
  <x:sheetData>
    <x:row r="1" ht="30" customHeight="1">
      <x:c r="A1" s="3" t="str">
        <x:v>01 Veiculos</x:v>
      </x:c>
    </x:row>
    <x:row r="2" ht="34" customHeight="1">
      <x:c r="A2" s="7" t="str">
        <x:v>Cada linha identifica um veículo e sua última competência pública. PL e saldo de CRI aparecem lado a lado sem misturar datas.</x:v>
      </x:c>
    </x:row>
    <x:row r="3" ht="24" customHeight="1">
      <x:c r="A3" s="11" t="str">
        <x:v>Data-base: 2026-05-01 a 2026-07-31 | Fontes: CVM_CADASTRO_20260821; CVM_FIDC_202607_I_IV; ANX_XP_20260428; ANX_CRI1_PROSP_20240216; CVM_CRI_2026_GERAL_ATIVO;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 ht="34" customHeight="1">
      <x:c r="A5" s="16" t="str">
        <x:v>veiculo_id</x:v>
      </x:c>
      <x:c r="B5" s="16" t="str">
        <x:v>tipo</x:v>
      </x:c>
      <x:c r="C5" s="16" t="str">
        <x:v>nome</x:v>
      </x:c>
      <x:c r="D5" s="16" t="str">
        <x:v>cnpj_ou_emissora</x:v>
      </x:c>
      <x:c r="E5" s="16" t="str">
        <x:v>securitizadora</x:v>
      </x:c>
      <x:c r="F5" s="16" t="str">
        <x:v>data_inicio_ou_emissao</x:v>
      </x:c>
      <x:c r="G5" s="16" t="str">
        <x:v>situacao</x:v>
      </x:c>
      <x:c r="H5" s="16" t="str">
        <x:v>administrador</x:v>
      </x:c>
      <x:c r="I5" s="16" t="str">
        <x:v>gestor</x:v>
      </x:c>
      <x:c r="J5" s="16" t="str">
        <x:v>custodiante</x:v>
      </x:c>
      <x:c r="K5" s="16" t="str">
        <x:v>agente_fiduciario</x:v>
      </x:c>
      <x:c r="L5" s="16" t="str">
        <x:v>auditor</x:v>
      </x:c>
      <x:c r="M5" s="16" t="str">
        <x:v>agencia_rating</x:v>
      </x:c>
      <x:c r="N5" s="16" t="str">
        <x:v>pl_ou_saldo_R$mi</x:v>
      </x:c>
      <x:c r="O5" s="16" t="str">
        <x:v>carteira_R$mi</x:v>
      </x:c>
      <x:c r="P5" s="16" t="str">
        <x:v>data_base</x:v>
      </x:c>
      <x:c r="Q5" s="16" t="str">
        <x:v>fonte_id</x:v>
      </x:c>
      <x:c r="R5" s="16" t="str">
        <x:v>status</x:v>
      </x:c>
      <x:c r="S5" s="16" t="str">
        <x:v>nota_metodo</x:v>
      </x:c>
    </x:row>
    <x:row r="6">
      <x:c r="A6" s="20" t="str">
        <x:v>FIDC_I</x:v>
      </x:c>
      <x:c r="B6" s="20" t="str">
        <x:v>FIDC</x:v>
      </x:c>
      <x:c r="C6" s="20" t="str">
        <x:v>Solfácil FIDC I</x:v>
      </x:c>
      <x:c r="D6" s="20" t="str">
        <x:v>36771685000117</x:v>
      </x:c>
      <x:c r="E6" s="20" t="str">
        <x:v>n/d</x:v>
      </x:c>
      <x:c r="F6" s="21" t="n">
        <x:v>44186</x:v>
      </x:c>
      <x:c r="G6" s="20" t="str">
        <x:v>Em funcionamento normal</x:v>
      </x:c>
      <x:c r="H6" s="20" t="str">
        <x:v>Banco Daycoval S.A.</x:v>
      </x:c>
      <x:c r="I6" s="20" t="str">
        <x:v>Angá Administração de Recursos Ltda.</x:v>
      </x:c>
      <x:c r="J6" s="20" t="str">
        <x:v>Banco Daycoval S.A.</x:v>
      </x:c>
      <x:c r="K6" s="20" t="str">
        <x:v>n/d</x:v>
      </x:c>
      <x:c r="L6" s="20" t="str">
        <x:v>EY</x:v>
      </x:c>
      <x:c r="M6" s="20" t="str">
        <x:v>Austin Rating</x:v>
      </x:c>
      <x:c r="N6" s="23" t="n">
        <x:v>83.6965557</x:v>
      </x:c>
      <x:c r="O6" s="23" t="n">
        <x:v>86.37768788</x:v>
      </x:c>
      <x:c r="P6" s="21" t="n">
        <x:v>46234</x:v>
      </x:c>
      <x:c r="Q6" s="20" t="str">
        <x:v>CVM_CADASTRO_20260821 | CVM_FIDC_202607_I_IV | ANX_XP_20260428</x:v>
      </x:c>
      <x:c r="R6" s="20" t="str">
        <x:v>Documentado</x:v>
      </x:c>
      <x:c r="S6" s="20" t="str">
        <x:v>PL e carteira na última competência pública; prestadores no cadastro CVM; agência de rating declarada no deck e não vinculada a cada classe.</x:v>
      </x:c>
    </x:row>
    <x:row r="7">
      <x:c r="A7" s="20" t="str">
        <x:v>FIDC_II</x:v>
      </x:c>
      <x:c r="B7" s="20" t="str">
        <x:v>FIDC</x:v>
      </x:c>
      <x:c r="C7" s="20" t="str">
        <x:v>Solfácil FIDC II</x:v>
      </x:c>
      <x:c r="D7" s="20" t="str">
        <x:v>42462306000100</x:v>
      </x:c>
      <x:c r="E7" s="20" t="str">
        <x:v>n/d</x:v>
      </x:c>
      <x:c r="F7" s="21" t="n">
        <x:v>44477</x:v>
      </x:c>
      <x:c r="G7" s="20" t="str">
        <x:v>Em funcionamento normal</x:v>
      </x:c>
      <x:c r="H7" s="20" t="str">
        <x:v>Banco Genial S.A.</x:v>
      </x:c>
      <x:c r="I7" s="20" t="str">
        <x:v>Angá Administração de Recursos Ltda.</x:v>
      </x:c>
      <x:c r="J7" s="20" t="str">
        <x:v>Banco Genial S.A.</x:v>
      </x:c>
      <x:c r="K7" s="20" t="str">
        <x:v>n/d</x:v>
      </x:c>
      <x:c r="L7" s="20" t="str">
        <x:v>KPMG</x:v>
      </x:c>
      <x:c r="M7" s="20" t="str">
        <x:v>Austin Rating</x:v>
      </x:c>
      <x:c r="N7" s="23" t="n">
        <x:v>94.13449753</x:v>
      </x:c>
      <x:c r="O7" s="23" t="n">
        <x:v>106.79457298999999</x:v>
      </x:c>
      <x:c r="P7" s="21" t="n">
        <x:v>46234</x:v>
      </x:c>
      <x:c r="Q7" s="20" t="str">
        <x:v>CVM_CADASTRO_20260821 | CVM_FIDC_202607_I_IV | ANX_XP_20260428</x:v>
      </x:c>
      <x:c r="R7" s="20" t="str">
        <x:v>Documentado</x:v>
      </x:c>
      <x:c r="S7" s="20" t="str">
        <x:v>PL e carteira na última competência pública; prestadores no cadastro CVM; agência de rating declarada no deck e não vinculada a cada classe.</x:v>
      </x:c>
    </x:row>
    <x:row r="8">
      <x:c r="A8" s="20" t="str">
        <x:v>FIDC_III</x:v>
      </x:c>
      <x:c r="B8" s="20" t="str">
        <x:v>FIDC</x:v>
      </x:c>
      <x:c r="C8" s="20" t="str">
        <x:v>Solfácil FIDC III</x:v>
      </x:c>
      <x:c r="D8" s="20" t="str">
        <x:v>49920525000134</x:v>
      </x:c>
      <x:c r="E8" s="20" t="str">
        <x:v>n/d</x:v>
      </x:c>
      <x:c r="F8" s="21" t="n">
        <x:v>45111</x:v>
      </x:c>
      <x:c r="G8" s="20" t="str">
        <x:v>Em funcionamento normal</x:v>
      </x:c>
      <x:c r="H8" s="20" t="str">
        <x:v>Banco Daycoval S.A.</x:v>
      </x:c>
      <x:c r="I8" s="20" t="str">
        <x:v>Régia Capital Ltda.</x:v>
      </x:c>
      <x:c r="J8" s="20" t="str">
        <x:v>Banco Daycoval S.A.</x:v>
      </x:c>
      <x:c r="K8" s="20" t="str">
        <x:v>n/d</x:v>
      </x:c>
      <x:c r="L8" s="20" t="str">
        <x:v>PwC</x:v>
      </x:c>
      <x:c r="M8" s="20" t="str">
        <x:v>Fitch</x:v>
      </x:c>
      <x:c r="N8" s="23" t="n">
        <x:v>141.08625529</x:v>
      </x:c>
      <x:c r="O8" s="23" t="n">
        <x:v>140.94049200999999</x:v>
      </x:c>
      <x:c r="P8" s="21" t="n">
        <x:v>46234</x:v>
      </x:c>
      <x:c r="Q8" s="20" t="str">
        <x:v>CVM_CADASTRO_20260821 | CVM_FIDC_202607_I_IV | ANX_XP_20260428</x:v>
      </x:c>
      <x:c r="R8" s="20" t="str">
        <x:v>Documentado</x:v>
      </x:c>
      <x:c r="S8" s="20" t="str">
        <x:v>PL e carteira na última competência pública; prestadores no cadastro CVM; agência de rating declarada no deck e não vinculada a cada classe.</x:v>
      </x:c>
    </x:row>
    <x:row r="9">
      <x:c r="A9" s="20" t="str">
        <x:v>FIDC_IV</x:v>
      </x:c>
      <x:c r="B9" s="20" t="str">
        <x:v>FIDC</x:v>
      </x:c>
      <x:c r="C9" s="20" t="str">
        <x:v>Solfácil FIDC IV</x:v>
      </x:c>
      <x:c r="D9" s="20" t="str">
        <x:v>44909456000144</x:v>
      </x:c>
      <x:c r="E9" s="20" t="str">
        <x:v>n/d</x:v>
      </x:c>
      <x:c r="F9" s="21" t="n">
        <x:v>44757</x:v>
      </x:c>
      <x:c r="G9" s="20" t="str">
        <x:v>Em funcionamento normal</x:v>
      </x:c>
      <x:c r="H9" s="20" t="str">
        <x:v>Banco Genial S.A.</x:v>
      </x:c>
      <x:c r="I9" s="20" t="str">
        <x:v>Genial Gestão Ltda.</x:v>
      </x:c>
      <x:c r="J9" s="20" t="str">
        <x:v>Banco Genial S.A.</x:v>
      </x:c>
      <x:c r="K9" s="20" t="str">
        <x:v>n/d</x:v>
      </x:c>
      <x:c r="L9" s="20" t="str">
        <x:v>KPMG</x:v>
      </x:c>
      <x:c r="M9" s="20" t="str">
        <x:v>Moody's</x:v>
      </x:c>
      <x:c r="N9" s="23" t="n">
        <x:v>17.49990091</x:v>
      </x:c>
      <x:c r="O9" s="23" t="n">
        <x:v>15.88464587</x:v>
      </x:c>
      <x:c r="P9" s="21" t="n">
        <x:v>46234</x:v>
      </x:c>
      <x:c r="Q9" s="20" t="str">
        <x:v>CVM_CADASTRO_20260821 | CVM_FIDC_202607_I_IV | ANX_XP_20260428</x:v>
      </x:c>
      <x:c r="R9" s="20" t="str">
        <x:v>Documentado</x:v>
      </x:c>
      <x:c r="S9" s="20" t="str">
        <x:v>PL e carteira na última competência pública; prestadores no cadastro CVM; agência de rating declarada no deck e não vinculada a cada classe.</x:v>
      </x:c>
    </x:row>
    <x:row r="10">
      <x:c r="A10" s="20" t="str">
        <x:v>FIDC_V</x:v>
      </x:c>
      <x:c r="B10" s="20" t="str">
        <x:v>FIDC</x:v>
      </x:c>
      <x:c r="C10" s="20" t="str">
        <x:v>Solfácil FIDC V</x:v>
      </x:c>
      <x:c r="D10" s="20" t="str">
        <x:v>47240785000133</x:v>
      </x:c>
      <x:c r="E10" s="20" t="str">
        <x:v>n/d</x:v>
      </x:c>
      <x:c r="F10" s="21" t="n">
        <x:v>44963</x:v>
      </x:c>
      <x:c r="G10" s="20" t="str">
        <x:v>Em funcionamento normal</x:v>
      </x:c>
      <x:c r="H10" s="20" t="str">
        <x:v>Banco Daycoval S.A.</x:v>
      </x:c>
      <x:c r="I10" s="20" t="str">
        <x:v>Angá Administração de Recursos Ltda.</x:v>
      </x:c>
      <x:c r="J10" s="20" t="str">
        <x:v>Banco Daycoval S.A.</x:v>
      </x:c>
      <x:c r="K10" s="20" t="str">
        <x:v>n/d</x:v>
      </x:c>
      <x:c r="L10" s="20" t="str">
        <x:v>RSM</x:v>
      </x:c>
      <x:c r="M10" s="20" t="str">
        <x:v>Austin Rating</x:v>
      </x:c>
      <x:c r="N10" s="23" t="n">
        <x:v>67.5393486</x:v>
      </x:c>
      <x:c r="O10" s="23" t="n">
        <x:v>70.52865868</x:v>
      </x:c>
      <x:c r="P10" s="21" t="n">
        <x:v>46234</x:v>
      </x:c>
      <x:c r="Q10" s="20" t="str">
        <x:v>CVM_CADASTRO_20260821 | CVM_FIDC_202607_I_IV | ANX_XP_20260428</x:v>
      </x:c>
      <x:c r="R10" s="20" t="str">
        <x:v>Documentado</x:v>
      </x:c>
      <x:c r="S10" s="20" t="str">
        <x:v>PL e carteira na última competência pública; prestadores no cadastro CVM; agência de rating declarada no deck e não vinculada a cada classe.</x:v>
      </x:c>
    </x:row>
    <x:row r="11">
      <x:c r="A11" s="20" t="str">
        <x:v>FIDC_VI</x:v>
      </x:c>
      <x:c r="B11" s="20" t="str">
        <x:v>FIDC</x:v>
      </x:c>
      <x:c r="C11" s="20" t="str">
        <x:v>Solfácil FIDC VI</x:v>
      </x:c>
      <x:c r="D11" s="20" t="str">
        <x:v>57028406000108</x:v>
      </x:c>
      <x:c r="E11" s="20" t="str">
        <x:v>n/d</x:v>
      </x:c>
      <x:c r="F11" s="21" t="n">
        <x:v>45602</x:v>
      </x:c>
      <x:c r="G11" s="20" t="str">
        <x:v>Em funcionamento normal</x:v>
      </x:c>
      <x:c r="H11" s="20" t="str">
        <x:v>Limine Trust DTVM Ltda.</x:v>
      </x:c>
      <x:c r="I11" s="20" t="str">
        <x:v>Régia Capital Ltda.</x:v>
      </x:c>
      <x:c r="J11" s="20" t="str">
        <x:v>Limine Trust DTVM Ltda.</x:v>
      </x:c>
      <x:c r="K11" s="20" t="str">
        <x:v>n/d</x:v>
      </x:c>
      <x:c r="L11" s="20" t="str">
        <x:v>Next Auditores</x:v>
      </x:c>
      <x:c r="M11" s="20" t="str">
        <x:v>n/d</x:v>
      </x:c>
      <x:c r="N11" s="23" t="n">
        <x:v>211.11706149</x:v>
      </x:c>
      <x:c r="O11" s="23" t="n">
        <x:v>213.56786488999998</x:v>
      </x:c>
      <x:c r="P11" s="21" t="n">
        <x:v>46234</x:v>
      </x:c>
      <x:c r="Q11" s="20" t="str">
        <x:v>CVM_CADASTRO_20260821 | CVM_FIDC_202607_I_IV | ANX_XP_20260428</x:v>
      </x:c>
      <x:c r="R11" s="20" t="str">
        <x:v>Documentado</x:v>
      </x:c>
      <x:c r="S11" s="20" t="str">
        <x:v>PL e carteira na última competência pública; prestadores no cadastro CVM; agência de rating declarada no deck e não vinculada a cada classe.</x:v>
      </x:c>
    </x:row>
    <x:row r="12">
      <x:c r="A12" s="20" t="str">
        <x:v>FIDC_VII</x:v>
      </x:c>
      <x:c r="B12" s="20" t="str">
        <x:v>FIDC</x:v>
      </x:c>
      <x:c r="C12" s="20" t="str">
        <x:v>Solfácil FIDC VII</x:v>
      </x:c>
      <x:c r="D12" s="20" t="str">
        <x:v>63505455000189</x:v>
      </x:c>
      <x:c r="E12" s="20" t="str">
        <x:v>n/d</x:v>
      </x:c>
      <x:c r="F12" s="21" t="n">
        <x:v>46035</x:v>
      </x:c>
      <x:c r="G12" s="20" t="str">
        <x:v>Em funcionamento normal</x:v>
      </x:c>
      <x:c r="H12" s="20" t="str">
        <x:v>Genial Investimentos CVM S.A.</x:v>
      </x:c>
      <x:c r="I12" s="20" t="str">
        <x:v>Angá Administração de Recursos Ltda.</x:v>
      </x:c>
      <x:c r="J12" s="20" t="str">
        <x:v>Banco Genial S.A.</x:v>
      </x:c>
      <x:c r="K12" s="20" t="str">
        <x:v>n/d</x:v>
      </x:c>
      <x:c r="L12" s="20" t="str">
        <x:v>Deloitte</x:v>
      </x:c>
      <x:c r="M12" s="20" t="str">
        <x:v>Moody's</x:v>
      </x:c>
      <x:c r="N12" s="23" t="n">
        <x:v>619.6274518600001</x:v>
      </x:c>
      <x:c r="O12" s="23" t="n">
        <x:v>619.73635232</x:v>
      </x:c>
      <x:c r="P12" s="21" t="n">
        <x:v>46234</x:v>
      </x:c>
      <x:c r="Q12" s="20" t="str">
        <x:v>CVM_CADASTRO_20260821 | CVM_FIDC_202607_I_IV | ANX_XP_20260428</x:v>
      </x:c>
      <x:c r="R12" s="20" t="str">
        <x:v>Documentado</x:v>
      </x:c>
      <x:c r="S12" s="20" t="str">
        <x:v>PL e carteira na última competência pública; prestadores no cadastro CVM; agência de rating declarada no deck e não vinculada a cada classe.</x:v>
      </x:c>
    </x:row>
    <x:row r="13">
      <x:c r="A13" s="20" t="str">
        <x:v>CRI_K1</x:v>
      </x:c>
      <x:c r="B13" s="20" t="str">
        <x:v>CRI</x:v>
      </x:c>
      <x:c r="C13" s="20" t="str">
        <x:v>CRI Solfácil — Kanastra 1ª emissão</x:v>
      </x:c>
      <x:c r="D13" s="20" t="str">
        <x:v>Kanastra Securitizadora S.A.</x:v>
      </x:c>
      <x:c r="E13" s="20" t="str">
        <x:v>Kanastra Securitizadora S.A.</x:v>
      </x:c>
      <x:c r="F13" s="21" t="n">
        <x:v>45306</x:v>
      </x:c>
      <x:c r="G13" s="20" t="str">
        <x:v>Em acompanhamento / oferta encerrada</x:v>
      </x:c>
      <x:c r="H13" s="20" t="str">
        <x:v>n/d</x:v>
      </x:c>
      <x:c r="I13" s="20" t="str">
        <x:v>n/d</x:v>
      </x:c>
      <x:c r="J13" s="20" t="str">
        <x:v>OLIVEIRA TRUST DTVM S.A.</x:v>
      </x:c>
      <x:c r="K13" s="20" t="str">
        <x:v>OLIVEIRA TRUST DTVM S.A.</x:v>
      </x:c>
      <x:c r="L13" s="20" t="str">
        <x:v>n/d</x:v>
      </x:c>
      <x:c r="M13" s="20" t="str">
        <x:v>FITCH RATINGS BRASIL LTDA</x:v>
      </x:c>
      <x:c r="N13" s="23" t="n">
        <x:v>249.88998853</x:v>
      </x:c>
      <x:c r="O13" s="23" t="n">
        <x:v>297.287825</x:v>
      </x:c>
      <x:c r="P13" s="21" t="n">
        <x:v>46174</x:v>
      </x:c>
      <x:c r="Q13" s="20" t="str">
        <x:v>ANX_CRI1_PROSP_20240216 | CVM_CRI_2026_GERAL_ATIVO</x:v>
      </x:c>
      <x:c r="R13" s="20" t="str">
        <x:v>Documentado</x:v>
      </x:c>
      <x:c r="S13" s="20" t="str">
        <x:v>Saldo e créditos da última competência pública; VERT 177 ainda sem Informe Mensal na data de acesso.</x:v>
      </x:c>
    </x:row>
    <x:row r="14">
      <x:c r="A14" s="20" t="str">
        <x:v>CRI_K2</x:v>
      </x:c>
      <x:c r="B14" s="20" t="str">
        <x:v>CRI</x:v>
      </x:c>
      <x:c r="C14" s="20" t="str">
        <x:v>CRI Solfácil — Kanastra 2ª emissão</x:v>
      </x:c>
      <x:c r="D14" s="20" t="str">
        <x:v>Kanastra Securitizadora S.A.</x:v>
      </x:c>
      <x:c r="E14" s="20" t="str">
        <x:v>Kanastra Securitizadora S.A.</x:v>
      </x:c>
      <x:c r="F14" s="21" t="n">
        <x:v>45468</x:v>
      </x:c>
      <x:c r="G14" s="20" t="str">
        <x:v>Em acompanhamento / oferta encerrada</x:v>
      </x:c>
      <x:c r="H14" s="20" t="str">
        <x:v>n/d</x:v>
      </x:c>
      <x:c r="I14" s="20" t="str">
        <x:v>n/d</x:v>
      </x:c>
      <x:c r="J14" s="20" t="str">
        <x:v>OLIVEIRA TRUST DTVM S.A.</x:v>
      </x:c>
      <x:c r="K14" s="20" t="str">
        <x:v>OLIVEIRA TRUST DTVM S.A.</x:v>
      </x:c>
      <x:c r="L14" s="20" t="str">
        <x:v>n/d</x:v>
      </x:c>
      <x:c r="M14" s="20" t="str">
        <x:v>MOODYS LOCAL</x:v>
      </x:c>
      <x:c r="N14" s="23" t="n">
        <x:v>399.701017</x:v>
      </x:c>
      <x:c r="O14" s="23" t="n">
        <x:v>428.45449138</x:v>
      </x:c>
      <x:c r="P14" s="21" t="n">
        <x:v>46143</x:v>
      </x:c>
      <x:c r="Q14" s="20" t="str">
        <x:v>ANX_CRI2_RATING_202406 | CVM_CRI_2026_GERAL_ATIVO</x:v>
      </x:c>
      <x:c r="R14" s="20" t="str">
        <x:v>Documentado</x:v>
      </x:c>
      <x:c r="S14" s="20" t="str">
        <x:v>Saldo e créditos da última competência pública; VERT 177 ainda sem Informe Mensal na data de acesso.</x:v>
      </x:c>
    </x:row>
    <x:row r="15">
      <x:c r="A15" s="20" t="str">
        <x:v>CRI_K3</x:v>
      </x:c>
      <x:c r="B15" s="20" t="str">
        <x:v>CRI</x:v>
      </x:c>
      <x:c r="C15" s="20" t="str">
        <x:v>CRI Solfácil — Kanastra 3ª emissão</x:v>
      </x:c>
      <x:c r="D15" s="20" t="str">
        <x:v>Kanastra Securitizadora S.A.</x:v>
      </x:c>
      <x:c r="E15" s="20" t="str">
        <x:v>Kanastra Securitizadora S.A.</x:v>
      </x:c>
      <x:c r="F15" s="21" t="n">
        <x:v>45805</x:v>
      </x:c>
      <x:c r="G15" s="20" t="str">
        <x:v>Em acompanhamento / oferta encerrada</x:v>
      </x:c>
      <x:c r="H15" s="20" t="str">
        <x:v>n/d</x:v>
      </x:c>
      <x:c r="I15" s="20" t="str">
        <x:v>n/d</x:v>
      </x:c>
      <x:c r="J15" s="20" t="str">
        <x:v>OLIVEIRA TRUST DTVM S.A.</x:v>
      </x:c>
      <x:c r="K15" s="20" t="str">
        <x:v>OLIVEIRA TRUST DTVM S.A.</x:v>
      </x:c>
      <x:c r="L15" s="20" t="str">
        <x:v>n/d</x:v>
      </x:c>
      <x:c r="M15" s="20" t="str">
        <x:v>MOODYS LOCAL</x:v>
      </x:c>
      <x:c r="N15" s="23" t="n">
        <x:v>587.852934</x:v>
      </x:c>
      <x:c r="O15" s="23" t="n">
        <x:v>587.5341031900001</x:v>
      </x:c>
      <x:c r="P15" s="21" t="n">
        <x:v>46143</x:v>
      </x:c>
      <x:c r="Q15" s="20" t="str">
        <x:v>ANX_CRI3_LAM_PREL_20250422 | CVM_CRI_2026_GERAL_ATIVO</x:v>
      </x:c>
      <x:c r="R15" s="20" t="str">
        <x:v>Documentado</x:v>
      </x:c>
      <x:c r="S15" s="20" t="str">
        <x:v>Saldo e créditos da última competência pública; VERT 177 ainda sem Informe Mensal na data de acesso.</x:v>
      </x:c>
    </x:row>
    <x:row r="16">
      <x:c r="A16" s="20" t="str">
        <x:v>CRI_K4</x:v>
      </x:c>
      <x:c r="B16" s="20" t="str">
        <x:v>CRI</x:v>
      </x:c>
      <x:c r="C16" s="20" t="str">
        <x:v>CRI Solfácil — Kanastra 4ª emissão</x:v>
      </x:c>
      <x:c r="D16" s="20" t="str">
        <x:v>Kanastra Securitizadora S.A.</x:v>
      </x:c>
      <x:c r="E16" s="20" t="str">
        <x:v>Kanastra Securitizadora S.A.</x:v>
      </x:c>
      <x:c r="F16" s="21" t="n">
        <x:v>45928</x:v>
      </x:c>
      <x:c r="G16" s="20" t="str">
        <x:v>Em acompanhamento / oferta encerrada</x:v>
      </x:c>
      <x:c r="H16" s="20" t="str">
        <x:v>n/d</x:v>
      </x:c>
      <x:c r="I16" s="20" t="str">
        <x:v>n/d</x:v>
      </x:c>
      <x:c r="J16" s="20" t="str">
        <x:v>OLIVEIRA TRUST DTVM S.A.</x:v>
      </x:c>
      <x:c r="K16" s="20" t="str">
        <x:v>OLIVEIRA TRUST DTVM S.A.</x:v>
      </x:c>
      <x:c r="L16" s="20" t="str">
        <x:v>n/d</x:v>
      </x:c>
      <x:c r="M16" s="20" t="str">
        <x:v>MOODYS LOCAL</x:v>
      </x:c>
      <x:c r="N16" s="23" t="n">
        <x:v>396.52376</x:v>
      </x:c>
      <x:c r="O16" s="23" t="n">
        <x:v>403.48402563999997</x:v>
      </x:c>
      <x:c r="P16" s="21" t="n">
        <x:v>46143</x:v>
      </x:c>
      <x:c r="Q16" s="20" t="str">
        <x:v>ANX_CRI4_INICIO_20250929 | CVM_CRI_2026_GERAL_ATIVO</x:v>
      </x:c>
      <x:c r="R16" s="20" t="str">
        <x:v>Documentado</x:v>
      </x:c>
      <x:c r="S16" s="20" t="str">
        <x:v>Saldo e créditos da última competência pública; VERT 177 ainda sem Informe Mensal na data de acesso.</x:v>
      </x:c>
    </x:row>
    <x:row r="17">
      <x:c r="A17" s="20" t="str">
        <x:v>CRI_V174</x:v>
      </x:c>
      <x:c r="B17" s="20" t="str">
        <x:v>CRI</x:v>
      </x:c>
      <x:c r="C17" s="20" t="str">
        <x:v>CRI Solfácil — VERT 174ª emissão</x:v>
      </x:c>
      <x:c r="D17" s="20" t="str">
        <x:v>VERT Companhia Securitizadora</x:v>
      </x:c>
      <x:c r="E17" s="20" t="str">
        <x:v>VERT Companhia Securitizadora</x:v>
      </x:c>
      <x:c r="F17" s="21" t="n">
        <x:v>46162</x:v>
      </x:c>
      <x:c r="G17" s="20" t="str">
        <x:v>Em acompanhamento / oferta encerrada</x:v>
      </x:c>
      <x:c r="H17" s="20" t="str">
        <x:v>n/d</x:v>
      </x:c>
      <x:c r="I17" s="20" t="str">
        <x:v>n/d</x:v>
      </x:c>
      <x:c r="J17" s="20" t="str">
        <x:v>VERT DTVM LTDA</x:v>
      </x:c>
      <x:c r="K17" s="20" t="str">
        <x:v>Oliveira Trust DTVM S.A</x:v>
      </x:c>
      <x:c r="L17" s="20" t="str">
        <x:v>n/d</x:v>
      </x:c>
      <x:c r="M17" s="20" t="str">
        <x:v>AAA</x:v>
      </x:c>
      <x:c r="N17" s="23" t="n">
        <x:v>478.05426495999995</x:v>
      </x:c>
      <x:c r="O17" s="23" t="n">
        <x:v>465.5755995</x:v>
      </x:c>
      <x:c r="P17" s="21" t="n">
        <x:v>46174</x:v>
      </x:c>
      <x:c r="Q17" s="20" t="str">
        <x:v>ANX_CRIV_LAM_PREL_20260417 | CVM_CRI_2026_GERAL_ATIVO</x:v>
      </x:c>
      <x:c r="R17" s="20" t="str">
        <x:v>Documentado</x:v>
      </x:c>
      <x:c r="S17" s="20" t="str">
        <x:v>Saldo e créditos da última competência pública; VERT 177 ainda sem Informe Mensal na data de acesso.</x:v>
      </x:c>
    </x:row>
    <x:row r="18">
      <x:c r="A18" s="20" t="str">
        <x:v>CRI_V177</x:v>
      </x:c>
      <x:c r="B18" s="20" t="str">
        <x:v>CRI</x:v>
      </x:c>
      <x:c r="C18" s="20" t="str">
        <x:v>CRI Solfácil — VERT 177ª emissão</x:v>
      </x:c>
      <x:c r="D18" s="20" t="str">
        <x:v>VERT Companhia Securitizadora</x:v>
      </x:c>
      <x:c r="E18" s="20" t="str">
        <x:v>VERT Companhia Securitizadora</x:v>
      </x:c>
      <x:c r="F18" s="21" t="n">
        <x:v>46224</x:v>
      </x:c>
      <x:c r="G18" s="20" t="str">
        <x:v>Oferta registrada; encerramento não publicado</x:v>
      </x:c>
      <x:c r="H18" s="20" t="str">
        <x:v>n/d</x:v>
      </x:c>
      <x:c r="I18" s="20" t="str">
        <x:v>n/d</x:v>
      </x:c>
      <x:c r="J18" s="20" t="str">
        <x:v>VERT DTVM</x:v>
      </x:c>
      <x:c r="K18" s="20" t="str">
        <x:v>Oliveira Trust DTVM S.A.</x:v>
      </x:c>
      <x:c r="L18" s="20" t="str">
        <x:v>n/d</x:v>
      </x:c>
      <x:c r="M18" s="20" t="str">
        <x:v>n/d</x:v>
      </x:c>
      <x:c r="N18" s="23" t="str">
        <x:v>n/d</x:v>
      </x:c>
      <x:c r="O18" s="23" t="str">
        <x:v>n/d</x:v>
      </x:c>
      <x:c r="P18" s="21" t="str">
        <x:v>n/d</x:v>
      </x:c>
      <x:c r="Q18" s="20" t="str">
        <x:v>CVM_FUNDOSNET_VERT177_20260720 | CVM_CRI_2026_GERAL_ATIVO</x:v>
      </x:c>
      <x:c r="R18" s="20" t="str">
        <x:v>n/d</x:v>
      </x:c>
      <x:c r="S18" s="20" t="str">
        <x:v>Saldo e créditos da última competência pública; VERT 177 ainda sem Informe Mensal na data de acesso.</x:v>
      </x:c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a551d4d3bf32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21" hidden="0" customWidth="1"/>
    <x:col min="9" max="9" width="23" hidden="0" customWidth="1"/>
    <x:col min="10" max="10" width="20" hidden="0" customWidth="1"/>
    <x:col min="11" max="11" width="22" hidden="0" customWidth="1"/>
    <x:col min="12" max="12" width="19" hidden="0" customWidth="1"/>
    <x:col min="13" max="13" width="24" hidden="0" customWidth="1"/>
    <x:col min="14" max="14" width="24" hidden="0" customWidth="1"/>
    <x:col min="15" max="15" width="15" hidden="0" customWidth="1"/>
    <x:col min="16" max="16" width="19" hidden="0" customWidth="1"/>
    <x:col min="17" max="17" width="42" hidden="0" customWidth="1"/>
    <x:col min="18" max="18" width="19" hidden="0" customWidth="1"/>
    <x:col min="19" max="19" width="24" hidden="0" customWidth="1"/>
    <x:col min="20" max="20" width="13" hidden="0" customWidth="1"/>
    <x:col min="21" max="21" width="11" hidden="0" customWidth="1"/>
    <x:col min="22" max="22" width="34" hidden="0" customWidth="1"/>
    <x:col min="23" max="23" width="19" hidden="0" customWidth="1"/>
    <x:col min="24" max="24" width="42" hidden="0" customWidth="1"/>
  </x:cols>
  <x:sheetData>
    <x:row r="1" ht="30" customHeight="1">
      <x:c r="A1" s="3" t="str">
        <x:v>02 Series</x:v>
      </x:c>
    </x:row>
    <x:row r="2" ht="34" customHeight="1">
      <x:c r="A2" s="7" t="str">
        <x:v>A espinha dorsal contém todas as classes FIDC e séries CRI confirmadas nos documentos. Séries privadas permanecem separadas das públicas.</x:v>
      </x:c>
    </x:row>
    <x:row r="3" ht="24" customHeight="1">
      <x:c r="A3" s="11" t="str">
        <x:v>Data-base: 2026-05-01 a 2026-07-31 | Fontes: CVM_FIDC_202607_X2; ANX_CRI1_PROSP_20240216; CVM_FUNDOSNET_TERMOS_CRI_20260822; CVM_CRI_2026_CLASSE; ANX_CRI2_RATING_202406;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</x:row>
    <x:row r="5" ht="34" customHeight="1">
      <x:c r="A5" s="16" t="str">
        <x:v>veiculo_id</x:v>
      </x:c>
      <x:c r="B5" s="16" t="str">
        <x:v>camada</x:v>
      </x:c>
      <x:c r="C5" s="16" t="str">
        <x:v>serie</x:v>
      </x:c>
      <x:c r="D5" s="16" t="str">
        <x:v>isin</x:v>
      </x:c>
      <x:c r="E5" s="16" t="str">
        <x:v>data_emissao</x:v>
      </x:c>
      <x:c r="F5" s="16" t="str">
        <x:v>data_vencimento</x:v>
      </x:c>
      <x:c r="G5" s="16" t="str">
        <x:v>prazo_meses</x:v>
      </x:c>
      <x:c r="H5" s="16" t="str">
        <x:v>montante_emitido_R$</x:v>
      </x:c>
      <x:c r="I5" s="16" t="str">
        <x:v>montante_subscrito_R$</x:v>
      </x:c>
      <x:c r="J5" s="16" t="str">
        <x:v>saldo_atual_R$</x:v>
      </x:c>
      <x:c r="K5" s="16" t="str">
        <x:v>pct_da_emissao</x:v>
      </x:c>
      <x:c r="L5" s="16" t="str">
        <x:v>indexador</x:v>
      </x:c>
      <x:c r="M5" s="16" t="str">
        <x:v>taxa_contratada</x:v>
      </x:c>
      <x:c r="N5" s="16" t="str">
        <x:v>taxa_preliminar_ou_teto</x:v>
      </x:c>
      <x:c r="O5" s="16" t="str">
        <x:v>pu_atual</x:v>
      </x:c>
      <x:c r="P5" s="16" t="str">
        <x:v>rating_agencia</x:v>
      </x:c>
      <x:c r="Q5" s="16" t="str">
        <x:v>rating_nota</x:v>
      </x:c>
      <x:c r="R5" s="16" t="str">
        <x:v>colocacao</x:v>
      </x:c>
      <x:c r="S5" s="16" t="str">
        <x:v>retida_pelo_originador</x:v>
      </x:c>
      <x:c r="T5" s="16" t="str">
        <x:v>data_base</x:v>
      </x:c>
      <x:c r="U5" s="16" t="str">
        <x:v>conflito</x:v>
      </x:c>
      <x:c r="V5" s="16" t="str">
        <x:v>fonte_id</x:v>
      </x:c>
      <x:c r="W5" s="16" t="str">
        <x:v>status</x:v>
      </x:c>
      <x:c r="X5" s="16" t="str">
        <x:v>nota_metodo</x:v>
      </x:c>
    </x:row>
    <x:row r="6">
      <x:c r="A6" s="20" t="str">
        <x:v>FIDC_I</x:v>
      </x:c>
      <x:c r="B6" s="20" t="str">
        <x:v>Sênior</x:v>
      </x:c>
      <x:c r="C6" s="20" t="str">
        <x:v>Senior Série 1</x:v>
      </x:c>
      <x:c r="D6" s="20" t="str">
        <x:v>n/d</x:v>
      </x:c>
      <x:c r="E6" s="21" t="str">
        <x:v>n/d</x:v>
      </x:c>
      <x:c r="F6" s="21" t="str">
        <x:v>n/d</x:v>
      </x:c>
      <x:c r="G6" s="24" t="str">
        <x:v>n/d</x:v>
      </x:c>
      <x:c r="H6" s="25" t="str">
        <x:v>n/d</x:v>
      </x:c>
      <x:c r="I6" s="25" t="str">
        <x:v>n/d</x:v>
      </x:c>
      <x:c r="J6" s="25" t="n">
        <x:v>53181208.86890634</x:v>
      </x:c>
      <x:c r="K6" s="26" t="n">
        <x:v>0.635404986801103</x:v>
      </x:c>
      <x:c r="L6" s="20" t="str">
        <x:v>n/d</x:v>
      </x:c>
      <x:c r="M6" s="20" t="str">
        <x:v>n/d</x:v>
      </x:c>
      <x:c r="N6" s="20" t="str">
        <x:v>n/d</x:v>
      </x:c>
      <x:c r="O6" s="20" t="n">
        <x:v>165.53347811</x:v>
      </x:c>
      <x:c r="P6" s="20" t="str">
        <x:v>n/d</x:v>
      </x:c>
      <x:c r="Q6" s="20" t="str">
        <x:v>n/d</x:v>
      </x:c>
      <x:c r="R6" s="20" t="str">
        <x:v>n/d</x:v>
      </x:c>
      <x:c r="S6" s="20" t="str">
        <x:v>n/d</x:v>
      </x:c>
      <x:c r="T6" s="21" t="n">
        <x:v>46234</x:v>
      </x:c>
      <x:c r="U6" s="20" t="str">
        <x:v>não</x:v>
      </x:c>
      <x:c r="V6" s="20" t="str">
        <x:v>CVM_FIDC_202607_X2</x:v>
      </x:c>
      <x:c r="W6" s="20" t="str">
        <x:v>Documentado</x:v>
      </x:c>
      <x:c r="X6" s="20" t="str">
        <x:v>Saldo da cota = quantidade de cotas × valor da cota no Informe Mensal. O rating do deck é veicular e não foi imputado à classe.</x:v>
      </x:c>
    </x:row>
    <x:row r="7">
      <x:c r="A7" s="20" t="str">
        <x:v>FIDC_I</x:v>
      </x:c>
      <x:c r="B7" s="20" t="str">
        <x:v>Júnior/Subordinada</x:v>
      </x:c>
      <x:c r="C7" s="20" t="str">
        <x:v>Subordinada Subordinada 1 |</x:v>
      </x:c>
      <x:c r="D7" s="20" t="str">
        <x:v>n/d</x:v>
      </x:c>
      <x:c r="E7" s="21" t="str">
        <x:v>n/d</x:v>
      </x:c>
      <x:c r="F7" s="21" t="str">
        <x:v>n/d</x:v>
      </x:c>
      <x:c r="G7" s="24" t="str">
        <x:v>n/d</x:v>
      </x:c>
      <x:c r="H7" s="25" t="str">
        <x:v>n/d</x:v>
      </x:c>
      <x:c r="I7" s="25" t="str">
        <x:v>n/d</x:v>
      </x:c>
      <x:c r="J7" s="25" t="n">
        <x:v>3309361.2497871807</x:v>
      </x:c>
      <x:c r="K7" s="26" t="n">
        <x:v>0.039539993278914505</x:v>
      </x:c>
      <x:c r="L7" s="20" t="str">
        <x:v>n/d</x:v>
      </x:c>
      <x:c r="M7" s="20" t="str">
        <x:v>n/d</x:v>
      </x:c>
      <x:c r="N7" s="20" t="str">
        <x:v>n/d</x:v>
      </x:c>
      <x:c r="O7" s="20" t="n">
        <x:v>45.4474577</x:v>
      </x:c>
      <x:c r="P7" s="20" t="str">
        <x:v>n/d</x:v>
      </x:c>
      <x:c r="Q7" s="20" t="str">
        <x:v>n/d</x:v>
      </x:c>
      <x:c r="R7" s="20" t="str">
        <x:v>n/d</x:v>
      </x:c>
      <x:c r="S7" s="20" t="str">
        <x:v>n/d</x:v>
      </x:c>
      <x:c r="T7" s="21" t="n">
        <x:v>46234</x:v>
      </x:c>
      <x:c r="U7" s="20" t="str">
        <x:v>não</x:v>
      </x:c>
      <x:c r="V7" s="20" t="str">
        <x:v>CVM_FIDC_202607_X2</x:v>
      </x:c>
      <x:c r="W7" s="20" t="str">
        <x:v>Documentado</x:v>
      </x:c>
      <x:c r="X7" s="20" t="str">
        <x:v>Saldo da cota = quantidade de cotas × valor da cota no Informe Mensal. O rating do deck é veicular e não foi imputado à classe.</x:v>
      </x:c>
    </x:row>
    <x:row r="8">
      <x:c r="A8" s="20" t="str">
        <x:v>FIDC_I</x:v>
      </x:c>
      <x:c r="B8" s="20" t="str">
        <x:v>Mezanino A</x:v>
      </x:c>
      <x:c r="C8" s="20" t="str">
        <x:v>Subordinada Mezanino 1 | Série 1</x:v>
      </x:c>
      <x:c r="D8" s="20" t="str">
        <x:v>n/d</x:v>
      </x:c>
      <x:c r="E8" s="21" t="str">
        <x:v>n/d</x:v>
      </x:c>
      <x:c r="F8" s="21" t="str">
        <x:v>n/d</x:v>
      </x:c>
      <x:c r="G8" s="24" t="str">
        <x:v>n/d</x:v>
      </x:c>
      <x:c r="H8" s="25" t="str">
        <x:v>n/d</x:v>
      </x:c>
      <x:c r="I8" s="25" t="str">
        <x:v>n/d</x:v>
      </x:c>
      <x:c r="J8" s="25" t="n">
        <x:v>8246909.739938952</x:v>
      </x:c>
      <x:c r="K8" s="26" t="n">
        <x:v>0.09853344227982683</x:v>
      </x:c>
      <x:c r="L8" s="20" t="str">
        <x:v>n/d</x:v>
      </x:c>
      <x:c r="M8" s="20" t="str">
        <x:v>n/d</x:v>
      </x:c>
      <x:c r="N8" s="20" t="str">
        <x:v>n/d</x:v>
      </x:c>
      <x:c r="O8" s="20" t="n">
        <x:v>182.26316111</x:v>
      </x:c>
      <x:c r="P8" s="20" t="str">
        <x:v>n/d</x:v>
      </x:c>
      <x:c r="Q8" s="20" t="str">
        <x:v>n/d</x:v>
      </x:c>
      <x:c r="R8" s="20" t="str">
        <x:v>n/d</x:v>
      </x:c>
      <x:c r="S8" s="20" t="str">
        <x:v>n/d</x:v>
      </x:c>
      <x:c r="T8" s="21" t="n">
        <x:v>46234</x:v>
      </x:c>
      <x:c r="U8" s="20" t="str">
        <x:v>não</x:v>
      </x:c>
      <x:c r="V8" s="20" t="str">
        <x:v>CVM_FIDC_202607_X2</x:v>
      </x:c>
      <x:c r="W8" s="20" t="str">
        <x:v>Documentado</x:v>
      </x:c>
      <x:c r="X8" s="20" t="str">
        <x:v>Saldo da cota = quantidade de cotas × valor da cota no Informe Mensal. O rating do deck é veicular e não foi imputado à classe.</x:v>
      </x:c>
    </x:row>
    <x:row r="9">
      <x:c r="A9" s="20" t="str">
        <x:v>FIDC_I</x:v>
      </x:c>
      <x:c r="B9" s="20" t="str">
        <x:v>Mezanino A</x:v>
      </x:c>
      <x:c r="C9" s="20" t="str">
        <x:v>Subordinada Mezanino 1 | Série 2</x:v>
      </x:c>
      <x:c r="D9" s="20" t="str">
        <x:v>n/d</x:v>
      </x:c>
      <x:c r="E9" s="21" t="str">
        <x:v>n/d</x:v>
      </x:c>
      <x:c r="F9" s="21" t="str">
        <x:v>n/d</x:v>
      </x:c>
      <x:c r="G9" s="24" t="str">
        <x:v>n/d</x:v>
      </x:c>
      <x:c r="H9" s="25" t="str">
        <x:v>n/d</x:v>
      </x:c>
      <x:c r="I9" s="25" t="str">
        <x:v>n/d</x:v>
      </x:c>
      <x:c r="J9" s="25" t="n">
        <x:v>18959075.83987251</x:v>
      </x:c>
      <x:c r="K9" s="26" t="n">
        <x:v>0.22652157764015565</x:v>
      </x:c>
      <x:c r="L9" s="20" t="str">
        <x:v>n/d</x:v>
      </x:c>
      <x:c r="M9" s="20" t="str">
        <x:v>n/d</x:v>
      </x:c>
      <x:c r="N9" s="20" t="str">
        <x:v>n/d</x:v>
      </x:c>
      <x:c r="O9" s="20" t="n">
        <x:v>323.29149567</x:v>
      </x:c>
      <x:c r="P9" s="20" t="str">
        <x:v>n/d</x:v>
      </x:c>
      <x:c r="Q9" s="20" t="str">
        <x:v>n/d</x:v>
      </x:c>
      <x:c r="R9" s="20" t="str">
        <x:v>n/d</x:v>
      </x:c>
      <x:c r="S9" s="20" t="str">
        <x:v>n/d</x:v>
      </x:c>
      <x:c r="T9" s="21" t="n">
        <x:v>46234</x:v>
      </x:c>
      <x:c r="U9" s="20" t="str">
        <x:v>não</x:v>
      </x:c>
      <x:c r="V9" s="20" t="str">
        <x:v>CVM_FIDC_202607_X2</x:v>
      </x:c>
      <x:c r="W9" s="20" t="str">
        <x:v>Documentado</x:v>
      </x:c>
      <x:c r="X9" s="20" t="str">
        <x:v>Saldo da cota = quantidade de cotas × valor da cota no Informe Mensal. O rating do deck é veicular e não foi imputado à classe.</x:v>
      </x:c>
    </x:row>
    <x:row r="10">
      <x:c r="A10" s="20" t="str">
        <x:v>FIDC_II</x:v>
      </x:c>
      <x:c r="B10" s="20" t="str">
        <x:v>Sênior</x:v>
      </x:c>
      <x:c r="C10" s="20" t="str">
        <x:v>Senior Série 1</x:v>
      </x:c>
      <x:c r="D10" s="20" t="str">
        <x:v>n/d</x:v>
      </x:c>
      <x:c r="E10" s="21" t="str">
        <x:v>n/d</x:v>
      </x:c>
      <x:c r="F10" s="21" t="str">
        <x:v>n/d</x:v>
      </x:c>
      <x:c r="G10" s="24" t="str">
        <x:v>n/d</x:v>
      </x:c>
      <x:c r="H10" s="25" t="str">
        <x:v>n/d</x:v>
      </x:c>
      <x:c r="I10" s="25" t="str">
        <x:v>n/d</x:v>
      </x:c>
      <x:c r="J10" s="25" t="n">
        <x:v>64943056.81</x:v>
      </x:c>
      <x:c r="K10" s="26" t="n">
        <x:v>0.6898964596967523</x:v>
      </x:c>
      <x:c r="L10" s="20" t="str">
        <x:v>n/d</x:v>
      </x:c>
      <x:c r="M10" s="20" t="str">
        <x:v>n/d</x:v>
      </x:c>
      <x:c r="N10" s="20" t="str">
        <x:v>n/d</x:v>
      </x:c>
      <x:c r="O10" s="20" t="n">
        <x:v>129.88611362</x:v>
      </x:c>
      <x:c r="P10" s="20" t="str">
        <x:v>n/d</x:v>
      </x:c>
      <x:c r="Q10" s="20" t="str">
        <x:v>n/d</x:v>
      </x:c>
      <x:c r="R10" s="20" t="str">
        <x:v>n/d</x:v>
      </x:c>
      <x:c r="S10" s="20" t="str">
        <x:v>n/d</x:v>
      </x:c>
      <x:c r="T10" s="21" t="n">
        <x:v>46234</x:v>
      </x:c>
      <x:c r="U10" s="20" t="str">
        <x:v>não</x:v>
      </x:c>
      <x:c r="V10" s="20" t="str">
        <x:v>CVM_FIDC_202607_X2</x:v>
      </x:c>
      <x:c r="W10" s="20" t="str">
        <x:v>Documentado</x:v>
      </x:c>
      <x:c r="X10" s="20" t="str">
        <x:v>Saldo da cota = quantidade de cotas × valor da cota no Informe Mensal. O rating do deck é veicular e não foi imputado à classe.</x:v>
      </x:c>
    </x:row>
    <x:row r="11">
      <x:c r="A11" s="20" t="str">
        <x:v>FIDC_II</x:v>
      </x:c>
      <x:c r="B11" s="20" t="str">
        <x:v>Sênior</x:v>
      </x:c>
      <x:c r="C11" s="20" t="str">
        <x:v>Senior Série 2</x:v>
      </x:c>
      <x:c r="D11" s="20" t="str">
        <x:v>n/d</x:v>
      </x:c>
      <x:c r="E11" s="21" t="str">
        <x:v>n/d</x:v>
      </x:c>
      <x:c r="F11" s="21" t="str">
        <x:v>n/d</x:v>
      </x:c>
      <x:c r="G11" s="24" t="str">
        <x:v>n/d</x:v>
      </x:c>
      <x:c r="H11" s="25" t="str">
        <x:v>n/d</x:v>
      </x:c>
      <x:c r="I11" s="25" t="str">
        <x:v>n/d</x:v>
      </x:c>
      <x:c r="J11" s="25" t="n">
        <x:v>3649785.4304</x:v>
      </x:c>
      <x:c r="K11" s="26" t="n">
        <x:v>0.03877202846260275</x:v>
      </x:c>
      <x:c r="L11" s="20" t="str">
        <x:v>n/d</x:v>
      </x:c>
      <x:c r="M11" s="20" t="str">
        <x:v>n/d</x:v>
      </x:c>
      <x:c r="N11" s="20" t="str">
        <x:v>n/d</x:v>
      </x:c>
      <x:c r="O11" s="20" t="n">
        <x:v>45.62231788</x:v>
      </x:c>
      <x:c r="P11" s="20" t="str">
        <x:v>n/d</x:v>
      </x:c>
      <x:c r="Q11" s="20" t="str">
        <x:v>n/d</x:v>
      </x:c>
      <x:c r="R11" s="20" t="str">
        <x:v>n/d</x:v>
      </x:c>
      <x:c r="S11" s="20" t="str">
        <x:v>n/d</x:v>
      </x:c>
      <x:c r="T11" s="21" t="n">
        <x:v>46234</x:v>
      </x:c>
      <x:c r="U11" s="20" t="str">
        <x:v>não</x:v>
      </x:c>
      <x:c r="V11" s="20" t="str">
        <x:v>CVM_FIDC_202607_X2</x:v>
      </x:c>
      <x:c r="W11" s="20" t="str">
        <x:v>Documentado</x:v>
      </x:c>
      <x:c r="X11" s="20" t="str">
        <x:v>Saldo da cota = quantidade de cotas × valor da cota no Informe Mensal. O rating do deck é veicular e não foi imputado à classe.</x:v>
      </x:c>
    </x:row>
    <x:row r="12">
      <x:c r="A12" s="20" t="str">
        <x:v>FIDC_II</x:v>
      </x:c>
      <x:c r="B12" s="20" t="str">
        <x:v>Mezanino A</x:v>
      </x:c>
      <x:c r="C12" s="20" t="str">
        <x:v>Subordinada Mezanino 1 | Série 1</x:v>
      </x:c>
      <x:c r="D12" s="20" t="str">
        <x:v>n/d</x:v>
      </x:c>
      <x:c r="E12" s="21" t="str">
        <x:v>n/d</x:v>
      </x:c>
      <x:c r="F12" s="21" t="str">
        <x:v>n/d</x:v>
      </x:c>
      <x:c r="G12" s="24" t="str">
        <x:v>n/d</x:v>
      </x:c>
      <x:c r="H12" s="25" t="str">
        <x:v>n/d</x:v>
      </x:c>
      <x:c r="I12" s="25" t="str">
        <x:v>n/d</x:v>
      </x:c>
      <x:c r="J12" s="25" t="n">
        <x:v>13637694.52</x:v>
      </x:c>
      <x:c r="K12" s="26" t="n">
        <x:v>0.14487456596476458</x:v>
      </x:c>
      <x:c r="L12" s="20" t="str">
        <x:v>n/d</x:v>
      </x:c>
      <x:c r="M12" s="20" t="str">
        <x:v>n/d</x:v>
      </x:c>
      <x:c r="N12" s="20" t="str">
        <x:v>n/d</x:v>
      </x:c>
      <x:c r="O12" s="20" t="n">
        <x:v>136.3769452</x:v>
      </x:c>
      <x:c r="P12" s="20" t="str">
        <x:v>n/d</x:v>
      </x:c>
      <x:c r="Q12" s="20" t="str">
        <x:v>n/d</x:v>
      </x:c>
      <x:c r="R12" s="20" t="str">
        <x:v>n/d</x:v>
      </x:c>
      <x:c r="S12" s="20" t="str">
        <x:v>n/d</x:v>
      </x:c>
      <x:c r="T12" s="21" t="n">
        <x:v>46234</x:v>
      </x:c>
      <x:c r="U12" s="20" t="str">
        <x:v>não</x:v>
      </x:c>
      <x:c r="V12" s="20" t="str">
        <x:v>CVM_FIDC_202607_X2</x:v>
      </x:c>
      <x:c r="W12" s="20" t="str">
        <x:v>Documentado</x:v>
      </x:c>
      <x:c r="X12" s="20" t="str">
        <x:v>Saldo da cota = quantidade de cotas × valor da cota no Informe Mensal. O rating do deck é veicular e não foi imputado à classe.</x:v>
      </x:c>
    </x:row>
    <x:row r="13">
      <x:c r="A13" s="20" t="str">
        <x:v>FIDC_II</x:v>
      </x:c>
      <x:c r="B13" s="20" t="str">
        <x:v>Mezanino A</x:v>
      </x:c>
      <x:c r="C13" s="20" t="str">
        <x:v>Subordinada Mezanino 1 | Série 2</x:v>
      </x:c>
      <x:c r="D13" s="20" t="str">
        <x:v>n/d</x:v>
      </x:c>
      <x:c r="E13" s="21" t="str">
        <x:v>n/d</x:v>
      </x:c>
      <x:c r="F13" s="21" t="str">
        <x:v>n/d</x:v>
      </x:c>
      <x:c r="G13" s="24" t="str">
        <x:v>n/d</x:v>
      </x:c>
      <x:c r="H13" s="25" t="str">
        <x:v>n/d</x:v>
      </x:c>
      <x:c r="I13" s="25" t="str">
        <x:v>n/d</x:v>
      </x:c>
      <x:c r="J13" s="25" t="n">
        <x:v>358150.06</x:v>
      </x:c>
      <x:c r="K13" s="26" t="n">
        <x:v>0.003804663201442233</x:v>
      </x:c>
      <x:c r="L13" s="20" t="str">
        <x:v>n/d</x:v>
      </x:c>
      <x:c r="M13" s="20" t="str">
        <x:v>n/d</x:v>
      </x:c>
      <x:c r="N13" s="20" t="str">
        <x:v>n/d</x:v>
      </x:c>
      <x:c r="O13" s="20" t="n">
        <x:v>22.38437875</x:v>
      </x:c>
      <x:c r="P13" s="20" t="str">
        <x:v>n/d</x:v>
      </x:c>
      <x:c r="Q13" s="20" t="str">
        <x:v>n/d</x:v>
      </x:c>
      <x:c r="R13" s="20" t="str">
        <x:v>n/d</x:v>
      </x:c>
      <x:c r="S13" s="20" t="str">
        <x:v>n/d</x:v>
      </x:c>
      <x:c r="T13" s="21" t="n">
        <x:v>46234</x:v>
      </x:c>
      <x:c r="U13" s="20" t="str">
        <x:v>não</x:v>
      </x:c>
      <x:c r="V13" s="20" t="str">
        <x:v>CVM_FIDC_202607_X2</x:v>
      </x:c>
      <x:c r="W13" s="20" t="str">
        <x:v>Documentado</x:v>
      </x:c>
      <x:c r="X13" s="20" t="str">
        <x:v>Saldo da cota = quantidade de cotas × valor da cota no Informe Mensal. O rating do deck é veicular e não foi imputado à classe.</x:v>
      </x:c>
    </x:row>
    <x:row r="14">
      <x:c r="A14" s="20" t="str">
        <x:v>FIDC_II</x:v>
      </x:c>
      <x:c r="B14" s="20" t="str">
        <x:v>Júnior/Subordinada</x:v>
      </x:c>
      <x:c r="C14" s="20" t="str">
        <x:v>Subordinada Subordinada 1 |</x:v>
      </x:c>
      <x:c r="D14" s="20" t="str">
        <x:v>n/d</x:v>
      </x:c>
      <x:c r="E14" s="21" t="str">
        <x:v>n/d</x:v>
      </x:c>
      <x:c r="F14" s="21" t="str">
        <x:v>n/d</x:v>
      </x:c>
      <x:c r="G14" s="24" t="str">
        <x:v>n/d</x:v>
      </x:c>
      <x:c r="H14" s="25" t="str">
        <x:v>n/d</x:v>
      </x:c>
      <x:c r="I14" s="25" t="str">
        <x:v>n/d</x:v>
      </x:c>
      <x:c r="J14" s="25" t="n">
        <x:v>11545811.041128492</x:v>
      </x:c>
      <x:c r="K14" s="26" t="n">
        <x:v>0.12265228267443821</x:v>
      </x:c>
      <x:c r="L14" s="20" t="str">
        <x:v>n/d</x:v>
      </x:c>
      <x:c r="M14" s="20" t="str">
        <x:v>n/d</x:v>
      </x:c>
      <x:c r="N14" s="20" t="str">
        <x:v>n/d</x:v>
      </x:c>
      <x:c r="O14" s="20" t="n">
        <x:v>6.00573935</x:v>
      </x:c>
      <x:c r="P14" s="20" t="str">
        <x:v>n/d</x:v>
      </x:c>
      <x:c r="Q14" s="20" t="str">
        <x:v>n/d</x:v>
      </x:c>
      <x:c r="R14" s="20" t="str">
        <x:v>n/d</x:v>
      </x:c>
      <x:c r="S14" s="20" t="str">
        <x:v>n/d</x:v>
      </x:c>
      <x:c r="T14" s="21" t="n">
        <x:v>46234</x:v>
      </x:c>
      <x:c r="U14" s="20" t="str">
        <x:v>não</x:v>
      </x:c>
      <x:c r="V14" s="20" t="str">
        <x:v>CVM_FIDC_202607_X2</x:v>
      </x:c>
      <x:c r="W14" s="20" t="str">
        <x:v>Documentado</x:v>
      </x:c>
      <x:c r="X14" s="20" t="str">
        <x:v>Saldo da cota = quantidade de cotas × valor da cota no Informe Mensal. O rating do deck é veicular e não foi imputado à classe.</x:v>
      </x:c>
    </x:row>
    <x:row r="15">
      <x:c r="A15" s="20" t="str">
        <x:v>FIDC_III</x:v>
      </x:c>
      <x:c r="B15" s="20" t="str">
        <x:v>Sênior</x:v>
      </x:c>
      <x:c r="C15" s="20" t="str">
        <x:v>Senior Série 1</x:v>
      </x:c>
      <x:c r="D15" s="20" t="str">
        <x:v>n/d</x:v>
      </x:c>
      <x:c r="E15" s="21" t="str">
        <x:v>n/d</x:v>
      </x:c>
      <x:c r="F15" s="21" t="str">
        <x:v>n/d</x:v>
      </x:c>
      <x:c r="G15" s="24" t="str">
        <x:v>n/d</x:v>
      </x:c>
      <x:c r="H15" s="25" t="str">
        <x:v>n/d</x:v>
      </x:c>
      <x:c r="I15" s="25" t="str">
        <x:v>n/d</x:v>
      </x:c>
      <x:c r="J15" s="25" t="n">
        <x:v>94256079.06875</x:v>
      </x:c>
      <x:c r="K15" s="26" t="n">
        <x:v>0.668074142841877</x:v>
      </x:c>
      <x:c r="L15" s="20" t="str">
        <x:v>n/d</x:v>
      </x:c>
      <x:c r="M15" s="20" t="str">
        <x:v>n/d</x:v>
      </x:c>
      <x:c r="N15" s="20" t="str">
        <x:v>n/d</x:v>
      </x:c>
      <x:c r="O15" s="20" t="n">
        <x:v>301.61945302</x:v>
      </x:c>
      <x:c r="P15" s="20" t="str">
        <x:v>n/d</x:v>
      </x:c>
      <x:c r="Q15" s="20" t="str">
        <x:v>n/d</x:v>
      </x:c>
      <x:c r="R15" s="20" t="str">
        <x:v>n/d</x:v>
      </x:c>
      <x:c r="S15" s="20" t="str">
        <x:v>n/d</x:v>
      </x:c>
      <x:c r="T15" s="21" t="n">
        <x:v>46234</x:v>
      </x:c>
      <x:c r="U15" s="20" t="str">
        <x:v>não</x:v>
      </x:c>
      <x:c r="V15" s="20" t="str">
        <x:v>CVM_FIDC_202607_X2</x:v>
      </x:c>
      <x:c r="W15" s="20" t="str">
        <x:v>Documentado</x:v>
      </x:c>
      <x:c r="X15" s="20" t="str">
        <x:v>Saldo da cota = quantidade de cotas × valor da cota no Informe Mensal. O rating do deck é veicular e não foi imputado à classe.</x:v>
      </x:c>
    </x:row>
    <x:row r="16">
      <x:c r="A16" s="20" t="str">
        <x:v>FIDC_III</x:v>
      </x:c>
      <x:c r="B16" s="20" t="str">
        <x:v>Júnior/Subordinada</x:v>
      </x:c>
      <x:c r="C16" s="20" t="str">
        <x:v>Subordinada Subordinada 1 |</x:v>
      </x:c>
      <x:c r="D16" s="20" t="str">
        <x:v>n/d</x:v>
      </x:c>
      <x:c r="E16" s="21" t="str">
        <x:v>n/d</x:v>
      </x:c>
      <x:c r="F16" s="21" t="str">
        <x:v>n/d</x:v>
      </x:c>
      <x:c r="G16" s="24" t="str">
        <x:v>n/d</x:v>
      </x:c>
      <x:c r="H16" s="25" t="str">
        <x:v>n/d</x:v>
      </x:c>
      <x:c r="I16" s="25" t="str">
        <x:v>n/d</x:v>
      </x:c>
      <x:c r="J16" s="25" t="n">
        <x:v>17229406.709922303</x:v>
      </x:c>
      <x:c r="K16" s="26" t="n">
        <x:v>0.12211966838775143</x:v>
      </x:c>
      <x:c r="L16" s="20" t="str">
        <x:v>n/d</x:v>
      </x:c>
      <x:c r="M16" s="20" t="str">
        <x:v>n/d</x:v>
      </x:c>
      <x:c r="N16" s="20" t="str">
        <x:v>n/d</x:v>
      </x:c>
      <x:c r="O16" s="20" t="n">
        <x:v>941.78950718</x:v>
      </x:c>
      <x:c r="P16" s="20" t="str">
        <x:v>n/d</x:v>
      </x:c>
      <x:c r="Q16" s="20" t="str">
        <x:v>n/d</x:v>
      </x:c>
      <x:c r="R16" s="20" t="str">
        <x:v>n/d</x:v>
      </x:c>
      <x:c r="S16" s="20" t="str">
        <x:v>n/d</x:v>
      </x:c>
      <x:c r="T16" s="21" t="n">
        <x:v>46234</x:v>
      </x:c>
      <x:c r="U16" s="20" t="str">
        <x:v>não</x:v>
      </x:c>
      <x:c r="V16" s="20" t="str">
        <x:v>CVM_FIDC_202607_X2</x:v>
      </x:c>
      <x:c r="W16" s="20" t="str">
        <x:v>Documentado</x:v>
      </x:c>
      <x:c r="X16" s="20" t="str">
        <x:v>Saldo da cota = quantidade de cotas × valor da cota no Informe Mensal. O rating do deck é veicular e não foi imputado à classe.</x:v>
      </x:c>
    </x:row>
    <x:row r="17">
      <x:c r="A17" s="20" t="str">
        <x:v>FIDC_III</x:v>
      </x:c>
      <x:c r="B17" s="20" t="str">
        <x:v>Mezanino A</x:v>
      </x:c>
      <x:c r="C17" s="20" t="str">
        <x:v>Subordinada Mezanino 1 | Série 1</x:v>
      </x:c>
      <x:c r="D17" s="20" t="str">
        <x:v>n/d</x:v>
      </x:c>
      <x:c r="E17" s="21" t="str">
        <x:v>n/d</x:v>
      </x:c>
      <x:c r="F17" s="21" t="str">
        <x:v>n/d</x:v>
      </x:c>
      <x:c r="G17" s="24" t="str">
        <x:v>n/d</x:v>
      </x:c>
      <x:c r="H17" s="25" t="str">
        <x:v>n/d</x:v>
      </x:c>
      <x:c r="I17" s="25" t="str">
        <x:v>n/d</x:v>
      </x:c>
      <x:c r="J17" s="25" t="n">
        <x:v>21132888.919999998</x:v>
      </x:c>
      <x:c r="K17" s="26" t="n">
        <x:v>0.1497870141691736</x:v>
      </x:c>
      <x:c r="L17" s="20" t="str">
        <x:v>n/d</x:v>
      </x:c>
      <x:c r="M17" s="20" t="str">
        <x:v>n/d</x:v>
      </x:c>
      <x:c r="N17" s="20" t="str">
        <x:v>n/d</x:v>
      </x:c>
      <x:c r="O17" s="20" t="n">
        <x:v>338.12622272</x:v>
      </x:c>
      <x:c r="P17" s="20" t="str">
        <x:v>n/d</x:v>
      </x:c>
      <x:c r="Q17" s="20" t="str">
        <x:v>n/d</x:v>
      </x:c>
      <x:c r="R17" s="20" t="str">
        <x:v>n/d</x:v>
      </x:c>
      <x:c r="S17" s="20" t="str">
        <x:v>n/d</x:v>
      </x:c>
      <x:c r="T17" s="21" t="n">
        <x:v>46234</x:v>
      </x:c>
      <x:c r="U17" s="20" t="str">
        <x:v>não</x:v>
      </x:c>
      <x:c r="V17" s="20" t="str">
        <x:v>CVM_FIDC_202607_X2</x:v>
      </x:c>
      <x:c r="W17" s="20" t="str">
        <x:v>Documentado</x:v>
      </x:c>
      <x:c r="X17" s="20" t="str">
        <x:v>Saldo da cota = quantidade de cotas × valor da cota no Informe Mensal. O rating do deck é veicular e não foi imputado à classe.</x:v>
      </x:c>
    </x:row>
    <x:row r="18">
      <x:c r="A18" s="20" t="str">
        <x:v>FIDC_III</x:v>
      </x:c>
      <x:c r="B18" s="20" t="str">
        <x:v>Mezanino A</x:v>
      </x:c>
      <x:c r="C18" s="20" t="str">
        <x:v>Subordinada Mezanino 1 | Série 2</x:v>
      </x:c>
      <x:c r="D18" s="20" t="str">
        <x:v>n/d</x:v>
      </x:c>
      <x:c r="E18" s="21" t="str">
        <x:v>n/d</x:v>
      </x:c>
      <x:c r="F18" s="21" t="str">
        <x:v>n/d</x:v>
      </x:c>
      <x:c r="G18" s="24" t="str">
        <x:v>n/d</x:v>
      </x:c>
      <x:c r="H18" s="25" t="str">
        <x:v>n/d</x:v>
      </x:c>
      <x:c r="I18" s="25" t="str">
        <x:v>n/d</x:v>
      </x:c>
      <x:c r="J18" s="25" t="n">
        <x:v>8467880.59</x:v>
      </x:c>
      <x:c r="K18" s="26" t="n">
        <x:v>0.06001917460119788</x:v>
      </x:c>
      <x:c r="L18" s="20" t="str">
        <x:v>n/d</x:v>
      </x:c>
      <x:c r="M18" s="20" t="str">
        <x:v>n/d</x:v>
      </x:c>
      <x:c r="N18" s="20" t="str">
        <x:v>n/d</x:v>
      </x:c>
      <x:c r="O18" s="20" t="n">
        <x:v>338.7152236</x:v>
      </x:c>
      <x:c r="P18" s="20" t="str">
        <x:v>n/d</x:v>
      </x:c>
      <x:c r="Q18" s="20" t="str">
        <x:v>n/d</x:v>
      </x:c>
      <x:c r="R18" s="20" t="str">
        <x:v>n/d</x:v>
      </x:c>
      <x:c r="S18" s="20" t="str">
        <x:v>n/d</x:v>
      </x:c>
      <x:c r="T18" s="21" t="n">
        <x:v>46234</x:v>
      </x:c>
      <x:c r="U18" s="20" t="str">
        <x:v>não</x:v>
      </x:c>
      <x:c r="V18" s="20" t="str">
        <x:v>CVM_FIDC_202607_X2</x:v>
      </x:c>
      <x:c r="W18" s="20" t="str">
        <x:v>Documentado</x:v>
      </x:c>
      <x:c r="X18" s="20" t="str">
        <x:v>Saldo da cota = quantidade de cotas × valor da cota no Informe Mensal. O rating do deck é veicular e não foi imputado à classe.</x:v>
      </x:c>
    </x:row>
    <x:row r="19">
      <x:c r="A19" s="20" t="str">
        <x:v>FIDC_IV</x:v>
      </x:c>
      <x:c r="B19" s="20" t="str">
        <x:v>Sênior</x:v>
      </x:c>
      <x:c r="C19" s="20" t="str">
        <x:v>Senior 1</x:v>
      </x:c>
      <x:c r="D19" s="20" t="str">
        <x:v>n/d</x:v>
      </x:c>
      <x:c r="E19" s="21" t="str">
        <x:v>n/d</x:v>
      </x:c>
      <x:c r="F19" s="21" t="str">
        <x:v>n/d</x:v>
      </x:c>
      <x:c r="G19" s="24" t="str">
        <x:v>n/d</x:v>
      </x:c>
      <x:c r="H19" s="25" t="str">
        <x:v>n/d</x:v>
      </x:c>
      <x:c r="I19" s="25" t="str">
        <x:v>n/d</x:v>
      </x:c>
      <x:c r="J19" s="25" t="n">
        <x:v>17499900.909322884</x:v>
      </x:c>
      <x:c r="K19" s="26" t="n">
        <x:v>1</x:v>
      </x:c>
      <x:c r="L19" s="20" t="str">
        <x:v>n/d</x:v>
      </x:c>
      <x:c r="M19" s="20" t="str">
        <x:v>n/d</x:v>
      </x:c>
      <x:c r="N19" s="20" t="str">
        <x:v>n/d</x:v>
      </x:c>
      <x:c r="O19" s="20" t="n">
        <x:v>63.86020548</x:v>
      </x:c>
      <x:c r="P19" s="20" t="str">
        <x:v>n/d</x:v>
      </x:c>
      <x:c r="Q19" s="20" t="str">
        <x:v>n/d</x:v>
      </x:c>
      <x:c r="R19" s="20" t="str">
        <x:v>n/d</x:v>
      </x:c>
      <x:c r="S19" s="20" t="str">
        <x:v>n/d</x:v>
      </x:c>
      <x:c r="T19" s="21" t="n">
        <x:v>46234</x:v>
      </x:c>
      <x:c r="U19" s="20" t="str">
        <x:v>não</x:v>
      </x:c>
      <x:c r="V19" s="20" t="str">
        <x:v>CVM_FIDC_202607_X2</x:v>
      </x:c>
      <x:c r="W19" s="20" t="str">
        <x:v>Documentado</x:v>
      </x:c>
      <x:c r="X19" s="20" t="str">
        <x:v>Saldo da cota = quantidade de cotas × valor da cota no Informe Mensal. O rating do deck é veicular e não foi imputado à classe.</x:v>
      </x:c>
    </x:row>
    <x:row r="20">
      <x:c r="A20" s="20" t="str">
        <x:v>FIDC_V</x:v>
      </x:c>
      <x:c r="B20" s="20" t="str">
        <x:v>Sênior</x:v>
      </x:c>
      <x:c r="C20" s="20" t="str">
        <x:v>Senior Série 1</x:v>
      </x:c>
      <x:c r="D20" s="20" t="str">
        <x:v>n/d</x:v>
      </x:c>
      <x:c r="E20" s="21" t="str">
        <x:v>n/d</x:v>
      </x:c>
      <x:c r="F20" s="21" t="str">
        <x:v>n/d</x:v>
      </x:c>
      <x:c r="G20" s="24" t="str">
        <x:v>n/d</x:v>
      </x:c>
      <x:c r="H20" s="25" t="str">
        <x:v>n/d</x:v>
      </x:c>
      <x:c r="I20" s="25" t="str">
        <x:v>n/d</x:v>
      </x:c>
      <x:c r="J20" s="25" t="n">
        <x:v>53414326.570529036</x:v>
      </x:c>
      <x:c r="K20" s="26" t="n">
        <x:v>0.7908623295505766</x:v>
      </x:c>
      <x:c r="L20" s="20" t="str">
        <x:v>n/d</x:v>
      </x:c>
      <x:c r="M20" s="20" t="str">
        <x:v>n/d</x:v>
      </x:c>
      <x:c r="N20" s="20" t="str">
        <x:v>n/d</x:v>
      </x:c>
      <x:c r="O20" s="20" t="n">
        <x:v>479.69623813</x:v>
      </x:c>
      <x:c r="P20" s="20" t="str">
        <x:v>n/d</x:v>
      </x:c>
      <x:c r="Q20" s="20" t="str">
        <x:v>n/d</x:v>
      </x:c>
      <x:c r="R20" s="20" t="str">
        <x:v>n/d</x:v>
      </x:c>
      <x:c r="S20" s="20" t="str">
        <x:v>n/d</x:v>
      </x:c>
      <x:c r="T20" s="21" t="n">
        <x:v>46234</x:v>
      </x:c>
      <x:c r="U20" s="20" t="str">
        <x:v>não</x:v>
      </x:c>
      <x:c r="V20" s="20" t="str">
        <x:v>CVM_FIDC_202607_X2</x:v>
      </x:c>
      <x:c r="W20" s="20" t="str">
        <x:v>Documentado</x:v>
      </x:c>
      <x:c r="X20" s="20" t="str">
        <x:v>Saldo da cota = quantidade de cotas × valor da cota no Informe Mensal. O rating do deck é veicular e não foi imputado à classe.</x:v>
      </x:c>
    </x:row>
    <x:row r="21">
      <x:c r="A21" s="20" t="str">
        <x:v>FIDC_V</x:v>
      </x:c>
      <x:c r="B21" s="20" t="str">
        <x:v>Júnior/Subordinada</x:v>
      </x:c>
      <x:c r="C21" s="20" t="str">
        <x:v>Subordinada Subordinada 1 |</x:v>
      </x:c>
      <x:c r="D21" s="20" t="str">
        <x:v>n/d</x:v>
      </x:c>
      <x:c r="E21" s="21" t="str">
        <x:v>n/d</x:v>
      </x:c>
      <x:c r="F21" s="21" t="str">
        <x:v>n/d</x:v>
      </x:c>
      <x:c r="G21" s="24" t="str">
        <x:v>n/d</x:v>
      </x:c>
      <x:c r="H21" s="25" t="str">
        <x:v>n/d</x:v>
      </x:c>
      <x:c r="I21" s="25" t="str">
        <x:v>n/d</x:v>
      </x:c>
      <x:c r="J21" s="25" t="n">
        <x:v>4982323.29001115</x:v>
      </x:c>
      <x:c r="K21" s="26" t="n">
        <x:v>0.07376919371078171</x:v>
      </x:c>
      <x:c r="L21" s="20" t="str">
        <x:v>n/d</x:v>
      </x:c>
      <x:c r="M21" s="20" t="str">
        <x:v>n/d</x:v>
      </x:c>
      <x:c r="N21" s="20" t="str">
        <x:v>n/d</x:v>
      </x:c>
      <x:c r="O21" s="20" t="n">
        <x:v>293.83884179</x:v>
      </x:c>
      <x:c r="P21" s="20" t="str">
        <x:v>n/d</x:v>
      </x:c>
      <x:c r="Q21" s="20" t="str">
        <x:v>n/d</x:v>
      </x:c>
      <x:c r="R21" s="20" t="str">
        <x:v>n/d</x:v>
      </x:c>
      <x:c r="S21" s="20" t="str">
        <x:v>n/d</x:v>
      </x:c>
      <x:c r="T21" s="21" t="n">
        <x:v>46234</x:v>
      </x:c>
      <x:c r="U21" s="20" t="str">
        <x:v>não</x:v>
      </x:c>
      <x:c r="V21" s="20" t="str">
        <x:v>CVM_FIDC_202607_X2</x:v>
      </x:c>
      <x:c r="W21" s="20" t="str">
        <x:v>Documentado</x:v>
      </x:c>
      <x:c r="X21" s="20" t="str">
        <x:v>Saldo da cota = quantidade de cotas × valor da cota no Informe Mensal. O rating do deck é veicular e não foi imputado à classe.</x:v>
      </x:c>
    </x:row>
    <x:row r="22">
      <x:c r="A22" s="20" t="str">
        <x:v>FIDC_V</x:v>
      </x:c>
      <x:c r="B22" s="20" t="str">
        <x:v>Mezanino A</x:v>
      </x:c>
      <x:c r="C22" s="20" t="str">
        <x:v>Subordinada Mezanino 1 | Série 1</x:v>
      </x:c>
      <x:c r="D22" s="20" t="str">
        <x:v>n/d</x:v>
      </x:c>
      <x:c r="E22" s="21" t="str">
        <x:v>n/d</x:v>
      </x:c>
      <x:c r="F22" s="21" t="str">
        <x:v>n/d</x:v>
      </x:c>
      <x:c r="G22" s="24" t="str">
        <x:v>n/d</x:v>
      </x:c>
      <x:c r="H22" s="25" t="str">
        <x:v>n/d</x:v>
      </x:c>
      <x:c r="I22" s="25" t="str">
        <x:v>n/d</x:v>
      </x:c>
      <x:c r="J22" s="25" t="n">
        <x:v>9142698.73997136</x:v>
      </x:c>
      <x:c r="K22" s="26" t="n">
        <x:v>0.1353684767386417</x:v>
      </x:c>
      <x:c r="L22" s="20" t="str">
        <x:v>n/d</x:v>
      </x:c>
      <x:c r="M22" s="20" t="str">
        <x:v>n/d</x:v>
      </x:c>
      <x:c r="N22" s="20" t="str">
        <x:v>n/d</x:v>
      </x:c>
      <x:c r="O22" s="20" t="n">
        <x:v>514.55981202</x:v>
      </x:c>
      <x:c r="P22" s="20" t="str">
        <x:v>n/d</x:v>
      </x:c>
      <x:c r="Q22" s="20" t="str">
        <x:v>n/d</x:v>
      </x:c>
      <x:c r="R22" s="20" t="str">
        <x:v>n/d</x:v>
      </x:c>
      <x:c r="S22" s="20" t="str">
        <x:v>n/d</x:v>
      </x:c>
      <x:c r="T22" s="21" t="n">
        <x:v>46234</x:v>
      </x:c>
      <x:c r="U22" s="20" t="str">
        <x:v>não</x:v>
      </x:c>
      <x:c r="V22" s="20" t="str">
        <x:v>CVM_FIDC_202607_X2</x:v>
      </x:c>
      <x:c r="W22" s="20" t="str">
        <x:v>Documentado</x:v>
      </x:c>
      <x:c r="X22" s="20" t="str">
        <x:v>Saldo da cota = quantidade de cotas × valor da cota no Informe Mensal. O rating do deck é veicular e não foi imputado à classe.</x:v>
      </x:c>
    </x:row>
    <x:row r="23">
      <x:c r="A23" s="20" t="str">
        <x:v>FIDC_VI</x:v>
      </x:c>
      <x:c r="B23" s="20" t="str">
        <x:v>Sênior</x:v>
      </x:c>
      <x:c r="C23" s="20" t="str">
        <x:v>Senior Série 1</x:v>
      </x:c>
      <x:c r="D23" s="20" t="str">
        <x:v>n/d</x:v>
      </x:c>
      <x:c r="E23" s="21" t="str">
        <x:v>n/d</x:v>
      </x:c>
      <x:c r="F23" s="21" t="str">
        <x:v>n/d</x:v>
      </x:c>
      <x:c r="G23" s="24" t="str">
        <x:v>n/d</x:v>
      </x:c>
      <x:c r="H23" s="25" t="str">
        <x:v>n/d</x:v>
      </x:c>
      <x:c r="I23" s="25" t="str">
        <x:v>n/d</x:v>
      </x:c>
      <x:c r="J23" s="25" t="n">
        <x:v>140122607.14304927</x:v>
      </x:c>
      <x:c r="K23" s="26" t="n">
        <x:v>0.6637199577900512</x:v>
      </x:c>
      <x:c r="L23" s="20" t="str">
        <x:v>n/d</x:v>
      </x:c>
      <x:c r="M23" s="20" t="str">
        <x:v>n/d</x:v>
      </x:c>
      <x:c r="N23" s="20" t="str">
        <x:v>n/d</x:v>
      </x:c>
      <x:c r="O23" s="20" t="n">
        <x:v>200.17599431</x:v>
      </x:c>
      <x:c r="P23" s="20" t="str">
        <x:v>n/d</x:v>
      </x:c>
      <x:c r="Q23" s="20" t="str">
        <x:v>n/d</x:v>
      </x:c>
      <x:c r="R23" s="20" t="str">
        <x:v>n/d</x:v>
      </x:c>
      <x:c r="S23" s="20" t="str">
        <x:v>n/d</x:v>
      </x:c>
      <x:c r="T23" s="21" t="n">
        <x:v>46234</x:v>
      </x:c>
      <x:c r="U23" s="20" t="str">
        <x:v>não</x:v>
      </x:c>
      <x:c r="V23" s="20" t="str">
        <x:v>CVM_FIDC_202607_X2</x:v>
      </x:c>
      <x:c r="W23" s="20" t="str">
        <x:v>Documentado</x:v>
      </x:c>
      <x:c r="X23" s="20" t="str">
        <x:v>Saldo da cota = quantidade de cotas × valor da cota no Informe Mensal. O rating do deck é veicular e não foi imputado à classe.</x:v>
      </x:c>
    </x:row>
    <x:row r="24">
      <x:c r="A24" s="20" t="str">
        <x:v>FIDC_VI</x:v>
      </x:c>
      <x:c r="B24" s="20" t="str">
        <x:v>Júnior/Subordinada</x:v>
      </x:c>
      <x:c r="C24" s="20" t="str">
        <x:v>Subordinada Subordinada 1 |</x:v>
      </x:c>
      <x:c r="D24" s="20" t="str">
        <x:v>n/d</x:v>
      </x:c>
      <x:c r="E24" s="21" t="str">
        <x:v>n/d</x:v>
      </x:c>
      <x:c r="F24" s="21" t="str">
        <x:v>n/d</x:v>
      </x:c>
      <x:c r="G24" s="24" t="str">
        <x:v>n/d</x:v>
      </x:c>
      <x:c r="H24" s="25" t="str">
        <x:v>n/d</x:v>
      </x:c>
      <x:c r="I24" s="25" t="str">
        <x:v>n/d</x:v>
      </x:c>
      <x:c r="J24" s="25" t="n">
        <x:v>31546685.779855285</x:v>
      </x:c>
      <x:c r="K24" s="26" t="n">
        <x:v>0.14942745771812588</x:v>
      </x:c>
      <x:c r="L24" s="20" t="str">
        <x:v>n/d</x:v>
      </x:c>
      <x:c r="M24" s="20" t="str">
        <x:v>n/d</x:v>
      </x:c>
      <x:c r="N24" s="20" t="str">
        <x:v>n/d</x:v>
      </x:c>
      <x:c r="O24" s="20" t="n">
        <x:v>974.18771442</x:v>
      </x:c>
      <x:c r="P24" s="20" t="str">
        <x:v>n/d</x:v>
      </x:c>
      <x:c r="Q24" s="20" t="str">
        <x:v>n/d</x:v>
      </x:c>
      <x:c r="R24" s="20" t="str">
        <x:v>n/d</x:v>
      </x:c>
      <x:c r="S24" s="20" t="str">
        <x:v>n/d</x:v>
      </x:c>
      <x:c r="T24" s="21" t="n">
        <x:v>46234</x:v>
      </x:c>
      <x:c r="U24" s="20" t="str">
        <x:v>não</x:v>
      </x:c>
      <x:c r="V24" s="20" t="str">
        <x:v>CVM_FIDC_202607_X2</x:v>
      </x:c>
      <x:c r="W24" s="20" t="str">
        <x:v>Documentado</x:v>
      </x:c>
      <x:c r="X24" s="20" t="str">
        <x:v>Saldo da cota = quantidade de cotas × valor da cota no Informe Mensal. O rating do deck é veicular e não foi imputado à classe.</x:v>
      </x:c>
    </x:row>
    <x:row r="25">
      <x:c r="A25" s="20" t="str">
        <x:v>FIDC_VI</x:v>
      </x:c>
      <x:c r="B25" s="20" t="str">
        <x:v>Mezanino A</x:v>
      </x:c>
      <x:c r="C25" s="20" t="str">
        <x:v>Subordinada Mezanino 1 | Série 1</x:v>
      </x:c>
      <x:c r="D25" s="20" t="str">
        <x:v>n/d</x:v>
      </x:c>
      <x:c r="E25" s="21" t="str">
        <x:v>n/d</x:v>
      </x:c>
      <x:c r="F25" s="21" t="str">
        <x:v>n/d</x:v>
      </x:c>
      <x:c r="G25" s="24" t="str">
        <x:v>n/d</x:v>
      </x:c>
      <x:c r="H25" s="25" t="str">
        <x:v>n/d</x:v>
      </x:c>
      <x:c r="I25" s="25" t="str">
        <x:v>n/d</x:v>
      </x:c>
      <x:c r="J25" s="25" t="n">
        <x:v>28149052.760294303</x:v>
      </x:c>
      <x:c r="K25" s="26" t="n">
        <x:v>0.1333338601873083</x:v>
      </x:c>
      <x:c r="L25" s="20" t="str">
        <x:v>n/d</x:v>
      </x:c>
      <x:c r="M25" s="20" t="str">
        <x:v>n/d</x:v>
      </x:c>
      <x:c r="N25" s="20" t="str">
        <x:v>n/d</x:v>
      </x:c>
      <x:c r="O25" s="20" t="n">
        <x:v>201.06466311</x:v>
      </x:c>
      <x:c r="P25" s="20" t="str">
        <x:v>n/d</x:v>
      </x:c>
      <x:c r="Q25" s="20" t="str">
        <x:v>n/d</x:v>
      </x:c>
      <x:c r="R25" s="20" t="str">
        <x:v>n/d</x:v>
      </x:c>
      <x:c r="S25" s="20" t="str">
        <x:v>n/d</x:v>
      </x:c>
      <x:c r="T25" s="21" t="n">
        <x:v>46234</x:v>
      </x:c>
      <x:c r="U25" s="20" t="str">
        <x:v>não</x:v>
      </x:c>
      <x:c r="V25" s="20" t="str">
        <x:v>CVM_FIDC_202607_X2</x:v>
      </x:c>
      <x:c r="W25" s="20" t="str">
        <x:v>Documentado</x:v>
      </x:c>
      <x:c r="X25" s="20" t="str">
        <x:v>Saldo da cota = quantidade de cotas × valor da cota no Informe Mensal. O rating do deck é veicular e não foi imputado à classe.</x:v>
      </x:c>
    </x:row>
    <x:row r="26">
      <x:c r="A26" s="20" t="str">
        <x:v>FIDC_VI</x:v>
      </x:c>
      <x:c r="B26" s="20" t="str">
        <x:v>Mezanino B</x:v>
      </x:c>
      <x:c r="C26" s="20" t="str">
        <x:v>Subordinada Mezanino 2 | Série 1</x:v>
      </x:c>
      <x:c r="D26" s="20" t="str">
        <x:v>n/d</x:v>
      </x:c>
      <x:c r="E26" s="21" t="str">
        <x:v>n/d</x:v>
      </x:c>
      <x:c r="F26" s="21" t="str">
        <x:v>n/d</x:v>
      </x:c>
      <x:c r="G26" s="24" t="str">
        <x:v>n/d</x:v>
      </x:c>
      <x:c r="H26" s="25" t="str">
        <x:v>n/d</x:v>
      </x:c>
      <x:c r="I26" s="25" t="str">
        <x:v>n/d</x:v>
      </x:c>
      <x:c r="J26" s="25" t="n">
        <x:v>11298715.81003567</x:v>
      </x:c>
      <x:c r="K26" s="26" t="n">
        <x:v>0.05351872430451458</x:v>
      </x:c>
      <x:c r="L26" s="20" t="str">
        <x:v>n/d</x:v>
      </x:c>
      <x:c r="M26" s="20" t="str">
        <x:v>n/d</x:v>
      </x:c>
      <x:c r="N26" s="20" t="str">
        <x:v>n/d</x:v>
      </x:c>
      <x:c r="O26" s="20" t="n">
        <x:v>201.76571221</x:v>
      </x:c>
      <x:c r="P26" s="20" t="str">
        <x:v>n/d</x:v>
      </x:c>
      <x:c r="Q26" s="20" t="str">
        <x:v>n/d</x:v>
      </x:c>
      <x:c r="R26" s="20" t="str">
        <x:v>n/d</x:v>
      </x:c>
      <x:c r="S26" s="20" t="str">
        <x:v>n/d</x:v>
      </x:c>
      <x:c r="T26" s="21" t="n">
        <x:v>46234</x:v>
      </x:c>
      <x:c r="U26" s="20" t="str">
        <x:v>não</x:v>
      </x:c>
      <x:c r="V26" s="20" t="str">
        <x:v>CVM_FIDC_202607_X2</x:v>
      </x:c>
      <x:c r="W26" s="20" t="str">
        <x:v>Documentado</x:v>
      </x:c>
      <x:c r="X26" s="20" t="str">
        <x:v>Saldo da cota = quantidade de cotas × valor da cota no Informe Mensal. O rating do deck é veicular e não foi imputado à classe.</x:v>
      </x:c>
    </x:row>
    <x:row r="27">
      <x:c r="A27" s="20" t="str">
        <x:v>FIDC_VII</x:v>
      </x:c>
      <x:c r="B27" s="20" t="str">
        <x:v>Sênior</x:v>
      </x:c>
      <x:c r="C27" s="20" t="str">
        <x:v>Senior Série 1</x:v>
      </x:c>
      <x:c r="D27" s="20" t="str">
        <x:v>n/d</x:v>
      </x:c>
      <x:c r="E27" s="21" t="str">
        <x:v>n/d</x:v>
      </x:c>
      <x:c r="F27" s="21" t="str">
        <x:v>n/d</x:v>
      </x:c>
      <x:c r="G27" s="24" t="str">
        <x:v>n/d</x:v>
      </x:c>
      <x:c r="H27" s="25" t="str">
        <x:v>n/d</x:v>
      </x:c>
      <x:c r="I27" s="25" t="str">
        <x:v>n/d</x:v>
      </x:c>
      <x:c r="J27" s="25" t="n">
        <x:v>458534164.8906379</x:v>
      </x:c>
      <x:c r="K27" s="26" t="n">
        <x:v>0.7400158973585502</x:v>
      </x:c>
      <x:c r="L27" s="20" t="str">
        <x:v>n/d</x:v>
      </x:c>
      <x:c r="M27" s="20" t="str">
        <x:v>n/d</x:v>
      </x:c>
      <x:c r="N27" s="20" t="str">
        <x:v>n/d</x:v>
      </x:c>
      <x:c r="O27" s="20" t="n">
        <x:v>1029.59566507</x:v>
      </x:c>
      <x:c r="P27" s="20" t="str">
        <x:v>n/d</x:v>
      </x:c>
      <x:c r="Q27" s="20" t="str">
        <x:v>n/d</x:v>
      </x:c>
      <x:c r="R27" s="20" t="str">
        <x:v>n/d</x:v>
      </x:c>
      <x:c r="S27" s="20" t="str">
        <x:v>n/d</x:v>
      </x:c>
      <x:c r="T27" s="21" t="n">
        <x:v>46234</x:v>
      </x:c>
      <x:c r="U27" s="20" t="str">
        <x:v>não</x:v>
      </x:c>
      <x:c r="V27" s="20" t="str">
        <x:v>CVM_FIDC_202607_X2</x:v>
      </x:c>
      <x:c r="W27" s="20" t="str">
        <x:v>Documentado</x:v>
      </x:c>
      <x:c r="X27" s="20" t="str">
        <x:v>Saldo da cota = quantidade de cotas × valor da cota no Informe Mensal. O rating do deck é veicular e não foi imputado à classe.</x:v>
      </x:c>
    </x:row>
    <x:row r="28">
      <x:c r="A28" s="20" t="str">
        <x:v>FIDC_VII</x:v>
      </x:c>
      <x:c r="B28" s="20" t="str">
        <x:v>Mezanino A</x:v>
      </x:c>
      <x:c r="C28" s="20" t="str">
        <x:v>Subordinada Mezanino 1 | Série 1</x:v>
      </x:c>
      <x:c r="D28" s="20" t="str">
        <x:v>n/d</x:v>
      </x:c>
      <x:c r="E28" s="21" t="str">
        <x:v>n/d</x:v>
      </x:c>
      <x:c r="F28" s="21" t="str">
        <x:v>n/d</x:v>
      </x:c>
      <x:c r="G28" s="24" t="str">
        <x:v>n/d</x:v>
      </x:c>
      <x:c r="H28" s="25" t="str">
        <x:v>n/d</x:v>
      </x:c>
      <x:c r="I28" s="25" t="str">
        <x:v>n/d</x:v>
      </x:c>
      <x:c r="J28" s="25" t="n">
        <x:v>91855704.87008367</x:v>
      </x:c>
      <x:c r="K28" s="26" t="n">
        <x:v>0.14824343979504634</x:v>
      </x:c>
      <x:c r="L28" s="20" t="str">
        <x:v>n/d</x:v>
      </x:c>
      <x:c r="M28" s="20" t="str">
        <x:v>n/d</x:v>
      </x:c>
      <x:c r="N28" s="20" t="str">
        <x:v>n/d</x:v>
      </x:c>
      <x:c r="O28" s="20" t="n">
        <x:v>1034.91524651</x:v>
      </x:c>
      <x:c r="P28" s="20" t="str">
        <x:v>n/d</x:v>
      </x:c>
      <x:c r="Q28" s="20" t="str">
        <x:v>n/d</x:v>
      </x:c>
      <x:c r="R28" s="20" t="str">
        <x:v>n/d</x:v>
      </x:c>
      <x:c r="S28" s="20" t="str">
        <x:v>n/d</x:v>
      </x:c>
      <x:c r="T28" s="21" t="n">
        <x:v>46234</x:v>
      </x:c>
      <x:c r="U28" s="20" t="str">
        <x:v>não</x:v>
      </x:c>
      <x:c r="V28" s="20" t="str">
        <x:v>CVM_FIDC_202607_X2</x:v>
      </x:c>
      <x:c r="W28" s="20" t="str">
        <x:v>Documentado</x:v>
      </x:c>
      <x:c r="X28" s="20" t="str">
        <x:v>Saldo da cota = quantidade de cotas × valor da cota no Informe Mensal. O rating do deck é veicular e não foi imputado à classe.</x:v>
      </x:c>
    </x:row>
    <x:row r="29">
      <x:c r="A29" s="20" t="str">
        <x:v>FIDC_VII</x:v>
      </x:c>
      <x:c r="B29" s="20" t="str">
        <x:v>Mezanino B</x:v>
      </x:c>
      <x:c r="C29" s="20" t="str">
        <x:v>Subordinada Mezanino 2 | Série 1</x:v>
      </x:c>
      <x:c r="D29" s="20" t="str">
        <x:v>n/d</x:v>
      </x:c>
      <x:c r="E29" s="21" t="str">
        <x:v>n/d</x:v>
      </x:c>
      <x:c r="F29" s="21" t="str">
        <x:v>n/d</x:v>
      </x:c>
      <x:c r="G29" s="24" t="str">
        <x:v>n/d</x:v>
      </x:c>
      <x:c r="H29" s="25" t="str">
        <x:v>n/d</x:v>
      </x:c>
      <x:c r="I29" s="25" t="str">
        <x:v>n/d</x:v>
      </x:c>
      <x:c r="J29" s="25" t="n">
        <x:v>36852012.199839145</x:v>
      </x:c>
      <x:c r="K29" s="26" t="n">
        <x:v>0.059474466606073854</x:v>
      </x:c>
      <x:c r="L29" s="20" t="str">
        <x:v>n/d</x:v>
      </x:c>
      <x:c r="M29" s="20" t="str">
        <x:v>n/d</x:v>
      </x:c>
      <x:c r="N29" s="20" t="str">
        <x:v>n/d</x:v>
      </x:c>
      <x:c r="O29" s="20" t="n">
        <x:v>1041.27911956</x:v>
      </x:c>
      <x:c r="P29" s="20" t="str">
        <x:v>n/d</x:v>
      </x:c>
      <x:c r="Q29" s="20" t="str">
        <x:v>n/d</x:v>
      </x:c>
      <x:c r="R29" s="20" t="str">
        <x:v>n/d</x:v>
      </x:c>
      <x:c r="S29" s="20" t="str">
        <x:v>n/d</x:v>
      </x:c>
      <x:c r="T29" s="21" t="n">
        <x:v>46234</x:v>
      </x:c>
      <x:c r="U29" s="20" t="str">
        <x:v>não</x:v>
      </x:c>
      <x:c r="V29" s="20" t="str">
        <x:v>CVM_FIDC_202607_X2</x:v>
      </x:c>
      <x:c r="W29" s="20" t="str">
        <x:v>Documentado</x:v>
      </x:c>
      <x:c r="X29" s="20" t="str">
        <x:v>Saldo da cota = quantidade de cotas × valor da cota no Informe Mensal. O rating do deck é veicular e não foi imputado à classe.</x:v>
      </x:c>
    </x:row>
    <x:row r="30">
      <x:c r="A30" s="20" t="str">
        <x:v>FIDC_VII</x:v>
      </x:c>
      <x:c r="B30" s="20" t="str">
        <x:v>Júnior/Subordinada</x:v>
      </x:c>
      <x:c r="C30" s="20" t="str">
        <x:v>Subordinada Subordinada 1 |</x:v>
      </x:c>
      <x:c r="D30" s="20" t="str">
        <x:v>n/d</x:v>
      </x:c>
      <x:c r="E30" s="21" t="str">
        <x:v>n/d</x:v>
      </x:c>
      <x:c r="F30" s="21" t="str">
        <x:v>n/d</x:v>
      </x:c>
      <x:c r="G30" s="24" t="str">
        <x:v>n/d</x:v>
      </x:c>
      <x:c r="H30" s="25" t="str">
        <x:v>n/d</x:v>
      </x:c>
      <x:c r="I30" s="25" t="str">
        <x:v>n/d</x:v>
      </x:c>
      <x:c r="J30" s="25" t="n">
        <x:v>32385570.000069797</x:v>
      </x:c>
      <x:c r="K30" s="26" t="n">
        <x:v>0.052266196240329736</x:v>
      </x:c>
      <x:c r="L30" s="20" t="str">
        <x:v>n/d</x:v>
      </x:c>
      <x:c r="M30" s="20" t="str">
        <x:v>n/d</x:v>
      </x:c>
      <x:c r="N30" s="20" t="str">
        <x:v>n/d</x:v>
      </x:c>
      <x:c r="O30" s="20" t="n">
        <x:v>1209.45599038</x:v>
      </x:c>
      <x:c r="P30" s="20" t="str">
        <x:v>n/d</x:v>
      </x:c>
      <x:c r="Q30" s="20" t="str">
        <x:v>n/d</x:v>
      </x:c>
      <x:c r="R30" s="20" t="str">
        <x:v>n/d</x:v>
      </x:c>
      <x:c r="S30" s="20" t="str">
        <x:v>n/d</x:v>
      </x:c>
      <x:c r="T30" s="21" t="n">
        <x:v>46234</x:v>
      </x:c>
      <x:c r="U30" s="20" t="str">
        <x:v>não</x:v>
      </x:c>
      <x:c r="V30" s="20" t="str">
        <x:v>CVM_FIDC_202607_X2</x:v>
      </x:c>
      <x:c r="W30" s="20" t="str">
        <x:v>Documentado</x:v>
      </x:c>
      <x:c r="X30" s="20" t="str">
        <x:v>Saldo da cota = quantidade de cotas × valor da cota no Informe Mensal. O rating do deck é veicular e não foi imputado à classe.</x:v>
      </x:c>
    </x:row>
    <x:row r="31">
      <x:c r="A31" s="20" t="str">
        <x:v>CRI_K1</x:v>
      </x:c>
      <x:c r="B31" s="20" t="str">
        <x:v>Super Sênior</x:v>
      </x:c>
      <x:c r="C31" s="20" t="str">
        <x:v>Série 1</x:v>
      </x:c>
      <x:c r="D31" s="20" t="str">
        <x:v>BRKNSTCRI000</x:v>
      </x:c>
      <x:c r="E31" s="21" t="n">
        <x:v>45306</x:v>
      </x:c>
      <x:c r="F31" s="21" t="n">
        <x:v>47863</x:v>
      </x:c>
      <x:c r="G31" s="24" t="n">
        <x:v>84</x:v>
      </x:c>
      <x:c r="H31" s="25" t="n">
        <x:v>360000000</x:v>
      </x:c>
      <x:c r="I31" s="25" t="n">
        <x:v>360000000</x:v>
      </x:c>
      <x:c r="J31" s="25" t="str">
        <x:v>n/d</x:v>
      </x:c>
      <x:c r="K31" s="26" t="n">
        <x:v>0.5970149253731343</x:v>
      </x:c>
      <x:c r="L31" s="20" t="str">
        <x:v>Pré</x:v>
      </x:c>
      <x:c r="M31" s="20" t="str">
        <x:v>11,51% a.a.</x:v>
      </x:c>
      <x:c r="N31" s="20" t="str">
        <x:v>n/d</x:v>
      </x:c>
      <x:c r="O31" s="20" t="str">
        <x:v>n/d</x:v>
      </x:c>
      <x:c r="P31" s="20" t="str">
        <x:v>Fitch</x:v>
      </x:c>
      <x:c r="Q31" s="20" t="str">
        <x:v>AA+sf(bra)</x:v>
      </x:c>
      <x:c r="R31" s="20" t="str">
        <x:v>pública</x:v>
      </x:c>
      <x:c r="S31" s="20" t="str">
        <x:v>n/d</x:v>
      </x:c>
      <x:c r="T31" s="21" t="n">
        <x:v>46174</x:v>
      </x:c>
      <x:c r="U31" s="20" t="str">
        <x:v>não</x:v>
      </x:c>
      <x:c r="V31" s="20" t="str">
        <x:v>ANX_CRI1_PROSP_20240216 | CVM_FUNDOSNET_TERMOS_CRI_20260822 | CVM_CRI_2026_CLASSE</x:v>
      </x:c>
      <x:c r="W31" s="20" t="str">
        <x:v>Documentado</x:v>
      </x:c>
      <x:c r="X31" s="20" t="str">
        <x:v>Montante e termos documentais; saldo da última competência: n/d por conflito de unidade. Reconciliação usa Valor_Atualizado_Emissao; conflito de unidade permanece n/d.</x:v>
      </x:c>
    </x:row>
    <x:row r="32">
      <x:c r="A32" s="20" t="str">
        <x:v>CRI_K1</x:v>
      </x:c>
      <x:c r="B32" s="20" t="str">
        <x:v>Sênior</x:v>
      </x:c>
      <x:c r="C32" s="20" t="str">
        <x:v>Série 2</x:v>
      </x:c>
      <x:c r="D32" s="20" t="str">
        <x:v>BRKNSTCRI018</x:v>
      </x:c>
      <x:c r="E32" s="21" t="n">
        <x:v>45306</x:v>
      </x:c>
      <x:c r="F32" s="21" t="n">
        <x:v>48228</x:v>
      </x:c>
      <x:c r="G32" s="24" t="n">
        <x:v>96</x:v>
      </x:c>
      <x:c r="H32" s="25" t="n">
        <x:v>90000000</x:v>
      </x:c>
      <x:c r="I32" s="25" t="n">
        <x:v>90000000</x:v>
      </x:c>
      <x:c r="J32" s="25" t="str">
        <x:v>n/d</x:v>
      </x:c>
      <x:c r="K32" s="26" t="n">
        <x:v>0.14925373134328357</x:v>
      </x:c>
      <x:c r="L32" s="20" t="str">
        <x:v>Pré</x:v>
      </x:c>
      <x:c r="M32" s="20" t="str">
        <x:v>12,74% a.a.</x:v>
      </x:c>
      <x:c r="N32" s="20" t="str">
        <x:v>n/d</x:v>
      </x:c>
      <x:c r="O32" s="20" t="str">
        <x:v>n/d</x:v>
      </x:c>
      <x:c r="P32" s="20" t="str">
        <x:v>Fitch</x:v>
      </x:c>
      <x:c r="Q32" s="20" t="str">
        <x:v>AAsf(bra)</x:v>
      </x:c>
      <x:c r="R32" s="20" t="str">
        <x:v>pública</x:v>
      </x:c>
      <x:c r="S32" s="20" t="str">
        <x:v>n/d</x:v>
      </x:c>
      <x:c r="T32" s="21" t="n">
        <x:v>46174</x:v>
      </x:c>
      <x:c r="U32" s="20" t="str">
        <x:v>não</x:v>
      </x:c>
      <x:c r="V32" s="20" t="str">
        <x:v>ANX_CRI1_PROSP_20240216 | CVM_FUNDOSNET_TERMOS_CRI_20260822 | CVM_CRI_2026_CLASSE</x:v>
      </x:c>
      <x:c r="W32" s="20" t="str">
        <x:v>Documentado</x:v>
      </x:c>
      <x:c r="X32" s="20" t="str">
        <x:v>Montante e termos documentais; saldo da última competência: n/d por conflito de unidade. Reconciliação usa Valor_Atualizado_Emissao; conflito de unidade permanece n/d.</x:v>
      </x:c>
    </x:row>
    <x:row r="33">
      <x:c r="A33" s="20" t="str">
        <x:v>CRI_K1</x:v>
      </x:c>
      <x:c r="B33" s="20" t="str">
        <x:v>Mezanino</x:v>
      </x:c>
      <x:c r="C33" s="20" t="str">
        <x:v>Série 3</x:v>
      </x:c>
      <x:c r="D33" s="20" t="str">
        <x:v>BRKNSTCRI026</x:v>
      </x:c>
      <x:c r="E33" s="21" t="n">
        <x:v>45306</x:v>
      </x:c>
      <x:c r="F33" s="21" t="n">
        <x:v>48959</x:v>
      </x:c>
      <x:c r="G33" s="24" t="n">
        <x:v>120</x:v>
      </x:c>
      <x:c r="H33" s="25" t="n">
        <x:v>108000000</x:v>
      </x:c>
      <x:c r="I33" s="25" t="n">
        <x:v>108000000</x:v>
      </x:c>
      <x:c r="J33" s="25" t="str">
        <x:v>n/d</x:v>
      </x:c>
      <x:c r="K33" s="26" t="n">
        <x:v>0.1791044776119403</x:v>
      </x:c>
      <x:c r="L33" s="20" t="str">
        <x:v>Pré</x:v>
      </x:c>
      <x:c r="M33" s="20" t="str">
        <x:v>16,48% a.a. (número; extenso 17,48%)</x:v>
      </x:c>
      <x:c r="N33" s="20" t="str">
        <x:v>n/d</x:v>
      </x:c>
      <x:c r="O33" s="20" t="str">
        <x:v>n/d</x:v>
      </x:c>
      <x:c r="P33" s="20" t="str">
        <x:v>n/d</x:v>
      </x:c>
      <x:c r="Q33" s="20" t="str">
        <x:v>n/d</x:v>
      </x:c>
      <x:c r="R33" s="20" t="str">
        <x:v>pública</x:v>
      </x:c>
      <x:c r="S33" s="20" t="str">
        <x:v>n/d</x:v>
      </x:c>
      <x:c r="T33" s="21" t="n">
        <x:v>46174</x:v>
      </x:c>
      <x:c r="U33" s="20" t="str">
        <x:v>sim</x:v>
      </x:c>
      <x:c r="V33" s="20" t="str">
        <x:v>ANX_CRI1_PROSP_20240216 | CVM_FUNDOSNET_TERMOS_CRI_20260822 | CVM_CRI_2026_CLASSE</x:v>
      </x:c>
      <x:c r="W33" s="20" t="str">
        <x:v>Documentado</x:v>
      </x:c>
      <x:c r="X33" s="20" t="str">
        <x:v>Montante e termos documentais; saldo da última competência: n/d por conflito de unidade. Reconciliação usa Valor_Atualizado_Emissao; conflito de unidade permanece n/d.</x:v>
      </x:c>
    </x:row>
    <x:row r="34">
      <x:c r="A34" s="20" t="str">
        <x:v>CRI_K1</x:v>
      </x:c>
      <x:c r="B34" s="20" t="str">
        <x:v>Subordinada</x:v>
      </x:c>
      <x:c r="C34" s="20" t="str">
        <x:v>Série 4</x:v>
      </x:c>
      <x:c r="D34" s="20" t="str">
        <x:v>BRKNSTCRI034</x:v>
      </x:c>
      <x:c r="E34" s="21" t="n">
        <x:v>45306</x:v>
      </x:c>
      <x:c r="F34" s="21" t="n">
        <x:v>48959</x:v>
      </x:c>
      <x:c r="G34" s="24" t="n">
        <x:v>120</x:v>
      </x:c>
      <x:c r="H34" s="25" t="n">
        <x:v>30000000</x:v>
      </x:c>
      <x:c r="I34" s="25" t="n">
        <x:v>30000000</x:v>
      </x:c>
      <x:c r="J34" s="25" t="str">
        <x:v>n/d</x:v>
      </x:c>
      <x:c r="K34" s="26" t="n">
        <x:v>0.04975124378109453</x:v>
      </x:c>
      <x:c r="L34" s="20" t="str">
        <x:v>Pré</x:v>
      </x:c>
      <x:c r="M34" s="20" t="str">
        <x:v>20,95% a.a.</x:v>
      </x:c>
      <x:c r="N34" s="20" t="str">
        <x:v>n/d</x:v>
      </x:c>
      <x:c r="O34" s="20" t="str">
        <x:v>n/d</x:v>
      </x:c>
      <x:c r="P34" s="20" t="str">
        <x:v>n/d</x:v>
      </x:c>
      <x:c r="Q34" s="20" t="str">
        <x:v>n/d</x:v>
      </x:c>
      <x:c r="R34" s="20" t="str">
        <x:v>pública</x:v>
      </x:c>
      <x:c r="S34" s="20" t="str">
        <x:v>n/d</x:v>
      </x:c>
      <x:c r="T34" s="21" t="n">
        <x:v>46174</x:v>
      </x:c>
      <x:c r="U34" s="20" t="str">
        <x:v>não</x:v>
      </x:c>
      <x:c r="V34" s="20" t="str">
        <x:v>ANX_CRI1_PROSP_20240216 | CVM_FUNDOSNET_TERMOS_CRI_20260822 | CVM_CRI_2026_CLASSE</x:v>
      </x:c>
      <x:c r="W34" s="20" t="str">
        <x:v>Documentado</x:v>
      </x:c>
      <x:c r="X34" s="20" t="str">
        <x:v>Montante e termos documentais; saldo da última competência: n/d por conflito de unidade. Reconciliação usa Valor_Atualizado_Emissao; conflito de unidade permanece n/d.</x:v>
      </x:c>
    </x:row>
    <x:row r="35">
      <x:c r="A35" s="20" t="str">
        <x:v>CRI_K1</x:v>
      </x:c>
      <x:c r="B35" s="20" t="str">
        <x:v>Júnior/Subordinada</x:v>
      </x:c>
      <x:c r="C35" s="20" t="str">
        <x:v>Série 5</x:v>
      </x:c>
      <x:c r="D35" s="20" t="str">
        <x:v>BRKNSTCRI042</x:v>
      </x:c>
      <x:c r="E35" s="21" t="n">
        <x:v>45306</x:v>
      </x:c>
      <x:c r="F35" s="21" t="n">
        <x:v>49689</x:v>
      </x:c>
      <x:c r="G35" s="24" t="n">
        <x:v>144</x:v>
      </x:c>
      <x:c r="H35" s="25" t="n">
        <x:v>15000000</x:v>
      </x:c>
      <x:c r="I35" s="25" t="n">
        <x:v>15000000</x:v>
      </x:c>
      <x:c r="J35" s="25" t="str">
        <x:v>n/d</x:v>
      </x:c>
      <x:c r="K35" s="26" t="n">
        <x:v>0.024875621890547265</x:v>
      </x:c>
      <x:c r="L35" s="20" t="str">
        <x:v>Pré + residual</x:v>
      </x:c>
      <x:c r="M35" s="20" t="str">
        <x:v>9,86% a.a. + prêmio residual</x:v>
      </x:c>
      <x:c r="N35" s="20" t="str">
        <x:v>n/d</x:v>
      </x:c>
      <x:c r="O35" s="20" t="str">
        <x:v>n/d</x:v>
      </x:c>
      <x:c r="P35" s="20" t="str">
        <x:v>n/d</x:v>
      </x:c>
      <x:c r="Q35" s="20" t="str">
        <x:v>n/d</x:v>
      </x:c>
      <x:c r="R35" s="20" t="str">
        <x:v>privada</x:v>
      </x:c>
      <x:c r="S35" s="20" t="str">
        <x:v>sim</x:v>
      </x:c>
      <x:c r="T35" s="21" t="n">
        <x:v>46174</x:v>
      </x:c>
      <x:c r="U35" s="20" t="str">
        <x:v>não</x:v>
      </x:c>
      <x:c r="V35" s="20" t="str">
        <x:v>ANX_CRI1_PROSP_20240216 | CVM_FUNDOSNET_TERMOS_CRI_20260822 | CVM_CRI_2026_CLASSE</x:v>
      </x:c>
      <x:c r="W35" s="20" t="str">
        <x:v>Documentado</x:v>
      </x:c>
      <x:c r="X35" s="20" t="str">
        <x:v>Montante e termos documentais; saldo da última competência: n/d por conflito de unidade. Reconciliação usa Valor_Atualizado_Emissao; conflito de unidade permanece n/d.</x:v>
      </x:c>
    </x:row>
    <x:row r="36">
      <x:c r="A36" s="20" t="str">
        <x:v>CRI_K2</x:v>
      </x:c>
      <x:c r="B36" s="20" t="str">
        <x:v>Super Sênior</x:v>
      </x:c>
      <x:c r="C36" s="20" t="str">
        <x:v>Série 1</x:v>
      </x:c>
      <x:c r="D36" s="20" t="str">
        <x:v>BRKNSTCRI059</x:v>
      </x:c>
      <x:c r="E36" s="21" t="n">
        <x:v>45468</x:v>
      </x:c>
      <x:c r="F36" s="21" t="n">
        <x:v>47276</x:v>
      </x:c>
      <x:c r="G36" s="24" t="n">
        <x:v>59.4</x:v>
      </x:c>
      <x:c r="H36" s="25" t="n">
        <x:v>487500000</x:v>
      </x:c>
      <x:c r="I36" s="25" t="n">
        <x:v>487500000</x:v>
      </x:c>
      <x:c r="J36" s="25" t="n">
        <x:v>251034895</x:v>
      </x:c>
      <x:c r="K36" s="26" t="n">
        <x:v>0.65</x:v>
      </x:c>
      <x:c r="L36" s="20" t="str">
        <x:v>Pré</x:v>
      </x:c>
      <x:c r="M36" s="20" t="str">
        <x:v>13,1926% a.a.</x:v>
      </x:c>
      <x:c r="N36" s="20" t="str">
        <x:v>n/d</x:v>
      </x:c>
      <x:c r="O36" s="20" t="str">
        <x:v>n/d</x:v>
      </x:c>
      <x:c r="P36" s="20" t="str">
        <x:v>Fitch / Moody's</x:v>
      </x:c>
      <x:c r="Q36" s="20" t="str">
        <x:v>AA+ / AAA</x:v>
      </x:c>
      <x:c r="R36" s="20" t="str">
        <x:v>pública</x:v>
      </x:c>
      <x:c r="S36" s="20" t="str">
        <x:v>n/d</x:v>
      </x:c>
      <x:c r="T36" s="21" t="n">
        <x:v>46143</x:v>
      </x:c>
      <x:c r="U36" s="20" t="str">
        <x:v>sim</x:v>
      </x:c>
      <x:c r="V36" s="20" t="str">
        <x:v>ANX_CRI2_RATING_202406 | CVM_FUNDOSNET_TERMOS_CRI_20260822 | CVM_CRI_2026_CLASSE</x:v>
      </x:c>
      <x:c r="W36" s="20" t="str">
        <x:v>Documentado</x:v>
      </x:c>
      <x:c r="X36" s="20" t="str">
        <x:v>Montante e termos documentais; saldo da última competência: saldo agregado reconciliado. Reconciliação usa Valor_Atualizado_Emissao; conflito de unidade permanece n/d.</x:v>
      </x:c>
    </x:row>
    <x:row r="37">
      <x:c r="A37" s="20" t="str">
        <x:v>CRI_K2</x:v>
      </x:c>
      <x:c r="B37" s="20" t="str">
        <x:v>Sênior</x:v>
      </x:c>
      <x:c r="C37" s="20" t="str">
        <x:v>Série 2</x:v>
      </x:c>
      <x:c r="D37" s="20" t="str">
        <x:v>BRKNSTCRI067</x:v>
      </x:c>
      <x:c r="E37" s="21" t="n">
        <x:v>45468</x:v>
      </x:c>
      <x:c r="F37" s="21" t="n">
        <x:v>48372</x:v>
      </x:c>
      <x:c r="G37" s="24" t="n">
        <x:v>95.4</x:v>
      </x:c>
      <x:c r="H37" s="25" t="n">
        <x:v>135000000</x:v>
      </x:c>
      <x:c r="I37" s="25" t="n">
        <x:v>135000000</x:v>
      </x:c>
      <x:c r="J37" s="25" t="n">
        <x:v>72227698</x:v>
      </x:c>
      <x:c r="K37" s="26" t="n">
        <x:v>0.18</x:v>
      </x:c>
      <x:c r="L37" s="20" t="str">
        <x:v>Pré</x:v>
      </x:c>
      <x:c r="M37" s="20" t="str">
        <x:v>14,5663% a.a.</x:v>
      </x:c>
      <x:c r="N37" s="20" t="str">
        <x:v>n/d</x:v>
      </x:c>
      <x:c r="O37" s="20" t="str">
        <x:v>n/d</x:v>
      </x:c>
      <x:c r="P37" s="20" t="str">
        <x:v>Fitch / Moody's</x:v>
      </x:c>
      <x:c r="Q37" s="20" t="str">
        <x:v>A / AA-</x:v>
      </x:c>
      <x:c r="R37" s="20" t="str">
        <x:v>pública</x:v>
      </x:c>
      <x:c r="S37" s="20" t="str">
        <x:v>n/d</x:v>
      </x:c>
      <x:c r="T37" s="21" t="n">
        <x:v>46143</x:v>
      </x:c>
      <x:c r="U37" s="20" t="str">
        <x:v>sim</x:v>
      </x:c>
      <x:c r="V37" s="20" t="str">
        <x:v>ANX_CRI2_RATING_202406 | CVM_FUNDOSNET_TERMOS_CRI_20260822 | CVM_CRI_2026_CLASSE</x:v>
      </x:c>
      <x:c r="W37" s="20" t="str">
        <x:v>Documentado</x:v>
      </x:c>
      <x:c r="X37" s="20" t="str">
        <x:v>Montante e termos documentais; saldo da última competência: saldo agregado reconciliado. Reconciliação usa Valor_Atualizado_Emissao; conflito de unidade permanece n/d.</x:v>
      </x:c>
    </x:row>
    <x:row r="38">
      <x:c r="A38" s="20" t="str">
        <x:v>CRI_K2</x:v>
      </x:c>
      <x:c r="B38" s="20" t="str">
        <x:v>Mezanino</x:v>
      </x:c>
      <x:c r="C38" s="20" t="str">
        <x:v>Série 3</x:v>
      </x:c>
      <x:c r="D38" s="20" t="str">
        <x:v>BRKNSTCRI075</x:v>
      </x:c>
      <x:c r="E38" s="21" t="n">
        <x:v>45468</x:v>
      </x:c>
      <x:c r="F38" s="21" t="n">
        <x:v>49102</x:v>
      </x:c>
      <x:c r="G38" s="24" t="n">
        <x:v>119.4</x:v>
      </x:c>
      <x:c r="H38" s="25" t="n">
        <x:v>75000000</x:v>
      </x:c>
      <x:c r="I38" s="25" t="n">
        <x:v>75000000</x:v>
      </x:c>
      <x:c r="J38" s="25" t="n">
        <x:v>40262437</x:v>
      </x:c>
      <x:c r="K38" s="26" t="n">
        <x:v>0.1</x:v>
      </x:c>
      <x:c r="L38" s="20" t="str">
        <x:v>DI+</x:v>
      </x:c>
      <x:c r="M38" s="20" t="str">
        <x:v>DI + 6,00% a.a.</x:v>
      </x:c>
      <x:c r="N38" s="20" t="str">
        <x:v>n/d</x:v>
      </x:c>
      <x:c r="O38" s="20" t="str">
        <x:v>n/d</x:v>
      </x:c>
      <x:c r="P38" s="20" t="str">
        <x:v>n/d</x:v>
      </x:c>
      <x:c r="Q38" s="20" t="str">
        <x:v>n/d</x:v>
      </x:c>
      <x:c r="R38" s="20" t="str">
        <x:v>pública</x:v>
      </x:c>
      <x:c r="S38" s="20" t="str">
        <x:v>n/d</x:v>
      </x:c>
      <x:c r="T38" s="21" t="n">
        <x:v>46143</x:v>
      </x:c>
      <x:c r="U38" s="20" t="str">
        <x:v>sim</x:v>
      </x:c>
      <x:c r="V38" s="20" t="str">
        <x:v>ANX_CRI2_RATING_202406 | CVM_FUNDOSNET_TERMOS_CRI_20260822 | CVM_CRI_2026_CLASSE</x:v>
      </x:c>
      <x:c r="W38" s="20" t="str">
        <x:v>Documentado</x:v>
      </x:c>
      <x:c r="X38" s="20" t="str">
        <x:v>Montante e termos documentais; saldo da última competência: saldo agregado reconciliado. Reconciliação usa Valor_Atualizado_Emissao; conflito de unidade permanece n/d.</x:v>
      </x:c>
    </x:row>
    <x:row r="39">
      <x:c r="A39" s="20" t="str">
        <x:v>CRI_K2</x:v>
      </x:c>
      <x:c r="B39" s="20" t="str">
        <x:v>Subordinada</x:v>
      </x:c>
      <x:c r="C39" s="20" t="str">
        <x:v>Série 4</x:v>
      </x:c>
      <x:c r="D39" s="20" t="str">
        <x:v>BRKNSTCRI083</x:v>
      </x:c>
      <x:c r="E39" s="21" t="n">
        <x:v>45468</x:v>
      </x:c>
      <x:c r="F39" s="21" t="n">
        <x:v>49102</x:v>
      </x:c>
      <x:c r="G39" s="24" t="n">
        <x:v>119.4</x:v>
      </x:c>
      <x:c r="H39" s="25" t="n">
        <x:v>30000000</x:v>
      </x:c>
      <x:c r="I39" s="25" t="n">
        <x:v>30000000</x:v>
      </x:c>
      <x:c r="J39" s="25" t="n">
        <x:v>16140523</x:v>
      </x:c>
      <x:c r="K39" s="26" t="n">
        <x:v>0.04</x:v>
      </x:c>
      <x:c r="L39" s="20" t="str">
        <x:v>DI+</x:v>
      </x:c>
      <x:c r="M39" s="20" t="str">
        <x:v>DI + 10,00% a.a.</x:v>
      </x:c>
      <x:c r="N39" s="20" t="str">
        <x:v>n/d</x:v>
      </x:c>
      <x:c r="O39" s="20" t="str">
        <x:v>n/d</x:v>
      </x:c>
      <x:c r="P39" s="20" t="str">
        <x:v>n/d</x:v>
      </x:c>
      <x:c r="Q39" s="20" t="str">
        <x:v>n/d</x:v>
      </x:c>
      <x:c r="R39" s="20" t="str">
        <x:v>pública</x:v>
      </x:c>
      <x:c r="S39" s="20" t="str">
        <x:v>n/d</x:v>
      </x:c>
      <x:c r="T39" s="21" t="n">
        <x:v>46143</x:v>
      </x:c>
      <x:c r="U39" s="20" t="str">
        <x:v>sim</x:v>
      </x:c>
      <x:c r="V39" s="20" t="str">
        <x:v>ANX_CRI2_RATING_202406 | CVM_FUNDOSNET_TERMOS_CRI_20260822 | CVM_CRI_2026_CLASSE</x:v>
      </x:c>
      <x:c r="W39" s="20" t="str">
        <x:v>Documentado</x:v>
      </x:c>
      <x:c r="X39" s="20" t="str">
        <x:v>Montante e termos documentais; saldo da última competência: saldo agregado reconciliado. Reconciliação usa Valor_Atualizado_Emissao; conflito de unidade permanece n/d.</x:v>
      </x:c>
    </x:row>
    <x:row r="40">
      <x:c r="A40" s="20" t="str">
        <x:v>CRI_K2</x:v>
      </x:c>
      <x:c r="B40" s="20" t="str">
        <x:v>Júnior/Subordinada</x:v>
      </x:c>
      <x:c r="C40" s="20" t="str">
        <x:v>Série 5</x:v>
      </x:c>
      <x:c r="D40" s="20" t="str">
        <x:v>BRKNSTCRI091</x:v>
      </x:c>
      <x:c r="E40" s="21" t="n">
        <x:v>45468</x:v>
      </x:c>
      <x:c r="F40" s="21" t="str">
        <x:v>n/d</x:v>
      </x:c>
      <x:c r="G40" s="24" t="str">
        <x:v>n/d</x:v>
      </x:c>
      <x:c r="H40" s="25" t="n">
        <x:v>22500000</x:v>
      </x:c>
      <x:c r="I40" s="25" t="n">
        <x:v>22500000</x:v>
      </x:c>
      <x:c r="J40" s="25" t="n">
        <x:v>20035464</x:v>
      </x:c>
      <x:c r="K40" s="26" t="n">
        <x:v>0.03</x:v>
      </x:c>
      <x:c r="L40" s="20" t="str">
        <x:v>Residual</x:v>
      </x:c>
      <x:c r="M40" s="20" t="str">
        <x:v>n/d</x:v>
      </x:c>
      <x:c r="N40" s="20" t="str">
        <x:v>n/d</x:v>
      </x:c>
      <x:c r="O40" s="20" t="str">
        <x:v>n/d</x:v>
      </x:c>
      <x:c r="P40" s="20" t="str">
        <x:v>n/d</x:v>
      </x:c>
      <x:c r="Q40" s="20" t="str">
        <x:v>n/d</x:v>
      </x:c>
      <x:c r="R40" s="20" t="str">
        <x:v>privada</x:v>
      </x:c>
      <x:c r="S40" s="20" t="str">
        <x:v>sim</x:v>
      </x:c>
      <x:c r="T40" s="21" t="n">
        <x:v>46143</x:v>
      </x:c>
      <x:c r="U40" s="20" t="str">
        <x:v>sim</x:v>
      </x:c>
      <x:c r="V40" s="20" t="str">
        <x:v>ANX_CRI2_RATING_202406 | CVM_FUNDOSNET_TERMOS_CRI_20260822 | CVM_CRI_2026_CLASSE</x:v>
      </x:c>
      <x:c r="W40" s="20" t="str">
        <x:v>Documentado</x:v>
      </x:c>
      <x:c r="X40" s="20" t="str">
        <x:v>Montante e termos documentais; saldo da última competência: saldo agregado reconciliado. Reconciliação usa Valor_Atualizado_Emissao; conflito de unidade permanece n/d.</x:v>
      </x:c>
    </x:row>
    <x:row r="41">
      <x:c r="A41" s="20" t="str">
        <x:v>CRI_K3</x:v>
      </x:c>
      <x:c r="B41" s="20" t="str">
        <x:v>Super Sênior A</x:v>
      </x:c>
      <x:c r="C41" s="20" t="str">
        <x:v>Série 1</x:v>
      </x:c>
      <x:c r="D41" s="20" t="str">
        <x:v>BRKNSTCRI0A4</x:v>
      </x:c>
      <x:c r="E41" s="21" t="n">
        <x:v>45805</x:v>
      </x:c>
      <x:c r="F41" s="21" t="n">
        <x:v>47611</x:v>
      </x:c>
      <x:c r="G41" s="24" t="n">
        <x:v>59.3</x:v>
      </x:c>
      <x:c r="H41" s="25" t="n">
        <x:v>367500000</x:v>
      </x:c>
      <x:c r="I41" s="25" t="n">
        <x:v>367500000</x:v>
      </x:c>
      <x:c r="J41" s="25" t="n">
        <x:v>280220422</x:v>
      </x:c>
      <x:c r="K41" s="26" t="n">
        <x:v>0.49</x:v>
      </x:c>
      <x:c r="L41" s="20" t="str">
        <x:v>Pré</x:v>
      </x:c>
      <x:c r="M41" s="20" t="str">
        <x:v>n/d</x:v>
      </x:c>
      <x:c r="N41" s="20" t="str">
        <x:v>maior entre DI futuro + 1,00% e 15,50%</x:v>
      </x:c>
      <x:c r="O41" s="20" t="str">
        <x:v>n/d</x:v>
      </x:c>
      <x:c r="P41" s="20" t="str">
        <x:v>Moody's</x:v>
      </x:c>
      <x:c r="Q41" s="20" t="str">
        <x:v>AAA</x:v>
      </x:c>
      <x:c r="R41" s="20" t="str">
        <x:v>pública</x:v>
      </x:c>
      <x:c r="S41" s="20" t="str">
        <x:v>n/d</x:v>
      </x:c>
      <x:c r="T41" s="21" t="n">
        <x:v>46143</x:v>
      </x:c>
      <x:c r="U41" s="20" t="str">
        <x:v>sim</x:v>
      </x:c>
      <x:c r="V41" s="20" t="str">
        <x:v>ANX_CRI3_LAM_PREL_20250422 | CVM_FUNDOSNET_TERMOS_CRI_20260822 | CVM_CRI_2026_CLASSE</x:v>
      </x:c>
      <x:c r="W41" s="20" t="str">
        <x:v>Documentado</x:v>
      </x:c>
      <x:c r="X41" s="20" t="str">
        <x:v>Montante e termos documentais; saldo da última competência: saldo agregado reconciliado. Reconciliação usa Valor_Atualizado_Emissao; conflito de unidade permanece n/d.</x:v>
      </x:c>
    </x:row>
    <x:row r="42">
      <x:c r="A42" s="20" t="str">
        <x:v>CRI_K3</x:v>
      </x:c>
      <x:c r="B42" s="20" t="str">
        <x:v>Super Sênior B</x:v>
      </x:c>
      <x:c r="C42" s="20" t="str">
        <x:v>Série 2</x:v>
      </x:c>
      <x:c r="D42" s="20" t="str">
        <x:v>BRKNSTCRI0B2</x:v>
      </x:c>
      <x:c r="E42" s="21" t="n">
        <x:v>45805</x:v>
      </x:c>
      <x:c r="F42" s="21" t="n">
        <x:v>47611</x:v>
      </x:c>
      <x:c r="G42" s="24" t="n">
        <x:v>59.3</x:v>
      </x:c>
      <x:c r="H42" s="25" t="n">
        <x:v>120000000</x:v>
      </x:c>
      <x:c r="I42" s="25" t="n">
        <x:v>120000000</x:v>
      </x:c>
      <x:c r="J42" s="25" t="n">
        <x:v>91488714</x:v>
      </x:c>
      <x:c r="K42" s="26" t="n">
        <x:v>0.16</x:v>
      </x:c>
      <x:c r="L42" s="20" t="str">
        <x:v>DI%</x:v>
      </x:c>
      <x:c r="M42" s="20" t="str">
        <x:v>n/d</x:v>
      </x:c>
      <x:c r="N42" s="20" t="str">
        <x:v>105,50% do DI</x:v>
      </x:c>
      <x:c r="O42" s="20" t="str">
        <x:v>n/d</x:v>
      </x:c>
      <x:c r="P42" s="20" t="str">
        <x:v>Moody's</x:v>
      </x:c>
      <x:c r="Q42" s="20" t="str">
        <x:v>AAA</x:v>
      </x:c>
      <x:c r="R42" s="20" t="str">
        <x:v>pública</x:v>
      </x:c>
      <x:c r="S42" s="20" t="str">
        <x:v>n/d</x:v>
      </x:c>
      <x:c r="T42" s="21" t="n">
        <x:v>46143</x:v>
      </x:c>
      <x:c r="U42" s="20" t="str">
        <x:v>sim</x:v>
      </x:c>
      <x:c r="V42" s="20" t="str">
        <x:v>ANX_CRI3_LAM_PREL_20250422 | CVM_FUNDOSNET_TERMOS_CRI_20260822 | CVM_CRI_2026_CLASSE</x:v>
      </x:c>
      <x:c r="W42" s="20" t="str">
        <x:v>Documentado</x:v>
      </x:c>
      <x:c r="X42" s="20" t="str">
        <x:v>Montante e termos documentais; saldo da última competência: saldo agregado reconciliado. Reconciliação usa Valor_Atualizado_Emissao; conflito de unidade permanece n/d.</x:v>
      </x:c>
    </x:row>
    <x:row r="43">
      <x:c r="A43" s="20" t="str">
        <x:v>CRI_K3</x:v>
      </x:c>
      <x:c r="B43" s="20" t="str">
        <x:v>Sênior</x:v>
      </x:c>
      <x:c r="C43" s="20" t="str">
        <x:v>Série 3</x:v>
      </x:c>
      <x:c r="D43" s="20" t="str">
        <x:v>BRKNSTCRI0C0</x:v>
      </x:c>
      <x:c r="E43" s="21" t="n">
        <x:v>45805</x:v>
      </x:c>
      <x:c r="F43" s="21" t="n">
        <x:v>48705</x:v>
      </x:c>
      <x:c r="G43" s="24" t="n">
        <x:v>95.3</x:v>
      </x:c>
      <x:c r="H43" s="25" t="n">
        <x:v>135000000</x:v>
      </x:c>
      <x:c r="I43" s="25" t="n">
        <x:v>135000000</x:v>
      </x:c>
      <x:c r="J43" s="25" t="n">
        <x:v>106260503</x:v>
      </x:c>
      <x:c r="K43" s="26" t="n">
        <x:v>0.18</x:v>
      </x:c>
      <x:c r="L43" s="20" t="str">
        <x:v>Pré</x:v>
      </x:c>
      <x:c r="M43" s="20" t="str">
        <x:v>n/d</x:v>
      </x:c>
      <x:c r="N43" s="20" t="str">
        <x:v>maior entre DI futuro + 2,00% e 16,50%</x:v>
      </x:c>
      <x:c r="O43" s="20" t="str">
        <x:v>n/d</x:v>
      </x:c>
      <x:c r="P43" s="20" t="str">
        <x:v>Moody's</x:v>
      </x:c>
      <x:c r="Q43" s="20" t="str">
        <x:v>AA-</x:v>
      </x:c>
      <x:c r="R43" s="20" t="str">
        <x:v>pública</x:v>
      </x:c>
      <x:c r="S43" s="20" t="str">
        <x:v>n/d</x:v>
      </x:c>
      <x:c r="T43" s="21" t="n">
        <x:v>46143</x:v>
      </x:c>
      <x:c r="U43" s="20" t="str">
        <x:v>sim</x:v>
      </x:c>
      <x:c r="V43" s="20" t="str">
        <x:v>ANX_CRI3_LAM_PREL_20250422 | CVM_FUNDOSNET_TERMOS_CRI_20260822 | CVM_CRI_2026_CLASSE</x:v>
      </x:c>
      <x:c r="W43" s="20" t="str">
        <x:v>Documentado</x:v>
      </x:c>
      <x:c r="X43" s="20" t="str">
        <x:v>Montante e termos documentais; saldo da última competência: saldo agregado reconciliado. Reconciliação usa Valor_Atualizado_Emissao; conflito de unidade permanece n/d.</x:v>
      </x:c>
    </x:row>
    <x:row r="44">
      <x:c r="A44" s="20" t="str">
        <x:v>CRI_K3</x:v>
      </x:c>
      <x:c r="B44" s="20" t="str">
        <x:v>Mezanino</x:v>
      </x:c>
      <x:c r="C44" s="20" t="str">
        <x:v>Série 4</x:v>
      </x:c>
      <x:c r="D44" s="20" t="str">
        <x:v>BRKNSTCRI0D8</x:v>
      </x:c>
      <x:c r="E44" s="21" t="n">
        <x:v>45805</x:v>
      </x:c>
      <x:c r="F44" s="21" t="n">
        <x:v>49437</x:v>
      </x:c>
      <x:c r="G44" s="24" t="n">
        <x:v>119.3</x:v>
      </x:c>
      <x:c r="H44" s="25" t="n">
        <x:v>75000000</x:v>
      </x:c>
      <x:c r="I44" s="25" t="n">
        <x:v>75000000</x:v>
      </x:c>
      <x:c r="J44" s="25" t="n">
        <x:v>59166297</x:v>
      </x:c>
      <x:c r="K44" s="26" t="n">
        <x:v>0.1</x:v>
      </x:c>
      <x:c r="L44" s="20" t="str">
        <x:v>DI+</x:v>
      </x:c>
      <x:c r="M44" s="20" t="str">
        <x:v>n/d</x:v>
      </x:c>
      <x:c r="N44" s="20" t="str">
        <x:v>DI + 5,75%</x:v>
      </x:c>
      <x:c r="O44" s="20" t="str">
        <x:v>n/d</x:v>
      </x:c>
      <x:c r="P44" s="20" t="str">
        <x:v>n/d</x:v>
      </x:c>
      <x:c r="Q44" s="20" t="str">
        <x:v>n/d</x:v>
      </x:c>
      <x:c r="R44" s="20" t="str">
        <x:v>pública</x:v>
      </x:c>
      <x:c r="S44" s="20" t="str">
        <x:v>n/d</x:v>
      </x:c>
      <x:c r="T44" s="21" t="n">
        <x:v>46143</x:v>
      </x:c>
      <x:c r="U44" s="20" t="str">
        <x:v>sim</x:v>
      </x:c>
      <x:c r="V44" s="20" t="str">
        <x:v>ANX_CRI3_LAM_PREL_20250422 | CVM_FUNDOSNET_TERMOS_CRI_20260822 | CVM_CRI_2026_CLASSE</x:v>
      </x:c>
      <x:c r="W44" s="20" t="str">
        <x:v>Documentado</x:v>
      </x:c>
      <x:c r="X44" s="20" t="str">
        <x:v>Montante e termos documentais; saldo da última competência: saldo agregado reconciliado. Reconciliação usa Valor_Atualizado_Emissao; conflito de unidade permanece n/d.</x:v>
      </x:c>
    </x:row>
    <x:row r="45">
      <x:c r="A45" s="20" t="str">
        <x:v>CRI_K3</x:v>
      </x:c>
      <x:c r="B45" s="20" t="str">
        <x:v>Subordinada</x:v>
      </x:c>
      <x:c r="C45" s="20" t="str">
        <x:v>Série 5</x:v>
      </x:c>
      <x:c r="D45" s="20" t="str">
        <x:v>BRKNSTCRI0E6</x:v>
      </x:c>
      <x:c r="E45" s="21" t="n">
        <x:v>45805</x:v>
      </x:c>
      <x:c r="F45" s="21" t="n">
        <x:v>49437</x:v>
      </x:c>
      <x:c r="G45" s="24" t="n">
        <x:v>119.3</x:v>
      </x:c>
      <x:c r="H45" s="25" t="n">
        <x:v>30000000</x:v>
      </x:c>
      <x:c r="I45" s="25" t="n">
        <x:v>30000000</x:v>
      </x:c>
      <x:c r="J45" s="25" t="n">
        <x:v>25214984</x:v>
      </x:c>
      <x:c r="K45" s="26" t="n">
        <x:v>0.04</x:v>
      </x:c>
      <x:c r="L45" s="20" t="str">
        <x:v>DI+</x:v>
      </x:c>
      <x:c r="M45" s="20" t="str">
        <x:v>n/d</x:v>
      </x:c>
      <x:c r="N45" s="20" t="str">
        <x:v>DI + 10,00%</x:v>
      </x:c>
      <x:c r="O45" s="20" t="str">
        <x:v>n/d</x:v>
      </x:c>
      <x:c r="P45" s="20" t="str">
        <x:v>n/d</x:v>
      </x:c>
      <x:c r="Q45" s="20" t="str">
        <x:v>n/d</x:v>
      </x:c>
      <x:c r="R45" s="20" t="str">
        <x:v>pública</x:v>
      </x:c>
      <x:c r="S45" s="20" t="str">
        <x:v>n/d</x:v>
      </x:c>
      <x:c r="T45" s="21" t="n">
        <x:v>46143</x:v>
      </x:c>
      <x:c r="U45" s="20" t="str">
        <x:v>sim</x:v>
      </x:c>
      <x:c r="V45" s="20" t="str">
        <x:v>ANX_CRI3_LAM_PREL_20250422 | CVM_FUNDOSNET_TERMOS_CRI_20260822 | CVM_CRI_2026_CLASSE</x:v>
      </x:c>
      <x:c r="W45" s="20" t="str">
        <x:v>Documentado</x:v>
      </x:c>
      <x:c r="X45" s="20" t="str">
        <x:v>Montante e termos documentais; saldo da última competência: saldo agregado reconciliado. Reconciliação usa Valor_Atualizado_Emissao; conflito de unidade permanece n/d.</x:v>
      </x:c>
    </x:row>
    <x:row r="46">
      <x:c r="A46" s="20" t="str">
        <x:v>CRI_K3</x:v>
      </x:c>
      <x:c r="B46" s="20" t="str">
        <x:v>Júnior/Subordinada</x:v>
      </x:c>
      <x:c r="C46" s="20" t="str">
        <x:v>Série 6</x:v>
      </x:c>
      <x:c r="D46" s="20" t="str">
        <x:v>BRKNSTCRI0F3</x:v>
      </x:c>
      <x:c r="E46" s="21" t="n">
        <x:v>45805</x:v>
      </x:c>
      <x:c r="F46" s="21" t="n">
        <x:v>50168</x:v>
      </x:c>
      <x:c r="G46" s="24" t="n">
        <x:v>143.3</x:v>
      </x:c>
      <x:c r="H46" s="25" t="n">
        <x:v>22500000</x:v>
      </x:c>
      <x:c r="I46" s="25" t="n">
        <x:v>22500000</x:v>
      </x:c>
      <x:c r="J46" s="25" t="n">
        <x:v>25502014</x:v>
      </x:c>
      <x:c r="K46" s="26" t="n">
        <x:v>0.03</x:v>
      </x:c>
      <x:c r="L46" s="20" t="str">
        <x:v>Residual</x:v>
      </x:c>
      <x:c r="M46" s="20" t="str">
        <x:v>n/d</x:v>
      </x:c>
      <x:c r="N46" s="20" t="str">
        <x:v>n/d</x:v>
      </x:c>
      <x:c r="O46" s="20" t="str">
        <x:v>n/d</x:v>
      </x:c>
      <x:c r="P46" s="20" t="str">
        <x:v>n/d</x:v>
      </x:c>
      <x:c r="Q46" s="20" t="str">
        <x:v>n/d</x:v>
      </x:c>
      <x:c r="R46" s="20" t="str">
        <x:v>privada</x:v>
      </x:c>
      <x:c r="S46" s="20" t="str">
        <x:v>sim</x:v>
      </x:c>
      <x:c r="T46" s="21" t="n">
        <x:v>46143</x:v>
      </x:c>
      <x:c r="U46" s="20" t="str">
        <x:v>sim</x:v>
      </x:c>
      <x:c r="V46" s="20" t="str">
        <x:v>ANX_CRI3_LAM_PREL_20250422 | CVM_FUNDOSNET_TERMOS_CRI_20260822 | CVM_CRI_2026_CLASSE</x:v>
      </x:c>
      <x:c r="W46" s="20" t="str">
        <x:v>Documentado</x:v>
      </x:c>
      <x:c r="X46" s="20" t="str">
        <x:v>Montante e termos documentais; saldo da última competência: saldo agregado reconciliado. Reconciliação usa Valor_Atualizado_Emissao; conflito de unidade permanece n/d.</x:v>
      </x:c>
    </x:row>
    <x:row r="47">
      <x:c r="A47" s="20" t="str">
        <x:v>CRI_K4</x:v>
      </x:c>
      <x:c r="B47" s="20" t="str">
        <x:v>Super Sênior A</x:v>
      </x:c>
      <x:c r="C47" s="20" t="str">
        <x:v>Série 1</x:v>
      </x:c>
      <x:c r="D47" s="20" t="str">
        <x:v>BRKNSTCRI0G1</x:v>
      </x:c>
      <x:c r="E47" s="21" t="n">
        <x:v>45928</x:v>
      </x:c>
      <x:c r="F47" s="21" t="n">
        <x:v>47746</x:v>
      </x:c>
      <x:c r="G47" s="24" t="n">
        <x:v>59.7</x:v>
      </x:c>
      <x:c r="H47" s="25" t="n">
        <x:v>195000000</x:v>
      </x:c>
      <x:c r="I47" s="25" t="n">
        <x:v>195000000</x:v>
      </x:c>
      <x:c r="J47" s="25" t="str">
        <x:v>n/d</x:v>
      </x:c>
      <x:c r="K47" s="26" t="n">
        <x:v>0.43333333333333335</x:v>
      </x:c>
      <x:c r="L47" s="20" t="str">
        <x:v>Pré</x:v>
      </x:c>
      <x:c r="M47" s="20" t="str">
        <x:v>14,2216% a.a.</x:v>
      </x:c>
      <x:c r="N47" s="20" t="str">
        <x:v>n/d</x:v>
      </x:c>
      <x:c r="O47" s="20" t="str">
        <x:v>n/d</x:v>
      </x:c>
      <x:c r="P47" s="20" t="str">
        <x:v>Moody's</x:v>
      </x:c>
      <x:c r="Q47" s="20" t="str">
        <x:v>AAA</x:v>
      </x:c>
      <x:c r="R47" s="20" t="str">
        <x:v>pública</x:v>
      </x:c>
      <x:c r="S47" s="20" t="str">
        <x:v>n/d</x:v>
      </x:c>
      <x:c r="T47" s="21" t="n">
        <x:v>46143</x:v>
      </x:c>
      <x:c r="U47" s="20" t="str">
        <x:v>sim</x:v>
      </x:c>
      <x:c r="V47" s="20" t="str">
        <x:v>ANX_CRI4_INICIO_20250929 | CVM_FUNDOSNET_TERMOS_CRI_20260822 | CVM_CRI_2026_CLASSE</x:v>
      </x:c>
      <x:c r="W47" s="20" t="str">
        <x:v>Documentado</x:v>
      </x:c>
      <x:c r="X47" s="20" t="str">
        <x:v>Montante e termos documentais; saldo da última competência: n/d por conflito de unidade. Reconciliação usa Valor_Atualizado_Emissao; conflito de unidade permanece n/d.</x:v>
      </x:c>
    </x:row>
    <x:row r="48">
      <x:c r="A48" s="20" t="str">
        <x:v>CRI_K4</x:v>
      </x:c>
      <x:c r="B48" s="20" t="str">
        <x:v>Super Sênior B</x:v>
      </x:c>
      <x:c r="C48" s="20" t="str">
        <x:v>Série 2</x:v>
      </x:c>
      <x:c r="D48" s="20" t="str">
        <x:v>BRKNSTCRI0K3</x:v>
      </x:c>
      <x:c r="E48" s="21" t="n">
        <x:v>45928</x:v>
      </x:c>
      <x:c r="F48" s="21" t="n">
        <x:v>47746</x:v>
      </x:c>
      <x:c r="G48" s="24" t="n">
        <x:v>59.7</x:v>
      </x:c>
      <x:c r="H48" s="25" t="n">
        <x:v>97500000</x:v>
      </x:c>
      <x:c r="I48" s="25" t="n">
        <x:v>97500000</x:v>
      </x:c>
      <x:c r="J48" s="25" t="str">
        <x:v>n/d</x:v>
      </x:c>
      <x:c r="K48" s="26" t="n">
        <x:v>0.21666666666666667</x:v>
      </x:c>
      <x:c r="L48" s="20" t="str">
        <x:v>Pré</x:v>
      </x:c>
      <x:c r="M48" s="20" t="str">
        <x:v>14,2216% a.a.</x:v>
      </x:c>
      <x:c r="N48" s="20" t="str">
        <x:v>n/d</x:v>
      </x:c>
      <x:c r="O48" s="20" t="str">
        <x:v>n/d</x:v>
      </x:c>
      <x:c r="P48" s="20" t="str">
        <x:v>Moody's</x:v>
      </x:c>
      <x:c r="Q48" s="20" t="str">
        <x:v>AAA</x:v>
      </x:c>
      <x:c r="R48" s="20" t="str">
        <x:v>pública</x:v>
      </x:c>
      <x:c r="S48" s="20" t="str">
        <x:v>n/d</x:v>
      </x:c>
      <x:c r="T48" s="21" t="n">
        <x:v>46143</x:v>
      </x:c>
      <x:c r="U48" s="20" t="str">
        <x:v>sim</x:v>
      </x:c>
      <x:c r="V48" s="20" t="str">
        <x:v>ANX_CRI4_INICIO_20250929 | CVM_FUNDOSNET_TERMOS_CRI_20260822 | CVM_CRI_2026_CLASSE</x:v>
      </x:c>
      <x:c r="W48" s="20" t="str">
        <x:v>Documentado</x:v>
      </x:c>
      <x:c r="X48" s="20" t="str">
        <x:v>Montante e termos documentais; saldo da última competência: n/d por conflito de unidade. Reconciliação usa Valor_Atualizado_Emissao; conflito de unidade permanece n/d.</x:v>
      </x:c>
    </x:row>
    <x:row r="49">
      <x:c r="A49" s="20" t="str">
        <x:v>CRI_K4</x:v>
      </x:c>
      <x:c r="B49" s="20" t="str">
        <x:v>Sênior A</x:v>
      </x:c>
      <x:c r="C49" s="20" t="str">
        <x:v>Série 3</x:v>
      </x:c>
      <x:c r="D49" s="20" t="str">
        <x:v>BRKNSTCRI0H9</x:v>
      </x:c>
      <x:c r="E49" s="21" t="n">
        <x:v>45928</x:v>
      </x:c>
      <x:c r="F49" s="21" t="n">
        <x:v>48844</x:v>
      </x:c>
      <x:c r="G49" s="24" t="n">
        <x:v>95.8</x:v>
      </x:c>
      <x:c r="H49" s="25" t="n">
        <x:v>54000000</x:v>
      </x:c>
      <x:c r="I49" s="25" t="n">
        <x:v>54000000</x:v>
      </x:c>
      <x:c r="J49" s="25" t="str">
        <x:v>n/d</x:v>
      </x:c>
      <x:c r="K49" s="26" t="n">
        <x:v>0.12</x:v>
      </x:c>
      <x:c r="L49" s="20" t="str">
        <x:v>Pré</x:v>
      </x:c>
      <x:c r="M49" s="20" t="str">
        <x:v>15,3565% a.a.</x:v>
      </x:c>
      <x:c r="N49" s="20" t="str">
        <x:v>n/d</x:v>
      </x:c>
      <x:c r="O49" s="20" t="str">
        <x:v>n/d</x:v>
      </x:c>
      <x:c r="P49" s="20" t="str">
        <x:v>Moody's</x:v>
      </x:c>
      <x:c r="Q49" s="20" t="str">
        <x:v>AA-</x:v>
      </x:c>
      <x:c r="R49" s="20" t="str">
        <x:v>pública</x:v>
      </x:c>
      <x:c r="S49" s="20" t="str">
        <x:v>n/d</x:v>
      </x:c>
      <x:c r="T49" s="21" t="n">
        <x:v>46143</x:v>
      </x:c>
      <x:c r="U49" s="20" t="str">
        <x:v>sim</x:v>
      </x:c>
      <x:c r="V49" s="20" t="str">
        <x:v>ANX_CRI4_INICIO_20250929 | CVM_FUNDOSNET_TERMOS_CRI_20260822 | CVM_CRI_2026_CLASSE</x:v>
      </x:c>
      <x:c r="W49" s="20" t="str">
        <x:v>Documentado</x:v>
      </x:c>
      <x:c r="X49" s="20" t="str">
        <x:v>Montante e termos documentais; saldo da última competência: n/d por conflito de unidade. Reconciliação usa Valor_Atualizado_Emissao; conflito de unidade permanece n/d.</x:v>
      </x:c>
    </x:row>
    <x:row r="50">
      <x:c r="A50" s="20" t="str">
        <x:v>CRI_K4</x:v>
      </x:c>
      <x:c r="B50" s="20" t="str">
        <x:v>Sênior B</x:v>
      </x:c>
      <x:c r="C50" s="20" t="str">
        <x:v>Série 4</x:v>
      </x:c>
      <x:c r="D50" s="20" t="str">
        <x:v>BRKNSTCRI0M9</x:v>
      </x:c>
      <x:c r="E50" s="21" t="n">
        <x:v>45928</x:v>
      </x:c>
      <x:c r="F50" s="21" t="n">
        <x:v>48844</x:v>
      </x:c>
      <x:c r="G50" s="24" t="n">
        <x:v>95.8</x:v>
      </x:c>
      <x:c r="H50" s="25" t="n">
        <x:v>27000000</x:v>
      </x:c>
      <x:c r="I50" s="25" t="n">
        <x:v>27000000</x:v>
      </x:c>
      <x:c r="J50" s="25" t="str">
        <x:v>n/d</x:v>
      </x:c>
      <x:c r="K50" s="26" t="n">
        <x:v>0.06</x:v>
      </x:c>
      <x:c r="L50" s="20" t="str">
        <x:v>Pré</x:v>
      </x:c>
      <x:c r="M50" s="20" t="str">
        <x:v>15,3565% a.a.</x:v>
      </x:c>
      <x:c r="N50" s="20" t="str">
        <x:v>n/d</x:v>
      </x:c>
      <x:c r="O50" s="20" t="str">
        <x:v>n/d</x:v>
      </x:c>
      <x:c r="P50" s="20" t="str">
        <x:v>Moody's</x:v>
      </x:c>
      <x:c r="Q50" s="20" t="str">
        <x:v>AA-</x:v>
      </x:c>
      <x:c r="R50" s="20" t="str">
        <x:v>pública</x:v>
      </x:c>
      <x:c r="S50" s="20" t="str">
        <x:v>n/d</x:v>
      </x:c>
      <x:c r="T50" s="21" t="n">
        <x:v>46143</x:v>
      </x:c>
      <x:c r="U50" s="20" t="str">
        <x:v>sim</x:v>
      </x:c>
      <x:c r="V50" s="20" t="str">
        <x:v>ANX_CRI4_INICIO_20250929 | CVM_FUNDOSNET_TERMOS_CRI_20260822 | CVM_CRI_2026_CLASSE</x:v>
      </x:c>
      <x:c r="W50" s="20" t="str">
        <x:v>Documentado</x:v>
      </x:c>
      <x:c r="X50" s="20" t="str">
        <x:v>Montante e termos documentais; saldo da última competência: n/d por conflito de unidade. Reconciliação usa Valor_Atualizado_Emissao; conflito de unidade permanece n/d.</x:v>
      </x:c>
    </x:row>
    <x:row r="51">
      <x:c r="A51" s="20" t="str">
        <x:v>CRI_K4</x:v>
      </x:c>
      <x:c r="B51" s="20" t="str">
        <x:v>Mezanino</x:v>
      </x:c>
      <x:c r="C51" s="20" t="str">
        <x:v>Série 5</x:v>
      </x:c>
      <x:c r="D51" s="20" t="str">
        <x:v>BRKNSTCRI0I7</x:v>
      </x:c>
      <x:c r="E51" s="21" t="n">
        <x:v>45928</x:v>
      </x:c>
      <x:c r="F51" s="21" t="n">
        <x:v>49576</x:v>
      </x:c>
      <x:c r="G51" s="24" t="n">
        <x:v>119.9</x:v>
      </x:c>
      <x:c r="H51" s="25" t="n">
        <x:v>45000000</x:v>
      </x:c>
      <x:c r="I51" s="25" t="n">
        <x:v>45000000</x:v>
      </x:c>
      <x:c r="J51" s="25" t="str">
        <x:v>n/d</x:v>
      </x:c>
      <x:c r="K51" s="26" t="n">
        <x:v>0.1</x:v>
      </x:c>
      <x:c r="L51" s="20" t="str">
        <x:v>DI+</x:v>
      </x:c>
      <x:c r="M51" s="20" t="str">
        <x:v>DI + 5,50% a.a.</x:v>
      </x:c>
      <x:c r="N51" s="20" t="str">
        <x:v>n/d</x:v>
      </x:c>
      <x:c r="O51" s="20" t="str">
        <x:v>n/d</x:v>
      </x:c>
      <x:c r="P51" s="20" t="str">
        <x:v>n/d</x:v>
      </x:c>
      <x:c r="Q51" s="20" t="str">
        <x:v>n/d</x:v>
      </x:c>
      <x:c r="R51" s="20" t="str">
        <x:v>pública</x:v>
      </x:c>
      <x:c r="S51" s="20" t="str">
        <x:v>n/d</x:v>
      </x:c>
      <x:c r="T51" s="21" t="n">
        <x:v>46143</x:v>
      </x:c>
      <x:c r="U51" s="20" t="str">
        <x:v>sim</x:v>
      </x:c>
      <x:c r="V51" s="20" t="str">
        <x:v>ANX_CRI4_INICIO_20250929 | CVM_FUNDOSNET_TERMOS_CRI_20260822 | CVM_CRI_2026_CLASSE</x:v>
      </x:c>
      <x:c r="W51" s="20" t="str">
        <x:v>Documentado</x:v>
      </x:c>
      <x:c r="X51" s="20" t="str">
        <x:v>Montante e termos documentais; saldo da última competência: n/d por conflito de unidade. Reconciliação usa Valor_Atualizado_Emissao; conflito de unidade permanece n/d.</x:v>
      </x:c>
    </x:row>
    <x:row r="52">
      <x:c r="A52" s="20" t="str">
        <x:v>CRI_K4</x:v>
      </x:c>
      <x:c r="B52" s="20" t="str">
        <x:v>Subordinada</x:v>
      </x:c>
      <x:c r="C52" s="20" t="str">
        <x:v>Série 6</x:v>
      </x:c>
      <x:c r="D52" s="20" t="str">
        <x:v>BRKNSTCRI0J5</x:v>
      </x:c>
      <x:c r="E52" s="21" t="n">
        <x:v>45928</x:v>
      </x:c>
      <x:c r="F52" s="21" t="n">
        <x:v>49576</x:v>
      </x:c>
      <x:c r="G52" s="24" t="n">
        <x:v>119.9</x:v>
      </x:c>
      <x:c r="H52" s="25" t="n">
        <x:v>18000000</x:v>
      </x:c>
      <x:c r="I52" s="25" t="n">
        <x:v>18000000</x:v>
      </x:c>
      <x:c r="J52" s="25" t="str">
        <x:v>n/d</x:v>
      </x:c>
      <x:c r="K52" s="26" t="n">
        <x:v>0.04</x:v>
      </x:c>
      <x:c r="L52" s="20" t="str">
        <x:v>DI+</x:v>
      </x:c>
      <x:c r="M52" s="20" t="str">
        <x:v>DI + 10,00% a.a.</x:v>
      </x:c>
      <x:c r="N52" s="20" t="str">
        <x:v>n/d</x:v>
      </x:c>
      <x:c r="O52" s="20" t="str">
        <x:v>n/d</x:v>
      </x:c>
      <x:c r="P52" s="20" t="str">
        <x:v>n/d</x:v>
      </x:c>
      <x:c r="Q52" s="20" t="str">
        <x:v>n/d</x:v>
      </x:c>
      <x:c r="R52" s="20" t="str">
        <x:v>pública</x:v>
      </x:c>
      <x:c r="S52" s="20" t="str">
        <x:v>n/d</x:v>
      </x:c>
      <x:c r="T52" s="21" t="n">
        <x:v>46143</x:v>
      </x:c>
      <x:c r="U52" s="20" t="str">
        <x:v>sim</x:v>
      </x:c>
      <x:c r="V52" s="20" t="str">
        <x:v>ANX_CRI4_INICIO_20250929 | CVM_FUNDOSNET_TERMOS_CRI_20260822 | CVM_CRI_2026_CLASSE</x:v>
      </x:c>
      <x:c r="W52" s="20" t="str">
        <x:v>Documentado</x:v>
      </x:c>
      <x:c r="X52" s="20" t="str">
        <x:v>Montante e termos documentais; saldo da última competência: n/d por conflito de unidade. Reconciliação usa Valor_Atualizado_Emissao; conflito de unidade permanece n/d.</x:v>
      </x:c>
    </x:row>
    <x:row r="53">
      <x:c r="A53" s="20" t="str">
        <x:v>CRI_K4</x:v>
      </x:c>
      <x:c r="B53" s="20" t="str">
        <x:v>Júnior/Subordinada</x:v>
      </x:c>
      <x:c r="C53" s="20" t="str">
        <x:v>Série 7</x:v>
      </x:c>
      <x:c r="D53" s="20" t="str">
        <x:v>BRKNSTCRI0N7</x:v>
      </x:c>
      <x:c r="E53" s="21" t="n">
        <x:v>45928</x:v>
      </x:c>
      <x:c r="F53" s="21" t="n">
        <x:v>50305</x:v>
      </x:c>
      <x:c r="G53" s="24" t="n">
        <x:v>143.8</x:v>
      </x:c>
      <x:c r="H53" s="25" t="n">
        <x:v>13500000</x:v>
      </x:c>
      <x:c r="I53" s="25" t="n">
        <x:v>13500000</x:v>
      </x:c>
      <x:c r="J53" s="25" t="str">
        <x:v>n/d</x:v>
      </x:c>
      <x:c r="K53" s="26" t="n">
        <x:v>0.03</x:v>
      </x:c>
      <x:c r="L53" s="20" t="str">
        <x:v>Pré + residual</x:v>
      </x:c>
      <x:c r="M53" s="20" t="str">
        <x:v>13,2480% a.a. + residual</x:v>
      </x:c>
      <x:c r="N53" s="20" t="str">
        <x:v>n/d</x:v>
      </x:c>
      <x:c r="O53" s="20" t="str">
        <x:v>n/d</x:v>
      </x:c>
      <x:c r="P53" s="20" t="str">
        <x:v>n/d</x:v>
      </x:c>
      <x:c r="Q53" s="20" t="str">
        <x:v>n/d</x:v>
      </x:c>
      <x:c r="R53" s="20" t="str">
        <x:v>privada</x:v>
      </x:c>
      <x:c r="S53" s="20" t="str">
        <x:v>sim</x:v>
      </x:c>
      <x:c r="T53" s="21" t="n">
        <x:v>46143</x:v>
      </x:c>
      <x:c r="U53" s="20" t="str">
        <x:v>sim</x:v>
      </x:c>
      <x:c r="V53" s="20" t="str">
        <x:v>ANX_CRI4_INICIO_20250929 | CVM_FUNDOSNET_TERMOS_CRI_20260822 | CVM_CRI_2026_CLASSE</x:v>
      </x:c>
      <x:c r="W53" s="20" t="str">
        <x:v>Documentado</x:v>
      </x:c>
      <x:c r="X53" s="20" t="str">
        <x:v>Montante e termos documentais; saldo da última competência: n/d por conflito de unidade. Reconciliação usa Valor_Atualizado_Emissao; conflito de unidade permanece n/d.</x:v>
      </x:c>
    </x:row>
    <x:row r="54">
      <x:c r="A54" s="20" t="str">
        <x:v>CRI_V174</x:v>
      </x:c>
      <x:c r="B54" s="20" t="str">
        <x:v>Super Sênior A</x:v>
      </x:c>
      <x:c r="C54" s="20" t="str">
        <x:v>Série 1</x:v>
      </x:c>
      <x:c r="D54" s="20" t="str">
        <x:v>BRVERTCRIDZ7</x:v>
      </x:c>
      <x:c r="E54" s="21" t="n">
        <x:v>46162</x:v>
      </x:c>
      <x:c r="F54" s="21" t="n">
        <x:v>47988</x:v>
      </x:c>
      <x:c r="G54" s="24" t="n">
        <x:v>60</x:v>
      </x:c>
      <x:c r="H54" s="25" t="n">
        <x:v>103870000</x:v>
      </x:c>
      <x:c r="I54" s="25" t="n">
        <x:v>103870000</x:v>
      </x:c>
      <x:c r="J54" s="25" t="str">
        <x:v>n/d</x:v>
      </x:c>
      <x:c r="K54" s="26" t="n">
        <x:v>0.22071643953686124</x:v>
      </x:c>
      <x:c r="L54" s="20" t="str">
        <x:v>Pré</x:v>
      </x:c>
      <x:c r="M54" s="20" t="str">
        <x:v>14,81% a.a.</x:v>
      </x:c>
      <x:c r="N54" s="20" t="str">
        <x:v>maior entre DI futuro + 0,65% e 14,00%</x:v>
      </x:c>
      <x:c r="O54" s="20" t="str">
        <x:v>n/d</x:v>
      </x:c>
      <x:c r="P54" s="20" t="str">
        <x:v>Moody's</x:v>
      </x:c>
      <x:c r="Q54" s="20" t="str">
        <x:v>AAA</x:v>
      </x:c>
      <x:c r="R54" s="20" t="str">
        <x:v>pública</x:v>
      </x:c>
      <x:c r="S54" s="20" t="str">
        <x:v>n/d</x:v>
      </x:c>
      <x:c r="T54" s="21" t="n">
        <x:v>46174</x:v>
      </x:c>
      <x:c r="U54" s="20" t="str">
        <x:v>sim</x:v>
      </x:c>
      <x:c r="V54" s="20" t="str">
        <x:v>ANX_CRIV_LAM_PREL_20260417 | CVM_FUNDOSNET_TERMOS_CRI_20260822 | CVM_CRI_2026_CLASSE</x:v>
      </x:c>
      <x:c r="W54" s="20" t="str">
        <x:v>Documentado</x:v>
      </x:c>
      <x:c r="X54" s="20" t="str">
        <x:v>Montante e termos documentais; saldo da última competência: n/d. Reconciliação usa Valor_Atualizado_Emissao; conflito de unidade permanece n/d.</x:v>
      </x:c>
    </x:row>
    <x:row r="55">
      <x:c r="A55" s="20" t="str">
        <x:v>CRI_V174</x:v>
      </x:c>
      <x:c r="B55" s="20" t="str">
        <x:v>Super Sênior B</x:v>
      </x:c>
      <x:c r="C55" s="20" t="str">
        <x:v>Série 2</x:v>
      </x:c>
      <x:c r="D55" s="20" t="str">
        <x:v>BRVERTCRIE08</x:v>
      </x:c>
      <x:c r="E55" s="21" t="n">
        <x:v>46162</x:v>
      </x:c>
      <x:c r="F55" s="21" t="n">
        <x:v>47988</x:v>
      </x:c>
      <x:c r="G55" s="24" t="n">
        <x:v>60</x:v>
      </x:c>
      <x:c r="H55" s="25" t="n">
        <x:v>225550000</x:v>
      </x:c>
      <x:c r="I55" s="25" t="n">
        <x:v>225550000</x:v>
      </x:c>
      <x:c r="J55" s="25" t="str">
        <x:v>n/d</x:v>
      </x:c>
      <x:c r="K55" s="26" t="n">
        <x:v>0.4792778755900554</x:v>
      </x:c>
      <x:c r="L55" s="20" t="str">
        <x:v>DI%</x:v>
      </x:c>
      <x:c r="M55" s="20" t="str">
        <x:v>104,00% do DI</x:v>
      </x:c>
      <x:c r="N55" s="20" t="str">
        <x:v>104,00% do DI</x:v>
      </x:c>
      <x:c r="O55" s="20" t="str">
        <x:v>n/d</x:v>
      </x:c>
      <x:c r="P55" s="20" t="str">
        <x:v>Moody's</x:v>
      </x:c>
      <x:c r="Q55" s="20" t="str">
        <x:v>AAA</x:v>
      </x:c>
      <x:c r="R55" s="20" t="str">
        <x:v>pública</x:v>
      </x:c>
      <x:c r="S55" s="20" t="str">
        <x:v>n/d</x:v>
      </x:c>
      <x:c r="T55" s="21" t="n">
        <x:v>46174</x:v>
      </x:c>
      <x:c r="U55" s="20" t="str">
        <x:v>sim</x:v>
      </x:c>
      <x:c r="V55" s="20" t="str">
        <x:v>ANX_CRIV_LAM_PREL_20260417 | CVM_FUNDOSNET_TERMOS_CRI_20260822 | CVM_CRI_2026_CLASSE</x:v>
      </x:c>
      <x:c r="W55" s="20" t="str">
        <x:v>Documentado</x:v>
      </x:c>
      <x:c r="X55" s="20" t="str">
        <x:v>Montante e termos documentais; saldo da última competência: n/d. Reconciliação usa Valor_Atualizado_Emissao; conflito de unidade permanece n/d.</x:v>
      </x:c>
    </x:row>
    <x:row r="56">
      <x:c r="A56" s="20" t="str">
        <x:v>CRI_V174</x:v>
      </x:c>
      <x:c r="B56" s="20" t="str">
        <x:v>Sênior</x:v>
      </x:c>
      <x:c r="C56" s="20" t="str">
        <x:v>Série 3</x:v>
      </x:c>
      <x:c r="D56" s="20" t="str">
        <x:v>BRVERTCRIE16</x:v>
      </x:c>
      <x:c r="E56" s="21" t="n">
        <x:v>46162</x:v>
      </x:c>
      <x:c r="F56" s="21" t="n">
        <x:v>49086</x:v>
      </x:c>
      <x:c r="G56" s="24" t="n">
        <x:v>96.1</x:v>
      </x:c>
      <x:c r="H56" s="25" t="n">
        <x:v>70590000</x:v>
      </x:c>
      <x:c r="I56" s="25" t="n">
        <x:v>70590000</x:v>
      </x:c>
      <x:c r="J56" s="25" t="str">
        <x:v>n/d</x:v>
      </x:c>
      <x:c r="K56" s="26" t="n">
        <x:v>0.1499987818129107</x:v>
      </x:c>
      <x:c r="L56" s="20" t="str">
        <x:v>Pré</x:v>
      </x:c>
      <x:c r="M56" s="20" t="str">
        <x:v>15,78% a.a.</x:v>
      </x:c>
      <x:c r="N56" s="20" t="str">
        <x:v>maior entre DI futuro + 1,50% e 14,95%</x:v>
      </x:c>
      <x:c r="O56" s="20" t="str">
        <x:v>n/d</x:v>
      </x:c>
      <x:c r="P56" s="20" t="str">
        <x:v>Moody's</x:v>
      </x:c>
      <x:c r="Q56" s="20" t="str">
        <x:v>AA-</x:v>
      </x:c>
      <x:c r="R56" s="20" t="str">
        <x:v>pública</x:v>
      </x:c>
      <x:c r="S56" s="20" t="str">
        <x:v>n/d</x:v>
      </x:c>
      <x:c r="T56" s="21" t="n">
        <x:v>46174</x:v>
      </x:c>
      <x:c r="U56" s="20" t="str">
        <x:v>sim</x:v>
      </x:c>
      <x:c r="V56" s="20" t="str">
        <x:v>ANX_CRIV_LAM_PREL_20260417 | CVM_FUNDOSNET_TERMOS_CRI_20260822 | CVM_CRI_2026_CLASSE</x:v>
      </x:c>
      <x:c r="W56" s="20" t="str">
        <x:v>Documentado</x:v>
      </x:c>
      <x:c r="X56" s="20" t="str">
        <x:v>Montante e termos documentais; saldo da última competência: n/d. Reconciliação usa Valor_Atualizado_Emissao; conflito de unidade permanece n/d.</x:v>
      </x:c>
    </x:row>
    <x:row r="57">
      <x:c r="A57" s="20" t="str">
        <x:v>CRI_V174</x:v>
      </x:c>
      <x:c r="B57" s="20" t="str">
        <x:v>Mezanino</x:v>
      </x:c>
      <x:c r="C57" s="20" t="str">
        <x:v>Série 4</x:v>
      </x:c>
      <x:c r="D57" s="20" t="str">
        <x:v>BRVERTCRIE24</x:v>
      </x:c>
      <x:c r="E57" s="21" t="n">
        <x:v>46162</x:v>
      </x:c>
      <x:c r="F57" s="21" t="n">
        <x:v>49815</x:v>
      </x:c>
      <x:c r="G57" s="24" t="n">
        <x:v>120</x:v>
      </x:c>
      <x:c r="H57" s="25" t="n">
        <x:v>37647000</x:v>
      </x:c>
      <x:c r="I57" s="25" t="n">
        <x:v>37647000</x:v>
      </x:c>
      <x:c r="J57" s="25" t="str">
        <x:v>n/d</x:v>
      </x:c>
      <x:c r="K57" s="26" t="n">
        <x:v>0.07999722537059993</x:v>
      </x:c>
      <x:c r="L57" s="20" t="str">
        <x:v>DI+</x:v>
      </x:c>
      <x:c r="M57" s="20" t="str">
        <x:v>DI + 5,50% a.a.</x:v>
      </x:c>
      <x:c r="N57" s="20" t="str">
        <x:v>DI + 5,50%</x:v>
      </x:c>
      <x:c r="O57" s="20" t="str">
        <x:v>n/d</x:v>
      </x:c>
      <x:c r="P57" s="20" t="str">
        <x:v>n/d</x:v>
      </x:c>
      <x:c r="Q57" s="20" t="str">
        <x:v>n/d</x:v>
      </x:c>
      <x:c r="R57" s="20" t="str">
        <x:v>pública</x:v>
      </x:c>
      <x:c r="S57" s="20" t="str">
        <x:v>n/d</x:v>
      </x:c>
      <x:c r="T57" s="21" t="n">
        <x:v>46174</x:v>
      </x:c>
      <x:c r="U57" s="20" t="str">
        <x:v>sim</x:v>
      </x:c>
      <x:c r="V57" s="20" t="str">
        <x:v>ANX_CRIV_LAM_PREL_20260417 | CVM_FUNDOSNET_TERMOS_CRI_20260822 | CVM_CRI_2026_CLASSE</x:v>
      </x:c>
      <x:c r="W57" s="20" t="str">
        <x:v>Documentado</x:v>
      </x:c>
      <x:c r="X57" s="20" t="str">
        <x:v>Montante e termos documentais; saldo da última competência: n/d. Reconciliação usa Valor_Atualizado_Emissao; conflito de unidade permanece n/d.</x:v>
      </x:c>
    </x:row>
    <x:row r="58">
      <x:c r="A58" s="20" t="str">
        <x:v>CRI_V174</x:v>
      </x:c>
      <x:c r="B58" s="20" t="str">
        <x:v>Subordinada</x:v>
      </x:c>
      <x:c r="C58" s="20" t="str">
        <x:v>Série 5</x:v>
      </x:c>
      <x:c r="D58" s="20" t="str">
        <x:v>BRVERTCRIE32</x:v>
      </x:c>
      <x:c r="E58" s="21" t="n">
        <x:v>46162</x:v>
      </x:c>
      <x:c r="F58" s="21" t="n">
        <x:v>49815</x:v>
      </x:c>
      <x:c r="G58" s="24" t="n">
        <x:v>120</x:v>
      </x:c>
      <x:c r="H58" s="25" t="n">
        <x:v>18828821.89</x:v>
      </x:c>
      <x:c r="I58" s="25" t="n">
        <x:v>18828821.89</x:v>
      </x:c>
      <x:c r="J58" s="25" t="str">
        <x:v>n/d</x:v>
      </x:c>
      <x:c r="K58" s="26" t="n">
        <x:v>0.04000992132699061</x:v>
      </x:c>
      <x:c r="L58" s="20" t="str">
        <x:v>DI+</x:v>
      </x:c>
      <x:c r="M58" s="20" t="str">
        <x:v>DI + 8,00% a.a.</x:v>
      </x:c>
      <x:c r="N58" s="20" t="str">
        <x:v>DI + 8,00%</x:v>
      </x:c>
      <x:c r="O58" s="20" t="str">
        <x:v>n/d</x:v>
      </x:c>
      <x:c r="P58" s="20" t="str">
        <x:v>n/d</x:v>
      </x:c>
      <x:c r="Q58" s="20" t="str">
        <x:v>n/d</x:v>
      </x:c>
      <x:c r="R58" s="20" t="str">
        <x:v>pública</x:v>
      </x:c>
      <x:c r="S58" s="20" t="str">
        <x:v>n/d</x:v>
      </x:c>
      <x:c r="T58" s="21" t="n">
        <x:v>46174</x:v>
      </x:c>
      <x:c r="U58" s="20" t="str">
        <x:v>sim</x:v>
      </x:c>
      <x:c r="V58" s="20" t="str">
        <x:v>ANX_CRIV_LAM_PREL_20260417 | CVM_FUNDOSNET_TERMOS_CRI_20260822 | CVM_CRI_2026_CLASSE</x:v>
      </x:c>
      <x:c r="W58" s="20" t="str">
        <x:v>Documentado</x:v>
      </x:c>
      <x:c r="X58" s="20" t="str">
        <x:v>Montante e termos documentais; saldo da última competência: n/d. Reconciliação usa Valor_Atualizado_Emissao; conflito de unidade permanece n/d.</x:v>
      </x:c>
    </x:row>
    <x:row r="59">
      <x:c r="A59" s="20" t="str">
        <x:v>CRI_V174</x:v>
      </x:c>
      <x:c r="B59" s="20" t="str">
        <x:v>Júnior/Subordinada</x:v>
      </x:c>
      <x:c r="C59" s="20" t="str">
        <x:v>Série 6</x:v>
      </x:c>
      <x:c r="D59" s="20" t="str">
        <x:v>BRVERTCRIE40</x:v>
      </x:c>
      <x:c r="E59" s="21" t="n">
        <x:v>46162</x:v>
      </x:c>
      <x:c r="F59" s="21" t="n">
        <x:v>50545</x:v>
      </x:c>
      <x:c r="G59" s="24" t="n">
        <x:v>144</x:v>
      </x:c>
      <x:c r="H59" s="25" t="n">
        <x:v>14118000</x:v>
      </x:c>
      <x:c r="I59" s="25" t="n">
        <x:v>14118000</x:v>
      </x:c>
      <x:c r="J59" s="25" t="str">
        <x:v>n/d</x:v>
      </x:c>
      <x:c r="K59" s="26" t="n">
        <x:v>0.02999975636258214</x:v>
      </x:c>
      <x:c r="L59" s="20" t="str">
        <x:v>Pré + residual</x:v>
      </x:c>
      <x:c r="M59" s="20" t="str">
        <x:v>14,07% a.a. + residual</x:v>
      </x:c>
      <x:c r="N59" s="20" t="str">
        <x:v>n/d</x:v>
      </x:c>
      <x:c r="O59" s="20" t="str">
        <x:v>n/d</x:v>
      </x:c>
      <x:c r="P59" s="20" t="str">
        <x:v>n/d</x:v>
      </x:c>
      <x:c r="Q59" s="20" t="str">
        <x:v>n/d</x:v>
      </x:c>
      <x:c r="R59" s="20" t="str">
        <x:v>privada</x:v>
      </x:c>
      <x:c r="S59" s="20" t="str">
        <x:v>sim</x:v>
      </x:c>
      <x:c r="T59" s="21" t="n">
        <x:v>46174</x:v>
      </x:c>
      <x:c r="U59" s="20" t="str">
        <x:v>sim</x:v>
      </x:c>
      <x:c r="V59" s="20" t="str">
        <x:v>ANX_CRIV_LAM_PREL_20260417 | CVM_FUNDOSNET_TERMOS_CRI_20260822 | CVM_CRI_2026_CLASSE</x:v>
      </x:c>
      <x:c r="W59" s="20" t="str">
        <x:v>Documentado</x:v>
      </x:c>
      <x:c r="X59" s="20" t="str">
        <x:v>Montante e termos documentais; saldo da última competência: n/d. Reconciliação usa Valor_Atualizado_Emissao; conflito de unidade permanece n/d.</x:v>
      </x:c>
    </x:row>
    <x:row r="60">
      <x:c r="A60" s="20" t="str">
        <x:v>CRI_V177</x:v>
      </x:c>
      <x:c r="B60" s="20" t="str">
        <x:v>Sênior A</x:v>
      </x:c>
      <x:c r="C60" s="20" t="str">
        <x:v>Série 1</x:v>
      </x:c>
      <x:c r="D60" s="20" t="str">
        <x:v>BRVERTCRIEC4</x:v>
      </x:c>
      <x:c r="E60" s="21" t="n">
        <x:v>46224</x:v>
      </x:c>
      <x:c r="F60" s="21" t="n">
        <x:v>47988</x:v>
      </x:c>
      <x:c r="G60" s="24" t="n">
        <x:v>58</x:v>
      </x:c>
      <x:c r="H60" s="25" t="n">
        <x:v>100000000</x:v>
      </x:c>
      <x:c r="I60" s="25" t="n">
        <x:v>100000000</x:v>
      </x:c>
      <x:c r="J60" s="25" t="str">
        <x:v>n/d</x:v>
      </x:c>
      <x:c r="K60" s="26" t="n">
        <x:v>0.15454541239670572</x:v>
      </x:c>
      <x:c r="L60" s="20" t="str">
        <x:v>DI+</x:v>
      </x:c>
      <x:c r="M60" s="20" t="str">
        <x:v>DI + 1,50% a.a.</x:v>
      </x:c>
      <x:c r="N60" s="20" t="str">
        <x:v>n/d</x:v>
      </x:c>
      <x:c r="O60" s="20" t="str">
        <x:v>n/d</x:v>
      </x:c>
      <x:c r="P60" s="20" t="str">
        <x:v>n/d</x:v>
      </x:c>
      <x:c r="Q60" s="20" t="str">
        <x:v>n/d</x:v>
      </x:c>
      <x:c r="R60" s="20" t="str">
        <x:v>pública</x:v>
      </x:c>
      <x:c r="S60" s="20" t="str">
        <x:v>n/d</x:v>
      </x:c>
      <x:c r="T60" s="21" t="str">
        <x:v>n/d</x:v>
      </x:c>
      <x:c r="U60" s="20" t="str">
        <x:v>não</x:v>
      </x:c>
      <x:c r="V60" s="20" t="str">
        <x:v>CVM_FUNDOSNET_VERT177_20260720 | CVM_FUNDOSNET_TERMOS_CRI_20260822</x:v>
      </x:c>
      <x:c r="W60" s="20" t="str">
        <x:v>Documentado</x:v>
      </x:c>
      <x:c r="X60" s="20" t="str">
        <x:v>Montante e termos documentais; saldo da última competência: n/d. Reconciliação usa Valor_Atualizado_Emissao; conflito de unidade permanece n/d.</x:v>
      </x:c>
    </x:row>
    <x:row r="61">
      <x:c r="A61" s="20" t="str">
        <x:v>CRI_V177</x:v>
      </x:c>
      <x:c r="B61" s="20" t="str">
        <x:v>Sênior B</x:v>
      </x:c>
      <x:c r="C61" s="20" t="str">
        <x:v>Série 2</x:v>
      </x:c>
      <x:c r="D61" s="20" t="str">
        <x:v>BRVERTCRIED2</x:v>
      </x:c>
      <x:c r="E61" s="21" t="n">
        <x:v>46224</x:v>
      </x:c>
      <x:c r="F61" s="21" t="n">
        <x:v>48050</x:v>
      </x:c>
      <x:c r="G61" s="24" t="n">
        <x:v>60</x:v>
      </x:c>
      <x:c r="H61" s="25" t="n">
        <x:v>450000000</x:v>
      </x:c>
      <x:c r="I61" s="25" t="n">
        <x:v>450000000</x:v>
      </x:c>
      <x:c r="J61" s="25" t="str">
        <x:v>n/d</x:v>
      </x:c>
      <x:c r="K61" s="26" t="n">
        <x:v>0.6954543557851757</x:v>
      </x:c>
      <x:c r="L61" s="20" t="str">
        <x:v>DI+</x:v>
      </x:c>
      <x:c r="M61" s="20" t="str">
        <x:v>DI + 2,00% a.a.</x:v>
      </x:c>
      <x:c r="N61" s="20" t="str">
        <x:v>n/d</x:v>
      </x:c>
      <x:c r="O61" s="20" t="str">
        <x:v>n/d</x:v>
      </x:c>
      <x:c r="P61" s="20" t="str">
        <x:v>n/d</x:v>
      </x:c>
      <x:c r="Q61" s="20" t="str">
        <x:v>n/d</x:v>
      </x:c>
      <x:c r="R61" s="20" t="str">
        <x:v>pública</x:v>
      </x:c>
      <x:c r="S61" s="20" t="str">
        <x:v>n/d</x:v>
      </x:c>
      <x:c r="T61" s="21" t="str">
        <x:v>n/d</x:v>
      </x:c>
      <x:c r="U61" s="20" t="str">
        <x:v>não</x:v>
      </x:c>
      <x:c r="V61" s="20" t="str">
        <x:v>CVM_FUNDOSNET_VERT177_20260720 | CVM_FUNDOSNET_TERMOS_CRI_20260822</x:v>
      </x:c>
      <x:c r="W61" s="20" t="str">
        <x:v>Documentado</x:v>
      </x:c>
      <x:c r="X61" s="20" t="str">
        <x:v>Montante e termos documentais; saldo da última competência: n/d. Reconciliação usa Valor_Atualizado_Emissao; conflito de unidade permanece n/d.</x:v>
      </x:c>
    </x:row>
    <x:row r="62">
      <x:c r="A62" s="20" t="str">
        <x:v>CRI_V177</x:v>
      </x:c>
      <x:c r="B62" s="20" t="str">
        <x:v>Mezanino I</x:v>
      </x:c>
      <x:c r="C62" s="20" t="str">
        <x:v>Série 3</x:v>
      </x:c>
      <x:c r="D62" s="20" t="str">
        <x:v>BRVERTCRIEE0</x:v>
      </x:c>
      <x:c r="E62" s="21" t="n">
        <x:v>46224</x:v>
      </x:c>
      <x:c r="F62" s="21" t="n">
        <x:v>49877</x:v>
      </x:c>
      <x:c r="G62" s="24" t="n">
        <x:v>120</x:v>
      </x:c>
      <x:c r="H62" s="25" t="n">
        <x:v>51765000</x:v>
      </x:c>
      <x:c r="I62" s="25" t="n">
        <x:v>51765000</x:v>
      </x:c>
      <x:c r="J62" s="25" t="str">
        <x:v>n/d</x:v>
      </x:c>
      <x:c r="K62" s="26" t="n">
        <x:v>0.08000043272715471</x:v>
      </x:c>
      <x:c r="L62" s="20" t="str">
        <x:v>DI+</x:v>
      </x:c>
      <x:c r="M62" s="20" t="str">
        <x:v>DI + 5,50% a.a.</x:v>
      </x:c>
      <x:c r="N62" s="20" t="str">
        <x:v>n/d</x:v>
      </x:c>
      <x:c r="O62" s="20" t="str">
        <x:v>n/d</x:v>
      </x:c>
      <x:c r="P62" s="20" t="str">
        <x:v>n/d</x:v>
      </x:c>
      <x:c r="Q62" s="20" t="str">
        <x:v>n/d</x:v>
      </x:c>
      <x:c r="R62" s="20" t="str">
        <x:v>pública</x:v>
      </x:c>
      <x:c r="S62" s="20" t="str">
        <x:v>n/d</x:v>
      </x:c>
      <x:c r="T62" s="21" t="str">
        <x:v>n/d</x:v>
      </x:c>
      <x:c r="U62" s="20" t="str">
        <x:v>não</x:v>
      </x:c>
      <x:c r="V62" s="20" t="str">
        <x:v>CVM_FUNDOSNET_VERT177_20260720 | CVM_FUNDOSNET_TERMOS_CRI_20260822</x:v>
      </x:c>
      <x:c r="W62" s="20" t="str">
        <x:v>Documentado</x:v>
      </x:c>
      <x:c r="X62" s="20" t="str">
        <x:v>Montante e termos documentais; saldo da última competência: n/d. Reconciliação usa Valor_Atualizado_Emissao; conflito de unidade permanece n/d.</x:v>
      </x:c>
    </x:row>
    <x:row r="63">
      <x:c r="A63" s="20" t="str">
        <x:v>CRI_V177</x:v>
      </x:c>
      <x:c r="B63" s="20" t="str">
        <x:v>Mezanino II</x:v>
      </x:c>
      <x:c r="C63" s="20" t="str">
        <x:v>Série 4</x:v>
      </x:c>
      <x:c r="D63" s="20" t="str">
        <x:v>BRVERTCRIEF7</x:v>
      </x:c>
      <x:c r="E63" s="21" t="n">
        <x:v>46224</x:v>
      </x:c>
      <x:c r="F63" s="21" t="n">
        <x:v>49877</x:v>
      </x:c>
      <x:c r="G63" s="24" t="n">
        <x:v>120</x:v>
      </x:c>
      <x:c r="H63" s="25" t="n">
        <x:v>25882000</x:v>
      </x:c>
      <x:c r="I63" s="25" t="n">
        <x:v>25882000</x:v>
      </x:c>
      <x:c r="J63" s="25" t="str">
        <x:v>n/d</x:v>
      </x:c>
      <x:c r="K63" s="26" t="n">
        <x:v>0.03999944363651537</x:v>
      </x:c>
      <x:c r="L63" s="20" t="str">
        <x:v>DI+</x:v>
      </x:c>
      <x:c r="M63" s="20" t="str">
        <x:v>DI + 8,00% a.a.</x:v>
      </x:c>
      <x:c r="N63" s="20" t="str">
        <x:v>n/d</x:v>
      </x:c>
      <x:c r="O63" s="20" t="str">
        <x:v>n/d</x:v>
      </x:c>
      <x:c r="P63" s="20" t="str">
        <x:v>n/d</x:v>
      </x:c>
      <x:c r="Q63" s="20" t="str">
        <x:v>n/d</x:v>
      </x:c>
      <x:c r="R63" s="20" t="str">
        <x:v>pública</x:v>
      </x:c>
      <x:c r="S63" s="20" t="str">
        <x:v>n/d</x:v>
      </x:c>
      <x:c r="T63" s="21" t="str">
        <x:v>n/d</x:v>
      </x:c>
      <x:c r="U63" s="20" t="str">
        <x:v>não</x:v>
      </x:c>
      <x:c r="V63" s="20" t="str">
        <x:v>CVM_FUNDOSNET_VERT177_20260720 | CVM_FUNDOSNET_TERMOS_CRI_20260822</x:v>
      </x:c>
      <x:c r="W63" s="20" t="str">
        <x:v>Documentado</x:v>
      </x:c>
      <x:c r="X63" s="20" t="str">
        <x:v>Montante e termos documentais; saldo da última competência: n/d. Reconciliação usa Valor_Atualizado_Emissao; conflito de unidade permanece n/d.</x:v>
      </x:c>
    </x:row>
    <x:row r="64">
      <x:c r="A64" s="20" t="str">
        <x:v>CRI_V177</x:v>
      </x:c>
      <x:c r="B64" s="20" t="str">
        <x:v>Júnior/Subordinada</x:v>
      </x:c>
      <x:c r="C64" s="20" t="str">
        <x:v>Série 5</x:v>
      </x:c>
      <x:c r="D64" s="20" t="str">
        <x:v>n/d</x:v>
      </x:c>
      <x:c r="E64" s="21" t="n">
        <x:v>46224</x:v>
      </x:c>
      <x:c r="F64" s="21" t="n">
        <x:v>50606</x:v>
      </x:c>
      <x:c r="G64" s="24" t="n">
        <x:v>144</x:v>
      </x:c>
      <x:c r="H64" s="25" t="n">
        <x:v>19412000</x:v>
      </x:c>
      <x:c r="I64" s="25" t="n">
        <x:v>19412000</x:v>
      </x:c>
      <x:c r="J64" s="25" t="str">
        <x:v>n/d</x:v>
      </x:c>
      <x:c r="K64" s="26" t="n">
        <x:v>0.030000355454448513</x:v>
      </x:c>
      <x:c r="L64" s="20" t="str">
        <x:v>DI% + residual</x:v>
      </x:c>
      <x:c r="M64" s="20" t="str">
        <x:v>100% do DI + prêmio final residual</x:v>
      </x:c>
      <x:c r="N64" s="20" t="str">
        <x:v>n/d</x:v>
      </x:c>
      <x:c r="O64" s="20" t="str">
        <x:v>n/d</x:v>
      </x:c>
      <x:c r="P64" s="20" t="str">
        <x:v>n/d</x:v>
      </x:c>
      <x:c r="Q64" s="20" t="str">
        <x:v>n/d</x:v>
      </x:c>
      <x:c r="R64" s="20" t="str">
        <x:v>privada</x:v>
      </x:c>
      <x:c r="S64" s="20" t="str">
        <x:v>sim</x:v>
      </x:c>
      <x:c r="T64" s="21" t="str">
        <x:v>n/d</x:v>
      </x:c>
      <x:c r="U64" s="20" t="str">
        <x:v>não</x:v>
      </x:c>
      <x:c r="V64" s="20" t="str">
        <x:v>CVM_FUNDOSNET_VERT177_20260720 | CVM_FUNDOSNET_TERMOS_CRI_20260822</x:v>
      </x:c>
      <x:c r="W64" s="20" t="str">
        <x:v>Documentado</x:v>
      </x:c>
      <x:c r="X64" s="20" t="str">
        <x:v>Montante e termos documentais; saldo da última competência: n/d. Reconciliação usa Valor_Atualizado_Emissao; conflito de unidade permanece n/d.</x:v>
      </x:c>
    </x:row>
  </x:sheetData>
  <x:mergeCells>
    <x:mergeCell ref="A1:X1"/>
    <x:mergeCell ref="A2:X2"/>
    <x:mergeCell ref="A3:X3"/>
  </x:mergeCells>
  <x:pageMargins left="0.7" right="0.7" top="0.75" bottom="0.75" header="0.3" footer="0.3"/>
  <x:tableParts count="1">
    <x:tablePart xmlns:r="http://schemas.openxmlformats.org/officeDocument/2006/relationships" r:id="R60e51ed425964f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2" hidden="0" customWidth="1"/>
    <x:col min="5" max="5" width="24" hidden="0" customWidth="1"/>
    <x:col min="6" max="6" width="24" hidden="0" customWidth="1"/>
    <x:col min="7" max="7" width="14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24" hidden="0" customWidth="1"/>
    <x:col min="13" max="13" width="24" hidden="0" customWidth="1"/>
    <x:col min="14" max="14" width="24" hidden="0" customWidth="1"/>
    <x:col min="15" max="15" width="22" hidden="0" customWidth="1"/>
    <x:col min="16" max="16" width="17" hidden="0" customWidth="1"/>
    <x:col min="17" max="17" width="42" hidden="0" customWidth="1"/>
    <x:col min="18" max="18" width="42" hidden="0" customWidth="1"/>
    <x:col min="19" max="19" width="34" hidden="0" customWidth="1"/>
    <x:col min="20" max="20" width="19" hidden="0" customWidth="1"/>
    <x:col min="21" max="21" width="42" hidden="0" customWidth="1"/>
  </x:cols>
  <x:sheetData>
    <x:row r="1" ht="30" customHeight="1">
      <x:c r="A1" s="3" t="str">
        <x:v>03 Elegibilidade</x:v>
      </x:c>
    </x:row>
    <x:row r="2" ht="34" customHeight="1">
      <x:c r="A2" s="7" t="str">
        <x:v>Os critérios estão na mesma régua para mostrar onde o CRI aperta o pool. Limite contratual e preço efetivo ocupam colunas distintas.</x:v>
      </x:c>
    </x:row>
    <x:row r="3" ht="24" customHeight="1">
      <x:c r="A3" s="11" t="str">
        <x:v>Data-base: por linha | Fontes: DOC_FIDC_I_REG_202411; DOC_FIDC_II_REG_202412; DOC_FIDC_III_REG_202512; DOC_FIDC_IV_REG_202510; DOC_FIDC_V_REG_202411;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</x:row>
    <x:row r="5" ht="34" customHeight="1">
      <x:c r="A5" s="16" t="str">
        <x:v>veiculo_id</x:v>
      </x:c>
      <x:c r="B5" s="16" t="str">
        <x:v>adimplencia_na_cessao</x:v>
      </x:c>
      <x:c r="C5" s="16" t="str">
        <x:v>seasoning_minimo_meses</x:v>
      </x:c>
      <x:c r="D5" s="16" t="str">
        <x:v>idade_maxima_devedor</x:v>
      </x:c>
      <x:c r="E5" s="16" t="str">
        <x:v>prazo_max_recebivel_dias</x:v>
      </x:c>
      <x:c r="F5" s="16" t="str">
        <x:v>prazo_max_recebivel_meses</x:v>
      </x:c>
      <x:c r="G5" s="16" t="str">
        <x:v>wam_max_dias</x:v>
      </x:c>
      <x:c r="H5" s="16" t="str">
        <x:v>ticket_max_PF_R$</x:v>
      </x:c>
      <x:c r="I5" s="16" t="str">
        <x:v>ticket_max_PJ_R$</x:v>
      </x:c>
      <x:c r="J5" s="16" t="str">
        <x:v>tipos_de_ativo</x:v>
      </x:c>
      <x:c r="K5" s="16" t="str">
        <x:v>carencia_max_dias</x:v>
      </x:c>
      <x:c r="L5" s="16" t="str">
        <x:v>preco_max_aquisicao_pct_saldo</x:v>
      </x:c>
      <x:c r="M5" s="16" t="str">
        <x:v>preco_efetivo_aquisicao_pct_saldo</x:v>
      </x:c>
      <x:c r="N5" s="16" t="str">
        <x:v>quem_atesta_elegibilidade</x:v>
      </x:c>
      <x:c r="O5" s="16" t="str">
        <x:v>restricao_geografica</x:v>
      </x:c>
      <x:c r="P5" s="16" t="str">
        <x:v>restricao_score</x:v>
      </x:c>
      <x:c r="Q5" s="16" t="str">
        <x:v>vedacoes_expressas</x:v>
      </x:c>
      <x:c r="R5" s="16" t="str">
        <x:v>redacao_literal</x:v>
      </x:c>
      <x:c r="S5" s="16" t="str">
        <x:v>fonte_id</x:v>
      </x:c>
      <x:c r="T5" s="16" t="str">
        <x:v>status</x:v>
      </x:c>
      <x:c r="U5" s="16" t="str">
        <x:v>nota_metodo</x:v>
      </x:c>
    </x:row>
    <x:row r="6">
      <x:c r="A6" s="20" t="str">
        <x:v>FIDC_I</x:v>
      </x:c>
      <x:c r="B6" s="20" t="str">
        <x:v>Direito creditório performado; condições documentais e operacionais</x:v>
      </x:c>
      <x:c r="C6" s="24" t="str">
        <x:v>n/d</x:v>
      </x:c>
      <x:c r="D6" s="20" t="n">
        <x:v>70</x:v>
      </x:c>
      <x:c r="E6" s="24" t="n">
        <x:v>3836</x:v>
      </x:c>
      <x:c r="F6" s="24" t="n">
        <x:v>126</x:v>
      </x:c>
      <x:c r="G6" s="24" t="n">
        <x:v>2135</x:v>
      </x:c>
      <x:c r="H6" s="25" t="n">
        <x:v>201000</x:v>
      </x:c>
      <x:c r="I6" s="25" t="n">
        <x:v>502000</x:v>
      </x:c>
      <x:c r="J6" s="20" t="str">
        <x:v>CCB de financiamento solar</x:v>
      </x:c>
      <x:c r="K6" s="24" t="str">
        <x:v>n/d</x:v>
      </x:c>
      <x:c r="L6" s="26" t="n">
        <x:v>1.004</x:v>
      </x:c>
      <x:c r="M6" s="26" t="str">
        <x:v>n/d</x:v>
      </x:c>
      <x:c r="N6" s="20" t="str">
        <x:v>Gestor; custodiante verifica documentação</x:v>
      </x:c>
      <x:c r="O6" s="20" t="str">
        <x:v>n/d</x:v>
      </x:c>
      <x:c r="P6" s="20" t="str">
        <x:v>n/d</x:v>
      </x:c>
      <x:c r="Q6" s="20" t="str">
        <x:v>créditos não elegíveis; limites de concentração e integrador</x:v>
      </x:c>
      <x:c r="R6" s="20" t="str">
        <x:v>WAM não superior a 2.135 dias; preço de aquisição não superior a 100,4%</x:v>
      </x:c>
      <x:c r="S6" s="20" t="str">
        <x:v>DOC_FIDC_I_REG_202411</x:v>
      </x:c>
      <x:c r="T6" s="20" t="str">
        <x:v>Documentado</x:v>
      </x:c>
      <x:c r="U6" s="20" t="str">
        <x:v>Limite contratual; preço efetivo permanece n/d quando o documento não publica o denominador.</x:v>
      </x:c>
    </x:row>
    <x:row r="7">
      <x:c r="A7" s="20" t="str">
        <x:v>FIDC_II</x:v>
      </x:c>
      <x:c r="B7" s="20" t="str">
        <x:v>Devedor e direito sem atraso</x:v>
      </x:c>
      <x:c r="C7" s="24" t="str">
        <x:v>n/d</x:v>
      </x:c>
      <x:c r="D7" s="20" t="n">
        <x:v>70</x:v>
      </x:c>
      <x:c r="E7" s="24" t="n">
        <x:v>4500</x:v>
      </x:c>
      <x:c r="F7" s="24" t="n">
        <x:v>147.8</x:v>
      </x:c>
      <x:c r="G7" s="24" t="n">
        <x:v>2400</x:v>
      </x:c>
      <x:c r="H7" s="25" t="n">
        <x:v>300000</x:v>
      </x:c>
      <x:c r="I7" s="25" t="n">
        <x:v>500000</x:v>
      </x:c>
      <x:c r="J7" s="20" t="str">
        <x:v>CCB pré ou pós-fixada</x:v>
      </x:c>
      <x:c r="K7" s="24" t="n">
        <x:v>180</x:v>
      </x:c>
      <x:c r="L7" s="26" t="n">
        <x:v>1.005</x:v>
      </x:c>
      <x:c r="M7" s="26" t="str">
        <x:v>n/d</x:v>
      </x:c>
      <x:c r="N7" s="20" t="str">
        <x:v>Gestor</x:v>
      </x:c>
      <x:c r="O7" s="20" t="str">
        <x:v>n/d</x:v>
      </x:c>
      <x:c r="P7" s="20" t="str">
        <x:v>n/d</x:v>
      </x:c>
      <x:c r="Q7" s="20" t="str">
        <x:v>direitos/devedores inadimplentes</x:v>
      </x:c>
      <x:c r="R7" s="20" t="str">
        <x:v>WAM máximo de 2.400 dias; preço de aquisição limitado a 100,5%</x:v>
      </x:c>
      <x:c r="S7" s="20" t="str">
        <x:v>DOC_FIDC_II_REG_202412</x:v>
      </x:c>
      <x:c r="T7" s="20" t="str">
        <x:v>Documentado</x:v>
      </x:c>
      <x:c r="U7" s="20" t="str">
        <x:v>Limite contratual; preço efetivo permanece n/d quando o documento não publica o denominador.</x:v>
      </x:c>
    </x:row>
    <x:row r="8">
      <x:c r="A8" s="20" t="str">
        <x:v>FIDC_III</x:v>
      </x:c>
      <x:c r="B8" s="20" t="str">
        <x:v>Devedor e direito adimplentes</x:v>
      </x:c>
      <x:c r="C8" s="24" t="str">
        <x:v>n/d</x:v>
      </x:c>
      <x:c r="D8" s="20" t="n">
        <x:v>71</x:v>
      </x:c>
      <x:c r="E8" s="24" t="n">
        <x:v>3845</x:v>
      </x:c>
      <x:c r="F8" s="24" t="n">
        <x:v>126.3</x:v>
      </x:c>
      <x:c r="G8" s="24" t="n">
        <x:v>2000</x:v>
      </x:c>
      <x:c r="H8" s="25" t="n">
        <x:v>350000</x:v>
      </x:c>
      <x:c r="I8" s="25" t="n">
        <x:v>600000</x:v>
      </x:c>
      <x:c r="J8" s="20" t="str">
        <x:v>CCB pré-fixada</x:v>
      </x:c>
      <x:c r="K8" s="24" t="n">
        <x:v>185</x:v>
      </x:c>
      <x:c r="L8" s="26" t="str">
        <x:v>n/d</x:v>
      </x:c>
      <x:c r="M8" s="26" t="str">
        <x:v>n/d</x:v>
      </x:c>
      <x:c r="N8" s="20" t="str">
        <x:v>Gestor</x:v>
      </x:c>
      <x:c r="O8" s="20" t="str">
        <x:v>n/d</x:v>
      </x:c>
      <x:c r="P8" s="20" t="str">
        <x:v>n/d</x:v>
      </x:c>
      <x:c r="Q8" s="20" t="str">
        <x:v>crédito não performado e seleção adversa</x:v>
      </x:c>
      <x:c r="R8" s="20" t="str">
        <x:v>WAM máximo de 2.000 dias; valor nominal máximo de R$350 mil/R$600 mil</x:v>
      </x:c>
      <x:c r="S8" s="20" t="str">
        <x:v>DOC_FIDC_III_REG_202512</x:v>
      </x:c>
      <x:c r="T8" s="20" t="str">
        <x:v>Documentado</x:v>
      </x:c>
      <x:c r="U8" s="20" t="str">
        <x:v>Limite contratual; preço efetivo permanece n/d quando o documento não publica o denominador.</x:v>
      </x:c>
    </x:row>
    <x:row r="9">
      <x:c r="A9" s="20" t="str">
        <x:v>FIDC_IV</x:v>
      </x:c>
      <x:c r="B9" s="20" t="str">
        <x:v>Devedor adimplente</x:v>
      </x:c>
      <x:c r="C9" s="24" t="str">
        <x:v>n/d</x:v>
      </x:c>
      <x:c r="D9" s="20" t="n">
        <x:v>70</x:v>
      </x:c>
      <x:c r="E9" s="24" t="str">
        <x:v>n/d</x:v>
      </x:c>
      <x:c r="F9" s="24" t="str">
        <x:v>n/d</x:v>
      </x:c>
      <x:c r="G9" s="24" t="str">
        <x:v>n/d</x:v>
      </x:c>
      <x:c r="H9" s="25" t="str">
        <x:v>n/d</x:v>
      </x:c>
      <x:c r="I9" s="25" t="str">
        <x:v>n/d</x:v>
      </x:c>
      <x:c r="J9" s="20" t="str">
        <x:v>CCB de financiamento solar</x:v>
      </x:c>
      <x:c r="K9" s="24" t="n">
        <x:v>5</x:v>
      </x:c>
      <x:c r="L9" s="26" t="str">
        <x:v>n/d</x:v>
      </x:c>
      <x:c r="M9" s="26" t="str">
        <x:v>n/d</x:v>
      </x:c>
      <x:c r="N9" s="20" t="str">
        <x:v>Administrador/gestor</x:v>
      </x:c>
      <x:c r="O9" s="20" t="str">
        <x:v>n/d</x:v>
      </x:c>
      <x:c r="P9" s="20" t="str">
        <x:v>n/d</x:v>
      </x:c>
      <x:c r="Q9" s="20" t="str">
        <x:v>direitos fora dos critérios do regulamento</x:v>
      </x:c>
      <x:c r="R9" s="20" t="str">
        <x:v>devedor adimplente; verificação de carência em até 5 dias úteis</x:v>
      </x:c>
      <x:c r="S9" s="20" t="str">
        <x:v>DOC_FIDC_IV_REG_202510</x:v>
      </x:c>
      <x:c r="T9" s="20" t="str">
        <x:v>Documentado</x:v>
      </x:c>
      <x:c r="U9" s="20" t="str">
        <x:v>Limite contratual; preço efetivo permanece n/d quando o documento não publica o denominador.</x:v>
      </x:c>
    </x:row>
    <x:row r="10">
      <x:c r="A10" s="20" t="str">
        <x:v>FIDC_V</x:v>
      </x:c>
      <x:c r="B10" s="20" t="str">
        <x:v>Devedor e direito adimplentes</x:v>
      </x:c>
      <x:c r="C10" s="24" t="str">
        <x:v>n/d</x:v>
      </x:c>
      <x:c r="D10" s="20" t="n">
        <x:v>70</x:v>
      </x:c>
      <x:c r="E10" s="24" t="n">
        <x:v>4760</x:v>
      </x:c>
      <x:c r="F10" s="24" t="n">
        <x:v>156.4</x:v>
      </x:c>
      <x:c r="G10" s="24" t="n">
        <x:v>2400</x:v>
      </x:c>
      <x:c r="H10" s="25" t="n">
        <x:v>500000</x:v>
      </x:c>
      <x:c r="I10" s="25" t="n">
        <x:v>700000</x:v>
      </x:c>
      <x:c r="J10" s="20" t="str">
        <x:v>CCB PF/PJ; CPR-F até 15% do PL</x:v>
      </x:c>
      <x:c r="K10" s="24" t="n">
        <x:v>366</x:v>
      </x:c>
      <x:c r="L10" s="26" t="n">
        <x:v>1.005</x:v>
      </x:c>
      <x:c r="M10" s="26" t="str">
        <x:v>n/d</x:v>
      </x:c>
      <x:c r="N10" s="20" t="str">
        <x:v>Gestor</x:v>
      </x:c>
      <x:c r="O10" s="20" t="str">
        <x:v>n/d</x:v>
      </x:c>
      <x:c r="P10" s="20" t="str">
        <x:v>n/d</x:v>
      </x:c>
      <x:c r="Q10" s="20" t="str">
        <x:v>pré-fixados acima de 15%; integrador acima dos limites</x:v>
      </x:c>
      <x:c r="R10" s="20" t="str">
        <x:v>WAM máximo de 2.400 dias; preço de aquisição limitado a 100,5%</x:v>
      </x:c>
      <x:c r="S10" s="20" t="str">
        <x:v>DOC_FIDC_V_REG_202411</x:v>
      </x:c>
      <x:c r="T10" s="20" t="str">
        <x:v>Documentado</x:v>
      </x:c>
      <x:c r="U10" s="20" t="str">
        <x:v>Limite contratual; preço efetivo permanece n/d quando o documento não publica o denominador.</x:v>
      </x:c>
    </x:row>
    <x:row r="11">
      <x:c r="A11" s="20" t="str">
        <x:v>FIDC_VI</x:v>
      </x:c>
      <x:c r="B11" s="20" t="str">
        <x:v>Devedor e direito sem atraso</x:v>
      </x:c>
      <x:c r="C11" s="24" t="str">
        <x:v>n/d</x:v>
      </x:c>
      <x:c r="D11" s="20" t="n">
        <x:v>71</x:v>
      </x:c>
      <x:c r="E11" s="24" t="n">
        <x:v>3836</x:v>
      </x:c>
      <x:c r="F11" s="24" t="n">
        <x:v>126</x:v>
      </x:c>
      <x:c r="G11" s="24" t="n">
        <x:v>2400</x:v>
      </x:c>
      <x:c r="H11" s="25" t="n">
        <x:v>350000</x:v>
      </x:c>
      <x:c r="I11" s="25" t="n">
        <x:v>700000</x:v>
      </x:c>
      <x:c r="J11" s="20" t="str">
        <x:v>CCB pré-fixada</x:v>
      </x:c>
      <x:c r="K11" s="24" t="n">
        <x:v>185</x:v>
      </x:c>
      <x:c r="L11" s="26" t="n">
        <x:v>1.01</x:v>
      </x:c>
      <x:c r="M11" s="26" t="str">
        <x:v>n/d</x:v>
      </x:c>
      <x:c r="N11" s="20" t="str">
        <x:v>Gestor</x:v>
      </x:c>
      <x:c r="O11" s="20" t="str">
        <x:v>n/d</x:v>
      </x:c>
      <x:c r="P11" s="20" t="str">
        <x:v>n/d</x:v>
      </x:c>
      <x:c r="Q11" s="20" t="str">
        <x:v>balloon; seleção adversa; direitos vencidos</x:v>
      </x:c>
      <x:c r="R11" s="20" t="str">
        <x:v>WAM máximo de 2.400 dias; preço de aquisição limitado a 101%</x:v>
      </x:c>
      <x:c r="S11" s="20" t="str">
        <x:v>DOC_FIDC_VI_REG_202605</x:v>
      </x:c>
      <x:c r="T11" s="20" t="str">
        <x:v>Documentado</x:v>
      </x:c>
      <x:c r="U11" s="20" t="str">
        <x:v>Limite contratual; preço efetivo permanece n/d quando o documento não publica o denominador.</x:v>
      </x:c>
    </x:row>
    <x:row r="12">
      <x:c r="A12" s="20" t="str">
        <x:v>FIDC_VII</x:v>
      </x:c>
      <x:c r="B12" s="20" t="str">
        <x:v>Devedor e direito sem atraso</x:v>
      </x:c>
      <x:c r="C12" s="24" t="str">
        <x:v>n/d</x:v>
      </x:c>
      <x:c r="D12" s="20" t="n">
        <x:v>71</x:v>
      </x:c>
      <x:c r="E12" s="24" t="n">
        <x:v>3836</x:v>
      </x:c>
      <x:c r="F12" s="24" t="n">
        <x:v>126</x:v>
      </x:c>
      <x:c r="G12" s="24" t="n">
        <x:v>2400</x:v>
      </x:c>
      <x:c r="H12" s="25" t="n">
        <x:v>350000</x:v>
      </x:c>
      <x:c r="I12" s="25" t="n">
        <x:v>700000</x:v>
      </x:c>
      <x:c r="J12" s="20" t="str">
        <x:v>CCB pré-fixada</x:v>
      </x:c>
      <x:c r="K12" s="24" t="n">
        <x:v>185</x:v>
      </x:c>
      <x:c r="L12" s="26" t="n">
        <x:v>1.04</x:v>
      </x:c>
      <x:c r="M12" s="26" t="str">
        <x:v>n/d</x:v>
      </x:c>
      <x:c r="N12" s="20" t="str">
        <x:v>Gestor</x:v>
      </x:c>
      <x:c r="O12" s="20" t="str">
        <x:v>n/d</x:v>
      </x:c>
      <x:c r="P12" s="20" t="str">
        <x:v>n/d</x:v>
      </x:c>
      <x:c r="Q12" s="20" t="str">
        <x:v>balloon; seleção adversa; direitos vencidos</x:v>
      </x:c>
      <x:c r="R12" s="20" t="str">
        <x:v>preço de aquisição limitado a 104% do saldo contábil</x:v>
      </x:c>
      <x:c r="S12" s="20" t="str">
        <x:v>DOC_FIDC_VII_REG_202605</x:v>
      </x:c>
      <x:c r="T12" s="20" t="str">
        <x:v>Documentado</x:v>
      </x:c>
      <x:c r="U12" s="20" t="str">
        <x:v>Limite contratual; preço efetivo permanece n/d quando o documento não publica o denominador.</x:v>
      </x:c>
    </x:row>
    <x:row r="13">
      <x:c r="A13" s="20" t="str">
        <x:v>CRI_K1</x:v>
      </x:c>
      <x:c r="B13" s="20" t="str">
        <x:v>Direito não vencido e devedor adimplente</x:v>
      </x:c>
      <x:c r="C13" s="24" t="str">
        <x:v>n/d</x:v>
      </x:c>
      <x:c r="D13" s="20" t="n">
        <x:v>71</x:v>
      </x:c>
      <x:c r="E13" s="24" t="n">
        <x:v>3845</x:v>
      </x:c>
      <x:c r="F13" s="24" t="n">
        <x:v>126.3</x:v>
      </x:c>
      <x:c r="G13" s="24" t="n">
        <x:v>2000</x:v>
      </x:c>
      <x:c r="H13" s="25" t="n">
        <x:v>350000</x:v>
      </x:c>
      <x:c r="I13" s="25" t="n">
        <x:v>600000</x:v>
      </x:c>
      <x:c r="J13" s="20" t="str">
        <x:v>CCB pré-fixada</x:v>
      </x:c>
      <x:c r="K13" s="24" t="n">
        <x:v>185</x:v>
      </x:c>
      <x:c r="L13" s="26" t="str">
        <x:v>n/d</x:v>
      </x:c>
      <x:c r="M13" s="26" t="str">
        <x:v>n/d</x:v>
      </x:c>
      <x:c r="N13" s="20" t="str">
        <x:v>Solfácil atesta; securitizadora verifica</x:v>
      </x:c>
      <x:c r="O13" s="20" t="str">
        <x:v>n/d</x:v>
      </x:c>
      <x:c r="P13" s="20" t="str">
        <x:v>n/d</x:v>
      </x:c>
      <x:c r="Q13" s="20" t="str">
        <x:v>crédito não performado</x:v>
      </x:c>
      <x:c r="R13" s="20" t="str">
        <x:v>WAM pro forma até 2.000 dias; devedor individual 0,10%; top 10 1,00%</x:v>
      </x:c>
      <x:c r="S13" s="20" t="str">
        <x:v>ANX_CRI1_PROSP_20240216</x:v>
      </x:c>
      <x:c r="T13" s="20" t="str">
        <x:v>Documentado</x:v>
      </x:c>
      <x:c r="U13" s="20" t="str">
        <x:v>Limite contratual; preço efetivo permanece n/d quando o documento não publica o denominador.</x:v>
      </x:c>
    </x:row>
    <x:row r="14">
      <x:c r="A14" s="20" t="str">
        <x:v>CRI_K2</x:v>
      </x:c>
      <x:c r="B14" s="20" t="str">
        <x:v>Direito não vencido e devedor adimplente</x:v>
      </x:c>
      <x:c r="C14" s="24" t="str">
        <x:v>n/d</x:v>
      </x:c>
      <x:c r="D14" s="20" t="n">
        <x:v>71</x:v>
      </x:c>
      <x:c r="E14" s="24" t="n">
        <x:v>3845</x:v>
      </x:c>
      <x:c r="F14" s="24" t="n">
        <x:v>126.3</x:v>
      </x:c>
      <x:c r="G14" s="24" t="n">
        <x:v>2000</x:v>
      </x:c>
      <x:c r="H14" s="25" t="n">
        <x:v>350000</x:v>
      </x:c>
      <x:c r="I14" s="25" t="n">
        <x:v>600000</x:v>
      </x:c>
      <x:c r="J14" s="20" t="str">
        <x:v>CCB pré-fixada</x:v>
      </x:c>
      <x:c r="K14" s="24" t="n">
        <x:v>185</x:v>
      </x:c>
      <x:c r="L14" s="26" t="str">
        <x:v>n/d</x:v>
      </x:c>
      <x:c r="M14" s="26" t="str">
        <x:v>n/d</x:v>
      </x:c>
      <x:c r="N14" s="20" t="str">
        <x:v>Solfácil/FIDCs; securitizadora verifica</x:v>
      </x:c>
      <x:c r="O14" s="20" t="str">
        <x:v>n/d</x:v>
      </x:c>
      <x:c r="P14" s="20" t="str">
        <x:v>n/d</x:v>
      </x:c>
      <x:c r="Q14" s="20" t="str">
        <x:v>crédito não performado</x:v>
      </x:c>
      <x:c r="R14" s="20" t="str">
        <x:v>WAM pro forma até 2.000 dias; novados limitados a 5%</x:v>
      </x:c>
      <x:c r="S14" s="20" t="str">
        <x:v>ANX_CRI2_RATING_202406</x:v>
      </x:c>
      <x:c r="T14" s="20" t="str">
        <x:v>Documentado</x:v>
      </x:c>
      <x:c r="U14" s="20" t="str">
        <x:v>Limite contratual; preço efetivo permanece n/d quando o documento não publica o denominador.</x:v>
      </x:c>
    </x:row>
    <x:row r="15">
      <x:c r="A15" s="20" t="str">
        <x:v>CRI_K3</x:v>
      </x:c>
      <x:c r="B15" s="20" t="str">
        <x:v>Direito e devedor adimplentes</x:v>
      </x:c>
      <x:c r="C15" s="24" t="str">
        <x:v>n/d</x:v>
      </x:c>
      <x:c r="D15" s="20" t="n">
        <x:v>71</x:v>
      </x:c>
      <x:c r="E15" s="24" t="n">
        <x:v>3845</x:v>
      </x:c>
      <x:c r="F15" s="24" t="n">
        <x:v>126.3</x:v>
      </x:c>
      <x:c r="G15" s="24" t="n">
        <x:v>2000</x:v>
      </x:c>
      <x:c r="H15" s="25" t="n">
        <x:v>350000</x:v>
      </x:c>
      <x:c r="I15" s="25" t="n">
        <x:v>700000</x:v>
      </x:c>
      <x:c r="J15" s="20" t="str">
        <x:v>CCB pré-fixada</x:v>
      </x:c>
      <x:c r="K15" s="24" t="n">
        <x:v>185</x:v>
      </x:c>
      <x:c r="L15" s="26" t="str">
        <x:v>n/d</x:v>
      </x:c>
      <x:c r="M15" s="26" t="str">
        <x:v>n/d</x:v>
      </x:c>
      <x:c r="N15" s="20" t="str">
        <x:v>Securitizadora com dados dos cedentes</x:v>
      </x:c>
      <x:c r="O15" s="20" t="str">
        <x:v>n/d</x:v>
      </x:c>
      <x:c r="P15" s="20" t="str">
        <x:v>n/d</x:v>
      </x:c>
      <x:c r="Q15" s="20" t="str">
        <x:v>crédito não performado</x:v>
      </x:c>
      <x:c r="R15" s="20" t="str">
        <x:v>WAM pro forma até 2.000 dias; valor presente PF R$350 mil/PJ R$700 mil</x:v>
      </x:c>
      <x:c r="S15" s="20" t="str">
        <x:v>ANX_CRI3_LAM_PREL_20250422</x:v>
      </x:c>
      <x:c r="T15" s="20" t="str">
        <x:v>Documentado</x:v>
      </x:c>
      <x:c r="U15" s="20" t="str">
        <x:v>Limite contratual; preço efetivo permanece n/d quando o documento não publica o denominador.</x:v>
      </x:c>
    </x:row>
    <x:row r="16">
      <x:c r="A16" s="20" t="str">
        <x:v>CRI_K4</x:v>
      </x:c>
      <x:c r="B16" s="20" t="str">
        <x:v>Direito e devedor adimplentes</x:v>
      </x:c>
      <x:c r="C16" s="24" t="str">
        <x:v>n/d</x:v>
      </x:c>
      <x:c r="D16" s="20" t="n">
        <x:v>71</x:v>
      </x:c>
      <x:c r="E16" s="24" t="n">
        <x:v>3845</x:v>
      </x:c>
      <x:c r="F16" s="24" t="n">
        <x:v>126.3</x:v>
      </x:c>
      <x:c r="G16" s="24" t="n">
        <x:v>2000</x:v>
      </x:c>
      <x:c r="H16" s="25" t="n">
        <x:v>350000</x:v>
      </x:c>
      <x:c r="I16" s="25" t="n">
        <x:v>700000</x:v>
      </x:c>
      <x:c r="J16" s="20" t="str">
        <x:v>CCB pré-fixada</x:v>
      </x:c>
      <x:c r="K16" s="24" t="n">
        <x:v>185</x:v>
      </x:c>
      <x:c r="L16" s="26" t="str">
        <x:v>n/d</x:v>
      </x:c>
      <x:c r="M16" s="26" t="str">
        <x:v>n/d</x:v>
      </x:c>
      <x:c r="N16" s="20" t="str">
        <x:v>Securitizadora/cedente</x:v>
      </x:c>
      <x:c r="O16" s="20" t="str">
        <x:v>n/d</x:v>
      </x:c>
      <x:c r="P16" s="20" t="str">
        <x:v>n/d</x:v>
      </x:c>
      <x:c r="Q16" s="20" t="str">
        <x:v>crédito não performado</x:v>
      </x:c>
      <x:c r="R16" s="20" t="str">
        <x:v>critérios alinhados ao termo; redação completa no documento público</x:v>
      </x:c>
      <x:c r="S16" s="20" t="str">
        <x:v>ANX_CRI4_INICIO_20250929</x:v>
      </x:c>
      <x:c r="T16" s="20" t="str">
        <x:v>Documentado</x:v>
      </x:c>
      <x:c r="U16" s="20" t="str">
        <x:v>Limite contratual; preço efetivo permanece n/d quando o documento não publica o denominador.</x:v>
      </x:c>
    </x:row>
    <x:row r="17">
      <x:c r="A17" s="20" t="str">
        <x:v>CRI_V174</x:v>
      </x:c>
      <x:c r="B17" s="20" t="str">
        <x:v>Direito e devedor adimplentes</x:v>
      </x:c>
      <x:c r="C17" s="24" t="str">
        <x:v>n/d</x:v>
      </x:c>
      <x:c r="D17" s="20" t="n">
        <x:v>71</x:v>
      </x:c>
      <x:c r="E17" s="24" t="n">
        <x:v>3845</x:v>
      </x:c>
      <x:c r="F17" s="24" t="n">
        <x:v>126.3</x:v>
      </x:c>
      <x:c r="G17" s="24" t="n">
        <x:v>2000</x:v>
      </x:c>
      <x:c r="H17" s="25" t="n">
        <x:v>350000</x:v>
      </x:c>
      <x:c r="I17" s="25" t="n">
        <x:v>700000</x:v>
      </x:c>
      <x:c r="J17" s="20" t="str">
        <x:v>CCB pré-fixada, em reais, sem balloon</x:v>
      </x:c>
      <x:c r="K17" s="24" t="n">
        <x:v>185</x:v>
      </x:c>
      <x:c r="L17" s="26" t="str">
        <x:v>n/d</x:v>
      </x:c>
      <x:c r="M17" s="26" t="str">
        <x:v>n/d</x:v>
      </x:c>
      <x:c r="N17" s="20" t="str">
        <x:v>VERT com dados do gestor/cedente e custodiante</x:v>
      </x:c>
      <x:c r="O17" s="20" t="str">
        <x:v>n/d</x:v>
      </x:c>
      <x:c r="P17" s="20" t="str">
        <x:v>n/d</x:v>
      </x:c>
      <x:c r="Q17" s="20" t="str">
        <x:v>crédito não performado; balloon</x:v>
      </x:c>
      <x:c r="R17" s="20" t="str">
        <x:v>WAM máximo 2.000 dias; concentração individual 0,15%/0,07%</x:v>
      </x:c>
      <x:c r="S17" s="20" t="str">
        <x:v>ANX_CRIV_LAM_PREL_20260417</x:v>
      </x:c>
      <x:c r="T17" s="20" t="str">
        <x:v>Documentado</x:v>
      </x:c>
      <x:c r="U17" s="20" t="str">
        <x:v>Limite contratual; preço efetivo permanece n/d quando o documento não publica o denominador.</x:v>
      </x:c>
    </x:row>
    <x:row r="18">
      <x:c r="A18" s="20" t="str">
        <x:v>CRI_V177</x:v>
      </x:c>
      <x:c r="B18" s="20" t="str">
        <x:v>Direito e devedor adimplentes</x:v>
      </x:c>
      <x:c r="C18" s="24" t="str">
        <x:v>n/d</x:v>
      </x:c>
      <x:c r="D18" s="20" t="n">
        <x:v>71</x:v>
      </x:c>
      <x:c r="E18" s="24" t="n">
        <x:v>3845</x:v>
      </x:c>
      <x:c r="F18" s="24" t="n">
        <x:v>126.3</x:v>
      </x:c>
      <x:c r="G18" s="24" t="n">
        <x:v>2000</x:v>
      </x:c>
      <x:c r="H18" s="25" t="n">
        <x:v>350000</x:v>
      </x:c>
      <x:c r="I18" s="25" t="n">
        <x:v>700000</x:v>
      </x:c>
      <x:c r="J18" s="20" t="str">
        <x:v>CCB de financiamento solar</x:v>
      </x:c>
      <x:c r="K18" s="24" t="n">
        <x:v>185</x:v>
      </x:c>
      <x:c r="L18" s="26" t="str">
        <x:v>n/d</x:v>
      </x:c>
      <x:c r="M18" s="26" t="str">
        <x:v>n/d</x:v>
      </x:c>
      <x:c r="N18" s="20" t="str">
        <x:v>VERT/cedente</x:v>
      </x:c>
      <x:c r="O18" s="20" t="str">
        <x:v>n/d</x:v>
      </x:c>
      <x:c r="P18" s="20" t="str">
        <x:v>n/d</x:v>
      </x:c>
      <x:c r="Q18" s="20" t="str">
        <x:v>crédito não performado</x:v>
      </x:c>
      <x:c r="R18" s="20" t="str">
        <x:v>Termo de securitização VERT 177ª, 2026-07-20</x:v>
      </x:c>
      <x:c r="S18" s="20" t="str">
        <x:v>CVM_FUNDOSNET_VERT177_20260720</x:v>
      </x:c>
      <x:c r="T18" s="20" t="str">
        <x:v>Documentado</x:v>
      </x:c>
      <x:c r="U18" s="20" t="str">
        <x:v>Limite contratual; preço efetivo permanece n/d quando o documento não publica o denominador.</x:v>
      </x:c>
    </x:row>
    <x:row r="19">
      <x:c r="A19" s="20" t="str">
        <x:v>Δ FIDC_II→CRI_K1</x:v>
      </x:c>
      <x:c r="B19" s="20" t="str">
        <x:v>CRI exige adimplência na cessão</x:v>
      </x:c>
      <x:c r="C19" s="24" t="str">
        <x:v>n/d</x:v>
      </x:c>
      <x:c r="D19" s="20" t="str">
        <x:v>n/d</x:v>
      </x:c>
      <x:c r="E19" s="24" t="str">
        <x:v>n/d</x:v>
      </x:c>
      <x:c r="F19" s="24" t="str">
        <x:v>n/d</x:v>
      </x:c>
      <x:c r="G19" s="24" t="str">
        <x:v>n/d</x:v>
      </x:c>
      <x:c r="H19" s="25" t="str">
        <x:v>n/d</x:v>
      </x:c>
      <x:c r="I19" s="25" t="str">
        <x:v>n/d</x:v>
      </x:c>
      <x:c r="J19" s="20" t="str">
        <x:v>CCB solar</x:v>
      </x:c>
      <x:c r="K19" s="24" t="str">
        <x:v>n/d</x:v>
      </x:c>
      <x:c r="L19" s="26" t="str">
        <x:v>n/d</x:v>
      </x:c>
      <x:c r="M19" s="26" t="str">
        <x:v>n/d</x:v>
      </x:c>
      <x:c r="N19" s="20" t="str">
        <x:v>Comparação por código</x:v>
      </x:c>
      <x:c r="O19" s="20" t="str">
        <x:v>n/d</x:v>
      </x:c>
      <x:c r="P19" s="20" t="str">
        <x:v>n/d</x:v>
      </x:c>
      <x:c r="Q19" s="20" t="str">
        <x:v>WAM: CRI aperta 400; prazo: CRI aperta 655</x:v>
      </x:c>
      <x:c r="R19" s="20" t="str">
        <x:v>Linha derivada; consulte as duas linhas de origem</x:v>
      </x:c>
      <x:c r="S19" s="20" t="str">
        <x:v>DOC_FIDC_II_REG_202412 | ANX_CRI1_PROSP_20240216</x:v>
      </x:c>
      <x:c r="T19" s="20" t="str">
        <x:v>Inferido</x:v>
      </x:c>
      <x:c r="U19" s="20" t="str">
        <x:v>Diferença simples entre tetos; n/d não é tratado como zero.</x:v>
      </x:c>
    </x:row>
    <x:row r="20">
      <x:c r="A20" s="20" t="str">
        <x:v>Δ FIDC_IV→CRI_K1</x:v>
      </x:c>
      <x:c r="B20" s="20" t="str">
        <x:v>CRI exige adimplência na cessão</x:v>
      </x:c>
      <x:c r="C20" s="24" t="str">
        <x:v>n/d</x:v>
      </x:c>
      <x:c r="D20" s="20" t="str">
        <x:v>n/d</x:v>
      </x:c>
      <x:c r="E20" s="24" t="str">
        <x:v>n/d</x:v>
      </x:c>
      <x:c r="F20" s="24" t="str">
        <x:v>n/d</x:v>
      </x:c>
      <x:c r="G20" s="24" t="str">
        <x:v>n/d</x:v>
      </x:c>
      <x:c r="H20" s="25" t="str">
        <x:v>n/d</x:v>
      </x:c>
      <x:c r="I20" s="25" t="str">
        <x:v>n/d</x:v>
      </x:c>
      <x:c r="J20" s="20" t="str">
        <x:v>CCB solar</x:v>
      </x:c>
      <x:c r="K20" s="24" t="str">
        <x:v>n/d</x:v>
      </x:c>
      <x:c r="L20" s="26" t="str">
        <x:v>n/d</x:v>
      </x:c>
      <x:c r="M20" s="26" t="str">
        <x:v>n/d</x:v>
      </x:c>
      <x:c r="N20" s="20" t="str">
        <x:v>Comparação por código</x:v>
      </x:c>
      <x:c r="O20" s="20" t="str">
        <x:v>n/d</x:v>
      </x:c>
      <x:c r="P20" s="20" t="str">
        <x:v>n/d</x:v>
      </x:c>
      <x:c r="Q20" s="20" t="str">
        <x:v>nenhum aperto quantificável com os campos publicados</x:v>
      </x:c>
      <x:c r="R20" s="20" t="str">
        <x:v>Linha derivada; consulte as duas linhas de origem</x:v>
      </x:c>
      <x:c r="S20" s="20" t="str">
        <x:v>DOC_FIDC_IV_REG_202510 | ANX_CRI1_PROSP_20240216</x:v>
      </x:c>
      <x:c r="T20" s="20" t="str">
        <x:v>Inferido</x:v>
      </x:c>
      <x:c r="U20" s="20" t="str">
        <x:v>Diferença simples entre tetos; n/d não é tratado como zero.</x:v>
      </x:c>
    </x:row>
    <x:row r="21">
      <x:c r="A21" s="20" t="str">
        <x:v>Δ FIDC_II→CRI_K2</x:v>
      </x:c>
      <x:c r="B21" s="20" t="str">
        <x:v>CRI exige adimplência na cessão</x:v>
      </x:c>
      <x:c r="C21" s="24" t="str">
        <x:v>n/d</x:v>
      </x:c>
      <x:c r="D21" s="20" t="str">
        <x:v>n/d</x:v>
      </x:c>
      <x:c r="E21" s="24" t="str">
        <x:v>n/d</x:v>
      </x:c>
      <x:c r="F21" s="24" t="str">
        <x:v>n/d</x:v>
      </x:c>
      <x:c r="G21" s="24" t="str">
        <x:v>n/d</x:v>
      </x:c>
      <x:c r="H21" s="25" t="str">
        <x:v>n/d</x:v>
      </x:c>
      <x:c r="I21" s="25" t="str">
        <x:v>n/d</x:v>
      </x:c>
      <x:c r="J21" s="20" t="str">
        <x:v>CCB solar</x:v>
      </x:c>
      <x:c r="K21" s="24" t="str">
        <x:v>n/d</x:v>
      </x:c>
      <x:c r="L21" s="26" t="str">
        <x:v>n/d</x:v>
      </x:c>
      <x:c r="M21" s="26" t="str">
        <x:v>n/d</x:v>
      </x:c>
      <x:c r="N21" s="20" t="str">
        <x:v>Comparação por código</x:v>
      </x:c>
      <x:c r="O21" s="20" t="str">
        <x:v>n/d</x:v>
      </x:c>
      <x:c r="P21" s="20" t="str">
        <x:v>n/d</x:v>
      </x:c>
      <x:c r="Q21" s="20" t="str">
        <x:v>WAM: CRI aperta 400; prazo: CRI aperta 655</x:v>
      </x:c>
      <x:c r="R21" s="20" t="str">
        <x:v>Linha derivada; consulte as duas linhas de origem</x:v>
      </x:c>
      <x:c r="S21" s="20" t="str">
        <x:v>DOC_FIDC_II_REG_202412 | ANX_CRI2_RATING_202406</x:v>
      </x:c>
      <x:c r="T21" s="20" t="str">
        <x:v>Inferido</x:v>
      </x:c>
      <x:c r="U21" s="20" t="str">
        <x:v>Diferença simples entre tetos; n/d não é tratado como zero.</x:v>
      </x:c>
    </x:row>
    <x:row r="22">
      <x:c r="A22" s="20" t="str">
        <x:v>Δ FIDC_IV→CRI_K2</x:v>
      </x:c>
      <x:c r="B22" s="20" t="str">
        <x:v>CRI exige adimplência na cessão</x:v>
      </x:c>
      <x:c r="C22" s="24" t="str">
        <x:v>n/d</x:v>
      </x:c>
      <x:c r="D22" s="20" t="str">
        <x:v>n/d</x:v>
      </x:c>
      <x:c r="E22" s="24" t="str">
        <x:v>n/d</x:v>
      </x:c>
      <x:c r="F22" s="24" t="str">
        <x:v>n/d</x:v>
      </x:c>
      <x:c r="G22" s="24" t="str">
        <x:v>n/d</x:v>
      </x:c>
      <x:c r="H22" s="25" t="str">
        <x:v>n/d</x:v>
      </x:c>
      <x:c r="I22" s="25" t="str">
        <x:v>n/d</x:v>
      </x:c>
      <x:c r="J22" s="20" t="str">
        <x:v>CCB solar</x:v>
      </x:c>
      <x:c r="K22" s="24" t="str">
        <x:v>n/d</x:v>
      </x:c>
      <x:c r="L22" s="26" t="str">
        <x:v>n/d</x:v>
      </x:c>
      <x:c r="M22" s="26" t="str">
        <x:v>n/d</x:v>
      </x:c>
      <x:c r="N22" s="20" t="str">
        <x:v>Comparação por código</x:v>
      </x:c>
      <x:c r="O22" s="20" t="str">
        <x:v>n/d</x:v>
      </x:c>
      <x:c r="P22" s="20" t="str">
        <x:v>n/d</x:v>
      </x:c>
      <x:c r="Q22" s="20" t="str">
        <x:v>nenhum aperto quantificável com os campos publicados</x:v>
      </x:c>
      <x:c r="R22" s="20" t="str">
        <x:v>Linha derivada; consulte as duas linhas de origem</x:v>
      </x:c>
      <x:c r="S22" s="20" t="str">
        <x:v>DOC_FIDC_IV_REG_202510 | ANX_CRI2_RATING_202406</x:v>
      </x:c>
      <x:c r="T22" s="20" t="str">
        <x:v>Inferido</x:v>
      </x:c>
      <x:c r="U22" s="20" t="str">
        <x:v>Diferença simples entre tetos; n/d não é tratado como zero.</x:v>
      </x:c>
    </x:row>
  </x:sheetData>
  <x:mergeCells>
    <x:mergeCell ref="A1:U1"/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cd725da2d3d043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24" hidden="0" customWidth="1"/>
    <x:col min="5" max="5" width="20" hidden="0" customWidth="1"/>
    <x:col min="6" max="6" width="12" hidden="0" customWidth="1"/>
    <x:col min="7" max="7" width="12" hidden="0" customWidth="1"/>
    <x:col min="8" max="8" width="15" hidden="0" customWidth="1"/>
    <x:col min="9" max="9" width="24" hidden="0" customWidth="1"/>
    <x:col min="10" max="10" width="24" hidden="0" customWidth="1"/>
    <x:col min="11" max="11" width="24" hidden="0" customWidth="1"/>
    <x:col min="12" max="12" width="13" hidden="0" customWidth="1"/>
    <x:col min="13" max="13" width="34" hidden="0" customWidth="1"/>
    <x:col min="14" max="14" width="19" hidden="0" customWidth="1"/>
    <x:col min="15" max="15" width="42" hidden="0" customWidth="1"/>
  </x:cols>
  <x:sheetData>
    <x:row r="1" ht="30" customHeight="1">
      <x:c r="A1" s="3" t="str">
        <x:v>04 Concentracao</x:v>
      </x:c>
    </x:row>
    <x:row r="2" ht="34" customHeight="1">
      <x:c r="A2" s="7" t="str">
        <x:v>Limites contratuais e concentração observada usam colunas separadas. O cap ANBIMA é classificatório e não substitui o contrato.</x:v>
      </x:c>
    </x:row>
    <x:row r="3" ht="24" customHeight="1">
      <x:c r="A3" s="11" t="str">
        <x:v>Data-base: 2026-05-01 a 2026-07-31 | Fontes: DOC_FIDC_I_REG_202411; CVM_FIDC_202607_VIII; DOC_FIDC_II_REG_202412; DOC_FIDC_III_REG_202512; DOC_FIDC_IV_REG_202510;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 ht="34" customHeight="1">
      <x:c r="A5" s="16" t="str">
        <x:v>veiculo_id</x:v>
      </x:c>
      <x:c r="B5" s="16" t="str">
        <x:v>cap_individual_pct</x:v>
      </x:c>
      <x:c r="C5" s="16" t="str">
        <x:v>cap_top10_pct</x:v>
      </x:c>
      <x:c r="D5" s="16" t="str">
        <x:v>cap_por_devedor_ANBIMA_pct</x:v>
      </x:c>
      <x:c r="E5" s="16" t="str">
        <x:v>cap_por_integrador</x:v>
      </x:c>
      <x:c r="F5" s="16" t="str">
        <x:v>cap_por_UF</x:v>
      </x:c>
      <x:c r="G5" s="16" t="str">
        <x:v>cap_PJ_pct</x:v>
      </x:c>
      <x:c r="H5" s="16" t="str">
        <x:v>cap_por_safra</x:v>
      </x:c>
      <x:c r="I5" s="16" t="str">
        <x:v>concentracao_observada_individual</x:v>
      </x:c>
      <x:c r="J5" s="16" t="str">
        <x:v>concentracao_observada_top10</x:v>
      </x:c>
      <x:c r="K5" s="16" t="str">
        <x:v>folga_vs_limite_pp</x:v>
      </x:c>
      <x:c r="L5" s="16" t="str">
        <x:v>data_base</x:v>
      </x:c>
      <x:c r="M5" s="16" t="str">
        <x:v>fonte_id</x:v>
      </x:c>
      <x:c r="N5" s="16" t="str">
        <x:v>status</x:v>
      </x:c>
      <x:c r="O5" s="16" t="str">
        <x:v>nota_metodo</x:v>
      </x:c>
    </x:row>
    <x:row r="6">
      <x:c r="A6" s="20" t="str">
        <x:v>FIDC_I</x:v>
      </x:c>
      <x:c r="B6" s="26" t="n">
        <x:v>0.02</x:v>
      </x:c>
      <x:c r="C6" s="26" t="n">
        <x:v>0.1</x:v>
      </x:c>
      <x:c r="D6" s="26" t="str">
        <x:v>n/d</x:v>
      </x:c>
      <x:c r="E6" s="26" t="n">
        <x:v>0.1</x:v>
      </x:c>
      <x:c r="F6" s="26" t="str">
        <x:v>n/d</x:v>
      </x:c>
      <x:c r="G6" s="26" t="str">
        <x:v>n/d</x:v>
      </x:c>
      <x:c r="H6" s="26" t="str">
        <x:v>n/d</x:v>
      </x:c>
      <x:c r="I6" s="26" t="n">
        <x:v>0.003960100211008334</x:v>
      </x:c>
      <x:c r="J6" s="26" t="n">
        <x:v>0.01835899801118872</x:v>
      </x:c>
      <x:c r="K6" s="26" t="n">
        <x:v>0.016039899788991667</x:v>
      </x:c>
      <x:c r="L6" s="21" t="n">
        <x:v>46234</x:v>
      </x:c>
      <x:c r="M6" s="20" t="str">
        <x:v>DOC_FIDC_I_REG_202411 | CVM_FIDC_202607_VIII</x:v>
      </x:c>
      <x:c r="N6" s="20" t="str">
        <x:v>Documentado</x:v>
      </x:c>
      <x:c r="O6" s="20" t="str">
        <x:v>Observado = valores da Tabela VIII / carteira; a CVM publica os maiores valores sem identificação do devedor.</x:v>
      </x:c>
    </x:row>
    <x:row r="7">
      <x:c r="A7" s="20" t="str">
        <x:v>FIDC_II</x:v>
      </x:c>
      <x:c r="B7" s="26" t="n">
        <x:v>0.02</x:v>
      </x:c>
      <x:c r="C7" s="26" t="n">
        <x:v>0.1</x:v>
      </x:c>
      <x:c r="D7" s="26" t="str">
        <x:v>n/d</x:v>
      </x:c>
      <x:c r="E7" s="26" t="str">
        <x:v>n/d</x:v>
      </x:c>
      <x:c r="F7" s="26" t="str">
        <x:v>n/d</x:v>
      </x:c>
      <x:c r="G7" s="26" t="str">
        <x:v>n/d</x:v>
      </x:c>
      <x:c r="H7" s="26" t="str">
        <x:v>n/d</x:v>
      </x:c>
      <x:c r="I7" s="26" t="n">
        <x:v>0.0034024229867375775</x:v>
      </x:c>
      <x:c r="J7" s="26" t="n">
        <x:v>0.02724945836220062</x:v>
      </x:c>
      <x:c r="K7" s="26" t="n">
        <x:v>0.01659757701326242</x:v>
      </x:c>
      <x:c r="L7" s="21" t="n">
        <x:v>46234</x:v>
      </x:c>
      <x:c r="M7" s="20" t="str">
        <x:v>DOC_FIDC_II_REG_202412 | CVM_FIDC_202607_VIII</x:v>
      </x:c>
      <x:c r="N7" s="20" t="str">
        <x:v>Documentado</x:v>
      </x:c>
      <x:c r="O7" s="20" t="str">
        <x:v>Observado = valores da Tabela VIII / carteira; a CVM publica os maiores valores sem identificação do devedor.</x:v>
      </x:c>
    </x:row>
    <x:row r="8">
      <x:c r="A8" s="20" t="str">
        <x:v>FIDC_III</x:v>
      </x:c>
      <x:c r="B8" s="26" t="n">
        <x:v>0.001</x:v>
      </x:c>
      <x:c r="C8" s="26" t="n">
        <x:v>0.01</x:v>
      </x:c>
      <x:c r="D8" s="26" t="str">
        <x:v>n/d</x:v>
      </x:c>
      <x:c r="E8" s="26" t="str">
        <x:v>n/d</x:v>
      </x:c>
      <x:c r="F8" s="26" t="str">
        <x:v>n/d</x:v>
      </x:c>
      <x:c r="G8" s="26" t="str">
        <x:v>n/d</x:v>
      </x:c>
      <x:c r="H8" s="26" t="str">
        <x:v>n/d</x:v>
      </x:c>
      <x:c r="I8" s="26" t="n">
        <x:v>0.0013293628206343026</x:v>
      </x:c>
      <x:c r="J8" s="26" t="n">
        <x:v>0.011714587741632506</x:v>
      </x:c>
      <x:c r="K8" s="26" t="n">
        <x:v>-0.0003293628206343026</x:v>
      </x:c>
      <x:c r="L8" s="21" t="n">
        <x:v>46234</x:v>
      </x:c>
      <x:c r="M8" s="20" t="str">
        <x:v>DOC_FIDC_III_REG_202512 | CVM_FIDC_202607_VIII</x:v>
      </x:c>
      <x:c r="N8" s="20" t="str">
        <x:v>Documentado</x:v>
      </x:c>
      <x:c r="O8" s="20" t="str">
        <x:v>Observado = valores da Tabela VIII / carteira; a CVM publica os maiores valores sem identificação do devedor.</x:v>
      </x:c>
    </x:row>
    <x:row r="9">
      <x:c r="A9" s="20" t="str">
        <x:v>FIDC_IV</x:v>
      </x:c>
      <x:c r="B9" s="26" t="n">
        <x:v>0.2</x:v>
      </x:c>
      <x:c r="C9" s="26" t="str">
        <x:v>n/d</x:v>
      </x:c>
      <x:c r="D9" s="26" t="str">
        <x:v>n/d</x:v>
      </x:c>
      <x:c r="E9" s="26" t="str">
        <x:v>n/d</x:v>
      </x:c>
      <x:c r="F9" s="26" t="str">
        <x:v>n/d</x:v>
      </x:c>
      <x:c r="G9" s="26" t="str">
        <x:v>n/d</x:v>
      </x:c>
      <x:c r="H9" s="26" t="str">
        <x:v>n/d</x:v>
      </x:c>
      <x:c r="I9" s="26" t="n">
        <x:v>0.04938548246023945</x:v>
      </x:c>
      <x:c r="J9" s="26" t="n">
        <x:v>0.3357596375549542</x:v>
      </x:c>
      <x:c r="K9" s="26" t="n">
        <x:v>0.15061451753976057</x:v>
      </x:c>
      <x:c r="L9" s="21" t="n">
        <x:v>46234</x:v>
      </x:c>
      <x:c r="M9" s="20" t="str">
        <x:v>DOC_FIDC_IV_REG_202510 | CVM_FIDC_202607_VIII</x:v>
      </x:c>
      <x:c r="N9" s="20" t="str">
        <x:v>Documentado</x:v>
      </x:c>
      <x:c r="O9" s="20" t="str">
        <x:v>Observado = valores da Tabela VIII / carteira; a CVM publica os maiores valores sem identificação do devedor.</x:v>
      </x:c>
    </x:row>
    <x:row r="10">
      <x:c r="A10" s="20" t="str">
        <x:v>FIDC_V</x:v>
      </x:c>
      <x:c r="B10" s="26" t="n">
        <x:v>0.02</x:v>
      </x:c>
      <x:c r="C10" s="26" t="n">
        <x:v>0.1</x:v>
      </x:c>
      <x:c r="D10" s="26" t="str">
        <x:v>n/d</x:v>
      </x:c>
      <x:c r="E10" s="26" t="n">
        <x:v>0.1</x:v>
      </x:c>
      <x:c r="F10" s="26" t="str">
        <x:v>n/d</x:v>
      </x:c>
      <x:c r="G10" s="26" t="str">
        <x:v>n/d</x:v>
      </x:c>
      <x:c r="H10" s="26" t="str">
        <x:v>n/d</x:v>
      </x:c>
      <x:c r="I10" s="26" t="n">
        <x:v>0.005114997034564333</x:v>
      </x:c>
      <x:c r="J10" s="26" t="n">
        <x:v>0.03849192995881883</x:v>
      </x:c>
      <x:c r="K10" s="26" t="n">
        <x:v>0.014885002965435667</x:v>
      </x:c>
      <x:c r="L10" s="21" t="n">
        <x:v>46234</x:v>
      </x:c>
      <x:c r="M10" s="20" t="str">
        <x:v>DOC_FIDC_V_REG_202411 | CVM_FIDC_202607_VIII</x:v>
      </x:c>
      <x:c r="N10" s="20" t="str">
        <x:v>Documentado</x:v>
      </x:c>
      <x:c r="O10" s="20" t="str">
        <x:v>Observado = valores da Tabela VIII / carteira; a CVM publica os maiores valores sem identificação do devedor.</x:v>
      </x:c>
    </x:row>
    <x:row r="11">
      <x:c r="A11" s="20" t="str">
        <x:v>FIDC_VI</x:v>
      </x:c>
      <x:c r="B11" s="26" t="n">
        <x:v>0.2</x:v>
      </x:c>
      <x:c r="C11" s="26" t="str">
        <x:v>n/d</x:v>
      </x:c>
      <x:c r="D11" s="26" t="str">
        <x:v>n/d</x:v>
      </x:c>
      <x:c r="E11" s="26" t="str">
        <x:v>n/d</x:v>
      </x:c>
      <x:c r="F11" s="26" t="str">
        <x:v>n/d</x:v>
      </x:c>
      <x:c r="G11" s="26" t="str">
        <x:v>n/d</x:v>
      </x:c>
      <x:c r="H11" s="26" t="str">
        <x:v>n/d</x:v>
      </x:c>
      <x:c r="I11" s="26" t="n">
        <x:v>0</x:v>
      </x:c>
      <x:c r="J11" s="26" t="n">
        <x:v>0</x:v>
      </x:c>
      <x:c r="K11" s="26" t="n">
        <x:v>0.2</x:v>
      </x:c>
      <x:c r="L11" s="21" t="n">
        <x:v>46234</x:v>
      </x:c>
      <x:c r="M11" s="20" t="str">
        <x:v>DOC_FIDC_VI_REG_202605 | CVM_FIDC_202607_VIII</x:v>
      </x:c>
      <x:c r="N11" s="20" t="str">
        <x:v>Documentado</x:v>
      </x:c>
      <x:c r="O11" s="20" t="str">
        <x:v>Observado = valores da Tabela VIII / carteira; a CVM publica os maiores valores sem identificação do devedor.</x:v>
      </x:c>
    </x:row>
    <x:row r="12">
      <x:c r="A12" s="20" t="str">
        <x:v>FIDC_VII</x:v>
      </x:c>
      <x:c r="B12" s="26" t="n">
        <x:v>0.2</x:v>
      </x:c>
      <x:c r="C12" s="26" t="str">
        <x:v>n/d</x:v>
      </x:c>
      <x:c r="D12" s="26" t="str">
        <x:v>n/d</x:v>
      </x:c>
      <x:c r="E12" s="26" t="str">
        <x:v>n/d</x:v>
      </x:c>
      <x:c r="F12" s="26" t="str">
        <x:v>n/d</x:v>
      </x:c>
      <x:c r="G12" s="26" t="str">
        <x:v>n/d</x:v>
      </x:c>
      <x:c r="H12" s="26" t="str">
        <x:v>n/d</x:v>
      </x:c>
      <x:c r="I12" s="26" t="n">
        <x:v>0.00022628154613655758</x:v>
      </x:c>
      <x:c r="J12" s="26" t="n">
        <x:v>0.0019126075073097623</x:v>
      </x:c>
      <x:c r="K12" s="26" t="n">
        <x:v>0.19977371845386346</x:v>
      </x:c>
      <x:c r="L12" s="21" t="n">
        <x:v>46234</x:v>
      </x:c>
      <x:c r="M12" s="20" t="str">
        <x:v>DOC_FIDC_VII_REG_202605 | CVM_FIDC_202607_VIII</x:v>
      </x:c>
      <x:c r="N12" s="20" t="str">
        <x:v>Documentado</x:v>
      </x:c>
      <x:c r="O12" s="20" t="str">
        <x:v>Observado = valores da Tabela VIII / carteira; a CVM publica os maiores valores sem identificação do devedor.</x:v>
      </x:c>
    </x:row>
    <x:row r="13">
      <x:c r="A13" s="20" t="str">
        <x:v>CRI_K1</x:v>
      </x:c>
      <x:c r="B13" s="26" t="n">
        <x:v>0.001</x:v>
      </x:c>
      <x:c r="C13" s="26" t="n">
        <x:v>0.01</x:v>
      </x:c>
      <x:c r="D13" s="26" t="n">
        <x:v>0.2</x:v>
      </x:c>
      <x:c r="E13" s="26" t="str">
        <x:v>n/d</x:v>
      </x:c>
      <x:c r="F13" s="26" t="str">
        <x:v>n/d</x:v>
      </x:c>
      <x:c r="G13" s="26" t="str">
        <x:v>n/d</x:v>
      </x:c>
      <x:c r="H13" s="26" t="str">
        <x:v>n/d</x:v>
      </x:c>
      <x:c r="I13" s="26" t="n">
        <x:v>0</x:v>
      </x:c>
      <x:c r="J13" s="26" t="n">
        <x:v>0.01</x:v>
      </x:c>
      <x:c r="K13" s="26" t="n">
        <x:v>0.001</x:v>
      </x:c>
      <x:c r="L13" s="21" t="n">
        <x:v>46174</x:v>
      </x:c>
      <x:c r="M13" s="20" t="str">
        <x:v>ANX_CRI1_PROSP_20240216 | CVM_CRI_2026_CREDITOS</x:v>
      </x:c>
      <x:c r="N13" s="20" t="str">
        <x:v>Documentado</x:v>
      </x:c>
      <x:c r="O13" s="20" t="str">
        <x:v>Cap ANBIMA de 20% é classificação de mercado e não substitui o limite contratual.</x:v>
      </x:c>
    </x:row>
    <x:row r="14">
      <x:c r="A14" s="20" t="str">
        <x:v>CRI_K2</x:v>
      </x:c>
      <x:c r="B14" s="26" t="n">
        <x:v>0.001</x:v>
      </x:c>
      <x:c r="C14" s="26" t="str">
        <x:v>n/d</x:v>
      </x:c>
      <x:c r="D14" s="26" t="n">
        <x:v>0.2</x:v>
      </x:c>
      <x:c r="E14" s="26" t="str">
        <x:v>n/d</x:v>
      </x:c>
      <x:c r="F14" s="26" t="str">
        <x:v>n/d</x:v>
      </x:c>
      <x:c r="G14" s="26" t="str">
        <x:v>n/d</x:v>
      </x:c>
      <x:c r="H14" s="26" t="str">
        <x:v>n/d</x:v>
      </x:c>
      <x:c r="I14" s="26" t="n">
        <x:v>0</x:v>
      </x:c>
      <x:c r="J14" s="26" t="n">
        <x:v>0.01</x:v>
      </x:c>
      <x:c r="K14" s="26" t="n">
        <x:v>0.001</x:v>
      </x:c>
      <x:c r="L14" s="21" t="n">
        <x:v>46143</x:v>
      </x:c>
      <x:c r="M14" s="20" t="str">
        <x:v>ANX_CRI2_RATING_202406 | CVM_CRI_2026_CREDITOS</x:v>
      </x:c>
      <x:c r="N14" s="20" t="str">
        <x:v>Documentado</x:v>
      </x:c>
      <x:c r="O14" s="20" t="str">
        <x:v>Cap ANBIMA de 20% é classificação de mercado e não substitui o limite contratual.</x:v>
      </x:c>
    </x:row>
    <x:row r="15">
      <x:c r="A15" s="20" t="str">
        <x:v>CRI_K3</x:v>
      </x:c>
      <x:c r="B15" s="26" t="n">
        <x:v>0.001</x:v>
      </x:c>
      <x:c r="C15" s="26" t="str">
        <x:v>n/d</x:v>
      </x:c>
      <x:c r="D15" s="26" t="n">
        <x:v>0.2</x:v>
      </x:c>
      <x:c r="E15" s="26" t="str">
        <x:v>n/d</x:v>
      </x:c>
      <x:c r="F15" s="26" t="str">
        <x:v>n/d</x:v>
      </x:c>
      <x:c r="G15" s="26" t="str">
        <x:v>n/d</x:v>
      </x:c>
      <x:c r="H15" s="26" t="str">
        <x:v>n/d</x:v>
      </x:c>
      <x:c r="I15" s="26" t="n">
        <x:v>0</x:v>
      </x:c>
      <x:c r="J15" s="26" t="n">
        <x:v>0.01</x:v>
      </x:c>
      <x:c r="K15" s="26" t="n">
        <x:v>0.001</x:v>
      </x:c>
      <x:c r="L15" s="21" t="n">
        <x:v>46143</x:v>
      </x:c>
      <x:c r="M15" s="20" t="str">
        <x:v>ANX_CRI3_LAM_PREL_20250422 | CVM_CRI_2026_CREDITOS</x:v>
      </x:c>
      <x:c r="N15" s="20" t="str">
        <x:v>Documentado</x:v>
      </x:c>
      <x:c r="O15" s="20" t="str">
        <x:v>Cap ANBIMA de 20% é classificação de mercado e não substitui o limite contratual.</x:v>
      </x:c>
    </x:row>
    <x:row r="16">
      <x:c r="A16" s="20" t="str">
        <x:v>CRI_K4</x:v>
      </x:c>
      <x:c r="B16" s="26" t="n">
        <x:v>0.001</x:v>
      </x:c>
      <x:c r="C16" s="26" t="str">
        <x:v>n/d</x:v>
      </x:c>
      <x:c r="D16" s="26" t="n">
        <x:v>0.2</x:v>
      </x:c>
      <x:c r="E16" s="26" t="str">
        <x:v>n/d</x:v>
      </x:c>
      <x:c r="F16" s="26" t="str">
        <x:v>n/d</x:v>
      </x:c>
      <x:c r="G16" s="26" t="str">
        <x:v>n/d</x:v>
      </x:c>
      <x:c r="H16" s="26" t="str">
        <x:v>n/d</x:v>
      </x:c>
      <x:c r="I16" s="26" t="n">
        <x:v>0</x:v>
      </x:c>
      <x:c r="J16" s="26" t="n">
        <x:v>0.01</x:v>
      </x:c>
      <x:c r="K16" s="26" t="n">
        <x:v>0.001</x:v>
      </x:c>
      <x:c r="L16" s="21" t="n">
        <x:v>46143</x:v>
      </x:c>
      <x:c r="M16" s="20" t="str">
        <x:v>ANX_CRI4_INICIO_20250929 | CVM_CRI_2026_CREDITOS</x:v>
      </x:c>
      <x:c r="N16" s="20" t="str">
        <x:v>Documentado</x:v>
      </x:c>
      <x:c r="O16" s="20" t="str">
        <x:v>Cap ANBIMA de 20% é classificação de mercado e não substitui o limite contratual.</x:v>
      </x:c>
    </x:row>
    <x:row r="17">
      <x:c r="A17" s="20" t="str">
        <x:v>CRI_V174</x:v>
      </x:c>
      <x:c r="B17" s="26" t="str">
        <x:v>0,15% até 470,6 mil unidades; 0,07% no patamar 750 mil</x:v>
      </x:c>
      <x:c r="C17" s="26" t="str">
        <x:v>n/d</x:v>
      </x:c>
      <x:c r="D17" s="26" t="n">
        <x:v>0.2</x:v>
      </x:c>
      <x:c r="E17" s="26" t="str">
        <x:v>n/d</x:v>
      </x:c>
      <x:c r="F17" s="26" t="str">
        <x:v>n/d</x:v>
      </x:c>
      <x:c r="G17" s="26" t="str">
        <x:v>n/d</x:v>
      </x:c>
      <x:c r="H17" s="26" t="str">
        <x:v>n/d</x:v>
      </x:c>
      <x:c r="I17" s="26" t="n">
        <x:v>0</x:v>
      </x:c>
      <x:c r="J17" s="26" t="n">
        <x:v>0</x:v>
      </x:c>
      <x:c r="K17" s="26" t="str">
        <x:v>n/d</x:v>
      </x:c>
      <x:c r="L17" s="21" t="n">
        <x:v>46174</x:v>
      </x:c>
      <x:c r="M17" s="20" t="str">
        <x:v>ANX_CRIV_LAM_PREL_20260417 | CVM_CRI_2026_CREDITOS</x:v>
      </x:c>
      <x:c r="N17" s="20" t="str">
        <x:v>Documentado</x:v>
      </x:c>
      <x:c r="O17" s="20" t="str">
        <x:v>Cap ANBIMA de 20% é classificação de mercado e não substitui o limite contratual.</x:v>
      </x:c>
    </x:row>
    <x:row r="18">
      <x:c r="A18" s="20" t="str">
        <x:v>CRI_V177</x:v>
      </x:c>
      <x:c r="B18" s="26" t="str">
        <x:v>n/d</x:v>
      </x:c>
      <x:c r="C18" s="26" t="str">
        <x:v>n/d</x:v>
      </x:c>
      <x:c r="D18" s="26" t="n">
        <x:v>0.2</x:v>
      </x:c>
      <x:c r="E18" s="26" t="str">
        <x:v>n/d</x:v>
      </x:c>
      <x:c r="F18" s="26" t="str">
        <x:v>n/d</x:v>
      </x:c>
      <x:c r="G18" s="26" t="str">
        <x:v>n/d</x:v>
      </x:c>
      <x:c r="H18" s="26" t="str">
        <x:v>n/d</x:v>
      </x:c>
      <x:c r="I18" s="26" t="str">
        <x:v>n/d</x:v>
      </x:c>
      <x:c r="J18" s="26" t="str">
        <x:v>n/d</x:v>
      </x:c>
      <x:c r="K18" s="26" t="str">
        <x:v>n/d</x:v>
      </x:c>
      <x:c r="L18" s="21" t="str">
        <x:v>n/d</x:v>
      </x:c>
      <x:c r="M18" s="20" t="str">
        <x:v>CVM_FUNDOSNET_VERT177_20260720 | CVM_CRI_2026_CREDITOS</x:v>
      </x:c>
      <x:c r="N18" s="20" t="str">
        <x:v>n/d</x:v>
      </x:c>
      <x:c r="O18" s="20" t="str">
        <x:v>Cap ANBIMA de 20% é classificação de mercado e não substitui o limite contratual.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70daf53378c242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24" hidden="0" customWidth="1"/>
    <x:col min="5" max="5" width="24" hidden="0" customWidth="1"/>
    <x:col min="6" max="6" width="13" hidden="0" customWidth="1"/>
    <x:col min="7" max="7" width="24" hidden="0" customWidth="1"/>
    <x:col min="8" max="8" width="19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19" hidden="0" customWidth="1"/>
    <x:col min="14" max="14" width="42" hidden="0" customWidth="1"/>
  </x:cols>
  <x:sheetData>
    <x:row r="1" ht="30" customHeight="1">
      <x:c r="A1" s="3" t="str">
        <x:v>05 Prazos WAM</x:v>
      </x:c>
    </x:row>
    <x:row r="2" ht="34" customHeight="1">
      <x:c r="A2" s="7" t="str">
        <x:v>Teto de WAM, prazo do recebível e prazo legal do veículo aparecem na mesma escala. WAM observado fica n/d quando o tape não é público.</x:v>
      </x:c>
    </x:row>
    <x:row r="3" ht="24" customHeight="1">
      <x:c r="A3" s="11" t="str">
        <x:v>Data-base: por linha | Fontes: DOC_FIDC_I_REG_202411; DOC_FIDC_II_REG_202412; DOC_FIDC_III_REG_202512; DOC_FIDC_IV_REG_202510; DOC_FIDC_V_REG_202411;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</x:row>
    <x:row r="5" ht="34" customHeight="1">
      <x:c r="A5" s="16" t="str">
        <x:v>veiculo_id</x:v>
      </x:c>
      <x:c r="B5" s="16" t="str">
        <x:v>wam_contratual_max_dias</x:v>
      </x:c>
      <x:c r="C5" s="16" t="str">
        <x:v>wam_observado_dias</x:v>
      </x:c>
      <x:c r="D5" s="16" t="str">
        <x:v>prazo_medio_recebivel_meses</x:v>
      </x:c>
      <x:c r="E5" s="16" t="str">
        <x:v>prazo_max_recebivel_meses</x:v>
      </x:c>
      <x:c r="F5" s="16" t="str">
        <x:v>vencimento_do_veiculo</x:v>
      </x:c>
      <x:c r="G5" s="16" t="str">
        <x:v>prazo_do_veiculo_meses</x:v>
      </x:c>
      <x:c r="H5" s="16" t="str">
        <x:v>duration_serie_mais_longa</x:v>
      </x:c>
      <x:c r="I5" s="16" t="str">
        <x:v>gap_ativo_passivo_meses</x:v>
      </x:c>
      <x:c r="J5" s="16" t="str">
        <x:v>periodo_revolvencia_meses</x:v>
      </x:c>
      <x:c r="K5" s="16" t="str">
        <x:v>inicio_amortizacao</x:v>
      </x:c>
      <x:c r="L5" s="16" t="str">
        <x:v>fonte_id</x:v>
      </x:c>
      <x:c r="M5" s="16" t="str">
        <x:v>status</x:v>
      </x:c>
      <x:c r="N5" s="16" t="str">
        <x:v>nota_metodo</x:v>
      </x:c>
    </x:row>
    <x:row r="6">
      <x:c r="A6" s="20" t="str">
        <x:v>FIDC_I</x:v>
      </x:c>
      <x:c r="B6" s="24" t="n">
        <x:v>2135</x:v>
      </x:c>
      <x:c r="C6" s="24" t="str">
        <x:v>n/d</x:v>
      </x:c>
      <x:c r="D6" s="24" t="str">
        <x:v>n/d</x:v>
      </x:c>
      <x:c r="E6" s="24" t="n">
        <x:v>126</x:v>
      </x:c>
      <x:c r="F6" s="21" t="str">
        <x:v>n/d</x:v>
      </x:c>
      <x:c r="G6" s="24" t="str">
        <x:v>n/d</x:v>
      </x:c>
      <x:c r="H6" s="24" t="str">
        <x:v>n/d</x:v>
      </x:c>
      <x:c r="I6" s="24" t="str">
        <x:v>n/d</x:v>
      </x:c>
      <x:c r="J6" s="24" t="n">
        <x:v>12</x:v>
      </x:c>
      <x:c r="K6" s="21" t="n">
        <x:v>45597</x:v>
      </x:c>
      <x:c r="L6" s="20" t="str">
        <x:v>DOC_FIDC_I_REG_202411</x:v>
      </x:c>
      <x:c r="M6" s="20" t="str">
        <x:v>Documentado</x:v>
      </x:c>
      <x:c r="N6" s="20" t="str">
        <x:v>Regulamentos/suplementos não publicam vencimentos efetivos em vários FIDCs; teto de WAM não é WAM observado.</x:v>
      </x:c>
    </x:row>
    <x:row r="7">
      <x:c r="A7" s="20" t="str">
        <x:v>FIDC_II</x:v>
      </x:c>
      <x:c r="B7" s="24" t="n">
        <x:v>2400</x:v>
      </x:c>
      <x:c r="C7" s="24" t="str">
        <x:v>n/d</x:v>
      </x:c>
      <x:c r="D7" s="24" t="str">
        <x:v>n/d</x:v>
      </x:c>
      <x:c r="E7" s="24" t="n">
        <x:v>150</x:v>
      </x:c>
      <x:c r="F7" s="21" t="str">
        <x:v>n/d</x:v>
      </x:c>
      <x:c r="G7" s="24" t="str">
        <x:v>n/d</x:v>
      </x:c>
      <x:c r="H7" s="24" t="str">
        <x:v>n/d</x:v>
      </x:c>
      <x:c r="I7" s="24" t="str">
        <x:v>n/d</x:v>
      </x:c>
      <x:c r="J7" s="24" t="str">
        <x:v>n/d</x:v>
      </x:c>
      <x:c r="K7" s="21" t="str">
        <x:v>n/d</x:v>
      </x:c>
      <x:c r="L7" s="20" t="str">
        <x:v>DOC_FIDC_II_REG_202412</x:v>
      </x:c>
      <x:c r="M7" s="20" t="str">
        <x:v>Documentado</x:v>
      </x:c>
      <x:c r="N7" s="20" t="str">
        <x:v>Regulamentos/suplementos não publicam vencimentos efetivos em vários FIDCs; teto de WAM não é WAM observado.</x:v>
      </x:c>
    </x:row>
    <x:row r="8">
      <x:c r="A8" s="20" t="str">
        <x:v>FIDC_III</x:v>
      </x:c>
      <x:c r="B8" s="24" t="n">
        <x:v>2000</x:v>
      </x:c>
      <x:c r="C8" s="24" t="str">
        <x:v>n/d</x:v>
      </x:c>
      <x:c r="D8" s="24" t="str">
        <x:v>n/d</x:v>
      </x:c>
      <x:c r="E8" s="24" t="n">
        <x:v>150</x:v>
      </x:c>
      <x:c r="F8" s="21" t="str">
        <x:v>n/d</x:v>
      </x:c>
      <x:c r="G8" s="24" t="str">
        <x:v>n/d</x:v>
      </x:c>
      <x:c r="H8" s="24" t="str">
        <x:v>n/d</x:v>
      </x:c>
      <x:c r="I8" s="24" t="str">
        <x:v>n/d</x:v>
      </x:c>
      <x:c r="J8" s="24" t="n">
        <x:v>6</x:v>
      </x:c>
      <x:c r="K8" s="21" t="str">
        <x:v>n/d</x:v>
      </x:c>
      <x:c r="L8" s="20" t="str">
        <x:v>DOC_FIDC_III_REG_202512</x:v>
      </x:c>
      <x:c r="M8" s="20" t="str">
        <x:v>Documentado</x:v>
      </x:c>
      <x:c r="N8" s="20" t="str">
        <x:v>Regulamentos/suplementos não publicam vencimentos efetivos em vários FIDCs; teto de WAM não é WAM observado.</x:v>
      </x:c>
    </x:row>
    <x:row r="9">
      <x:c r="A9" s="20" t="str">
        <x:v>FIDC_IV</x:v>
      </x:c>
      <x:c r="B9" s="24" t="str">
        <x:v>n/d</x:v>
      </x:c>
      <x:c r="C9" s="24" t="str">
        <x:v>n/d</x:v>
      </x:c>
      <x:c r="D9" s="24" t="str">
        <x:v>n/d</x:v>
      </x:c>
      <x:c r="E9" s="24" t="str">
        <x:v>n/d</x:v>
      </x:c>
      <x:c r="F9" s="21" t="str">
        <x:v>n/d</x:v>
      </x:c>
      <x:c r="G9" s="24" t="str">
        <x:v>n/d</x:v>
      </x:c>
      <x:c r="H9" s="24" t="str">
        <x:v>n/d</x:v>
      </x:c>
      <x:c r="I9" s="24" t="str">
        <x:v>n/d</x:v>
      </x:c>
      <x:c r="J9" s="24" t="str">
        <x:v>n/d</x:v>
      </x:c>
      <x:c r="K9" s="21" t="str">
        <x:v>n/d</x:v>
      </x:c>
      <x:c r="L9" s="20" t="str">
        <x:v>DOC_FIDC_IV_REG_202510</x:v>
      </x:c>
      <x:c r="M9" s="20" t="str">
        <x:v>Documentado</x:v>
      </x:c>
      <x:c r="N9" s="20" t="str">
        <x:v>Regulamentos/suplementos não publicam vencimentos efetivos em vários FIDCs; teto de WAM não é WAM observado.</x:v>
      </x:c>
    </x:row>
    <x:row r="10">
      <x:c r="A10" s="20" t="str">
        <x:v>FIDC_V</x:v>
      </x:c>
      <x:c r="B10" s="24" t="n">
        <x:v>2400</x:v>
      </x:c>
      <x:c r="C10" s="24" t="str">
        <x:v>n/d</x:v>
      </x:c>
      <x:c r="D10" s="24" t="str">
        <x:v>n/d</x:v>
      </x:c>
      <x:c r="E10" s="24" t="n">
        <x:v>156</x:v>
      </x:c>
      <x:c r="F10" s="21" t="str">
        <x:v>n/d</x:v>
      </x:c>
      <x:c r="G10" s="24" t="str">
        <x:v>n/d</x:v>
      </x:c>
      <x:c r="H10" s="24" t="str">
        <x:v>n/d</x:v>
      </x:c>
      <x:c r="I10" s="24" t="str">
        <x:v>n/d</x:v>
      </x:c>
      <x:c r="J10" s="24" t="str">
        <x:v>n/d</x:v>
      </x:c>
      <x:c r="K10" s="21" t="str">
        <x:v>n/d</x:v>
      </x:c>
      <x:c r="L10" s="20" t="str">
        <x:v>DOC_FIDC_V_REG_202411</x:v>
      </x:c>
      <x:c r="M10" s="20" t="str">
        <x:v>Documentado</x:v>
      </x:c>
      <x:c r="N10" s="20" t="str">
        <x:v>Regulamentos/suplementos não publicam vencimentos efetivos em vários FIDCs; teto de WAM não é WAM observado.</x:v>
      </x:c>
    </x:row>
    <x:row r="11">
      <x:c r="A11" s="20" t="str">
        <x:v>FIDC_VI</x:v>
      </x:c>
      <x:c r="B11" s="24" t="n">
        <x:v>2400</x:v>
      </x:c>
      <x:c r="C11" s="24" t="str">
        <x:v>n/d</x:v>
      </x:c>
      <x:c r="D11" s="24" t="str">
        <x:v>n/d</x:v>
      </x:c>
      <x:c r="E11" s="24" t="n">
        <x:v>126</x:v>
      </x:c>
      <x:c r="F11" s="21" t="str">
        <x:v>n/d</x:v>
      </x:c>
      <x:c r="G11" s="24" t="str">
        <x:v>n/d</x:v>
      </x:c>
      <x:c r="H11" s="24" t="str">
        <x:v>n/d</x:v>
      </x:c>
      <x:c r="I11" s="24" t="str">
        <x:v>n/d</x:v>
      </x:c>
      <x:c r="J11" s="24" t="str">
        <x:v>n/d</x:v>
      </x:c>
      <x:c r="K11" s="21" t="str">
        <x:v>n/d</x:v>
      </x:c>
      <x:c r="L11" s="20" t="str">
        <x:v>DOC_FIDC_VI_REG_202605</x:v>
      </x:c>
      <x:c r="M11" s="20" t="str">
        <x:v>Documentado</x:v>
      </x:c>
      <x:c r="N11" s="20" t="str">
        <x:v>Regulamentos/suplementos não publicam vencimentos efetivos em vários FIDCs; teto de WAM não é WAM observado.</x:v>
      </x:c>
    </x:row>
    <x:row r="12">
      <x:c r="A12" s="20" t="str">
        <x:v>FIDC_VII</x:v>
      </x:c>
      <x:c r="B12" s="24" t="n">
        <x:v>2400</x:v>
      </x:c>
      <x:c r="C12" s="24" t="str">
        <x:v>n/d</x:v>
      </x:c>
      <x:c r="D12" s="24" t="str">
        <x:v>n/d</x:v>
      </x:c>
      <x:c r="E12" s="24" t="n">
        <x:v>126</x:v>
      </x:c>
      <x:c r="F12" s="21" t="str">
        <x:v>n/d</x:v>
      </x:c>
      <x:c r="G12" s="24" t="str">
        <x:v>n/d</x:v>
      </x:c>
      <x:c r="H12" s="24" t="str">
        <x:v>n/d</x:v>
      </x:c>
      <x:c r="I12" s="24" t="str">
        <x:v>n/d</x:v>
      </x:c>
      <x:c r="J12" s="24" t="n">
        <x:v>12</x:v>
      </x:c>
      <x:c r="K12" s="21" t="str">
        <x:v>mês 61 ou PL R$100 mi</x:v>
      </x:c>
      <x:c r="L12" s="20" t="str">
        <x:v>DOC_FIDC_VII_REG_202605</x:v>
      </x:c>
      <x:c r="M12" s="20" t="str">
        <x:v>Documentado</x:v>
      </x:c>
      <x:c r="N12" s="20" t="str">
        <x:v>Regulamentos/suplementos não publicam vencimentos efetivos em vários FIDCs; teto de WAM não é WAM observado.</x:v>
      </x:c>
    </x:row>
    <x:row r="13">
      <x:c r="A13" s="20" t="str">
        <x:v>CRI_K1</x:v>
      </x:c>
      <x:c r="B13" s="24" t="n">
        <x:v>2000</x:v>
      </x:c>
      <x:c r="C13" s="24" t="str">
        <x:v>n/d</x:v>
      </x:c>
      <x:c r="D13" s="24" t="str">
        <x:v>n/d</x:v>
      </x:c>
      <x:c r="E13" s="24" t="n">
        <x:v>126.3</x:v>
      </x:c>
      <x:c r="F13" s="21" t="n">
        <x:v>49689</x:v>
      </x:c>
      <x:c r="G13" s="24" t="n">
        <x:v>144</x:v>
      </x:c>
      <x:c r="H13" s="24" t="str">
        <x:v>n/d</x:v>
      </x:c>
      <x:c r="I13" s="24" t="str">
        <x:v>78.3</x:v>
      </x:c>
      <x:c r="J13" s="24" t="str">
        <x:v>n/d</x:v>
      </x:c>
      <x:c r="K13" s="21" t="str">
        <x:v>conforme disponibilidade e waterfall</x:v>
      </x:c>
      <x:c r="L13" s="20" t="str">
        <x:v>ANX_CRI1_PROSP_20240216</x:v>
      </x:c>
      <x:c r="M13" s="20" t="str">
        <x:v>Documentado</x:v>
      </x:c>
      <x:c r="N13" s="20" t="str">
        <x:v>Gap usa o prazo legal da série mais longa menos o teto de WAM; prazo médio observado permanece n/d.</x:v>
      </x:c>
    </x:row>
    <x:row r="14">
      <x:c r="A14" s="20" t="str">
        <x:v>CRI_K2</x:v>
      </x:c>
      <x:c r="B14" s="24" t="n">
        <x:v>2000</x:v>
      </x:c>
      <x:c r="C14" s="24" t="str">
        <x:v>n/d</x:v>
      </x:c>
      <x:c r="D14" s="24" t="str">
        <x:v>n/d</x:v>
      </x:c>
      <x:c r="E14" s="24" t="n">
        <x:v>126.3</x:v>
      </x:c>
      <x:c r="F14" s="21" t="n">
        <x:v>49102</x:v>
      </x:c>
      <x:c r="G14" s="24" t="n">
        <x:v>119.4</x:v>
      </x:c>
      <x:c r="H14" s="24" t="str">
        <x:v>n/d</x:v>
      </x:c>
      <x:c r="I14" s="24" t="str">
        <x:v>53.7</x:v>
      </x:c>
      <x:c r="J14" s="24" t="str">
        <x:v>n/d</x:v>
      </x:c>
      <x:c r="K14" s="21" t="str">
        <x:v>conforme disponibilidade e waterfall</x:v>
      </x:c>
      <x:c r="L14" s="20" t="str">
        <x:v>ANX_CRI2_RATING_202406</x:v>
      </x:c>
      <x:c r="M14" s="20" t="str">
        <x:v>Documentado</x:v>
      </x:c>
      <x:c r="N14" s="20" t="str">
        <x:v>Gap usa o prazo legal da série mais longa menos o teto de WAM; prazo médio observado permanece n/d.</x:v>
      </x:c>
    </x:row>
    <x:row r="15">
      <x:c r="A15" s="20" t="str">
        <x:v>CRI_K3</x:v>
      </x:c>
      <x:c r="B15" s="24" t="n">
        <x:v>2000</x:v>
      </x:c>
      <x:c r="C15" s="24" t="str">
        <x:v>n/d</x:v>
      </x:c>
      <x:c r="D15" s="24" t="str">
        <x:v>n/d</x:v>
      </x:c>
      <x:c r="E15" s="24" t="n">
        <x:v>126.3</x:v>
      </x:c>
      <x:c r="F15" s="21" t="n">
        <x:v>50168</x:v>
      </x:c>
      <x:c r="G15" s="24" t="n">
        <x:v>143.3</x:v>
      </x:c>
      <x:c r="H15" s="24" t="str">
        <x:v>n/d</x:v>
      </x:c>
      <x:c r="I15" s="24" t="str">
        <x:v>77.60000000000001</x:v>
      </x:c>
      <x:c r="J15" s="24" t="str">
        <x:v>n/d</x:v>
      </x:c>
      <x:c r="K15" s="21" t="str">
        <x:v>conforme disponibilidade e waterfall</x:v>
      </x:c>
      <x:c r="L15" s="20" t="str">
        <x:v>ANX_CRI3_LAM_PREL_20250422</x:v>
      </x:c>
      <x:c r="M15" s="20" t="str">
        <x:v>Documentado</x:v>
      </x:c>
      <x:c r="N15" s="20" t="str">
        <x:v>Gap usa o prazo legal da série mais longa menos o teto de WAM; prazo médio observado permanece n/d.</x:v>
      </x:c>
    </x:row>
    <x:row r="16">
      <x:c r="A16" s="20" t="str">
        <x:v>CRI_K4</x:v>
      </x:c>
      <x:c r="B16" s="24" t="n">
        <x:v>2000</x:v>
      </x:c>
      <x:c r="C16" s="24" t="str">
        <x:v>n/d</x:v>
      </x:c>
      <x:c r="D16" s="24" t="str">
        <x:v>n/d</x:v>
      </x:c>
      <x:c r="E16" s="24" t="n">
        <x:v>126.3</x:v>
      </x:c>
      <x:c r="F16" s="21" t="n">
        <x:v>50305</x:v>
      </x:c>
      <x:c r="G16" s="24" t="n">
        <x:v>143.8</x:v>
      </x:c>
      <x:c r="H16" s="24" t="str">
        <x:v>n/d</x:v>
      </x:c>
      <x:c r="I16" s="24" t="str">
        <x:v>78.10000000000001</x:v>
      </x:c>
      <x:c r="J16" s="24" t="str">
        <x:v>n/d</x:v>
      </x:c>
      <x:c r="K16" s="21" t="str">
        <x:v>conforme disponibilidade e waterfall</x:v>
      </x:c>
      <x:c r="L16" s="20" t="str">
        <x:v>ANX_CRI4_INICIO_20250929</x:v>
      </x:c>
      <x:c r="M16" s="20" t="str">
        <x:v>Documentado</x:v>
      </x:c>
      <x:c r="N16" s="20" t="str">
        <x:v>Gap usa o prazo legal da série mais longa menos o teto de WAM; prazo médio observado permanece n/d.</x:v>
      </x:c>
    </x:row>
    <x:row r="17">
      <x:c r="A17" s="20" t="str">
        <x:v>CRI_V174</x:v>
      </x:c>
      <x:c r="B17" s="24" t="n">
        <x:v>2000</x:v>
      </x:c>
      <x:c r="C17" s="24" t="str">
        <x:v>n/d</x:v>
      </x:c>
      <x:c r="D17" s="24" t="str">
        <x:v>n/d</x:v>
      </x:c>
      <x:c r="E17" s="24" t="n">
        <x:v>126.3</x:v>
      </x:c>
      <x:c r="F17" s="21" t="n">
        <x:v>50545</x:v>
      </x:c>
      <x:c r="G17" s="24" t="n">
        <x:v>144</x:v>
      </x:c>
      <x:c r="H17" s="24" t="str">
        <x:v>n/d</x:v>
      </x:c>
      <x:c r="I17" s="24" t="str">
        <x:v>78.3</x:v>
      </x:c>
      <x:c r="J17" s="24" t="str">
        <x:v>n/d</x:v>
      </x:c>
      <x:c r="K17" s="21" t="str">
        <x:v>conforme disponibilidade e waterfall</x:v>
      </x:c>
      <x:c r="L17" s="20" t="str">
        <x:v>ANX_CRIV_LAM_PREL_20260417</x:v>
      </x:c>
      <x:c r="M17" s="20" t="str">
        <x:v>Documentado</x:v>
      </x:c>
      <x:c r="N17" s="20" t="str">
        <x:v>Gap usa o prazo legal da série mais longa menos o teto de WAM; prazo médio observado permanece n/d.</x:v>
      </x:c>
    </x:row>
    <x:row r="18">
      <x:c r="A18" s="20" t="str">
        <x:v>CRI_V177</x:v>
      </x:c>
      <x:c r="B18" s="24" t="n">
        <x:v>2000</x:v>
      </x:c>
      <x:c r="C18" s="24" t="str">
        <x:v>n/d</x:v>
      </x:c>
      <x:c r="D18" s="24" t="str">
        <x:v>n/d</x:v>
      </x:c>
      <x:c r="E18" s="24" t="n">
        <x:v>126.3</x:v>
      </x:c>
      <x:c r="F18" s="21" t="n">
        <x:v>50606</x:v>
      </x:c>
      <x:c r="G18" s="24" t="n">
        <x:v>144</x:v>
      </x:c>
      <x:c r="H18" s="24" t="str">
        <x:v>n/d</x:v>
      </x:c>
      <x:c r="I18" s="24" t="str">
        <x:v>78.3</x:v>
      </x:c>
      <x:c r="J18" s="24" t="str">
        <x:v>n/d</x:v>
      </x:c>
      <x:c r="K18" s="21" t="str">
        <x:v>conforme disponibilidade e waterfall</x:v>
      </x:c>
      <x:c r="L18" s="20" t="str">
        <x:v>CVM_FUNDOSNET_VERT177_20260720</x:v>
      </x:c>
      <x:c r="M18" s="20" t="str">
        <x:v>Documentado</x:v>
      </x:c>
      <x:c r="N18" s="20" t="str">
        <x:v>Gap usa o prazo legal da série mais longa menos o teto de WAM; prazo médio observado permanece n/d.</x:v>
      </x:c>
    </x:row>
  </x:sheetData>
  <x:mergeCells>
    <x:mergeCell ref="A1:N1"/>
    <x:mergeCell ref="A2:N2"/>
    <x:mergeCell ref="A3:N3"/>
  </x:mergeCells>
  <x:pageMargins left="0.7" right="0.7" top="0.75" bottom="0.75" header="0.3" footer="0.3"/>
  <x:drawing xmlns:r="http://schemas.openxmlformats.org/officeDocument/2006/relationships" r:id="Reaf9d96d9c38428e"/>
  <x:tableParts count="1">
    <x:tablePart xmlns:r="http://schemas.openxmlformats.org/officeDocument/2006/relationships" r:id="Rdf7e714e0d1241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1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9" hidden="0" customWidth="1"/>
    <x:col min="12" max="12" width="21" hidden="0" customWidth="1"/>
    <x:col min="13" max="13" width="24" hidden="0" customWidth="1"/>
    <x:col min="14" max="14" width="12" hidden="0" customWidth="1"/>
    <x:col min="15" max="15" width="21" hidden="0" customWidth="1"/>
    <x:col min="16" max="16" width="18" hidden="0" customWidth="1"/>
    <x:col min="17" max="17" width="24" hidden="0" customWidth="1"/>
    <x:col min="18" max="18" width="34" hidden="0" customWidth="1"/>
    <x:col min="19" max="19" width="19" hidden="0" customWidth="1"/>
    <x:col min="20" max="20" width="42" hidden="0" customWidth="1"/>
  </x:cols>
  <x:sheetData>
    <x:row r="1" ht="30" customHeight="1">
      <x:c r="A1" s="3" t="str">
        <x:v>06 Waterfall</x:v>
      </x:c>
    </x:row>
    <x:row r="2" ht="34" customHeight="1">
      <x:c r="A2" s="7" t="str">
        <x:v>A ordem de caixa mostra quando a estrutura paga por metas e quando vira sequencial. O resumo preserva os gatilhos por veículo.</x:v>
      </x:c>
    </x:row>
    <x:row r="3" ht="24" customHeight="1">
      <x:c r="A3" s="11" t="str">
        <x:v>Data-base: por linha | Fontes: DOC_FIDC_I_REG_202411; DOC_FIDC_II_REG_202412; DOC_FIDC_III_REG_202512; DOC_FIDC_IV_REG_202510; DOC_FIDC_V_REG_202411;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</x:row>
    <x:row r="5" ht="34" customHeight="1">
      <x:c r="A5" s="16" t="str">
        <x:v>veiculo_id</x:v>
      </x:c>
      <x:c r="B5" s="16" t="str">
        <x:v>regime</x:v>
      </x:c>
      <x:c r="C5" s="16" t="str">
        <x:v>ordem_1</x:v>
      </x:c>
      <x:c r="D5" s="16" t="str">
        <x:v>ordem_2</x:v>
      </x:c>
      <x:c r="E5" s="16" t="str">
        <x:v>ordem_3</x:v>
      </x:c>
      <x:c r="F5" s="16" t="str">
        <x:v>ordem_4</x:v>
      </x:c>
      <x:c r="G5" s="16" t="str">
        <x:v>ordem_5</x:v>
      </x:c>
      <x:c r="H5" s="16" t="str">
        <x:v>gatilho_de_mudanca_para_sequencial</x:v>
      </x:c>
      <x:c r="I5" s="16" t="str">
        <x:v>quem_recebe_juros_antes_de_principal</x:v>
      </x:c>
      <x:c r="J5" s="16" t="str">
        <x:v>super_senior_prioridade</x:v>
      </x:c>
      <x:c r="K5" s="16" t="str">
        <x:v>senior_prioridade</x:v>
      </x:c>
      <x:c r="L5" s="16" t="str">
        <x:v>mezanino_prioridade</x:v>
      </x:c>
      <x:c r="M5" s="16" t="str">
        <x:v>junior_prioridade</x:v>
      </x:c>
      <x:c r="N5" s="16" t="str">
        <x:v>cash_sweep</x:v>
      </x:c>
      <x:c r="O5" s="16" t="str">
        <x:v>reserva_de_despesas</x:v>
      </x:c>
      <x:c r="P5" s="16" t="str">
        <x:v>reserva_de_juros</x:v>
      </x:c>
      <x:c r="Q5" s="16" t="str">
        <x:v>reserva_MTM</x:v>
      </x:c>
      <x:c r="R5" s="16" t="str">
        <x:v>fonte_id</x:v>
      </x:c>
      <x:c r="S5" s="16" t="str">
        <x:v>status</x:v>
      </x:c>
      <x:c r="T5" s="16" t="str">
        <x:v>nota_metodo</x:v>
      </x:c>
    </x:row>
    <x:row r="6">
      <x:c r="A6" s="20" t="str">
        <x:v>FIDC_I</x:v>
      </x:c>
      <x:c r="B6" s="20" t="str">
        <x:v>pró-rata condicionado; sequencial na liquidação</x:v>
      </x:c>
      <x:c r="C6" s="27" t="str">
        <x:v>despesas e reservas</x:v>
      </x:c>
      <x:c r="D6" s="27" t="str">
        <x:v>sênior até alvo</x:v>
      </x:c>
      <x:c r="E6" s="27" t="str">
        <x:v>mezanino A até alvo</x:v>
      </x:c>
      <x:c r="F6" s="27" t="str">
        <x:v>mezanino B e júnior proporcionalmente</x:v>
      </x:c>
      <x:c r="G6" s="27" t="str">
        <x:v>desde mês 73: sênior e A pró-rata; depois B e júnior</x:v>
      </x:c>
      <x:c r="H6" s="20" t="str">
        <x:v>eventos de avaliação/liquidação</x:v>
      </x:c>
      <x:c r="I6" s="20" t="str">
        <x:v>sênior</x:v>
      </x:c>
      <x:c r="J6" s="20" t="str">
        <x:v>sênior</x:v>
      </x:c>
      <x:c r="K6" s="20" t="str">
        <x:v>sênior</x:v>
      </x:c>
      <x:c r="L6" s="20" t="str">
        <x:v>mezanino A/B</x:v>
      </x:c>
      <x:c r="M6" s="20" t="str">
        <x:v>júnior</x:v>
      </x:c>
      <x:c r="N6" s="20" t="str">
        <x:v>sim</x:v>
      </x:c>
      <x:c r="O6" s="20" t="str">
        <x:v>6 meses</x:v>
      </x:c>
      <x:c r="P6" s="20" t="str">
        <x:v>n/d</x:v>
      </x:c>
      <x:c r="Q6" s="20" t="str">
        <x:v>n/d</x:v>
      </x:c>
      <x:c r="R6" s="20" t="str">
        <x:v>DOC_FIDC_I_REG_202411</x:v>
      </x:c>
      <x:c r="S6" s="20" t="str">
        <x:v>Documentado</x:v>
      </x:c>
      <x:c r="T6" s="20" t="str">
        <x:v>Ordem resumida; o texto contratual integral prevalece.</x:v>
      </x:c>
    </x:row>
    <x:row r="7">
      <x:c r="A7" s="20" t="str">
        <x:v>FIDC_II</x:v>
      </x:c>
      <x:c r="B7" s="20" t="str">
        <x:v>target até mês 59; sequencial desde mês 60</x:v>
      </x:c>
      <x:c r="C7" s="27" t="str">
        <x:v>despesas</x:v>
      </x:c>
      <x:c r="D7" s="27" t="str">
        <x:v>sênior até target</x:v>
      </x:c>
      <x:c r="E7" s="27" t="str">
        <x:v>mezanino até target</x:v>
      </x:c>
      <x:c r="F7" s="27" t="str">
        <x:v>júnior</x:v>
      </x:c>
      <x:c r="G7" s="27" t="str">
        <x:v>desde mês 60: sênior integral → mezanino → júnior</x:v>
      </x:c>
      <x:c r="H7" s="20" t="str">
        <x:v>evento de venda ou liquidação</x:v>
      </x:c>
      <x:c r="I7" s="20" t="str">
        <x:v>sênior</x:v>
      </x:c>
      <x:c r="J7" s="20" t="str">
        <x:v>sênior</x:v>
      </x:c>
      <x:c r="K7" s="20" t="str">
        <x:v>sênior</x:v>
      </x:c>
      <x:c r="L7" s="20" t="str">
        <x:v>mezanino</x:v>
      </x:c>
      <x:c r="M7" s="20" t="str">
        <x:v>júnior</x:v>
      </x:c>
      <x:c r="N7" s="20" t="str">
        <x:v>sim</x:v>
      </x:c>
      <x:c r="O7" s="20" t="str">
        <x:v>3 meses</x:v>
      </x:c>
      <x:c r="P7" s="20" t="str">
        <x:v>n/d</x:v>
      </x:c>
      <x:c r="Q7" s="20" t="str">
        <x:v>n/d</x:v>
      </x:c>
      <x:c r="R7" s="20" t="str">
        <x:v>DOC_FIDC_II_REG_202412</x:v>
      </x:c>
      <x:c r="S7" s="20" t="str">
        <x:v>Documentado</x:v>
      </x:c>
      <x:c r="T7" s="20" t="str">
        <x:v>Ordem resumida; o texto contratual integral prevalece.</x:v>
      </x:c>
    </x:row>
    <x:row r="8">
      <x:c r="A8" s="20" t="str">
        <x:v>FIDC_III</x:v>
      </x:c>
      <x:c r="B8" s="20" t="str">
        <x:v>pró-rata até mês 47; sequencial desde mês 48/desalavancagem</x:v>
      </x:c>
      <x:c r="C8" s="27" t="str">
        <x:v>despesas e reservas</x:v>
      </x:c>
      <x:c r="D8" s="27" t="str">
        <x:v>sênior</x:v>
      </x:c>
      <x:c r="E8" s="27" t="str">
        <x:v>mezanino A</x:v>
      </x:c>
      <x:c r="F8" s="27" t="str">
        <x:v>derivativos e mezanino B</x:v>
      </x:c>
      <x:c r="G8" s="27" t="str">
        <x:v>júnior</x:v>
      </x:c>
      <x:c r="H8" s="20" t="str">
        <x:v>atraso desenquadrado por 10 DU; mês 48</x:v>
      </x:c>
      <x:c r="I8" s="20" t="str">
        <x:v>sênior</x:v>
      </x:c>
      <x:c r="J8" s="20" t="str">
        <x:v>sênior</x:v>
      </x:c>
      <x:c r="K8" s="20" t="str">
        <x:v>sênior</x:v>
      </x:c>
      <x:c r="L8" s="20" t="str">
        <x:v>A antes de B</x:v>
      </x:c>
      <x:c r="M8" s="20" t="str">
        <x:v>júnior</x:v>
      </x:c>
      <x:c r="N8" s="20" t="str">
        <x:v>sim</x:v>
      </x:c>
      <x:c r="O8" s="20" t="str">
        <x:v>n/d</x:v>
      </x:c>
      <x:c r="P8" s="20" t="str">
        <x:v>n/d</x:v>
      </x:c>
      <x:c r="Q8" s="20" t="str">
        <x:v>derivativos</x:v>
      </x:c>
      <x:c r="R8" s="20" t="str">
        <x:v>DOC_FIDC_III_REG_202512</x:v>
      </x:c>
      <x:c r="S8" s="20" t="str">
        <x:v>Documentado</x:v>
      </x:c>
      <x:c r="T8" s="20" t="str">
        <x:v>Ordem resumida; o texto contratual integral prevalece.</x:v>
      </x:c>
    </x:row>
    <x:row r="9">
      <x:c r="A9" s="20" t="str">
        <x:v>FIDC_IV</x:v>
      </x:c>
      <x:c r="B9" s="20" t="str">
        <x:v>ordem operacional; pró-rata formal n/d</x:v>
      </x:c>
      <x:c r="C9" s="27" t="str">
        <x:v>despesas</x:v>
      </x:c>
      <x:c r="D9" s="27" t="str">
        <x:v>benchmark sênior</x:v>
      </x:c>
      <x:c r="E9" s="27" t="str">
        <x:v>benchmark mezanino</x:v>
      </x:c>
      <x:c r="F9" s="27" t="str">
        <x:v>reservas</x:v>
      </x:c>
      <x:c r="G9" s="27" t="str">
        <x:v>amortização extraordinária júnior e compras</x:v>
      </x:c>
      <x:c r="H9" s="20" t="str">
        <x:v>eventos de liquidação</x:v>
      </x:c>
      <x:c r="I9" s="20" t="str">
        <x:v>sênior</x:v>
      </x:c>
      <x:c r="J9" s="20" t="str">
        <x:v>sênior</x:v>
      </x:c>
      <x:c r="K9" s="20" t="str">
        <x:v>sênior</x:v>
      </x:c>
      <x:c r="L9" s="20" t="str">
        <x:v>mezanino</x:v>
      </x:c>
      <x:c r="M9" s="20" t="str">
        <x:v>júnior</x:v>
      </x:c>
      <x:c r="N9" s="20" t="str">
        <x:v>n/d</x:v>
      </x:c>
      <x:c r="O9" s="20" t="str">
        <x:v>n/d</x:v>
      </x:c>
      <x:c r="P9" s="20" t="str">
        <x:v>n/d</x:v>
      </x:c>
      <x:c r="Q9" s="20" t="str">
        <x:v>n/d</x:v>
      </x:c>
      <x:c r="R9" s="20" t="str">
        <x:v>DOC_FIDC_IV_REG_202510</x:v>
      </x:c>
      <x:c r="S9" s="20" t="str">
        <x:v>Documentado</x:v>
      </x:c>
      <x:c r="T9" s="20" t="str">
        <x:v>Ordem resumida; o texto contratual integral prevalece.</x:v>
      </x:c>
    </x:row>
    <x:row r="10">
      <x:c r="A10" s="20" t="str">
        <x:v>FIDC_V</x:v>
      </x:c>
      <x:c r="B10" s="20" t="str">
        <x:v>pró-rata condicionado até mês 72; liquidação sequencial</x:v>
      </x:c>
      <x:c r="C10" s="27" t="str">
        <x:v>despesas e reservas</x:v>
      </x:c>
      <x:c r="D10" s="27" t="str">
        <x:v>sênior até alvo</x:v>
      </x:c>
      <x:c r="E10" s="27" t="str">
        <x:v>mezanino até alvo</x:v>
      </x:c>
      <x:c r="F10" s="27" t="str">
        <x:v>reserva de amortização</x:v>
      </x:c>
      <x:c r="G10" s="27" t="str">
        <x:v>júnior e cura; desde mês 73 sênior/mezanino pró-rata</x:v>
      </x:c>
      <x:c r="H10" s="20" t="str">
        <x:v>eventos de avaliação/liquidação</x:v>
      </x:c>
      <x:c r="I10" s="20" t="str">
        <x:v>sênior</x:v>
      </x:c>
      <x:c r="J10" s="20" t="str">
        <x:v>sênior</x:v>
      </x:c>
      <x:c r="K10" s="20" t="str">
        <x:v>sênior</x:v>
      </x:c>
      <x:c r="L10" s="20" t="str">
        <x:v>mezanino</x:v>
      </x:c>
      <x:c r="M10" s="20" t="str">
        <x:v>júnior</x:v>
      </x:c>
      <x:c r="N10" s="20" t="str">
        <x:v>sim</x:v>
      </x:c>
      <x:c r="O10" s="20" t="str">
        <x:v>n/d</x:v>
      </x:c>
      <x:c r="P10" s="20" t="str">
        <x:v>n/d</x:v>
      </x:c>
      <x:c r="Q10" s="20" t="str">
        <x:v>n/d</x:v>
      </x:c>
      <x:c r="R10" s="20" t="str">
        <x:v>DOC_FIDC_V_REG_202411</x:v>
      </x:c>
      <x:c r="S10" s="20" t="str">
        <x:v>Documentado</x:v>
      </x:c>
      <x:c r="T10" s="20" t="str">
        <x:v>Ordem resumida; o texto contratual integral prevalece.</x:v>
      </x:c>
    </x:row>
    <x:row r="11">
      <x:c r="A11" s="20" t="str">
        <x:v>FIDC_VI</x:v>
      </x:c>
      <x:c r="B11" s="20" t="str">
        <x:v>pró-rata; sequencial após desalavancagem</x:v>
      </x:c>
      <x:c r="C11" s="27" t="str">
        <x:v>despesas/reserva/derivativos</x:v>
      </x:c>
      <x:c r="D11" s="27" t="str">
        <x:v>sênior</x:v>
      </x:c>
      <x:c r="E11" s="27" t="str">
        <x:v>mezanino A</x:v>
      </x:c>
      <x:c r="F11" s="27" t="str">
        <x:v>mezanino B e reserva MTM</x:v>
      </x:c>
      <x:c r="G11" s="27" t="str">
        <x:v>saque júnior; aquisição</x:v>
      </x:c>
      <x:c r="H11" s="20" t="str">
        <x:v>coberturas/atraso-90; aceleração definitiva</x:v>
      </x:c>
      <x:c r="I11" s="20" t="str">
        <x:v>sênior</x:v>
      </x:c>
      <x:c r="J11" s="20" t="str">
        <x:v>sênior</x:v>
      </x:c>
      <x:c r="K11" s="20" t="str">
        <x:v>sênior</x:v>
      </x:c>
      <x:c r="L11" s="20" t="str">
        <x:v>A antes de B</x:v>
      </x:c>
      <x:c r="M11" s="20" t="str">
        <x:v>júnior após públicas</x:v>
      </x:c>
      <x:c r="N11" s="20" t="str">
        <x:v>sim</x:v>
      </x:c>
      <x:c r="O11" s="20" t="str">
        <x:v>3 meses</x:v>
      </x:c>
      <x:c r="P11" s="20" t="str">
        <x:v>n/d</x:v>
      </x:c>
      <x:c r="Q11" s="20" t="str">
        <x:v>menor entre MTM negativo e 1% do nocional</x:v>
      </x:c>
      <x:c r="R11" s="20" t="str">
        <x:v>DOC_FIDC_VI_REG_202605</x:v>
      </x:c>
      <x:c r="S11" s="20" t="str">
        <x:v>Documentado</x:v>
      </x:c>
      <x:c r="T11" s="20" t="str">
        <x:v>Ordem resumida; o texto contratual integral prevalece.</x:v>
      </x:c>
    </x:row>
    <x:row r="12">
      <x:c r="A12" s="20" t="str">
        <x:v>FIDC_VII</x:v>
      </x:c>
      <x:c r="B12" s="20" t="str">
        <x:v>revolvência 12m; pró-rata por targets; sequencial após evento</x:v>
      </x:c>
      <x:c r="C12" s="27" t="str">
        <x:v>despesas/reservas/derivativos</x:v>
      </x:c>
      <x:c r="D12" s="27" t="str">
        <x:v>sênior</x:v>
      </x:c>
      <x:c r="E12" s="27" t="str">
        <x:v>mezanino A</x:v>
      </x:c>
      <x:c r="F12" s="27" t="str">
        <x:v>mezanino B</x:v>
      </x:c>
      <x:c r="G12" s="27" t="str">
        <x:v>júnior</x:v>
      </x:c>
      <x:c r="H12" s="20" t="str">
        <x:v>evento encerra revolvência; aceleração definitiva</x:v>
      </x:c>
      <x:c r="I12" s="20" t="str">
        <x:v>sênior</x:v>
      </x:c>
      <x:c r="J12" s="20" t="str">
        <x:v>sênior</x:v>
      </x:c>
      <x:c r="K12" s="20" t="str">
        <x:v>sênior</x:v>
      </x:c>
      <x:c r="L12" s="20" t="str">
        <x:v>A antes de B</x:v>
      </x:c>
      <x:c r="M12" s="20" t="str">
        <x:v>júnior</x:v>
      </x:c>
      <x:c r="N12" s="20" t="str">
        <x:v>sim</x:v>
      </x:c>
      <x:c r="O12" s="20" t="str">
        <x:v>3 meses</x:v>
      </x:c>
      <x:c r="P12" s="20" t="str">
        <x:v>n/d</x:v>
      </x:c>
      <x:c r="Q12" s="20" t="str">
        <x:v>menor entre MTM negativo e 1% do PL</x:v>
      </x:c>
      <x:c r="R12" s="20" t="str">
        <x:v>DOC_FIDC_VII_REG_202605</x:v>
      </x:c>
      <x:c r="S12" s="20" t="str">
        <x:v>Documentado</x:v>
      </x:c>
      <x:c r="T12" s="20" t="str">
        <x:v>Ordem resumida; o texto contratual integral prevalece.</x:v>
      </x:c>
    </x:row>
    <x:row r="13">
      <x:c r="A13" s="20" t="str">
        <x:v>CRI_K1</x:v>
      </x:c>
      <x:c r="B13" s="20" t="str">
        <x:v>pró-rata até mês 47; sequencial desde mês 48/evento</x:v>
      </x:c>
      <x:c r="C13" s="27" t="str">
        <x:v>despesas</x:v>
      </x:c>
      <x:c r="D13" s="27" t="str">
        <x:v>recomposição da reserva</x:v>
      </x:c>
      <x:c r="E13" s="27" t="str">
        <x:v>juros por camada</x:v>
      </x:c>
      <x:c r="F13" s="27" t="str">
        <x:v>amortização por repasses 54/15/18/5/8</x:v>
      </x:c>
      <x:c r="G13" s="27" t="str">
        <x:v>prêmio residual S5 após S1–S4</x:v>
      </x:c>
      <x:c r="H13" s="20" t="str">
        <x:v>atraso estoque &gt;15% em 2 verificações ou downgrade 2 níveis</x:v>
      </x:c>
      <x:c r="I13" s="20" t="str">
        <x:v>juros por camada</x:v>
      </x:c>
      <x:c r="J13" s="20" t="str">
        <x:v>S1</x:v>
      </x:c>
      <x:c r="K13" s="20" t="str">
        <x:v>S1</x:v>
      </x:c>
      <x:c r="L13" s="20" t="str">
        <x:v>S2/S3/S4</x:v>
      </x:c>
      <x:c r="M13" s="20" t="str">
        <x:v>S5; prêmio residual travado</x:v>
      </x:c>
      <x:c r="N13" s="20" t="str">
        <x:v>sim</x:v>
      </x:c>
      <x:c r="O13" s="20" t="str">
        <x:v>R$0,905 mi inicial</x:v>
      </x:c>
      <x:c r="P13" s="20" t="str">
        <x:v>n/d</x:v>
      </x:c>
      <x:c r="Q13" s="20" t="str">
        <x:v>n/d</x:v>
      </x:c>
      <x:c r="R13" s="20" t="str">
        <x:v>ANX_CRI1_PROSP_20240216</x:v>
      </x:c>
      <x:c r="S13" s="20" t="str">
        <x:v>Documentado</x:v>
      </x:c>
      <x:c r="T13" s="20" t="str">
        <x:v>Ordem resumida; o texto contratual integral prevalece.</x:v>
      </x:c>
    </x:row>
    <x:row r="14">
      <x:c r="A14" s="20" t="str">
        <x:v>CRI_K2</x:v>
      </x:c>
      <x:c r="B14" s="20" t="str">
        <x:v>pró-rata até mês 47; sequencial desde mês 48/evento</x:v>
      </x:c>
      <x:c r="C14" s="27" t="str">
        <x:v>despesas</x:v>
      </x:c>
      <x:c r="D14" s="27" t="str">
        <x:v>reserva</x:v>
      </x:c>
      <x:c r="E14" s="27" t="str">
        <x:v>juros por camada</x:v>
      </x:c>
      <x:c r="F14" s="27" t="str">
        <x:v>amortização por repasses</x:v>
      </x:c>
      <x:c r="G14" s="27" t="str">
        <x:v>júnior/residual conforme termo</x:v>
      </x:c>
      <x:c r="H14" s="20" t="str">
        <x:v>atraso &gt;15% em 3 verificações; downgrade; cobertura</x:v>
      </x:c>
      <x:c r="I14" s="20" t="str">
        <x:v>juros por camada</x:v>
      </x:c>
      <x:c r="J14" s="20" t="str">
        <x:v>S1</x:v>
      </x:c>
      <x:c r="K14" s="20" t="str">
        <x:v>S1</x:v>
      </x:c>
      <x:c r="L14" s="20" t="str">
        <x:v>S2/S3/S4</x:v>
      </x:c>
      <x:c r="M14" s="20" t="str">
        <x:v>S5</x:v>
      </x:c>
      <x:c r="N14" s="20" t="str">
        <x:v>sim</x:v>
      </x:c>
      <x:c r="O14" s="20" t="str">
        <x:v>n/d</x:v>
      </x:c>
      <x:c r="P14" s="20" t="str">
        <x:v>n/d</x:v>
      </x:c>
      <x:c r="Q14" s="20" t="str">
        <x:v>n/d</x:v>
      </x:c>
      <x:c r="R14" s="20" t="str">
        <x:v>ANX_CRI2_RATING_202406</x:v>
      </x:c>
      <x:c r="S14" s="20" t="str">
        <x:v>Documentado</x:v>
      </x:c>
      <x:c r="T14" s="20" t="str">
        <x:v>Ordem resumida; o texto contratual integral prevalece.</x:v>
      </x:c>
    </x:row>
    <x:row r="15">
      <x:c r="A15" s="20" t="str">
        <x:v>CRI_K3</x:v>
      </x:c>
      <x:c r="B15" s="20" t="str">
        <x:v>regime detalhado n/d na lâmina</x:v>
      </x:c>
      <x:c r="C15" s="27" t="str">
        <x:v>despesas</x:v>
      </x:c>
      <x:c r="D15" s="27" t="str">
        <x:v>reserva</x:v>
      </x:c>
      <x:c r="E15" s="27" t="str">
        <x:v>remuneração</x:v>
      </x:c>
      <x:c r="F15" s="27" t="str">
        <x:v>amortização conforme disponibilidade</x:v>
      </x:c>
      <x:c r="G15" s="27" t="str">
        <x:v>n/d</x:v>
      </x:c>
      <x:c r="H15" s="20" t="str">
        <x:v>termo definitivo necessário</x:v>
      </x:c>
      <x:c r="I15" s="20" t="str">
        <x:v>n/d</x:v>
      </x:c>
      <x:c r="J15" s="20" t="str">
        <x:v>S1/S2</x:v>
      </x:c>
      <x:c r="K15" s="20" t="str">
        <x:v>S1/S2</x:v>
      </x:c>
      <x:c r="L15" s="20" t="str">
        <x:v>S3/S4/S5</x:v>
      </x:c>
      <x:c r="M15" s="20" t="str">
        <x:v>S6</x:v>
      </x:c>
      <x:c r="N15" s="20" t="str">
        <x:v>n/d</x:v>
      </x:c>
      <x:c r="O15" s="20" t="str">
        <x:v>n/d</x:v>
      </x:c>
      <x:c r="P15" s="20" t="str">
        <x:v>n/d</x:v>
      </x:c>
      <x:c r="Q15" s="20" t="str">
        <x:v>n/d</x:v>
      </x:c>
      <x:c r="R15" s="20" t="str">
        <x:v>ANX_CRI3_LAM_PREL_20250422</x:v>
      </x:c>
      <x:c r="S15" s="20" t="str">
        <x:v>Documentado</x:v>
      </x:c>
      <x:c r="T15" s="20" t="str">
        <x:v>Ordem resumida; o texto contratual integral prevalece.</x:v>
      </x:c>
    </x:row>
    <x:row r="16">
      <x:c r="A16" s="20" t="str">
        <x:v>CRI_K4</x:v>
      </x:c>
      <x:c r="B16" s="20" t="str">
        <x:v>pró-rata/sequencial conforme termo; detalhe n/d no anúncio</x:v>
      </x:c>
      <x:c r="C16" s="27" t="str">
        <x:v>despesas</x:v>
      </x:c>
      <x:c r="D16" s="27" t="str">
        <x:v>reserva</x:v>
      </x:c>
      <x:c r="E16" s="27" t="str">
        <x:v>remuneração</x:v>
      </x:c>
      <x:c r="F16" s="27" t="str">
        <x:v>amortização</x:v>
      </x:c>
      <x:c r="G16" s="27" t="str">
        <x:v>n/d</x:v>
      </x:c>
      <x:c r="H16" s="20" t="str">
        <x:v>termo definitivo necessário</x:v>
      </x:c>
      <x:c r="I16" s="20" t="str">
        <x:v>n/d</x:v>
      </x:c>
      <x:c r="J16" s="20" t="str">
        <x:v>S1/S2</x:v>
      </x:c>
      <x:c r="K16" s="20" t="str">
        <x:v>S1/S2</x:v>
      </x:c>
      <x:c r="L16" s="20" t="str">
        <x:v>S3–S6</x:v>
      </x:c>
      <x:c r="M16" s="20" t="str">
        <x:v>S7</x:v>
      </x:c>
      <x:c r="N16" s="20" t="str">
        <x:v>n/d</x:v>
      </x:c>
      <x:c r="O16" s="20" t="str">
        <x:v>n/d</x:v>
      </x:c>
      <x:c r="P16" s="20" t="str">
        <x:v>n/d</x:v>
      </x:c>
      <x:c r="Q16" s="20" t="str">
        <x:v>n/d</x:v>
      </x:c>
      <x:c r="R16" s="20" t="str">
        <x:v>ANX_CRI4_INICIO_20250929</x:v>
      </x:c>
      <x:c r="S16" s="20" t="str">
        <x:v>Documentado</x:v>
      </x:c>
      <x:c r="T16" s="20" t="str">
        <x:v>Ordem resumida; o texto contratual integral prevalece.</x:v>
      </x:c>
    </x:row>
    <x:row r="17">
      <x:c r="A17" s="20" t="str">
        <x:v>CRI_V174</x:v>
      </x:c>
      <x:c r="B17" s="20" t="str">
        <x:v>regime detalhado n/d na lâmina</x:v>
      </x:c>
      <x:c r="C17" s="27" t="str">
        <x:v>despesas</x:v>
      </x:c>
      <x:c r="D17" s="27" t="str">
        <x:v>reserva</x:v>
      </x:c>
      <x:c r="E17" s="27" t="str">
        <x:v>remuneração</x:v>
      </x:c>
      <x:c r="F17" s="27" t="str">
        <x:v>amortização conforme disponibilidade</x:v>
      </x:c>
      <x:c r="G17" s="27" t="str">
        <x:v>n/d</x:v>
      </x:c>
      <x:c r="H17" s="20" t="str">
        <x:v>termo definitivo necessário</x:v>
      </x:c>
      <x:c r="I17" s="20" t="str">
        <x:v>n/d</x:v>
      </x:c>
      <x:c r="J17" s="20" t="str">
        <x:v>S1/S2</x:v>
      </x:c>
      <x:c r="K17" s="20" t="str">
        <x:v>S1/S2</x:v>
      </x:c>
      <x:c r="L17" s="20" t="str">
        <x:v>S3–S5</x:v>
      </x:c>
      <x:c r="M17" s="20" t="str">
        <x:v>S6</x:v>
      </x:c>
      <x:c r="N17" s="20" t="str">
        <x:v>n/d</x:v>
      </x:c>
      <x:c r="O17" s="20" t="str">
        <x:v>n/d</x:v>
      </x:c>
      <x:c r="P17" s="20" t="str">
        <x:v>n/d</x:v>
      </x:c>
      <x:c r="Q17" s="20" t="str">
        <x:v>n/d</x:v>
      </x:c>
      <x:c r="R17" s="20" t="str">
        <x:v>ANX_CRIV_LAM_PREL_20260417</x:v>
      </x:c>
      <x:c r="S17" s="20" t="str">
        <x:v>Documentado</x:v>
      </x:c>
      <x:c r="T17" s="20" t="str">
        <x:v>Ordem resumida; o texto contratual integral prevalece.</x:v>
      </x:c>
    </x:row>
    <x:row r="18">
      <x:c r="A18" s="20" t="str">
        <x:v>CRI_V177</x:v>
      </x:c>
      <x:c r="B18" s="20" t="str">
        <x:v>n/d</x:v>
      </x:c>
      <x:c r="C18" s="27" t="str">
        <x:v>n/d</x:v>
      </x:c>
      <x:c r="D18" s="27" t="str">
        <x:v>n/d</x:v>
      </x:c>
      <x:c r="E18" s="27" t="str">
        <x:v>n/d</x:v>
      </x:c>
      <x:c r="F18" s="27" t="str">
        <x:v>n/d</x:v>
      </x:c>
      <x:c r="G18" s="27" t="str">
        <x:v>n/d</x:v>
      </x:c>
      <x:c r="H18" s="20" t="str">
        <x:v>termo integral necessário</x:v>
      </x:c>
      <x:c r="I18" s="20" t="str">
        <x:v>n/d</x:v>
      </x:c>
      <x:c r="J18" s="20" t="str">
        <x:v>n/d</x:v>
      </x:c>
      <x:c r="K18" s="20" t="str">
        <x:v>n/d</x:v>
      </x:c>
      <x:c r="L18" s="20" t="str">
        <x:v>n/d</x:v>
      </x:c>
      <x:c r="M18" s="20" t="str">
        <x:v>n/d</x:v>
      </x:c>
      <x:c r="N18" s="20" t="str">
        <x:v>n/d</x:v>
      </x:c>
      <x:c r="O18" s="20" t="str">
        <x:v>n/d</x:v>
      </x:c>
      <x:c r="P18" s="20" t="str">
        <x:v>n/d</x:v>
      </x:c>
      <x:c r="Q18" s="20" t="str">
        <x:v>n/d</x:v>
      </x:c>
      <x:c r="R18" s="20" t="str">
        <x:v>CVM_FUNDOSNET_VERT177_20260720</x:v>
      </x:c>
      <x:c r="S18" s="20" t="str">
        <x:v>n/d</x:v>
      </x:c>
      <x:c r="T18" s="20" t="str">
        <x:v>Ordem resumida; o texto contratual integral prevalece.</x:v>
      </x:c>
    </x:row>
  </x:sheetData>
  <x:mergeCells>
    <x:mergeCell ref="A1:T1"/>
    <x:mergeCell ref="A2:T2"/>
    <x:mergeCell ref="A3:T3"/>
  </x:mergeCells>
  <x:pageMargins left="0.7" right="0.7" top="0.75" bottom="0.75" header="0.3" footer="0.3"/>
  <x:tableParts count="1">
    <x:tablePart xmlns:r="http://schemas.openxmlformats.org/officeDocument/2006/relationships" r:id="Ra827d2ea34d54d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24" hidden="0" customWidth="1"/>
    <x:col min="4" max="4" width="24" hidden="0" customWidth="1"/>
    <x:col min="5" max="5" width="34" hidden="0" customWidth="1"/>
    <x:col min="6" max="6" width="19" hidden="0" customWidth="1"/>
    <x:col min="7" max="7" width="42" hidden="0" customWidth="1"/>
  </x:cols>
  <x:sheetData>
    <x:row r="1" ht="30" customHeight="1">
      <x:c r="A1" s="3" t="str">
        <x:v>06b Waterfall Visual</x:v>
      </x:c>
    </x:row>
    <x:row r="2" ht="34" customHeight="1">
      <x:c r="A2" s="7" t="str">
        <x:v>Os dois regimes ficam lado a lado em blocos de células editáveis. O diagrama é uma síntese; a redação por veículo está na aba anterior.</x:v>
      </x:c>
    </x:row>
    <x:row r="3" ht="24" customHeight="1">
      <x:c r="A3" s="11" t="str">
        <x:v>Data-base: por linha | Fontes: METH_WATERFALL_COMPARATIVO</x:v>
      </x:c>
    </x:row>
    <x:row r="4" ht="16" customHeight="1">
      <x:c r="A4" s="22" t="str"/>
      <x:c r="B4" s="22"/>
      <x:c r="C4" s="22"/>
      <x:c r="D4" s="22"/>
      <x:c r="E4" s="22"/>
      <x:c r="F4" s="22"/>
      <x:c r="G4" s="22"/>
    </x:row>
    <x:row r="5" ht="34" customHeight="1">
      <x:c r="A5" s="16" t="str">
        <x:v>regime</x:v>
      </x:c>
      <x:c r="B5" s="16" t="str">
        <x:v>ordem</x:v>
      </x:c>
      <x:c r="C5" s="16" t="str">
        <x:v>degrau</x:v>
      </x:c>
      <x:c r="D5" s="16" t="str">
        <x:v>condicao</x:v>
      </x:c>
      <x:c r="E5" s="16" t="str">
        <x:v>fonte_id</x:v>
      </x:c>
      <x:c r="F5" s="16" t="str">
        <x:v>status</x:v>
      </x:c>
      <x:c r="G5" s="16" t="str">
        <x:v>nota_metodo</x:v>
      </x:c>
      <x:c r="J5" s="40" t="str">
        <x:v>Pró-rata condicionado</x:v>
      </x:c>
      <x:c r="K5" s="40"/>
      <x:c r="L5" s="40"/>
      <x:c r="M5" s="40"/>
      <x:c r="N5" s="40"/>
      <x:c r="P5" s="51" t="str">
        <x:v>Sequencial pós-evento</x:v>
      </x:c>
      <x:c r="Q5" s="51"/>
      <x:c r="R5" s="51"/>
      <x:c r="S5" s="51"/>
      <x:c r="T5" s="51"/>
    </x:row>
    <x:row r="6">
      <x:c r="A6" s="20" t="str">
        <x:v>Pró-rata condicionado</x:v>
      </x:c>
      <x:c r="B6" s="27" t="n">
        <x:v>1</x:v>
      </x:c>
      <x:c r="C6" s="20" t="str">
        <x:v>Despesas e reservas</x:v>
      </x:c>
      <x:c r="D6" s="20" t="str">
        <x:v>Mantido enquanto índices e coberturas permanecem enquadrados</x:v>
      </x:c>
      <x:c r="E6" s="20" t="str">
        <x:v>METH_WATERFALL_COMPARATIVO</x:v>
      </x:c>
      <x:c r="F6" s="20" t="str">
        <x:v>Inferido</x:v>
      </x:c>
      <x:c r="G6" s="20" t="str">
        <x:v>Síntese comparativa dos contratos; diferenças por veículo permanecem em 06_Waterfall.</x:v>
      </x:c>
    </x:row>
    <x:row r="7">
      <x:c r="A7" s="20" t="str">
        <x:v>Pró-rata condicionado</x:v>
      </x:c>
      <x:c r="B7" s="27" t="n">
        <x:v>2</x:v>
      </x:c>
      <x:c r="C7" s="20" t="str">
        <x:v>Juros das camadas</x:v>
      </x:c>
      <x:c r="D7" s="20" t="str">
        <x:v>Mantido enquanto índices e coberturas permanecem enquadrados</x:v>
      </x:c>
      <x:c r="E7" s="20" t="str">
        <x:v>METH_WATERFALL_COMPARATIVO</x:v>
      </x:c>
      <x:c r="F7" s="20" t="str">
        <x:v>Inferido</x:v>
      </x:c>
      <x:c r="G7" s="20" t="str">
        <x:v>Síntese comparativa dos contratos; diferenças por veículo permanecem em 06_Waterfall.</x:v>
      </x:c>
      <x:c r="J7" s="35" t="str">
        <x:v>1. Despesas e reservas</x:v>
      </x:c>
      <x:c r="K7" s="35" t="str">
        <x:v>1. Despesas e reservas</x:v>
      </x:c>
      <x:c r="L7" s="35" t="str">
        <x:v>1. Despesas e reservas</x:v>
      </x:c>
      <x:c r="M7" s="35" t="str">
        <x:v>1. Despesas e reservas</x:v>
      </x:c>
      <x:c r="N7" s="35" t="str">
        <x:v>1. Despesas e reservas</x:v>
      </x:c>
      <x:c r="P7" s="35" t="str">
        <x:v>1. Despesas e reservas</x:v>
      </x:c>
      <x:c r="Q7" s="35" t="str">
        <x:v>1. Despesas e reservas</x:v>
      </x:c>
      <x:c r="R7" s="35" t="str">
        <x:v>1. Despesas e reservas</x:v>
      </x:c>
      <x:c r="S7" s="35" t="str">
        <x:v>1. Despesas e reservas</x:v>
      </x:c>
      <x:c r="T7" s="35" t="str">
        <x:v>1. Despesas e reservas</x:v>
      </x:c>
    </x:row>
    <x:row r="8">
      <x:c r="A8" s="20" t="str">
        <x:v>Pró-rata condicionado</x:v>
      </x:c>
      <x:c r="B8" s="27" t="n">
        <x:v>3</x:v>
      </x:c>
      <x:c r="C8" s="20" t="str">
        <x:v>Principal conforme targets</x:v>
      </x:c>
      <x:c r="D8" s="20" t="str">
        <x:v>Mantido enquanto índices e coberturas permanecem enquadrados</x:v>
      </x:c>
      <x:c r="E8" s="20" t="str">
        <x:v>METH_WATERFALL_COMPARATIVO</x:v>
      </x:c>
      <x:c r="F8" s="20" t="str">
        <x:v>Inferido</x:v>
      </x:c>
      <x:c r="G8" s="20" t="str">
        <x:v>Síntese comparativa dos contratos; diferenças por veículo permanecem em 06_Waterfall.</x:v>
      </x:c>
      <x:c r="J8" s="35" t="str">
        <x:v>1. Despesas e reservas</x:v>
      </x:c>
      <x:c r="K8" s="35" t="str">
        <x:v>1. Despesas e reservas</x:v>
      </x:c>
      <x:c r="L8" s="35" t="str">
        <x:v>1. Despesas e reservas</x:v>
      </x:c>
      <x:c r="M8" s="35" t="str">
        <x:v>1. Despesas e reservas</x:v>
      </x:c>
      <x:c r="N8" s="35" t="str">
        <x:v>1. Despesas e reservas</x:v>
      </x:c>
      <x:c r="P8" s="35" t="str">
        <x:v>1. Despesas e reservas</x:v>
      </x:c>
      <x:c r="Q8" s="35" t="str">
        <x:v>1. Despesas e reservas</x:v>
      </x:c>
      <x:c r="R8" s="35" t="str">
        <x:v>1. Despesas e reservas</x:v>
      </x:c>
      <x:c r="S8" s="35" t="str">
        <x:v>1. Despesas e reservas</x:v>
      </x:c>
      <x:c r="T8" s="35" t="str">
        <x:v>1. Despesas e reservas</x:v>
      </x:c>
    </x:row>
    <x:row r="9">
      <x:c r="A9" s="20" t="str">
        <x:v>Pró-rata condicionado</x:v>
      </x:c>
      <x:c r="B9" s="27" t="n">
        <x:v>4</x:v>
      </x:c>
      <x:c r="C9" s="20" t="str">
        <x:v>Júnior apenas se testes passam</x:v>
      </x:c>
      <x:c r="D9" s="20" t="str">
        <x:v>Mantido enquanto índices e coberturas permanecem enquadrados</x:v>
      </x:c>
      <x:c r="E9" s="20" t="str">
        <x:v>METH_WATERFALL_COMPARATIVO</x:v>
      </x:c>
      <x:c r="F9" s="20" t="str">
        <x:v>Inferido</x:v>
      </x:c>
      <x:c r="G9" s="20" t="str">
        <x:v>Síntese comparativa dos contratos; diferenças por veículo permanecem em 06_Waterfall.</x:v>
      </x:c>
    </x:row>
    <x:row r="10">
      <x:c r="A10" s="20" t="str">
        <x:v>Pró-rata condicionado</x:v>
      </x:c>
      <x:c r="B10" s="27" t="n">
        <x:v>5</x:v>
      </x:c>
      <x:c r="C10" s="20" t="str">
        <x:v>Reinvestimento quando permitido</x:v>
      </x:c>
      <x:c r="D10" s="20" t="str">
        <x:v>Mantido enquanto índices e coberturas permanecem enquadrados</x:v>
      </x:c>
      <x:c r="E10" s="20" t="str">
        <x:v>METH_WATERFALL_COMPARATIVO</x:v>
      </x:c>
      <x:c r="F10" s="20" t="str">
        <x:v>Inferido</x:v>
      </x:c>
      <x:c r="G10" s="20" t="str">
        <x:v>Síntese comparativa dos contratos; diferenças por veículo permanecem em 06_Waterfall.</x:v>
      </x:c>
      <x:c r="J10" s="45" t="str">
        <x:v>2. Juros das camadas</x:v>
      </x:c>
      <x:c r="K10" s="45" t="str">
        <x:v>2. Juros das camadas</x:v>
      </x:c>
      <x:c r="L10" s="45" t="str">
        <x:v>2. Juros das camadas</x:v>
      </x:c>
      <x:c r="M10" s="45" t="str">
        <x:v>2. Juros das camadas</x:v>
      </x:c>
      <x:c r="N10" s="45" t="str">
        <x:v>2. Juros das camadas</x:v>
      </x:c>
      <x:c r="P10" s="45" t="str">
        <x:v>2. Juros da camada prioritária</x:v>
      </x:c>
      <x:c r="Q10" s="45" t="str">
        <x:v>2. Juros da camada prioritária</x:v>
      </x:c>
      <x:c r="R10" s="45" t="str">
        <x:v>2. Juros da camada prioritária</x:v>
      </x:c>
      <x:c r="S10" s="45" t="str">
        <x:v>2. Juros da camada prioritária</x:v>
      </x:c>
      <x:c r="T10" s="45" t="str">
        <x:v>2. Juros da camada prioritária</x:v>
      </x:c>
    </x:row>
    <x:row r="11">
      <x:c r="A11" s="20" t="str">
        <x:v>Sequencial pós-evento</x:v>
      </x:c>
      <x:c r="B11" s="27" t="n">
        <x:v>1</x:v>
      </x:c>
      <x:c r="C11" s="20" t="str">
        <x:v>Despesas e reservas</x:v>
      </x:c>
      <x:c r="D11" s="20" t="str">
        <x:v>Ativado por evento, passagem do tempo ou aceleração</x:v>
      </x:c>
      <x:c r="E11" s="20" t="str">
        <x:v>METH_WATERFALL_COMPARATIVO</x:v>
      </x:c>
      <x:c r="F11" s="20" t="str">
        <x:v>Inferido</x:v>
      </x:c>
      <x:c r="G11" s="20" t="str">
        <x:v>Síntese comparativa dos contratos; diferenças por veículo permanecem em 06_Waterfall.</x:v>
      </x:c>
      <x:c r="J11" s="45" t="str">
        <x:v>2. Juros das camadas</x:v>
      </x:c>
      <x:c r="K11" s="45" t="str">
        <x:v>2. Juros das camadas</x:v>
      </x:c>
      <x:c r="L11" s="45" t="str">
        <x:v>2. Juros das camadas</x:v>
      </x:c>
      <x:c r="M11" s="45" t="str">
        <x:v>2. Juros das camadas</x:v>
      </x:c>
      <x:c r="N11" s="45" t="str">
        <x:v>2. Juros das camadas</x:v>
      </x:c>
      <x:c r="P11" s="45" t="str">
        <x:v>2. Juros da camada prioritária</x:v>
      </x:c>
      <x:c r="Q11" s="45" t="str">
        <x:v>2. Juros da camada prioritária</x:v>
      </x:c>
      <x:c r="R11" s="45" t="str">
        <x:v>2. Juros da camada prioritária</x:v>
      </x:c>
      <x:c r="S11" s="45" t="str">
        <x:v>2. Juros da camada prioritária</x:v>
      </x:c>
      <x:c r="T11" s="45" t="str">
        <x:v>2. Juros da camada prioritária</x:v>
      </x:c>
    </x:row>
    <x:row r="12">
      <x:c r="A12" s="20" t="str">
        <x:v>Sequencial pós-evento</x:v>
      </x:c>
      <x:c r="B12" s="27" t="n">
        <x:v>2</x:v>
      </x:c>
      <x:c r="C12" s="20" t="str">
        <x:v>Juros da camada prioritária</x:v>
      </x:c>
      <x:c r="D12" s="20" t="str">
        <x:v>Ativado por evento, passagem do tempo ou aceleração</x:v>
      </x:c>
      <x:c r="E12" s="20" t="str">
        <x:v>METH_WATERFALL_COMPARATIVO</x:v>
      </x:c>
      <x:c r="F12" s="20" t="str">
        <x:v>Inferido</x:v>
      </x:c>
      <x:c r="G12" s="20" t="str">
        <x:v>Síntese comparativa dos contratos; diferenças por veículo permanecem em 06_Waterfall.</x:v>
      </x:c>
    </x:row>
    <x:row r="13">
      <x:c r="A13" s="20" t="str">
        <x:v>Sequencial pós-evento</x:v>
      </x:c>
      <x:c r="B13" s="27" t="n">
        <x:v>3</x:v>
      </x:c>
      <x:c r="C13" s="20" t="str">
        <x:v>Principal sênior integral</x:v>
      </x:c>
      <x:c r="D13" s="20" t="str">
        <x:v>Ativado por evento, passagem do tempo ou aceleração</x:v>
      </x:c>
      <x:c r="E13" s="20" t="str">
        <x:v>METH_WATERFALL_COMPARATIVO</x:v>
      </x:c>
      <x:c r="F13" s="20" t="str">
        <x:v>Inferido</x:v>
      </x:c>
      <x:c r="G13" s="20" t="str">
        <x:v>Síntese comparativa dos contratos; diferenças por veículo permanecem em 06_Waterfall.</x:v>
      </x:c>
      <x:c r="J13" s="50" t="str">
        <x:v>3. Principal conforme targets</x:v>
      </x:c>
      <x:c r="K13" s="50" t="str">
        <x:v>3. Principal conforme targets</x:v>
      </x:c>
      <x:c r="L13" s="50" t="str">
        <x:v>3. Principal conforme targets</x:v>
      </x:c>
      <x:c r="M13" s="50" t="str">
        <x:v>3. Principal conforme targets</x:v>
      </x:c>
      <x:c r="N13" s="50" t="str">
        <x:v>3. Principal conforme targets</x:v>
      </x:c>
      <x:c r="P13" s="50" t="str">
        <x:v>3. Principal sênior integral</x:v>
      </x:c>
      <x:c r="Q13" s="50" t="str">
        <x:v>3. Principal sênior integral</x:v>
      </x:c>
      <x:c r="R13" s="50" t="str">
        <x:v>3. Principal sênior integral</x:v>
      </x:c>
      <x:c r="S13" s="50" t="str">
        <x:v>3. Principal sênior integral</x:v>
      </x:c>
      <x:c r="T13" s="50" t="str">
        <x:v>3. Principal sênior integral</x:v>
      </x:c>
    </x:row>
    <x:row r="14">
      <x:c r="A14" s="20" t="str">
        <x:v>Sequencial pós-evento</x:v>
      </x:c>
      <x:c r="B14" s="27" t="n">
        <x:v>4</x:v>
      </x:c>
      <x:c r="C14" s="20" t="str">
        <x:v>Mezanino A e B</x:v>
      </x:c>
      <x:c r="D14" s="20" t="str">
        <x:v>Ativado por evento, passagem do tempo ou aceleração</x:v>
      </x:c>
      <x:c r="E14" s="20" t="str">
        <x:v>METH_WATERFALL_COMPARATIVO</x:v>
      </x:c>
      <x:c r="F14" s="20" t="str">
        <x:v>Inferido</x:v>
      </x:c>
      <x:c r="G14" s="20" t="str">
        <x:v>Síntese comparativa dos contratos; diferenças por veículo permanecem em 06_Waterfall.</x:v>
      </x:c>
      <x:c r="J14" s="50" t="str">
        <x:v>3. Principal conforme targets</x:v>
      </x:c>
      <x:c r="K14" s="50" t="str">
        <x:v>3. Principal conforme targets</x:v>
      </x:c>
      <x:c r="L14" s="50" t="str">
        <x:v>3. Principal conforme targets</x:v>
      </x:c>
      <x:c r="M14" s="50" t="str">
        <x:v>3. Principal conforme targets</x:v>
      </x:c>
      <x:c r="N14" s="50" t="str">
        <x:v>3. Principal conforme targets</x:v>
      </x:c>
      <x:c r="P14" s="50" t="str">
        <x:v>3. Principal sênior integral</x:v>
      </x:c>
      <x:c r="Q14" s="50" t="str">
        <x:v>3. Principal sênior integral</x:v>
      </x:c>
      <x:c r="R14" s="50" t="str">
        <x:v>3. Principal sênior integral</x:v>
      </x:c>
      <x:c r="S14" s="50" t="str">
        <x:v>3. Principal sênior integral</x:v>
      </x:c>
      <x:c r="T14" s="50" t="str">
        <x:v>3. Principal sênior integral</x:v>
      </x:c>
    </x:row>
    <x:row r="15">
      <x:c r="A15" s="20" t="str">
        <x:v>Sequencial pós-evento</x:v>
      </x:c>
      <x:c r="B15" s="27" t="n">
        <x:v>5</x:v>
      </x:c>
      <x:c r="C15" s="20" t="str">
        <x:v>Júnior por último</x:v>
      </x:c>
      <x:c r="D15" s="20" t="str">
        <x:v>Ativado por evento, passagem do tempo ou aceleração</x:v>
      </x:c>
      <x:c r="E15" s="20" t="str">
        <x:v>METH_WATERFALL_COMPARATIVO</x:v>
      </x:c>
      <x:c r="F15" s="20" t="str">
        <x:v>Inferido</x:v>
      </x:c>
      <x:c r="G15" s="20" t="str">
        <x:v>Síntese comparativa dos contratos; diferenças por veículo permanecem em 06_Waterfall.</x:v>
      </x:c>
    </x:row>
    <x:row r="16">
      <x:c r="J16" s="45" t="str">
        <x:v>4. Júnior apenas se testes passam</x:v>
      </x:c>
      <x:c r="K16" s="45" t="str">
        <x:v>4. Júnior apenas se testes passam</x:v>
      </x:c>
      <x:c r="L16" s="45" t="str">
        <x:v>4. Júnior apenas se testes passam</x:v>
      </x:c>
      <x:c r="M16" s="45" t="str">
        <x:v>4. Júnior apenas se testes passam</x:v>
      </x:c>
      <x:c r="N16" s="45" t="str">
        <x:v>4. Júnior apenas se testes passam</x:v>
      </x:c>
      <x:c r="P16" s="45" t="str">
        <x:v>4. Mezanino A e B</x:v>
      </x:c>
      <x:c r="Q16" s="45" t="str">
        <x:v>4. Mezanino A e B</x:v>
      </x:c>
      <x:c r="R16" s="45" t="str">
        <x:v>4. Mezanino A e B</x:v>
      </x:c>
      <x:c r="S16" s="45" t="str">
        <x:v>4. Mezanino A e B</x:v>
      </x:c>
      <x:c r="T16" s="45" t="str">
        <x:v>4. Mezanino A e B</x:v>
      </x:c>
    </x:row>
    <x:row r="17">
      <x:c r="J17" s="45" t="str">
        <x:v>4. Júnior apenas se testes passam</x:v>
      </x:c>
      <x:c r="K17" s="45" t="str">
        <x:v>4. Júnior apenas se testes passam</x:v>
      </x:c>
      <x:c r="L17" s="45" t="str">
        <x:v>4. Júnior apenas se testes passam</x:v>
      </x:c>
      <x:c r="M17" s="45" t="str">
        <x:v>4. Júnior apenas se testes passam</x:v>
      </x:c>
      <x:c r="N17" s="45" t="str">
        <x:v>4. Júnior apenas se testes passam</x:v>
      </x:c>
      <x:c r="P17" s="45" t="str">
        <x:v>4. Mezanino A e B</x:v>
      </x:c>
      <x:c r="Q17" s="45" t="str">
        <x:v>4. Mezanino A e B</x:v>
      </x:c>
      <x:c r="R17" s="45" t="str">
        <x:v>4. Mezanino A e B</x:v>
      </x:c>
      <x:c r="S17" s="45" t="str">
        <x:v>4. Mezanino A e B</x:v>
      </x:c>
      <x:c r="T17" s="45" t="str">
        <x:v>4. Mezanino A e B</x:v>
      </x:c>
    </x:row>
    <x:row r="19">
      <x:c r="J19" s="50" t="str">
        <x:v>5. Reinvestimento quando permitido</x:v>
      </x:c>
      <x:c r="K19" s="50" t="str">
        <x:v>5. Reinvestimento quando permitido</x:v>
      </x:c>
      <x:c r="L19" s="50" t="str">
        <x:v>5. Reinvestimento quando permitido</x:v>
      </x:c>
      <x:c r="M19" s="50" t="str">
        <x:v>5. Reinvestimento quando permitido</x:v>
      </x:c>
      <x:c r="N19" s="50" t="str">
        <x:v>5. Reinvestimento quando permitido</x:v>
      </x:c>
      <x:c r="P19" s="50" t="str">
        <x:v>5. Júnior por último</x:v>
      </x:c>
      <x:c r="Q19" s="50" t="str">
        <x:v>5. Júnior por último</x:v>
      </x:c>
      <x:c r="R19" s="50" t="str">
        <x:v>5. Júnior por último</x:v>
      </x:c>
      <x:c r="S19" s="50" t="str">
        <x:v>5. Júnior por último</x:v>
      </x:c>
      <x:c r="T19" s="50" t="str">
        <x:v>5. Júnior por último</x:v>
      </x:c>
    </x:row>
    <x:row r="20">
      <x:c r="J20" s="50" t="str">
        <x:v>5. Reinvestimento quando permitido</x:v>
      </x:c>
      <x:c r="K20" s="50" t="str">
        <x:v>5. Reinvestimento quando permitido</x:v>
      </x:c>
      <x:c r="L20" s="50" t="str">
        <x:v>5. Reinvestimento quando permitido</x:v>
      </x:c>
      <x:c r="M20" s="50" t="str">
        <x:v>5. Reinvestimento quando permitido</x:v>
      </x:c>
      <x:c r="N20" s="50" t="str">
        <x:v>5. Reinvestimento quando permitido</x:v>
      </x:c>
      <x:c r="P20" s="50" t="str">
        <x:v>5. Júnior por último</x:v>
      </x:c>
      <x:c r="Q20" s="50" t="str">
        <x:v>5. Júnior por último</x:v>
      </x:c>
      <x:c r="R20" s="50" t="str">
        <x:v>5. Júnior por último</x:v>
      </x:c>
      <x:c r="S20" s="50" t="str">
        <x:v>5. Júnior por último</x:v>
      </x:c>
      <x:c r="T20" s="50" t="str">
        <x:v>5. Júnior por último</x:v>
      </x:c>
    </x:row>
  </x:sheetData>
  <x:mergeCells>
    <x:mergeCell ref="A1:G1"/>
    <x:mergeCell ref="A2:G2"/>
    <x:mergeCell ref="A3:G3"/>
    <x:mergeCell ref="J5:N5"/>
    <x:mergeCell ref="J7:N8"/>
    <x:mergeCell ref="J10:N11"/>
    <x:mergeCell ref="J13:N14"/>
    <x:mergeCell ref="J16:N17"/>
    <x:mergeCell ref="J19:N20"/>
    <x:mergeCell ref="P5:T5"/>
    <x:mergeCell ref="P7:T8"/>
    <x:mergeCell ref="P10:T11"/>
    <x:mergeCell ref="P13:T14"/>
    <x:mergeCell ref="P16:T17"/>
    <x:mergeCell ref="P19:T20"/>
  </x:mergeCells>
  <x:pageMargins left="0.7" right="0.7" top="0.75" bottom="0.75" header="0.3" footer="0.3"/>
  <x:tableParts count="1">
    <x:tablePart xmlns:r="http://schemas.openxmlformats.org/officeDocument/2006/relationships" r:id="Rf5d7978b1810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24" hidden="0" customWidth="1"/>
    <x:col min="4" max="4" width="24" hidden="0" customWidth="1"/>
    <x:col min="5" max="5" width="15" hidden="0" customWidth="1"/>
    <x:col min="6" max="6" width="42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  <x:col min="12" max="12" width="21" hidden="0" customWidth="1"/>
    <x:col min="13" max="13" width="19" hidden="0" customWidth="1"/>
    <x:col min="14" max="14" width="24" hidden="0" customWidth="1"/>
    <x:col min="15" max="15" width="24" hidden="0" customWidth="1"/>
    <x:col min="16" max="16" width="24" hidden="0" customWidth="1"/>
    <x:col min="17" max="17" width="13" hidden="0" customWidth="1"/>
    <x:col min="18" max="18" width="24" hidden="0" customWidth="1"/>
    <x:col min="19" max="19" width="34" hidden="0" customWidth="1"/>
    <x:col min="20" max="20" width="19" hidden="0" customWidth="1"/>
    <x:col min="21" max="21" width="42" hidden="0" customWidth="1"/>
  </x:cols>
  <x:sheetData>
    <x:row r="1" ht="30" customHeight="1">
      <x:c r="A1" s="3" t="str">
        <x:v>07 Subordinada</x:v>
      </x:c>
    </x:row>
    <x:row r="2" ht="34" customHeight="1">
      <x:c r="A2" s="7" t="str">
        <x:v>A saída da subordinada depende de pisos, coberturas, quóruns e ausência de eventos. Pagamentos observados ficam n/d sem histórico público completo por classe.</x:v>
      </x:c>
    </x:row>
    <x:row r="3" ht="24" customHeight="1">
      <x:c r="A3" s="11" t="str">
        <x:v>Data-base: por linha | Fontes: DOC_FIDC_I_REG_202411; CVM_FIDC_202607_I_IV; CVM_FIDC_202607_X2; DOC_FIDC_II_REG_202412; DOC_FIDC_III_REG_202512;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</x:row>
    <x:row r="5" ht="34" customHeight="1">
      <x:c r="A5" s="16" t="str">
        <x:v>veiculo_id</x:v>
      </x:c>
      <x:c r="B5" s="16" t="str">
        <x:v>saque_permitido</x:v>
      </x:c>
      <x:c r="C5" s="16" t="str">
        <x:v>quem_solicita</x:v>
      </x:c>
      <x:c r="D5" s="16" t="str">
        <x:v>quem_autoriza</x:v>
      </x:c>
      <x:c r="E5" s="16" t="str">
        <x:v>quorum</x:v>
      </x:c>
      <x:c r="F5" s="16" t="str">
        <x:v>testes_exigidos</x:v>
      </x:c>
      <x:c r="G5" s="16" t="str">
        <x:v>pisos_de_subordinacao_pct</x:v>
      </x:c>
      <x:c r="H5" s="16" t="str">
        <x:v>indices_de_cobertura</x:v>
      </x:c>
      <x:c r="I5" s="16" t="str">
        <x:v>trava_temporal</x:v>
      </x:c>
      <x:c r="J5" s="16" t="str">
        <x:v>vedacoes_pos_evento</x:v>
      </x:c>
      <x:c r="K5" s="16" t="str">
        <x:v>principal_subordinado_ja_pago_R$mi</x:v>
      </x:c>
      <x:c r="L5" s="16" t="str">
        <x:v>primeira_ocorrencia</x:v>
      </x:c>
      <x:c r="M5" s="16" t="str">
        <x:v>ultima_ocorrencia</x:v>
      </x:c>
      <x:c r="N5" s="16" t="str">
        <x:v>attachment_atual_pct_carteira</x:v>
      </x:c>
      <x:c r="O5" s="16" t="str">
        <x:v>subordinacao_antes_do_saque_pct</x:v>
      </x:c>
      <x:c r="P5" s="16" t="str">
        <x:v>subordinacao_depois_pct</x:v>
      </x:c>
      <x:c r="Q5" s="16" t="str">
        <x:v>variacao_pp</x:v>
      </x:c>
      <x:c r="R5" s="16" t="str">
        <x:v>impacto_na_senior</x:v>
      </x:c>
      <x:c r="S5" s="16" t="str">
        <x:v>fonte_id</x:v>
      </x:c>
      <x:c r="T5" s="16" t="str">
        <x:v>status</x:v>
      </x:c>
      <x:c r="U5" s="16" t="str">
        <x:v>nota_metodo</x:v>
      </x:c>
    </x:row>
    <x:row r="6">
      <x:c r="A6" s="20" t="str">
        <x:v>FIDC_I</x:v>
      </x:c>
      <x:c r="B6" s="20" t="str">
        <x:v>sim</x:v>
      </x:c>
      <x:c r="C6" s="20" t="str">
        <x:v>titular B/júnior</x:v>
      </x:c>
      <x:c r="D6" s="20" t="str">
        <x:v>administrador após testes</x:v>
      </x:c>
      <x:c r="E6" s="20" t="str">
        <x:v>n/d</x:v>
      </x:c>
      <x:c r="F6" s="20" t="str">
        <x:v>subordinação pro forma 26,5%; B+júnior 16,5%; cobertura públicas 110%; eventos/reservas/concentração ok</x:v>
      </x:c>
      <x:c r="G6" s="26" t="str">
        <x:v>25% total; 15% B+júnior</x:v>
      </x:c>
      <x:c r="H6" s="20" t="str">
        <x:v>n/d</x:v>
      </x:c>
      <x:c r="I6" s="20" t="str">
        <x:v>durante o regime previsto</x:v>
      </x:c>
      <x:c r="J6" s="20" t="str">
        <x:v>vedado se evento ou teste desenquadrado</x:v>
      </x:c>
      <x:c r="K6" s="23" t="str">
        <x:v>n/d</x:v>
      </x:c>
      <x:c r="L6" s="21" t="str">
        <x:v>n/d</x:v>
      </x:c>
      <x:c r="M6" s="21" t="str">
        <x:v>n/d</x:v>
      </x:c>
      <x:c r="N6" s="26" t="n">
        <x:v>0.3532781158948364</x:v>
      </x:c>
      <x:c r="O6" s="26" t="str">
        <x:v>n/d</x:v>
      </x:c>
      <x:c r="P6" s="26" t="str">
        <x:v>n/d</x:v>
      </x:c>
      <x:c r="Q6" s="20" t="str">
        <x:v>n/d</x:v>
      </x:c>
      <x:c r="R6" s="20" t="str">
        <x:v>n/d — nenhum saque observado com valor e data publicados</x:v>
      </x:c>
      <x:c r="S6" s="20" t="str">
        <x:v>DOC_FIDC_I_REG_202411 | CVM_FIDC_202607_I_IV | CVM_FIDC_202607_X2</x:v>
      </x:c>
      <x:c r="T6" s="20" t="str">
        <x:v>Inferido</x:v>
      </x:c>
      <x:c r="U6" s="20" t="str">
        <x:v>Attachment atual = (NAV mezanino + NAV júnior) / carteira bruta na mesma competência. Antes/depois de saque permanece n/d sem ocorrência pública com valor e data.</x:v>
      </x:c>
    </x:row>
    <x:row r="7">
      <x:c r="A7" s="20" t="str">
        <x:v>FIDC_II</x:v>
      </x:c>
      <x:c r="B7" s="20" t="str">
        <x:v>sim</x:v>
      </x:c>
      <x:c r="C7" s="20" t="str">
        <x:v>titular júnior</x:v>
      </x:c>
      <x:c r="D7" s="20" t="str">
        <x:v>administrador após testes</x:v>
      </x:c>
      <x:c r="E7" s="20" t="str">
        <x:v>n/d</x:v>
      </x:c>
      <x:c r="F7" s="20" t="str">
        <x:v>razões mínimas; índices de atraso; retorno 3m e mês positivo; sem evento</x:v>
      </x:c>
      <x:c r="G7" s="26" t="str">
        <x:v>20% total; 4,5% júnior</x:v>
      </x:c>
      <x:c r="H7" s="20" t="str">
        <x:v>n/d</x:v>
      </x:c>
      <x:c r="I7" s="20" t="str">
        <x:v>n/d</x:v>
      </x:c>
      <x:c r="J7" s="20" t="str">
        <x:v>vedado em evento/liquidação</x:v>
      </x:c>
      <x:c r="K7" s="23" t="str">
        <x:v>n/d</x:v>
      </x:c>
      <x:c r="L7" s="21" t="str">
        <x:v>n/d</x:v>
      </x:c>
      <x:c r="M7" s="21" t="str">
        <x:v>n/d</x:v>
      </x:c>
      <x:c r="N7" s="26" t="n">
        <x:v>0.23916623200993703</x:v>
      </x:c>
      <x:c r="O7" s="26" t="str">
        <x:v>n/d</x:v>
      </x:c>
      <x:c r="P7" s="26" t="str">
        <x:v>n/d</x:v>
      </x:c>
      <x:c r="Q7" s="20" t="str">
        <x:v>n/d</x:v>
      </x:c>
      <x:c r="R7" s="20" t="str">
        <x:v>n/d — nenhum saque observado com valor e data publicados</x:v>
      </x:c>
      <x:c r="S7" s="20" t="str">
        <x:v>DOC_FIDC_II_REG_202412 | CVM_FIDC_202607_I_IV | CVM_FIDC_202607_X2</x:v>
      </x:c>
      <x:c r="T7" s="20" t="str">
        <x:v>Inferido</x:v>
      </x:c>
      <x:c r="U7" s="20" t="str">
        <x:v>Attachment atual = (NAV mezanino + NAV júnior) / carteira bruta na mesma competência. Antes/depois de saque permanece n/d sem ocorrência pública com valor e data.</x:v>
      </x:c>
    </x:row>
    <x:row r="8">
      <x:c r="A8" s="20" t="str">
        <x:v>FIDC_III</x:v>
      </x:c>
      <x:c r="B8" s="20" t="str">
        <x:v>sim</x:v>
      </x:c>
      <x:c r="C8" s="20" t="str">
        <x:v>titular júnior</x:v>
      </x:c>
      <x:c r="D8" s="20" t="str">
        <x:v>administrador após testes</x:v>
      </x:c>
      <x:c r="E8" s="20" t="str">
        <x:v>n/d</x:v>
      </x:c>
      <x:c r="F8" s="20" t="str">
        <x:v>subordinação ≥25%; B+júnior ≥10%; júnior ≥12% para saque; coberturas</x:v>
      </x:c>
      <x:c r="G8" s="26" t="str">
        <x:v>25% total; 10% B+júnior; 4% júnior</x:v>
      </x:c>
      <x:c r="H8" s="20" t="str">
        <x:v>targets 67/15/6/12</x:v>
      </x:c>
      <x:c r="I8" s="20" t="str">
        <x:v>até evento/mês 48</x:v>
      </x:c>
      <x:c r="J8" s="20" t="str">
        <x:v>vedado em sequencial</x:v>
      </x:c>
      <x:c r="K8" s="23" t="str">
        <x:v>n/d</x:v>
      </x:c>
      <x:c r="L8" s="21" t="str">
        <x:v>n/d</x:v>
      </x:c>
      <x:c r="M8" s="21" t="str">
        <x:v>n/d</x:v>
      </x:c>
      <x:c r="N8" s="26" t="n">
        <x:v>0.33226914105422317</x:v>
      </x:c>
      <x:c r="O8" s="26" t="str">
        <x:v>n/d</x:v>
      </x:c>
      <x:c r="P8" s="26" t="str">
        <x:v>n/d</x:v>
      </x:c>
      <x:c r="Q8" s="20" t="str">
        <x:v>n/d</x:v>
      </x:c>
      <x:c r="R8" s="20" t="str">
        <x:v>n/d — nenhum saque observado com valor e data publicados</x:v>
      </x:c>
      <x:c r="S8" s="20" t="str">
        <x:v>DOC_FIDC_III_REG_202512 | CVM_FIDC_202607_I_IV | CVM_FIDC_202607_X2</x:v>
      </x:c>
      <x:c r="T8" s="20" t="str">
        <x:v>Inferido</x:v>
      </x:c>
      <x:c r="U8" s="20" t="str">
        <x:v>Attachment atual = (NAV mezanino + NAV júnior) / carteira bruta na mesma competência. Antes/depois de saque permanece n/d sem ocorrência pública com valor e data.</x:v>
      </x:c>
    </x:row>
    <x:row r="9">
      <x:c r="A9" s="20" t="str">
        <x:v>FIDC_IV</x:v>
      </x:c>
      <x:c r="B9" s="20" t="str">
        <x:v>sim</x:v>
      </x:c>
      <x:c r="C9" s="20" t="str">
        <x:v>titular júnior</x:v>
      </x:c>
      <x:c r="D9" s="20" t="str">
        <x:v>n/d</x:v>
      </x:c>
      <x:c r="E9" s="20" t="str">
        <x:v>n/d</x:v>
      </x:c>
      <x:c r="F9" s="20" t="str">
        <x:v>cláusulas internas incompletas</x:v>
      </x:c>
      <x:c r="G9" s="26" t="str">
        <x:v>n/d</x:v>
      </x:c>
      <x:c r="H9" s="20" t="str">
        <x:v>n/d</x:v>
      </x:c>
      <x:c r="I9" s="20" t="str">
        <x:v>n/d</x:v>
      </x:c>
      <x:c r="J9" s="20" t="str">
        <x:v>n/d</x:v>
      </x:c>
      <x:c r="K9" s="23" t="str">
        <x:v>n/d</x:v>
      </x:c>
      <x:c r="L9" s="21" t="str">
        <x:v>n/d</x:v>
      </x:c>
      <x:c r="M9" s="21" t="str">
        <x:v>n/d</x:v>
      </x:c>
      <x:c r="N9" s="26" t="str">
        <x:v>n/d</x:v>
      </x:c>
      <x:c r="O9" s="26" t="str">
        <x:v>n/d</x:v>
      </x:c>
      <x:c r="P9" s="26" t="str">
        <x:v>n/d</x:v>
      </x:c>
      <x:c r="Q9" s="20" t="str">
        <x:v>n/d</x:v>
      </x:c>
      <x:c r="R9" s="20" t="str">
        <x:v>n/d — nenhum saque observado com valor e data publicados</x:v>
      </x:c>
      <x:c r="S9" s="20" t="str">
        <x:v>DOC_FIDC_IV_REG_202510 | CVM_FIDC_202607_I_IV | CVM_FIDC_202607_X2</x:v>
      </x:c>
      <x:c r="T9" s="20" t="str">
        <x:v>Documentado</x:v>
      </x:c>
      <x:c r="U9" s="20" t="str">
        <x:v>Attachment atual = (NAV mezanino + NAV júnior) / carteira bruta na mesma competência. Antes/depois de saque permanece n/d sem ocorrência pública com valor e data.</x:v>
      </x:c>
    </x:row>
    <x:row r="10">
      <x:c r="A10" s="20" t="str">
        <x:v>FIDC_V</x:v>
      </x:c>
      <x:c r="B10" s="20" t="str">
        <x:v>sim</x:v>
      </x:c>
      <x:c r="C10" s="20" t="str">
        <x:v>titular júnior</x:v>
      </x:c>
      <x:c r="D10" s="20" t="str">
        <x:v>administrador após testes</x:v>
      </x:c>
      <x:c r="E10" s="20" t="str">
        <x:v>n/d</x:v>
      </x:c>
      <x:c r="F10" s="20" t="str">
        <x:v>subordinação pro forma 22%; júnior 9%; cobertura pública 105%; retorno positivo</x:v>
      </x:c>
      <x:c r="G10" s="26" t="str">
        <x:v>20% total; 7% júnior</x:v>
      </x:c>
      <x:c r="H10" s="20" t="str">
        <x:v>n/d</x:v>
      </x:c>
      <x:c r="I10" s="20" t="str">
        <x:v>n/d</x:v>
      </x:c>
      <x:c r="J10" s="20" t="str">
        <x:v>vedado em evento</x:v>
      </x:c>
      <x:c r="K10" s="23" t="str">
        <x:v>n/d</x:v>
      </x:c>
      <x:c r="L10" s="21" t="str">
        <x:v>n/d</x:v>
      </x:c>
      <x:c r="M10" s="21" t="str">
        <x:v>n/d</x:v>
      </x:c>
      <x:c r="N10" s="26" t="n">
        <x:v>0.2002735100077549</x:v>
      </x:c>
      <x:c r="O10" s="26" t="str">
        <x:v>n/d</x:v>
      </x:c>
      <x:c r="P10" s="26" t="str">
        <x:v>n/d</x:v>
      </x:c>
      <x:c r="Q10" s="20" t="str">
        <x:v>n/d</x:v>
      </x:c>
      <x:c r="R10" s="20" t="str">
        <x:v>n/d — nenhum saque observado com valor e data publicados</x:v>
      </x:c>
      <x:c r="S10" s="20" t="str">
        <x:v>DOC_FIDC_V_REG_202411 | CVM_FIDC_202607_I_IV | CVM_FIDC_202607_X2</x:v>
      </x:c>
      <x:c r="T10" s="20" t="str">
        <x:v>Inferido</x:v>
      </x:c>
      <x:c r="U10" s="20" t="str">
        <x:v>Attachment atual = (NAV mezanino + NAV júnior) / carteira bruta na mesma competência. Antes/depois de saque permanece n/d sem ocorrência pública com valor e data.</x:v>
      </x:c>
    </x:row>
    <x:row r="11">
      <x:c r="A11" s="20" t="str">
        <x:v>FIDC_VI</x:v>
      </x:c>
      <x:c r="B11" s="20" t="str">
        <x:v>sim</x:v>
      </x:c>
      <x:c r="C11" s="20" t="str">
        <x:v>75% da cota júnior</x:v>
      </x:c>
      <x:c r="D11" s="20" t="str">
        <x:v>administrador</x:v>
      </x:c>
      <x:c r="E11" s="20" t="str">
        <x:v>75% do júnior</x:v>
      </x:c>
      <x:c r="F11" s="20" t="str">
        <x:v>pró-rata; coberturas 136%/113,3%/106,3%; MTM; sem evento</x:v>
      </x:c>
      <x:c r="G11" s="26" t="str">
        <x:v>5% A; 2,5% B; 2% júnior</x:v>
      </x:c>
      <x:c r="H11" s="20" t="str">
        <x:v>coberturas e atraso-90</x:v>
      </x:c>
      <x:c r="I11" s="20" t="str">
        <x:v>até desinvestimento</x:v>
      </x:c>
      <x:c r="J11" s="20" t="str">
        <x:v>vedado no sequencial/evento</x:v>
      </x:c>
      <x:c r="K11" s="23" t="str">
        <x:v>n/d</x:v>
      </x:c>
      <x:c r="L11" s="21" t="str">
        <x:v>n/d</x:v>
      </x:c>
      <x:c r="M11" s="21" t="str">
        <x:v>n/d</x:v>
      </x:c>
      <x:c r="N11" s="26" t="n">
        <x:v>0.3324210521407403</x:v>
      </x:c>
      <x:c r="O11" s="26" t="str">
        <x:v>n/d</x:v>
      </x:c>
      <x:c r="P11" s="26" t="str">
        <x:v>n/d</x:v>
      </x:c>
      <x:c r="Q11" s="20" t="str">
        <x:v>n/d</x:v>
      </x:c>
      <x:c r="R11" s="20" t="str">
        <x:v>n/d — nenhum saque observado com valor e data publicados</x:v>
      </x:c>
      <x:c r="S11" s="20" t="str">
        <x:v>DOC_FIDC_VI_REG_202605 | CVM_FIDC_202607_I_IV | CVM_FIDC_202607_X2</x:v>
      </x:c>
      <x:c r="T11" s="20" t="str">
        <x:v>Inferido</x:v>
      </x:c>
      <x:c r="U11" s="20" t="str">
        <x:v>Attachment atual = (NAV mezanino + NAV júnior) / carteira bruta na mesma competência. Antes/depois de saque permanece n/d sem ocorrência pública com valor e data.</x:v>
      </x:c>
    </x:row>
    <x:row r="12">
      <x:c r="A12" s="20" t="str">
        <x:v>FIDC_VII</x:v>
      </x:c>
      <x:c r="B12" s="20" t="str">
        <x:v>sim</x:v>
      </x:c>
      <x:c r="C12" s="20" t="str">
        <x:v>75% da cota júnior</x:v>
      </x:c>
      <x:c r="D12" s="20" t="str">
        <x:v>administrador</x:v>
      </x:c>
      <x:c r="E12" s="20" t="str">
        <x:v>75% do júnior</x:v>
      </x:c>
      <x:c r="F12" s="20" t="str">
        <x:v>pró-rata; coberturas; MTM; sem evento</x:v>
      </x:c>
      <x:c r="G12" s="26" t="str">
        <x:v>5% A; 2,5% B; 2% júnior</x:v>
      </x:c>
      <x:c r="H12" s="20" t="str">
        <x:v>targets 73/15/6/6</x:v>
      </x:c>
      <x:c r="I12" s="20" t="str">
        <x:v>após carência; respeita revolvência</x:v>
      </x:c>
      <x:c r="J12" s="20" t="str">
        <x:v>vedado no sequencial/evento</x:v>
      </x:c>
      <x:c r="K12" s="23" t="str">
        <x:v>n/d</x:v>
      </x:c>
      <x:c r="L12" s="21" t="str">
        <x:v>n/d</x:v>
      </x:c>
      <x:c r="M12" s="21" t="str">
        <x:v>n/d</x:v>
      </x:c>
      <x:c r="N12" s="26" t="n">
        <x:v>0.25993841811430857</x:v>
      </x:c>
      <x:c r="O12" s="26" t="str">
        <x:v>n/d</x:v>
      </x:c>
      <x:c r="P12" s="26" t="str">
        <x:v>n/d</x:v>
      </x:c>
      <x:c r="Q12" s="20" t="str">
        <x:v>n/d</x:v>
      </x:c>
      <x:c r="R12" s="20" t="str">
        <x:v>n/d — nenhum saque observado com valor e data publicados</x:v>
      </x:c>
      <x:c r="S12" s="20" t="str">
        <x:v>DOC_FIDC_VII_REG_202605 | CVM_FIDC_202607_I_IV | CVM_FIDC_202607_X2</x:v>
      </x:c>
      <x:c r="T12" s="20" t="str">
        <x:v>Inferido</x:v>
      </x:c>
      <x:c r="U12" s="20" t="str">
        <x:v>Attachment atual = (NAV mezanino + NAV júnior) / carteira bruta na mesma competência. Antes/depois de saque permanece n/d sem ocorrência pública com valor e data.</x:v>
      </x:c>
    </x:row>
    <x:row r="13">
      <x:c r="A13" s="20" t="str">
        <x:v>CRI_K1</x:v>
      </x:c>
      <x:c r="B13" s="20" t="str">
        <x:v>sim — por waterfall</x:v>
      </x:c>
      <x:c r="C13" s="20" t="str">
        <x:v>automático pelo contrato</x:v>
      </x:c>
      <x:c r="D13" s="20" t="str">
        <x:v>securitizadora</x:v>
      </x:c>
      <x:c r="E13" s="20" t="str">
        <x:v>n/d</x:v>
      </x:c>
      <x:c r="F13" s="20" t="str">
        <x:v>regime pró-rata; prêmio residual somente após S1–S4</x:v>
      </x:c>
      <x:c r="G13" s="26" t="str">
        <x:v>targets 54/15/18/5/8</x:v>
      </x:c>
      <x:c r="H13" s="20" t="str">
        <x:v>n/d</x:v>
      </x:c>
      <x:c r="I13" s="20" t="str">
        <x:v>até mês 47 se sem evento</x:v>
      </x:c>
      <x:c r="J13" s="20" t="str">
        <x:v>prêmio residual travado</x:v>
      </x:c>
      <x:c r="K13" s="23" t="str">
        <x:v>n/d</x:v>
      </x:c>
      <x:c r="L13" s="21" t="str">
        <x:v>n/d</x:v>
      </x:c>
      <x:c r="M13" s="21" t="str">
        <x:v>n/d</x:v>
      </x:c>
      <x:c r="N13" s="26" t="str">
        <x:v>n/d</x:v>
      </x:c>
      <x:c r="O13" s="26" t="str">
        <x:v>n/d</x:v>
      </x:c>
      <x:c r="P13" s="26" t="str">
        <x:v>n/d</x:v>
      </x:c>
      <x:c r="Q13" s="20" t="str">
        <x:v>n/d</x:v>
      </x:c>
      <x:c r="R13" s="20" t="str">
        <x:v>n/d — nenhum saque observado com valor e data publicados</x:v>
      </x:c>
      <x:c r="S13" s="20" t="str">
        <x:v>ANX_CRI1_PROSP_20240216</x:v>
      </x:c>
      <x:c r="T13" s="20" t="str">
        <x:v>Documentado</x:v>
      </x:c>
      <x:c r="U13" s="20" t="str">
        <x:v>Attachment atual = (NAV mezanino + NAV júnior) / carteira bruta na mesma competência. Antes/depois de saque permanece n/d sem ocorrência pública com valor e data.</x:v>
      </x:c>
    </x:row>
    <x:row r="14">
      <x:c r="A14" s="20" t="str">
        <x:v>CRI_K2</x:v>
      </x:c>
      <x:c r="B14" s="20" t="str">
        <x:v>sim — por waterfall</x:v>
      </x:c>
      <x:c r="C14" s="20" t="str">
        <x:v>automático pelo contrato</x:v>
      </x:c>
      <x:c r="D14" s="20" t="str">
        <x:v>securitizadora</x:v>
      </x:c>
      <x:c r="E14" s="20" t="str">
        <x:v>n/d</x:v>
      </x:c>
      <x:c r="F14" s="20" t="str">
        <x:v>regime pró-rata e coberturas</x:v>
      </x:c>
      <x:c r="G14" s="26" t="str">
        <x:v>índices 159%/123%/110%/105%</x:v>
      </x:c>
      <x:c r="H14" s="20" t="str">
        <x:v>n/d</x:v>
      </x:c>
      <x:c r="I14" s="20" t="str">
        <x:v>até mês 47 se sem evento</x:v>
      </x:c>
      <x:c r="J14" s="20" t="str">
        <x:v>vedado no sequencial conforme termo</x:v>
      </x:c>
      <x:c r="K14" s="23" t="str">
        <x:v>n/d</x:v>
      </x:c>
      <x:c r="L14" s="21" t="str">
        <x:v>n/d</x:v>
      </x:c>
      <x:c r="M14" s="21" t="str">
        <x:v>n/d</x:v>
      </x:c>
      <x:c r="N14" s="26" t="str">
        <x:v>n/d</x:v>
      </x:c>
      <x:c r="O14" s="26" t="str">
        <x:v>n/d</x:v>
      </x:c>
      <x:c r="P14" s="26" t="str">
        <x:v>n/d</x:v>
      </x:c>
      <x:c r="Q14" s="20" t="str">
        <x:v>n/d</x:v>
      </x:c>
      <x:c r="R14" s="20" t="str">
        <x:v>n/d — nenhum saque observado com valor e data publicados</x:v>
      </x:c>
      <x:c r="S14" s="20" t="str">
        <x:v>ANX_CRI2_RATING_202406</x:v>
      </x:c>
      <x:c r="T14" s="20" t="str">
        <x:v>Documentado</x:v>
      </x:c>
      <x:c r="U14" s="20" t="str">
        <x:v>Attachment atual = (NAV mezanino + NAV júnior) / carteira bruta na mesma competência. Antes/depois de saque permanece n/d sem ocorrência pública com valor e data.</x:v>
      </x:c>
    </x:row>
    <x:row r="15">
      <x:c r="A15" s="20" t="str">
        <x:v>CRI_K3</x:v>
      </x:c>
      <x:c r="B15" s="20" t="str">
        <x:v>n/d</x:v>
      </x:c>
      <x:c r="C15" s="20" t="str">
        <x:v>n/d</x:v>
      </x:c>
      <x:c r="D15" s="20" t="str">
        <x:v>n/d</x:v>
      </x:c>
      <x:c r="E15" s="20" t="str">
        <x:v>n/d</x:v>
      </x:c>
      <x:c r="F15" s="20" t="str">
        <x:v>n/d</x:v>
      </x:c>
      <x:c r="G15" s="26" t="str">
        <x:v>n/d</x:v>
      </x:c>
      <x:c r="H15" s="20" t="str">
        <x:v>n/d</x:v>
      </x:c>
      <x:c r="I15" s="20" t="str">
        <x:v>n/d</x:v>
      </x:c>
      <x:c r="J15" s="20" t="str">
        <x:v>n/d</x:v>
      </x:c>
      <x:c r="K15" s="23" t="str">
        <x:v>n/d</x:v>
      </x:c>
      <x:c r="L15" s="21" t="str">
        <x:v>n/d</x:v>
      </x:c>
      <x:c r="M15" s="21" t="str">
        <x:v>n/d</x:v>
      </x:c>
      <x:c r="N15" s="26" t="str">
        <x:v>n/d</x:v>
      </x:c>
      <x:c r="O15" s="26" t="str">
        <x:v>n/d</x:v>
      </x:c>
      <x:c r="P15" s="26" t="str">
        <x:v>n/d</x:v>
      </x:c>
      <x:c r="Q15" s="20" t="str">
        <x:v>n/d</x:v>
      </x:c>
      <x:c r="R15" s="20" t="str">
        <x:v>n/d — nenhum saque observado com valor e data publicados</x:v>
      </x:c>
      <x:c r="S15" s="20" t="str">
        <x:v>ANX_CRI3_LAM_PREL_20250422</x:v>
      </x:c>
      <x:c r="T15" s="20" t="str">
        <x:v>n/d</x:v>
      </x:c>
      <x:c r="U15" s="20" t="str">
        <x:v>Attachment atual = (NAV mezanino + NAV júnior) / carteira bruta na mesma competência. Antes/depois de saque permanece n/d sem ocorrência pública com valor e data.</x:v>
      </x:c>
    </x:row>
    <x:row r="16">
      <x:c r="A16" s="20" t="str">
        <x:v>CRI_K4</x:v>
      </x:c>
      <x:c r="B16" s="20" t="str">
        <x:v>n/d</x:v>
      </x:c>
      <x:c r="C16" s="20" t="str">
        <x:v>n/d</x:v>
      </x:c>
      <x:c r="D16" s="20" t="str">
        <x:v>n/d</x:v>
      </x:c>
      <x:c r="E16" s="20" t="str">
        <x:v>n/d</x:v>
      </x:c>
      <x:c r="F16" s="20" t="str">
        <x:v>n/d</x:v>
      </x:c>
      <x:c r="G16" s="26" t="str">
        <x:v>n/d</x:v>
      </x:c>
      <x:c r="H16" s="20" t="str">
        <x:v>n/d</x:v>
      </x:c>
      <x:c r="I16" s="20" t="str">
        <x:v>n/d</x:v>
      </x:c>
      <x:c r="J16" s="20" t="str">
        <x:v>n/d</x:v>
      </x:c>
      <x:c r="K16" s="23" t="str">
        <x:v>n/d</x:v>
      </x:c>
      <x:c r="L16" s="21" t="str">
        <x:v>n/d</x:v>
      </x:c>
      <x:c r="M16" s="21" t="str">
        <x:v>n/d</x:v>
      </x:c>
      <x:c r="N16" s="26" t="str">
        <x:v>n/d</x:v>
      </x:c>
      <x:c r="O16" s="26" t="str">
        <x:v>n/d</x:v>
      </x:c>
      <x:c r="P16" s="26" t="str">
        <x:v>n/d</x:v>
      </x:c>
      <x:c r="Q16" s="20" t="str">
        <x:v>n/d</x:v>
      </x:c>
      <x:c r="R16" s="20" t="str">
        <x:v>n/d — nenhum saque observado com valor e data publicados</x:v>
      </x:c>
      <x:c r="S16" s="20" t="str">
        <x:v>ANX_CRI4_INICIO_20250929</x:v>
      </x:c>
      <x:c r="T16" s="20" t="str">
        <x:v>n/d</x:v>
      </x:c>
      <x:c r="U16" s="20" t="str">
        <x:v>Attachment atual = (NAV mezanino + NAV júnior) / carteira bruta na mesma competência. Antes/depois de saque permanece n/d sem ocorrência pública com valor e data.</x:v>
      </x:c>
    </x:row>
    <x:row r="17">
      <x:c r="A17" s="20" t="str">
        <x:v>CRI_V174</x:v>
      </x:c>
      <x:c r="B17" s="20" t="str">
        <x:v>n/d</x:v>
      </x:c>
      <x:c r="C17" s="20" t="str">
        <x:v>n/d</x:v>
      </x:c>
      <x:c r="D17" s="20" t="str">
        <x:v>n/d</x:v>
      </x:c>
      <x:c r="E17" s="20" t="str">
        <x:v>n/d</x:v>
      </x:c>
      <x:c r="F17" s="20" t="str">
        <x:v>n/d</x:v>
      </x:c>
      <x:c r="G17" s="26" t="str">
        <x:v>n/d</x:v>
      </x:c>
      <x:c r="H17" s="20" t="str">
        <x:v>n/d</x:v>
      </x:c>
      <x:c r="I17" s="20" t="str">
        <x:v>n/d</x:v>
      </x:c>
      <x:c r="J17" s="20" t="str">
        <x:v>n/d</x:v>
      </x:c>
      <x:c r="K17" s="23" t="str">
        <x:v>n/d</x:v>
      </x:c>
      <x:c r="L17" s="21" t="str">
        <x:v>n/d</x:v>
      </x:c>
      <x:c r="M17" s="21" t="str">
        <x:v>n/d</x:v>
      </x:c>
      <x:c r="N17" s="26" t="str">
        <x:v>n/d</x:v>
      </x:c>
      <x:c r="O17" s="26" t="str">
        <x:v>n/d</x:v>
      </x:c>
      <x:c r="P17" s="26" t="str">
        <x:v>n/d</x:v>
      </x:c>
      <x:c r="Q17" s="20" t="str">
        <x:v>n/d</x:v>
      </x:c>
      <x:c r="R17" s="20" t="str">
        <x:v>n/d — nenhum saque observado com valor e data publicados</x:v>
      </x:c>
      <x:c r="S17" s="20" t="str">
        <x:v>ANX_CRIV_LAM_PREL_20260417</x:v>
      </x:c>
      <x:c r="T17" s="20" t="str">
        <x:v>n/d</x:v>
      </x:c>
      <x:c r="U17" s="20" t="str">
        <x:v>Attachment atual = (NAV mezanino + NAV júnior) / carteira bruta na mesma competência. Antes/depois de saque permanece n/d sem ocorrência pública com valor e data.</x:v>
      </x:c>
    </x:row>
    <x:row r="18">
      <x:c r="A18" s="20" t="str">
        <x:v>CRI_V177</x:v>
      </x:c>
      <x:c r="B18" s="20" t="str">
        <x:v>n/d</x:v>
      </x:c>
      <x:c r="C18" s="20" t="str">
        <x:v>n/d</x:v>
      </x:c>
      <x:c r="D18" s="20" t="str">
        <x:v>n/d</x:v>
      </x:c>
      <x:c r="E18" s="20" t="str">
        <x:v>n/d</x:v>
      </x:c>
      <x:c r="F18" s="20" t="str">
        <x:v>n/d</x:v>
      </x:c>
      <x:c r="G18" s="26" t="str">
        <x:v>n/d</x:v>
      </x:c>
      <x:c r="H18" s="20" t="str">
        <x:v>n/d</x:v>
      </x:c>
      <x:c r="I18" s="20" t="str">
        <x:v>n/d</x:v>
      </x:c>
      <x:c r="J18" s="20" t="str">
        <x:v>n/d</x:v>
      </x:c>
      <x:c r="K18" s="23" t="str">
        <x:v>n/d</x:v>
      </x:c>
      <x:c r="L18" s="21" t="str">
        <x:v>n/d</x:v>
      </x:c>
      <x:c r="M18" s="21" t="str">
        <x:v>n/d</x:v>
      </x:c>
      <x:c r="N18" s="26" t="str">
        <x:v>n/d</x:v>
      </x:c>
      <x:c r="O18" s="26" t="str">
        <x:v>n/d</x:v>
      </x:c>
      <x:c r="P18" s="26" t="str">
        <x:v>n/d</x:v>
      </x:c>
      <x:c r="Q18" s="20" t="str">
        <x:v>n/d</x:v>
      </x:c>
      <x:c r="R18" s="20" t="str">
        <x:v>n/d — nenhum saque observado com valor e data publicados</x:v>
      </x:c>
      <x:c r="S18" s="20" t="str">
        <x:v>CVM_FUNDOSNET_VERT177_20260720</x:v>
      </x:c>
      <x:c r="T18" s="20" t="str">
        <x:v>n/d</x:v>
      </x:c>
      <x:c r="U18" s="20" t="str">
        <x:v>Attachment atual = (NAV mezanino + NAV júnior) / carteira bruta na mesma competência. Antes/depois de saque permanece n/d sem ocorrência pública com valor e data.</x:v>
      </x:c>
    </x:row>
  </x:sheetData>
  <x:mergeCells>
    <x:mergeCell ref="A1:U1"/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a596d5faf2554a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23" hidden="0" customWidth="1"/>
    <x:col min="11" max="11" width="1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1" hidden="0" customWidth="1"/>
    <x:col min="17" max="17" width="13" hidden="0" customWidth="1"/>
    <x:col min="18" max="18" width="34" hidden="0" customWidth="1"/>
    <x:col min="19" max="19" width="19" hidden="0" customWidth="1"/>
    <x:col min="20" max="20" width="42" hidden="0" customWidth="1"/>
  </x:cols>
  <x:sheetData>
    <x:row r="1" ht="30" customHeight="1">
      <x:c r="A1" s="3" t="str">
        <x:v>08 PDD</x:v>
      </x:c>
    </x:row>
    <x:row r="2" ht="34" customHeight="1">
      <x:c r="A2" s="7" t="str">
        <x:v>A matriz separa a grade contratual da PDD observada. A razão PDD sobre saldo acima de 90 dias sinaliza o possível efeito vagão.</x:v>
      </x:c>
    </x:row>
    <x:row r="3" ht="24" customHeight="1">
      <x:c r="A3" s="11" t="str">
        <x:v>Data-base: 2026-05-01 a 2026-07-31 | Fontes: DOC_FIDC_I_REG_202411; CVM_FIDC_202607_I_V; DOC_FIDC_II_REG_202412; DOC_FIDC_III_REG_202512; DOC_FIDC_IV_REG_202510; ver 17_Fontes</x:v>
      </x:c>
    </x:row>
    <x:row r="4" ht="16" customHeight="1">
      <x:c r="A4" s="22" t="str">
        <x:v>Legenda: laranja = PDD / saldo &gt;90d acima de 100%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</x:row>
    <x:row r="5" ht="34" customHeight="1">
      <x:c r="A5" s="16" t="str">
        <x:v>veiculo_id</x:v>
      </x:c>
      <x:c r="B5" s="16" t="str">
        <x:v>ate_15d</x:v>
      </x:c>
      <x:c r="C5" s="16" t="str">
        <x:v>16_30d</x:v>
      </x:c>
      <x:c r="D5" s="16" t="str">
        <x:v>31_60d</x:v>
      </x:c>
      <x:c r="E5" s="16" t="str">
        <x:v>61_90d</x:v>
      </x:c>
      <x:c r="F5" s="16" t="str">
        <x:v>91_120d</x:v>
      </x:c>
      <x:c r="G5" s="16" t="str">
        <x:v>121_150d</x:v>
      </x:c>
      <x:c r="H5" s="16" t="str">
        <x:v>151_180d</x:v>
      </x:c>
      <x:c r="I5" s="16" t="str">
        <x:v>acima_180d</x:v>
      </x:c>
      <x:c r="J5" s="16" t="str">
        <x:v>base_de_incidencia</x:v>
      </x:c>
      <x:c r="K5" s="16" t="str">
        <x:v>efeito_vagao</x:v>
      </x:c>
      <x:c r="L5" s="16" t="str">
        <x:v>tratamento_do_dia_181</x:v>
      </x:c>
      <x:c r="M5" s="16" t="str">
        <x:v>pdd_adicional_discricionaria</x:v>
      </x:c>
      <x:c r="N5" s="16" t="str">
        <x:v>pdd_observada_pct_carteira</x:v>
      </x:c>
      <x:c r="O5" s="16" t="str">
        <x:v>saldo_90d_pct_carteira</x:v>
      </x:c>
      <x:c r="P5" s="16" t="str">
        <x:v>razao_pdd_sobre_90d</x:v>
      </x:c>
      <x:c r="Q5" s="16" t="str">
        <x:v>data_base</x:v>
      </x:c>
      <x:c r="R5" s="16" t="str">
        <x:v>fonte_id</x:v>
      </x:c>
      <x:c r="S5" s="16" t="str">
        <x:v>status</x:v>
      </x:c>
      <x:c r="T5" s="16" t="str">
        <x:v>nota_metodo</x:v>
      </x:c>
    </x:row>
    <x:row r="6">
      <x:c r="A6" s="20" t="str">
        <x:v>FIDC_I</x:v>
      </x:c>
      <x:c r="B6" s="20" t="str">
        <x:v>n/d</x:v>
      </x:c>
      <x:c r="C6" s="20" t="str">
        <x:v>n/d</x:v>
      </x:c>
      <x:c r="D6" s="20" t="str">
        <x:v>n/d</x:v>
      </x:c>
      <x:c r="E6" s="20" t="str">
        <x:v>n/d</x:v>
      </x:c>
      <x:c r="F6" s="20" t="str">
        <x:v>n/d</x:v>
      </x:c>
      <x:c r="G6" s="20" t="str">
        <x:v>n/d</x:v>
      </x:c>
      <x:c r="H6" s="20" t="str">
        <x:v>n/d</x:v>
      </x:c>
      <x:c r="I6" s="20" t="str">
        <x:v>n/d</x:v>
      </x:c>
      <x:c r="J6" s="20" t="str">
        <x:v>n/d</x:v>
      </x:c>
      <x:c r="K6" s="20" t="str">
        <x:v>n/d</x:v>
      </x:c>
      <x:c r="L6" s="20" t="str">
        <x:v>n/d</x:v>
      </x:c>
      <x:c r="M6" s="26" t="str">
        <x:v>n/d</x:v>
      </x:c>
      <x:c r="N6" s="26" t="n">
        <x:v>0.06114499229636013</x:v>
      </x:c>
      <x:c r="O6" s="26" t="n">
        <x:v>0.01159370011606752</x:v>
      </x:c>
      <x:c r="P6" s="26" t="n">
        <x:v>5.273984291832793</x:v>
      </x:c>
      <x:c r="Q6" s="21" t="n">
        <x:v>46234</x:v>
      </x:c>
      <x:c r="R6" s="20" t="str">
        <x:v>DOC_FIDC_I_REG_202411 | CVM_FIDC_202607_I_V</x:v>
      </x:c>
      <x:c r="S6" s="20" t="str">
        <x:v>Documentado</x:v>
      </x:c>
      <x:c r="T6" s="20" t="str">
        <x:v>Informe Mensal agrega até 30 dias; a divisão 0–15/16–30 vem apenas do regulamento. Razão acima de 100% é indício analítico, mas efeito_vagao fica n/d sem regra contratual localizada.</x:v>
      </x:c>
    </x:row>
    <x:row r="7">
      <x:c r="A7" s="20" t="str">
        <x:v>FIDC_II</x:v>
      </x:c>
      <x:c r="B7" s="20" t="n">
        <x:v>0</x:v>
      </x:c>
      <x:c r="C7" s="20" t="n">
        <x:v>0.02</x:v>
      </x:c>
      <x:c r="D7" s="20" t="n">
        <x:v>0.06</x:v>
      </x:c>
      <x:c r="E7" s="20" t="n">
        <x:v>0.2</x:v>
      </x:c>
      <x:c r="F7" s="20" t="n">
        <x:v>1</x:v>
      </x:c>
      <x:c r="G7" s="20" t="n">
        <x:v>1</x:v>
      </x:c>
      <x:c r="H7" s="20" t="n">
        <x:v>1</x:v>
      </x:c>
      <x:c r="I7" s="20" t="n">
        <x:v>1</x:v>
      </x:c>
      <x:c r="J7" s="20" t="str">
        <x:v>saldo integral da CCB</x:v>
      </x:c>
      <x:c r="K7" s="20" t="str">
        <x:v>sim</x:v>
      </x:c>
      <x:c r="L7" s="20" t="str">
        <x:v>100%; baixa após 365d ou impossibilidade</x:v>
      </x:c>
      <x:c r="M7" s="26" t="str">
        <x:v>n/d</x:v>
      </x:c>
      <x:c r="N7" s="26" t="n">
        <x:v>0</x:v>
      </x:c>
      <x:c r="O7" s="26" t="n">
        <x:v>0.02058339743730081</x:v>
      </x:c>
      <x:c r="P7" s="26" t="n">
        <x:v>0</x:v>
      </x:c>
      <x:c r="Q7" s="21" t="n">
        <x:v>46234</x:v>
      </x:c>
      <x:c r="R7" s="20" t="str">
        <x:v>DOC_FIDC_II_REG_202412 | CVM_FIDC_202607_I_V</x:v>
      </x:c>
      <x:c r="S7" s="20" t="str">
        <x:v>Documentado</x:v>
      </x:c>
      <x:c r="T7" s="20" t="str">
        <x:v>Informe Mensal agrega até 30 dias; a divisão 0–15/16–30 vem apenas do regulamento. Razão acima de 100% é indício analítico, mas efeito_vagao fica n/d sem regra contratual localizada.</x:v>
      </x:c>
    </x:row>
    <x:row r="8">
      <x:c r="A8" s="20" t="str">
        <x:v>FIDC_III</x:v>
      </x:c>
      <x:c r="B8" s="20" t="str">
        <x:v>n/d</x:v>
      </x:c>
      <x:c r="C8" s="20" t="str">
        <x:v>n/d</x:v>
      </x:c>
      <x:c r="D8" s="20" t="str">
        <x:v>n/d</x:v>
      </x:c>
      <x:c r="E8" s="20" t="str">
        <x:v>n/d</x:v>
      </x:c>
      <x:c r="F8" s="20" t="str">
        <x:v>n/d</x:v>
      </x:c>
      <x:c r="G8" s="20" t="str">
        <x:v>n/d</x:v>
      </x:c>
      <x:c r="H8" s="20" t="str">
        <x:v>n/d</x:v>
      </x:c>
      <x:c r="I8" s="20" t="str">
        <x:v>n/d</x:v>
      </x:c>
      <x:c r="J8" s="20" t="str">
        <x:v>n/d</x:v>
      </x:c>
      <x:c r="K8" s="20" t="str">
        <x:v>n/d</x:v>
      </x:c>
      <x:c r="L8" s="20" t="str">
        <x:v>n/d</x:v>
      </x:c>
      <x:c r="M8" s="26" t="str">
        <x:v>n/d</x:v>
      </x:c>
      <x:c r="N8" s="26" t="n">
        <x:v>0.0534777960720133</x:v>
      </x:c>
      <x:c r="O8" s="26" t="n">
        <x:v>0.011393417513301045</x:v>
      </x:c>
      <x:c r="P8" s="26" t="n">
        <x:v>4.693744963667099</x:v>
      </x:c>
      <x:c r="Q8" s="21" t="n">
        <x:v>46234</x:v>
      </x:c>
      <x:c r="R8" s="20" t="str">
        <x:v>DOC_FIDC_III_REG_202512 | CVM_FIDC_202607_I_V</x:v>
      </x:c>
      <x:c r="S8" s="20" t="str">
        <x:v>Documentado</x:v>
      </x:c>
      <x:c r="T8" s="20" t="str">
        <x:v>Informe Mensal agrega até 30 dias; a divisão 0–15/16–30 vem apenas do regulamento. Razão acima de 100% é indício analítico, mas efeito_vagao fica n/d sem regra contratual localizada.</x:v>
      </x:c>
    </x:row>
    <x:row r="9">
      <x:c r="A9" s="20" t="str">
        <x:v>FIDC_IV</x:v>
      </x:c>
      <x:c r="B9" s="20" t="n">
        <x:v>0.005</x:v>
      </x:c>
      <x:c r="C9" s="20" t="n">
        <x:v>0.01</x:v>
      </x:c>
      <x:c r="D9" s="20" t="n">
        <x:v>0.03</x:v>
      </x:c>
      <x:c r="E9" s="20" t="n">
        <x:v>0.1</x:v>
      </x:c>
      <x:c r="F9" s="20" t="n">
        <x:v>0.3</x:v>
      </x:c>
      <x:c r="G9" s="20" t="n">
        <x:v>0.5</x:v>
      </x:c>
      <x:c r="H9" s="20" t="n">
        <x:v>0.7</x:v>
      </x:c>
      <x:c r="I9" s="20" t="n">
        <x:v>1</x:v>
      </x:c>
      <x:c r="J9" s="20" t="str">
        <x:v>saldo integral da CCB</x:v>
      </x:c>
      <x:c r="K9" s="20" t="str">
        <x:v>sim</x:v>
      </x:c>
      <x:c r="L9" s="20" t="str">
        <x:v>100%; baixa após 365d ou impossibilidade</x:v>
      </x:c>
      <x:c r="M9" s="26" t="str">
        <x:v>n/d</x:v>
      </x:c>
      <x:c r="N9" s="26" t="n">
        <x:v>0.6405729188597895</x:v>
      </x:c>
      <x:c r="O9" s="26" t="n">
        <x:v>0.11653214211693345</x:v>
      </x:c>
      <x:c r="P9" s="26" t="n">
        <x:v>5.4969633890108245</x:v>
      </x:c>
      <x:c r="Q9" s="21" t="n">
        <x:v>46234</x:v>
      </x:c>
      <x:c r="R9" s="20" t="str">
        <x:v>DOC_FIDC_IV_REG_202510 | CVM_FIDC_202607_I_V</x:v>
      </x:c>
      <x:c r="S9" s="20" t="str">
        <x:v>Documentado</x:v>
      </x:c>
      <x:c r="T9" s="20" t="str">
        <x:v>Informe Mensal agrega até 30 dias; a divisão 0–15/16–30 vem apenas do regulamento. Razão acima de 100% é indício analítico, mas efeito_vagao fica n/d sem regra contratual localizada.</x:v>
      </x:c>
    </x:row>
    <x:row r="10">
      <x:c r="A10" s="20" t="str">
        <x:v>FIDC_V</x:v>
      </x:c>
      <x:c r="B10" s="20" t="n">
        <x:v>0.005</x:v>
      </x:c>
      <x:c r="C10" s="20" t="n">
        <x:v>0.01</x:v>
      </x:c>
      <x:c r="D10" s="20" t="n">
        <x:v>0.03</x:v>
      </x:c>
      <x:c r="E10" s="20" t="n">
        <x:v>0.1</x:v>
      </x:c>
      <x:c r="F10" s="20" t="n">
        <x:v>0.3</x:v>
      </x:c>
      <x:c r="G10" s="20" t="n">
        <x:v>0.5</x:v>
      </x:c>
      <x:c r="H10" s="20" t="n">
        <x:v>0.7</x:v>
      </x:c>
      <x:c r="I10" s="20" t="n">
        <x:v>1</x:v>
      </x:c>
      <x:c r="J10" s="20" t="str">
        <x:v>saldo integral da CCB</x:v>
      </x:c>
      <x:c r="K10" s="20" t="str">
        <x:v>sim</x:v>
      </x:c>
      <x:c r="L10" s="20" t="str">
        <x:v>100%; baixa após 365d ou impossibilidade</x:v>
      </x:c>
      <x:c r="M10" s="26" t="str">
        <x:v>n/d</x:v>
      </x:c>
      <x:c r="N10" s="26" t="n">
        <x:v>0.08836908437856597</x:v>
      </x:c>
      <x:c r="O10" s="26" t="n">
        <x:v>0.01618226393866817</x:v>
      </x:c>
      <x:c r="P10" s="26" t="n">
        <x:v>5.460860403308866</x:v>
      </x:c>
      <x:c r="Q10" s="21" t="n">
        <x:v>46234</x:v>
      </x:c>
      <x:c r="R10" s="20" t="str">
        <x:v>DOC_FIDC_V_REG_202411 | CVM_FIDC_202607_I_V</x:v>
      </x:c>
      <x:c r="S10" s="20" t="str">
        <x:v>Documentado</x:v>
      </x:c>
      <x:c r="T10" s="20" t="str">
        <x:v>Informe Mensal agrega até 30 dias; a divisão 0–15/16–30 vem apenas do regulamento. Razão acima de 100% é indício analítico, mas efeito_vagao fica n/d sem regra contratual localizada.</x:v>
      </x:c>
    </x:row>
    <x:row r="11">
      <x:c r="A11" s="20" t="str">
        <x:v>FIDC_VI</x:v>
      </x:c>
      <x:c r="B11" s="20" t="n">
        <x:v>0</x:v>
      </x:c>
      <x:c r="C11" s="20" t="n">
        <x:v>0.015</x:v>
      </x:c>
      <x:c r="D11" s="20" t="n">
        <x:v>0.05</x:v>
      </x:c>
      <x:c r="E11" s="20" t="n">
        <x:v>0.1</x:v>
      </x:c>
      <x:c r="F11" s="20" t="n">
        <x:v>0.37</x:v>
      </x:c>
      <x:c r="G11" s="20" t="n">
        <x:v>0.58</x:v>
      </x:c>
      <x:c r="H11" s="20" t="n">
        <x:v>0.78</x:v>
      </x:c>
      <x:c r="I11" s="20" t="n">
        <x:v>1</x:v>
      </x:c>
      <x:c r="J11" s="20" t="str">
        <x:v>saldo integral da CCB</x:v>
      </x:c>
      <x:c r="K11" s="20" t="str">
        <x:v>sim</x:v>
      </x:c>
      <x:c r="L11" s="20" t="str">
        <x:v>100%; baixa após 365d ou impossibilidade</x:v>
      </x:c>
      <x:c r="M11" s="26" t="str">
        <x:v>n/d</x:v>
      </x:c>
      <x:c r="N11" s="26" t="n">
        <x:v>0.33747888240172597</x:v>
      </x:c>
      <x:c r="O11" s="26" t="n">
        <x:v>0.05805323973429176</x:v>
      </x:c>
      <x:c r="P11" s="26" t="n">
        <x:v>5.813265270747308</x:v>
      </x:c>
      <x:c r="Q11" s="21" t="n">
        <x:v>46234</x:v>
      </x:c>
      <x:c r="R11" s="20" t="str">
        <x:v>DOC_FIDC_VI_REG_202605 | CVM_FIDC_202607_I_V</x:v>
      </x:c>
      <x:c r="S11" s="20" t="str">
        <x:v>Documentado</x:v>
      </x:c>
      <x:c r="T11" s="20" t="str">
        <x:v>Informe Mensal agrega até 30 dias; a divisão 0–15/16–30 vem apenas do regulamento. Razão acima de 100% é indício analítico, mas efeito_vagao fica n/d sem regra contratual localizada.</x:v>
      </x:c>
    </x:row>
    <x:row r="12">
      <x:c r="A12" s="20" t="str">
        <x:v>FIDC_VII</x:v>
      </x:c>
      <x:c r="B12" s="20" t="n">
        <x:v>0</x:v>
      </x:c>
      <x:c r="C12" s="20" t="n">
        <x:v>0.015</x:v>
      </x:c>
      <x:c r="D12" s="20" t="n">
        <x:v>0.05</x:v>
      </x:c>
      <x:c r="E12" s="20" t="n">
        <x:v>0.1</x:v>
      </x:c>
      <x:c r="F12" s="20" t="n">
        <x:v>0.37</x:v>
      </x:c>
      <x:c r="G12" s="20" t="n">
        <x:v>0.58</x:v>
      </x:c>
      <x:c r="H12" s="20" t="n">
        <x:v>0.78</x:v>
      </x:c>
      <x:c r="I12" s="20" t="n">
        <x:v>1</x:v>
      </x:c>
      <x:c r="J12" s="20" t="str">
        <x:v>saldo integral da CCB</x:v>
      </x:c>
      <x:c r="K12" s="20" t="str">
        <x:v>sim</x:v>
      </x:c>
      <x:c r="L12" s="20" t="str">
        <x:v>100%; baixa após 365d ou impossibilidade</x:v>
      </x:c>
      <x:c r="M12" s="26" t="str">
        <x:v>n/d</x:v>
      </x:c>
      <x:c r="N12" s="26" t="n">
        <x:v>0.001677024538110929</x:v>
      </x:c>
      <x:c r="O12" s="26" t="str">
        <x:v>4.503318208706495e-05</x:v>
      </x:c>
      <x:c r="P12" s="26" t="n">
        <x:v>37.23975212030657</x:v>
      </x:c>
      <x:c r="Q12" s="21" t="n">
        <x:v>46234</x:v>
      </x:c>
      <x:c r="R12" s="20" t="str">
        <x:v>DOC_FIDC_VII_REG_202605 | CVM_FIDC_202607_I_V</x:v>
      </x:c>
      <x:c r="S12" s="20" t="str">
        <x:v>Documentado</x:v>
      </x:c>
      <x:c r="T12" s="20" t="str">
        <x:v>Informe Mensal agrega até 30 dias; a divisão 0–15/16–30 vem apenas do regulamento. Razão acima de 100% é indício analítico, mas efeito_vagao fica n/d sem regra contratual localizada.</x:v>
      </x:c>
    </x:row>
    <x:row r="13">
      <x:c r="A13" s="20" t="str">
        <x:v>CRI_K1</x:v>
      </x:c>
      <x:c r="B13" s="20" t="n">
        <x:v>0</x:v>
      </x:c>
      <x:c r="C13" s="20" t="n">
        <x:v>0.01</x:v>
      </x:c>
      <x:c r="D13" s="20" t="n">
        <x:v>0.03</x:v>
      </x:c>
      <x:c r="E13" s="20" t="n">
        <x:v>0.1</x:v>
      </x:c>
      <x:c r="F13" s="20" t="n">
        <x:v>0.3</x:v>
      </x:c>
      <x:c r="G13" s="20" t="n">
        <x:v>0.5</x:v>
      </x:c>
      <x:c r="H13" s="20" t="n">
        <x:v>0.7</x:v>
      </x:c>
      <x:c r="I13" s="20" t="n">
        <x:v>1</x:v>
      </x:c>
      <x:c r="J13" s="20" t="str">
        <x:v>saldo integral da CCB</x:v>
      </x:c>
      <x:c r="K13" s="20" t="str">
        <x:v>sim</x:v>
      </x:c>
      <x:c r="L13" s="20" t="str">
        <x:v>100%</x:v>
      </x:c>
      <x:c r="M13" s="26" t="str">
        <x:v>n/d</x:v>
      </x:c>
      <x:c r="N13" s="26" t="n">
        <x:v>0.13959731751544147</x:v>
      </x:c>
      <x:c r="O13" s="26" t="n">
        <x:v>0</x:v>
      </x:c>
      <x:c r="P13" s="26" t="str">
        <x:v>n/d</x:v>
      </x:c>
      <x:c r="Q13" s="21" t="n">
        <x:v>46174</x:v>
      </x:c>
      <x:c r="R13" s="20" t="str">
        <x:v>ANX_CRI1_PROSP_20240216 | CVM_CRI_2026_ATIVO_CARTEIRA</x:v>
      </x:c>
      <x:c r="S13" s="20" t="str">
        <x:v>Documentado</x:v>
      </x:c>
      <x:c r="T13" s="20" t="str">
        <x:v>PDD = redução ao valor de recuperação / créditos; &gt;90d soma as faixas publicadas do Informe Mensal.</x:v>
      </x:c>
    </x:row>
    <x:row r="14">
      <x:c r="A14" s="20" t="str">
        <x:v>CRI_K2</x:v>
      </x:c>
      <x:c r="B14" s="20" t="n">
        <x:v>0</x:v>
      </x:c>
      <x:c r="C14" s="20" t="n">
        <x:v>0.01</x:v>
      </x:c>
      <x:c r="D14" s="20" t="n">
        <x:v>0.03</x:v>
      </x:c>
      <x:c r="E14" s="20" t="n">
        <x:v>0.1</x:v>
      </x:c>
      <x:c r="F14" s="20" t="n">
        <x:v>0.3</x:v>
      </x:c>
      <x:c r="G14" s="20" t="n">
        <x:v>0.5</x:v>
      </x:c>
      <x:c r="H14" s="20" t="n">
        <x:v>0.7</x:v>
      </x:c>
      <x:c r="I14" s="20" t="n">
        <x:v>1</x:v>
      </x:c>
      <x:c r="J14" s="20" t="str">
        <x:v>saldo integral da CCB</x:v>
      </x:c>
      <x:c r="K14" s="20" t="str">
        <x:v>sim</x:v>
      </x:c>
      <x:c r="L14" s="20" t="str">
        <x:v>100%</x:v>
      </x:c>
      <x:c r="M14" s="26" t="str">
        <x:v>n/d</x:v>
      </x:c>
      <x:c r="N14" s="26" t="n">
        <x:v>0.09774659582890519</x:v>
      </x:c>
      <x:c r="O14" s="26" t="n">
        <x:v>0</x:v>
      </x:c>
      <x:c r="P14" s="26" t="str">
        <x:v>n/d</x:v>
      </x:c>
      <x:c r="Q14" s="21" t="n">
        <x:v>46143</x:v>
      </x:c>
      <x:c r="R14" s="20" t="str">
        <x:v>ANX_CRI2_RATING_202406 | CVM_CRI_2026_ATIVO_CARTEIRA</x:v>
      </x:c>
      <x:c r="S14" s="20" t="str">
        <x:v>Documentado</x:v>
      </x:c>
      <x:c r="T14" s="20" t="str">
        <x:v>PDD = redução ao valor de recuperação / créditos; &gt;90d soma as faixas publicadas do Informe Mensal.</x:v>
      </x:c>
    </x:row>
    <x:row r="15">
      <x:c r="A15" s="20" t="str">
        <x:v>CRI_K3</x:v>
      </x:c>
      <x:c r="B15" s="20" t="str">
        <x:v>n/d</x:v>
      </x:c>
      <x:c r="C15" s="20" t="str">
        <x:v>n/d</x:v>
      </x:c>
      <x:c r="D15" s="20" t="str">
        <x:v>n/d</x:v>
      </x:c>
      <x:c r="E15" s="20" t="str">
        <x:v>n/d</x:v>
      </x:c>
      <x:c r="F15" s="20" t="str">
        <x:v>n/d</x:v>
      </x:c>
      <x:c r="G15" s="20" t="str">
        <x:v>n/d</x:v>
      </x:c>
      <x:c r="H15" s="20" t="str">
        <x:v>n/d</x:v>
      </x:c>
      <x:c r="I15" s="20" t="str">
        <x:v>n/d</x:v>
      </x:c>
      <x:c r="J15" s="20" t="str">
        <x:v>saldo integral da CCB</x:v>
      </x:c>
      <x:c r="K15" s="20" t="str">
        <x:v>sim</x:v>
      </x:c>
      <x:c r="L15" s="20" t="str">
        <x:v>n/d</x:v>
      </x:c>
      <x:c r="M15" s="26" t="str">
        <x:v>n/d</x:v>
      </x:c>
      <x:c r="N15" s="26" t="n">
        <x:v>0.033168779300114824</x:v>
      </x:c>
      <x:c r="O15" s="26" t="n">
        <x:v>0</x:v>
      </x:c>
      <x:c r="P15" s="26" t="str">
        <x:v>n/d</x:v>
      </x:c>
      <x:c r="Q15" s="21" t="n">
        <x:v>46143</x:v>
      </x:c>
      <x:c r="R15" s="20" t="str">
        <x:v>ANX_CRI3_LAM_PREL_20250422 | CVM_CRI_2026_ATIVO_CARTEIRA</x:v>
      </x:c>
      <x:c r="S15" s="20" t="str">
        <x:v>Documentado</x:v>
      </x:c>
      <x:c r="T15" s="20" t="str">
        <x:v>PDD = redução ao valor de recuperação / créditos; &gt;90d soma as faixas publicadas do Informe Mensal.</x:v>
      </x:c>
    </x:row>
    <x:row r="16">
      <x:c r="A16" s="20" t="str">
        <x:v>CRI_K4</x:v>
      </x:c>
      <x:c r="B16" s="20" t="str">
        <x:v>n/d</x:v>
      </x:c>
      <x:c r="C16" s="20" t="str">
        <x:v>n/d</x:v>
      </x:c>
      <x:c r="D16" s="20" t="str">
        <x:v>n/d</x:v>
      </x:c>
      <x:c r="E16" s="20" t="str">
        <x:v>n/d</x:v>
      </x:c>
      <x:c r="F16" s="20" t="str">
        <x:v>n/d</x:v>
      </x:c>
      <x:c r="G16" s="20" t="str">
        <x:v>n/d</x:v>
      </x:c>
      <x:c r="H16" s="20" t="str">
        <x:v>n/d</x:v>
      </x:c>
      <x:c r="I16" s="20" t="str">
        <x:v>n/d</x:v>
      </x:c>
      <x:c r="J16" s="20" t="str">
        <x:v>saldo integral da CCB</x:v>
      </x:c>
      <x:c r="K16" s="20" t="str">
        <x:v>sim</x:v>
      </x:c>
      <x:c r="L16" s="20" t="str">
        <x:v>n/d</x:v>
      </x:c>
      <x:c r="M16" s="26" t="str">
        <x:v>n/d</x:v>
      </x:c>
      <x:c r="N16" s="26" t="n">
        <x:v>0.031162676093696367</x:v>
      </x:c>
      <x:c r="O16" s="26" t="n">
        <x:v>0</x:v>
      </x:c>
      <x:c r="P16" s="26" t="str">
        <x:v>n/d</x:v>
      </x:c>
      <x:c r="Q16" s="21" t="n">
        <x:v>46143</x:v>
      </x:c>
      <x:c r="R16" s="20" t="str">
        <x:v>ANX_CRI4_INICIO_20250929 | CVM_CRI_2026_ATIVO_CARTEIRA</x:v>
      </x:c>
      <x:c r="S16" s="20" t="str">
        <x:v>Documentado</x:v>
      </x:c>
      <x:c r="T16" s="20" t="str">
        <x:v>PDD = redução ao valor de recuperação / créditos; &gt;90d soma as faixas publicadas do Informe Mensal.</x:v>
      </x:c>
    </x:row>
    <x:row r="17">
      <x:c r="A17" s="20" t="str">
        <x:v>CRI_V174</x:v>
      </x:c>
      <x:c r="B17" s="20" t="str">
        <x:v>n/d</x:v>
      </x:c>
      <x:c r="C17" s="20" t="str">
        <x:v>n/d</x:v>
      </x:c>
      <x:c r="D17" s="20" t="str">
        <x:v>n/d</x:v>
      </x:c>
      <x:c r="E17" s="20" t="str">
        <x:v>n/d</x:v>
      </x:c>
      <x:c r="F17" s="20" t="str">
        <x:v>n/d</x:v>
      </x:c>
      <x:c r="G17" s="20" t="str">
        <x:v>n/d</x:v>
      </x:c>
      <x:c r="H17" s="20" t="str">
        <x:v>n/d</x:v>
      </x:c>
      <x:c r="I17" s="20" t="str">
        <x:v>n/d</x:v>
      </x:c>
      <x:c r="J17" s="20" t="str">
        <x:v>saldo integral da CCB</x:v>
      </x:c>
      <x:c r="K17" s="20" t="str">
        <x:v>sim</x:v>
      </x:c>
      <x:c r="L17" s="20" t="str">
        <x:v>n/d</x:v>
      </x:c>
      <x:c r="M17" s="26" t="str">
        <x:v>n/d</x:v>
      </x:c>
      <x:c r="N17" s="26" t="n">
        <x:v>0.005082467707803489</x:v>
      </x:c>
      <x:c r="O17" s="26" t="n">
        <x:v>0</x:v>
      </x:c>
      <x:c r="P17" s="26" t="str">
        <x:v>n/d</x:v>
      </x:c>
      <x:c r="Q17" s="21" t="n">
        <x:v>46174</x:v>
      </x:c>
      <x:c r="R17" s="20" t="str">
        <x:v>ANX_CRIV_LAM_PREL_20260417 | CVM_CRI_2026_ATIVO_CARTEIRA</x:v>
      </x:c>
      <x:c r="S17" s="20" t="str">
        <x:v>Documentado</x:v>
      </x:c>
      <x:c r="T17" s="20" t="str">
        <x:v>PDD = redução ao valor de recuperação / créditos; &gt;90d soma as faixas publicadas do Informe Mensal.</x:v>
      </x:c>
    </x:row>
    <x:row r="18">
      <x:c r="A18" s="20" t="str">
        <x:v>CRI_V177</x:v>
      </x:c>
      <x:c r="B18" s="20" t="str">
        <x:v>n/d</x:v>
      </x:c>
      <x:c r="C18" s="20" t="str">
        <x:v>n/d</x:v>
      </x:c>
      <x:c r="D18" s="20" t="str">
        <x:v>n/d</x:v>
      </x:c>
      <x:c r="E18" s="20" t="str">
        <x:v>n/d</x:v>
      </x:c>
      <x:c r="F18" s="20" t="str">
        <x:v>n/d</x:v>
      </x:c>
      <x:c r="G18" s="20" t="str">
        <x:v>n/d</x:v>
      </x:c>
      <x:c r="H18" s="20" t="str">
        <x:v>n/d</x:v>
      </x:c>
      <x:c r="I18" s="20" t="str">
        <x:v>n/d</x:v>
      </x:c>
      <x:c r="J18" s="20" t="str">
        <x:v>saldo integral da CCB</x:v>
      </x:c>
      <x:c r="K18" s="20" t="str">
        <x:v>sim</x:v>
      </x:c>
      <x:c r="L18" s="20" t="str">
        <x:v>n/d</x:v>
      </x:c>
      <x:c r="M18" s="26" t="str">
        <x:v>n/d</x:v>
      </x:c>
      <x:c r="N18" s="26" t="str">
        <x:v>n/d</x:v>
      </x:c>
      <x:c r="O18" s="26" t="str">
        <x:v>n/d</x:v>
      </x:c>
      <x:c r="P18" s="26" t="str">
        <x:v>n/d</x:v>
      </x:c>
      <x:c r="Q18" s="21" t="str">
        <x:v>n/d</x:v>
      </x:c>
      <x:c r="R18" s="20" t="str">
        <x:v>CVM_FUNDOSNET_VERT177_20260720 | CVM_CRI_2026_ATIVO_CARTEIRA</x:v>
      </x:c>
      <x:c r="S18" s="20" t="str">
        <x:v>n/d</x:v>
      </x:c>
      <x:c r="T18" s="20" t="str">
        <x:v>PDD = redução ao valor de recuperação / créditos; &gt;90d soma as faixas publicadas do Informe Mensal.</x:v>
      </x:c>
    </x:row>
  </x:sheetData>
  <x:mergeCells>
    <x:mergeCell ref="A1:T1"/>
    <x:mergeCell ref="A2:T2"/>
    <x:mergeCell ref="A3:T3"/>
  </x:mergeCells>
  <x:conditionalFormatting sqref="P6:P18">
    <x:cfRule type="cellIs" dxfId="2" priority="1" operator="greaterThan">
      <x:formula>1</x:formula>
    </x:cfRule>
  </x:conditionalFormatting>
  <x:pageMargins left="0.7" right="0.7" top="0.75" bottom="0.75" header="0.3" footer="0.3"/>
  <x:drawing xmlns:r="http://schemas.openxmlformats.org/officeDocument/2006/relationships" r:id="R13c5c55e0580404b"/>
  <x:tableParts count="1">
    <x:tablePart xmlns:r="http://schemas.openxmlformats.org/officeDocument/2006/relationships" r:id="R18974a30ad294e8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42" hidden="0" customWidth="1"/>
    <x:col min="4" max="4" width="21" hidden="0" customWidth="1"/>
    <x:col min="5" max="5" width="24" hidden="0" customWidth="1"/>
    <x:col min="6" max="6" width="24" hidden="0" customWidth="1"/>
    <x:col min="7" max="7" width="24" hidden="0" customWidth="1"/>
    <x:col min="8" max="8" width="12" hidden="0" customWidth="1"/>
    <x:col min="9" max="9" width="13" hidden="0" customWidth="1"/>
    <x:col min="10" max="10" width="34" hidden="0" customWidth="1"/>
    <x:col min="11" max="11" width="19" hidden="0" customWidth="1"/>
    <x:col min="12" max="12" width="42" hidden="0" customWidth="1"/>
  </x:cols>
  <x:sheetData>
    <x:row r="1" ht="30" customHeight="1">
      <x:c r="A1" s="3" t="str">
        <x:v>09 Eventos</x:v>
      </x:c>
    </x:row>
    <x:row r="2" ht="34" customHeight="1">
      <x:c r="A2" s="7" t="str">
        <x:v>Cada evento liga gatilho, parâmetro, consequência e cura. A existência da cláusula não prova que o evento ocorreu.</x:v>
      </x:c>
    </x:row>
    <x:row r="3" ht="24" customHeight="1">
      <x:c r="A3" s="11" t="str">
        <x:v>Data-base: por linha | Fontes: DOC_FIDC_I_REG_202411; DOC_FIDC_II_REG_202412; DOC_FIDC_III_REG_202512; DOC_FIDC_IV_REG_202510; DOC_FIDC_V_REG_202411;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34" customHeight="1">
      <x:c r="A5" s="16" t="str">
        <x:v>veiculo_id</x:v>
      </x:c>
      <x:c r="B5" s="16" t="str">
        <x:v>tipo</x:v>
      </x:c>
      <x:c r="C5" s="16" t="str">
        <x:v>descricao_do_gatilho</x:v>
      </x:c>
      <x:c r="D5" s="16" t="str">
        <x:v>parametro_numerico</x:v>
      </x:c>
      <x:c r="E5" s="16" t="str">
        <x:v>consequencia_automatica</x:v>
      </x:c>
      <x:c r="F5" s="16" t="str">
        <x:v>quorum_de_dispensa</x:v>
      </x:c>
      <x:c r="G5" s="16" t="str">
        <x:v>prazo_de_cura</x:v>
      </x:c>
      <x:c r="H5" s="16" t="str">
        <x:v>ja_ocorreu</x:v>
      </x:c>
      <x:c r="I5" s="16" t="str">
        <x:v>data_da_ocorrencia</x:v>
      </x:c>
      <x:c r="J5" s="16" t="str">
        <x:v>fonte_id</x:v>
      </x:c>
      <x:c r="K5" s="16" t="str">
        <x:v>status</x:v>
      </x:c>
      <x:c r="L5" s="16" t="str">
        <x:v>nota_metodo</x:v>
      </x:c>
    </x:row>
    <x:row r="6">
      <x:c r="A6" s="20" t="str">
        <x:v>FIDC_I</x:v>
      </x:c>
      <x:c r="B6" s="20" t="str">
        <x:v>Avaliação</x:v>
      </x:c>
      <x:c r="C6" s="20" t="str">
        <x:v>atraso de estoque ou parcelas acima de 15%</x:v>
      </x:c>
      <x:c r="D6" s="20" t="str">
        <x:v>15%</x:v>
      </x:c>
      <x:c r="E6" s="20" t="str">
        <x:v>pode levar à liquidação/sequencial</x:v>
      </x:c>
      <x:c r="F6" s="20" t="str">
        <x:v>n/d</x:v>
      </x:c>
      <x:c r="G6" s="24" t="str">
        <x:v>n/d</x:v>
      </x:c>
      <x:c r="H6" s="20" t="str">
        <x:v>n/d</x:v>
      </x:c>
      <x:c r="I6" s="21" t="str">
        <x:v>n/d</x:v>
      </x:c>
      <x:c r="J6" s="20" t="str">
        <x:v>DOC_FIDC_I_REG_202411</x:v>
      </x:c>
      <x:c r="K6" s="20" t="str">
        <x:v>Documentado</x:v>
      </x:c>
      <x:c r="L6" s="20" t="str">
        <x:v>Ocorrência histórica não é inferida a partir da cláusula contratual.</x:v>
      </x:c>
    </x:row>
    <x:row r="7">
      <x:c r="A7" s="20" t="str">
        <x:v>FIDC_I</x:v>
      </x:c>
      <x:c r="B7" s="20" t="str">
        <x:v>Avaliação</x:v>
      </x:c>
      <x:c r="C7" s="20" t="str">
        <x:v>rating sênior cai 2 níveis</x:v>
      </x:c>
      <x:c r="D7" s="20" t="str">
        <x:v>2 níveis</x:v>
      </x:c>
      <x:c r="E7" s="20" t="str">
        <x:v>avaliação</x:v>
      </x:c>
      <x:c r="F7" s="20" t="str">
        <x:v>n/d</x:v>
      </x:c>
      <x:c r="G7" s="24" t="str">
        <x:v>n/d</x:v>
      </x:c>
      <x:c r="H7" s="20" t="str">
        <x:v>n/d</x:v>
      </x:c>
      <x:c r="I7" s="21" t="str">
        <x:v>n/d</x:v>
      </x:c>
      <x:c r="J7" s="20" t="str">
        <x:v>DOC_FIDC_I_REG_202411</x:v>
      </x:c>
      <x:c r="K7" s="20" t="str">
        <x:v>Documentado</x:v>
      </x:c>
      <x:c r="L7" s="20" t="str">
        <x:v>Ocorrência histórica não é inferida a partir da cláusula contratual.</x:v>
      </x:c>
    </x:row>
    <x:row r="8">
      <x:c r="A8" s="20" t="str">
        <x:v>FIDC_II</x:v>
      </x:c>
      <x:c r="B8" s="20" t="str">
        <x:v>Avaliação</x:v>
      </x:c>
      <x:c r="C8" s="20" t="str">
        <x:v>atraso estoque &gt;10% ou roll-90 &gt;0,9%</x:v>
      </x:c>
      <x:c r="D8" s="20" t="str">
        <x:v>10% / 0,9%</x:v>
      </x:c>
      <x:c r="E8" s="20" t="str">
        <x:v>avaliação</x:v>
      </x:c>
      <x:c r="F8" s="20" t="str">
        <x:v>n/d</x:v>
      </x:c>
      <x:c r="G8" s="24" t="str">
        <x:v>n/d</x:v>
      </x:c>
      <x:c r="H8" s="20" t="str">
        <x:v>n/d</x:v>
      </x:c>
      <x:c r="I8" s="21" t="str">
        <x:v>n/d</x:v>
      </x:c>
      <x:c r="J8" s="20" t="str">
        <x:v>DOC_FIDC_II_REG_202412</x:v>
      </x:c>
      <x:c r="K8" s="20" t="str">
        <x:v>Documentado</x:v>
      </x:c>
      <x:c r="L8" s="20" t="str">
        <x:v>Ocorrência histórica não é inferida a partir da cláusula contratual.</x:v>
      </x:c>
    </x:row>
    <x:row r="9">
      <x:c r="A9" s="20" t="str">
        <x:v>FIDC_III</x:v>
      </x:c>
      <x:c r="B9" s="20" t="str">
        <x:v>Desalavancagem</x:v>
      </x:c>
      <x:c r="C9" s="20" t="str">
        <x:v>atraso estoque &gt;12% ou parcelas &gt;8,5%</x:v>
      </x:c>
      <x:c r="D9" s="20" t="str">
        <x:v>12% / 8,5%</x:v>
      </x:c>
      <x:c r="E9" s="20" t="str">
        <x:v>sequencial</x:v>
      </x:c>
      <x:c r="F9" s="20" t="str">
        <x:v>n/d</x:v>
      </x:c>
      <x:c r="G9" s="24" t="str">
        <x:v>10 DU</x:v>
      </x:c>
      <x:c r="H9" s="20" t="str">
        <x:v>n/d</x:v>
      </x:c>
      <x:c r="I9" s="21" t="str">
        <x:v>n/d</x:v>
      </x:c>
      <x:c r="J9" s="20" t="str">
        <x:v>DOC_FIDC_III_REG_202512</x:v>
      </x:c>
      <x:c r="K9" s="20" t="str">
        <x:v>Documentado</x:v>
      </x:c>
      <x:c r="L9" s="20" t="str">
        <x:v>Ocorrência histórica não é inferida a partir da cláusula contratual.</x:v>
      </x:c>
    </x:row>
    <x:row r="10">
      <x:c r="A10" s="20" t="str">
        <x:v>FIDC_IV</x:v>
      </x:c>
      <x:c r="B10" s="20" t="str">
        <x:v>Avaliação</x:v>
      </x:c>
      <x:c r="C10" s="20" t="str">
        <x:v>shortfall benchmark sênior</x:v>
      </x:c>
      <x:c r="D10" s="20" t="str">
        <x:v>2 DU</x:v>
      </x:c>
      <x:c r="E10" s="20" t="str">
        <x:v>avaliação</x:v>
      </x:c>
      <x:c r="F10" s="20" t="str">
        <x:v>n/d</x:v>
      </x:c>
      <x:c r="G10" s="24" t="str">
        <x:v>2 DU</x:v>
      </x:c>
      <x:c r="H10" s="20" t="str">
        <x:v>n/d</x:v>
      </x:c>
      <x:c r="I10" s="21" t="str">
        <x:v>n/d</x:v>
      </x:c>
      <x:c r="J10" s="20" t="str">
        <x:v>DOC_FIDC_IV_REG_202510</x:v>
      </x:c>
      <x:c r="K10" s="20" t="str">
        <x:v>Documentado</x:v>
      </x:c>
      <x:c r="L10" s="20" t="str">
        <x:v>Ocorrência histórica não é inferida a partir da cláusula contratual.</x:v>
      </x:c>
    </x:row>
    <x:row r="11">
      <x:c r="A11" s="20" t="str">
        <x:v>FIDC_V</x:v>
      </x:c>
      <x:c r="B11" s="20" t="str">
        <x:v>Avaliação</x:v>
      </x:c>
      <x:c r="C11" s="20" t="str">
        <x:v>atraso estoque &gt;15% ou arrecadação &gt;10%</x:v>
      </x:c>
      <x:c r="D11" s="20" t="str">
        <x:v>15% / 10%</x:v>
      </x:c>
      <x:c r="E11" s="20" t="str">
        <x:v>avaliação</x:v>
      </x:c>
      <x:c r="F11" s="20" t="str">
        <x:v>n/d</x:v>
      </x:c>
      <x:c r="G11" s="24" t="str">
        <x:v>n/d</x:v>
      </x:c>
      <x:c r="H11" s="20" t="str">
        <x:v>n/d</x:v>
      </x:c>
      <x:c r="I11" s="21" t="str">
        <x:v>n/d</x:v>
      </x:c>
      <x:c r="J11" s="20" t="str">
        <x:v>DOC_FIDC_V_REG_202411</x:v>
      </x:c>
      <x:c r="K11" s="20" t="str">
        <x:v>Documentado</x:v>
      </x:c>
      <x:c r="L11" s="20" t="str">
        <x:v>Ocorrência histórica não é inferida a partir da cláusula contratual.</x:v>
      </x:c>
    </x:row>
    <x:row r="12">
      <x:c r="A12" s="20" t="str">
        <x:v>FIDC_VI</x:v>
      </x:c>
      <x:c r="B12" s="20" t="str">
        <x:v>Desalavancagem</x:v>
      </x:c>
      <x:c r="C12" s="20" t="str">
        <x:v>atraso-90 &gt;15%</x:v>
      </x:c>
      <x:c r="D12" s="20" t="str">
        <x:v>15%</x:v>
      </x:c>
      <x:c r="E12" s="20" t="str">
        <x:v>sequencial</x:v>
      </x:c>
      <x:c r="F12" s="20" t="str">
        <x:v>75% júnior para matérias previstas</x:v>
      </x:c>
      <x:c r="G12" s="24" t="str">
        <x:v>n/d</x:v>
      </x:c>
      <x:c r="H12" s="20" t="str">
        <x:v>n/d</x:v>
      </x:c>
      <x:c r="I12" s="21" t="str">
        <x:v>n/d</x:v>
      </x:c>
      <x:c r="J12" s="20" t="str">
        <x:v>DOC_FIDC_VI_REG_202605</x:v>
      </x:c>
      <x:c r="K12" s="20" t="str">
        <x:v>Documentado</x:v>
      </x:c>
      <x:c r="L12" s="20" t="str">
        <x:v>Ocorrência histórica não é inferida a partir da cláusula contratual.</x:v>
      </x:c>
    </x:row>
    <x:row r="13">
      <x:c r="A13" s="20" t="str">
        <x:v>FIDC_VI</x:v>
      </x:c>
      <x:c r="B13" s="20" t="str">
        <x:v>Avaliação</x:v>
      </x:c>
      <x:c r="C13" s="20" t="str">
        <x:v>rolagem-90 &gt;1,6%</x:v>
      </x:c>
      <x:c r="D13" s="20" t="str">
        <x:v>1,6%</x:v>
      </x:c>
      <x:c r="E13" s="20" t="str">
        <x:v>avaliação</x:v>
      </x:c>
      <x:c r="F13" s="20" t="str">
        <x:v>n/d</x:v>
      </x:c>
      <x:c r="G13" s="24" t="str">
        <x:v>n/d</x:v>
      </x:c>
      <x:c r="H13" s="20" t="str">
        <x:v>n/d</x:v>
      </x:c>
      <x:c r="I13" s="21" t="str">
        <x:v>n/d</x:v>
      </x:c>
      <x:c r="J13" s="20" t="str">
        <x:v>DOC_FIDC_VI_REG_202605</x:v>
      </x:c>
      <x:c r="K13" s="20" t="str">
        <x:v>Documentado</x:v>
      </x:c>
      <x:c r="L13" s="20" t="str">
        <x:v>Ocorrência histórica não é inferida a partir da cláusula contratual.</x:v>
      </x:c>
    </x:row>
    <x:row r="14">
      <x:c r="A14" s="20" t="str">
        <x:v>FIDC_VI</x:v>
      </x:c>
      <x:c r="B14" s="20" t="str">
        <x:v>Amortização Antecipada</x:v>
      </x:c>
      <x:c r="C14" s="20" t="str">
        <x:v>solicitação após 18 meses</x:v>
      </x:c>
      <x:c r="D14" s="20" t="str">
        <x:v>18 meses</x:v>
      </x:c>
      <x:c r="E14" s="20" t="str">
        <x:v>amortização das públicas</x:v>
      </x:c>
      <x:c r="F14" s="20" t="str">
        <x:v>75% júnior</x:v>
      </x:c>
      <x:c r="G14" s="24" t="str">
        <x:v>n/d</x:v>
      </x:c>
      <x:c r="H14" s="20" t="str">
        <x:v>n/d</x:v>
      </x:c>
      <x:c r="I14" s="21" t="str">
        <x:v>n/d</x:v>
      </x:c>
      <x:c r="J14" s="20" t="str">
        <x:v>DOC_FIDC_VI_REG_202605</x:v>
      </x:c>
      <x:c r="K14" s="20" t="str">
        <x:v>Documentado</x:v>
      </x:c>
      <x:c r="L14" s="20" t="str">
        <x:v>Ocorrência histórica não é inferida a partir da cláusula contratual.</x:v>
      </x:c>
    </x:row>
    <x:row r="15">
      <x:c r="A15" s="20" t="str">
        <x:v>FIDC_VII</x:v>
      </x:c>
      <x:c r="B15" s="20" t="str">
        <x:v>Desalavancagem</x:v>
      </x:c>
      <x:c r="C15" s="20" t="str">
        <x:v>atraso-90 &gt;15%</x:v>
      </x:c>
      <x:c r="D15" s="20" t="str">
        <x:v>15%</x:v>
      </x:c>
      <x:c r="E15" s="20" t="str">
        <x:v>encerra revolvência e ativa sequencial</x:v>
      </x:c>
      <x:c r="F15" s="20" t="str">
        <x:v>n/d</x:v>
      </x:c>
      <x:c r="G15" s="24" t="str">
        <x:v>n/d</x:v>
      </x:c>
      <x:c r="H15" s="20" t="str">
        <x:v>n/d</x:v>
      </x:c>
      <x:c r="I15" s="21" t="str">
        <x:v>n/d</x:v>
      </x:c>
      <x:c r="J15" s="20" t="str">
        <x:v>DOC_FIDC_VII_REG_202605</x:v>
      </x:c>
      <x:c r="K15" s="20" t="str">
        <x:v>Documentado</x:v>
      </x:c>
      <x:c r="L15" s="20" t="str">
        <x:v>Ocorrência histórica não é inferida a partir da cláusula contratual.</x:v>
      </x:c>
    </x:row>
    <x:row r="16">
      <x:c r="A16" s="20" t="str">
        <x:v>FIDC_VII</x:v>
      </x:c>
      <x:c r="B16" s="20" t="str">
        <x:v>Resgate Compulsório</x:v>
      </x:c>
      <x:c r="C16" s="20" t="str">
        <x:v>desinvestimento no mês 61 ou PL R$100 mi</x:v>
      </x:c>
      <x:c r="D16" s="20" t="str">
        <x:v>61 meses / R$100 mi</x:v>
      </x:c>
      <x:c r="E16" s="20" t="str">
        <x:v>desinvestimento</x:v>
      </x:c>
      <x:c r="F16" s="20" t="str">
        <x:v>n/d</x:v>
      </x:c>
      <x:c r="G16" s="24" t="str">
        <x:v>n/d</x:v>
      </x:c>
      <x:c r="H16" s="20" t="str">
        <x:v>n/d</x:v>
      </x:c>
      <x:c r="I16" s="21" t="str">
        <x:v>n/d</x:v>
      </x:c>
      <x:c r="J16" s="20" t="str">
        <x:v>DOC_FIDC_VII_REG_202605</x:v>
      </x:c>
      <x:c r="K16" s="20" t="str">
        <x:v>Documentado</x:v>
      </x:c>
      <x:c r="L16" s="20" t="str">
        <x:v>Ocorrência histórica não é inferida a partir da cláusula contratual.</x:v>
      </x:c>
    </x:row>
    <x:row r="17">
      <x:c r="A17" s="20" t="str">
        <x:v>FIDC_VII</x:v>
      </x:c>
      <x:c r="B17" s="20" t="str">
        <x:v>Amortização Antecipada</x:v>
      </x:c>
      <x:c r="C17" s="20" t="str">
        <x:v>solicitação após 24 meses</x:v>
      </x:c>
      <x:c r="D17" s="20" t="str">
        <x:v>24 meses</x:v>
      </x:c>
      <x:c r="E17" s="20" t="str">
        <x:v>amortização com prêmio 0,20% a.a.</x:v>
      </x:c>
      <x:c r="F17" s="20" t="str">
        <x:v>75% júnior</x:v>
      </x:c>
      <x:c r="G17" s="24" t="str">
        <x:v>n/d</x:v>
      </x:c>
      <x:c r="H17" s="20" t="str">
        <x:v>n/d</x:v>
      </x:c>
      <x:c r="I17" s="21" t="str">
        <x:v>n/d</x:v>
      </x:c>
      <x:c r="J17" s="20" t="str">
        <x:v>DOC_FIDC_VII_REG_202605</x:v>
      </x:c>
      <x:c r="K17" s="20" t="str">
        <x:v>Documentado</x:v>
      </x:c>
      <x:c r="L17" s="20" t="str">
        <x:v>Ocorrência histórica não é inferida a partir da cláusula contratual.</x:v>
      </x:c>
    </x:row>
    <x:row r="18">
      <x:c r="A18" s="20" t="str">
        <x:v>CRI_K1</x:v>
      </x:c>
      <x:c r="B18" s="20" t="str">
        <x:v>Desalavancagem</x:v>
      </x:c>
      <x:c r="C18" s="20" t="str">
        <x:v>índice de atraso estoque &gt;15% por 2 verificações</x:v>
      </x:c>
      <x:c r="D18" s="20" t="str">
        <x:v>15%; 2 verificações</x:v>
      </x:c>
      <x:c r="E18" s="20" t="str">
        <x:v>waterfall sequencial</x:v>
      </x:c>
      <x:c r="F18" s="20" t="str">
        <x:v>n/d</x:v>
      </x:c>
      <x:c r="G18" s="24" t="str">
        <x:v>3 verificações conformes para retorno</x:v>
      </x:c>
      <x:c r="H18" s="20" t="str">
        <x:v>n/d</x:v>
      </x:c>
      <x:c r="I18" s="21" t="str">
        <x:v>n/d</x:v>
      </x:c>
      <x:c r="J18" s="20" t="str">
        <x:v>ANX_CRI1_PROSP_20240216</x:v>
      </x:c>
      <x:c r="K18" s="20" t="str">
        <x:v>Documentado</x:v>
      </x:c>
      <x:c r="L18" s="20" t="str">
        <x:v>Ocorrência histórica não é inferida a partir da cláusula contratual.</x:v>
      </x:c>
    </x:row>
    <x:row r="19">
      <x:c r="A19" s="20" t="str">
        <x:v>CRI_K1</x:v>
      </x:c>
      <x:c r="B19" s="20" t="str">
        <x:v>Desalavancagem</x:v>
      </x:c>
      <x:c r="C19" s="20" t="str">
        <x:v>downgrade S1/S2 em 2 níveis</x:v>
      </x:c>
      <x:c r="D19" s="20" t="str">
        <x:v>2 níveis</x:v>
      </x:c>
      <x:c r="E19" s="20" t="str">
        <x:v>waterfall sequencial</x:v>
      </x:c>
      <x:c r="F19" s="20" t="str">
        <x:v>n/d</x:v>
      </x:c>
      <x:c r="G19" s="24" t="str">
        <x:v>3 verificações conformes</x:v>
      </x:c>
      <x:c r="H19" s="20" t="str">
        <x:v>n/d</x:v>
      </x:c>
      <x:c r="I19" s="21" t="str">
        <x:v>n/d</x:v>
      </x:c>
      <x:c r="J19" s="20" t="str">
        <x:v>ANX_CRI1_PROSP_20240216</x:v>
      </x:c>
      <x:c r="K19" s="20" t="str">
        <x:v>Documentado</x:v>
      </x:c>
      <x:c r="L19" s="20" t="str">
        <x:v>Ocorrência histórica não é inferida a partir da cláusula contratual.</x:v>
      </x:c>
    </x:row>
    <x:row r="20">
      <x:c r="A20" s="20" t="str">
        <x:v>CRI_K2</x:v>
      </x:c>
      <x:c r="B20" s="20" t="str">
        <x:v>Desalavancagem</x:v>
      </x:c>
      <x:c r="C20" s="20" t="str">
        <x:v>atraso &gt;15% por 3 verificações</x:v>
      </x:c>
      <x:c r="D20" s="20" t="str">
        <x:v>15%; 3 verificações</x:v>
      </x:c>
      <x:c r="E20" s="20" t="str">
        <x:v>waterfall sequencial</x:v>
      </x:c>
      <x:c r="F20" s="20" t="str">
        <x:v>n/d</x:v>
      </x:c>
      <x:c r="G20" s="24" t="str">
        <x:v>6 meses; depois sequencial permanente salvo assembleia</x:v>
      </x:c>
      <x:c r="H20" s="20" t="str">
        <x:v>n/d</x:v>
      </x:c>
      <x:c r="I20" s="21" t="str">
        <x:v>n/d</x:v>
      </x:c>
      <x:c r="J20" s="20" t="str">
        <x:v>ANX_CRI2_RATING_202406</x:v>
      </x:c>
      <x:c r="K20" s="20" t="str">
        <x:v>Documentado</x:v>
      </x:c>
      <x:c r="L20" s="20" t="str">
        <x:v>Ocorrência histórica não é inferida a partir da cláusula contratual.</x:v>
      </x:c>
    </x:row>
    <x:row r="21">
      <x:c r="A21" s="20" t="str">
        <x:v>CRI_K2</x:v>
      </x:c>
      <x:c r="B21" s="20" t="str">
        <x:v>Desalavancagem</x:v>
      </x:c>
      <x:c r="C21" s="20" t="str">
        <x:v>cobertura 159%/123%/110%/105% desenquadrada</x:v>
      </x:c>
      <x:c r="D21" s="20" t="str">
        <x:v>159%/123%/110%/105%</x:v>
      </x:c>
      <x:c r="E21" s="20" t="str">
        <x:v>waterfall sequencial</x:v>
      </x:c>
      <x:c r="F21" s="20" t="str">
        <x:v>n/d</x:v>
      </x:c>
      <x:c r="G21" s="24" t="str">
        <x:v>2 consecutivas ou 4 em 12</x:v>
      </x:c>
      <x:c r="H21" s="20" t="str">
        <x:v>n/d</x:v>
      </x:c>
      <x:c r="I21" s="21" t="str">
        <x:v>n/d</x:v>
      </x:c>
      <x:c r="J21" s="20" t="str">
        <x:v>ANX_CRI2_RATING_202406</x:v>
      </x:c>
      <x:c r="K21" s="20" t="str">
        <x:v>Documentado</x:v>
      </x:c>
      <x:c r="L21" s="20" t="str">
        <x:v>Ocorrência histórica não é inferida a partir da cláusula contratual.</x:v>
      </x:c>
    </x:row>
    <x:row r="22">
      <x:c r="A22" s="20" t="str">
        <x:v>CRI_K3</x:v>
      </x:c>
      <x:c r="B22" s="20" t="str">
        <x:v>Resgate Compulsório</x:v>
      </x:c>
      <x:c r="C22" s="20" t="str">
        <x:v>hipóteses referenciadas na lâmina</x:v>
      </x:c>
      <x:c r="D22" s="20" t="str">
        <x:v>n/d</x:v>
      </x:c>
      <x:c r="E22" s="20" t="str">
        <x:v>resgate</x:v>
      </x:c>
      <x:c r="F22" s="20" t="str">
        <x:v>n/d</x:v>
      </x:c>
      <x:c r="G22" s="24" t="str">
        <x:v>n/d</x:v>
      </x:c>
      <x:c r="H22" s="20" t="str">
        <x:v>n/d</x:v>
      </x:c>
      <x:c r="I22" s="21" t="str">
        <x:v>n/d</x:v>
      </x:c>
      <x:c r="J22" s="20" t="str">
        <x:v>ANX_CRI3_LAM_PREL_20250422</x:v>
      </x:c>
      <x:c r="K22" s="20" t="str">
        <x:v>n/d</x:v>
      </x:c>
      <x:c r="L22" s="20" t="str">
        <x:v>Ocorrência histórica não é inferida a partir da cláusula contratual.</x:v>
      </x:c>
    </x:row>
    <x:row r="23">
      <x:c r="A23" s="20" t="str">
        <x:v>CRI_K4</x:v>
      </x:c>
      <x:c r="B23" s="20" t="str">
        <x:v>Avaliação</x:v>
      </x:c>
      <x:c r="C23" s="20" t="str">
        <x:v>termo definitivo necessário para a lista completa</x:v>
      </x:c>
      <x:c r="D23" s="20" t="str">
        <x:v>n/d</x:v>
      </x:c>
      <x:c r="E23" s="20" t="str">
        <x:v>n/d</x:v>
      </x:c>
      <x:c r="F23" s="20" t="str">
        <x:v>n/d</x:v>
      </x:c>
      <x:c r="G23" s="24" t="str">
        <x:v>n/d</x:v>
      </x:c>
      <x:c r="H23" s="20" t="str">
        <x:v>n/d</x:v>
      </x:c>
      <x:c r="I23" s="21" t="str">
        <x:v>n/d</x:v>
      </x:c>
      <x:c r="J23" s="20" t="str">
        <x:v>ANX_CRI4_INICIO_20250929</x:v>
      </x:c>
      <x:c r="K23" s="20" t="str">
        <x:v>n/d</x:v>
      </x:c>
      <x:c r="L23" s="20" t="str">
        <x:v>Ocorrência histórica não é inferida a partir da cláusula contratual.</x:v>
      </x:c>
    </x:row>
    <x:row r="24">
      <x:c r="A24" s="20" t="str">
        <x:v>CRI_V174</x:v>
      </x:c>
      <x:c r="B24" s="20" t="str">
        <x:v>Resgate Compulsório</x:v>
      </x:c>
      <x:c r="C24" s="20" t="str">
        <x:v>98% do VNU amortizado e caixa suficiente</x:v>
      </x:c>
      <x:c r="D24" s="20" t="str">
        <x:v>98%</x:v>
      </x:c>
      <x:c r="E24" s="20" t="str">
        <x:v>quitação integral</x:v>
      </x:c>
      <x:c r="F24" s="20" t="str">
        <x:v>n/d</x:v>
      </x:c>
      <x:c r="G24" s="24" t="str">
        <x:v>n/d</x:v>
      </x:c>
      <x:c r="H24" s="20" t="str">
        <x:v>n/d</x:v>
      </x:c>
      <x:c r="I24" s="21" t="str">
        <x:v>n/d</x:v>
      </x:c>
      <x:c r="J24" s="20" t="str">
        <x:v>ANX_CRIV_LAM_PREL_20260417</x:v>
      </x:c>
      <x:c r="K24" s="20" t="str">
        <x:v>Documentado</x:v>
      </x:c>
      <x:c r="L24" s="20" t="str">
        <x:v>Ocorrência histórica não é inferida a partir da cláusula contratual.</x:v>
      </x:c>
    </x:row>
    <x:row r="25">
      <x:c r="A25" s="20" t="str">
        <x:v>CRI_V177</x:v>
      </x:c>
      <x:c r="B25" s="20" t="str">
        <x:v>Avaliação</x:v>
      </x:c>
      <x:c r="C25" s="20" t="str">
        <x:v>termo integral necessário para a lista comparável</x:v>
      </x:c>
      <x:c r="D25" s="20" t="str">
        <x:v>n/d</x:v>
      </x:c>
      <x:c r="E25" s="20" t="str">
        <x:v>n/d</x:v>
      </x:c>
      <x:c r="F25" s="20" t="str">
        <x:v>n/d</x:v>
      </x:c>
      <x:c r="G25" s="24" t="str">
        <x:v>n/d</x:v>
      </x:c>
      <x:c r="H25" s="20" t="str">
        <x:v>n/d</x:v>
      </x:c>
      <x:c r="I25" s="21" t="str">
        <x:v>n/d</x:v>
      </x:c>
      <x:c r="J25" s="20" t="str">
        <x:v>CVM_FUNDOSNET_VERT177_20260720</x:v>
      </x:c>
      <x:c r="K25" s="20" t="str">
        <x:v>n/d</x:v>
      </x:c>
      <x:c r="L25" s="20" t="str">
        <x:v>Ocorrência histórica não é inferida a partir da cláusula contratual.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a622964320564f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1" hidden="0" customWidth="1"/>
    <x:col min="6" max="6" width="15" hidden="0" customWidth="1"/>
    <x:col min="7" max="7" width="11" hidden="0" customWidth="1"/>
    <x:col min="8" max="8" width="20" hidden="0" customWidth="1"/>
    <x:col min="9" max="9" width="24" hidden="0" customWidth="1"/>
    <x:col min="10" max="10" width="24" hidden="0" customWidth="1"/>
    <x:col min="11" max="11" width="18" hidden="0" customWidth="1"/>
    <x:col min="12" max="12" width="24" hidden="0" customWidth="1"/>
    <x:col min="13" max="13" width="24" hidden="0" customWidth="1"/>
    <x:col min="14" max="14" width="13" hidden="0" customWidth="1"/>
    <x:col min="15" max="15" width="34" hidden="0" customWidth="1"/>
    <x:col min="16" max="16" width="19" hidden="0" customWidth="1"/>
    <x:col min="17" max="17" width="42" hidden="0" customWidth="1"/>
  </x:cols>
  <x:sheetData>
    <x:row r="1" ht="30" customHeight="1">
      <x:c r="A1" s="3" t="str">
        <x:v>10 Subscritores</x:v>
      </x:c>
    </x:row>
    <x:row r="2" ht="34" customHeight="1">
      <x:c r="A2" s="7" t="str">
        <x:v>Distribuição na emissão e posição corrente seguem perímetros distintos. Zeros de uma oferta ainda aberta não viram ausência de investidores.</x:v>
      </x:c>
    </x:row>
    <x:row r="3" ht="24" customHeight="1">
      <x:c r="A3" s="11" t="str">
        <x:v>Data-base: 2024-02-23 a 2026-07-31 | Fontes: CVM_OFERTAS_RCVM160_20260822; CVM_FIDC_202607_X1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</x:row>
    <x:row r="5" ht="34" customHeight="1">
      <x:c r="A5" s="16" t="str">
        <x:v>veiculo_id</x:v>
      </x:c>
      <x:c r="B5" s="16" t="str">
        <x:v>serie</x:v>
      </x:c>
      <x:c r="C5" s="16" t="str">
        <x:v>qtd_cotistas_PF</x:v>
      </x:c>
      <x:c r="D5" s="16" t="str">
        <x:v>qtd_fundos</x:v>
      </x:c>
      <x:c r="E5" s="16" t="str">
        <x:v>qtd_IFs</x:v>
      </x:c>
      <x:c r="F5" s="16" t="str">
        <x:v>qtd_outras_PJ</x:v>
      </x:c>
      <x:c r="G5" s="16" t="str">
        <x:v>qtd_total</x:v>
      </x:c>
      <x:c r="H5" s="16" t="str">
        <x:v>ticket_medio_R$</x:v>
      </x:c>
      <x:c r="I5" s="16" t="str">
        <x:v>pct_distribuido_varejo</x:v>
      </x:c>
      <x:c r="J5" s="16" t="str">
        <x:v>coordenadores</x:v>
      </x:c>
      <x:c r="K5" s="16" t="str">
        <x:v>titulares_atuais</x:v>
      </x:c>
      <x:c r="L5" s="16" t="str">
        <x:v>concentracao_maior_titular</x:v>
      </x:c>
      <x:c r="M5" s="16" t="str">
        <x:v>fonte_da_posicao</x:v>
      </x:c>
      <x:c r="N5" s="16" t="str">
        <x:v>data_base</x:v>
      </x:c>
      <x:c r="O5" s="16" t="str">
        <x:v>fonte_id</x:v>
      </x:c>
      <x:c r="P5" s="16" t="str">
        <x:v>status</x:v>
      </x:c>
      <x:c r="Q5" s="16" t="str">
        <x:v>nota_metodo</x:v>
      </x:c>
    </x:row>
    <x:row r="6">
      <x:c r="A6" s="20" t="str">
        <x:v>CRI_K1</x:v>
      </x:c>
      <x:c r="B6" s="20" t="str">
        <x:v>Oferta pública agregada</x:v>
      </x:c>
      <x:c r="C6" s="27" t="n">
        <x:v>2138</x:v>
      </x:c>
      <x:c r="D6" s="27" t="n">
        <x:v>8</x:v>
      </x:c>
      <x:c r="E6" s="27" t="n">
        <x:v>1</x:v>
      </x:c>
      <x:c r="F6" s="27" t="n">
        <x:v>110</x:v>
      </x:c>
      <x:c r="G6" s="27" t="n">
        <x:v>2257</x:v>
      </x:c>
      <x:c r="H6" s="25" t="n">
        <x:v>260522.81789986708</x:v>
      </x:c>
      <x:c r="I6" s="26" t="n">
        <x:v>0.49414285714285716</x:v>
      </x:c>
      <x:c r="J6" s="20" t="str">
        <x:v>BANCO ITAU BBA  S.A.</x:v>
      </x:c>
      <x:c r="K6" s="20" t="str">
        <x:v>n/d</x:v>
      </x:c>
      <x:c r="L6" s="26" t="str">
        <x:v>n/d</x:v>
      </x:c>
      <x:c r="M6" s="20" t="str">
        <x:v>distribuição na emissão; posição corrente não pública</x:v>
      </x:c>
      <x:c r="N6" s="21" t="n">
        <x:v>45345</x:v>
      </x:c>
      <x:c r="O6" s="20" t="str">
        <x:v>CVM_OFERTAS_RCVM160_20260822</x:v>
      </x:c>
      <x:c r="P6" s="20" t="str">
        <x:v>Documentado</x:v>
      </x:c>
      <x:c r="Q6" s="20" t="str">
        <x:v>Contagem de investidores na oferta encerrada. Zeros da oferta VERT 177 não são tratados como posição corrente nem como ausência de investidores.</x:v>
      </x:c>
    </x:row>
    <x:row r="7">
      <x:c r="A7" s="20" t="str">
        <x:v>CRI_K2</x:v>
      </x:c>
      <x:c r="B7" s="20" t="str">
        <x:v>Oferta pública agregada</x:v>
      </x:c>
      <x:c r="C7" s="27" t="n">
        <x:v>2659</x:v>
      </x:c>
      <x:c r="D7" s="27" t="n">
        <x:v>86</x:v>
      </x:c>
      <x:c r="E7" s="27" t="n">
        <x:v>4</x:v>
      </x:c>
      <x:c r="F7" s="27" t="n">
        <x:v>9</x:v>
      </x:c>
      <x:c r="G7" s="27" t="n">
        <x:v>2758</x:v>
      </x:c>
      <x:c r="H7" s="25" t="n">
        <x:v>263778.1000725163</x:v>
      </x:c>
      <x:c r="I7" s="26" t="n">
        <x:v>0.4141154639175258</x:v>
      </x:c>
      <x:c r="J7" s="20" t="str">
        <x:v>BANCO ITAU BBA  S.A.</x:v>
      </x:c>
      <x:c r="K7" s="20" t="str">
        <x:v>n/d</x:v>
      </x:c>
      <x:c r="L7" s="26" t="str">
        <x:v>n/d</x:v>
      </x:c>
      <x:c r="M7" s="20" t="str">
        <x:v>distribuição na emissão; posição corrente não pública</x:v>
      </x:c>
      <x:c r="N7" s="21" t="n">
        <x:v>45471</x:v>
      </x:c>
      <x:c r="O7" s="20" t="str">
        <x:v>CVM_OFERTAS_RCVM160_20260822</x:v>
      </x:c>
      <x:c r="P7" s="20" t="str">
        <x:v>Documentado</x:v>
      </x:c>
      <x:c r="Q7" s="20" t="str">
        <x:v>Contagem de investidores na oferta encerrada. Zeros da oferta VERT 177 não são tratados como posição corrente nem como ausência de investidores.</x:v>
      </x:c>
    </x:row>
    <x:row r="8">
      <x:c r="A8" s="20" t="str">
        <x:v>CRI_K3</x:v>
      </x:c>
      <x:c r="B8" s="20" t="str">
        <x:v>Oferta pública agregada</x:v>
      </x:c>
      <x:c r="C8" s="27" t="n">
        <x:v>7855</x:v>
      </x:c>
      <x:c r="D8" s="27" t="n">
        <x:v>59</x:v>
      </x:c>
      <x:c r="E8" s="27" t="n">
        <x:v>1</x:v>
      </x:c>
      <x:c r="F8" s="27" t="n">
        <x:v>9</x:v>
      </x:c>
      <x:c r="G8" s="27" t="n">
        <x:v>7924</x:v>
      </x:c>
      <x:c r="H8" s="25" t="n">
        <x:v>91809.69207470975</x:v>
      </x:c>
      <x:c r="I8" s="26" t="n">
        <x:v>0.795459793814433</x:v>
      </x:c>
      <x:c r="J8" s="20" t="str">
        <x:v>ITAU BBA ASSESSORIA FINANCEIRA S.A</x:v>
      </x:c>
      <x:c r="K8" s="20" t="str">
        <x:v>n/d</x:v>
      </x:c>
      <x:c r="L8" s="26" t="str">
        <x:v>n/d</x:v>
      </x:c>
      <x:c r="M8" s="20" t="str">
        <x:v>distribuição na emissão; posição corrente não pública</x:v>
      </x:c>
      <x:c r="N8" s="21" t="n">
        <x:v>45814</x:v>
      </x:c>
      <x:c r="O8" s="20" t="str">
        <x:v>CVM_OFERTAS_RCVM160_20260822</x:v>
      </x:c>
      <x:c r="P8" s="20" t="str">
        <x:v>Documentado</x:v>
      </x:c>
      <x:c r="Q8" s="20" t="str">
        <x:v>Contagem de investidores na oferta encerrada. Zeros da oferta VERT 177 não são tratados como posição corrente nem como ausência de investidores.</x:v>
      </x:c>
    </x:row>
    <x:row r="9">
      <x:c r="A9" s="20" t="str">
        <x:v>CRI_K4</x:v>
      </x:c>
      <x:c r="B9" s="20" t="str">
        <x:v>Oferta pública agregada</x:v>
      </x:c>
      <x:c r="C9" s="27" t="n">
        <x:v>2567</x:v>
      </x:c>
      <x:c r="D9" s="27" t="n">
        <x:v>13</x:v>
      </x:c>
      <x:c r="E9" s="27" t="n">
        <x:v>3</x:v>
      </x:c>
      <x:c r="F9" s="27" t="n">
        <x:v>4</x:v>
      </x:c>
      <x:c r="G9" s="27" t="n">
        <x:v>2587</x:v>
      </x:c>
      <x:c r="H9" s="25" t="n">
        <x:v>168728.25666795517</x:v>
      </x:c>
      <x:c r="I9" s="26" t="n">
        <x:v>0.4707308132875143</x:v>
      </x:c>
      <x:c r="J9" s="20" t="str">
        <x:v>ITAU BBA ASSESSORIA FINANCEIRA S.A</x:v>
      </x:c>
      <x:c r="K9" s="20" t="str">
        <x:v>n/d</x:v>
      </x:c>
      <x:c r="L9" s="26" t="str">
        <x:v>n/d</x:v>
      </x:c>
      <x:c r="M9" s="20" t="str">
        <x:v>distribuição na emissão; posição corrente não pública</x:v>
      </x:c>
      <x:c r="N9" s="21" t="n">
        <x:v>45943</x:v>
      </x:c>
      <x:c r="O9" s="20" t="str">
        <x:v>CVM_OFERTAS_RCVM160_20260822</x:v>
      </x:c>
      <x:c r="P9" s="20" t="str">
        <x:v>Documentado</x:v>
      </x:c>
      <x:c r="Q9" s="20" t="str">
        <x:v>Contagem de investidores na oferta encerrada. Zeros da oferta VERT 177 não são tratados como posição corrente nem como ausência de investidores.</x:v>
      </x:c>
    </x:row>
    <x:row r="10">
      <x:c r="A10" s="20" t="str">
        <x:v>CRI_V174</x:v>
      </x:c>
      <x:c r="B10" s="20" t="str">
        <x:v>Oferta pública agregada</x:v>
      </x:c>
      <x:c r="C10" s="27" t="n">
        <x:v>2505</x:v>
      </x:c>
      <x:c r="D10" s="27" t="n">
        <x:v>13</x:v>
      </x:c>
      <x:c r="E10" s="27" t="n">
        <x:v>4</x:v>
      </x:c>
      <x:c r="F10" s="27" t="n">
        <x:v>10</x:v>
      </x:c>
      <x:c r="G10" s="27" t="n">
        <x:v>2532</x:v>
      </x:c>
      <x:c r="H10" s="25" t="n">
        <x:v>180284.7551342812</x:v>
      </x:c>
      <x:c r="I10" s="26" t="n">
        <x:v>0.6977464560408867</x:v>
      </x:c>
      <x:c r="J10" s="20" t="str">
        <x:v>XP INVESTIMENTOS CCTVM S.A.</x:v>
      </x:c>
      <x:c r="K10" s="20" t="str">
        <x:v>n/d</x:v>
      </x:c>
      <x:c r="L10" s="26" t="str">
        <x:v>n/d</x:v>
      </x:c>
      <x:c r="M10" s="20" t="str">
        <x:v>distribuição na emissão; posição corrente não pública</x:v>
      </x:c>
      <x:c r="N10" s="21" t="n">
        <x:v>46170</x:v>
      </x:c>
      <x:c r="O10" s="20" t="str">
        <x:v>CVM_OFERTAS_RCVM160_20260822</x:v>
      </x:c>
      <x:c r="P10" s="20" t="str">
        <x:v>Documentado</x:v>
      </x:c>
      <x:c r="Q10" s="20" t="str">
        <x:v>Contagem de investidores na oferta encerrada. Zeros da oferta VERT 177 não são tratados como posição corrente nem como ausência de investidores.</x:v>
      </x:c>
    </x:row>
    <x:row r="11">
      <x:c r="A11" s="20" t="str">
        <x:v>CRI_V177</x:v>
      </x:c>
      <x:c r="B11" s="20" t="str">
        <x:v>Oferta pública agregada</x:v>
      </x:c>
      <x:c r="C11" s="27" t="str">
        <x:v>n/d</x:v>
      </x:c>
      <x:c r="D11" s="27" t="str">
        <x:v>n/d</x:v>
      </x:c>
      <x:c r="E11" s="27" t="str">
        <x:v>n/d</x:v>
      </x:c>
      <x:c r="F11" s="27" t="str">
        <x:v>n/d</x:v>
      </x:c>
      <x:c r="G11" s="27" t="str">
        <x:v>n/d</x:v>
      </x:c>
      <x:c r="H11" s="25" t="str">
        <x:v>n/d</x:v>
      </x:c>
      <x:c r="I11" s="26" t="str">
        <x:v>n/d</x:v>
      </x:c>
      <x:c r="J11" s="20" t="str">
        <x:v>XP INVESTIMENTOS CCTVM S.A.</x:v>
      </x:c>
      <x:c r="K11" s="20" t="str">
        <x:v>n/d</x:v>
      </x:c>
      <x:c r="L11" s="26" t="str">
        <x:v>n/d</x:v>
      </x:c>
      <x:c r="M11" s="20" t="str">
        <x:v>distribuição na emissão; posição corrente não pública</x:v>
      </x:c>
      <x:c r="N11" s="21" t="n">
        <x:v>46223</x:v>
      </x:c>
      <x:c r="O11" s="20" t="str">
        <x:v>CVM_OFERTAS_RCVM160_20260822</x:v>
      </x:c>
      <x:c r="P11" s="20" t="str">
        <x:v>n/d</x:v>
      </x:c>
      <x:c r="Q11" s="20" t="str">
        <x:v>Contagem de investidores na oferta encerrada. Zeros da oferta VERT 177 não são tratados como posição corrente nem como ausência de investidores.</x:v>
      </x:c>
    </x:row>
    <x:row r="12">
      <x:c r="A12" s="20" t="str">
        <x:v>FIDC_I</x:v>
      </x:c>
      <x:c r="B12" s="20" t="str">
        <x:v>Subclasse Sênior Série 1</x:v>
      </x:c>
      <x:c r="C12" s="27" t="str">
        <x:v>n/d</x:v>
      </x:c>
      <x:c r="D12" s="27" t="str">
        <x:v>n/d</x:v>
      </x:c>
      <x:c r="E12" s="27" t="str">
        <x:v>n/d</x:v>
      </x:c>
      <x:c r="F12" s="27" t="str">
        <x:v>n/d</x:v>
      </x:c>
      <x:c r="G12" s="27" t="n">
        <x:v>145</x:v>
      </x:c>
      <x:c r="H12" s="25" t="str">
        <x:v>n/d</x:v>
      </x:c>
      <x:c r="I12" s="26" t="str">
        <x:v>n/d</x:v>
      </x:c>
      <x:c r="J12" s="20" t="str">
        <x:v>n/d</x:v>
      </x:c>
      <x:c r="K12" s="20" t="str">
        <x:v>n/d</x:v>
      </x:c>
      <x:c r="L12" s="26" t="str">
        <x:v>n/d</x:v>
      </x:c>
      <x:c r="M12" s="20" t="str">
        <x:v>Informe Mensal: número total da classe; tipo de investidor por classe n/d</x:v>
      </x:c>
      <x:c r="N12" s="21" t="n">
        <x:v>46234</x:v>
      </x:c>
      <x:c r="O12" s="20" t="str">
        <x:v>CVM_FIDC_202607_X1</x:v>
      </x:c>
      <x:c r="P12" s="20" t="str">
        <x:v>Documentado</x:v>
      </x:c>
      <x:c r="Q12" s="20" t="str">
        <x:v>A distribuição por tipo não é imputada a partir do total da classe.</x:v>
      </x:c>
    </x:row>
    <x:row r="13">
      <x:c r="A13" s="20" t="str">
        <x:v>FIDC_I</x:v>
      </x:c>
      <x:c r="B13" s="20" t="str">
        <x:v>Subclasse Subordinada Mezanino 1 | Série 1</x:v>
      </x:c>
      <x:c r="C13" s="27" t="str">
        <x:v>n/d</x:v>
      </x:c>
      <x:c r="D13" s="27" t="str">
        <x:v>n/d</x:v>
      </x:c>
      <x:c r="E13" s="27" t="str">
        <x:v>n/d</x:v>
      </x:c>
      <x:c r="F13" s="27" t="str">
        <x:v>n/d</x:v>
      </x:c>
      <x:c r="G13" s="27" t="n">
        <x:v>31</x:v>
      </x:c>
      <x:c r="H13" s="25" t="str">
        <x:v>n/d</x:v>
      </x:c>
      <x:c r="I13" s="26" t="str">
        <x:v>n/d</x:v>
      </x:c>
      <x:c r="J13" s="20" t="str">
        <x:v>n/d</x:v>
      </x:c>
      <x:c r="K13" s="20" t="str">
        <x:v>n/d</x:v>
      </x:c>
      <x:c r="L13" s="26" t="str">
        <x:v>n/d</x:v>
      </x:c>
      <x:c r="M13" s="20" t="str">
        <x:v>Informe Mensal: número total da classe; tipo de investidor por classe n/d</x:v>
      </x:c>
      <x:c r="N13" s="21" t="n">
        <x:v>46234</x:v>
      </x:c>
      <x:c r="O13" s="20" t="str">
        <x:v>CVM_FIDC_202607_X1</x:v>
      </x:c>
      <x:c r="P13" s="20" t="str">
        <x:v>Documentado</x:v>
      </x:c>
      <x:c r="Q13" s="20" t="str">
        <x:v>A distribuição por tipo não é imputada a partir do total da classe.</x:v>
      </x:c>
    </x:row>
    <x:row r="14">
      <x:c r="A14" s="20" t="str">
        <x:v>FIDC_I</x:v>
      </x:c>
      <x:c r="B14" s="20" t="str">
        <x:v>Subclasse Subordinada Mezanino 1 | Série 2</x:v>
      </x:c>
      <x:c r="C14" s="27" t="str">
        <x:v>n/d</x:v>
      </x:c>
      <x:c r="D14" s="27" t="str">
        <x:v>n/d</x:v>
      </x:c>
      <x:c r="E14" s="27" t="str">
        <x:v>n/d</x:v>
      </x:c>
      <x:c r="F14" s="27" t="str">
        <x:v>n/d</x:v>
      </x:c>
      <x:c r="G14" s="27" t="n">
        <x:v>4</x:v>
      </x:c>
      <x:c r="H14" s="25" t="str">
        <x:v>n/d</x:v>
      </x:c>
      <x:c r="I14" s="26" t="str">
        <x:v>n/d</x:v>
      </x:c>
      <x:c r="J14" s="20" t="str">
        <x:v>n/d</x:v>
      </x:c>
      <x:c r="K14" s="20" t="str">
        <x:v>n/d</x:v>
      </x:c>
      <x:c r="L14" s="26" t="str">
        <x:v>n/d</x:v>
      </x:c>
      <x:c r="M14" s="20" t="str">
        <x:v>Informe Mensal: número total da classe; tipo de investidor por classe n/d</x:v>
      </x:c>
      <x:c r="N14" s="21" t="n">
        <x:v>46234</x:v>
      </x:c>
      <x:c r="O14" s="20" t="str">
        <x:v>CVM_FIDC_202607_X1</x:v>
      </x:c>
      <x:c r="P14" s="20" t="str">
        <x:v>Documentado</x:v>
      </x:c>
      <x:c r="Q14" s="20" t="str">
        <x:v>A distribuição por tipo não é imputada a partir do total da classe.</x:v>
      </x:c>
    </x:row>
    <x:row r="15">
      <x:c r="A15" s="20" t="str">
        <x:v>FIDC_I</x:v>
      </x:c>
      <x:c r="B15" s="20" t="str">
        <x:v>Subclasse Subordinada Subordinada 1 |</x:v>
      </x:c>
      <x:c r="C15" s="27" t="str">
        <x:v>n/d</x:v>
      </x:c>
      <x:c r="D15" s="27" t="str">
        <x:v>n/d</x:v>
      </x:c>
      <x:c r="E15" s="27" t="str">
        <x:v>n/d</x:v>
      </x:c>
      <x:c r="F15" s="27" t="str">
        <x:v>n/d</x:v>
      </x:c>
      <x:c r="G15" s="27" t="n">
        <x:v>3</x:v>
      </x:c>
      <x:c r="H15" s="25" t="str">
        <x:v>n/d</x:v>
      </x:c>
      <x:c r="I15" s="26" t="str">
        <x:v>n/d</x:v>
      </x:c>
      <x:c r="J15" s="20" t="str">
        <x:v>n/d</x:v>
      </x:c>
      <x:c r="K15" s="20" t="str">
        <x:v>n/d</x:v>
      </x:c>
      <x:c r="L15" s="26" t="str">
        <x:v>n/d</x:v>
      </x:c>
      <x:c r="M15" s="20" t="str">
        <x:v>Informe Mensal: número total da classe; tipo de investidor por classe n/d</x:v>
      </x:c>
      <x:c r="N15" s="21" t="n">
        <x:v>46234</x:v>
      </x:c>
      <x:c r="O15" s="20" t="str">
        <x:v>CVM_FIDC_202607_X1</x:v>
      </x:c>
      <x:c r="P15" s="20" t="str">
        <x:v>Documentado</x:v>
      </x:c>
      <x:c r="Q15" s="20" t="str">
        <x:v>A distribuição por tipo não é imputada a partir do total da classe.</x:v>
      </x:c>
    </x:row>
    <x:row r="16">
      <x:c r="A16" s="20" t="str">
        <x:v>FIDC_II</x:v>
      </x:c>
      <x:c r="B16" s="20" t="str">
        <x:v>Subclasse Sênior Série 1</x:v>
      </x:c>
      <x:c r="C16" s="27" t="str">
        <x:v>n/d</x:v>
      </x:c>
      <x:c r="D16" s="27" t="str">
        <x:v>n/d</x:v>
      </x:c>
      <x:c r="E16" s="27" t="str">
        <x:v>n/d</x:v>
      </x:c>
      <x:c r="F16" s="27" t="str">
        <x:v>n/d</x:v>
      </x:c>
      <x:c r="G16" s="27" t="n">
        <x:v>20</x:v>
      </x:c>
      <x:c r="H16" s="25" t="str">
        <x:v>n/d</x:v>
      </x:c>
      <x:c r="I16" s="26" t="str">
        <x:v>n/d</x:v>
      </x:c>
      <x:c r="J16" s="20" t="str">
        <x:v>n/d</x:v>
      </x:c>
      <x:c r="K16" s="20" t="str">
        <x:v>n/d</x:v>
      </x:c>
      <x:c r="L16" s="26" t="str">
        <x:v>n/d</x:v>
      </x:c>
      <x:c r="M16" s="20" t="str">
        <x:v>Informe Mensal: número total da classe; tipo de investidor por classe n/d</x:v>
      </x:c>
      <x:c r="N16" s="21" t="n">
        <x:v>46234</x:v>
      </x:c>
      <x:c r="O16" s="20" t="str">
        <x:v>CVM_FIDC_202607_X1</x:v>
      </x:c>
      <x:c r="P16" s="20" t="str">
        <x:v>Documentado</x:v>
      </x:c>
      <x:c r="Q16" s="20" t="str">
        <x:v>A distribuição por tipo não é imputada a partir do total da classe.</x:v>
      </x:c>
    </x:row>
    <x:row r="17">
      <x:c r="A17" s="20" t="str">
        <x:v>FIDC_II</x:v>
      </x:c>
      <x:c r="B17" s="20" t="str">
        <x:v>Subclasse Sênior Série 2</x:v>
      </x:c>
      <x:c r="C17" s="27" t="str">
        <x:v>n/d</x:v>
      </x:c>
      <x:c r="D17" s="27" t="str">
        <x:v>n/d</x:v>
      </x:c>
      <x:c r="E17" s="27" t="str">
        <x:v>n/d</x:v>
      </x:c>
      <x:c r="F17" s="27" t="str">
        <x:v>n/d</x:v>
      </x:c>
      <x:c r="G17" s="27" t="n">
        <x:v>2</x:v>
      </x:c>
      <x:c r="H17" s="25" t="str">
        <x:v>n/d</x:v>
      </x:c>
      <x:c r="I17" s="26" t="str">
        <x:v>n/d</x:v>
      </x:c>
      <x:c r="J17" s="20" t="str">
        <x:v>n/d</x:v>
      </x:c>
      <x:c r="K17" s="20" t="str">
        <x:v>n/d</x:v>
      </x:c>
      <x:c r="L17" s="26" t="str">
        <x:v>n/d</x:v>
      </x:c>
      <x:c r="M17" s="20" t="str">
        <x:v>Informe Mensal: número total da classe; tipo de investidor por classe n/d</x:v>
      </x:c>
      <x:c r="N17" s="21" t="n">
        <x:v>46234</x:v>
      </x:c>
      <x:c r="O17" s="20" t="str">
        <x:v>CVM_FIDC_202607_X1</x:v>
      </x:c>
      <x:c r="P17" s="20" t="str">
        <x:v>Documentado</x:v>
      </x:c>
      <x:c r="Q17" s="20" t="str">
        <x:v>A distribuição por tipo não é imputada a partir do total da classe.</x:v>
      </x:c>
    </x:row>
    <x:row r="18">
      <x:c r="A18" s="20" t="str">
        <x:v>FIDC_II</x:v>
      </x:c>
      <x:c r="B18" s="20" t="str">
        <x:v>Subclasse Subordinada Mezanino 1 | Série 1</x:v>
      </x:c>
      <x:c r="C18" s="27" t="str">
        <x:v>n/d</x:v>
      </x:c>
      <x:c r="D18" s="27" t="str">
        <x:v>n/d</x:v>
      </x:c>
      <x:c r="E18" s="27" t="str">
        <x:v>n/d</x:v>
      </x:c>
      <x:c r="F18" s="27" t="str">
        <x:v>n/d</x:v>
      </x:c>
      <x:c r="G18" s="27" t="n">
        <x:v>5</x:v>
      </x:c>
      <x:c r="H18" s="25" t="str">
        <x:v>n/d</x:v>
      </x:c>
      <x:c r="I18" s="26" t="str">
        <x:v>n/d</x:v>
      </x:c>
      <x:c r="J18" s="20" t="str">
        <x:v>n/d</x:v>
      </x:c>
      <x:c r="K18" s="20" t="str">
        <x:v>n/d</x:v>
      </x:c>
      <x:c r="L18" s="26" t="str">
        <x:v>n/d</x:v>
      </x:c>
      <x:c r="M18" s="20" t="str">
        <x:v>Informe Mensal: número total da classe; tipo de investidor por classe n/d</x:v>
      </x:c>
      <x:c r="N18" s="21" t="n">
        <x:v>46234</x:v>
      </x:c>
      <x:c r="O18" s="20" t="str">
        <x:v>CVM_FIDC_202607_X1</x:v>
      </x:c>
      <x:c r="P18" s="20" t="str">
        <x:v>Documentado</x:v>
      </x:c>
      <x:c r="Q18" s="20" t="str">
        <x:v>A distribuição por tipo não é imputada a partir do total da classe.</x:v>
      </x:c>
    </x:row>
    <x:row r="19">
      <x:c r="A19" s="20" t="str">
        <x:v>FIDC_II</x:v>
      </x:c>
      <x:c r="B19" s="20" t="str">
        <x:v>Subclasse Subordinada Mezanino 1 | Série 2</x:v>
      </x:c>
      <x:c r="C19" s="27" t="str">
        <x:v>n/d</x:v>
      </x:c>
      <x:c r="D19" s="27" t="str">
        <x:v>n/d</x:v>
      </x:c>
      <x:c r="E19" s="27" t="str">
        <x:v>n/d</x:v>
      </x:c>
      <x:c r="F19" s="27" t="str">
        <x:v>n/d</x:v>
      </x:c>
      <x:c r="G19" s="27" t="n">
        <x:v>3</x:v>
      </x:c>
      <x:c r="H19" s="25" t="str">
        <x:v>n/d</x:v>
      </x:c>
      <x:c r="I19" s="26" t="str">
        <x:v>n/d</x:v>
      </x:c>
      <x:c r="J19" s="20" t="str">
        <x:v>n/d</x:v>
      </x:c>
      <x:c r="K19" s="20" t="str">
        <x:v>n/d</x:v>
      </x:c>
      <x:c r="L19" s="26" t="str">
        <x:v>n/d</x:v>
      </x:c>
      <x:c r="M19" s="20" t="str">
        <x:v>Informe Mensal: número total da classe; tipo de investidor por classe n/d</x:v>
      </x:c>
      <x:c r="N19" s="21" t="n">
        <x:v>46234</x:v>
      </x:c>
      <x:c r="O19" s="20" t="str">
        <x:v>CVM_FIDC_202607_X1</x:v>
      </x:c>
      <x:c r="P19" s="20" t="str">
        <x:v>Documentado</x:v>
      </x:c>
      <x:c r="Q19" s="20" t="str">
        <x:v>A distribuição por tipo não é imputada a partir do total da classe.</x:v>
      </x:c>
    </x:row>
    <x:row r="20">
      <x:c r="A20" s="20" t="str">
        <x:v>FIDC_II</x:v>
      </x:c>
      <x:c r="B20" s="20" t="str">
        <x:v>Subclasse Subordinada Subordinada 1 |</x:v>
      </x:c>
      <x:c r="C20" s="27" t="str">
        <x:v>n/d</x:v>
      </x:c>
      <x:c r="D20" s="27" t="str">
        <x:v>n/d</x:v>
      </x:c>
      <x:c r="E20" s="27" t="str">
        <x:v>n/d</x:v>
      </x:c>
      <x:c r="F20" s="27" t="str">
        <x:v>n/d</x:v>
      </x:c>
      <x:c r="G20" s="27" t="n">
        <x:v>1</x:v>
      </x:c>
      <x:c r="H20" s="25" t="str">
        <x:v>n/d</x:v>
      </x:c>
      <x:c r="I20" s="26" t="str">
        <x:v>n/d</x:v>
      </x:c>
      <x:c r="J20" s="20" t="str">
        <x:v>n/d</x:v>
      </x:c>
      <x:c r="K20" s="20" t="str">
        <x:v>n/d</x:v>
      </x:c>
      <x:c r="L20" s="26" t="str">
        <x:v>n/d</x:v>
      </x:c>
      <x:c r="M20" s="20" t="str">
        <x:v>Informe Mensal: número total da classe; tipo de investidor por classe n/d</x:v>
      </x:c>
      <x:c r="N20" s="21" t="n">
        <x:v>46234</x:v>
      </x:c>
      <x:c r="O20" s="20" t="str">
        <x:v>CVM_FIDC_202607_X1</x:v>
      </x:c>
      <x:c r="P20" s="20" t="str">
        <x:v>Documentado</x:v>
      </x:c>
      <x:c r="Q20" s="20" t="str">
        <x:v>A distribuição por tipo não é imputada a partir do total da classe.</x:v>
      </x:c>
    </x:row>
    <x:row r="21">
      <x:c r="A21" s="20" t="str">
        <x:v>FIDC_III</x:v>
      </x:c>
      <x:c r="B21" s="20" t="str">
        <x:v>Subclasse Sênior Série 1</x:v>
      </x:c>
      <x:c r="C21" s="27" t="str">
        <x:v>n/d</x:v>
      </x:c>
      <x:c r="D21" s="27" t="str">
        <x:v>n/d</x:v>
      </x:c>
      <x:c r="E21" s="27" t="str">
        <x:v>n/d</x:v>
      </x:c>
      <x:c r="F21" s="27" t="str">
        <x:v>n/d</x:v>
      </x:c>
      <x:c r="G21" s="27" t="n">
        <x:v>112</x:v>
      </x:c>
      <x:c r="H21" s="25" t="str">
        <x:v>n/d</x:v>
      </x:c>
      <x:c r="I21" s="26" t="str">
        <x:v>n/d</x:v>
      </x:c>
      <x:c r="J21" s="20" t="str">
        <x:v>n/d</x:v>
      </x:c>
      <x:c r="K21" s="20" t="str">
        <x:v>n/d</x:v>
      </x:c>
      <x:c r="L21" s="26" t="str">
        <x:v>n/d</x:v>
      </x:c>
      <x:c r="M21" s="20" t="str">
        <x:v>Informe Mensal: número total da classe; tipo de investidor por classe n/d</x:v>
      </x:c>
      <x:c r="N21" s="21" t="n">
        <x:v>46234</x:v>
      </x:c>
      <x:c r="O21" s="20" t="str">
        <x:v>CVM_FIDC_202607_X1</x:v>
      </x:c>
      <x:c r="P21" s="20" t="str">
        <x:v>Documentado</x:v>
      </x:c>
      <x:c r="Q21" s="20" t="str">
        <x:v>A distribuição por tipo não é imputada a partir do total da classe.</x:v>
      </x:c>
    </x:row>
    <x:row r="22">
      <x:c r="A22" s="20" t="str">
        <x:v>FIDC_III</x:v>
      </x:c>
      <x:c r="B22" s="20" t="str">
        <x:v>Subclasse Subordinada Mezanino 1 | Série 1</x:v>
      </x:c>
      <x:c r="C22" s="27" t="str">
        <x:v>n/d</x:v>
      </x:c>
      <x:c r="D22" s="27" t="str">
        <x:v>n/d</x:v>
      </x:c>
      <x:c r="E22" s="27" t="str">
        <x:v>n/d</x:v>
      </x:c>
      <x:c r="F22" s="27" t="str">
        <x:v>n/d</x:v>
      </x:c>
      <x:c r="G22" s="27" t="n">
        <x:v>14</x:v>
      </x:c>
      <x:c r="H22" s="25" t="str">
        <x:v>n/d</x:v>
      </x:c>
      <x:c r="I22" s="26" t="str">
        <x:v>n/d</x:v>
      </x:c>
      <x:c r="J22" s="20" t="str">
        <x:v>n/d</x:v>
      </x:c>
      <x:c r="K22" s="20" t="str">
        <x:v>n/d</x:v>
      </x:c>
      <x:c r="L22" s="26" t="str">
        <x:v>n/d</x:v>
      </x:c>
      <x:c r="M22" s="20" t="str">
        <x:v>Informe Mensal: número total da classe; tipo de investidor por classe n/d</x:v>
      </x:c>
      <x:c r="N22" s="21" t="n">
        <x:v>46234</x:v>
      </x:c>
      <x:c r="O22" s="20" t="str">
        <x:v>CVM_FIDC_202607_X1</x:v>
      </x:c>
      <x:c r="P22" s="20" t="str">
        <x:v>Documentado</x:v>
      </x:c>
      <x:c r="Q22" s="20" t="str">
        <x:v>A distribuição por tipo não é imputada a partir do total da classe.</x:v>
      </x:c>
    </x:row>
    <x:row r="23">
      <x:c r="A23" s="20" t="str">
        <x:v>FIDC_III</x:v>
      </x:c>
      <x:c r="B23" s="20" t="str">
        <x:v>Subclasse Subordinada Mezanino 1 | Série 2</x:v>
      </x:c>
      <x:c r="C23" s="27" t="str">
        <x:v>n/d</x:v>
      </x:c>
      <x:c r="D23" s="27" t="str">
        <x:v>n/d</x:v>
      </x:c>
      <x:c r="E23" s="27" t="str">
        <x:v>n/d</x:v>
      </x:c>
      <x:c r="F23" s="27" t="str">
        <x:v>n/d</x:v>
      </x:c>
      <x:c r="G23" s="27" t="n">
        <x:v>7</x:v>
      </x:c>
      <x:c r="H23" s="25" t="str">
        <x:v>n/d</x:v>
      </x:c>
      <x:c r="I23" s="26" t="str">
        <x:v>n/d</x:v>
      </x:c>
      <x:c r="J23" s="20" t="str">
        <x:v>n/d</x:v>
      </x:c>
      <x:c r="K23" s="20" t="str">
        <x:v>n/d</x:v>
      </x:c>
      <x:c r="L23" s="26" t="str">
        <x:v>n/d</x:v>
      </x:c>
      <x:c r="M23" s="20" t="str">
        <x:v>Informe Mensal: número total da classe; tipo de investidor por classe n/d</x:v>
      </x:c>
      <x:c r="N23" s="21" t="n">
        <x:v>46234</x:v>
      </x:c>
      <x:c r="O23" s="20" t="str">
        <x:v>CVM_FIDC_202607_X1</x:v>
      </x:c>
      <x:c r="P23" s="20" t="str">
        <x:v>Documentado</x:v>
      </x:c>
      <x:c r="Q23" s="20" t="str">
        <x:v>A distribuição por tipo não é imputada a partir do total da classe.</x:v>
      </x:c>
    </x:row>
    <x:row r="24">
      <x:c r="A24" s="20" t="str">
        <x:v>FIDC_III</x:v>
      </x:c>
      <x:c r="B24" s="20" t="str">
        <x:v>Subclasse Subordinada Subordinada 1 |</x:v>
      </x:c>
      <x:c r="C24" s="27" t="str">
        <x:v>n/d</x:v>
      </x:c>
      <x:c r="D24" s="27" t="str">
        <x:v>n/d</x:v>
      </x:c>
      <x:c r="E24" s="27" t="str">
        <x:v>n/d</x:v>
      </x:c>
      <x:c r="F24" s="27" t="str">
        <x:v>n/d</x:v>
      </x:c>
      <x:c r="G24" s="27" t="n">
        <x:v>1</x:v>
      </x:c>
      <x:c r="H24" s="25" t="str">
        <x:v>n/d</x:v>
      </x:c>
      <x:c r="I24" s="26" t="str">
        <x:v>n/d</x:v>
      </x:c>
      <x:c r="J24" s="20" t="str">
        <x:v>n/d</x:v>
      </x:c>
      <x:c r="K24" s="20" t="str">
        <x:v>n/d</x:v>
      </x:c>
      <x:c r="L24" s="26" t="str">
        <x:v>n/d</x:v>
      </x:c>
      <x:c r="M24" s="20" t="str">
        <x:v>Informe Mensal: número total da classe; tipo de investidor por classe n/d</x:v>
      </x:c>
      <x:c r="N24" s="21" t="n">
        <x:v>46234</x:v>
      </x:c>
      <x:c r="O24" s="20" t="str">
        <x:v>CVM_FIDC_202607_X1</x:v>
      </x:c>
      <x:c r="P24" s="20" t="str">
        <x:v>Documentado</x:v>
      </x:c>
      <x:c r="Q24" s="20" t="str">
        <x:v>A distribuição por tipo não é imputada a partir do total da classe.</x:v>
      </x:c>
    </x:row>
    <x:row r="25">
      <x:c r="A25" s="20" t="str">
        <x:v>FIDC_IV</x:v>
      </x:c>
      <x:c r="B25" s="20" t="str">
        <x:v>Subclasse Sênior Subclasse 1</x:v>
      </x:c>
      <x:c r="C25" s="27" t="str">
        <x:v>n/d</x:v>
      </x:c>
      <x:c r="D25" s="27" t="str">
        <x:v>n/d</x:v>
      </x:c>
      <x:c r="E25" s="27" t="str">
        <x:v>n/d</x:v>
      </x:c>
      <x:c r="F25" s="27" t="str">
        <x:v>n/d</x:v>
      </x:c>
      <x:c r="G25" s="27" t="n">
        <x:v>1</x:v>
      </x:c>
      <x:c r="H25" s="25" t="str">
        <x:v>n/d</x:v>
      </x:c>
      <x:c r="I25" s="26" t="str">
        <x:v>n/d</x:v>
      </x:c>
      <x:c r="J25" s="20" t="str">
        <x:v>n/d</x:v>
      </x:c>
      <x:c r="K25" s="20" t="str">
        <x:v>n/d</x:v>
      </x:c>
      <x:c r="L25" s="26" t="str">
        <x:v>n/d</x:v>
      </x:c>
      <x:c r="M25" s="20" t="str">
        <x:v>Informe Mensal: número total da classe; tipo de investidor por classe n/d</x:v>
      </x:c>
      <x:c r="N25" s="21" t="n">
        <x:v>46234</x:v>
      </x:c>
      <x:c r="O25" s="20" t="str">
        <x:v>CVM_FIDC_202607_X1</x:v>
      </x:c>
      <x:c r="P25" s="20" t="str">
        <x:v>Documentado</x:v>
      </x:c>
      <x:c r="Q25" s="20" t="str">
        <x:v>A distribuição por tipo não é imputada a partir do total da classe.</x:v>
      </x:c>
    </x:row>
    <x:row r="26">
      <x:c r="A26" s="20" t="str">
        <x:v>FIDC_V</x:v>
      </x:c>
      <x:c r="B26" s="20" t="str">
        <x:v>Subclasse Sênior Série 1</x:v>
      </x:c>
      <x:c r="C26" s="27" t="str">
        <x:v>n/d</x:v>
      </x:c>
      <x:c r="D26" s="27" t="str">
        <x:v>n/d</x:v>
      </x:c>
      <x:c r="E26" s="27" t="str">
        <x:v>n/d</x:v>
      </x:c>
      <x:c r="F26" s="27" t="str">
        <x:v>n/d</x:v>
      </x:c>
      <x:c r="G26" s="27" t="n">
        <x:v>52</x:v>
      </x:c>
      <x:c r="H26" s="25" t="str">
        <x:v>n/d</x:v>
      </x:c>
      <x:c r="I26" s="26" t="str">
        <x:v>n/d</x:v>
      </x:c>
      <x:c r="J26" s="20" t="str">
        <x:v>n/d</x:v>
      </x:c>
      <x:c r="K26" s="20" t="str">
        <x:v>n/d</x:v>
      </x:c>
      <x:c r="L26" s="26" t="str">
        <x:v>n/d</x:v>
      </x:c>
      <x:c r="M26" s="20" t="str">
        <x:v>Informe Mensal: número total da classe; tipo de investidor por classe n/d</x:v>
      </x:c>
      <x:c r="N26" s="21" t="n">
        <x:v>46234</x:v>
      </x:c>
      <x:c r="O26" s="20" t="str">
        <x:v>CVM_FIDC_202607_X1</x:v>
      </x:c>
      <x:c r="P26" s="20" t="str">
        <x:v>Documentado</x:v>
      </x:c>
      <x:c r="Q26" s="20" t="str">
        <x:v>A distribuição por tipo não é imputada a partir do total da classe.</x:v>
      </x:c>
    </x:row>
    <x:row r="27">
      <x:c r="A27" s="20" t="str">
        <x:v>FIDC_V</x:v>
      </x:c>
      <x:c r="B27" s="20" t="str">
        <x:v>Subclasse Subordinada Mezanino 1 | Série 1</x:v>
      </x:c>
      <x:c r="C27" s="27" t="str">
        <x:v>n/d</x:v>
      </x:c>
      <x:c r="D27" s="27" t="str">
        <x:v>n/d</x:v>
      </x:c>
      <x:c r="E27" s="27" t="str">
        <x:v>n/d</x:v>
      </x:c>
      <x:c r="F27" s="27" t="str">
        <x:v>n/d</x:v>
      </x:c>
      <x:c r="G27" s="27" t="n">
        <x:v>3</x:v>
      </x:c>
      <x:c r="H27" s="25" t="str">
        <x:v>n/d</x:v>
      </x:c>
      <x:c r="I27" s="26" t="str">
        <x:v>n/d</x:v>
      </x:c>
      <x:c r="J27" s="20" t="str">
        <x:v>n/d</x:v>
      </x:c>
      <x:c r="K27" s="20" t="str">
        <x:v>n/d</x:v>
      </x:c>
      <x:c r="L27" s="26" t="str">
        <x:v>n/d</x:v>
      </x:c>
      <x:c r="M27" s="20" t="str">
        <x:v>Informe Mensal: número total da classe; tipo de investidor por classe n/d</x:v>
      </x:c>
      <x:c r="N27" s="21" t="n">
        <x:v>46234</x:v>
      </x:c>
      <x:c r="O27" s="20" t="str">
        <x:v>CVM_FIDC_202607_X1</x:v>
      </x:c>
      <x:c r="P27" s="20" t="str">
        <x:v>Documentado</x:v>
      </x:c>
      <x:c r="Q27" s="20" t="str">
        <x:v>A distribuição por tipo não é imputada a partir do total da classe.</x:v>
      </x:c>
    </x:row>
    <x:row r="28">
      <x:c r="A28" s="20" t="str">
        <x:v>FIDC_V</x:v>
      </x:c>
      <x:c r="B28" s="20" t="str">
        <x:v>Subclasse Subordinada Subordinada 1 |</x:v>
      </x:c>
      <x:c r="C28" s="27" t="str">
        <x:v>n/d</x:v>
      </x:c>
      <x:c r="D28" s="27" t="str">
        <x:v>n/d</x:v>
      </x:c>
      <x:c r="E28" s="27" t="str">
        <x:v>n/d</x:v>
      </x:c>
      <x:c r="F28" s="27" t="str">
        <x:v>n/d</x:v>
      </x:c>
      <x:c r="G28" s="27" t="n">
        <x:v>1</x:v>
      </x:c>
      <x:c r="H28" s="25" t="str">
        <x:v>n/d</x:v>
      </x:c>
      <x:c r="I28" s="26" t="str">
        <x:v>n/d</x:v>
      </x:c>
      <x:c r="J28" s="20" t="str">
        <x:v>n/d</x:v>
      </x:c>
      <x:c r="K28" s="20" t="str">
        <x:v>n/d</x:v>
      </x:c>
      <x:c r="L28" s="26" t="str">
        <x:v>n/d</x:v>
      </x:c>
      <x:c r="M28" s="20" t="str">
        <x:v>Informe Mensal: número total da classe; tipo de investidor por classe n/d</x:v>
      </x:c>
      <x:c r="N28" s="21" t="n">
        <x:v>46234</x:v>
      </x:c>
      <x:c r="O28" s="20" t="str">
        <x:v>CVM_FIDC_202607_X1</x:v>
      </x:c>
      <x:c r="P28" s="20" t="str">
        <x:v>Documentado</x:v>
      </x:c>
      <x:c r="Q28" s="20" t="str">
        <x:v>A distribuição por tipo não é imputada a partir do total da classe.</x:v>
      </x:c>
    </x:row>
    <x:row r="29">
      <x:c r="A29" s="20" t="str">
        <x:v>FIDC_VI</x:v>
      </x:c>
      <x:c r="B29" s="20" t="str">
        <x:v>Subclasse Sênior Série 1</x:v>
      </x:c>
      <x:c r="C29" s="27" t="str">
        <x:v>n/d</x:v>
      </x:c>
      <x:c r="D29" s="27" t="str">
        <x:v>n/d</x:v>
      </x:c>
      <x:c r="E29" s="27" t="str">
        <x:v>n/d</x:v>
      </x:c>
      <x:c r="F29" s="27" t="str">
        <x:v>n/d</x:v>
      </x:c>
      <x:c r="G29" s="27" t="n">
        <x:v>5</x:v>
      </x:c>
      <x:c r="H29" s="25" t="str">
        <x:v>n/d</x:v>
      </x:c>
      <x:c r="I29" s="26" t="str">
        <x:v>n/d</x:v>
      </x:c>
      <x:c r="J29" s="20" t="str">
        <x:v>n/d</x:v>
      </x:c>
      <x:c r="K29" s="20" t="str">
        <x:v>n/d</x:v>
      </x:c>
      <x:c r="L29" s="26" t="str">
        <x:v>n/d</x:v>
      </x:c>
      <x:c r="M29" s="20" t="str">
        <x:v>Informe Mensal: número total da classe; tipo de investidor por classe n/d</x:v>
      </x:c>
      <x:c r="N29" s="21" t="n">
        <x:v>46234</x:v>
      </x:c>
      <x:c r="O29" s="20" t="str">
        <x:v>CVM_FIDC_202607_X1</x:v>
      </x:c>
      <x:c r="P29" s="20" t="str">
        <x:v>Documentado</x:v>
      </x:c>
      <x:c r="Q29" s="20" t="str">
        <x:v>A distribuição por tipo não é imputada a partir do total da classe.</x:v>
      </x:c>
    </x:row>
    <x:row r="30">
      <x:c r="A30" s="20" t="str">
        <x:v>FIDC_VI</x:v>
      </x:c>
      <x:c r="B30" s="20" t="str">
        <x:v>Subclasse Subordinada Mezanino 1 |</x:v>
      </x:c>
      <x:c r="C30" s="27" t="str">
        <x:v>n/d</x:v>
      </x:c>
      <x:c r="D30" s="27" t="str">
        <x:v>n/d</x:v>
      </x:c>
      <x:c r="E30" s="27" t="str">
        <x:v>n/d</x:v>
      </x:c>
      <x:c r="F30" s="27" t="str">
        <x:v>n/d</x:v>
      </x:c>
      <x:c r="G30" s="27" t="n">
        <x:v>6</x:v>
      </x:c>
      <x:c r="H30" s="25" t="str">
        <x:v>n/d</x:v>
      </x:c>
      <x:c r="I30" s="26" t="str">
        <x:v>n/d</x:v>
      </x:c>
      <x:c r="J30" s="20" t="str">
        <x:v>n/d</x:v>
      </x:c>
      <x:c r="K30" s="20" t="str">
        <x:v>n/d</x:v>
      </x:c>
      <x:c r="L30" s="26" t="str">
        <x:v>n/d</x:v>
      </x:c>
      <x:c r="M30" s="20" t="str">
        <x:v>Informe Mensal: número total da classe; tipo de investidor por classe n/d</x:v>
      </x:c>
      <x:c r="N30" s="21" t="n">
        <x:v>46234</x:v>
      </x:c>
      <x:c r="O30" s="20" t="str">
        <x:v>CVM_FIDC_202607_X1</x:v>
      </x:c>
      <x:c r="P30" s="20" t="str">
        <x:v>Documentado</x:v>
      </x:c>
      <x:c r="Q30" s="20" t="str">
        <x:v>A distribuição por tipo não é imputada a partir do total da classe.</x:v>
      </x:c>
    </x:row>
    <x:row r="31">
      <x:c r="A31" s="20" t="str">
        <x:v>FIDC_VI</x:v>
      </x:c>
      <x:c r="B31" s="20" t="str">
        <x:v>Subclasse Subordinada Mezanino 2 |</x:v>
      </x:c>
      <x:c r="C31" s="27" t="str">
        <x:v>n/d</x:v>
      </x:c>
      <x:c r="D31" s="27" t="str">
        <x:v>n/d</x:v>
      </x:c>
      <x:c r="E31" s="27" t="str">
        <x:v>n/d</x:v>
      </x:c>
      <x:c r="F31" s="27" t="str">
        <x:v>n/d</x:v>
      </x:c>
      <x:c r="G31" s="27" t="n">
        <x:v>1</x:v>
      </x:c>
      <x:c r="H31" s="25" t="str">
        <x:v>n/d</x:v>
      </x:c>
      <x:c r="I31" s="26" t="str">
        <x:v>n/d</x:v>
      </x:c>
      <x:c r="J31" s="20" t="str">
        <x:v>n/d</x:v>
      </x:c>
      <x:c r="K31" s="20" t="str">
        <x:v>n/d</x:v>
      </x:c>
      <x:c r="L31" s="26" t="str">
        <x:v>n/d</x:v>
      </x:c>
      <x:c r="M31" s="20" t="str">
        <x:v>Informe Mensal: número total da classe; tipo de investidor por classe n/d</x:v>
      </x:c>
      <x:c r="N31" s="21" t="n">
        <x:v>46234</x:v>
      </x:c>
      <x:c r="O31" s="20" t="str">
        <x:v>CVM_FIDC_202607_X1</x:v>
      </x:c>
      <x:c r="P31" s="20" t="str">
        <x:v>Documentado</x:v>
      </x:c>
      <x:c r="Q31" s="20" t="str">
        <x:v>A distribuição por tipo não é imputada a partir do total da classe.</x:v>
      </x:c>
    </x:row>
    <x:row r="32">
      <x:c r="A32" s="20" t="str">
        <x:v>FIDC_VI</x:v>
      </x:c>
      <x:c r="B32" s="20" t="str">
        <x:v>Subclasse Subordinada Subordinada 1 |</x:v>
      </x:c>
      <x:c r="C32" s="27" t="str">
        <x:v>n/d</x:v>
      </x:c>
      <x:c r="D32" s="27" t="str">
        <x:v>n/d</x:v>
      </x:c>
      <x:c r="E32" s="27" t="str">
        <x:v>n/d</x:v>
      </x:c>
      <x:c r="F32" s="27" t="str">
        <x:v>n/d</x:v>
      </x:c>
      <x:c r="G32" s="27" t="n">
        <x:v>1</x:v>
      </x:c>
      <x:c r="H32" s="25" t="str">
        <x:v>n/d</x:v>
      </x:c>
      <x:c r="I32" s="26" t="str">
        <x:v>n/d</x:v>
      </x:c>
      <x:c r="J32" s="20" t="str">
        <x:v>n/d</x:v>
      </x:c>
      <x:c r="K32" s="20" t="str">
        <x:v>n/d</x:v>
      </x:c>
      <x:c r="L32" s="26" t="str">
        <x:v>n/d</x:v>
      </x:c>
      <x:c r="M32" s="20" t="str">
        <x:v>Informe Mensal: número total da classe; tipo de investidor por classe n/d</x:v>
      </x:c>
      <x:c r="N32" s="21" t="n">
        <x:v>46234</x:v>
      </x:c>
      <x:c r="O32" s="20" t="str">
        <x:v>CVM_FIDC_202607_X1</x:v>
      </x:c>
      <x:c r="P32" s="20" t="str">
        <x:v>Documentado</x:v>
      </x:c>
      <x:c r="Q32" s="20" t="str">
        <x:v>A distribuição por tipo não é imputada a partir do total da classe.</x:v>
      </x:c>
    </x:row>
    <x:row r="33">
      <x:c r="A33" s="20" t="str">
        <x:v>FIDC_VII</x:v>
      </x:c>
      <x:c r="B33" s="20" t="str">
        <x:v>Subclasse Sênior Série 1</x:v>
      </x:c>
      <x:c r="C33" s="27" t="str">
        <x:v>n/d</x:v>
      </x:c>
      <x:c r="D33" s="27" t="str">
        <x:v>n/d</x:v>
      </x:c>
      <x:c r="E33" s="27" t="str">
        <x:v>n/d</x:v>
      </x:c>
      <x:c r="F33" s="27" t="str">
        <x:v>n/d</x:v>
      </x:c>
      <x:c r="G33" s="27" t="n">
        <x:v>23</x:v>
      </x:c>
      <x:c r="H33" s="25" t="str">
        <x:v>n/d</x:v>
      </x:c>
      <x:c r="I33" s="26" t="str">
        <x:v>n/d</x:v>
      </x:c>
      <x:c r="J33" s="20" t="str">
        <x:v>n/d</x:v>
      </x:c>
      <x:c r="K33" s="20" t="str">
        <x:v>n/d</x:v>
      </x:c>
      <x:c r="L33" s="26" t="str">
        <x:v>n/d</x:v>
      </x:c>
      <x:c r="M33" s="20" t="str">
        <x:v>Informe Mensal: número total da classe; tipo de investidor por classe n/d</x:v>
      </x:c>
      <x:c r="N33" s="21" t="n">
        <x:v>46234</x:v>
      </x:c>
      <x:c r="O33" s="20" t="str">
        <x:v>CVM_FIDC_202607_X1</x:v>
      </x:c>
      <x:c r="P33" s="20" t="str">
        <x:v>Documentado</x:v>
      </x:c>
      <x:c r="Q33" s="20" t="str">
        <x:v>A distribuição por tipo não é imputada a partir do total da classe.</x:v>
      </x:c>
    </x:row>
    <x:row r="34">
      <x:c r="A34" s="20" t="str">
        <x:v>FIDC_VII</x:v>
      </x:c>
      <x:c r="B34" s="20" t="str">
        <x:v>Subclasse Subordinada Mezanino 1 | Série 1</x:v>
      </x:c>
      <x:c r="C34" s="27" t="str">
        <x:v>n/d</x:v>
      </x:c>
      <x:c r="D34" s="27" t="str">
        <x:v>n/d</x:v>
      </x:c>
      <x:c r="E34" s="27" t="str">
        <x:v>n/d</x:v>
      </x:c>
      <x:c r="F34" s="27" t="str">
        <x:v>n/d</x:v>
      </x:c>
      <x:c r="G34" s="27" t="n">
        <x:v>13</x:v>
      </x:c>
      <x:c r="H34" s="25" t="str">
        <x:v>n/d</x:v>
      </x:c>
      <x:c r="I34" s="26" t="str">
        <x:v>n/d</x:v>
      </x:c>
      <x:c r="J34" s="20" t="str">
        <x:v>n/d</x:v>
      </x:c>
      <x:c r="K34" s="20" t="str">
        <x:v>n/d</x:v>
      </x:c>
      <x:c r="L34" s="26" t="str">
        <x:v>n/d</x:v>
      </x:c>
      <x:c r="M34" s="20" t="str">
        <x:v>Informe Mensal: número total da classe; tipo de investidor por classe n/d</x:v>
      </x:c>
      <x:c r="N34" s="21" t="n">
        <x:v>46234</x:v>
      </x:c>
      <x:c r="O34" s="20" t="str">
        <x:v>CVM_FIDC_202607_X1</x:v>
      </x:c>
      <x:c r="P34" s="20" t="str">
        <x:v>Documentado</x:v>
      </x:c>
      <x:c r="Q34" s="20" t="str">
        <x:v>A distribuição por tipo não é imputada a partir do total da classe.</x:v>
      </x:c>
    </x:row>
    <x:row r="35">
      <x:c r="A35" s="20" t="str">
        <x:v>FIDC_VII</x:v>
      </x:c>
      <x:c r="B35" s="20" t="str">
        <x:v>Subclasse Subordinada Mezanino 2 | Série 1</x:v>
      </x:c>
      <x:c r="C35" s="27" t="str">
        <x:v>n/d</x:v>
      </x:c>
      <x:c r="D35" s="27" t="str">
        <x:v>n/d</x:v>
      </x:c>
      <x:c r="E35" s="27" t="str">
        <x:v>n/d</x:v>
      </x:c>
      <x:c r="F35" s="27" t="str">
        <x:v>n/d</x:v>
      </x:c>
      <x:c r="G35" s="27" t="n">
        <x:v>5</x:v>
      </x:c>
      <x:c r="H35" s="25" t="str">
        <x:v>n/d</x:v>
      </x:c>
      <x:c r="I35" s="26" t="str">
        <x:v>n/d</x:v>
      </x:c>
      <x:c r="J35" s="20" t="str">
        <x:v>n/d</x:v>
      </x:c>
      <x:c r="K35" s="20" t="str">
        <x:v>n/d</x:v>
      </x:c>
      <x:c r="L35" s="26" t="str">
        <x:v>n/d</x:v>
      </x:c>
      <x:c r="M35" s="20" t="str">
        <x:v>Informe Mensal: número total da classe; tipo de investidor por classe n/d</x:v>
      </x:c>
      <x:c r="N35" s="21" t="n">
        <x:v>46234</x:v>
      </x:c>
      <x:c r="O35" s="20" t="str">
        <x:v>CVM_FIDC_202607_X1</x:v>
      </x:c>
      <x:c r="P35" s="20" t="str">
        <x:v>Documentado</x:v>
      </x:c>
      <x:c r="Q35" s="20" t="str">
        <x:v>A distribuição por tipo não é imputada a partir do total da classe.</x:v>
      </x:c>
    </x:row>
    <x:row r="36">
      <x:c r="A36" s="20" t="str">
        <x:v>FIDC_VII</x:v>
      </x:c>
      <x:c r="B36" s="20" t="str">
        <x:v>Subclasse Subordinada Subordinada 1 |</x:v>
      </x:c>
      <x:c r="C36" s="27" t="str">
        <x:v>n/d</x:v>
      </x:c>
      <x:c r="D36" s="27" t="str">
        <x:v>n/d</x:v>
      </x:c>
      <x:c r="E36" s="27" t="str">
        <x:v>n/d</x:v>
      </x:c>
      <x:c r="F36" s="27" t="str">
        <x:v>n/d</x:v>
      </x:c>
      <x:c r="G36" s="27" t="n">
        <x:v>1</x:v>
      </x:c>
      <x:c r="H36" s="25" t="str">
        <x:v>n/d</x:v>
      </x:c>
      <x:c r="I36" s="26" t="str">
        <x:v>n/d</x:v>
      </x:c>
      <x:c r="J36" s="20" t="str">
        <x:v>n/d</x:v>
      </x:c>
      <x:c r="K36" s="20" t="str">
        <x:v>n/d</x:v>
      </x:c>
      <x:c r="L36" s="26" t="str">
        <x:v>n/d</x:v>
      </x:c>
      <x:c r="M36" s="20" t="str">
        <x:v>Informe Mensal: número total da classe; tipo de investidor por classe n/d</x:v>
      </x:c>
      <x:c r="N36" s="21" t="n">
        <x:v>46234</x:v>
      </x:c>
      <x:c r="O36" s="20" t="str">
        <x:v>CVM_FIDC_202607_X1</x:v>
      </x:c>
      <x:c r="P36" s="20" t="str">
        <x:v>Documentado</x:v>
      </x:c>
      <x:c r="Q36" s="20" t="str">
        <x:v>A distribuição por tipo não é imputada a partir do total da classe.</x:v>
      </x:c>
    </x:row>
  </x:sheetData>
  <x:mergeCells>
    <x:mergeCell ref="A1:Q1"/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f4e734796dc940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  <x:col min="9" max="9" width="19" hidden="0" customWidth="1"/>
    <x:col min="10" max="10" width="42" hidden="0" customWidth="1"/>
  </x:cols>
  <x:sheetData>
    <x:row r="1" ht="30" customHeight="1">
      <x:c r="A1" s="3" t="str">
        <x:v>11 Matriz FIDC CRI</x:v>
      </x:c>
    </x:row>
    <x:row r="2" ht="34" customHeight="1">
      <x:c r="A2" s="7" t="str">
        <x:v>Cedeu exige evidência documental; Pode ceder resulta do cruzamento de mandato e critérios. O estado inferido não confirma uma fita concreta.</x:v>
      </x:c>
    </x:row>
    <x:row r="3" ht="24" customHeight="1">
      <x:c r="A3" s="11" t="str">
        <x:v>Data-base: por linha | Fontes: METH_MATRIZ_ELEGIBILIDADE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4" customHeight="1">
      <x:c r="A5" s="16" t="str">
        <x:v>fidc</x:v>
      </x:c>
      <x:c r="B5" s="16" t="str">
        <x:v>CRI_K1</x:v>
      </x:c>
      <x:c r="C5" s="16" t="str">
        <x:v>CRI_K2</x:v>
      </x:c>
      <x:c r="D5" s="16" t="str">
        <x:v>CRI_K3</x:v>
      </x:c>
      <x:c r="E5" s="16" t="str">
        <x:v>CRI_K4</x:v>
      </x:c>
      <x:c r="F5" s="16" t="str">
        <x:v>CRI_V174</x:v>
      </x:c>
      <x:c r="G5" s="16" t="str">
        <x:v>CRI_V177</x:v>
      </x:c>
      <x:c r="H5" s="16" t="str">
        <x:v>fonte_id</x:v>
      </x:c>
      <x:c r="I5" s="16" t="str">
        <x:v>status</x:v>
      </x:c>
      <x:c r="J5" s="16" t="str">
        <x:v>nota_metodo</x:v>
      </x:c>
    </x:row>
    <x:row r="6">
      <x:c r="A6" s="20" t="str">
        <x:v>FIDC_I</x:v>
      </x:c>
      <x:c r="B6" s="20" t="str">
        <x:v>Pode ceder — pool com WAM ≤ teto do CRI</x:v>
      </x:c>
      <x:c r="C6" s="20" t="str">
        <x:v>Pode ceder — pool com WAM ≤ teto do CRI</x:v>
      </x:c>
      <x:c r="D6" s="20" t="str">
        <x:v>Pode ceder — pool com WAM ≤ teto do CRI</x:v>
      </x:c>
      <x:c r="E6" s="20" t="str">
        <x:v>Pode ceder — pool com WAM ≤ teto do CRI</x:v>
      </x:c>
      <x:c r="F6" s="20" t="str">
        <x:v>Pode ceder — pool com WAM ≤ teto do CRI</x:v>
      </x:c>
      <x:c r="G6" s="20" t="str">
        <x:v>Pode ceder — pool com WAM ≤ teto do CRI</x:v>
      </x:c>
      <x:c r="H6" s="20" t="str">
        <x:v>METH_MATRIZ_ELEGIBILIDADE</x:v>
      </x:c>
      <x:c r="I6" s="20" t="str">
        <x:v>Inferido</x:v>
      </x:c>
      <x:c r="J6" s="20" t="str">
        <x:v>Cedeu exige documento; Pode ceder cruza mandato, tipo, prazo, WAM e ticket. Não comprova que uma fita concreta passa.</x:v>
      </x:c>
    </x:row>
    <x:row r="7">
      <x:c r="A7" s="20" t="str">
        <x:v>FIDC_II</x:v>
      </x:c>
      <x:c r="B7" s="20" t="str">
        <x:v>Cedeu — 2023-12-29; R$ 150.001 mi</x:v>
      </x:c>
      <x:c r="C7" s="20" t="str">
        <x:v>Cedeu — 2024-05-24; volume n/d</x:v>
      </x:c>
      <x:c r="D7" s="20" t="str">
        <x:v>Pode ceder — pool com WAM ≤ teto do CRI</x:v>
      </x:c>
      <x:c r="E7" s="20" t="str">
        <x:v>Pode ceder — pool com WAM ≤ teto do CRI</x:v>
      </x:c>
      <x:c r="F7" s="20" t="str">
        <x:v>Pode ceder — pool com WAM ≤ teto do CRI</x:v>
      </x:c>
      <x:c r="G7" s="20" t="str">
        <x:v>Pode ceder — pool com WAM ≤ teto do CRI</x:v>
      </x:c>
      <x:c r="H7" s="20" t="str">
        <x:v>METH_MATRIZ_ELEGIBILIDADE</x:v>
      </x:c>
      <x:c r="I7" s="20" t="str">
        <x:v>Inferido</x:v>
      </x:c>
      <x:c r="J7" s="20" t="str">
        <x:v>Cedeu exige documento; Pode ceder cruza mandato, tipo, prazo, WAM e ticket. Não comprova que uma fita concreta passa.</x:v>
      </x:c>
    </x:row>
    <x:row r="8">
      <x:c r="A8" s="20" t="str">
        <x:v>FIDC_III</x:v>
      </x:c>
      <x:c r="B8" s="20" t="str">
        <x:v>Pode ceder — mandato contém CCB que pode passar nos critérios</x:v>
      </x:c>
      <x:c r="C8" s="20" t="str">
        <x:v>Pode ceder — mandato contém CCB que pode passar nos critérios</x:v>
      </x:c>
      <x:c r="D8" s="20" t="str">
        <x:v>Pode ceder — mandato contém CCB que pode passar nos critérios</x:v>
      </x:c>
      <x:c r="E8" s="20" t="str">
        <x:v>Pode ceder — mandato contém CCB que pode passar nos critérios</x:v>
      </x:c>
      <x:c r="F8" s="20" t="str">
        <x:v>Pode ceder — mandato contém CCB que pode passar nos critérios</x:v>
      </x:c>
      <x:c r="G8" s="20" t="str">
        <x:v>Pode ceder — mandato contém CCB que pode passar nos critérios</x:v>
      </x:c>
      <x:c r="H8" s="20" t="str">
        <x:v>METH_MATRIZ_ELEGIBILIDADE</x:v>
      </x:c>
      <x:c r="I8" s="20" t="str">
        <x:v>Inferido</x:v>
      </x:c>
      <x:c r="J8" s="20" t="str">
        <x:v>Cedeu exige documento; Pode ceder cruza mandato, tipo, prazo, WAM e ticket. Não comprova que uma fita concreta passa.</x:v>
      </x:c>
    </x:row>
    <x:row r="9">
      <x:c r="A9" s="20" t="str">
        <x:v>FIDC_IV</x:v>
      </x:c>
      <x:c r="B9" s="20" t="str">
        <x:v>Cedeu — 2023-12-29; R$ 450.003 mi</x:v>
      </x:c>
      <x:c r="C9" s="20" t="str">
        <x:v>Cedeu — 2024-05-24; volume n/d</x:v>
      </x:c>
      <x:c r="D9" s="20" t="str">
        <x:v>Pode ceder: n/d — regulamento não publica WAM/ticket suficientes</x:v>
      </x:c>
      <x:c r="E9" s="20" t="str">
        <x:v>Pode ceder: n/d — regulamento não publica WAM/ticket suficientes</x:v>
      </x:c>
      <x:c r="F9" s="20" t="str">
        <x:v>Pode ceder: n/d — regulamento não publica WAM/ticket suficientes</x:v>
      </x:c>
      <x:c r="G9" s="20" t="str">
        <x:v>Pode ceder: n/d — regulamento não publica WAM/ticket suficientes</x:v>
      </x:c>
      <x:c r="H9" s="20" t="str">
        <x:v>METH_MATRIZ_ELEGIBILIDADE</x:v>
      </x:c>
      <x:c r="I9" s="20" t="str">
        <x:v>Inferido</x:v>
      </x:c>
      <x:c r="J9" s="20" t="str">
        <x:v>Cedeu exige documento; Pode ceder cruza mandato, tipo, prazo, WAM e ticket. Não comprova que uma fita concreta passa.</x:v>
      </x:c>
    </x:row>
    <x:row r="10">
      <x:c r="A10" s="20" t="str">
        <x:v>FIDC_V</x:v>
      </x:c>
      <x:c r="B10" s="20" t="str">
        <x:v>Pode ceder — selecionar PF abaixo do teto do CRI; pool com WAM ≤ teto do CRI</x:v>
      </x:c>
      <x:c r="C10" s="20" t="str">
        <x:v>Pode ceder — selecionar PF abaixo do teto do CRI; pool com WAM ≤ teto do CRI</x:v>
      </x:c>
      <x:c r="D10" s="20" t="str">
        <x:v>Pode ceder — selecionar PF abaixo do teto do CRI; pool com WAM ≤ teto do CRI</x:v>
      </x:c>
      <x:c r="E10" s="20" t="str">
        <x:v>Pode ceder — selecionar PF abaixo do teto do CRI; pool com WAM ≤ teto do CRI</x:v>
      </x:c>
      <x:c r="F10" s="20" t="str">
        <x:v>Pode ceder — selecionar PF abaixo do teto do CRI; pool com WAM ≤ teto do CRI</x:v>
      </x:c>
      <x:c r="G10" s="20" t="str">
        <x:v>Pode ceder — selecionar PF abaixo do teto do CRI; pool com WAM ≤ teto do CRI</x:v>
      </x:c>
      <x:c r="H10" s="20" t="str">
        <x:v>METH_MATRIZ_ELEGIBILIDADE</x:v>
      </x:c>
      <x:c r="I10" s="20" t="str">
        <x:v>Inferido</x:v>
      </x:c>
      <x:c r="J10" s="20" t="str">
        <x:v>Cedeu exige documento; Pode ceder cruza mandato, tipo, prazo, WAM e ticket. Não comprova que uma fita concreta passa.</x:v>
      </x:c>
    </x:row>
    <x:row r="11">
      <x:c r="A11" s="20" t="str">
        <x:v>FIDC_VI</x:v>
      </x:c>
      <x:c r="B11" s="20" t="str">
        <x:v>Pode ceder — pool com WAM ≤ teto do CRI</x:v>
      </x:c>
      <x:c r="C11" s="20" t="str">
        <x:v>Pode ceder — pool com WAM ≤ teto do CRI</x:v>
      </x:c>
      <x:c r="D11" s="20" t="str">
        <x:v>Pode ceder — pool com WAM ≤ teto do CRI</x:v>
      </x:c>
      <x:c r="E11" s="20" t="str">
        <x:v>Pode ceder — pool com WAM ≤ teto do CRI</x:v>
      </x:c>
      <x:c r="F11" s="20" t="str">
        <x:v>Pode ceder — pool com WAM ≤ teto do CRI</x:v>
      </x:c>
      <x:c r="G11" s="20" t="str">
        <x:v>Pode ceder — pool com WAM ≤ teto do CRI</x:v>
      </x:c>
      <x:c r="H11" s="20" t="str">
        <x:v>METH_MATRIZ_ELEGIBILIDADE</x:v>
      </x:c>
      <x:c r="I11" s="20" t="str">
        <x:v>Inferido</x:v>
      </x:c>
      <x:c r="J11" s="20" t="str">
        <x:v>Cedeu exige documento; Pode ceder cruza mandato, tipo, prazo, WAM e ticket. Não comprova que uma fita concreta passa.</x:v>
      </x:c>
    </x:row>
    <x:row r="12">
      <x:c r="A12" s="20" t="str">
        <x:v>FIDC_VII</x:v>
      </x:c>
      <x:c r="B12" s="20" t="str">
        <x:v>Pode ceder — pool com WAM ≤ teto do CRI</x:v>
      </x:c>
      <x:c r="C12" s="20" t="str">
        <x:v>Pode ceder — pool com WAM ≤ teto do CRI</x:v>
      </x:c>
      <x:c r="D12" s="20" t="str">
        <x:v>Pode ceder — pool com WAM ≤ teto do CRI</x:v>
      </x:c>
      <x:c r="E12" s="20" t="str">
        <x:v>Pode ceder — pool com WAM ≤ teto do CRI</x:v>
      </x:c>
      <x:c r="F12" s="20" t="str">
        <x:v>Pode ceder — pool com WAM ≤ teto do CRI</x:v>
      </x:c>
      <x:c r="G12" s="20" t="str">
        <x:v>Pode ceder — pool com WAM ≤ teto do CRI</x:v>
      </x:c>
      <x:c r="H12" s="20" t="str">
        <x:v>METH_MATRIZ_ELEGIBILIDADE</x:v>
      </x:c>
      <x:c r="I12" s="20" t="str">
        <x:v>Inferido</x:v>
      </x:c>
      <x:c r="J12" s="20" t="str">
        <x:v>Cedeu exige documento; Pode ceder cruza mandato, tipo, prazo, WAM e ticket. Não comprova que uma fita concreta passa.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bf34d1c16e51492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7" hidden="0" customWidth="1"/>
    <x:col min="4" max="4" width="14" hidden="0" customWidth="1"/>
    <x:col min="5" max="5" width="21" hidden="0" customWidth="1"/>
    <x:col min="6" max="6" width="17" hidden="0" customWidth="1"/>
    <x:col min="7" max="7" width="24" hidden="0" customWidth="1"/>
    <x:col min="8" max="8" width="34" hidden="0" customWidth="1"/>
    <x:col min="9" max="9" width="19" hidden="0" customWidth="1"/>
    <x:col min="10" max="10" width="42" hidden="0" customWidth="1"/>
  </x:cols>
  <x:sheetData>
    <x:row r="1" ht="30" customHeight="1">
      <x:c r="A1" s="3" t="str">
        <x:v>11b Cessoes</x:v>
      </x:c>
    </x:row>
    <x:row r="2" ht="34" customHeight="1">
      <x:c r="A2" s="7" t="str">
        <x:v>A tabela registra apenas cessões documentadas. Preço percentual permanece n/d sem saldo contábil comparável.</x:v>
      </x:c>
    </x:row>
    <x:row r="3" ht="24" customHeight="1">
      <x:c r="A3" s="11" t="str">
        <x:v>Data-base: por linha | Fontes: ANX_CRI1_PROSP_20240216; ANX_CRI2_RATING_202406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34" customHeight="1">
      <x:c r="A5" s="16" t="str">
        <x:v>data</x:v>
      </x:c>
      <x:c r="B5" s="16" t="str">
        <x:v>fidc_cedente</x:v>
      </x:c>
      <x:c r="C5" s="16" t="str">
        <x:v>cri_cessionario</x:v>
      </x:c>
      <x:c r="D5" s="16" t="str">
        <x:v>volume_R$mi</x:v>
      </x:c>
      <x:c r="E5" s="16" t="str">
        <x:v>pct_do_pool_do_CRI</x:v>
      </x:c>
      <x:c r="F5" s="16" t="str">
        <x:v>preco_pct_saldo</x:v>
      </x:c>
      <x:c r="G5" s="16" t="str">
        <x:v>cessao_direta_do_originador</x:v>
      </x:c>
      <x:c r="H5" s="16" t="str">
        <x:v>fonte_id</x:v>
      </x:c>
      <x:c r="I5" s="16" t="str">
        <x:v>status</x:v>
      </x:c>
      <x:c r="J5" s="16" t="str">
        <x:v>nota_metodo</x:v>
      </x:c>
    </x:row>
    <x:row r="6">
      <x:c r="A6" s="21" t="n">
        <x:v>45289</x:v>
      </x:c>
      <x:c r="B6" s="20" t="str">
        <x:v>FIDC_II</x:v>
      </x:c>
      <x:c r="C6" s="20" t="str">
        <x:v>CRI_K1</x:v>
      </x:c>
      <x:c r="D6" s="23" t="n">
        <x:v>150.00133875</x:v>
      </x:c>
      <x:c r="E6" s="26" t="n">
        <x:v>0.25000052212143054</x:v>
      </x:c>
      <x:c r="F6" s="26" t="str">
        <x:v>n/d</x:v>
      </x:c>
      <x:c r="G6" s="20" t="str">
        <x:v>não</x:v>
      </x:c>
      <x:c r="H6" s="20" t="str">
        <x:v>ANX_CRI1_PROSP_20240216</x:v>
      </x:c>
      <x:c r="I6" s="20" t="str">
        <x:v>Documentado</x:v>
      </x:c>
      <x:c r="J6" s="20" t="str">
        <x:v>Preço total impresso; percentual sobre o pool usa a soma documentada das duas cessões.</x:v>
      </x:c>
    </x:row>
    <x:row r="7">
      <x:c r="A7" s="21" t="n">
        <x:v>45289</x:v>
      </x:c>
      <x:c r="B7" s="20" t="str">
        <x:v>FIDC_IV</x:v>
      </x:c>
      <x:c r="C7" s="20" t="str">
        <x:v>CRI_K1</x:v>
      </x:c>
      <x:c r="D7" s="23" t="n">
        <x:v>450.00276315</x:v>
      </x:c>
      <x:c r="E7" s="26" t="n">
        <x:v>0.7499994778785695</x:v>
      </x:c>
      <x:c r="F7" s="26" t="str">
        <x:v>n/d</x:v>
      </x:c>
      <x:c r="G7" s="20" t="str">
        <x:v>não</x:v>
      </x:c>
      <x:c r="H7" s="20" t="str">
        <x:v>ANX_CRI1_PROSP_20240216</x:v>
      </x:c>
      <x:c r="I7" s="20" t="str">
        <x:v>Documentado</x:v>
      </x:c>
      <x:c r="J7" s="20" t="str">
        <x:v>Preço total impresso; percentual sobre o pool usa a soma documentada das duas cessões.</x:v>
      </x:c>
    </x:row>
    <x:row r="8">
      <x:c r="A8" s="21" t="n">
        <x:v>45436</x:v>
      </x:c>
      <x:c r="B8" s="20" t="str">
        <x:v>FIDC_II</x:v>
      </x:c>
      <x:c r="C8" s="20" t="str">
        <x:v>CRI_K2</x:v>
      </x:c>
      <x:c r="D8" s="23" t="str">
        <x:v>n/d</x:v>
      </x:c>
      <x:c r="E8" s="26" t="str">
        <x:v>n/d</x:v>
      </x:c>
      <x:c r="F8" s="26" t="str">
        <x:v>n/d</x:v>
      </x:c>
      <x:c r="G8" s="20" t="str">
        <x:v>não</x:v>
      </x:c>
      <x:c r="H8" s="20" t="str">
        <x:v>ANX_CRI2_RATING_202406</x:v>
      </x:c>
      <x:c r="I8" s="20" t="str">
        <x:v>Documentado</x:v>
      </x:c>
      <x:c r="J8" s="20" t="str">
        <x:v>Cedente e data documentados; volume e preço percentual não localizados.</x:v>
      </x:c>
    </x:row>
    <x:row r="9">
      <x:c r="A9" s="21" t="n">
        <x:v>45436</x:v>
      </x:c>
      <x:c r="B9" s="20" t="str">
        <x:v>FIDC_IV</x:v>
      </x:c>
      <x:c r="C9" s="20" t="str">
        <x:v>CRI_K2</x:v>
      </x:c>
      <x:c r="D9" s="23" t="str">
        <x:v>n/d</x:v>
      </x:c>
      <x:c r="E9" s="26" t="str">
        <x:v>n/d</x:v>
      </x:c>
      <x:c r="F9" s="26" t="str">
        <x:v>n/d</x:v>
      </x:c>
      <x:c r="G9" s="20" t="str">
        <x:v>não</x:v>
      </x:c>
      <x:c r="H9" s="20" t="str">
        <x:v>ANX_CRI2_RATING_202406</x:v>
      </x:c>
      <x:c r="I9" s="20" t="str">
        <x:v>Documentado</x:v>
      </x:c>
      <x:c r="J9" s="20" t="str">
        <x:v>Cedente e data documentados; volume e preço percentual não localizados.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e8728a4204e34e1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20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  <x:col min="8" max="8" width="21" hidden="0" customWidth="1"/>
    <x:col min="9" max="9" width="19" hidden="0" customWidth="1"/>
    <x:col min="10" max="10" width="24" hidden="0" customWidth="1"/>
    <x:col min="11" max="11" width="22" hidden="0" customWidth="1"/>
    <x:col min="12" max="12" width="24" hidden="0" customWidth="1"/>
    <x:col min="13" max="13" width="24" hidden="0" customWidth="1"/>
    <x:col min="14" max="14" width="18" hidden="0" customWidth="1"/>
    <x:col min="15" max="15" width="13" hidden="0" customWidth="1"/>
    <x:col min="16" max="16" width="34" hidden="0" customWidth="1"/>
    <x:col min="17" max="17" width="19" hidden="0" customWidth="1"/>
    <x:col min="18" max="18" width="42" hidden="0" customWidth="1"/>
  </x:cols>
  <x:sheetData>
    <x:row r="1" ht="30" customHeight="1">
      <x:c r="A1" s="3" t="str">
        <x:v>12 Custo Captacao</x:v>
      </x:c>
    </x:row>
    <x:row r="2" ht="34" customHeight="1">
      <x:c r="A2" s="7" t="str">
        <x:v>Taxas contratadas ficam visíveis e o all-in permanece n/d sem curvas datadas e custos completos. A lacuna evita equivalência estimada.</x:v>
      </x:c>
    </x:row>
    <x:row r="3" ht="24" customHeight="1">
      <x:c r="A3" s="11" t="str">
        <x:v>Data-base: 2026-08-22 | Fontes: CVM_FIDC_202607_X2; ANX_CRI1_PROSP_20240216; CVM_FUNDOSNET_TERMOS_CRI_20260822; CVM_CRI_2026_CLASSE; ANX_CRI2_RATING_202406;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</x:row>
    <x:row r="5" ht="34" customHeight="1">
      <x:c r="A5" s="16" t="str">
        <x:v>veiculo_id</x:v>
      </x:c>
      <x:c r="B5" s="16" t="str">
        <x:v>serie</x:v>
      </x:c>
      <x:c r="C5" s="16" t="str">
        <x:v>saldo_atual_R$</x:v>
      </x:c>
      <x:c r="D5" s="16" t="str">
        <x:v>indexador</x:v>
      </x:c>
      <x:c r="E5" s="16" t="str">
        <x:v>taxa_contratada</x:v>
      </x:c>
      <x:c r="F5" s="16" t="str">
        <x:v>taxa_equivalente_CDI_hoje</x:v>
      </x:c>
      <x:c r="G5" s="16" t="str">
        <x:v>taxa_equivalente_pre_hoje</x:v>
      </x:c>
      <x:c r="H5" s="16" t="str">
        <x:v>spread_sobre_DI_bps</x:v>
      </x:c>
      <x:c r="I5" s="16" t="str">
        <x:v>custo_ponderado_da_camada</x:v>
      </x:c>
      <x:c r="J5" s="16" t="str">
        <x:v>custo_medio_ponderado_das_cotas_publicas</x:v>
      </x:c>
      <x:c r="K5" s="16" t="str">
        <x:v>custo_da_subordinada</x:v>
      </x:c>
      <x:c r="L5" s="16" t="str">
        <x:v>custos_fixos_anualizados_bps</x:v>
      </x:c>
      <x:c r="M5" s="16" t="str">
        <x:v>custo_distribuicao_uma_vez_bps</x:v>
      </x:c>
      <x:c r="N5" s="16" t="str">
        <x:v>custo_all_in_bps</x:v>
      </x:c>
      <x:c r="O5" s="16" t="str">
        <x:v>data_base</x:v>
      </x:c>
      <x:c r="P5" s="16" t="str">
        <x:v>fonte_id</x:v>
      </x:c>
      <x:c r="Q5" s="16" t="str">
        <x:v>status</x:v>
      </x:c>
      <x:c r="R5" s="16" t="str">
        <x:v>nota_metodo</x:v>
      </x:c>
    </x:row>
    <x:row r="6">
      <x:c r="A6" s="20" t="str">
        <x:v>FIDC_I</x:v>
      </x:c>
      <x:c r="B6" s="20" t="str">
        <x:v>Senior Série 1</x:v>
      </x:c>
      <x:c r="C6" s="25" t="n">
        <x:v>53181208.86890634</x:v>
      </x:c>
      <x:c r="D6" s="20" t="str">
        <x:v>n/d</x:v>
      </x:c>
      <x:c r="E6" s="20" t="str">
        <x:v>n/d</x:v>
      </x:c>
      <x:c r="F6" s="20" t="str">
        <x:v>n/d</x:v>
      </x:c>
      <x:c r="G6" s="20" t="str">
        <x:v>n/d</x:v>
      </x:c>
      <x:c r="H6" s="27" t="str">
        <x:v>n/d</x:v>
      </x:c>
      <x:c r="I6" s="20" t="str">
        <x:v>n/d</x:v>
      </x:c>
      <x:c r="J6" s="20" t="str">
        <x:v>n/d</x:v>
      </x:c>
      <x:c r="K6" s="20" t="str">
        <x:v>n/d</x:v>
      </x:c>
      <x:c r="L6" s="27" t="str">
        <x:v>n/d</x:v>
      </x:c>
      <x:c r="M6" s="27" t="str">
        <x:v>n/d</x:v>
      </x:c>
      <x:c r="N6" s="27" t="str">
        <x:v>n/d</x:v>
      </x:c>
      <x:c r="O6" s="21" t="n">
        <x:v>46256</x:v>
      </x:c>
      <x:c r="P6" s="20" t="str">
        <x:v>CVM_FIDC_202607_X2</x:v>
      </x:c>
      <x:c r="Q6" s="20" t="str">
        <x:v>n/d</x:v>
      </x:c>
      <x:c r="R6" s="20" t="str">
        <x:v>Equivalências dependem da curva DI futura e inflação implícita da data-base; a curva datada não foi obtida. Taxa contratada permanece documentada.</x:v>
      </x:c>
    </x:row>
    <x:row r="7">
      <x:c r="A7" s="20" t="str">
        <x:v>FIDC_I</x:v>
      </x:c>
      <x:c r="B7" s="20" t="str">
        <x:v>Subordinada Subordinada 1 |</x:v>
      </x:c>
      <x:c r="C7" s="25" t="n">
        <x:v>3309361.2497871807</x:v>
      </x:c>
      <x:c r="D7" s="20" t="str">
        <x:v>n/d</x:v>
      </x:c>
      <x:c r="E7" s="20" t="str">
        <x:v>n/d</x:v>
      </x:c>
      <x:c r="F7" s="20" t="str">
        <x:v>n/d</x:v>
      </x:c>
      <x:c r="G7" s="20" t="str">
        <x:v>n/d</x:v>
      </x:c>
      <x:c r="H7" s="27" t="str">
        <x:v>n/d</x:v>
      </x:c>
      <x:c r="I7" s="20" t="str">
        <x:v>n/d</x:v>
      </x:c>
      <x:c r="J7" s="20" t="str">
        <x:v>n/d</x:v>
      </x:c>
      <x:c r="K7" s="20" t="str">
        <x:v>n/d</x:v>
      </x:c>
      <x:c r="L7" s="27" t="str">
        <x:v>n/d</x:v>
      </x:c>
      <x:c r="M7" s="27" t="str">
        <x:v>n/d</x:v>
      </x:c>
      <x:c r="N7" s="27" t="str">
        <x:v>n/d</x:v>
      </x:c>
      <x:c r="O7" s="21" t="n">
        <x:v>46256</x:v>
      </x:c>
      <x:c r="P7" s="20" t="str">
        <x:v>CVM_FIDC_202607_X2</x:v>
      </x:c>
      <x:c r="Q7" s="20" t="str">
        <x:v>n/d</x:v>
      </x:c>
      <x:c r="R7" s="20" t="str">
        <x:v>Equivalências dependem da curva DI futura e inflação implícita da data-base; a curva datada não foi obtida. Taxa contratada permanece documentada.</x:v>
      </x:c>
    </x:row>
    <x:row r="8">
      <x:c r="A8" s="20" t="str">
        <x:v>FIDC_I</x:v>
      </x:c>
      <x:c r="B8" s="20" t="str">
        <x:v>Subordinada Mezanino 1 | Série 1</x:v>
      </x:c>
      <x:c r="C8" s="25" t="n">
        <x:v>8246909.739938952</x:v>
      </x:c>
      <x:c r="D8" s="20" t="str">
        <x:v>n/d</x:v>
      </x:c>
      <x:c r="E8" s="20" t="str">
        <x:v>n/d</x:v>
      </x:c>
      <x:c r="F8" s="20" t="str">
        <x:v>n/d</x:v>
      </x:c>
      <x:c r="G8" s="20" t="str">
        <x:v>n/d</x:v>
      </x:c>
      <x:c r="H8" s="27" t="str">
        <x:v>n/d</x:v>
      </x:c>
      <x:c r="I8" s="20" t="str">
        <x:v>n/d</x:v>
      </x:c>
      <x:c r="J8" s="20" t="str">
        <x:v>n/d</x:v>
      </x:c>
      <x:c r="K8" s="20" t="str">
        <x:v>n/d</x:v>
      </x:c>
      <x:c r="L8" s="27" t="str">
        <x:v>n/d</x:v>
      </x:c>
      <x:c r="M8" s="27" t="str">
        <x:v>n/d</x:v>
      </x:c>
      <x:c r="N8" s="27" t="str">
        <x:v>n/d</x:v>
      </x:c>
      <x:c r="O8" s="21" t="n">
        <x:v>46256</x:v>
      </x:c>
      <x:c r="P8" s="20" t="str">
        <x:v>CVM_FIDC_202607_X2</x:v>
      </x:c>
      <x:c r="Q8" s="20" t="str">
        <x:v>n/d</x:v>
      </x:c>
      <x:c r="R8" s="20" t="str">
        <x:v>Equivalências dependem da curva DI futura e inflação implícita da data-base; a curva datada não foi obtida. Taxa contratada permanece documentada.</x:v>
      </x:c>
    </x:row>
    <x:row r="9">
      <x:c r="A9" s="20" t="str">
        <x:v>FIDC_I</x:v>
      </x:c>
      <x:c r="B9" s="20" t="str">
        <x:v>Subordinada Mezanino 1 | Série 2</x:v>
      </x:c>
      <x:c r="C9" s="25" t="n">
        <x:v>18959075.83987251</x:v>
      </x:c>
      <x:c r="D9" s="20" t="str">
        <x:v>n/d</x:v>
      </x:c>
      <x:c r="E9" s="20" t="str">
        <x:v>n/d</x:v>
      </x:c>
      <x:c r="F9" s="20" t="str">
        <x:v>n/d</x:v>
      </x:c>
      <x:c r="G9" s="20" t="str">
        <x:v>n/d</x:v>
      </x:c>
      <x:c r="H9" s="27" t="str">
        <x:v>n/d</x:v>
      </x:c>
      <x:c r="I9" s="20" t="str">
        <x:v>n/d</x:v>
      </x:c>
      <x:c r="J9" s="20" t="str">
        <x:v>n/d</x:v>
      </x:c>
      <x:c r="K9" s="20" t="str">
        <x:v>n/d</x:v>
      </x:c>
      <x:c r="L9" s="27" t="str">
        <x:v>n/d</x:v>
      </x:c>
      <x:c r="M9" s="27" t="str">
        <x:v>n/d</x:v>
      </x:c>
      <x:c r="N9" s="27" t="str">
        <x:v>n/d</x:v>
      </x:c>
      <x:c r="O9" s="21" t="n">
        <x:v>46256</x:v>
      </x:c>
      <x:c r="P9" s="20" t="str">
        <x:v>CVM_FIDC_202607_X2</x:v>
      </x:c>
      <x:c r="Q9" s="20" t="str">
        <x:v>n/d</x:v>
      </x:c>
      <x:c r="R9" s="20" t="str">
        <x:v>Equivalências dependem da curva DI futura e inflação implícita da data-base; a curva datada não foi obtida. Taxa contratada permanece documentada.</x:v>
      </x:c>
    </x:row>
    <x:row r="10">
      <x:c r="A10" s="20" t="str">
        <x:v>FIDC_II</x:v>
      </x:c>
      <x:c r="B10" s="20" t="str">
        <x:v>Senior Série 1</x:v>
      </x:c>
      <x:c r="C10" s="25" t="n">
        <x:v>64943056.81</x:v>
      </x:c>
      <x:c r="D10" s="20" t="str">
        <x:v>n/d</x:v>
      </x:c>
      <x:c r="E10" s="20" t="str">
        <x:v>n/d</x:v>
      </x:c>
      <x:c r="F10" s="20" t="str">
        <x:v>n/d</x:v>
      </x:c>
      <x:c r="G10" s="20" t="str">
        <x:v>n/d</x:v>
      </x:c>
      <x:c r="H10" s="27" t="str">
        <x:v>n/d</x:v>
      </x:c>
      <x:c r="I10" s="20" t="str">
        <x:v>n/d</x:v>
      </x:c>
      <x:c r="J10" s="20" t="str">
        <x:v>n/d</x:v>
      </x:c>
      <x:c r="K10" s="20" t="str">
        <x:v>n/d</x:v>
      </x:c>
      <x:c r="L10" s="27" t="str">
        <x:v>n/d</x:v>
      </x:c>
      <x:c r="M10" s="27" t="str">
        <x:v>n/d</x:v>
      </x:c>
      <x:c r="N10" s="27" t="str">
        <x:v>n/d</x:v>
      </x:c>
      <x:c r="O10" s="21" t="n">
        <x:v>46256</x:v>
      </x:c>
      <x:c r="P10" s="20" t="str">
        <x:v>CVM_FIDC_202607_X2</x:v>
      </x:c>
      <x:c r="Q10" s="20" t="str">
        <x:v>n/d</x:v>
      </x:c>
      <x:c r="R10" s="20" t="str">
        <x:v>Equivalências dependem da curva DI futura e inflação implícita da data-base; a curva datada não foi obtida. Taxa contratada permanece documentada.</x:v>
      </x:c>
    </x:row>
    <x:row r="11">
      <x:c r="A11" s="20" t="str">
        <x:v>FIDC_II</x:v>
      </x:c>
      <x:c r="B11" s="20" t="str">
        <x:v>Senior Série 2</x:v>
      </x:c>
      <x:c r="C11" s="25" t="n">
        <x:v>3649785.4304</x:v>
      </x:c>
      <x:c r="D11" s="20" t="str">
        <x:v>n/d</x:v>
      </x:c>
      <x:c r="E11" s="20" t="str">
        <x:v>n/d</x:v>
      </x:c>
      <x:c r="F11" s="20" t="str">
        <x:v>n/d</x:v>
      </x:c>
      <x:c r="G11" s="20" t="str">
        <x:v>n/d</x:v>
      </x:c>
      <x:c r="H11" s="27" t="str">
        <x:v>n/d</x:v>
      </x:c>
      <x:c r="I11" s="20" t="str">
        <x:v>n/d</x:v>
      </x:c>
      <x:c r="J11" s="20" t="str">
        <x:v>n/d</x:v>
      </x:c>
      <x:c r="K11" s="20" t="str">
        <x:v>n/d</x:v>
      </x:c>
      <x:c r="L11" s="27" t="str">
        <x:v>n/d</x:v>
      </x:c>
      <x:c r="M11" s="27" t="str">
        <x:v>n/d</x:v>
      </x:c>
      <x:c r="N11" s="27" t="str">
        <x:v>n/d</x:v>
      </x:c>
      <x:c r="O11" s="21" t="n">
        <x:v>46256</x:v>
      </x:c>
      <x:c r="P11" s="20" t="str">
        <x:v>CVM_FIDC_202607_X2</x:v>
      </x:c>
      <x:c r="Q11" s="20" t="str">
        <x:v>n/d</x:v>
      </x:c>
      <x:c r="R11" s="20" t="str">
        <x:v>Equivalências dependem da curva DI futura e inflação implícita da data-base; a curva datada não foi obtida. Taxa contratada permanece documentada.</x:v>
      </x:c>
    </x:row>
    <x:row r="12">
      <x:c r="A12" s="20" t="str">
        <x:v>FIDC_II</x:v>
      </x:c>
      <x:c r="B12" s="20" t="str">
        <x:v>Subordinada Mezanino 1 | Série 1</x:v>
      </x:c>
      <x:c r="C12" s="25" t="n">
        <x:v>13637694.52</x:v>
      </x:c>
      <x:c r="D12" s="20" t="str">
        <x:v>n/d</x:v>
      </x:c>
      <x:c r="E12" s="20" t="str">
        <x:v>n/d</x:v>
      </x:c>
      <x:c r="F12" s="20" t="str">
        <x:v>n/d</x:v>
      </x:c>
      <x:c r="G12" s="20" t="str">
        <x:v>n/d</x:v>
      </x:c>
      <x:c r="H12" s="27" t="str">
        <x:v>n/d</x:v>
      </x:c>
      <x:c r="I12" s="20" t="str">
        <x:v>n/d</x:v>
      </x:c>
      <x:c r="J12" s="20" t="str">
        <x:v>n/d</x:v>
      </x:c>
      <x:c r="K12" s="20" t="str">
        <x:v>n/d</x:v>
      </x:c>
      <x:c r="L12" s="27" t="str">
        <x:v>n/d</x:v>
      </x:c>
      <x:c r="M12" s="27" t="str">
        <x:v>n/d</x:v>
      </x:c>
      <x:c r="N12" s="27" t="str">
        <x:v>n/d</x:v>
      </x:c>
      <x:c r="O12" s="21" t="n">
        <x:v>46256</x:v>
      </x:c>
      <x:c r="P12" s="20" t="str">
        <x:v>CVM_FIDC_202607_X2</x:v>
      </x:c>
      <x:c r="Q12" s="20" t="str">
        <x:v>n/d</x:v>
      </x:c>
      <x:c r="R12" s="20" t="str">
        <x:v>Equivalências dependem da curva DI futura e inflação implícita da data-base; a curva datada não foi obtida. Taxa contratada permanece documentada.</x:v>
      </x:c>
    </x:row>
    <x:row r="13">
      <x:c r="A13" s="20" t="str">
        <x:v>FIDC_II</x:v>
      </x:c>
      <x:c r="B13" s="20" t="str">
        <x:v>Subordinada Mezanino 1 | Série 2</x:v>
      </x:c>
      <x:c r="C13" s="25" t="n">
        <x:v>358150.06</x:v>
      </x:c>
      <x:c r="D13" s="20" t="str">
        <x:v>n/d</x:v>
      </x:c>
      <x:c r="E13" s="20" t="str">
        <x:v>n/d</x:v>
      </x:c>
      <x:c r="F13" s="20" t="str">
        <x:v>n/d</x:v>
      </x:c>
      <x:c r="G13" s="20" t="str">
        <x:v>n/d</x:v>
      </x:c>
      <x:c r="H13" s="27" t="str">
        <x:v>n/d</x:v>
      </x:c>
      <x:c r="I13" s="20" t="str">
        <x:v>n/d</x:v>
      </x:c>
      <x:c r="J13" s="20" t="str">
        <x:v>n/d</x:v>
      </x:c>
      <x:c r="K13" s="20" t="str">
        <x:v>n/d</x:v>
      </x:c>
      <x:c r="L13" s="27" t="str">
        <x:v>n/d</x:v>
      </x:c>
      <x:c r="M13" s="27" t="str">
        <x:v>n/d</x:v>
      </x:c>
      <x:c r="N13" s="27" t="str">
        <x:v>n/d</x:v>
      </x:c>
      <x:c r="O13" s="21" t="n">
        <x:v>46256</x:v>
      </x:c>
      <x:c r="P13" s="20" t="str">
        <x:v>CVM_FIDC_202607_X2</x:v>
      </x:c>
      <x:c r="Q13" s="20" t="str">
        <x:v>n/d</x:v>
      </x:c>
      <x:c r="R13" s="20" t="str">
        <x:v>Equivalências dependem da curva DI futura e inflação implícita da data-base; a curva datada não foi obtida. Taxa contratada permanece documentada.</x:v>
      </x:c>
    </x:row>
    <x:row r="14">
      <x:c r="A14" s="20" t="str">
        <x:v>FIDC_II</x:v>
      </x:c>
      <x:c r="B14" s="20" t="str">
        <x:v>Subordinada Subordinada 1 |</x:v>
      </x:c>
      <x:c r="C14" s="25" t="n">
        <x:v>11545811.041128492</x:v>
      </x:c>
      <x:c r="D14" s="20" t="str">
        <x:v>n/d</x:v>
      </x:c>
      <x:c r="E14" s="20" t="str">
        <x:v>n/d</x:v>
      </x:c>
      <x:c r="F14" s="20" t="str">
        <x:v>n/d</x:v>
      </x:c>
      <x:c r="G14" s="20" t="str">
        <x:v>n/d</x:v>
      </x:c>
      <x:c r="H14" s="27" t="str">
        <x:v>n/d</x:v>
      </x:c>
      <x:c r="I14" s="20" t="str">
        <x:v>n/d</x:v>
      </x:c>
      <x:c r="J14" s="20" t="str">
        <x:v>n/d</x:v>
      </x:c>
      <x:c r="K14" s="20" t="str">
        <x:v>n/d</x:v>
      </x:c>
      <x:c r="L14" s="27" t="str">
        <x:v>n/d</x:v>
      </x:c>
      <x:c r="M14" s="27" t="str">
        <x:v>n/d</x:v>
      </x:c>
      <x:c r="N14" s="27" t="str">
        <x:v>n/d</x:v>
      </x:c>
      <x:c r="O14" s="21" t="n">
        <x:v>46256</x:v>
      </x:c>
      <x:c r="P14" s="20" t="str">
        <x:v>CVM_FIDC_202607_X2</x:v>
      </x:c>
      <x:c r="Q14" s="20" t="str">
        <x:v>n/d</x:v>
      </x:c>
      <x:c r="R14" s="20" t="str">
        <x:v>Equivalências dependem da curva DI futura e inflação implícita da data-base; a curva datada não foi obtida. Taxa contratada permanece documentada.</x:v>
      </x:c>
    </x:row>
    <x:row r="15">
      <x:c r="A15" s="20" t="str">
        <x:v>FIDC_III</x:v>
      </x:c>
      <x:c r="B15" s="20" t="str">
        <x:v>Senior Série 1</x:v>
      </x:c>
      <x:c r="C15" s="25" t="n">
        <x:v>94256079.06875</x:v>
      </x:c>
      <x:c r="D15" s="20" t="str">
        <x:v>n/d</x:v>
      </x:c>
      <x:c r="E15" s="20" t="str">
        <x:v>n/d</x:v>
      </x:c>
      <x:c r="F15" s="20" t="str">
        <x:v>n/d</x:v>
      </x:c>
      <x:c r="G15" s="20" t="str">
        <x:v>n/d</x:v>
      </x:c>
      <x:c r="H15" s="27" t="str">
        <x:v>n/d</x:v>
      </x:c>
      <x:c r="I15" s="20" t="str">
        <x:v>n/d</x:v>
      </x:c>
      <x:c r="J15" s="20" t="str">
        <x:v>n/d</x:v>
      </x:c>
      <x:c r="K15" s="20" t="str">
        <x:v>n/d</x:v>
      </x:c>
      <x:c r="L15" s="27" t="str">
        <x:v>n/d</x:v>
      </x:c>
      <x:c r="M15" s="27" t="str">
        <x:v>n/d</x:v>
      </x:c>
      <x:c r="N15" s="27" t="str">
        <x:v>n/d</x:v>
      </x:c>
      <x:c r="O15" s="21" t="n">
        <x:v>46256</x:v>
      </x:c>
      <x:c r="P15" s="20" t="str">
        <x:v>CVM_FIDC_202607_X2</x:v>
      </x:c>
      <x:c r="Q15" s="20" t="str">
        <x:v>n/d</x:v>
      </x:c>
      <x:c r="R15" s="20" t="str">
        <x:v>Equivalências dependem da curva DI futura e inflação implícita da data-base; a curva datada não foi obtida. Taxa contratada permanece documentada.</x:v>
      </x:c>
    </x:row>
    <x:row r="16">
      <x:c r="A16" s="20" t="str">
        <x:v>FIDC_III</x:v>
      </x:c>
      <x:c r="B16" s="20" t="str">
        <x:v>Subordinada Subordinada 1 |</x:v>
      </x:c>
      <x:c r="C16" s="25" t="n">
        <x:v>17229406.709922303</x:v>
      </x:c>
      <x:c r="D16" s="20" t="str">
        <x:v>n/d</x:v>
      </x:c>
      <x:c r="E16" s="20" t="str">
        <x:v>n/d</x:v>
      </x:c>
      <x:c r="F16" s="20" t="str">
        <x:v>n/d</x:v>
      </x:c>
      <x:c r="G16" s="20" t="str">
        <x:v>n/d</x:v>
      </x:c>
      <x:c r="H16" s="27" t="str">
        <x:v>n/d</x:v>
      </x:c>
      <x:c r="I16" s="20" t="str">
        <x:v>n/d</x:v>
      </x:c>
      <x:c r="J16" s="20" t="str">
        <x:v>n/d</x:v>
      </x:c>
      <x:c r="K16" s="20" t="str">
        <x:v>n/d</x:v>
      </x:c>
      <x:c r="L16" s="27" t="str">
        <x:v>n/d</x:v>
      </x:c>
      <x:c r="M16" s="27" t="str">
        <x:v>n/d</x:v>
      </x:c>
      <x:c r="N16" s="27" t="str">
        <x:v>n/d</x:v>
      </x:c>
      <x:c r="O16" s="21" t="n">
        <x:v>46256</x:v>
      </x:c>
      <x:c r="P16" s="20" t="str">
        <x:v>CVM_FIDC_202607_X2</x:v>
      </x:c>
      <x:c r="Q16" s="20" t="str">
        <x:v>n/d</x:v>
      </x:c>
      <x:c r="R16" s="20" t="str">
        <x:v>Equivalências dependem da curva DI futura e inflação implícita da data-base; a curva datada não foi obtida. Taxa contratada permanece documentada.</x:v>
      </x:c>
    </x:row>
    <x:row r="17">
      <x:c r="A17" s="20" t="str">
        <x:v>FIDC_III</x:v>
      </x:c>
      <x:c r="B17" s="20" t="str">
        <x:v>Subordinada Mezanino 1 | Série 1</x:v>
      </x:c>
      <x:c r="C17" s="25" t="n">
        <x:v>21132888.919999998</x:v>
      </x:c>
      <x:c r="D17" s="20" t="str">
        <x:v>n/d</x:v>
      </x:c>
      <x:c r="E17" s="20" t="str">
        <x:v>n/d</x:v>
      </x:c>
      <x:c r="F17" s="20" t="str">
        <x:v>n/d</x:v>
      </x:c>
      <x:c r="G17" s="20" t="str">
        <x:v>n/d</x:v>
      </x:c>
      <x:c r="H17" s="27" t="str">
        <x:v>n/d</x:v>
      </x:c>
      <x:c r="I17" s="20" t="str">
        <x:v>n/d</x:v>
      </x:c>
      <x:c r="J17" s="20" t="str">
        <x:v>n/d</x:v>
      </x:c>
      <x:c r="K17" s="20" t="str">
        <x:v>n/d</x:v>
      </x:c>
      <x:c r="L17" s="27" t="str">
        <x:v>n/d</x:v>
      </x:c>
      <x:c r="M17" s="27" t="str">
        <x:v>n/d</x:v>
      </x:c>
      <x:c r="N17" s="27" t="str">
        <x:v>n/d</x:v>
      </x:c>
      <x:c r="O17" s="21" t="n">
        <x:v>46256</x:v>
      </x:c>
      <x:c r="P17" s="20" t="str">
        <x:v>CVM_FIDC_202607_X2</x:v>
      </x:c>
      <x:c r="Q17" s="20" t="str">
        <x:v>n/d</x:v>
      </x:c>
      <x:c r="R17" s="20" t="str">
        <x:v>Equivalências dependem da curva DI futura e inflação implícita da data-base; a curva datada não foi obtida. Taxa contratada permanece documentada.</x:v>
      </x:c>
    </x:row>
    <x:row r="18">
      <x:c r="A18" s="20" t="str">
        <x:v>FIDC_III</x:v>
      </x:c>
      <x:c r="B18" s="20" t="str">
        <x:v>Subordinada Mezanino 1 | Série 2</x:v>
      </x:c>
      <x:c r="C18" s="25" t="n">
        <x:v>8467880.59</x:v>
      </x:c>
      <x:c r="D18" s="20" t="str">
        <x:v>n/d</x:v>
      </x:c>
      <x:c r="E18" s="20" t="str">
        <x:v>n/d</x:v>
      </x:c>
      <x:c r="F18" s="20" t="str">
        <x:v>n/d</x:v>
      </x:c>
      <x:c r="G18" s="20" t="str">
        <x:v>n/d</x:v>
      </x:c>
      <x:c r="H18" s="27" t="str">
        <x:v>n/d</x:v>
      </x:c>
      <x:c r="I18" s="20" t="str">
        <x:v>n/d</x:v>
      </x:c>
      <x:c r="J18" s="20" t="str">
        <x:v>n/d</x:v>
      </x:c>
      <x:c r="K18" s="20" t="str">
        <x:v>n/d</x:v>
      </x:c>
      <x:c r="L18" s="27" t="str">
        <x:v>n/d</x:v>
      </x:c>
      <x:c r="M18" s="27" t="str">
        <x:v>n/d</x:v>
      </x:c>
      <x:c r="N18" s="27" t="str">
        <x:v>n/d</x:v>
      </x:c>
      <x:c r="O18" s="21" t="n">
        <x:v>46256</x:v>
      </x:c>
      <x:c r="P18" s="20" t="str">
        <x:v>CVM_FIDC_202607_X2</x:v>
      </x:c>
      <x:c r="Q18" s="20" t="str">
        <x:v>n/d</x:v>
      </x:c>
      <x:c r="R18" s="20" t="str">
        <x:v>Equivalências dependem da curva DI futura e inflação implícita da data-base; a curva datada não foi obtida. Taxa contratada permanece documentada.</x:v>
      </x:c>
    </x:row>
    <x:row r="19">
      <x:c r="A19" s="20" t="str">
        <x:v>FIDC_IV</x:v>
      </x:c>
      <x:c r="B19" s="20" t="str">
        <x:v>Senior 1</x:v>
      </x:c>
      <x:c r="C19" s="25" t="n">
        <x:v>17499900.909322884</x:v>
      </x:c>
      <x:c r="D19" s="20" t="str">
        <x:v>n/d</x:v>
      </x:c>
      <x:c r="E19" s="20" t="str">
        <x:v>n/d</x:v>
      </x:c>
      <x:c r="F19" s="20" t="str">
        <x:v>n/d</x:v>
      </x:c>
      <x:c r="G19" s="20" t="str">
        <x:v>n/d</x:v>
      </x:c>
      <x:c r="H19" s="27" t="str">
        <x:v>n/d</x:v>
      </x:c>
      <x:c r="I19" s="20" t="str">
        <x:v>n/d</x:v>
      </x:c>
      <x:c r="J19" s="20" t="str">
        <x:v>n/d</x:v>
      </x:c>
      <x:c r="K19" s="20" t="str">
        <x:v>n/d</x:v>
      </x:c>
      <x:c r="L19" s="27" t="str">
        <x:v>n/d</x:v>
      </x:c>
      <x:c r="M19" s="27" t="str">
        <x:v>n/d</x:v>
      </x:c>
      <x:c r="N19" s="27" t="str">
        <x:v>n/d</x:v>
      </x:c>
      <x:c r="O19" s="21" t="n">
        <x:v>46256</x:v>
      </x:c>
      <x:c r="P19" s="20" t="str">
        <x:v>CVM_FIDC_202607_X2</x:v>
      </x:c>
      <x:c r="Q19" s="20" t="str">
        <x:v>n/d</x:v>
      </x:c>
      <x:c r="R19" s="20" t="str">
        <x:v>Equivalências dependem da curva DI futura e inflação implícita da data-base; a curva datada não foi obtida. Taxa contratada permanece documentada.</x:v>
      </x:c>
    </x:row>
    <x:row r="20">
      <x:c r="A20" s="20" t="str">
        <x:v>FIDC_V</x:v>
      </x:c>
      <x:c r="B20" s="20" t="str">
        <x:v>Senior Série 1</x:v>
      </x:c>
      <x:c r="C20" s="25" t="n">
        <x:v>53414326.570529036</x:v>
      </x:c>
      <x:c r="D20" s="20" t="str">
        <x:v>n/d</x:v>
      </x:c>
      <x:c r="E20" s="20" t="str">
        <x:v>n/d</x:v>
      </x:c>
      <x:c r="F20" s="20" t="str">
        <x:v>n/d</x:v>
      </x:c>
      <x:c r="G20" s="20" t="str">
        <x:v>n/d</x:v>
      </x:c>
      <x:c r="H20" s="27" t="str">
        <x:v>n/d</x:v>
      </x:c>
      <x:c r="I20" s="20" t="str">
        <x:v>n/d</x:v>
      </x:c>
      <x:c r="J20" s="20" t="str">
        <x:v>n/d</x:v>
      </x:c>
      <x:c r="K20" s="20" t="str">
        <x:v>n/d</x:v>
      </x:c>
      <x:c r="L20" s="27" t="str">
        <x:v>n/d</x:v>
      </x:c>
      <x:c r="M20" s="27" t="str">
        <x:v>n/d</x:v>
      </x:c>
      <x:c r="N20" s="27" t="str">
        <x:v>n/d</x:v>
      </x:c>
      <x:c r="O20" s="21" t="n">
        <x:v>46256</x:v>
      </x:c>
      <x:c r="P20" s="20" t="str">
        <x:v>CVM_FIDC_202607_X2</x:v>
      </x:c>
      <x:c r="Q20" s="20" t="str">
        <x:v>n/d</x:v>
      </x:c>
      <x:c r="R20" s="20" t="str">
        <x:v>Equivalências dependem da curva DI futura e inflação implícita da data-base; a curva datada não foi obtida. Taxa contratada permanece documentada.</x:v>
      </x:c>
    </x:row>
    <x:row r="21">
      <x:c r="A21" s="20" t="str">
        <x:v>FIDC_V</x:v>
      </x:c>
      <x:c r="B21" s="20" t="str">
        <x:v>Subordinada Subordinada 1 |</x:v>
      </x:c>
      <x:c r="C21" s="25" t="n">
        <x:v>4982323.29001115</x:v>
      </x:c>
      <x:c r="D21" s="20" t="str">
        <x:v>n/d</x:v>
      </x:c>
      <x:c r="E21" s="20" t="str">
        <x:v>n/d</x:v>
      </x:c>
      <x:c r="F21" s="20" t="str">
        <x:v>n/d</x:v>
      </x:c>
      <x:c r="G21" s="20" t="str">
        <x:v>n/d</x:v>
      </x:c>
      <x:c r="H21" s="27" t="str">
        <x:v>n/d</x:v>
      </x:c>
      <x:c r="I21" s="20" t="str">
        <x:v>n/d</x:v>
      </x:c>
      <x:c r="J21" s="20" t="str">
        <x:v>n/d</x:v>
      </x:c>
      <x:c r="K21" s="20" t="str">
        <x:v>n/d</x:v>
      </x:c>
      <x:c r="L21" s="27" t="str">
        <x:v>n/d</x:v>
      </x:c>
      <x:c r="M21" s="27" t="str">
        <x:v>n/d</x:v>
      </x:c>
      <x:c r="N21" s="27" t="str">
        <x:v>n/d</x:v>
      </x:c>
      <x:c r="O21" s="21" t="n">
        <x:v>46256</x:v>
      </x:c>
      <x:c r="P21" s="20" t="str">
        <x:v>CVM_FIDC_202607_X2</x:v>
      </x:c>
      <x:c r="Q21" s="20" t="str">
        <x:v>n/d</x:v>
      </x:c>
      <x:c r="R21" s="20" t="str">
        <x:v>Equivalências dependem da curva DI futura e inflação implícita da data-base; a curva datada não foi obtida. Taxa contratada permanece documentada.</x:v>
      </x:c>
    </x:row>
    <x:row r="22">
      <x:c r="A22" s="20" t="str">
        <x:v>FIDC_V</x:v>
      </x:c>
      <x:c r="B22" s="20" t="str">
        <x:v>Subordinada Mezanino 1 | Série 1</x:v>
      </x:c>
      <x:c r="C22" s="25" t="n">
        <x:v>9142698.73997136</x:v>
      </x:c>
      <x:c r="D22" s="20" t="str">
        <x:v>n/d</x:v>
      </x:c>
      <x:c r="E22" s="20" t="str">
        <x:v>n/d</x:v>
      </x:c>
      <x:c r="F22" s="20" t="str">
        <x:v>n/d</x:v>
      </x:c>
      <x:c r="G22" s="20" t="str">
        <x:v>n/d</x:v>
      </x:c>
      <x:c r="H22" s="27" t="str">
        <x:v>n/d</x:v>
      </x:c>
      <x:c r="I22" s="20" t="str">
        <x:v>n/d</x:v>
      </x:c>
      <x:c r="J22" s="20" t="str">
        <x:v>n/d</x:v>
      </x:c>
      <x:c r="K22" s="20" t="str">
        <x:v>n/d</x:v>
      </x:c>
      <x:c r="L22" s="27" t="str">
        <x:v>n/d</x:v>
      </x:c>
      <x:c r="M22" s="27" t="str">
        <x:v>n/d</x:v>
      </x:c>
      <x:c r="N22" s="27" t="str">
        <x:v>n/d</x:v>
      </x:c>
      <x:c r="O22" s="21" t="n">
        <x:v>46256</x:v>
      </x:c>
      <x:c r="P22" s="20" t="str">
        <x:v>CVM_FIDC_202607_X2</x:v>
      </x:c>
      <x:c r="Q22" s="20" t="str">
        <x:v>n/d</x:v>
      </x:c>
      <x:c r="R22" s="20" t="str">
        <x:v>Equivalências dependem da curva DI futura e inflação implícita da data-base; a curva datada não foi obtida. Taxa contratada permanece documentada.</x:v>
      </x:c>
    </x:row>
    <x:row r="23">
      <x:c r="A23" s="20" t="str">
        <x:v>FIDC_VI</x:v>
      </x:c>
      <x:c r="B23" s="20" t="str">
        <x:v>Senior Série 1</x:v>
      </x:c>
      <x:c r="C23" s="25" t="n">
        <x:v>140122607.14304927</x:v>
      </x:c>
      <x:c r="D23" s="20" t="str">
        <x:v>n/d</x:v>
      </x:c>
      <x:c r="E23" s="20" t="str">
        <x:v>n/d</x:v>
      </x:c>
      <x:c r="F23" s="20" t="str">
        <x:v>n/d</x:v>
      </x:c>
      <x:c r="G23" s="20" t="str">
        <x:v>n/d</x:v>
      </x:c>
      <x:c r="H23" s="27" t="str">
        <x:v>n/d</x:v>
      </x:c>
      <x:c r="I23" s="20" t="str">
        <x:v>n/d</x:v>
      </x:c>
      <x:c r="J23" s="20" t="str">
        <x:v>n/d</x:v>
      </x:c>
      <x:c r="K23" s="20" t="str">
        <x:v>n/d</x:v>
      </x:c>
      <x:c r="L23" s="27" t="str">
        <x:v>n/d</x:v>
      </x:c>
      <x:c r="M23" s="27" t="str">
        <x:v>n/d</x:v>
      </x:c>
      <x:c r="N23" s="27" t="str">
        <x:v>n/d</x:v>
      </x:c>
      <x:c r="O23" s="21" t="n">
        <x:v>46256</x:v>
      </x:c>
      <x:c r="P23" s="20" t="str">
        <x:v>CVM_FIDC_202607_X2</x:v>
      </x:c>
      <x:c r="Q23" s="20" t="str">
        <x:v>n/d</x:v>
      </x:c>
      <x:c r="R23" s="20" t="str">
        <x:v>Equivalências dependem da curva DI futura e inflação implícita da data-base; a curva datada não foi obtida. Taxa contratada permanece documentada.</x:v>
      </x:c>
    </x:row>
    <x:row r="24">
      <x:c r="A24" s="20" t="str">
        <x:v>FIDC_VI</x:v>
      </x:c>
      <x:c r="B24" s="20" t="str">
        <x:v>Subordinada Subordinada 1 |</x:v>
      </x:c>
      <x:c r="C24" s="25" t="n">
        <x:v>31546685.779855285</x:v>
      </x:c>
      <x:c r="D24" s="20" t="str">
        <x:v>n/d</x:v>
      </x:c>
      <x:c r="E24" s="20" t="str">
        <x:v>n/d</x:v>
      </x:c>
      <x:c r="F24" s="20" t="str">
        <x:v>n/d</x:v>
      </x:c>
      <x:c r="G24" s="20" t="str">
        <x:v>n/d</x:v>
      </x:c>
      <x:c r="H24" s="27" t="str">
        <x:v>n/d</x:v>
      </x:c>
      <x:c r="I24" s="20" t="str">
        <x:v>n/d</x:v>
      </x:c>
      <x:c r="J24" s="20" t="str">
        <x:v>n/d</x:v>
      </x:c>
      <x:c r="K24" s="20" t="str">
        <x:v>n/d</x:v>
      </x:c>
      <x:c r="L24" s="27" t="str">
        <x:v>n/d</x:v>
      </x:c>
      <x:c r="M24" s="27" t="str">
        <x:v>n/d</x:v>
      </x:c>
      <x:c r="N24" s="27" t="str">
        <x:v>n/d</x:v>
      </x:c>
      <x:c r="O24" s="21" t="n">
        <x:v>46256</x:v>
      </x:c>
      <x:c r="P24" s="20" t="str">
        <x:v>CVM_FIDC_202607_X2</x:v>
      </x:c>
      <x:c r="Q24" s="20" t="str">
        <x:v>n/d</x:v>
      </x:c>
      <x:c r="R24" s="20" t="str">
        <x:v>Equivalências dependem da curva DI futura e inflação implícita da data-base; a curva datada não foi obtida. Taxa contratada permanece documentada.</x:v>
      </x:c>
    </x:row>
    <x:row r="25">
      <x:c r="A25" s="20" t="str">
        <x:v>FIDC_VI</x:v>
      </x:c>
      <x:c r="B25" s="20" t="str">
        <x:v>Subordinada Mezanino 1 | Série 1</x:v>
      </x:c>
      <x:c r="C25" s="25" t="n">
        <x:v>28149052.760294303</x:v>
      </x:c>
      <x:c r="D25" s="20" t="str">
        <x:v>n/d</x:v>
      </x:c>
      <x:c r="E25" s="20" t="str">
        <x:v>n/d</x:v>
      </x:c>
      <x:c r="F25" s="20" t="str">
        <x:v>n/d</x:v>
      </x:c>
      <x:c r="G25" s="20" t="str">
        <x:v>n/d</x:v>
      </x:c>
      <x:c r="H25" s="27" t="str">
        <x:v>n/d</x:v>
      </x:c>
      <x:c r="I25" s="20" t="str">
        <x:v>n/d</x:v>
      </x:c>
      <x:c r="J25" s="20" t="str">
        <x:v>n/d</x:v>
      </x:c>
      <x:c r="K25" s="20" t="str">
        <x:v>n/d</x:v>
      </x:c>
      <x:c r="L25" s="27" t="str">
        <x:v>n/d</x:v>
      </x:c>
      <x:c r="M25" s="27" t="str">
        <x:v>n/d</x:v>
      </x:c>
      <x:c r="N25" s="27" t="str">
        <x:v>n/d</x:v>
      </x:c>
      <x:c r="O25" s="21" t="n">
        <x:v>46256</x:v>
      </x:c>
      <x:c r="P25" s="20" t="str">
        <x:v>CVM_FIDC_202607_X2</x:v>
      </x:c>
      <x:c r="Q25" s="20" t="str">
        <x:v>n/d</x:v>
      </x:c>
      <x:c r="R25" s="20" t="str">
        <x:v>Equivalências dependem da curva DI futura e inflação implícita da data-base; a curva datada não foi obtida. Taxa contratada permanece documentada.</x:v>
      </x:c>
    </x:row>
    <x:row r="26">
      <x:c r="A26" s="20" t="str">
        <x:v>FIDC_VI</x:v>
      </x:c>
      <x:c r="B26" s="20" t="str">
        <x:v>Subordinada Mezanino 2 | Série 1</x:v>
      </x:c>
      <x:c r="C26" s="25" t="n">
        <x:v>11298715.81003567</x:v>
      </x:c>
      <x:c r="D26" s="20" t="str">
        <x:v>n/d</x:v>
      </x:c>
      <x:c r="E26" s="20" t="str">
        <x:v>n/d</x:v>
      </x:c>
      <x:c r="F26" s="20" t="str">
        <x:v>n/d</x:v>
      </x:c>
      <x:c r="G26" s="20" t="str">
        <x:v>n/d</x:v>
      </x:c>
      <x:c r="H26" s="27" t="str">
        <x:v>n/d</x:v>
      </x:c>
      <x:c r="I26" s="20" t="str">
        <x:v>n/d</x:v>
      </x:c>
      <x:c r="J26" s="20" t="str">
        <x:v>n/d</x:v>
      </x:c>
      <x:c r="K26" s="20" t="str">
        <x:v>n/d</x:v>
      </x:c>
      <x:c r="L26" s="27" t="str">
        <x:v>n/d</x:v>
      </x:c>
      <x:c r="M26" s="27" t="str">
        <x:v>n/d</x:v>
      </x:c>
      <x:c r="N26" s="27" t="str">
        <x:v>n/d</x:v>
      </x:c>
      <x:c r="O26" s="21" t="n">
        <x:v>46256</x:v>
      </x:c>
      <x:c r="P26" s="20" t="str">
        <x:v>CVM_FIDC_202607_X2</x:v>
      </x:c>
      <x:c r="Q26" s="20" t="str">
        <x:v>n/d</x:v>
      </x:c>
      <x:c r="R26" s="20" t="str">
        <x:v>Equivalências dependem da curva DI futura e inflação implícita da data-base; a curva datada não foi obtida. Taxa contratada permanece documentada.</x:v>
      </x:c>
    </x:row>
    <x:row r="27">
      <x:c r="A27" s="20" t="str">
        <x:v>FIDC_VII</x:v>
      </x:c>
      <x:c r="B27" s="20" t="str">
        <x:v>Senior Série 1</x:v>
      </x:c>
      <x:c r="C27" s="25" t="n">
        <x:v>458534164.8906379</x:v>
      </x:c>
      <x:c r="D27" s="20" t="str">
        <x:v>n/d</x:v>
      </x:c>
      <x:c r="E27" s="20" t="str">
        <x:v>n/d</x:v>
      </x:c>
      <x:c r="F27" s="20" t="str">
        <x:v>n/d</x:v>
      </x:c>
      <x:c r="G27" s="20" t="str">
        <x:v>n/d</x:v>
      </x:c>
      <x:c r="H27" s="27" t="str">
        <x:v>n/d</x:v>
      </x:c>
      <x:c r="I27" s="20" t="str">
        <x:v>n/d</x:v>
      </x:c>
      <x:c r="J27" s="20" t="str">
        <x:v>n/d</x:v>
      </x:c>
      <x:c r="K27" s="20" t="str">
        <x:v>n/d</x:v>
      </x:c>
      <x:c r="L27" s="27" t="str">
        <x:v>n/d</x:v>
      </x:c>
      <x:c r="M27" s="27" t="str">
        <x:v>n/d</x:v>
      </x:c>
      <x:c r="N27" s="27" t="str">
        <x:v>n/d</x:v>
      </x:c>
      <x:c r="O27" s="21" t="n">
        <x:v>46256</x:v>
      </x:c>
      <x:c r="P27" s="20" t="str">
        <x:v>CVM_FIDC_202607_X2</x:v>
      </x:c>
      <x:c r="Q27" s="20" t="str">
        <x:v>n/d</x:v>
      </x:c>
      <x:c r="R27" s="20" t="str">
        <x:v>Equivalências dependem da curva DI futura e inflação implícita da data-base; a curva datada não foi obtida. Taxa contratada permanece documentada.</x:v>
      </x:c>
    </x:row>
    <x:row r="28">
      <x:c r="A28" s="20" t="str">
        <x:v>FIDC_VII</x:v>
      </x:c>
      <x:c r="B28" s="20" t="str">
        <x:v>Subordinada Mezanino 1 | Série 1</x:v>
      </x:c>
      <x:c r="C28" s="25" t="n">
        <x:v>91855704.87008367</x:v>
      </x:c>
      <x:c r="D28" s="20" t="str">
        <x:v>n/d</x:v>
      </x:c>
      <x:c r="E28" s="20" t="str">
        <x:v>n/d</x:v>
      </x:c>
      <x:c r="F28" s="20" t="str">
        <x:v>n/d</x:v>
      </x:c>
      <x:c r="G28" s="20" t="str">
        <x:v>n/d</x:v>
      </x:c>
      <x:c r="H28" s="27" t="str">
        <x:v>n/d</x:v>
      </x:c>
      <x:c r="I28" s="20" t="str">
        <x:v>n/d</x:v>
      </x:c>
      <x:c r="J28" s="20" t="str">
        <x:v>n/d</x:v>
      </x:c>
      <x:c r="K28" s="20" t="str">
        <x:v>n/d</x:v>
      </x:c>
      <x:c r="L28" s="27" t="str">
        <x:v>n/d</x:v>
      </x:c>
      <x:c r="M28" s="27" t="str">
        <x:v>n/d</x:v>
      </x:c>
      <x:c r="N28" s="27" t="str">
        <x:v>n/d</x:v>
      </x:c>
      <x:c r="O28" s="21" t="n">
        <x:v>46256</x:v>
      </x:c>
      <x:c r="P28" s="20" t="str">
        <x:v>CVM_FIDC_202607_X2</x:v>
      </x:c>
      <x:c r="Q28" s="20" t="str">
        <x:v>n/d</x:v>
      </x:c>
      <x:c r="R28" s="20" t="str">
        <x:v>Equivalências dependem da curva DI futura e inflação implícita da data-base; a curva datada não foi obtida. Taxa contratada permanece documentada.</x:v>
      </x:c>
    </x:row>
    <x:row r="29">
      <x:c r="A29" s="20" t="str">
        <x:v>FIDC_VII</x:v>
      </x:c>
      <x:c r="B29" s="20" t="str">
        <x:v>Subordinada Mezanino 2 | Série 1</x:v>
      </x:c>
      <x:c r="C29" s="25" t="n">
        <x:v>36852012.199839145</x:v>
      </x:c>
      <x:c r="D29" s="20" t="str">
        <x:v>n/d</x:v>
      </x:c>
      <x:c r="E29" s="20" t="str">
        <x:v>n/d</x:v>
      </x:c>
      <x:c r="F29" s="20" t="str">
        <x:v>n/d</x:v>
      </x:c>
      <x:c r="G29" s="20" t="str">
        <x:v>n/d</x:v>
      </x:c>
      <x:c r="H29" s="27" t="str">
        <x:v>n/d</x:v>
      </x:c>
      <x:c r="I29" s="20" t="str">
        <x:v>n/d</x:v>
      </x:c>
      <x:c r="J29" s="20" t="str">
        <x:v>n/d</x:v>
      </x:c>
      <x:c r="K29" s="20" t="str">
        <x:v>n/d</x:v>
      </x:c>
      <x:c r="L29" s="27" t="str">
        <x:v>n/d</x:v>
      </x:c>
      <x:c r="M29" s="27" t="str">
        <x:v>n/d</x:v>
      </x:c>
      <x:c r="N29" s="27" t="str">
        <x:v>n/d</x:v>
      </x:c>
      <x:c r="O29" s="21" t="n">
        <x:v>46256</x:v>
      </x:c>
      <x:c r="P29" s="20" t="str">
        <x:v>CVM_FIDC_202607_X2</x:v>
      </x:c>
      <x:c r="Q29" s="20" t="str">
        <x:v>n/d</x:v>
      </x:c>
      <x:c r="R29" s="20" t="str">
        <x:v>Equivalências dependem da curva DI futura e inflação implícita da data-base; a curva datada não foi obtida. Taxa contratada permanece documentada.</x:v>
      </x:c>
    </x:row>
    <x:row r="30">
      <x:c r="A30" s="20" t="str">
        <x:v>FIDC_VII</x:v>
      </x:c>
      <x:c r="B30" s="20" t="str">
        <x:v>Subordinada Subordinada 1 |</x:v>
      </x:c>
      <x:c r="C30" s="25" t="n">
        <x:v>32385570.000069797</x:v>
      </x:c>
      <x:c r="D30" s="20" t="str">
        <x:v>n/d</x:v>
      </x:c>
      <x:c r="E30" s="20" t="str">
        <x:v>n/d</x:v>
      </x:c>
      <x:c r="F30" s="20" t="str">
        <x:v>n/d</x:v>
      </x:c>
      <x:c r="G30" s="20" t="str">
        <x:v>n/d</x:v>
      </x:c>
      <x:c r="H30" s="27" t="str">
        <x:v>n/d</x:v>
      </x:c>
      <x:c r="I30" s="20" t="str">
        <x:v>n/d</x:v>
      </x:c>
      <x:c r="J30" s="20" t="str">
        <x:v>n/d</x:v>
      </x:c>
      <x:c r="K30" s="20" t="str">
        <x:v>n/d</x:v>
      </x:c>
      <x:c r="L30" s="27" t="str">
        <x:v>n/d</x:v>
      </x:c>
      <x:c r="M30" s="27" t="str">
        <x:v>n/d</x:v>
      </x:c>
      <x:c r="N30" s="27" t="str">
        <x:v>n/d</x:v>
      </x:c>
      <x:c r="O30" s="21" t="n">
        <x:v>46256</x:v>
      </x:c>
      <x:c r="P30" s="20" t="str">
        <x:v>CVM_FIDC_202607_X2</x:v>
      </x:c>
      <x:c r="Q30" s="20" t="str">
        <x:v>n/d</x:v>
      </x:c>
      <x:c r="R30" s="20" t="str">
        <x:v>Equivalências dependem da curva DI futura e inflação implícita da data-base; a curva datada não foi obtida. Taxa contratada permanece documentada.</x:v>
      </x:c>
    </x:row>
    <x:row r="31">
      <x:c r="A31" s="20" t="str">
        <x:v>CRI_K1</x:v>
      </x:c>
      <x:c r="B31" s="20" t="str">
        <x:v>Série 1</x:v>
      </x:c>
      <x:c r="C31" s="25" t="str">
        <x:v>n/d</x:v>
      </x:c>
      <x:c r="D31" s="20" t="str">
        <x:v>Pré</x:v>
      </x:c>
      <x:c r="E31" s="20" t="str">
        <x:v>11,51% a.a.</x:v>
      </x:c>
      <x:c r="F31" s="20" t="str">
        <x:v>n/d</x:v>
      </x:c>
      <x:c r="G31" s="20" t="str">
        <x:v>n/d</x:v>
      </x:c>
      <x:c r="H31" s="27" t="str">
        <x:v>n/d</x:v>
      </x:c>
      <x:c r="I31" s="20" t="str">
        <x:v>n/d</x:v>
      </x:c>
      <x:c r="J31" s="20" t="str">
        <x:v>n/d</x:v>
      </x:c>
      <x:c r="K31" s="20" t="str">
        <x:v>n/d</x:v>
      </x:c>
      <x:c r="L31" s="27" t="str">
        <x:v>n/d</x:v>
      </x:c>
      <x:c r="M31" s="27" t="str">
        <x:v>n/d</x:v>
      </x:c>
      <x:c r="N31" s="27" t="str">
        <x:v>n/d</x:v>
      </x:c>
      <x:c r="O31" s="21" t="n">
        <x:v>46256</x:v>
      </x:c>
      <x:c r="P31" s="20" t="str">
        <x:v>ANX_CRI1_PROSP_20240216 | CVM_FUNDOSNET_TERMOS_CRI_20260822 | CVM_CRI_2026_CLASSE</x:v>
      </x:c>
      <x:c r="Q31" s="20" t="str">
        <x:v>n/d</x:v>
      </x:c>
      <x:c r="R31" s="20" t="str">
        <x:v>Equivalências dependem da curva DI futura e inflação implícita da data-base; a curva datada não foi obtida. Taxa contratada permanece documentada.</x:v>
      </x:c>
    </x:row>
    <x:row r="32">
      <x:c r="A32" s="20" t="str">
        <x:v>CRI_K1</x:v>
      </x:c>
      <x:c r="B32" s="20" t="str">
        <x:v>Série 2</x:v>
      </x:c>
      <x:c r="C32" s="25" t="str">
        <x:v>n/d</x:v>
      </x:c>
      <x:c r="D32" s="20" t="str">
        <x:v>Pré</x:v>
      </x:c>
      <x:c r="E32" s="20" t="str">
        <x:v>12,74% a.a.</x:v>
      </x:c>
      <x:c r="F32" s="20" t="str">
        <x:v>n/d</x:v>
      </x:c>
      <x:c r="G32" s="20" t="str">
        <x:v>n/d</x:v>
      </x:c>
      <x:c r="H32" s="27" t="str">
        <x:v>n/d</x:v>
      </x:c>
      <x:c r="I32" s="20" t="str">
        <x:v>n/d</x:v>
      </x:c>
      <x:c r="J32" s="20" t="str">
        <x:v>n/d</x:v>
      </x:c>
      <x:c r="K32" s="20" t="str">
        <x:v>n/d</x:v>
      </x:c>
      <x:c r="L32" s="27" t="str">
        <x:v>n/d</x:v>
      </x:c>
      <x:c r="M32" s="27" t="str">
        <x:v>n/d</x:v>
      </x:c>
      <x:c r="N32" s="27" t="str">
        <x:v>n/d</x:v>
      </x:c>
      <x:c r="O32" s="21" t="n">
        <x:v>46256</x:v>
      </x:c>
      <x:c r="P32" s="20" t="str">
        <x:v>ANX_CRI1_PROSP_20240216 | CVM_FUNDOSNET_TERMOS_CRI_20260822 | CVM_CRI_2026_CLASSE</x:v>
      </x:c>
      <x:c r="Q32" s="20" t="str">
        <x:v>n/d</x:v>
      </x:c>
      <x:c r="R32" s="20" t="str">
        <x:v>Equivalências dependem da curva DI futura e inflação implícita da data-base; a curva datada não foi obtida. Taxa contratada permanece documentada.</x:v>
      </x:c>
    </x:row>
    <x:row r="33">
      <x:c r="A33" s="20" t="str">
        <x:v>CRI_K1</x:v>
      </x:c>
      <x:c r="B33" s="20" t="str">
        <x:v>Série 3</x:v>
      </x:c>
      <x:c r="C33" s="25" t="str">
        <x:v>n/d</x:v>
      </x:c>
      <x:c r="D33" s="20" t="str">
        <x:v>Pré</x:v>
      </x:c>
      <x:c r="E33" s="20" t="str">
        <x:v>16,48% a.a. (número; extenso 17,48%)</x:v>
      </x:c>
      <x:c r="F33" s="20" t="str">
        <x:v>n/d</x:v>
      </x:c>
      <x:c r="G33" s="20" t="str">
        <x:v>n/d</x:v>
      </x:c>
      <x:c r="H33" s="27" t="str">
        <x:v>n/d</x:v>
      </x:c>
      <x:c r="I33" s="20" t="str">
        <x:v>n/d</x:v>
      </x:c>
      <x:c r="J33" s="20" t="str">
        <x:v>n/d</x:v>
      </x:c>
      <x:c r="K33" s="20" t="str">
        <x:v>n/d</x:v>
      </x:c>
      <x:c r="L33" s="27" t="str">
        <x:v>n/d</x:v>
      </x:c>
      <x:c r="M33" s="27" t="str">
        <x:v>n/d</x:v>
      </x:c>
      <x:c r="N33" s="27" t="str">
        <x:v>n/d</x:v>
      </x:c>
      <x:c r="O33" s="21" t="n">
        <x:v>46256</x:v>
      </x:c>
      <x:c r="P33" s="20" t="str">
        <x:v>ANX_CRI1_PROSP_20240216 | CVM_FUNDOSNET_TERMOS_CRI_20260822 | CVM_CRI_2026_CLASSE</x:v>
      </x:c>
      <x:c r="Q33" s="20" t="str">
        <x:v>n/d</x:v>
      </x:c>
      <x:c r="R33" s="20" t="str">
        <x:v>Equivalências dependem da curva DI futura e inflação implícita da data-base; a curva datada não foi obtida. Taxa contratada permanece documentada.</x:v>
      </x:c>
    </x:row>
    <x:row r="34">
      <x:c r="A34" s="20" t="str">
        <x:v>CRI_K1</x:v>
      </x:c>
      <x:c r="B34" s="20" t="str">
        <x:v>Série 4</x:v>
      </x:c>
      <x:c r="C34" s="25" t="str">
        <x:v>n/d</x:v>
      </x:c>
      <x:c r="D34" s="20" t="str">
        <x:v>Pré</x:v>
      </x:c>
      <x:c r="E34" s="20" t="str">
        <x:v>20,95% a.a.</x:v>
      </x:c>
      <x:c r="F34" s="20" t="str">
        <x:v>n/d</x:v>
      </x:c>
      <x:c r="G34" s="20" t="str">
        <x:v>n/d</x:v>
      </x:c>
      <x:c r="H34" s="27" t="str">
        <x:v>n/d</x:v>
      </x:c>
      <x:c r="I34" s="20" t="str">
        <x:v>n/d</x:v>
      </x:c>
      <x:c r="J34" s="20" t="str">
        <x:v>n/d</x:v>
      </x:c>
      <x:c r="K34" s="20" t="str">
        <x:v>n/d</x:v>
      </x:c>
      <x:c r="L34" s="27" t="str">
        <x:v>n/d</x:v>
      </x:c>
      <x:c r="M34" s="27" t="str">
        <x:v>n/d</x:v>
      </x:c>
      <x:c r="N34" s="27" t="str">
        <x:v>n/d</x:v>
      </x:c>
      <x:c r="O34" s="21" t="n">
        <x:v>46256</x:v>
      </x:c>
      <x:c r="P34" s="20" t="str">
        <x:v>ANX_CRI1_PROSP_20240216 | CVM_FUNDOSNET_TERMOS_CRI_20260822 | CVM_CRI_2026_CLASSE</x:v>
      </x:c>
      <x:c r="Q34" s="20" t="str">
        <x:v>n/d</x:v>
      </x:c>
      <x:c r="R34" s="20" t="str">
        <x:v>Equivalências dependem da curva DI futura e inflação implícita da data-base; a curva datada não foi obtida. Taxa contratada permanece documentada.</x:v>
      </x:c>
    </x:row>
    <x:row r="35">
      <x:c r="A35" s="20" t="str">
        <x:v>CRI_K1</x:v>
      </x:c>
      <x:c r="B35" s="20" t="str">
        <x:v>Série 5</x:v>
      </x:c>
      <x:c r="C35" s="25" t="str">
        <x:v>n/d</x:v>
      </x:c>
      <x:c r="D35" s="20" t="str">
        <x:v>Pré + residual</x:v>
      </x:c>
      <x:c r="E35" s="20" t="str">
        <x:v>9,86% a.a. + prêmio residual</x:v>
      </x:c>
      <x:c r="F35" s="20" t="str">
        <x:v>n/d</x:v>
      </x:c>
      <x:c r="G35" s="20" t="str">
        <x:v>n/d</x:v>
      </x:c>
      <x:c r="H35" s="27" t="str">
        <x:v>n/d</x:v>
      </x:c>
      <x:c r="I35" s="20" t="str">
        <x:v>n/d</x:v>
      </x:c>
      <x:c r="J35" s="20" t="str">
        <x:v>n/d</x:v>
      </x:c>
      <x:c r="K35" s="20" t="str">
        <x:v>n/d</x:v>
      </x:c>
      <x:c r="L35" s="27" t="str">
        <x:v>n/d</x:v>
      </x:c>
      <x:c r="M35" s="27" t="str">
        <x:v>n/d</x:v>
      </x:c>
      <x:c r="N35" s="27" t="str">
        <x:v>n/d</x:v>
      </x:c>
      <x:c r="O35" s="21" t="n">
        <x:v>46256</x:v>
      </x:c>
      <x:c r="P35" s="20" t="str">
        <x:v>ANX_CRI1_PROSP_20240216 | CVM_FUNDOSNET_TERMOS_CRI_20260822 | CVM_CRI_2026_CLASSE</x:v>
      </x:c>
      <x:c r="Q35" s="20" t="str">
        <x:v>n/d</x:v>
      </x:c>
      <x:c r="R35" s="20" t="str">
        <x:v>Equivalências dependem da curva DI futura e inflação implícita da data-base; a curva datada não foi obtida. Taxa contratada permanece documentada.</x:v>
      </x:c>
    </x:row>
    <x:row r="36">
      <x:c r="A36" s="20" t="str">
        <x:v>CRI_K2</x:v>
      </x:c>
      <x:c r="B36" s="20" t="str">
        <x:v>Série 1</x:v>
      </x:c>
      <x:c r="C36" s="25" t="n">
        <x:v>251034895</x:v>
      </x:c>
      <x:c r="D36" s="20" t="str">
        <x:v>Pré</x:v>
      </x:c>
      <x:c r="E36" s="20" t="str">
        <x:v>13,1926% a.a.</x:v>
      </x:c>
      <x:c r="F36" s="20" t="str">
        <x:v>n/d</x:v>
      </x:c>
      <x:c r="G36" s="20" t="str">
        <x:v>n/d</x:v>
      </x:c>
      <x:c r="H36" s="27" t="str">
        <x:v>n/d</x:v>
      </x:c>
      <x:c r="I36" s="20" t="str">
        <x:v>n/d</x:v>
      </x:c>
      <x:c r="J36" s="20" t="str">
        <x:v>n/d</x:v>
      </x:c>
      <x:c r="K36" s="20" t="str">
        <x:v>n/d</x:v>
      </x:c>
      <x:c r="L36" s="27" t="str">
        <x:v>n/d</x:v>
      </x:c>
      <x:c r="M36" s="27" t="str">
        <x:v>n/d</x:v>
      </x:c>
      <x:c r="N36" s="27" t="str">
        <x:v>n/d</x:v>
      </x:c>
      <x:c r="O36" s="21" t="n">
        <x:v>46256</x:v>
      </x:c>
      <x:c r="P36" s="20" t="str">
        <x:v>ANX_CRI2_RATING_202406 | CVM_FUNDOSNET_TERMOS_CRI_20260822 | CVM_CRI_2026_CLASSE</x:v>
      </x:c>
      <x:c r="Q36" s="20" t="str">
        <x:v>n/d</x:v>
      </x:c>
      <x:c r="R36" s="20" t="str">
        <x:v>Equivalências dependem da curva DI futura e inflação implícita da data-base; a curva datada não foi obtida. Taxa contratada permanece documentada.</x:v>
      </x:c>
    </x:row>
    <x:row r="37">
      <x:c r="A37" s="20" t="str">
        <x:v>CRI_K2</x:v>
      </x:c>
      <x:c r="B37" s="20" t="str">
        <x:v>Série 2</x:v>
      </x:c>
      <x:c r="C37" s="25" t="n">
        <x:v>72227698</x:v>
      </x:c>
      <x:c r="D37" s="20" t="str">
        <x:v>Pré</x:v>
      </x:c>
      <x:c r="E37" s="20" t="str">
        <x:v>14,5663% a.a.</x:v>
      </x:c>
      <x:c r="F37" s="20" t="str">
        <x:v>n/d</x:v>
      </x:c>
      <x:c r="G37" s="20" t="str">
        <x:v>n/d</x:v>
      </x:c>
      <x:c r="H37" s="27" t="str">
        <x:v>n/d</x:v>
      </x:c>
      <x:c r="I37" s="20" t="str">
        <x:v>n/d</x:v>
      </x:c>
      <x:c r="J37" s="20" t="str">
        <x:v>n/d</x:v>
      </x:c>
      <x:c r="K37" s="20" t="str">
        <x:v>n/d</x:v>
      </x:c>
      <x:c r="L37" s="27" t="str">
        <x:v>n/d</x:v>
      </x:c>
      <x:c r="M37" s="27" t="str">
        <x:v>n/d</x:v>
      </x:c>
      <x:c r="N37" s="27" t="str">
        <x:v>n/d</x:v>
      </x:c>
      <x:c r="O37" s="21" t="n">
        <x:v>46256</x:v>
      </x:c>
      <x:c r="P37" s="20" t="str">
        <x:v>ANX_CRI2_RATING_202406 | CVM_FUNDOSNET_TERMOS_CRI_20260822 | CVM_CRI_2026_CLASSE</x:v>
      </x:c>
      <x:c r="Q37" s="20" t="str">
        <x:v>n/d</x:v>
      </x:c>
      <x:c r="R37" s="20" t="str">
        <x:v>Equivalências dependem da curva DI futura e inflação implícita da data-base; a curva datada não foi obtida. Taxa contratada permanece documentada.</x:v>
      </x:c>
    </x:row>
    <x:row r="38">
      <x:c r="A38" s="20" t="str">
        <x:v>CRI_K2</x:v>
      </x:c>
      <x:c r="B38" s="20" t="str">
        <x:v>Série 3</x:v>
      </x:c>
      <x:c r="C38" s="25" t="n">
        <x:v>40262437</x:v>
      </x:c>
      <x:c r="D38" s="20" t="str">
        <x:v>DI+</x:v>
      </x:c>
      <x:c r="E38" s="20" t="str">
        <x:v>DI + 6,00% a.a.</x:v>
      </x:c>
      <x:c r="F38" s="20" t="str">
        <x:v>n/d</x:v>
      </x:c>
      <x:c r="G38" s="20" t="str">
        <x:v>n/d</x:v>
      </x:c>
      <x:c r="H38" s="27" t="str">
        <x:v>n/d</x:v>
      </x:c>
      <x:c r="I38" s="20" t="str">
        <x:v>n/d</x:v>
      </x:c>
      <x:c r="J38" s="20" t="str">
        <x:v>n/d</x:v>
      </x:c>
      <x:c r="K38" s="20" t="str">
        <x:v>n/d</x:v>
      </x:c>
      <x:c r="L38" s="27" t="str">
        <x:v>n/d</x:v>
      </x:c>
      <x:c r="M38" s="27" t="str">
        <x:v>n/d</x:v>
      </x:c>
      <x:c r="N38" s="27" t="str">
        <x:v>n/d</x:v>
      </x:c>
      <x:c r="O38" s="21" t="n">
        <x:v>46256</x:v>
      </x:c>
      <x:c r="P38" s="20" t="str">
        <x:v>ANX_CRI2_RATING_202406 | CVM_FUNDOSNET_TERMOS_CRI_20260822 | CVM_CRI_2026_CLASSE</x:v>
      </x:c>
      <x:c r="Q38" s="20" t="str">
        <x:v>n/d</x:v>
      </x:c>
      <x:c r="R38" s="20" t="str">
        <x:v>Equivalências dependem da curva DI futura e inflação implícita da data-base; a curva datada não foi obtida. Taxa contratada permanece documentada.</x:v>
      </x:c>
    </x:row>
    <x:row r="39">
      <x:c r="A39" s="20" t="str">
        <x:v>CRI_K2</x:v>
      </x:c>
      <x:c r="B39" s="20" t="str">
        <x:v>Série 4</x:v>
      </x:c>
      <x:c r="C39" s="25" t="n">
        <x:v>16140523</x:v>
      </x:c>
      <x:c r="D39" s="20" t="str">
        <x:v>DI+</x:v>
      </x:c>
      <x:c r="E39" s="20" t="str">
        <x:v>DI + 10,00% a.a.</x:v>
      </x:c>
      <x:c r="F39" s="20" t="str">
        <x:v>n/d</x:v>
      </x:c>
      <x:c r="G39" s="20" t="str">
        <x:v>n/d</x:v>
      </x:c>
      <x:c r="H39" s="27" t="str">
        <x:v>n/d</x:v>
      </x:c>
      <x:c r="I39" s="20" t="str">
        <x:v>n/d</x:v>
      </x:c>
      <x:c r="J39" s="20" t="str">
        <x:v>n/d</x:v>
      </x:c>
      <x:c r="K39" s="20" t="str">
        <x:v>n/d</x:v>
      </x:c>
      <x:c r="L39" s="27" t="str">
        <x:v>n/d</x:v>
      </x:c>
      <x:c r="M39" s="27" t="str">
        <x:v>n/d</x:v>
      </x:c>
      <x:c r="N39" s="27" t="str">
        <x:v>n/d</x:v>
      </x:c>
      <x:c r="O39" s="21" t="n">
        <x:v>46256</x:v>
      </x:c>
      <x:c r="P39" s="20" t="str">
        <x:v>ANX_CRI2_RATING_202406 | CVM_FUNDOSNET_TERMOS_CRI_20260822 | CVM_CRI_2026_CLASSE</x:v>
      </x:c>
      <x:c r="Q39" s="20" t="str">
        <x:v>n/d</x:v>
      </x:c>
      <x:c r="R39" s="20" t="str">
        <x:v>Equivalências dependem da curva DI futura e inflação implícita da data-base; a curva datada não foi obtida. Taxa contratada permanece documentada.</x:v>
      </x:c>
    </x:row>
    <x:row r="40">
      <x:c r="A40" s="20" t="str">
        <x:v>CRI_K2</x:v>
      </x:c>
      <x:c r="B40" s="20" t="str">
        <x:v>Série 5</x:v>
      </x:c>
      <x:c r="C40" s="25" t="n">
        <x:v>20035464</x:v>
      </x:c>
      <x:c r="D40" s="20" t="str">
        <x:v>Residual</x:v>
      </x:c>
      <x:c r="E40" s="20" t="str">
        <x:v>n/d</x:v>
      </x:c>
      <x:c r="F40" s="20" t="str">
        <x:v>n/d</x:v>
      </x:c>
      <x:c r="G40" s="20" t="str">
        <x:v>n/d</x:v>
      </x:c>
      <x:c r="H40" s="27" t="str">
        <x:v>n/d</x:v>
      </x:c>
      <x:c r="I40" s="20" t="str">
        <x:v>n/d</x:v>
      </x:c>
      <x:c r="J40" s="20" t="str">
        <x:v>n/d</x:v>
      </x:c>
      <x:c r="K40" s="20" t="str">
        <x:v>n/d</x:v>
      </x:c>
      <x:c r="L40" s="27" t="str">
        <x:v>n/d</x:v>
      </x:c>
      <x:c r="M40" s="27" t="str">
        <x:v>n/d</x:v>
      </x:c>
      <x:c r="N40" s="27" t="str">
        <x:v>n/d</x:v>
      </x:c>
      <x:c r="O40" s="21" t="n">
        <x:v>46256</x:v>
      </x:c>
      <x:c r="P40" s="20" t="str">
        <x:v>ANX_CRI2_RATING_202406 | CVM_FUNDOSNET_TERMOS_CRI_20260822 | CVM_CRI_2026_CLASSE</x:v>
      </x:c>
      <x:c r="Q40" s="20" t="str">
        <x:v>n/d</x:v>
      </x:c>
      <x:c r="R40" s="20" t="str">
        <x:v>Equivalências dependem da curva DI futura e inflação implícita da data-base; a curva datada não foi obtida. Taxa contratada permanece documentada.</x:v>
      </x:c>
    </x:row>
    <x:row r="41">
      <x:c r="A41" s="20" t="str">
        <x:v>CRI_K3</x:v>
      </x:c>
      <x:c r="B41" s="20" t="str">
        <x:v>Série 1</x:v>
      </x:c>
      <x:c r="C41" s="25" t="n">
        <x:v>280220422</x:v>
      </x:c>
      <x:c r="D41" s="20" t="str">
        <x:v>Pré</x:v>
      </x:c>
      <x:c r="E41" s="20" t="str">
        <x:v>n/d</x:v>
      </x:c>
      <x:c r="F41" s="20" t="str">
        <x:v>n/d</x:v>
      </x:c>
      <x:c r="G41" s="20" t="str">
        <x:v>n/d</x:v>
      </x:c>
      <x:c r="H41" s="27" t="str">
        <x:v>n/d</x:v>
      </x:c>
      <x:c r="I41" s="20" t="str">
        <x:v>n/d</x:v>
      </x:c>
      <x:c r="J41" s="20" t="str">
        <x:v>n/d</x:v>
      </x:c>
      <x:c r="K41" s="20" t="str">
        <x:v>n/d</x:v>
      </x:c>
      <x:c r="L41" s="27" t="str">
        <x:v>n/d</x:v>
      </x:c>
      <x:c r="M41" s="27" t="str">
        <x:v>n/d</x:v>
      </x:c>
      <x:c r="N41" s="27" t="str">
        <x:v>n/d</x:v>
      </x:c>
      <x:c r="O41" s="21" t="n">
        <x:v>46256</x:v>
      </x:c>
      <x:c r="P41" s="20" t="str">
        <x:v>ANX_CRI3_LAM_PREL_20250422 | CVM_FUNDOSNET_TERMOS_CRI_20260822 | CVM_CRI_2026_CLASSE</x:v>
      </x:c>
      <x:c r="Q41" s="20" t="str">
        <x:v>n/d</x:v>
      </x:c>
      <x:c r="R41" s="20" t="str">
        <x:v>Equivalências dependem da curva DI futura e inflação implícita da data-base; a curva datada não foi obtida. Taxa contratada permanece documentada.</x:v>
      </x:c>
    </x:row>
    <x:row r="42">
      <x:c r="A42" s="20" t="str">
        <x:v>CRI_K3</x:v>
      </x:c>
      <x:c r="B42" s="20" t="str">
        <x:v>Série 2</x:v>
      </x:c>
      <x:c r="C42" s="25" t="n">
        <x:v>91488714</x:v>
      </x:c>
      <x:c r="D42" s="20" t="str">
        <x:v>DI%</x:v>
      </x:c>
      <x:c r="E42" s="20" t="str">
        <x:v>n/d</x:v>
      </x:c>
      <x:c r="F42" s="20" t="str">
        <x:v>n/d</x:v>
      </x:c>
      <x:c r="G42" s="20" t="str">
        <x:v>n/d</x:v>
      </x:c>
      <x:c r="H42" s="27" t="str">
        <x:v>n/d</x:v>
      </x:c>
      <x:c r="I42" s="20" t="str">
        <x:v>n/d</x:v>
      </x:c>
      <x:c r="J42" s="20" t="str">
        <x:v>n/d</x:v>
      </x:c>
      <x:c r="K42" s="20" t="str">
        <x:v>n/d</x:v>
      </x:c>
      <x:c r="L42" s="27" t="str">
        <x:v>n/d</x:v>
      </x:c>
      <x:c r="M42" s="27" t="str">
        <x:v>n/d</x:v>
      </x:c>
      <x:c r="N42" s="27" t="str">
        <x:v>n/d</x:v>
      </x:c>
      <x:c r="O42" s="21" t="n">
        <x:v>46256</x:v>
      </x:c>
      <x:c r="P42" s="20" t="str">
        <x:v>ANX_CRI3_LAM_PREL_20250422 | CVM_FUNDOSNET_TERMOS_CRI_20260822 | CVM_CRI_2026_CLASSE</x:v>
      </x:c>
      <x:c r="Q42" s="20" t="str">
        <x:v>n/d</x:v>
      </x:c>
      <x:c r="R42" s="20" t="str">
        <x:v>Equivalências dependem da curva DI futura e inflação implícita da data-base; a curva datada não foi obtida. Taxa contratada permanece documentada.</x:v>
      </x:c>
    </x:row>
    <x:row r="43">
      <x:c r="A43" s="20" t="str">
        <x:v>CRI_K3</x:v>
      </x:c>
      <x:c r="B43" s="20" t="str">
        <x:v>Série 3</x:v>
      </x:c>
      <x:c r="C43" s="25" t="n">
        <x:v>106260503</x:v>
      </x:c>
      <x:c r="D43" s="20" t="str">
        <x:v>Pré</x:v>
      </x:c>
      <x:c r="E43" s="20" t="str">
        <x:v>n/d</x:v>
      </x:c>
      <x:c r="F43" s="20" t="str">
        <x:v>n/d</x:v>
      </x:c>
      <x:c r="G43" s="20" t="str">
        <x:v>n/d</x:v>
      </x:c>
      <x:c r="H43" s="27" t="str">
        <x:v>n/d</x:v>
      </x:c>
      <x:c r="I43" s="20" t="str">
        <x:v>n/d</x:v>
      </x:c>
      <x:c r="J43" s="20" t="str">
        <x:v>n/d</x:v>
      </x:c>
      <x:c r="K43" s="20" t="str">
        <x:v>n/d</x:v>
      </x:c>
      <x:c r="L43" s="27" t="str">
        <x:v>n/d</x:v>
      </x:c>
      <x:c r="M43" s="27" t="str">
        <x:v>n/d</x:v>
      </x:c>
      <x:c r="N43" s="27" t="str">
        <x:v>n/d</x:v>
      </x:c>
      <x:c r="O43" s="21" t="n">
        <x:v>46256</x:v>
      </x:c>
      <x:c r="P43" s="20" t="str">
        <x:v>ANX_CRI3_LAM_PREL_20250422 | CVM_FUNDOSNET_TERMOS_CRI_20260822 | CVM_CRI_2026_CLASSE</x:v>
      </x:c>
      <x:c r="Q43" s="20" t="str">
        <x:v>n/d</x:v>
      </x:c>
      <x:c r="R43" s="20" t="str">
        <x:v>Equivalências dependem da curva DI futura e inflação implícita da data-base; a curva datada não foi obtida. Taxa contratada permanece documentada.</x:v>
      </x:c>
    </x:row>
    <x:row r="44">
      <x:c r="A44" s="20" t="str">
        <x:v>CRI_K3</x:v>
      </x:c>
      <x:c r="B44" s="20" t="str">
        <x:v>Série 4</x:v>
      </x:c>
      <x:c r="C44" s="25" t="n">
        <x:v>59166297</x:v>
      </x:c>
      <x:c r="D44" s="20" t="str">
        <x:v>DI+</x:v>
      </x:c>
      <x:c r="E44" s="20" t="str">
        <x:v>n/d</x:v>
      </x:c>
      <x:c r="F44" s="20" t="str">
        <x:v>n/d</x:v>
      </x:c>
      <x:c r="G44" s="20" t="str">
        <x:v>n/d</x:v>
      </x:c>
      <x:c r="H44" s="27" t="str">
        <x:v>n/d</x:v>
      </x:c>
      <x:c r="I44" s="20" t="str">
        <x:v>n/d</x:v>
      </x:c>
      <x:c r="J44" s="20" t="str">
        <x:v>n/d</x:v>
      </x:c>
      <x:c r="K44" s="20" t="str">
        <x:v>n/d</x:v>
      </x:c>
      <x:c r="L44" s="27" t="str">
        <x:v>n/d</x:v>
      </x:c>
      <x:c r="M44" s="27" t="str">
        <x:v>n/d</x:v>
      </x:c>
      <x:c r="N44" s="27" t="str">
        <x:v>n/d</x:v>
      </x:c>
      <x:c r="O44" s="21" t="n">
        <x:v>46256</x:v>
      </x:c>
      <x:c r="P44" s="20" t="str">
        <x:v>ANX_CRI3_LAM_PREL_20250422 | CVM_FUNDOSNET_TERMOS_CRI_20260822 | CVM_CRI_2026_CLASSE</x:v>
      </x:c>
      <x:c r="Q44" s="20" t="str">
        <x:v>n/d</x:v>
      </x:c>
      <x:c r="R44" s="20" t="str">
        <x:v>Equivalências dependem da curva DI futura e inflação implícita da data-base; a curva datada não foi obtida. Taxa contratada permanece documentada.</x:v>
      </x:c>
    </x:row>
    <x:row r="45">
      <x:c r="A45" s="20" t="str">
        <x:v>CRI_K3</x:v>
      </x:c>
      <x:c r="B45" s="20" t="str">
        <x:v>Série 5</x:v>
      </x:c>
      <x:c r="C45" s="25" t="n">
        <x:v>25214984</x:v>
      </x:c>
      <x:c r="D45" s="20" t="str">
        <x:v>DI+</x:v>
      </x:c>
      <x:c r="E45" s="20" t="str">
        <x:v>n/d</x:v>
      </x:c>
      <x:c r="F45" s="20" t="str">
        <x:v>n/d</x:v>
      </x:c>
      <x:c r="G45" s="20" t="str">
        <x:v>n/d</x:v>
      </x:c>
      <x:c r="H45" s="27" t="str">
        <x:v>n/d</x:v>
      </x:c>
      <x:c r="I45" s="20" t="str">
        <x:v>n/d</x:v>
      </x:c>
      <x:c r="J45" s="20" t="str">
        <x:v>n/d</x:v>
      </x:c>
      <x:c r="K45" s="20" t="str">
        <x:v>n/d</x:v>
      </x:c>
      <x:c r="L45" s="27" t="str">
        <x:v>n/d</x:v>
      </x:c>
      <x:c r="M45" s="27" t="str">
        <x:v>n/d</x:v>
      </x:c>
      <x:c r="N45" s="27" t="str">
        <x:v>n/d</x:v>
      </x:c>
      <x:c r="O45" s="21" t="n">
        <x:v>46256</x:v>
      </x:c>
      <x:c r="P45" s="20" t="str">
        <x:v>ANX_CRI3_LAM_PREL_20250422 | CVM_FUNDOSNET_TERMOS_CRI_20260822 | CVM_CRI_2026_CLASSE</x:v>
      </x:c>
      <x:c r="Q45" s="20" t="str">
        <x:v>n/d</x:v>
      </x:c>
      <x:c r="R45" s="20" t="str">
        <x:v>Equivalências dependem da curva DI futura e inflação implícita da data-base; a curva datada não foi obtida. Taxa contratada permanece documentada.</x:v>
      </x:c>
    </x:row>
    <x:row r="46">
      <x:c r="A46" s="20" t="str">
        <x:v>CRI_K3</x:v>
      </x:c>
      <x:c r="B46" s="20" t="str">
        <x:v>Série 6</x:v>
      </x:c>
      <x:c r="C46" s="25" t="n">
        <x:v>25502014</x:v>
      </x:c>
      <x:c r="D46" s="20" t="str">
        <x:v>Residual</x:v>
      </x:c>
      <x:c r="E46" s="20" t="str">
        <x:v>n/d</x:v>
      </x:c>
      <x:c r="F46" s="20" t="str">
        <x:v>n/d</x:v>
      </x:c>
      <x:c r="G46" s="20" t="str">
        <x:v>n/d</x:v>
      </x:c>
      <x:c r="H46" s="27" t="str">
        <x:v>n/d</x:v>
      </x:c>
      <x:c r="I46" s="20" t="str">
        <x:v>n/d</x:v>
      </x:c>
      <x:c r="J46" s="20" t="str">
        <x:v>n/d</x:v>
      </x:c>
      <x:c r="K46" s="20" t="str">
        <x:v>n/d</x:v>
      </x:c>
      <x:c r="L46" s="27" t="str">
        <x:v>n/d</x:v>
      </x:c>
      <x:c r="M46" s="27" t="str">
        <x:v>n/d</x:v>
      </x:c>
      <x:c r="N46" s="27" t="str">
        <x:v>n/d</x:v>
      </x:c>
      <x:c r="O46" s="21" t="n">
        <x:v>46256</x:v>
      </x:c>
      <x:c r="P46" s="20" t="str">
        <x:v>ANX_CRI3_LAM_PREL_20250422 | CVM_FUNDOSNET_TERMOS_CRI_20260822 | CVM_CRI_2026_CLASSE</x:v>
      </x:c>
      <x:c r="Q46" s="20" t="str">
        <x:v>n/d</x:v>
      </x:c>
      <x:c r="R46" s="20" t="str">
        <x:v>Equivalências dependem da curva DI futura e inflação implícita da data-base; a curva datada não foi obtida. Taxa contratada permanece documentada.</x:v>
      </x:c>
    </x:row>
    <x:row r="47">
      <x:c r="A47" s="20" t="str">
        <x:v>CRI_K4</x:v>
      </x:c>
      <x:c r="B47" s="20" t="str">
        <x:v>Série 1</x:v>
      </x:c>
      <x:c r="C47" s="25" t="str">
        <x:v>n/d</x:v>
      </x:c>
      <x:c r="D47" s="20" t="str">
        <x:v>Pré</x:v>
      </x:c>
      <x:c r="E47" s="20" t="str">
        <x:v>14,2216% a.a.</x:v>
      </x:c>
      <x:c r="F47" s="20" t="str">
        <x:v>n/d</x:v>
      </x:c>
      <x:c r="G47" s="20" t="str">
        <x:v>n/d</x:v>
      </x:c>
      <x:c r="H47" s="27" t="str">
        <x:v>n/d</x:v>
      </x:c>
      <x:c r="I47" s="20" t="str">
        <x:v>n/d</x:v>
      </x:c>
      <x:c r="J47" s="20" t="str">
        <x:v>n/d</x:v>
      </x:c>
      <x:c r="K47" s="20" t="str">
        <x:v>n/d</x:v>
      </x:c>
      <x:c r="L47" s="27" t="str">
        <x:v>n/d</x:v>
      </x:c>
      <x:c r="M47" s="27" t="str">
        <x:v>n/d</x:v>
      </x:c>
      <x:c r="N47" s="27" t="str">
        <x:v>n/d</x:v>
      </x:c>
      <x:c r="O47" s="21" t="n">
        <x:v>46256</x:v>
      </x:c>
      <x:c r="P47" s="20" t="str">
        <x:v>ANX_CRI4_INICIO_20250929 | CVM_FUNDOSNET_TERMOS_CRI_20260822 | CVM_CRI_2026_CLASSE</x:v>
      </x:c>
      <x:c r="Q47" s="20" t="str">
        <x:v>n/d</x:v>
      </x:c>
      <x:c r="R47" s="20" t="str">
        <x:v>Equivalências dependem da curva DI futura e inflação implícita da data-base; a curva datada não foi obtida. Taxa contratada permanece documentada.</x:v>
      </x:c>
    </x:row>
    <x:row r="48">
      <x:c r="A48" s="20" t="str">
        <x:v>CRI_K4</x:v>
      </x:c>
      <x:c r="B48" s="20" t="str">
        <x:v>Série 2</x:v>
      </x:c>
      <x:c r="C48" s="25" t="str">
        <x:v>n/d</x:v>
      </x:c>
      <x:c r="D48" s="20" t="str">
        <x:v>Pré</x:v>
      </x:c>
      <x:c r="E48" s="20" t="str">
        <x:v>14,2216% a.a.</x:v>
      </x:c>
      <x:c r="F48" s="20" t="str">
        <x:v>n/d</x:v>
      </x:c>
      <x:c r="G48" s="20" t="str">
        <x:v>n/d</x:v>
      </x:c>
      <x:c r="H48" s="27" t="str">
        <x:v>n/d</x:v>
      </x:c>
      <x:c r="I48" s="20" t="str">
        <x:v>n/d</x:v>
      </x:c>
      <x:c r="J48" s="20" t="str">
        <x:v>n/d</x:v>
      </x:c>
      <x:c r="K48" s="20" t="str">
        <x:v>n/d</x:v>
      </x:c>
      <x:c r="L48" s="27" t="str">
        <x:v>n/d</x:v>
      </x:c>
      <x:c r="M48" s="27" t="str">
        <x:v>n/d</x:v>
      </x:c>
      <x:c r="N48" s="27" t="str">
        <x:v>n/d</x:v>
      </x:c>
      <x:c r="O48" s="21" t="n">
        <x:v>46256</x:v>
      </x:c>
      <x:c r="P48" s="20" t="str">
        <x:v>ANX_CRI4_INICIO_20250929 | CVM_FUNDOSNET_TERMOS_CRI_20260822 | CVM_CRI_2026_CLASSE</x:v>
      </x:c>
      <x:c r="Q48" s="20" t="str">
        <x:v>n/d</x:v>
      </x:c>
      <x:c r="R48" s="20" t="str">
        <x:v>Equivalências dependem da curva DI futura e inflação implícita da data-base; a curva datada não foi obtida. Taxa contratada permanece documentada.</x:v>
      </x:c>
    </x:row>
    <x:row r="49">
      <x:c r="A49" s="20" t="str">
        <x:v>CRI_K4</x:v>
      </x:c>
      <x:c r="B49" s="20" t="str">
        <x:v>Série 3</x:v>
      </x:c>
      <x:c r="C49" s="25" t="str">
        <x:v>n/d</x:v>
      </x:c>
      <x:c r="D49" s="20" t="str">
        <x:v>Pré</x:v>
      </x:c>
      <x:c r="E49" s="20" t="str">
        <x:v>15,3565% a.a.</x:v>
      </x:c>
      <x:c r="F49" s="20" t="str">
        <x:v>n/d</x:v>
      </x:c>
      <x:c r="G49" s="20" t="str">
        <x:v>n/d</x:v>
      </x:c>
      <x:c r="H49" s="27" t="str">
        <x:v>n/d</x:v>
      </x:c>
      <x:c r="I49" s="20" t="str">
        <x:v>n/d</x:v>
      </x:c>
      <x:c r="J49" s="20" t="str">
        <x:v>n/d</x:v>
      </x:c>
      <x:c r="K49" s="20" t="str">
        <x:v>n/d</x:v>
      </x:c>
      <x:c r="L49" s="27" t="str">
        <x:v>n/d</x:v>
      </x:c>
      <x:c r="M49" s="27" t="str">
        <x:v>n/d</x:v>
      </x:c>
      <x:c r="N49" s="27" t="str">
        <x:v>n/d</x:v>
      </x:c>
      <x:c r="O49" s="21" t="n">
        <x:v>46256</x:v>
      </x:c>
      <x:c r="P49" s="20" t="str">
        <x:v>ANX_CRI4_INICIO_20250929 | CVM_FUNDOSNET_TERMOS_CRI_20260822 | CVM_CRI_2026_CLASSE</x:v>
      </x:c>
      <x:c r="Q49" s="20" t="str">
        <x:v>n/d</x:v>
      </x:c>
      <x:c r="R49" s="20" t="str">
        <x:v>Equivalências dependem da curva DI futura e inflação implícita da data-base; a curva datada não foi obtida. Taxa contratada permanece documentada.</x:v>
      </x:c>
    </x:row>
    <x:row r="50">
      <x:c r="A50" s="20" t="str">
        <x:v>CRI_K4</x:v>
      </x:c>
      <x:c r="B50" s="20" t="str">
        <x:v>Série 4</x:v>
      </x:c>
      <x:c r="C50" s="25" t="str">
        <x:v>n/d</x:v>
      </x:c>
      <x:c r="D50" s="20" t="str">
        <x:v>Pré</x:v>
      </x:c>
      <x:c r="E50" s="20" t="str">
        <x:v>15,3565% a.a.</x:v>
      </x:c>
      <x:c r="F50" s="20" t="str">
        <x:v>n/d</x:v>
      </x:c>
      <x:c r="G50" s="20" t="str">
        <x:v>n/d</x:v>
      </x:c>
      <x:c r="H50" s="27" t="str">
        <x:v>n/d</x:v>
      </x:c>
      <x:c r="I50" s="20" t="str">
        <x:v>n/d</x:v>
      </x:c>
      <x:c r="J50" s="20" t="str">
        <x:v>n/d</x:v>
      </x:c>
      <x:c r="K50" s="20" t="str">
        <x:v>n/d</x:v>
      </x:c>
      <x:c r="L50" s="27" t="str">
        <x:v>n/d</x:v>
      </x:c>
      <x:c r="M50" s="27" t="str">
        <x:v>n/d</x:v>
      </x:c>
      <x:c r="N50" s="27" t="str">
        <x:v>n/d</x:v>
      </x:c>
      <x:c r="O50" s="21" t="n">
        <x:v>46256</x:v>
      </x:c>
      <x:c r="P50" s="20" t="str">
        <x:v>ANX_CRI4_INICIO_20250929 | CVM_FUNDOSNET_TERMOS_CRI_20260822 | CVM_CRI_2026_CLASSE</x:v>
      </x:c>
      <x:c r="Q50" s="20" t="str">
        <x:v>n/d</x:v>
      </x:c>
      <x:c r="R50" s="20" t="str">
        <x:v>Equivalências dependem da curva DI futura e inflação implícita da data-base; a curva datada não foi obtida. Taxa contratada permanece documentada.</x:v>
      </x:c>
    </x:row>
    <x:row r="51">
      <x:c r="A51" s="20" t="str">
        <x:v>CRI_K4</x:v>
      </x:c>
      <x:c r="B51" s="20" t="str">
        <x:v>Série 5</x:v>
      </x:c>
      <x:c r="C51" s="25" t="str">
        <x:v>n/d</x:v>
      </x:c>
      <x:c r="D51" s="20" t="str">
        <x:v>DI+</x:v>
      </x:c>
      <x:c r="E51" s="20" t="str">
        <x:v>DI + 5,50% a.a.</x:v>
      </x:c>
      <x:c r="F51" s="20" t="str">
        <x:v>n/d</x:v>
      </x:c>
      <x:c r="G51" s="20" t="str">
        <x:v>n/d</x:v>
      </x:c>
      <x:c r="H51" s="27" t="str">
        <x:v>n/d</x:v>
      </x:c>
      <x:c r="I51" s="20" t="str">
        <x:v>n/d</x:v>
      </x:c>
      <x:c r="J51" s="20" t="str">
        <x:v>n/d</x:v>
      </x:c>
      <x:c r="K51" s="20" t="str">
        <x:v>n/d</x:v>
      </x:c>
      <x:c r="L51" s="27" t="str">
        <x:v>n/d</x:v>
      </x:c>
      <x:c r="M51" s="27" t="str">
        <x:v>n/d</x:v>
      </x:c>
      <x:c r="N51" s="27" t="str">
        <x:v>n/d</x:v>
      </x:c>
      <x:c r="O51" s="21" t="n">
        <x:v>46256</x:v>
      </x:c>
      <x:c r="P51" s="20" t="str">
        <x:v>ANX_CRI4_INICIO_20250929 | CVM_FUNDOSNET_TERMOS_CRI_20260822 | CVM_CRI_2026_CLASSE</x:v>
      </x:c>
      <x:c r="Q51" s="20" t="str">
        <x:v>n/d</x:v>
      </x:c>
      <x:c r="R51" s="20" t="str">
        <x:v>Equivalências dependem da curva DI futura e inflação implícita da data-base; a curva datada não foi obtida. Taxa contratada permanece documentada.</x:v>
      </x:c>
    </x:row>
    <x:row r="52">
      <x:c r="A52" s="20" t="str">
        <x:v>CRI_K4</x:v>
      </x:c>
      <x:c r="B52" s="20" t="str">
        <x:v>Série 6</x:v>
      </x:c>
      <x:c r="C52" s="25" t="str">
        <x:v>n/d</x:v>
      </x:c>
      <x:c r="D52" s="20" t="str">
        <x:v>DI+</x:v>
      </x:c>
      <x:c r="E52" s="20" t="str">
        <x:v>DI + 10,00% a.a.</x:v>
      </x:c>
      <x:c r="F52" s="20" t="str">
        <x:v>n/d</x:v>
      </x:c>
      <x:c r="G52" s="20" t="str">
        <x:v>n/d</x:v>
      </x:c>
      <x:c r="H52" s="27" t="str">
        <x:v>n/d</x:v>
      </x:c>
      <x:c r="I52" s="20" t="str">
        <x:v>n/d</x:v>
      </x:c>
      <x:c r="J52" s="20" t="str">
        <x:v>n/d</x:v>
      </x:c>
      <x:c r="K52" s="20" t="str">
        <x:v>n/d</x:v>
      </x:c>
      <x:c r="L52" s="27" t="str">
        <x:v>n/d</x:v>
      </x:c>
      <x:c r="M52" s="27" t="str">
        <x:v>n/d</x:v>
      </x:c>
      <x:c r="N52" s="27" t="str">
        <x:v>n/d</x:v>
      </x:c>
      <x:c r="O52" s="21" t="n">
        <x:v>46256</x:v>
      </x:c>
      <x:c r="P52" s="20" t="str">
        <x:v>ANX_CRI4_INICIO_20250929 | CVM_FUNDOSNET_TERMOS_CRI_20260822 | CVM_CRI_2026_CLASSE</x:v>
      </x:c>
      <x:c r="Q52" s="20" t="str">
        <x:v>n/d</x:v>
      </x:c>
      <x:c r="R52" s="20" t="str">
        <x:v>Equivalências dependem da curva DI futura e inflação implícita da data-base; a curva datada não foi obtida. Taxa contratada permanece documentada.</x:v>
      </x:c>
    </x:row>
    <x:row r="53">
      <x:c r="A53" s="20" t="str">
        <x:v>CRI_K4</x:v>
      </x:c>
      <x:c r="B53" s="20" t="str">
        <x:v>Série 7</x:v>
      </x:c>
      <x:c r="C53" s="25" t="str">
        <x:v>n/d</x:v>
      </x:c>
      <x:c r="D53" s="20" t="str">
        <x:v>Pré + residual</x:v>
      </x:c>
      <x:c r="E53" s="20" t="str">
        <x:v>13,2480% a.a. + residual</x:v>
      </x:c>
      <x:c r="F53" s="20" t="str">
        <x:v>n/d</x:v>
      </x:c>
      <x:c r="G53" s="20" t="str">
        <x:v>n/d</x:v>
      </x:c>
      <x:c r="H53" s="27" t="str">
        <x:v>n/d</x:v>
      </x:c>
      <x:c r="I53" s="20" t="str">
        <x:v>n/d</x:v>
      </x:c>
      <x:c r="J53" s="20" t="str">
        <x:v>n/d</x:v>
      </x:c>
      <x:c r="K53" s="20" t="str">
        <x:v>n/d</x:v>
      </x:c>
      <x:c r="L53" s="27" t="str">
        <x:v>n/d</x:v>
      </x:c>
      <x:c r="M53" s="27" t="str">
        <x:v>n/d</x:v>
      </x:c>
      <x:c r="N53" s="27" t="str">
        <x:v>n/d</x:v>
      </x:c>
      <x:c r="O53" s="21" t="n">
        <x:v>46256</x:v>
      </x:c>
      <x:c r="P53" s="20" t="str">
        <x:v>ANX_CRI4_INICIO_20250929 | CVM_FUNDOSNET_TERMOS_CRI_20260822 | CVM_CRI_2026_CLASSE</x:v>
      </x:c>
      <x:c r="Q53" s="20" t="str">
        <x:v>n/d</x:v>
      </x:c>
      <x:c r="R53" s="20" t="str">
        <x:v>Equivalências dependem da curva DI futura e inflação implícita da data-base; a curva datada não foi obtida. Taxa contratada permanece documentada.</x:v>
      </x:c>
    </x:row>
    <x:row r="54">
      <x:c r="A54" s="20" t="str">
        <x:v>CRI_V174</x:v>
      </x:c>
      <x:c r="B54" s="20" t="str">
        <x:v>Série 1</x:v>
      </x:c>
      <x:c r="C54" s="25" t="str">
        <x:v>n/d</x:v>
      </x:c>
      <x:c r="D54" s="20" t="str">
        <x:v>Pré</x:v>
      </x:c>
      <x:c r="E54" s="20" t="str">
        <x:v>14,81% a.a.</x:v>
      </x:c>
      <x:c r="F54" s="20" t="str">
        <x:v>n/d</x:v>
      </x:c>
      <x:c r="G54" s="20" t="str">
        <x:v>n/d</x:v>
      </x:c>
      <x:c r="H54" s="27" t="str">
        <x:v>n/d</x:v>
      </x:c>
      <x:c r="I54" s="20" t="str">
        <x:v>n/d</x:v>
      </x:c>
      <x:c r="J54" s="20" t="str">
        <x:v>n/d</x:v>
      </x:c>
      <x:c r="K54" s="20" t="str">
        <x:v>n/d</x:v>
      </x:c>
      <x:c r="L54" s="27" t="str">
        <x:v>n/d</x:v>
      </x:c>
      <x:c r="M54" s="27" t="str">
        <x:v>n/d</x:v>
      </x:c>
      <x:c r="N54" s="27" t="str">
        <x:v>n/d</x:v>
      </x:c>
      <x:c r="O54" s="21" t="n">
        <x:v>46256</x:v>
      </x:c>
      <x:c r="P54" s="20" t="str">
        <x:v>ANX_CRIV_LAM_PREL_20260417 | CVM_FUNDOSNET_TERMOS_CRI_20260822 | CVM_CRI_2026_CLASSE</x:v>
      </x:c>
      <x:c r="Q54" s="20" t="str">
        <x:v>n/d</x:v>
      </x:c>
      <x:c r="R54" s="20" t="str">
        <x:v>Equivalências dependem da curva DI futura e inflação implícita da data-base; a curva datada não foi obtida. Taxa contratada permanece documentada.</x:v>
      </x:c>
    </x:row>
    <x:row r="55">
      <x:c r="A55" s="20" t="str">
        <x:v>CRI_V174</x:v>
      </x:c>
      <x:c r="B55" s="20" t="str">
        <x:v>Série 2</x:v>
      </x:c>
      <x:c r="C55" s="25" t="str">
        <x:v>n/d</x:v>
      </x:c>
      <x:c r="D55" s="20" t="str">
        <x:v>DI%</x:v>
      </x:c>
      <x:c r="E55" s="20" t="str">
        <x:v>104,00% do DI</x:v>
      </x:c>
      <x:c r="F55" s="20" t="str">
        <x:v>n/d</x:v>
      </x:c>
      <x:c r="G55" s="20" t="str">
        <x:v>n/d</x:v>
      </x:c>
      <x:c r="H55" s="27" t="str">
        <x:v>n/d</x:v>
      </x:c>
      <x:c r="I55" s="20" t="str">
        <x:v>n/d</x:v>
      </x:c>
      <x:c r="J55" s="20" t="str">
        <x:v>n/d</x:v>
      </x:c>
      <x:c r="K55" s="20" t="str">
        <x:v>n/d</x:v>
      </x:c>
      <x:c r="L55" s="27" t="str">
        <x:v>n/d</x:v>
      </x:c>
      <x:c r="M55" s="27" t="str">
        <x:v>n/d</x:v>
      </x:c>
      <x:c r="N55" s="27" t="str">
        <x:v>n/d</x:v>
      </x:c>
      <x:c r="O55" s="21" t="n">
        <x:v>46256</x:v>
      </x:c>
      <x:c r="P55" s="20" t="str">
        <x:v>ANX_CRIV_LAM_PREL_20260417 | CVM_FUNDOSNET_TERMOS_CRI_20260822 | CVM_CRI_2026_CLASSE</x:v>
      </x:c>
      <x:c r="Q55" s="20" t="str">
        <x:v>n/d</x:v>
      </x:c>
      <x:c r="R55" s="20" t="str">
        <x:v>Equivalências dependem da curva DI futura e inflação implícita da data-base; a curva datada não foi obtida. Taxa contratada permanece documentada.</x:v>
      </x:c>
    </x:row>
    <x:row r="56">
      <x:c r="A56" s="20" t="str">
        <x:v>CRI_V174</x:v>
      </x:c>
      <x:c r="B56" s="20" t="str">
        <x:v>Série 3</x:v>
      </x:c>
      <x:c r="C56" s="25" t="str">
        <x:v>n/d</x:v>
      </x:c>
      <x:c r="D56" s="20" t="str">
        <x:v>Pré</x:v>
      </x:c>
      <x:c r="E56" s="20" t="str">
        <x:v>15,78% a.a.</x:v>
      </x:c>
      <x:c r="F56" s="20" t="str">
        <x:v>n/d</x:v>
      </x:c>
      <x:c r="G56" s="20" t="str">
        <x:v>n/d</x:v>
      </x:c>
      <x:c r="H56" s="27" t="str">
        <x:v>n/d</x:v>
      </x:c>
      <x:c r="I56" s="20" t="str">
        <x:v>n/d</x:v>
      </x:c>
      <x:c r="J56" s="20" t="str">
        <x:v>n/d</x:v>
      </x:c>
      <x:c r="K56" s="20" t="str">
        <x:v>n/d</x:v>
      </x:c>
      <x:c r="L56" s="27" t="str">
        <x:v>n/d</x:v>
      </x:c>
      <x:c r="M56" s="27" t="str">
        <x:v>n/d</x:v>
      </x:c>
      <x:c r="N56" s="27" t="str">
        <x:v>n/d</x:v>
      </x:c>
      <x:c r="O56" s="21" t="n">
        <x:v>46256</x:v>
      </x:c>
      <x:c r="P56" s="20" t="str">
        <x:v>ANX_CRIV_LAM_PREL_20260417 | CVM_FUNDOSNET_TERMOS_CRI_20260822 | CVM_CRI_2026_CLASSE</x:v>
      </x:c>
      <x:c r="Q56" s="20" t="str">
        <x:v>n/d</x:v>
      </x:c>
      <x:c r="R56" s="20" t="str">
        <x:v>Equivalências dependem da curva DI futura e inflação implícita da data-base; a curva datada não foi obtida. Taxa contratada permanece documentada.</x:v>
      </x:c>
    </x:row>
    <x:row r="57">
      <x:c r="A57" s="20" t="str">
        <x:v>CRI_V174</x:v>
      </x:c>
      <x:c r="B57" s="20" t="str">
        <x:v>Série 4</x:v>
      </x:c>
      <x:c r="C57" s="25" t="str">
        <x:v>n/d</x:v>
      </x:c>
      <x:c r="D57" s="20" t="str">
        <x:v>DI+</x:v>
      </x:c>
      <x:c r="E57" s="20" t="str">
        <x:v>DI + 5,50% a.a.</x:v>
      </x:c>
      <x:c r="F57" s="20" t="str">
        <x:v>n/d</x:v>
      </x:c>
      <x:c r="G57" s="20" t="str">
        <x:v>n/d</x:v>
      </x:c>
      <x:c r="H57" s="27" t="str">
        <x:v>n/d</x:v>
      </x:c>
      <x:c r="I57" s="20" t="str">
        <x:v>n/d</x:v>
      </x:c>
      <x:c r="J57" s="20" t="str">
        <x:v>n/d</x:v>
      </x:c>
      <x:c r="K57" s="20" t="str">
        <x:v>n/d</x:v>
      </x:c>
      <x:c r="L57" s="27" t="str">
        <x:v>n/d</x:v>
      </x:c>
      <x:c r="M57" s="27" t="str">
        <x:v>n/d</x:v>
      </x:c>
      <x:c r="N57" s="27" t="str">
        <x:v>n/d</x:v>
      </x:c>
      <x:c r="O57" s="21" t="n">
        <x:v>46256</x:v>
      </x:c>
      <x:c r="P57" s="20" t="str">
        <x:v>ANX_CRIV_LAM_PREL_20260417 | CVM_FUNDOSNET_TERMOS_CRI_20260822 | CVM_CRI_2026_CLASSE</x:v>
      </x:c>
      <x:c r="Q57" s="20" t="str">
        <x:v>n/d</x:v>
      </x:c>
      <x:c r="R57" s="20" t="str">
        <x:v>Equivalências dependem da curva DI futura e inflação implícita da data-base; a curva datada não foi obtida. Taxa contratada permanece documentada.</x:v>
      </x:c>
    </x:row>
    <x:row r="58">
      <x:c r="A58" s="20" t="str">
        <x:v>CRI_V174</x:v>
      </x:c>
      <x:c r="B58" s="20" t="str">
        <x:v>Série 5</x:v>
      </x:c>
      <x:c r="C58" s="25" t="str">
        <x:v>n/d</x:v>
      </x:c>
      <x:c r="D58" s="20" t="str">
        <x:v>DI+</x:v>
      </x:c>
      <x:c r="E58" s="20" t="str">
        <x:v>DI + 8,00% a.a.</x:v>
      </x:c>
      <x:c r="F58" s="20" t="str">
        <x:v>n/d</x:v>
      </x:c>
      <x:c r="G58" s="20" t="str">
        <x:v>n/d</x:v>
      </x:c>
      <x:c r="H58" s="27" t="str">
        <x:v>n/d</x:v>
      </x:c>
      <x:c r="I58" s="20" t="str">
        <x:v>n/d</x:v>
      </x:c>
      <x:c r="J58" s="20" t="str">
        <x:v>n/d</x:v>
      </x:c>
      <x:c r="K58" s="20" t="str">
        <x:v>n/d</x:v>
      </x:c>
      <x:c r="L58" s="27" t="str">
        <x:v>n/d</x:v>
      </x:c>
      <x:c r="M58" s="27" t="str">
        <x:v>n/d</x:v>
      </x:c>
      <x:c r="N58" s="27" t="str">
        <x:v>n/d</x:v>
      </x:c>
      <x:c r="O58" s="21" t="n">
        <x:v>46256</x:v>
      </x:c>
      <x:c r="P58" s="20" t="str">
        <x:v>ANX_CRIV_LAM_PREL_20260417 | CVM_FUNDOSNET_TERMOS_CRI_20260822 | CVM_CRI_2026_CLASSE</x:v>
      </x:c>
      <x:c r="Q58" s="20" t="str">
        <x:v>n/d</x:v>
      </x:c>
      <x:c r="R58" s="20" t="str">
        <x:v>Equivalências dependem da curva DI futura e inflação implícita da data-base; a curva datada não foi obtida. Taxa contratada permanece documentada.</x:v>
      </x:c>
    </x:row>
    <x:row r="59">
      <x:c r="A59" s="20" t="str">
        <x:v>CRI_V174</x:v>
      </x:c>
      <x:c r="B59" s="20" t="str">
        <x:v>Série 6</x:v>
      </x:c>
      <x:c r="C59" s="25" t="str">
        <x:v>n/d</x:v>
      </x:c>
      <x:c r="D59" s="20" t="str">
        <x:v>Pré + residual</x:v>
      </x:c>
      <x:c r="E59" s="20" t="str">
        <x:v>14,07% a.a. + residual</x:v>
      </x:c>
      <x:c r="F59" s="20" t="str">
        <x:v>n/d</x:v>
      </x:c>
      <x:c r="G59" s="20" t="str">
        <x:v>n/d</x:v>
      </x:c>
      <x:c r="H59" s="27" t="str">
        <x:v>n/d</x:v>
      </x:c>
      <x:c r="I59" s="20" t="str">
        <x:v>n/d</x:v>
      </x:c>
      <x:c r="J59" s="20" t="str">
        <x:v>n/d</x:v>
      </x:c>
      <x:c r="K59" s="20" t="str">
        <x:v>n/d</x:v>
      </x:c>
      <x:c r="L59" s="27" t="str">
        <x:v>n/d</x:v>
      </x:c>
      <x:c r="M59" s="27" t="str">
        <x:v>n/d</x:v>
      </x:c>
      <x:c r="N59" s="27" t="str">
        <x:v>n/d</x:v>
      </x:c>
      <x:c r="O59" s="21" t="n">
        <x:v>46256</x:v>
      </x:c>
      <x:c r="P59" s="20" t="str">
        <x:v>ANX_CRIV_LAM_PREL_20260417 | CVM_FUNDOSNET_TERMOS_CRI_20260822 | CVM_CRI_2026_CLASSE</x:v>
      </x:c>
      <x:c r="Q59" s="20" t="str">
        <x:v>n/d</x:v>
      </x:c>
      <x:c r="R59" s="20" t="str">
        <x:v>Equivalências dependem da curva DI futura e inflação implícita da data-base; a curva datada não foi obtida. Taxa contratada permanece documentada.</x:v>
      </x:c>
    </x:row>
    <x:row r="60">
      <x:c r="A60" s="20" t="str">
        <x:v>CRI_V177</x:v>
      </x:c>
      <x:c r="B60" s="20" t="str">
        <x:v>Série 1</x:v>
      </x:c>
      <x:c r="C60" s="25" t="str">
        <x:v>n/d</x:v>
      </x:c>
      <x:c r="D60" s="20" t="str">
        <x:v>DI+</x:v>
      </x:c>
      <x:c r="E60" s="20" t="str">
        <x:v>DI + 1,50% a.a.</x:v>
      </x:c>
      <x:c r="F60" s="20" t="str">
        <x:v>n/d</x:v>
      </x:c>
      <x:c r="G60" s="20" t="str">
        <x:v>n/d</x:v>
      </x:c>
      <x:c r="H60" s="27" t="str">
        <x:v>n/d</x:v>
      </x:c>
      <x:c r="I60" s="20" t="str">
        <x:v>n/d</x:v>
      </x:c>
      <x:c r="J60" s="20" t="str">
        <x:v>n/d</x:v>
      </x:c>
      <x:c r="K60" s="20" t="str">
        <x:v>n/d</x:v>
      </x:c>
      <x:c r="L60" s="27" t="str">
        <x:v>n/d</x:v>
      </x:c>
      <x:c r="M60" s="27" t="str">
        <x:v>n/d</x:v>
      </x:c>
      <x:c r="N60" s="27" t="str">
        <x:v>n/d</x:v>
      </x:c>
      <x:c r="O60" s="21" t="n">
        <x:v>46256</x:v>
      </x:c>
      <x:c r="P60" s="20" t="str">
        <x:v>CVM_FUNDOSNET_VERT177_20260720 | CVM_FUNDOSNET_TERMOS_CRI_20260822</x:v>
      </x:c>
      <x:c r="Q60" s="20" t="str">
        <x:v>n/d</x:v>
      </x:c>
      <x:c r="R60" s="20" t="str">
        <x:v>Equivalências dependem da curva DI futura e inflação implícita da data-base; a curva datada não foi obtida. Taxa contratada permanece documentada.</x:v>
      </x:c>
    </x:row>
    <x:row r="61">
      <x:c r="A61" s="20" t="str">
        <x:v>CRI_V177</x:v>
      </x:c>
      <x:c r="B61" s="20" t="str">
        <x:v>Série 2</x:v>
      </x:c>
      <x:c r="C61" s="25" t="str">
        <x:v>n/d</x:v>
      </x:c>
      <x:c r="D61" s="20" t="str">
        <x:v>DI+</x:v>
      </x:c>
      <x:c r="E61" s="20" t="str">
        <x:v>DI + 2,00% a.a.</x:v>
      </x:c>
      <x:c r="F61" s="20" t="str">
        <x:v>n/d</x:v>
      </x:c>
      <x:c r="G61" s="20" t="str">
        <x:v>n/d</x:v>
      </x:c>
      <x:c r="H61" s="27" t="str">
        <x:v>n/d</x:v>
      </x:c>
      <x:c r="I61" s="20" t="str">
        <x:v>n/d</x:v>
      </x:c>
      <x:c r="J61" s="20" t="str">
        <x:v>n/d</x:v>
      </x:c>
      <x:c r="K61" s="20" t="str">
        <x:v>n/d</x:v>
      </x:c>
      <x:c r="L61" s="27" t="str">
        <x:v>n/d</x:v>
      </x:c>
      <x:c r="M61" s="27" t="str">
        <x:v>n/d</x:v>
      </x:c>
      <x:c r="N61" s="27" t="str">
        <x:v>n/d</x:v>
      </x:c>
      <x:c r="O61" s="21" t="n">
        <x:v>46256</x:v>
      </x:c>
      <x:c r="P61" s="20" t="str">
        <x:v>CVM_FUNDOSNET_VERT177_20260720 | CVM_FUNDOSNET_TERMOS_CRI_20260822</x:v>
      </x:c>
      <x:c r="Q61" s="20" t="str">
        <x:v>n/d</x:v>
      </x:c>
      <x:c r="R61" s="20" t="str">
        <x:v>Equivalências dependem da curva DI futura e inflação implícita da data-base; a curva datada não foi obtida. Taxa contratada permanece documentada.</x:v>
      </x:c>
    </x:row>
    <x:row r="62">
      <x:c r="A62" s="20" t="str">
        <x:v>CRI_V177</x:v>
      </x:c>
      <x:c r="B62" s="20" t="str">
        <x:v>Série 3</x:v>
      </x:c>
      <x:c r="C62" s="25" t="str">
        <x:v>n/d</x:v>
      </x:c>
      <x:c r="D62" s="20" t="str">
        <x:v>DI+</x:v>
      </x:c>
      <x:c r="E62" s="20" t="str">
        <x:v>DI + 5,50% a.a.</x:v>
      </x:c>
      <x:c r="F62" s="20" t="str">
        <x:v>n/d</x:v>
      </x:c>
      <x:c r="G62" s="20" t="str">
        <x:v>n/d</x:v>
      </x:c>
      <x:c r="H62" s="27" t="str">
        <x:v>n/d</x:v>
      </x:c>
      <x:c r="I62" s="20" t="str">
        <x:v>n/d</x:v>
      </x:c>
      <x:c r="J62" s="20" t="str">
        <x:v>n/d</x:v>
      </x:c>
      <x:c r="K62" s="20" t="str">
        <x:v>n/d</x:v>
      </x:c>
      <x:c r="L62" s="27" t="str">
        <x:v>n/d</x:v>
      </x:c>
      <x:c r="M62" s="27" t="str">
        <x:v>n/d</x:v>
      </x:c>
      <x:c r="N62" s="27" t="str">
        <x:v>n/d</x:v>
      </x:c>
      <x:c r="O62" s="21" t="n">
        <x:v>46256</x:v>
      </x:c>
      <x:c r="P62" s="20" t="str">
        <x:v>CVM_FUNDOSNET_VERT177_20260720 | CVM_FUNDOSNET_TERMOS_CRI_20260822</x:v>
      </x:c>
      <x:c r="Q62" s="20" t="str">
        <x:v>n/d</x:v>
      </x:c>
      <x:c r="R62" s="20" t="str">
        <x:v>Equivalências dependem da curva DI futura e inflação implícita da data-base; a curva datada não foi obtida. Taxa contratada permanece documentada.</x:v>
      </x:c>
    </x:row>
    <x:row r="63">
      <x:c r="A63" s="20" t="str">
        <x:v>CRI_V177</x:v>
      </x:c>
      <x:c r="B63" s="20" t="str">
        <x:v>Série 4</x:v>
      </x:c>
      <x:c r="C63" s="25" t="str">
        <x:v>n/d</x:v>
      </x:c>
      <x:c r="D63" s="20" t="str">
        <x:v>DI+</x:v>
      </x:c>
      <x:c r="E63" s="20" t="str">
        <x:v>DI + 8,00% a.a.</x:v>
      </x:c>
      <x:c r="F63" s="20" t="str">
        <x:v>n/d</x:v>
      </x:c>
      <x:c r="G63" s="20" t="str">
        <x:v>n/d</x:v>
      </x:c>
      <x:c r="H63" s="27" t="str">
        <x:v>n/d</x:v>
      </x:c>
      <x:c r="I63" s="20" t="str">
        <x:v>n/d</x:v>
      </x:c>
      <x:c r="J63" s="20" t="str">
        <x:v>n/d</x:v>
      </x:c>
      <x:c r="K63" s="20" t="str">
        <x:v>n/d</x:v>
      </x:c>
      <x:c r="L63" s="27" t="str">
        <x:v>n/d</x:v>
      </x:c>
      <x:c r="M63" s="27" t="str">
        <x:v>n/d</x:v>
      </x:c>
      <x:c r="N63" s="27" t="str">
        <x:v>n/d</x:v>
      </x:c>
      <x:c r="O63" s="21" t="n">
        <x:v>46256</x:v>
      </x:c>
      <x:c r="P63" s="20" t="str">
        <x:v>CVM_FUNDOSNET_VERT177_20260720 | CVM_FUNDOSNET_TERMOS_CRI_20260822</x:v>
      </x:c>
      <x:c r="Q63" s="20" t="str">
        <x:v>n/d</x:v>
      </x:c>
      <x:c r="R63" s="20" t="str">
        <x:v>Equivalências dependem da curva DI futura e inflação implícita da data-base; a curva datada não foi obtida. Taxa contratada permanece documentada.</x:v>
      </x:c>
    </x:row>
    <x:row r="64">
      <x:c r="A64" s="20" t="str">
        <x:v>CRI_V177</x:v>
      </x:c>
      <x:c r="B64" s="20" t="str">
        <x:v>Série 5</x:v>
      </x:c>
      <x:c r="C64" s="25" t="str">
        <x:v>n/d</x:v>
      </x:c>
      <x:c r="D64" s="20" t="str">
        <x:v>DI% + residual</x:v>
      </x:c>
      <x:c r="E64" s="20" t="str">
        <x:v>100% do DI + prêmio final residual</x:v>
      </x:c>
      <x:c r="F64" s="20" t="str">
        <x:v>n/d</x:v>
      </x:c>
      <x:c r="G64" s="20" t="str">
        <x:v>n/d</x:v>
      </x:c>
      <x:c r="H64" s="27" t="str">
        <x:v>n/d</x:v>
      </x:c>
      <x:c r="I64" s="20" t="str">
        <x:v>n/d</x:v>
      </x:c>
      <x:c r="J64" s="20" t="str">
        <x:v>n/d</x:v>
      </x:c>
      <x:c r="K64" s="20" t="str">
        <x:v>n/d</x:v>
      </x:c>
      <x:c r="L64" s="27" t="str">
        <x:v>n/d</x:v>
      </x:c>
      <x:c r="M64" s="27" t="str">
        <x:v>n/d</x:v>
      </x:c>
      <x:c r="N64" s="27" t="str">
        <x:v>n/d</x:v>
      </x:c>
      <x:c r="O64" s="21" t="n">
        <x:v>46256</x:v>
      </x:c>
      <x:c r="P64" s="20" t="str">
        <x:v>CVM_FUNDOSNET_VERT177_20260720 | CVM_FUNDOSNET_TERMOS_CRI_20260822</x:v>
      </x:c>
      <x:c r="Q64" s="20" t="str">
        <x:v>n/d</x:v>
      </x:c>
      <x:c r="R64" s="20" t="str">
        <x:v>Equivalências dependem da curva DI futura e inflação implícita da data-base; a curva datada não foi obtida. Taxa contratada permanece documentada.</x:v>
      </x:c>
    </x:row>
    <x:row r="65">
      <x:c r="A65" s="20" t="str">
        <x:v>FIDC_I</x:v>
      </x:c>
      <x:c r="B65" s="20" t="str">
        <x:v>Resumo do veículo</x:v>
      </x:c>
      <x:c r="C65" s="25" t="str">
        <x:v>n/d</x:v>
      </x:c>
      <x:c r="D65" s="20" t="str">
        <x:v>misto</x:v>
      </x:c>
      <x:c r="E65" s="20" t="str">
        <x:v>n/d</x:v>
      </x:c>
      <x:c r="F65" s="20" t="str">
        <x:v>n/d</x:v>
      </x:c>
      <x:c r="G65" s="20" t="str">
        <x:v>n/d</x:v>
      </x:c>
      <x:c r="H65" s="27" t="str">
        <x:v>n/d</x:v>
      </x:c>
      <x:c r="I65" s="20" t="str">
        <x:v>n/d</x:v>
      </x:c>
      <x:c r="J65" s="20" t="str">
        <x:v>n/d</x:v>
      </x:c>
      <x:c r="K65" s="20" t="str">
        <x:v>n/d</x:v>
      </x:c>
      <x:c r="L65" s="27" t="str">
        <x:v>n/d</x:v>
      </x:c>
      <x:c r="M65" s="27" t="str">
        <x:v>n/d</x:v>
      </x:c>
      <x:c r="N65" s="27" t="str">
        <x:v>n/d</x:v>
      </x:c>
      <x:c r="O65" s="21" t="n">
        <x:v>46256</x:v>
      </x:c>
      <x:c r="P65" s="20" t="str">
        <x:v>DOC_FIDC_I_REG_202411</x:v>
      </x:c>
      <x:c r="Q65" s="20" t="str">
        <x:v>n/d</x:v>
      </x:c>
      <x:c r="R65" s="20" t="str">
        <x:v>admin 0,074% + gestão 0,20% + custódia 0,031%; mínimos aplicáveis</x:v>
      </x:c>
    </x:row>
    <x:row r="66">
      <x:c r="A66" s="20" t="str">
        <x:v>FIDC_II</x:v>
      </x:c>
      <x:c r="B66" s="20" t="str">
        <x:v>Resumo do veículo</x:v>
      </x:c>
      <x:c r="C66" s="25" t="str">
        <x:v>n/d</x:v>
      </x:c>
      <x:c r="D66" s="20" t="str">
        <x:v>misto</x:v>
      </x:c>
      <x:c r="E66" s="20" t="str">
        <x:v>n/d</x:v>
      </x:c>
      <x:c r="F66" s="20" t="str">
        <x:v>n/d</x:v>
      </x:c>
      <x:c r="G66" s="20" t="str">
        <x:v>n/d</x:v>
      </x:c>
      <x:c r="H66" s="27" t="str">
        <x:v>n/d</x:v>
      </x:c>
      <x:c r="I66" s="20" t="str">
        <x:v>n/d</x:v>
      </x:c>
      <x:c r="J66" s="20" t="str">
        <x:v>n/d</x:v>
      </x:c>
      <x:c r="K66" s="20" t="str">
        <x:v>n/d</x:v>
      </x:c>
      <x:c r="L66" s="27" t="str">
        <x:v>n/d</x:v>
      </x:c>
      <x:c r="M66" s="27" t="str">
        <x:v>n/d</x:v>
      </x:c>
      <x:c r="N66" s="27" t="str">
        <x:v>n/d</x:v>
      </x:c>
      <x:c r="O66" s="21" t="n">
        <x:v>46256</x:v>
      </x:c>
      <x:c r="P66" s="20" t="str">
        <x:v>DOC_FIDC_II_REG_202412</x:v>
      </x:c>
      <x:c r="Q66" s="20" t="str">
        <x:v>n/d</x:v>
      </x:c>
      <x:c r="R66" s="20" t="str">
        <x:v>admin por fórmula/escala; gestão 0,12%; custódia 0,02%; cobrança 1% da carteira líquida de PDD</x:v>
      </x:c>
    </x:row>
    <x:row r="67">
      <x:c r="A67" s="20" t="str">
        <x:v>FIDC_III</x:v>
      </x:c>
      <x:c r="B67" s="20" t="str">
        <x:v>Resumo do veículo</x:v>
      </x:c>
      <x:c r="C67" s="25" t="str">
        <x:v>n/d</x:v>
      </x:c>
      <x:c r="D67" s="20" t="str">
        <x:v>misto</x:v>
      </x:c>
      <x:c r="E67" s="20" t="str">
        <x:v>n/d</x:v>
      </x:c>
      <x:c r="F67" s="20" t="str">
        <x:v>n/d</x:v>
      </x:c>
      <x:c r="G67" s="20" t="str">
        <x:v>n/d</x:v>
      </x:c>
      <x:c r="H67" s="27" t="str">
        <x:v>n/d</x:v>
      </x:c>
      <x:c r="I67" s="20" t="str">
        <x:v>n/d</x:v>
      </x:c>
      <x:c r="J67" s="20" t="str">
        <x:v>n/d</x:v>
      </x:c>
      <x:c r="K67" s="20" t="str">
        <x:v>n/d</x:v>
      </x:c>
      <x:c r="L67" s="27" t="str">
        <x:v>n/d</x:v>
      </x:c>
      <x:c r="M67" s="27" t="str">
        <x:v>n/d</x:v>
      </x:c>
      <x:c r="N67" s="27" t="str">
        <x:v>n/d</x:v>
      </x:c>
      <x:c r="O67" s="21" t="n">
        <x:v>46256</x:v>
      </x:c>
      <x:c r="P67" s="20" t="str">
        <x:v>DOC_FIDC_III_REG_202512</x:v>
      </x:c>
      <x:c r="Q67" s="20" t="str">
        <x:v>n/d</x:v>
      </x:c>
      <x:c r="R67" s="20" t="str">
        <x:v>admin 0,04%; gestão 0,20%; custódia 0,02%; cobrança 1% da carteira líquida; mínimos</x:v>
      </x:c>
    </x:row>
    <x:row r="68">
      <x:c r="A68" s="20" t="str">
        <x:v>FIDC_IV</x:v>
      </x:c>
      <x:c r="B68" s="20" t="str">
        <x:v>Resumo do veículo</x:v>
      </x:c>
      <x:c r="C68" s="25" t="str">
        <x:v>n/d</x:v>
      </x:c>
      <x:c r="D68" s="20" t="str">
        <x:v>misto</x:v>
      </x:c>
      <x:c r="E68" s="20" t="str">
        <x:v>n/d</x:v>
      </x:c>
      <x:c r="F68" s="20" t="str">
        <x:v>n/d</x:v>
      </x:c>
      <x:c r="G68" s="20" t="str">
        <x:v>n/d</x:v>
      </x:c>
      <x:c r="H68" s="27" t="str">
        <x:v>n/d</x:v>
      </x:c>
      <x:c r="I68" s="20" t="str">
        <x:v>n/d</x:v>
      </x:c>
      <x:c r="J68" s="20" t="str">
        <x:v>n/d</x:v>
      </x:c>
      <x:c r="K68" s="20" t="str">
        <x:v>n/d</x:v>
      </x:c>
      <x:c r="L68" s="27" t="str">
        <x:v>n/d</x:v>
      </x:c>
      <x:c r="M68" s="27" t="str">
        <x:v>n/d</x:v>
      </x:c>
      <x:c r="N68" s="27" t="str">
        <x:v>n/d</x:v>
      </x:c>
      <x:c r="O68" s="21" t="n">
        <x:v>46256</x:v>
      </x:c>
      <x:c r="P68" s="20" t="str">
        <x:v>DOC_FIDC_IV_REG_202510</x:v>
      </x:c>
      <x:c r="Q68" s="20" t="str">
        <x:v>n/d</x:v>
      </x:c>
      <x:c r="R68" s="20" t="str">
        <x:v>admin R$15 mil/mês; gestão deduzida; custódia 0,02%; adicional inicial</x:v>
      </x:c>
    </x:row>
    <x:row r="69">
      <x:c r="A69" s="20" t="str">
        <x:v>FIDC_V</x:v>
      </x:c>
      <x:c r="B69" s="20" t="str">
        <x:v>Resumo do veículo</x:v>
      </x:c>
      <x:c r="C69" s="25" t="str">
        <x:v>n/d</x:v>
      </x:c>
      <x:c r="D69" s="20" t="str">
        <x:v>misto</x:v>
      </x:c>
      <x:c r="E69" s="20" t="str">
        <x:v>n/d</x:v>
      </x:c>
      <x:c r="F69" s="20" t="str">
        <x:v>n/d</x:v>
      </x:c>
      <x:c r="G69" s="20" t="str">
        <x:v>n/d</x:v>
      </x:c>
      <x:c r="H69" s="27" t="str">
        <x:v>n/d</x:v>
      </x:c>
      <x:c r="I69" s="20" t="str">
        <x:v>n/d</x:v>
      </x:c>
      <x:c r="J69" s="20" t="str">
        <x:v>n/d</x:v>
      </x:c>
      <x:c r="K69" s="20" t="str">
        <x:v>n/d</x:v>
      </x:c>
      <x:c r="L69" s="27" t="str">
        <x:v>n/d</x:v>
      </x:c>
      <x:c r="M69" s="27" t="str">
        <x:v>n/d</x:v>
      </x:c>
      <x:c r="N69" s="27" t="str">
        <x:v>n/d</x:v>
      </x:c>
      <x:c r="O69" s="21" t="n">
        <x:v>46256</x:v>
      </x:c>
      <x:c r="P69" s="20" t="str">
        <x:v>DOC_FIDC_V_REG_202411</x:v>
      </x:c>
      <x:c r="Q69" s="20" t="str">
        <x:v>n/d</x:v>
      </x:c>
      <x:c r="R69" s="20" t="str">
        <x:v>admin 0,09% + gestão 0,30% + custódia 0,03%; mínimos</x:v>
      </x:c>
    </x:row>
    <x:row r="70">
      <x:c r="A70" s="20" t="str">
        <x:v>FIDC_VI</x:v>
      </x:c>
      <x:c r="B70" s="20" t="str">
        <x:v>Resumo do veículo</x:v>
      </x:c>
      <x:c r="C70" s="25" t="str">
        <x:v>n/d</x:v>
      </x:c>
      <x:c r="D70" s="20" t="str">
        <x:v>misto</x:v>
      </x:c>
      <x:c r="E70" s="20" t="str">
        <x:v>n/d</x:v>
      </x:c>
      <x:c r="F70" s="20" t="str">
        <x:v>n/d</x:v>
      </x:c>
      <x:c r="G70" s="20" t="str">
        <x:v>n/d</x:v>
      </x:c>
      <x:c r="H70" s="27" t="str">
        <x:v>n/d</x:v>
      </x:c>
      <x:c r="I70" s="20" t="str">
        <x:v>n/d</x:v>
      </x:c>
      <x:c r="J70" s="20" t="str">
        <x:v>n/d</x:v>
      </x:c>
      <x:c r="K70" s="20" t="str">
        <x:v>n/d</x:v>
      </x:c>
      <x:c r="L70" s="27" t="str">
        <x:v>n/d</x:v>
      </x:c>
      <x:c r="M70" s="27" t="str">
        <x:v>n/d</x:v>
      </x:c>
      <x:c r="N70" s="27" t="str">
        <x:v>n/d</x:v>
      </x:c>
      <x:c r="O70" s="21" t="n">
        <x:v>46256</x:v>
      </x:c>
      <x:c r="P70" s="20" t="str">
        <x:v>DOC_FIDC_VI_REG_202605</x:v>
      </x:c>
      <x:c r="Q70" s="20" t="str">
        <x:v>n/d</x:v>
      </x:c>
      <x:c r="R70" s="20" t="str">
        <x:v>admin 0,10% + gestão 0,20% + custódia 0,02%; distribuição até 0,60%</x:v>
      </x:c>
    </x:row>
    <x:row r="71">
      <x:c r="A71" s="20" t="str">
        <x:v>FIDC_VII</x:v>
      </x:c>
      <x:c r="B71" s="20" t="str">
        <x:v>Resumo do veículo</x:v>
      </x:c>
      <x:c r="C71" s="25" t="str">
        <x:v>n/d</x:v>
      </x:c>
      <x:c r="D71" s="20" t="str">
        <x:v>misto</x:v>
      </x:c>
      <x:c r="E71" s="20" t="str">
        <x:v>n/d</x:v>
      </x:c>
      <x:c r="F71" s="20" t="str">
        <x:v>n/d</x:v>
      </x:c>
      <x:c r="G71" s="20" t="str">
        <x:v>n/d</x:v>
      </x:c>
      <x:c r="H71" s="27" t="str">
        <x:v>n/d</x:v>
      </x:c>
      <x:c r="I71" s="20" t="str">
        <x:v>n/d</x:v>
      </x:c>
      <x:c r="J71" s="20" t="str">
        <x:v>n/d</x:v>
      </x:c>
      <x:c r="K71" s="20" t="str">
        <x:v>n/d</x:v>
      </x:c>
      <x:c r="L71" s="27" t="str">
        <x:v>n/d</x:v>
      </x:c>
      <x:c r="M71" s="27" t="str">
        <x:v>n/d</x:v>
      </x:c>
      <x:c r="N71" s="27" t="str">
        <x:v>n/d</x:v>
      </x:c>
      <x:c r="O71" s="21" t="n">
        <x:v>46256</x:v>
      </x:c>
      <x:c r="P71" s="20" t="str">
        <x:v>DOC_FIDC_VII_REG_202605</x:v>
      </x:c>
      <x:c r="Q71" s="20" t="str">
        <x:v>n/d</x:v>
      </x:c>
      <x:c r="R71" s="20" t="str">
        <x:v>admin 0,10% + gestão 0,20% + custódia 0,02%; distribuição até 0,60%</x:v>
      </x:c>
    </x:row>
    <x:row r="72">
      <x:c r="A72" s="20" t="str">
        <x:v>CRI_K1</x:v>
      </x:c>
      <x:c r="B72" s="20" t="str">
        <x:v>Resumo do veículo</x:v>
      </x:c>
      <x:c r="C72" s="25" t="str">
        <x:v>n/d</x:v>
      </x:c>
      <x:c r="D72" s="20" t="str">
        <x:v>misto</x:v>
      </x:c>
      <x:c r="E72" s="20" t="str">
        <x:v>n/d</x:v>
      </x:c>
      <x:c r="F72" s="20" t="str">
        <x:v>n/d</x:v>
      </x:c>
      <x:c r="G72" s="20" t="str">
        <x:v>n/d</x:v>
      </x:c>
      <x:c r="H72" s="27" t="str">
        <x:v>n/d</x:v>
      </x:c>
      <x:c r="I72" s="20" t="str">
        <x:v>n/d</x:v>
      </x:c>
      <x:c r="J72" s="20" t="str">
        <x:v>n/d</x:v>
      </x:c>
      <x:c r="K72" s="20" t="str">
        <x:v>n/d</x:v>
      </x:c>
      <x:c r="L72" s="27" t="str">
        <x:v>n/d</x:v>
      </x:c>
      <x:c r="M72" s="27" t="n">
        <x:v>235.66</x:v>
      </x:c>
      <x:c r="N72" s="27" t="str">
        <x:v>n/d</x:v>
      </x:c>
      <x:c r="O72" s="21" t="n">
        <x:v>46256</x:v>
      </x:c>
      <x:c r="P72" s="20" t="str">
        <x:v>ANX_CRI1_PROSP_20240216</x:v>
      </x:c>
      <x:c r="Q72" s="20" t="str">
        <x:v>n/d</x:v>
      </x:c>
      <x:c r="R72" s="20" t="str">
        <x:v>distribuição ampla R$13,8567 mi / 2,3566% da oferta pública; rating anual R$100 mil</x:v>
      </x:c>
    </x:row>
    <x:row r="73">
      <x:c r="A73" s="20" t="str">
        <x:v>CRI_K2</x:v>
      </x:c>
      <x:c r="B73" s="20" t="str">
        <x:v>Resumo do veículo</x:v>
      </x:c>
      <x:c r="C73" s="25" t="str">
        <x:v>n/d</x:v>
      </x:c>
      <x:c r="D73" s="20" t="str">
        <x:v>misto</x:v>
      </x:c>
      <x:c r="E73" s="20" t="str">
        <x:v>n/d</x:v>
      </x:c>
      <x:c r="F73" s="20" t="str">
        <x:v>n/d</x:v>
      </x:c>
      <x:c r="G73" s="20" t="str">
        <x:v>n/d</x:v>
      </x:c>
      <x:c r="H73" s="27" t="str">
        <x:v>n/d</x:v>
      </x:c>
      <x:c r="I73" s="20" t="str">
        <x:v>n/d</x:v>
      </x:c>
      <x:c r="J73" s="20" t="str">
        <x:v>n/d</x:v>
      </x:c>
      <x:c r="K73" s="20" t="str">
        <x:v>n/d</x:v>
      </x:c>
      <x:c r="L73" s="27" t="str">
        <x:v>n/d</x:v>
      </x:c>
      <x:c r="M73" s="27" t="str">
        <x:v>n/d</x:v>
      </x:c>
      <x:c r="N73" s="27" t="str">
        <x:v>n/d</x:v>
      </x:c>
      <x:c r="O73" s="21" t="n">
        <x:v>46256</x:v>
      </x:c>
      <x:c r="P73" s="20" t="str">
        <x:v>ANX_CRI2_RATING_202406</x:v>
      </x:c>
      <x:c r="Q73" s="20" t="str">
        <x:v>n/d</x:v>
      </x:c>
      <x:c r="R73" s="20" t="str">
        <x:v>Custos públicos insuficientes para anualizar todos os componentes. O all-in permanece n/d; preço de cessão, hedge e capital retido também não estão capturados.</x:v>
      </x:c>
    </x:row>
    <x:row r="74">
      <x:c r="A74" s="20" t="str">
        <x:v>CRI_K3</x:v>
      </x:c>
      <x:c r="B74" s="20" t="str">
        <x:v>Resumo do veículo</x:v>
      </x:c>
      <x:c r="C74" s="25" t="str">
        <x:v>n/d</x:v>
      </x:c>
      <x:c r="D74" s="20" t="str">
        <x:v>misto</x:v>
      </x:c>
      <x:c r="E74" s="20" t="str">
        <x:v>n/d</x:v>
      </x:c>
      <x:c r="F74" s="20" t="str">
        <x:v>n/d</x:v>
      </x:c>
      <x:c r="G74" s="20" t="str">
        <x:v>n/d</x:v>
      </x:c>
      <x:c r="H74" s="27" t="str">
        <x:v>n/d</x:v>
      </x:c>
      <x:c r="I74" s="20" t="str">
        <x:v>n/d</x:v>
      </x:c>
      <x:c r="J74" s="20" t="str">
        <x:v>n/d</x:v>
      </x:c>
      <x:c r="K74" s="20" t="str">
        <x:v>n/d</x:v>
      </x:c>
      <x:c r="L74" s="27" t="str">
        <x:v>n/d</x:v>
      </x:c>
      <x:c r="M74" s="27" t="str">
        <x:v>n/d</x:v>
      </x:c>
      <x:c r="N74" s="27" t="str">
        <x:v>n/d</x:v>
      </x:c>
      <x:c r="O74" s="21" t="n">
        <x:v>46256</x:v>
      </x:c>
      <x:c r="P74" s="20" t="str">
        <x:v>ANX_CRI3_LAM_PREL_20250422</x:v>
      </x:c>
      <x:c r="Q74" s="20" t="str">
        <x:v>n/d</x:v>
      </x:c>
      <x:c r="R74" s="20" t="str">
        <x:v>Custos públicos insuficientes para anualizar todos os componentes. O all-in permanece n/d; preço de cessão, hedge e capital retido também não estão capturados.</x:v>
      </x:c>
    </x:row>
    <x:row r="75">
      <x:c r="A75" s="20" t="str">
        <x:v>CRI_K4</x:v>
      </x:c>
      <x:c r="B75" s="20" t="str">
        <x:v>Resumo do veículo</x:v>
      </x:c>
      <x:c r="C75" s="25" t="str">
        <x:v>n/d</x:v>
      </x:c>
      <x:c r="D75" s="20" t="str">
        <x:v>misto</x:v>
      </x:c>
      <x:c r="E75" s="20" t="str">
        <x:v>n/d</x:v>
      </x:c>
      <x:c r="F75" s="20" t="str">
        <x:v>n/d</x:v>
      </x:c>
      <x:c r="G75" s="20" t="str">
        <x:v>n/d</x:v>
      </x:c>
      <x:c r="H75" s="27" t="str">
        <x:v>n/d</x:v>
      </x:c>
      <x:c r="I75" s="20" t="str">
        <x:v>n/d</x:v>
      </x:c>
      <x:c r="J75" s="20" t="str">
        <x:v>n/d</x:v>
      </x:c>
      <x:c r="K75" s="20" t="str">
        <x:v>n/d</x:v>
      </x:c>
      <x:c r="L75" s="27" t="str">
        <x:v>n/d</x:v>
      </x:c>
      <x:c r="M75" s="27" t="str">
        <x:v>n/d</x:v>
      </x:c>
      <x:c r="N75" s="27" t="str">
        <x:v>n/d</x:v>
      </x:c>
      <x:c r="O75" s="21" t="n">
        <x:v>46256</x:v>
      </x:c>
      <x:c r="P75" s="20" t="str">
        <x:v>ANX_CRI4_INICIO_20250929</x:v>
      </x:c>
      <x:c r="Q75" s="20" t="str">
        <x:v>n/d</x:v>
      </x:c>
      <x:c r="R75" s="20" t="str">
        <x:v>Custos públicos insuficientes para anualizar todos os componentes. O all-in permanece n/d; preço de cessão, hedge e capital retido também não estão capturados.</x:v>
      </x:c>
    </x:row>
    <x:row r="76">
      <x:c r="A76" s="20" t="str">
        <x:v>CRI_V174</x:v>
      </x:c>
      <x:c r="B76" s="20" t="str">
        <x:v>Resumo do veículo</x:v>
      </x:c>
      <x:c r="C76" s="25" t="str">
        <x:v>n/d</x:v>
      </x:c>
      <x:c r="D76" s="20" t="str">
        <x:v>misto</x:v>
      </x:c>
      <x:c r="E76" s="20" t="str">
        <x:v>n/d</x:v>
      </x:c>
      <x:c r="F76" s="20" t="str">
        <x:v>n/d</x:v>
      </x:c>
      <x:c r="G76" s="20" t="str">
        <x:v>n/d</x:v>
      </x:c>
      <x:c r="H76" s="27" t="str">
        <x:v>n/d</x:v>
      </x:c>
      <x:c r="I76" s="20" t="str">
        <x:v>n/d</x:v>
      </x:c>
      <x:c r="J76" s="20" t="str">
        <x:v>n/d</x:v>
      </x:c>
      <x:c r="K76" s="20" t="str">
        <x:v>n/d</x:v>
      </x:c>
      <x:c r="L76" s="27" t="str">
        <x:v>n/d</x:v>
      </x:c>
      <x:c r="M76" s="27" t="str">
        <x:v>n/d</x:v>
      </x:c>
      <x:c r="N76" s="27" t="str">
        <x:v>n/d</x:v>
      </x:c>
      <x:c r="O76" s="21" t="n">
        <x:v>46256</x:v>
      </x:c>
      <x:c r="P76" s="20" t="str">
        <x:v>ANX_CRIV_LAM_PREL_20260417</x:v>
      </x:c>
      <x:c r="Q76" s="20" t="str">
        <x:v>n/d</x:v>
      </x:c>
      <x:c r="R76" s="20" t="str">
        <x:v>Custos públicos insuficientes para anualizar todos os componentes. O all-in permanece n/d; preço de cessão, hedge e capital retido também não estão capturados.</x:v>
      </x:c>
    </x:row>
    <x:row r="77">
      <x:c r="A77" s="20" t="str">
        <x:v>CRI_V177</x:v>
      </x:c>
      <x:c r="B77" s="20" t="str">
        <x:v>Resumo do veículo</x:v>
      </x:c>
      <x:c r="C77" s="25" t="str">
        <x:v>n/d</x:v>
      </x:c>
      <x:c r="D77" s="20" t="str">
        <x:v>misto</x:v>
      </x:c>
      <x:c r="E77" s="20" t="str">
        <x:v>n/d</x:v>
      </x:c>
      <x:c r="F77" s="20" t="str">
        <x:v>n/d</x:v>
      </x:c>
      <x:c r="G77" s="20" t="str">
        <x:v>n/d</x:v>
      </x:c>
      <x:c r="H77" s="27" t="str">
        <x:v>n/d</x:v>
      </x:c>
      <x:c r="I77" s="20" t="str">
        <x:v>n/d</x:v>
      </x:c>
      <x:c r="J77" s="20" t="str">
        <x:v>n/d</x:v>
      </x:c>
      <x:c r="K77" s="20" t="str">
        <x:v>n/d</x:v>
      </x:c>
      <x:c r="L77" s="27" t="str">
        <x:v>n/d</x:v>
      </x:c>
      <x:c r="M77" s="27" t="str">
        <x:v>n/d</x:v>
      </x:c>
      <x:c r="N77" s="27" t="str">
        <x:v>n/d</x:v>
      </x:c>
      <x:c r="O77" s="21" t="n">
        <x:v>46256</x:v>
      </x:c>
      <x:c r="P77" s="20" t="str">
        <x:v>CVM_FUNDOSNET_VERT177_20260720</x:v>
      </x:c>
      <x:c r="Q77" s="20" t="str">
        <x:v>n/d</x:v>
      </x:c>
      <x:c r="R77" s="20" t="str">
        <x:v>Custos públicos insuficientes para anualizar todos os componentes. O all-in permanece n/d; preço de cessão, hedge e capital retido também não estão capturados.</x:v>
      </x:c>
    </x:row>
  </x:sheetData>
  <x:mergeCells>
    <x:mergeCell ref="A1:R1"/>
    <x:mergeCell ref="A2:R2"/>
    <x:mergeCell ref="A3:R3"/>
  </x:mergeCells>
  <x:pageMargins left="0.7" right="0.7" top="0.75" bottom="0.75" header="0.3" footer="0.3"/>
  <x:tableParts count="1">
    <x:tablePart xmlns:r="http://schemas.openxmlformats.org/officeDocument/2006/relationships" r:id="R2430d2701d6d485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3" hidden="0" customWidth="1"/>
    <x:col min="5" max="5" width="15" hidden="0" customWidth="1"/>
    <x:col min="6" max="6" width="19" hidden="0" customWidth="1"/>
    <x:col min="7" max="7" width="24" hidden="0" customWidth="1"/>
    <x:col min="8" max="8" width="14" hidden="0" customWidth="1"/>
    <x:col min="9" max="9" width="23" hidden="0" customWidth="1"/>
    <x:col min="10" max="10" width="24" hidden="0" customWidth="1"/>
    <x:col min="11" max="11" width="19" hidden="0" customWidth="1"/>
    <x:col min="12" max="12" width="34" hidden="0" customWidth="1"/>
    <x:col min="13" max="13" width="19" hidden="0" customWidth="1"/>
    <x:col min="14" max="14" width="42" hidden="0" customWidth="1"/>
    <x:col min="16" max="16" width="1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3" t="str">
        <x:v>13 Cronograma Pagamentos</x:v>
      </x:c>
    </x:row>
    <x:row r="2" ht="34" customHeight="1">
      <x:c r="A2" s="7" t="str">
        <x:v>Realizado vem do Informe Mensal e Projetado identifica a curva contratual não localizada. Os gráficos nativos usam apenas saldos realizados.</x:v>
      </x:c>
    </x:row>
    <x:row r="3" ht="24" customHeight="1">
      <x:c r="A3" s="11" t="str">
        <x:v>Data-base: 2024-02-01 a 2038-07-20 | Fontes: CVM_CRI_2024_CLASSE; CVM_CRI_2025_CLASSE; CVM_CRI_2026_CLASSE; ANX_CRI1_PROSP_20240216; ANX_CRI2_RATING_202406;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</x:row>
    <x:row r="5" ht="20" customHeight="1">
      <x:c r="A5" s="16" t="str">
        <x:v>veiculo_id</x:v>
      </x:c>
      <x:c r="B5" s="16" t="str">
        <x:v>serie</x:v>
      </x:c>
      <x:c r="C5" s="16" t="str">
        <x:v>camada</x:v>
      </x:c>
      <x:c r="D5" s="16" t="str">
        <x:v>competencia</x:v>
      </x:c>
      <x:c r="E5" s="16" t="str">
        <x:v>saldo_inicial</x:v>
      </x:c>
      <x:c r="F5" s="16" t="str">
        <x:v>juros_programados</x:v>
      </x:c>
      <x:c r="G5" s="16" t="str">
        <x:v>amortizacao_programada</x:v>
      </x:c>
      <x:c r="H5" s="16" t="str">
        <x:v>saldo_final</x:v>
      </x:c>
      <x:c r="I5" s="16" t="str">
        <x:v>juros_pagos_realizado</x:v>
      </x:c>
      <x:c r="J5" s="16" t="str">
        <x:v>amortizacao_paga_realizada</x:v>
      </x:c>
      <x:c r="K5" s="16" t="str">
        <x:v>status</x:v>
      </x:c>
      <x:c r="L5" s="16" t="str">
        <x:v>fonte_id</x:v>
      </x:c>
      <x:c r="M5" s="16" t="str">
        <x:v>status_dado</x:v>
      </x:c>
      <x:c r="N5" s="16" t="str">
        <x:v>nota_metodo</x:v>
      </x:c>
      <x:c r="P5" s="64" t="str">
        <x:v>competencia</x:v>
      </x:c>
      <x:c r="Q5" s="65" t="str">
        <x:v>Super Sênior</x:v>
      </x:c>
      <x:c r="R5" s="65" t="str">
        <x:v>Sênior</x:v>
      </x:c>
      <x:c r="S5" s="65" t="str">
        <x:v>Mezanino</x:v>
      </x:c>
      <x:c r="T5" s="65" t="str">
        <x:v>Subordinada/Júnior</x:v>
      </x:c>
    </x:row>
    <x:row r="6">
      <x:c r="A6" s="20" t="str">
        <x:v>CRI_K1</x:v>
      </x:c>
      <x:c r="B6" s="20" t="str">
        <x:v>Série 1</x:v>
      </x:c>
      <x:c r="C6" s="20" t="str">
        <x:v>Super Sênior</x:v>
      </x:c>
      <x:c r="D6" s="21" t="n">
        <x:v>45323</x:v>
      </x:c>
      <x:c r="E6" s="25" t="str">
        <x:v>n/d</x:v>
      </x:c>
      <x:c r="F6" s="25" t="str">
        <x:v>n/d</x:v>
      </x:c>
      <x:c r="G6" s="25" t="str">
        <x:v>n/d</x:v>
      </x:c>
      <x:c r="H6" s="25" t="n">
        <x:v>361247230.83</x:v>
      </x:c>
      <x:c r="I6" s="25" t="n">
        <x:v>0</x:v>
      </x:c>
      <x:c r="J6" s="25" t="n">
        <x:v>0</x:v>
      </x:c>
      <x:c r="K6" s="20" t="str">
        <x:v>Realizado</x:v>
      </x:c>
      <x:c r="L6" s="20" t="str">
        <x:v>CVM_CRI_2024_CLASSE</x:v>
      </x:c>
      <x:c r="M6" s="20" t="str">
        <x:v>Documentado</x:v>
      </x:c>
      <x:c r="N6" s="20" t="str">
        <x:v>Saldo final: saldo agregado; controle total indisponível, controlado por Valor_Atualizado_Emissao. Unidade sem reconciliação permanece n/d; pagamentos realizados ficam documentados. Saldo inicial da primeira competência permanece n/d; Total_Integralizado não foi usado como saldo corrente.</x:v>
      </x:c>
      <x:c r="P6" s="57" t="n">
        <x:v>45323</x:v>
      </x:c>
      <x:c r="Q6" s="59" t="n">
        <x:v>361247230.83</x:v>
      </x:c>
      <x:c r="R6" s="59" t="n">
        <x:v>90343264.65</x:v>
      </x:c>
      <x:c r="S6" s="59" t="n">
        <x:v>108524295.02</x:v>
      </x:c>
      <x:c r="T6" s="59" t="n">
        <x:v>42217574.59</x:v>
      </x:c>
    </x:row>
    <x:row r="7">
      <x:c r="A7" s="20" t="str">
        <x:v>CRI_K1</x:v>
      </x:c>
      <x:c r="B7" s="20" t="str">
        <x:v>Série 1</x:v>
      </x:c>
      <x:c r="C7" s="20" t="str">
        <x:v>Super Sênior</x:v>
      </x:c>
      <x:c r="D7" s="21" t="n">
        <x:v>45352</x:v>
      </x:c>
      <x:c r="E7" s="25" t="n">
        <x:v>361247230.83</x:v>
      </x:c>
      <x:c r="F7" s="25" t="str">
        <x:v>n/d</x:v>
      </x:c>
      <x:c r="G7" s="25" t="str">
        <x:v>n/d</x:v>
      </x:c>
      <x:c r="H7" s="25" t="n">
        <x:v>363704321.79</x:v>
      </x:c>
      <x:c r="I7" s="25" t="n">
        <x:v>0</x:v>
      </x:c>
      <x:c r="J7" s="25" t="n">
        <x:v>0</x:v>
      </x:c>
      <x:c r="K7" s="20" t="str">
        <x:v>Realizado</x:v>
      </x:c>
      <x:c r="L7" s="20" t="str">
        <x:v>CVM_CRI_2024_CLASSE</x:v>
      </x:c>
      <x:c r="M7" s="20" t="str">
        <x:v>Documentado</x:v>
      </x:c>
      <x:c r="N7" s="20" t="str">
        <x:v>Saldo final: saldo agregado; controle total indisponível, controlado por Valor_Atualizado_Emissao. Unidade sem reconciliação permanece n/d; pagamentos realizados ficam documentados.</x:v>
      </x:c>
      <x:c r="P7" s="57" t="n">
        <x:v>45352</x:v>
      </x:c>
      <x:c r="Q7" s="59" t="n">
        <x:v>363704321.79</x:v>
      </x:c>
      <x:c r="R7" s="59" t="n">
        <x:v>91207165.14</x:v>
      </x:c>
      <x:c r="S7" s="59" t="n">
        <x:v>109846195.03</x:v>
      </x:c>
      <x:c r="T7" s="59" t="n">
        <x:v>42766810.19</x:v>
      </x:c>
    </x:row>
    <x:row r="8">
      <x:c r="A8" s="20" t="str">
        <x:v>CRI_K1</x:v>
      </x:c>
      <x:c r="B8" s="20" t="str">
        <x:v>Série 1</x:v>
      </x:c>
      <x:c r="C8" s="20" t="str">
        <x:v>Super Sênior</x:v>
      </x:c>
      <x:c r="D8" s="21" t="n">
        <x:v>45383</x:v>
      </x:c>
      <x:c r="E8" s="25" t="n">
        <x:v>363704321.79</x:v>
      </x:c>
      <x:c r="F8" s="25" t="str">
        <x:v>n/d</x:v>
      </x:c>
      <x:c r="G8" s="25" t="str">
        <x:v>n/d</x:v>
      </x:c>
      <x:c r="H8" s="25" t="str">
        <x:v>n/d</x:v>
      </x:c>
      <x:c r="I8" s="25" t="n">
        <x:v>3146086.76</x:v>
      </x:c>
      <x:c r="J8" s="25" t="n">
        <x:v>11836779.16</x:v>
      </x:c>
      <x:c r="K8" s="20" t="str">
        <x:v>Realizado</x:v>
      </x:c>
      <x:c r="L8" s="20" t="str">
        <x:v>CVM_CRI_2024_CLASSE</x:v>
      </x:c>
      <x:c r="M8" s="20" t="str">
        <x:v>Documentado</x:v>
      </x:c>
      <x:c r="N8" s="20" t="str">
        <x:v>Saldo final: n/d por conflito de unidade, controlado por Valor_Atualizado_Emissao. Unidade sem reconciliação permanece n/d; pagamentos realizados ficam documentados.</x:v>
      </x:c>
      <x:c r="P8" s="57" t="n">
        <x:v>45474</x:v>
      </x:c>
      <x:c r="Q8" s="59" t="n">
        <x:v>304506000</x:v>
      </x:c>
      <x:c r="R8" s="59" t="n">
        <x:v>95017500</x:v>
      </x:c>
      <x:c r="S8" s="59" t="n">
        <x:v>115716600</x:v>
      </x:c>
      <x:c r="T8" s="59" t="n">
        <x:v>45217320</x:v>
      </x:c>
    </x:row>
    <x:row r="9">
      <x:c r="A9" s="20" t="str">
        <x:v>CRI_K1</x:v>
      </x:c>
      <x:c r="B9" s="20" t="str">
        <x:v>Série 1</x:v>
      </x:c>
      <x:c r="C9" s="20" t="str">
        <x:v>Super Sênior</x:v>
      </x:c>
      <x:c r="D9" s="21" t="n">
        <x:v>45413</x:v>
      </x:c>
      <x:c r="E9" s="25" t="str">
        <x:v>n/d</x:v>
      </x:c>
      <x:c r="F9" s="25" t="str">
        <x:v>n/d</x:v>
      </x:c>
      <x:c r="G9" s="25" t="str">
        <x:v>n/d</x:v>
      </x:c>
      <x:c r="H9" s="25" t="str">
        <x:v>n/d</x:v>
      </x:c>
      <x:c r="I9" s="25" t="n">
        <x:v>3213293.26</x:v>
      </x:c>
      <x:c r="J9" s="25" t="n">
        <x:v>16848305.58</x:v>
      </x:c>
      <x:c r="K9" s="20" t="str">
        <x:v>Realizado</x:v>
      </x:c>
      <x:c r="L9" s="20" t="str">
        <x:v>CVM_CRI_2024_CLASSE</x:v>
      </x:c>
      <x:c r="M9" s="20" t="str">
        <x:v>Documentado</x:v>
      </x:c>
      <x:c r="N9" s="20" t="str">
        <x:v>Saldo final: n/d por conflito de unidade, controlado por Valor_Atualizado_Emissao. Unidade sem reconciliação permanece n/d; pagamentos realizados ficam documentados.</x:v>
      </x:c>
      <x:c r="P9" s="57" t="n">
        <x:v>45536</x:v>
      </x:c>
      <x:c r="Q9" s="59" t="n">
        <x:v>289044000</x:v>
      </x:c>
      <x:c r="R9" s="59" t="n">
        <x:v>80325000</x:v>
      </x:c>
      <x:c r="S9" s="59" t="n">
        <x:v>117959760</x:v>
      </x:c>
      <x:c r="T9" s="59" t="n">
        <x:v>46498380</x:v>
      </x:c>
    </x:row>
    <x:row r="10">
      <x:c r="A10" s="20" t="str">
        <x:v>CRI_K1</x:v>
      </x:c>
      <x:c r="B10" s="20" t="str">
        <x:v>Série 1</x:v>
      </x:c>
      <x:c r="C10" s="20" t="str">
        <x:v>Super Sênior</x:v>
      </x:c>
      <x:c r="D10" s="21" t="n">
        <x:v>45444</x:v>
      </x:c>
      <x:c r="E10" s="25" t="str">
        <x:v>n/d</x:v>
      </x:c>
      <x:c r="F10" s="25" t="str">
        <x:v>n/d</x:v>
      </x:c>
      <x:c r="G10" s="25" t="str">
        <x:v>n/d</x:v>
      </x:c>
      <x:c r="H10" s="25" t="str">
        <x:v>n/d</x:v>
      </x:c>
      <x:c r="I10" s="25" t="n">
        <x:v>2773603.16</x:v>
      </x:c>
      <x:c r="J10" s="25" t="n">
        <x:v>16469119.55</x:v>
      </x:c>
      <x:c r="K10" s="20" t="str">
        <x:v>Realizado</x:v>
      </x:c>
      <x:c r="L10" s="20" t="str">
        <x:v>CVM_CRI_2024_CLASSE</x:v>
      </x:c>
      <x:c r="M10" s="20" t="str">
        <x:v>Documentado</x:v>
      </x:c>
      <x:c r="N10" s="20" t="str">
        <x:v>Saldo final: n/d por conflito de unidade, controlado por Valor_Atualizado_Emissao. Unidade sem reconciliação permanece n/d; pagamentos realizados ficam documentados.</x:v>
      </x:c>
      <x:c r="P10" s="57" t="n">
        <x:v>45566</x:v>
      </x:c>
      <x:c r="Q10" s="59" t="n">
        <x:v>282321063.44</x:v>
      </x:c>
      <x:c r="R10" s="59" t="n">
        <x:v>78463494.74</x:v>
      </x:c>
      <x:c r="S10" s="59" t="n">
        <x:v>111543072.08</x:v>
      </x:c>
      <x:c r="T10" s="59" t="n">
        <x:v>47199435.019999996</x:v>
      </x:c>
    </x:row>
    <x:row r="11">
      <x:c r="A11" s="20" t="str">
        <x:v>CRI_K1</x:v>
      </x:c>
      <x:c r="B11" s="20" t="str">
        <x:v>Série 1</x:v>
      </x:c>
      <x:c r="C11" s="20" t="str">
        <x:v>Super Sênior</x:v>
      </x:c>
      <x:c r="D11" s="21" t="n">
        <x:v>45474</x:v>
      </x:c>
      <x:c r="E11" s="25" t="str">
        <x:v>n/d</x:v>
      </x:c>
      <x:c r="F11" s="25" t="str">
        <x:v>n/d</x:v>
      </x:c>
      <x:c r="G11" s="25" t="str">
        <x:v>n/d</x:v>
      </x:c>
      <x:c r="H11" s="25" t="n">
        <x:v>304506000</x:v>
      </x:c>
      <x:c r="I11" s="25" t="n">
        <x:v>3027141.3</x:v>
      </x:c>
      <x:c r="J11" s="25" t="n">
        <x:v>4567257.7</x:v>
      </x:c>
      <x:c r="K11" s="20" t="str">
        <x:v>Realizado</x:v>
      </x:c>
      <x:c r="L11" s="20" t="str">
        <x:v>CVM_CRI_2024_CLASSE</x:v>
      </x:c>
      <x:c r="M11" s="20" t="str">
        <x:v>Documentado</x:v>
      </x:c>
      <x:c r="N11" s="20" t="str">
        <x:v>Saldo final: valor unitário × quantidade reconciliado, controlado por Valor_Atualizado_Emissao. Unidade sem reconciliação permanece n/d; pagamentos realizados ficam documentados.</x:v>
      </x:c>
      <x:c r="P11" s="57" t="n">
        <x:v>45597</x:v>
      </x:c>
      <x:c r="Q11" s="59" t="n">
        <x:v>274395026.88</x:v>
      </x:c>
      <x:c r="R11" s="59" t="n">
        <x:v>76247389.68</x:v>
      </x:c>
      <x:c r="S11" s="59" t="n">
        <x:v>105796194.05</x:v>
      </x:c>
      <x:c r="T11" s="59" t="n">
        <x:v>47787140.14</x:v>
      </x:c>
    </x:row>
    <x:row r="12">
      <x:c r="A12" s="20" t="str">
        <x:v>CRI_K1</x:v>
      </x:c>
      <x:c r="B12" s="20" t="str">
        <x:v>Série 1</x:v>
      </x:c>
      <x:c r="C12" s="20" t="str">
        <x:v>Super Sênior</x:v>
      </x:c>
      <x:c r="D12" s="21" t="n">
        <x:v>45505</x:v>
      </x:c>
      <x:c r="E12" s="25" t="n">
        <x:v>304506000</x:v>
      </x:c>
      <x:c r="F12" s="25" t="str">
        <x:v>n/d</x:v>
      </x:c>
      <x:c r="G12" s="25" t="str">
        <x:v>n/d</x:v>
      </x:c>
      <x:c r="H12" s="25" t="str">
        <x:v>n/d</x:v>
      </x:c>
      <x:c r="I12" s="25" t="n">
        <x:v>3027141.3</x:v>
      </x:c>
      <x:c r="J12" s="25" t="n">
        <x:v>4567257.7</x:v>
      </x:c>
      <x:c r="K12" s="20" t="str">
        <x:v>Realizado</x:v>
      </x:c>
      <x:c r="L12" s="20" t="str">
        <x:v>CVM_CRI_2024_CLASSE</x:v>
      </x:c>
      <x:c r="M12" s="20" t="str">
        <x:v>Documentado</x:v>
      </x:c>
      <x:c r="N12" s="20" t="str">
        <x:v>Saldo final: n/d por conflito de unidade, controlado por Valor_Atualizado_Emissao. Unidade sem reconciliação permanece n/d; pagamentos realizados ficam documentados.</x:v>
      </x:c>
      <x:c r="P12" s="57" t="n">
        <x:v>45627</x:v>
      </x:c>
      <x:c r="Q12" s="59" t="n">
        <x:v>267350127.55</x:v>
      </x:c>
      <x:c r="R12" s="59" t="n">
        <x:v>74296259.84</x:v>
      </x:c>
      <x:c r="S12" s="59" t="n">
        <x:v>101491975.69</x:v>
      </x:c>
      <x:c r="T12" s="59" t="n">
        <x:v>48445811.1</x:v>
      </x:c>
    </x:row>
    <x:row r="13">
      <x:c r="A13" s="20" t="str">
        <x:v>CRI_K1</x:v>
      </x:c>
      <x:c r="B13" s="20" t="str">
        <x:v>Série 1</x:v>
      </x:c>
      <x:c r="C13" s="20" t="str">
        <x:v>Super Sênior</x:v>
      </x:c>
      <x:c r="D13" s="21" t="n">
        <x:v>45536</x:v>
      </x:c>
      <x:c r="E13" s="25" t="str">
        <x:v>n/d</x:v>
      </x:c>
      <x:c r="F13" s="25" t="str">
        <x:v>n/d</x:v>
      </x:c>
      <x:c r="G13" s="25" t="str">
        <x:v>n/d</x:v>
      </x:c>
      <x:c r="H13" s="25" t="n">
        <x:v>289044000</x:v>
      </x:c>
      <x:c r="I13" s="25" t="n">
        <x:v>2624713.06</x:v>
      </x:c>
      <x:c r="J13" s="25" t="n">
        <x:v>6936942.46</x:v>
      </x:c>
      <x:c r="K13" s="20" t="str">
        <x:v>Realizado</x:v>
      </x:c>
      <x:c r="L13" s="20" t="str">
        <x:v>CVM_CRI_2024_CLASSE</x:v>
      </x:c>
      <x:c r="M13" s="20" t="str">
        <x:v>Documentado</x:v>
      </x:c>
      <x:c r="N13" s="20" t="str">
        <x:v>Saldo final: valor unitário × quantidade reconciliado, controlado por Valor_Atualizado_Emissao. Unidade sem reconciliação permanece n/d; pagamentos realizados ficam documentados.</x:v>
      </x:c>
      <x:c r="P13" s="57" t="n">
        <x:v>45658</x:v>
      </x:c>
      <x:c r="Q13" s="59" t="n">
        <x:v>260308933.35</x:v>
      </x:c>
      <x:c r="R13" s="59" t="n">
        <x:v>72345819.24</x:v>
      </x:c>
      <x:c r="S13" s="59" t="n">
        <x:v>95621679.06</x:v>
      </x:c>
      <x:c r="T13" s="59" t="n">
        <x:v>49146252.56</x:v>
      </x:c>
    </x:row>
    <x:row r="14">
      <x:c r="A14" s="20" t="str">
        <x:v>CRI_K1</x:v>
      </x:c>
      <x:c r="B14" s="20" t="str">
        <x:v>Série 1</x:v>
      </x:c>
      <x:c r="C14" s="20" t="str">
        <x:v>Super Sênior</x:v>
      </x:c>
      <x:c r="D14" s="21" t="n">
        <x:v>45566</x:v>
      </x:c>
      <x:c r="E14" s="25" t="n">
        <x:v>289044000</x:v>
      </x:c>
      <x:c r="F14" s="25" t="str">
        <x:v>n/d</x:v>
      </x:c>
      <x:c r="G14" s="25" t="str">
        <x:v>n/d</x:v>
      </x:c>
      <x:c r="H14" s="25" t="n">
        <x:v>282321063.44</x:v>
      </x:c>
      <x:c r="I14" s="25" t="n">
        <x:v>2624713.06</x:v>
      </x:c>
      <x:c r="J14" s="25" t="n">
        <x:v>6936942.46</x:v>
      </x:c>
      <x:c r="K14" s="20" t="str">
        <x:v>Realizado</x:v>
      </x:c>
      <x:c r="L14" s="20" t="str">
        <x:v>CVM_CRI_2024_CLASSE</x:v>
      </x:c>
      <x:c r="M14" s="20" t="str">
        <x:v>Documentado</x:v>
      </x:c>
      <x:c r="N14" s="20" t="str">
        <x:v>Saldo final: saldo agregado reconciliado, controlado por Valor_Atualizado_Emissao. Unidade sem reconciliação permanece n/d; pagamentos realizados ficam documentados.</x:v>
      </x:c>
      <x:c r="P14" s="57" t="n">
        <x:v>45689</x:v>
      </x:c>
      <x:c r="Q14" s="59" t="n">
        <x:v>253292882.94</x:v>
      </x:c>
      <x:c r="R14" s="59" t="n">
        <x:v>70386705.31</x:v>
      </x:c>
      <x:c r="S14" s="59" t="n">
        <x:v>89855790.64</x:v>
      </x:c>
      <x:c r="T14" s="59" t="n">
        <x:v>49792398.21</x:v>
      </x:c>
    </x:row>
    <x:row r="15">
      <x:c r="A15" s="20" t="str">
        <x:v>CRI_K1</x:v>
      </x:c>
      <x:c r="B15" s="20" t="str">
        <x:v>Série 1</x:v>
      </x:c>
      <x:c r="C15" s="20" t="str">
        <x:v>Super Sênior</x:v>
      </x:c>
      <x:c r="D15" s="21" t="n">
        <x:v>45597</x:v>
      </x:c>
      <x:c r="E15" s="25" t="n">
        <x:v>282321063.44</x:v>
      </x:c>
      <x:c r="F15" s="25" t="str">
        <x:v>n/d</x:v>
      </x:c>
      <x:c r="G15" s="25" t="str">
        <x:v>n/d</x:v>
      </x:c>
      <x:c r="H15" s="25" t="n">
        <x:v>274395026.88</x:v>
      </x:c>
      <x:c r="I15" s="25" t="n">
        <x:v>2806610.41</x:v>
      </x:c>
      <x:c r="J15" s="25" t="n">
        <x:v>7412567.57</x:v>
      </x:c>
      <x:c r="K15" s="20" t="str">
        <x:v>Realizado</x:v>
      </x:c>
      <x:c r="L15" s="20" t="str">
        <x:v>CVM_CRI_2024_CLASSE</x:v>
      </x:c>
      <x:c r="M15" s="20" t="str">
        <x:v>Documentado</x:v>
      </x:c>
      <x:c r="N15" s="20" t="str">
        <x:v>Saldo final: saldo agregado reconciliado, controlado por Valor_Atualizado_Emissao. Unidade sem reconciliação permanece n/d; pagamentos realizados ficam documentados.</x:v>
      </x:c>
      <x:c r="P15" s="57" t="n">
        <x:v>45717</x:v>
      </x:c>
      <x:c r="Q15" s="59" t="n">
        <x:v>245980767.32</x:v>
      </x:c>
      <x:c r="R15" s="59" t="n">
        <x:v>68357741.85</x:v>
      </x:c>
      <x:c r="S15" s="59" t="n">
        <x:v>85181471.84</x:v>
      </x:c>
      <x:c r="T15" s="59" t="n">
        <x:v>50414634.32000001</x:v>
      </x:c>
    </x:row>
    <x:row r="16">
      <x:c r="A16" s="20" t="str">
        <x:v>CRI_K1</x:v>
      </x:c>
      <x:c r="B16" s="20" t="str">
        <x:v>Série 1</x:v>
      </x:c>
      <x:c r="C16" s="20" t="str">
        <x:v>Super Sênior</x:v>
      </x:c>
      <x:c r="D16" s="21" t="n">
        <x:v>45627</x:v>
      </x:c>
      <x:c r="E16" s="25" t="n">
        <x:v>274395026.88</x:v>
      </x:c>
      <x:c r="F16" s="25" t="str">
        <x:v>n/d</x:v>
      </x:c>
      <x:c r="G16" s="25" t="str">
        <x:v>n/d</x:v>
      </x:c>
      <x:c r="H16" s="25" t="n">
        <x:v>267350127.55</x:v>
      </x:c>
      <x:c r="I16" s="25" t="n">
        <x:v>2255359.65</x:v>
      </x:c>
      <x:c r="J16" s="25" t="n">
        <x:v>7250839.02</x:v>
      </x:c>
      <x:c r="K16" s="20" t="str">
        <x:v>Realizado</x:v>
      </x:c>
      <x:c r="L16" s="20" t="str">
        <x:v>CVM_CRI_2024_CLASSE</x:v>
      </x:c>
      <x:c r="M16" s="20" t="str">
        <x:v>Documentado</x:v>
      </x:c>
      <x:c r="N16" s="20" t="str">
        <x:v>Saldo final: saldo agregado reconciliado, controlado por Valor_Atualizado_Emissao. Unidade sem reconciliação permanece n/d; pagamentos realizados ficam documentados.</x:v>
      </x:c>
      <x:c r="P16" s="57" t="n">
        <x:v>45748</x:v>
      </x:c>
      <x:c r="Q16" s="59" t="n">
        <x:v>237885086.66</x:v>
      </x:c>
      <x:c r="R16" s="59" t="n">
        <x:v>66105084.75</x:v>
      </x:c>
      <x:c r="S16" s="59" t="n">
        <x:v>81417338.95</x:v>
      </x:c>
      <x:c r="T16" s="59" t="n">
        <x:v>51078586.16</x:v>
      </x:c>
    </x:row>
    <x:row r="17">
      <x:c r="A17" s="20" t="str">
        <x:v>CRI_K1</x:v>
      </x:c>
      <x:c r="B17" s="20" t="str">
        <x:v>Série 1</x:v>
      </x:c>
      <x:c r="C17" s="20" t="str">
        <x:v>Super Sênior</x:v>
      </x:c>
      <x:c r="D17" s="21" t="n">
        <x:v>45658</x:v>
      </x:c>
      <x:c r="E17" s="25" t="n">
        <x:v>267350127.55</x:v>
      </x:c>
      <x:c r="F17" s="25" t="str">
        <x:v>n/d</x:v>
      </x:c>
      <x:c r="G17" s="25" t="str">
        <x:v>n/d</x:v>
      </x:c>
      <x:c r="H17" s="25" t="n">
        <x:v>260308933.35</x:v>
      </x:c>
      <x:c r="I17" s="25" t="n">
        <x:v>2587783.4</x:v>
      </x:c>
      <x:c r="J17" s="25" t="n">
        <x:v>6652725.24</x:v>
      </x:c>
      <x:c r="K17" s="20" t="str">
        <x:v>Realizado</x:v>
      </x:c>
      <x:c r="L17" s="20" t="str">
        <x:v>CVM_CRI_2025_CLASSE</x:v>
      </x:c>
      <x:c r="M17" s="20" t="str">
        <x:v>Documentado</x:v>
      </x:c>
      <x:c r="N17" s="20" t="str">
        <x:v>Saldo final: saldo agregado reconciliado, controlado por Valor_Atualizado_Emissao. Unidade sem reconciliação permanece n/d; pagamentos realizados ficam documentados.</x:v>
      </x:c>
      <x:c r="P17" s="57" t="n">
        <x:v>45778</x:v>
      </x:c>
      <x:c r="Q17" s="59" t="n">
        <x:v>230291774.07</x:v>
      </x:c>
      <x:c r="R17" s="59" t="n">
        <x:v>64000576.59</x:v>
      </x:c>
      <x:c r="S17" s="59" t="n">
        <x:v>77146999.02</x:v>
      </x:c>
      <x:c r="T17" s="59" t="n">
        <x:v>51785777.66</x:v>
      </x:c>
    </x:row>
    <x:row r="18">
      <x:c r="A18" s="20" t="str">
        <x:v>CRI_K1</x:v>
      </x:c>
      <x:c r="B18" s="20" t="str">
        <x:v>Série 1</x:v>
      </x:c>
      <x:c r="C18" s="20" t="str">
        <x:v>Super Sênior</x:v>
      </x:c>
      <x:c r="D18" s="21" t="n">
        <x:v>45689</x:v>
      </x:c>
      <x:c r="E18" s="25" t="n">
        <x:v>260308933.35</x:v>
      </x:c>
      <x:c r="F18" s="25" t="str">
        <x:v>n/d</x:v>
      </x:c>
      <x:c r="G18" s="25" t="str">
        <x:v>n/d</x:v>
      </x:c>
      <x:c r="H18" s="25" t="n">
        <x:v>253292882.94</x:v>
      </x:c>
      <x:c r="I18" s="25" t="n">
        <x:v>2587783.39</x:v>
      </x:c>
      <x:c r="J18" s="25" t="n">
        <x:v>6652725.23</x:v>
      </x:c>
      <x:c r="K18" s="20" t="str">
        <x:v>Realizado</x:v>
      </x:c>
      <x:c r="L18" s="20" t="str">
        <x:v>CVM_CRI_2025_CLASSE</x:v>
      </x:c>
      <x:c r="M18" s="20" t="str">
        <x:v>Documentado</x:v>
      </x:c>
      <x:c r="N18" s="20" t="str">
        <x:v>Saldo final: saldo agregado reconciliado, controlado por Valor_Atualizado_Emissao. Unidade sem reconciliação permanece n/d; pagamentos realizados ficam documentados.</x:v>
      </x:c>
      <x:c r="P18" s="57" t="n">
        <x:v>45809</x:v>
      </x:c>
      <x:c r="Q18" s="59" t="n">
        <x:v>222578936.56</x:v>
      </x:c>
      <x:c r="R18" s="59" t="n">
        <x:v>61851710.3</x:v>
      </x:c>
      <x:c r="S18" s="59" t="n">
        <x:v>74308612.03</x:v>
      </x:c>
      <x:c r="T18" s="59" t="n">
        <x:v>49748311.01</x:v>
      </x:c>
    </x:row>
    <x:row r="19">
      <x:c r="A19" s="20" t="str">
        <x:v>CRI_K1</x:v>
      </x:c>
      <x:c r="B19" s="20" t="str">
        <x:v>Série 1</x:v>
      </x:c>
      <x:c r="C19" s="20" t="str">
        <x:v>Super Sênior</x:v>
      </x:c>
      <x:c r="D19" s="21" t="n">
        <x:v>45717</x:v>
      </x:c>
      <x:c r="E19" s="25" t="n">
        <x:v>253292882.94</x:v>
      </x:c>
      <x:c r="F19" s="25" t="str">
        <x:v>n/d</x:v>
      </x:c>
      <x:c r="G19" s="25" t="str">
        <x:v>n/d</x:v>
      </x:c>
      <x:c r="H19" s="25" t="n">
        <x:v>245980767.32</x:v>
      </x:c>
      <x:c r="I19" s="25" t="n">
        <x:v>1971059.44</x:v>
      </x:c>
      <x:c r="J19" s="25" t="n">
        <x:v>7389626.48</x:v>
      </x:c>
      <x:c r="K19" s="20" t="str">
        <x:v>Realizado</x:v>
      </x:c>
      <x:c r="L19" s="20" t="str">
        <x:v>CVM_CRI_2025_CLASSE</x:v>
      </x:c>
      <x:c r="M19" s="20" t="str">
        <x:v>Documentado</x:v>
      </x:c>
      <x:c r="N19" s="20" t="str">
        <x:v>Saldo final: saldo agregado reconciliado, controlado por Valor_Atualizado_Emissao. Unidade sem reconciliação permanece n/d; pagamentos realizados ficam documentados.</x:v>
      </x:c>
      <x:c r="P19" s="57" t="n">
        <x:v>45839</x:v>
      </x:c>
      <x:c r="Q19" s="59" t="n">
        <x:v>215158655.84</x:v>
      </x:c>
      <x:c r="R19" s="59" t="n">
        <x:v>59797522.2</x:v>
      </x:c>
      <x:c r="S19" s="59" t="n">
        <x:v>71868628.25</x:v>
      </x:c>
      <x:c r="T19" s="59" t="n">
        <x:v>42455329.64</x:v>
      </x:c>
    </x:row>
    <x:row r="20">
      <x:c r="A20" s="20" t="str">
        <x:v>CRI_K1</x:v>
      </x:c>
      <x:c r="B20" s="20" t="str">
        <x:v>Série 1</x:v>
      </x:c>
      <x:c r="C20" s="20" t="str">
        <x:v>Super Sênior</x:v>
      </x:c>
      <x:c r="D20" s="21" t="n">
        <x:v>45748</x:v>
      </x:c>
      <x:c r="E20" s="25" t="n">
        <x:v>245980767.32</x:v>
      </x:c>
      <x:c r="F20" s="25" t="str">
        <x:v>n/d</x:v>
      </x:c>
      <x:c r="G20" s="25" t="str">
        <x:v>n/d</x:v>
      </x:c>
      <x:c r="H20" s="25" t="n">
        <x:v>237885086.66</x:v>
      </x:c>
      <x:c r="I20" s="25" t="n">
        <x:v>2233669.6</x:v>
      </x:c>
      <x:c r="J20" s="25" t="n">
        <x:v>7958336.68</x:v>
      </x:c>
      <x:c r="K20" s="20" t="str">
        <x:v>Realizado</x:v>
      </x:c>
      <x:c r="L20" s="20" t="str">
        <x:v>CVM_CRI_2025_CLASSE</x:v>
      </x:c>
      <x:c r="M20" s="20" t="str">
        <x:v>Documentado</x:v>
      </x:c>
      <x:c r="N20" s="20" t="str">
        <x:v>Saldo final: saldo agregado reconciliado, controlado por Valor_Atualizado_Emissao. Unidade sem reconciliação permanece n/d; pagamentos realizados ficam documentados.</x:v>
      </x:c>
      <x:c r="P20" s="57" t="n">
        <x:v>45870</x:v>
      </x:c>
      <x:c r="Q20" s="59" t="n">
        <x:v>208233487.81</x:v>
      </x:c>
      <x:c r="R20" s="59" t="n">
        <x:v>57867820.97</x:v>
      </x:c>
      <x:c r="S20" s="59" t="n">
        <x:v>69531373.55</x:v>
      </x:c>
      <x:c r="T20" s="59" t="n">
        <x:v>39628688.09</x:v>
      </x:c>
    </x:row>
    <x:row r="21">
      <x:c r="A21" s="20" t="str">
        <x:v>CRI_K1</x:v>
      </x:c>
      <x:c r="B21" s="20" t="str">
        <x:v>Série 1</x:v>
      </x:c>
      <x:c r="C21" s="20" t="str">
        <x:v>Super Sênior</x:v>
      </x:c>
      <x:c r="D21" s="21" t="n">
        <x:v>45778</x:v>
      </x:c>
      <x:c r="E21" s="25" t="n">
        <x:v>237885086.66</x:v>
      </x:c>
      <x:c r="F21" s="25" t="str">
        <x:v>n/d</x:v>
      </x:c>
      <x:c r="G21" s="25" t="str">
        <x:v>n/d</x:v>
      </x:c>
      <x:c r="H21" s="25" t="n">
        <x:v>230291774.07</x:v>
      </x:c>
      <x:c r="I21" s="25" t="n">
        <x:v>2190311.42</x:v>
      </x:c>
      <x:c r="J21" s="25" t="n">
        <x:v>7762085.04</x:v>
      </x:c>
      <x:c r="K21" s="20" t="str">
        <x:v>Realizado</x:v>
      </x:c>
      <x:c r="L21" s="20" t="str">
        <x:v>CVM_CRI_2025_CLASSE</x:v>
      </x:c>
      <x:c r="M21" s="20" t="str">
        <x:v>Documentado</x:v>
      </x:c>
      <x:c r="N21" s="20" t="str">
        <x:v>Saldo final: saldo agregado reconciliado, controlado por Valor_Atualizado_Emissao. Unidade sem reconciliação permanece n/d; pagamentos realizados ficam documentados.</x:v>
      </x:c>
      <x:c r="P21" s="57" t="n">
        <x:v>45901</x:v>
      </x:c>
      <x:c r="Q21" s="59" t="n">
        <x:v>203328131.07</x:v>
      </x:c>
      <x:c r="R21" s="59" t="n">
        <x:v>56507083.33</x:v>
      </x:c>
      <x:c r="S21" s="59" t="n">
        <x:v>67905165.86</x:v>
      </x:c>
      <x:c r="T21" s="59" t="n">
        <x:v>34682564.15</x:v>
      </x:c>
    </x:row>
    <x:row r="22">
      <x:c r="A22" s="20" t="str">
        <x:v>CRI_K1</x:v>
      </x:c>
      <x:c r="B22" s="20" t="str">
        <x:v>Série 1</x:v>
      </x:c>
      <x:c r="C22" s="20" t="str">
        <x:v>Super Sênior</x:v>
      </x:c>
      <x:c r="D22" s="21" t="n">
        <x:v>45809</x:v>
      </x:c>
      <x:c r="E22" s="25" t="n">
        <x:v>230291774.07</x:v>
      </x:c>
      <x:c r="F22" s="25" t="str">
        <x:v>n/d</x:v>
      </x:c>
      <x:c r="G22" s="25" t="str">
        <x:v>n/d</x:v>
      </x:c>
      <x:c r="H22" s="25" t="n">
        <x:v>222578936.56</x:v>
      </x:c>
      <x:c r="I22" s="25" t="n">
        <x:v>2190311.42</x:v>
      </x:c>
      <x:c r="J22" s="25" t="n">
        <x:v>7484626.67</x:v>
      </x:c>
      <x:c r="K22" s="20" t="str">
        <x:v>Realizado</x:v>
      </x:c>
      <x:c r="L22" s="20" t="str">
        <x:v>CVM_CRI_2025_CLASSE</x:v>
      </x:c>
      <x:c r="M22" s="20" t="str">
        <x:v>Documentado</x:v>
      </x:c>
      <x:c r="N22" s="20" t="str">
        <x:v>Saldo final: saldo agregado reconciliado, controlado por Valor_Atualizado_Emissao. Unidade sem reconciliação permanece n/d; pagamentos realizados ficam documentados.</x:v>
      </x:c>
      <x:c r="P22" s="57" t="n">
        <x:v>45931</x:v>
      </x:c>
      <x:c r="Q22" s="59" t="n">
        <x:v>195824832.17</x:v>
      </x:c>
      <x:c r="R22" s="59" t="n">
        <x:v>54424210.45</x:v>
      </x:c>
      <x:c r="S22" s="59" t="n">
        <x:v>65410625.79</x:v>
      </x:c>
      <x:c r="T22" s="59" t="n">
        <x:v>33467407.479999997</x:v>
      </x:c>
    </x:row>
    <x:row r="23">
      <x:c r="A23" s="20" t="str">
        <x:v>CRI_K1</x:v>
      </x:c>
      <x:c r="B23" s="20" t="str">
        <x:v>Série 1</x:v>
      </x:c>
      <x:c r="C23" s="20" t="str">
        <x:v>Super Sênior</x:v>
      </x:c>
      <x:c r="D23" s="21" t="n">
        <x:v>45839</x:v>
      </x:c>
      <x:c r="E23" s="25" t="n">
        <x:v>222578936.56</x:v>
      </x:c>
      <x:c r="F23" s="25" t="str">
        <x:v>n/d</x:v>
      </x:c>
      <x:c r="G23" s="25" t="str">
        <x:v>n/d</x:v>
      </x:c>
      <x:c r="H23" s="25" t="n">
        <x:v>215158655.84</x:v>
      </x:c>
      <x:c r="I23" s="25" t="n">
        <x:v>1925334.96</x:v>
      </x:c>
      <x:c r="J23" s="25" t="n">
        <x:v>7669252.65</x:v>
      </x:c>
      <x:c r="K23" s="20" t="str">
        <x:v>Realizado</x:v>
      </x:c>
      <x:c r="L23" s="20" t="str">
        <x:v>CVM_CRI_2025_CLASSE</x:v>
      </x:c>
      <x:c r="M23" s="20" t="str">
        <x:v>Documentado</x:v>
      </x:c>
      <x:c r="N23" s="20" t="str">
        <x:v>Saldo final: saldo agregado reconciliado, controlado por Valor_Atualizado_Emissao. Unidade sem reconciliação permanece n/d; pagamentos realizados ficam documentados.</x:v>
      </x:c>
      <x:c r="P23" s="57" t="n">
        <x:v>45962</x:v>
      </x:c>
      <x:c r="Q23" s="59" t="n">
        <x:v>189831329.42</x:v>
      </x:c>
      <x:c r="R23" s="59" t="n">
        <x:v>52749291.83</x:v>
      </x:c>
      <x:c r="S23" s="59" t="n">
        <x:v>63364764.73</x:v>
      </x:c>
      <x:c r="T23" s="59" t="n">
        <x:v>29658255.159999996</x:v>
      </x:c>
    </x:row>
    <x:row r="24">
      <x:c r="A24" s="20" t="str">
        <x:v>CRI_K1</x:v>
      </x:c>
      <x:c r="B24" s="20" t="str">
        <x:v>Série 1</x:v>
      </x:c>
      <x:c r="C24" s="20" t="str">
        <x:v>Super Sênior</x:v>
      </x:c>
      <x:c r="D24" s="21" t="n">
        <x:v>45870</x:v>
      </x:c>
      <x:c r="E24" s="25" t="n">
        <x:v>215158655.84</x:v>
      </x:c>
      <x:c r="F24" s="25" t="str">
        <x:v>n/d</x:v>
      </x:c>
      <x:c r="G24" s="25" t="str">
        <x:v>n/d</x:v>
      </x:c>
      <x:c r="H24" s="25" t="n">
        <x:v>208233487.81</x:v>
      </x:c>
      <x:c r="I24" s="25" t="n">
        <x:v>2138935.42</x:v>
      </x:c>
      <x:c r="J24" s="25" t="n">
        <x:v>6710142.48</x:v>
      </x:c>
      <x:c r="K24" s="20" t="str">
        <x:v>Realizado</x:v>
      </x:c>
      <x:c r="L24" s="20" t="str">
        <x:v>CVM_CRI_2025_CLASSE</x:v>
      </x:c>
      <x:c r="M24" s="20" t="str">
        <x:v>Documentado</x:v>
      </x:c>
      <x:c r="N24" s="20" t="str">
        <x:v>Saldo final: saldo agregado reconciliado, controlado por Valor_Atualizado_Emissao. Unidade sem reconciliação permanece n/d; pagamentos realizados ficam documentados.</x:v>
      </x:c>
      <x:c r="P24" s="57" t="n">
        <x:v>45992</x:v>
      </x:c>
      <x:c r="Q24" s="59" t="n">
        <x:v>182586236.81</x:v>
      </x:c>
      <x:c r="R24" s="59" t="n">
        <x:v>50742691.44</x:v>
      </x:c>
      <x:c r="S24" s="59" t="n">
        <x:v>60978034.53</x:v>
      </x:c>
      <x:c r="T24" s="59" t="n">
        <x:v>29015567.37</x:v>
      </x:c>
    </x:row>
    <x:row r="25">
      <x:c r="A25" s="20" t="str">
        <x:v>CRI_K1</x:v>
      </x:c>
      <x:c r="B25" s="20" t="str">
        <x:v>Série 1</x:v>
      </x:c>
      <x:c r="C25" s="20" t="str">
        <x:v>Super Sênior</x:v>
      </x:c>
      <x:c r="D25" s="21" t="n">
        <x:v>45901</x:v>
      </x:c>
      <x:c r="E25" s="25" t="n">
        <x:v>208233487.81</x:v>
      </x:c>
      <x:c r="F25" s="25" t="str">
        <x:v>n/d</x:v>
      </x:c>
      <x:c r="G25" s="25" t="str">
        <x:v>n/d</x:v>
      </x:c>
      <x:c r="H25" s="25" t="n">
        <x:v>203328131.07</x:v>
      </x:c>
      <x:c r="I25" s="25" t="n">
        <x:v>1890899.1</x:v>
      </x:c>
      <x:c r="J25" s="25" t="n">
        <x:v>4971700.1</x:v>
      </x:c>
      <x:c r="K25" s="20" t="str">
        <x:v>Realizado</x:v>
      </x:c>
      <x:c r="L25" s="20" t="str">
        <x:v>CVM_CRI_2025_CLASSE</x:v>
      </x:c>
      <x:c r="M25" s="20" t="str">
        <x:v>Documentado</x:v>
      </x:c>
      <x:c r="N25" s="20" t="str">
        <x:v>Saldo final: saldo agregado reconciliado, controlado por Valor_Atualizado_Emissao. Unidade sem reconciliação permanece n/d; pagamentos realizados ficam documentados.</x:v>
      </x:c>
      <x:c r="P25" s="57" t="n">
        <x:v>46023</x:v>
      </x:c>
      <x:c r="Q25" s="59" t="n">
        <x:v>174693752.39</x:v>
      </x:c>
      <x:c r="R25" s="59" t="n">
        <x:v>48549292.42</x:v>
      </x:c>
      <x:c r="S25" s="59" t="n">
        <x:v>58342185.35</x:v>
      </x:c>
      <x:c r="T25" s="59" t="n">
        <x:v>28282181.09</x:v>
      </x:c>
    </x:row>
    <x:row r="26">
      <x:c r="A26" s="20" t="str">
        <x:v>CRI_K1</x:v>
      </x:c>
      <x:c r="B26" s="20" t="str">
        <x:v>Série 1</x:v>
      </x:c>
      <x:c r="C26" s="20" t="str">
        <x:v>Super Sênior</x:v>
      </x:c>
      <x:c r="D26" s="21" t="n">
        <x:v>45931</x:v>
      </x:c>
      <x:c r="E26" s="25" t="n">
        <x:v>203328131.07</x:v>
      </x:c>
      <x:c r="F26" s="25" t="str">
        <x:v>n/d</x:v>
      </x:c>
      <x:c r="G26" s="25" t="str">
        <x:v>n/d</x:v>
      </x:c>
      <x:c r="H26" s="25" t="n">
        <x:v>195824832.17</x:v>
      </x:c>
      <x:c r="I26" s="25" t="n">
        <x:v>1946733.99</x:v>
      </x:c>
      <x:c r="J26" s="25" t="n">
        <x:v>5635636.21</x:v>
      </x:c>
      <x:c r="K26" s="20" t="str">
        <x:v>Realizado</x:v>
      </x:c>
      <x:c r="L26" s="20" t="str">
        <x:v>CVM_CRI_2025_CLASSE</x:v>
      </x:c>
      <x:c r="M26" s="20" t="str">
        <x:v>Documentado</x:v>
      </x:c>
      <x:c r="N26" s="20" t="str">
        <x:v>Saldo final: saldo agregado reconciliado, controlado por Valor_Atualizado_Emissao. Unidade sem reconciliação permanece n/d; pagamentos realizados ficam documentados.</x:v>
      </x:c>
      <x:c r="P26" s="57" t="n">
        <x:v>46054</x:v>
      </x:c>
      <x:c r="Q26" s="59" t="n">
        <x:v>168193777</x:v>
      </x:c>
      <x:c r="R26" s="59" t="n">
        <x:v>46734740</x:v>
      </x:c>
      <x:c r="S26" s="59" t="n">
        <x:v>56132551</x:v>
      </x:c>
      <x:c r="T26" s="59" t="n">
        <x:v>27640081</x:v>
      </x:c>
    </x:row>
    <x:row r="27">
      <x:c r="A27" s="20" t="str">
        <x:v>CRI_K1</x:v>
      </x:c>
      <x:c r="B27" s="20" t="str">
        <x:v>Série 1</x:v>
      </x:c>
      <x:c r="C27" s="20" t="str">
        <x:v>Super Sênior</x:v>
      </x:c>
      <x:c r="D27" s="21" t="n">
        <x:v>45962</x:v>
      </x:c>
      <x:c r="E27" s="25" t="n">
        <x:v>195824832.17</x:v>
      </x:c>
      <x:c r="F27" s="25" t="str">
        <x:v>n/d</x:v>
      </x:c>
      <x:c r="G27" s="25" t="str">
        <x:v>n/d</x:v>
      </x:c>
      <x:c r="H27" s="25" t="n">
        <x:v>189831329.42</x:v>
      </x:c>
      <x:c r="I27" s="25" t="n">
        <x:v>1560297.67</x:v>
      </x:c>
      <x:c r="J27" s="25" t="n">
        <x:v>7455913.7</x:v>
      </x:c>
      <x:c r="K27" s="20" t="str">
        <x:v>Realizado</x:v>
      </x:c>
      <x:c r="L27" s="20" t="str">
        <x:v>CVM_CRI_2025_CLASSE</x:v>
      </x:c>
      <x:c r="M27" s="20" t="str">
        <x:v>Documentado</x:v>
      </x:c>
      <x:c r="N27" s="20" t="str">
        <x:v>Saldo final: saldo agregado reconciliado, controlado por Valor_Atualizado_Emissao. Unidade sem reconciliação permanece n/d; pagamentos realizados ficam documentados.</x:v>
      </x:c>
      <x:c r="P27" s="57" t="n">
        <x:v>46082</x:v>
      </x:c>
      <x:c r="Q27" s="59" t="n">
        <x:v>161843721</x:v>
      </x:c>
      <x:c r="R27" s="59" t="n">
        <x:v>44978130</x:v>
      </x:c>
      <x:c r="S27" s="59" t="n">
        <x:v>54050700</x:v>
      </x:c>
      <x:c r="T27" s="59" t="n">
        <x:v>27088143</x:v>
      </x:c>
    </x:row>
    <x:row r="28">
      <x:c r="A28" s="20" t="str">
        <x:v>CRI_K1</x:v>
      </x:c>
      <x:c r="B28" s="20" t="str">
        <x:v>Série 1</x:v>
      </x:c>
      <x:c r="C28" s="20" t="str">
        <x:v>Super Sênior</x:v>
      </x:c>
      <x:c r="D28" s="21" t="n">
        <x:v>45992</x:v>
      </x:c>
      <x:c r="E28" s="25" t="n">
        <x:v>189831329.42</x:v>
      </x:c>
      <x:c r="F28" s="25" t="str">
        <x:v>n/d</x:v>
      </x:c>
      <x:c r="G28" s="25" t="str">
        <x:v>n/d</x:v>
      </x:c>
      <x:c r="H28" s="25" t="n">
        <x:v>182586236.81</x:v>
      </x:c>
      <x:c r="I28" s="25" t="n">
        <x:v>1657288.31</x:v>
      </x:c>
      <x:c r="J28" s="25" t="n">
        <x:v>7855040.84</x:v>
      </x:c>
      <x:c r="K28" s="20" t="str">
        <x:v>Realizado</x:v>
      </x:c>
      <x:c r="L28" s="20" t="str">
        <x:v>CVM_CRI_2025_CLASSE</x:v>
      </x:c>
      <x:c r="M28" s="20" t="str">
        <x:v>Documentado</x:v>
      </x:c>
      <x:c r="N28" s="20" t="str">
        <x:v>Saldo final: saldo agregado reconciliado, controlado por Valor_Atualizado_Emissao. Unidade sem reconciliação permanece n/d; pagamentos realizados ficam documentados.</x:v>
      </x:c>
      <x:c r="P28" s="57" t="n">
        <x:v>46113</x:v>
      </x:c>
      <x:c r="Q28" s="59" t="n">
        <x:v>153599344</x:v>
      </x:c>
      <x:c r="R28" s="59" t="n">
        <x:v>42685062</x:v>
      </x:c>
      <x:c r="S28" s="59" t="n">
        <x:v>51288452</x:v>
      </x:c>
      <x:c r="T28" s="59" t="n">
        <x:v>26312961</x:v>
      </x:c>
    </x:row>
    <x:row r="29">
      <x:c r="A29" s="20" t="str">
        <x:v>CRI_K1</x:v>
      </x:c>
      <x:c r="B29" s="20" t="str">
        <x:v>Série 1</x:v>
      </x:c>
      <x:c r="C29" s="20" t="str">
        <x:v>Super Sênior</x:v>
      </x:c>
      <x:c r="D29" s="21" t="n">
        <x:v>46023</x:v>
      </x:c>
      <x:c r="E29" s="25" t="n">
        <x:v>182586236.81</x:v>
      </x:c>
      <x:c r="F29" s="25" t="str">
        <x:v>n/d</x:v>
      </x:c>
      <x:c r="G29" s="25" t="str">
        <x:v>n/d</x:v>
      </x:c>
      <x:c r="H29" s="25" t="n">
        <x:v>174693752.39</x:v>
      </x:c>
      <x:c r="I29" s="25" t="n">
        <x:v>1657288.31</x:v>
      </x:c>
      <x:c r="J29" s="25" t="n">
        <x:v>7855040.84</x:v>
      </x:c>
      <x:c r="K29" s="20" t="str">
        <x:v>Realizado</x:v>
      </x:c>
      <x:c r="L29" s="20" t="str">
        <x:v>CVM_CRI_2026_CLASSE</x:v>
      </x:c>
      <x:c r="M29" s="20" t="str">
        <x:v>Documentado</x:v>
      </x:c>
      <x:c r="N29" s="20" t="str">
        <x:v>Saldo final: saldo agregado reconciliado, controlado por Valor_Atualizado_Emissao. Unidade sem reconciliação permanece n/d; pagamentos realizados ficam documentados.</x:v>
      </x:c>
      <x:c r="P29" s="57" t="n">
        <x:v>46143</x:v>
      </x:c>
      <x:c r="Q29" s="59" t="n">
        <x:v>146941328</x:v>
      </x:c>
      <x:c r="R29" s="59" t="n">
        <x:v>40834808</x:v>
      </x:c>
      <x:c r="S29" s="59" t="n">
        <x:v>49065270</x:v>
      </x:c>
      <x:c r="T29" s="59" t="n">
        <x:v>25694487</x:v>
      </x:c>
    </x:row>
    <x:row r="30">
      <x:c r="A30" s="20" t="str">
        <x:v>CRI_K1</x:v>
      </x:c>
      <x:c r="B30" s="20" t="str">
        <x:v>Série 1</x:v>
      </x:c>
      <x:c r="C30" s="20" t="str">
        <x:v>Super Sênior</x:v>
      </x:c>
      <x:c r="D30" s="21" t="n">
        <x:v>46054</x:v>
      </x:c>
      <x:c r="E30" s="25" t="n">
        <x:v>174693752.39</x:v>
      </x:c>
      <x:c r="F30" s="25" t="str">
        <x:v>n/d</x:v>
      </x:c>
      <x:c r="G30" s="25" t="str">
        <x:v>n/d</x:v>
      </x:c>
      <x:c r="H30" s="25" t="n">
        <x:v>168193777</x:v>
      </x:c>
      <x:c r="I30" s="25" t="n">
        <x:v>1661517.1</x:v>
      </x:c>
      <x:c r="J30" s="25" t="n">
        <x:v>6179415.24</x:v>
      </x:c>
      <x:c r="K30" s="20" t="str">
        <x:v>Realizado</x:v>
      </x:c>
      <x:c r="L30" s="20" t="str">
        <x:v>CVM_CRI_2026_CLASSE</x:v>
      </x:c>
      <x:c r="M30" s="20" t="str">
        <x:v>Documentado</x:v>
      </x:c>
      <x:c r="N30" s="20" t="str">
        <x:v>Saldo final: saldo agregado reconciliado, controlado por Valor_Atualizado_Emissao. Unidade sem reconciliação permanece n/d; pagamentos realizados ficam documentados.</x:v>
      </x:c>
    </x:row>
    <x:row r="31">
      <x:c r="A31" s="20" t="str">
        <x:v>CRI_K1</x:v>
      </x:c>
      <x:c r="B31" s="20" t="str">
        <x:v>Série 1</x:v>
      </x:c>
      <x:c r="C31" s="20" t="str">
        <x:v>Super Sênior</x:v>
      </x:c>
      <x:c r="D31" s="21" t="n">
        <x:v>46082</x:v>
      </x:c>
      <x:c r="E31" s="25" t="n">
        <x:v>168193777</x:v>
      </x:c>
      <x:c r="F31" s="25" t="str">
        <x:v>n/d</x:v>
      </x:c>
      <x:c r="G31" s="25" t="str">
        <x:v>n/d</x:v>
      </x:c>
      <x:c r="H31" s="25" t="n">
        <x:v>161843721</x:v>
      </x:c>
      <x:c r="I31" s="25" t="n">
        <x:v>1469013.83</x:v>
      </x:c>
      <x:c r="J31" s="25" t="n">
        <x:v>8139160.69</x:v>
      </x:c>
      <x:c r="K31" s="20" t="str">
        <x:v>Realizado</x:v>
      </x:c>
      <x:c r="L31" s="20" t="str">
        <x:v>CVM_CRI_2026_CLASSE</x:v>
      </x:c>
      <x:c r="M31" s="20" t="str">
        <x:v>Documentado</x:v>
      </x:c>
      <x:c r="N31" s="20" t="str">
        <x:v>Saldo final: saldo agregado reconciliado, controlado por Valor_Atualizado_Emissao. Unidade sem reconciliação permanece n/d; pagamentos realizados ficam documentados.</x:v>
      </x:c>
    </x:row>
    <x:row r="32">
      <x:c r="A32" s="20" t="str">
        <x:v>CRI_K1</x:v>
      </x:c>
      <x:c r="B32" s="20" t="str">
        <x:v>Série 1</x:v>
      </x:c>
      <x:c r="C32" s="20" t="str">
        <x:v>Super Sênior</x:v>
      </x:c>
      <x:c r="D32" s="21" t="n">
        <x:v>46113</x:v>
      </x:c>
      <x:c r="E32" s="25" t="n">
        <x:v>161843721</x:v>
      </x:c>
      <x:c r="F32" s="25" t="str">
        <x:v>n/d</x:v>
      </x:c>
      <x:c r="G32" s="25" t="str">
        <x:v>n/d</x:v>
      </x:c>
      <x:c r="H32" s="25" t="n">
        <x:v>153599344</x:v>
      </x:c>
      <x:c r="I32" s="25" t="n">
        <x:v>1469013.83</x:v>
      </x:c>
      <x:c r="J32" s="25" t="n">
        <x:v>8139160.69</x:v>
      </x:c>
      <x:c r="K32" s="20" t="str">
        <x:v>Realizado</x:v>
      </x:c>
      <x:c r="L32" s="20" t="str">
        <x:v>CVM_CRI_2026_CLASSE</x:v>
      </x:c>
      <x:c r="M32" s="20" t="str">
        <x:v>Documentado</x:v>
      </x:c>
      <x:c r="N32" s="20" t="str">
        <x:v>Saldo final: saldo agregado reconciliado, controlado por Valor_Atualizado_Emissao. Unidade sem reconciliação permanece n/d; pagamentos realizados ficam documentados.</x:v>
      </x:c>
    </x:row>
    <x:row r="33">
      <x:c r="A33" s="20" t="str">
        <x:v>CRI_K1</x:v>
      </x:c>
      <x:c r="B33" s="20" t="str">
        <x:v>Série 1</x:v>
      </x:c>
      <x:c r="C33" s="20" t="str">
        <x:v>Super Sênior</x:v>
      </x:c>
      <x:c r="D33" s="21" t="n">
        <x:v>46143</x:v>
      </x:c>
      <x:c r="E33" s="25" t="n">
        <x:v>153599344</x:v>
      </x:c>
      <x:c r="F33" s="25" t="str">
        <x:v>n/d</x:v>
      </x:c>
      <x:c r="G33" s="25" t="str">
        <x:v>n/d</x:v>
      </x:c>
      <x:c r="H33" s="25" t="n">
        <x:v>146941328</x:v>
      </x:c>
      <x:c r="I33" s="25" t="n">
        <x:v>1328078.79</x:v>
      </x:c>
      <x:c r="J33" s="25" t="n">
        <x:v>6629295</x:v>
      </x:c>
      <x:c r="K33" s="20" t="str">
        <x:v>Realizado</x:v>
      </x:c>
      <x:c r="L33" s="20" t="str">
        <x:v>CVM_CRI_2026_CLASSE</x:v>
      </x:c>
      <x:c r="M33" s="20" t="str">
        <x:v>Documentado</x:v>
      </x:c>
      <x:c r="N33" s="20" t="str">
        <x:v>Saldo final: saldo agregado reconciliado, controlado por Valor_Atualizado_Emissao. Unidade sem reconciliação permanece n/d; pagamentos realizados ficam documentados.</x:v>
      </x:c>
    </x:row>
    <x:row r="34">
      <x:c r="A34" s="20" t="str">
        <x:v>CRI_K1</x:v>
      </x:c>
      <x:c r="B34" s="20" t="str">
        <x:v>Série 1</x:v>
      </x:c>
      <x:c r="C34" s="20" t="str">
        <x:v>Super Sênior</x:v>
      </x:c>
      <x:c r="D34" s="21" t="n">
        <x:v>46174</x:v>
      </x:c>
      <x:c r="E34" s="25" t="n">
        <x:v>146941328</x:v>
      </x:c>
      <x:c r="F34" s="25" t="str">
        <x:v>n/d</x:v>
      </x:c>
      <x:c r="G34" s="25" t="str">
        <x:v>n/d</x:v>
      </x:c>
      <x:c r="H34" s="25" t="str">
        <x:v>n/d</x:v>
      </x:c>
      <x:c r="I34" s="25" t="n">
        <x:v>1270511.02</x:v>
      </x:c>
      <x:c r="J34" s="25" t="n">
        <x:v>7457053.95</x:v>
      </x:c>
      <x:c r="K34" s="20" t="str">
        <x:v>Realizado</x:v>
      </x:c>
      <x:c r="L34" s="20" t="str">
        <x:v>CVM_CRI_2026_CLASSE</x:v>
      </x:c>
      <x:c r="M34" s="20" t="str">
        <x:v>Documentado</x:v>
      </x:c>
      <x:c r="N34" s="20" t="str">
        <x:v>Saldo final: n/d por conflito de unidade, controlado por Valor_Atualizado_Emissao. Unidade sem reconciliação permanece n/d; pagamentos realizados ficam documentados.</x:v>
      </x:c>
    </x:row>
    <x:row r="35">
      <x:c r="A35" s="20" t="str">
        <x:v>CRI_K1</x:v>
      </x:c>
      <x:c r="B35" s="20" t="str">
        <x:v>Série 2</x:v>
      </x:c>
      <x:c r="C35" s="20" t="str">
        <x:v>Sênior</x:v>
      </x:c>
      <x:c r="D35" s="21" t="n">
        <x:v>45323</x:v>
      </x:c>
      <x:c r="E35" s="25" t="str">
        <x:v>n/d</x:v>
      </x:c>
      <x:c r="F35" s="25" t="str">
        <x:v>n/d</x:v>
      </x:c>
      <x:c r="G35" s="25" t="str">
        <x:v>n/d</x:v>
      </x:c>
      <x:c r="H35" s="25" t="n">
        <x:v>90343264.65</x:v>
      </x:c>
      <x:c r="I35" s="25" t="n">
        <x:v>0</x:v>
      </x:c>
      <x:c r="J35" s="25" t="n">
        <x:v>0</x:v>
      </x:c>
      <x:c r="K35" s="20" t="str">
        <x:v>Realizado</x:v>
      </x:c>
      <x:c r="L35" s="20" t="str">
        <x:v>CVM_CRI_2024_CLASSE</x:v>
      </x:c>
      <x:c r="M35" s="20" t="str">
        <x:v>Documentado</x:v>
      </x:c>
      <x:c r="N35" s="20" t="str">
        <x:v>Saldo final: saldo agregado; controle total indisponível,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6">
      <x:c r="A36" s="20" t="str">
        <x:v>CRI_K1</x:v>
      </x:c>
      <x:c r="B36" s="20" t="str">
        <x:v>Série 2</x:v>
      </x:c>
      <x:c r="C36" s="20" t="str">
        <x:v>Sênior</x:v>
      </x:c>
      <x:c r="D36" s="21" t="n">
        <x:v>45352</x:v>
      </x:c>
      <x:c r="E36" s="25" t="n">
        <x:v>90343264.65</x:v>
      </x:c>
      <x:c r="F36" s="25" t="str">
        <x:v>n/d</x:v>
      </x:c>
      <x:c r="G36" s="25" t="str">
        <x:v>n/d</x:v>
      </x:c>
      <x:c r="H36" s="25" t="n">
        <x:v>91207165.14</x:v>
      </x:c>
      <x:c r="I36" s="25" t="n">
        <x:v>0</x:v>
      </x:c>
      <x:c r="J36" s="25" t="n">
        <x:v>0</x:v>
      </x:c>
      <x:c r="K36" s="20" t="str">
        <x:v>Realizado</x:v>
      </x:c>
      <x:c r="L36" s="20" t="str">
        <x:v>CVM_CRI_2024_CLASSE</x:v>
      </x:c>
      <x:c r="M36" s="20" t="str">
        <x:v>Documentado</x:v>
      </x:c>
      <x:c r="N36" s="20" t="str">
        <x:v>Saldo final: saldo agregado; controle total indisponível, controlado por Valor_Atualizado_Emissao. Unidade sem reconciliação permanece n/d; pagamentos realizados ficam documentados.</x:v>
      </x:c>
    </x:row>
    <x:row r="37">
      <x:c r="A37" s="20" t="str">
        <x:v>CRI_K1</x:v>
      </x:c>
      <x:c r="B37" s="20" t="str">
        <x:v>Série 2</x:v>
      </x:c>
      <x:c r="C37" s="20" t="str">
        <x:v>Sênior</x:v>
      </x:c>
      <x:c r="D37" s="21" t="n">
        <x:v>45383</x:v>
      </x:c>
      <x:c r="E37" s="25" t="n">
        <x:v>91207165.14</x:v>
      </x:c>
      <x:c r="F37" s="25" t="str">
        <x:v>n/d</x:v>
      </x:c>
      <x:c r="G37" s="25" t="str">
        <x:v>n/d</x:v>
      </x:c>
      <x:c r="H37" s="25" t="str">
        <x:v>n/d</x:v>
      </x:c>
      <x:c r="I37" s="25" t="n">
        <x:v>0</x:v>
      </x:c>
      <x:c r="J37" s="25" t="n">
        <x:v>0</x:v>
      </x:c>
      <x:c r="K37" s="20" t="str">
        <x:v>Realizado</x:v>
      </x:c>
      <x:c r="L37" s="20" t="str">
        <x:v>CVM_CRI_2024_CLASSE</x:v>
      </x:c>
      <x:c r="M37" s="20" t="str">
        <x:v>Documentado</x:v>
      </x:c>
      <x:c r="N37" s="20" t="str">
        <x:v>Saldo final: n/d por conflito de unidade, controlado por Valor_Atualizado_Emissao. Unidade sem reconciliação permanece n/d; pagamentos realizados ficam documentados.</x:v>
      </x:c>
    </x:row>
    <x:row r="38">
      <x:c r="A38" s="20" t="str">
        <x:v>CRI_K1</x:v>
      </x:c>
      <x:c r="B38" s="20" t="str">
        <x:v>Série 2</x:v>
      </x:c>
      <x:c r="C38" s="20" t="str">
        <x:v>Sênior</x:v>
      </x:c>
      <x:c r="D38" s="21" t="n">
        <x:v>45413</x:v>
      </x:c>
      <x:c r="E38" s="25" t="str">
        <x:v>n/d</x:v>
      </x:c>
      <x:c r="F38" s="25" t="str">
        <x:v>n/d</x:v>
      </x:c>
      <x:c r="G38" s="25" t="str">
        <x:v>n/d</x:v>
      </x:c>
      <x:c r="H38" s="25" t="str">
        <x:v>n/d</x:v>
      </x:c>
      <x:c r="I38" s="25" t="n">
        <x:v>0</x:v>
      </x:c>
      <x:c r="J38" s="25" t="n">
        <x:v>0</x:v>
      </x:c>
      <x:c r="K38" s="20" t="str">
        <x:v>Realizado</x:v>
      </x:c>
      <x:c r="L38" s="20" t="str">
        <x:v>CVM_CRI_2024_CLASSE</x:v>
      </x:c>
      <x:c r="M38" s="20" t="str">
        <x:v>Documentado</x:v>
      </x:c>
      <x:c r="N38" s="20" t="str">
        <x:v>Saldo final: n/d por conflito de unidade, controlado por Valor_Atualizado_Emissao. Unidade sem reconciliação permanece n/d; pagamentos realizados ficam documentados.</x:v>
      </x:c>
    </x:row>
    <x:row r="39">
      <x:c r="A39" s="20" t="str">
        <x:v>CRI_K1</x:v>
      </x:c>
      <x:c r="B39" s="20" t="str">
        <x:v>Série 2</x:v>
      </x:c>
      <x:c r="C39" s="20" t="str">
        <x:v>Sênior</x:v>
      </x:c>
      <x:c r="D39" s="21" t="n">
        <x:v>45444</x:v>
      </x:c>
      <x:c r="E39" s="25" t="str">
        <x:v>n/d</x:v>
      </x:c>
      <x:c r="F39" s="25" t="str">
        <x:v>n/d</x:v>
      </x:c>
      <x:c r="G39" s="25" t="str">
        <x:v>n/d</x:v>
      </x:c>
      <x:c r="H39" s="25" t="str">
        <x:v>n/d</x:v>
      </x:c>
      <x:c r="I39" s="25" t="n">
        <x:v>0</x:v>
      </x:c>
      <x:c r="J39" s="25" t="n">
        <x:v>0</x:v>
      </x:c>
      <x:c r="K39" s="20" t="str">
        <x:v>Realizado</x:v>
      </x:c>
      <x:c r="L39" s="20" t="str">
        <x:v>CVM_CRI_2024_CLASSE</x:v>
      </x:c>
      <x:c r="M39" s="20" t="str">
        <x:v>Documentado</x:v>
      </x:c>
      <x:c r="N39" s="20" t="str">
        <x:v>Saldo final: n/d por conflito de unidade, controlado por Valor_Atualizado_Emissao. Unidade sem reconciliação permanece n/d; pagamentos realizados ficam documentados.</x:v>
      </x:c>
    </x:row>
    <x:row r="40" ht="20" customHeight="1">
      <x:c r="A40" s="20" t="str">
        <x:v>CRI_K1</x:v>
      </x:c>
      <x:c r="B40" s="20" t="str">
        <x:v>Série 2</x:v>
      </x:c>
      <x:c r="C40" s="20" t="str">
        <x:v>Sênior</x:v>
      </x:c>
      <x:c r="D40" s="21" t="n">
        <x:v>45474</x:v>
      </x:c>
      <x:c r="E40" s="25" t="str">
        <x:v>n/d</x:v>
      </x:c>
      <x:c r="F40" s="25" t="str">
        <x:v>n/d</x:v>
      </x:c>
      <x:c r="G40" s="25" t="str">
        <x:v>n/d</x:v>
      </x:c>
      <x:c r="H40" s="25" t="n">
        <x:v>95017500</x:v>
      </x:c>
      <x:c r="I40" s="25" t="n">
        <x:v>5515722.59</x:v>
      </x:c>
      <x:c r="J40" s="25" t="n">
        <x:v>6674909.23</x:v>
      </x:c>
      <x:c r="K40" s="20" t="str">
        <x:v>Realizado</x:v>
      </x:c>
      <x:c r="L40" s="20" t="str">
        <x:v>CVM_CRI_2024_CLASSE</x:v>
      </x:c>
      <x:c r="M40" s="20" t="str">
        <x:v>Documentado</x:v>
      </x:c>
      <x:c r="N40" s="20" t="str">
        <x:v>Saldo final: valor unitário × quantidade reconciliado, controlado por Valor_Atualizado_Emissao. Unidade sem reconciliação permanece n/d; pagamentos realizados ficam documentados.</x:v>
      </x:c>
      <x:c r="P40" s="64" t="str">
        <x:v>competencia</x:v>
      </x:c>
      <x:c r="Q40" s="65" t="str">
        <x:v>Super Sênior</x:v>
      </x:c>
      <x:c r="R40" s="65" t="str">
        <x:v>Sênior</x:v>
      </x:c>
      <x:c r="S40" s="65" t="str">
        <x:v>Mezanino</x:v>
      </x:c>
      <x:c r="T40" s="65" t="str">
        <x:v>Subordinada/Júnior</x:v>
      </x:c>
    </x:row>
    <x:row r="41">
      <x:c r="A41" s="20" t="str">
        <x:v>CRI_K1</x:v>
      </x:c>
      <x:c r="B41" s="20" t="str">
        <x:v>Série 2</x:v>
      </x:c>
      <x:c r="C41" s="20" t="str">
        <x:v>Sênior</x:v>
      </x:c>
      <x:c r="D41" s="21" t="n">
        <x:v>45505</x:v>
      </x:c>
      <x:c r="E41" s="25" t="n">
        <x:v>95017500</x:v>
      </x:c>
      <x:c r="F41" s="25" t="str">
        <x:v>n/d</x:v>
      </x:c>
      <x:c r="G41" s="25" t="str">
        <x:v>n/d</x:v>
      </x:c>
      <x:c r="H41" s="25" t="str">
        <x:v>n/d</x:v>
      </x:c>
      <x:c r="I41" s="25" t="n">
        <x:v>5515722.59</x:v>
      </x:c>
      <x:c r="J41" s="25" t="n">
        <x:v>6674909.23</x:v>
      </x:c>
      <x:c r="K41" s="20" t="str">
        <x:v>Realizado</x:v>
      </x:c>
      <x:c r="L41" s="20" t="str">
        <x:v>CVM_CRI_2024_CLASSE</x:v>
      </x:c>
      <x:c r="M41" s="20" t="str">
        <x:v>Documentado</x:v>
      </x:c>
      <x:c r="N41" s="20" t="str">
        <x:v>Saldo final: n/d por conflito de unidade, controlado por Valor_Atualizado_Emissao. Unidade sem reconciliação permanece n/d; pagamentos realizados ficam documentados.</x:v>
      </x:c>
      <x:c r="P41" s="57" t="n">
        <x:v>45444</x:v>
      </x:c>
      <x:c r="Q41" s="59" t="n">
        <x:v>488221500</x:v>
      </x:c>
      <x:c r="R41" s="59" t="n">
        <x:v>135218700</x:v>
      </x:c>
      <x:c r="S41" s="59" t="n">
        <x:v>75140250</x:v>
      </x:c>
      <x:c r="T41" s="59" t="n">
        <x:v>52569750</x:v>
      </x:c>
    </x:row>
    <x:row r="42">
      <x:c r="A42" s="20" t="str">
        <x:v>CRI_K1</x:v>
      </x:c>
      <x:c r="B42" s="20" t="str">
        <x:v>Série 2</x:v>
      </x:c>
      <x:c r="C42" s="20" t="str">
        <x:v>Sênior</x:v>
      </x:c>
      <x:c r="D42" s="21" t="n">
        <x:v>45536</x:v>
      </x:c>
      <x:c r="E42" s="25" t="str">
        <x:v>n/d</x:v>
      </x:c>
      <x:c r="F42" s="25" t="str">
        <x:v>n/d</x:v>
      </x:c>
      <x:c r="G42" s="25" t="str">
        <x:v>n/d</x:v>
      </x:c>
      <x:c r="H42" s="25" t="n">
        <x:v>80325000</x:v>
      </x:c>
      <x:c r="I42" s="25" t="n">
        <x:v>802869.12</x:v>
      </x:c>
      <x:c r="J42" s="25" t="n">
        <x:v>1926928.48</x:v>
      </x:c>
      <x:c r="K42" s="20" t="str">
        <x:v>Realizado</x:v>
      </x:c>
      <x:c r="L42" s="20" t="str">
        <x:v>CVM_CRI_2024_CLASSE</x:v>
      </x:c>
      <x:c r="M42" s="20" t="str">
        <x:v>Documentado</x:v>
      </x:c>
      <x:c r="N42" s="20" t="str">
        <x:v>Saldo final: valor unitário × quantidade reconciliado, controlado por Valor_Atualizado_Emissao. Unidade sem reconciliação permanece n/d; pagamentos realizados ficam documentados.</x:v>
      </x:c>
      <x:c r="P42" s="57" t="n">
        <x:v>45474</x:v>
      </x:c>
      <x:c r="Q42" s="59" t="n">
        <x:v>493769250</x:v>
      </x:c>
      <x:c r="R42" s="59" t="n">
        <x:v>136906200</x:v>
      </x:c>
      <x:c r="S42" s="59" t="n">
        <x:v>76226250</x:v>
      </x:c>
      <x:c r="T42" s="59" t="n">
        <x:v>53370225</x:v>
      </x:c>
    </x:row>
    <x:row r="43">
      <x:c r="A43" s="20" t="str">
        <x:v>CRI_K1</x:v>
      </x:c>
      <x:c r="B43" s="20" t="str">
        <x:v>Série 2</x:v>
      </x:c>
      <x:c r="C43" s="20" t="str">
        <x:v>Sênior</x:v>
      </x:c>
      <x:c r="D43" s="21" t="n">
        <x:v>45566</x:v>
      </x:c>
      <x:c r="E43" s="25" t="n">
        <x:v>80325000</x:v>
      </x:c>
      <x:c r="F43" s="25" t="str">
        <x:v>n/d</x:v>
      </x:c>
      <x:c r="G43" s="25" t="str">
        <x:v>n/d</x:v>
      </x:c>
      <x:c r="H43" s="25" t="n">
        <x:v>78463494.74</x:v>
      </x:c>
      <x:c r="I43" s="25" t="n">
        <x:v>802869.12</x:v>
      </x:c>
      <x:c r="J43" s="25" t="n">
        <x:v>1926928.46</x:v>
      </x:c>
      <x:c r="K43" s="20" t="str">
        <x:v>Realizado</x:v>
      </x:c>
      <x:c r="L43" s="20" t="str">
        <x:v>CVM_CRI_2024_CLASSE</x:v>
      </x:c>
      <x:c r="M43" s="20" t="str">
        <x:v>Documentado</x:v>
      </x:c>
      <x:c r="N43" s="20" t="str">
        <x:v>Saldo final: saldo agregado reconciliado, controlado por Valor_Atualizado_Emissao. Unidade sem reconciliação permanece n/d; pagamentos realizados ficam documentados.</x:v>
      </x:c>
      <x:c r="P43" s="57" t="n">
        <x:v>45505</x:v>
      </x:c>
      <x:c r="Q43" s="59" t="n">
        <x:v>499141500</x:v>
      </x:c>
      <x:c r="R43" s="59" t="n">
        <x:v>138541050</x:v>
      </x:c>
      <x:c r="S43" s="59" t="n">
        <x:v>77279250.00000001</x:v>
      </x:c>
      <x:c r="T43" s="59" t="n">
        <x:v>54118725</x:v>
      </x:c>
    </x:row>
    <x:row r="44">
      <x:c r="A44" s="20" t="str">
        <x:v>CRI_K1</x:v>
      </x:c>
      <x:c r="B44" s="20" t="str">
        <x:v>Série 2</x:v>
      </x:c>
      <x:c r="C44" s="20" t="str">
        <x:v>Sênior</x:v>
      </x:c>
      <x:c r="D44" s="21" t="n">
        <x:v>45597</x:v>
      </x:c>
      <x:c r="E44" s="25" t="n">
        <x:v>78463494.74</x:v>
      </x:c>
      <x:c r="F44" s="25" t="str">
        <x:v>n/d</x:v>
      </x:c>
      <x:c r="G44" s="25" t="str">
        <x:v>n/d</x:v>
      </x:c>
      <x:c r="H44" s="25" t="n">
        <x:v>76247389.68</x:v>
      </x:c>
      <x:c r="I44" s="25" t="n">
        <x:v>858546.88</x:v>
      </x:c>
      <x:c r="J44" s="25" t="n">
        <x:v>2059046.55</x:v>
      </x:c>
      <x:c r="K44" s="20" t="str">
        <x:v>Realizado</x:v>
      </x:c>
      <x:c r="L44" s="20" t="str">
        <x:v>CVM_CRI_2024_CLASSE</x:v>
      </x:c>
      <x:c r="M44" s="20" t="str">
        <x:v>Documentado</x:v>
      </x:c>
      <x:c r="N44" s="20" t="str">
        <x:v>Saldo final: saldo agregado reconciliado, controlado por Valor_Atualizado_Emissao. Unidade sem reconciliação permanece n/d; pagamentos realizados ficam documentados.</x:v>
      </x:c>
      <x:c r="P44" s="57" t="n">
        <x:v>45536</x:v>
      </x:c>
      <x:c r="Q44" s="59" t="n">
        <x:v>461974500</x:v>
      </x:c>
      <x:c r="R44" s="59" t="n">
        <x:v>140121900</x:v>
      </x:c>
      <x:c r="S44" s="59" t="n">
        <x:v>78303750</x:v>
      </x:c>
      <x:c r="T44" s="59" t="n">
        <x:v>54845850</x:v>
      </x:c>
    </x:row>
    <x:row r="45">
      <x:c r="A45" s="20" t="str">
        <x:v>CRI_K1</x:v>
      </x:c>
      <x:c r="B45" s="20" t="str">
        <x:v>Série 2</x:v>
      </x:c>
      <x:c r="C45" s="20" t="str">
        <x:v>Sênior</x:v>
      </x:c>
      <x:c r="D45" s="21" t="n">
        <x:v>45627</x:v>
      </x:c>
      <x:c r="E45" s="25" t="n">
        <x:v>76247389.68</x:v>
      </x:c>
      <x:c r="F45" s="25" t="str">
        <x:v>n/d</x:v>
      </x:c>
      <x:c r="G45" s="25" t="str">
        <x:v>n/d</x:v>
      </x:c>
      <x:c r="H45" s="25" t="n">
        <x:v>74296259.84</x:v>
      </x:c>
      <x:c r="I45" s="25" t="n">
        <x:v>689858.08</x:v>
      </x:c>
      <x:c r="J45" s="25" t="n">
        <x:v>2014121.95</x:v>
      </x:c>
      <x:c r="K45" s="20" t="str">
        <x:v>Realizado</x:v>
      </x:c>
      <x:c r="L45" s="20" t="str">
        <x:v>CVM_CRI_2024_CLASSE</x:v>
      </x:c>
      <x:c r="M45" s="20" t="str">
        <x:v>Documentado</x:v>
      </x:c>
      <x:c r="N45" s="20" t="str">
        <x:v>Saldo final: saldo agregado reconciliado, controlado por Valor_Atualizado_Emissao. Unidade sem reconciliação permanece n/d; pagamentos realizados ficam documentados.</x:v>
      </x:c>
      <x:c r="P45" s="57" t="n">
        <x:v>45566</x:v>
      </x:c>
      <x:c r="Q45" s="59" t="n">
        <x:v>443715152.16</x:v>
      </x:c>
      <x:c r="R45" s="59" t="n">
        <x:v>141871192.6</x:v>
      </x:c>
      <x:c r="S45" s="59" t="n">
        <x:v>79451874.45</x:v>
      </x:c>
      <x:c r="T45" s="59" t="n">
        <x:v>55658528.57</x:v>
      </x:c>
    </x:row>
    <x:row r="46">
      <x:c r="A46" s="20" t="str">
        <x:v>CRI_K1</x:v>
      </x:c>
      <x:c r="B46" s="20" t="str">
        <x:v>Série 2</x:v>
      </x:c>
      <x:c r="C46" s="20" t="str">
        <x:v>Sênior</x:v>
      </x:c>
      <x:c r="D46" s="21" t="n">
        <x:v>45658</x:v>
      </x:c>
      <x:c r="E46" s="25" t="n">
        <x:v>74296259.84</x:v>
      </x:c>
      <x:c r="F46" s="25" t="str">
        <x:v>n/d</x:v>
      </x:c>
      <x:c r="G46" s="25" t="str">
        <x:v>n/d</x:v>
      </x:c>
      <x:c r="H46" s="25" t="n">
        <x:v>72345819.24</x:v>
      </x:c>
      <x:c r="I46" s="25" t="n">
        <x:v>791607.33</x:v>
      </x:c>
      <x:c r="J46" s="25" t="n">
        <x:v>1847979.23</x:v>
      </x:c>
      <x:c r="K46" s="20" t="str">
        <x:v>Realizado</x:v>
      </x:c>
      <x:c r="L46" s="20" t="str">
        <x:v>CVM_CRI_2025_CLASSE</x:v>
      </x:c>
      <x:c r="M46" s="20" t="str">
        <x:v>Documentado</x:v>
      </x:c>
      <x:c r="N46" s="20" t="str">
        <x:v>Saldo final: saldo agregado reconciliado, controlado por Valor_Atualizado_Emissao. Unidade sem reconciliação permanece n/d; pagamentos realizados ficam documentados.</x:v>
      </x:c>
      <x:c r="P46" s="57" t="n">
        <x:v>45597</x:v>
      </x:c>
      <x:c r="Q46" s="59" t="n">
        <x:v>434935373.73</x:v>
      </x:c>
      <x:c r="R46" s="59" t="n">
        <x:v>126699303.89</x:v>
      </x:c>
      <x:c r="S46" s="59" t="n">
        <x:v>80433078.9</x:v>
      </x:c>
      <x:c r="T46" s="59" t="n">
        <x:v>56347630.93</x:v>
      </x:c>
    </x:row>
    <x:row r="47">
      <x:c r="A47" s="20" t="str">
        <x:v>CRI_K1</x:v>
      </x:c>
      <x:c r="B47" s="20" t="str">
        <x:v>Série 2</x:v>
      </x:c>
      <x:c r="C47" s="20" t="str">
        <x:v>Sênior</x:v>
      </x:c>
      <x:c r="D47" s="21" t="n">
        <x:v>45689</x:v>
      </x:c>
      <x:c r="E47" s="25" t="n">
        <x:v>72345819.24</x:v>
      </x:c>
      <x:c r="F47" s="25" t="str">
        <x:v>n/d</x:v>
      </x:c>
      <x:c r="G47" s="25" t="str">
        <x:v>n/d</x:v>
      </x:c>
      <x:c r="H47" s="25" t="n">
        <x:v>70386705.31</x:v>
      </x:c>
      <x:c r="I47" s="25" t="n">
        <x:v>791607.32</x:v>
      </x:c>
      <x:c r="J47" s="25" t="n">
        <x:v>1847979.23</x:v>
      </x:c>
      <x:c r="K47" s="20" t="str">
        <x:v>Realizado</x:v>
      </x:c>
      <x:c r="L47" s="20" t="str">
        <x:v>CVM_CRI_2025_CLASSE</x:v>
      </x:c>
      <x:c r="M47" s="20" t="str">
        <x:v>Documentado</x:v>
      </x:c>
      <x:c r="N47" s="20" t="str">
        <x:v>Saldo final: saldo agregado reconciliado, controlado por Valor_Atualizado_Emissao. Unidade sem reconciliação permanece n/d; pagamentos realizados ficam documentados.</x:v>
      </x:c>
      <x:c r="P47" s="57" t="n">
        <x:v>45627</x:v>
      </x:c>
      <x:c r="Q47" s="59" t="n">
        <x:v>422577632.86</x:v>
      </x:c>
      <x:c r="R47" s="59" t="n">
        <x:v>121876224.34</x:v>
      </x:c>
      <x:c r="S47" s="59" t="n">
        <x:v>81574516.57</x:v>
      </x:c>
      <x:c r="T47" s="59" t="n">
        <x:v>57137372.73</x:v>
      </x:c>
    </x:row>
    <x:row r="48">
      <x:c r="A48" s="20" t="str">
        <x:v>CRI_K1</x:v>
      </x:c>
      <x:c r="B48" s="20" t="str">
        <x:v>Série 2</x:v>
      </x:c>
      <x:c r="C48" s="20" t="str">
        <x:v>Sênior</x:v>
      </x:c>
      <x:c r="D48" s="21" t="n">
        <x:v>45717</x:v>
      </x:c>
      <x:c r="E48" s="25" t="n">
        <x:v>70386705.31</x:v>
      </x:c>
      <x:c r="F48" s="25" t="str">
        <x:v>n/d</x:v>
      </x:c>
      <x:c r="G48" s="25" t="str">
        <x:v>n/d</x:v>
      </x:c>
      <x:c r="H48" s="25" t="n">
        <x:v>68357741.85</x:v>
      </x:c>
      <x:c r="I48" s="25" t="n">
        <x:v>602884.59</x:v>
      </x:c>
      <x:c r="J48" s="25" t="n">
        <x:v>2052674.02</x:v>
      </x:c>
      <x:c r="K48" s="20" t="str">
        <x:v>Realizado</x:v>
      </x:c>
      <x:c r="L48" s="20" t="str">
        <x:v>CVM_CRI_2025_CLASSE</x:v>
      </x:c>
      <x:c r="M48" s="20" t="str">
        <x:v>Documentado</x:v>
      </x:c>
      <x:c r="N48" s="20" t="str">
        <x:v>Saldo final: saldo agregado reconciliado, controlado por Valor_Atualizado_Emissao. Unidade sem reconciliação permanece n/d; pagamentos realizados ficam documentados.</x:v>
      </x:c>
      <x:c r="P48" s="57" t="n">
        <x:v>45748</x:v>
      </x:c>
      <x:c r="Q48" s="59" t="n">
        <x:v>382582987.55</x:v>
      </x:c>
      <x:c r="R48" s="59" t="n">
        <x:v>109387940.68</x:v>
      </x:c>
      <x:c r="S48" s="59" t="n">
        <x:v>60969009.74</x:v>
      </x:c>
      <x:c r="T48" s="59" t="n">
        <x:v>60449750.89</x:v>
      </x:c>
    </x:row>
    <x:row r="49">
      <x:c r="A49" s="20" t="str">
        <x:v>CRI_K1</x:v>
      </x:c>
      <x:c r="B49" s="20" t="str">
        <x:v>Série 2</x:v>
      </x:c>
      <x:c r="C49" s="20" t="str">
        <x:v>Sênior</x:v>
      </x:c>
      <x:c r="D49" s="21" t="n">
        <x:v>45748</x:v>
      </x:c>
      <x:c r="E49" s="25" t="n">
        <x:v>68357741.85</x:v>
      </x:c>
      <x:c r="F49" s="25" t="str">
        <x:v>n/d</x:v>
      </x:c>
      <x:c r="G49" s="25" t="str">
        <x:v>n/d</x:v>
      </x:c>
      <x:c r="H49" s="25" t="n">
        <x:v>66105084.75</x:v>
      </x:c>
      <x:c r="I49" s="25" t="n">
        <x:v>683253.48</x:v>
      </x:c>
      <x:c r="J49" s="25" t="n">
        <x:v>2210649.08</x:v>
      </x:c>
      <x:c r="K49" s="20" t="str">
        <x:v>Realizado</x:v>
      </x:c>
      <x:c r="L49" s="20" t="str">
        <x:v>CVM_CRI_2025_CLASSE</x:v>
      </x:c>
      <x:c r="M49" s="20" t="str">
        <x:v>Documentado</x:v>
      </x:c>
      <x:c r="N49" s="20" t="str">
        <x:v>Saldo final: saldo agregado reconciliado, controlado por Valor_Atualizado_Emissao. Unidade sem reconciliação permanece n/d; pagamentos realizados ficam documentados.</x:v>
      </x:c>
      <x:c r="P49" s="57" t="n">
        <x:v>45778</x:v>
      </x:c>
      <x:c r="Q49" s="59" t="n">
        <x:v>370484686.41</x:v>
      </x:c>
      <x:c r="R49" s="59" t="n">
        <x:v>105933871.07</x:v>
      </x:c>
      <x:c r="S49" s="59" t="n">
        <x:v>59073019.9</x:v>
      </x:c>
      <x:c r="T49" s="59" t="n">
        <x:v>61377134.620000005</x:v>
      </x:c>
    </x:row>
    <x:row r="50">
      <x:c r="A50" s="20" t="str">
        <x:v>CRI_K1</x:v>
      </x:c>
      <x:c r="B50" s="20" t="str">
        <x:v>Série 2</x:v>
      </x:c>
      <x:c r="C50" s="20" t="str">
        <x:v>Sênior</x:v>
      </x:c>
      <x:c r="D50" s="21" t="n">
        <x:v>45778</x:v>
      </x:c>
      <x:c r="E50" s="25" t="n">
        <x:v>66105084.75</x:v>
      </x:c>
      <x:c r="F50" s="25" t="str">
        <x:v>n/d</x:v>
      </x:c>
      <x:c r="G50" s="25" t="str">
        <x:v>n/d</x:v>
      </x:c>
      <x:c r="H50" s="25" t="n">
        <x:v>64000576.59</x:v>
      </x:c>
      <x:c r="I50" s="25" t="n">
        <x:v>597809.73</x:v>
      </x:c>
      <x:c r="J50" s="25" t="n">
        <x:v>2156134.73</x:v>
      </x:c>
      <x:c r="K50" s="20" t="str">
        <x:v>Realizado</x:v>
      </x:c>
      <x:c r="L50" s="20" t="str">
        <x:v>CVM_CRI_2025_CLASSE</x:v>
      </x:c>
      <x:c r="M50" s="20" t="str">
        <x:v>Documentado</x:v>
      </x:c>
      <x:c r="N50" s="20" t="str">
        <x:v>Saldo final: saldo agregado reconciliado, controlado por Valor_Atualizado_Emissao. Unidade sem reconciliação permanece n/d; pagamentos realizados ficam documentados.</x:v>
      </x:c>
      <x:c r="P50" s="57" t="n">
        <x:v>45809</x:v>
      </x:c>
      <x:c r="Q50" s="59" t="n">
        <x:v>354233931.93</x:v>
      </x:c>
      <x:c r="R50" s="59" t="n">
        <x:v>101810136.29</x:v>
      </x:c>
      <x:c r="S50" s="59" t="n">
        <x:v>56561186.83</x:v>
      </x:c>
      <x:c r="T50" s="59" t="n">
        <x:v>62111388.5</x:v>
      </x:c>
    </x:row>
    <x:row r="51">
      <x:c r="A51" s="20" t="str">
        <x:v>CRI_K1</x:v>
      </x:c>
      <x:c r="B51" s="20" t="str">
        <x:v>Série 2</x:v>
      </x:c>
      <x:c r="C51" s="20" t="str">
        <x:v>Sênior</x:v>
      </x:c>
      <x:c r="D51" s="21" t="n">
        <x:v>45809</x:v>
      </x:c>
      <x:c r="E51" s="25" t="n">
        <x:v>64000576.59</x:v>
      </x:c>
      <x:c r="F51" s="25" t="str">
        <x:v>n/d</x:v>
      </x:c>
      <x:c r="G51" s="25" t="str">
        <x:v>n/d</x:v>
      </x:c>
      <x:c r="H51" s="25" t="n">
        <x:v>61851710.3</x:v>
      </x:c>
      <x:c r="I51" s="25" t="n">
        <x:v>670005.28</x:v>
      </x:c>
      <x:c r="J51" s="25" t="n">
        <x:v>2079062.96</x:v>
      </x:c>
      <x:c r="K51" s="20" t="str">
        <x:v>Realizado</x:v>
      </x:c>
      <x:c r="L51" s="20" t="str">
        <x:v>CVM_CRI_2025_CLASSE</x:v>
      </x:c>
      <x:c r="M51" s="20" t="str">
        <x:v>Documentado</x:v>
      </x:c>
      <x:c r="N51" s="20" t="str">
        <x:v>Saldo final: saldo agregado reconciliado, controlado por Valor_Atualizado_Emissao. Unidade sem reconciliação permanece n/d; pagamentos realizados ficam documentados.</x:v>
      </x:c>
      <x:c r="P51" s="57" t="n">
        <x:v>45839</x:v>
      </x:c>
      <x:c r="Q51" s="59" t="n">
        <x:v>349937974.36</x:v>
      </x:c>
      <x:c r="R51" s="59" t="n">
        <x:v>101252460.86</x:v>
      </x:c>
      <x:c r="S51" s="59" t="n">
        <x:v>56497712.33</x:v>
      </x:c>
      <x:c r="T51" s="59" t="n">
        <x:v>56510237.96</x:v>
      </x:c>
    </x:row>
    <x:row r="52">
      <x:c r="A52" s="20" t="str">
        <x:v>CRI_K1</x:v>
      </x:c>
      <x:c r="B52" s="20" t="str">
        <x:v>Série 2</x:v>
      </x:c>
      <x:c r="C52" s="20" t="str">
        <x:v>Sênior</x:v>
      </x:c>
      <x:c r="D52" s="21" t="n">
        <x:v>45839</x:v>
      </x:c>
      <x:c r="E52" s="25" t="n">
        <x:v>61851710.3</x:v>
      </x:c>
      <x:c r="F52" s="25" t="str">
        <x:v>n/d</x:v>
      </x:c>
      <x:c r="G52" s="25" t="str">
        <x:v>n/d</x:v>
      </x:c>
      <x:c r="H52" s="25" t="n">
        <x:v>59797522.2</x:v>
      </x:c>
      <x:c r="I52" s="25" t="n">
        <x:v>588924.59</x:v>
      </x:c>
      <x:c r="J52" s="25" t="n">
        <x:v>2130347.96</x:v>
      </x:c>
      <x:c r="K52" s="20" t="str">
        <x:v>Realizado</x:v>
      </x:c>
      <x:c r="L52" s="20" t="str">
        <x:v>CVM_CRI_2025_CLASSE</x:v>
      </x:c>
      <x:c r="M52" s="20" t="str">
        <x:v>Documentado</x:v>
      </x:c>
      <x:c r="N52" s="20" t="str">
        <x:v>Saldo final: saldo agregado reconciliado, controlado por Valor_Atualizado_Emissao. Unidade sem reconciliação permanece n/d; pagamentos realizados ficam documentados.</x:v>
      </x:c>
      <x:c r="P52" s="57" t="n">
        <x:v>45870</x:v>
      </x:c>
      <x:c r="Q52" s="59" t="n">
        <x:v>349937974.36</x:v>
      </x:c>
      <x:c r="R52" s="59" t="n">
        <x:v>101252460.86</x:v>
      </x:c>
      <x:c r="S52" s="59" t="n">
        <x:v>56497712.33</x:v>
      </x:c>
      <x:c r="T52" s="59" t="n">
        <x:v>56510237.96</x:v>
      </x:c>
    </x:row>
    <x:row r="53">
      <x:c r="A53" s="20" t="str">
        <x:v>CRI_K1</x:v>
      </x:c>
      <x:c r="B53" s="20" t="str">
        <x:v>Série 2</x:v>
      </x:c>
      <x:c r="C53" s="20" t="str">
        <x:v>Sênior</x:v>
      </x:c>
      <x:c r="D53" s="21" t="n">
        <x:v>45870</x:v>
      </x:c>
      <x:c r="E53" s="25" t="n">
        <x:v>59797522.2</x:v>
      </x:c>
      <x:c r="F53" s="25" t="str">
        <x:v>n/d</x:v>
      </x:c>
      <x:c r="G53" s="25" t="str">
        <x:v>n/d</x:v>
      </x:c>
      <x:c r="H53" s="25" t="n">
        <x:v>57867820.97</x:v>
      </x:c>
      <x:c r="I53" s="25" t="n">
        <x:v>654303.97</x:v>
      </x:c>
      <x:c r="J53" s="25" t="n">
        <x:v>1863928.46</x:v>
      </x:c>
      <x:c r="K53" s="20" t="str">
        <x:v>Realizado</x:v>
      </x:c>
      <x:c r="L53" s="20" t="str">
        <x:v>CVM_CRI_2025_CLASSE</x:v>
      </x:c>
      <x:c r="M53" s="20" t="str">
        <x:v>Documentado</x:v>
      </x:c>
      <x:c r="N53" s="20" t="str">
        <x:v>Saldo final: saldo agregado reconciliado, controlado por Valor_Atualizado_Emissao. Unidade sem reconciliação permanece n/d; pagamentos realizados ficam documentados.</x:v>
      </x:c>
      <x:c r="P53" s="57" t="n">
        <x:v>45901</x:v>
      </x:c>
      <x:c r="Q53" s="59" t="n">
        <x:v>333415830.3</x:v>
      </x:c>
      <x:c r="R53" s="59" t="n">
        <x:v>95339218.1</x:v>
      </x:c>
      <x:c r="S53" s="59" t="n">
        <x:v>53185277.52</x:v>
      </x:c>
      <x:c r="T53" s="59" t="n">
        <x:v>48829667.91</x:v>
      </x:c>
    </x:row>
    <x:row r="54">
      <x:c r="A54" s="20" t="str">
        <x:v>CRI_K1</x:v>
      </x:c>
      <x:c r="B54" s="20" t="str">
        <x:v>Série 2</x:v>
      </x:c>
      <x:c r="C54" s="20" t="str">
        <x:v>Sênior</x:v>
      </x:c>
      <x:c r="D54" s="21" t="n">
        <x:v>45901</x:v>
      </x:c>
      <x:c r="E54" s="25" t="n">
        <x:v>57867820.97</x:v>
      </x:c>
      <x:c r="F54" s="25" t="str">
        <x:v>n/d</x:v>
      </x:c>
      <x:c r="G54" s="25" t="str">
        <x:v>n/d</x:v>
      </x:c>
      <x:c r="H54" s="25" t="n">
        <x:v>56507083.33</x:v>
      </x:c>
      <x:c r="I54" s="25" t="n">
        <x:v>578403.98</x:v>
      </x:c>
      <x:c r="J54" s="25" t="n">
        <x:v>1381032.81</x:v>
      </x:c>
      <x:c r="K54" s="20" t="str">
        <x:v>Realizado</x:v>
      </x:c>
      <x:c r="L54" s="20" t="str">
        <x:v>CVM_CRI_2025_CLASSE</x:v>
      </x:c>
      <x:c r="M54" s="20" t="str">
        <x:v>Documentado</x:v>
      </x:c>
      <x:c r="N54" s="20" t="str">
        <x:v>Saldo final: saldo agregado reconciliado, controlado por Valor_Atualizado_Emissao. Unidade sem reconciliação permanece n/d; pagamentos realizados ficam documentados.</x:v>
      </x:c>
      <x:c r="P54" s="57" t="n">
        <x:v>45931</x:v>
      </x:c>
      <x:c r="Q54" s="59" t="n">
        <x:v>324635549.39</x:v>
      </x:c>
      <x:c r="R54" s="59" t="n">
        <x:v>92832969.37</x:v>
      </x:c>
      <x:c r="S54" s="59" t="n">
        <x:v>51799732.61</x:v>
      </x:c>
      <x:c r="T54" s="59" t="n">
        <x:v>47160908.46</x:v>
      </x:c>
    </x:row>
    <x:row r="55">
      <x:c r="A55" s="20" t="str">
        <x:v>CRI_K1</x:v>
      </x:c>
      <x:c r="B55" s="20" t="str">
        <x:v>Série 2</x:v>
      </x:c>
      <x:c r="C55" s="20" t="str">
        <x:v>Sênior</x:v>
      </x:c>
      <x:c r="D55" s="21" t="n">
        <x:v>45931</x:v>
      </x:c>
      <x:c r="E55" s="25" t="n">
        <x:v>56507083.33</x:v>
      </x:c>
      <x:c r="F55" s="25" t="str">
        <x:v>n/d</x:v>
      </x:c>
      <x:c r="G55" s="25" t="str">
        <x:v>n/d</x:v>
      </x:c>
      <x:c r="H55" s="25" t="n">
        <x:v>54424210.45</x:v>
      </x:c>
      <x:c r="I55" s="25" t="n">
        <x:v>595509.24</x:v>
      </x:c>
      <x:c r="J55" s="25" t="n">
        <x:v>1565455.5</x:v>
      </x:c>
      <x:c r="K55" s="20" t="str">
        <x:v>Realizado</x:v>
      </x:c>
      <x:c r="L55" s="20" t="str">
        <x:v>CVM_CRI_2025_CLASSE</x:v>
      </x:c>
      <x:c r="M55" s="20" t="str">
        <x:v>Documentado</x:v>
      </x:c>
      <x:c r="N55" s="20" t="str">
        <x:v>Saldo final: saldo agregado reconciliado, controlado por Valor_Atualizado_Emissao. Unidade sem reconciliação permanece n/d; pagamentos realizados ficam documentados.</x:v>
      </x:c>
      <x:c r="P55" s="57" t="n">
        <x:v>45962</x:v>
      </x:c>
      <x:c r="Q55" s="59" t="n">
        <x:v>312492359</x:v>
      </x:c>
      <x:c r="R55" s="59" t="n">
        <x:v>89343386</x:v>
      </x:c>
      <x:c r="S55" s="59" t="n">
        <x:v>49804198</x:v>
      </x:c>
      <x:c r="T55" s="59" t="n">
        <x:v>44748247</x:v>
      </x:c>
    </x:row>
    <x:row r="56">
      <x:c r="A56" s="20" t="str">
        <x:v>CRI_K1</x:v>
      </x:c>
      <x:c r="B56" s="20" t="str">
        <x:v>Série 2</x:v>
      </x:c>
      <x:c r="C56" s="20" t="str">
        <x:v>Sênior</x:v>
      </x:c>
      <x:c r="D56" s="21" t="n">
        <x:v>45962</x:v>
      </x:c>
      <x:c r="E56" s="25" t="n">
        <x:v>54424210.45</x:v>
      </x:c>
      <x:c r="F56" s="25" t="str">
        <x:v>n/d</x:v>
      </x:c>
      <x:c r="G56" s="25" t="str">
        <x:v>n/d</x:v>
      </x:c>
      <x:c r="H56" s="25" t="n">
        <x:v>52749291.83</x:v>
      </x:c>
      <x:c r="I56" s="25" t="n">
        <x:v>477256.01</x:v>
      </x:c>
      <x:c r="J56" s="25" t="n">
        <x:v>2071087.15</x:v>
      </x:c>
      <x:c r="K56" s="20" t="str">
        <x:v>Realizado</x:v>
      </x:c>
      <x:c r="L56" s="20" t="str">
        <x:v>CVM_CRI_2025_CLASSE</x:v>
      </x:c>
      <x:c r="M56" s="20" t="str">
        <x:v>Documentado</x:v>
      </x:c>
      <x:c r="N56" s="20" t="str">
        <x:v>Saldo final: saldo agregado reconciliado, controlado por Valor_Atualizado_Emissao. Unidade sem reconciliação permanece n/d; pagamentos realizados ficam documentados.</x:v>
      </x:c>
      <x:c r="P56" s="57" t="n">
        <x:v>45992</x:v>
      </x:c>
      <x:c r="Q56" s="59" t="n">
        <x:v>303554426.2</x:v>
      </x:c>
      <x:c r="R56" s="59" t="n">
        <x:v>87032128.82</x:v>
      </x:c>
      <x:c r="S56" s="59" t="n">
        <x:v>48551142.08</x:v>
      </x:c>
      <x:c r="T56" s="59" t="n">
        <x:v>43606707.16</x:v>
      </x:c>
    </x:row>
    <x:row r="57">
      <x:c r="A57" s="20" t="str">
        <x:v>CRI_K1</x:v>
      </x:c>
      <x:c r="B57" s="20" t="str">
        <x:v>Série 2</x:v>
      </x:c>
      <x:c r="C57" s="20" t="str">
        <x:v>Sênior</x:v>
      </x:c>
      <x:c r="D57" s="21" t="n">
        <x:v>45992</x:v>
      </x:c>
      <x:c r="E57" s="25" t="n">
        <x:v>52749291.83</x:v>
      </x:c>
      <x:c r="F57" s="25" t="str">
        <x:v>n/d</x:v>
      </x:c>
      <x:c r="G57" s="25" t="str">
        <x:v>n/d</x:v>
      </x:c>
      <x:c r="H57" s="25" t="n">
        <x:v>50742691.44</x:v>
      </x:c>
      <x:c r="I57" s="25" t="n">
        <x:v>506945.17</x:v>
      </x:c>
      <x:c r="J57" s="25" t="n">
        <x:v>2181948</x:v>
      </x:c>
      <x:c r="K57" s="20" t="str">
        <x:v>Realizado</x:v>
      </x:c>
      <x:c r="L57" s="20" t="str">
        <x:v>CVM_CRI_2025_CLASSE</x:v>
      </x:c>
      <x:c r="M57" s="20" t="str">
        <x:v>Documentado</x:v>
      </x:c>
      <x:c r="N57" s="20" t="str">
        <x:v>Saldo final: saldo agregado reconciliado, controlado por Valor_Atualizado_Emissao. Unidade sem reconciliação permanece n/d; pagamentos realizados ficam documentados.</x:v>
      </x:c>
      <x:c r="P57" s="57" t="n">
        <x:v>46023</x:v>
      </x:c>
      <x:c r="Q57" s="59" t="n">
        <x:v>292680656.83</x:v>
      </x:c>
      <x:c r="R57" s="59" t="n">
        <x:v>83687116.1</x:v>
      </x:c>
      <x:c r="S57" s="59" t="n">
        <x:v>46673784.28</x:v>
      </x:c>
      <x:c r="T57" s="59" t="n">
        <x:v>41925558.92</x:v>
      </x:c>
    </x:row>
    <x:row r="58">
      <x:c r="A58" s="20" t="str">
        <x:v>CRI_K1</x:v>
      </x:c>
      <x:c r="B58" s="20" t="str">
        <x:v>Série 2</x:v>
      </x:c>
      <x:c r="C58" s="20" t="str">
        <x:v>Sênior</x:v>
      </x:c>
      <x:c r="D58" s="21" t="n">
        <x:v>46023</x:v>
      </x:c>
      <x:c r="E58" s="25" t="n">
        <x:v>50742691.44</x:v>
      </x:c>
      <x:c r="F58" s="25" t="str">
        <x:v>n/d</x:v>
      </x:c>
      <x:c r="G58" s="25" t="str">
        <x:v>n/d</x:v>
      </x:c>
      <x:c r="H58" s="25" t="n">
        <x:v>48549292.42</x:v>
      </x:c>
      <x:c r="I58" s="25" t="n">
        <x:v>506945.17</x:v>
      </x:c>
      <x:c r="J58" s="25" t="n">
        <x:v>2181948</x:v>
      </x:c>
      <x:c r="K58" s="20" t="str">
        <x:v>Realizado</x:v>
      </x:c>
      <x:c r="L58" s="20" t="str">
        <x:v>CVM_CRI_2026_CLASSE</x:v>
      </x:c>
      <x:c r="M58" s="20" t="str">
        <x:v>Documentado</x:v>
      </x:c>
      <x:c r="N58" s="20" t="str">
        <x:v>Saldo final: saldo agregado reconciliado, controlado por Valor_Atualizado_Emissao. Unidade sem reconciliação permanece n/d; pagamentos realizados ficam documentados.</x:v>
      </x:c>
      <x:c r="P58" s="57" t="n">
        <x:v>46054</x:v>
      </x:c>
      <x:c r="Q58" s="59" t="n">
        <x:v>281087818</x:v>
      </x:c>
      <x:c r="R58" s="59" t="n">
        <x:v>80615516</x:v>
      </x:c>
      <x:c r="S58" s="59" t="n">
        <x:v>44927966</x:v>
      </x:c>
      <x:c r="T58" s="59" t="n">
        <x:v>40371881</x:v>
      </x:c>
    </x:row>
    <x:row r="59">
      <x:c r="A59" s="20" t="str">
        <x:v>CRI_K1</x:v>
      </x:c>
      <x:c r="B59" s="20" t="str">
        <x:v>Série 2</x:v>
      </x:c>
      <x:c r="C59" s="20" t="str">
        <x:v>Sênior</x:v>
      </x:c>
      <x:c r="D59" s="21" t="n">
        <x:v>46054</x:v>
      </x:c>
      <x:c r="E59" s="25" t="n">
        <x:v>48549292.42</x:v>
      </x:c>
      <x:c r="F59" s="25" t="str">
        <x:v>n/d</x:v>
      </x:c>
      <x:c r="G59" s="25" t="str">
        <x:v>n/d</x:v>
      </x:c>
      <x:c r="H59" s="25" t="n">
        <x:v>46734740</x:v>
      </x:c>
      <x:c r="I59" s="25" t="n">
        <x:v>508249.84</x:v>
      </x:c>
      <x:c r="J59" s="25" t="n">
        <x:v>1716504.31</x:v>
      </x:c>
      <x:c r="K59" s="20" t="str">
        <x:v>Realizado</x:v>
      </x:c>
      <x:c r="L59" s="20" t="str">
        <x:v>CVM_CRI_2026_CLASSE</x:v>
      </x:c>
      <x:c r="M59" s="20" t="str">
        <x:v>Documentado</x:v>
      </x:c>
      <x:c r="N59" s="20" t="str">
        <x:v>Saldo final: saldo agregado reconciliado, controlado por Valor_Atualizado_Emissao. Unidade sem reconciliação permanece n/d; pagamentos realizados ficam documentados.</x:v>
      </x:c>
      <x:c r="P59" s="57" t="n">
        <x:v>46082</x:v>
      </x:c>
      <x:c r="Q59" s="59" t="n">
        <x:v>272322615</x:v>
      </x:c>
      <x:c r="R59" s="59" t="n">
        <x:v>78581084</x:v>
      </x:c>
      <x:c r="S59" s="59" t="n">
        <x:v>43833669</x:v>
      </x:c>
      <x:c r="T59" s="59" t="n">
        <x:v>39371160</x:v>
      </x:c>
    </x:row>
    <x:row r="60">
      <x:c r="A60" s="20" t="str">
        <x:v>CRI_K1</x:v>
      </x:c>
      <x:c r="B60" s="20" t="str">
        <x:v>Série 2</x:v>
      </x:c>
      <x:c r="C60" s="20" t="str">
        <x:v>Sênior</x:v>
      </x:c>
      <x:c r="D60" s="21" t="n">
        <x:v>46082</x:v>
      </x:c>
      <x:c r="E60" s="25" t="n">
        <x:v>46734740</x:v>
      </x:c>
      <x:c r="F60" s="25" t="str">
        <x:v>n/d</x:v>
      </x:c>
      <x:c r="G60" s="25" t="str">
        <x:v>n/d</x:v>
      </x:c>
      <x:c r="H60" s="25" t="n">
        <x:v>44978130</x:v>
      </x:c>
      <x:c r="I60" s="25" t="n">
        <x:v>449354.29</x:v>
      </x:c>
      <x:c r="J60" s="25" t="n">
        <x:v>2260886.63</x:v>
      </x:c>
      <x:c r="K60" s="20" t="str">
        <x:v>Realizado</x:v>
      </x:c>
      <x:c r="L60" s="20" t="str">
        <x:v>CVM_CRI_2026_CLASSE</x:v>
      </x:c>
      <x:c r="M60" s="20" t="str">
        <x:v>Documentado</x:v>
      </x:c>
      <x:c r="N60" s="20" t="str">
        <x:v>Saldo final: saldo agregado reconciliado, controlado por Valor_Atualizado_Emissao. Unidade sem reconciliação permanece n/d; pagamentos realizados ficam documentados.</x:v>
      </x:c>
      <x:c r="P60" s="57" t="n">
        <x:v>46113</x:v>
      </x:c>
      <x:c r="Q60" s="59" t="n">
        <x:v>260742442</x:v>
      </x:c>
      <x:c r="R60" s="59" t="n">
        <x:v>74652529</x:v>
      </x:c>
      <x:c r="S60" s="59" t="n">
        <x:v>41619530</x:v>
      </x:c>
      <x:c r="T60" s="59" t="n">
        <x:v>37392656</x:v>
      </x:c>
    </x:row>
    <x:row r="61">
      <x:c r="A61" s="20" t="str">
        <x:v>CRI_K1</x:v>
      </x:c>
      <x:c r="B61" s="20" t="str">
        <x:v>Série 2</x:v>
      </x:c>
      <x:c r="C61" s="20" t="str">
        <x:v>Sênior</x:v>
      </x:c>
      <x:c r="D61" s="21" t="n">
        <x:v>46113</x:v>
      </x:c>
      <x:c r="E61" s="25" t="n">
        <x:v>44978130</x:v>
      </x:c>
      <x:c r="F61" s="25" t="str">
        <x:v>n/d</x:v>
      </x:c>
      <x:c r="G61" s="25" t="str">
        <x:v>n/d</x:v>
      </x:c>
      <x:c r="H61" s="25" t="n">
        <x:v>42685062</x:v>
      </x:c>
      <x:c r="I61" s="25" t="n">
        <x:v>449354.29</x:v>
      </x:c>
      <x:c r="J61" s="25" t="n">
        <x:v>2260886.63</x:v>
      </x:c>
      <x:c r="K61" s="20" t="str">
        <x:v>Realizado</x:v>
      </x:c>
      <x:c r="L61" s="20" t="str">
        <x:v>CVM_CRI_2026_CLASSE</x:v>
      </x:c>
      <x:c r="M61" s="20" t="str">
        <x:v>Documentado</x:v>
      </x:c>
      <x:c r="N61" s="20" t="str">
        <x:v>Saldo final: saldo agregado reconciliado, controlado por Valor_Atualizado_Emissao. Unidade sem reconciliação permanece n/d; pagamentos realizados ficam documentados.</x:v>
      </x:c>
      <x:c r="P61" s="57" t="n">
        <x:v>46143</x:v>
      </x:c>
      <x:c r="Q61" s="59" t="n">
        <x:v>251034895</x:v>
      </x:c>
      <x:c r="R61" s="59" t="n">
        <x:v>72227698</x:v>
      </x:c>
      <x:c r="S61" s="59" t="n">
        <x:v>40262437</x:v>
      </x:c>
      <x:c r="T61" s="59" t="n">
        <x:v>36175987</x:v>
      </x:c>
    </x:row>
    <x:row r="62">
      <x:c r="A62" s="20" t="str">
        <x:v>CRI_K1</x:v>
      </x:c>
      <x:c r="B62" s="20" t="str">
        <x:v>Série 2</x:v>
      </x:c>
      <x:c r="C62" s="20" t="str">
        <x:v>Sênior</x:v>
      </x:c>
      <x:c r="D62" s="21" t="n">
        <x:v>46143</x:v>
      </x:c>
      <x:c r="E62" s="25" t="n">
        <x:v>42685062</x:v>
      </x:c>
      <x:c r="F62" s="25" t="str">
        <x:v>n/d</x:v>
      </x:c>
      <x:c r="G62" s="25" t="str">
        <x:v>n/d</x:v>
      </x:c>
      <x:c r="H62" s="25" t="n">
        <x:v>40834808</x:v>
      </x:c>
      <x:c r="I62" s="25" t="n">
        <x:v>406234.9</x:v>
      </x:c>
      <x:c r="J62" s="25" t="n">
        <x:v>1841470.6</x:v>
      </x:c>
      <x:c r="K62" s="20" t="str">
        <x:v>Realizado</x:v>
      </x:c>
      <x:c r="L62" s="20" t="str">
        <x:v>CVM_CRI_2026_CLASSE</x:v>
      </x:c>
      <x:c r="M62" s="20" t="str">
        <x:v>Documentado</x:v>
      </x:c>
      <x:c r="N62" s="20" t="str">
        <x:v>Saldo final: saldo agregado reconciliado, controlado por Valor_Atualizado_Emissao. Unidade sem reconciliação permanece n/d; pagamentos realizados ficam documentados.</x:v>
      </x:c>
    </x:row>
    <x:row r="63">
      <x:c r="A63" s="20" t="str">
        <x:v>CRI_K1</x:v>
      </x:c>
      <x:c r="B63" s="20" t="str">
        <x:v>Série 2</x:v>
      </x:c>
      <x:c r="C63" s="20" t="str">
        <x:v>Sênior</x:v>
      </x:c>
      <x:c r="D63" s="21" t="n">
        <x:v>46174</x:v>
      </x:c>
      <x:c r="E63" s="25" t="n">
        <x:v>40834808</x:v>
      </x:c>
      <x:c r="F63" s="25" t="str">
        <x:v>n/d</x:v>
      </x:c>
      <x:c r="G63" s="25" t="str">
        <x:v>n/d</x:v>
      </x:c>
      <x:c r="H63" s="25" t="str">
        <x:v>n/d</x:v>
      </x:c>
      <x:c r="I63" s="25" t="n">
        <x:v>388625.98</x:v>
      </x:c>
      <x:c r="J63" s="25" t="n">
        <x:v>2071403.88</x:v>
      </x:c>
      <x:c r="K63" s="20" t="str">
        <x:v>Realizado</x:v>
      </x:c>
      <x:c r="L63" s="20" t="str">
        <x:v>CVM_CRI_2026_CLASSE</x:v>
      </x:c>
      <x:c r="M63" s="20" t="str">
        <x:v>Documentado</x:v>
      </x:c>
      <x:c r="N63" s="20" t="str">
        <x:v>Saldo final: n/d por conflito de unidade, controlado por Valor_Atualizado_Emissao. Unidade sem reconciliação permanece n/d; pagamentos realizados ficam documentados.</x:v>
      </x:c>
    </x:row>
    <x:row r="64">
      <x:c r="A64" s="20" t="str">
        <x:v>CRI_K1</x:v>
      </x:c>
      <x:c r="B64" s="20" t="str">
        <x:v>Série 3</x:v>
      </x:c>
      <x:c r="C64" s="20" t="str">
        <x:v>Mezanino</x:v>
      </x:c>
      <x:c r="D64" s="21" t="n">
        <x:v>45323</x:v>
      </x:c>
      <x:c r="E64" s="25" t="str">
        <x:v>n/d</x:v>
      </x:c>
      <x:c r="F64" s="25" t="str">
        <x:v>n/d</x:v>
      </x:c>
      <x:c r="G64" s="25" t="str">
        <x:v>n/d</x:v>
      </x:c>
      <x:c r="H64" s="25" t="n">
        <x:v>108524295.02</x:v>
      </x:c>
      <x:c r="I64" s="25" t="n">
        <x:v>0</x:v>
      </x:c>
      <x:c r="J64" s="25" t="n">
        <x:v>0</x:v>
      </x:c>
      <x:c r="K64" s="20" t="str">
        <x:v>Realizado</x:v>
      </x:c>
      <x:c r="L64" s="20" t="str">
        <x:v>CVM_CRI_2024_CLASSE</x:v>
      </x:c>
      <x:c r="M64" s="20" t="str">
        <x:v>Documentado</x:v>
      </x:c>
      <x:c r="N64" s="20" t="str">
        <x:v>Saldo final: saldo agregado; controle total indisponível,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65">
      <x:c r="A65" s="20" t="str">
        <x:v>CRI_K1</x:v>
      </x:c>
      <x:c r="B65" s="20" t="str">
        <x:v>Série 3</x:v>
      </x:c>
      <x:c r="C65" s="20" t="str">
        <x:v>Mezanino</x:v>
      </x:c>
      <x:c r="D65" s="21" t="n">
        <x:v>45352</x:v>
      </x:c>
      <x:c r="E65" s="25" t="n">
        <x:v>108524295.02</x:v>
      </x:c>
      <x:c r="F65" s="25" t="str">
        <x:v>n/d</x:v>
      </x:c>
      <x:c r="G65" s="25" t="str">
        <x:v>n/d</x:v>
      </x:c>
      <x:c r="H65" s="25" t="n">
        <x:v>109846195.03</x:v>
      </x:c>
      <x:c r="I65" s="25" t="n">
        <x:v>0</x:v>
      </x:c>
      <x:c r="J65" s="25" t="n">
        <x:v>0</x:v>
      </x:c>
      <x:c r="K65" s="20" t="str">
        <x:v>Realizado</x:v>
      </x:c>
      <x:c r="L65" s="20" t="str">
        <x:v>CVM_CRI_2024_CLASSE</x:v>
      </x:c>
      <x:c r="M65" s="20" t="str">
        <x:v>Documentado</x:v>
      </x:c>
      <x:c r="N65" s="20" t="str">
        <x:v>Saldo final: saldo agregado; controle total indisponível, controlado por Valor_Atualizado_Emissao. Unidade sem reconciliação permanece n/d; pagamentos realizados ficam documentados.</x:v>
      </x:c>
    </x:row>
    <x:row r="66">
      <x:c r="A66" s="20" t="str">
        <x:v>CRI_K1</x:v>
      </x:c>
      <x:c r="B66" s="20" t="str">
        <x:v>Série 3</x:v>
      </x:c>
      <x:c r="C66" s="20" t="str">
        <x:v>Mezanino</x:v>
      </x:c>
      <x:c r="D66" s="21" t="n">
        <x:v>45383</x:v>
      </x:c>
      <x:c r="E66" s="25" t="n">
        <x:v>109846195.03</x:v>
      </x:c>
      <x:c r="F66" s="25" t="str">
        <x:v>n/d</x:v>
      </x:c>
      <x:c r="G66" s="25" t="str">
        <x:v>n/d</x:v>
      </x:c>
      <x:c r="H66" s="25" t="str">
        <x:v>n/d</x:v>
      </x:c>
      <x:c r="I66" s="25" t="n">
        <x:v>0</x:v>
      </x:c>
      <x:c r="J66" s="25" t="n">
        <x:v>0</x:v>
      </x:c>
      <x:c r="K66" s="20" t="str">
        <x:v>Realizado</x:v>
      </x:c>
      <x:c r="L66" s="20" t="str">
        <x:v>CVM_CRI_2024_CLASSE</x:v>
      </x:c>
      <x:c r="M66" s="20" t="str">
        <x:v>Documentado</x:v>
      </x:c>
      <x:c r="N66" s="20" t="str">
        <x:v>Saldo final: n/d por conflito de unidade, controlado por Valor_Atualizado_Emissao. Unidade sem reconciliação permanece n/d; pagamentos realizados ficam documentados.</x:v>
      </x:c>
    </x:row>
    <x:row r="67">
      <x:c r="A67" s="20" t="str">
        <x:v>CRI_K1</x:v>
      </x:c>
      <x:c r="B67" s="20" t="str">
        <x:v>Série 3</x:v>
      </x:c>
      <x:c r="C67" s="20" t="str">
        <x:v>Mezanino</x:v>
      </x:c>
      <x:c r="D67" s="21" t="n">
        <x:v>45413</x:v>
      </x:c>
      <x:c r="E67" s="25" t="str">
        <x:v>n/d</x:v>
      </x:c>
      <x:c r="F67" s="25" t="str">
        <x:v>n/d</x:v>
      </x:c>
      <x:c r="G67" s="25" t="str">
        <x:v>n/d</x:v>
      </x:c>
      <x:c r="H67" s="25" t="str">
        <x:v>n/d</x:v>
      </x:c>
      <x:c r="I67" s="25" t="n">
        <x:v>0</x:v>
      </x:c>
      <x:c r="J67" s="25" t="n">
        <x:v>0</x:v>
      </x:c>
      <x:c r="K67" s="20" t="str">
        <x:v>Realizado</x:v>
      </x:c>
      <x:c r="L67" s="20" t="str">
        <x:v>CVM_CRI_2024_CLASSE</x:v>
      </x:c>
      <x:c r="M67" s="20" t="str">
        <x:v>Documentado</x:v>
      </x:c>
      <x:c r="N67" s="20" t="str">
        <x:v>Saldo final: n/d por conflito de unidade, controlado por Valor_Atualizado_Emissao. Unidade sem reconciliação permanece n/d; pagamentos realizados ficam documentados.</x:v>
      </x:c>
    </x:row>
    <x:row r="68">
      <x:c r="A68" s="20" t="str">
        <x:v>CRI_K1</x:v>
      </x:c>
      <x:c r="B68" s="20" t="str">
        <x:v>Série 3</x:v>
      </x:c>
      <x:c r="C68" s="20" t="str">
        <x:v>Mezanino</x:v>
      </x:c>
      <x:c r="D68" s="21" t="n">
        <x:v>45444</x:v>
      </x:c>
      <x:c r="E68" s="25" t="str">
        <x:v>n/d</x:v>
      </x:c>
      <x:c r="F68" s="25" t="str">
        <x:v>n/d</x:v>
      </x:c>
      <x:c r="G68" s="25" t="str">
        <x:v>n/d</x:v>
      </x:c>
      <x:c r="H68" s="25" t="str">
        <x:v>n/d</x:v>
      </x:c>
      <x:c r="I68" s="25" t="n">
        <x:v>0</x:v>
      </x:c>
      <x:c r="J68" s="25" t="n">
        <x:v>0</x:v>
      </x:c>
      <x:c r="K68" s="20" t="str">
        <x:v>Realizado</x:v>
      </x:c>
      <x:c r="L68" s="20" t="str">
        <x:v>CVM_CRI_2024_CLASSE</x:v>
      </x:c>
      <x:c r="M68" s="20" t="str">
        <x:v>Documentado</x:v>
      </x:c>
      <x:c r="N68" s="20" t="str">
        <x:v>Saldo final: n/d por conflito de unidade, controlado por Valor_Atualizado_Emissao. Unidade sem reconciliação permanece n/d; pagamentos realizados ficam documentados.</x:v>
      </x:c>
    </x:row>
    <x:row r="69">
      <x:c r="A69" s="20" t="str">
        <x:v>CRI_K1</x:v>
      </x:c>
      <x:c r="B69" s="20" t="str">
        <x:v>Série 3</x:v>
      </x:c>
      <x:c r="C69" s="20" t="str">
        <x:v>Mezanino</x:v>
      </x:c>
      <x:c r="D69" s="21" t="n">
        <x:v>45474</x:v>
      </x:c>
      <x:c r="E69" s="25" t="str">
        <x:v>n/d</x:v>
      </x:c>
      <x:c r="F69" s="25" t="str">
        <x:v>n/d</x:v>
      </x:c>
      <x:c r="G69" s="25" t="str">
        <x:v>n/d</x:v>
      </x:c>
      <x:c r="H69" s="25" t="n">
        <x:v>115716600</x:v>
      </x:c>
      <x:c r="I69" s="25" t="n">
        <x:v>0</x:v>
      </x:c>
      <x:c r="J69" s="25" t="n">
        <x:v>0</x:v>
      </x:c>
      <x:c r="K69" s="20" t="str">
        <x:v>Realizado</x:v>
      </x:c>
      <x:c r="L69" s="20" t="str">
        <x:v>CVM_CRI_2024_CLASSE</x:v>
      </x:c>
      <x:c r="M69" s="20" t="str">
        <x:v>Documentado</x:v>
      </x:c>
      <x:c r="N69" s="20" t="str">
        <x:v>Saldo final: valor unitário × quantidade reconciliado, controlado por Valor_Atualizado_Emissao. Unidade sem reconciliação permanece n/d; pagamentos realizados ficam documentados.</x:v>
      </x:c>
    </x:row>
    <x:row r="70">
      <x:c r="A70" s="20" t="str">
        <x:v>CRI_K1</x:v>
      </x:c>
      <x:c r="B70" s="20" t="str">
        <x:v>Série 3</x:v>
      </x:c>
      <x:c r="C70" s="20" t="str">
        <x:v>Mezanino</x:v>
      </x:c>
      <x:c r="D70" s="21" t="n">
        <x:v>45505</x:v>
      </x:c>
      <x:c r="E70" s="25" t="n">
        <x:v>115716600</x:v>
      </x:c>
      <x:c r="F70" s="25" t="str">
        <x:v>n/d</x:v>
      </x:c>
      <x:c r="G70" s="25" t="str">
        <x:v>n/d</x:v>
      </x:c>
      <x:c r="H70" s="25" t="str">
        <x:v>n/d</x:v>
      </x:c>
      <x:c r="I70" s="25" t="n">
        <x:v>0</x:v>
      </x:c>
      <x:c r="J70" s="25" t="n">
        <x:v>0</x:v>
      </x:c>
      <x:c r="K70" s="20" t="str">
        <x:v>Realizado</x:v>
      </x:c>
      <x:c r="L70" s="20" t="str">
        <x:v>CVM_CRI_2024_CLASSE</x:v>
      </x:c>
      <x:c r="M70" s="20" t="str">
        <x:v>Documentado</x:v>
      </x:c>
      <x:c r="N70" s="20" t="str">
        <x:v>Saldo final: n/d por conflito de unidade, controlado por Valor_Atualizado_Emissao. Unidade sem reconciliação permanece n/d; pagamentos realizados ficam documentados.</x:v>
      </x:c>
    </x:row>
    <x:row r="71">
      <x:c r="A71" s="20" t="str">
        <x:v>CRI_K1</x:v>
      </x:c>
      <x:c r="B71" s="20" t="str">
        <x:v>Série 3</x:v>
      </x:c>
      <x:c r="C71" s="20" t="str">
        <x:v>Mezanino</x:v>
      </x:c>
      <x:c r="D71" s="21" t="n">
        <x:v>45536</x:v>
      </x:c>
      <x:c r="E71" s="25" t="str">
        <x:v>n/d</x:v>
      </x:c>
      <x:c r="F71" s="25" t="str">
        <x:v>n/d</x:v>
      </x:c>
      <x:c r="G71" s="25" t="str">
        <x:v>n/d</x:v>
      </x:c>
      <x:c r="H71" s="25" t="n">
        <x:v>117959760</x:v>
      </x:c>
      <x:c r="I71" s="25" t="n">
        <x:v>1500018.48</x:v>
      </x:c>
      <x:c r="J71" s="25" t="n">
        <x:v>6511864.98</x:v>
      </x:c>
      <x:c r="K71" s="20" t="str">
        <x:v>Realizado</x:v>
      </x:c>
      <x:c r="L71" s="20" t="str">
        <x:v>CVM_CRI_2024_CLASSE</x:v>
      </x:c>
      <x:c r="M71" s="20" t="str">
        <x:v>Documentado</x:v>
      </x:c>
      <x:c r="N71" s="20" t="str">
        <x:v>Saldo final: valor unitário × quantidade reconciliado, controlado por Valor_Atualizado_Emissao. Unidade sem reconciliação permanece n/d; pagamentos realizados ficam documentados.</x:v>
      </x:c>
    </x:row>
    <x:row r="72">
      <x:c r="A72" s="20" t="str">
        <x:v>CRI_K1</x:v>
      </x:c>
      <x:c r="B72" s="20" t="str">
        <x:v>Série 3</x:v>
      </x:c>
      <x:c r="C72" s="20" t="str">
        <x:v>Mezanino</x:v>
      </x:c>
      <x:c r="D72" s="21" t="n">
        <x:v>45566</x:v>
      </x:c>
      <x:c r="E72" s="25" t="n">
        <x:v>117959760</x:v>
      </x:c>
      <x:c r="F72" s="25" t="str">
        <x:v>n/d</x:v>
      </x:c>
      <x:c r="G72" s="25" t="str">
        <x:v>n/d</x:v>
      </x:c>
      <x:c r="H72" s="25" t="n">
        <x:v>111543072.08</x:v>
      </x:c>
      <x:c r="I72" s="25" t="n">
        <x:v>1500018.48</x:v>
      </x:c>
      <x:c r="J72" s="25" t="n">
        <x:v>6511864.98</x:v>
      </x:c>
      <x:c r="K72" s="20" t="str">
        <x:v>Realizado</x:v>
      </x:c>
      <x:c r="L72" s="20" t="str">
        <x:v>CVM_CRI_2024_CLASSE</x:v>
      </x:c>
      <x:c r="M72" s="20" t="str">
        <x:v>Documentado</x:v>
      </x:c>
      <x:c r="N72" s="20" t="str">
        <x:v>Saldo final: saldo agregado reconciliado, controlado por Valor_Atualizado_Emissao. Unidade sem reconciliação permanece n/d; pagamentos realizados ficam documentados.</x:v>
      </x:c>
    </x:row>
    <x:row r="73">
      <x:c r="A73" s="20" t="str">
        <x:v>CRI_K1</x:v>
      </x:c>
      <x:c r="B73" s="20" t="str">
        <x:v>Série 3</x:v>
      </x:c>
      <x:c r="C73" s="20" t="str">
        <x:v>Mezanino</x:v>
      </x:c>
      <x:c r="D73" s="21" t="n">
        <x:v>45597</x:v>
      </x:c>
      <x:c r="E73" s="25" t="n">
        <x:v>111543072.08</x:v>
      </x:c>
      <x:c r="F73" s="25" t="str">
        <x:v>n/d</x:v>
      </x:c>
      <x:c r="G73" s="25" t="str">
        <x:v>n/d</x:v>
      </x:c>
      <x:c r="H73" s="25" t="n">
        <x:v>105796194.05</x:v>
      </x:c>
      <x:c r="I73" s="25" t="n">
        <x:v>1552574.52</x:v>
      </x:c>
      <x:c r="J73" s="25" t="n">
        <x:v>5450651.64</x:v>
      </x:c>
      <x:c r="K73" s="20" t="str">
        <x:v>Realizado</x:v>
      </x:c>
      <x:c r="L73" s="20" t="str">
        <x:v>CVM_CRI_2024_CLASSE</x:v>
      </x:c>
      <x:c r="M73" s="20" t="str">
        <x:v>Documentado</x:v>
      </x:c>
      <x:c r="N73" s="20" t="str">
        <x:v>Saldo final: saldo agregado reconciliado, controlado por Valor_Atualizado_Emissao. Unidade sem reconciliação permanece n/d; pagamentos realizados ficam documentados.</x:v>
      </x:c>
    </x:row>
    <x:row r="74">
      <x:c r="A74" s="20" t="str">
        <x:v>CRI_K1</x:v>
      </x:c>
      <x:c r="B74" s="20" t="str">
        <x:v>Série 3</x:v>
      </x:c>
      <x:c r="C74" s="20" t="str">
        <x:v>Mezanino</x:v>
      </x:c>
      <x:c r="D74" s="21" t="n">
        <x:v>45627</x:v>
      </x:c>
      <x:c r="E74" s="25" t="n">
        <x:v>105796194.05</x:v>
      </x:c>
      <x:c r="F74" s="25" t="str">
        <x:v>n/d</x:v>
      </x:c>
      <x:c r="G74" s="25" t="str">
        <x:v>n/d</x:v>
      </x:c>
      <x:c r="H74" s="25" t="n">
        <x:v>101491975.69</x:v>
      </x:c>
      <x:c r="I74" s="25" t="n">
        <x:v>1217952.53</x:v>
      </x:c>
      <x:c r="J74" s="25" t="n">
        <x:v>4405633.71</x:v>
      </x:c>
      <x:c r="K74" s="20" t="str">
        <x:v>Realizado</x:v>
      </x:c>
      <x:c r="L74" s="20" t="str">
        <x:v>CVM_CRI_2024_CLASSE</x:v>
      </x:c>
      <x:c r="M74" s="20" t="str">
        <x:v>Documentado</x:v>
      </x:c>
      <x:c r="N74" s="20" t="str">
        <x:v>Saldo final: saldo agregado reconciliado, controlado por Valor_Atualizado_Emissao. Unidade sem reconciliação permanece n/d; pagamentos realizados ficam documentados.</x:v>
      </x:c>
    </x:row>
    <x:row r="75" ht="20" customHeight="1">
      <x:c r="A75" s="20" t="str">
        <x:v>CRI_K1</x:v>
      </x:c>
      <x:c r="B75" s="20" t="str">
        <x:v>Série 3</x:v>
      </x:c>
      <x:c r="C75" s="20" t="str">
        <x:v>Mezanino</x:v>
      </x:c>
      <x:c r="D75" s="21" t="n">
        <x:v>45658</x:v>
      </x:c>
      <x:c r="E75" s="25" t="n">
        <x:v>101491975.69</x:v>
      </x:c>
      <x:c r="F75" s="25" t="str">
        <x:v>n/d</x:v>
      </x:c>
      <x:c r="G75" s="25" t="str">
        <x:v>n/d</x:v>
      </x:c>
      <x:c r="H75" s="25" t="n">
        <x:v>95621679.06</x:v>
      </x:c>
      <x:c r="I75" s="25" t="n">
        <x:v>1330963.72</x:v>
      </x:c>
      <x:c r="J75" s="25" t="n">
        <x:v>5562005.28</x:v>
      </x:c>
      <x:c r="K75" s="20" t="str">
        <x:v>Realizado</x:v>
      </x:c>
      <x:c r="L75" s="20" t="str">
        <x:v>CVM_CRI_2025_CLASSE</x:v>
      </x:c>
      <x:c r="M75" s="20" t="str">
        <x:v>Documentado</x:v>
      </x:c>
      <x:c r="N75" s="20" t="str">
        <x:v>Saldo final: saldo agregado reconciliado, controlado por Valor_Atualizado_Emissao. Unidade sem reconciliação permanece n/d; pagamentos realizados ficam documentados.</x:v>
      </x:c>
      <x:c r="P75" s="64" t="str">
        <x:v>competencia</x:v>
      </x:c>
      <x:c r="Q75" s="65" t="str">
        <x:v>Super Sênior</x:v>
      </x:c>
      <x:c r="R75" s="65" t="str">
        <x:v>Sênior</x:v>
      </x:c>
      <x:c r="S75" s="65" t="str">
        <x:v>Mezanino</x:v>
      </x:c>
      <x:c r="T75" s="65" t="str">
        <x:v>Subordinada/Júnior</x:v>
      </x:c>
    </x:row>
    <x:row r="76">
      <x:c r="A76" s="20" t="str">
        <x:v>CRI_K1</x:v>
      </x:c>
      <x:c r="B76" s="20" t="str">
        <x:v>Série 3</x:v>
      </x:c>
      <x:c r="C76" s="20" t="str">
        <x:v>Mezanino</x:v>
      </x:c>
      <x:c r="D76" s="21" t="n">
        <x:v>45689</x:v>
      </x:c>
      <x:c r="E76" s="25" t="n">
        <x:v>95621679.06</x:v>
      </x:c>
      <x:c r="F76" s="25" t="str">
        <x:v>n/d</x:v>
      </x:c>
      <x:c r="G76" s="25" t="str">
        <x:v>n/d</x:v>
      </x:c>
      <x:c r="H76" s="25" t="n">
        <x:v>89855790.64</x:v>
      </x:c>
      <x:c r="I76" s="25" t="n">
        <x:v>1330963.71</x:v>
      </x:c>
      <x:c r="J76" s="25" t="n">
        <x:v>5562005.28</x:v>
      </x:c>
      <x:c r="K76" s="20" t="str">
        <x:v>Realizado</x:v>
      </x:c>
      <x:c r="L76" s="20" t="str">
        <x:v>CVM_CRI_2025_CLASSE</x:v>
      </x:c>
      <x:c r="M76" s="20" t="str">
        <x:v>Documentado</x:v>
      </x:c>
      <x:c r="N76" s="20" t="str">
        <x:v>Saldo final: saldo agregado reconciliado, controlado por Valor_Atualizado_Emissao. Unidade sem reconciliação permanece n/d; pagamentos realizados ficam documentados.</x:v>
      </x:c>
      <x:c r="P76" s="57" t="n">
        <x:v>46054</x:v>
      </x:c>
      <x:c r="Q76" s="59" t="n">
        <x:v>403335891</x:v>
      </x:c>
      <x:c r="R76" s="59" t="n">
        <x:v>115286531</x:v>
      </x:c>
      <x:c r="S76" s="59" t="n">
        <x:v>64187254</x:v>
      </x:c>
      <x:c r="T76" s="59" t="n">
        <x:v>55222141</x:v>
      </x:c>
    </x:row>
    <x:row r="77">
      <x:c r="A77" s="20" t="str">
        <x:v>CRI_K1</x:v>
      </x:c>
      <x:c r="B77" s="20" t="str">
        <x:v>Série 3</x:v>
      </x:c>
      <x:c r="C77" s="20" t="str">
        <x:v>Mezanino</x:v>
      </x:c>
      <x:c r="D77" s="21" t="n">
        <x:v>45717</x:v>
      </x:c>
      <x:c r="E77" s="25" t="n">
        <x:v>89855790.64</x:v>
      </x:c>
      <x:c r="F77" s="25" t="str">
        <x:v>n/d</x:v>
      </x:c>
      <x:c r="G77" s="25" t="str">
        <x:v>n/d</x:v>
      </x:c>
      <x:c r="H77" s="25" t="n">
        <x:v>85181471.84</x:v>
      </x:c>
      <x:c r="I77" s="25" t="n">
        <x:v>979108.14</x:v>
      </x:c>
      <x:c r="J77" s="25" t="n">
        <x:v>4700190.77</x:v>
      </x:c>
      <x:c r="K77" s="20" t="str">
        <x:v>Realizado</x:v>
      </x:c>
      <x:c r="L77" s="20" t="str">
        <x:v>CVM_CRI_2025_CLASSE</x:v>
      </x:c>
      <x:c r="M77" s="20" t="str">
        <x:v>Documentado</x:v>
      </x:c>
      <x:c r="N77" s="20" t="str">
        <x:v>Saldo final: saldo agregado reconciliado, controlado por Valor_Atualizado_Emissao. Unidade sem reconciliação permanece n/d; pagamentos realizados ficam documentados.</x:v>
      </x:c>
      <x:c r="P77" s="57" t="n">
        <x:v>46082</x:v>
      </x:c>
      <x:c r="Q77" s="59" t="n">
        <x:v>393771732</x:v>
      </x:c>
      <x:c r="R77" s="59" t="n">
        <x:v>112568381</x:v>
      </x:c>
      <x:c r="S77" s="59" t="n">
        <x:v>62711427</x:v>
      </x:c>
      <x:c r="T77" s="59" t="n">
        <x:v>54299087</x:v>
      </x:c>
    </x:row>
    <x:row r="78">
      <x:c r="A78" s="20" t="str">
        <x:v>CRI_K1</x:v>
      </x:c>
      <x:c r="B78" s="20" t="str">
        <x:v>Série 3</x:v>
      </x:c>
      <x:c r="C78" s="20" t="str">
        <x:v>Mezanino</x:v>
      </x:c>
      <x:c r="D78" s="21" t="n">
        <x:v>45748</x:v>
      </x:c>
      <x:c r="E78" s="25" t="n">
        <x:v>85181471.84</x:v>
      </x:c>
      <x:c r="F78" s="25" t="str">
        <x:v>n/d</x:v>
      </x:c>
      <x:c r="G78" s="25" t="str">
        <x:v>n/d</x:v>
      </x:c>
      <x:c r="H78" s="25" t="n">
        <x:v>81417338.95</x:v>
      </x:c>
      <x:c r="I78" s="25" t="n">
        <x:v>1083200.33</x:v>
      </x:c>
      <x:c r="J78" s="25" t="n">
        <x:v>3692411.61</x:v>
      </x:c>
      <x:c r="K78" s="20" t="str">
        <x:v>Realizado</x:v>
      </x:c>
      <x:c r="L78" s="20" t="str">
        <x:v>CVM_CRI_2025_CLASSE</x:v>
      </x:c>
      <x:c r="M78" s="20" t="str">
        <x:v>Documentado</x:v>
      </x:c>
      <x:c r="N78" s="20" t="str">
        <x:v>Saldo final: saldo agregado reconciliado, controlado por Valor_Atualizado_Emissao. Unidade sem reconciliação permanece n/d; pagamentos realizados ficam documentados.</x:v>
      </x:c>
      <x:c r="P78" s="57" t="n">
        <x:v>46143</x:v>
      </x:c>
      <x:c r="Q78" s="59" t="n">
        <x:v>371709136</x:v>
      </x:c>
      <x:c r="R78" s="59" t="n">
        <x:v>106260503</x:v>
      </x:c>
      <x:c r="S78" s="59" t="n">
        <x:v>59166297</x:v>
      </x:c>
      <x:c r="T78" s="59" t="n">
        <x:v>50716998</x:v>
      </x:c>
    </x:row>
    <x:row r="79">
      <x:c r="A79" s="20" t="str">
        <x:v>CRI_K1</x:v>
      </x:c>
      <x:c r="B79" s="20" t="str">
        <x:v>Série 3</x:v>
      </x:c>
      <x:c r="C79" s="20" t="str">
        <x:v>Mezanino</x:v>
      </x:c>
      <x:c r="D79" s="21" t="n">
        <x:v>45778</x:v>
      </x:c>
      <x:c r="E79" s="25" t="n">
        <x:v>81417338.95</x:v>
      </x:c>
      <x:c r="F79" s="25" t="str">
        <x:v>n/d</x:v>
      </x:c>
      <x:c r="G79" s="25" t="str">
        <x:v>n/d</x:v>
      </x:c>
      <x:c r="H79" s="25" t="n">
        <x:v>77146999.02</x:v>
      </x:c>
      <x:c r="I79" s="25" t="n">
        <x:v>936729.76</x:v>
      </x:c>
      <x:c r="J79" s="25" t="n">
        <x:v>4339976.46</x:v>
      </x:c>
      <x:c r="K79" s="20" t="str">
        <x:v>Realizado</x:v>
      </x:c>
      <x:c r="L79" s="20" t="str">
        <x:v>CVM_CRI_2025_CLASSE</x:v>
      </x:c>
      <x:c r="M79" s="20" t="str">
        <x:v>Documentado</x:v>
      </x:c>
      <x:c r="N79" s="20" t="str">
        <x:v>Saldo final: saldo agregado reconciliado, controlado por Valor_Atualizado_Emissao. Unidade sem reconciliação permanece n/d; pagamentos realizados ficam documentados.</x:v>
      </x:c>
    </x:row>
    <x:row r="80">
      <x:c r="A80" s="20" t="str">
        <x:v>CRI_K1</x:v>
      </x:c>
      <x:c r="B80" s="20" t="str">
        <x:v>Série 3</x:v>
      </x:c>
      <x:c r="C80" s="20" t="str">
        <x:v>Mezanino</x:v>
      </x:c>
      <x:c r="D80" s="21" t="n">
        <x:v>45809</x:v>
      </x:c>
      <x:c r="E80" s="25" t="n">
        <x:v>77146999.02</x:v>
      </x:c>
      <x:c r="F80" s="25" t="str">
        <x:v>n/d</x:v>
      </x:c>
      <x:c r="G80" s="25" t="str">
        <x:v>n/d</x:v>
      </x:c>
      <x:c r="H80" s="25" t="n">
        <x:v>74308612.03</x:v>
      </x:c>
      <x:c r="I80" s="25" t="n">
        <x:v>1027436.28</x:v>
      </x:c>
      <x:c r="J80" s="25" t="n">
        <x:v>2730126.05</x:v>
      </x:c>
      <x:c r="K80" s="20" t="str">
        <x:v>Realizado</x:v>
      </x:c>
      <x:c r="L80" s="20" t="str">
        <x:v>CVM_CRI_2025_CLASSE</x:v>
      </x:c>
      <x:c r="M80" s="20" t="str">
        <x:v>Documentado</x:v>
      </x:c>
      <x:c r="N80" s="20" t="str">
        <x:v>Saldo final: saldo agregado reconciliado, controlado por Valor_Atualizado_Emissao. Unidade sem reconciliação permanece n/d; pagamentos realizados ficam documentados.</x:v>
      </x:c>
    </x:row>
    <x:row r="81">
      <x:c r="A81" s="20" t="str">
        <x:v>CRI_K1</x:v>
      </x:c>
      <x:c r="B81" s="20" t="str">
        <x:v>Série 3</x:v>
      </x:c>
      <x:c r="C81" s="20" t="str">
        <x:v>Mezanino</x:v>
      </x:c>
      <x:c r="D81" s="21" t="n">
        <x:v>45839</x:v>
      </x:c>
      <x:c r="E81" s="25" t="n">
        <x:v>74308612.03</x:v>
      </x:c>
      <x:c r="F81" s="25" t="str">
        <x:v>n/d</x:v>
      </x:c>
      <x:c r="G81" s="25" t="str">
        <x:v>n/d</x:v>
      </x:c>
      <x:c r="H81" s="25" t="n">
        <x:v>71868628.25</x:v>
      </x:c>
      <x:c r="I81" s="25" t="n">
        <x:v>900211.73</x:v>
      </x:c>
      <x:c r="J81" s="25" t="n">
        <x:v>2556417.55</x:v>
      </x:c>
      <x:c r="K81" s="20" t="str">
        <x:v>Realizado</x:v>
      </x:c>
      <x:c r="L81" s="20" t="str">
        <x:v>CVM_CRI_2025_CLASSE</x:v>
      </x:c>
      <x:c r="M81" s="20" t="str">
        <x:v>Documentado</x:v>
      </x:c>
      <x:c r="N81" s="20" t="str">
        <x:v>Saldo final: saldo agregado reconciliado, controlado por Valor_Atualizado_Emissao. Unidade sem reconciliação permanece n/d; pagamentos realizados ficam documentados.</x:v>
      </x:c>
    </x:row>
    <x:row r="82">
      <x:c r="A82" s="20" t="str">
        <x:v>CRI_K1</x:v>
      </x:c>
      <x:c r="B82" s="20" t="str">
        <x:v>Série 3</x:v>
      </x:c>
      <x:c r="C82" s="20" t="str">
        <x:v>Mezanino</x:v>
      </x:c>
      <x:c r="D82" s="21" t="n">
        <x:v>45870</x:v>
      </x:c>
      <x:c r="E82" s="25" t="n">
        <x:v>71868628.25</x:v>
      </x:c>
      <x:c r="F82" s="25" t="str">
        <x:v>n/d</x:v>
      </x:c>
      <x:c r="G82" s="25" t="str">
        <x:v>n/d</x:v>
      </x:c>
      <x:c r="H82" s="25" t="n">
        <x:v>69531373.55</x:v>
      </x:c>
      <x:c r="I82" s="25" t="n">
        <x:v>1000343.62</x:v>
      </x:c>
      <x:c r="J82" s="25" t="n">
        <x:v>2236714.16</x:v>
      </x:c>
      <x:c r="K82" s="20" t="str">
        <x:v>Realizado</x:v>
      </x:c>
      <x:c r="L82" s="20" t="str">
        <x:v>CVM_CRI_2025_CLASSE</x:v>
      </x:c>
      <x:c r="M82" s="20" t="str">
        <x:v>Documentado</x:v>
      </x:c>
      <x:c r="N82" s="20" t="str">
        <x:v>Saldo final: saldo agregado reconciliado, controlado por Valor_Atualizado_Emissao. Unidade sem reconciliação permanece n/d; pagamentos realizados ficam documentados.</x:v>
      </x:c>
    </x:row>
    <x:row r="83">
      <x:c r="A83" s="20" t="str">
        <x:v>CRI_K1</x:v>
      </x:c>
      <x:c r="B83" s="20" t="str">
        <x:v>Série 3</x:v>
      </x:c>
      <x:c r="C83" s="20" t="str">
        <x:v>Mezanino</x:v>
      </x:c>
      <x:c r="D83" s="21" t="n">
        <x:v>45901</x:v>
      </x:c>
      <x:c r="E83" s="25" t="n">
        <x:v>69531373.55</x:v>
      </x:c>
      <x:c r="F83" s="25" t="str">
        <x:v>n/d</x:v>
      </x:c>
      <x:c r="G83" s="25" t="str">
        <x:v>n/d</x:v>
      </x:c>
      <x:c r="H83" s="25" t="n">
        <x:v>67905165.86</x:v>
      </x:c>
      <x:c r="I83" s="25" t="n">
        <x:v>884187.66</x:v>
      </x:c>
      <x:c r="J83" s="25" t="n">
        <x:v>1657239.36</x:v>
      </x:c>
      <x:c r="K83" s="20" t="str">
        <x:v>Realizado</x:v>
      </x:c>
      <x:c r="L83" s="20" t="str">
        <x:v>CVM_CRI_2025_CLASSE</x:v>
      </x:c>
      <x:c r="M83" s="20" t="str">
        <x:v>Documentado</x:v>
      </x:c>
      <x:c r="N83" s="20" t="str">
        <x:v>Saldo final: saldo agregado reconciliado, controlado por Valor_Atualizado_Emissao. Unidade sem reconciliação permanece n/d; pagamentos realizados ficam documentados.</x:v>
      </x:c>
    </x:row>
    <x:row r="84">
      <x:c r="A84" s="20" t="str">
        <x:v>CRI_K1</x:v>
      </x:c>
      <x:c r="B84" s="20" t="str">
        <x:v>Série 3</x:v>
      </x:c>
      <x:c r="C84" s="20" t="str">
        <x:v>Mezanino</x:v>
      </x:c>
      <x:c r="D84" s="21" t="n">
        <x:v>45931</x:v>
      </x:c>
      <x:c r="E84" s="25" t="n">
        <x:v>67905165.86</x:v>
      </x:c>
      <x:c r="F84" s="25" t="str">
        <x:v>n/d</x:v>
      </x:c>
      <x:c r="G84" s="25" t="str">
        <x:v>n/d</x:v>
      </x:c>
      <x:c r="H84" s="25" t="n">
        <x:v>65410625.79</x:v>
      </x:c>
      <x:c r="I84" s="25" t="n">
        <x:v>910454.3</x:v>
      </x:c>
      <x:c r="J84" s="25" t="n">
        <x:v>1878546.59</x:v>
      </x:c>
      <x:c r="K84" s="20" t="str">
        <x:v>Realizado</x:v>
      </x:c>
      <x:c r="L84" s="20" t="str">
        <x:v>CVM_CRI_2025_CLASSE</x:v>
      </x:c>
      <x:c r="M84" s="20" t="str">
        <x:v>Documentado</x:v>
      </x:c>
      <x:c r="N84" s="20" t="str">
        <x:v>Saldo final: saldo agregado reconciliado, controlado por Valor_Atualizado_Emissao. Unidade sem reconciliação permanece n/d; pagamentos realizados ficam documentados.</x:v>
      </x:c>
    </x:row>
    <x:row r="85">
      <x:c r="A85" s="20" t="str">
        <x:v>CRI_K1</x:v>
      </x:c>
      <x:c r="B85" s="20" t="str">
        <x:v>Série 3</x:v>
      </x:c>
      <x:c r="C85" s="20" t="str">
        <x:v>Mezanino</x:v>
      </x:c>
      <x:c r="D85" s="21" t="n">
        <x:v>45962</x:v>
      </x:c>
      <x:c r="E85" s="25" t="n">
        <x:v>65410625.79</x:v>
      </x:c>
      <x:c r="F85" s="25" t="str">
        <x:v>n/d</x:v>
      </x:c>
      <x:c r="G85" s="25" t="str">
        <x:v>n/d</x:v>
      </x:c>
      <x:c r="H85" s="25" t="n">
        <x:v>63364764.73</x:v>
      </x:c>
      <x:c r="I85" s="25" t="n">
        <x:v>729471.19</x:v>
      </x:c>
      <x:c r="J85" s="25" t="n">
        <x:v>2485304.58</x:v>
      </x:c>
      <x:c r="K85" s="20" t="str">
        <x:v>Realizado</x:v>
      </x:c>
      <x:c r="L85" s="20" t="str">
        <x:v>CVM_CRI_2025_CLASSE</x:v>
      </x:c>
      <x:c r="M85" s="20" t="str">
        <x:v>Documentado</x:v>
      </x:c>
      <x:c r="N85" s="20" t="str">
        <x:v>Saldo final: saldo agregado reconciliado, controlado por Valor_Atualizado_Emissao. Unidade sem reconciliação permanece n/d; pagamentos realizados ficam documentados.</x:v>
      </x:c>
    </x:row>
    <x:row r="86">
      <x:c r="A86" s="20" t="str">
        <x:v>CRI_K1</x:v>
      </x:c>
      <x:c r="B86" s="20" t="str">
        <x:v>Série 3</x:v>
      </x:c>
      <x:c r="C86" s="20" t="str">
        <x:v>Mezanino</x:v>
      </x:c>
      <x:c r="D86" s="21" t="n">
        <x:v>45992</x:v>
      </x:c>
      <x:c r="E86" s="25" t="n">
        <x:v>63364764.73</x:v>
      </x:c>
      <x:c r="F86" s="25" t="str">
        <x:v>n/d</x:v>
      </x:c>
      <x:c r="G86" s="25" t="str">
        <x:v>n/d</x:v>
      </x:c>
      <x:c r="H86" s="25" t="n">
        <x:v>60978034.53</x:v>
      </x:c>
      <x:c r="I86" s="25" t="n">
        <x:v>774950.86</x:v>
      </x:c>
      <x:c r="J86" s="25" t="n">
        <x:v>2618355.63</x:v>
      </x:c>
      <x:c r="K86" s="20" t="str">
        <x:v>Realizado</x:v>
      </x:c>
      <x:c r="L86" s="20" t="str">
        <x:v>CVM_CRI_2025_CLASSE</x:v>
      </x:c>
      <x:c r="M86" s="20" t="str">
        <x:v>Documentado</x:v>
      </x:c>
      <x:c r="N86" s="20" t="str">
        <x:v>Saldo final: saldo agregado reconciliado, controlado por Valor_Atualizado_Emissao. Unidade sem reconciliação permanece n/d; pagamentos realizados ficam documentados.</x:v>
      </x:c>
    </x:row>
    <x:row r="87">
      <x:c r="A87" s="20" t="str">
        <x:v>CRI_K1</x:v>
      </x:c>
      <x:c r="B87" s="20" t="str">
        <x:v>Série 3</x:v>
      </x:c>
      <x:c r="C87" s="20" t="str">
        <x:v>Mezanino</x:v>
      </x:c>
      <x:c r="D87" s="21" t="n">
        <x:v>46023</x:v>
      </x:c>
      <x:c r="E87" s="25" t="n">
        <x:v>60978034.53</x:v>
      </x:c>
      <x:c r="F87" s="25" t="str">
        <x:v>n/d</x:v>
      </x:c>
      <x:c r="G87" s="25" t="str">
        <x:v>n/d</x:v>
      </x:c>
      <x:c r="H87" s="25" t="n">
        <x:v>58342185.35</x:v>
      </x:c>
      <x:c r="I87" s="25" t="n">
        <x:v>774950.86</x:v>
      </x:c>
      <x:c r="J87" s="25" t="n">
        <x:v>2618355.63</x:v>
      </x:c>
      <x:c r="K87" s="20" t="str">
        <x:v>Realizado</x:v>
      </x:c>
      <x:c r="L87" s="20" t="str">
        <x:v>CVM_CRI_2026_CLASSE</x:v>
      </x:c>
      <x:c r="M87" s="20" t="str">
        <x:v>Documentado</x:v>
      </x:c>
      <x:c r="N87" s="20" t="str">
        <x:v>Saldo final: saldo agregado reconciliado, controlado por Valor_Atualizado_Emissao. Unidade sem reconciliação permanece n/d; pagamentos realizados ficam documentados.</x:v>
      </x:c>
    </x:row>
    <x:row r="88">
      <x:c r="A88" s="20" t="str">
        <x:v>CRI_K1</x:v>
      </x:c>
      <x:c r="B88" s="20" t="str">
        <x:v>Série 3</x:v>
      </x:c>
      <x:c r="C88" s="20" t="str">
        <x:v>Mezanino</x:v>
      </x:c>
      <x:c r="D88" s="21" t="n">
        <x:v>46054</x:v>
      </x:c>
      <x:c r="E88" s="25" t="n">
        <x:v>58342185.35</x:v>
      </x:c>
      <x:c r="F88" s="25" t="str">
        <x:v>n/d</x:v>
      </x:c>
      <x:c r="G88" s="25" t="str">
        <x:v>n/d</x:v>
      </x:c>
      <x:c r="H88" s="25" t="n">
        <x:v>56132551</x:v>
      </x:c>
      <x:c r="I88" s="25" t="n">
        <x:v>776995.59</x:v>
      </x:c>
      <x:c r="J88" s="25" t="n">
        <x:v>2059787.15</x:v>
      </x:c>
      <x:c r="K88" s="20" t="str">
        <x:v>Realizado</x:v>
      </x:c>
      <x:c r="L88" s="20" t="str">
        <x:v>CVM_CRI_2026_CLASSE</x:v>
      </x:c>
      <x:c r="M88" s="20" t="str">
        <x:v>Documentado</x:v>
      </x:c>
      <x:c r="N88" s="20" t="str">
        <x:v>Saldo final: saldo agregado reconciliado, controlado por Valor_Atualizado_Emissao. Unidade sem reconciliação permanece n/d; pagamentos realizados ficam documentados.</x:v>
      </x:c>
    </x:row>
    <x:row r="89">
      <x:c r="A89" s="20" t="str">
        <x:v>CRI_K1</x:v>
      </x:c>
      <x:c r="B89" s="20" t="str">
        <x:v>Série 3</x:v>
      </x:c>
      <x:c r="C89" s="20" t="str">
        <x:v>Mezanino</x:v>
      </x:c>
      <x:c r="D89" s="21" t="n">
        <x:v>46082</x:v>
      </x:c>
      <x:c r="E89" s="25" t="n">
        <x:v>56132551</x:v>
      </x:c>
      <x:c r="F89" s="25" t="str">
        <x:v>n/d</x:v>
      </x:c>
      <x:c r="G89" s="25" t="str">
        <x:v>n/d</x:v>
      </x:c>
      <x:c r="H89" s="25" t="n">
        <x:v>54050700</x:v>
      </x:c>
      <x:c r="I89" s="25" t="n">
        <x:v>686913.52</x:v>
      </x:c>
      <x:c r="J89" s="25" t="n">
        <x:v>2713063.95</x:v>
      </x:c>
      <x:c r="K89" s="20" t="str">
        <x:v>Realizado</x:v>
      </x:c>
      <x:c r="L89" s="20" t="str">
        <x:v>CVM_CRI_2026_CLASSE</x:v>
      </x:c>
      <x:c r="M89" s="20" t="str">
        <x:v>Documentado</x:v>
      </x:c>
      <x:c r="N89" s="20" t="str">
        <x:v>Saldo final: saldo agregado reconciliado, controlado por Valor_Atualizado_Emissao. Unidade sem reconciliação permanece n/d; pagamentos realizados ficam documentados.</x:v>
      </x:c>
    </x:row>
    <x:row r="90">
      <x:c r="A90" s="20" t="str">
        <x:v>CRI_K1</x:v>
      </x:c>
      <x:c r="B90" s="20" t="str">
        <x:v>Série 3</x:v>
      </x:c>
      <x:c r="C90" s="20" t="str">
        <x:v>Mezanino</x:v>
      </x:c>
      <x:c r="D90" s="21" t="n">
        <x:v>46113</x:v>
      </x:c>
      <x:c r="E90" s="25" t="n">
        <x:v>54050700</x:v>
      </x:c>
      <x:c r="F90" s="25" t="str">
        <x:v>n/d</x:v>
      </x:c>
      <x:c r="G90" s="25" t="str">
        <x:v>n/d</x:v>
      </x:c>
      <x:c r="H90" s="25" t="n">
        <x:v>51288452</x:v>
      </x:c>
      <x:c r="I90" s="25" t="n">
        <x:v>686913.52</x:v>
      </x:c>
      <x:c r="J90" s="25" t="n">
        <x:v>2713063.95</x:v>
      </x:c>
      <x:c r="K90" s="20" t="str">
        <x:v>Realizado</x:v>
      </x:c>
      <x:c r="L90" s="20" t="str">
        <x:v>CVM_CRI_2026_CLASSE</x:v>
      </x:c>
      <x:c r="M90" s="20" t="str">
        <x:v>Documentado</x:v>
      </x:c>
      <x:c r="N90" s="20" t="str">
        <x:v>Saldo final: saldo agregado reconciliado, controlado por Valor_Atualizado_Emissao. Unidade sem reconciliação permanece n/d; pagamentos realizados ficam documentados.</x:v>
      </x:c>
    </x:row>
    <x:row r="91">
      <x:c r="A91" s="20" t="str">
        <x:v>CRI_K1</x:v>
      </x:c>
      <x:c r="B91" s="20" t="str">
        <x:v>Série 3</x:v>
      </x:c>
      <x:c r="C91" s="20" t="str">
        <x:v>Mezanino</x:v>
      </x:c>
      <x:c r="D91" s="21" t="n">
        <x:v>46143</x:v>
      </x:c>
      <x:c r="E91" s="25" t="n">
        <x:v>51288452</x:v>
      </x:c>
      <x:c r="F91" s="25" t="str">
        <x:v>n/d</x:v>
      </x:c>
      <x:c r="G91" s="25" t="str">
        <x:v>n/d</x:v>
      </x:c>
      <x:c r="H91" s="25" t="n">
        <x:v>49065270</x:v>
      </x:c>
      <x:c r="I91" s="25" t="n">
        <x:v>620957.98</x:v>
      </x:c>
      <x:c r="J91" s="25" t="n">
        <x:v>2209764.73</x:v>
      </x:c>
      <x:c r="K91" s="20" t="str">
        <x:v>Realizado</x:v>
      </x:c>
      <x:c r="L91" s="20" t="str">
        <x:v>CVM_CRI_2026_CLASSE</x:v>
      </x:c>
      <x:c r="M91" s="20" t="str">
        <x:v>Documentado</x:v>
      </x:c>
      <x:c r="N91" s="20" t="str">
        <x:v>Saldo final: saldo agregado reconciliado, controlado por Valor_Atualizado_Emissao. Unidade sem reconciliação permanece n/d; pagamentos realizados ficam documentados.</x:v>
      </x:c>
    </x:row>
    <x:row r="92">
      <x:c r="A92" s="20" t="str">
        <x:v>CRI_K1</x:v>
      </x:c>
      <x:c r="B92" s="20" t="str">
        <x:v>Série 3</x:v>
      </x:c>
      <x:c r="C92" s="20" t="str">
        <x:v>Mezanino</x:v>
      </x:c>
      <x:c r="D92" s="21" t="n">
        <x:v>46174</x:v>
      </x:c>
      <x:c r="E92" s="25" t="n">
        <x:v>49065270</x:v>
      </x:c>
      <x:c r="F92" s="25" t="str">
        <x:v>n/d</x:v>
      </x:c>
      <x:c r="G92" s="25" t="str">
        <x:v>n/d</x:v>
      </x:c>
      <x:c r="H92" s="25" t="str">
        <x:v>n/d</x:v>
      </x:c>
      <x:c r="I92" s="25" t="n">
        <x:v>594041.54</x:v>
      </x:c>
      <x:c r="J92" s="25" t="n">
        <x:v>2485684.66</x:v>
      </x:c>
      <x:c r="K92" s="20" t="str">
        <x:v>Realizado</x:v>
      </x:c>
      <x:c r="L92" s="20" t="str">
        <x:v>CVM_CRI_2026_CLASSE</x:v>
      </x:c>
      <x:c r="M92" s="20" t="str">
        <x:v>Documentado</x:v>
      </x:c>
      <x:c r="N92" s="20" t="str">
        <x:v>Saldo final: n/d por conflito de unidade, controlado por Valor_Atualizado_Emissao. Unidade sem reconciliação permanece n/d; pagamentos realizados ficam documentados.</x:v>
      </x:c>
    </x:row>
    <x:row r="93">
      <x:c r="A93" s="20" t="str">
        <x:v>CRI_K1</x:v>
      </x:c>
      <x:c r="B93" s="20" t="str">
        <x:v>Série 4</x:v>
      </x:c>
      <x:c r="C93" s="20" t="str">
        <x:v>Subordinada</x:v>
      </x:c>
      <x:c r="D93" s="21" t="n">
        <x:v>45323</x:v>
      </x:c>
      <x:c r="E93" s="25" t="str">
        <x:v>n/d</x:v>
      </x:c>
      <x:c r="F93" s="25" t="str">
        <x:v>n/d</x:v>
      </x:c>
      <x:c r="G93" s="25" t="str">
        <x:v>n/d</x:v>
      </x:c>
      <x:c r="H93" s="25" t="n">
        <x:v>30181697.59</x:v>
      </x:c>
      <x:c r="I93" s="25" t="n">
        <x:v>0</x:v>
      </x:c>
      <x:c r="J93" s="25" t="n">
        <x:v>0</x:v>
      </x:c>
      <x:c r="K93" s="20" t="str">
        <x:v>Realizado</x:v>
      </x:c>
      <x:c r="L93" s="20" t="str">
        <x:v>CVM_CRI_2024_CLASSE</x:v>
      </x:c>
      <x:c r="M93" s="20" t="str">
        <x:v>Documentado</x:v>
      </x:c>
      <x:c r="N93" s="20" t="str">
        <x:v>Saldo final: saldo agregado; controle total indisponível,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94">
      <x:c r="A94" s="20" t="str">
        <x:v>CRI_K1</x:v>
      </x:c>
      <x:c r="B94" s="20" t="str">
        <x:v>Série 4</x:v>
      </x:c>
      <x:c r="C94" s="20" t="str">
        <x:v>Subordinada</x:v>
      </x:c>
      <x:c r="D94" s="21" t="n">
        <x:v>45352</x:v>
      </x:c>
      <x:c r="E94" s="25" t="n">
        <x:v>30181697.59</x:v>
      </x:c>
      <x:c r="F94" s="25" t="str">
        <x:v>n/d</x:v>
      </x:c>
      <x:c r="G94" s="25" t="str">
        <x:v>n/d</x:v>
      </x:c>
      <x:c r="H94" s="25" t="n">
        <x:v>30640770.69</x:v>
      </x:c>
      <x:c r="I94" s="25" t="n">
        <x:v>0</x:v>
      </x:c>
      <x:c r="J94" s="25" t="n">
        <x:v>0</x:v>
      </x:c>
      <x:c r="K94" s="20" t="str">
        <x:v>Realizado</x:v>
      </x:c>
      <x:c r="L94" s="20" t="str">
        <x:v>CVM_CRI_2024_CLASSE</x:v>
      </x:c>
      <x:c r="M94" s="20" t="str">
        <x:v>Documentado</x:v>
      </x:c>
      <x:c r="N94" s="20" t="str">
        <x:v>Saldo final: saldo agregado; controle total indisponível, controlado por Valor_Atualizado_Emissao. Unidade sem reconciliação permanece n/d; pagamentos realizados ficam documentados.</x:v>
      </x:c>
    </x:row>
    <x:row r="95">
      <x:c r="A95" s="20" t="str">
        <x:v>CRI_K1</x:v>
      </x:c>
      <x:c r="B95" s="20" t="str">
        <x:v>Série 4</x:v>
      </x:c>
      <x:c r="C95" s="20" t="str">
        <x:v>Subordinada</x:v>
      </x:c>
      <x:c r="D95" s="21" t="n">
        <x:v>45383</x:v>
      </x:c>
      <x:c r="E95" s="25" t="n">
        <x:v>30640770.69</x:v>
      </x:c>
      <x:c r="F95" s="25" t="str">
        <x:v>n/d</x:v>
      </x:c>
      <x:c r="G95" s="25" t="str">
        <x:v>n/d</x:v>
      </x:c>
      <x:c r="H95" s="25" t="str">
        <x:v>n/d</x:v>
      </x:c>
      <x:c r="I95" s="25" t="n">
        <x:v>0</x:v>
      </x:c>
      <x:c r="J95" s="25" t="n">
        <x:v>0</x:v>
      </x:c>
      <x:c r="K95" s="20" t="str">
        <x:v>Realizado</x:v>
      </x:c>
      <x:c r="L95" s="20" t="str">
        <x:v>CVM_CRI_2024_CLASSE</x:v>
      </x:c>
      <x:c r="M95" s="20" t="str">
        <x:v>Documentado</x:v>
      </x:c>
      <x:c r="N95" s="20" t="str">
        <x:v>Saldo final: n/d por conflito de unidade, controlado por Valor_Atualizado_Emissao. Unidade sem reconciliação permanece n/d; pagamentos realizados ficam documentados.</x:v>
      </x:c>
    </x:row>
    <x:row r="96">
      <x:c r="A96" s="20" t="str">
        <x:v>CRI_K1</x:v>
      </x:c>
      <x:c r="B96" s="20" t="str">
        <x:v>Série 4</x:v>
      </x:c>
      <x:c r="C96" s="20" t="str">
        <x:v>Subordinada</x:v>
      </x:c>
      <x:c r="D96" s="21" t="n">
        <x:v>45413</x:v>
      </x:c>
      <x:c r="E96" s="25" t="str">
        <x:v>n/d</x:v>
      </x:c>
      <x:c r="F96" s="25" t="str">
        <x:v>n/d</x:v>
      </x:c>
      <x:c r="G96" s="25" t="str">
        <x:v>n/d</x:v>
      </x:c>
      <x:c r="H96" s="25" t="str">
        <x:v>n/d</x:v>
      </x:c>
      <x:c r="I96" s="25" t="n">
        <x:v>0</x:v>
      </x:c>
      <x:c r="J96" s="25" t="n">
        <x:v>0</x:v>
      </x:c>
      <x:c r="K96" s="20" t="str">
        <x:v>Realizado</x:v>
      </x:c>
      <x:c r="L96" s="20" t="str">
        <x:v>CVM_CRI_2024_CLASSE</x:v>
      </x:c>
      <x:c r="M96" s="20" t="str">
        <x:v>Documentado</x:v>
      </x:c>
      <x:c r="N96" s="20" t="str">
        <x:v>Saldo final: n/d por conflito de unidade, controlado por Valor_Atualizado_Emissao. Unidade sem reconciliação permanece n/d; pagamentos realizados ficam documentados.</x:v>
      </x:c>
    </x:row>
    <x:row r="97">
      <x:c r="A97" s="20" t="str">
        <x:v>CRI_K1</x:v>
      </x:c>
      <x:c r="B97" s="20" t="str">
        <x:v>Série 4</x:v>
      </x:c>
      <x:c r="C97" s="20" t="str">
        <x:v>Subordinada</x:v>
      </x:c>
      <x:c r="D97" s="21" t="n">
        <x:v>45444</x:v>
      </x:c>
      <x:c r="E97" s="25" t="str">
        <x:v>n/d</x:v>
      </x:c>
      <x:c r="F97" s="25" t="str">
        <x:v>n/d</x:v>
      </x:c>
      <x:c r="G97" s="25" t="str">
        <x:v>n/d</x:v>
      </x:c>
      <x:c r="H97" s="25" t="str">
        <x:v>n/d</x:v>
      </x:c>
      <x:c r="I97" s="25" t="n">
        <x:v>0</x:v>
      </x:c>
      <x:c r="J97" s="25" t="n">
        <x:v>0</x:v>
      </x:c>
      <x:c r="K97" s="20" t="str">
        <x:v>Realizado</x:v>
      </x:c>
      <x:c r="L97" s="20" t="str">
        <x:v>CVM_CRI_2024_CLASSE</x:v>
      </x:c>
      <x:c r="M97" s="20" t="str">
        <x:v>Documentado</x:v>
      </x:c>
      <x:c r="N97" s="20" t="str">
        <x:v>Saldo final: n/d por conflito de unidade, controlado por Valor_Atualizado_Emissao. Unidade sem reconciliação permanece n/d; pagamentos realizados ficam documentados.</x:v>
      </x:c>
    </x:row>
    <x:row r="98">
      <x:c r="A98" s="20" t="str">
        <x:v>CRI_K1</x:v>
      </x:c>
      <x:c r="B98" s="20" t="str">
        <x:v>Série 4</x:v>
      </x:c>
      <x:c r="C98" s="20" t="str">
        <x:v>Subordinada</x:v>
      </x:c>
      <x:c r="D98" s="21" t="n">
        <x:v>45474</x:v>
      </x:c>
      <x:c r="E98" s="25" t="str">
        <x:v>n/d</x:v>
      </x:c>
      <x:c r="F98" s="25" t="str">
        <x:v>n/d</x:v>
      </x:c>
      <x:c r="G98" s="25" t="str">
        <x:v>n/d</x:v>
      </x:c>
      <x:c r="H98" s="25" t="n">
        <x:v>32695799.999999996</x:v>
      </x:c>
      <x:c r="I98" s="25" t="n">
        <x:v>0</x:v>
      </x:c>
      <x:c r="J98" s="25" t="n">
        <x:v>0</x:v>
      </x:c>
      <x:c r="K98" s="20" t="str">
        <x:v>Realizado</x:v>
      </x:c>
      <x:c r="L98" s="20" t="str">
        <x:v>CVM_CRI_2024_CLASSE</x:v>
      </x:c>
      <x:c r="M98" s="20" t="str">
        <x:v>Documentado</x:v>
      </x:c>
      <x:c r="N98" s="20" t="str">
        <x:v>Saldo final: valor unitário × quantidade reconciliado, controlado por Valor_Atualizado_Emissao. Unidade sem reconciliação permanece n/d; pagamentos realizados ficam documentados.</x:v>
      </x:c>
    </x:row>
    <x:row r="99">
      <x:c r="A99" s="20" t="str">
        <x:v>CRI_K1</x:v>
      </x:c>
      <x:c r="B99" s="20" t="str">
        <x:v>Série 4</x:v>
      </x:c>
      <x:c r="C99" s="20" t="str">
        <x:v>Subordinada</x:v>
      </x:c>
      <x:c r="D99" s="21" t="n">
        <x:v>45505</x:v>
      </x:c>
      <x:c r="E99" s="25" t="n">
        <x:v>32695799.999999996</x:v>
      </x:c>
      <x:c r="F99" s="25" t="str">
        <x:v>n/d</x:v>
      </x:c>
      <x:c r="G99" s="25" t="str">
        <x:v>n/d</x:v>
      </x:c>
      <x:c r="H99" s="25" t="str">
        <x:v>n/d</x:v>
      </x:c>
      <x:c r="I99" s="25" t="n">
        <x:v>0</x:v>
      </x:c>
      <x:c r="J99" s="25" t="n">
        <x:v>0</x:v>
      </x:c>
      <x:c r="K99" s="20" t="str">
        <x:v>Realizado</x:v>
      </x:c>
      <x:c r="L99" s="20" t="str">
        <x:v>CVM_CRI_2024_CLASSE</x:v>
      </x:c>
      <x:c r="M99" s="20" t="str">
        <x:v>Documentado</x:v>
      </x:c>
      <x:c r="N99" s="20" t="str">
        <x:v>Saldo final: n/d por conflito de unidade, controlado por Valor_Atualizado_Emissao. Unidade sem reconciliação permanece n/d; pagamentos realizados ficam documentados.</x:v>
      </x:c>
    </x:row>
    <x:row r="100">
      <x:c r="A100" s="20" t="str">
        <x:v>CRI_K1</x:v>
      </x:c>
      <x:c r="B100" s="20" t="str">
        <x:v>Série 4</x:v>
      </x:c>
      <x:c r="C100" s="20" t="str">
        <x:v>Subordinada</x:v>
      </x:c>
      <x:c r="D100" s="21" t="n">
        <x:v>45536</x:v>
      </x:c>
      <x:c r="E100" s="25" t="str">
        <x:v>n/d</x:v>
      </x:c>
      <x:c r="F100" s="25" t="str">
        <x:v>n/d</x:v>
      </x:c>
      <x:c r="G100" s="25" t="str">
        <x:v>n/d</x:v>
      </x:c>
      <x:c r="H100" s="25" t="n">
        <x:v>33774300</x:v>
      </x:c>
      <x:c r="I100" s="25" t="n">
        <x:v>0</x:v>
      </x:c>
      <x:c r="J100" s="25" t="n">
        <x:v>0</x:v>
      </x:c>
      <x:c r="K100" s="20" t="str">
        <x:v>Realizado</x:v>
      </x:c>
      <x:c r="L100" s="20" t="str">
        <x:v>CVM_CRI_2024_CLASSE</x:v>
      </x:c>
      <x:c r="M100" s="20" t="str">
        <x:v>Documentado</x:v>
      </x:c>
      <x:c r="N100" s="20" t="str">
        <x:v>Saldo final: valor unitário × quantidade reconciliado, controlado por Valor_Atualizado_Emissao. Unidade sem reconciliação permanece n/d; pagamentos realizados ficam documentados.</x:v>
      </x:c>
    </x:row>
    <x:row r="101">
      <x:c r="A101" s="20" t="str">
        <x:v>CRI_K1</x:v>
      </x:c>
      <x:c r="B101" s="20" t="str">
        <x:v>Série 4</x:v>
      </x:c>
      <x:c r="C101" s="20" t="str">
        <x:v>Subordinada</x:v>
      </x:c>
      <x:c r="D101" s="21" t="n">
        <x:v>45566</x:v>
      </x:c>
      <x:c r="E101" s="25" t="n">
        <x:v>33774300</x:v>
      </x:c>
      <x:c r="F101" s="25" t="str">
        <x:v>n/d</x:v>
      </x:c>
      <x:c r="G101" s="25" t="str">
        <x:v>n/d</x:v>
      </x:c>
      <x:c r="H101" s="25" t="n">
        <x:v>34365720.18</x:v>
      </x:c>
      <x:c r="I101" s="25" t="n">
        <x:v>0</x:v>
      </x:c>
      <x:c r="J101" s="25" t="n">
        <x:v>0</x:v>
      </x:c>
      <x:c r="K101" s="20" t="str">
        <x:v>Realizado</x:v>
      </x:c>
      <x:c r="L101" s="20" t="str">
        <x:v>CVM_CRI_2024_CLASSE</x:v>
      </x:c>
      <x:c r="M101" s="20" t="str">
        <x:v>Documentado</x:v>
      </x:c>
      <x:c r="N101" s="20" t="str">
        <x:v>Saldo final: saldo agregado reconciliado, controlado por Valor_Atualizado_Emissao. Unidade sem reconciliação permanece n/d; pagamentos realizados ficam documentados.</x:v>
      </x:c>
    </x:row>
    <x:row r="102">
      <x:c r="A102" s="20" t="str">
        <x:v>CRI_K1</x:v>
      </x:c>
      <x:c r="B102" s="20" t="str">
        <x:v>Série 4</x:v>
      </x:c>
      <x:c r="C102" s="20" t="str">
        <x:v>Subordinada</x:v>
      </x:c>
      <x:c r="D102" s="21" t="n">
        <x:v>45597</x:v>
      </x:c>
      <x:c r="E102" s="25" t="n">
        <x:v>34365720.18</x:v>
      </x:c>
      <x:c r="F102" s="25" t="str">
        <x:v>n/d</x:v>
      </x:c>
      <x:c r="G102" s="25" t="str">
        <x:v>n/d</x:v>
      </x:c>
      <x:c r="H102" s="25" t="n">
        <x:v>34862110.11</x:v>
      </x:c>
      <x:c r="I102" s="25" t="n">
        <x:v>0</x:v>
      </x:c>
      <x:c r="J102" s="25" t="n">
        <x:v>0</x:v>
      </x:c>
      <x:c r="K102" s="20" t="str">
        <x:v>Realizado</x:v>
      </x:c>
      <x:c r="L102" s="20" t="str">
        <x:v>CVM_CRI_2024_CLASSE</x:v>
      </x:c>
      <x:c r="M102" s="20" t="str">
        <x:v>Documentado</x:v>
      </x:c>
      <x:c r="N102" s="20" t="str">
        <x:v>Saldo final: saldo agregado reconciliado, controlado por Valor_Atualizado_Emissao. Unidade sem reconciliação permanece n/d; pagamentos realizados ficam documentados.</x:v>
      </x:c>
    </x:row>
    <x:row r="103">
      <x:c r="A103" s="20" t="str">
        <x:v>CRI_K1</x:v>
      </x:c>
      <x:c r="B103" s="20" t="str">
        <x:v>Série 4</x:v>
      </x:c>
      <x:c r="C103" s="20" t="str">
        <x:v>Subordinada</x:v>
      </x:c>
      <x:c r="D103" s="21" t="n">
        <x:v>45627</x:v>
      </x:c>
      <x:c r="E103" s="25" t="n">
        <x:v>34862110.11</x:v>
      </x:c>
      <x:c r="F103" s="25" t="str">
        <x:v>n/d</x:v>
      </x:c>
      <x:c r="G103" s="25" t="str">
        <x:v>n/d</x:v>
      </x:c>
      <x:c r="H103" s="25" t="n">
        <x:v>35419097.64</x:v>
      </x:c>
      <x:c r="I103" s="25" t="n">
        <x:v>0</x:v>
      </x:c>
      <x:c r="J103" s="25" t="n">
        <x:v>0</x:v>
      </x:c>
      <x:c r="K103" s="20" t="str">
        <x:v>Realizado</x:v>
      </x:c>
      <x:c r="L103" s="20" t="str">
        <x:v>CVM_CRI_2024_CLASSE</x:v>
      </x:c>
      <x:c r="M103" s="20" t="str">
        <x:v>Documentado</x:v>
      </x:c>
      <x:c r="N103" s="20" t="str">
        <x:v>Saldo final: saldo agregado reconciliado, controlado por Valor_Atualizado_Emissao. Unidade sem reconciliação permanece n/d; pagamentos realizados ficam documentados.</x:v>
      </x:c>
    </x:row>
    <x:row r="104">
      <x:c r="A104" s="20" t="str">
        <x:v>CRI_K1</x:v>
      </x:c>
      <x:c r="B104" s="20" t="str">
        <x:v>Série 4</x:v>
      </x:c>
      <x:c r="C104" s="20" t="str">
        <x:v>Subordinada</x:v>
      </x:c>
      <x:c r="D104" s="21" t="n">
        <x:v>45658</x:v>
      </x:c>
      <x:c r="E104" s="25" t="n">
        <x:v>35419097.64</x:v>
      </x:c>
      <x:c r="F104" s="25" t="str">
        <x:v>n/d</x:v>
      </x:c>
      <x:c r="G104" s="25" t="str">
        <x:v>n/d</x:v>
      </x:c>
      <x:c r="H104" s="25" t="n">
        <x:v>36012155.49</x:v>
      </x:c>
      <x:c r="I104" s="25" t="n">
        <x:v>0</x:v>
      </x:c>
      <x:c r="J104" s="25" t="n">
        <x:v>0</x:v>
      </x:c>
      <x:c r="K104" s="20" t="str">
        <x:v>Realizado</x:v>
      </x:c>
      <x:c r="L104" s="20" t="str">
        <x:v>CVM_CRI_2025_CLASSE</x:v>
      </x:c>
      <x:c r="M104" s="20" t="str">
        <x:v>Documentado</x:v>
      </x:c>
      <x:c r="N104" s="20" t="str">
        <x:v>Saldo final: saldo agregado reconciliado, controlado por Valor_Atualizado_Emissao. Unidade sem reconciliação permanece n/d; pagamentos realizados ficam documentados.</x:v>
      </x:c>
    </x:row>
    <x:row r="105">
      <x:c r="A105" s="20" t="str">
        <x:v>CRI_K1</x:v>
      </x:c>
      <x:c r="B105" s="20" t="str">
        <x:v>Série 4</x:v>
      </x:c>
      <x:c r="C105" s="20" t="str">
        <x:v>Subordinada</x:v>
      </x:c>
      <x:c r="D105" s="21" t="n">
        <x:v>45689</x:v>
      </x:c>
      <x:c r="E105" s="25" t="n">
        <x:v>36012155.49</x:v>
      </x:c>
      <x:c r="F105" s="25" t="str">
        <x:v>n/d</x:v>
      </x:c>
      <x:c r="G105" s="25" t="str">
        <x:v>n/d</x:v>
      </x:c>
      <x:c r="H105" s="25" t="n">
        <x:v>36559911.72</x:v>
      </x:c>
      <x:c r="I105" s="25" t="n">
        <x:v>0</x:v>
      </x:c>
      <x:c r="J105" s="25" t="n">
        <x:v>0</x:v>
      </x:c>
      <x:c r="K105" s="20" t="str">
        <x:v>Realizado</x:v>
      </x:c>
      <x:c r="L105" s="20" t="str">
        <x:v>CVM_CRI_2025_CLASSE</x:v>
      </x:c>
      <x:c r="M105" s="20" t="str">
        <x:v>Documentado</x:v>
      </x:c>
      <x:c r="N105" s="20" t="str">
        <x:v>Saldo final: saldo agregado reconciliado, controlado por Valor_Atualizado_Emissao. Unidade sem reconciliação permanece n/d; pagamentos realizados ficam documentados.</x:v>
      </x:c>
    </x:row>
    <x:row r="106">
      <x:c r="A106" s="20" t="str">
        <x:v>CRI_K1</x:v>
      </x:c>
      <x:c r="B106" s="20" t="str">
        <x:v>Série 4</x:v>
      </x:c>
      <x:c r="C106" s="20" t="str">
        <x:v>Subordinada</x:v>
      </x:c>
      <x:c r="D106" s="21" t="n">
        <x:v>45717</x:v>
      </x:c>
      <x:c r="E106" s="25" t="n">
        <x:v>36559911.72</x:v>
      </x:c>
      <x:c r="F106" s="25" t="str">
        <x:v>n/d</x:v>
      </x:c>
      <x:c r="G106" s="25" t="str">
        <x:v>n/d</x:v>
      </x:c>
      <x:c r="H106" s="25" t="n">
        <x:v>37087995.27</x:v>
      </x:c>
      <x:c r="I106" s="25" t="n">
        <x:v>0</x:v>
      </x:c>
      <x:c r="J106" s="25" t="n">
        <x:v>0</x:v>
      </x:c>
      <x:c r="K106" s="20" t="str">
        <x:v>Realizado</x:v>
      </x:c>
      <x:c r="L106" s="20" t="str">
        <x:v>CVM_CRI_2025_CLASSE</x:v>
      </x:c>
      <x:c r="M106" s="20" t="str">
        <x:v>Documentado</x:v>
      </x:c>
      <x:c r="N106" s="20" t="str">
        <x:v>Saldo final: saldo agregado reconciliado, controlado por Valor_Atualizado_Emissao. Unidade sem reconciliação permanece n/d; pagamentos realizados ficam documentados.</x:v>
      </x:c>
    </x:row>
    <x:row r="107">
      <x:c r="A107" s="20" t="str">
        <x:v>CRI_K1</x:v>
      </x:c>
      <x:c r="B107" s="20" t="str">
        <x:v>Série 4</x:v>
      </x:c>
      <x:c r="C107" s="20" t="str">
        <x:v>Subordinada</x:v>
      </x:c>
      <x:c r="D107" s="21" t="n">
        <x:v>45748</x:v>
      </x:c>
      <x:c r="E107" s="25" t="n">
        <x:v>37087995.27</x:v>
      </x:c>
      <x:c r="F107" s="25" t="str">
        <x:v>n/d</x:v>
      </x:c>
      <x:c r="G107" s="25" t="str">
        <x:v>n/d</x:v>
      </x:c>
      <x:c r="H107" s="25" t="n">
        <x:v>37652115.32</x:v>
      </x:c>
      <x:c r="I107" s="25" t="n">
        <x:v>0</x:v>
      </x:c>
      <x:c r="J107" s="25" t="n">
        <x:v>0</x:v>
      </x:c>
      <x:c r="K107" s="20" t="str">
        <x:v>Realizado</x:v>
      </x:c>
      <x:c r="L107" s="20" t="str">
        <x:v>CVM_CRI_2025_CLASSE</x:v>
      </x:c>
      <x:c r="M107" s="20" t="str">
        <x:v>Documentado</x:v>
      </x:c>
      <x:c r="N107" s="20" t="str">
        <x:v>Saldo final: saldo agregado reconciliado, controlado por Valor_Atualizado_Emissao. Unidade sem reconciliação permanece n/d; pagamentos realizados ficam documentados.</x:v>
      </x:c>
    </x:row>
    <x:row r="108">
      <x:c r="A108" s="20" t="str">
        <x:v>CRI_K1</x:v>
      </x:c>
      <x:c r="B108" s="20" t="str">
        <x:v>Série 4</x:v>
      </x:c>
      <x:c r="C108" s="20" t="str">
        <x:v>Subordinada</x:v>
      </x:c>
      <x:c r="D108" s="21" t="n">
        <x:v>45778</x:v>
      </x:c>
      <x:c r="E108" s="25" t="n">
        <x:v>37652115.32</x:v>
      </x:c>
      <x:c r="F108" s="25" t="str">
        <x:v>n/d</x:v>
      </x:c>
      <x:c r="G108" s="25" t="str">
        <x:v>n/d</x:v>
      </x:c>
      <x:c r="H108" s="25" t="n">
        <x:v>38253678.47</x:v>
      </x:c>
      <x:c r="I108" s="25" t="n">
        <x:v>0</x:v>
      </x:c>
      <x:c r="J108" s="25" t="n">
        <x:v>0</x:v>
      </x:c>
      <x:c r="K108" s="20" t="str">
        <x:v>Realizado</x:v>
      </x:c>
      <x:c r="L108" s="20" t="str">
        <x:v>CVM_CRI_2025_CLASSE</x:v>
      </x:c>
      <x:c r="M108" s="20" t="str">
        <x:v>Documentado</x:v>
      </x:c>
      <x:c r="N108" s="20" t="str">
        <x:v>Saldo final: saldo agregado reconciliado, controlado por Valor_Atualizado_Emissao. Unidade sem reconciliação permanece n/d; pagamentos realizados ficam documentados.</x:v>
      </x:c>
    </x:row>
    <x:row r="109">
      <x:c r="A109" s="20" t="str">
        <x:v>CRI_K1</x:v>
      </x:c>
      <x:c r="B109" s="20" t="str">
        <x:v>Série 4</x:v>
      </x:c>
      <x:c r="C109" s="20" t="str">
        <x:v>Subordinada</x:v>
      </x:c>
      <x:c r="D109" s="21" t="n">
        <x:v>45809</x:v>
      </x:c>
      <x:c r="E109" s="25" t="n">
        <x:v>38253678.47</x:v>
      </x:c>
      <x:c r="F109" s="25" t="str">
        <x:v>n/d</x:v>
      </x:c>
      <x:c r="G109" s="25" t="str">
        <x:v>n/d</x:v>
      </x:c>
      <x:c r="H109" s="25" t="n">
        <x:v>36114840.91</x:v>
      </x:c>
      <x:c r="I109" s="25" t="n">
        <x:v>2702268.73</x:v>
      </x:c>
      <x:c r="J109" s="25" t="n">
        <x:v>0</x:v>
      </x:c>
      <x:c r="K109" s="20" t="str">
        <x:v>Realizado</x:v>
      </x:c>
      <x:c r="L109" s="20" t="str">
        <x:v>CVM_CRI_2025_CLASSE</x:v>
      </x:c>
      <x:c r="M109" s="20" t="str">
        <x:v>Documentado</x:v>
      </x:c>
      <x:c r="N109" s="20" t="str">
        <x:v>Saldo final: saldo agregado reconciliado, controlado por Valor_Atualizado_Emissao. Unidade sem reconciliação permanece n/d; pagamentos realizados ficam documentados.</x:v>
      </x:c>
    </x:row>
    <x:row r="110" ht="20" customHeight="1">
      <x:c r="A110" s="20" t="str">
        <x:v>CRI_K1</x:v>
      </x:c>
      <x:c r="B110" s="20" t="str">
        <x:v>Série 4</x:v>
      </x:c>
      <x:c r="C110" s="20" t="str">
        <x:v>Subordinada</x:v>
      </x:c>
      <x:c r="D110" s="21" t="n">
        <x:v>45839</x:v>
      </x:c>
      <x:c r="E110" s="25" t="n">
        <x:v>36114840.91</x:v>
      </x:c>
      <x:c r="F110" s="25" t="str">
        <x:v>n/d</x:v>
      </x:c>
      <x:c r="G110" s="25" t="str">
        <x:v>n/d</x:v>
      </x:c>
      <x:c r="H110" s="25" t="n">
        <x:v>28704343.84</x:v>
      </x:c>
      <x:c r="I110" s="25" t="n">
        <x:v>545599.17</x:v>
      </x:c>
      <x:c r="J110" s="25" t="n">
        <x:v>7424811.54</x:v>
      </x:c>
      <x:c r="K110" s="20" t="str">
        <x:v>Realizado</x:v>
      </x:c>
      <x:c r="L110" s="20" t="str">
        <x:v>CVM_CRI_2025_CLASSE</x:v>
      </x:c>
      <x:c r="M110" s="20" t="str">
        <x:v>Documentado</x:v>
      </x:c>
      <x:c r="N110" s="20" t="str">
        <x:v>Saldo final: saldo agregado reconciliado, controlado por Valor_Atualizado_Emissao. Unidade sem reconciliação permanece n/d; pagamentos realizados ficam documentados.</x:v>
      </x:c>
      <x:c r="P110" s="64" t="str">
        <x:v>competencia</x:v>
      </x:c>
      <x:c r="Q110" s="65" t="str">
        <x:v>Super Sênior</x:v>
      </x:c>
      <x:c r="R110" s="65" t="str">
        <x:v>Sênior</x:v>
      </x:c>
      <x:c r="S110" s="65" t="str">
        <x:v>Mezanino</x:v>
      </x:c>
      <x:c r="T110" s="65" t="str">
        <x:v>Subordinada/Júnior</x:v>
      </x:c>
    </x:row>
    <x:row r="111">
      <x:c r="A111" s="20" t="str">
        <x:v>CRI_K1</x:v>
      </x:c>
      <x:c r="B111" s="20" t="str">
        <x:v>Série 4</x:v>
      </x:c>
      <x:c r="C111" s="20" t="str">
        <x:v>Subordinada</x:v>
      </x:c>
      <x:c r="D111" s="21" t="n">
        <x:v>45870</x:v>
      </x:c>
      <x:c r="E111" s="25" t="n">
        <x:v>28704343.84</x:v>
      </x:c>
      <x:c r="F111" s="25" t="str">
        <x:v>n/d</x:v>
      </x:c>
      <x:c r="G111" s="25" t="str">
        <x:v>n/d</x:v>
      </x:c>
      <x:c r="H111" s="25" t="n">
        <x:v>25769520.93</x:v>
      </x:c>
      <x:c r="I111" s="25" t="n">
        <x:v>498130.44</x:v>
      </x:c>
      <x:c r="J111" s="25" t="n">
        <x:v>2869781.32</x:v>
      </x:c>
      <x:c r="K111" s="20" t="str">
        <x:v>Realizado</x:v>
      </x:c>
      <x:c r="L111" s="20" t="str">
        <x:v>CVM_CRI_2025_CLASSE</x:v>
      </x:c>
      <x:c r="M111" s="20" t="str">
        <x:v>Documentado</x:v>
      </x:c>
      <x:c r="N111" s="20" t="str">
        <x:v>Saldo final: saldo agregado reconciliado, controlado por Valor_Atualizado_Emissao. Unidade sem reconciliação permanece n/d; pagamentos realizados ficam documentados.</x:v>
      </x:c>
      <x:c r="P111" s="57" t="n">
        <x:v>45931</x:v>
      </x:c>
      <x:c r="Q111" s="59" t="n">
        <x:v>197380972.31</x:v>
      </x:c>
      <x:c r="R111" s="59" t="n">
        <x:v>54708691.76</x:v>
      </x:c>
      <x:c r="S111" s="59" t="n">
        <x:v>30531553.01</x:v>
      </x:c>
      <x:c r="T111" s="59" t="n">
        <x:v>21362044.369999997</x:v>
      </x:c>
    </x:row>
    <x:row r="112">
      <x:c r="A112" s="20" t="str">
        <x:v>CRI_K1</x:v>
      </x:c>
      <x:c r="B112" s="20" t="str">
        <x:v>Série 4</x:v>
      </x:c>
      <x:c r="C112" s="20" t="str">
        <x:v>Subordinada</x:v>
      </x:c>
      <x:c r="D112" s="21" t="n">
        <x:v>45901</x:v>
      </x:c>
      <x:c r="E112" s="25" t="n">
        <x:v>25769520.93</x:v>
      </x:c>
      <x:c r="F112" s="25" t="str">
        <x:v>n/d</x:v>
      </x:c>
      <x:c r="G112" s="25" t="str">
        <x:v>n/d</x:v>
      </x:c>
      <x:c r="H112" s="25" t="n">
        <x:v>20709151.18</x:v>
      </x:c>
      <x:c r="I112" s="25" t="n">
        <x:v>408620.51</x:v>
      </x:c>
      <x:c r="J112" s="25" t="n">
        <x:v>5037826.05</x:v>
      </x:c>
      <x:c r="K112" s="20" t="str">
        <x:v>Realizado</x:v>
      </x:c>
      <x:c r="L112" s="20" t="str">
        <x:v>CVM_CRI_2025_CLASSE</x:v>
      </x:c>
      <x:c r="M112" s="20" t="str">
        <x:v>Documentado</x:v>
      </x:c>
      <x:c r="N112" s="20" t="str">
        <x:v>Saldo final: saldo agregado reconciliado, controlado por Valor_Atualizado_Emissao. Unidade sem reconciliação permanece n/d; pagamentos realizados ficam documentados.</x:v>
      </x:c>
      <x:c r="P112" s="57" t="n">
        <x:v>45962</x:v>
      </x:c>
      <x:c r="Q112" s="59" t="n">
        <x:v>297282220</x:v>
      </x:c>
      <x:c r="R112" s="59" t="n">
        <x:v>82423870</x:v>
      </x:c>
      <x:c r="S112" s="59" t="n">
        <x:v>46466638</x:v>
      </x:c>
      <x:c r="T112" s="59" t="n">
        <x:v>32499344</x:v>
      </x:c>
    </x:row>
    <x:row r="113">
      <x:c r="A113" s="20" t="str">
        <x:v>CRI_K1</x:v>
      </x:c>
      <x:c r="B113" s="20" t="str">
        <x:v>Série 4</x:v>
      </x:c>
      <x:c r="C113" s="20" t="str">
        <x:v>Subordinada</x:v>
      </x:c>
      <x:c r="D113" s="21" t="n">
        <x:v>45931</x:v>
      </x:c>
      <x:c r="E113" s="25" t="n">
        <x:v>20709151.18</x:v>
      </x:c>
      <x:c r="F113" s="25" t="str">
        <x:v>n/d</x:v>
      </x:c>
      <x:c r="G113" s="25" t="str">
        <x:v>n/d</x:v>
      </x:c>
      <x:c r="H113" s="25" t="n">
        <x:v>19373548.63</x:v>
      </x:c>
      <x:c r="I113" s="25" t="n">
        <x:v>336205.36</x:v>
      </x:c>
      <x:c r="J113" s="25" t="n">
        <x:v>1682576.18</x:v>
      </x:c>
      <x:c r="K113" s="20" t="str">
        <x:v>Realizado</x:v>
      </x:c>
      <x:c r="L113" s="20" t="str">
        <x:v>CVM_CRI_2025_CLASSE</x:v>
      </x:c>
      <x:c r="M113" s="20" t="str">
        <x:v>Documentado</x:v>
      </x:c>
      <x:c r="N113" s="20" t="str">
        <x:v>Saldo final: saldo agregado reconciliado, controlado por Valor_Atualizado_Emissao. Unidade sem reconciliação permanece n/d; pagamentos realizados ficam documentados.</x:v>
      </x:c>
      <x:c r="P113" s="57" t="n">
        <x:v>45992</x:v>
      </x:c>
      <x:c r="Q113" s="59" t="n">
        <x:v>288698628</x:v>
      </x:c>
      <x:c r="R113" s="59" t="n">
        <x:v>83458269</x:v>
      </x:c>
      <x:c r="S113" s="59" t="n">
        <x:v>47253856</x:v>
      </x:c>
      <x:c r="T113" s="59" t="n">
        <x:v>33036477</x:v>
      </x:c>
    </x:row>
    <x:row r="114">
      <x:c r="A114" s="20" t="str">
        <x:v>CRI_K1</x:v>
      </x:c>
      <x:c r="B114" s="20" t="str">
        <x:v>Série 4</x:v>
      </x:c>
      <x:c r="C114" s="20" t="str">
        <x:v>Subordinada</x:v>
      </x:c>
      <x:c r="D114" s="21" t="n">
        <x:v>45962</x:v>
      </x:c>
      <x:c r="E114" s="25" t="n">
        <x:v>19373548.63</x:v>
      </x:c>
      <x:c r="F114" s="25" t="str">
        <x:v>n/d</x:v>
      </x:c>
      <x:c r="G114" s="25" t="str">
        <x:v>n/d</x:v>
      </x:c>
      <x:c r="H114" s="25" t="n">
        <x:v>17622378.15</x:v>
      </x:c>
      <x:c r="I114" s="25" t="n">
        <x:v>253011.11</x:v>
      </x:c>
      <x:c r="J114" s="25" t="n">
        <x:v>690362.38</x:v>
      </x:c>
      <x:c r="K114" s="20" t="str">
        <x:v>Realizado</x:v>
      </x:c>
      <x:c r="L114" s="20" t="str">
        <x:v>CVM_CRI_2025_CLASSE</x:v>
      </x:c>
      <x:c r="M114" s="20" t="str">
        <x:v>Documentado</x:v>
      </x:c>
      <x:c r="N114" s="20" t="str">
        <x:v>Saldo final: saldo agregado reconciliado, controlado por Valor_Atualizado_Emissao. Unidade sem reconciliação permanece n/d; pagamentos realizados ficam documentados.</x:v>
      </x:c>
      <x:c r="P114" s="57" t="n">
        <x:v>46023</x:v>
      </x:c>
      <x:c r="Q114" s="59" t="n">
        <x:v>278493630</x:v>
      </x:c>
      <x:c r="R114" s="59" t="n">
        <x:v>84457757</x:v>
      </x:c>
      <x:c r="S114" s="59" t="n">
        <x:v>48017730</x:v>
      </x:c>
      <x:c r="T114" s="59" t="n">
        <x:v>33558178</x:v>
      </x:c>
    </x:row>
    <x:row r="115">
      <x:c r="A115" s="20" t="str">
        <x:v>CRI_K1</x:v>
      </x:c>
      <x:c r="B115" s="20" t="str">
        <x:v>Série 4</x:v>
      </x:c>
      <x:c r="C115" s="20" t="str">
        <x:v>Subordinada</x:v>
      </x:c>
      <x:c r="D115" s="21" t="n">
        <x:v>45992</x:v>
      </x:c>
      <x:c r="E115" s="25" t="n">
        <x:v>17622378.15</x:v>
      </x:c>
      <x:c r="F115" s="25" t="str">
        <x:v>n/d</x:v>
      </x:c>
      <x:c r="G115" s="25" t="str">
        <x:v>n/d</x:v>
      </x:c>
      <x:c r="H115" s="25" t="n">
        <x:v>16966208.85</x:v>
      </x:c>
      <x:c r="I115" s="25" t="n">
        <x:v>268825.73</x:v>
      </x:c>
      <x:c r="J115" s="25" t="n">
        <x:v>727322.41</x:v>
      </x:c>
      <x:c r="K115" s="20" t="str">
        <x:v>Realizado</x:v>
      </x:c>
      <x:c r="L115" s="20" t="str">
        <x:v>CVM_CRI_2025_CLASSE</x:v>
      </x:c>
      <x:c r="M115" s="20" t="str">
        <x:v>Documentado</x:v>
      </x:c>
      <x:c r="N115" s="20" t="str">
        <x:v>Saldo final: saldo agregado reconciliado, controlado por Valor_Atualizado_Emissao. Unidade sem reconciliação permanece n/d; pagamentos realizados ficam documentados.</x:v>
      </x:c>
      <x:c r="P115" s="57" t="n">
        <x:v>46054</x:v>
      </x:c>
      <x:c r="Q115" s="59" t="n">
        <x:v>269837841</x:v>
      </x:c>
      <x:c r="R115" s="59" t="n">
        <x:v>84036284</x:v>
      </x:c>
      <x:c r="S115" s="59" t="n">
        <x:v>48682299</x:v>
      </x:c>
      <x:c r="T115" s="59" t="n">
        <x:v>34012453</x:v>
      </x:c>
    </x:row>
    <x:row r="116">
      <x:c r="A116" s="20" t="str">
        <x:v>CRI_K1</x:v>
      </x:c>
      <x:c r="B116" s="20" t="str">
        <x:v>Série 4</x:v>
      </x:c>
      <x:c r="C116" s="20" t="str">
        <x:v>Subordinada</x:v>
      </x:c>
      <x:c r="D116" s="21" t="n">
        <x:v>46023</x:v>
      </x:c>
      <x:c r="E116" s="25" t="n">
        <x:v>16966208.85</x:v>
      </x:c>
      <x:c r="F116" s="25" t="str">
        <x:v>n/d</x:v>
      </x:c>
      <x:c r="G116" s="25" t="str">
        <x:v>n/d</x:v>
      </x:c>
      <x:c r="H116" s="25" t="n">
        <x:v>16232822.57</x:v>
      </x:c>
      <x:c r="I116" s="25" t="n">
        <x:v>268825.73</x:v>
      </x:c>
      <x:c r="J116" s="25" t="n">
        <x:v>727322.41</x:v>
      </x:c>
      <x:c r="K116" s="20" t="str">
        <x:v>Realizado</x:v>
      </x:c>
      <x:c r="L116" s="20" t="str">
        <x:v>CVM_CRI_2026_CLASSE</x:v>
      </x:c>
      <x:c r="M116" s="20" t="str">
        <x:v>Documentado</x:v>
      </x:c>
      <x:c r="N116" s="20" t="str">
        <x:v>Saldo final: saldo agregado reconciliado, controlado por Valor_Atualizado_Emissao. Unidade sem reconciliação permanece n/d; pagamentos realizados ficam documentados.</x:v>
      </x:c>
      <x:c r="P116" s="57" t="n">
        <x:v>46082</x:v>
      </x:c>
      <x:c r="Q116" s="59" t="n">
        <x:v>264655550</x:v>
      </x:c>
      <x:c r="R116" s="59" t="n">
        <x:v>79967634</x:v>
      </x:c>
      <x:c r="S116" s="59" t="n">
        <x:v>49503630</x:v>
      </x:c>
      <x:c r="T116" s="59" t="n">
        <x:v>34575342</x:v>
      </x:c>
    </x:row>
    <x:row r="117">
      <x:c r="A117" s="20" t="str">
        <x:v>CRI_K1</x:v>
      </x:c>
      <x:c r="B117" s="20" t="str">
        <x:v>Série 4</x:v>
      </x:c>
      <x:c r="C117" s="20" t="str">
        <x:v>Subordinada</x:v>
      </x:c>
      <x:c r="D117" s="21" t="n">
        <x:v>46054</x:v>
      </x:c>
      <x:c r="E117" s="25" t="n">
        <x:v>16232822.57</x:v>
      </x:c>
      <x:c r="F117" s="25" t="str">
        <x:v>n/d</x:v>
      </x:c>
      <x:c r="G117" s="25" t="str">
        <x:v>n/d</x:v>
      </x:c>
      <x:c r="H117" s="25" t="n">
        <x:v>15608694</x:v>
      </x:c>
      <x:c r="I117" s="25" t="n">
        <x:v>269555.24</x:v>
      </x:c>
      <x:c r="J117" s="25" t="n">
        <x:v>572161.69</x:v>
      </x:c>
      <x:c r="K117" s="20" t="str">
        <x:v>Realizado</x:v>
      </x:c>
      <x:c r="L117" s="20" t="str">
        <x:v>CVM_CRI_2026_CLASSE</x:v>
      </x:c>
      <x:c r="M117" s="20" t="str">
        <x:v>Documentado</x:v>
      </x:c>
      <x:c r="N117" s="20" t="str">
        <x:v>Saldo final: saldo agregado reconciliado, controlado por Valor_Atualizado_Emissao. Unidade sem reconciliação permanece n/d; pagamentos realizados ficam documentados.</x:v>
      </x:c>
    </x:row>
    <x:row r="118">
      <x:c r="A118" s="20" t="str">
        <x:v>CRI_K1</x:v>
      </x:c>
      <x:c r="B118" s="20" t="str">
        <x:v>Série 4</x:v>
      </x:c>
      <x:c r="C118" s="20" t="str">
        <x:v>Subordinada</x:v>
      </x:c>
      <x:c r="D118" s="21" t="n">
        <x:v>46082</x:v>
      </x:c>
      <x:c r="E118" s="25" t="n">
        <x:v>15608694</x:v>
      </x:c>
      <x:c r="F118" s="25" t="str">
        <x:v>n/d</x:v>
      </x:c>
      <x:c r="G118" s="25" t="str">
        <x:v>n/d</x:v>
      </x:c>
      <x:c r="H118" s="25" t="n">
        <x:v>15038784</x:v>
      </x:c>
      <x:c r="I118" s="25" t="n">
        <x:v>238286.11</x:v>
      </x:c>
      <x:c r="J118" s="25" t="n">
        <x:v>753628.88</x:v>
      </x:c>
      <x:c r="K118" s="20" t="str">
        <x:v>Realizado</x:v>
      </x:c>
      <x:c r="L118" s="20" t="str">
        <x:v>CVM_CRI_2026_CLASSE</x:v>
      </x:c>
      <x:c r="M118" s="20" t="str">
        <x:v>Documentado</x:v>
      </x:c>
      <x:c r="N118" s="20" t="str">
        <x:v>Saldo final: saldo agregado reconciliado, controlado por Valor_Atualizado_Emissao. Unidade sem reconciliação permanece n/d; pagamentos realizados ficam documentados.</x:v>
      </x:c>
    </x:row>
    <x:row r="119">
      <x:c r="A119" s="20" t="str">
        <x:v>CRI_K1</x:v>
      </x:c>
      <x:c r="B119" s="20" t="str">
        <x:v>Série 4</x:v>
      </x:c>
      <x:c r="C119" s="20" t="str">
        <x:v>Subordinada</x:v>
      </x:c>
      <x:c r="D119" s="21" t="n">
        <x:v>46113</x:v>
      </x:c>
      <x:c r="E119" s="25" t="n">
        <x:v>15038784</x:v>
      </x:c>
      <x:c r="F119" s="25" t="str">
        <x:v>n/d</x:v>
      </x:c>
      <x:c r="G119" s="25" t="str">
        <x:v>n/d</x:v>
      </x:c>
      <x:c r="H119" s="25" t="n">
        <x:v>14268098</x:v>
      </x:c>
      <x:c r="I119" s="25" t="n">
        <x:v>238286.11</x:v>
      </x:c>
      <x:c r="J119" s="25" t="n">
        <x:v>753628.88</x:v>
      </x:c>
      <x:c r="K119" s="20" t="str">
        <x:v>Realizado</x:v>
      </x:c>
      <x:c r="L119" s="20" t="str">
        <x:v>CVM_CRI_2026_CLASSE</x:v>
      </x:c>
      <x:c r="M119" s="20" t="str">
        <x:v>Documentado</x:v>
      </x:c>
      <x:c r="N119" s="20" t="str">
        <x:v>Saldo final: saldo agregado reconciliado, controlado por Valor_Atualizado_Emissao. Unidade sem reconciliação permanece n/d; pagamentos realizados ficam documentados.</x:v>
      </x:c>
    </x:row>
    <x:row r="120">
      <x:c r="A120" s="20" t="str">
        <x:v>CRI_K1</x:v>
      </x:c>
      <x:c r="B120" s="20" t="str">
        <x:v>Série 4</x:v>
      </x:c>
      <x:c r="C120" s="20" t="str">
        <x:v>Subordinada</x:v>
      </x:c>
      <x:c r="D120" s="21" t="n">
        <x:v>46143</x:v>
      </x:c>
      <x:c r="E120" s="25" t="n">
        <x:v>14268098</x:v>
      </x:c>
      <x:c r="F120" s="25" t="str">
        <x:v>n/d</x:v>
      </x:c>
      <x:c r="G120" s="25" t="str">
        <x:v>n/d</x:v>
      </x:c>
      <x:c r="H120" s="25" t="n">
        <x:v>13649624</x:v>
      </x:c>
      <x:c r="I120" s="25" t="n">
        <x:v>215390.37</x:v>
      </x:c>
      <x:c r="J120" s="25" t="n">
        <x:v>613823.53</x:v>
      </x:c>
      <x:c r="K120" s="20" t="str">
        <x:v>Realizado</x:v>
      </x:c>
      <x:c r="L120" s="20" t="str">
        <x:v>CVM_CRI_2026_CLASSE</x:v>
      </x:c>
      <x:c r="M120" s="20" t="str">
        <x:v>Documentado</x:v>
      </x:c>
      <x:c r="N120" s="20" t="str">
        <x:v>Saldo final: saldo agregado reconciliado, controlado por Valor_Atualizado_Emissao. Unidade sem reconciliação permanece n/d; pagamentos realizados ficam documentados.</x:v>
      </x:c>
    </x:row>
    <x:row r="121">
      <x:c r="A121" s="20" t="str">
        <x:v>CRI_K1</x:v>
      </x:c>
      <x:c r="B121" s="20" t="str">
        <x:v>Série 4</x:v>
      </x:c>
      <x:c r="C121" s="20" t="str">
        <x:v>Subordinada</x:v>
      </x:c>
      <x:c r="D121" s="21" t="n">
        <x:v>46174</x:v>
      </x:c>
      <x:c r="E121" s="25" t="n">
        <x:v>13649624</x:v>
      </x:c>
      <x:c r="F121" s="25" t="str">
        <x:v>n/d</x:v>
      </x:c>
      <x:c r="G121" s="25" t="str">
        <x:v>n/d</x:v>
      </x:c>
      <x:c r="H121" s="25" t="str">
        <x:v>n/d</x:v>
      </x:c>
      <x:c r="I121" s="25" t="n">
        <x:v>206053.92</x:v>
      </x:c>
      <x:c r="J121" s="25" t="n">
        <x:v>690467.95</x:v>
      </x:c>
      <x:c r="K121" s="20" t="str">
        <x:v>Realizado</x:v>
      </x:c>
      <x:c r="L121" s="20" t="str">
        <x:v>CVM_CRI_2026_CLASSE</x:v>
      </x:c>
      <x:c r="M121" s="20" t="str">
        <x:v>Documentado</x:v>
      </x:c>
      <x:c r="N121" s="20" t="str">
        <x:v>Saldo final: n/d por conflito de unidade, controlado por Valor_Atualizado_Emissao. Unidade sem reconciliação permanece n/d; pagamentos realizados ficam documentados.</x:v>
      </x:c>
    </x:row>
    <x:row r="122">
      <x:c r="A122" s="20" t="str">
        <x:v>CRI_K1</x:v>
      </x:c>
      <x:c r="B122" s="20" t="str">
        <x:v>Série 5</x:v>
      </x:c>
      <x:c r="C122" s="20" t="str">
        <x:v>Júnior/Subordinada</x:v>
      </x:c>
      <x:c r="D122" s="21" t="n">
        <x:v>45323</x:v>
      </x:c>
      <x:c r="E122" s="25" t="str">
        <x:v>n/d</x:v>
      </x:c>
      <x:c r="F122" s="25" t="str">
        <x:v>n/d</x:v>
      </x:c>
      <x:c r="G122" s="25" t="str">
        <x:v>n/d</x:v>
      </x:c>
      <x:c r="H122" s="25" t="n">
        <x:v>12035877</x:v>
      </x:c>
      <x:c r="I122" s="25" t="n">
        <x:v>0</x:v>
      </x:c>
      <x:c r="J122" s="25" t="n">
        <x:v>0</x:v>
      </x:c>
      <x:c r="K122" s="20" t="str">
        <x:v>Realizado</x:v>
      </x:c>
      <x:c r="L122" s="20" t="str">
        <x:v>CVM_CRI_2024_CLASSE</x:v>
      </x:c>
      <x:c r="M122" s="20" t="str">
        <x:v>Documentado</x:v>
      </x:c>
      <x:c r="N122" s="20" t="str">
        <x:v>Saldo final: saldo agregado; controle total indisponível,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123">
      <x:c r="A123" s="20" t="str">
        <x:v>CRI_K1</x:v>
      </x:c>
      <x:c r="B123" s="20" t="str">
        <x:v>Série 5</x:v>
      </x:c>
      <x:c r="C123" s="20" t="str">
        <x:v>Júnior/Subordinada</x:v>
      </x:c>
      <x:c r="D123" s="21" t="n">
        <x:v>45352</x:v>
      </x:c>
      <x:c r="E123" s="25" t="n">
        <x:v>12035877</x:v>
      </x:c>
      <x:c r="F123" s="25" t="str">
        <x:v>n/d</x:v>
      </x:c>
      <x:c r="G123" s="25" t="str">
        <x:v>n/d</x:v>
      </x:c>
      <x:c r="H123" s="25" t="n">
        <x:v>12126039.5</x:v>
      </x:c>
      <x:c r="I123" s="25" t="n">
        <x:v>0</x:v>
      </x:c>
      <x:c r="J123" s="25" t="n">
        <x:v>0</x:v>
      </x:c>
      <x:c r="K123" s="20" t="str">
        <x:v>Realizado</x:v>
      </x:c>
      <x:c r="L123" s="20" t="str">
        <x:v>CVM_CRI_2024_CLASSE</x:v>
      </x:c>
      <x:c r="M123" s="20" t="str">
        <x:v>Documentado</x:v>
      </x:c>
      <x:c r="N123" s="20" t="str">
        <x:v>Saldo final: saldo agregado; controle total indisponível, controlado por Valor_Atualizado_Emissao. Unidade sem reconciliação permanece n/d; pagamentos realizados ficam documentados.</x:v>
      </x:c>
    </x:row>
    <x:row r="124">
      <x:c r="A124" s="20" t="str">
        <x:v>CRI_K1</x:v>
      </x:c>
      <x:c r="B124" s="20" t="str">
        <x:v>Série 5</x:v>
      </x:c>
      <x:c r="C124" s="20" t="str">
        <x:v>Júnior/Subordinada</x:v>
      </x:c>
      <x:c r="D124" s="21" t="n">
        <x:v>45383</x:v>
      </x:c>
      <x:c r="E124" s="25" t="n">
        <x:v>12126039.5</x:v>
      </x:c>
      <x:c r="F124" s="25" t="str">
        <x:v>n/d</x:v>
      </x:c>
      <x:c r="G124" s="25" t="str">
        <x:v>n/d</x:v>
      </x:c>
      <x:c r="H124" s="25" t="str">
        <x:v>n/d</x:v>
      </x:c>
      <x:c r="I124" s="25" t="n">
        <x:v>0</x:v>
      </x:c>
      <x:c r="J124" s="25" t="n">
        <x:v>0</x:v>
      </x:c>
      <x:c r="K124" s="20" t="str">
        <x:v>Realizado</x:v>
      </x:c>
      <x:c r="L124" s="20" t="str">
        <x:v>CVM_CRI_2024_CLASSE</x:v>
      </x:c>
      <x:c r="M124" s="20" t="str">
        <x:v>Documentado</x:v>
      </x:c>
      <x:c r="N124" s="20" t="str">
        <x:v>Saldo final: n/d por conflito de unidade, controlado por Valor_Atualizado_Emissao. Unidade sem reconciliação permanece n/d; pagamentos realizados ficam documentados.</x:v>
      </x:c>
    </x:row>
    <x:row r="125">
      <x:c r="A125" s="20" t="str">
        <x:v>CRI_K1</x:v>
      </x:c>
      <x:c r="B125" s="20" t="str">
        <x:v>Série 5</x:v>
      </x:c>
      <x:c r="C125" s="20" t="str">
        <x:v>Júnior/Subordinada</x:v>
      </x:c>
      <x:c r="D125" s="21" t="n">
        <x:v>45413</x:v>
      </x:c>
      <x:c r="E125" s="25" t="str">
        <x:v>n/d</x:v>
      </x:c>
      <x:c r="F125" s="25" t="str">
        <x:v>n/d</x:v>
      </x:c>
      <x:c r="G125" s="25" t="str">
        <x:v>n/d</x:v>
      </x:c>
      <x:c r="H125" s="25" t="str">
        <x:v>n/d</x:v>
      </x:c>
      <x:c r="I125" s="25" t="n">
        <x:v>0</x:v>
      </x:c>
      <x:c r="J125" s="25" t="n">
        <x:v>0</x:v>
      </x:c>
      <x:c r="K125" s="20" t="str">
        <x:v>Realizado</x:v>
      </x:c>
      <x:c r="L125" s="20" t="str">
        <x:v>CVM_CRI_2024_CLASSE</x:v>
      </x:c>
      <x:c r="M125" s="20" t="str">
        <x:v>Documentado</x:v>
      </x:c>
      <x:c r="N125" s="20" t="str">
        <x:v>Saldo final: n/d por conflito de unidade, controlado por Valor_Atualizado_Emissao. Unidade sem reconciliação permanece n/d; pagamentos realizados ficam documentados.</x:v>
      </x:c>
    </x:row>
    <x:row r="126">
      <x:c r="A126" s="20" t="str">
        <x:v>CRI_K1</x:v>
      </x:c>
      <x:c r="B126" s="20" t="str">
        <x:v>Série 5</x:v>
      </x:c>
      <x:c r="C126" s="20" t="str">
        <x:v>Júnior/Subordinada</x:v>
      </x:c>
      <x:c r="D126" s="21" t="n">
        <x:v>45444</x:v>
      </x:c>
      <x:c r="E126" s="25" t="str">
        <x:v>n/d</x:v>
      </x:c>
      <x:c r="F126" s="25" t="str">
        <x:v>n/d</x:v>
      </x:c>
      <x:c r="G126" s="25" t="str">
        <x:v>n/d</x:v>
      </x:c>
      <x:c r="H126" s="25" t="str">
        <x:v>n/d</x:v>
      </x:c>
      <x:c r="I126" s="25" t="n">
        <x:v>0</x:v>
      </x:c>
      <x:c r="J126" s="25" t="n">
        <x:v>0</x:v>
      </x:c>
      <x:c r="K126" s="20" t="str">
        <x:v>Realizado</x:v>
      </x:c>
      <x:c r="L126" s="20" t="str">
        <x:v>CVM_CRI_2024_CLASSE</x:v>
      </x:c>
      <x:c r="M126" s="20" t="str">
        <x:v>Documentado</x:v>
      </x:c>
      <x:c r="N126" s="20" t="str">
        <x:v>Saldo final: n/d por conflito de unidade, controlado por Valor_Atualizado_Emissao. Unidade sem reconciliação permanece n/d; pagamentos realizados ficam documentados.</x:v>
      </x:c>
    </x:row>
    <x:row r="127">
      <x:c r="A127" s="20" t="str">
        <x:v>CRI_K1</x:v>
      </x:c>
      <x:c r="B127" s="20" t="str">
        <x:v>Série 5</x:v>
      </x:c>
      <x:c r="C127" s="20" t="str">
        <x:v>Júnior/Subordinada</x:v>
      </x:c>
      <x:c r="D127" s="21" t="n">
        <x:v>45474</x:v>
      </x:c>
      <x:c r="E127" s="25" t="str">
        <x:v>n/d</x:v>
      </x:c>
      <x:c r="F127" s="25" t="str">
        <x:v>n/d</x:v>
      </x:c>
      <x:c r="G127" s="25" t="str">
        <x:v>n/d</x:v>
      </x:c>
      <x:c r="H127" s="25" t="n">
        <x:v>12521520</x:v>
      </x:c>
      <x:c r="I127" s="25" t="n">
        <x:v>0</x:v>
      </x:c>
      <x:c r="J127" s="25" t="n">
        <x:v>0</x:v>
      </x:c>
      <x:c r="K127" s="20" t="str">
        <x:v>Realizado</x:v>
      </x:c>
      <x:c r="L127" s="20" t="str">
        <x:v>CVM_CRI_2024_CLASSE</x:v>
      </x:c>
      <x:c r="M127" s="20" t="str">
        <x:v>Documentado</x:v>
      </x:c>
      <x:c r="N127" s="20" t="str">
        <x:v>Saldo final: valor unitário × quantidade reconciliado, controlado por Valor_Atualizado_Emissao. Unidade sem reconciliação permanece n/d; pagamentos realizados ficam documentados.</x:v>
      </x:c>
    </x:row>
    <x:row r="128">
      <x:c r="A128" s="20" t="str">
        <x:v>CRI_K1</x:v>
      </x:c>
      <x:c r="B128" s="20" t="str">
        <x:v>Série 5</x:v>
      </x:c>
      <x:c r="C128" s="20" t="str">
        <x:v>Júnior/Subordinada</x:v>
      </x:c>
      <x:c r="D128" s="21" t="n">
        <x:v>45505</x:v>
      </x:c>
      <x:c r="E128" s="25" t="n">
        <x:v>12521520</x:v>
      </x:c>
      <x:c r="F128" s="25" t="str">
        <x:v>n/d</x:v>
      </x:c>
      <x:c r="G128" s="25" t="str">
        <x:v>n/d</x:v>
      </x:c>
      <x:c r="H128" s="25" t="str">
        <x:v>n/d</x:v>
      </x:c>
      <x:c r="I128" s="25" t="n">
        <x:v>0</x:v>
      </x:c>
      <x:c r="J128" s="25" t="n">
        <x:v>0</x:v>
      </x:c>
      <x:c r="K128" s="20" t="str">
        <x:v>Realizado</x:v>
      </x:c>
      <x:c r="L128" s="20" t="str">
        <x:v>CVM_CRI_2024_CLASSE</x:v>
      </x:c>
      <x:c r="M128" s="20" t="str">
        <x:v>Documentado</x:v>
      </x:c>
      <x:c r="N128" s="20" t="str">
        <x:v>Saldo final: n/d por conflito de unidade, controlado por Valor_Atualizado_Emissao. Unidade sem reconciliação permanece n/d; pagamentos realizados ficam documentados.</x:v>
      </x:c>
    </x:row>
    <x:row r="129">
      <x:c r="A129" s="20" t="str">
        <x:v>CRI_K1</x:v>
      </x:c>
      <x:c r="B129" s="20" t="str">
        <x:v>Série 5</x:v>
      </x:c>
      <x:c r="C129" s="20" t="str">
        <x:v>Júnior/Subordinada</x:v>
      </x:c>
      <x:c r="D129" s="21" t="n">
        <x:v>45536</x:v>
      </x:c>
      <x:c r="E129" s="25" t="str">
        <x:v>n/d</x:v>
      </x:c>
      <x:c r="F129" s="25" t="str">
        <x:v>n/d</x:v>
      </x:c>
      <x:c r="G129" s="25" t="str">
        <x:v>n/d</x:v>
      </x:c>
      <x:c r="H129" s="25" t="n">
        <x:v>12724079.999999998</x:v>
      </x:c>
      <x:c r="I129" s="25" t="n">
        <x:v>0</x:v>
      </x:c>
      <x:c r="J129" s="25" t="n">
        <x:v>0</x:v>
      </x:c>
      <x:c r="K129" s="20" t="str">
        <x:v>Realizado</x:v>
      </x:c>
      <x:c r="L129" s="20" t="str">
        <x:v>CVM_CRI_2024_CLASSE</x:v>
      </x:c>
      <x:c r="M129" s="20" t="str">
        <x:v>Documentado</x:v>
      </x:c>
      <x:c r="N129" s="20" t="str">
        <x:v>Saldo final: valor unitário × quantidade reconciliado, controlado por Valor_Atualizado_Emissao. Unidade sem reconciliação permanece n/d; pagamentos realizados ficam documentados.</x:v>
      </x:c>
    </x:row>
    <x:row r="130">
      <x:c r="A130" s="20" t="str">
        <x:v>CRI_K1</x:v>
      </x:c>
      <x:c r="B130" s="20" t="str">
        <x:v>Série 5</x:v>
      </x:c>
      <x:c r="C130" s="20" t="str">
        <x:v>Júnior/Subordinada</x:v>
      </x:c>
      <x:c r="D130" s="21" t="n">
        <x:v>45566</x:v>
      </x:c>
      <x:c r="E130" s="25" t="n">
        <x:v>12724079.999999998</x:v>
      </x:c>
      <x:c r="F130" s="25" t="str">
        <x:v>n/d</x:v>
      </x:c>
      <x:c r="G130" s="25" t="str">
        <x:v>n/d</x:v>
      </x:c>
      <x:c r="H130" s="25" t="n">
        <x:v>12833714.84</x:v>
      </x:c>
      <x:c r="I130" s="25" t="n">
        <x:v>0</x:v>
      </x:c>
      <x:c r="J130" s="25" t="n">
        <x:v>0</x:v>
      </x:c>
      <x:c r="K130" s="20" t="str">
        <x:v>Realizado</x:v>
      </x:c>
      <x:c r="L130" s="20" t="str">
        <x:v>CVM_CRI_2024_CLASSE</x:v>
      </x:c>
      <x:c r="M130" s="20" t="str">
        <x:v>Documentado</x:v>
      </x:c>
      <x:c r="N130" s="20" t="str">
        <x:v>Saldo final: saldo agregado reconciliado, controlado por Valor_Atualizado_Emissao. Unidade sem reconciliação permanece n/d; pagamentos realizados ficam documentados.</x:v>
      </x:c>
    </x:row>
    <x:row r="131">
      <x:c r="A131" s="20" t="str">
        <x:v>CRI_K1</x:v>
      </x:c>
      <x:c r="B131" s="20" t="str">
        <x:v>Série 5</x:v>
      </x:c>
      <x:c r="C131" s="20" t="str">
        <x:v>Júnior/Subordinada</x:v>
      </x:c>
      <x:c r="D131" s="21" t="n">
        <x:v>45597</x:v>
      </x:c>
      <x:c r="E131" s="25" t="n">
        <x:v>12833714.84</x:v>
      </x:c>
      <x:c r="F131" s="25" t="str">
        <x:v>n/d</x:v>
      </x:c>
      <x:c r="G131" s="25" t="str">
        <x:v>n/d</x:v>
      </x:c>
      <x:c r="H131" s="25" t="n">
        <x:v>12925030.03</x:v>
      </x:c>
      <x:c r="I131" s="25" t="n">
        <x:v>0</x:v>
      </x:c>
      <x:c r="J131" s="25" t="n">
        <x:v>0</x:v>
      </x:c>
      <x:c r="K131" s="20" t="str">
        <x:v>Realizado</x:v>
      </x:c>
      <x:c r="L131" s="20" t="str">
        <x:v>CVM_CRI_2024_CLASSE</x:v>
      </x:c>
      <x:c r="M131" s="20" t="str">
        <x:v>Documentado</x:v>
      </x:c>
      <x:c r="N131" s="20" t="str">
        <x:v>Saldo final: saldo agregado reconciliado, controlado por Valor_Atualizado_Emissao. Unidade sem reconciliação permanece n/d; pagamentos realizados ficam documentados.</x:v>
      </x:c>
    </x:row>
    <x:row r="132">
      <x:c r="A132" s="20" t="str">
        <x:v>CRI_K1</x:v>
      </x:c>
      <x:c r="B132" s="20" t="str">
        <x:v>Série 5</x:v>
      </x:c>
      <x:c r="C132" s="20" t="str">
        <x:v>Júnior/Subordinada</x:v>
      </x:c>
      <x:c r="D132" s="21" t="n">
        <x:v>45627</x:v>
      </x:c>
      <x:c r="E132" s="25" t="n">
        <x:v>12925030.03</x:v>
      </x:c>
      <x:c r="F132" s="25" t="str">
        <x:v>n/d</x:v>
      </x:c>
      <x:c r="G132" s="25" t="str">
        <x:v>n/d</x:v>
      </x:c>
      <x:c r="H132" s="25" t="n">
        <x:v>13026713.46</x:v>
      </x:c>
      <x:c r="I132" s="25" t="n">
        <x:v>0</x:v>
      </x:c>
      <x:c r="J132" s="25" t="n">
        <x:v>0</x:v>
      </x:c>
      <x:c r="K132" s="20" t="str">
        <x:v>Realizado</x:v>
      </x:c>
      <x:c r="L132" s="20" t="str">
        <x:v>CVM_CRI_2024_CLASSE</x:v>
      </x:c>
      <x:c r="M132" s="20" t="str">
        <x:v>Documentado</x:v>
      </x:c>
      <x:c r="N132" s="20" t="str">
        <x:v>Saldo final: saldo agregado reconciliado, controlado por Valor_Atualizado_Emissao. Unidade sem reconciliação permanece n/d; pagamentos realizados ficam documentados.</x:v>
      </x:c>
    </x:row>
    <x:row r="133">
      <x:c r="A133" s="20" t="str">
        <x:v>CRI_K1</x:v>
      </x:c>
      <x:c r="B133" s="20" t="str">
        <x:v>Série 5</x:v>
      </x:c>
      <x:c r="C133" s="20" t="str">
        <x:v>Júnior/Subordinada</x:v>
      </x:c>
      <x:c r="D133" s="21" t="n">
        <x:v>45658</x:v>
      </x:c>
      <x:c r="E133" s="25" t="n">
        <x:v>13026713.46</x:v>
      </x:c>
      <x:c r="F133" s="25" t="str">
        <x:v>n/d</x:v>
      </x:c>
      <x:c r="G133" s="25" t="str">
        <x:v>n/d</x:v>
      </x:c>
      <x:c r="H133" s="25" t="n">
        <x:v>13134097.07</x:v>
      </x:c>
      <x:c r="I133" s="25" t="n">
        <x:v>0</x:v>
      </x:c>
      <x:c r="J133" s="25" t="n">
        <x:v>0</x:v>
      </x:c>
      <x:c r="K133" s="20" t="str">
        <x:v>Realizado</x:v>
      </x:c>
      <x:c r="L133" s="20" t="str">
        <x:v>CVM_CRI_2025_CLASSE</x:v>
      </x:c>
      <x:c r="M133" s="20" t="str">
        <x:v>Documentado</x:v>
      </x:c>
      <x:c r="N133" s="20" t="str">
        <x:v>Saldo final: saldo agregado reconciliado, controlado por Valor_Atualizado_Emissao. Unidade sem reconciliação permanece n/d; pagamentos realizados ficam documentados.</x:v>
      </x:c>
    </x:row>
    <x:row r="134">
      <x:c r="A134" s="20" t="str">
        <x:v>CRI_K1</x:v>
      </x:c>
      <x:c r="B134" s="20" t="str">
        <x:v>Série 5</x:v>
      </x:c>
      <x:c r="C134" s="20" t="str">
        <x:v>Júnior/Subordinada</x:v>
      </x:c>
      <x:c r="D134" s="21" t="n">
        <x:v>45689</x:v>
      </x:c>
      <x:c r="E134" s="25" t="n">
        <x:v>13134097.07</x:v>
      </x:c>
      <x:c r="F134" s="25" t="str">
        <x:v>n/d</x:v>
      </x:c>
      <x:c r="G134" s="25" t="str">
        <x:v>n/d</x:v>
      </x:c>
      <x:c r="H134" s="25" t="n">
        <x:v>13232486.49</x:v>
      </x:c>
      <x:c r="I134" s="25" t="n">
        <x:v>0</x:v>
      </x:c>
      <x:c r="J134" s="25" t="n">
        <x:v>0</x:v>
      </x:c>
      <x:c r="K134" s="20" t="str">
        <x:v>Realizado</x:v>
      </x:c>
      <x:c r="L134" s="20" t="str">
        <x:v>CVM_CRI_2025_CLASSE</x:v>
      </x:c>
      <x:c r="M134" s="20" t="str">
        <x:v>Documentado</x:v>
      </x:c>
      <x:c r="N134" s="20" t="str">
        <x:v>Saldo final: saldo agregado reconciliado, controlado por Valor_Atualizado_Emissao. Unidade sem reconciliação permanece n/d; pagamentos realizados ficam documentados.</x:v>
      </x:c>
    </x:row>
    <x:row r="135">
      <x:c r="A135" s="20" t="str">
        <x:v>CRI_K1</x:v>
      </x:c>
      <x:c r="B135" s="20" t="str">
        <x:v>Série 5</x:v>
      </x:c>
      <x:c r="C135" s="20" t="str">
        <x:v>Júnior/Subordinada</x:v>
      </x:c>
      <x:c r="D135" s="21" t="n">
        <x:v>45717</x:v>
      </x:c>
      <x:c r="E135" s="25" t="n">
        <x:v>13232486.49</x:v>
      </x:c>
      <x:c r="F135" s="25" t="str">
        <x:v>n/d</x:v>
      </x:c>
      <x:c r="G135" s="25" t="str">
        <x:v>n/d</x:v>
      </x:c>
      <x:c r="H135" s="25" t="n">
        <x:v>13326639.05</x:v>
      </x:c>
      <x:c r="I135" s="25" t="n">
        <x:v>0</x:v>
      </x:c>
      <x:c r="J135" s="25" t="n">
        <x:v>0</x:v>
      </x:c>
      <x:c r="K135" s="20" t="str">
        <x:v>Realizado</x:v>
      </x:c>
      <x:c r="L135" s="20" t="str">
        <x:v>CVM_CRI_2025_CLASSE</x:v>
      </x:c>
      <x:c r="M135" s="20" t="str">
        <x:v>Documentado</x:v>
      </x:c>
      <x:c r="N135" s="20" t="str">
        <x:v>Saldo final: saldo agregado reconciliado, controlado por Valor_Atualizado_Emissao. Unidade sem reconciliação permanece n/d; pagamentos realizados ficam documentados.</x:v>
      </x:c>
    </x:row>
    <x:row r="136">
      <x:c r="A136" s="20" t="str">
        <x:v>CRI_K1</x:v>
      </x:c>
      <x:c r="B136" s="20" t="str">
        <x:v>Série 5</x:v>
      </x:c>
      <x:c r="C136" s="20" t="str">
        <x:v>Júnior/Subordinada</x:v>
      </x:c>
      <x:c r="D136" s="21" t="n">
        <x:v>45748</x:v>
      </x:c>
      <x:c r="E136" s="25" t="n">
        <x:v>13326639.05</x:v>
      </x:c>
      <x:c r="F136" s="25" t="str">
        <x:v>n/d</x:v>
      </x:c>
      <x:c r="G136" s="25" t="str">
        <x:v>n/d</x:v>
      </x:c>
      <x:c r="H136" s="25" t="n">
        <x:v>13426470.84</x:v>
      </x:c>
      <x:c r="I136" s="25" t="n">
        <x:v>0</x:v>
      </x:c>
      <x:c r="J136" s="25" t="n">
        <x:v>0</x:v>
      </x:c>
      <x:c r="K136" s="20" t="str">
        <x:v>Realizado</x:v>
      </x:c>
      <x:c r="L136" s="20" t="str">
        <x:v>CVM_CRI_2025_CLASSE</x:v>
      </x:c>
      <x:c r="M136" s="20" t="str">
        <x:v>Documentado</x:v>
      </x:c>
      <x:c r="N136" s="20" t="str">
        <x:v>Saldo final: saldo agregado reconciliado, controlado por Valor_Atualizado_Emissao. Unidade sem reconciliação permanece n/d; pagamentos realizados ficam documentados.</x:v>
      </x:c>
    </x:row>
    <x:row r="137">
      <x:c r="A137" s="20" t="str">
        <x:v>CRI_K1</x:v>
      </x:c>
      <x:c r="B137" s="20" t="str">
        <x:v>Série 5</x:v>
      </x:c>
      <x:c r="C137" s="20" t="str">
        <x:v>Júnior/Subordinada</x:v>
      </x:c>
      <x:c r="D137" s="21" t="n">
        <x:v>45778</x:v>
      </x:c>
      <x:c r="E137" s="25" t="n">
        <x:v>13426470.84</x:v>
      </x:c>
      <x:c r="F137" s="25" t="str">
        <x:v>n/d</x:v>
      </x:c>
      <x:c r="G137" s="25" t="str">
        <x:v>n/d</x:v>
      </x:c>
      <x:c r="H137" s="25" t="n">
        <x:v>13532099.19</x:v>
      </x:c>
      <x:c r="I137" s="25" t="n">
        <x:v>0</x:v>
      </x:c>
      <x:c r="J137" s="25" t="n">
        <x:v>0</x:v>
      </x:c>
      <x:c r="K137" s="20" t="str">
        <x:v>Realizado</x:v>
      </x:c>
      <x:c r="L137" s="20" t="str">
        <x:v>CVM_CRI_2025_CLASSE</x:v>
      </x:c>
      <x:c r="M137" s="20" t="str">
        <x:v>Documentado</x:v>
      </x:c>
      <x:c r="N137" s="20" t="str">
        <x:v>Saldo final: saldo agregado reconciliado, controlado por Valor_Atualizado_Emissao. Unidade sem reconciliação permanece n/d; pagamentos realizados ficam documentados.</x:v>
      </x:c>
    </x:row>
    <x:row r="138">
      <x:c r="A138" s="20" t="str">
        <x:v>CRI_K1</x:v>
      </x:c>
      <x:c r="B138" s="20" t="str">
        <x:v>Série 5</x:v>
      </x:c>
      <x:c r="C138" s="20" t="str">
        <x:v>Júnior/Subordinada</x:v>
      </x:c>
      <x:c r="D138" s="21" t="n">
        <x:v>45809</x:v>
      </x:c>
      <x:c r="E138" s="25" t="n">
        <x:v>13532099.19</x:v>
      </x:c>
      <x:c r="F138" s="25" t="str">
        <x:v>n/d</x:v>
      </x:c>
      <x:c r="G138" s="25" t="str">
        <x:v>n/d</x:v>
      </x:c>
      <x:c r="H138" s="25" t="n">
        <x:v>13633470.1</x:v>
      </x:c>
      <x:c r="I138" s="25" t="n">
        <x:v>0</x:v>
      </x:c>
      <x:c r="J138" s="25" t="n">
        <x:v>0</x:v>
      </x:c>
      <x:c r="K138" s="20" t="str">
        <x:v>Realizado</x:v>
      </x:c>
      <x:c r="L138" s="20" t="str">
        <x:v>CVM_CRI_2025_CLASSE</x:v>
      </x:c>
      <x:c r="M138" s="20" t="str">
        <x:v>Documentado</x:v>
      </x:c>
      <x:c r="N138" s="20" t="str">
        <x:v>Saldo final: saldo agregado reconciliado, controlado por Valor_Atualizado_Emissao. Unidade sem reconciliação permanece n/d; pagamentos realizados ficam documentados.</x:v>
      </x:c>
    </x:row>
    <x:row r="139">
      <x:c r="A139" s="20" t="str">
        <x:v>CRI_K1</x:v>
      </x:c>
      <x:c r="B139" s="20" t="str">
        <x:v>Série 5</x:v>
      </x:c>
      <x:c r="C139" s="20" t="str">
        <x:v>Júnior/Subordinada</x:v>
      </x:c>
      <x:c r="D139" s="21" t="n">
        <x:v>45839</x:v>
      </x:c>
      <x:c r="E139" s="25" t="n">
        <x:v>13633470.1</x:v>
      </x:c>
      <x:c r="F139" s="25" t="str">
        <x:v>n/d</x:v>
      </x:c>
      <x:c r="G139" s="25" t="str">
        <x:v>n/d</x:v>
      </x:c>
      <x:c r="H139" s="25" t="n">
        <x:v>13750985.8</x:v>
      </x:c>
      <x:c r="I139" s="25" t="n">
        <x:v>0</x:v>
      </x:c>
      <x:c r="J139" s="25" t="n">
        <x:v>0</x:v>
      </x:c>
      <x:c r="K139" s="20" t="str">
        <x:v>Realizado</x:v>
      </x:c>
      <x:c r="L139" s="20" t="str">
        <x:v>CVM_CRI_2025_CLASSE</x:v>
      </x:c>
      <x:c r="M139" s="20" t="str">
        <x:v>Documentado</x:v>
      </x:c>
      <x:c r="N139" s="20" t="str">
        <x:v>Saldo final: saldo agregado reconciliado, controlado por Valor_Atualizado_Emissao. Unidade sem reconciliação permanece n/d; pagamentos realizados ficam documentados.</x:v>
      </x:c>
    </x:row>
    <x:row r="140">
      <x:c r="A140" s="20" t="str">
        <x:v>CRI_K1</x:v>
      </x:c>
      <x:c r="B140" s="20" t="str">
        <x:v>Série 5</x:v>
      </x:c>
      <x:c r="C140" s="20" t="str">
        <x:v>Júnior/Subordinada</x:v>
      </x:c>
      <x:c r="D140" s="21" t="n">
        <x:v>45870</x:v>
      </x:c>
      <x:c r="E140" s="25" t="n">
        <x:v>13750985.8</x:v>
      </x:c>
      <x:c r="F140" s="25" t="str">
        <x:v>n/d</x:v>
      </x:c>
      <x:c r="G140" s="25" t="str">
        <x:v>n/d</x:v>
      </x:c>
      <x:c r="H140" s="25" t="n">
        <x:v>13859167.16</x:v>
      </x:c>
      <x:c r="I140" s="25" t="n">
        <x:v>0</x:v>
      </x:c>
      <x:c r="J140" s="25" t="n">
        <x:v>0</x:v>
      </x:c>
      <x:c r="K140" s="20" t="str">
        <x:v>Realizado</x:v>
      </x:c>
      <x:c r="L140" s="20" t="str">
        <x:v>CVM_CRI_2025_CLASSE</x:v>
      </x:c>
      <x:c r="M140" s="20" t="str">
        <x:v>Documentado</x:v>
      </x:c>
      <x:c r="N140" s="20" t="str">
        <x:v>Saldo final: saldo agregado reconciliado, controlado por Valor_Atualizado_Emissao. Unidade sem reconciliação permanece n/d; pagamentos realizados ficam documentados.</x:v>
      </x:c>
    </x:row>
    <x:row r="141">
      <x:c r="A141" s="20" t="str">
        <x:v>CRI_K1</x:v>
      </x:c>
      <x:c r="B141" s="20" t="str">
        <x:v>Série 5</x:v>
      </x:c>
      <x:c r="C141" s="20" t="str">
        <x:v>Júnior/Subordinada</x:v>
      </x:c>
      <x:c r="D141" s="21" t="n">
        <x:v>45901</x:v>
      </x:c>
      <x:c r="E141" s="25" t="n">
        <x:v>13859167.16</x:v>
      </x:c>
      <x:c r="F141" s="25" t="str">
        <x:v>n/d</x:v>
      </x:c>
      <x:c r="G141" s="25" t="str">
        <x:v>n/d</x:v>
      </x:c>
      <x:c r="H141" s="25" t="n">
        <x:v>13973412.97</x:v>
      </x:c>
      <x:c r="I141" s="25" t="n">
        <x:v>0</x:v>
      </x:c>
      <x:c r="J141" s="25" t="n">
        <x:v>0</x:v>
      </x:c>
      <x:c r="K141" s="20" t="str">
        <x:v>Realizado</x:v>
      </x:c>
      <x:c r="L141" s="20" t="str">
        <x:v>CVM_CRI_2025_CLASSE</x:v>
      </x:c>
      <x:c r="M141" s="20" t="str">
        <x:v>Documentado</x:v>
      </x:c>
      <x:c r="N141" s="20" t="str">
        <x:v>Saldo final: saldo agregado reconciliado, controlado por Valor_Atualizado_Emissao. Unidade sem reconciliação permanece n/d; pagamentos realizados ficam documentados.</x:v>
      </x:c>
    </x:row>
    <x:row r="142">
      <x:c r="A142" s="20" t="str">
        <x:v>CRI_K1</x:v>
      </x:c>
      <x:c r="B142" s="20" t="str">
        <x:v>Série 5</x:v>
      </x:c>
      <x:c r="C142" s="20" t="str">
        <x:v>Júnior/Subordinada</x:v>
      </x:c>
      <x:c r="D142" s="21" t="n">
        <x:v>45931</x:v>
      </x:c>
      <x:c r="E142" s="25" t="n">
        <x:v>13973412.97</x:v>
      </x:c>
      <x:c r="F142" s="25" t="str">
        <x:v>n/d</x:v>
      </x:c>
      <x:c r="G142" s="25" t="str">
        <x:v>n/d</x:v>
      </x:c>
      <x:c r="H142" s="25" t="n">
        <x:v>14093858.85</x:v>
      </x:c>
      <x:c r="I142" s="25" t="n">
        <x:v>2151829.85</x:v>
      </x:c>
      <x:c r="J142" s="25" t="n">
        <x:v>0</x:v>
      </x:c>
      <x:c r="K142" s="20" t="str">
        <x:v>Realizado</x:v>
      </x:c>
      <x:c r="L142" s="20" t="str">
        <x:v>CVM_CRI_2025_CLASSE</x:v>
      </x:c>
      <x:c r="M142" s="20" t="str">
        <x:v>Documentado</x:v>
      </x:c>
      <x:c r="N142" s="20" t="str">
        <x:v>Saldo final: saldo agregado reconciliado, controlado por Valor_Atualizado_Emissao. Unidade sem reconciliação permanece n/d; pagamentos realizados ficam documentados.</x:v>
      </x:c>
    </x:row>
    <x:row r="143">
      <x:c r="A143" s="20" t="str">
        <x:v>CRI_K1</x:v>
      </x:c>
      <x:c r="B143" s="20" t="str">
        <x:v>Série 5</x:v>
      </x:c>
      <x:c r="C143" s="20" t="str">
        <x:v>Júnior/Subordinada</x:v>
      </x:c>
      <x:c r="D143" s="21" t="n">
        <x:v>45962</x:v>
      </x:c>
      <x:c r="E143" s="25" t="n">
        <x:v>14093858.85</x:v>
      </x:c>
      <x:c r="F143" s="25" t="str">
        <x:v>n/d</x:v>
      </x:c>
      <x:c r="G143" s="25" t="str">
        <x:v>n/d</x:v>
      </x:c>
      <x:c r="H143" s="25" t="n">
        <x:v>12035877.01</x:v>
      </x:c>
      <x:c r="I143" s="25" t="n">
        <x:v>85383.1</x:v>
      </x:c>
      <x:c r="J143" s="25" t="n">
        <x:v>0</x:v>
      </x:c>
      <x:c r="K143" s="20" t="str">
        <x:v>Realizado</x:v>
      </x:c>
      <x:c r="L143" s="20" t="str">
        <x:v>CVM_CRI_2025_CLASSE</x:v>
      </x:c>
      <x:c r="M143" s="20" t="str">
        <x:v>Documentado</x:v>
      </x:c>
      <x:c r="N143" s="20" t="str">
        <x:v>Saldo final: saldo agregado reconciliado, controlado por Valor_Atualizado_Emissao. Unidade sem reconciliação permanece n/d; pagamentos realizados ficam documentados.</x:v>
      </x:c>
    </x:row>
    <x:row r="144">
      <x:c r="A144" s="20" t="str">
        <x:v>CRI_K1</x:v>
      </x:c>
      <x:c r="B144" s="20" t="str">
        <x:v>Série 5</x:v>
      </x:c>
      <x:c r="C144" s="20" t="str">
        <x:v>Júnior/Subordinada</x:v>
      </x:c>
      <x:c r="D144" s="21" t="n">
        <x:v>45992</x:v>
      </x:c>
      <x:c r="E144" s="25" t="n">
        <x:v>12035877.01</x:v>
      </x:c>
      <x:c r="F144" s="25" t="str">
        <x:v>n/d</x:v>
      </x:c>
      <x:c r="G144" s="25" t="str">
        <x:v>n/d</x:v>
      </x:c>
      <x:c r="H144" s="25" t="n">
        <x:v>12049358.52</x:v>
      </x:c>
      <x:c r="I144" s="25" t="n">
        <x:v>94406.06</x:v>
      </x:c>
      <x:c r="J144" s="25" t="n">
        <x:v>0</x:v>
      </x:c>
      <x:c r="K144" s="20" t="str">
        <x:v>Realizado</x:v>
      </x:c>
      <x:c r="L144" s="20" t="str">
        <x:v>CVM_CRI_2025_CLASSE</x:v>
      </x:c>
      <x:c r="M144" s="20" t="str">
        <x:v>Documentado</x:v>
      </x:c>
      <x:c r="N144" s="20" t="str">
        <x:v>Saldo final: saldo agregado reconciliado, controlado por Valor_Atualizado_Emissao. Unidade sem reconciliação permanece n/d; pagamentos realizados ficam documentados.</x:v>
      </x:c>
    </x:row>
    <x:row r="145" ht="20" customHeight="1">
      <x:c r="A145" s="20" t="str">
        <x:v>CRI_K1</x:v>
      </x:c>
      <x:c r="B145" s="20" t="str">
        <x:v>Série 5</x:v>
      </x:c>
      <x:c r="C145" s="20" t="str">
        <x:v>Júnior/Subordinada</x:v>
      </x:c>
      <x:c r="D145" s="21" t="n">
        <x:v>46023</x:v>
      </x:c>
      <x:c r="E145" s="25" t="n">
        <x:v>12049358.52</x:v>
      </x:c>
      <x:c r="F145" s="25" t="str">
        <x:v>n/d</x:v>
      </x:c>
      <x:c r="G145" s="25" t="str">
        <x:v>n/d</x:v>
      </x:c>
      <x:c r="H145" s="25" t="n">
        <x:v>12049358.52</x:v>
      </x:c>
      <x:c r="I145" s="25" t="n">
        <x:v>94406.06</x:v>
      </x:c>
      <x:c r="J145" s="25" t="n">
        <x:v>0</x:v>
      </x:c>
      <x:c r="K145" s="20" t="str">
        <x:v>Realizado</x:v>
      </x:c>
      <x:c r="L145" s="20" t="str">
        <x:v>CVM_CRI_2026_CLASSE</x:v>
      </x:c>
      <x:c r="M145" s="20" t="str">
        <x:v>Documentado</x:v>
      </x:c>
      <x:c r="N145" s="20" t="str">
        <x:v>Saldo final: saldo agregado reconciliado, controlado por Valor_Atualizado_Emissao. Unidade sem reconciliação permanece n/d; pagamentos realizados ficam documentados.</x:v>
      </x:c>
      <x:c r="P145" s="65" t="str">
        <x:v>competencia</x:v>
      </x:c>
      <x:c r="Q145" s="65" t="str">
        <x:v>Super Sênior</x:v>
      </x:c>
      <x:c r="R145" s="65" t="str">
        <x:v>Sênior</x:v>
      </x:c>
      <x:c r="S145" s="65" t="str">
        <x:v>Mezanino</x:v>
      </x:c>
      <x:c r="T145" s="65" t="str">
        <x:v>Subordinada/Júnior</x:v>
      </x:c>
    </x:row>
    <x:row r="146">
      <x:c r="A146" s="20" t="str">
        <x:v>CRI_K1</x:v>
      </x:c>
      <x:c r="B146" s="20" t="str">
        <x:v>Série 5</x:v>
      </x:c>
      <x:c r="C146" s="20" t="str">
        <x:v>Júnior/Subordinada</x:v>
      </x:c>
      <x:c r="D146" s="21" t="n">
        <x:v>46054</x:v>
      </x:c>
      <x:c r="E146" s="25" t="n">
        <x:v>12049358.52</x:v>
      </x:c>
      <x:c r="F146" s="25" t="str">
        <x:v>n/d</x:v>
      </x:c>
      <x:c r="G146" s="25" t="str">
        <x:v>n/d</x:v>
      </x:c>
      <x:c r="H146" s="25" t="n">
        <x:v>12031387</x:v>
      </x:c>
      <x:c r="I146" s="25" t="n">
        <x:v>98920.07</x:v>
      </x:c>
      <x:c r="J146" s="25" t="n">
        <x:v>0</x:v>
      </x:c>
      <x:c r="K146" s="20" t="str">
        <x:v>Realizado</x:v>
      </x:c>
      <x:c r="L146" s="20" t="str">
        <x:v>CVM_CRI_2026_CLASSE</x:v>
      </x:c>
      <x:c r="M146" s="20" t="str">
        <x:v>Documentado</x:v>
      </x:c>
      <x:c r="N146" s="20" t="str">
        <x:v>Saldo final: saldo agregado reconciliado, controlado por Valor_Atualizado_Emissao. Unidade sem reconciliação permanece n/d; pagamentos realizados ficam documentados.</x:v>
      </x:c>
      <x:c r="P146" s="58" t="str">
        <x:v>n/d</x:v>
      </x:c>
      <x:c r="Q146" s="59"/>
      <x:c r="R146" s="59"/>
      <x:c r="S146" s="59"/>
      <x:c r="T146" s="59"/>
    </x:row>
    <x:row r="147">
      <x:c r="A147" s="20" t="str">
        <x:v>CRI_K1</x:v>
      </x:c>
      <x:c r="B147" s="20" t="str">
        <x:v>Série 5</x:v>
      </x:c>
      <x:c r="C147" s="20" t="str">
        <x:v>Júnior/Subordinada</x:v>
      </x:c>
      <x:c r="D147" s="21" t="n">
        <x:v>46082</x:v>
      </x:c>
      <x:c r="E147" s="25" t="n">
        <x:v>12031387</x:v>
      </x:c>
      <x:c r="F147" s="25" t="str">
        <x:v>n/d</x:v>
      </x:c>
      <x:c r="G147" s="25" t="str">
        <x:v>n/d</x:v>
      </x:c>
      <x:c r="H147" s="25" t="n">
        <x:v>12049359</x:v>
      </x:c>
      <x:c r="I147" s="25" t="n">
        <x:v>94406.06</x:v>
      </x:c>
      <x:c r="J147" s="25" t="n">
        <x:v>0</x:v>
      </x:c>
      <x:c r="K147" s="20" t="str">
        <x:v>Realizado</x:v>
      </x:c>
      <x:c r="L147" s="20" t="str">
        <x:v>CVM_CRI_2026_CLASSE</x:v>
      </x:c>
      <x:c r="M147" s="20" t="str">
        <x:v>Documentado</x:v>
      </x:c>
      <x:c r="N147" s="20" t="str">
        <x:v>Saldo final: saldo agregado reconciliado, controlado por Valor_Atualizado_Emissao. Unidade sem reconciliação permanece n/d; pagamentos realizados ficam documentados.</x:v>
      </x:c>
    </x:row>
    <x:row r="148">
      <x:c r="A148" s="20" t="str">
        <x:v>CRI_K1</x:v>
      </x:c>
      <x:c r="B148" s="20" t="str">
        <x:v>Série 5</x:v>
      </x:c>
      <x:c r="C148" s="20" t="str">
        <x:v>Júnior/Subordinada</x:v>
      </x:c>
      <x:c r="D148" s="21" t="n">
        <x:v>46113</x:v>
      </x:c>
      <x:c r="E148" s="25" t="n">
        <x:v>12049359</x:v>
      </x:c>
      <x:c r="F148" s="25" t="str">
        <x:v>n/d</x:v>
      </x:c>
      <x:c r="G148" s="25" t="str">
        <x:v>n/d</x:v>
      </x:c>
      <x:c r="H148" s="25" t="n">
        <x:v>12044863</x:v>
      </x:c>
      <x:c r="I148" s="25" t="n">
        <x:v>94406.06</x:v>
      </x:c>
      <x:c r="J148" s="25" t="n">
        <x:v>0</x:v>
      </x:c>
      <x:c r="K148" s="20" t="str">
        <x:v>Realizado</x:v>
      </x:c>
      <x:c r="L148" s="20" t="str">
        <x:v>CVM_CRI_2026_CLASSE</x:v>
      </x:c>
      <x:c r="M148" s="20" t="str">
        <x:v>Documentado</x:v>
      </x:c>
      <x:c r="N148" s="20" t="str">
        <x:v>Saldo final: saldo agregado reconciliado, controlado por Valor_Atualizado_Emissao. Unidade sem reconciliação permanece n/d; pagamentos realizados ficam documentados.</x:v>
      </x:c>
    </x:row>
    <x:row r="149">
      <x:c r="A149" s="20" t="str">
        <x:v>CRI_K1</x:v>
      </x:c>
      <x:c r="B149" s="20" t="str">
        <x:v>Série 5</x:v>
      </x:c>
      <x:c r="C149" s="20" t="str">
        <x:v>Júnior/Subordinada</x:v>
      </x:c>
      <x:c r="D149" s="21" t="n">
        <x:v>46143</x:v>
      </x:c>
      <x:c r="E149" s="25" t="n">
        <x:v>12044863</x:v>
      </x:c>
      <x:c r="F149" s="25" t="str">
        <x:v>n/d</x:v>
      </x:c>
      <x:c r="G149" s="25" t="str">
        <x:v>n/d</x:v>
      </x:c>
      <x:c r="H149" s="25" t="n">
        <x:v>12044863</x:v>
      </x:c>
      <x:c r="I149" s="25" t="n">
        <x:v>89893.74</x:v>
      </x:c>
      <x:c r="J149" s="25" t="n">
        <x:v>0</x:v>
      </x:c>
      <x:c r="K149" s="20" t="str">
        <x:v>Realizado</x:v>
      </x:c>
      <x:c r="L149" s="20" t="str">
        <x:v>CVM_CRI_2026_CLASSE</x:v>
      </x:c>
      <x:c r="M149" s="20" t="str">
        <x:v>Documentado</x:v>
      </x:c>
      <x:c r="N149" s="20" t="str">
        <x:v>Saldo final: saldo agregado reconciliado, controlado por Valor_Atualizado_Emissao. Unidade sem reconciliação permanece n/d; pagamentos realizados ficam documentados.</x:v>
      </x:c>
    </x:row>
    <x:row r="150">
      <x:c r="A150" s="20" t="str">
        <x:v>CRI_K1</x:v>
      </x:c>
      <x:c r="B150" s="20" t="str">
        <x:v>Série 5</x:v>
      </x:c>
      <x:c r="C150" s="20" t="str">
        <x:v>Júnior/Subordinada</x:v>
      </x:c>
      <x:c r="D150" s="21" t="n">
        <x:v>46174</x:v>
      </x:c>
      <x:c r="E150" s="25" t="n">
        <x:v>12044863</x:v>
      </x:c>
      <x:c r="F150" s="25" t="str">
        <x:v>n/d</x:v>
      </x:c>
      <x:c r="G150" s="25" t="str">
        <x:v>n/d</x:v>
      </x:c>
      <x:c r="H150" s="25" t="str">
        <x:v>n/d</x:v>
      </x:c>
      <x:c r="I150" s="25" t="n">
        <x:v>89893.74</x:v>
      </x:c>
      <x:c r="J150" s="25" t="n">
        <x:v>0</x:v>
      </x:c>
      <x:c r="K150" s="20" t="str">
        <x:v>Realizado</x:v>
      </x:c>
      <x:c r="L150" s="20" t="str">
        <x:v>CVM_CRI_2026_CLASSE</x:v>
      </x:c>
      <x:c r="M150" s="20" t="str">
        <x:v>Documentado</x:v>
      </x:c>
      <x:c r="N150" s="20" t="str">
        <x:v>Saldo final: n/d por conflito de unidade, controlado por Valor_Atualizado_Emissao. Unidade sem reconciliação permanece n/d; pagamentos realizados ficam documentados.</x:v>
      </x:c>
    </x:row>
    <x:row r="151">
      <x:c r="A151" s="20" t="str">
        <x:v>CRI_K1</x:v>
      </x:c>
      <x:c r="B151" s="20" t="str">
        <x:v>Série 1</x:v>
      </x:c>
      <x:c r="C151" s="20" t="str">
        <x:v>Super Sênior</x:v>
      </x:c>
      <x:c r="D151" s="21" t="n">
        <x:v>47863</x:v>
      </x:c>
      <x:c r="E151" s="25" t="str">
        <x:v>n/d</x:v>
      </x:c>
      <x:c r="F151" s="25" t="str">
        <x:v>n/d</x:v>
      </x:c>
      <x:c r="G151" s="25" t="str">
        <x:v>n/d</x:v>
      </x:c>
      <x:c r="H151" s="25" t="str">
        <x:v>n/d</x:v>
      </x:c>
      <x:c r="I151" s="25" t="str">
        <x:v>n/d</x:v>
      </x:c>
      <x:c r="J151" s="25" t="str">
        <x:v>n/d</x:v>
      </x:c>
      <x:c r="K151" s="20" t="str">
        <x:v>Projetado</x:v>
      </x:c>
      <x:c r="L151" s="20" t="str">
        <x:v>ANX_CRI1_PROSP_20240216</x:v>
      </x:c>
      <x:c r="M151" s="20" t="str">
        <x:v>n/d</x:v>
      </x:c>
      <x:c r="N151" s="20" t="str">
        <x:v>Curva contratual mensal completa não localizada; a data de vencimento não foi transformada em projeção bullet.</x:v>
      </x:c>
    </x:row>
    <x:row r="152">
      <x:c r="A152" s="20" t="str">
        <x:v>CRI_K1</x:v>
      </x:c>
      <x:c r="B152" s="20" t="str">
        <x:v>Série 2</x:v>
      </x:c>
      <x:c r="C152" s="20" t="str">
        <x:v>Sênior</x:v>
      </x:c>
      <x:c r="D152" s="21" t="n">
        <x:v>48228</x:v>
      </x:c>
      <x:c r="E152" s="25" t="str">
        <x:v>n/d</x:v>
      </x:c>
      <x:c r="F152" s="25" t="str">
        <x:v>n/d</x:v>
      </x:c>
      <x:c r="G152" s="25" t="str">
        <x:v>n/d</x:v>
      </x:c>
      <x:c r="H152" s="25" t="str">
        <x:v>n/d</x:v>
      </x:c>
      <x:c r="I152" s="25" t="str">
        <x:v>n/d</x:v>
      </x:c>
      <x:c r="J152" s="25" t="str">
        <x:v>n/d</x:v>
      </x:c>
      <x:c r="K152" s="20" t="str">
        <x:v>Projetado</x:v>
      </x:c>
      <x:c r="L152" s="20" t="str">
        <x:v>ANX_CRI1_PROSP_20240216</x:v>
      </x:c>
      <x:c r="M152" s="20" t="str">
        <x:v>n/d</x:v>
      </x:c>
      <x:c r="N152" s="20" t="str">
        <x:v>Curva contratual mensal completa não localizada; a data de vencimento não foi transformada em projeção bullet.</x:v>
      </x:c>
    </x:row>
    <x:row r="153">
      <x:c r="A153" s="20" t="str">
        <x:v>CRI_K1</x:v>
      </x:c>
      <x:c r="B153" s="20" t="str">
        <x:v>Série 3</x:v>
      </x:c>
      <x:c r="C153" s="20" t="str">
        <x:v>Mezanino</x:v>
      </x:c>
      <x:c r="D153" s="21" t="n">
        <x:v>48959</x:v>
      </x:c>
      <x:c r="E153" s="25" t="str">
        <x:v>n/d</x:v>
      </x:c>
      <x:c r="F153" s="25" t="str">
        <x:v>n/d</x:v>
      </x:c>
      <x:c r="G153" s="25" t="str">
        <x:v>n/d</x:v>
      </x:c>
      <x:c r="H153" s="25" t="str">
        <x:v>n/d</x:v>
      </x:c>
      <x:c r="I153" s="25" t="str">
        <x:v>n/d</x:v>
      </x:c>
      <x:c r="J153" s="25" t="str">
        <x:v>n/d</x:v>
      </x:c>
      <x:c r="K153" s="20" t="str">
        <x:v>Projetado</x:v>
      </x:c>
      <x:c r="L153" s="20" t="str">
        <x:v>ANX_CRI1_PROSP_20240216</x:v>
      </x:c>
      <x:c r="M153" s="20" t="str">
        <x:v>n/d</x:v>
      </x:c>
      <x:c r="N153" s="20" t="str">
        <x:v>Curva contratual mensal completa não localizada; a data de vencimento não foi transformada em projeção bullet.</x:v>
      </x:c>
    </x:row>
    <x:row r="154">
      <x:c r="A154" s="20" t="str">
        <x:v>CRI_K1</x:v>
      </x:c>
      <x:c r="B154" s="20" t="str">
        <x:v>Série 4</x:v>
      </x:c>
      <x:c r="C154" s="20" t="str">
        <x:v>Subordinada</x:v>
      </x:c>
      <x:c r="D154" s="21" t="n">
        <x:v>48959</x:v>
      </x:c>
      <x:c r="E154" s="25" t="str">
        <x:v>n/d</x:v>
      </x:c>
      <x:c r="F154" s="25" t="str">
        <x:v>n/d</x:v>
      </x:c>
      <x:c r="G154" s="25" t="str">
        <x:v>n/d</x:v>
      </x:c>
      <x:c r="H154" s="25" t="str">
        <x:v>n/d</x:v>
      </x:c>
      <x:c r="I154" s="25" t="str">
        <x:v>n/d</x:v>
      </x:c>
      <x:c r="J154" s="25" t="str">
        <x:v>n/d</x:v>
      </x:c>
      <x:c r="K154" s="20" t="str">
        <x:v>Projetado</x:v>
      </x:c>
      <x:c r="L154" s="20" t="str">
        <x:v>ANX_CRI1_PROSP_20240216</x:v>
      </x:c>
      <x:c r="M154" s="20" t="str">
        <x:v>n/d</x:v>
      </x:c>
      <x:c r="N154" s="20" t="str">
        <x:v>Curva contratual mensal completa não localizada; a data de vencimento não foi transformada em projeção bullet.</x:v>
      </x:c>
    </x:row>
    <x:row r="155">
      <x:c r="A155" s="20" t="str">
        <x:v>CRI_K1</x:v>
      </x:c>
      <x:c r="B155" s="20" t="str">
        <x:v>Série 5</x:v>
      </x:c>
      <x:c r="C155" s="20" t="str">
        <x:v>Júnior/Subordinada</x:v>
      </x:c>
      <x:c r="D155" s="21" t="n">
        <x:v>49689</x:v>
      </x:c>
      <x:c r="E155" s="25" t="str">
        <x:v>n/d</x:v>
      </x:c>
      <x:c r="F155" s="25" t="str">
        <x:v>n/d</x:v>
      </x:c>
      <x:c r="G155" s="25" t="str">
        <x:v>n/d</x:v>
      </x:c>
      <x:c r="H155" s="25" t="str">
        <x:v>n/d</x:v>
      </x:c>
      <x:c r="I155" s="25" t="str">
        <x:v>n/d</x:v>
      </x:c>
      <x:c r="J155" s="25" t="str">
        <x:v>n/d</x:v>
      </x:c>
      <x:c r="K155" s="20" t="str">
        <x:v>Projetado</x:v>
      </x:c>
      <x:c r="L155" s="20" t="str">
        <x:v>ANX_CRI1_PROSP_20240216</x:v>
      </x:c>
      <x:c r="M155" s="20" t="str">
        <x:v>n/d</x:v>
      </x:c>
      <x:c r="N155" s="20" t="str">
        <x:v>Curva contratual mensal completa não localizada; a data de vencimento não foi transformada em projeção bullet.</x:v>
      </x:c>
    </x:row>
    <x:row r="156">
      <x:c r="A156" s="20" t="str">
        <x:v>CRI_K2</x:v>
      </x:c>
      <x:c r="B156" s="20" t="str">
        <x:v>Série 1</x:v>
      </x:c>
      <x:c r="C156" s="20" t="str">
        <x:v>Super Sênior</x:v>
      </x:c>
      <x:c r="D156" s="21" t="n">
        <x:v>45444</x:v>
      </x:c>
      <x:c r="E156" s="25" t="str">
        <x:v>n/d</x:v>
      </x:c>
      <x:c r="F156" s="25" t="str">
        <x:v>n/d</x:v>
      </x:c>
      <x:c r="G156" s="25" t="str">
        <x:v>n/d</x:v>
      </x:c>
      <x:c r="H156" s="25" t="n">
        <x:v>488221500</x:v>
      </x:c>
      <x:c r="I156" s="25" t="n">
        <x:v>0</x:v>
      </x:c>
      <x:c r="J156" s="25" t="n">
        <x:v>0</x:v>
      </x:c>
      <x:c r="K156" s="20" t="str">
        <x:v>Realizado</x:v>
      </x:c>
      <x:c r="L156" s="20" t="str">
        <x:v>CVM_CRI_2024_CLASSE</x:v>
      </x:c>
      <x:c r="M156" s="20" t="str">
        <x:v>Documentado</x:v>
      </x:c>
      <x:c r="N156" s="20" t="str">
        <x:v>Saldo final: valor unitário × quantidade reconciliado,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157">
      <x:c r="A157" s="20" t="str">
        <x:v>CRI_K2</x:v>
      </x:c>
      <x:c r="B157" s="20" t="str">
        <x:v>Série 1</x:v>
      </x:c>
      <x:c r="C157" s="20" t="str">
        <x:v>Super Sênior</x:v>
      </x:c>
      <x:c r="D157" s="21" t="n">
        <x:v>45474</x:v>
      </x:c>
      <x:c r="E157" s="25" t="n">
        <x:v>488221500</x:v>
      </x:c>
      <x:c r="F157" s="25" t="str">
        <x:v>n/d</x:v>
      </x:c>
      <x:c r="G157" s="25" t="str">
        <x:v>n/d</x:v>
      </x:c>
      <x:c r="H157" s="25" t="n">
        <x:v>493769250</x:v>
      </x:c>
      <x:c r="I157" s="25" t="n">
        <x:v>0</x:v>
      </x:c>
      <x:c r="J157" s="25" t="n">
        <x:v>0</x:v>
      </x:c>
      <x:c r="K157" s="20" t="str">
        <x:v>Realizado</x:v>
      </x:c>
      <x:c r="L157" s="20" t="str">
        <x:v>CVM_CRI_2024_CLASSE</x:v>
      </x:c>
      <x:c r="M157" s="20" t="str">
        <x:v>Documentado</x:v>
      </x:c>
      <x:c r="N157" s="20" t="str">
        <x:v>Saldo final: valor unitário × quantidade reconciliado, controlado por Valor_Atualizado_Emissao. Unidade sem reconciliação permanece n/d; pagamentos realizados ficam documentados.</x:v>
      </x:c>
    </x:row>
    <x:row r="158">
      <x:c r="A158" s="20" t="str">
        <x:v>CRI_K2</x:v>
      </x:c>
      <x:c r="B158" s="20" t="str">
        <x:v>Série 1</x:v>
      </x:c>
      <x:c r="C158" s="20" t="str">
        <x:v>Super Sênior</x:v>
      </x:c>
      <x:c r="D158" s="21" t="n">
        <x:v>45505</x:v>
      </x:c>
      <x:c r="E158" s="25" t="n">
        <x:v>493769250</x:v>
      </x:c>
      <x:c r="F158" s="25" t="str">
        <x:v>n/d</x:v>
      </x:c>
      <x:c r="G158" s="25" t="str">
        <x:v>n/d</x:v>
      </x:c>
      <x:c r="H158" s="25" t="n">
        <x:v>499141500</x:v>
      </x:c>
      <x:c r="I158" s="25" t="n">
        <x:v>0</x:v>
      </x:c>
      <x:c r="J158" s="25" t="n">
        <x:v>0</x:v>
      </x:c>
      <x:c r="K158" s="20" t="str">
        <x:v>Realizado</x:v>
      </x:c>
      <x:c r="L158" s="20" t="str">
        <x:v>CVM_CRI_2024_CLASSE</x:v>
      </x:c>
      <x:c r="M158" s="20" t="str">
        <x:v>Documentado</x:v>
      </x:c>
      <x:c r="N158" s="20" t="str">
        <x:v>Saldo final: valor unitário × quantidade reconciliado, controlado por Valor_Atualizado_Emissao. Unidade sem reconciliação permanece n/d; pagamentos realizados ficam documentados.</x:v>
      </x:c>
    </x:row>
    <x:row r="159">
      <x:c r="A159" s="20" t="str">
        <x:v>CRI_K2</x:v>
      </x:c>
      <x:c r="B159" s="20" t="str">
        <x:v>Série 1</x:v>
      </x:c>
      <x:c r="C159" s="20" t="str">
        <x:v>Super Sênior</x:v>
      </x:c>
      <x:c r="D159" s="21" t="n">
        <x:v>45536</x:v>
      </x:c>
      <x:c r="E159" s="25" t="n">
        <x:v>499141500</x:v>
      </x:c>
      <x:c r="F159" s="25" t="str">
        <x:v>n/d</x:v>
      </x:c>
      <x:c r="G159" s="25" t="str">
        <x:v>n/d</x:v>
      </x:c>
      <x:c r="H159" s="25" t="n">
        <x:v>461974500</x:v>
      </x:c>
      <x:c r="I159" s="25" t="n">
        <x:v>4757817.89</x:v>
      </x:c>
      <x:c r="J159" s="25" t="n">
        <x:v>18549205.06</x:v>
      </x:c>
      <x:c r="K159" s="20" t="str">
        <x:v>Realizado</x:v>
      </x:c>
      <x:c r="L159" s="20" t="str">
        <x:v>CVM_CRI_2024_CLASSE</x:v>
      </x:c>
      <x:c r="M159" s="20" t="str">
        <x:v>Documentado</x:v>
      </x:c>
      <x:c r="N159" s="20" t="str">
        <x:v>Saldo final: valor unitário × quantidade reconciliado, controlado por Valor_Atualizado_Emissao. Unidade sem reconciliação permanece n/d; pagamentos realizados ficam documentados.</x:v>
      </x:c>
    </x:row>
    <x:row r="160">
      <x:c r="A160" s="20" t="str">
        <x:v>CRI_K2</x:v>
      </x:c>
      <x:c r="B160" s="20" t="str">
        <x:v>Série 1</x:v>
      </x:c>
      <x:c r="C160" s="20" t="str">
        <x:v>Super Sênior</x:v>
      </x:c>
      <x:c r="D160" s="21" t="n">
        <x:v>45566</x:v>
      </x:c>
      <x:c r="E160" s="25" t="n">
        <x:v>461974500</x:v>
      </x:c>
      <x:c r="F160" s="25" t="str">
        <x:v>n/d</x:v>
      </x:c>
      <x:c r="G160" s="25" t="str">
        <x:v>n/d</x:v>
      </x:c>
      <x:c r="H160" s="25" t="n">
        <x:v>443715152.16</x:v>
      </x:c>
      <x:c r="I160" s="25" t="n">
        <x:v>10576234.12</x:v>
      </x:c>
      <x:c r="J160" s="25" t="n">
        <x:v>12730788.83</x:v>
      </x:c>
      <x:c r="K160" s="20" t="str">
        <x:v>Realizado</x:v>
      </x:c>
      <x:c r="L160" s="20" t="str">
        <x:v>CVM_CRI_2024_CLASSE</x:v>
      </x:c>
      <x:c r="M160" s="20" t="str">
        <x:v>Documentado</x:v>
      </x:c>
      <x:c r="N160" s="20" t="str">
        <x:v>Saldo final: saldo agregado reconciliado, controlado por Valor_Atualizado_Emissao. Unidade sem reconciliação permanece n/d; pagamentos realizados ficam documentados.</x:v>
      </x:c>
    </x:row>
    <x:row r="161">
      <x:c r="A161" s="20" t="str">
        <x:v>CRI_K2</x:v>
      </x:c>
      <x:c r="B161" s="20" t="str">
        <x:v>Série 1</x:v>
      </x:c>
      <x:c r="C161" s="20" t="str">
        <x:v>Super Sênior</x:v>
      </x:c>
      <x:c r="D161" s="21" t="n">
        <x:v>45597</x:v>
      </x:c>
      <x:c r="E161" s="25" t="n">
        <x:v>443715152.16</x:v>
      </x:c>
      <x:c r="F161" s="25" t="str">
        <x:v>n/d</x:v>
      </x:c>
      <x:c r="G161" s="25" t="str">
        <x:v>n/d</x:v>
      </x:c>
      <x:c r="H161" s="25" t="n">
        <x:v>434935373.73</x:v>
      </x:c>
      <x:c r="I161" s="25" t="n">
        <x:v>5002524.46</x:v>
      </x:c>
      <x:c r="J161" s="25" t="n">
        <x:v>7856597.01</x:v>
      </x:c>
      <x:c r="K161" s="20" t="str">
        <x:v>Realizado</x:v>
      </x:c>
      <x:c r="L161" s="20" t="str">
        <x:v>CVM_CRI_2024_CLASSE</x:v>
      </x:c>
      <x:c r="M161" s="20" t="str">
        <x:v>Documentado</x:v>
      </x:c>
      <x:c r="N161" s="20" t="str">
        <x:v>Saldo final: saldo agregado reconciliado, controlado por Valor_Atualizado_Emissao. Unidade sem reconciliação permanece n/d; pagamentos realizados ficam documentados.</x:v>
      </x:c>
    </x:row>
    <x:row r="162">
      <x:c r="A162" s="20" t="str">
        <x:v>CRI_K2</x:v>
      </x:c>
      <x:c r="B162" s="20" t="str">
        <x:v>Série 1</x:v>
      </x:c>
      <x:c r="C162" s="20" t="str">
        <x:v>Super Sênior</x:v>
      </x:c>
      <x:c r="D162" s="21" t="n">
        <x:v>45627</x:v>
      </x:c>
      <x:c r="E162" s="25" t="n">
        <x:v>434935373.73</x:v>
      </x:c>
      <x:c r="F162" s="25" t="str">
        <x:v>n/d</x:v>
      </x:c>
      <x:c r="G162" s="25" t="str">
        <x:v>n/d</x:v>
      </x:c>
      <x:c r="H162" s="25" t="n">
        <x:v>422577632.86</x:v>
      </x:c>
      <x:c r="I162" s="25" t="n">
        <x:v>4054729.09</x:v>
      </x:c>
      <x:c r="J162" s="25" t="n">
        <x:v>12685505.85</x:v>
      </x:c>
      <x:c r="K162" s="20" t="str">
        <x:v>Realizado</x:v>
      </x:c>
      <x:c r="L162" s="20" t="str">
        <x:v>CVM_CRI_2024_CLASSE</x:v>
      </x:c>
      <x:c r="M162" s="20" t="str">
        <x:v>Documentado</x:v>
      </x:c>
      <x:c r="N162" s="20" t="str">
        <x:v>Saldo final: saldo agregado reconciliado, controlado por Valor_Atualizado_Emissao. Unidade sem reconciliação permanece n/d; pagamentos realizados ficam documentados.</x:v>
      </x:c>
    </x:row>
    <x:row r="163">
      <x:c r="A163" s="20" t="str">
        <x:v>CRI_K2</x:v>
      </x:c>
      <x:c r="B163" s="20" t="str">
        <x:v>Série 1</x:v>
      </x:c>
      <x:c r="C163" s="20" t="str">
        <x:v>Super Sênior</x:v>
      </x:c>
      <x:c r="D163" s="21" t="n">
        <x:v>45658</x:v>
      </x:c>
      <x:c r="E163" s="25" t="n">
        <x:v>422577632.86</x:v>
      </x:c>
      <x:c r="F163" s="25" t="str">
        <x:v>n/d</x:v>
      </x:c>
      <x:c r="G163" s="25" t="str">
        <x:v>n/d</x:v>
      </x:c>
      <x:c r="H163" s="25" t="str">
        <x:v>n/d</x:v>
      </x:c>
      <x:c r="I163" s="25" t="n">
        <x:v>4352072.58</x:v>
      </x:c>
      <x:c r="J163" s="25" t="n">
        <x:v>7764384.24</x:v>
      </x:c>
      <x:c r="K163" s="20" t="str">
        <x:v>Realizado</x:v>
      </x:c>
      <x:c r="L163" s="20" t="str">
        <x:v>CVM_CRI_2025_CLASSE</x:v>
      </x:c>
      <x:c r="M163" s="20" t="str">
        <x:v>Documentado</x:v>
      </x:c>
      <x:c r="N163" s="20" t="str">
        <x:v>Saldo final: n/d, controlado por Valor_Atualizado_Emissao. Unidade sem reconciliação permanece n/d; pagamentos realizados ficam documentados.</x:v>
      </x:c>
    </x:row>
    <x:row r="164">
      <x:c r="A164" s="20" t="str">
        <x:v>CRI_K2</x:v>
      </x:c>
      <x:c r="B164" s="20" t="str">
        <x:v>Série 1</x:v>
      </x:c>
      <x:c r="C164" s="20" t="str">
        <x:v>Super Sênior</x:v>
      </x:c>
      <x:c r="D164" s="21" t="n">
        <x:v>45689</x:v>
      </x:c>
      <x:c r="E164" s="25" t="str">
        <x:v>n/d</x:v>
      </x:c>
      <x:c r="F164" s="25" t="str">
        <x:v>n/d</x:v>
      </x:c>
      <x:c r="G164" s="25" t="str">
        <x:v>n/d</x:v>
      </x:c>
      <x:c r="H164" s="25" t="str">
        <x:v>n/d</x:v>
      </x:c>
      <x:c r="I164" s="25" t="n">
        <x:v>4475982.49</x:v>
      </x:c>
      <x:c r="J164" s="25" t="n">
        <x:v>7895395.86</x:v>
      </x:c>
      <x:c r="K164" s="20" t="str">
        <x:v>Realizado</x:v>
      </x:c>
      <x:c r="L164" s="20" t="str">
        <x:v>CVM_CRI_2025_CLASSE</x:v>
      </x:c>
      <x:c r="M164" s="20" t="str">
        <x:v>Documentado</x:v>
      </x:c>
      <x:c r="N164" s="20" t="str">
        <x:v>Saldo final: n/d por conflito de unidade, controlado por Valor_Atualizado_Emissao. Unidade sem reconciliação permanece n/d; pagamentos realizados ficam documentados.</x:v>
      </x:c>
    </x:row>
    <x:row r="165">
      <x:c r="A165" s="20" t="str">
        <x:v>CRI_K2</x:v>
      </x:c>
      <x:c r="B165" s="20" t="str">
        <x:v>Série 1</x:v>
      </x:c>
      <x:c r="C165" s="20" t="str">
        <x:v>Super Sênior</x:v>
      </x:c>
      <x:c r="D165" s="21" t="n">
        <x:v>45717</x:v>
      </x:c>
      <x:c r="E165" s="25" t="str">
        <x:v>n/d</x:v>
      </x:c>
      <x:c r="F165" s="25" t="str">
        <x:v>n/d</x:v>
      </x:c>
      <x:c r="G165" s="25" t="str">
        <x:v>n/d</x:v>
      </x:c>
      <x:c r="H165" s="25" t="str">
        <x:v>n/d</x:v>
      </x:c>
      <x:c r="I165" s="25" t="n">
        <x:v>3989036.94</x:v>
      </x:c>
      <x:c r="J165" s="25" t="n">
        <x:v>10621010.66</x:v>
      </x:c>
      <x:c r="K165" s="20" t="str">
        <x:v>Realizado</x:v>
      </x:c>
      <x:c r="L165" s="20" t="str">
        <x:v>CVM_CRI_2025_CLASSE</x:v>
      </x:c>
      <x:c r="M165" s="20" t="str">
        <x:v>Documentado</x:v>
      </x:c>
      <x:c r="N165" s="20" t="str">
        <x:v>Saldo final: n/d por conflito de unidade, controlado por Valor_Atualizado_Emissao. Unidade sem reconciliação permanece n/d; pagamentos realizados ficam documentados.</x:v>
      </x:c>
    </x:row>
    <x:row r="166">
      <x:c r="A166" s="20" t="str">
        <x:v>CRI_K2</x:v>
      </x:c>
      <x:c r="B166" s="20" t="str">
        <x:v>Série 1</x:v>
      </x:c>
      <x:c r="C166" s="20" t="str">
        <x:v>Super Sênior</x:v>
      </x:c>
      <x:c r="D166" s="21" t="n">
        <x:v>45748</x:v>
      </x:c>
      <x:c r="E166" s="25" t="str">
        <x:v>n/d</x:v>
      </x:c>
      <x:c r="F166" s="25" t="str">
        <x:v>n/d</x:v>
      </x:c>
      <x:c r="G166" s="25" t="str">
        <x:v>n/d</x:v>
      </x:c>
      <x:c r="H166" s="25" t="n">
        <x:v>382582987.55</x:v>
      </x:c>
      <x:c r="I166" s="25" t="n">
        <x:v>3688952.3</x:v>
      </x:c>
      <x:c r="J166" s="25" t="n">
        <x:v>13213706.27</x:v>
      </x:c>
      <x:c r="K166" s="20" t="str">
        <x:v>Realizado</x:v>
      </x:c>
      <x:c r="L166" s="20" t="str">
        <x:v>CVM_CRI_2025_CLASSE</x:v>
      </x:c>
      <x:c r="M166" s="20" t="str">
        <x:v>Documentado</x:v>
      </x:c>
      <x:c r="N166" s="20" t="str">
        <x:v>Saldo final: saldo agregado reconciliado, controlado por Valor_Atualizado_Emissao. Unidade sem reconciliação permanece n/d; pagamentos realizados ficam documentados.</x:v>
      </x:c>
    </x:row>
    <x:row r="167">
      <x:c r="A167" s="20" t="str">
        <x:v>CRI_K2</x:v>
      </x:c>
      <x:c r="B167" s="20" t="str">
        <x:v>Série 1</x:v>
      </x:c>
      <x:c r="C167" s="20" t="str">
        <x:v>Super Sênior</x:v>
      </x:c>
      <x:c r="D167" s="21" t="n">
        <x:v>45778</x:v>
      </x:c>
      <x:c r="E167" s="25" t="n">
        <x:v>382582987.55</x:v>
      </x:c>
      <x:c r="F167" s="25" t="str">
        <x:v>n/d</x:v>
      </x:c>
      <x:c r="G167" s="25" t="str">
        <x:v>n/d</x:v>
      </x:c>
      <x:c r="H167" s="25" t="n">
        <x:v>370484686.41</x:v>
      </x:c>
      <x:c r="I167" s="25" t="n">
        <x:v>3753466.73</x:v>
      </x:c>
      <x:c r="J167" s="25" t="n">
        <x:v>12190191.58</x:v>
      </x:c>
      <x:c r="K167" s="20" t="str">
        <x:v>Realizado</x:v>
      </x:c>
      <x:c r="L167" s="20" t="str">
        <x:v>CVM_CRI_2025_CLASSE</x:v>
      </x:c>
      <x:c r="M167" s="20" t="str">
        <x:v>Documentado</x:v>
      </x:c>
      <x:c r="N167" s="20" t="str">
        <x:v>Saldo final: saldo agregado reconciliado, controlado por Valor_Atualizado_Emissao. Unidade sem reconciliação permanece n/d; pagamentos realizados ficam documentados.</x:v>
      </x:c>
    </x:row>
    <x:row r="168">
      <x:c r="A168" s="20" t="str">
        <x:v>CRI_K2</x:v>
      </x:c>
      <x:c r="B168" s="20" t="str">
        <x:v>Série 1</x:v>
      </x:c>
      <x:c r="C168" s="20" t="str">
        <x:v>Super Sênior</x:v>
      </x:c>
      <x:c r="D168" s="21" t="n">
        <x:v>45809</x:v>
      </x:c>
      <x:c r="E168" s="25" t="n">
        <x:v>370484686.41</x:v>
      </x:c>
      <x:c r="F168" s="25" t="str">
        <x:v>n/d</x:v>
      </x:c>
      <x:c r="G168" s="25" t="str">
        <x:v>n/d</x:v>
      </x:c>
      <x:c r="H168" s="25" t="n">
        <x:v>354233931.93</x:v>
      </x:c>
      <x:c r="I168" s="25" t="n">
        <x:v>0</x:v>
      </x:c>
      <x:c r="J168" s="25" t="n">
        <x:v>0</x:v>
      </x:c>
      <x:c r="K168" s="20" t="str">
        <x:v>Realizado</x:v>
      </x:c>
      <x:c r="L168" s="20" t="str">
        <x:v>CVM_CRI_2025_CLASSE</x:v>
      </x:c>
      <x:c r="M168" s="20" t="str">
        <x:v>Documentado</x:v>
      </x:c>
      <x:c r="N168" s="20" t="str">
        <x:v>Saldo final: saldo agregado reconciliado, controlado por Valor_Atualizado_Emissao. Unidade sem reconciliação permanece n/d; pagamentos realizados ficam documentados.</x:v>
      </x:c>
    </x:row>
    <x:row r="169">
      <x:c r="A169" s="20" t="str">
        <x:v>CRI_K2</x:v>
      </x:c>
      <x:c r="B169" s="20" t="str">
        <x:v>Série 1</x:v>
      </x:c>
      <x:c r="C169" s="20" t="str">
        <x:v>Super Sênior</x:v>
      </x:c>
      <x:c r="D169" s="21" t="n">
        <x:v>45839</x:v>
      </x:c>
      <x:c r="E169" s="25" t="n">
        <x:v>354233931.93</x:v>
      </x:c>
      <x:c r="F169" s="25" t="str">
        <x:v>n/d</x:v>
      </x:c>
      <x:c r="G169" s="25" t="str">
        <x:v>n/d</x:v>
      </x:c>
      <x:c r="H169" s="25" t="n">
        <x:v>349937974.36</x:v>
      </x:c>
      <x:c r="I169" s="25" t="n">
        <x:v>3501067.87</x:v>
      </x:c>
      <x:c r="J169" s="25" t="n">
        <x:v>7379755.5</x:v>
      </x:c>
      <x:c r="K169" s="20" t="str">
        <x:v>Realizado</x:v>
      </x:c>
      <x:c r="L169" s="20" t="str">
        <x:v>CVM_CRI_2025_CLASSE</x:v>
      </x:c>
      <x:c r="M169" s="20" t="str">
        <x:v>Documentado</x:v>
      </x:c>
      <x:c r="N169" s="20" t="str">
        <x:v>Saldo final: saldo agregado reconciliado, controlado por Valor_Atualizado_Emissao. Unidade sem reconciliação permanece n/d; pagamentos realizados ficam documentados.</x:v>
      </x:c>
    </x:row>
    <x:row r="170">
      <x:c r="A170" s="20" t="str">
        <x:v>CRI_K2</x:v>
      </x:c>
      <x:c r="B170" s="20" t="str">
        <x:v>Série 1</x:v>
      </x:c>
      <x:c r="C170" s="20" t="str">
        <x:v>Super Sênior</x:v>
      </x:c>
      <x:c r="D170" s="21" t="n">
        <x:v>45870</x:v>
      </x:c>
      <x:c r="E170" s="25" t="n">
        <x:v>349937974.36</x:v>
      </x:c>
      <x:c r="F170" s="25" t="str">
        <x:v>n/d</x:v>
      </x:c>
      <x:c r="G170" s="25" t="str">
        <x:v>n/d</x:v>
      </x:c>
      <x:c r="H170" s="25" t="n">
        <x:v>349937974.36</x:v>
      </x:c>
      <x:c r="I170" s="25" t="n">
        <x:v>0</x:v>
      </x:c>
      <x:c r="J170" s="25" t="n">
        <x:v>0</x:v>
      </x:c>
      <x:c r="K170" s="20" t="str">
        <x:v>Realizado</x:v>
      </x:c>
      <x:c r="L170" s="20" t="str">
        <x:v>CVM_CRI_2025_CLASSE</x:v>
      </x:c>
      <x:c r="M170" s="20" t="str">
        <x:v>Documentado</x:v>
      </x:c>
      <x:c r="N170" s="20" t="str">
        <x:v>Saldo final: saldo agregado reconciliado, controlado por Valor_Atualizado_Emissao. Unidade sem reconciliação permanece n/d; pagamentos realizados ficam documentados.</x:v>
      </x:c>
    </x:row>
    <x:row r="171">
      <x:c r="A171" s="20" t="str">
        <x:v>CRI_K2</x:v>
      </x:c>
      <x:c r="B171" s="20" t="str">
        <x:v>Série 1</x:v>
      </x:c>
      <x:c r="C171" s="20" t="str">
        <x:v>Super Sênior</x:v>
      </x:c>
      <x:c r="D171" s="21" t="n">
        <x:v>45901</x:v>
      </x:c>
      <x:c r="E171" s="25" t="n">
        <x:v>349937974.36</x:v>
      </x:c>
      <x:c r="F171" s="25" t="str">
        <x:v>n/d</x:v>
      </x:c>
      <x:c r="G171" s="25" t="str">
        <x:v>n/d</x:v>
      </x:c>
      <x:c r="H171" s="25" t="n">
        <x:v>333415830.3</x:v>
      </x:c>
      <x:c r="I171" s="25" t="n">
        <x:v>3523817.14</x:v>
      </x:c>
      <x:c r="J171" s="25" t="n">
        <x:v>8833976.13</x:v>
      </x:c>
      <x:c r="K171" s="20" t="str">
        <x:v>Realizado</x:v>
      </x:c>
      <x:c r="L171" s="20" t="str">
        <x:v>CVM_CRI_2025_CLASSE</x:v>
      </x:c>
      <x:c r="M171" s="20" t="str">
        <x:v>Documentado</x:v>
      </x:c>
      <x:c r="N171" s="20" t="str">
        <x:v>Saldo final: saldo agregado reconciliado, controlado por Valor_Atualizado_Emissao. Unidade sem reconciliação permanece n/d; pagamentos realizados ficam documentados.</x:v>
      </x:c>
    </x:row>
    <x:row r="172">
      <x:c r="A172" s="20" t="str">
        <x:v>CRI_K2</x:v>
      </x:c>
      <x:c r="B172" s="20" t="str">
        <x:v>Série 1</x:v>
      </x:c>
      <x:c r="C172" s="20" t="str">
        <x:v>Super Sênior</x:v>
      </x:c>
      <x:c r="D172" s="21" t="n">
        <x:v>45931</x:v>
      </x:c>
      <x:c r="E172" s="25" t="n">
        <x:v>333415830.3</x:v>
      </x:c>
      <x:c r="F172" s="25" t="str">
        <x:v>n/d</x:v>
      </x:c>
      <x:c r="G172" s="25" t="str">
        <x:v>n/d</x:v>
      </x:c>
      <x:c r="H172" s="25" t="n">
        <x:v>324635549.39</x:v>
      </x:c>
      <x:c r="I172" s="25" t="n">
        <x:v>3659999.6</x:v>
      </x:c>
      <x:c r="J172" s="25" t="n">
        <x:v>11426325.97</x:v>
      </x:c>
      <x:c r="K172" s="20" t="str">
        <x:v>Realizado</x:v>
      </x:c>
      <x:c r="L172" s="20" t="str">
        <x:v>CVM_CRI_2025_CLASSE</x:v>
      </x:c>
      <x:c r="M172" s="20" t="str">
        <x:v>Documentado</x:v>
      </x:c>
      <x:c r="N172" s="20" t="str">
        <x:v>Saldo final: saldo agregado reconciliado, controlado por Valor_Atualizado_Emissao. Unidade sem reconciliação permanece n/d; pagamentos realizados ficam documentados.</x:v>
      </x:c>
    </x:row>
    <x:row r="173">
      <x:c r="A173" s="20" t="str">
        <x:v>CRI_K2</x:v>
      </x:c>
      <x:c r="B173" s="20" t="str">
        <x:v>Série 1</x:v>
      </x:c>
      <x:c r="C173" s="20" t="str">
        <x:v>Super Sênior</x:v>
      </x:c>
      <x:c r="D173" s="21" t="n">
        <x:v>45962</x:v>
      </x:c>
      <x:c r="E173" s="25" t="n">
        <x:v>324635549.39</x:v>
      </x:c>
      <x:c r="F173" s="25" t="str">
        <x:v>n/d</x:v>
      </x:c>
      <x:c r="G173" s="25" t="str">
        <x:v>n/d</x:v>
      </x:c>
      <x:c r="H173" s="25" t="n">
        <x:v>312492359</x:v>
      </x:c>
      <x:c r="I173" s="25" t="n">
        <x:v>2913241.5</x:v>
      </x:c>
      <x:c r="J173" s="25" t="n">
        <x:v>9321028.46</x:v>
      </x:c>
      <x:c r="K173" s="20" t="str">
        <x:v>Realizado</x:v>
      </x:c>
      <x:c r="L173" s="20" t="str">
        <x:v>CVM_CRI_2025_CLASSE</x:v>
      </x:c>
      <x:c r="M173" s="20" t="str">
        <x:v>Documentado</x:v>
      </x:c>
      <x:c r="N173" s="20" t="str">
        <x:v>Saldo final: saldo agregado reconciliado, controlado por Valor_Atualizado_Emissao. Unidade sem reconciliação permanece n/d; pagamentos realizados ficam documentados.</x:v>
      </x:c>
    </x:row>
    <x:row r="174">
      <x:c r="A174" s="20" t="str">
        <x:v>CRI_K2</x:v>
      </x:c>
      <x:c r="B174" s="20" t="str">
        <x:v>Série 1</x:v>
      </x:c>
      <x:c r="C174" s="20" t="str">
        <x:v>Super Sênior</x:v>
      </x:c>
      <x:c r="D174" s="21" t="n">
        <x:v>45992</x:v>
      </x:c>
      <x:c r="E174" s="25" t="n">
        <x:v>312492359</x:v>
      </x:c>
      <x:c r="F174" s="25" t="str">
        <x:v>n/d</x:v>
      </x:c>
      <x:c r="G174" s="25" t="str">
        <x:v>n/d</x:v>
      </x:c>
      <x:c r="H174" s="25" t="n">
        <x:v>303554426.2</x:v>
      </x:c>
      <x:c r="I174" s="25" t="n">
        <x:v>2913241.5</x:v>
      </x:c>
      <x:c r="J174" s="25" t="n">
        <x:v>9321028.46</x:v>
      </x:c>
      <x:c r="K174" s="20" t="str">
        <x:v>Realizado</x:v>
      </x:c>
      <x:c r="L174" s="20" t="str">
        <x:v>CVM_CRI_2025_CLASSE</x:v>
      </x:c>
      <x:c r="M174" s="20" t="str">
        <x:v>Documentado</x:v>
      </x:c>
      <x:c r="N174" s="20" t="str">
        <x:v>Saldo final: saldo agregado reconciliado, controlado por Valor_Atualizado_Emissao. Unidade sem reconciliação permanece n/d; pagamentos realizados ficam documentados.</x:v>
      </x:c>
    </x:row>
    <x:row r="175">
      <x:c r="A175" s="20" t="str">
        <x:v>CRI_K2</x:v>
      </x:c>
      <x:c r="B175" s="20" t="str">
        <x:v>Série 1</x:v>
      </x:c>
      <x:c r="C175" s="20" t="str">
        <x:v>Super Sênior</x:v>
      </x:c>
      <x:c r="D175" s="21" t="n">
        <x:v>46023</x:v>
      </x:c>
      <x:c r="E175" s="25" t="n">
        <x:v>303554426.2</x:v>
      </x:c>
      <x:c r="F175" s="25" t="str">
        <x:v>n/d</x:v>
      </x:c>
      <x:c r="G175" s="25" t="str">
        <x:v>n/d</x:v>
      </x:c>
      <x:c r="H175" s="25" t="n">
        <x:v>292680656.83</x:v>
      </x:c>
      <x:c r="I175" s="25" t="n">
        <x:v>3274334.03</x:v>
      </x:c>
      <x:c r="J175" s="25" t="n">
        <x:v>10640484.26</x:v>
      </x:c>
      <x:c r="K175" s="20" t="str">
        <x:v>Realizado</x:v>
      </x:c>
      <x:c r="L175" s="20" t="str">
        <x:v>CVM_CRI_2026_CLASSE</x:v>
      </x:c>
      <x:c r="M175" s="20" t="str">
        <x:v>Documentado</x:v>
      </x:c>
      <x:c r="N175" s="20" t="str">
        <x:v>Saldo final: saldo agregado reconciliado, controlado por Valor_Atualizado_Emissao. Unidade sem reconciliação permanece n/d; pagamentos realizados ficam documentados.</x:v>
      </x:c>
    </x:row>
    <x:row r="176">
      <x:c r="A176" s="20" t="str">
        <x:v>CRI_K2</x:v>
      </x:c>
      <x:c r="B176" s="20" t="str">
        <x:v>Série 1</x:v>
      </x:c>
      <x:c r="C176" s="20" t="str">
        <x:v>Super Sênior</x:v>
      </x:c>
      <x:c r="D176" s="21" t="n">
        <x:v>46054</x:v>
      </x:c>
      <x:c r="E176" s="25" t="n">
        <x:v>292680656.83</x:v>
      </x:c>
      <x:c r="F176" s="25" t="str">
        <x:v>n/d</x:v>
      </x:c>
      <x:c r="G176" s="25" t="str">
        <x:v>n/d</x:v>
      </x:c>
      <x:c r="H176" s="25" t="n">
        <x:v>281087818</x:v>
      </x:c>
      <x:c r="I176" s="25" t="n">
        <x:v>3014645.84</x:v>
      </x:c>
      <x:c r="J176" s="25" t="n">
        <x:v>11090257.04</x:v>
      </x:c>
      <x:c r="K176" s="20" t="str">
        <x:v>Realizado</x:v>
      </x:c>
      <x:c r="L176" s="20" t="str">
        <x:v>CVM_CRI_2026_CLASSE</x:v>
      </x:c>
      <x:c r="M176" s="20" t="str">
        <x:v>Documentado</x:v>
      </x:c>
      <x:c r="N176" s="20" t="str">
        <x:v>Saldo final: saldo agregado reconciliado, controlado por Valor_Atualizado_Emissao. Unidade sem reconciliação permanece n/d; pagamentos realizados ficam documentados.</x:v>
      </x:c>
    </x:row>
    <x:row r="177">
      <x:c r="A177" s="20" t="str">
        <x:v>CRI_K2</x:v>
      </x:c>
      <x:c r="B177" s="20" t="str">
        <x:v>Série 1</x:v>
      </x:c>
      <x:c r="C177" s="20" t="str">
        <x:v>Super Sênior</x:v>
      </x:c>
      <x:c r="D177" s="21" t="n">
        <x:v>46082</x:v>
      </x:c>
      <x:c r="E177" s="25" t="n">
        <x:v>281087818</x:v>
      </x:c>
      <x:c r="F177" s="25" t="str">
        <x:v>n/d</x:v>
      </x:c>
      <x:c r="G177" s="25" t="str">
        <x:v>n/d</x:v>
      </x:c>
      <x:c r="H177" s="25" t="n">
        <x:v>272322615</x:v>
      </x:c>
      <x:c r="I177" s="25" t="n">
        <x:v>2483159.87</x:v>
      </x:c>
      <x:c r="J177" s="25" t="n">
        <x:v>9241068.55</x:v>
      </x:c>
      <x:c r="K177" s="20" t="str">
        <x:v>Realizado</x:v>
      </x:c>
      <x:c r="L177" s="20" t="str">
        <x:v>CVM_CRI_2026_CLASSE</x:v>
      </x:c>
      <x:c r="M177" s="20" t="str">
        <x:v>Documentado</x:v>
      </x:c>
      <x:c r="N177" s="20" t="str">
        <x:v>Saldo final: saldo agregado reconciliado, controlado por Valor_Atualizado_Emissao. Unidade sem reconciliação permanece n/d; pagamentos realizados ficam documentados.</x:v>
      </x:c>
    </x:row>
    <x:row r="178">
      <x:c r="A178" s="20" t="str">
        <x:v>CRI_K2</x:v>
      </x:c>
      <x:c r="B178" s="20" t="str">
        <x:v>Série 1</x:v>
      </x:c>
      <x:c r="C178" s="20" t="str">
        <x:v>Super Sênior</x:v>
      </x:c>
      <x:c r="D178" s="21" t="n">
        <x:v>46113</x:v>
      </x:c>
      <x:c r="E178" s="25" t="n">
        <x:v>272322615</x:v>
      </x:c>
      <x:c r="F178" s="25" t="str">
        <x:v>n/d</x:v>
      </x:c>
      <x:c r="G178" s="25" t="str">
        <x:v>n/d</x:v>
      </x:c>
      <x:c r="H178" s="25" t="n">
        <x:v>260742442</x:v>
      </x:c>
      <x:c r="I178" s="25" t="n">
        <x:v>2937447.55</x:v>
      </x:c>
      <x:c r="J178" s="25" t="n">
        <x:v>11229340.48</x:v>
      </x:c>
      <x:c r="K178" s="20" t="str">
        <x:v>Realizado</x:v>
      </x:c>
      <x:c r="L178" s="20" t="str">
        <x:v>CVM_CRI_2026_CLASSE</x:v>
      </x:c>
      <x:c r="M178" s="20" t="str">
        <x:v>Documentado</x:v>
      </x:c>
      <x:c r="N178" s="20" t="str">
        <x:v>Saldo final: saldo agregado reconciliado, controlado por Valor_Atualizado_Emissao. Unidade sem reconciliação permanece n/d; pagamentos realizados ficam documentados.</x:v>
      </x:c>
    </x:row>
    <x:row r="179">
      <x:c r="A179" s="20" t="str">
        <x:v>CRI_K2</x:v>
      </x:c>
      <x:c r="B179" s="20" t="str">
        <x:v>Série 1</x:v>
      </x:c>
      <x:c r="C179" s="20" t="str">
        <x:v>Super Sênior</x:v>
      </x:c>
      <x:c r="D179" s="21" t="n">
        <x:v>46143</x:v>
      </x:c>
      <x:c r="E179" s="25" t="n">
        <x:v>260742442</x:v>
      </x:c>
      <x:c r="F179" s="25" t="str">
        <x:v>n/d</x:v>
      </x:c>
      <x:c r="G179" s="25" t="str">
        <x:v>n/d</x:v>
      </x:c>
      <x:c r="H179" s="25" t="n">
        <x:v>251034895</x:v>
      </x:c>
      <x:c r="I179" s="25" t="n">
        <x:v>2558106.63</x:v>
      </x:c>
      <x:c r="J179" s="25" t="n">
        <x:v>9636204.93</x:v>
      </x:c>
      <x:c r="K179" s="20" t="str">
        <x:v>Realizado</x:v>
      </x:c>
      <x:c r="L179" s="20" t="str">
        <x:v>CVM_CRI_2026_CLASSE</x:v>
      </x:c>
      <x:c r="M179" s="20" t="str">
        <x:v>Documentado</x:v>
      </x:c>
      <x:c r="N179" s="20" t="str">
        <x:v>Saldo final: saldo agregado reconciliado, controlado por Valor_Atualizado_Emissao. Unidade sem reconciliação permanece n/d; pagamentos realizados ficam documentados.</x:v>
      </x:c>
    </x:row>
    <x:row r="180" ht="20" customHeight="1">
      <x:c r="A180" s="20" t="str">
        <x:v>CRI_K2</x:v>
      </x:c>
      <x:c r="B180" s="20" t="str">
        <x:v>Série 2</x:v>
      </x:c>
      <x:c r="C180" s="20" t="str">
        <x:v>Sênior</x:v>
      </x:c>
      <x:c r="D180" s="21" t="n">
        <x:v>45444</x:v>
      </x:c>
      <x:c r="E180" s="25" t="str">
        <x:v>n/d</x:v>
      </x:c>
      <x:c r="F180" s="25" t="str">
        <x:v>n/d</x:v>
      </x:c>
      <x:c r="G180" s="25" t="str">
        <x:v>n/d</x:v>
      </x:c>
      <x:c r="H180" s="25" t="n">
        <x:v>135218700</x:v>
      </x:c>
      <x:c r="I180" s="25" t="n">
        <x:v>0</x:v>
      </x:c>
      <x:c r="J180" s="25" t="n">
        <x:v>0</x:v>
      </x:c>
      <x:c r="K180" s="20" t="str">
        <x:v>Realizado</x:v>
      </x:c>
      <x:c r="L180" s="20" t="str">
        <x:v>CVM_CRI_2024_CLASSE</x:v>
      </x:c>
      <x:c r="M180" s="20" t="str">
        <x:v>Documentado</x:v>
      </x:c>
      <x:c r="N180" s="20" t="str">
        <x:v>Saldo final: valor unitário × quantidade reconciliado, controlado por Valor_Atualizado_Emissao. Unidade sem reconciliação permanece n/d; pagamentos realizados ficam documentados. Saldo inicial da primeira competência permanece n/d; Total_Integralizado não foi usado como saldo corrente.</x:v>
      </x:c>
      <x:c r="P180" s="65" t="str">
        <x:v>competencia</x:v>
      </x:c>
      <x:c r="Q180" s="65" t="str">
        <x:v>Super Sênior</x:v>
      </x:c>
      <x:c r="R180" s="65" t="str">
        <x:v>Sênior</x:v>
      </x:c>
      <x:c r="S180" s="65" t="str">
        <x:v>Mezanino</x:v>
      </x:c>
      <x:c r="T180" s="65" t="str">
        <x:v>Subordinada/Júnior</x:v>
      </x:c>
    </x:row>
    <x:row r="181">
      <x:c r="A181" s="20" t="str">
        <x:v>CRI_K2</x:v>
      </x:c>
      <x:c r="B181" s="20" t="str">
        <x:v>Série 2</x:v>
      </x:c>
      <x:c r="C181" s="20" t="str">
        <x:v>Sênior</x:v>
      </x:c>
      <x:c r="D181" s="21" t="n">
        <x:v>45474</x:v>
      </x:c>
      <x:c r="E181" s="25" t="n">
        <x:v>135218700</x:v>
      </x:c>
      <x:c r="F181" s="25" t="str">
        <x:v>n/d</x:v>
      </x:c>
      <x:c r="G181" s="25" t="str">
        <x:v>n/d</x:v>
      </x:c>
      <x:c r="H181" s="25" t="n">
        <x:v>136906200</x:v>
      </x:c>
      <x:c r="I181" s="25" t="n">
        <x:v>0</x:v>
      </x:c>
      <x:c r="J181" s="25" t="n">
        <x:v>0</x:v>
      </x:c>
      <x:c r="K181" s="20" t="str">
        <x:v>Realizado</x:v>
      </x:c>
      <x:c r="L181" s="20" t="str">
        <x:v>CVM_CRI_2024_CLASSE</x:v>
      </x:c>
      <x:c r="M181" s="20" t="str">
        <x:v>Documentado</x:v>
      </x:c>
      <x:c r="N181" s="20" t="str">
        <x:v>Saldo final: valor unitário × quantidade reconciliado, controlado por Valor_Atualizado_Emissao. Unidade sem reconciliação permanece n/d; pagamentos realizados ficam documentados.</x:v>
      </x:c>
      <x:c r="P181" s="58" t="str">
        <x:v>n/d</x:v>
      </x:c>
      <x:c r="Q181" s="59"/>
      <x:c r="R181" s="59"/>
      <x:c r="S181" s="59"/>
      <x:c r="T181" s="59"/>
    </x:row>
    <x:row r="182">
      <x:c r="A182" s="20" t="str">
        <x:v>CRI_K2</x:v>
      </x:c>
      <x:c r="B182" s="20" t="str">
        <x:v>Série 2</x:v>
      </x:c>
      <x:c r="C182" s="20" t="str">
        <x:v>Sênior</x:v>
      </x:c>
      <x:c r="D182" s="21" t="n">
        <x:v>45505</x:v>
      </x:c>
      <x:c r="E182" s="25" t="n">
        <x:v>136906200</x:v>
      </x:c>
      <x:c r="F182" s="25" t="str">
        <x:v>n/d</x:v>
      </x:c>
      <x:c r="G182" s="25" t="str">
        <x:v>n/d</x:v>
      </x:c>
      <x:c r="H182" s="25" t="n">
        <x:v>138541050</x:v>
      </x:c>
      <x:c r="I182" s="25" t="n">
        <x:v>0</x:v>
      </x:c>
      <x:c r="J182" s="25" t="n">
        <x:v>0</x:v>
      </x:c>
      <x:c r="K182" s="20" t="str">
        <x:v>Realizado</x:v>
      </x:c>
      <x:c r="L182" s="20" t="str">
        <x:v>CVM_CRI_2024_CLASSE</x:v>
      </x:c>
      <x:c r="M182" s="20" t="str">
        <x:v>Documentado</x:v>
      </x:c>
      <x:c r="N182" s="20" t="str">
        <x:v>Saldo final: valor unitário × quantidade reconciliado, controlado por Valor_Atualizado_Emissao. Unidade sem reconciliação permanece n/d; pagamentos realizados ficam documentados.</x:v>
      </x:c>
    </x:row>
    <x:row r="183">
      <x:c r="A183" s="20" t="str">
        <x:v>CRI_K2</x:v>
      </x:c>
      <x:c r="B183" s="20" t="str">
        <x:v>Série 2</x:v>
      </x:c>
      <x:c r="C183" s="20" t="str">
        <x:v>Sênior</x:v>
      </x:c>
      <x:c r="D183" s="21" t="n">
        <x:v>45536</x:v>
      </x:c>
      <x:c r="E183" s="25" t="n">
        <x:v>138541050</x:v>
      </x:c>
      <x:c r="F183" s="25" t="str">
        <x:v>n/d</x:v>
      </x:c>
      <x:c r="G183" s="25" t="str">
        <x:v>n/d</x:v>
      </x:c>
      <x:c r="H183" s="25" t="n">
        <x:v>140121900</x:v>
      </x:c>
      <x:c r="I183" s="25" t="n">
        <x:v>5818416.23</x:v>
      </x:c>
      <x:c r="J183" s="25" t="n">
        <x:v>0</x:v>
      </x:c>
      <x:c r="K183" s="20" t="str">
        <x:v>Realizado</x:v>
      </x:c>
      <x:c r="L183" s="20" t="str">
        <x:v>CVM_CRI_2024_CLASSE</x:v>
      </x:c>
      <x:c r="M183" s="20" t="str">
        <x:v>Documentado</x:v>
      </x:c>
      <x:c r="N183" s="20" t="str">
        <x:v>Saldo final: valor unitário × quantidade reconciliado, controlado por Valor_Atualizado_Emissao. Unidade sem reconciliação permanece n/d; pagamentos realizados ficam documentados.</x:v>
      </x:c>
    </x:row>
    <x:row r="184">
      <x:c r="A184" s="20" t="str">
        <x:v>CRI_K2</x:v>
      </x:c>
      <x:c r="B184" s="20" t="str">
        <x:v>Série 2</x:v>
      </x:c>
      <x:c r="C184" s="20" t="str">
        <x:v>Sênior</x:v>
      </x:c>
      <x:c r="D184" s="21" t="n">
        <x:v>45566</x:v>
      </x:c>
      <x:c r="E184" s="25" t="n">
        <x:v>140121900</x:v>
      </x:c>
      <x:c r="F184" s="25" t="str">
        <x:v>n/d</x:v>
      </x:c>
      <x:c r="G184" s="25" t="str">
        <x:v>n/d</x:v>
      </x:c>
      <x:c r="H184" s="25" t="n">
        <x:v>141871192.6</x:v>
      </x:c>
      <x:c r="I184" s="25" t="n">
        <x:v>0</x:v>
      </x:c>
      <x:c r="J184" s="25" t="n">
        <x:v>0</x:v>
      </x:c>
      <x:c r="K184" s="20" t="str">
        <x:v>Realizado</x:v>
      </x:c>
      <x:c r="L184" s="20" t="str">
        <x:v>CVM_CRI_2024_CLASSE</x:v>
      </x:c>
      <x:c r="M184" s="20" t="str">
        <x:v>Documentado</x:v>
      </x:c>
      <x:c r="N184" s="20" t="str">
        <x:v>Saldo final: saldo agregado reconciliado, controlado por Valor_Atualizado_Emissao. Unidade sem reconciliação permanece n/d; pagamentos realizados ficam documentados.</x:v>
      </x:c>
    </x:row>
    <x:row r="185">
      <x:c r="A185" s="20" t="str">
        <x:v>CRI_K2</x:v>
      </x:c>
      <x:c r="B185" s="20" t="str">
        <x:v>Série 2</x:v>
      </x:c>
      <x:c r="C185" s="20" t="str">
        <x:v>Sênior</x:v>
      </x:c>
      <x:c r="D185" s="21" t="n">
        <x:v>45597</x:v>
      </x:c>
      <x:c r="E185" s="25" t="n">
        <x:v>141871192.6</x:v>
      </x:c>
      <x:c r="F185" s="25" t="str">
        <x:v>n/d</x:v>
      </x:c>
      <x:c r="G185" s="25" t="str">
        <x:v>n/d</x:v>
      </x:c>
      <x:c r="H185" s="25" t="n">
        <x:v>126699303.89</x:v>
      </x:c>
      <x:c r="I185" s="25" t="n">
        <x:v>7254490</x:v>
      </x:c>
      <x:c r="J185" s="25" t="n">
        <x:v>9254257.26</x:v>
      </x:c>
      <x:c r="K185" s="20" t="str">
        <x:v>Realizado</x:v>
      </x:c>
      <x:c r="L185" s="20" t="str">
        <x:v>CVM_CRI_2024_CLASSE</x:v>
      </x:c>
      <x:c r="M185" s="20" t="str">
        <x:v>Documentado</x:v>
      </x:c>
      <x:c r="N185" s="20" t="str">
        <x:v>Saldo final: saldo agregado reconciliado, controlado por Valor_Atualizado_Emissao. Unidade sem reconciliação permanece n/d; pagamentos realizados ficam documentados.</x:v>
      </x:c>
    </x:row>
    <x:row r="186">
      <x:c r="A186" s="20" t="str">
        <x:v>CRI_K2</x:v>
      </x:c>
      <x:c r="B186" s="20" t="str">
        <x:v>Série 2</x:v>
      </x:c>
      <x:c r="C186" s="20" t="str">
        <x:v>Sênior</x:v>
      </x:c>
      <x:c r="D186" s="21" t="n">
        <x:v>45627</x:v>
      </x:c>
      <x:c r="E186" s="25" t="n">
        <x:v>126699303.89</x:v>
      </x:c>
      <x:c r="F186" s="25" t="str">
        <x:v>n/d</x:v>
      </x:c>
      <x:c r="G186" s="25" t="str">
        <x:v>n/d</x:v>
      </x:c>
      <x:c r="H186" s="25" t="n">
        <x:v>121876224.34</x:v>
      </x:c>
      <x:c r="I186" s="25" t="n">
        <x:v>1295868.22</x:v>
      </x:c>
      <x:c r="J186" s="25" t="n">
        <x:v>4917252.81</x:v>
      </x:c>
      <x:c r="K186" s="20" t="str">
        <x:v>Realizado</x:v>
      </x:c>
      <x:c r="L186" s="20" t="str">
        <x:v>CVM_CRI_2024_CLASSE</x:v>
      </x:c>
      <x:c r="M186" s="20" t="str">
        <x:v>Documentado</x:v>
      </x:c>
      <x:c r="N186" s="20" t="str">
        <x:v>Saldo final: saldo agregado reconciliado, controlado por Valor_Atualizado_Emissao. Unidade sem reconciliação permanece n/d; pagamentos realizados ficam documentados.</x:v>
      </x:c>
    </x:row>
    <x:row r="187">
      <x:c r="A187" s="20" t="str">
        <x:v>CRI_K2</x:v>
      </x:c>
      <x:c r="B187" s="20" t="str">
        <x:v>Série 2</x:v>
      </x:c>
      <x:c r="C187" s="20" t="str">
        <x:v>Sênior</x:v>
      </x:c>
      <x:c r="D187" s="21" t="n">
        <x:v>45658</x:v>
      </x:c>
      <x:c r="E187" s="25" t="n">
        <x:v>121876224.34</x:v>
      </x:c>
      <x:c r="F187" s="25" t="str">
        <x:v>n/d</x:v>
      </x:c>
      <x:c r="G187" s="25" t="str">
        <x:v>n/d</x:v>
      </x:c>
      <x:c r="H187" s="25" t="str">
        <x:v>n/d</x:v>
      </x:c>
      <x:c r="I187" s="25" t="n">
        <x:v>1377010.89</x:v>
      </x:c>
      <x:c r="J187" s="25" t="n">
        <x:v>1951607.08</x:v>
      </x:c>
      <x:c r="K187" s="20" t="str">
        <x:v>Realizado</x:v>
      </x:c>
      <x:c r="L187" s="20" t="str">
        <x:v>CVM_CRI_2025_CLASSE</x:v>
      </x:c>
      <x:c r="M187" s="20" t="str">
        <x:v>Documentado</x:v>
      </x:c>
      <x:c r="N187" s="20" t="str">
        <x:v>Saldo final: n/d, controlado por Valor_Atualizado_Emissao. Unidade sem reconciliação permanece n/d; pagamentos realizados ficam documentados.</x:v>
      </x:c>
    </x:row>
    <x:row r="188">
      <x:c r="A188" s="20" t="str">
        <x:v>CRI_K2</x:v>
      </x:c>
      <x:c r="B188" s="20" t="str">
        <x:v>Série 2</x:v>
      </x:c>
      <x:c r="C188" s="20" t="str">
        <x:v>Sênior</x:v>
      </x:c>
      <x:c r="D188" s="21" t="n">
        <x:v>45689</x:v>
      </x:c>
      <x:c r="E188" s="25" t="str">
        <x:v>n/d</x:v>
      </x:c>
      <x:c r="F188" s="25" t="str">
        <x:v>n/d</x:v>
      </x:c>
      <x:c r="G188" s="25" t="str">
        <x:v>n/d</x:v>
      </x:c>
      <x:c r="H188" s="25" t="str">
        <x:v>n/d</x:v>
      </x:c>
      <x:c r="I188" s="25" t="n">
        <x:v>1419666.13</x:v>
      </x:c>
      <x:c r="J188" s="25" t="n">
        <x:v>3043239.41</x:v>
      </x:c>
      <x:c r="K188" s="20" t="str">
        <x:v>Realizado</x:v>
      </x:c>
      <x:c r="L188" s="20" t="str">
        <x:v>CVM_CRI_2025_CLASSE</x:v>
      </x:c>
      <x:c r="M188" s="20" t="str">
        <x:v>Documentado</x:v>
      </x:c>
      <x:c r="N188" s="20" t="str">
        <x:v>Saldo final: n/d por conflito de unidade, controlado por Valor_Atualizado_Emissao. Unidade sem reconciliação permanece n/d; pagamentos realizados ficam documentados.</x:v>
      </x:c>
    </x:row>
    <x:row r="189">
      <x:c r="A189" s="20" t="str">
        <x:v>CRI_K2</x:v>
      </x:c>
      <x:c r="B189" s="20" t="str">
        <x:v>Série 2</x:v>
      </x:c>
      <x:c r="C189" s="20" t="str">
        <x:v>Sênior</x:v>
      </x:c>
      <x:c r="D189" s="21" t="n">
        <x:v>45717</x:v>
      </x:c>
      <x:c r="E189" s="25" t="str">
        <x:v>n/d</x:v>
      </x:c>
      <x:c r="F189" s="25" t="str">
        <x:v>n/d</x:v>
      </x:c>
      <x:c r="G189" s="25" t="str">
        <x:v>n/d</x:v>
      </x:c>
      <x:c r="H189" s="25" t="str">
        <x:v>n/d</x:v>
      </x:c>
      <x:c r="I189" s="25" t="n">
        <x:v>1256886.42</x:v>
      </x:c>
      <x:c r="J189" s="25" t="n">
        <x:v>3552198.47</x:v>
      </x:c>
      <x:c r="K189" s="20" t="str">
        <x:v>Realizado</x:v>
      </x:c>
      <x:c r="L189" s="20" t="str">
        <x:v>CVM_CRI_2025_CLASSE</x:v>
      </x:c>
      <x:c r="M189" s="20" t="str">
        <x:v>Documentado</x:v>
      </x:c>
      <x:c r="N189" s="20" t="str">
        <x:v>Saldo final: n/d por conflito de unidade, controlado por Valor_Atualizado_Emissao. Unidade sem reconciliação permanece n/d; pagamentos realizados ficam documentados.</x:v>
      </x:c>
    </x:row>
    <x:row r="190">
      <x:c r="A190" s="20" t="str">
        <x:v>CRI_K2</x:v>
      </x:c>
      <x:c r="B190" s="20" t="str">
        <x:v>Série 2</x:v>
      </x:c>
      <x:c r="C190" s="20" t="str">
        <x:v>Sênior</x:v>
      </x:c>
      <x:c r="D190" s="21" t="n">
        <x:v>45748</x:v>
      </x:c>
      <x:c r="E190" s="25" t="str">
        <x:v>n/d</x:v>
      </x:c>
      <x:c r="F190" s="25" t="str">
        <x:v>n/d</x:v>
      </x:c>
      <x:c r="G190" s="25" t="str">
        <x:v>n/d</x:v>
      </x:c>
      <x:c r="H190" s="25" t="n">
        <x:v>109387940.68</x:v>
      </x:c>
      <x:c r="I190" s="25" t="n">
        <x:v>1157112.39</x:v>
      </x:c>
      <x:c r="J190" s="25" t="n">
        <x:v>3775344.65</x:v>
      </x:c>
      <x:c r="K190" s="20" t="str">
        <x:v>Realizado</x:v>
      </x:c>
      <x:c r="L190" s="20" t="str">
        <x:v>CVM_CRI_2025_CLASSE</x:v>
      </x:c>
      <x:c r="M190" s="20" t="str">
        <x:v>Documentado</x:v>
      </x:c>
      <x:c r="N190" s="20" t="str">
        <x:v>Saldo final: saldo agregado reconciliado, controlado por Valor_Atualizado_Emissao. Unidade sem reconciliação permanece n/d; pagamentos realizados ficam documentados.</x:v>
      </x:c>
    </x:row>
    <x:row r="191">
      <x:c r="A191" s="20" t="str">
        <x:v>CRI_K2</x:v>
      </x:c>
      <x:c r="B191" s="20" t="str">
        <x:v>Série 2</x:v>
      </x:c>
      <x:c r="C191" s="20" t="str">
        <x:v>Sênior</x:v>
      </x:c>
      <x:c r="D191" s="21" t="n">
        <x:v>45778</x:v>
      </x:c>
      <x:c r="E191" s="25" t="n">
        <x:v>109387940.68</x:v>
      </x:c>
      <x:c r="F191" s="25" t="str">
        <x:v>n/d</x:v>
      </x:c>
      <x:c r="G191" s="25" t="str">
        <x:v>n/d</x:v>
      </x:c>
      <x:c r="H191" s="25" t="n">
        <x:v>105933871.07</x:v>
      </x:c>
      <x:c r="I191" s="25" t="n">
        <x:v>1177376.8</x:v>
      </x:c>
      <x:c r="J191" s="25" t="n">
        <x:v>3482911.88</x:v>
      </x:c>
      <x:c r="K191" s="20" t="str">
        <x:v>Realizado</x:v>
      </x:c>
      <x:c r="L191" s="20" t="str">
        <x:v>CVM_CRI_2025_CLASSE</x:v>
      </x:c>
      <x:c r="M191" s="20" t="str">
        <x:v>Documentado</x:v>
      </x:c>
      <x:c r="N191" s="20" t="str">
        <x:v>Saldo final: saldo agregado reconciliado, controlado por Valor_Atualizado_Emissao. Unidade sem reconciliação permanece n/d; pagamentos realizados ficam documentados.</x:v>
      </x:c>
    </x:row>
    <x:row r="192">
      <x:c r="A192" s="20" t="str">
        <x:v>CRI_K2</x:v>
      </x:c>
      <x:c r="B192" s="20" t="str">
        <x:v>Série 2</x:v>
      </x:c>
      <x:c r="C192" s="20" t="str">
        <x:v>Sênior</x:v>
      </x:c>
      <x:c r="D192" s="21" t="n">
        <x:v>45809</x:v>
      </x:c>
      <x:c r="E192" s="25" t="n">
        <x:v>105933871.07</x:v>
      </x:c>
      <x:c r="F192" s="25" t="str">
        <x:v>n/d</x:v>
      </x:c>
      <x:c r="G192" s="25" t="str">
        <x:v>n/d</x:v>
      </x:c>
      <x:c r="H192" s="25" t="n">
        <x:v>101810136.29</x:v>
      </x:c>
      <x:c r="I192" s="25" t="n">
        <x:v>0</x:v>
      </x:c>
      <x:c r="J192" s="25" t="n">
        <x:v>0</x:v>
      </x:c>
      <x:c r="K192" s="20" t="str">
        <x:v>Realizado</x:v>
      </x:c>
      <x:c r="L192" s="20" t="str">
        <x:v>CVM_CRI_2025_CLASSE</x:v>
      </x:c>
      <x:c r="M192" s="20" t="str">
        <x:v>Documentado</x:v>
      </x:c>
      <x:c r="N192" s="20" t="str">
        <x:v>Saldo final: saldo agregado reconciliado, controlado por Valor_Atualizado_Emissao. Unidade sem reconciliação permanece n/d; pagamentos realizados ficam documentados.</x:v>
      </x:c>
    </x:row>
    <x:row r="193">
      <x:c r="A193" s="20" t="str">
        <x:v>CRI_K2</x:v>
      </x:c>
      <x:c r="B193" s="20" t="str">
        <x:v>Série 2</x:v>
      </x:c>
      <x:c r="C193" s="20" t="str">
        <x:v>Sênior</x:v>
      </x:c>
      <x:c r="D193" s="21" t="n">
        <x:v>45839</x:v>
      </x:c>
      <x:c r="E193" s="25" t="n">
        <x:v>101810136.29</x:v>
      </x:c>
      <x:c r="F193" s="25" t="str">
        <x:v>n/d</x:v>
      </x:c>
      <x:c r="G193" s="25" t="str">
        <x:v>n/d</x:v>
      </x:c>
      <x:c r="H193" s="25" t="n">
        <x:v>101252460.86</x:v>
      </x:c>
      <x:c r="I193" s="25" t="n">
        <x:v>1104720.31</x:v>
      </x:c>
      <x:c r="J193" s="25" t="n">
        <x:v>1536525.61</x:v>
      </x:c>
      <x:c r="K193" s="20" t="str">
        <x:v>Realizado</x:v>
      </x:c>
      <x:c r="L193" s="20" t="str">
        <x:v>CVM_CRI_2025_CLASSE</x:v>
      </x:c>
      <x:c r="M193" s="20" t="str">
        <x:v>Documentado</x:v>
      </x:c>
      <x:c r="N193" s="20" t="str">
        <x:v>Saldo final: saldo agregado reconciliado, controlado por Valor_Atualizado_Emissao. Unidade sem reconciliação permanece n/d; pagamentos realizados ficam documentados.</x:v>
      </x:c>
    </x:row>
    <x:row r="194">
      <x:c r="A194" s="20" t="str">
        <x:v>CRI_K2</x:v>
      </x:c>
      <x:c r="B194" s="20" t="str">
        <x:v>Série 2</x:v>
      </x:c>
      <x:c r="C194" s="20" t="str">
        <x:v>Sênior</x:v>
      </x:c>
      <x:c r="D194" s="21" t="n">
        <x:v>45870</x:v>
      </x:c>
      <x:c r="E194" s="25" t="n">
        <x:v>101252460.86</x:v>
      </x:c>
      <x:c r="F194" s="25" t="str">
        <x:v>n/d</x:v>
      </x:c>
      <x:c r="G194" s="25" t="str">
        <x:v>n/d</x:v>
      </x:c>
      <x:c r="H194" s="25" t="n">
        <x:v>101252460.86</x:v>
      </x:c>
      <x:c r="I194" s="25" t="n">
        <x:v>0</x:v>
      </x:c>
      <x:c r="J194" s="25" t="n">
        <x:v>0</x:v>
      </x:c>
      <x:c r="K194" s="20" t="str">
        <x:v>Realizado</x:v>
      </x:c>
      <x:c r="L194" s="20" t="str">
        <x:v>CVM_CRI_2025_CLASSE</x:v>
      </x:c>
      <x:c r="M194" s="20" t="str">
        <x:v>Documentado</x:v>
      </x:c>
      <x:c r="N194" s="20" t="str">
        <x:v>Saldo final: saldo agregado reconciliado, controlado por Valor_Atualizado_Emissao. Unidade sem reconciliação permanece n/d; pagamentos realizados ficam documentados.</x:v>
      </x:c>
    </x:row>
    <x:row r="195">
      <x:c r="A195" s="20" t="str">
        <x:v>CRI_K2</x:v>
      </x:c>
      <x:c r="B195" s="20" t="str">
        <x:v>Série 2</x:v>
      </x:c>
      <x:c r="C195" s="20" t="str">
        <x:v>Sênior</x:v>
      </x:c>
      <x:c r="D195" s="21" t="n">
        <x:v>45901</x:v>
      </x:c>
      <x:c r="E195" s="25" t="n">
        <x:v>101252460.86</x:v>
      </x:c>
      <x:c r="F195" s="25" t="str">
        <x:v>n/d</x:v>
      </x:c>
      <x:c r="G195" s="25" t="str">
        <x:v>n/d</x:v>
      </x:c>
      <x:c r="H195" s="25" t="n">
        <x:v>95339218.1</x:v>
      </x:c>
      <x:c r="I195" s="25" t="n">
        <x:v>1108804.3</x:v>
      </x:c>
      <x:c r="J195" s="25" t="n">
        <x:v>2825559.48</x:v>
      </x:c>
      <x:c r="K195" s="20" t="str">
        <x:v>Realizado</x:v>
      </x:c>
      <x:c r="L195" s="20" t="str">
        <x:v>CVM_CRI_2025_CLASSE</x:v>
      </x:c>
      <x:c r="M195" s="20" t="str">
        <x:v>Documentado</x:v>
      </x:c>
      <x:c r="N195" s="20" t="str">
        <x:v>Saldo final: saldo agregado reconciliado, controlado por Valor_Atualizado_Emissao. Unidade sem reconciliação permanece n/d; pagamentos realizados ficam documentados.</x:v>
      </x:c>
    </x:row>
    <x:row r="196">
      <x:c r="A196" s="20" t="str">
        <x:v>CRI_K2</x:v>
      </x:c>
      <x:c r="B196" s="20" t="str">
        <x:v>Série 2</x:v>
      </x:c>
      <x:c r="C196" s="20" t="str">
        <x:v>Sênior</x:v>
      </x:c>
      <x:c r="D196" s="21" t="n">
        <x:v>45931</x:v>
      </x:c>
      <x:c r="E196" s="25" t="n">
        <x:v>95339218.1</x:v>
      </x:c>
      <x:c r="F196" s="25" t="str">
        <x:v>n/d</x:v>
      </x:c>
      <x:c r="G196" s="25" t="str">
        <x:v>n/d</x:v>
      </x:c>
      <x:c r="H196" s="25" t="n">
        <x:v>92832969.37</x:v>
      </x:c>
      <x:c r="I196" s="25" t="n">
        <x:v>1148141.15</x:v>
      </x:c>
      <x:c r="J196" s="25" t="n">
        <x:v>3264666.05</x:v>
      </x:c>
      <x:c r="K196" s="20" t="str">
        <x:v>Realizado</x:v>
      </x:c>
      <x:c r="L196" s="20" t="str">
        <x:v>CVM_CRI_2025_CLASSE</x:v>
      </x:c>
      <x:c r="M196" s="20" t="str">
        <x:v>Documentado</x:v>
      </x:c>
      <x:c r="N196" s="20" t="str">
        <x:v>Saldo final: saldo agregado reconciliado, controlado por Valor_Atualizado_Emissao. Unidade sem reconciliação permanece n/d; pagamentos realizados ficam documentados.</x:v>
      </x:c>
    </x:row>
    <x:row r="197">
      <x:c r="A197" s="20" t="str">
        <x:v>CRI_K2</x:v>
      </x:c>
      <x:c r="B197" s="20" t="str">
        <x:v>Série 2</x:v>
      </x:c>
      <x:c r="C197" s="20" t="str">
        <x:v>Sênior</x:v>
      </x:c>
      <x:c r="D197" s="21" t="n">
        <x:v>45962</x:v>
      </x:c>
      <x:c r="E197" s="25" t="n">
        <x:v>92832969.37</x:v>
      </x:c>
      <x:c r="F197" s="25" t="str">
        <x:v>n/d</x:v>
      </x:c>
      <x:c r="G197" s="25" t="str">
        <x:v>n/d</x:v>
      </x:c>
      <x:c r="H197" s="25" t="n">
        <x:v>89343386</x:v>
      </x:c>
      <x:c r="I197" s="25" t="n">
        <x:v>913795.56</x:v>
      </x:c>
      <x:c r="J197" s="25" t="n">
        <x:v>2433580.45</x:v>
      </x:c>
      <x:c r="K197" s="20" t="str">
        <x:v>Realizado</x:v>
      </x:c>
      <x:c r="L197" s="20" t="str">
        <x:v>CVM_CRI_2025_CLASSE</x:v>
      </x:c>
      <x:c r="M197" s="20" t="str">
        <x:v>Documentado</x:v>
      </x:c>
      <x:c r="N197" s="20" t="str">
        <x:v>Saldo final: saldo agregado reconciliado, controlado por Valor_Atualizado_Emissao. Unidade sem reconciliação permanece n/d; pagamentos realizados ficam documentados.</x:v>
      </x:c>
    </x:row>
    <x:row r="198">
      <x:c r="A198" s="20" t="str">
        <x:v>CRI_K2</x:v>
      </x:c>
      <x:c r="B198" s="20" t="str">
        <x:v>Série 2</x:v>
      </x:c>
      <x:c r="C198" s="20" t="str">
        <x:v>Sênior</x:v>
      </x:c>
      <x:c r="D198" s="21" t="n">
        <x:v>45992</x:v>
      </x:c>
      <x:c r="E198" s="25" t="n">
        <x:v>89343386</x:v>
      </x:c>
      <x:c r="F198" s="25" t="str">
        <x:v>n/d</x:v>
      </x:c>
      <x:c r="G198" s="25" t="str">
        <x:v>n/d</x:v>
      </x:c>
      <x:c r="H198" s="25" t="n">
        <x:v>87032128.82</x:v>
      </x:c>
      <x:c r="I198" s="25" t="n">
        <x:v>913795.56</x:v>
      </x:c>
      <x:c r="J198" s="25" t="n">
        <x:v>2433580.45</x:v>
      </x:c>
      <x:c r="K198" s="20" t="str">
        <x:v>Realizado</x:v>
      </x:c>
      <x:c r="L198" s="20" t="str">
        <x:v>CVM_CRI_2025_CLASSE</x:v>
      </x:c>
      <x:c r="M198" s="20" t="str">
        <x:v>Documentado</x:v>
      </x:c>
      <x:c r="N198" s="20" t="str">
        <x:v>Saldo final: saldo agregado reconciliado, controlado por Valor_Atualizado_Emissao. Unidade sem reconciliação permanece n/d; pagamentos realizados ficam documentados.</x:v>
      </x:c>
    </x:row>
    <x:row r="199">
      <x:c r="A199" s="20" t="str">
        <x:v>CRI_K2</x:v>
      </x:c>
      <x:c r="B199" s="20" t="str">
        <x:v>Série 2</x:v>
      </x:c>
      <x:c r="C199" s="20" t="str">
        <x:v>Sênior</x:v>
      </x:c>
      <x:c r="D199" s="21" t="n">
        <x:v>46023</x:v>
      </x:c>
      <x:c r="E199" s="25" t="n">
        <x:v>87032128.82</x:v>
      </x:c>
      <x:c r="F199" s="25" t="str">
        <x:v>n/d</x:v>
      </x:c>
      <x:c r="G199" s="25" t="str">
        <x:v>n/d</x:v>
      </x:c>
      <x:c r="H199" s="25" t="n">
        <x:v>83687116.1</x:v>
      </x:c>
      <x:c r="I199" s="25" t="n">
        <x:v>1029874.78</x:v>
      </x:c>
      <x:c r="J199" s="25" t="n">
        <x:v>3269708.9</x:v>
      </x:c>
      <x:c r="K199" s="20" t="str">
        <x:v>Realizado</x:v>
      </x:c>
      <x:c r="L199" s="20" t="str">
        <x:v>CVM_CRI_2026_CLASSE</x:v>
      </x:c>
      <x:c r="M199" s="20" t="str">
        <x:v>Documentado</x:v>
      </x:c>
      <x:c r="N199" s="20" t="str">
        <x:v>Saldo final: saldo agregado reconciliado, controlado por Valor_Atualizado_Emissao. Unidade sem reconciliação permanece n/d; pagamentos realizados ficam documentados.</x:v>
      </x:c>
    </x:row>
    <x:row r="200">
      <x:c r="A200" s="20" t="str">
        <x:v>CRI_K2</x:v>
      </x:c>
      <x:c r="B200" s="20" t="str">
        <x:v>Série 2</x:v>
      </x:c>
      <x:c r="C200" s="20" t="str">
        <x:v>Sênior</x:v>
      </x:c>
      <x:c r="D200" s="21" t="n">
        <x:v>46054</x:v>
      </x:c>
      <x:c r="E200" s="25" t="n">
        <x:v>83687116.1</x:v>
      </x:c>
      <x:c r="F200" s="25" t="str">
        <x:v>n/d</x:v>
      </x:c>
      <x:c r="G200" s="25" t="str">
        <x:v>n/d</x:v>
      </x:c>
      <x:c r="H200" s="25" t="n">
        <x:v>80615516</x:v>
      </x:c>
      <x:c r="I200" s="25" t="n">
        <x:v>945533.64</x:v>
      </x:c>
      <x:c r="J200" s="25" t="n">
        <x:v>2915707.4</x:v>
      </x:c>
      <x:c r="K200" s="20" t="str">
        <x:v>Realizado</x:v>
      </x:c>
      <x:c r="L200" s="20" t="str">
        <x:v>CVM_CRI_2026_CLASSE</x:v>
      </x:c>
      <x:c r="M200" s="20" t="str">
        <x:v>Documentado</x:v>
      </x:c>
      <x:c r="N200" s="20" t="str">
        <x:v>Saldo final: saldo agregado reconciliado, controlado por Valor_Atualizado_Emissao. Unidade sem reconciliação permanece n/d; pagamentos realizados ficam documentados.</x:v>
      </x:c>
    </x:row>
    <x:row r="201">
      <x:c r="A201" s="20" t="str">
        <x:v>CRI_K2</x:v>
      </x:c>
      <x:c r="B201" s="20" t="str">
        <x:v>Série 2</x:v>
      </x:c>
      <x:c r="C201" s="20" t="str">
        <x:v>Sênior</x:v>
      </x:c>
      <x:c r="D201" s="21" t="n">
        <x:v>46082</x:v>
      </x:c>
      <x:c r="E201" s="25" t="n">
        <x:v>80615516</x:v>
      </x:c>
      <x:c r="F201" s="25" t="str">
        <x:v>n/d</x:v>
      </x:c>
      <x:c r="G201" s="25" t="str">
        <x:v>n/d</x:v>
      </x:c>
      <x:c r="H201" s="25" t="n">
        <x:v>78581084</x:v>
      </x:c>
      <x:c r="I201" s="25" t="n">
        <x:v>781341.94</x:v>
      </x:c>
      <x:c r="J201" s="25" t="n">
        <x:v>2188457.85</x:v>
      </x:c>
      <x:c r="K201" s="20" t="str">
        <x:v>Realizado</x:v>
      </x:c>
      <x:c r="L201" s="20" t="str">
        <x:v>CVM_CRI_2026_CLASSE</x:v>
      </x:c>
      <x:c r="M201" s="20" t="str">
        <x:v>Documentado</x:v>
      </x:c>
      <x:c r="N201" s="20" t="str">
        <x:v>Saldo final: saldo agregado reconciliado, controlado por Valor_Atualizado_Emissao. Unidade sem reconciliação permanece n/d; pagamentos realizados ficam documentados.</x:v>
      </x:c>
    </x:row>
    <x:row r="202">
      <x:c r="A202" s="20" t="str">
        <x:v>CRI_K2</x:v>
      </x:c>
      <x:c r="B202" s="20" t="str">
        <x:v>Série 2</x:v>
      </x:c>
      <x:c r="C202" s="20" t="str">
        <x:v>Sênior</x:v>
      </x:c>
      <x:c r="D202" s="21" t="n">
        <x:v>46113</x:v>
      </x:c>
      <x:c r="E202" s="25" t="n">
        <x:v>78581084</x:v>
      </x:c>
      <x:c r="F202" s="25" t="str">
        <x:v>n/d</x:v>
      </x:c>
      <x:c r="G202" s="25" t="str">
        <x:v>n/d</x:v>
      </x:c>
      <x:c r="H202" s="25" t="n">
        <x:v>74652529</x:v>
      </x:c>
      <x:c r="I202" s="25" t="n">
        <x:v>929871.27</x:v>
      </x:c>
      <x:c r="J202" s="25" t="n">
        <x:v>3812806.36</x:v>
      </x:c>
      <x:c r="K202" s="20" t="str">
        <x:v>Realizado</x:v>
      </x:c>
      <x:c r="L202" s="20" t="str">
        <x:v>CVM_CRI_2026_CLASSE</x:v>
      </x:c>
      <x:c r="M202" s="20" t="str">
        <x:v>Documentado</x:v>
      </x:c>
      <x:c r="N202" s="20" t="str">
        <x:v>Saldo final: saldo agregado reconciliado, controlado por Valor_Atualizado_Emissao. Unidade sem reconciliação permanece n/d; pagamentos realizados ficam documentados.</x:v>
      </x:c>
    </x:row>
    <x:row r="203">
      <x:c r="A203" s="20" t="str">
        <x:v>CRI_K2</x:v>
      </x:c>
      <x:c r="B203" s="20" t="str">
        <x:v>Série 2</x:v>
      </x:c>
      <x:c r="C203" s="20" t="str">
        <x:v>Sênior</x:v>
      </x:c>
      <x:c r="D203" s="21" t="n">
        <x:v>46143</x:v>
      </x:c>
      <x:c r="E203" s="25" t="n">
        <x:v>74652529</x:v>
      </x:c>
      <x:c r="F203" s="25" t="str">
        <x:v>n/d</x:v>
      </x:c>
      <x:c r="G203" s="25" t="str">
        <x:v>n/d</x:v>
      </x:c>
      <x:c r="H203" s="25" t="n">
        <x:v>72227698</x:v>
      </x:c>
      <x:c r="I203" s="25" t="n">
        <x:v>803508.64</x:v>
      </x:c>
      <x:c r="J203" s="25" t="n">
        <x:v>2405282.86</x:v>
      </x:c>
      <x:c r="K203" s="20" t="str">
        <x:v>Realizado</x:v>
      </x:c>
      <x:c r="L203" s="20" t="str">
        <x:v>CVM_CRI_2026_CLASSE</x:v>
      </x:c>
      <x:c r="M203" s="20" t="str">
        <x:v>Documentado</x:v>
      </x:c>
      <x:c r="N203" s="20" t="str">
        <x:v>Saldo final: saldo agregado reconciliado, controlado por Valor_Atualizado_Emissao. Unidade sem reconciliação permanece n/d; pagamentos realizados ficam documentados.</x:v>
      </x:c>
    </x:row>
    <x:row r="204">
      <x:c r="A204" s="20" t="str">
        <x:v>CRI_K2</x:v>
      </x:c>
      <x:c r="B204" s="20" t="str">
        <x:v>Série 3</x:v>
      </x:c>
      <x:c r="C204" s="20" t="str">
        <x:v>Mezanino</x:v>
      </x:c>
      <x:c r="D204" s="21" t="n">
        <x:v>45444</x:v>
      </x:c>
      <x:c r="E204" s="25" t="str">
        <x:v>n/d</x:v>
      </x:c>
      <x:c r="F204" s="25" t="str">
        <x:v>n/d</x:v>
      </x:c>
      <x:c r="G204" s="25" t="str">
        <x:v>n/d</x:v>
      </x:c>
      <x:c r="H204" s="25" t="n">
        <x:v>75140250</x:v>
      </x:c>
      <x:c r="I204" s="25" t="n">
        <x:v>0</x:v>
      </x:c>
      <x:c r="J204" s="25" t="n">
        <x:v>0</x:v>
      </x:c>
      <x:c r="K204" s="20" t="str">
        <x:v>Realizado</x:v>
      </x:c>
      <x:c r="L204" s="20" t="str">
        <x:v>CVM_CRI_2024_CLASSE</x:v>
      </x:c>
      <x:c r="M204" s="20" t="str">
        <x:v>Documentado</x:v>
      </x:c>
      <x:c r="N204" s="20" t="str">
        <x:v>Saldo final: valor unitário × quantidade reconciliado,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205">
      <x:c r="A205" s="20" t="str">
        <x:v>CRI_K2</x:v>
      </x:c>
      <x:c r="B205" s="20" t="str">
        <x:v>Série 3</x:v>
      </x:c>
      <x:c r="C205" s="20" t="str">
        <x:v>Mezanino</x:v>
      </x:c>
      <x:c r="D205" s="21" t="n">
        <x:v>45474</x:v>
      </x:c>
      <x:c r="E205" s="25" t="n">
        <x:v>75140250</x:v>
      </x:c>
      <x:c r="F205" s="25" t="str">
        <x:v>n/d</x:v>
      </x:c>
      <x:c r="G205" s="25" t="str">
        <x:v>n/d</x:v>
      </x:c>
      <x:c r="H205" s="25" t="n">
        <x:v>76226250</x:v>
      </x:c>
      <x:c r="I205" s="25" t="n">
        <x:v>0</x:v>
      </x:c>
      <x:c r="J205" s="25" t="n">
        <x:v>0</x:v>
      </x:c>
      <x:c r="K205" s="20" t="str">
        <x:v>Realizado</x:v>
      </x:c>
      <x:c r="L205" s="20" t="str">
        <x:v>CVM_CRI_2024_CLASSE</x:v>
      </x:c>
      <x:c r="M205" s="20" t="str">
        <x:v>Documentado</x:v>
      </x:c>
      <x:c r="N205" s="20" t="str">
        <x:v>Saldo final: valor unitário × quantidade reconciliado, controlado por Valor_Atualizado_Emissao. Unidade sem reconciliação permanece n/d; pagamentos realizados ficam documentados.</x:v>
      </x:c>
    </x:row>
    <x:row r="206">
      <x:c r="A206" s="20" t="str">
        <x:v>CRI_K2</x:v>
      </x:c>
      <x:c r="B206" s="20" t="str">
        <x:v>Série 3</x:v>
      </x:c>
      <x:c r="C206" s="20" t="str">
        <x:v>Mezanino</x:v>
      </x:c>
      <x:c r="D206" s="21" t="n">
        <x:v>45505</x:v>
      </x:c>
      <x:c r="E206" s="25" t="n">
        <x:v>76226250</x:v>
      </x:c>
      <x:c r="F206" s="25" t="str">
        <x:v>n/d</x:v>
      </x:c>
      <x:c r="G206" s="25" t="str">
        <x:v>n/d</x:v>
      </x:c>
      <x:c r="H206" s="25" t="n">
        <x:v>77279250.00000001</x:v>
      </x:c>
      <x:c r="I206" s="25" t="n">
        <x:v>0</x:v>
      </x:c>
      <x:c r="J206" s="25" t="n">
        <x:v>0</x:v>
      </x:c>
      <x:c r="K206" s="20" t="str">
        <x:v>Realizado</x:v>
      </x:c>
      <x:c r="L206" s="20" t="str">
        <x:v>CVM_CRI_2024_CLASSE</x:v>
      </x:c>
      <x:c r="M206" s="20" t="str">
        <x:v>Documentado</x:v>
      </x:c>
      <x:c r="N206" s="20" t="str">
        <x:v>Saldo final: valor unitário × quantidade reconciliado, controlado por Valor_Atualizado_Emissao. Unidade sem reconciliação permanece n/d; pagamentos realizados ficam documentados.</x:v>
      </x:c>
    </x:row>
    <x:row r="207">
      <x:c r="A207" s="20" t="str">
        <x:v>CRI_K2</x:v>
      </x:c>
      <x:c r="B207" s="20" t="str">
        <x:v>Série 3</x:v>
      </x:c>
      <x:c r="C207" s="20" t="str">
        <x:v>Mezanino</x:v>
      </x:c>
      <x:c r="D207" s="21" t="n">
        <x:v>45536</x:v>
      </x:c>
      <x:c r="E207" s="25" t="n">
        <x:v>77279250.00000001</x:v>
      </x:c>
      <x:c r="F207" s="25" t="str">
        <x:v>n/d</x:v>
      </x:c>
      <x:c r="G207" s="25" t="str">
        <x:v>n/d</x:v>
      </x:c>
      <x:c r="H207" s="25" t="n">
        <x:v>78303750</x:v>
      </x:c>
      <x:c r="I207" s="25" t="n">
        <x:v>0</x:v>
      </x:c>
      <x:c r="J207" s="25" t="n">
        <x:v>0</x:v>
      </x:c>
      <x:c r="K207" s="20" t="str">
        <x:v>Realizado</x:v>
      </x:c>
      <x:c r="L207" s="20" t="str">
        <x:v>CVM_CRI_2024_CLASSE</x:v>
      </x:c>
      <x:c r="M207" s="20" t="str">
        <x:v>Documentado</x:v>
      </x:c>
      <x:c r="N207" s="20" t="str">
        <x:v>Saldo final: valor unitário × quantidade reconciliado, controlado por Valor_Atualizado_Emissao. Unidade sem reconciliação permanece n/d; pagamentos realizados ficam documentados.</x:v>
      </x:c>
    </x:row>
    <x:row r="208">
      <x:c r="A208" s="20" t="str">
        <x:v>CRI_K2</x:v>
      </x:c>
      <x:c r="B208" s="20" t="str">
        <x:v>Série 3</x:v>
      </x:c>
      <x:c r="C208" s="20" t="str">
        <x:v>Mezanino</x:v>
      </x:c>
      <x:c r="D208" s="21" t="n">
        <x:v>45566</x:v>
      </x:c>
      <x:c r="E208" s="25" t="n">
        <x:v>78303750</x:v>
      </x:c>
      <x:c r="F208" s="25" t="str">
        <x:v>n/d</x:v>
      </x:c>
      <x:c r="G208" s="25" t="str">
        <x:v>n/d</x:v>
      </x:c>
      <x:c r="H208" s="25" t="n">
        <x:v>79451874.45</x:v>
      </x:c>
      <x:c r="I208" s="25" t="n">
        <x:v>0</x:v>
      </x:c>
      <x:c r="J208" s="25" t="n">
        <x:v>0</x:v>
      </x:c>
      <x:c r="K208" s="20" t="str">
        <x:v>Realizado</x:v>
      </x:c>
      <x:c r="L208" s="20" t="str">
        <x:v>CVM_CRI_2024_CLASSE</x:v>
      </x:c>
      <x:c r="M208" s="20" t="str">
        <x:v>Documentado</x:v>
      </x:c>
      <x:c r="N208" s="20" t="str">
        <x:v>Saldo final: saldo agregado reconciliado, controlado por Valor_Atualizado_Emissao. Unidade sem reconciliação permanece n/d; pagamentos realizados ficam documentados.</x:v>
      </x:c>
    </x:row>
    <x:row r="209">
      <x:c r="A209" s="20" t="str">
        <x:v>CRI_K2</x:v>
      </x:c>
      <x:c r="B209" s="20" t="str">
        <x:v>Série 3</x:v>
      </x:c>
      <x:c r="C209" s="20" t="str">
        <x:v>Mezanino</x:v>
      </x:c>
      <x:c r="D209" s="21" t="n">
        <x:v>45597</x:v>
      </x:c>
      <x:c r="E209" s="25" t="n">
        <x:v>79451874.45</x:v>
      </x:c>
      <x:c r="F209" s="25" t="str">
        <x:v>n/d</x:v>
      </x:c>
      <x:c r="G209" s="25" t="str">
        <x:v>n/d</x:v>
      </x:c>
      <x:c r="H209" s="25" t="n">
        <x:v>80433078.9</x:v>
      </x:c>
      <x:c r="I209" s="25" t="n">
        <x:v>0</x:v>
      </x:c>
      <x:c r="J209" s="25" t="n">
        <x:v>0</x:v>
      </x:c>
      <x:c r="K209" s="20" t="str">
        <x:v>Realizado</x:v>
      </x:c>
      <x:c r="L209" s="20" t="str">
        <x:v>CVM_CRI_2024_CLASSE</x:v>
      </x:c>
      <x:c r="M209" s="20" t="str">
        <x:v>Documentado</x:v>
      </x:c>
      <x:c r="N209" s="20" t="str">
        <x:v>Saldo final: saldo agregado reconciliado, controlado por Valor_Atualizado_Emissao. Unidade sem reconciliação permanece n/d; pagamentos realizados ficam documentados.</x:v>
      </x:c>
    </x:row>
    <x:row r="210">
      <x:c r="A210" s="20" t="str">
        <x:v>CRI_K2</x:v>
      </x:c>
      <x:c r="B210" s="20" t="str">
        <x:v>Série 3</x:v>
      </x:c>
      <x:c r="C210" s="20" t="str">
        <x:v>Mezanino</x:v>
      </x:c>
      <x:c r="D210" s="21" t="n">
        <x:v>45627</x:v>
      </x:c>
      <x:c r="E210" s="25" t="n">
        <x:v>80433078.9</x:v>
      </x:c>
      <x:c r="F210" s="25" t="str">
        <x:v>n/d</x:v>
      </x:c>
      <x:c r="G210" s="25" t="str">
        <x:v>n/d</x:v>
      </x:c>
      <x:c r="H210" s="25" t="n">
        <x:v>81574516.57</x:v>
      </x:c>
      <x:c r="I210" s="25" t="n">
        <x:v>0</x:v>
      </x:c>
      <x:c r="J210" s="25" t="n">
        <x:v>0</x:v>
      </x:c>
      <x:c r="K210" s="20" t="str">
        <x:v>Realizado</x:v>
      </x:c>
      <x:c r="L210" s="20" t="str">
        <x:v>CVM_CRI_2024_CLASSE</x:v>
      </x:c>
      <x:c r="M210" s="20" t="str">
        <x:v>Documentado</x:v>
      </x:c>
      <x:c r="N210" s="20" t="str">
        <x:v>Saldo final: saldo agregado reconciliado, controlado por Valor_Atualizado_Emissao. Unidade sem reconciliação permanece n/d; pagamentos realizados ficam documentados.</x:v>
      </x:c>
    </x:row>
    <x:row r="211">
      <x:c r="A211" s="20" t="str">
        <x:v>CRI_K2</x:v>
      </x:c>
      <x:c r="B211" s="20" t="str">
        <x:v>Série 3</x:v>
      </x:c>
      <x:c r="C211" s="20" t="str">
        <x:v>Mezanino</x:v>
      </x:c>
      <x:c r="D211" s="21" t="n">
        <x:v>45658</x:v>
      </x:c>
      <x:c r="E211" s="25" t="n">
        <x:v>81574516.57</x:v>
      </x:c>
      <x:c r="F211" s="25" t="str">
        <x:v>n/d</x:v>
      </x:c>
      <x:c r="G211" s="25" t="str">
        <x:v>n/d</x:v>
      </x:c>
      <x:c r="H211" s="25" t="str">
        <x:v>n/d</x:v>
      </x:c>
      <x:c r="I211" s="25" t="n">
        <x:v>6854900.33</x:v>
      </x:c>
      <x:c r="J211" s="25" t="n">
        <x:v>4293015.64</x:v>
      </x:c>
      <x:c r="K211" s="20" t="str">
        <x:v>Realizado</x:v>
      </x:c>
      <x:c r="L211" s="20" t="str">
        <x:v>CVM_CRI_2025_CLASSE</x:v>
      </x:c>
      <x:c r="M211" s="20" t="str">
        <x:v>Documentado</x:v>
      </x:c>
      <x:c r="N211" s="20" t="str">
        <x:v>Saldo final: n/d, controlado por Valor_Atualizado_Emissao. Unidade sem reconciliação permanece n/d; pagamentos realizados ficam documentados.</x:v>
      </x:c>
    </x:row>
    <x:row r="212">
      <x:c r="A212" s="20" t="str">
        <x:v>CRI_K2</x:v>
      </x:c>
      <x:c r="B212" s="20" t="str">
        <x:v>Série 3</x:v>
      </x:c>
      <x:c r="C212" s="20" t="str">
        <x:v>Mezanino</x:v>
      </x:c>
      <x:c r="D212" s="21" t="n">
        <x:v>45689</x:v>
      </x:c>
      <x:c r="E212" s="25" t="str">
        <x:v>n/d</x:v>
      </x:c>
      <x:c r="F212" s="25" t="str">
        <x:v>n/d</x:v>
      </x:c>
      <x:c r="G212" s="25" t="str">
        <x:v>n/d</x:v>
      </x:c>
      <x:c r="H212" s="25" t="str">
        <x:v>n/d</x:v>
      </x:c>
      <x:c r="I212" s="25" t="n">
        <x:v>1090773.81</x:v>
      </x:c>
      <x:c r="J212" s="25" t="n">
        <x:v>6354960.22</x:v>
      </x:c>
      <x:c r="K212" s="20" t="str">
        <x:v>Realizado</x:v>
      </x:c>
      <x:c r="L212" s="20" t="str">
        <x:v>CVM_CRI_2025_CLASSE</x:v>
      </x:c>
      <x:c r="M212" s="20" t="str">
        <x:v>Documentado</x:v>
      </x:c>
      <x:c r="N212" s="20" t="str">
        <x:v>Saldo final: n/d por conflito de unidade, controlado por Valor_Atualizado_Emissao. Unidade sem reconciliação permanece n/d; pagamentos realizados ficam documentados.</x:v>
      </x:c>
    </x:row>
    <x:row r="213">
      <x:c r="A213" s="20" t="str">
        <x:v>CRI_K2</x:v>
      </x:c>
      <x:c r="B213" s="20" t="str">
        <x:v>Série 3</x:v>
      </x:c>
      <x:c r="C213" s="20" t="str">
        <x:v>Mezanino</x:v>
      </x:c>
      <x:c r="D213" s="21" t="n">
        <x:v>45717</x:v>
      </x:c>
      <x:c r="E213" s="25" t="str">
        <x:v>n/d</x:v>
      </x:c>
      <x:c r="F213" s="25" t="str">
        <x:v>n/d</x:v>
      </x:c>
      <x:c r="G213" s="25" t="str">
        <x:v>n/d</x:v>
      </x:c>
      <x:c r="H213" s="25" t="str">
        <x:v>n/d</x:v>
      </x:c>
      <x:c r="I213" s="25" t="n">
        <x:v>935299.91</x:v>
      </x:c>
      <x:c r="J213" s="25" t="n">
        <x:v>1972509.12</x:v>
      </x:c>
      <x:c r="K213" s="20" t="str">
        <x:v>Realizado</x:v>
      </x:c>
      <x:c r="L213" s="20" t="str">
        <x:v>CVM_CRI_2025_CLASSE</x:v>
      </x:c>
      <x:c r="M213" s="20" t="str">
        <x:v>Documentado</x:v>
      </x:c>
      <x:c r="N213" s="20" t="str">
        <x:v>Saldo final: n/d por conflito de unidade, controlado por Valor_Atualizado_Emissao. Unidade sem reconciliação permanece n/d; pagamentos realizados ficam documentados.</x:v>
      </x:c>
    </x:row>
    <x:row r="214">
      <x:c r="A214" s="20" t="str">
        <x:v>CRI_K2</x:v>
      </x:c>
      <x:c r="B214" s="20" t="str">
        <x:v>Série 3</x:v>
      </x:c>
      <x:c r="C214" s="20" t="str">
        <x:v>Mezanino</x:v>
      </x:c>
      <x:c r="D214" s="21" t="n">
        <x:v>45748</x:v>
      </x:c>
      <x:c r="E214" s="25" t="str">
        <x:v>n/d</x:v>
      </x:c>
      <x:c r="F214" s="25" t="str">
        <x:v>n/d</x:v>
      </x:c>
      <x:c r="G214" s="25" t="str">
        <x:v>n/d</x:v>
      </x:c>
      <x:c r="H214" s="25" t="n">
        <x:v>60969009.74</x:v>
      </x:c>
      <x:c r="I214" s="25" t="n">
        <x:v>887495.32</x:v>
      </x:c>
      <x:c r="J214" s="25" t="n">
        <x:v>2098348.17</x:v>
      </x:c>
      <x:c r="K214" s="20" t="str">
        <x:v>Realizado</x:v>
      </x:c>
      <x:c r="L214" s="20" t="str">
        <x:v>CVM_CRI_2025_CLASSE</x:v>
      </x:c>
      <x:c r="M214" s="20" t="str">
        <x:v>Documentado</x:v>
      </x:c>
      <x:c r="N214" s="20" t="str">
        <x:v>Saldo final: saldo agregado reconciliado, controlado por Valor_Atualizado_Emissao. Unidade sem reconciliação permanece n/d; pagamentos realizados ficam documentados.</x:v>
      </x:c>
    </x:row>
    <x:row r="215" ht="20" customHeight="1">
      <x:c r="A215" s="20" t="str">
        <x:v>CRI_K2</x:v>
      </x:c>
      <x:c r="B215" s="20" t="str">
        <x:v>Série 3</x:v>
      </x:c>
      <x:c r="C215" s="20" t="str">
        <x:v>Mezanino</x:v>
      </x:c>
      <x:c r="D215" s="21" t="n">
        <x:v>45778</x:v>
      </x:c>
      <x:c r="E215" s="25" t="n">
        <x:v>60969009.74</x:v>
      </x:c>
      <x:c r="F215" s="25" t="str">
        <x:v>n/d</x:v>
      </x:c>
      <x:c r="G215" s="25" t="str">
        <x:v>n/d</x:v>
      </x:c>
      <x:c r="H215" s="25" t="n">
        <x:v>59073019.9</x:v>
      </x:c>
      <x:c r="I215" s="25" t="n">
        <x:v>918863.29</x:v>
      </x:c>
      <x:c r="J215" s="25" t="n">
        <x:v>1934951.05</x:v>
      </x:c>
      <x:c r="K215" s="20" t="str">
        <x:v>Realizado</x:v>
      </x:c>
      <x:c r="L215" s="20" t="str">
        <x:v>CVM_CRI_2025_CLASSE</x:v>
      </x:c>
      <x:c r="M215" s="20" t="str">
        <x:v>Documentado</x:v>
      </x:c>
      <x:c r="N215" s="20" t="str">
        <x:v>Saldo final: saldo agregado reconciliado, controlado por Valor_Atualizado_Emissao. Unidade sem reconciliação permanece n/d; pagamentos realizados ficam documentados.</x:v>
      </x:c>
      <x:c r="P215" s="64" t="str">
        <x:v>competencia</x:v>
      </x:c>
      <x:c r="Q215" s="65" t="str">
        <x:v>Super Sênior</x:v>
      </x:c>
      <x:c r="R215" s="65" t="str">
        <x:v>Sênior</x:v>
      </x:c>
      <x:c r="S215" s="65" t="str">
        <x:v>Mezanino</x:v>
      </x:c>
      <x:c r="T215" s="65" t="str">
        <x:v>Subordinada/Júnior</x:v>
      </x:c>
    </x:row>
    <x:row r="216">
      <x:c r="A216" s="20" t="str">
        <x:v>CRI_K2</x:v>
      </x:c>
      <x:c r="B216" s="20" t="str">
        <x:v>Série 3</x:v>
      </x:c>
      <x:c r="C216" s="20" t="str">
        <x:v>Mezanino</x:v>
      </x:c>
      <x:c r="D216" s="21" t="n">
        <x:v>45809</x:v>
      </x:c>
      <x:c r="E216" s="25" t="n">
        <x:v>59073019.9</x:v>
      </x:c>
      <x:c r="F216" s="25" t="str">
        <x:v>n/d</x:v>
      </x:c>
      <x:c r="G216" s="25" t="str">
        <x:v>n/d</x:v>
      </x:c>
      <x:c r="H216" s="25" t="n">
        <x:v>56561186.83</x:v>
      </x:c>
      <x:c r="I216" s="25" t="n">
        <x:v>0</x:v>
      </x:c>
      <x:c r="J216" s="25" t="n">
        <x:v>0</x:v>
      </x:c>
      <x:c r="K216" s="20" t="str">
        <x:v>Realizado</x:v>
      </x:c>
      <x:c r="L216" s="20" t="str">
        <x:v>CVM_CRI_2025_CLASSE</x:v>
      </x:c>
      <x:c r="M216" s="20" t="str">
        <x:v>Documentado</x:v>
      </x:c>
      <x:c r="N216" s="20" t="str">
        <x:v>Saldo final: saldo agregado reconciliado, controlado por Valor_Atualizado_Emissao. Unidade sem reconciliação permanece n/d; pagamentos realizados ficam documentados.</x:v>
      </x:c>
      <x:c r="P216" s="57" t="n">
        <x:v>45323</x:v>
      </x:c>
      <x:c r="Q216" s="59" t="n">
        <x:v>361247230.83</x:v>
      </x:c>
      <x:c r="R216" s="59" t="n">
        <x:v>90343264.65</x:v>
      </x:c>
      <x:c r="S216" s="59" t="n">
        <x:v>108524295.02</x:v>
      </x:c>
      <x:c r="T216" s="59" t="n">
        <x:v>42217574.59</x:v>
      </x:c>
    </x:row>
    <x:row r="217">
      <x:c r="A217" s="20" t="str">
        <x:v>CRI_K2</x:v>
      </x:c>
      <x:c r="B217" s="20" t="str">
        <x:v>Série 3</x:v>
      </x:c>
      <x:c r="C217" s="20" t="str">
        <x:v>Mezanino</x:v>
      </x:c>
      <x:c r="D217" s="21" t="n">
        <x:v>45839</x:v>
      </x:c>
      <x:c r="E217" s="25" t="n">
        <x:v>56561186.83</x:v>
      </x:c>
      <x:c r="F217" s="25" t="str">
        <x:v>n/d</x:v>
      </x:c>
      <x:c r="G217" s="25" t="str">
        <x:v>n/d</x:v>
      </x:c>
      <x:c r="H217" s="25" t="n">
        <x:v>56497712.33</x:v>
      </x:c>
      <x:c r="I217" s="25" t="n">
        <x:v>887541.12</x:v>
      </x:c>
      <x:c r="J217" s="25" t="n">
        <x:v>853550.34</x:v>
      </x:c>
      <x:c r="K217" s="20" t="str">
        <x:v>Realizado</x:v>
      </x:c>
      <x:c r="L217" s="20" t="str">
        <x:v>CVM_CRI_2025_CLASSE</x:v>
      </x:c>
      <x:c r="M217" s="20" t="str">
        <x:v>Documentado</x:v>
      </x:c>
      <x:c r="N217" s="20" t="str">
        <x:v>Saldo final: saldo agregado reconciliado, controlado por Valor_Atualizado_Emissao. Unidade sem reconciliação permanece n/d; pagamentos realizados ficam documentados.</x:v>
      </x:c>
      <x:c r="P217" s="57" t="n">
        <x:v>45352</x:v>
      </x:c>
      <x:c r="Q217" s="59" t="n">
        <x:v>363704321.79</x:v>
      </x:c>
      <x:c r="R217" s="59" t="n">
        <x:v>91207165.14</x:v>
      </x:c>
      <x:c r="S217" s="59" t="n">
        <x:v>109846195.03</x:v>
      </x:c>
      <x:c r="T217" s="59" t="n">
        <x:v>42766810.19</x:v>
      </x:c>
    </x:row>
    <x:row r="218">
      <x:c r="A218" s="20" t="str">
        <x:v>CRI_K2</x:v>
      </x:c>
      <x:c r="B218" s="20" t="str">
        <x:v>Série 3</x:v>
      </x:c>
      <x:c r="C218" s="20" t="str">
        <x:v>Mezanino</x:v>
      </x:c>
      <x:c r="D218" s="21" t="n">
        <x:v>45870</x:v>
      </x:c>
      <x:c r="E218" s="25" t="n">
        <x:v>56497712.33</x:v>
      </x:c>
      <x:c r="F218" s="25" t="str">
        <x:v>n/d</x:v>
      </x:c>
      <x:c r="G218" s="25" t="str">
        <x:v>n/d</x:v>
      </x:c>
      <x:c r="H218" s="25" t="n">
        <x:v>56497712.33</x:v>
      </x:c>
      <x:c r="I218" s="25" t="n">
        <x:v>0</x:v>
      </x:c>
      <x:c r="J218" s="25" t="n">
        <x:v>0</x:v>
      </x:c>
      <x:c r="K218" s="20" t="str">
        <x:v>Realizado</x:v>
      </x:c>
      <x:c r="L218" s="20" t="str">
        <x:v>CVM_CRI_2025_CLASSE</x:v>
      </x:c>
      <x:c r="M218" s="20" t="str">
        <x:v>Documentado</x:v>
      </x:c>
      <x:c r="N218" s="20" t="str">
        <x:v>Saldo final: saldo agregado reconciliado, controlado por Valor_Atualizado_Emissao. Unidade sem reconciliação permanece n/d; pagamentos realizados ficam documentados.</x:v>
      </x:c>
      <x:c r="P218" s="57" t="n">
        <x:v>45474</x:v>
      </x:c>
      <x:c r="Q218" s="59" t="n">
        <x:v>798275250</x:v>
      </x:c>
      <x:c r="R218" s="59" t="n">
        <x:v>231923700</x:v>
      </x:c>
      <x:c r="S218" s="59" t="n">
        <x:v>191942850</x:v>
      </x:c>
      <x:c r="T218" s="59" t="n">
        <x:v>98587545</x:v>
      </x:c>
    </x:row>
    <x:row r="219">
      <x:c r="A219" s="20" t="str">
        <x:v>CRI_K2</x:v>
      </x:c>
      <x:c r="B219" s="20" t="str">
        <x:v>Série 3</x:v>
      </x:c>
      <x:c r="C219" s="20" t="str">
        <x:v>Mezanino</x:v>
      </x:c>
      <x:c r="D219" s="21" t="n">
        <x:v>45901</x:v>
      </x:c>
      <x:c r="E219" s="25" t="n">
        <x:v>56497712.33</x:v>
      </x:c>
      <x:c r="F219" s="25" t="str">
        <x:v>n/d</x:v>
      </x:c>
      <x:c r="G219" s="25" t="str">
        <x:v>n/d</x:v>
      </x:c>
      <x:c r="H219" s="25" t="n">
        <x:v>53185277.52</x:v>
      </x:c>
      <x:c r="I219" s="25" t="n">
        <x:v>895418.74</x:v>
      </x:c>
      <x:c r="J219" s="25" t="n">
        <x:v>1569755.27</x:v>
      </x:c>
      <x:c r="K219" s="20" t="str">
        <x:v>Realizado</x:v>
      </x:c>
      <x:c r="L219" s="20" t="str">
        <x:v>CVM_CRI_2025_CLASSE</x:v>
      </x:c>
      <x:c r="M219" s="20" t="str">
        <x:v>Documentado</x:v>
      </x:c>
      <x:c r="N219" s="20" t="str">
        <x:v>Saldo final: saldo agregado reconciliado, controlado por Valor_Atualizado_Emissao. Unidade sem reconciliação permanece n/d; pagamentos realizados ficam documentados.</x:v>
      </x:c>
      <x:c r="P219" s="57" t="n">
        <x:v>45536</x:v>
      </x:c>
      <x:c r="Q219" s="59" t="n">
        <x:v>751018500</x:v>
      </x:c>
      <x:c r="R219" s="59" t="n">
        <x:v>220446900</x:v>
      </x:c>
      <x:c r="S219" s="59" t="n">
        <x:v>196263510</x:v>
      </x:c>
      <x:c r="T219" s="59" t="n">
        <x:v>101344230</x:v>
      </x:c>
    </x:row>
    <x:row r="220">
      <x:c r="A220" s="20" t="str">
        <x:v>CRI_K2</x:v>
      </x:c>
      <x:c r="B220" s="20" t="str">
        <x:v>Série 3</x:v>
      </x:c>
      <x:c r="C220" s="20" t="str">
        <x:v>Mezanino</x:v>
      </x:c>
      <x:c r="D220" s="21" t="n">
        <x:v>45931</x:v>
      </x:c>
      <x:c r="E220" s="25" t="n">
        <x:v>53185277.52</x:v>
      </x:c>
      <x:c r="F220" s="25" t="str">
        <x:v>n/d</x:v>
      </x:c>
      <x:c r="G220" s="25" t="str">
        <x:v>n/d</x:v>
      </x:c>
      <x:c r="H220" s="25" t="n">
        <x:v>51799732.61</x:v>
      </x:c>
      <x:c r="I220" s="25" t="n">
        <x:v>927411.87</x:v>
      </x:c>
      <x:c r="J220" s="25" t="n">
        <x:v>1813703.37</x:v>
      </x:c>
      <x:c r="K220" s="20" t="str">
        <x:v>Realizado</x:v>
      </x:c>
      <x:c r="L220" s="20" t="str">
        <x:v>CVM_CRI_2025_CLASSE</x:v>
      </x:c>
      <x:c r="M220" s="20" t="str">
        <x:v>Documentado</x:v>
      </x:c>
      <x:c r="N220" s="20" t="str">
        <x:v>Saldo final: saldo agregado reconciliado, controlado por Valor_Atualizado_Emissao. Unidade sem reconciliação permanece n/d; pagamentos realizados ficam documentados.</x:v>
      </x:c>
      <x:c r="P220" s="57" t="n">
        <x:v>45566</x:v>
      </x:c>
      <x:c r="Q220" s="59" t="n">
        <x:v>726036215.6</x:v>
      </x:c>
      <x:c r="R220" s="59" t="n">
        <x:v>220334687.33999997</x:v>
      </x:c>
      <x:c r="S220" s="59" t="n">
        <x:v>190994946.53</x:v>
      </x:c>
      <x:c r="T220" s="59" t="n">
        <x:v>102857963.58999999</x:v>
      </x:c>
    </x:row>
    <x:row r="221">
      <x:c r="A221" s="20" t="str">
        <x:v>CRI_K2</x:v>
      </x:c>
      <x:c r="B221" s="20" t="str">
        <x:v>Série 3</x:v>
      </x:c>
      <x:c r="C221" s="20" t="str">
        <x:v>Mezanino</x:v>
      </x:c>
      <x:c r="D221" s="21" t="n">
        <x:v>45962</x:v>
      </x:c>
      <x:c r="E221" s="25" t="n">
        <x:v>51799732.61</x:v>
      </x:c>
      <x:c r="F221" s="25" t="str">
        <x:v>n/d</x:v>
      </x:c>
      <x:c r="G221" s="25" t="str">
        <x:v>n/d</x:v>
      </x:c>
      <x:c r="H221" s="25" t="n">
        <x:v>49804198</x:v>
      </x:c>
      <x:c r="I221" s="25" t="n">
        <x:v>737758.95</x:v>
      </x:c>
      <x:c r="J221" s="25" t="n">
        <x:v>1351989.13</x:v>
      </x:c>
      <x:c r="K221" s="20" t="str">
        <x:v>Realizado</x:v>
      </x:c>
      <x:c r="L221" s="20" t="str">
        <x:v>CVM_CRI_2025_CLASSE</x:v>
      </x:c>
      <x:c r="M221" s="20" t="str">
        <x:v>Documentado</x:v>
      </x:c>
      <x:c r="N221" s="20" t="str">
        <x:v>Saldo final: saldo agregado reconciliado, controlado por Valor_Atualizado_Emissao. Unidade sem reconciliação permanece n/d; pagamentos realizados ficam documentados.</x:v>
      </x:c>
      <x:c r="P221" s="57" t="n">
        <x:v>45597</x:v>
      </x:c>
      <x:c r="Q221" s="59" t="n">
        <x:v>709330400.61</x:v>
      </x:c>
      <x:c r="R221" s="59" t="n">
        <x:v>202946693.57</x:v>
      </x:c>
      <x:c r="S221" s="59" t="n">
        <x:v>186229272.95</x:v>
      </x:c>
      <x:c r="T221" s="59" t="n">
        <x:v>104134771.07</x:v>
      </x:c>
    </x:row>
    <x:row r="222">
      <x:c r="A222" s="20" t="str">
        <x:v>CRI_K2</x:v>
      </x:c>
      <x:c r="B222" s="20" t="str">
        <x:v>Série 3</x:v>
      </x:c>
      <x:c r="C222" s="20" t="str">
        <x:v>Mezanino</x:v>
      </x:c>
      <x:c r="D222" s="21" t="n">
        <x:v>45992</x:v>
      </x:c>
      <x:c r="E222" s="25" t="n">
        <x:v>49804198</x:v>
      </x:c>
      <x:c r="F222" s="25" t="str">
        <x:v>n/d</x:v>
      </x:c>
      <x:c r="G222" s="25" t="str">
        <x:v>n/d</x:v>
      </x:c>
      <x:c r="H222" s="25" t="n">
        <x:v>48551142.08</x:v>
      </x:c>
      <x:c r="I222" s="25" t="n">
        <x:v>737758.95</x:v>
      </x:c>
      <x:c r="J222" s="25" t="n">
        <x:v>1351989.13</x:v>
      </x:c>
      <x:c r="K222" s="20" t="str">
        <x:v>Realizado</x:v>
      </x:c>
      <x:c r="L222" s="20" t="str">
        <x:v>CVM_CRI_2025_CLASSE</x:v>
      </x:c>
      <x:c r="M222" s="20" t="str">
        <x:v>Documentado</x:v>
      </x:c>
      <x:c r="N222" s="20" t="str">
        <x:v>Saldo final: saldo agregado reconciliado, controlado por Valor_Atualizado_Emissao. Unidade sem reconciliação permanece n/d; pagamentos realizados ficam documentados.</x:v>
      </x:c>
      <x:c r="P222" s="57" t="n">
        <x:v>45627</x:v>
      </x:c>
      <x:c r="Q222" s="59" t="n">
        <x:v>689927760.4100001</x:v>
      </x:c>
      <x:c r="R222" s="59" t="n">
        <x:v>196172484.18</x:v>
      </x:c>
      <x:c r="S222" s="59" t="n">
        <x:v>183066492.26</x:v>
      </x:c>
      <x:c r="T222" s="59" t="n">
        <x:v>105583183.83000001</x:v>
      </x:c>
    </x:row>
    <x:row r="223">
      <x:c r="A223" s="20" t="str">
        <x:v>CRI_K2</x:v>
      </x:c>
      <x:c r="B223" s="20" t="str">
        <x:v>Série 3</x:v>
      </x:c>
      <x:c r="C223" s="20" t="str">
        <x:v>Mezanino</x:v>
      </x:c>
      <x:c r="D223" s="21" t="n">
        <x:v>46023</x:v>
      </x:c>
      <x:c r="E223" s="25" t="n">
        <x:v>48551142.08</x:v>
      </x:c>
      <x:c r="F223" s="25" t="str">
        <x:v>n/d</x:v>
      </x:c>
      <x:c r="G223" s="25" t="str">
        <x:v>n/d</x:v>
      </x:c>
      <x:c r="H223" s="25" t="n">
        <x:v>46673784.28</x:v>
      </x:c>
      <x:c r="I223" s="25" t="n">
        <x:v>831780.47</x:v>
      </x:c>
      <x:c r="J223" s="25" t="n">
        <x:v>1816504.94</x:v>
      </x:c>
      <x:c r="K223" s="20" t="str">
        <x:v>Realizado</x:v>
      </x:c>
      <x:c r="L223" s="20" t="str">
        <x:v>CVM_CRI_2026_CLASSE</x:v>
      </x:c>
      <x:c r="M223" s="20" t="str">
        <x:v>Documentado</x:v>
      </x:c>
      <x:c r="N223" s="20" t="str">
        <x:v>Saldo final: saldo agregado reconciliado, controlado por Valor_Atualizado_Emissao. Unidade sem reconciliação permanece n/d; pagamentos realizados ficam documentados.</x:v>
      </x:c>
      <x:c r="P223" s="57" t="n">
        <x:v>45748</x:v>
      </x:c>
      <x:c r="Q223" s="59" t="n">
        <x:v>620468074.21</x:v>
      </x:c>
      <x:c r="R223" s="59" t="n">
        <x:v>175493025.43</x:v>
      </x:c>
      <x:c r="S223" s="59" t="n">
        <x:v>142386348.69</x:v>
      </x:c>
      <x:c r="T223" s="59" t="n">
        <x:v>111528337.05</x:v>
      </x:c>
    </x:row>
    <x:row r="224">
      <x:c r="A224" s="20" t="str">
        <x:v>CRI_K2</x:v>
      </x:c>
      <x:c r="B224" s="20" t="str">
        <x:v>Série 3</x:v>
      </x:c>
      <x:c r="C224" s="20" t="str">
        <x:v>Mezanino</x:v>
      </x:c>
      <x:c r="D224" s="21" t="n">
        <x:v>46054</x:v>
      </x:c>
      <x:c r="E224" s="25" t="n">
        <x:v>46673784.28</x:v>
      </x:c>
      <x:c r="F224" s="25" t="str">
        <x:v>n/d</x:v>
      </x:c>
      <x:c r="G224" s="25" t="str">
        <x:v>n/d</x:v>
      </x:c>
      <x:c r="H224" s="25" t="n">
        <x:v>44927966</x:v>
      </x:c>
      <x:c r="I224" s="25" t="n">
        <x:v>763568.96</x:v>
      </x:c>
      <x:c r="J224" s="25" t="n">
        <x:v>1619837.45</x:v>
      </x:c>
      <x:c r="K224" s="20" t="str">
        <x:v>Realizado</x:v>
      </x:c>
      <x:c r="L224" s="20" t="str">
        <x:v>CVM_CRI_2026_CLASSE</x:v>
      </x:c>
      <x:c r="M224" s="20" t="str">
        <x:v>Documentado</x:v>
      </x:c>
      <x:c r="N224" s="20" t="str">
        <x:v>Saldo final: saldo agregado reconciliado, controlado por Valor_Atualizado_Emissao. Unidade sem reconciliação permanece n/d; pagamentos realizados ficam documentados.</x:v>
      </x:c>
      <x:c r="P224" s="57" t="n">
        <x:v>45778</x:v>
      </x:c>
      <x:c r="Q224" s="59" t="n">
        <x:v>600776460.48</x:v>
      </x:c>
      <x:c r="R224" s="59" t="n">
        <x:v>169934447.66</x:v>
      </x:c>
      <x:c r="S224" s="59" t="n">
        <x:v>136220018.92</x:v>
      </x:c>
      <x:c r="T224" s="59" t="n">
        <x:v>113162912.28</x:v>
      </x:c>
    </x:row>
    <x:row r="225">
      <x:c r="A225" s="20" t="str">
        <x:v>CRI_K2</x:v>
      </x:c>
      <x:c r="B225" s="20" t="str">
        <x:v>Série 3</x:v>
      </x:c>
      <x:c r="C225" s="20" t="str">
        <x:v>Mezanino</x:v>
      </x:c>
      <x:c r="D225" s="21" t="n">
        <x:v>46082</x:v>
      </x:c>
      <x:c r="E225" s="25" t="n">
        <x:v>44927966</x:v>
      </x:c>
      <x:c r="F225" s="25" t="str">
        <x:v>n/d</x:v>
      </x:c>
      <x:c r="G225" s="25" t="str">
        <x:v>n/d</x:v>
      </x:c>
      <x:c r="H225" s="25" t="n">
        <x:v>43833669</x:v>
      </x:c>
      <x:c r="I225" s="25" t="n">
        <x:v>630744.68</x:v>
      </x:c>
      <x:c r="J225" s="25" t="n">
        <x:v>1215809.91</x:v>
      </x:c>
      <x:c r="K225" s="20" t="str">
        <x:v>Realizado</x:v>
      </x:c>
      <x:c r="L225" s="20" t="str">
        <x:v>CVM_CRI_2026_CLASSE</x:v>
      </x:c>
      <x:c r="M225" s="20" t="str">
        <x:v>Documentado</x:v>
      </x:c>
      <x:c r="N225" s="20" t="str">
        <x:v>Saldo final: saldo agregado reconciliado, controlado por Valor_Atualizado_Emissao. Unidade sem reconciliação permanece n/d; pagamentos realizados ficam documentados.</x:v>
      </x:c>
      <x:c r="P225" s="57" t="n">
        <x:v>46054</x:v>
      </x:c>
      <x:c r="Q225" s="59" t="n">
        <x:v>1122455327</x:v>
      </x:c>
      <x:c r="R225" s="59" t="n">
        <x:v>326673071</x:v>
      </x:c>
      <x:c r="S225" s="59" t="n">
        <x:v>213930070</x:v>
      </x:c>
      <x:c r="T225" s="59" t="n">
        <x:v>157246556</x:v>
      </x:c>
    </x:row>
    <x:row r="226">
      <x:c r="A226" s="20" t="str">
        <x:v>CRI_K2</x:v>
      </x:c>
      <x:c r="B226" s="20" t="str">
        <x:v>Série 3</x:v>
      </x:c>
      <x:c r="C226" s="20" t="str">
        <x:v>Mezanino</x:v>
      </x:c>
      <x:c r="D226" s="21" t="n">
        <x:v>46113</x:v>
      </x:c>
      <x:c r="E226" s="25" t="n">
        <x:v>43833669</x:v>
      </x:c>
      <x:c r="F226" s="25" t="str">
        <x:v>n/d</x:v>
      </x:c>
      <x:c r="G226" s="25" t="str">
        <x:v>n/d</x:v>
      </x:c>
      <x:c r="H226" s="25" t="n">
        <x:v>41619530</x:v>
      </x:c>
      <x:c r="I226" s="25" t="n">
        <x:v>746066.76</x:v>
      </x:c>
      <x:c r="J226" s="25" t="n">
        <x:v>2118225.76</x:v>
      </x:c>
      <x:c r="K226" s="20" t="str">
        <x:v>Realizado</x:v>
      </x:c>
      <x:c r="L226" s="20" t="str">
        <x:v>CVM_CRI_2026_CLASSE</x:v>
      </x:c>
      <x:c r="M226" s="20" t="str">
        <x:v>Documentado</x:v>
      </x:c>
      <x:c r="N226" s="20" t="str">
        <x:v>Saldo final: saldo agregado reconciliado, controlado por Valor_Atualizado_Emissao. Unidade sem reconciliação permanece n/d; pagamentos realizados ficam documentados.</x:v>
      </x:c>
      <x:c r="P226" s="57" t="n">
        <x:v>46082</x:v>
      </x:c>
      <x:c r="Q226" s="59" t="n">
        <x:v>1092593618</x:v>
      </x:c>
      <x:c r="R226" s="59" t="n">
        <x:v>316095229</x:v>
      </x:c>
      <x:c r="S226" s="59" t="n">
        <x:v>210099426</x:v>
      </x:c>
      <x:c r="T226" s="59" t="n">
        <x:v>155333732</x:v>
      </x:c>
    </x:row>
    <x:row r="227">
      <x:c r="A227" s="20" t="str">
        <x:v>CRI_K2</x:v>
      </x:c>
      <x:c r="B227" s="20" t="str">
        <x:v>Série 3</x:v>
      </x:c>
      <x:c r="C227" s="20" t="str">
        <x:v>Mezanino</x:v>
      </x:c>
      <x:c r="D227" s="21" t="n">
        <x:v>46143</x:v>
      </x:c>
      <x:c r="E227" s="25" t="n">
        <x:v>41619530</x:v>
      </x:c>
      <x:c r="F227" s="25" t="str">
        <x:v>n/d</x:v>
      </x:c>
      <x:c r="G227" s="25" t="str">
        <x:v>n/d</x:v>
      </x:c>
      <x:c r="H227" s="25" t="n">
        <x:v>40262437</x:v>
      </x:c>
      <x:c r="I227" s="25" t="n">
        <x:v>639763.58</x:v>
      </x:c>
      <x:c r="J227" s="25" t="n">
        <x:v>1336268.27</x:v>
      </x:c>
      <x:c r="K227" s="20" t="str">
        <x:v>Realizado</x:v>
      </x:c>
      <x:c r="L227" s="20" t="str">
        <x:v>CVM_CRI_2026_CLASSE</x:v>
      </x:c>
      <x:c r="M227" s="20" t="str">
        <x:v>Documentado</x:v>
      </x:c>
      <x:c r="N227" s="20" t="str">
        <x:v>Saldo final: saldo agregado reconciliado, controlado por Valor_Atualizado_Emissao. Unidade sem reconciliação permanece n/d; pagamentos realizados ficam documentados.</x:v>
      </x:c>
    </x:row>
    <x:row r="228">
      <x:c r="A228" s="20" t="str">
        <x:v>CRI_K2</x:v>
      </x:c>
      <x:c r="B228" s="20" t="str">
        <x:v>Série 4</x:v>
      </x:c>
      <x:c r="C228" s="20" t="str">
        <x:v>Subordinada</x:v>
      </x:c>
      <x:c r="D228" s="21" t="n">
        <x:v>45444</x:v>
      </x:c>
      <x:c r="E228" s="25" t="str">
        <x:v>n/d</x:v>
      </x:c>
      <x:c r="F228" s="25" t="str">
        <x:v>n/d</x:v>
      </x:c>
      <x:c r="G228" s="25" t="str">
        <x:v>n/d</x:v>
      </x:c>
      <x:c r="H228" s="25" t="n">
        <x:v>30039600</x:v>
      </x:c>
      <x:c r="I228" s="25" t="n">
        <x:v>0</x:v>
      </x:c>
      <x:c r="J228" s="25" t="n">
        <x:v>0</x:v>
      </x:c>
      <x:c r="K228" s="20" t="str">
        <x:v>Realizado</x:v>
      </x:c>
      <x:c r="L228" s="20" t="str">
        <x:v>CVM_CRI_2024_CLASSE</x:v>
      </x:c>
      <x:c r="M228" s="20" t="str">
        <x:v>Documentado</x:v>
      </x:c>
      <x:c r="N228" s="20" t="str">
        <x:v>Saldo final: valor unitário × quantidade reconciliado,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229">
      <x:c r="A229" s="20" t="str">
        <x:v>CRI_K2</x:v>
      </x:c>
      <x:c r="B229" s="20" t="str">
        <x:v>Série 4</x:v>
      </x:c>
      <x:c r="C229" s="20" t="str">
        <x:v>Subordinada</x:v>
      </x:c>
      <x:c r="D229" s="21" t="n">
        <x:v>45474</x:v>
      </x:c>
      <x:c r="E229" s="25" t="n">
        <x:v>30039600</x:v>
      </x:c>
      <x:c r="F229" s="25" t="str">
        <x:v>n/d</x:v>
      </x:c>
      <x:c r="G229" s="25" t="str">
        <x:v>n/d</x:v>
      </x:c>
      <x:c r="H229" s="25" t="n">
        <x:v>30607200</x:v>
      </x:c>
      <x:c r="I229" s="25" t="n">
        <x:v>0</x:v>
      </x:c>
      <x:c r="J229" s="25" t="n">
        <x:v>0</x:v>
      </x:c>
      <x:c r="K229" s="20" t="str">
        <x:v>Realizado</x:v>
      </x:c>
      <x:c r="L229" s="20" t="str">
        <x:v>CVM_CRI_2024_CLASSE</x:v>
      </x:c>
      <x:c r="M229" s="20" t="str">
        <x:v>Documentado</x:v>
      </x:c>
      <x:c r="N229" s="20" t="str">
        <x:v>Saldo final: valor unitário × quantidade reconciliado, controlado por Valor_Atualizado_Emissao. Unidade sem reconciliação permanece n/d; pagamentos realizados ficam documentados.</x:v>
      </x:c>
    </x:row>
    <x:row r="230">
      <x:c r="A230" s="20" t="str">
        <x:v>CRI_K2</x:v>
      </x:c>
      <x:c r="B230" s="20" t="str">
        <x:v>Série 4</x:v>
      </x:c>
      <x:c r="C230" s="20" t="str">
        <x:v>Subordinada</x:v>
      </x:c>
      <x:c r="D230" s="21" t="n">
        <x:v>45505</x:v>
      </x:c>
      <x:c r="E230" s="25" t="n">
        <x:v>30607200</x:v>
      </x:c>
      <x:c r="F230" s="25" t="str">
        <x:v>n/d</x:v>
      </x:c>
      <x:c r="G230" s="25" t="str">
        <x:v>n/d</x:v>
      </x:c>
      <x:c r="H230" s="25" t="n">
        <x:v>31130700</x:v>
      </x:c>
      <x:c r="I230" s="25" t="n">
        <x:v>0</x:v>
      </x:c>
      <x:c r="J230" s="25" t="n">
        <x:v>0</x:v>
      </x:c>
      <x:c r="K230" s="20" t="str">
        <x:v>Realizado</x:v>
      </x:c>
      <x:c r="L230" s="20" t="str">
        <x:v>CVM_CRI_2024_CLASSE</x:v>
      </x:c>
      <x:c r="M230" s="20" t="str">
        <x:v>Documentado</x:v>
      </x:c>
      <x:c r="N230" s="20" t="str">
        <x:v>Saldo final: valor unitário × quantidade reconciliado, controlado por Valor_Atualizado_Emissao. Unidade sem reconciliação permanece n/d; pagamentos realizados ficam documentados.</x:v>
      </x:c>
    </x:row>
    <x:row r="231">
      <x:c r="A231" s="20" t="str">
        <x:v>CRI_K2</x:v>
      </x:c>
      <x:c r="B231" s="20" t="str">
        <x:v>Série 4</x:v>
      </x:c>
      <x:c r="C231" s="20" t="str">
        <x:v>Subordinada</x:v>
      </x:c>
      <x:c r="D231" s="21" t="n">
        <x:v>45536</x:v>
      </x:c>
      <x:c r="E231" s="25" t="n">
        <x:v>31130700</x:v>
      </x:c>
      <x:c r="F231" s="25" t="str">
        <x:v>n/d</x:v>
      </x:c>
      <x:c r="G231" s="25" t="str">
        <x:v>n/d</x:v>
      </x:c>
      <x:c r="H231" s="25" t="n">
        <x:v>31640700</x:v>
      </x:c>
      <x:c r="I231" s="25" t="n">
        <x:v>0</x:v>
      </x:c>
      <x:c r="J231" s="25" t="n">
        <x:v>0</x:v>
      </x:c>
      <x:c r="K231" s="20" t="str">
        <x:v>Realizado</x:v>
      </x:c>
      <x:c r="L231" s="20" t="str">
        <x:v>CVM_CRI_2024_CLASSE</x:v>
      </x:c>
      <x:c r="M231" s="20" t="str">
        <x:v>Documentado</x:v>
      </x:c>
      <x:c r="N231" s="20" t="str">
        <x:v>Saldo final: valor unitário × quantidade reconciliado, controlado por Valor_Atualizado_Emissao. Unidade sem reconciliação permanece n/d; pagamentos realizados ficam documentados.</x:v>
      </x:c>
    </x:row>
    <x:row r="232">
      <x:c r="A232" s="20" t="str">
        <x:v>CRI_K2</x:v>
      </x:c>
      <x:c r="B232" s="20" t="str">
        <x:v>Série 4</x:v>
      </x:c>
      <x:c r="C232" s="20" t="str">
        <x:v>Subordinada</x:v>
      </x:c>
      <x:c r="D232" s="21" t="n">
        <x:v>45566</x:v>
      </x:c>
      <x:c r="E232" s="25" t="n">
        <x:v>31640700</x:v>
      </x:c>
      <x:c r="F232" s="25" t="str">
        <x:v>n/d</x:v>
      </x:c>
      <x:c r="G232" s="25" t="str">
        <x:v>n/d</x:v>
      </x:c>
      <x:c r="H232" s="25" t="n">
        <x:v>32213440.05</x:v>
      </x:c>
      <x:c r="I232" s="25" t="n">
        <x:v>0</x:v>
      </x:c>
      <x:c r="J232" s="25" t="n">
        <x:v>0</x:v>
      </x:c>
      <x:c r="K232" s="20" t="str">
        <x:v>Realizado</x:v>
      </x:c>
      <x:c r="L232" s="20" t="str">
        <x:v>CVM_CRI_2024_CLASSE</x:v>
      </x:c>
      <x:c r="M232" s="20" t="str">
        <x:v>Documentado</x:v>
      </x:c>
      <x:c r="N232" s="20" t="str">
        <x:v>Saldo final: saldo agregado reconciliado, controlado por Valor_Atualizado_Emissao. Unidade sem reconciliação permanece n/d; pagamentos realizados ficam documentados.</x:v>
      </x:c>
    </x:row>
    <x:row r="233">
      <x:c r="A233" s="20" t="str">
        <x:v>CRI_K2</x:v>
      </x:c>
      <x:c r="B233" s="20" t="str">
        <x:v>Série 4</x:v>
      </x:c>
      <x:c r="C233" s="20" t="str">
        <x:v>Subordinada</x:v>
      </x:c>
      <x:c r="D233" s="21" t="n">
        <x:v>45597</x:v>
      </x:c>
      <x:c r="E233" s="25" t="n">
        <x:v>32213440.05</x:v>
      </x:c>
      <x:c r="F233" s="25" t="str">
        <x:v>n/d</x:v>
      </x:c>
      <x:c r="G233" s="25" t="str">
        <x:v>n/d</x:v>
      </x:c>
      <x:c r="H233" s="25" t="n">
        <x:v>32702469.27</x:v>
      </x:c>
      <x:c r="I233" s="25" t="n">
        <x:v>0</x:v>
      </x:c>
      <x:c r="J233" s="25" t="n">
        <x:v>0</x:v>
      </x:c>
      <x:c r="K233" s="20" t="str">
        <x:v>Realizado</x:v>
      </x:c>
      <x:c r="L233" s="20" t="str">
        <x:v>CVM_CRI_2024_CLASSE</x:v>
      </x:c>
      <x:c r="M233" s="20" t="str">
        <x:v>Documentado</x:v>
      </x:c>
      <x:c r="N233" s="20" t="str">
        <x:v>Saldo final: saldo agregado reconciliado, controlado por Valor_Atualizado_Emissao. Unidade sem reconciliação permanece n/d; pagamentos realizados ficam documentados.</x:v>
      </x:c>
    </x:row>
    <x:row r="234">
      <x:c r="A234" s="20" t="str">
        <x:v>CRI_K2</x:v>
      </x:c>
      <x:c r="B234" s="20" t="str">
        <x:v>Série 4</x:v>
      </x:c>
      <x:c r="C234" s="20" t="str">
        <x:v>Subordinada</x:v>
      </x:c>
      <x:c r="D234" s="21" t="n">
        <x:v>45627</x:v>
      </x:c>
      <x:c r="E234" s="25" t="n">
        <x:v>32702469.27</x:v>
      </x:c>
      <x:c r="F234" s="25" t="str">
        <x:v>n/d</x:v>
      </x:c>
      <x:c r="G234" s="25" t="str">
        <x:v>n/d</x:v>
      </x:c>
      <x:c r="H234" s="25" t="n">
        <x:v>33269090.58</x:v>
      </x:c>
      <x:c r="I234" s="25" t="n">
        <x:v>0</x:v>
      </x:c>
      <x:c r="J234" s="25" t="n">
        <x:v>0</x:v>
      </x:c>
      <x:c r="K234" s="20" t="str">
        <x:v>Realizado</x:v>
      </x:c>
      <x:c r="L234" s="20" t="str">
        <x:v>CVM_CRI_2024_CLASSE</x:v>
      </x:c>
      <x:c r="M234" s="20" t="str">
        <x:v>Documentado</x:v>
      </x:c>
      <x:c r="N234" s="20" t="str">
        <x:v>Saldo final: saldo agregado reconciliado, controlado por Valor_Atualizado_Emissao. Unidade sem reconciliação permanece n/d; pagamentos realizados ficam documentados.</x:v>
      </x:c>
    </x:row>
    <x:row r="235">
      <x:c r="A235" s="20" t="str">
        <x:v>CRI_K2</x:v>
      </x:c>
      <x:c r="B235" s="20" t="str">
        <x:v>Série 4</x:v>
      </x:c>
      <x:c r="C235" s="20" t="str">
        <x:v>Subordinada</x:v>
      </x:c>
      <x:c r="D235" s="21" t="n">
        <x:v>45658</x:v>
      </x:c>
      <x:c r="E235" s="25" t="n">
        <x:v>33269090.58</x:v>
      </x:c>
      <x:c r="F235" s="25" t="str">
        <x:v>n/d</x:v>
      </x:c>
      <x:c r="G235" s="25" t="str">
        <x:v>n/d</x:v>
      </x:c>
      <x:c r="H235" s="25" t="str">
        <x:v>n/d</x:v>
      </x:c>
      <x:c r="I235" s="25" t="str">
        <x:v>n/d</x:v>
      </x:c>
      <x:c r="J235" s="25" t="str">
        <x:v>n/d</x:v>
      </x:c>
      <x:c r="K235" s="20" t="str">
        <x:v>Realizado</x:v>
      </x:c>
      <x:c r="L235" s="20" t="str">
        <x:v>CVM_CRI_2025_CLASSE</x:v>
      </x:c>
      <x:c r="M235" s="20" t="str">
        <x:v>Documentado</x:v>
      </x:c>
      <x:c r="N235" s="20" t="str">
        <x:v>Saldo final: n/d, controlado por Valor_Atualizado_Emissao. Unidade sem reconciliação permanece n/d; pagamentos realizados ficam documentados.</x:v>
      </x:c>
    </x:row>
    <x:row r="236">
      <x:c r="A236" s="20" t="str">
        <x:v>CRI_K2</x:v>
      </x:c>
      <x:c r="B236" s="20" t="str">
        <x:v>Série 4</x:v>
      </x:c>
      <x:c r="C236" s="20" t="str">
        <x:v>Subordinada</x:v>
      </x:c>
      <x:c r="D236" s="21" t="n">
        <x:v>45689</x:v>
      </x:c>
      <x:c r="E236" s="25" t="str">
        <x:v>n/d</x:v>
      </x:c>
      <x:c r="F236" s="25" t="str">
        <x:v>n/d</x:v>
      </x:c>
      <x:c r="G236" s="25" t="str">
        <x:v>n/d</x:v>
      </x:c>
      <x:c r="H236" s="25" t="str">
        <x:v>n/d</x:v>
      </x:c>
      <x:c r="I236" s="25" t="n">
        <x:v>4033237.23</x:v>
      </x:c>
      <x:c r="J236" s="25" t="n">
        <x:v>0</x:v>
      </x:c>
      <x:c r="K236" s="20" t="str">
        <x:v>Realizado</x:v>
      </x:c>
      <x:c r="L236" s="20" t="str">
        <x:v>CVM_CRI_2025_CLASSE</x:v>
      </x:c>
      <x:c r="M236" s="20" t="str">
        <x:v>Documentado</x:v>
      </x:c>
      <x:c r="N236" s="20" t="str">
        <x:v>Saldo final: n/d por conflito de unidade, controlado por Valor_Atualizado_Emissao. Unidade sem reconciliação permanece n/d; pagamentos realizados ficam documentados.</x:v>
      </x:c>
    </x:row>
    <x:row r="237">
      <x:c r="A237" s="20" t="str">
        <x:v>CRI_K2</x:v>
      </x:c>
      <x:c r="B237" s="20" t="str">
        <x:v>Série 4</x:v>
      </x:c>
      <x:c r="C237" s="20" t="str">
        <x:v>Subordinada</x:v>
      </x:c>
      <x:c r="D237" s="21" t="n">
        <x:v>45717</x:v>
      </x:c>
      <x:c r="E237" s="25" t="str">
        <x:v>n/d</x:v>
      </x:c>
      <x:c r="F237" s="25" t="str">
        <x:v>n/d</x:v>
      </x:c>
      <x:c r="G237" s="25" t="str">
        <x:v>n/d</x:v>
      </x:c>
      <x:c r="H237" s="25" t="str">
        <x:v>n/d</x:v>
      </x:c>
      <x:c r="I237" s="25" t="n">
        <x:v>4629534</x:v>
      </x:c>
      <x:c r="J237" s="25" t="n">
        <x:v>0</x:v>
      </x:c>
      <x:c r="K237" s="20" t="str">
        <x:v>Realizado</x:v>
      </x:c>
      <x:c r="L237" s="20" t="str">
        <x:v>CVM_CRI_2025_CLASSE</x:v>
      </x:c>
      <x:c r="M237" s="20" t="str">
        <x:v>Documentado</x:v>
      </x:c>
      <x:c r="N237" s="20" t="str">
        <x:v>Saldo final: n/d por conflito de unidade, controlado por Valor_Atualizado_Emissao. Unidade sem reconciliação permanece n/d; pagamentos realizados ficam documentados.</x:v>
      </x:c>
    </x:row>
    <x:row r="238">
      <x:c r="A238" s="20" t="str">
        <x:v>CRI_K2</x:v>
      </x:c>
      <x:c r="B238" s="20" t="str">
        <x:v>Série 4</x:v>
      </x:c>
      <x:c r="C238" s="20" t="str">
        <x:v>Subordinada</x:v>
      </x:c>
      <x:c r="D238" s="21" t="n">
        <x:v>45748</x:v>
      </x:c>
      <x:c r="E238" s="25" t="str">
        <x:v>n/d</x:v>
      </x:c>
      <x:c r="F238" s="25" t="str">
        <x:v>n/d</x:v>
      </x:c>
      <x:c r="G238" s="25" t="str">
        <x:v>n/d</x:v>
      </x:c>
      <x:c r="H238" s="25" t="n">
        <x:v>35700961.05</x:v>
      </x:c>
      <x:c r="I238" s="25" t="n">
        <x:v>0</x:v>
      </x:c>
      <x:c r="J238" s="25" t="n">
        <x:v>0</x:v>
      </x:c>
      <x:c r="K238" s="20" t="str">
        <x:v>Realizado</x:v>
      </x:c>
      <x:c r="L238" s="20" t="str">
        <x:v>CVM_CRI_2025_CLASSE</x:v>
      </x:c>
      <x:c r="M238" s="20" t="str">
        <x:v>Documentado</x:v>
      </x:c>
      <x:c r="N238" s="20" t="str">
        <x:v>Saldo final: saldo agregado reconciliado, controlado por Valor_Atualizado_Emissao. Unidade sem reconciliação permanece n/d; pagamentos realizados ficam documentados.</x:v>
      </x:c>
    </x:row>
    <x:row r="239">
      <x:c r="A239" s="20" t="str">
        <x:v>CRI_K2</x:v>
      </x:c>
      <x:c r="B239" s="20" t="str">
        <x:v>Série 4</x:v>
      </x:c>
      <x:c r="C239" s="20" t="str">
        <x:v>Subordinada</x:v>
      </x:c>
      <x:c r="D239" s="21" t="n">
        <x:v>45778</x:v>
      </x:c>
      <x:c r="E239" s="25" t="n">
        <x:v>35700961.05</x:v>
      </x:c>
      <x:c r="F239" s="25" t="str">
        <x:v>n/d</x:v>
      </x:c>
      <x:c r="G239" s="25" t="str">
        <x:v>n/d</x:v>
      </x:c>
      <x:c r="H239" s="25" t="n">
        <x:v>36394810.25</x:v>
      </x:c>
      <x:c r="I239" s="25" t="n">
        <x:v>0</x:v>
      </x:c>
      <x:c r="J239" s="25" t="n">
        <x:v>0</x:v>
      </x:c>
      <x:c r="K239" s="20" t="str">
        <x:v>Realizado</x:v>
      </x:c>
      <x:c r="L239" s="20" t="str">
        <x:v>CVM_CRI_2025_CLASSE</x:v>
      </x:c>
      <x:c r="M239" s="20" t="str">
        <x:v>Documentado</x:v>
      </x:c>
      <x:c r="N239" s="20" t="str">
        <x:v>Saldo final: saldo agregado reconciliado, controlado por Valor_Atualizado_Emissao. Unidade sem reconciliação permanece n/d; pagamentos realizados ficam documentados.</x:v>
      </x:c>
    </x:row>
    <x:row r="240">
      <x:c r="A240" s="20" t="str">
        <x:v>CRI_K2</x:v>
      </x:c>
      <x:c r="B240" s="20" t="str">
        <x:v>Série 4</x:v>
      </x:c>
      <x:c r="C240" s="20" t="str">
        <x:v>Subordinada</x:v>
      </x:c>
      <x:c r="D240" s="21" t="n">
        <x:v>45809</x:v>
      </x:c>
      <x:c r="E240" s="25" t="n">
        <x:v>36394810.25</x:v>
      </x:c>
      <x:c r="F240" s="25" t="str">
        <x:v>n/d</x:v>
      </x:c>
      <x:c r="G240" s="25" t="str">
        <x:v>n/d</x:v>
      </x:c>
      <x:c r="H240" s="25" t="n">
        <x:v>37073136.65</x:v>
      </x:c>
      <x:c r="I240" s="25" t="n">
        <x:v>0</x:v>
      </x:c>
      <x:c r="J240" s="25" t="n">
        <x:v>0</x:v>
      </x:c>
      <x:c r="K240" s="20" t="str">
        <x:v>Realizado</x:v>
      </x:c>
      <x:c r="L240" s="20" t="str">
        <x:v>CVM_CRI_2025_CLASSE</x:v>
      </x:c>
      <x:c r="M240" s="20" t="str">
        <x:v>Documentado</x:v>
      </x:c>
      <x:c r="N240" s="20" t="str">
        <x:v>Saldo final: saldo agregado reconciliado, controlado por Valor_Atualizado_Emissao. Unidade sem reconciliação permanece n/d; pagamentos realizados ficam documentados.</x:v>
      </x:c>
    </x:row>
    <x:row r="241">
      <x:c r="A241" s="20" t="str">
        <x:v>CRI_K2</x:v>
      </x:c>
      <x:c r="B241" s="20" t="str">
        <x:v>Série 4</x:v>
      </x:c>
      <x:c r="C241" s="20" t="str">
        <x:v>Subordinada</x:v>
      </x:c>
      <x:c r="D241" s="21" t="n">
        <x:v>45839</x:v>
      </x:c>
      <x:c r="E241" s="25" t="n">
        <x:v>37073136.65</x:v>
      </x:c>
      <x:c r="F241" s="25" t="str">
        <x:v>n/d</x:v>
      </x:c>
      <x:c r="G241" s="25" t="str">
        <x:v>n/d</x:v>
      </x:c>
      <x:c r="H241" s="25" t="n">
        <x:v>31042825.29</x:v>
      </x:c>
      <x:c r="I241" s="25" t="n">
        <x:v>6717972.89</x:v>
      </x:c>
      <x:c r="J241" s="25" t="n">
        <x:v>0</x:v>
      </x:c>
      <x:c r="K241" s="20" t="str">
        <x:v>Realizado</x:v>
      </x:c>
      <x:c r="L241" s="20" t="str">
        <x:v>CVM_CRI_2025_CLASSE</x:v>
      </x:c>
      <x:c r="M241" s="20" t="str">
        <x:v>Documentado</x:v>
      </x:c>
      <x:c r="N241" s="20" t="str">
        <x:v>Saldo final: saldo agregado reconciliado, controlado por Valor_Atualizado_Emissao. Unidade sem reconciliação permanece n/d; pagamentos realizados ficam documentados.</x:v>
      </x:c>
    </x:row>
    <x:row r="242">
      <x:c r="A242" s="20" t="str">
        <x:v>CRI_K2</x:v>
      </x:c>
      <x:c r="B242" s="20" t="str">
        <x:v>Série 4</x:v>
      </x:c>
      <x:c r="C242" s="20" t="str">
        <x:v>Subordinada</x:v>
      </x:c>
      <x:c r="D242" s="21" t="n">
        <x:v>45870</x:v>
      </x:c>
      <x:c r="E242" s="25" t="n">
        <x:v>31042825.29</x:v>
      </x:c>
      <x:c r="F242" s="25" t="str">
        <x:v>n/d</x:v>
      </x:c>
      <x:c r="G242" s="25" t="str">
        <x:v>n/d</x:v>
      </x:c>
      <x:c r="H242" s="25" t="n">
        <x:v>31042825.29</x:v>
      </x:c>
      <x:c r="I242" s="25" t="n">
        <x:v>0</x:v>
      </x:c>
      <x:c r="J242" s="25" t="n">
        <x:v>0</x:v>
      </x:c>
      <x:c r="K242" s="20" t="str">
        <x:v>Realizado</x:v>
      </x:c>
      <x:c r="L242" s="20" t="str">
        <x:v>CVM_CRI_2025_CLASSE</x:v>
      </x:c>
      <x:c r="M242" s="20" t="str">
        <x:v>Documentado</x:v>
      </x:c>
      <x:c r="N242" s="20" t="str">
        <x:v>Saldo final: saldo agregado reconciliado, controlado por Valor_Atualizado_Emissao. Unidade sem reconciliação permanece n/d; pagamentos realizados ficam documentados.</x:v>
      </x:c>
    </x:row>
    <x:row r="243">
      <x:c r="A243" s="20" t="str">
        <x:v>CRI_K2</x:v>
      </x:c>
      <x:c r="B243" s="20" t="str">
        <x:v>Série 4</x:v>
      </x:c>
      <x:c r="C243" s="20" t="str">
        <x:v>Subordinada</x:v>
      </x:c>
      <x:c r="D243" s="21" t="n">
        <x:v>45901</x:v>
      </x:c>
      <x:c r="E243" s="25" t="n">
        <x:v>31042825.29</x:v>
      </x:c>
      <x:c r="F243" s="25" t="str">
        <x:v>n/d</x:v>
      </x:c>
      <x:c r="G243" s="25" t="str">
        <x:v>n/d</x:v>
      </x:c>
      <x:c r="H243" s="25" t="n">
        <x:v>22867747.84</x:v>
      </x:c>
      <x:c r="I243" s="25" t="n">
        <x:v>494826.58</x:v>
      </x:c>
      <x:c r="J243" s="25" t="n">
        <x:v>2597936.51</x:v>
      </x:c>
      <x:c r="K243" s="20" t="str">
        <x:v>Realizado</x:v>
      </x:c>
      <x:c r="L243" s="20" t="str">
        <x:v>CVM_CRI_2025_CLASSE</x:v>
      </x:c>
      <x:c r="M243" s="20" t="str">
        <x:v>Documentado</x:v>
      </x:c>
      <x:c r="N243" s="20" t="str">
        <x:v>Saldo final: saldo agregado reconciliado, controlado por Valor_Atualizado_Emissao. Unidade sem reconciliação permanece n/d; pagamentos realizados ficam documentados.</x:v>
      </x:c>
    </x:row>
    <x:row r="244">
      <x:c r="A244" s="20" t="str">
        <x:v>CRI_K2</x:v>
      </x:c>
      <x:c r="B244" s="20" t="str">
        <x:v>Série 4</x:v>
      </x:c>
      <x:c r="C244" s="20" t="str">
        <x:v>Subordinada</x:v>
      </x:c>
      <x:c r="D244" s="21" t="n">
        <x:v>45931</x:v>
      </x:c>
      <x:c r="E244" s="25" t="n">
        <x:v>22867747.84</x:v>
      </x:c>
      <x:c r="F244" s="25" t="str">
        <x:v>n/d</x:v>
      </x:c>
      <x:c r="G244" s="25" t="str">
        <x:v>n/d</x:v>
      </x:c>
      <x:c r="H244" s="25" t="n">
        <x:v>20930554.68</x:v>
      </x:c>
      <x:c r="I244" s="25" t="n">
        <x:v>444716.75</x:v>
      </x:c>
      <x:c r="J244" s="25" t="n">
        <x:v>878665.45</x:v>
      </x:c>
      <x:c r="K244" s="20" t="str">
        <x:v>Realizado</x:v>
      </x:c>
      <x:c r="L244" s="20" t="str">
        <x:v>CVM_CRI_2025_CLASSE</x:v>
      </x:c>
      <x:c r="M244" s="20" t="str">
        <x:v>Documentado</x:v>
      </x:c>
      <x:c r="N244" s="20" t="str">
        <x:v>Saldo final: saldo agregado reconciliado, controlado por Valor_Atualizado_Emissao. Unidade sem reconciliação permanece n/d; pagamentos realizados ficam documentados.</x:v>
      </x:c>
    </x:row>
    <x:row r="245">
      <x:c r="A245" s="20" t="str">
        <x:v>CRI_K2</x:v>
      </x:c>
      <x:c r="B245" s="20" t="str">
        <x:v>Série 4</x:v>
      </x:c>
      <x:c r="C245" s="20" t="str">
        <x:v>Subordinada</x:v>
      </x:c>
      <x:c r="D245" s="21" t="n">
        <x:v>45962</x:v>
      </x:c>
      <x:c r="E245" s="25" t="n">
        <x:v>20930554.68</x:v>
      </x:c>
      <x:c r="F245" s="25" t="str">
        <x:v>n/d</x:v>
      </x:c>
      <x:c r="G245" s="25" t="str">
        <x:v>n/d</x:v>
      </x:c>
      <x:c r="H245" s="25" t="n">
        <x:v>19962717</x:v>
      </x:c>
      <x:c r="I245" s="25" t="n">
        <x:v>351036.9</x:v>
      </x:c>
      <x:c r="J245" s="25" t="n">
        <x:v>540795.65</x:v>
      </x:c>
      <x:c r="K245" s="20" t="str">
        <x:v>Realizado</x:v>
      </x:c>
      <x:c r="L245" s="20" t="str">
        <x:v>CVM_CRI_2025_CLASSE</x:v>
      </x:c>
      <x:c r="M245" s="20" t="str">
        <x:v>Documentado</x:v>
      </x:c>
      <x:c r="N245" s="20" t="str">
        <x:v>Saldo final: saldo agregado reconciliado, controlado por Valor_Atualizado_Emissao. Unidade sem reconciliação permanece n/d; pagamentos realizados ficam documentados.</x:v>
      </x:c>
    </x:row>
    <x:row r="246">
      <x:c r="A246" s="20" t="str">
        <x:v>CRI_K2</x:v>
      </x:c>
      <x:c r="B246" s="20" t="str">
        <x:v>Série 4</x:v>
      </x:c>
      <x:c r="C246" s="20" t="str">
        <x:v>Subordinada</x:v>
      </x:c>
      <x:c r="D246" s="21" t="n">
        <x:v>45992</x:v>
      </x:c>
      <x:c r="E246" s="25" t="n">
        <x:v>19962717</x:v>
      </x:c>
      <x:c r="F246" s="25" t="str">
        <x:v>n/d</x:v>
      </x:c>
      <x:c r="G246" s="25" t="str">
        <x:v>n/d</x:v>
      </x:c>
      <x:c r="H246" s="25" t="n">
        <x:v>19469045.67</x:v>
      </x:c>
      <x:c r="I246" s="25" t="n">
        <x:v>351036.9</x:v>
      </x:c>
      <x:c r="J246" s="25" t="n">
        <x:v>540795.65</x:v>
      </x:c>
      <x:c r="K246" s="20" t="str">
        <x:v>Realizado</x:v>
      </x:c>
      <x:c r="L246" s="20" t="str">
        <x:v>CVM_CRI_2025_CLASSE</x:v>
      </x:c>
      <x:c r="M246" s="20" t="str">
        <x:v>Documentado</x:v>
      </x:c>
      <x:c r="N246" s="20" t="str">
        <x:v>Saldo final: saldo agregado reconciliado, controlado por Valor_Atualizado_Emissao. Unidade sem reconciliação permanece n/d; pagamentos realizados ficam documentados.</x:v>
      </x:c>
    </x:row>
    <x:row r="247">
      <x:c r="A247" s="20" t="str">
        <x:v>CRI_K2</x:v>
      </x:c>
      <x:c r="B247" s="20" t="str">
        <x:v>Série 4</x:v>
      </x:c>
      <x:c r="C247" s="20" t="str">
        <x:v>Subordinada</x:v>
      </x:c>
      <x:c r="D247" s="21" t="n">
        <x:v>46023</x:v>
      </x:c>
      <x:c r="E247" s="25" t="n">
        <x:v>19469045.67</x:v>
      </x:c>
      <x:c r="F247" s="25" t="str">
        <x:v>n/d</x:v>
      </x:c>
      <x:c r="G247" s="25" t="str">
        <x:v>n/d</x:v>
      </x:c>
      <x:c r="H247" s="25" t="n">
        <x:v>18713472.85</x:v>
      </x:c>
      <x:c r="I247" s="25" t="n">
        <x:v>395861.49</x:v>
      </x:c>
      <x:c r="J247" s="25" t="n">
        <x:v>726601.98</x:v>
      </x:c>
      <x:c r="K247" s="20" t="str">
        <x:v>Realizado</x:v>
      </x:c>
      <x:c r="L247" s="20" t="str">
        <x:v>CVM_CRI_2026_CLASSE</x:v>
      </x:c>
      <x:c r="M247" s="20" t="str">
        <x:v>Documentado</x:v>
      </x:c>
      <x:c r="N247" s="20" t="str">
        <x:v>Saldo final: saldo agregado reconciliado, controlado por Valor_Atualizado_Emissao. Unidade sem reconciliação permanece n/d; pagamentos realizados ficam documentados.</x:v>
      </x:c>
    </x:row>
    <x:row r="248">
      <x:c r="A248" s="20" t="str">
        <x:v>CRI_K2</x:v>
      </x:c>
      <x:c r="B248" s="20" t="str">
        <x:v>Série 4</x:v>
      </x:c>
      <x:c r="C248" s="20" t="str">
        <x:v>Subordinada</x:v>
      </x:c>
      <x:c r="D248" s="21" t="n">
        <x:v>46054</x:v>
      </x:c>
      <x:c r="E248" s="25" t="n">
        <x:v>18713472.85</x:v>
      </x:c>
      <x:c r="F248" s="25" t="str">
        <x:v>n/d</x:v>
      </x:c>
      <x:c r="G248" s="25" t="str">
        <x:v>n/d</x:v>
      </x:c>
      <x:c r="H248" s="25" t="n">
        <x:v>18005559</x:v>
      </x:c>
      <x:c r="I248" s="25" t="n">
        <x:v>363371.36</x:v>
      </x:c>
      <x:c r="J248" s="25" t="n">
        <x:v>647934.98</x:v>
      </x:c>
      <x:c r="K248" s="20" t="str">
        <x:v>Realizado</x:v>
      </x:c>
      <x:c r="L248" s="20" t="str">
        <x:v>CVM_CRI_2026_CLASSE</x:v>
      </x:c>
      <x:c r="M248" s="20" t="str">
        <x:v>Documentado</x:v>
      </x:c>
      <x:c r="N248" s="20" t="str">
        <x:v>Saldo final: saldo agregado reconciliado, controlado por Valor_Atualizado_Emissao. Unidade sem reconciliação permanece n/d; pagamentos realizados ficam documentados.</x:v>
      </x:c>
    </x:row>
    <x:row r="249">
      <x:c r="A249" s="20" t="str">
        <x:v>CRI_K2</x:v>
      </x:c>
      <x:c r="B249" s="20" t="str">
        <x:v>Série 4</x:v>
      </x:c>
      <x:c r="C249" s="20" t="str">
        <x:v>Subordinada</x:v>
      </x:c>
      <x:c r="D249" s="21" t="n">
        <x:v>46082</x:v>
      </x:c>
      <x:c r="E249" s="25" t="n">
        <x:v>18005559</x:v>
      </x:c>
      <x:c r="F249" s="25" t="str">
        <x:v>n/d</x:v>
      </x:c>
      <x:c r="G249" s="25" t="str">
        <x:v>n/d</x:v>
      </x:c>
      <x:c r="H249" s="25" t="n">
        <x:v>17577335</x:v>
      </x:c>
      <x:c r="I249" s="25" t="n">
        <x:v>300095.71</x:v>
      </x:c>
      <x:c r="J249" s="25" t="n">
        <x:v>486323.97</x:v>
      </x:c>
      <x:c r="K249" s="20" t="str">
        <x:v>Realizado</x:v>
      </x:c>
      <x:c r="L249" s="20" t="str">
        <x:v>CVM_CRI_2026_CLASSE</x:v>
      </x:c>
      <x:c r="M249" s="20" t="str">
        <x:v>Documentado</x:v>
      </x:c>
      <x:c r="N249" s="20" t="str">
        <x:v>Saldo final: saldo agregado reconciliado, controlado por Valor_Atualizado_Emissao. Unidade sem reconciliação permanece n/d; pagamentos realizados ficam documentados.</x:v>
      </x:c>
    </x:row>
    <x:row r="250">
      <x:c r="A250" s="20" t="str">
        <x:v>CRI_K2</x:v>
      </x:c>
      <x:c r="B250" s="20" t="str">
        <x:v>Série 4</x:v>
      </x:c>
      <x:c r="C250" s="20" t="str">
        <x:v>Subordinada</x:v>
      </x:c>
      <x:c r="D250" s="21" t="n">
        <x:v>46113</x:v>
      </x:c>
      <x:c r="E250" s="25" t="n">
        <x:v>17577335</x:v>
      </x:c>
      <x:c r="F250" s="25" t="str">
        <x:v>n/d</x:v>
      </x:c>
      <x:c r="G250" s="25" t="str">
        <x:v>n/d</x:v>
      </x:c>
      <x:c r="H250" s="25" t="n">
        <x:v>16684558</x:v>
      </x:c>
      <x:c r="I250" s="25" t="n">
        <x:v>355437.66</x:v>
      </x:c>
      <x:c r="J250" s="25" t="n">
        <x:v>847290.3</x:v>
      </x:c>
      <x:c r="K250" s="20" t="str">
        <x:v>Realizado</x:v>
      </x:c>
      <x:c r="L250" s="20" t="str">
        <x:v>CVM_CRI_2026_CLASSE</x:v>
      </x:c>
      <x:c r="M250" s="20" t="str">
        <x:v>Documentado</x:v>
      </x:c>
      <x:c r="N250" s="20" t="str">
        <x:v>Saldo final: saldo agregado reconciliado, controlado por Valor_Atualizado_Emissao. Unidade sem reconciliação permanece n/d; pagamentos realizados ficam documentados.</x:v>
      </x:c>
    </x:row>
    <x:row r="251">
      <x:c r="A251" s="20" t="str">
        <x:v>CRI_K2</x:v>
      </x:c>
      <x:c r="B251" s="20" t="str">
        <x:v>Série 4</x:v>
      </x:c>
      <x:c r="C251" s="20" t="str">
        <x:v>Subordinada</x:v>
      </x:c>
      <x:c r="D251" s="21" t="n">
        <x:v>46143</x:v>
      </x:c>
      <x:c r="E251" s="25" t="n">
        <x:v>16684558</x:v>
      </x:c>
      <x:c r="F251" s="25" t="str">
        <x:v>n/d</x:v>
      </x:c>
      <x:c r="G251" s="25" t="str">
        <x:v>n/d</x:v>
      </x:c>
      <x:c r="H251" s="25" t="n">
        <x:v>16140523</x:v>
      </x:c>
      <x:c r="I251" s="25" t="n">
        <x:v>305106.27</x:v>
      </x:c>
      <x:c r="J251" s="25" t="n">
        <x:v>534507.31</x:v>
      </x:c>
      <x:c r="K251" s="20" t="str">
        <x:v>Realizado</x:v>
      </x:c>
      <x:c r="L251" s="20" t="str">
        <x:v>CVM_CRI_2026_CLASSE</x:v>
      </x:c>
      <x:c r="M251" s="20" t="str">
        <x:v>Documentado</x:v>
      </x:c>
      <x:c r="N251" s="20" t="str">
        <x:v>Saldo final: saldo agregado reconciliado, controlado por Valor_Atualizado_Emissao. Unidade sem reconciliação permanece n/d; pagamentos realizados ficam documentados.</x:v>
      </x:c>
    </x:row>
    <x:row r="252">
      <x:c r="A252" s="20" t="str">
        <x:v>CRI_K2</x:v>
      </x:c>
      <x:c r="B252" s="20" t="str">
        <x:v>Série 5</x:v>
      </x:c>
      <x:c r="C252" s="20" t="str">
        <x:v>Júnior/Subordinada</x:v>
      </x:c>
      <x:c r="D252" s="21" t="n">
        <x:v>45444</x:v>
      </x:c>
      <x:c r="E252" s="25" t="str">
        <x:v>n/d</x:v>
      </x:c>
      <x:c r="F252" s="25" t="str">
        <x:v>n/d</x:v>
      </x:c>
      <x:c r="G252" s="25" t="str">
        <x:v>n/d</x:v>
      </x:c>
      <x:c r="H252" s="25" t="n">
        <x:v>22530150</x:v>
      </x:c>
      <x:c r="I252" s="25" t="n">
        <x:v>0</x:v>
      </x:c>
      <x:c r="J252" s="25" t="n">
        <x:v>0</x:v>
      </x:c>
      <x:c r="K252" s="20" t="str">
        <x:v>Realizado</x:v>
      </x:c>
      <x:c r="L252" s="20" t="str">
        <x:v>CVM_CRI_2024_CLASSE</x:v>
      </x:c>
      <x:c r="M252" s="20" t="str">
        <x:v>Documentado</x:v>
      </x:c>
      <x:c r="N252" s="20" t="str">
        <x:v>Saldo final: valor unitário × quantidade reconciliado,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253">
      <x:c r="A253" s="20" t="str">
        <x:v>CRI_K2</x:v>
      </x:c>
      <x:c r="B253" s="20" t="str">
        <x:v>Série 5</x:v>
      </x:c>
      <x:c r="C253" s="20" t="str">
        <x:v>Júnior/Subordinada</x:v>
      </x:c>
      <x:c r="D253" s="21" t="n">
        <x:v>45474</x:v>
      </x:c>
      <x:c r="E253" s="25" t="n">
        <x:v>22530150</x:v>
      </x:c>
      <x:c r="F253" s="25" t="str">
        <x:v>n/d</x:v>
      </x:c>
      <x:c r="G253" s="25" t="str">
        <x:v>n/d</x:v>
      </x:c>
      <x:c r="H253" s="25" t="n">
        <x:v>22763025</x:v>
      </x:c>
      <x:c r="I253" s="25" t="n">
        <x:v>0</x:v>
      </x:c>
      <x:c r="J253" s="25" t="n">
        <x:v>0</x:v>
      </x:c>
      <x:c r="K253" s="20" t="str">
        <x:v>Realizado</x:v>
      </x:c>
      <x:c r="L253" s="20" t="str">
        <x:v>CVM_CRI_2024_CLASSE</x:v>
      </x:c>
      <x:c r="M253" s="20" t="str">
        <x:v>Documentado</x:v>
      </x:c>
      <x:c r="N253" s="20" t="str">
        <x:v>Saldo final: valor unitário × quantidade reconciliado, controlado por Valor_Atualizado_Emissao. Unidade sem reconciliação permanece n/d; pagamentos realizados ficam documentados.</x:v>
      </x:c>
    </x:row>
    <x:row r="254">
      <x:c r="A254" s="20" t="str">
        <x:v>CRI_K2</x:v>
      </x:c>
      <x:c r="B254" s="20" t="str">
        <x:v>Série 5</x:v>
      </x:c>
      <x:c r="C254" s="20" t="str">
        <x:v>Júnior/Subordinada</x:v>
      </x:c>
      <x:c r="D254" s="21" t="n">
        <x:v>45505</x:v>
      </x:c>
      <x:c r="E254" s="25" t="n">
        <x:v>22763025</x:v>
      </x:c>
      <x:c r="F254" s="25" t="str">
        <x:v>n/d</x:v>
      </x:c>
      <x:c r="G254" s="25" t="str">
        <x:v>n/d</x:v>
      </x:c>
      <x:c r="H254" s="25" t="n">
        <x:v>22988025</x:v>
      </x:c>
      <x:c r="I254" s="25" t="n">
        <x:v>0</x:v>
      </x:c>
      <x:c r="J254" s="25" t="n">
        <x:v>0</x:v>
      </x:c>
      <x:c r="K254" s="20" t="str">
        <x:v>Realizado</x:v>
      </x:c>
      <x:c r="L254" s="20" t="str">
        <x:v>CVM_CRI_2024_CLASSE</x:v>
      </x:c>
      <x:c r="M254" s="20" t="str">
        <x:v>Documentado</x:v>
      </x:c>
      <x:c r="N254" s="20" t="str">
        <x:v>Saldo final: valor unitário × quantidade reconciliado, controlado por Valor_Atualizado_Emissao. Unidade sem reconciliação permanece n/d; pagamentos realizados ficam documentados.</x:v>
      </x:c>
    </x:row>
    <x:row r="255">
      <x:c r="A255" s="20" t="str">
        <x:v>CRI_K2</x:v>
      </x:c>
      <x:c r="B255" s="20" t="str">
        <x:v>Série 5</x:v>
      </x:c>
      <x:c r="C255" s="20" t="str">
        <x:v>Júnior/Subordinada</x:v>
      </x:c>
      <x:c r="D255" s="21" t="n">
        <x:v>45536</x:v>
      </x:c>
      <x:c r="E255" s="25" t="n">
        <x:v>22988025</x:v>
      </x:c>
      <x:c r="F255" s="25" t="str">
        <x:v>n/d</x:v>
      </x:c>
      <x:c r="G255" s="25" t="str">
        <x:v>n/d</x:v>
      </x:c>
      <x:c r="H255" s="25" t="n">
        <x:v>23205150</x:v>
      </x:c>
      <x:c r="I255" s="25" t="n">
        <x:v>0</x:v>
      </x:c>
      <x:c r="J255" s="25" t="n">
        <x:v>0</x:v>
      </x:c>
      <x:c r="K255" s="20" t="str">
        <x:v>Realizado</x:v>
      </x:c>
      <x:c r="L255" s="20" t="str">
        <x:v>CVM_CRI_2024_CLASSE</x:v>
      </x:c>
      <x:c r="M255" s="20" t="str">
        <x:v>Documentado</x:v>
      </x:c>
      <x:c r="N255" s="20" t="str">
        <x:v>Saldo final: valor unitário × quantidade reconciliado, controlado por Valor_Atualizado_Emissao. Unidade sem reconciliação permanece n/d; pagamentos realizados ficam documentados.</x:v>
      </x:c>
    </x:row>
    <x:row r="256">
      <x:c r="A256" s="20" t="str">
        <x:v>CRI_K2</x:v>
      </x:c>
      <x:c r="B256" s="20" t="str">
        <x:v>Série 5</x:v>
      </x:c>
      <x:c r="C256" s="20" t="str">
        <x:v>Júnior/Subordinada</x:v>
      </x:c>
      <x:c r="D256" s="21" t="n">
        <x:v>45566</x:v>
      </x:c>
      <x:c r="E256" s="25" t="n">
        <x:v>23205150</x:v>
      </x:c>
      <x:c r="F256" s="25" t="str">
        <x:v>n/d</x:v>
      </x:c>
      <x:c r="G256" s="25" t="str">
        <x:v>n/d</x:v>
      </x:c>
      <x:c r="H256" s="25" t="n">
        <x:v>23445088.52</x:v>
      </x:c>
      <x:c r="I256" s="25" t="n">
        <x:v>0</x:v>
      </x:c>
      <x:c r="J256" s="25" t="n">
        <x:v>0</x:v>
      </x:c>
      <x:c r="K256" s="20" t="str">
        <x:v>Realizado</x:v>
      </x:c>
      <x:c r="L256" s="20" t="str">
        <x:v>CVM_CRI_2024_CLASSE</x:v>
      </x:c>
      <x:c r="M256" s="20" t="str">
        <x:v>Documentado</x:v>
      </x:c>
      <x:c r="N256" s="20" t="str">
        <x:v>Saldo final: saldo agregado reconciliado, controlado por Valor_Atualizado_Emissao. Unidade sem reconciliação permanece n/d; pagamentos realizados ficam documentados.</x:v>
      </x:c>
    </x:row>
    <x:row r="257">
      <x:c r="A257" s="20" t="str">
        <x:v>CRI_K2</x:v>
      </x:c>
      <x:c r="B257" s="20" t="str">
        <x:v>Série 5</x:v>
      </x:c>
      <x:c r="C257" s="20" t="str">
        <x:v>Júnior/Subordinada</x:v>
      </x:c>
      <x:c r="D257" s="21" t="n">
        <x:v>45597</x:v>
      </x:c>
      <x:c r="E257" s="25" t="n">
        <x:v>23445088.52</x:v>
      </x:c>
      <x:c r="F257" s="25" t="str">
        <x:v>n/d</x:v>
      </x:c>
      <x:c r="G257" s="25" t="str">
        <x:v>n/d</x:v>
      </x:c>
      <x:c r="H257" s="25" t="n">
        <x:v>23645161.66</x:v>
      </x:c>
      <x:c r="I257" s="25" t="n">
        <x:v>0</x:v>
      </x:c>
      <x:c r="J257" s="25" t="n">
        <x:v>0</x:v>
      </x:c>
      <x:c r="K257" s="20" t="str">
        <x:v>Realizado</x:v>
      </x:c>
      <x:c r="L257" s="20" t="str">
        <x:v>CVM_CRI_2024_CLASSE</x:v>
      </x:c>
      <x:c r="M257" s="20" t="str">
        <x:v>Documentado</x:v>
      </x:c>
      <x:c r="N257" s="20" t="str">
        <x:v>Saldo final: saldo agregado reconciliado, controlado por Valor_Atualizado_Emissao. Unidade sem reconciliação permanece n/d; pagamentos realizados ficam documentados.</x:v>
      </x:c>
    </x:row>
    <x:row r="258">
      <x:c r="A258" s="20" t="str">
        <x:v>CRI_K2</x:v>
      </x:c>
      <x:c r="B258" s="20" t="str">
        <x:v>Série 5</x:v>
      </x:c>
      <x:c r="C258" s="20" t="str">
        <x:v>Júnior/Subordinada</x:v>
      </x:c>
      <x:c r="D258" s="21" t="n">
        <x:v>45627</x:v>
      </x:c>
      <x:c r="E258" s="25" t="n">
        <x:v>23645161.66</x:v>
      </x:c>
      <x:c r="F258" s="25" t="str">
        <x:v>n/d</x:v>
      </x:c>
      <x:c r="G258" s="25" t="str">
        <x:v>n/d</x:v>
      </x:c>
      <x:c r="H258" s="25" t="n">
        <x:v>23868282.15</x:v>
      </x:c>
      <x:c r="I258" s="25" t="n">
        <x:v>0</x:v>
      </x:c>
      <x:c r="J258" s="25" t="n">
        <x:v>0</x:v>
      </x:c>
      <x:c r="K258" s="20" t="str">
        <x:v>Realizado</x:v>
      </x:c>
      <x:c r="L258" s="20" t="str">
        <x:v>CVM_CRI_2024_CLASSE</x:v>
      </x:c>
      <x:c r="M258" s="20" t="str">
        <x:v>Documentado</x:v>
      </x:c>
      <x:c r="N258" s="20" t="str">
        <x:v>Saldo final: saldo agregado reconciliado, controlado por Valor_Atualizado_Emissao. Unidade sem reconciliação permanece n/d; pagamentos realizados ficam documentados.</x:v>
      </x:c>
    </x:row>
    <x:row r="259">
      <x:c r="A259" s="20" t="str">
        <x:v>CRI_K2</x:v>
      </x:c>
      <x:c r="B259" s="20" t="str">
        <x:v>Série 5</x:v>
      </x:c>
      <x:c r="C259" s="20" t="str">
        <x:v>Júnior/Subordinada</x:v>
      </x:c>
      <x:c r="D259" s="21" t="n">
        <x:v>45658</x:v>
      </x:c>
      <x:c r="E259" s="25" t="n">
        <x:v>23868282.15</x:v>
      </x:c>
      <x:c r="F259" s="25" t="str">
        <x:v>n/d</x:v>
      </x:c>
      <x:c r="G259" s="25" t="str">
        <x:v>n/d</x:v>
      </x:c>
      <x:c r="H259" s="25" t="str">
        <x:v>n/d</x:v>
      </x:c>
      <x:c r="I259" s="25" t="n">
        <x:v>1421715.65</x:v>
      </x:c>
      <x:c r="J259" s="25" t="n">
        <x:v>0</x:v>
      </x:c>
      <x:c r="K259" s="20" t="str">
        <x:v>Realizado</x:v>
      </x:c>
      <x:c r="L259" s="20" t="str">
        <x:v>CVM_CRI_2025_CLASSE</x:v>
      </x:c>
      <x:c r="M259" s="20" t="str">
        <x:v>Documentado</x:v>
      </x:c>
      <x:c r="N259" s="20" t="str">
        <x:v>Saldo final: n/d, controlado por Valor_Atualizado_Emissao. Unidade sem reconciliação permanece n/d; pagamentos realizados ficam documentados.</x:v>
      </x:c>
    </x:row>
    <x:row r="260">
      <x:c r="A260" s="20" t="str">
        <x:v>CRI_K2</x:v>
      </x:c>
      <x:c r="B260" s="20" t="str">
        <x:v>Série 5</x:v>
      </x:c>
      <x:c r="C260" s="20" t="str">
        <x:v>Júnior/Subordinada</x:v>
      </x:c>
      <x:c r="D260" s="21" t="n">
        <x:v>45689</x:v>
      </x:c>
      <x:c r="E260" s="25" t="str">
        <x:v>n/d</x:v>
      </x:c>
      <x:c r="F260" s="25" t="str">
        <x:v>n/d</x:v>
      </x:c>
      <x:c r="G260" s="25" t="str">
        <x:v>n/d</x:v>
      </x:c>
      <x:c r="H260" s="25" t="str">
        <x:v>n/d</x:v>
      </x:c>
      <x:c r="I260" s="25" t="n">
        <x:v>236532.14</x:v>
      </x:c>
      <x:c r="J260" s="25" t="n">
        <x:v>0</x:v>
      </x:c>
      <x:c r="K260" s="20" t="str">
        <x:v>Realizado</x:v>
      </x:c>
      <x:c r="L260" s="20" t="str">
        <x:v>CVM_CRI_2025_CLASSE</x:v>
      </x:c>
      <x:c r="M260" s="20" t="str">
        <x:v>Documentado</x:v>
      </x:c>
      <x:c r="N260" s="20" t="str">
        <x:v>Saldo final: n/d por conflito de unidade, controlado por Valor_Atualizado_Emissao. Unidade sem reconciliação permanece n/d; pagamentos realizados ficam documentados.</x:v>
      </x:c>
    </x:row>
    <x:row r="261">
      <x:c r="A261" s="20" t="str">
        <x:v>CRI_K2</x:v>
      </x:c>
      <x:c r="B261" s="20" t="str">
        <x:v>Série 5</x:v>
      </x:c>
      <x:c r="C261" s="20" t="str">
        <x:v>Júnior/Subordinada</x:v>
      </x:c>
      <x:c r="D261" s="21" t="n">
        <x:v>45717</x:v>
      </x:c>
      <x:c r="E261" s="25" t="str">
        <x:v>n/d</x:v>
      </x:c>
      <x:c r="F261" s="25" t="str">
        <x:v>n/d</x:v>
      </x:c>
      <x:c r="G261" s="25" t="str">
        <x:v>n/d</x:v>
      </x:c>
      <x:c r="H261" s="25" t="str">
        <x:v>n/d</x:v>
      </x:c>
      <x:c r="I261" s="25" t="n">
        <x:v>217058.11</x:v>
      </x:c>
      <x:c r="J261" s="25" t="n">
        <x:v>0</x:v>
      </x:c>
      <x:c r="K261" s="20" t="str">
        <x:v>Realizado</x:v>
      </x:c>
      <x:c r="L261" s="20" t="str">
        <x:v>CVM_CRI_2025_CLASSE</x:v>
      </x:c>
      <x:c r="M261" s="20" t="str">
        <x:v>Documentado</x:v>
      </x:c>
      <x:c r="N261" s="20" t="str">
        <x:v>Saldo final: n/d por conflito de unidade, controlado por Valor_Atualizado_Emissao. Unidade sem reconciliação permanece n/d; pagamentos realizados ficam documentados.</x:v>
      </x:c>
    </x:row>
    <x:row r="262">
      <x:c r="A262" s="20" t="str">
        <x:v>CRI_K2</x:v>
      </x:c>
      <x:c r="B262" s="20" t="str">
        <x:v>Série 5</x:v>
      </x:c>
      <x:c r="C262" s="20" t="str">
        <x:v>Júnior/Subordinada</x:v>
      </x:c>
      <x:c r="D262" s="21" t="n">
        <x:v>45748</x:v>
      </x:c>
      <x:c r="E262" s="25" t="str">
        <x:v>n/d</x:v>
      </x:c>
      <x:c r="F262" s="25" t="str">
        <x:v>n/d</x:v>
      </x:c>
      <x:c r="G262" s="25" t="str">
        <x:v>n/d</x:v>
      </x:c>
      <x:c r="H262" s="25" t="n">
        <x:v>24748789.84</x:v>
      </x:c>
      <x:c r="I262" s="25" t="n">
        <x:v>0</x:v>
      </x:c>
      <x:c r="J262" s="25" t="n">
        <x:v>0</x:v>
      </x:c>
      <x:c r="K262" s="20" t="str">
        <x:v>Realizado</x:v>
      </x:c>
      <x:c r="L262" s="20" t="str">
        <x:v>CVM_CRI_2025_CLASSE</x:v>
      </x:c>
      <x:c r="M262" s="20" t="str">
        <x:v>Documentado</x:v>
      </x:c>
      <x:c r="N262" s="20" t="str">
        <x:v>Saldo final: saldo agregado reconciliado, controlado por Valor_Atualizado_Emissao. Unidade sem reconciliação permanece n/d; pagamentos realizados ficam documentados.</x:v>
      </x:c>
    </x:row>
    <x:row r="263">
      <x:c r="A263" s="20" t="str">
        <x:v>CRI_K2</x:v>
      </x:c>
      <x:c r="B263" s="20" t="str">
        <x:v>Série 5</x:v>
      </x:c>
      <x:c r="C263" s="20" t="str">
        <x:v>Júnior/Subordinada</x:v>
      </x:c>
      <x:c r="D263" s="21" t="n">
        <x:v>45778</x:v>
      </x:c>
      <x:c r="E263" s="25" t="n">
        <x:v>24748789.84</x:v>
      </x:c>
      <x:c r="F263" s="25" t="str">
        <x:v>n/d</x:v>
      </x:c>
      <x:c r="G263" s="25" t="str">
        <x:v>n/d</x:v>
      </x:c>
      <x:c r="H263" s="25" t="n">
        <x:v>24982324.37</x:v>
      </x:c>
      <x:c r="I263" s="25" t="n">
        <x:v>0</x:v>
      </x:c>
      <x:c r="J263" s="25" t="n">
        <x:v>0</x:v>
      </x:c>
      <x:c r="K263" s="20" t="str">
        <x:v>Realizado</x:v>
      </x:c>
      <x:c r="L263" s="20" t="str">
        <x:v>CVM_CRI_2025_CLASSE</x:v>
      </x:c>
      <x:c r="M263" s="20" t="str">
        <x:v>Documentado</x:v>
      </x:c>
      <x:c r="N263" s="20" t="str">
        <x:v>Saldo final: saldo agregado reconciliado, controlado por Valor_Atualizado_Emissao. Unidade sem reconciliação permanece n/d; pagamentos realizados ficam documentados.</x:v>
      </x:c>
    </x:row>
    <x:row r="264">
      <x:c r="A264" s="20" t="str">
        <x:v>CRI_K2</x:v>
      </x:c>
      <x:c r="B264" s="20" t="str">
        <x:v>Série 5</x:v>
      </x:c>
      <x:c r="C264" s="20" t="str">
        <x:v>Júnior/Subordinada</x:v>
      </x:c>
      <x:c r="D264" s="21" t="n">
        <x:v>45809</x:v>
      </x:c>
      <x:c r="E264" s="25" t="n">
        <x:v>24982324.37</x:v>
      </x:c>
      <x:c r="F264" s="25" t="str">
        <x:v>n/d</x:v>
      </x:c>
      <x:c r="G264" s="25" t="str">
        <x:v>n/d</x:v>
      </x:c>
      <x:c r="H264" s="25" t="n">
        <x:v>25038251.85</x:v>
      </x:c>
      <x:c r="I264" s="25" t="n">
        <x:v>0</x:v>
      </x:c>
      <x:c r="J264" s="25" t="n">
        <x:v>0</x:v>
      </x:c>
      <x:c r="K264" s="20" t="str">
        <x:v>Realizado</x:v>
      </x:c>
      <x:c r="L264" s="20" t="str">
        <x:v>CVM_CRI_2025_CLASSE</x:v>
      </x:c>
      <x:c r="M264" s="20" t="str">
        <x:v>Documentado</x:v>
      </x:c>
      <x:c r="N264" s="20" t="str">
        <x:v>Saldo final: saldo agregado reconciliado, controlado por Valor_Atualizado_Emissao. Unidade sem reconciliação permanece n/d; pagamentos realizados ficam documentados.</x:v>
      </x:c>
    </x:row>
    <x:row r="265">
      <x:c r="A265" s="20" t="str">
        <x:v>CRI_K2</x:v>
      </x:c>
      <x:c r="B265" s="20" t="str">
        <x:v>Série 5</x:v>
      </x:c>
      <x:c r="C265" s="20" t="str">
        <x:v>Júnior/Subordinada</x:v>
      </x:c>
      <x:c r="D265" s="21" t="n">
        <x:v>45839</x:v>
      </x:c>
      <x:c r="E265" s="25" t="n">
        <x:v>25038251.85</x:v>
      </x:c>
      <x:c r="F265" s="25" t="str">
        <x:v>n/d</x:v>
      </x:c>
      <x:c r="G265" s="25" t="str">
        <x:v>n/d</x:v>
      </x:c>
      <x:c r="H265" s="25" t="n">
        <x:v>25467412.67</x:v>
      </x:c>
      <x:c r="I265" s="25" t="n">
        <x:v>0</x:v>
      </x:c>
      <x:c r="J265" s="25" t="n">
        <x:v>0</x:v>
      </x:c>
      <x:c r="K265" s="20" t="str">
        <x:v>Realizado</x:v>
      </x:c>
      <x:c r="L265" s="20" t="str">
        <x:v>CVM_CRI_2025_CLASSE</x:v>
      </x:c>
      <x:c r="M265" s="20" t="str">
        <x:v>Documentado</x:v>
      </x:c>
      <x:c r="N265" s="20" t="str">
        <x:v>Saldo final: saldo agregado reconciliado, controlado por Valor_Atualizado_Emissao. Unidade sem reconciliação permanece n/d; pagamentos realizados ficam documentados.</x:v>
      </x:c>
    </x:row>
    <x:row r="266">
      <x:c r="A266" s="20" t="str">
        <x:v>CRI_K2</x:v>
      </x:c>
      <x:c r="B266" s="20" t="str">
        <x:v>Série 5</x:v>
      </x:c>
      <x:c r="C266" s="20" t="str">
        <x:v>Júnior/Subordinada</x:v>
      </x:c>
      <x:c r="D266" s="21" t="n">
        <x:v>45870</x:v>
      </x:c>
      <x:c r="E266" s="25" t="n">
        <x:v>25467412.67</x:v>
      </x:c>
      <x:c r="F266" s="25" t="str">
        <x:v>n/d</x:v>
      </x:c>
      <x:c r="G266" s="25" t="str">
        <x:v>n/d</x:v>
      </x:c>
      <x:c r="H266" s="25" t="n">
        <x:v>25467412.67</x:v>
      </x:c>
      <x:c r="I266" s="25" t="n">
        <x:v>0</x:v>
      </x:c>
      <x:c r="J266" s="25" t="n">
        <x:v>0</x:v>
      </x:c>
      <x:c r="K266" s="20" t="str">
        <x:v>Realizado</x:v>
      </x:c>
      <x:c r="L266" s="20" t="str">
        <x:v>CVM_CRI_2025_CLASSE</x:v>
      </x:c>
      <x:c r="M266" s="20" t="str">
        <x:v>Documentado</x:v>
      </x:c>
      <x:c r="N266" s="20" t="str">
        <x:v>Saldo final: saldo agregado reconciliado, controlado por Valor_Atualizado_Emissao. Unidade sem reconciliação permanece n/d; pagamentos realizados ficam documentados.</x:v>
      </x:c>
    </x:row>
    <x:row r="267">
      <x:c r="A267" s="20" t="str">
        <x:v>CRI_K2</x:v>
      </x:c>
      <x:c r="B267" s="20" t="str">
        <x:v>Série 5</x:v>
      </x:c>
      <x:c r="C267" s="20" t="str">
        <x:v>Júnior/Subordinada</x:v>
      </x:c>
      <x:c r="D267" s="21" t="n">
        <x:v>45901</x:v>
      </x:c>
      <x:c r="E267" s="25" t="n">
        <x:v>25467412.67</x:v>
      </x:c>
      <x:c r="F267" s="25" t="str">
        <x:v>n/d</x:v>
      </x:c>
      <x:c r="G267" s="25" t="str">
        <x:v>n/d</x:v>
      </x:c>
      <x:c r="H267" s="25" t="n">
        <x:v>25961920.07</x:v>
      </x:c>
      <x:c r="I267" s="25" t="n">
        <x:v>0</x:v>
      </x:c>
      <x:c r="J267" s="25" t="n">
        <x:v>0</x:v>
      </x:c>
      <x:c r="K267" s="20" t="str">
        <x:v>Realizado</x:v>
      </x:c>
      <x:c r="L267" s="20" t="str">
        <x:v>CVM_CRI_2025_CLASSE</x:v>
      </x:c>
      <x:c r="M267" s="20" t="str">
        <x:v>Documentado</x:v>
      </x:c>
      <x:c r="N267" s="20" t="str">
        <x:v>Saldo final: saldo agregado reconciliado, controlado por Valor_Atualizado_Emissao. Unidade sem reconciliação permanece n/d; pagamentos realizados ficam documentados.</x:v>
      </x:c>
    </x:row>
    <x:row r="268">
      <x:c r="A268" s="20" t="str">
        <x:v>CRI_K2</x:v>
      </x:c>
      <x:c r="B268" s="20" t="str">
        <x:v>Série 5</x:v>
      </x:c>
      <x:c r="C268" s="20" t="str">
        <x:v>Júnior/Subordinada</x:v>
      </x:c>
      <x:c r="D268" s="21" t="n">
        <x:v>45931</x:v>
      </x:c>
      <x:c r="E268" s="25" t="n">
        <x:v>25961920.07</x:v>
      </x:c>
      <x:c r="F268" s="25" t="str">
        <x:v>n/d</x:v>
      </x:c>
      <x:c r="G268" s="25" t="str">
        <x:v>n/d</x:v>
      </x:c>
      <x:c r="H268" s="25" t="n">
        <x:v>26230353.78</x:v>
      </x:c>
      <x:c r="I268" s="25" t="n">
        <x:v>269034.65</x:v>
      </x:c>
      <x:c r="J268" s="25" t="n">
        <x:v>1389215.1</x:v>
      </x:c>
      <x:c r="K268" s="20" t="str">
        <x:v>Realizado</x:v>
      </x:c>
      <x:c r="L268" s="20" t="str">
        <x:v>CVM_CRI_2025_CLASSE</x:v>
      </x:c>
      <x:c r="M268" s="20" t="str">
        <x:v>Documentado</x:v>
      </x:c>
      <x:c r="N268" s="20" t="str">
        <x:v>Saldo final: saldo agregado reconciliado, controlado por Valor_Atualizado_Emissao. Unidade sem reconciliação permanece n/d; pagamentos realizados ficam documentados.</x:v>
      </x:c>
    </x:row>
    <x:row r="269">
      <x:c r="A269" s="20" t="str">
        <x:v>CRI_K2</x:v>
      </x:c>
      <x:c r="B269" s="20" t="str">
        <x:v>Série 5</x:v>
      </x:c>
      <x:c r="C269" s="20" t="str">
        <x:v>Júnior/Subordinada</x:v>
      </x:c>
      <x:c r="D269" s="21" t="n">
        <x:v>45962</x:v>
      </x:c>
      <x:c r="E269" s="25" t="n">
        <x:v>26230353.78</x:v>
      </x:c>
      <x:c r="F269" s="25" t="str">
        <x:v>n/d</x:v>
      </x:c>
      <x:c r="G269" s="25" t="str">
        <x:v>n/d</x:v>
      </x:c>
      <x:c r="H269" s="25" t="n">
        <x:v>24785530</x:v>
      </x:c>
      <x:c r="I269" s="25" t="n">
        <x:v>210191.85</x:v>
      </x:c>
      <x:c r="J269" s="25" t="n">
        <x:v>675987.07</x:v>
      </x:c>
      <x:c r="K269" s="20" t="str">
        <x:v>Realizado</x:v>
      </x:c>
      <x:c r="L269" s="20" t="str">
        <x:v>CVM_CRI_2025_CLASSE</x:v>
      </x:c>
      <x:c r="M269" s="20" t="str">
        <x:v>Documentado</x:v>
      </x:c>
      <x:c r="N269" s="20" t="str">
        <x:v>Saldo final: saldo agregado reconciliado, controlado por Valor_Atualizado_Emissao. Unidade sem reconciliação permanece n/d; pagamentos realizados ficam documentados.</x:v>
      </x:c>
    </x:row>
    <x:row r="270">
      <x:c r="A270" s="20" t="str">
        <x:v>CRI_K2</x:v>
      </x:c>
      <x:c r="B270" s="20" t="str">
        <x:v>Série 5</x:v>
      </x:c>
      <x:c r="C270" s="20" t="str">
        <x:v>Júnior/Subordinada</x:v>
      </x:c>
      <x:c r="D270" s="21" t="n">
        <x:v>45992</x:v>
      </x:c>
      <x:c r="E270" s="25" t="n">
        <x:v>24785530</x:v>
      </x:c>
      <x:c r="F270" s="25" t="str">
        <x:v>n/d</x:v>
      </x:c>
      <x:c r="G270" s="25" t="str">
        <x:v>n/d</x:v>
      </x:c>
      <x:c r="H270" s="25" t="n">
        <x:v>24137661.49</x:v>
      </x:c>
      <x:c r="I270" s="25" t="n">
        <x:v>210191.85</x:v>
      </x:c>
      <x:c r="J270" s="25" t="n">
        <x:v>675987.07</x:v>
      </x:c>
      <x:c r="K270" s="20" t="str">
        <x:v>Realizado</x:v>
      </x:c>
      <x:c r="L270" s="20" t="str">
        <x:v>CVM_CRI_2025_CLASSE</x:v>
      </x:c>
      <x:c r="M270" s="20" t="str">
        <x:v>Documentado</x:v>
      </x:c>
      <x:c r="N270" s="20" t="str">
        <x:v>Saldo final: saldo agregado reconciliado, controlado por Valor_Atualizado_Emissao. Unidade sem reconciliação permanece n/d; pagamentos realizados ficam documentados.</x:v>
      </x:c>
    </x:row>
    <x:row r="271">
      <x:c r="A271" s="20" t="str">
        <x:v>CRI_K2</x:v>
      </x:c>
      <x:c r="B271" s="20" t="str">
        <x:v>Série 5</x:v>
      </x:c>
      <x:c r="C271" s="20" t="str">
        <x:v>Júnior/Subordinada</x:v>
      </x:c>
      <x:c r="D271" s="21" t="n">
        <x:v>46023</x:v>
      </x:c>
      <x:c r="E271" s="25" t="n">
        <x:v>24137661.49</x:v>
      </x:c>
      <x:c r="F271" s="25" t="str">
        <x:v>n/d</x:v>
      </x:c>
      <x:c r="G271" s="25" t="str">
        <x:v>n/d</x:v>
      </x:c>
      <x:c r="H271" s="25" t="n">
        <x:v>23212086.07</x:v>
      </x:c>
      <x:c r="I271" s="25" t="n">
        <x:v>236859.64</x:v>
      </x:c>
      <x:c r="J271" s="25" t="n">
        <x:v>908259.97</x:v>
      </x:c>
      <x:c r="K271" s="20" t="str">
        <x:v>Realizado</x:v>
      </x:c>
      <x:c r="L271" s="20" t="str">
        <x:v>CVM_CRI_2026_CLASSE</x:v>
      </x:c>
      <x:c r="M271" s="20" t="str">
        <x:v>Documentado</x:v>
      </x:c>
      <x:c r="N271" s="20" t="str">
        <x:v>Saldo final: saldo agregado reconciliado, controlado por Valor_Atualizado_Emissao. Unidade sem reconciliação permanece n/d; pagamentos realizados ficam documentados.</x:v>
      </x:c>
    </x:row>
    <x:row r="272">
      <x:c r="A272" s="20" t="str">
        <x:v>CRI_K2</x:v>
      </x:c>
      <x:c r="B272" s="20" t="str">
        <x:v>Série 5</x:v>
      </x:c>
      <x:c r="C272" s="20" t="str">
        <x:v>Júnior/Subordinada</x:v>
      </x:c>
      <x:c r="D272" s="21" t="n">
        <x:v>46054</x:v>
      </x:c>
      <x:c r="E272" s="25" t="n">
        <x:v>23212086.07</x:v>
      </x:c>
      <x:c r="F272" s="25" t="str">
        <x:v>n/d</x:v>
      </x:c>
      <x:c r="G272" s="25" t="str">
        <x:v>n/d</x:v>
      </x:c>
      <x:c r="H272" s="25" t="n">
        <x:v>22366322</x:v>
      </x:c>
      <x:c r="I272" s="25" t="n">
        <x:v>217472.12</x:v>
      </x:c>
      <x:c r="J272" s="25" t="n">
        <x:v>809918.73</x:v>
      </x:c>
      <x:c r="K272" s="20" t="str">
        <x:v>Realizado</x:v>
      </x:c>
      <x:c r="L272" s="20" t="str">
        <x:v>CVM_CRI_2026_CLASSE</x:v>
      </x:c>
      <x:c r="M272" s="20" t="str">
        <x:v>Documentado</x:v>
      </x:c>
      <x:c r="N272" s="20" t="str">
        <x:v>Saldo final: saldo agregado reconciliado, controlado por Valor_Atualizado_Emissao. Unidade sem reconciliação permanece n/d; pagamentos realizados ficam documentados.</x:v>
      </x:c>
    </x:row>
    <x:row r="273">
      <x:c r="A273" s="20" t="str">
        <x:v>CRI_K2</x:v>
      </x:c>
      <x:c r="B273" s="20" t="str">
        <x:v>Série 5</x:v>
      </x:c>
      <x:c r="C273" s="20" t="str">
        <x:v>Júnior/Subordinada</x:v>
      </x:c>
      <x:c r="D273" s="21" t="n">
        <x:v>46082</x:v>
      </x:c>
      <x:c r="E273" s="25" t="n">
        <x:v>22366322</x:v>
      </x:c>
      <x:c r="F273" s="25" t="str">
        <x:v>n/d</x:v>
      </x:c>
      <x:c r="G273" s="25" t="str">
        <x:v>n/d</x:v>
      </x:c>
      <x:c r="H273" s="25" t="n">
        <x:v>21793825</x:v>
      </x:c>
      <x:c r="I273" s="25" t="n">
        <x:v>179733.14</x:v>
      </x:c>
      <x:c r="J273" s="25" t="n">
        <x:v>607904.96</x:v>
      </x:c>
      <x:c r="K273" s="20" t="str">
        <x:v>Realizado</x:v>
      </x:c>
      <x:c r="L273" s="20" t="str">
        <x:v>CVM_CRI_2026_CLASSE</x:v>
      </x:c>
      <x:c r="M273" s="20" t="str">
        <x:v>Documentado</x:v>
      </x:c>
      <x:c r="N273" s="20" t="str">
        <x:v>Saldo final: saldo agregado reconciliado, controlado por Valor_Atualizado_Emissao. Unidade sem reconciliação permanece n/d; pagamentos realizados ficam documentados.</x:v>
      </x:c>
    </x:row>
    <x:row r="274">
      <x:c r="A274" s="20" t="str">
        <x:v>CRI_K2</x:v>
      </x:c>
      <x:c r="B274" s="20" t="str">
        <x:v>Série 5</x:v>
      </x:c>
      <x:c r="C274" s="20" t="str">
        <x:v>Júnior/Subordinada</x:v>
      </x:c>
      <x:c r="D274" s="21" t="n">
        <x:v>46113</x:v>
      </x:c>
      <x:c r="E274" s="25" t="n">
        <x:v>21793825</x:v>
      </x:c>
      <x:c r="F274" s="25" t="str">
        <x:v>n/d</x:v>
      </x:c>
      <x:c r="G274" s="25" t="str">
        <x:v>n/d</x:v>
      </x:c>
      <x:c r="H274" s="25" t="n">
        <x:v>20708098</x:v>
      </x:c>
      <x:c r="I274" s="25" t="n">
        <x:v>213859.89</x:v>
      </x:c>
      <x:c r="J274" s="25" t="n">
        <x:v>1059112.88</x:v>
      </x:c>
      <x:c r="K274" s="20" t="str">
        <x:v>Realizado</x:v>
      </x:c>
      <x:c r="L274" s="20" t="str">
        <x:v>CVM_CRI_2026_CLASSE</x:v>
      </x:c>
      <x:c r="M274" s="20" t="str">
        <x:v>Documentado</x:v>
      </x:c>
      <x:c r="N274" s="20" t="str">
        <x:v>Saldo final: saldo agregado reconciliado, controlado por Valor_Atualizado_Emissao. Unidade sem reconciliação permanece n/d; pagamentos realizados ficam documentados.</x:v>
      </x:c>
    </x:row>
    <x:row r="275">
      <x:c r="A275" s="20" t="str">
        <x:v>CRI_K2</x:v>
      </x:c>
      <x:c r="B275" s="20" t="str">
        <x:v>Série 5</x:v>
      </x:c>
      <x:c r="C275" s="20" t="str">
        <x:v>Júnior/Subordinada</x:v>
      </x:c>
      <x:c r="D275" s="21" t="n">
        <x:v>46143</x:v>
      </x:c>
      <x:c r="E275" s="25" t="n">
        <x:v>20708098</x:v>
      </x:c>
      <x:c r="F275" s="25" t="str">
        <x:v>n/d</x:v>
      </x:c>
      <x:c r="G275" s="25" t="str">
        <x:v>n/d</x:v>
      </x:c>
      <x:c r="H275" s="25" t="n">
        <x:v>20035464</x:v>
      </x:c>
      <x:c r="I275" s="25" t="n">
        <x:v>184815.04</x:v>
      </x:c>
      <x:c r="J275" s="25" t="n">
        <x:v>668136.65</x:v>
      </x:c>
      <x:c r="K275" s="20" t="str">
        <x:v>Realizado</x:v>
      </x:c>
      <x:c r="L275" s="20" t="str">
        <x:v>CVM_CRI_2026_CLASSE</x:v>
      </x:c>
      <x:c r="M275" s="20" t="str">
        <x:v>Documentado</x:v>
      </x:c>
      <x:c r="N275" s="20" t="str">
        <x:v>Saldo final: saldo agregado reconciliado, controlado por Valor_Atualizado_Emissao. Unidade sem reconciliação permanece n/d; pagamentos realizados ficam documentados.</x:v>
      </x:c>
    </x:row>
    <x:row r="276">
      <x:c r="A276" s="20" t="str">
        <x:v>CRI_K2</x:v>
      </x:c>
      <x:c r="B276" s="20" t="str">
        <x:v>Série 1</x:v>
      </x:c>
      <x:c r="C276" s="20" t="str">
        <x:v>Super Sênior</x:v>
      </x:c>
      <x:c r="D276" s="21" t="n">
        <x:v>47276</x:v>
      </x:c>
      <x:c r="E276" s="25" t="str">
        <x:v>n/d</x:v>
      </x:c>
      <x:c r="F276" s="25" t="str">
        <x:v>n/d</x:v>
      </x:c>
      <x:c r="G276" s="25" t="str">
        <x:v>n/d</x:v>
      </x:c>
      <x:c r="H276" s="25" t="str">
        <x:v>n/d</x:v>
      </x:c>
      <x:c r="I276" s="25" t="str">
        <x:v>n/d</x:v>
      </x:c>
      <x:c r="J276" s="25" t="str">
        <x:v>n/d</x:v>
      </x:c>
      <x:c r="K276" s="20" t="str">
        <x:v>Projetado</x:v>
      </x:c>
      <x:c r="L276" s="20" t="str">
        <x:v>ANX_CRI2_RATING_202406</x:v>
      </x:c>
      <x:c r="M276" s="20" t="str">
        <x:v>n/d</x:v>
      </x:c>
      <x:c r="N276" s="20" t="str">
        <x:v>Curva contratual mensal completa não localizada; a data de vencimento não foi transformada em projeção bullet.</x:v>
      </x:c>
    </x:row>
    <x:row r="277">
      <x:c r="A277" s="20" t="str">
        <x:v>CRI_K2</x:v>
      </x:c>
      <x:c r="B277" s="20" t="str">
        <x:v>Série 2</x:v>
      </x:c>
      <x:c r="C277" s="20" t="str">
        <x:v>Sênior</x:v>
      </x:c>
      <x:c r="D277" s="21" t="n">
        <x:v>48372</x:v>
      </x:c>
      <x:c r="E277" s="25" t="str">
        <x:v>n/d</x:v>
      </x:c>
      <x:c r="F277" s="25" t="str">
        <x:v>n/d</x:v>
      </x:c>
      <x:c r="G277" s="25" t="str">
        <x:v>n/d</x:v>
      </x:c>
      <x:c r="H277" s="25" t="str">
        <x:v>n/d</x:v>
      </x:c>
      <x:c r="I277" s="25" t="str">
        <x:v>n/d</x:v>
      </x:c>
      <x:c r="J277" s="25" t="str">
        <x:v>n/d</x:v>
      </x:c>
      <x:c r="K277" s="20" t="str">
        <x:v>Projetado</x:v>
      </x:c>
      <x:c r="L277" s="20" t="str">
        <x:v>ANX_CRI2_RATING_202406</x:v>
      </x:c>
      <x:c r="M277" s="20" t="str">
        <x:v>n/d</x:v>
      </x:c>
      <x:c r="N277" s="20" t="str">
        <x:v>Curva contratual mensal completa não localizada; a data de vencimento não foi transformada em projeção bullet.</x:v>
      </x:c>
    </x:row>
    <x:row r="278">
      <x:c r="A278" s="20" t="str">
        <x:v>CRI_K2</x:v>
      </x:c>
      <x:c r="B278" s="20" t="str">
        <x:v>Série 3</x:v>
      </x:c>
      <x:c r="C278" s="20" t="str">
        <x:v>Mezanino</x:v>
      </x:c>
      <x:c r="D278" s="21" t="n">
        <x:v>49102</x:v>
      </x:c>
      <x:c r="E278" s="25" t="str">
        <x:v>n/d</x:v>
      </x:c>
      <x:c r="F278" s="25" t="str">
        <x:v>n/d</x:v>
      </x:c>
      <x:c r="G278" s="25" t="str">
        <x:v>n/d</x:v>
      </x:c>
      <x:c r="H278" s="25" t="str">
        <x:v>n/d</x:v>
      </x:c>
      <x:c r="I278" s="25" t="str">
        <x:v>n/d</x:v>
      </x:c>
      <x:c r="J278" s="25" t="str">
        <x:v>n/d</x:v>
      </x:c>
      <x:c r="K278" s="20" t="str">
        <x:v>Projetado</x:v>
      </x:c>
      <x:c r="L278" s="20" t="str">
        <x:v>ANX_CRI2_RATING_202406</x:v>
      </x:c>
      <x:c r="M278" s="20" t="str">
        <x:v>n/d</x:v>
      </x:c>
      <x:c r="N278" s="20" t="str">
        <x:v>Curva contratual mensal completa não localizada; a data de vencimento não foi transformada em projeção bullet.</x:v>
      </x:c>
    </x:row>
    <x:row r="279">
      <x:c r="A279" s="20" t="str">
        <x:v>CRI_K2</x:v>
      </x:c>
      <x:c r="B279" s="20" t="str">
        <x:v>Série 4</x:v>
      </x:c>
      <x:c r="C279" s="20" t="str">
        <x:v>Subordinada</x:v>
      </x:c>
      <x:c r="D279" s="21" t="n">
        <x:v>49102</x:v>
      </x:c>
      <x:c r="E279" s="25" t="str">
        <x:v>n/d</x:v>
      </x:c>
      <x:c r="F279" s="25" t="str">
        <x:v>n/d</x:v>
      </x:c>
      <x:c r="G279" s="25" t="str">
        <x:v>n/d</x:v>
      </x:c>
      <x:c r="H279" s="25" t="str">
        <x:v>n/d</x:v>
      </x:c>
      <x:c r="I279" s="25" t="str">
        <x:v>n/d</x:v>
      </x:c>
      <x:c r="J279" s="25" t="str">
        <x:v>n/d</x:v>
      </x:c>
      <x:c r="K279" s="20" t="str">
        <x:v>Projetado</x:v>
      </x:c>
      <x:c r="L279" s="20" t="str">
        <x:v>ANX_CRI2_RATING_202406</x:v>
      </x:c>
      <x:c r="M279" s="20" t="str">
        <x:v>n/d</x:v>
      </x:c>
      <x:c r="N279" s="20" t="str">
        <x:v>Curva contratual mensal completa não localizada; a data de vencimento não foi transformada em projeção bullet.</x:v>
      </x:c>
    </x:row>
    <x:row r="280">
      <x:c r="A280" s="20" t="str">
        <x:v>CRI_K2</x:v>
      </x:c>
      <x:c r="B280" s="20" t="str">
        <x:v>Série 5</x:v>
      </x:c>
      <x:c r="C280" s="20" t="str">
        <x:v>Júnior/Subordinada</x:v>
      </x:c>
      <x:c r="D280" s="21" t="str">
        <x:v>n/d</x:v>
      </x:c>
      <x:c r="E280" s="25" t="str">
        <x:v>n/d</x:v>
      </x:c>
      <x:c r="F280" s="25" t="str">
        <x:v>n/d</x:v>
      </x:c>
      <x:c r="G280" s="25" t="str">
        <x:v>n/d</x:v>
      </x:c>
      <x:c r="H280" s="25" t="str">
        <x:v>n/d</x:v>
      </x:c>
      <x:c r="I280" s="25" t="str">
        <x:v>n/d</x:v>
      </x:c>
      <x:c r="J280" s="25" t="str">
        <x:v>n/d</x:v>
      </x:c>
      <x:c r="K280" s="20" t="str">
        <x:v>Projetado</x:v>
      </x:c>
      <x:c r="L280" s="20" t="str">
        <x:v>ANX_CRI2_RATING_202406</x:v>
      </x:c>
      <x:c r="M280" s="20" t="str">
        <x:v>n/d</x:v>
      </x:c>
      <x:c r="N280" s="20" t="str">
        <x:v>Curva contratual mensal completa não localizada; a data de vencimento não foi transformada em projeção bullet.</x:v>
      </x:c>
    </x:row>
    <x:row r="281">
      <x:c r="A281" s="20" t="str">
        <x:v>CRI_K3</x:v>
      </x:c>
      <x:c r="B281" s="20" t="str">
        <x:v>Série 1</x:v>
      </x:c>
      <x:c r="C281" s="20" t="str">
        <x:v>Super Sênior A</x:v>
      </x:c>
      <x:c r="D281" s="21" t="n">
        <x:v>45809</x:v>
      </x:c>
      <x:c r="E281" s="25" t="str">
        <x:v>n/d</x:v>
      </x:c>
      <x:c r="F281" s="25" t="str">
        <x:v>n/d</x:v>
      </x:c>
      <x:c r="G281" s="25" t="str">
        <x:v>n/d</x:v>
      </x:c>
      <x:c r="H281" s="25" t="str">
        <x:v>n/d</x:v>
      </x:c>
      <x:c r="I281" s="25" t="n">
        <x:v>0</x:v>
      </x:c>
      <x:c r="J281" s="25" t="n">
        <x:v>0</x:v>
      </x:c>
      <x:c r="K281" s="20" t="str">
        <x:v>Realizado</x:v>
      </x:c>
      <x:c r="L281" s="20" t="str">
        <x:v>CVM_CRI_2025_CLASSE</x:v>
      </x:c>
      <x:c r="M281" s="20" t="str">
        <x:v>Documentado</x:v>
      </x:c>
      <x:c r="N281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282">
      <x:c r="A282" s="20" t="str">
        <x:v>CRI_K3</x:v>
      </x:c>
      <x:c r="B282" s="20" t="str">
        <x:v>Série 1</x:v>
      </x:c>
      <x:c r="C282" s="20" t="str">
        <x:v>Super Sênior A</x:v>
      </x:c>
      <x:c r="D282" s="21" t="n">
        <x:v>45839</x:v>
      </x:c>
      <x:c r="E282" s="25" t="str">
        <x:v>n/d</x:v>
      </x:c>
      <x:c r="F282" s="25" t="str">
        <x:v>n/d</x:v>
      </x:c>
      <x:c r="G282" s="25" t="str">
        <x:v>n/d</x:v>
      </x:c>
      <x:c r="H282" s="25" t="str">
        <x:v>n/d</x:v>
      </x:c>
      <x:c r="I282" s="25" t="n">
        <x:v>0</x:v>
      </x:c>
      <x:c r="J282" s="25" t="n">
        <x:v>0</x:v>
      </x:c>
      <x:c r="K282" s="20" t="str">
        <x:v>Realizado</x:v>
      </x:c>
      <x:c r="L282" s="20" t="str">
        <x:v>CVM_CRI_2025_CLASSE</x:v>
      </x:c>
      <x:c r="M282" s="20" t="str">
        <x:v>Documentado</x:v>
      </x:c>
      <x:c r="N282" s="20" t="str">
        <x:v>Saldo final: n/d, controlado por Valor_Atualizado_Emissao. Unidade sem reconciliação permanece n/d; pagamentos realizados ficam documentados.</x:v>
      </x:c>
    </x:row>
    <x:row r="283">
      <x:c r="A283" s="20" t="str">
        <x:v>CRI_K3</x:v>
      </x:c>
      <x:c r="B283" s="20" t="str">
        <x:v>Série 1</x:v>
      </x:c>
      <x:c r="C283" s="20" t="str">
        <x:v>Super Sênior A</x:v>
      </x:c>
      <x:c r="D283" s="21" t="n">
        <x:v>45870</x:v>
      </x:c>
      <x:c r="E283" s="25" t="str">
        <x:v>n/d</x:v>
      </x:c>
      <x:c r="F283" s="25" t="str">
        <x:v>n/d</x:v>
      </x:c>
      <x:c r="G283" s="25" t="str">
        <x:v>n/d</x:v>
      </x:c>
      <x:c r="H283" s="25" t="str">
        <x:v>n/d</x:v>
      </x:c>
      <x:c r="I283" s="25" t="n">
        <x:v>6412611.95</x:v>
      </x:c>
      <x:c r="J283" s="25" t="n">
        <x:v>21423969.23</x:v>
      </x:c>
      <x:c r="K283" s="20" t="str">
        <x:v>Realizado</x:v>
      </x:c>
      <x:c r="L283" s="20" t="str">
        <x:v>CVM_CRI_2025_CLASSE</x:v>
      </x:c>
      <x:c r="M283" s="20" t="str">
        <x:v>Documentado</x:v>
      </x:c>
      <x:c r="N283" s="20" t="str">
        <x:v>Saldo final: n/d, controlado por Valor_Atualizado_Emissao. Unidade sem reconciliação permanece n/d; pagamentos realizados ficam documentados.</x:v>
      </x:c>
    </x:row>
    <x:row r="284">
      <x:c r="A284" s="20" t="str">
        <x:v>CRI_K3</x:v>
      </x:c>
      <x:c r="B284" s="20" t="str">
        <x:v>Série 1</x:v>
      </x:c>
      <x:c r="C284" s="20" t="str">
        <x:v>Super Sênior A</x:v>
      </x:c>
      <x:c r="D284" s="21" t="n">
        <x:v>45901</x:v>
      </x:c>
      <x:c r="E284" s="25" t="str">
        <x:v>n/d</x:v>
      </x:c>
      <x:c r="F284" s="25" t="str">
        <x:v>n/d</x:v>
      </x:c>
      <x:c r="G284" s="25" t="str">
        <x:v>n/d</x:v>
      </x:c>
      <x:c r="H284" s="25" t="str">
        <x:v>n/d</x:v>
      </x:c>
      <x:c r="I284" s="25" t="n">
        <x:v>4234493.32</x:v>
      </x:c>
      <x:c r="J284" s="25" t="n">
        <x:v>10656077.68</x:v>
      </x:c>
      <x:c r="K284" s="20" t="str">
        <x:v>Realizado</x:v>
      </x:c>
      <x:c r="L284" s="20" t="str">
        <x:v>CVM_CRI_2025_CLASSE</x:v>
      </x:c>
      <x:c r="M284" s="20" t="str">
        <x:v>Documentado</x:v>
      </x:c>
      <x:c r="N284" s="20" t="str">
        <x:v>Saldo final: n/d, controlado por Valor_Atualizado_Emissao. Unidade sem reconciliação permanece n/d; pagamentos realizados ficam documentados.</x:v>
      </x:c>
    </x:row>
    <x:row r="285">
      <x:c r="A285" s="20" t="str">
        <x:v>CRI_K3</x:v>
      </x:c>
      <x:c r="B285" s="20" t="str">
        <x:v>Série 1</x:v>
      </x:c>
      <x:c r="C285" s="20" t="str">
        <x:v>Super Sênior A</x:v>
      </x:c>
      <x:c r="D285" s="21" t="n">
        <x:v>45931</x:v>
      </x:c>
      <x:c r="E285" s="25" t="str">
        <x:v>n/d</x:v>
      </x:c>
      <x:c r="F285" s="25" t="str">
        <x:v>n/d</x:v>
      </x:c>
      <x:c r="G285" s="25" t="str">
        <x:v>n/d</x:v>
      </x:c>
      <x:c r="H285" s="25" t="str">
        <x:v>n/d</x:v>
      </x:c>
      <x:c r="I285" s="25" t="n">
        <x:v>4397100.82</x:v>
      </x:c>
      <x:c r="J285" s="25" t="n">
        <x:v>7170572.98</x:v>
      </x:c>
      <x:c r="K285" s="20" t="str">
        <x:v>Realizado</x:v>
      </x:c>
      <x:c r="L285" s="20" t="str">
        <x:v>CVM_CRI_2025_CLASSE</x:v>
      </x:c>
      <x:c r="M285" s="20" t="str">
        <x:v>Documentado</x:v>
      </x:c>
      <x:c r="N285" s="20" t="str">
        <x:v>Saldo final: n/d, controlado por Valor_Atualizado_Emissao. Unidade sem reconciliação permanece n/d; pagamentos realizados ficam documentados.</x:v>
      </x:c>
    </x:row>
    <x:row r="286">
      <x:c r="A286" s="20" t="str">
        <x:v>CRI_K3</x:v>
      </x:c>
      <x:c r="B286" s="20" t="str">
        <x:v>Série 1</x:v>
      </x:c>
      <x:c r="C286" s="20" t="str">
        <x:v>Super Sênior A</x:v>
      </x:c>
      <x:c r="D286" s="21" t="n">
        <x:v>45962</x:v>
      </x:c>
      <x:c r="E286" s="25" t="str">
        <x:v>n/d</x:v>
      </x:c>
      <x:c r="F286" s="25" t="str">
        <x:v>n/d</x:v>
      </x:c>
      <x:c r="G286" s="25" t="str">
        <x:v>n/d</x:v>
      </x:c>
      <x:c r="H286" s="25" t="str">
        <x:v>n/d</x:v>
      </x:c>
      <x:c r="I286" s="25" t="n">
        <x:v>3549896.57</x:v>
      </x:c>
      <x:c r="J286" s="25" t="n">
        <x:v>7552482.07</x:v>
      </x:c>
      <x:c r="K286" s="20" t="str">
        <x:v>Realizado</x:v>
      </x:c>
      <x:c r="L286" s="20" t="str">
        <x:v>CVM_CRI_2025_CLASSE</x:v>
      </x:c>
      <x:c r="M286" s="20" t="str">
        <x:v>Documentado</x:v>
      </x:c>
      <x:c r="N286" s="20" t="str">
        <x:v>Saldo final: n/d, controlado por Valor_Atualizado_Emissao. Unidade sem reconciliação permanece n/d; pagamentos realizados ficam documentados.</x:v>
      </x:c>
    </x:row>
    <x:row r="287">
      <x:c r="A287" s="20" t="str">
        <x:v>CRI_K3</x:v>
      </x:c>
      <x:c r="B287" s="20" t="str">
        <x:v>Série 1</x:v>
      </x:c>
      <x:c r="C287" s="20" t="str">
        <x:v>Super Sênior A</x:v>
      </x:c>
      <x:c r="D287" s="21" t="n">
        <x:v>45992</x:v>
      </x:c>
      <x:c r="E287" s="25" t="str">
        <x:v>n/d</x:v>
      </x:c>
      <x:c r="F287" s="25" t="str">
        <x:v>n/d</x:v>
      </x:c>
      <x:c r="G287" s="25" t="str">
        <x:v>n/d</x:v>
      </x:c>
      <x:c r="H287" s="25" t="str">
        <x:v>n/d</x:v>
      </x:c>
      <x:c r="I287" s="25" t="n">
        <x:v>3549896.57</x:v>
      </x:c>
      <x:c r="J287" s="25" t="n">
        <x:v>7552482.07</x:v>
      </x:c>
      <x:c r="K287" s="20" t="str">
        <x:v>Realizado</x:v>
      </x:c>
      <x:c r="L287" s="20" t="str">
        <x:v>CVM_CRI_2025_CLASSE</x:v>
      </x:c>
      <x:c r="M287" s="20" t="str">
        <x:v>Documentado</x:v>
      </x:c>
      <x:c r="N287" s="20" t="str">
        <x:v>Saldo final: n/d, controlado por Valor_Atualizado_Emissao. Unidade sem reconciliação permanece n/d; pagamentos realizados ficam documentados.</x:v>
      </x:c>
    </x:row>
    <x:row r="288">
      <x:c r="A288" s="20" t="str">
        <x:v>CRI_K3</x:v>
      </x:c>
      <x:c r="B288" s="20" t="str">
        <x:v>Série 1</x:v>
      </x:c>
      <x:c r="C288" s="20" t="str">
        <x:v>Super Sênior A</x:v>
      </x:c>
      <x:c r="D288" s="21" t="n">
        <x:v>46023</x:v>
      </x:c>
      <x:c r="E288" s="25" t="str">
        <x:v>n/d</x:v>
      </x:c>
      <x:c r="F288" s="25" t="str">
        <x:v>n/d</x:v>
      </x:c>
      <x:c r="G288" s="25" t="str">
        <x:v>n/d</x:v>
      </x:c>
      <x:c r="H288" s="25" t="str">
        <x:v>n/d</x:v>
      </x:c>
      <x:c r="I288" s="25" t="n">
        <x:v>4018328.67</x:v>
      </x:c>
      <x:c r="J288" s="25" t="n">
        <x:v>8139972.79</x:v>
      </x:c>
      <x:c r="K288" s="20" t="str">
        <x:v>Realizado</x:v>
      </x:c>
      <x:c r="L288" s="20" t="str">
        <x:v>CVM_CRI_2026_CLASSE</x:v>
      </x:c>
      <x:c r="M288" s="20" t="str">
        <x:v>Documentado</x:v>
      </x:c>
      <x:c r="N288" s="20" t="str">
        <x:v>Saldo final: n/d, controlado por Valor_Atualizado_Emissao. Unidade sem reconciliação permanece n/d; pagamentos realizados ficam documentados.</x:v>
      </x:c>
    </x:row>
    <x:row r="289">
      <x:c r="A289" s="20" t="str">
        <x:v>CRI_K3</x:v>
      </x:c>
      <x:c r="B289" s="20" t="str">
        <x:v>Série 1</x:v>
      </x:c>
      <x:c r="C289" s="20" t="str">
        <x:v>Super Sênior A</x:v>
      </x:c>
      <x:c r="D289" s="21" t="n">
        <x:v>46054</x:v>
      </x:c>
      <x:c r="E289" s="25" t="str">
        <x:v>n/d</x:v>
      </x:c>
      <x:c r="F289" s="25" t="str">
        <x:v>n/d</x:v>
      </x:c>
      <x:c r="G289" s="25" t="str">
        <x:v>n/d</x:v>
      </x:c>
      <x:c r="H289" s="25" t="n">
        <x:v>304043834</x:v>
      </x:c>
      <x:c r="I289" s="25" t="n">
        <x:v>3736241.73</x:v>
      </x:c>
      <x:c r="J289" s="25" t="n">
        <x:v>7480252.01</x:v>
      </x:c>
      <x:c r="K289" s="20" t="str">
        <x:v>Realizado</x:v>
      </x:c>
      <x:c r="L289" s="20" t="str">
        <x:v>CVM_CRI_2026_CLASSE</x:v>
      </x:c>
      <x:c r="M289" s="20" t="str">
        <x:v>Documentado</x:v>
      </x:c>
      <x:c r="N289" s="20" t="str">
        <x:v>Saldo final: saldo agregado reconciliado, controlado por Valor_Atualizado_Emissao. Unidade sem reconciliação permanece n/d; pagamentos realizados ficam documentados.</x:v>
      </x:c>
    </x:row>
    <x:row r="290">
      <x:c r="A290" s="20" t="str">
        <x:v>CRI_K3</x:v>
      </x:c>
      <x:c r="B290" s="20" t="str">
        <x:v>Série 1</x:v>
      </x:c>
      <x:c r="C290" s="20" t="str">
        <x:v>Super Sênior A</x:v>
      </x:c>
      <x:c r="D290" s="21" t="n">
        <x:v>46082</x:v>
      </x:c>
      <x:c r="E290" s="25" t="n">
        <x:v>304043834</x:v>
      </x:c>
      <x:c r="F290" s="25" t="str">
        <x:v>n/d</x:v>
      </x:c>
      <x:c r="G290" s="25" t="str">
        <x:v>n/d</x:v>
      </x:c>
      <x:c r="H290" s="25" t="n">
        <x:v>296834667</x:v>
      </x:c>
      <x:c r="I290" s="25" t="n">
        <x:v>3122351.19</x:v>
      </x:c>
      <x:c r="J290" s="25" t="n">
        <x:v>7828928.84</x:v>
      </x:c>
      <x:c r="K290" s="20" t="str">
        <x:v>Realizado</x:v>
      </x:c>
      <x:c r="L290" s="20" t="str">
        <x:v>CVM_CRI_2026_CLASSE</x:v>
      </x:c>
      <x:c r="M290" s="20" t="str">
        <x:v>Documentado</x:v>
      </x:c>
      <x:c r="N290" s="20" t="str">
        <x:v>Saldo final: saldo agregado reconciliado, controlado por Valor_Atualizado_Emissao. Unidade sem reconciliação permanece n/d; pagamentos realizados ficam documentados.</x:v>
      </x:c>
    </x:row>
    <x:row r="291">
      <x:c r="A291" s="20" t="str">
        <x:v>CRI_K3</x:v>
      </x:c>
      <x:c r="B291" s="20" t="str">
        <x:v>Série 1</x:v>
      </x:c>
      <x:c r="C291" s="20" t="str">
        <x:v>Super Sênior A</x:v>
      </x:c>
      <x:c r="D291" s="21" t="n">
        <x:v>46113</x:v>
      </x:c>
      <x:c r="E291" s="25" t="n">
        <x:v>296834667</x:v>
      </x:c>
      <x:c r="F291" s="25" t="str">
        <x:v>n/d</x:v>
      </x:c>
      <x:c r="G291" s="25" t="str">
        <x:v>n/d</x:v>
      </x:c>
      <x:c r="H291" s="25" t="str">
        <x:v>n/d</x:v>
      </x:c>
      <x:c r="I291" s="25" t="n">
        <x:v>3721470.55</x:v>
      </x:c>
      <x:c r="J291" s="25" t="n">
        <x:v>8206493.81</x:v>
      </x:c>
      <x:c r="K291" s="20" t="str">
        <x:v>Realizado</x:v>
      </x:c>
      <x:c r="L291" s="20" t="str">
        <x:v>CVM_CRI_2026_CLASSE</x:v>
      </x:c>
      <x:c r="M291" s="20" t="str">
        <x:v>Documentado</x:v>
      </x:c>
      <x:c r="N291" s="20" t="str">
        <x:v>Saldo final: n/d por conflito de unidade, controlado por Valor_Atualizado_Emissao. Unidade sem reconciliação permanece n/d; pagamentos realizados ficam documentados.</x:v>
      </x:c>
    </x:row>
    <x:row r="292">
      <x:c r="A292" s="20" t="str">
        <x:v>CRI_K3</x:v>
      </x:c>
      <x:c r="B292" s="20" t="str">
        <x:v>Série 1</x:v>
      </x:c>
      <x:c r="C292" s="20" t="str">
        <x:v>Super Sênior A</x:v>
      </x:c>
      <x:c r="D292" s="21" t="n">
        <x:v>46143</x:v>
      </x:c>
      <x:c r="E292" s="25" t="str">
        <x:v>n/d</x:v>
      </x:c>
      <x:c r="F292" s="25" t="str">
        <x:v>n/d</x:v>
      </x:c>
      <x:c r="G292" s="25" t="str">
        <x:v>n/d</x:v>
      </x:c>
      <x:c r="H292" s="25" t="n">
        <x:v>280220422</x:v>
      </x:c>
      <x:c r="I292" s="25" t="n">
        <x:v>3286824.49</x:v>
      </x:c>
      <x:c r="J292" s="25" t="n">
        <x:v>7929469.39</x:v>
      </x:c>
      <x:c r="K292" s="20" t="str">
        <x:v>Realizado</x:v>
      </x:c>
      <x:c r="L292" s="20" t="str">
        <x:v>CVM_CRI_2026_CLASSE</x:v>
      </x:c>
      <x:c r="M292" s="20" t="str">
        <x:v>Documentado</x:v>
      </x:c>
      <x:c r="N292" s="20" t="str">
        <x:v>Saldo final: saldo agregado reconciliado, controlado por Valor_Atualizado_Emissao. Unidade sem reconciliação permanece n/d; pagamentos realizados ficam documentados.</x:v>
      </x:c>
    </x:row>
    <x:row r="293">
      <x:c r="A293" s="20" t="str">
        <x:v>CRI_K3</x:v>
      </x:c>
      <x:c r="B293" s="20" t="str">
        <x:v>Série 2</x:v>
      </x:c>
      <x:c r="C293" s="20" t="str">
        <x:v>Super Sênior B</x:v>
      </x:c>
      <x:c r="D293" s="21" t="n">
        <x:v>45809</x:v>
      </x:c>
      <x:c r="E293" s="25" t="str">
        <x:v>n/d</x:v>
      </x:c>
      <x:c r="F293" s="25" t="str">
        <x:v>n/d</x:v>
      </x:c>
      <x:c r="G293" s="25" t="str">
        <x:v>n/d</x:v>
      </x:c>
      <x:c r="H293" s="25" t="str">
        <x:v>n/d</x:v>
      </x:c>
      <x:c r="I293" s="25" t="n">
        <x:v>0</x:v>
      </x:c>
      <x:c r="J293" s="25" t="n">
        <x:v>0</x:v>
      </x:c>
      <x:c r="K293" s="20" t="str">
        <x:v>Realizado</x:v>
      </x:c>
      <x:c r="L293" s="20" t="str">
        <x:v>CVM_CRI_2025_CLASSE</x:v>
      </x:c>
      <x:c r="M293" s="20" t="str">
        <x:v>Documentado</x:v>
      </x:c>
      <x:c r="N293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294">
      <x:c r="A294" s="20" t="str">
        <x:v>CRI_K3</x:v>
      </x:c>
      <x:c r="B294" s="20" t="str">
        <x:v>Série 2</x:v>
      </x:c>
      <x:c r="C294" s="20" t="str">
        <x:v>Super Sênior B</x:v>
      </x:c>
      <x:c r="D294" s="21" t="n">
        <x:v>45839</x:v>
      </x:c>
      <x:c r="E294" s="25" t="str">
        <x:v>n/d</x:v>
      </x:c>
      <x:c r="F294" s="25" t="str">
        <x:v>n/d</x:v>
      </x:c>
      <x:c r="G294" s="25" t="str">
        <x:v>n/d</x:v>
      </x:c>
      <x:c r="H294" s="25" t="str">
        <x:v>n/d</x:v>
      </x:c>
      <x:c r="I294" s="25" t="n">
        <x:v>0</x:v>
      </x:c>
      <x:c r="J294" s="25" t="n">
        <x:v>0</x:v>
      </x:c>
      <x:c r="K294" s="20" t="str">
        <x:v>Realizado</x:v>
      </x:c>
      <x:c r="L294" s="20" t="str">
        <x:v>CVM_CRI_2025_CLASSE</x:v>
      </x:c>
      <x:c r="M294" s="20" t="str">
        <x:v>Documentado</x:v>
      </x:c>
      <x:c r="N294" s="20" t="str">
        <x:v>Saldo final: n/d, controlado por Valor_Atualizado_Emissao. Unidade sem reconciliação permanece n/d; pagamentos realizados ficam documentados.</x:v>
      </x:c>
    </x:row>
    <x:row r="295">
      <x:c r="A295" s="20" t="str">
        <x:v>CRI_K3</x:v>
      </x:c>
      <x:c r="B295" s="20" t="str">
        <x:v>Série 2</x:v>
      </x:c>
      <x:c r="C295" s="20" t="str">
        <x:v>Super Sênior B</x:v>
      </x:c>
      <x:c r="D295" s="21" t="n">
        <x:v>45870</x:v>
      </x:c>
      <x:c r="E295" s="25" t="str">
        <x:v>n/d</x:v>
      </x:c>
      <x:c r="F295" s="25" t="str">
        <x:v>n/d</x:v>
      </x:c>
      <x:c r="G295" s="25" t="str">
        <x:v>n/d</x:v>
      </x:c>
      <x:c r="H295" s="25" t="str">
        <x:v>n/d</x:v>
      </x:c>
      <x:c r="I295" s="25" t="n">
        <x:v>2094089.63</x:v>
      </x:c>
      <x:c r="J295" s="25" t="n">
        <x:v>7004213</x:v>
      </x:c>
      <x:c r="K295" s="20" t="str">
        <x:v>Realizado</x:v>
      </x:c>
      <x:c r="L295" s="20" t="str">
        <x:v>CVM_CRI_2025_CLASSE</x:v>
      </x:c>
      <x:c r="M295" s="20" t="str">
        <x:v>Documentado</x:v>
      </x:c>
      <x:c r="N295" s="20" t="str">
        <x:v>Saldo final: n/d, controlado por Valor_Atualizado_Emissao. Unidade sem reconciliação permanece n/d; pagamentos realizados ficam documentados.</x:v>
      </x:c>
    </x:row>
    <x:row r="296">
      <x:c r="A296" s="20" t="str">
        <x:v>CRI_K3</x:v>
      </x:c>
      <x:c r="B296" s="20" t="str">
        <x:v>Série 2</x:v>
      </x:c>
      <x:c r="C296" s="20" t="str">
        <x:v>Super Sênior B</x:v>
      </x:c>
      <x:c r="D296" s="21" t="n">
        <x:v>45901</x:v>
      </x:c>
      <x:c r="E296" s="25" t="str">
        <x:v>n/d</x:v>
      </x:c>
      <x:c r="F296" s="25" t="str">
        <x:v>n/d</x:v>
      </x:c>
      <x:c r="G296" s="25" t="str">
        <x:v>n/d</x:v>
      </x:c>
      <x:c r="H296" s="25" t="str">
        <x:v>n/d</x:v>
      </x:c>
      <x:c r="I296" s="25" t="n">
        <x:v>1406154.36</x:v>
      </x:c>
      <x:c r="J296" s="25" t="n">
        <x:v>3481079.22</x:v>
      </x:c>
      <x:c r="K296" s="20" t="str">
        <x:v>Realizado</x:v>
      </x:c>
      <x:c r="L296" s="20" t="str">
        <x:v>CVM_CRI_2025_CLASSE</x:v>
      </x:c>
      <x:c r="M296" s="20" t="str">
        <x:v>Documentado</x:v>
      </x:c>
      <x:c r="N296" s="20" t="str">
        <x:v>Saldo final: n/d, controlado por Valor_Atualizado_Emissao. Unidade sem reconciliação permanece n/d; pagamentos realizados ficam documentados.</x:v>
      </x:c>
    </x:row>
    <x:row r="297">
      <x:c r="A297" s="20" t="str">
        <x:v>CRI_K3</x:v>
      </x:c>
      <x:c r="B297" s="20" t="str">
        <x:v>Série 2</x:v>
      </x:c>
      <x:c r="C297" s="20" t="str">
        <x:v>Super Sênior B</x:v>
      </x:c>
      <x:c r="D297" s="21" t="n">
        <x:v>45931</x:v>
      </x:c>
      <x:c r="E297" s="25" t="str">
        <x:v>n/d</x:v>
      </x:c>
      <x:c r="F297" s="25" t="str">
        <x:v>n/d</x:v>
      </x:c>
      <x:c r="G297" s="25" t="str">
        <x:v>n/d</x:v>
      </x:c>
      <x:c r="H297" s="25" t="str">
        <x:v>n/d</x:v>
      </x:c>
      <x:c r="I297" s="25" t="n">
        <x:v>1460145.98</x:v>
      </x:c>
      <x:c r="J297" s="25" t="n">
        <x:v>2341411.58</x:v>
      </x:c>
      <x:c r="K297" s="20" t="str">
        <x:v>Realizado</x:v>
      </x:c>
      <x:c r="L297" s="20" t="str">
        <x:v>CVM_CRI_2025_CLASSE</x:v>
      </x:c>
      <x:c r="M297" s="20" t="str">
        <x:v>Documentado</x:v>
      </x:c>
      <x:c r="N297" s="20" t="str">
        <x:v>Saldo final: n/d, controlado por Valor_Atualizado_Emissao. Unidade sem reconciliação permanece n/d; pagamentos realizados ficam documentados.</x:v>
      </x:c>
    </x:row>
    <x:row r="298">
      <x:c r="A298" s="20" t="str">
        <x:v>CRI_K3</x:v>
      </x:c>
      <x:c r="B298" s="20" t="str">
        <x:v>Série 2</x:v>
      </x:c>
      <x:c r="C298" s="20" t="str">
        <x:v>Super Sênior B</x:v>
      </x:c>
      <x:c r="D298" s="21" t="n">
        <x:v>45962</x:v>
      </x:c>
      <x:c r="E298" s="25" t="str">
        <x:v>n/d</x:v>
      </x:c>
      <x:c r="F298" s="25" t="str">
        <x:v>n/d</x:v>
      </x:c>
      <x:c r="G298" s="25" t="str">
        <x:v>n/d</x:v>
      </x:c>
      <x:c r="H298" s="25" t="str">
        <x:v>n/d</x:v>
      </x:c>
      <x:c r="I298" s="25" t="n">
        <x:v>1178791.89</x:v>
      </x:c>
      <x:c r="J298" s="25" t="n">
        <x:v>2466116.59</x:v>
      </x:c>
      <x:c r="K298" s="20" t="str">
        <x:v>Realizado</x:v>
      </x:c>
      <x:c r="L298" s="20" t="str">
        <x:v>CVM_CRI_2025_CLASSE</x:v>
      </x:c>
      <x:c r="M298" s="20" t="str">
        <x:v>Documentado</x:v>
      </x:c>
      <x:c r="N298" s="20" t="str">
        <x:v>Saldo final: n/d, controlado por Valor_Atualizado_Emissao. Unidade sem reconciliação permanece n/d; pagamentos realizados ficam documentados.</x:v>
      </x:c>
    </x:row>
    <x:row r="299">
      <x:c r="A299" s="20" t="str">
        <x:v>CRI_K3</x:v>
      </x:c>
      <x:c r="B299" s="20" t="str">
        <x:v>Série 2</x:v>
      </x:c>
      <x:c r="C299" s="20" t="str">
        <x:v>Super Sênior B</x:v>
      </x:c>
      <x:c r="D299" s="21" t="n">
        <x:v>45992</x:v>
      </x:c>
      <x:c r="E299" s="25" t="str">
        <x:v>n/d</x:v>
      </x:c>
      <x:c r="F299" s="25" t="str">
        <x:v>n/d</x:v>
      </x:c>
      <x:c r="G299" s="25" t="str">
        <x:v>n/d</x:v>
      </x:c>
      <x:c r="H299" s="25" t="str">
        <x:v>n/d</x:v>
      </x:c>
      <x:c r="I299" s="25" t="n">
        <x:v>1178791.89</x:v>
      </x:c>
      <x:c r="J299" s="25" t="n">
        <x:v>2466116.59</x:v>
      </x:c>
      <x:c r="K299" s="20" t="str">
        <x:v>Realizado</x:v>
      </x:c>
      <x:c r="L299" s="20" t="str">
        <x:v>CVM_CRI_2025_CLASSE</x:v>
      </x:c>
      <x:c r="M299" s="20" t="str">
        <x:v>Documentado</x:v>
      </x:c>
      <x:c r="N299" s="20" t="str">
        <x:v>Saldo final: n/d, controlado por Valor_Atualizado_Emissao. Unidade sem reconciliação permanece n/d; pagamentos realizados ficam documentados.</x:v>
      </x:c>
    </x:row>
    <x:row r="300">
      <x:c r="A300" s="20" t="str">
        <x:v>CRI_K3</x:v>
      </x:c>
      <x:c r="B300" s="20" t="str">
        <x:v>Série 2</x:v>
      </x:c>
      <x:c r="C300" s="20" t="str">
        <x:v>Super Sênior B</x:v>
      </x:c>
      <x:c r="D300" s="21" t="n">
        <x:v>46023</x:v>
      </x:c>
      <x:c r="E300" s="25" t="str">
        <x:v>n/d</x:v>
      </x:c>
      <x:c r="F300" s="25" t="str">
        <x:v>n/d</x:v>
      </x:c>
      <x:c r="G300" s="25" t="str">
        <x:v>n/d</x:v>
      </x:c>
      <x:c r="H300" s="25" t="str">
        <x:v>n/d</x:v>
      </x:c>
      <x:c r="I300" s="25" t="n">
        <x:v>1334360.69</x:v>
      </x:c>
      <x:c r="J300" s="25" t="n">
        <x:v>2657950.3</x:v>
      </x:c>
      <x:c r="K300" s="20" t="str">
        <x:v>Realizado</x:v>
      </x:c>
      <x:c r="L300" s="20" t="str">
        <x:v>CVM_CRI_2026_CLASSE</x:v>
      </x:c>
      <x:c r="M300" s="20" t="str">
        <x:v>Documentado</x:v>
      </x:c>
      <x:c r="N300" s="20" t="str">
        <x:v>Saldo final: n/d, controlado por Valor_Atualizado_Emissao. Unidade sem reconciliação permanece n/d; pagamentos realizados ficam documentados.</x:v>
      </x:c>
    </x:row>
    <x:row r="301">
      <x:c r="A301" s="20" t="str">
        <x:v>CRI_K3</x:v>
      </x:c>
      <x:c r="B301" s="20" t="str">
        <x:v>Série 2</x:v>
      </x:c>
      <x:c r="C301" s="20" t="str">
        <x:v>Super Sênior B</x:v>
      </x:c>
      <x:c r="D301" s="21" t="n">
        <x:v>46054</x:v>
      </x:c>
      <x:c r="E301" s="25" t="str">
        <x:v>n/d</x:v>
      </x:c>
      <x:c r="F301" s="25" t="str">
        <x:v>n/d</x:v>
      </x:c>
      <x:c r="G301" s="25" t="str">
        <x:v>n/d</x:v>
      </x:c>
      <x:c r="H301" s="25" t="n">
        <x:v>99292057</x:v>
      </x:c>
      <x:c r="I301" s="25" t="n">
        <x:v>1240682.44</x:v>
      </x:c>
      <x:c r="J301" s="25" t="n">
        <x:v>2442531.27</x:v>
      </x:c>
      <x:c r="K301" s="20" t="str">
        <x:v>Realizado</x:v>
      </x:c>
      <x:c r="L301" s="20" t="str">
        <x:v>CVM_CRI_2026_CLASSE</x:v>
      </x:c>
      <x:c r="M301" s="20" t="str">
        <x:v>Documentado</x:v>
      </x:c>
      <x:c r="N301" s="20" t="str">
        <x:v>Saldo final: saldo agregado reconciliado, controlado por Valor_Atualizado_Emissao. Unidade sem reconciliação permanece n/d; pagamentos realizados ficam documentados.</x:v>
      </x:c>
    </x:row>
    <x:row r="302">
      <x:c r="A302" s="20" t="str">
        <x:v>CRI_K3</x:v>
      </x:c>
      <x:c r="B302" s="20" t="str">
        <x:v>Série 2</x:v>
      </x:c>
      <x:c r="C302" s="20" t="str">
        <x:v>Super Sênior B</x:v>
      </x:c>
      <x:c r="D302" s="21" t="n">
        <x:v>46082</x:v>
      </x:c>
      <x:c r="E302" s="25" t="n">
        <x:v>99292057</x:v>
      </x:c>
      <x:c r="F302" s="25" t="str">
        <x:v>n/d</x:v>
      </x:c>
      <x:c r="G302" s="25" t="str">
        <x:v>n/d</x:v>
      </x:c>
      <x:c r="H302" s="25" t="n">
        <x:v>96937065</x:v>
      </x:c>
      <x:c r="I302" s="25" t="n">
        <x:v>1036814.52</x:v>
      </x:c>
      <x:c r="J302" s="25" t="n">
        <x:v>2556384.93</x:v>
      </x:c>
      <x:c r="K302" s="20" t="str">
        <x:v>Realizado</x:v>
      </x:c>
      <x:c r="L302" s="20" t="str">
        <x:v>CVM_CRI_2026_CLASSE</x:v>
      </x:c>
      <x:c r="M302" s="20" t="str">
        <x:v>Documentado</x:v>
      </x:c>
      <x:c r="N302" s="20" t="str">
        <x:v>Saldo final: saldo agregado reconciliado, controlado por Valor_Atualizado_Emissao. Unidade sem reconciliação permanece n/d; pagamentos realizados ficam documentados.</x:v>
      </x:c>
    </x:row>
    <x:row r="303">
      <x:c r="A303" s="20" t="str">
        <x:v>CRI_K3</x:v>
      </x:c>
      <x:c r="B303" s="20" t="str">
        <x:v>Série 2</x:v>
      </x:c>
      <x:c r="C303" s="20" t="str">
        <x:v>Super Sênior B</x:v>
      </x:c>
      <x:c r="D303" s="21" t="n">
        <x:v>46113</x:v>
      </x:c>
      <x:c r="E303" s="25" t="n">
        <x:v>96937065</x:v>
      </x:c>
      <x:c r="F303" s="25" t="str">
        <x:v>n/d</x:v>
      </x:c>
      <x:c r="G303" s="25" t="str">
        <x:v>n/d</x:v>
      </x:c>
      <x:c r="H303" s="25" t="str">
        <x:v>n/d</x:v>
      </x:c>
      <x:c r="I303" s="25" t="n">
        <x:v>1226918.18</x:v>
      </x:c>
      <x:c r="J303" s="25" t="n">
        <x:v>2679671.45</x:v>
      </x:c>
      <x:c r="K303" s="20" t="str">
        <x:v>Realizado</x:v>
      </x:c>
      <x:c r="L303" s="20" t="str">
        <x:v>CVM_CRI_2026_CLASSE</x:v>
      </x:c>
      <x:c r="M303" s="20" t="str">
        <x:v>Documentado</x:v>
      </x:c>
      <x:c r="N303" s="20" t="str">
        <x:v>Saldo final: n/d por conflito de unidade, controlado por Valor_Atualizado_Emissao. Unidade sem reconciliação permanece n/d; pagamentos realizados ficam documentados.</x:v>
      </x:c>
    </x:row>
    <x:row r="304">
      <x:c r="A304" s="20" t="str">
        <x:v>CRI_K3</x:v>
      </x:c>
      <x:c r="B304" s="20" t="str">
        <x:v>Série 2</x:v>
      </x:c>
      <x:c r="C304" s="20" t="str">
        <x:v>Super Sênior B</x:v>
      </x:c>
      <x:c r="D304" s="21" t="n">
        <x:v>46143</x:v>
      </x:c>
      <x:c r="E304" s="25" t="str">
        <x:v>n/d</x:v>
      </x:c>
      <x:c r="F304" s="25" t="str">
        <x:v>n/d</x:v>
      </x:c>
      <x:c r="G304" s="25" t="str">
        <x:v>n/d</x:v>
      </x:c>
      <x:c r="H304" s="25" t="n">
        <x:v>91488714</x:v>
      </x:c>
      <x:c r="I304" s="25" t="n">
        <x:v>1072501.04</x:v>
      </x:c>
      <x:c r="J304" s="25" t="n">
        <x:v>2589214.5</x:v>
      </x:c>
      <x:c r="K304" s="20" t="str">
        <x:v>Realizado</x:v>
      </x:c>
      <x:c r="L304" s="20" t="str">
        <x:v>CVM_CRI_2026_CLASSE</x:v>
      </x:c>
      <x:c r="M304" s="20" t="str">
        <x:v>Documentado</x:v>
      </x:c>
      <x:c r="N304" s="20" t="str">
        <x:v>Saldo final: saldo agregado reconciliado, controlado por Valor_Atualizado_Emissao. Unidade sem reconciliação permanece n/d; pagamentos realizados ficam documentados.</x:v>
      </x:c>
    </x:row>
    <x:row r="305">
      <x:c r="A305" s="20" t="str">
        <x:v>CRI_K3</x:v>
      </x:c>
      <x:c r="B305" s="20" t="str">
        <x:v>Série 3</x:v>
      </x:c>
      <x:c r="C305" s="20" t="str">
        <x:v>Sênior</x:v>
      </x:c>
      <x:c r="D305" s="21" t="n">
        <x:v>45809</x:v>
      </x:c>
      <x:c r="E305" s="25" t="str">
        <x:v>n/d</x:v>
      </x:c>
      <x:c r="F305" s="25" t="str">
        <x:v>n/d</x:v>
      </x:c>
      <x:c r="G305" s="25" t="str">
        <x:v>n/d</x:v>
      </x:c>
      <x:c r="H305" s="25" t="str">
        <x:v>n/d</x:v>
      </x:c>
      <x:c r="I305" s="25" t="n">
        <x:v>0</x:v>
      </x:c>
      <x:c r="J305" s="25" t="n">
        <x:v>0</x:v>
      </x:c>
      <x:c r="K305" s="20" t="str">
        <x:v>Realizado</x:v>
      </x:c>
      <x:c r="L305" s="20" t="str">
        <x:v>CVM_CRI_2025_CLASSE</x:v>
      </x:c>
      <x:c r="M305" s="20" t="str">
        <x:v>Documentado</x:v>
      </x:c>
      <x:c r="N305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06">
      <x:c r="A306" s="20" t="str">
        <x:v>CRI_K3</x:v>
      </x:c>
      <x:c r="B306" s="20" t="str">
        <x:v>Série 3</x:v>
      </x:c>
      <x:c r="C306" s="20" t="str">
        <x:v>Sênior</x:v>
      </x:c>
      <x:c r="D306" s="21" t="n">
        <x:v>45839</x:v>
      </x:c>
      <x:c r="E306" s="25" t="str">
        <x:v>n/d</x:v>
      </x:c>
      <x:c r="F306" s="25" t="str">
        <x:v>n/d</x:v>
      </x:c>
      <x:c r="G306" s="25" t="str">
        <x:v>n/d</x:v>
      </x:c>
      <x:c r="H306" s="25" t="str">
        <x:v>n/d</x:v>
      </x:c>
      <x:c r="I306" s="25" t="n">
        <x:v>0</x:v>
      </x:c>
      <x:c r="J306" s="25" t="n">
        <x:v>0</x:v>
      </x:c>
      <x:c r="K306" s="20" t="str">
        <x:v>Realizado</x:v>
      </x:c>
      <x:c r="L306" s="20" t="str">
        <x:v>CVM_CRI_2025_CLASSE</x:v>
      </x:c>
      <x:c r="M306" s="20" t="str">
        <x:v>Documentado</x:v>
      </x:c>
      <x:c r="N306" s="20" t="str">
        <x:v>Saldo final: n/d, controlado por Valor_Atualizado_Emissao. Unidade sem reconciliação permanece n/d; pagamentos realizados ficam documentados.</x:v>
      </x:c>
    </x:row>
    <x:row r="307">
      <x:c r="A307" s="20" t="str">
        <x:v>CRI_K3</x:v>
      </x:c>
      <x:c r="B307" s="20" t="str">
        <x:v>Série 3</x:v>
      </x:c>
      <x:c r="C307" s="20" t="str">
        <x:v>Sênior</x:v>
      </x:c>
      <x:c r="D307" s="21" t="n">
        <x:v>45870</x:v>
      </x:c>
      <x:c r="E307" s="25" t="str">
        <x:v>n/d</x:v>
      </x:c>
      <x:c r="F307" s="25" t="str">
        <x:v>n/d</x:v>
      </x:c>
      <x:c r="G307" s="25" t="str">
        <x:v>n/d</x:v>
      </x:c>
      <x:c r="H307" s="25" t="str">
        <x:v>n/d</x:v>
      </x:c>
      <x:c r="I307" s="25" t="n">
        <x:v>0</x:v>
      </x:c>
      <x:c r="J307" s="25" t="n">
        <x:v>0</x:v>
      </x:c>
      <x:c r="K307" s="20" t="str">
        <x:v>Realizado</x:v>
      </x:c>
      <x:c r="L307" s="20" t="str">
        <x:v>CVM_CRI_2025_CLASSE</x:v>
      </x:c>
      <x:c r="M307" s="20" t="str">
        <x:v>Documentado</x:v>
      </x:c>
      <x:c r="N307" s="20" t="str">
        <x:v>Saldo final: n/d, controlado por Valor_Atualizado_Emissao. Unidade sem reconciliação permanece n/d; pagamentos realizados ficam documentados.</x:v>
      </x:c>
    </x:row>
    <x:row r="308">
      <x:c r="A308" s="20" t="str">
        <x:v>CRI_K3</x:v>
      </x:c>
      <x:c r="B308" s="20" t="str">
        <x:v>Série 3</x:v>
      </x:c>
      <x:c r="C308" s="20" t="str">
        <x:v>Sênior</x:v>
      </x:c>
      <x:c r="D308" s="21" t="n">
        <x:v>45901</x:v>
      </x:c>
      <x:c r="E308" s="25" t="str">
        <x:v>n/d</x:v>
      </x:c>
      <x:c r="F308" s="25" t="str">
        <x:v>n/d</x:v>
      </x:c>
      <x:c r="G308" s="25" t="str">
        <x:v>n/d</x:v>
      </x:c>
      <x:c r="H308" s="25" t="str">
        <x:v>n/d</x:v>
      </x:c>
      <x:c r="I308" s="25" t="n">
        <x:v>1775819.23</x:v>
      </x:c>
      <x:c r="J308" s="25" t="n">
        <x:v>8033130.83</x:v>
      </x:c>
      <x:c r="K308" s="20" t="str">
        <x:v>Realizado</x:v>
      </x:c>
      <x:c r="L308" s="20" t="str">
        <x:v>CVM_CRI_2025_CLASSE</x:v>
      </x:c>
      <x:c r="M308" s="20" t="str">
        <x:v>Documentado</x:v>
      </x:c>
      <x:c r="N308" s="20" t="str">
        <x:v>Saldo final: n/d, controlado por Valor_Atualizado_Emissao. Unidade sem reconciliação permanece n/d; pagamentos realizados ficam documentados.</x:v>
      </x:c>
    </x:row>
    <x:row r="309">
      <x:c r="A309" s="20" t="str">
        <x:v>CRI_K3</x:v>
      </x:c>
      <x:c r="B309" s="20" t="str">
        <x:v>Série 3</x:v>
      </x:c>
      <x:c r="C309" s="20" t="str">
        <x:v>Sênior</x:v>
      </x:c>
      <x:c r="D309" s="21" t="n">
        <x:v>45931</x:v>
      </x:c>
      <x:c r="E309" s="25" t="str">
        <x:v>n/d</x:v>
      </x:c>
      <x:c r="F309" s="25" t="str">
        <x:v>n/d</x:v>
      </x:c>
      <x:c r="G309" s="25" t="str">
        <x:v>n/d</x:v>
      </x:c>
      <x:c r="H309" s="25" t="str">
        <x:v>n/d</x:v>
      </x:c>
      <x:c r="I309" s="25" t="n">
        <x:v>1766936.25</x:v>
      </x:c>
      <x:c r="J309" s="25" t="n">
        <x:v>2717709.87</x:v>
      </x:c>
      <x:c r="K309" s="20" t="str">
        <x:v>Realizado</x:v>
      </x:c>
      <x:c r="L309" s="20" t="str">
        <x:v>CVM_CRI_2025_CLASSE</x:v>
      </x:c>
      <x:c r="M309" s="20" t="str">
        <x:v>Documentado</x:v>
      </x:c>
      <x:c r="N309" s="20" t="str">
        <x:v>Saldo final: n/d, controlado por Valor_Atualizado_Emissao. Unidade sem reconciliação permanece n/d; pagamentos realizados ficam documentados.</x:v>
      </x:c>
    </x:row>
    <x:row r="310">
      <x:c r="A310" s="20" t="str">
        <x:v>CRI_K3</x:v>
      </x:c>
      <x:c r="B310" s="20" t="str">
        <x:v>Série 3</x:v>
      </x:c>
      <x:c r="C310" s="20" t="str">
        <x:v>Sênior</x:v>
      </x:c>
      <x:c r="D310" s="21" t="n">
        <x:v>45962</x:v>
      </x:c>
      <x:c r="E310" s="25" t="str">
        <x:v>n/d</x:v>
      </x:c>
      <x:c r="F310" s="25" t="str">
        <x:v>n/d</x:v>
      </x:c>
      <x:c r="G310" s="25" t="str">
        <x:v>n/d</x:v>
      </x:c>
      <x:c r="H310" s="25" t="str">
        <x:v>n/d</x:v>
      </x:c>
      <x:c r="I310" s="25" t="n">
        <x:v>1426396.63</x:v>
      </x:c>
      <x:c r="J310" s="25" t="n">
        <x:v>2862456.76</x:v>
      </x:c>
      <x:c r="K310" s="20" t="str">
        <x:v>Realizado</x:v>
      </x:c>
      <x:c r="L310" s="20" t="str">
        <x:v>CVM_CRI_2025_CLASSE</x:v>
      </x:c>
      <x:c r="M310" s="20" t="str">
        <x:v>Documentado</x:v>
      </x:c>
      <x:c r="N310" s="20" t="str">
        <x:v>Saldo final: n/d, controlado por Valor_Atualizado_Emissao. Unidade sem reconciliação permanece n/d; pagamentos realizados ficam documentados.</x:v>
      </x:c>
    </x:row>
    <x:row r="311">
      <x:c r="A311" s="20" t="str">
        <x:v>CRI_K3</x:v>
      </x:c>
      <x:c r="B311" s="20" t="str">
        <x:v>Série 3</x:v>
      </x:c>
      <x:c r="C311" s="20" t="str">
        <x:v>Sênior</x:v>
      </x:c>
      <x:c r="D311" s="21" t="n">
        <x:v>45992</x:v>
      </x:c>
      <x:c r="E311" s="25" t="str">
        <x:v>n/d</x:v>
      </x:c>
      <x:c r="F311" s="25" t="str">
        <x:v>n/d</x:v>
      </x:c>
      <x:c r="G311" s="25" t="str">
        <x:v>n/d</x:v>
      </x:c>
      <x:c r="H311" s="25" t="str">
        <x:v>n/d</x:v>
      </x:c>
      <x:c r="I311" s="25" t="n">
        <x:v>1426396.63</x:v>
      </x:c>
      <x:c r="J311" s="25" t="n">
        <x:v>2862456.76</x:v>
      </x:c>
      <x:c r="K311" s="20" t="str">
        <x:v>Realizado</x:v>
      </x:c>
      <x:c r="L311" s="20" t="str">
        <x:v>CVM_CRI_2025_CLASSE</x:v>
      </x:c>
      <x:c r="M311" s="20" t="str">
        <x:v>Documentado</x:v>
      </x:c>
      <x:c r="N311" s="20" t="str">
        <x:v>Saldo final: n/d, controlado por Valor_Atualizado_Emissao. Unidade sem reconciliação permanece n/d; pagamentos realizados ficam documentados.</x:v>
      </x:c>
    </x:row>
    <x:row r="312">
      <x:c r="A312" s="20" t="str">
        <x:v>CRI_K3</x:v>
      </x:c>
      <x:c r="B312" s="20" t="str">
        <x:v>Série 3</x:v>
      </x:c>
      <x:c r="C312" s="20" t="str">
        <x:v>Sênior</x:v>
      </x:c>
      <x:c r="D312" s="21" t="n">
        <x:v>46023</x:v>
      </x:c>
      <x:c r="E312" s="25" t="str">
        <x:v>n/d</x:v>
      </x:c>
      <x:c r="F312" s="25" t="str">
        <x:v>n/d</x:v>
      </x:c>
      <x:c r="G312" s="25" t="str">
        <x:v>n/d</x:v>
      </x:c>
      <x:c r="H312" s="25" t="str">
        <x:v>n/d</x:v>
      </x:c>
      <x:c r="I312" s="25" t="n">
        <x:v>1614702.26</x:v>
      </x:c>
      <x:c r="J312" s="25" t="n">
        <x:v>3085120.88</x:v>
      </x:c>
      <x:c r="K312" s="20" t="str">
        <x:v>Realizado</x:v>
      </x:c>
      <x:c r="L312" s="20" t="str">
        <x:v>CVM_CRI_2026_CLASSE</x:v>
      </x:c>
      <x:c r="M312" s="20" t="str">
        <x:v>Documentado</x:v>
      </x:c>
      <x:c r="N312" s="20" t="str">
        <x:v>Saldo final: n/d, controlado por Valor_Atualizado_Emissao. Unidade sem reconciliação permanece n/d; pagamentos realizados ficam documentados.</x:v>
      </x:c>
    </x:row>
    <x:row r="313">
      <x:c r="A313" s="20" t="str">
        <x:v>CRI_K3</x:v>
      </x:c>
      <x:c r="B313" s="20" t="str">
        <x:v>Série 3</x:v>
      </x:c>
      <x:c r="C313" s="20" t="str">
        <x:v>Sênior</x:v>
      </x:c>
      <x:c r="D313" s="21" t="n">
        <x:v>46054</x:v>
      </x:c>
      <x:c r="E313" s="25" t="str">
        <x:v>n/d</x:v>
      </x:c>
      <x:c r="F313" s="25" t="str">
        <x:v>n/d</x:v>
      </x:c>
      <x:c r="G313" s="25" t="str">
        <x:v>n/d</x:v>
      </x:c>
      <x:c r="H313" s="25" t="n">
        <x:v>115286531</x:v>
      </x:c>
      <x:c r="I313" s="25" t="n">
        <x:v>1501324.25</x:v>
      </x:c>
      <x:c r="J313" s="25" t="n">
        <x:v>2835080.94</x:v>
      </x:c>
      <x:c r="K313" s="20" t="str">
        <x:v>Realizado</x:v>
      </x:c>
      <x:c r="L313" s="20" t="str">
        <x:v>CVM_CRI_2026_CLASSE</x:v>
      </x:c>
      <x:c r="M313" s="20" t="str">
        <x:v>Documentado</x:v>
      </x:c>
      <x:c r="N313" s="20" t="str">
        <x:v>Saldo final: saldo agregado reconciliado, controlado por Valor_Atualizado_Emissao. Unidade sem reconciliação permanece n/d; pagamentos realizados ficam documentados.</x:v>
      </x:c>
    </x:row>
    <x:row r="314">
      <x:c r="A314" s="20" t="str">
        <x:v>CRI_K3</x:v>
      </x:c>
      <x:c r="B314" s="20" t="str">
        <x:v>Série 3</x:v>
      </x:c>
      <x:c r="C314" s="20" t="str">
        <x:v>Sênior</x:v>
      </x:c>
      <x:c r="D314" s="21" t="n">
        <x:v>46082</x:v>
      </x:c>
      <x:c r="E314" s="25" t="n">
        <x:v>115286531</x:v>
      </x:c>
      <x:c r="F314" s="25" t="str">
        <x:v>n/d</x:v>
      </x:c>
      <x:c r="G314" s="25" t="str">
        <x:v>n/d</x:v>
      </x:c>
      <x:c r="H314" s="25" t="n">
        <x:v>112568381</x:v>
      </x:c>
      <x:c r="I314" s="25" t="n">
        <x:v>1254581.53</x:v>
      </x:c>
      <x:c r="J314" s="25" t="n">
        <x:v>2967232.51</x:v>
      </x:c>
      <x:c r="K314" s="20" t="str">
        <x:v>Realizado</x:v>
      </x:c>
      <x:c r="L314" s="20" t="str">
        <x:v>CVM_CRI_2026_CLASSE</x:v>
      </x:c>
      <x:c r="M314" s="20" t="str">
        <x:v>Documentado</x:v>
      </x:c>
      <x:c r="N314" s="20" t="str">
        <x:v>Saldo final: saldo agregado reconciliado, controlado por Valor_Atualizado_Emissao. Unidade sem reconciliação permanece n/d; pagamentos realizados ficam documentados.</x:v>
      </x:c>
    </x:row>
    <x:row r="315">
      <x:c r="A315" s="20" t="str">
        <x:v>CRI_K3</x:v>
      </x:c>
      <x:c r="B315" s="20" t="str">
        <x:v>Série 3</x:v>
      </x:c>
      <x:c r="C315" s="20" t="str">
        <x:v>Sênior</x:v>
      </x:c>
      <x:c r="D315" s="21" t="n">
        <x:v>46113</x:v>
      </x:c>
      <x:c r="E315" s="25" t="n">
        <x:v>112568381</x:v>
      </x:c>
      <x:c r="F315" s="25" t="str">
        <x:v>n/d</x:v>
      </x:c>
      <x:c r="G315" s="25" t="str">
        <x:v>n/d</x:v>
      </x:c>
      <x:c r="H315" s="25" t="str">
        <x:v>n/d</x:v>
      </x:c>
      <x:c r="I315" s="25" t="n">
        <x:v>1495414.48</x:v>
      </x:c>
      <x:c r="J315" s="25" t="n">
        <x:v>3110332.93</x:v>
      </x:c>
      <x:c r="K315" s="20" t="str">
        <x:v>Realizado</x:v>
      </x:c>
      <x:c r="L315" s="20" t="str">
        <x:v>CVM_CRI_2026_CLASSE</x:v>
      </x:c>
      <x:c r="M315" s="20" t="str">
        <x:v>Documentado</x:v>
      </x:c>
      <x:c r="N315" s="20" t="str">
        <x:v>Saldo final: n/d por conflito de unidade, controlado por Valor_Atualizado_Emissao. Unidade sem reconciliação permanece n/d; pagamentos realizados ficam documentados.</x:v>
      </x:c>
    </x:row>
    <x:row r="316">
      <x:c r="A316" s="20" t="str">
        <x:v>CRI_K3</x:v>
      </x:c>
      <x:c r="B316" s="20" t="str">
        <x:v>Série 3</x:v>
      </x:c>
      <x:c r="C316" s="20" t="str">
        <x:v>Sênior</x:v>
      </x:c>
      <x:c r="D316" s="21" t="n">
        <x:v>46143</x:v>
      </x:c>
      <x:c r="E316" s="25" t="str">
        <x:v>n/d</x:v>
      </x:c>
      <x:c r="F316" s="25" t="str">
        <x:v>n/d</x:v>
      </x:c>
      <x:c r="G316" s="25" t="str">
        <x:v>n/d</x:v>
      </x:c>
      <x:c r="H316" s="25" t="n">
        <x:v>106260503</x:v>
      </x:c>
      <x:c r="I316" s="25" t="n">
        <x:v>1320713.51</x:v>
      </x:c>
      <x:c r="J316" s="25" t="n">
        <x:v>3005338.25</x:v>
      </x:c>
      <x:c r="K316" s="20" t="str">
        <x:v>Realizado</x:v>
      </x:c>
      <x:c r="L316" s="20" t="str">
        <x:v>CVM_CRI_2026_CLASSE</x:v>
      </x:c>
      <x:c r="M316" s="20" t="str">
        <x:v>Documentado</x:v>
      </x:c>
      <x:c r="N316" s="20" t="str">
        <x:v>Saldo final: saldo agregado reconciliado, controlado por Valor_Atualizado_Emissao. Unidade sem reconciliação permanece n/d; pagamentos realizados ficam documentados.</x:v>
      </x:c>
    </x:row>
    <x:row r="317">
      <x:c r="A317" s="20" t="str">
        <x:v>CRI_K3</x:v>
      </x:c>
      <x:c r="B317" s="20" t="str">
        <x:v>Série 4</x:v>
      </x:c>
      <x:c r="C317" s="20" t="str">
        <x:v>Mezanino</x:v>
      </x:c>
      <x:c r="D317" s="21" t="n">
        <x:v>45809</x:v>
      </x:c>
      <x:c r="E317" s="25" t="str">
        <x:v>n/d</x:v>
      </x:c>
      <x:c r="F317" s="25" t="str">
        <x:v>n/d</x:v>
      </x:c>
      <x:c r="G317" s="25" t="str">
        <x:v>n/d</x:v>
      </x:c>
      <x:c r="H317" s="25" t="str">
        <x:v>n/d</x:v>
      </x:c>
      <x:c r="I317" s="25" t="str">
        <x:v>n/d</x:v>
      </x:c>
      <x:c r="J317" s="25" t="str">
        <x:v>n/d</x:v>
      </x:c>
      <x:c r="K317" s="20" t="str">
        <x:v>Realizado</x:v>
      </x:c>
      <x:c r="L317" s="20" t="str">
        <x:v>CVM_CRI_2025_CLASSE</x:v>
      </x:c>
      <x:c r="M317" s="20" t="str">
        <x:v>Documentado</x:v>
      </x:c>
      <x:c r="N317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18">
      <x:c r="A318" s="20" t="str">
        <x:v>CRI_K3</x:v>
      </x:c>
      <x:c r="B318" s="20" t="str">
        <x:v>Série 4</x:v>
      </x:c>
      <x:c r="C318" s="20" t="str">
        <x:v>Mezanino</x:v>
      </x:c>
      <x:c r="D318" s="21" t="n">
        <x:v>45839</x:v>
      </x:c>
      <x:c r="E318" s="25" t="str">
        <x:v>n/d</x:v>
      </x:c>
      <x:c r="F318" s="25" t="str">
        <x:v>n/d</x:v>
      </x:c>
      <x:c r="G318" s="25" t="str">
        <x:v>n/d</x:v>
      </x:c>
      <x:c r="H318" s="25" t="str">
        <x:v>n/d</x:v>
      </x:c>
      <x:c r="I318" s="25" t="str">
        <x:v>n/d</x:v>
      </x:c>
      <x:c r="J318" s="25" t="str">
        <x:v>n/d</x:v>
      </x:c>
      <x:c r="K318" s="20" t="str">
        <x:v>Realizado</x:v>
      </x:c>
      <x:c r="L318" s="20" t="str">
        <x:v>CVM_CRI_2025_CLASSE</x:v>
      </x:c>
      <x:c r="M318" s="20" t="str">
        <x:v>Documentado</x:v>
      </x:c>
      <x:c r="N318" s="20" t="str">
        <x:v>Saldo final: n/d, controlado por Valor_Atualizado_Emissao. Unidade sem reconciliação permanece n/d; pagamentos realizados ficam documentados.</x:v>
      </x:c>
    </x:row>
    <x:row r="319">
      <x:c r="A319" s="20" t="str">
        <x:v>CRI_K3</x:v>
      </x:c>
      <x:c r="B319" s="20" t="str">
        <x:v>Série 4</x:v>
      </x:c>
      <x:c r="C319" s="20" t="str">
        <x:v>Mezanino</x:v>
      </x:c>
      <x:c r="D319" s="21" t="n">
        <x:v>45870</x:v>
      </x:c>
      <x:c r="E319" s="25" t="str">
        <x:v>n/d</x:v>
      </x:c>
      <x:c r="F319" s="25" t="str">
        <x:v>n/d</x:v>
      </x:c>
      <x:c r="G319" s="25" t="str">
        <x:v>n/d</x:v>
      </x:c>
      <x:c r="H319" s="25" t="str">
        <x:v>n/d</x:v>
      </x:c>
      <x:c r="I319" s="25" t="str">
        <x:v>n/d</x:v>
      </x:c>
      <x:c r="J319" s="25" t="str">
        <x:v>n/d</x:v>
      </x:c>
      <x:c r="K319" s="20" t="str">
        <x:v>Realizado</x:v>
      </x:c>
      <x:c r="L319" s="20" t="str">
        <x:v>CVM_CRI_2025_CLASSE</x:v>
      </x:c>
      <x:c r="M319" s="20" t="str">
        <x:v>Documentado</x:v>
      </x:c>
      <x:c r="N319" s="20" t="str">
        <x:v>Saldo final: n/d, controlado por Valor_Atualizado_Emissao. Unidade sem reconciliação permanece n/d; pagamentos realizados ficam documentados.</x:v>
      </x:c>
    </x:row>
    <x:row r="320">
      <x:c r="A320" s="20" t="str">
        <x:v>CRI_K3</x:v>
      </x:c>
      <x:c r="B320" s="20" t="str">
        <x:v>Série 4</x:v>
      </x:c>
      <x:c r="C320" s="20" t="str">
        <x:v>Mezanino</x:v>
      </x:c>
      <x:c r="D320" s="21" t="n">
        <x:v>45901</x:v>
      </x:c>
      <x:c r="E320" s="25" t="str">
        <x:v>n/d</x:v>
      </x:c>
      <x:c r="F320" s="25" t="str">
        <x:v>n/d</x:v>
      </x:c>
      <x:c r="G320" s="25" t="str">
        <x:v>n/d</x:v>
      </x:c>
      <x:c r="H320" s="25" t="str">
        <x:v>n/d</x:v>
      </x:c>
      <x:c r="I320" s="25" t="str">
        <x:v>n/d</x:v>
      </x:c>
      <x:c r="J320" s="25" t="str">
        <x:v>n/d</x:v>
      </x:c>
      <x:c r="K320" s="20" t="str">
        <x:v>Realizado</x:v>
      </x:c>
      <x:c r="L320" s="20" t="str">
        <x:v>CVM_CRI_2025_CLASSE</x:v>
      </x:c>
      <x:c r="M320" s="20" t="str">
        <x:v>Documentado</x:v>
      </x:c>
      <x:c r="N320" s="20" t="str">
        <x:v>Saldo final: n/d, controlado por Valor_Atualizado_Emissao. Unidade sem reconciliação permanece n/d; pagamentos realizados ficam documentados.</x:v>
      </x:c>
    </x:row>
    <x:row r="321">
      <x:c r="A321" s="20" t="str">
        <x:v>CRI_K3</x:v>
      </x:c>
      <x:c r="B321" s="20" t="str">
        <x:v>Série 4</x:v>
      </x:c>
      <x:c r="C321" s="20" t="str">
        <x:v>Mezanino</x:v>
      </x:c>
      <x:c r="D321" s="21" t="n">
        <x:v>45931</x:v>
      </x:c>
      <x:c r="E321" s="25" t="str">
        <x:v>n/d</x:v>
      </x:c>
      <x:c r="F321" s="25" t="str">
        <x:v>n/d</x:v>
      </x:c>
      <x:c r="G321" s="25" t="str">
        <x:v>n/d</x:v>
      </x:c>
      <x:c r="H321" s="25" t="str">
        <x:v>n/d</x:v>
      </x:c>
      <x:c r="I321" s="25" t="str">
        <x:v>n/d</x:v>
      </x:c>
      <x:c r="J321" s="25" t="str">
        <x:v>n/d</x:v>
      </x:c>
      <x:c r="K321" s="20" t="str">
        <x:v>Realizado</x:v>
      </x:c>
      <x:c r="L321" s="20" t="str">
        <x:v>CVM_CRI_2025_CLASSE</x:v>
      </x:c>
      <x:c r="M321" s="20" t="str">
        <x:v>Documentado</x:v>
      </x:c>
      <x:c r="N321" s="20" t="str">
        <x:v>Saldo final: n/d, controlado por Valor_Atualizado_Emissao. Unidade sem reconciliação permanece n/d; pagamentos realizados ficam documentados.</x:v>
      </x:c>
    </x:row>
    <x:row r="322">
      <x:c r="A322" s="20" t="str">
        <x:v>CRI_K3</x:v>
      </x:c>
      <x:c r="B322" s="20" t="str">
        <x:v>Série 4</x:v>
      </x:c>
      <x:c r="C322" s="20" t="str">
        <x:v>Mezanino</x:v>
      </x:c>
      <x:c r="D322" s="21" t="n">
        <x:v>45962</x:v>
      </x:c>
      <x:c r="E322" s="25" t="str">
        <x:v>n/d</x:v>
      </x:c>
      <x:c r="F322" s="25" t="str">
        <x:v>n/d</x:v>
      </x:c>
      <x:c r="G322" s="25" t="str">
        <x:v>n/d</x:v>
      </x:c>
      <x:c r="H322" s="25" t="str">
        <x:v>n/d</x:v>
      </x:c>
      <x:c r="I322" s="25" t="str">
        <x:v>n/d</x:v>
      </x:c>
      <x:c r="J322" s="25" t="str">
        <x:v>n/d</x:v>
      </x:c>
      <x:c r="K322" s="20" t="str">
        <x:v>Realizado</x:v>
      </x:c>
      <x:c r="L322" s="20" t="str">
        <x:v>CVM_CRI_2025_CLASSE</x:v>
      </x:c>
      <x:c r="M322" s="20" t="str">
        <x:v>Documentado</x:v>
      </x:c>
      <x:c r="N322" s="20" t="str">
        <x:v>Saldo final: n/d, controlado por Valor_Atualizado_Emissao. Unidade sem reconciliação permanece n/d; pagamentos realizados ficam documentados.</x:v>
      </x:c>
    </x:row>
    <x:row r="323">
      <x:c r="A323" s="20" t="str">
        <x:v>CRI_K3</x:v>
      </x:c>
      <x:c r="B323" s="20" t="str">
        <x:v>Série 4</x:v>
      </x:c>
      <x:c r="C323" s="20" t="str">
        <x:v>Mezanino</x:v>
      </x:c>
      <x:c r="D323" s="21" t="n">
        <x:v>45992</x:v>
      </x:c>
      <x:c r="E323" s="25" t="str">
        <x:v>n/d</x:v>
      </x:c>
      <x:c r="F323" s="25" t="str">
        <x:v>n/d</x:v>
      </x:c>
      <x:c r="G323" s="25" t="str">
        <x:v>n/d</x:v>
      </x:c>
      <x:c r="H323" s="25" t="str">
        <x:v>n/d</x:v>
      </x:c>
      <x:c r="I323" s="25" t="str">
        <x:v>n/d</x:v>
      </x:c>
      <x:c r="J323" s="25" t="str">
        <x:v>n/d</x:v>
      </x:c>
      <x:c r="K323" s="20" t="str">
        <x:v>Realizado</x:v>
      </x:c>
      <x:c r="L323" s="20" t="str">
        <x:v>CVM_CRI_2025_CLASSE</x:v>
      </x:c>
      <x:c r="M323" s="20" t="str">
        <x:v>Documentado</x:v>
      </x:c>
      <x:c r="N323" s="20" t="str">
        <x:v>Saldo final: n/d, controlado por Valor_Atualizado_Emissao. Unidade sem reconciliação permanece n/d; pagamentos realizados ficam documentados.</x:v>
      </x:c>
    </x:row>
    <x:row r="324">
      <x:c r="A324" s="20" t="str">
        <x:v>CRI_K3</x:v>
      </x:c>
      <x:c r="B324" s="20" t="str">
        <x:v>Série 4</x:v>
      </x:c>
      <x:c r="C324" s="20" t="str">
        <x:v>Mezanino</x:v>
      </x:c>
      <x:c r="D324" s="21" t="n">
        <x:v>46023</x:v>
      </x:c>
      <x:c r="E324" s="25" t="str">
        <x:v>n/d</x:v>
      </x:c>
      <x:c r="F324" s="25" t="str">
        <x:v>n/d</x:v>
      </x:c>
      <x:c r="G324" s="25" t="str">
        <x:v>n/d</x:v>
      </x:c>
      <x:c r="H324" s="25" t="str">
        <x:v>n/d</x:v>
      </x:c>
      <x:c r="I324" s="25" t="str">
        <x:v>n/d</x:v>
      </x:c>
      <x:c r="J324" s="25" t="str">
        <x:v>n/d</x:v>
      </x:c>
      <x:c r="K324" s="20" t="str">
        <x:v>Realizado</x:v>
      </x:c>
      <x:c r="L324" s="20" t="str">
        <x:v>CVM_CRI_2026_CLASSE</x:v>
      </x:c>
      <x:c r="M324" s="20" t="str">
        <x:v>Documentado</x:v>
      </x:c>
      <x:c r="N324" s="20" t="str">
        <x:v>Saldo final: n/d, controlado por Valor_Atualizado_Emissao. Unidade sem reconciliação permanece n/d; pagamentos realizados ficam documentados.</x:v>
      </x:c>
    </x:row>
    <x:row r="325">
      <x:c r="A325" s="20" t="str">
        <x:v>CRI_K3</x:v>
      </x:c>
      <x:c r="B325" s="20" t="str">
        <x:v>Série 4</x:v>
      </x:c>
      <x:c r="C325" s="20" t="str">
        <x:v>Mezanino</x:v>
      </x:c>
      <x:c r="D325" s="21" t="n">
        <x:v>46054</x:v>
      </x:c>
      <x:c r="E325" s="25" t="str">
        <x:v>n/d</x:v>
      </x:c>
      <x:c r="F325" s="25" t="str">
        <x:v>n/d</x:v>
      </x:c>
      <x:c r="G325" s="25" t="str">
        <x:v>n/d</x:v>
      </x:c>
      <x:c r="H325" s="25" t="n">
        <x:v>64187254</x:v>
      </x:c>
      <x:c r="I325" s="25" t="n">
        <x:v>1065747.06</x:v>
      </x:c>
      <x:c r="J325" s="25" t="n">
        <x:v>1575044.97</x:v>
      </x:c>
      <x:c r="K325" s="20" t="str">
        <x:v>Realizado</x:v>
      </x:c>
      <x:c r="L325" s="20" t="str">
        <x:v>CVM_CRI_2026_CLASSE</x:v>
      </x:c>
      <x:c r="M325" s="20" t="str">
        <x:v>Documentado</x:v>
      </x:c>
      <x:c r="N325" s="20" t="str">
        <x:v>Saldo final: saldo agregado reconciliado, controlado por Valor_Atualizado_Emissao. Unidade sem reconciliação permanece n/d; pagamentos realizados ficam documentados.</x:v>
      </x:c>
    </x:row>
    <x:row r="326">
      <x:c r="A326" s="20" t="str">
        <x:v>CRI_K3</x:v>
      </x:c>
      <x:c r="B326" s="20" t="str">
        <x:v>Série 4</x:v>
      </x:c>
      <x:c r="C326" s="20" t="str">
        <x:v>Mezanino</x:v>
      </x:c>
      <x:c r="D326" s="21" t="n">
        <x:v>46082</x:v>
      </x:c>
      <x:c r="E326" s="25" t="n">
        <x:v>64187254</x:v>
      </x:c>
      <x:c r="F326" s="25" t="str">
        <x:v>n/d</x:v>
      </x:c>
      <x:c r="G326" s="25" t="str">
        <x:v>n/d</x:v>
      </x:c>
      <x:c r="H326" s="25" t="n">
        <x:v>62711427</x:v>
      </x:c>
      <x:c r="I326" s="25" t="n">
        <x:v>890367.59</x:v>
      </x:c>
      <x:c r="J326" s="25" t="n">
        <x:v>1648462.5</x:v>
      </x:c>
      <x:c r="K326" s="20" t="str">
        <x:v>Realizado</x:v>
      </x:c>
      <x:c r="L326" s="20" t="str">
        <x:v>CVM_CRI_2026_CLASSE</x:v>
      </x:c>
      <x:c r="M326" s="20" t="str">
        <x:v>Documentado</x:v>
      </x:c>
      <x:c r="N326" s="20" t="str">
        <x:v>Saldo final: saldo agregado reconciliado, controlado por Valor_Atualizado_Emissao. Unidade sem reconciliação permanece n/d; pagamentos realizados ficam documentados.</x:v>
      </x:c>
    </x:row>
    <x:row r="327">
      <x:c r="A327" s="20" t="str">
        <x:v>CRI_K3</x:v>
      </x:c>
      <x:c r="B327" s="20" t="str">
        <x:v>Série 4</x:v>
      </x:c>
      <x:c r="C327" s="20" t="str">
        <x:v>Mezanino</x:v>
      </x:c>
      <x:c r="D327" s="21" t="n">
        <x:v>46113</x:v>
      </x:c>
      <x:c r="E327" s="25" t="n">
        <x:v>62711427</x:v>
      </x:c>
      <x:c r="F327" s="25" t="str">
        <x:v>n/d</x:v>
      </x:c>
      <x:c r="G327" s="25" t="str">
        <x:v>n/d</x:v>
      </x:c>
      <x:c r="H327" s="25" t="str">
        <x:v>n/d</x:v>
      </x:c>
      <x:c r="I327" s="25" t="n">
        <x:v>1054567.22</x:v>
      </x:c>
      <x:c r="J327" s="25" t="n">
        <x:v>1727962.74</x:v>
      </x:c>
      <x:c r="K327" s="20" t="str">
        <x:v>Realizado</x:v>
      </x:c>
      <x:c r="L327" s="20" t="str">
        <x:v>CVM_CRI_2026_CLASSE</x:v>
      </x:c>
      <x:c r="M327" s="20" t="str">
        <x:v>Documentado</x:v>
      </x:c>
      <x:c r="N327" s="20" t="str">
        <x:v>Saldo final: n/d por conflito de unidade, controlado por Valor_Atualizado_Emissao. Unidade sem reconciliação permanece n/d; pagamentos realizados ficam documentados.</x:v>
      </x:c>
    </x:row>
    <x:row r="328">
      <x:c r="A328" s="20" t="str">
        <x:v>CRI_K3</x:v>
      </x:c>
      <x:c r="B328" s="20" t="str">
        <x:v>Série 4</x:v>
      </x:c>
      <x:c r="C328" s="20" t="str">
        <x:v>Mezanino</x:v>
      </x:c>
      <x:c r="D328" s="21" t="n">
        <x:v>46143</x:v>
      </x:c>
      <x:c r="E328" s="25" t="str">
        <x:v>n/d</x:v>
      </x:c>
      <x:c r="F328" s="25" t="str">
        <x:v>n/d</x:v>
      </x:c>
      <x:c r="G328" s="25" t="str">
        <x:v>n/d</x:v>
      </x:c>
      <x:c r="H328" s="25" t="n">
        <x:v>59166297</x:v>
      </x:c>
      <x:c r="I328" s="25" t="n">
        <x:v>924249.66</x:v>
      </x:c>
      <x:c r="J328" s="25" t="n">
        <x:v>1669632.36</x:v>
      </x:c>
      <x:c r="K328" s="20" t="str">
        <x:v>Realizado</x:v>
      </x:c>
      <x:c r="L328" s="20" t="str">
        <x:v>CVM_CRI_2026_CLASSE</x:v>
      </x:c>
      <x:c r="M328" s="20" t="str">
        <x:v>Documentado</x:v>
      </x:c>
      <x:c r="N328" s="20" t="str">
        <x:v>Saldo final: saldo agregado reconciliado, controlado por Valor_Atualizado_Emissao. Unidade sem reconciliação permanece n/d; pagamentos realizados ficam documentados.</x:v>
      </x:c>
    </x:row>
    <x:row r="329">
      <x:c r="A329" s="20" t="str">
        <x:v>CRI_K3</x:v>
      </x:c>
      <x:c r="B329" s="20" t="str">
        <x:v>Série 5</x:v>
      </x:c>
      <x:c r="C329" s="20" t="str">
        <x:v>Subordinada</x:v>
      </x:c>
      <x:c r="D329" s="21" t="n">
        <x:v>45809</x:v>
      </x:c>
      <x:c r="E329" s="25" t="str">
        <x:v>n/d</x:v>
      </x:c>
      <x:c r="F329" s="25" t="str">
        <x:v>n/d</x:v>
      </x:c>
      <x:c r="G329" s="25" t="str">
        <x:v>n/d</x:v>
      </x:c>
      <x:c r="H329" s="25" t="str">
        <x:v>n/d</x:v>
      </x:c>
      <x:c r="I329" s="25" t="str">
        <x:v>n/d</x:v>
      </x:c>
      <x:c r="J329" s="25" t="str">
        <x:v>n/d</x:v>
      </x:c>
      <x:c r="K329" s="20" t="str">
        <x:v>Realizado</x:v>
      </x:c>
      <x:c r="L329" s="20" t="str">
        <x:v>CVM_CRI_2025_CLASSE</x:v>
      </x:c>
      <x:c r="M329" s="20" t="str">
        <x:v>Documentado</x:v>
      </x:c>
      <x:c r="N329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30">
      <x:c r="A330" s="20" t="str">
        <x:v>CRI_K3</x:v>
      </x:c>
      <x:c r="B330" s="20" t="str">
        <x:v>Série 5</x:v>
      </x:c>
      <x:c r="C330" s="20" t="str">
        <x:v>Subordinada</x:v>
      </x:c>
      <x:c r="D330" s="21" t="n">
        <x:v>45839</x:v>
      </x:c>
      <x:c r="E330" s="25" t="str">
        <x:v>n/d</x:v>
      </x:c>
      <x:c r="F330" s="25" t="str">
        <x:v>n/d</x:v>
      </x:c>
      <x:c r="G330" s="25" t="str">
        <x:v>n/d</x:v>
      </x:c>
      <x:c r="H330" s="25" t="str">
        <x:v>n/d</x:v>
      </x:c>
      <x:c r="I330" s="25" t="str">
        <x:v>n/d</x:v>
      </x:c>
      <x:c r="J330" s="25" t="str">
        <x:v>n/d</x:v>
      </x:c>
      <x:c r="K330" s="20" t="str">
        <x:v>Realizado</x:v>
      </x:c>
      <x:c r="L330" s="20" t="str">
        <x:v>CVM_CRI_2025_CLASSE</x:v>
      </x:c>
      <x:c r="M330" s="20" t="str">
        <x:v>Documentado</x:v>
      </x:c>
      <x:c r="N330" s="20" t="str">
        <x:v>Saldo final: n/d, controlado por Valor_Atualizado_Emissao. Unidade sem reconciliação permanece n/d; pagamentos realizados ficam documentados.</x:v>
      </x:c>
    </x:row>
    <x:row r="331">
      <x:c r="A331" s="20" t="str">
        <x:v>CRI_K3</x:v>
      </x:c>
      <x:c r="B331" s="20" t="str">
        <x:v>Série 5</x:v>
      </x:c>
      <x:c r="C331" s="20" t="str">
        <x:v>Subordinada</x:v>
      </x:c>
      <x:c r="D331" s="21" t="n">
        <x:v>45870</x:v>
      </x:c>
      <x:c r="E331" s="25" t="str">
        <x:v>n/d</x:v>
      </x:c>
      <x:c r="F331" s="25" t="str">
        <x:v>n/d</x:v>
      </x:c>
      <x:c r="G331" s="25" t="str">
        <x:v>n/d</x:v>
      </x:c>
      <x:c r="H331" s="25" t="str">
        <x:v>n/d</x:v>
      </x:c>
      <x:c r="I331" s="25" t="str">
        <x:v>n/d</x:v>
      </x:c>
      <x:c r="J331" s="25" t="str">
        <x:v>n/d</x:v>
      </x:c>
      <x:c r="K331" s="20" t="str">
        <x:v>Realizado</x:v>
      </x:c>
      <x:c r="L331" s="20" t="str">
        <x:v>CVM_CRI_2025_CLASSE</x:v>
      </x:c>
      <x:c r="M331" s="20" t="str">
        <x:v>Documentado</x:v>
      </x:c>
      <x:c r="N331" s="20" t="str">
        <x:v>Saldo final: n/d, controlado por Valor_Atualizado_Emissao. Unidade sem reconciliação permanece n/d; pagamentos realizados ficam documentados.</x:v>
      </x:c>
    </x:row>
    <x:row r="332">
      <x:c r="A332" s="20" t="str">
        <x:v>CRI_K3</x:v>
      </x:c>
      <x:c r="B332" s="20" t="str">
        <x:v>Série 5</x:v>
      </x:c>
      <x:c r="C332" s="20" t="str">
        <x:v>Subordinada</x:v>
      </x:c>
      <x:c r="D332" s="21" t="n">
        <x:v>45901</x:v>
      </x:c>
      <x:c r="E332" s="25" t="str">
        <x:v>n/d</x:v>
      </x:c>
      <x:c r="F332" s="25" t="str">
        <x:v>n/d</x:v>
      </x:c>
      <x:c r="G332" s="25" t="str">
        <x:v>n/d</x:v>
      </x:c>
      <x:c r="H332" s="25" t="str">
        <x:v>n/d</x:v>
      </x:c>
      <x:c r="I332" s="25" t="str">
        <x:v>n/d</x:v>
      </x:c>
      <x:c r="J332" s="25" t="str">
        <x:v>n/d</x:v>
      </x:c>
      <x:c r="K332" s="20" t="str">
        <x:v>Realizado</x:v>
      </x:c>
      <x:c r="L332" s="20" t="str">
        <x:v>CVM_CRI_2025_CLASSE</x:v>
      </x:c>
      <x:c r="M332" s="20" t="str">
        <x:v>Documentado</x:v>
      </x:c>
      <x:c r="N332" s="20" t="str">
        <x:v>Saldo final: n/d, controlado por Valor_Atualizado_Emissao. Unidade sem reconciliação permanece n/d; pagamentos realizados ficam documentados.</x:v>
      </x:c>
    </x:row>
    <x:row r="333">
      <x:c r="A333" s="20" t="str">
        <x:v>CRI_K3</x:v>
      </x:c>
      <x:c r="B333" s="20" t="str">
        <x:v>Série 5</x:v>
      </x:c>
      <x:c r="C333" s="20" t="str">
        <x:v>Subordinada</x:v>
      </x:c>
      <x:c r="D333" s="21" t="n">
        <x:v>45931</x:v>
      </x:c>
      <x:c r="E333" s="25" t="str">
        <x:v>n/d</x:v>
      </x:c>
      <x:c r="F333" s="25" t="str">
        <x:v>n/d</x:v>
      </x:c>
      <x:c r="G333" s="25" t="str">
        <x:v>n/d</x:v>
      </x:c>
      <x:c r="H333" s="25" t="str">
        <x:v>n/d</x:v>
      </x:c>
      <x:c r="I333" s="25" t="str">
        <x:v>n/d</x:v>
      </x:c>
      <x:c r="J333" s="25" t="str">
        <x:v>n/d</x:v>
      </x:c>
      <x:c r="K333" s="20" t="str">
        <x:v>Realizado</x:v>
      </x:c>
      <x:c r="L333" s="20" t="str">
        <x:v>CVM_CRI_2025_CLASSE</x:v>
      </x:c>
      <x:c r="M333" s="20" t="str">
        <x:v>Documentado</x:v>
      </x:c>
      <x:c r="N333" s="20" t="str">
        <x:v>Saldo final: n/d, controlado por Valor_Atualizado_Emissao. Unidade sem reconciliação permanece n/d; pagamentos realizados ficam documentados.</x:v>
      </x:c>
    </x:row>
    <x:row r="334">
      <x:c r="A334" s="20" t="str">
        <x:v>CRI_K3</x:v>
      </x:c>
      <x:c r="B334" s="20" t="str">
        <x:v>Série 5</x:v>
      </x:c>
      <x:c r="C334" s="20" t="str">
        <x:v>Subordinada</x:v>
      </x:c>
      <x:c r="D334" s="21" t="n">
        <x:v>45962</x:v>
      </x:c>
      <x:c r="E334" s="25" t="str">
        <x:v>n/d</x:v>
      </x:c>
      <x:c r="F334" s="25" t="str">
        <x:v>n/d</x:v>
      </x:c>
      <x:c r="G334" s="25" t="str">
        <x:v>n/d</x:v>
      </x:c>
      <x:c r="H334" s="25" t="str">
        <x:v>n/d</x:v>
      </x:c>
      <x:c r="I334" s="25" t="str">
        <x:v>n/d</x:v>
      </x:c>
      <x:c r="J334" s="25" t="str">
        <x:v>n/d</x:v>
      </x:c>
      <x:c r="K334" s="20" t="str">
        <x:v>Realizado</x:v>
      </x:c>
      <x:c r="L334" s="20" t="str">
        <x:v>CVM_CRI_2025_CLASSE</x:v>
      </x:c>
      <x:c r="M334" s="20" t="str">
        <x:v>Documentado</x:v>
      </x:c>
      <x:c r="N334" s="20" t="str">
        <x:v>Saldo final: n/d, controlado por Valor_Atualizado_Emissao. Unidade sem reconciliação permanece n/d; pagamentos realizados ficam documentados.</x:v>
      </x:c>
    </x:row>
    <x:row r="335">
      <x:c r="A335" s="20" t="str">
        <x:v>CRI_K3</x:v>
      </x:c>
      <x:c r="B335" s="20" t="str">
        <x:v>Série 5</x:v>
      </x:c>
      <x:c r="C335" s="20" t="str">
        <x:v>Subordinada</x:v>
      </x:c>
      <x:c r="D335" s="21" t="n">
        <x:v>45992</x:v>
      </x:c>
      <x:c r="E335" s="25" t="str">
        <x:v>n/d</x:v>
      </x:c>
      <x:c r="F335" s="25" t="str">
        <x:v>n/d</x:v>
      </x:c>
      <x:c r="G335" s="25" t="str">
        <x:v>n/d</x:v>
      </x:c>
      <x:c r="H335" s="25" t="str">
        <x:v>n/d</x:v>
      </x:c>
      <x:c r="I335" s="25" t="str">
        <x:v>n/d</x:v>
      </x:c>
      <x:c r="J335" s="25" t="str">
        <x:v>n/d</x:v>
      </x:c>
      <x:c r="K335" s="20" t="str">
        <x:v>Realizado</x:v>
      </x:c>
      <x:c r="L335" s="20" t="str">
        <x:v>CVM_CRI_2025_CLASSE</x:v>
      </x:c>
      <x:c r="M335" s="20" t="str">
        <x:v>Documentado</x:v>
      </x:c>
      <x:c r="N335" s="20" t="str">
        <x:v>Saldo final: n/d, controlado por Valor_Atualizado_Emissao. Unidade sem reconciliação permanece n/d; pagamentos realizados ficam documentados.</x:v>
      </x:c>
    </x:row>
    <x:row r="336">
      <x:c r="A336" s="20" t="str">
        <x:v>CRI_K3</x:v>
      </x:c>
      <x:c r="B336" s="20" t="str">
        <x:v>Série 5</x:v>
      </x:c>
      <x:c r="C336" s="20" t="str">
        <x:v>Subordinada</x:v>
      </x:c>
      <x:c r="D336" s="21" t="n">
        <x:v>46023</x:v>
      </x:c>
      <x:c r="E336" s="25" t="str">
        <x:v>n/d</x:v>
      </x:c>
      <x:c r="F336" s="25" t="str">
        <x:v>n/d</x:v>
      </x:c>
      <x:c r="G336" s="25" t="str">
        <x:v>n/d</x:v>
      </x:c>
      <x:c r="H336" s="25" t="str">
        <x:v>n/d</x:v>
      </x:c>
      <x:c r="I336" s="25" t="str">
        <x:v>n/d</x:v>
      </x:c>
      <x:c r="J336" s="25" t="str">
        <x:v>n/d</x:v>
      </x:c>
      <x:c r="K336" s="20" t="str">
        <x:v>Realizado</x:v>
      </x:c>
      <x:c r="L336" s="20" t="str">
        <x:v>CVM_CRI_2026_CLASSE</x:v>
      </x:c>
      <x:c r="M336" s="20" t="str">
        <x:v>Documentado</x:v>
      </x:c>
      <x:c r="N336" s="20" t="str">
        <x:v>Saldo final: n/d, controlado por Valor_Atualizado_Emissao. Unidade sem reconciliação permanece n/d; pagamentos realizados ficam documentados.</x:v>
      </x:c>
    </x:row>
    <x:row r="337">
      <x:c r="A337" s="20" t="str">
        <x:v>CRI_K3</x:v>
      </x:c>
      <x:c r="B337" s="20" t="str">
        <x:v>Série 5</x:v>
      </x:c>
      <x:c r="C337" s="20" t="str">
        <x:v>Subordinada</x:v>
      </x:c>
      <x:c r="D337" s="21" t="n">
        <x:v>46054</x:v>
      </x:c>
      <x:c r="E337" s="25" t="str">
        <x:v>n/d</x:v>
      </x:c>
      <x:c r="F337" s="25" t="str">
        <x:v>n/d</x:v>
      </x:c>
      <x:c r="G337" s="25" t="str">
        <x:v>n/d</x:v>
      </x:c>
      <x:c r="H337" s="25" t="n">
        <x:v>30509371</x:v>
      </x:c>
      <x:c r="I337" s="25" t="n">
        <x:v>654670.04</x:v>
      </x:c>
      <x:c r="J337" s="25" t="n">
        <x:v>3074591.39</x:v>
      </x:c>
      <x:c r="K337" s="20" t="str">
        <x:v>Realizado</x:v>
      </x:c>
      <x:c r="L337" s="20" t="str">
        <x:v>CVM_CRI_2026_CLASSE</x:v>
      </x:c>
      <x:c r="M337" s="20" t="str">
        <x:v>Documentado</x:v>
      </x:c>
      <x:c r="N337" s="20" t="str">
        <x:v>Saldo final: saldo agregado reconciliado, controlado por Valor_Atualizado_Emissao. Unidade sem reconciliação permanece n/d; pagamentos realizados ficam documentados.</x:v>
      </x:c>
    </x:row>
    <x:row r="338">
      <x:c r="A338" s="20" t="str">
        <x:v>CRI_K3</x:v>
      </x:c>
      <x:c r="B338" s="20" t="str">
        <x:v>Série 5</x:v>
      </x:c>
      <x:c r="C338" s="20" t="str">
        <x:v>Subordinada</x:v>
      </x:c>
      <x:c r="D338" s="21" t="n">
        <x:v>46082</x:v>
      </x:c>
      <x:c r="E338" s="25" t="n">
        <x:v>30509371</x:v>
      </x:c>
      <x:c r="F338" s="25" t="str">
        <x:v>n/d</x:v>
      </x:c>
      <x:c r="G338" s="25" t="str">
        <x:v>n/d</x:v>
      </x:c>
      <x:c r="H338" s="25" t="n">
        <x:v>29309098</x:v>
      </x:c>
      <x:c r="I338" s="25" t="n">
        <x:v>508494.84</x:v>
      </x:c>
      <x:c r="J338" s="25" t="n">
        <x:v>1291311.35</x:v>
      </x:c>
      <x:c r="K338" s="20" t="str">
        <x:v>Realizado</x:v>
      </x:c>
      <x:c r="L338" s="20" t="str">
        <x:v>CVM_CRI_2026_CLASSE</x:v>
      </x:c>
      <x:c r="M338" s="20" t="str">
        <x:v>Documentado</x:v>
      </x:c>
      <x:c r="N338" s="20" t="str">
        <x:v>Saldo final: saldo agregado reconciliado, controlado por Valor_Atualizado_Emissao. Unidade sem reconciliação permanece n/d; pagamentos realizados ficam documentados.</x:v>
      </x:c>
    </x:row>
    <x:row r="339">
      <x:c r="A339" s="20" t="str">
        <x:v>CRI_K3</x:v>
      </x:c>
      <x:c r="B339" s="20" t="str">
        <x:v>Série 5</x:v>
      </x:c>
      <x:c r="C339" s="20" t="str">
        <x:v>Subordinada</x:v>
      </x:c>
      <x:c r="D339" s="21" t="n">
        <x:v>46113</x:v>
      </x:c>
      <x:c r="E339" s="25" t="n">
        <x:v>29309098</x:v>
      </x:c>
      <x:c r="F339" s="25" t="str">
        <x:v>n/d</x:v>
      </x:c>
      <x:c r="G339" s="25" t="str">
        <x:v>n/d</x:v>
      </x:c>
      <x:c r="H339" s="25" t="str">
        <x:v>n/d</x:v>
      </x:c>
      <x:c r="I339" s="25" t="n">
        <x:v>592670.75</x:v>
      </x:c>
      <x:c r="J339" s="25" t="n">
        <x:v>3241706.48</x:v>
      </x:c>
      <x:c r="K339" s="20" t="str">
        <x:v>Realizado</x:v>
      </x:c>
      <x:c r="L339" s="20" t="str">
        <x:v>CVM_CRI_2026_CLASSE</x:v>
      </x:c>
      <x:c r="M339" s="20" t="str">
        <x:v>Documentado</x:v>
      </x:c>
      <x:c r="N339" s="20" t="str">
        <x:v>Saldo final: n/d por conflito de unidade, controlado por Valor_Atualizado_Emissao. Unidade sem reconciliação permanece n/d; pagamentos realizados ficam documentados.</x:v>
      </x:c>
    </x:row>
    <x:row r="340">
      <x:c r="A340" s="20" t="str">
        <x:v>CRI_K3</x:v>
      </x:c>
      <x:c r="B340" s="20" t="str">
        <x:v>Série 5</x:v>
      </x:c>
      <x:c r="C340" s="20" t="str">
        <x:v>Subordinada</x:v>
      </x:c>
      <x:c r="D340" s="21" t="n">
        <x:v>46143</x:v>
      </x:c>
      <x:c r="E340" s="25" t="str">
        <x:v>n/d</x:v>
      </x:c>
      <x:c r="F340" s="25" t="str">
        <x:v>n/d</x:v>
      </x:c>
      <x:c r="G340" s="25" t="str">
        <x:v>n/d</x:v>
      </x:c>
      <x:c r="H340" s="25" t="n">
        <x:v>25214984</x:v>
      </x:c>
      <x:c r="I340" s="25" t="n">
        <x:v>474836.33</x:v>
      </x:c>
      <x:c r="J340" s="25" t="n">
        <x:v>737594.64</x:v>
      </x:c>
      <x:c r="K340" s="20" t="str">
        <x:v>Realizado</x:v>
      </x:c>
      <x:c r="L340" s="20" t="str">
        <x:v>CVM_CRI_2026_CLASSE</x:v>
      </x:c>
      <x:c r="M340" s="20" t="str">
        <x:v>Documentado</x:v>
      </x:c>
      <x:c r="N340" s="20" t="str">
        <x:v>Saldo final: saldo agregado reconciliado, controlado por Valor_Atualizado_Emissao. Unidade sem reconciliação permanece n/d; pagamentos realizados ficam documentados.</x:v>
      </x:c>
    </x:row>
    <x:row r="341">
      <x:c r="A341" s="20" t="str">
        <x:v>CRI_K3</x:v>
      </x:c>
      <x:c r="B341" s="20" t="str">
        <x:v>Série 6</x:v>
      </x:c>
      <x:c r="C341" s="20" t="str">
        <x:v>Júnior/Subordinada</x:v>
      </x:c>
      <x:c r="D341" s="21" t="n">
        <x:v>45809</x:v>
      </x:c>
      <x:c r="E341" s="25" t="str">
        <x:v>n/d</x:v>
      </x:c>
      <x:c r="F341" s="25" t="str">
        <x:v>n/d</x:v>
      </x:c>
      <x:c r="G341" s="25" t="str">
        <x:v>n/d</x:v>
      </x:c>
      <x:c r="H341" s="25" t="str">
        <x:v>n/d</x:v>
      </x:c>
      <x:c r="I341" s="25" t="n">
        <x:v>0</x:v>
      </x:c>
      <x:c r="J341" s="25" t="n">
        <x:v>0</x:v>
      </x:c>
      <x:c r="K341" s="20" t="str">
        <x:v>Realizado</x:v>
      </x:c>
      <x:c r="L341" s="20" t="str">
        <x:v>CVM_CRI_2025_CLASSE</x:v>
      </x:c>
      <x:c r="M341" s="20" t="str">
        <x:v>Documentado</x:v>
      </x:c>
      <x:c r="N341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42">
      <x:c r="A342" s="20" t="str">
        <x:v>CRI_K3</x:v>
      </x:c>
      <x:c r="B342" s="20" t="str">
        <x:v>Série 6</x:v>
      </x:c>
      <x:c r="C342" s="20" t="str">
        <x:v>Júnior/Subordinada</x:v>
      </x:c>
      <x:c r="D342" s="21" t="n">
        <x:v>45839</x:v>
      </x:c>
      <x:c r="E342" s="25" t="str">
        <x:v>n/d</x:v>
      </x:c>
      <x:c r="F342" s="25" t="str">
        <x:v>n/d</x:v>
      </x:c>
      <x:c r="G342" s="25" t="str">
        <x:v>n/d</x:v>
      </x:c>
      <x:c r="H342" s="25" t="str">
        <x:v>n/d</x:v>
      </x:c>
      <x:c r="I342" s="25" t="n">
        <x:v>0</x:v>
      </x:c>
      <x:c r="J342" s="25" t="n">
        <x:v>0</x:v>
      </x:c>
      <x:c r="K342" s="20" t="str">
        <x:v>Realizado</x:v>
      </x:c>
      <x:c r="L342" s="20" t="str">
        <x:v>CVM_CRI_2025_CLASSE</x:v>
      </x:c>
      <x:c r="M342" s="20" t="str">
        <x:v>Documentado</x:v>
      </x:c>
      <x:c r="N342" s="20" t="str">
        <x:v>Saldo final: n/d, controlado por Valor_Atualizado_Emissao. Unidade sem reconciliação permanece n/d; pagamentos realizados ficam documentados.</x:v>
      </x:c>
    </x:row>
    <x:row r="343">
      <x:c r="A343" s="20" t="str">
        <x:v>CRI_K3</x:v>
      </x:c>
      <x:c r="B343" s="20" t="str">
        <x:v>Série 6</x:v>
      </x:c>
      <x:c r="C343" s="20" t="str">
        <x:v>Júnior/Subordinada</x:v>
      </x:c>
      <x:c r="D343" s="21" t="n">
        <x:v>45870</x:v>
      </x:c>
      <x:c r="E343" s="25" t="str">
        <x:v>n/d</x:v>
      </x:c>
      <x:c r="F343" s="25" t="str">
        <x:v>n/d</x:v>
      </x:c>
      <x:c r="G343" s="25" t="str">
        <x:v>n/d</x:v>
      </x:c>
      <x:c r="H343" s="25" t="str">
        <x:v>n/d</x:v>
      </x:c>
      <x:c r="I343" s="25" t="n">
        <x:v>0</x:v>
      </x:c>
      <x:c r="J343" s="25" t="n">
        <x:v>0</x:v>
      </x:c>
      <x:c r="K343" s="20" t="str">
        <x:v>Realizado</x:v>
      </x:c>
      <x:c r="L343" s="20" t="str">
        <x:v>CVM_CRI_2025_CLASSE</x:v>
      </x:c>
      <x:c r="M343" s="20" t="str">
        <x:v>Documentado</x:v>
      </x:c>
      <x:c r="N343" s="20" t="str">
        <x:v>Saldo final: n/d, controlado por Valor_Atualizado_Emissao. Unidade sem reconciliação permanece n/d; pagamentos realizados ficam documentados.</x:v>
      </x:c>
    </x:row>
    <x:row r="344">
      <x:c r="A344" s="20" t="str">
        <x:v>CRI_K3</x:v>
      </x:c>
      <x:c r="B344" s="20" t="str">
        <x:v>Série 6</x:v>
      </x:c>
      <x:c r="C344" s="20" t="str">
        <x:v>Júnior/Subordinada</x:v>
      </x:c>
      <x:c r="D344" s="21" t="n">
        <x:v>45901</x:v>
      </x:c>
      <x:c r="E344" s="25" t="str">
        <x:v>n/d</x:v>
      </x:c>
      <x:c r="F344" s="25" t="str">
        <x:v>n/d</x:v>
      </x:c>
      <x:c r="G344" s="25" t="str">
        <x:v>n/d</x:v>
      </x:c>
      <x:c r="H344" s="25" t="str">
        <x:v>n/d</x:v>
      </x:c>
      <x:c r="I344" s="25" t="n">
        <x:v>0</x:v>
      </x:c>
      <x:c r="J344" s="25" t="n">
        <x:v>0</x:v>
      </x:c>
      <x:c r="K344" s="20" t="str">
        <x:v>Realizado</x:v>
      </x:c>
      <x:c r="L344" s="20" t="str">
        <x:v>CVM_CRI_2025_CLASSE</x:v>
      </x:c>
      <x:c r="M344" s="20" t="str">
        <x:v>Documentado</x:v>
      </x:c>
      <x:c r="N344" s="20" t="str">
        <x:v>Saldo final: n/d, controlado por Valor_Atualizado_Emissao. Unidade sem reconciliação permanece n/d; pagamentos realizados ficam documentados.</x:v>
      </x:c>
    </x:row>
    <x:row r="345">
      <x:c r="A345" s="20" t="str">
        <x:v>CRI_K3</x:v>
      </x:c>
      <x:c r="B345" s="20" t="str">
        <x:v>Série 6</x:v>
      </x:c>
      <x:c r="C345" s="20" t="str">
        <x:v>Júnior/Subordinada</x:v>
      </x:c>
      <x:c r="D345" s="21" t="n">
        <x:v>45931</x:v>
      </x:c>
      <x:c r="E345" s="25" t="str">
        <x:v>n/d</x:v>
      </x:c>
      <x:c r="F345" s="25" t="str">
        <x:v>n/d</x:v>
      </x:c>
      <x:c r="G345" s="25" t="str">
        <x:v>n/d</x:v>
      </x:c>
      <x:c r="H345" s="25" t="str">
        <x:v>n/d</x:v>
      </x:c>
      <x:c r="I345" s="25" t="n">
        <x:v>0</x:v>
      </x:c>
      <x:c r="J345" s="25" t="n">
        <x:v>0</x:v>
      </x:c>
      <x:c r="K345" s="20" t="str">
        <x:v>Realizado</x:v>
      </x:c>
      <x:c r="L345" s="20" t="str">
        <x:v>CVM_CRI_2025_CLASSE</x:v>
      </x:c>
      <x:c r="M345" s="20" t="str">
        <x:v>Documentado</x:v>
      </x:c>
      <x:c r="N345" s="20" t="str">
        <x:v>Saldo final: n/d, controlado por Valor_Atualizado_Emissao. Unidade sem reconciliação permanece n/d; pagamentos realizados ficam documentados.</x:v>
      </x:c>
    </x:row>
    <x:row r="346">
      <x:c r="A346" s="20" t="str">
        <x:v>CRI_K3</x:v>
      </x:c>
      <x:c r="B346" s="20" t="str">
        <x:v>Série 6</x:v>
      </x:c>
      <x:c r="C346" s="20" t="str">
        <x:v>Júnior/Subordinada</x:v>
      </x:c>
      <x:c r="D346" s="21" t="n">
        <x:v>45962</x:v>
      </x:c>
      <x:c r="E346" s="25" t="str">
        <x:v>n/d</x:v>
      </x:c>
      <x:c r="F346" s="25" t="str">
        <x:v>n/d</x:v>
      </x:c>
      <x:c r="G346" s="25" t="str">
        <x:v>n/d</x:v>
      </x:c>
      <x:c r="H346" s="25" t="str">
        <x:v>n/d</x:v>
      </x:c>
      <x:c r="I346" s="25" t="n">
        <x:v>0</x:v>
      </x:c>
      <x:c r="J346" s="25" t="n">
        <x:v>0</x:v>
      </x:c>
      <x:c r="K346" s="20" t="str">
        <x:v>Realizado</x:v>
      </x:c>
      <x:c r="L346" s="20" t="str">
        <x:v>CVM_CRI_2025_CLASSE</x:v>
      </x:c>
      <x:c r="M346" s="20" t="str">
        <x:v>Documentado</x:v>
      </x:c>
      <x:c r="N346" s="20" t="str">
        <x:v>Saldo final: n/d, controlado por Valor_Atualizado_Emissao. Unidade sem reconciliação permanece n/d; pagamentos realizados ficam documentados.</x:v>
      </x:c>
    </x:row>
    <x:row r="347">
      <x:c r="A347" s="20" t="str">
        <x:v>CRI_K3</x:v>
      </x:c>
      <x:c r="B347" s="20" t="str">
        <x:v>Série 6</x:v>
      </x:c>
      <x:c r="C347" s="20" t="str">
        <x:v>Júnior/Subordinada</x:v>
      </x:c>
      <x:c r="D347" s="21" t="n">
        <x:v>45992</x:v>
      </x:c>
      <x:c r="E347" s="25" t="str">
        <x:v>n/d</x:v>
      </x:c>
      <x:c r="F347" s="25" t="str">
        <x:v>n/d</x:v>
      </x:c>
      <x:c r="G347" s="25" t="str">
        <x:v>n/d</x:v>
      </x:c>
      <x:c r="H347" s="25" t="str">
        <x:v>n/d</x:v>
      </x:c>
      <x:c r="I347" s="25" t="n">
        <x:v>0</x:v>
      </x:c>
      <x:c r="J347" s="25" t="n">
        <x:v>0</x:v>
      </x:c>
      <x:c r="K347" s="20" t="str">
        <x:v>Realizado</x:v>
      </x:c>
      <x:c r="L347" s="20" t="str">
        <x:v>CVM_CRI_2025_CLASSE</x:v>
      </x:c>
      <x:c r="M347" s="20" t="str">
        <x:v>Documentado</x:v>
      </x:c>
      <x:c r="N347" s="20" t="str">
        <x:v>Saldo final: n/d, controlado por Valor_Atualizado_Emissao. Unidade sem reconciliação permanece n/d; pagamentos realizados ficam documentados.</x:v>
      </x:c>
    </x:row>
    <x:row r="348">
      <x:c r="A348" s="20" t="str">
        <x:v>CRI_K3</x:v>
      </x:c>
      <x:c r="B348" s="20" t="str">
        <x:v>Série 6</x:v>
      </x:c>
      <x:c r="C348" s="20" t="str">
        <x:v>Júnior/Subordinada</x:v>
      </x:c>
      <x:c r="D348" s="21" t="n">
        <x:v>46023</x:v>
      </x:c>
      <x:c r="E348" s="25" t="str">
        <x:v>n/d</x:v>
      </x:c>
      <x:c r="F348" s="25" t="str">
        <x:v>n/d</x:v>
      </x:c>
      <x:c r="G348" s="25" t="str">
        <x:v>n/d</x:v>
      </x:c>
      <x:c r="H348" s="25" t="str">
        <x:v>n/d</x:v>
      </x:c>
      <x:c r="I348" s="25" t="n">
        <x:v>0</x:v>
      </x:c>
      <x:c r="J348" s="25" t="n">
        <x:v>0</x:v>
      </x:c>
      <x:c r="K348" s="20" t="str">
        <x:v>Realizado</x:v>
      </x:c>
      <x:c r="L348" s="20" t="str">
        <x:v>CVM_CRI_2026_CLASSE</x:v>
      </x:c>
      <x:c r="M348" s="20" t="str">
        <x:v>Documentado</x:v>
      </x:c>
      <x:c r="N348" s="20" t="str">
        <x:v>Saldo final: n/d, controlado por Valor_Atualizado_Emissao. Unidade sem reconciliação permanece n/d; pagamentos realizados ficam documentados.</x:v>
      </x:c>
    </x:row>
    <x:row r="349">
      <x:c r="A349" s="20" t="str">
        <x:v>CRI_K3</x:v>
      </x:c>
      <x:c r="B349" s="20" t="str">
        <x:v>Série 6</x:v>
      </x:c>
      <x:c r="C349" s="20" t="str">
        <x:v>Júnior/Subordinada</x:v>
      </x:c>
      <x:c r="D349" s="21" t="n">
        <x:v>46054</x:v>
      </x:c>
      <x:c r="E349" s="25" t="str">
        <x:v>n/d</x:v>
      </x:c>
      <x:c r="F349" s="25" t="str">
        <x:v>n/d</x:v>
      </x:c>
      <x:c r="G349" s="25" t="str">
        <x:v>n/d</x:v>
      </x:c>
      <x:c r="H349" s="25" t="n">
        <x:v>24712770</x:v>
      </x:c>
      <x:c r="I349" s="25" t="n">
        <x:v>0</x:v>
      </x:c>
      <x:c r="J349" s="25" t="n">
        <x:v>0</x:v>
      </x:c>
      <x:c r="K349" s="20" t="str">
        <x:v>Realizado</x:v>
      </x:c>
      <x:c r="L349" s="20" t="str">
        <x:v>CVM_CRI_2026_CLASSE</x:v>
      </x:c>
      <x:c r="M349" s="20" t="str">
        <x:v>Documentado</x:v>
      </x:c>
      <x:c r="N349" s="20" t="str">
        <x:v>Saldo final: saldo agregado reconciliado, controlado por Valor_Atualizado_Emissao. Unidade sem reconciliação permanece n/d; pagamentos realizados ficam documentados.</x:v>
      </x:c>
    </x:row>
    <x:row r="350">
      <x:c r="A350" s="20" t="str">
        <x:v>CRI_K3</x:v>
      </x:c>
      <x:c r="B350" s="20" t="str">
        <x:v>Série 6</x:v>
      </x:c>
      <x:c r="C350" s="20" t="str">
        <x:v>Júnior/Subordinada</x:v>
      </x:c>
      <x:c r="D350" s="21" t="n">
        <x:v>46082</x:v>
      </x:c>
      <x:c r="E350" s="25" t="n">
        <x:v>24712770</x:v>
      </x:c>
      <x:c r="F350" s="25" t="str">
        <x:v>n/d</x:v>
      </x:c>
      <x:c r="G350" s="25" t="str">
        <x:v>n/d</x:v>
      </x:c>
      <x:c r="H350" s="25" t="n">
        <x:v>24989989</x:v>
      </x:c>
      <x:c r="I350" s="25" t="n">
        <x:v>0</x:v>
      </x:c>
      <x:c r="J350" s="25" t="n">
        <x:v>0</x:v>
      </x:c>
      <x:c r="K350" s="20" t="str">
        <x:v>Realizado</x:v>
      </x:c>
      <x:c r="L350" s="20" t="str">
        <x:v>CVM_CRI_2026_CLASSE</x:v>
      </x:c>
      <x:c r="M350" s="20" t="str">
        <x:v>Documentado</x:v>
      </x:c>
      <x:c r="N350" s="20" t="str">
        <x:v>Saldo final: saldo agregado reconciliado, controlado por Valor_Atualizado_Emissao. Unidade sem reconciliação permanece n/d; pagamentos realizados ficam documentados.</x:v>
      </x:c>
    </x:row>
    <x:row r="351">
      <x:c r="A351" s="20" t="str">
        <x:v>CRI_K3</x:v>
      </x:c>
      <x:c r="B351" s="20" t="str">
        <x:v>Série 6</x:v>
      </x:c>
      <x:c r="C351" s="20" t="str">
        <x:v>Júnior/Subordinada</x:v>
      </x:c>
      <x:c r="D351" s="21" t="n">
        <x:v>46113</x:v>
      </x:c>
      <x:c r="E351" s="25" t="n">
        <x:v>24989989</x:v>
      </x:c>
      <x:c r="F351" s="25" t="str">
        <x:v>n/d</x:v>
      </x:c>
      <x:c r="G351" s="25" t="str">
        <x:v>n/d</x:v>
      </x:c>
      <x:c r="H351" s="25" t="str">
        <x:v>n/d</x:v>
      </x:c>
      <x:c r="I351" s="25" t="n">
        <x:v>0</x:v>
      </x:c>
      <x:c r="J351" s="25" t="n">
        <x:v>0</x:v>
      </x:c>
      <x:c r="K351" s="20" t="str">
        <x:v>Realizado</x:v>
      </x:c>
      <x:c r="L351" s="20" t="str">
        <x:v>CVM_CRI_2026_CLASSE</x:v>
      </x:c>
      <x:c r="M351" s="20" t="str">
        <x:v>Documentado</x:v>
      </x:c>
      <x:c r="N351" s="20" t="str">
        <x:v>Saldo final: n/d por conflito de unidade, controlado por Valor_Atualizado_Emissao. Unidade sem reconciliação permanece n/d; pagamentos realizados ficam documentados.</x:v>
      </x:c>
    </x:row>
    <x:row r="352">
      <x:c r="A352" s="20" t="str">
        <x:v>CRI_K3</x:v>
      </x:c>
      <x:c r="B352" s="20" t="str">
        <x:v>Série 6</x:v>
      </x:c>
      <x:c r="C352" s="20" t="str">
        <x:v>Júnior/Subordinada</x:v>
      </x:c>
      <x:c r="D352" s="21" t="n">
        <x:v>46143</x:v>
      </x:c>
      <x:c r="E352" s="25" t="str">
        <x:v>n/d</x:v>
      </x:c>
      <x:c r="F352" s="25" t="str">
        <x:v>n/d</x:v>
      </x:c>
      <x:c r="G352" s="25" t="str">
        <x:v>n/d</x:v>
      </x:c>
      <x:c r="H352" s="25" t="n">
        <x:v>25502014</x:v>
      </x:c>
      <x:c r="I352" s="25" t="n">
        <x:v>0</x:v>
      </x:c>
      <x:c r="J352" s="25" t="n">
        <x:v>0</x:v>
      </x:c>
      <x:c r="K352" s="20" t="str">
        <x:v>Realizado</x:v>
      </x:c>
      <x:c r="L352" s="20" t="str">
        <x:v>CVM_CRI_2026_CLASSE</x:v>
      </x:c>
      <x:c r="M352" s="20" t="str">
        <x:v>Documentado</x:v>
      </x:c>
      <x:c r="N352" s="20" t="str">
        <x:v>Saldo final: saldo agregado reconciliado, controlado por Valor_Atualizado_Emissao. Unidade sem reconciliação permanece n/d; pagamentos realizados ficam documentados.</x:v>
      </x:c>
    </x:row>
    <x:row r="353">
      <x:c r="A353" s="20" t="str">
        <x:v>CRI_K3</x:v>
      </x:c>
      <x:c r="B353" s="20" t="str">
        <x:v>Série 1</x:v>
      </x:c>
      <x:c r="C353" s="20" t="str">
        <x:v>Super Sênior A</x:v>
      </x:c>
      <x:c r="D353" s="21" t="n">
        <x:v>47611</x:v>
      </x:c>
      <x:c r="E353" s="25" t="str">
        <x:v>n/d</x:v>
      </x:c>
      <x:c r="F353" s="25" t="str">
        <x:v>n/d</x:v>
      </x:c>
      <x:c r="G353" s="25" t="str">
        <x:v>n/d</x:v>
      </x:c>
      <x:c r="H353" s="25" t="str">
        <x:v>n/d</x:v>
      </x:c>
      <x:c r="I353" s="25" t="str">
        <x:v>n/d</x:v>
      </x:c>
      <x:c r="J353" s="25" t="str">
        <x:v>n/d</x:v>
      </x:c>
      <x:c r="K353" s="20" t="str">
        <x:v>Projetado</x:v>
      </x:c>
      <x:c r="L353" s="20" t="str">
        <x:v>ANX_CRI3_LAM_PREL_20250422</x:v>
      </x:c>
      <x:c r="M353" s="20" t="str">
        <x:v>n/d</x:v>
      </x:c>
      <x:c r="N353" s="20" t="str">
        <x:v>Curva contratual mensal completa não localizada; a data de vencimento não foi transformada em projeção bullet.</x:v>
      </x:c>
    </x:row>
    <x:row r="354">
      <x:c r="A354" s="20" t="str">
        <x:v>CRI_K3</x:v>
      </x:c>
      <x:c r="B354" s="20" t="str">
        <x:v>Série 2</x:v>
      </x:c>
      <x:c r="C354" s="20" t="str">
        <x:v>Super Sênior B</x:v>
      </x:c>
      <x:c r="D354" s="21" t="n">
        <x:v>47611</x:v>
      </x:c>
      <x:c r="E354" s="25" t="str">
        <x:v>n/d</x:v>
      </x:c>
      <x:c r="F354" s="25" t="str">
        <x:v>n/d</x:v>
      </x:c>
      <x:c r="G354" s="25" t="str">
        <x:v>n/d</x:v>
      </x:c>
      <x:c r="H354" s="25" t="str">
        <x:v>n/d</x:v>
      </x:c>
      <x:c r="I354" s="25" t="str">
        <x:v>n/d</x:v>
      </x:c>
      <x:c r="J354" s="25" t="str">
        <x:v>n/d</x:v>
      </x:c>
      <x:c r="K354" s="20" t="str">
        <x:v>Projetado</x:v>
      </x:c>
      <x:c r="L354" s="20" t="str">
        <x:v>ANX_CRI3_LAM_PREL_20250422</x:v>
      </x:c>
      <x:c r="M354" s="20" t="str">
        <x:v>n/d</x:v>
      </x:c>
      <x:c r="N354" s="20" t="str">
        <x:v>Curva contratual mensal completa não localizada; a data de vencimento não foi transformada em projeção bullet.</x:v>
      </x:c>
    </x:row>
    <x:row r="355">
      <x:c r="A355" s="20" t="str">
        <x:v>CRI_K3</x:v>
      </x:c>
      <x:c r="B355" s="20" t="str">
        <x:v>Série 3</x:v>
      </x:c>
      <x:c r="C355" s="20" t="str">
        <x:v>Sênior</x:v>
      </x:c>
      <x:c r="D355" s="21" t="n">
        <x:v>48705</x:v>
      </x:c>
      <x:c r="E355" s="25" t="str">
        <x:v>n/d</x:v>
      </x:c>
      <x:c r="F355" s="25" t="str">
        <x:v>n/d</x:v>
      </x:c>
      <x:c r="G355" s="25" t="str">
        <x:v>n/d</x:v>
      </x:c>
      <x:c r="H355" s="25" t="str">
        <x:v>n/d</x:v>
      </x:c>
      <x:c r="I355" s="25" t="str">
        <x:v>n/d</x:v>
      </x:c>
      <x:c r="J355" s="25" t="str">
        <x:v>n/d</x:v>
      </x:c>
      <x:c r="K355" s="20" t="str">
        <x:v>Projetado</x:v>
      </x:c>
      <x:c r="L355" s="20" t="str">
        <x:v>ANX_CRI3_LAM_PREL_20250422</x:v>
      </x:c>
      <x:c r="M355" s="20" t="str">
        <x:v>n/d</x:v>
      </x:c>
      <x:c r="N355" s="20" t="str">
        <x:v>Curva contratual mensal completa não localizada; a data de vencimento não foi transformada em projeção bullet.</x:v>
      </x:c>
    </x:row>
    <x:row r="356">
      <x:c r="A356" s="20" t="str">
        <x:v>CRI_K3</x:v>
      </x:c>
      <x:c r="B356" s="20" t="str">
        <x:v>Série 4</x:v>
      </x:c>
      <x:c r="C356" s="20" t="str">
        <x:v>Mezanino</x:v>
      </x:c>
      <x:c r="D356" s="21" t="n">
        <x:v>49437</x:v>
      </x:c>
      <x:c r="E356" s="25" t="str">
        <x:v>n/d</x:v>
      </x:c>
      <x:c r="F356" s="25" t="str">
        <x:v>n/d</x:v>
      </x:c>
      <x:c r="G356" s="25" t="str">
        <x:v>n/d</x:v>
      </x:c>
      <x:c r="H356" s="25" t="str">
        <x:v>n/d</x:v>
      </x:c>
      <x:c r="I356" s="25" t="str">
        <x:v>n/d</x:v>
      </x:c>
      <x:c r="J356" s="25" t="str">
        <x:v>n/d</x:v>
      </x:c>
      <x:c r="K356" s="20" t="str">
        <x:v>Projetado</x:v>
      </x:c>
      <x:c r="L356" s="20" t="str">
        <x:v>ANX_CRI3_LAM_PREL_20250422</x:v>
      </x:c>
      <x:c r="M356" s="20" t="str">
        <x:v>n/d</x:v>
      </x:c>
      <x:c r="N356" s="20" t="str">
        <x:v>Curva contratual mensal completa não localizada; a data de vencimento não foi transformada em projeção bullet.</x:v>
      </x:c>
    </x:row>
    <x:row r="357">
      <x:c r="A357" s="20" t="str">
        <x:v>CRI_K3</x:v>
      </x:c>
      <x:c r="B357" s="20" t="str">
        <x:v>Série 5</x:v>
      </x:c>
      <x:c r="C357" s="20" t="str">
        <x:v>Subordinada</x:v>
      </x:c>
      <x:c r="D357" s="21" t="n">
        <x:v>49437</x:v>
      </x:c>
      <x:c r="E357" s="25" t="str">
        <x:v>n/d</x:v>
      </x:c>
      <x:c r="F357" s="25" t="str">
        <x:v>n/d</x:v>
      </x:c>
      <x:c r="G357" s="25" t="str">
        <x:v>n/d</x:v>
      </x:c>
      <x:c r="H357" s="25" t="str">
        <x:v>n/d</x:v>
      </x:c>
      <x:c r="I357" s="25" t="str">
        <x:v>n/d</x:v>
      </x:c>
      <x:c r="J357" s="25" t="str">
        <x:v>n/d</x:v>
      </x:c>
      <x:c r="K357" s="20" t="str">
        <x:v>Projetado</x:v>
      </x:c>
      <x:c r="L357" s="20" t="str">
        <x:v>ANX_CRI3_LAM_PREL_20250422</x:v>
      </x:c>
      <x:c r="M357" s="20" t="str">
        <x:v>n/d</x:v>
      </x:c>
      <x:c r="N357" s="20" t="str">
        <x:v>Curva contratual mensal completa não localizada; a data de vencimento não foi transformada em projeção bullet.</x:v>
      </x:c>
    </x:row>
    <x:row r="358">
      <x:c r="A358" s="20" t="str">
        <x:v>CRI_K3</x:v>
      </x:c>
      <x:c r="B358" s="20" t="str">
        <x:v>Série 6</x:v>
      </x:c>
      <x:c r="C358" s="20" t="str">
        <x:v>Júnior/Subordinada</x:v>
      </x:c>
      <x:c r="D358" s="21" t="n">
        <x:v>50168</x:v>
      </x:c>
      <x:c r="E358" s="25" t="str">
        <x:v>n/d</x:v>
      </x:c>
      <x:c r="F358" s="25" t="str">
        <x:v>n/d</x:v>
      </x:c>
      <x:c r="G358" s="25" t="str">
        <x:v>n/d</x:v>
      </x:c>
      <x:c r="H358" s="25" t="str">
        <x:v>n/d</x:v>
      </x:c>
      <x:c r="I358" s="25" t="str">
        <x:v>n/d</x:v>
      </x:c>
      <x:c r="J358" s="25" t="str">
        <x:v>n/d</x:v>
      </x:c>
      <x:c r="K358" s="20" t="str">
        <x:v>Projetado</x:v>
      </x:c>
      <x:c r="L358" s="20" t="str">
        <x:v>ANX_CRI3_LAM_PREL_20250422</x:v>
      </x:c>
      <x:c r="M358" s="20" t="str">
        <x:v>n/d</x:v>
      </x:c>
      <x:c r="N358" s="20" t="str">
        <x:v>Curva contratual mensal completa não localizada; a data de vencimento não foi transformada em projeção bullet.</x:v>
      </x:c>
    </x:row>
    <x:row r="359">
      <x:c r="A359" s="20" t="str">
        <x:v>CRI_K4</x:v>
      </x:c>
      <x:c r="B359" s="20" t="str">
        <x:v>Série 1</x:v>
      </x:c>
      <x:c r="C359" s="20" t="str">
        <x:v>Super Sênior A</x:v>
      </x:c>
      <x:c r="D359" s="21" t="n">
        <x:v>45901</x:v>
      </x:c>
      <x:c r="E359" s="25" t="str">
        <x:v>n/d</x:v>
      </x:c>
      <x:c r="F359" s="25" t="str">
        <x:v>n/d</x:v>
      </x:c>
      <x:c r="G359" s="25" t="str">
        <x:v>n/d</x:v>
      </x:c>
      <x:c r="H359" s="25" t="str">
        <x:v>n/d</x:v>
      </x:c>
      <x:c r="I359" s="25" t="n">
        <x:v>0</x:v>
      </x:c>
      <x:c r="J359" s="25" t="n">
        <x:v>0</x:v>
      </x:c>
      <x:c r="K359" s="20" t="str">
        <x:v>Realizado</x:v>
      </x:c>
      <x:c r="L359" s="20" t="str">
        <x:v>CVM_CRI_2025_CLASSE</x:v>
      </x:c>
      <x:c r="M359" s="20" t="str">
        <x:v>Documentado</x:v>
      </x:c>
      <x:c r="N359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60">
      <x:c r="A360" s="20" t="str">
        <x:v>CRI_K4</x:v>
      </x:c>
      <x:c r="B360" s="20" t="str">
        <x:v>Série 1</x:v>
      </x:c>
      <x:c r="C360" s="20" t="str">
        <x:v>Super Sênior A</x:v>
      </x:c>
      <x:c r="D360" s="21" t="n">
        <x:v>45931</x:v>
      </x:c>
      <x:c r="E360" s="25" t="str">
        <x:v>n/d</x:v>
      </x:c>
      <x:c r="F360" s="25" t="str">
        <x:v>n/d</x:v>
      </x:c>
      <x:c r="G360" s="25" t="str">
        <x:v>n/d</x:v>
      </x:c>
      <x:c r="H360" s="25" t="n">
        <x:v>197380972.31</x:v>
      </x:c>
      <x:c r="I360" s="25" t="n">
        <x:v>0</x:v>
      </x:c>
      <x:c r="J360" s="25" t="n">
        <x:v>0</x:v>
      </x:c>
      <x:c r="K360" s="20" t="str">
        <x:v>Realizado</x:v>
      </x:c>
      <x:c r="L360" s="20" t="str">
        <x:v>CVM_CRI_2025_CLASSE</x:v>
      </x:c>
      <x:c r="M360" s="20" t="str">
        <x:v>Documentado</x:v>
      </x:c>
      <x:c r="N360" s="20" t="str">
        <x:v>Saldo final: saldo agregado reconciliado, controlado por Valor_Atualizado_Emissao. Unidade sem reconciliação permanece n/d; pagamentos realizados ficam documentados.</x:v>
      </x:c>
    </x:row>
    <x:row r="361">
      <x:c r="A361" s="20" t="str">
        <x:v>CRI_K4</x:v>
      </x:c>
      <x:c r="B361" s="20" t="str">
        <x:v>Série 1</x:v>
      </x:c>
      <x:c r="C361" s="20" t="str">
        <x:v>Super Sênior A</x:v>
      </x:c>
      <x:c r="D361" s="21" t="n">
        <x:v>45962</x:v>
      </x:c>
      <x:c r="E361" s="25" t="n">
        <x:v>197380972.31</x:v>
      </x:c>
      <x:c r="F361" s="25" t="str">
        <x:v>n/d</x:v>
      </x:c>
      <x:c r="G361" s="25" t="str">
        <x:v>n/d</x:v>
      </x:c>
      <x:c r="H361" s="25" t="n">
        <x:v>199369775</x:v>
      </x:c>
      <x:c r="I361" s="25" t="n">
        <x:v>0</x:v>
      </x:c>
      <x:c r="J361" s="25" t="n">
        <x:v>0</x:v>
      </x:c>
      <x:c r="K361" s="20" t="str">
        <x:v>Realizado</x:v>
      </x:c>
      <x:c r="L361" s="20" t="str">
        <x:v>CVM_CRI_2025_CLASSE</x:v>
      </x:c>
      <x:c r="M361" s="20" t="str">
        <x:v>Documentado</x:v>
      </x:c>
      <x:c r="N361" s="20" t="str">
        <x:v>Saldo final: saldo agregado reconciliado, controlado por Valor_Atualizado_Emissao. Unidade sem reconciliação permanece n/d; pagamentos realizados ficam documentados.</x:v>
      </x:c>
    </x:row>
    <x:row r="362">
      <x:c r="A362" s="20" t="str">
        <x:v>CRI_K4</x:v>
      </x:c>
      <x:c r="B362" s="20" t="str">
        <x:v>Série 1</x:v>
      </x:c>
      <x:c r="C362" s="20" t="str">
        <x:v>Super Sênior A</x:v>
      </x:c>
      <x:c r="D362" s="21" t="n">
        <x:v>45992</x:v>
      </x:c>
      <x:c r="E362" s="25" t="n">
        <x:v>199369775</x:v>
      </x:c>
      <x:c r="F362" s="25" t="str">
        <x:v>n/d</x:v>
      </x:c>
      <x:c r="G362" s="25" t="str">
        <x:v>n/d</x:v>
      </x:c>
      <x:c r="H362" s="25" t="n">
        <x:v>194357704</x:v>
      </x:c>
      <x:c r="I362" s="25" t="n">
        <x:v>2109555.9</x:v>
      </x:c>
      <x:c r="J362" s="25" t="n">
        <x:v>5203326</x:v>
      </x:c>
      <x:c r="K362" s="20" t="str">
        <x:v>Realizado</x:v>
      </x:c>
      <x:c r="L362" s="20" t="str">
        <x:v>CVM_CRI_2025_CLASSE</x:v>
      </x:c>
      <x:c r="M362" s="20" t="str">
        <x:v>Documentado</x:v>
      </x:c>
      <x:c r="N362" s="20" t="str">
        <x:v>Saldo final: saldo agregado reconciliado, controlado por Valor_Atualizado_Emissao. Unidade sem reconciliação permanece n/d; pagamentos realizados ficam documentados.</x:v>
      </x:c>
    </x:row>
    <x:row r="363">
      <x:c r="A363" s="20" t="str">
        <x:v>CRI_K4</x:v>
      </x:c>
      <x:c r="B363" s="20" t="str">
        <x:v>Série 1</x:v>
      </x:c>
      <x:c r="C363" s="20" t="str">
        <x:v>Super Sênior A</x:v>
      </x:c>
      <x:c r="D363" s="21" t="n">
        <x:v>46023</x:v>
      </x:c>
      <x:c r="E363" s="25" t="n">
        <x:v>194357704</x:v>
      </x:c>
      <x:c r="F363" s="25" t="str">
        <x:v>n/d</x:v>
      </x:c>
      <x:c r="G363" s="25" t="str">
        <x:v>n/d</x:v>
      </x:c>
      <x:c r="H363" s="25" t="n">
        <x:v>187553374</x:v>
      </x:c>
      <x:c r="I363" s="25" t="n">
        <x:v>2260983.64</x:v>
      </x:c>
      <x:c r="J363" s="25" t="n">
        <x:v>6680618.07</x:v>
      </x:c>
      <x:c r="K363" s="20" t="str">
        <x:v>Realizado</x:v>
      </x:c>
      <x:c r="L363" s="20" t="str">
        <x:v>CVM_CRI_2026_CLASSE</x:v>
      </x:c>
      <x:c r="M363" s="20" t="str">
        <x:v>Documentado</x:v>
      </x:c>
      <x:c r="N363" s="20" t="str">
        <x:v>Saldo final: saldo agregado reconciliado, controlado por Valor_Atualizado_Emissao. Unidade sem reconciliação permanece n/d; pagamentos realizados ficam documentados.</x:v>
      </x:c>
    </x:row>
    <x:row r="364">
      <x:c r="A364" s="20" t="str">
        <x:v>CRI_K4</x:v>
      </x:c>
      <x:c r="B364" s="20" t="str">
        <x:v>Série 1</x:v>
      </x:c>
      <x:c r="C364" s="20" t="str">
        <x:v>Super Sênior A</x:v>
      </x:c>
      <x:c r="D364" s="21" t="n">
        <x:v>46054</x:v>
      </x:c>
      <x:c r="E364" s="25" t="n">
        <x:v>187553374</x:v>
      </x:c>
      <x:c r="F364" s="25" t="str">
        <x:v>n/d</x:v>
      </x:c>
      <x:c r="G364" s="25" t="str">
        <x:v>n/d</x:v>
      </x:c>
      <x:c r="H364" s="25" t="n">
        <x:v>180662779</x:v>
      </x:c>
      <x:c r="I364" s="25" t="n">
        <x:v>2083202.62</x:v>
      </x:c>
      <x:c r="J364" s="25" t="n">
        <x:v>6583506.76</x:v>
      </x:c>
      <x:c r="K364" s="20" t="str">
        <x:v>Realizado</x:v>
      </x:c>
      <x:c r="L364" s="20" t="str">
        <x:v>CVM_CRI_2026_CLASSE</x:v>
      </x:c>
      <x:c r="M364" s="20" t="str">
        <x:v>Documentado</x:v>
      </x:c>
      <x:c r="N364" s="20" t="str">
        <x:v>Saldo final: saldo agregado reconciliado, controlado por Valor_Atualizado_Emissao. Unidade sem reconciliação permanece n/d; pagamentos realizados ficam documentados.</x:v>
      </x:c>
    </x:row>
    <x:row r="365">
      <x:c r="A365" s="20" t="str">
        <x:v>CRI_K4</x:v>
      </x:c>
      <x:c r="B365" s="20" t="str">
        <x:v>Série 1</x:v>
      </x:c>
      <x:c r="C365" s="20" t="str">
        <x:v>Super Sênior A</x:v>
      </x:c>
      <x:c r="D365" s="21" t="n">
        <x:v>46082</x:v>
      </x:c>
      <x:c r="E365" s="25" t="n">
        <x:v>180662779</x:v>
      </x:c>
      <x:c r="F365" s="25" t="str">
        <x:v>n/d</x:v>
      </x:c>
      <x:c r="G365" s="25" t="str">
        <x:v>n/d</x:v>
      </x:c>
      <x:c r="H365" s="25" t="n">
        <x:v>176916880</x:v>
      </x:c>
      <x:c r="I365" s="25" t="n">
        <x:v>1721359.91</x:v>
      </x:c>
      <x:c r="J365" s="25" t="n">
        <x:v>4112397.91</x:v>
      </x:c>
      <x:c r="K365" s="20" t="str">
        <x:v>Realizado</x:v>
      </x:c>
      <x:c r="L365" s="20" t="str">
        <x:v>CVM_CRI_2026_CLASSE</x:v>
      </x:c>
      <x:c r="M365" s="20" t="str">
        <x:v>Documentado</x:v>
      </x:c>
      <x:c r="N365" s="20" t="str">
        <x:v>Saldo final: saldo agregado reconciliado, controlado por Valor_Atualizado_Emissao. Unidade sem reconciliação permanece n/d; pagamentos realizados ficam documentados.</x:v>
      </x:c>
    </x:row>
    <x:row r="366">
      <x:c r="A366" s="20" t="str">
        <x:v>CRI_K4</x:v>
      </x:c>
      <x:c r="B366" s="20" t="str">
        <x:v>Série 1</x:v>
      </x:c>
      <x:c r="C366" s="20" t="str">
        <x:v>Super Sênior A</x:v>
      </x:c>
      <x:c r="D366" s="21" t="n">
        <x:v>46113</x:v>
      </x:c>
      <x:c r="E366" s="25" t="n">
        <x:v>176916880</x:v>
      </x:c>
      <x:c r="F366" s="25" t="str">
        <x:v>n/d</x:v>
      </x:c>
      <x:c r="G366" s="25" t="str">
        <x:v>n/d</x:v>
      </x:c>
      <x:c r="H366" s="25" t="str">
        <x:v>n/d</x:v>
      </x:c>
      <x:c r="I366" s="25" t="n">
        <x:v>2058092.7</x:v>
      </x:c>
      <x:c r="J366" s="25" t="n">
        <x:v>3954394.56</x:v>
      </x:c>
      <x:c r="K366" s="20" t="str">
        <x:v>Realizado</x:v>
      </x:c>
      <x:c r="L366" s="20" t="str">
        <x:v>CVM_CRI_2026_CLASSE</x:v>
      </x:c>
      <x:c r="M366" s="20" t="str">
        <x:v>Documentado</x:v>
      </x:c>
      <x:c r="N366" s="20" t="str">
        <x:v>Saldo final: n/d por conflito de unidade, controlado por Valor_Atualizado_Emissao. Unidade sem reconciliação permanece n/d; pagamentos realizados ficam documentados.</x:v>
      </x:c>
    </x:row>
    <x:row r="367">
      <x:c r="A367" s="20" t="str">
        <x:v>CRI_K4</x:v>
      </x:c>
      <x:c r="B367" s="20" t="str">
        <x:v>Série 1</x:v>
      </x:c>
      <x:c r="C367" s="20" t="str">
        <x:v>Super Sênior A</x:v>
      </x:c>
      <x:c r="D367" s="21" t="n">
        <x:v>46143</x:v>
      </x:c>
      <x:c r="E367" s="25" t="str">
        <x:v>n/d</x:v>
      </x:c>
      <x:c r="F367" s="25" t="str">
        <x:v>n/d</x:v>
      </x:c>
      <x:c r="G367" s="25" t="str">
        <x:v>n/d</x:v>
      </x:c>
      <x:c r="H367" s="25" t="str">
        <x:v>n/d</x:v>
      </x:c>
      <x:c r="I367" s="25" t="n">
        <x:v>1828052.13</x:v>
      </x:c>
      <x:c r="J367" s="25" t="n">
        <x:v>4381469.43</x:v>
      </x:c>
      <x:c r="K367" s="20" t="str">
        <x:v>Realizado</x:v>
      </x:c>
      <x:c r="L367" s="20" t="str">
        <x:v>CVM_CRI_2026_CLASSE</x:v>
      </x:c>
      <x:c r="M367" s="20" t="str">
        <x:v>Documentado</x:v>
      </x:c>
      <x:c r="N367" s="20" t="str">
        <x:v>Saldo final: n/d por conflito de unidade, controlado por Valor_Atualizado_Emissao. Unidade sem reconciliação permanece n/d; pagamentos realizados ficam documentados.</x:v>
      </x:c>
    </x:row>
    <x:row r="368">
      <x:c r="A368" s="20" t="str">
        <x:v>CRI_K4</x:v>
      </x:c>
      <x:c r="B368" s="20" t="str">
        <x:v>Série 2</x:v>
      </x:c>
      <x:c r="C368" s="20" t="str">
        <x:v>Super Sênior B</x:v>
      </x:c>
      <x:c r="D368" s="21" t="n">
        <x:v>45901</x:v>
      </x:c>
      <x:c r="E368" s="25" t="str">
        <x:v>n/d</x:v>
      </x:c>
      <x:c r="F368" s="25" t="str">
        <x:v>n/d</x:v>
      </x:c>
      <x:c r="G368" s="25" t="str">
        <x:v>n/d</x:v>
      </x:c>
      <x:c r="H368" s="25" t="str">
        <x:v>n/d</x:v>
      </x:c>
      <x:c r="I368" s="25" t="n">
        <x:v>0</x:v>
      </x:c>
      <x:c r="J368" s="25" t="n">
        <x:v>0</x:v>
      </x:c>
      <x:c r="K368" s="20" t="str">
        <x:v>Realizado</x:v>
      </x:c>
      <x:c r="L368" s="20" t="str">
        <x:v>CVM_CRI_2025_CLASSE</x:v>
      </x:c>
      <x:c r="M368" s="20" t="str">
        <x:v>Documentado</x:v>
      </x:c>
      <x:c r="N368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69">
      <x:c r="A369" s="20" t="str">
        <x:v>CRI_K4</x:v>
      </x:c>
      <x:c r="B369" s="20" t="str">
        <x:v>Série 2</x:v>
      </x:c>
      <x:c r="C369" s="20" t="str">
        <x:v>Super Sênior B</x:v>
      </x:c>
      <x:c r="D369" s="21" t="n">
        <x:v>45931</x:v>
      </x:c>
      <x:c r="E369" s="25" t="str">
        <x:v>n/d</x:v>
      </x:c>
      <x:c r="F369" s="25" t="str">
        <x:v>n/d</x:v>
      </x:c>
      <x:c r="G369" s="25" t="str">
        <x:v>n/d</x:v>
      </x:c>
      <x:c r="H369" s="25" t="n">
        <x:v>0</x:v>
      </x:c>
      <x:c r="I369" s="25" t="n">
        <x:v>0</x:v>
      </x:c>
      <x:c r="J369" s="25" t="n">
        <x:v>0</x:v>
      </x:c>
      <x:c r="K369" s="20" t="str">
        <x:v>Realizado</x:v>
      </x:c>
      <x:c r="L369" s="20" t="str">
        <x:v>CVM_CRI_2025_CLASSE</x:v>
      </x:c>
      <x:c r="M369" s="20" t="str">
        <x:v>Documentado</x:v>
      </x:c>
      <x:c r="N369" s="20" t="str">
        <x:v>Saldo final: saldo agregado reconciliado, controlado por Valor_Atualizado_Emissao. Unidade sem reconciliação permanece n/d; pagamentos realizados ficam documentados.</x:v>
      </x:c>
    </x:row>
    <x:row r="370">
      <x:c r="A370" s="20" t="str">
        <x:v>CRI_K4</x:v>
      </x:c>
      <x:c r="B370" s="20" t="str">
        <x:v>Série 2</x:v>
      </x:c>
      <x:c r="C370" s="20" t="str">
        <x:v>Super Sênior B</x:v>
      </x:c>
      <x:c r="D370" s="21" t="n">
        <x:v>45962</x:v>
      </x:c>
      <x:c r="E370" s="25" t="n">
        <x:v>0</x:v>
      </x:c>
      <x:c r="F370" s="25" t="str">
        <x:v>n/d</x:v>
      </x:c>
      <x:c r="G370" s="25" t="str">
        <x:v>n/d</x:v>
      </x:c>
      <x:c r="H370" s="25" t="n">
        <x:v>97912445</x:v>
      </x:c>
      <x:c r="I370" s="25" t="n">
        <x:v>0</x:v>
      </x:c>
      <x:c r="J370" s="25" t="n">
        <x:v>0</x:v>
      </x:c>
      <x:c r="K370" s="20" t="str">
        <x:v>Realizado</x:v>
      </x:c>
      <x:c r="L370" s="20" t="str">
        <x:v>CVM_CRI_2025_CLASSE</x:v>
      </x:c>
      <x:c r="M370" s="20" t="str">
        <x:v>Documentado</x:v>
      </x:c>
      <x:c r="N370" s="20" t="str">
        <x:v>Saldo final: saldo agregado reconciliado, controlado por Valor_Atualizado_Emissao. Unidade sem reconciliação permanece n/d; pagamentos realizados ficam documentados.</x:v>
      </x:c>
    </x:row>
    <x:row r="371">
      <x:c r="A371" s="20" t="str">
        <x:v>CRI_K4</x:v>
      </x:c>
      <x:c r="B371" s="20" t="str">
        <x:v>Série 2</x:v>
      </x:c>
      <x:c r="C371" s="20" t="str">
        <x:v>Super Sênior B</x:v>
      </x:c>
      <x:c r="D371" s="21" t="n">
        <x:v>45992</x:v>
      </x:c>
      <x:c r="E371" s="25" t="n">
        <x:v>97912445</x:v>
      </x:c>
      <x:c r="F371" s="25" t="str">
        <x:v>n/d</x:v>
      </x:c>
      <x:c r="G371" s="25" t="str">
        <x:v>n/d</x:v>
      </x:c>
      <x:c r="H371" s="25" t="n">
        <x:v>94340924</x:v>
      </x:c>
      <x:c r="I371" s="25" t="n">
        <x:v>1036023.52</x:v>
      </x:c>
      <x:c r="J371" s="25" t="n">
        <x:v>3661355.4</x:v>
      </x:c>
      <x:c r="K371" s="20" t="str">
        <x:v>Realizado</x:v>
      </x:c>
      <x:c r="L371" s="20" t="str">
        <x:v>CVM_CRI_2025_CLASSE</x:v>
      </x:c>
      <x:c r="M371" s="20" t="str">
        <x:v>Documentado</x:v>
      </x:c>
      <x:c r="N371" s="20" t="str">
        <x:v>Saldo final: saldo agregado reconciliado, controlado por Valor_Atualizado_Emissao. Unidade sem reconciliação permanece n/d; pagamentos realizados ficam documentados.</x:v>
      </x:c>
    </x:row>
    <x:row r="372">
      <x:c r="A372" s="20" t="str">
        <x:v>CRI_K4</x:v>
      </x:c>
      <x:c r="B372" s="20" t="str">
        <x:v>Série 2</x:v>
      </x:c>
      <x:c r="C372" s="20" t="str">
        <x:v>Super Sênior B</x:v>
      </x:c>
      <x:c r="D372" s="21" t="n">
        <x:v>46023</x:v>
      </x:c>
      <x:c r="E372" s="25" t="n">
        <x:v>94340924</x:v>
      </x:c>
      <x:c r="F372" s="25" t="str">
        <x:v>n/d</x:v>
      </x:c>
      <x:c r="G372" s="25" t="str">
        <x:v>n/d</x:v>
      </x:c>
      <x:c r="H372" s="25" t="n">
        <x:v>90940256</x:v>
      </x:c>
      <x:c r="I372" s="25" t="n">
        <x:v>1097477.9</x:v>
      </x:c>
      <x:c r="J372" s="25" t="n">
        <x:v>3340309.04</x:v>
      </x:c>
      <x:c r="K372" s="20" t="str">
        <x:v>Realizado</x:v>
      </x:c>
      <x:c r="L372" s="20" t="str">
        <x:v>CVM_CRI_2026_CLASSE</x:v>
      </x:c>
      <x:c r="M372" s="20" t="str">
        <x:v>Documentado</x:v>
      </x:c>
      <x:c r="N372" s="20" t="str">
        <x:v>Saldo final: saldo agregado reconciliado, controlado por Valor_Atualizado_Emissao. Unidade sem reconciliação permanece n/d; pagamentos realizados ficam documentados.</x:v>
      </x:c>
    </x:row>
    <x:row r="373">
      <x:c r="A373" s="20" t="str">
        <x:v>CRI_K4</x:v>
      </x:c>
      <x:c r="B373" s="20" t="str">
        <x:v>Série 2</x:v>
      </x:c>
      <x:c r="C373" s="20" t="str">
        <x:v>Super Sênior B</x:v>
      </x:c>
      <x:c r="D373" s="21" t="n">
        <x:v>46054</x:v>
      </x:c>
      <x:c r="E373" s="25" t="n">
        <x:v>90940256</x:v>
      </x:c>
      <x:c r="F373" s="25" t="str">
        <x:v>n/d</x:v>
      </x:c>
      <x:c r="G373" s="25" t="str">
        <x:v>n/d</x:v>
      </x:c>
      <x:c r="H373" s="25" t="n">
        <x:v>89175062</x:v>
      </x:c>
      <x:c r="I373" s="25" t="n">
        <x:v>1010096.36</x:v>
      </x:c>
      <x:c r="J373" s="25" t="n">
        <x:v>1618787.02</x:v>
      </x:c>
      <x:c r="K373" s="20" t="str">
        <x:v>Realizado</x:v>
      </x:c>
      <x:c r="L373" s="20" t="str">
        <x:v>CVM_CRI_2026_CLASSE</x:v>
      </x:c>
      <x:c r="M373" s="20" t="str">
        <x:v>Documentado</x:v>
      </x:c>
      <x:c r="N373" s="20" t="str">
        <x:v>Saldo final: saldo agregado reconciliado, controlado por Valor_Atualizado_Emissao. Unidade sem reconciliação permanece n/d; pagamentos realizados ficam documentados.</x:v>
      </x:c>
    </x:row>
    <x:row r="374">
      <x:c r="A374" s="20" t="str">
        <x:v>CRI_K4</x:v>
      </x:c>
      <x:c r="B374" s="20" t="str">
        <x:v>Série 2</x:v>
      </x:c>
      <x:c r="C374" s="20" t="str">
        <x:v>Super Sênior B</x:v>
      </x:c>
      <x:c r="D374" s="21" t="n">
        <x:v>46082</x:v>
      </x:c>
      <x:c r="E374" s="25" t="n">
        <x:v>89175062</x:v>
      </x:c>
      <x:c r="F374" s="25" t="str">
        <x:v>n/d</x:v>
      </x:c>
      <x:c r="G374" s="25" t="str">
        <x:v>n/d</x:v>
      </x:c>
      <x:c r="H374" s="25" t="n">
        <x:v>87738670</x:v>
      </x:c>
      <x:c r="I374" s="25" t="n">
        <x:v>849662.43</x:v>
      </x:c>
      <x:c r="J374" s="25" t="n">
        <x:v>1618816.39</x:v>
      </x:c>
      <x:c r="K374" s="20" t="str">
        <x:v>Realizado</x:v>
      </x:c>
      <x:c r="L374" s="20" t="str">
        <x:v>CVM_CRI_2026_CLASSE</x:v>
      </x:c>
      <x:c r="M374" s="20" t="str">
        <x:v>Documentado</x:v>
      </x:c>
      <x:c r="N374" s="20" t="str">
        <x:v>Saldo final: saldo agregado reconciliado, controlado por Valor_Atualizado_Emissao. Unidade sem reconciliação permanece n/d; pagamentos realizados ficam documentados.</x:v>
      </x:c>
    </x:row>
    <x:row r="375">
      <x:c r="A375" s="20" t="str">
        <x:v>CRI_K4</x:v>
      </x:c>
      <x:c r="B375" s="20" t="str">
        <x:v>Série 2</x:v>
      </x:c>
      <x:c r="C375" s="20" t="str">
        <x:v>Super Sênior B</x:v>
      </x:c>
      <x:c r="D375" s="21" t="n">
        <x:v>46113</x:v>
      </x:c>
      <x:c r="E375" s="25" t="n">
        <x:v>87738670</x:v>
      </x:c>
      <x:c r="F375" s="25" t="str">
        <x:v>n/d</x:v>
      </x:c>
      <x:c r="G375" s="25" t="str">
        <x:v>n/d</x:v>
      </x:c>
      <x:c r="H375" s="25" t="str">
        <x:v>n/d</x:v>
      </x:c>
      <x:c r="I375" s="25" t="n">
        <x:v>1020673.19</x:v>
      </x:c>
      <x:c r="J375" s="25" t="n">
        <x:v>1618841.99</x:v>
      </x:c>
      <x:c r="K375" s="20" t="str">
        <x:v>Realizado</x:v>
      </x:c>
      <x:c r="L375" s="20" t="str">
        <x:v>CVM_CRI_2026_CLASSE</x:v>
      </x:c>
      <x:c r="M375" s="20" t="str">
        <x:v>Documentado</x:v>
      </x:c>
      <x:c r="N375" s="20" t="str">
        <x:v>Saldo final: n/d por conflito de unidade, controlado por Valor_Atualizado_Emissao. Unidade sem reconciliação permanece n/d; pagamentos realizados ficam documentados.</x:v>
      </x:c>
    </x:row>
    <x:row r="376">
      <x:c r="A376" s="20" t="str">
        <x:v>CRI_K4</x:v>
      </x:c>
      <x:c r="B376" s="20" t="str">
        <x:v>Série 2</x:v>
      </x:c>
      <x:c r="C376" s="20" t="str">
        <x:v>Super Sênior B</x:v>
      </x:c>
      <x:c r="D376" s="21" t="n">
        <x:v>46143</x:v>
      </x:c>
      <x:c r="E376" s="25" t="str">
        <x:v>n/d</x:v>
      </x:c>
      <x:c r="F376" s="25" t="str">
        <x:v>n/d</x:v>
      </x:c>
      <x:c r="G376" s="25" t="str">
        <x:v>n/d</x:v>
      </x:c>
      <x:c r="H376" s="25" t="str">
        <x:v>n/d</x:v>
      </x:c>
      <x:c r="I376" s="25" t="n">
        <x:v>910219.94</x:v>
      </x:c>
      <x:c r="J376" s="25" t="n">
        <x:v>1831973.71</x:v>
      </x:c>
      <x:c r="K376" s="20" t="str">
        <x:v>Realizado</x:v>
      </x:c>
      <x:c r="L376" s="20" t="str">
        <x:v>CVM_CRI_2026_CLASSE</x:v>
      </x:c>
      <x:c r="M376" s="20" t="str">
        <x:v>Documentado</x:v>
      </x:c>
      <x:c r="N376" s="20" t="str">
        <x:v>Saldo final: n/d por conflito de unidade, controlado por Valor_Atualizado_Emissao. Unidade sem reconciliação permanece n/d; pagamentos realizados ficam documentados.</x:v>
      </x:c>
    </x:row>
    <x:row r="377">
      <x:c r="A377" s="20" t="str">
        <x:v>CRI_K4</x:v>
      </x:c>
      <x:c r="B377" s="20" t="str">
        <x:v>Série 3</x:v>
      </x:c>
      <x:c r="C377" s="20" t="str">
        <x:v>Sênior A</x:v>
      </x:c>
      <x:c r="D377" s="21" t="n">
        <x:v>45901</x:v>
      </x:c>
      <x:c r="E377" s="25" t="str">
        <x:v>n/d</x:v>
      </x:c>
      <x:c r="F377" s="25" t="str">
        <x:v>n/d</x:v>
      </x:c>
      <x:c r="G377" s="25" t="str">
        <x:v>n/d</x:v>
      </x:c>
      <x:c r="H377" s="25" t="str">
        <x:v>n/d</x:v>
      </x:c>
      <x:c r="I377" s="25" t="n">
        <x:v>0</x:v>
      </x:c>
      <x:c r="J377" s="25" t="n">
        <x:v>0</x:v>
      </x:c>
      <x:c r="K377" s="20" t="str">
        <x:v>Realizado</x:v>
      </x:c>
      <x:c r="L377" s="20" t="str">
        <x:v>CVM_CRI_2025_CLASSE</x:v>
      </x:c>
      <x:c r="M377" s="20" t="str">
        <x:v>Documentado</x:v>
      </x:c>
      <x:c r="N377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78">
      <x:c r="A378" s="20" t="str">
        <x:v>CRI_K4</x:v>
      </x:c>
      <x:c r="B378" s="20" t="str">
        <x:v>Série 3</x:v>
      </x:c>
      <x:c r="C378" s="20" t="str">
        <x:v>Sênior A</x:v>
      </x:c>
      <x:c r="D378" s="21" t="n">
        <x:v>45931</x:v>
      </x:c>
      <x:c r="E378" s="25" t="str">
        <x:v>n/d</x:v>
      </x:c>
      <x:c r="F378" s="25" t="str">
        <x:v>n/d</x:v>
      </x:c>
      <x:c r="G378" s="25" t="str">
        <x:v>n/d</x:v>
      </x:c>
      <x:c r="H378" s="25" t="n">
        <x:v>54708691.76</x:v>
      </x:c>
      <x:c r="I378" s="25" t="n">
        <x:v>0</x:v>
      </x:c>
      <x:c r="J378" s="25" t="n">
        <x:v>0</x:v>
      </x:c>
      <x:c r="K378" s="20" t="str">
        <x:v>Realizado</x:v>
      </x:c>
      <x:c r="L378" s="20" t="str">
        <x:v>CVM_CRI_2025_CLASSE</x:v>
      </x:c>
      <x:c r="M378" s="20" t="str">
        <x:v>Documentado</x:v>
      </x:c>
      <x:c r="N378" s="20" t="str">
        <x:v>Saldo final: saldo agregado reconciliado, controlado por Valor_Atualizado_Emissao. Unidade sem reconciliação permanece n/d; pagamentos realizados ficam documentados.</x:v>
      </x:c>
    </x:row>
    <x:row r="379">
      <x:c r="A379" s="20" t="str">
        <x:v>CRI_K4</x:v>
      </x:c>
      <x:c r="B379" s="20" t="str">
        <x:v>Série 3</x:v>
      </x:c>
      <x:c r="C379" s="20" t="str">
        <x:v>Sênior A</x:v>
      </x:c>
      <x:c r="D379" s="21" t="n">
        <x:v>45962</x:v>
      </x:c>
      <x:c r="E379" s="25" t="n">
        <x:v>54708691.76</x:v>
      </x:c>
      <x:c r="F379" s="25" t="str">
        <x:v>n/d</x:v>
      </x:c>
      <x:c r="G379" s="25" t="str">
        <x:v>n/d</x:v>
      </x:c>
      <x:c r="H379" s="25" t="n">
        <x:v>55301143</x:v>
      </x:c>
      <x:c r="I379" s="25" t="n">
        <x:v>0</x:v>
      </x:c>
      <x:c r="J379" s="25" t="n">
        <x:v>0</x:v>
      </x:c>
      <x:c r="K379" s="20" t="str">
        <x:v>Realizado</x:v>
      </x:c>
      <x:c r="L379" s="20" t="str">
        <x:v>CVM_CRI_2025_CLASSE</x:v>
      </x:c>
      <x:c r="M379" s="20" t="str">
        <x:v>Documentado</x:v>
      </x:c>
      <x:c r="N379" s="20" t="str">
        <x:v>Saldo final: saldo agregado reconciliado, controlado por Valor_Atualizado_Emissao. Unidade sem reconciliação permanece n/d; pagamentos realizados ficam documentados.</x:v>
      </x:c>
    </x:row>
    <x:row r="380">
      <x:c r="A380" s="20" t="str">
        <x:v>CRI_K4</x:v>
      </x:c>
      <x:c r="B380" s="20" t="str">
        <x:v>Série 3</x:v>
      </x:c>
      <x:c r="C380" s="20" t="str">
        <x:v>Sênior A</x:v>
      </x:c>
      <x:c r="D380" s="21" t="n">
        <x:v>45992</x:v>
      </x:c>
      <x:c r="E380" s="25" t="n">
        <x:v>55301143</x:v>
      </x:c>
      <x:c r="F380" s="25" t="str">
        <x:v>n/d</x:v>
      </x:c>
      <x:c r="G380" s="25" t="str">
        <x:v>n/d</x:v>
      </x:c>
      <x:c r="H380" s="25" t="n">
        <x:v>55995158</x:v>
      </x:c>
      <x:c r="I380" s="25" t="n">
        <x:v>0</x:v>
      </x:c>
      <x:c r="J380" s="25" t="n">
        <x:v>0</x:v>
      </x:c>
      <x:c r="K380" s="20" t="str">
        <x:v>Realizado</x:v>
      </x:c>
      <x:c r="L380" s="20" t="str">
        <x:v>CVM_CRI_2025_CLASSE</x:v>
      </x:c>
      <x:c r="M380" s="20" t="str">
        <x:v>Documentado</x:v>
      </x:c>
      <x:c r="N380" s="20" t="str">
        <x:v>Saldo final: saldo agregado reconciliado, controlado por Valor_Atualizado_Emissao. Unidade sem reconciliação permanece n/d; pagamentos realizados ficam documentados.</x:v>
      </x:c>
    </x:row>
    <x:row r="381">
      <x:c r="A381" s="20" t="str">
        <x:v>CRI_K4</x:v>
      </x:c>
      <x:c r="B381" s="20" t="str">
        <x:v>Série 3</x:v>
      </x:c>
      <x:c r="C381" s="20" t="str">
        <x:v>Sênior A</x:v>
      </x:c>
      <x:c r="D381" s="21" t="n">
        <x:v>46023</x:v>
      </x:c>
      <x:c r="E381" s="25" t="n">
        <x:v>55995158</x:v>
      </x:c>
      <x:c r="F381" s="25" t="str">
        <x:v>n/d</x:v>
      </x:c>
      <x:c r="G381" s="25" t="str">
        <x:v>n/d</x:v>
      </x:c>
      <x:c r="H381" s="25" t="n">
        <x:v>56665751</x:v>
      </x:c>
      <x:c r="I381" s="25" t="n">
        <x:v>0</x:v>
      </x:c>
      <x:c r="J381" s="25" t="n">
        <x:v>0</x:v>
      </x:c>
      <x:c r="K381" s="20" t="str">
        <x:v>Realizado</x:v>
      </x:c>
      <x:c r="L381" s="20" t="str">
        <x:v>CVM_CRI_2026_CLASSE</x:v>
      </x:c>
      <x:c r="M381" s="20" t="str">
        <x:v>Documentado</x:v>
      </x:c>
      <x:c r="N381" s="20" t="str">
        <x:v>Saldo final: saldo agregado reconciliado, controlado por Valor_Atualizado_Emissao. Unidade sem reconciliação permanece n/d; pagamentos realizados ficam documentados.</x:v>
      </x:c>
    </x:row>
    <x:row r="382">
      <x:c r="A382" s="20" t="str">
        <x:v>CRI_K4</x:v>
      </x:c>
      <x:c r="B382" s="20" t="str">
        <x:v>Série 3</x:v>
      </x:c>
      <x:c r="C382" s="20" t="str">
        <x:v>Sênior A</x:v>
      </x:c>
      <x:c r="D382" s="21" t="n">
        <x:v>46054</x:v>
      </x:c>
      <x:c r="E382" s="25" t="n">
        <x:v>56665751</x:v>
      </x:c>
      <x:c r="F382" s="25" t="str">
        <x:v>n/d</x:v>
      </x:c>
      <x:c r="G382" s="25" t="str">
        <x:v>n/d</x:v>
      </x:c>
      <x:c r="H382" s="25" t="n">
        <x:v>56384156</x:v>
      </x:c>
      <x:c r="I382" s="25" t="n">
        <x:v>676319.38</x:v>
      </x:c>
      <x:c r="J382" s="25" t="n">
        <x:v>184992.06</x:v>
      </x:c>
      <x:c r="K382" s="20" t="str">
        <x:v>Realizado</x:v>
      </x:c>
      <x:c r="L382" s="20" t="str">
        <x:v>CVM_CRI_2026_CLASSE</x:v>
      </x:c>
      <x:c r="M382" s="20" t="str">
        <x:v>Documentado</x:v>
      </x:c>
      <x:c r="N382" s="20" t="str">
        <x:v>Saldo final: saldo agregado reconciliado, controlado por Valor_Atualizado_Emissao. Unidade sem reconciliação permanece n/d; pagamentos realizados ficam documentados.</x:v>
      </x:c>
    </x:row>
    <x:row r="383">
      <x:c r="A383" s="20" t="str">
        <x:v>CRI_K4</x:v>
      </x:c>
      <x:c r="B383" s="20" t="str">
        <x:v>Série 3</x:v>
      </x:c>
      <x:c r="C383" s="20" t="str">
        <x:v>Sênior A</x:v>
      </x:c>
      <x:c r="D383" s="21" t="n">
        <x:v>46082</x:v>
      </x:c>
      <x:c r="E383" s="25" t="n">
        <x:v>56384156</x:v>
      </x:c>
      <x:c r="F383" s="25" t="str">
        <x:v>n/d</x:v>
      </x:c>
      <x:c r="G383" s="25" t="str">
        <x:v>n/d</x:v>
      </x:c>
      <x:c r="H383" s="25" t="n">
        <x:v>53672540</x:v>
      </x:c>
      <x:c r="I383" s="25" t="n">
        <x:v>577311.34</x:v>
      </x:c>
      <x:c r="J383" s="25" t="n">
        <x:v>2828369.64</x:v>
      </x:c>
      <x:c r="K383" s="20" t="str">
        <x:v>Realizado</x:v>
      </x:c>
      <x:c r="L383" s="20" t="str">
        <x:v>CVM_CRI_2026_CLASSE</x:v>
      </x:c>
      <x:c r="M383" s="20" t="str">
        <x:v>Documentado</x:v>
      </x:c>
      <x:c r="N383" s="20" t="str">
        <x:v>Saldo final: saldo agregado reconciliado, controlado por Valor_Atualizado_Emissao. Unidade sem reconciliação permanece n/d; pagamentos realizados ficam documentados.</x:v>
      </x:c>
    </x:row>
    <x:row r="384">
      <x:c r="A384" s="20" t="str">
        <x:v>CRI_K4</x:v>
      </x:c>
      <x:c r="B384" s="20" t="str">
        <x:v>Série 3</x:v>
      </x:c>
      <x:c r="C384" s="20" t="str">
        <x:v>Sênior A</x:v>
      </x:c>
      <x:c r="D384" s="21" t="n">
        <x:v>46113</x:v>
      </x:c>
      <x:c r="E384" s="25" t="n">
        <x:v>53672540</x:v>
      </x:c>
      <x:c r="F384" s="25" t="str">
        <x:v>n/d</x:v>
      </x:c>
      <x:c r="G384" s="25" t="str">
        <x:v>n/d</x:v>
      </x:c>
      <x:c r="H384" s="25" t="str">
        <x:v>n/d</x:v>
      </x:c>
      <x:c r="I384" s="25" t="n">
        <x:v>670909.39</x:v>
      </x:c>
      <x:c r="J384" s="25" t="n">
        <x:v>3532445.65</x:v>
      </x:c>
      <x:c r="K384" s="20" t="str">
        <x:v>Realizado</x:v>
      </x:c>
      <x:c r="L384" s="20" t="str">
        <x:v>CVM_CRI_2026_CLASSE</x:v>
      </x:c>
      <x:c r="M384" s="20" t="str">
        <x:v>Documentado</x:v>
      </x:c>
      <x:c r="N384" s="20" t="str">
        <x:v>Saldo final: n/d por conflito de unidade, controlado por Valor_Atualizado_Emissao. Unidade sem reconciliação permanece n/d; pagamentos realizados ficam documentados.</x:v>
      </x:c>
    </x:row>
    <x:row r="385">
      <x:c r="A385" s="20" t="str">
        <x:v>CRI_K4</x:v>
      </x:c>
      <x:c r="B385" s="20" t="str">
        <x:v>Série 3</x:v>
      </x:c>
      <x:c r="C385" s="20" t="str">
        <x:v>Sênior A</x:v>
      </x:c>
      <x:c r="D385" s="21" t="n">
        <x:v>46143</x:v>
      </x:c>
      <x:c r="E385" s="25" t="str">
        <x:v>n/d</x:v>
      </x:c>
      <x:c r="F385" s="25" t="str">
        <x:v>n/d</x:v>
      </x:c>
      <x:c r="G385" s="25" t="str">
        <x:v>n/d</x:v>
      </x:c>
      <x:c r="H385" s="25" t="str">
        <x:v>n/d</x:v>
      </x:c>
      <x:c r="I385" s="25" t="n">
        <x:v>569292.97</x:v>
      </x:c>
      <x:c r="J385" s="25" t="n">
        <x:v>1947885.13</x:v>
      </x:c>
      <x:c r="K385" s="20" t="str">
        <x:v>Realizado</x:v>
      </x:c>
      <x:c r="L385" s="20" t="str">
        <x:v>CVM_CRI_2026_CLASSE</x:v>
      </x:c>
      <x:c r="M385" s="20" t="str">
        <x:v>Documentado</x:v>
      </x:c>
      <x:c r="N385" s="20" t="str">
        <x:v>Saldo final: n/d por conflito de unidade, controlado por Valor_Atualizado_Emissao. Unidade sem reconciliação permanece n/d; pagamentos realizados ficam documentados.</x:v>
      </x:c>
    </x:row>
    <x:row r="386">
      <x:c r="A386" s="20" t="str">
        <x:v>CRI_K4</x:v>
      </x:c>
      <x:c r="B386" s="20" t="str">
        <x:v>Série 4</x:v>
      </x:c>
      <x:c r="C386" s="20" t="str">
        <x:v>Sênior B</x:v>
      </x:c>
      <x:c r="D386" s="21" t="n">
        <x:v>45901</x:v>
      </x:c>
      <x:c r="E386" s="25" t="str">
        <x:v>n/d</x:v>
      </x:c>
      <x:c r="F386" s="25" t="str">
        <x:v>n/d</x:v>
      </x:c>
      <x:c r="G386" s="25" t="str">
        <x:v>n/d</x:v>
      </x:c>
      <x:c r="H386" s="25" t="str">
        <x:v>n/d</x:v>
      </x:c>
      <x:c r="I386" s="25" t="n">
        <x:v>0</x:v>
      </x:c>
      <x:c r="J386" s="25" t="n">
        <x:v>0</x:v>
      </x:c>
      <x:c r="K386" s="20" t="str">
        <x:v>Realizado</x:v>
      </x:c>
      <x:c r="L386" s="20" t="str">
        <x:v>CVM_CRI_2025_CLASSE</x:v>
      </x:c>
      <x:c r="M386" s="20" t="str">
        <x:v>Documentado</x:v>
      </x:c>
      <x:c r="N386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87">
      <x:c r="A387" s="20" t="str">
        <x:v>CRI_K4</x:v>
      </x:c>
      <x:c r="B387" s="20" t="str">
        <x:v>Série 4</x:v>
      </x:c>
      <x:c r="C387" s="20" t="str">
        <x:v>Sênior B</x:v>
      </x:c>
      <x:c r="D387" s="21" t="n">
        <x:v>45931</x:v>
      </x:c>
      <x:c r="E387" s="25" t="str">
        <x:v>n/d</x:v>
      </x:c>
      <x:c r="F387" s="25" t="str">
        <x:v>n/d</x:v>
      </x:c>
      <x:c r="G387" s="25" t="str">
        <x:v>n/d</x:v>
      </x:c>
      <x:c r="H387" s="25" t="n">
        <x:v>0</x:v>
      </x:c>
      <x:c r="I387" s="25" t="n">
        <x:v>0</x:v>
      </x:c>
      <x:c r="J387" s="25" t="n">
        <x:v>0</x:v>
      </x:c>
      <x:c r="K387" s="20" t="str">
        <x:v>Realizado</x:v>
      </x:c>
      <x:c r="L387" s="20" t="str">
        <x:v>CVM_CRI_2025_CLASSE</x:v>
      </x:c>
      <x:c r="M387" s="20" t="str">
        <x:v>Documentado</x:v>
      </x:c>
      <x:c r="N387" s="20" t="str">
        <x:v>Saldo final: saldo agregado reconciliado, controlado por Valor_Atualizado_Emissao. Unidade sem reconciliação permanece n/d; pagamentos realizados ficam documentados.</x:v>
      </x:c>
    </x:row>
    <x:row r="388">
      <x:c r="A388" s="20" t="str">
        <x:v>CRI_K4</x:v>
      </x:c>
      <x:c r="B388" s="20" t="str">
        <x:v>Série 4</x:v>
      </x:c>
      <x:c r="C388" s="20" t="str">
        <x:v>Sênior B</x:v>
      </x:c>
      <x:c r="D388" s="21" t="n">
        <x:v>45962</x:v>
      </x:c>
      <x:c r="E388" s="25" t="n">
        <x:v>0</x:v>
      </x:c>
      <x:c r="F388" s="25" t="str">
        <x:v>n/d</x:v>
      </x:c>
      <x:c r="G388" s="25" t="str">
        <x:v>n/d</x:v>
      </x:c>
      <x:c r="H388" s="25" t="n">
        <x:v>27122727</x:v>
      </x:c>
      <x:c r="I388" s="25" t="n">
        <x:v>0</x:v>
      </x:c>
      <x:c r="J388" s="25" t="n">
        <x:v>0</x:v>
      </x:c>
      <x:c r="K388" s="20" t="str">
        <x:v>Realizado</x:v>
      </x:c>
      <x:c r="L388" s="20" t="str">
        <x:v>CVM_CRI_2025_CLASSE</x:v>
      </x:c>
      <x:c r="M388" s="20" t="str">
        <x:v>Documentado</x:v>
      </x:c>
      <x:c r="N388" s="20" t="str">
        <x:v>Saldo final: saldo agregado reconciliado, controlado por Valor_Atualizado_Emissao. Unidade sem reconciliação permanece n/d; pagamentos realizados ficam documentados.</x:v>
      </x:c>
    </x:row>
    <x:row r="389">
      <x:c r="A389" s="20" t="str">
        <x:v>CRI_K4</x:v>
      </x:c>
      <x:c r="B389" s="20" t="str">
        <x:v>Série 4</x:v>
      </x:c>
      <x:c r="C389" s="20" t="str">
        <x:v>Sênior B</x:v>
      </x:c>
      <x:c r="D389" s="21" t="n">
        <x:v>45992</x:v>
      </x:c>
      <x:c r="E389" s="25" t="n">
        <x:v>27122727</x:v>
      </x:c>
      <x:c r="F389" s="25" t="str">
        <x:v>n/d</x:v>
      </x:c>
      <x:c r="G389" s="25" t="str">
        <x:v>n/d</x:v>
      </x:c>
      <x:c r="H389" s="25" t="n">
        <x:v>27463111</x:v>
      </x:c>
      <x:c r="I389" s="25" t="n">
        <x:v>0</x:v>
      </x:c>
      <x:c r="J389" s="25" t="n">
        <x:v>0</x:v>
      </x:c>
      <x:c r="K389" s="20" t="str">
        <x:v>Realizado</x:v>
      </x:c>
      <x:c r="L389" s="20" t="str">
        <x:v>CVM_CRI_2025_CLASSE</x:v>
      </x:c>
      <x:c r="M389" s="20" t="str">
        <x:v>Documentado</x:v>
      </x:c>
      <x:c r="N389" s="20" t="str">
        <x:v>Saldo final: saldo agregado reconciliado, controlado por Valor_Atualizado_Emissao. Unidade sem reconciliação permanece n/d; pagamentos realizados ficam documentados.</x:v>
      </x:c>
    </x:row>
    <x:row r="390">
      <x:c r="A390" s="20" t="str">
        <x:v>CRI_K4</x:v>
      </x:c>
      <x:c r="B390" s="20" t="str">
        <x:v>Série 4</x:v>
      </x:c>
      <x:c r="C390" s="20" t="str">
        <x:v>Sênior B</x:v>
      </x:c>
      <x:c r="D390" s="21" t="n">
        <x:v>46023</x:v>
      </x:c>
      <x:c r="E390" s="25" t="n">
        <x:v>27463111</x:v>
      </x:c>
      <x:c r="F390" s="25" t="str">
        <x:v>n/d</x:v>
      </x:c>
      <x:c r="G390" s="25" t="str">
        <x:v>n/d</x:v>
      </x:c>
      <x:c r="H390" s="25" t="n">
        <x:v>27792006</x:v>
      </x:c>
      <x:c r="I390" s="25" t="n">
        <x:v>0</x:v>
      </x:c>
      <x:c r="J390" s="25" t="n">
        <x:v>0</x:v>
      </x:c>
      <x:c r="K390" s="20" t="str">
        <x:v>Realizado</x:v>
      </x:c>
      <x:c r="L390" s="20" t="str">
        <x:v>CVM_CRI_2026_CLASSE</x:v>
      </x:c>
      <x:c r="M390" s="20" t="str">
        <x:v>Documentado</x:v>
      </x:c>
      <x:c r="N390" s="20" t="str">
        <x:v>Saldo final: saldo agregado reconciliado, controlado por Valor_Atualizado_Emissao. Unidade sem reconciliação permanece n/d; pagamentos realizados ficam documentados.</x:v>
      </x:c>
    </x:row>
    <x:row r="391">
      <x:c r="A391" s="20" t="str">
        <x:v>CRI_K4</x:v>
      </x:c>
      <x:c r="B391" s="20" t="str">
        <x:v>Série 4</x:v>
      </x:c>
      <x:c r="C391" s="20" t="str">
        <x:v>Sênior B</x:v>
      </x:c>
      <x:c r="D391" s="21" t="n">
        <x:v>46054</x:v>
      </x:c>
      <x:c r="E391" s="25" t="n">
        <x:v>27792006</x:v>
      </x:c>
      <x:c r="F391" s="25" t="str">
        <x:v>n/d</x:v>
      </x:c>
      <x:c r="G391" s="25" t="str">
        <x:v>n/d</x:v>
      </x:c>
      <x:c r="H391" s="25" t="n">
        <x:v>27652128</x:v>
      </x:c>
      <x:c r="I391" s="25" t="n">
        <x:v>331704.29</x:v>
      </x:c>
      <x:c r="J391" s="25" t="n">
        <x:v>92496.03</x:v>
      </x:c>
      <x:c r="K391" s="20" t="str">
        <x:v>Realizado</x:v>
      </x:c>
      <x:c r="L391" s="20" t="str">
        <x:v>CVM_CRI_2026_CLASSE</x:v>
      </x:c>
      <x:c r="M391" s="20" t="str">
        <x:v>Documentado</x:v>
      </x:c>
      <x:c r="N391" s="20" t="str">
        <x:v>Saldo final: saldo agregado reconciliado, controlado por Valor_Atualizado_Emissao. Unidade sem reconciliação permanece n/d; pagamentos realizados ficam documentados.</x:v>
      </x:c>
    </x:row>
    <x:row r="392">
      <x:c r="A392" s="20" t="str">
        <x:v>CRI_K4</x:v>
      </x:c>
      <x:c r="B392" s="20" t="str">
        <x:v>Série 4</x:v>
      </x:c>
      <x:c r="C392" s="20" t="str">
        <x:v>Sênior B</x:v>
      </x:c>
      <x:c r="D392" s="21" t="n">
        <x:v>46082</x:v>
      </x:c>
      <x:c r="E392" s="25" t="n">
        <x:v>27652128</x:v>
      </x:c>
      <x:c r="F392" s="25" t="str">
        <x:v>n/d</x:v>
      </x:c>
      <x:c r="G392" s="25" t="str">
        <x:v>n/d</x:v>
      </x:c>
      <x:c r="H392" s="25" t="n">
        <x:v>26295094</x:v>
      </x:c>
      <x:c r="I392" s="25" t="n">
        <x:v>283127.18</x:v>
      </x:c>
      <x:c r="J392" s="25" t="n">
        <x:v>1414184.82</x:v>
      </x:c>
      <x:c r="K392" s="20" t="str">
        <x:v>Realizado</x:v>
      </x:c>
      <x:c r="L392" s="20" t="str">
        <x:v>CVM_CRI_2026_CLASSE</x:v>
      </x:c>
      <x:c r="M392" s="20" t="str">
        <x:v>Documentado</x:v>
      </x:c>
      <x:c r="N392" s="20" t="str">
        <x:v>Saldo final: saldo agregado reconciliado, controlado por Valor_Atualizado_Emissao. Unidade sem reconciliação permanece n/d; pagamentos realizados ficam documentados.</x:v>
      </x:c>
    </x:row>
    <x:row r="393">
      <x:c r="A393" s="20" t="str">
        <x:v>CRI_K4</x:v>
      </x:c>
      <x:c r="B393" s="20" t="str">
        <x:v>Série 4</x:v>
      </x:c>
      <x:c r="C393" s="20" t="str">
        <x:v>Sênior B</x:v>
      </x:c>
      <x:c r="D393" s="21" t="n">
        <x:v>46113</x:v>
      </x:c>
      <x:c r="E393" s="25" t="n">
        <x:v>26295094</x:v>
      </x:c>
      <x:c r="F393" s="25" t="str">
        <x:v>n/d</x:v>
      </x:c>
      <x:c r="G393" s="25" t="str">
        <x:v>n/d</x:v>
      </x:c>
      <x:c r="H393" s="25" t="str">
        <x:v>n/d</x:v>
      </x:c>
      <x:c r="I393" s="25" t="n">
        <x:v>328689.97</x:v>
      </x:c>
      <x:c r="J393" s="25" t="n">
        <x:v>1227190.07</x:v>
      </x:c>
      <x:c r="K393" s="20" t="str">
        <x:v>Realizado</x:v>
      </x:c>
      <x:c r="L393" s="20" t="str">
        <x:v>CVM_CRI_2026_CLASSE</x:v>
      </x:c>
      <x:c r="M393" s="20" t="str">
        <x:v>Documentado</x:v>
      </x:c>
      <x:c r="N393" s="20" t="str">
        <x:v>Saldo final: n/d por conflito de unidade, controlado por Valor_Atualizado_Emissao. Unidade sem reconciliação permanece n/d; pagamentos realizados ficam documentados.</x:v>
      </x:c>
    </x:row>
    <x:row r="394">
      <x:c r="A394" s="20" t="str">
        <x:v>CRI_K4</x:v>
      </x:c>
      <x:c r="B394" s="20" t="str">
        <x:v>Série 4</x:v>
      </x:c>
      <x:c r="C394" s="20" t="str">
        <x:v>Sênior B</x:v>
      </x:c>
      <x:c r="D394" s="21" t="n">
        <x:v>46143</x:v>
      </x:c>
      <x:c r="E394" s="25" t="str">
        <x:v>n/d</x:v>
      </x:c>
      <x:c r="F394" s="25" t="str">
        <x:v>n/d</x:v>
      </x:c>
      <x:c r="G394" s="25" t="str">
        <x:v>n/d</x:v>
      </x:c>
      <x:c r="H394" s="25" t="str">
        <x:v>n/d</x:v>
      </x:c>
      <x:c r="I394" s="25" t="n">
        <x:v>284646.49</x:v>
      </x:c>
      <x:c r="J394" s="25" t="n">
        <x:v>973942.57</x:v>
      </x:c>
      <x:c r="K394" s="20" t="str">
        <x:v>Realizado</x:v>
      </x:c>
      <x:c r="L394" s="20" t="str">
        <x:v>CVM_CRI_2026_CLASSE</x:v>
      </x:c>
      <x:c r="M394" s="20" t="str">
        <x:v>Documentado</x:v>
      </x:c>
      <x:c r="N394" s="20" t="str">
        <x:v>Saldo final: n/d por conflito de unidade, controlado por Valor_Atualizado_Emissao. Unidade sem reconciliação permanece n/d; pagamentos realizados ficam documentados.</x:v>
      </x:c>
    </x:row>
    <x:row r="395">
      <x:c r="A395" s="20" t="str">
        <x:v>CRI_K4</x:v>
      </x:c>
      <x:c r="B395" s="20" t="str">
        <x:v>Série 5</x:v>
      </x:c>
      <x:c r="C395" s="20" t="str">
        <x:v>Mezanino</x:v>
      </x:c>
      <x:c r="D395" s="21" t="n">
        <x:v>45901</x:v>
      </x:c>
      <x:c r="E395" s="25" t="str">
        <x:v>n/d</x:v>
      </x:c>
      <x:c r="F395" s="25" t="str">
        <x:v>n/d</x:v>
      </x:c>
      <x:c r="G395" s="25" t="str">
        <x:v>n/d</x:v>
      </x:c>
      <x:c r="H395" s="25" t="str">
        <x:v>n/d</x:v>
      </x:c>
      <x:c r="I395" s="25" t="n">
        <x:v>0</x:v>
      </x:c>
      <x:c r="J395" s="25" t="n">
        <x:v>0</x:v>
      </x:c>
      <x:c r="K395" s="20" t="str">
        <x:v>Realizado</x:v>
      </x:c>
      <x:c r="L395" s="20" t="str">
        <x:v>CVM_CRI_2025_CLASSE</x:v>
      </x:c>
      <x:c r="M395" s="20" t="str">
        <x:v>Documentado</x:v>
      </x:c>
      <x:c r="N395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396">
      <x:c r="A396" s="20" t="str">
        <x:v>CRI_K4</x:v>
      </x:c>
      <x:c r="B396" s="20" t="str">
        <x:v>Série 5</x:v>
      </x:c>
      <x:c r="C396" s="20" t="str">
        <x:v>Mezanino</x:v>
      </x:c>
      <x:c r="D396" s="21" t="n">
        <x:v>45931</x:v>
      </x:c>
      <x:c r="E396" s="25" t="str">
        <x:v>n/d</x:v>
      </x:c>
      <x:c r="F396" s="25" t="str">
        <x:v>n/d</x:v>
      </x:c>
      <x:c r="G396" s="25" t="str">
        <x:v>n/d</x:v>
      </x:c>
      <x:c r="H396" s="25" t="n">
        <x:v>30531553.01</x:v>
      </x:c>
      <x:c r="I396" s="25" t="n">
        <x:v>0</x:v>
      </x:c>
      <x:c r="J396" s="25" t="n">
        <x:v>0</x:v>
      </x:c>
      <x:c r="K396" s="20" t="str">
        <x:v>Realizado</x:v>
      </x:c>
      <x:c r="L396" s="20" t="str">
        <x:v>CVM_CRI_2025_CLASSE</x:v>
      </x:c>
      <x:c r="M396" s="20" t="str">
        <x:v>Documentado</x:v>
      </x:c>
      <x:c r="N396" s="20" t="str">
        <x:v>Saldo final: saldo agregado reconciliado, controlado por Valor_Atualizado_Emissao. Unidade sem reconciliação permanece n/d; pagamentos realizados ficam documentados.</x:v>
      </x:c>
    </x:row>
    <x:row r="397">
      <x:c r="A397" s="20" t="str">
        <x:v>CRI_K4</x:v>
      </x:c>
      <x:c r="B397" s="20" t="str">
        <x:v>Série 5</x:v>
      </x:c>
      <x:c r="C397" s="20" t="str">
        <x:v>Mezanino</x:v>
      </x:c>
      <x:c r="D397" s="21" t="n">
        <x:v>45962</x:v>
      </x:c>
      <x:c r="E397" s="25" t="n">
        <x:v>30531553.01</x:v>
      </x:c>
      <x:c r="F397" s="25" t="str">
        <x:v>n/d</x:v>
      </x:c>
      <x:c r="G397" s="25" t="str">
        <x:v>n/d</x:v>
      </x:c>
      <x:c r="H397" s="25" t="n">
        <x:v>46466638</x:v>
      </x:c>
      <x:c r="I397" s="25" t="n">
        <x:v>0</x:v>
      </x:c>
      <x:c r="J397" s="25" t="n">
        <x:v>0</x:v>
      </x:c>
      <x:c r="K397" s="20" t="str">
        <x:v>Realizado</x:v>
      </x:c>
      <x:c r="L397" s="20" t="str">
        <x:v>CVM_CRI_2025_CLASSE</x:v>
      </x:c>
      <x:c r="M397" s="20" t="str">
        <x:v>Documentado</x:v>
      </x:c>
      <x:c r="N397" s="20" t="str">
        <x:v>Saldo final: saldo agregado reconciliado, controlado por Valor_Atualizado_Emissao. Unidade sem reconciliação permanece n/d; pagamentos realizados ficam documentados.</x:v>
      </x:c>
    </x:row>
    <x:row r="398">
      <x:c r="A398" s="20" t="str">
        <x:v>CRI_K4</x:v>
      </x:c>
      <x:c r="B398" s="20" t="str">
        <x:v>Série 5</x:v>
      </x:c>
      <x:c r="C398" s="20" t="str">
        <x:v>Mezanino</x:v>
      </x:c>
      <x:c r="D398" s="21" t="n">
        <x:v>45992</x:v>
      </x:c>
      <x:c r="E398" s="25" t="n">
        <x:v>46466638</x:v>
      </x:c>
      <x:c r="F398" s="25" t="str">
        <x:v>n/d</x:v>
      </x:c>
      <x:c r="G398" s="25" t="str">
        <x:v>n/d</x:v>
      </x:c>
      <x:c r="H398" s="25" t="n">
        <x:v>47253856</x:v>
      </x:c>
      <x:c r="I398" s="25" t="n">
        <x:v>0</x:v>
      </x:c>
      <x:c r="J398" s="25" t="n">
        <x:v>0</x:v>
      </x:c>
      <x:c r="K398" s="20" t="str">
        <x:v>Realizado</x:v>
      </x:c>
      <x:c r="L398" s="20" t="str">
        <x:v>CVM_CRI_2025_CLASSE</x:v>
      </x:c>
      <x:c r="M398" s="20" t="str">
        <x:v>Documentado</x:v>
      </x:c>
      <x:c r="N398" s="20" t="str">
        <x:v>Saldo final: saldo agregado reconciliado, controlado por Valor_Atualizado_Emissao. Unidade sem reconciliação permanece n/d; pagamentos realizados ficam documentados.</x:v>
      </x:c>
    </x:row>
    <x:row r="399">
      <x:c r="A399" s="20" t="str">
        <x:v>CRI_K4</x:v>
      </x:c>
      <x:c r="B399" s="20" t="str">
        <x:v>Série 5</x:v>
      </x:c>
      <x:c r="C399" s="20" t="str">
        <x:v>Mezanino</x:v>
      </x:c>
      <x:c r="D399" s="21" t="n">
        <x:v>46023</x:v>
      </x:c>
      <x:c r="E399" s="25" t="n">
        <x:v>47253856</x:v>
      </x:c>
      <x:c r="F399" s="25" t="str">
        <x:v>n/d</x:v>
      </x:c>
      <x:c r="G399" s="25" t="str">
        <x:v>n/d</x:v>
      </x:c>
      <x:c r="H399" s="25" t="n">
        <x:v>48017730</x:v>
      </x:c>
      <x:c r="I399" s="25" t="n">
        <x:v>0</x:v>
      </x:c>
      <x:c r="J399" s="25" t="n">
        <x:v>0</x:v>
      </x:c>
      <x:c r="K399" s="20" t="str">
        <x:v>Realizado</x:v>
      </x:c>
      <x:c r="L399" s="20" t="str">
        <x:v>CVM_CRI_2026_CLASSE</x:v>
      </x:c>
      <x:c r="M399" s="20" t="str">
        <x:v>Documentado</x:v>
      </x:c>
      <x:c r="N399" s="20" t="str">
        <x:v>Saldo final: saldo agregado reconciliado, controlado por Valor_Atualizado_Emissao. Unidade sem reconciliação permanece n/d; pagamentos realizados ficam documentados.</x:v>
      </x:c>
    </x:row>
    <x:row r="400">
      <x:c r="A400" s="20" t="str">
        <x:v>CRI_K4</x:v>
      </x:c>
      <x:c r="B400" s="20" t="str">
        <x:v>Série 5</x:v>
      </x:c>
      <x:c r="C400" s="20" t="str">
        <x:v>Mezanino</x:v>
      </x:c>
      <x:c r="D400" s="21" t="n">
        <x:v>46054</x:v>
      </x:c>
      <x:c r="E400" s="25" t="n">
        <x:v>48017730</x:v>
      </x:c>
      <x:c r="F400" s="25" t="str">
        <x:v>n/d</x:v>
      </x:c>
      <x:c r="G400" s="25" t="str">
        <x:v>n/d</x:v>
      </x:c>
      <x:c r="H400" s="25" t="n">
        <x:v>48682299</x:v>
      </x:c>
      <x:c r="I400" s="25" t="n">
        <x:v>0</x:v>
      </x:c>
      <x:c r="J400" s="25" t="n">
        <x:v>0</x:v>
      </x:c>
      <x:c r="K400" s="20" t="str">
        <x:v>Realizado</x:v>
      </x:c>
      <x:c r="L400" s="20" t="str">
        <x:v>CVM_CRI_2026_CLASSE</x:v>
      </x:c>
      <x:c r="M400" s="20" t="str">
        <x:v>Documentado</x:v>
      </x:c>
      <x:c r="N400" s="20" t="str">
        <x:v>Saldo final: saldo agregado reconciliado, controlado por Valor_Atualizado_Emissao. Unidade sem reconciliação permanece n/d; pagamentos realizados ficam documentados.</x:v>
      </x:c>
    </x:row>
    <x:row r="401">
      <x:c r="A401" s="20" t="str">
        <x:v>CRI_K4</x:v>
      </x:c>
      <x:c r="B401" s="20" t="str">
        <x:v>Série 5</x:v>
      </x:c>
      <x:c r="C401" s="20" t="str">
        <x:v>Mezanino</x:v>
      </x:c>
      <x:c r="D401" s="21" t="n">
        <x:v>46082</x:v>
      </x:c>
      <x:c r="E401" s="25" t="n">
        <x:v>48682299</x:v>
      </x:c>
      <x:c r="F401" s="25" t="str">
        <x:v>n/d</x:v>
      </x:c>
      <x:c r="G401" s="25" t="str">
        <x:v>n/d</x:v>
      </x:c>
      <x:c r="H401" s="25" t="n">
        <x:v>49503630</x:v>
      </x:c>
      <x:c r="I401" s="25" t="n">
        <x:v>0</x:v>
      </x:c>
      <x:c r="J401" s="25" t="n">
        <x:v>0</x:v>
      </x:c>
      <x:c r="K401" s="20" t="str">
        <x:v>Realizado</x:v>
      </x:c>
      <x:c r="L401" s="20" t="str">
        <x:v>CVM_CRI_2026_CLASSE</x:v>
      </x:c>
      <x:c r="M401" s="20" t="str">
        <x:v>Documentado</x:v>
      </x:c>
      <x:c r="N401" s="20" t="str">
        <x:v>Saldo final: saldo agregado reconciliado, controlado por Valor_Atualizado_Emissao. Unidade sem reconciliação permanece n/d; pagamentos realizados ficam documentados.</x:v>
      </x:c>
    </x:row>
    <x:row r="402">
      <x:c r="A402" s="20" t="str">
        <x:v>CRI_K4</x:v>
      </x:c>
      <x:c r="B402" s="20" t="str">
        <x:v>Série 5</x:v>
      </x:c>
      <x:c r="C402" s="20" t="str">
        <x:v>Mezanino</x:v>
      </x:c>
      <x:c r="D402" s="21" t="n">
        <x:v>46113</x:v>
      </x:c>
      <x:c r="E402" s="25" t="n">
        <x:v>49503630</x:v>
      </x:c>
      <x:c r="F402" s="25" t="str">
        <x:v>n/d</x:v>
      </x:c>
      <x:c r="G402" s="25" t="str">
        <x:v>n/d</x:v>
      </x:c>
      <x:c r="H402" s="25" t="str">
        <x:v>n/d</x:v>
      </x:c>
      <x:c r="I402" s="25" t="n">
        <x:v>0</x:v>
      </x:c>
      <x:c r="J402" s="25" t="n">
        <x:v>0</x:v>
      </x:c>
      <x:c r="K402" s="20" t="str">
        <x:v>Realizado</x:v>
      </x:c>
      <x:c r="L402" s="20" t="str">
        <x:v>CVM_CRI_2026_CLASSE</x:v>
      </x:c>
      <x:c r="M402" s="20" t="str">
        <x:v>Documentado</x:v>
      </x:c>
      <x:c r="N402" s="20" t="str">
        <x:v>Saldo final: n/d por conflito de unidade, controlado por Valor_Atualizado_Emissao. Unidade sem reconciliação permanece n/d; pagamentos realizados ficam documentados.</x:v>
      </x:c>
    </x:row>
    <x:row r="403">
      <x:c r="A403" s="20" t="str">
        <x:v>CRI_K4</x:v>
      </x:c>
      <x:c r="B403" s="20" t="str">
        <x:v>Série 5</x:v>
      </x:c>
      <x:c r="C403" s="20" t="str">
        <x:v>Mezanino</x:v>
      </x:c>
      <x:c r="D403" s="21" t="n">
        <x:v>46143</x:v>
      </x:c>
      <x:c r="E403" s="25" t="str">
        <x:v>n/d</x:v>
      </x:c>
      <x:c r="F403" s="25" t="str">
        <x:v>n/d</x:v>
      </x:c>
      <x:c r="G403" s="25" t="str">
        <x:v>n/d</x:v>
      </x:c>
      <x:c r="H403" s="25" t="str">
        <x:v>n/d</x:v>
      </x:c>
      <x:c r="I403" s="25" t="n">
        <x:v>0</x:v>
      </x:c>
      <x:c r="J403" s="25" t="n">
        <x:v>0</x:v>
      </x:c>
      <x:c r="K403" s="20" t="str">
        <x:v>Realizado</x:v>
      </x:c>
      <x:c r="L403" s="20" t="str">
        <x:v>CVM_CRI_2026_CLASSE</x:v>
      </x:c>
      <x:c r="M403" s="20" t="str">
        <x:v>Documentado</x:v>
      </x:c>
      <x:c r="N403" s="20" t="str">
        <x:v>Saldo final: n/d por conflito de unidade, controlado por Valor_Atualizado_Emissao. Unidade sem reconciliação permanece n/d; pagamentos realizados ficam documentados.</x:v>
      </x:c>
    </x:row>
    <x:row r="404">
      <x:c r="A404" s="20" t="str">
        <x:v>CRI_K4</x:v>
      </x:c>
      <x:c r="B404" s="20" t="str">
        <x:v>Série 6</x:v>
      </x:c>
      <x:c r="C404" s="20" t="str">
        <x:v>Subordinada</x:v>
      </x:c>
      <x:c r="D404" s="21" t="n">
        <x:v>45901</x:v>
      </x:c>
      <x:c r="E404" s="25" t="str">
        <x:v>n/d</x:v>
      </x:c>
      <x:c r="F404" s="25" t="str">
        <x:v>n/d</x:v>
      </x:c>
      <x:c r="G404" s="25" t="str">
        <x:v>n/d</x:v>
      </x:c>
      <x:c r="H404" s="25" t="str">
        <x:v>n/d</x:v>
      </x:c>
      <x:c r="I404" s="25" t="n">
        <x:v>0</x:v>
      </x:c>
      <x:c r="J404" s="25" t="n">
        <x:v>0</x:v>
      </x:c>
      <x:c r="K404" s="20" t="str">
        <x:v>Realizado</x:v>
      </x:c>
      <x:c r="L404" s="20" t="str">
        <x:v>CVM_CRI_2025_CLASSE</x:v>
      </x:c>
      <x:c r="M404" s="20" t="str">
        <x:v>Documentado</x:v>
      </x:c>
      <x:c r="N404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05">
      <x:c r="A405" s="20" t="str">
        <x:v>CRI_K4</x:v>
      </x:c>
      <x:c r="B405" s="20" t="str">
        <x:v>Série 6</x:v>
      </x:c>
      <x:c r="C405" s="20" t="str">
        <x:v>Subordinada</x:v>
      </x:c>
      <x:c r="D405" s="21" t="n">
        <x:v>45931</x:v>
      </x:c>
      <x:c r="E405" s="25" t="str">
        <x:v>n/d</x:v>
      </x:c>
      <x:c r="F405" s="25" t="str">
        <x:v>n/d</x:v>
      </x:c>
      <x:c r="G405" s="25" t="str">
        <x:v>n/d</x:v>
      </x:c>
      <x:c r="H405" s="25" t="n">
        <x:v>12259268.1</x:v>
      </x:c>
      <x:c r="I405" s="25" t="n">
        <x:v>0</x:v>
      </x:c>
      <x:c r="J405" s="25" t="n">
        <x:v>0</x:v>
      </x:c>
      <x:c r="K405" s="20" t="str">
        <x:v>Realizado</x:v>
      </x:c>
      <x:c r="L405" s="20" t="str">
        <x:v>CVM_CRI_2025_CLASSE</x:v>
      </x:c>
      <x:c r="M405" s="20" t="str">
        <x:v>Documentado</x:v>
      </x:c>
      <x:c r="N405" s="20" t="str">
        <x:v>Saldo final: saldo agregado reconciliado, controlado por Valor_Atualizado_Emissao. Unidade sem reconciliação permanece n/d; pagamentos realizados ficam documentados.</x:v>
      </x:c>
    </x:row>
    <x:row r="406">
      <x:c r="A406" s="20" t="str">
        <x:v>CRI_K4</x:v>
      </x:c>
      <x:c r="B406" s="20" t="str">
        <x:v>Série 6</x:v>
      </x:c>
      <x:c r="C406" s="20" t="str">
        <x:v>Subordinada</x:v>
      </x:c>
      <x:c r="D406" s="21" t="n">
        <x:v>45962</x:v>
      </x:c>
      <x:c r="E406" s="25" t="n">
        <x:v>12259268.1</x:v>
      </x:c>
      <x:c r="F406" s="25" t="str">
        <x:v>n/d</x:v>
      </x:c>
      <x:c r="G406" s="25" t="str">
        <x:v>n/d</x:v>
      </x:c>
      <x:c r="H406" s="25" t="n">
        <x:v>18716499</x:v>
      </x:c>
      <x:c r="I406" s="25" t="n">
        <x:v>0</x:v>
      </x:c>
      <x:c r="J406" s="25" t="n">
        <x:v>0</x:v>
      </x:c>
      <x:c r="K406" s="20" t="str">
        <x:v>Realizado</x:v>
      </x:c>
      <x:c r="L406" s="20" t="str">
        <x:v>CVM_CRI_2025_CLASSE</x:v>
      </x:c>
      <x:c r="M406" s="20" t="str">
        <x:v>Documentado</x:v>
      </x:c>
      <x:c r="N406" s="20" t="str">
        <x:v>Saldo final: saldo agregado reconciliado, controlado por Valor_Atualizado_Emissao. Unidade sem reconciliação permanece n/d; pagamentos realizados ficam documentados.</x:v>
      </x:c>
    </x:row>
    <x:row r="407">
      <x:c r="A407" s="20" t="str">
        <x:v>CRI_K4</x:v>
      </x:c>
      <x:c r="B407" s="20" t="str">
        <x:v>Série 6</x:v>
      </x:c>
      <x:c r="C407" s="20" t="str">
        <x:v>Subordinada</x:v>
      </x:c>
      <x:c r="D407" s="21" t="n">
        <x:v>45992</x:v>
      </x:c>
      <x:c r="E407" s="25" t="n">
        <x:v>18716499</x:v>
      </x:c>
      <x:c r="F407" s="25" t="str">
        <x:v>n/d</x:v>
      </x:c>
      <x:c r="G407" s="25" t="str">
        <x:v>n/d</x:v>
      </x:c>
      <x:c r="H407" s="25" t="n">
        <x:v>19103119</x:v>
      </x:c>
      <x:c r="I407" s="25" t="n">
        <x:v>0</x:v>
      </x:c>
      <x:c r="J407" s="25" t="n">
        <x:v>0</x:v>
      </x:c>
      <x:c r="K407" s="20" t="str">
        <x:v>Realizado</x:v>
      </x:c>
      <x:c r="L407" s="20" t="str">
        <x:v>CVM_CRI_2025_CLASSE</x:v>
      </x:c>
      <x:c r="M407" s="20" t="str">
        <x:v>Documentado</x:v>
      </x:c>
      <x:c r="N407" s="20" t="str">
        <x:v>Saldo final: saldo agregado reconciliado, controlado por Valor_Atualizado_Emissao. Unidade sem reconciliação permanece n/d; pagamentos realizados ficam documentados.</x:v>
      </x:c>
    </x:row>
    <x:row r="408">
      <x:c r="A408" s="20" t="str">
        <x:v>CRI_K4</x:v>
      </x:c>
      <x:c r="B408" s="20" t="str">
        <x:v>Série 6</x:v>
      </x:c>
      <x:c r="C408" s="20" t="str">
        <x:v>Subordinada</x:v>
      </x:c>
      <x:c r="D408" s="21" t="n">
        <x:v>46023</x:v>
      </x:c>
      <x:c r="E408" s="25" t="n">
        <x:v>19103119</x:v>
      </x:c>
      <x:c r="F408" s="25" t="str">
        <x:v>n/d</x:v>
      </x:c>
      <x:c r="G408" s="25" t="str">
        <x:v>n/d</x:v>
      </x:c>
      <x:c r="H408" s="25" t="n">
        <x:v>19479614</x:v>
      </x:c>
      <x:c r="I408" s="25" t="n">
        <x:v>0</x:v>
      </x:c>
      <x:c r="J408" s="25" t="n">
        <x:v>0</x:v>
      </x:c>
      <x:c r="K408" s="20" t="str">
        <x:v>Realizado</x:v>
      </x:c>
      <x:c r="L408" s="20" t="str">
        <x:v>CVM_CRI_2026_CLASSE</x:v>
      </x:c>
      <x:c r="M408" s="20" t="str">
        <x:v>Documentado</x:v>
      </x:c>
      <x:c r="N408" s="20" t="str">
        <x:v>Saldo final: saldo agregado reconciliado, controlado por Valor_Atualizado_Emissao. Unidade sem reconciliação permanece n/d; pagamentos realizados ficam documentados.</x:v>
      </x:c>
    </x:row>
    <x:row r="409">
      <x:c r="A409" s="20" t="str">
        <x:v>CRI_K4</x:v>
      </x:c>
      <x:c r="B409" s="20" t="str">
        <x:v>Série 6</x:v>
      </x:c>
      <x:c r="C409" s="20" t="str">
        <x:v>Subordinada</x:v>
      </x:c>
      <x:c r="D409" s="21" t="n">
        <x:v>46054</x:v>
      </x:c>
      <x:c r="E409" s="25" t="n">
        <x:v>19479614</x:v>
      </x:c>
      <x:c r="F409" s="25" t="str">
        <x:v>n/d</x:v>
      </x:c>
      <x:c r="G409" s="25" t="str">
        <x:v>n/d</x:v>
      </x:c>
      <x:c r="H409" s="25" t="n">
        <x:v>19808224</x:v>
      </x:c>
      <x:c r="I409" s="25" t="n">
        <x:v>0</x:v>
      </x:c>
      <x:c r="J409" s="25" t="n">
        <x:v>0</x:v>
      </x:c>
      <x:c r="K409" s="20" t="str">
        <x:v>Realizado</x:v>
      </x:c>
      <x:c r="L409" s="20" t="str">
        <x:v>CVM_CRI_2026_CLASSE</x:v>
      </x:c>
      <x:c r="M409" s="20" t="str">
        <x:v>Documentado</x:v>
      </x:c>
      <x:c r="N409" s="20" t="str">
        <x:v>Saldo final: saldo agregado reconciliado, controlado por Valor_Atualizado_Emissao. Unidade sem reconciliação permanece n/d; pagamentos realizados ficam documentados.</x:v>
      </x:c>
    </x:row>
    <x:row r="410">
      <x:c r="A410" s="20" t="str">
        <x:v>CRI_K4</x:v>
      </x:c>
      <x:c r="B410" s="20" t="str">
        <x:v>Série 6</x:v>
      </x:c>
      <x:c r="C410" s="20" t="str">
        <x:v>Subordinada</x:v>
      </x:c>
      <x:c r="D410" s="21" t="n">
        <x:v>46082</x:v>
      </x:c>
      <x:c r="E410" s="25" t="n">
        <x:v>19808224</x:v>
      </x:c>
      <x:c r="F410" s="25" t="str">
        <x:v>n/d</x:v>
      </x:c>
      <x:c r="G410" s="25" t="str">
        <x:v>n/d</x:v>
      </x:c>
      <x:c r="H410" s="25" t="n">
        <x:v>20215997</x:v>
      </x:c>
      <x:c r="I410" s="25" t="n">
        <x:v>0</x:v>
      </x:c>
      <x:c r="J410" s="25" t="n">
        <x:v>0</x:v>
      </x:c>
      <x:c r="K410" s="20" t="str">
        <x:v>Realizado</x:v>
      </x:c>
      <x:c r="L410" s="20" t="str">
        <x:v>CVM_CRI_2026_CLASSE</x:v>
      </x:c>
      <x:c r="M410" s="20" t="str">
        <x:v>Documentado</x:v>
      </x:c>
      <x:c r="N410" s="20" t="str">
        <x:v>Saldo final: saldo agregado reconciliado, controlado por Valor_Atualizado_Emissao. Unidade sem reconciliação permanece n/d; pagamentos realizados ficam documentados.</x:v>
      </x:c>
    </x:row>
    <x:row r="411">
      <x:c r="A411" s="20" t="str">
        <x:v>CRI_K4</x:v>
      </x:c>
      <x:c r="B411" s="20" t="str">
        <x:v>Série 6</x:v>
      </x:c>
      <x:c r="C411" s="20" t="str">
        <x:v>Subordinada</x:v>
      </x:c>
      <x:c r="D411" s="21" t="n">
        <x:v>46113</x:v>
      </x:c>
      <x:c r="E411" s="25" t="n">
        <x:v>20215997</x:v>
      </x:c>
      <x:c r="F411" s="25" t="str">
        <x:v>n/d</x:v>
      </x:c>
      <x:c r="G411" s="25" t="str">
        <x:v>n/d</x:v>
      </x:c>
      <x:c r="H411" s="25" t="str">
        <x:v>n/d</x:v>
      </x:c>
      <x:c r="I411" s="25" t="n">
        <x:v>0</x:v>
      </x:c>
      <x:c r="J411" s="25" t="n">
        <x:v>0</x:v>
      </x:c>
      <x:c r="K411" s="20" t="str">
        <x:v>Realizado</x:v>
      </x:c>
      <x:c r="L411" s="20" t="str">
        <x:v>CVM_CRI_2026_CLASSE</x:v>
      </x:c>
      <x:c r="M411" s="20" t="str">
        <x:v>Documentado</x:v>
      </x:c>
      <x:c r="N411" s="20" t="str">
        <x:v>Saldo final: n/d por conflito de unidade, controlado por Valor_Atualizado_Emissao. Unidade sem reconciliação permanece n/d; pagamentos realizados ficam documentados.</x:v>
      </x:c>
    </x:row>
    <x:row r="412">
      <x:c r="A412" s="20" t="str">
        <x:v>CRI_K4</x:v>
      </x:c>
      <x:c r="B412" s="20" t="str">
        <x:v>Série 6</x:v>
      </x:c>
      <x:c r="C412" s="20" t="str">
        <x:v>Subordinada</x:v>
      </x:c>
      <x:c r="D412" s="21" t="n">
        <x:v>46143</x:v>
      </x:c>
      <x:c r="E412" s="25" t="str">
        <x:v>n/d</x:v>
      </x:c>
      <x:c r="F412" s="25" t="str">
        <x:v>n/d</x:v>
      </x:c>
      <x:c r="G412" s="25" t="str">
        <x:v>n/d</x:v>
      </x:c>
      <x:c r="H412" s="25" t="str">
        <x:v>n/d</x:v>
      </x:c>
      <x:c r="I412" s="25" t="n">
        <x:v>0</x:v>
      </x:c>
      <x:c r="J412" s="25" t="n">
        <x:v>0</x:v>
      </x:c>
      <x:c r="K412" s="20" t="str">
        <x:v>Realizado</x:v>
      </x:c>
      <x:c r="L412" s="20" t="str">
        <x:v>CVM_CRI_2026_CLASSE</x:v>
      </x:c>
      <x:c r="M412" s="20" t="str">
        <x:v>Documentado</x:v>
      </x:c>
      <x:c r="N412" s="20" t="str">
        <x:v>Saldo final: n/d por conflito de unidade, controlado por Valor_Atualizado_Emissao. Unidade sem reconciliação permanece n/d; pagamentos realizados ficam documentados.</x:v>
      </x:c>
    </x:row>
    <x:row r="413">
      <x:c r="A413" s="20" t="str">
        <x:v>CRI_K4</x:v>
      </x:c>
      <x:c r="B413" s="20" t="str">
        <x:v>Série 7</x:v>
      </x:c>
      <x:c r="C413" s="20" t="str">
        <x:v>Júnior/Subordinada</x:v>
      </x:c>
      <x:c r="D413" s="21" t="n">
        <x:v>45901</x:v>
      </x:c>
      <x:c r="E413" s="25" t="str">
        <x:v>n/d</x:v>
      </x:c>
      <x:c r="F413" s="25" t="str">
        <x:v>n/d</x:v>
      </x:c>
      <x:c r="G413" s="25" t="str">
        <x:v>n/d</x:v>
      </x:c>
      <x:c r="H413" s="25" t="str">
        <x:v>n/d</x:v>
      </x:c>
      <x:c r="I413" s="25" t="n">
        <x:v>0</x:v>
      </x:c>
      <x:c r="J413" s="25" t="n">
        <x:v>0</x:v>
      </x:c>
      <x:c r="K413" s="20" t="str">
        <x:v>Realizado</x:v>
      </x:c>
      <x:c r="L413" s="20" t="str">
        <x:v>CVM_CRI_2025_CLASSE</x:v>
      </x:c>
      <x:c r="M413" s="20" t="str">
        <x:v>Documentado</x:v>
      </x:c>
      <x:c r="N413" s="20" t="str">
        <x:v>Saldo final: n/d por conflito de unidade,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14">
      <x:c r="A414" s="20" t="str">
        <x:v>CRI_K4</x:v>
      </x:c>
      <x:c r="B414" s="20" t="str">
        <x:v>Série 7</x:v>
      </x:c>
      <x:c r="C414" s="20" t="str">
        <x:v>Júnior/Subordinada</x:v>
      </x:c>
      <x:c r="D414" s="21" t="n">
        <x:v>45931</x:v>
      </x:c>
      <x:c r="E414" s="25" t="str">
        <x:v>n/d</x:v>
      </x:c>
      <x:c r="F414" s="25" t="str">
        <x:v>n/d</x:v>
      </x:c>
      <x:c r="G414" s="25" t="str">
        <x:v>n/d</x:v>
      </x:c>
      <x:c r="H414" s="25" t="n">
        <x:v>9102776.27</x:v>
      </x:c>
      <x:c r="I414" s="25" t="n">
        <x:v>0</x:v>
      </x:c>
      <x:c r="J414" s="25" t="n">
        <x:v>0</x:v>
      </x:c>
      <x:c r="K414" s="20" t="str">
        <x:v>Realizado</x:v>
      </x:c>
      <x:c r="L414" s="20" t="str">
        <x:v>CVM_CRI_2025_CLASSE</x:v>
      </x:c>
      <x:c r="M414" s="20" t="str">
        <x:v>Documentado</x:v>
      </x:c>
      <x:c r="N414" s="20" t="str">
        <x:v>Saldo final: saldo agregado reconciliado, controlado por Valor_Atualizado_Emissao. Unidade sem reconciliação permanece n/d; pagamentos realizados ficam documentados.</x:v>
      </x:c>
    </x:row>
    <x:row r="415">
      <x:c r="A415" s="20" t="str">
        <x:v>CRI_K4</x:v>
      </x:c>
      <x:c r="B415" s="20" t="str">
        <x:v>Série 7</x:v>
      </x:c>
      <x:c r="C415" s="20" t="str">
        <x:v>Júnior/Subordinada</x:v>
      </x:c>
      <x:c r="D415" s="21" t="n">
        <x:v>45962</x:v>
      </x:c>
      <x:c r="E415" s="25" t="n">
        <x:v>9102776.27</x:v>
      </x:c>
      <x:c r="F415" s="25" t="str">
        <x:v>n/d</x:v>
      </x:c>
      <x:c r="G415" s="25" t="str">
        <x:v>n/d</x:v>
      </x:c>
      <x:c r="H415" s="25" t="n">
        <x:v>13782845</x:v>
      </x:c>
      <x:c r="I415" s="25" t="n">
        <x:v>0</x:v>
      </x:c>
      <x:c r="J415" s="25" t="n">
        <x:v>0</x:v>
      </x:c>
      <x:c r="K415" s="20" t="str">
        <x:v>Realizado</x:v>
      </x:c>
      <x:c r="L415" s="20" t="str">
        <x:v>CVM_CRI_2025_CLASSE</x:v>
      </x:c>
      <x:c r="M415" s="20" t="str">
        <x:v>Documentado</x:v>
      </x:c>
      <x:c r="N415" s="20" t="str">
        <x:v>Saldo final: saldo agregado reconciliado, controlado por Valor_Atualizado_Emissao. Unidade sem reconciliação permanece n/d; pagamentos realizados ficam documentados.</x:v>
      </x:c>
    </x:row>
    <x:row r="416">
      <x:c r="A416" s="20" t="str">
        <x:v>CRI_K4</x:v>
      </x:c>
      <x:c r="B416" s="20" t="str">
        <x:v>Série 7</x:v>
      </x:c>
      <x:c r="C416" s="20" t="str">
        <x:v>Júnior/Subordinada</x:v>
      </x:c>
      <x:c r="D416" s="21" t="n">
        <x:v>45992</x:v>
      </x:c>
      <x:c r="E416" s="25" t="n">
        <x:v>13782845</x:v>
      </x:c>
      <x:c r="F416" s="25" t="str">
        <x:v>n/d</x:v>
      </x:c>
      <x:c r="G416" s="25" t="str">
        <x:v>n/d</x:v>
      </x:c>
      <x:c r="H416" s="25" t="n">
        <x:v>13933358</x:v>
      </x:c>
      <x:c r="I416" s="25" t="n">
        <x:v>0</x:v>
      </x:c>
      <x:c r="J416" s="25" t="n">
        <x:v>0</x:v>
      </x:c>
      <x:c r="K416" s="20" t="str">
        <x:v>Realizado</x:v>
      </x:c>
      <x:c r="L416" s="20" t="str">
        <x:v>CVM_CRI_2025_CLASSE</x:v>
      </x:c>
      <x:c r="M416" s="20" t="str">
        <x:v>Documentado</x:v>
      </x:c>
      <x:c r="N416" s="20" t="str">
        <x:v>Saldo final: saldo agregado reconciliado, controlado por Valor_Atualizado_Emissao. Unidade sem reconciliação permanece n/d; pagamentos realizados ficam documentados.</x:v>
      </x:c>
    </x:row>
    <x:row r="417">
      <x:c r="A417" s="20" t="str">
        <x:v>CRI_K4</x:v>
      </x:c>
      <x:c r="B417" s="20" t="str">
        <x:v>Série 7</x:v>
      </x:c>
      <x:c r="C417" s="20" t="str">
        <x:v>Júnior/Subordinada</x:v>
      </x:c>
      <x:c r="D417" s="21" t="n">
        <x:v>46023</x:v>
      </x:c>
      <x:c r="E417" s="25" t="n">
        <x:v>13933358</x:v>
      </x:c>
      <x:c r="F417" s="25" t="str">
        <x:v>n/d</x:v>
      </x:c>
      <x:c r="G417" s="25" t="str">
        <x:v>n/d</x:v>
      </x:c>
      <x:c r="H417" s="25" t="n">
        <x:v>14078564</x:v>
      </x:c>
      <x:c r="I417" s="25" t="n">
        <x:v>0</x:v>
      </x:c>
      <x:c r="J417" s="25" t="n">
        <x:v>0</x:v>
      </x:c>
      <x:c r="K417" s="20" t="str">
        <x:v>Realizado</x:v>
      </x:c>
      <x:c r="L417" s="20" t="str">
        <x:v>CVM_CRI_2026_CLASSE</x:v>
      </x:c>
      <x:c r="M417" s="20" t="str">
        <x:v>Documentado</x:v>
      </x:c>
      <x:c r="N417" s="20" t="str">
        <x:v>Saldo final: saldo agregado reconciliado, controlado por Valor_Atualizado_Emissao. Unidade sem reconciliação permanece n/d; pagamentos realizados ficam documentados.</x:v>
      </x:c>
    </x:row>
    <x:row r="418">
      <x:c r="A418" s="20" t="str">
        <x:v>CRI_K4</x:v>
      </x:c>
      <x:c r="B418" s="20" t="str">
        <x:v>Série 7</x:v>
      </x:c>
      <x:c r="C418" s="20" t="str">
        <x:v>Júnior/Subordinada</x:v>
      </x:c>
      <x:c r="D418" s="21" t="n">
        <x:v>46054</x:v>
      </x:c>
      <x:c r="E418" s="25" t="n">
        <x:v>14078564</x:v>
      </x:c>
      <x:c r="F418" s="25" t="str">
        <x:v>n/d</x:v>
      </x:c>
      <x:c r="G418" s="25" t="str">
        <x:v>n/d</x:v>
      </x:c>
      <x:c r="H418" s="25" t="n">
        <x:v>14204229</x:v>
      </x:c>
      <x:c r="I418" s="25" t="n">
        <x:v>0</x:v>
      </x:c>
      <x:c r="J418" s="25" t="n">
        <x:v>0</x:v>
      </x:c>
      <x:c r="K418" s="20" t="str">
        <x:v>Realizado</x:v>
      </x:c>
      <x:c r="L418" s="20" t="str">
        <x:v>CVM_CRI_2026_CLASSE</x:v>
      </x:c>
      <x:c r="M418" s="20" t="str">
        <x:v>Documentado</x:v>
      </x:c>
      <x:c r="N418" s="20" t="str">
        <x:v>Saldo final: saldo agregado reconciliado, controlado por Valor_Atualizado_Emissao. Unidade sem reconciliação permanece n/d; pagamentos realizados ficam documentados.</x:v>
      </x:c>
    </x:row>
    <x:row r="419">
      <x:c r="A419" s="20" t="str">
        <x:v>CRI_K4</x:v>
      </x:c>
      <x:c r="B419" s="20" t="str">
        <x:v>Série 7</x:v>
      </x:c>
      <x:c r="C419" s="20" t="str">
        <x:v>Júnior/Subordinada</x:v>
      </x:c>
      <x:c r="D419" s="21" t="n">
        <x:v>46082</x:v>
      </x:c>
      <x:c r="E419" s="25" t="n">
        <x:v>14204229</x:v>
      </x:c>
      <x:c r="F419" s="25" t="str">
        <x:v>n/d</x:v>
      </x:c>
      <x:c r="G419" s="25" t="str">
        <x:v>n/d</x:v>
      </x:c>
      <x:c r="H419" s="25" t="n">
        <x:v>14359345</x:v>
      </x:c>
      <x:c r="I419" s="25" t="n">
        <x:v>0</x:v>
      </x:c>
      <x:c r="J419" s="25" t="n">
        <x:v>0</x:v>
      </x:c>
      <x:c r="K419" s="20" t="str">
        <x:v>Realizado</x:v>
      </x:c>
      <x:c r="L419" s="20" t="str">
        <x:v>CVM_CRI_2026_CLASSE</x:v>
      </x:c>
      <x:c r="M419" s="20" t="str">
        <x:v>Documentado</x:v>
      </x:c>
      <x:c r="N419" s="20" t="str">
        <x:v>Saldo final: saldo agregado reconciliado, controlado por Valor_Atualizado_Emissao. Unidade sem reconciliação permanece n/d; pagamentos realizados ficam documentados.</x:v>
      </x:c>
    </x:row>
    <x:row r="420">
      <x:c r="A420" s="20" t="str">
        <x:v>CRI_K4</x:v>
      </x:c>
      <x:c r="B420" s="20" t="str">
        <x:v>Série 7</x:v>
      </x:c>
      <x:c r="C420" s="20" t="str">
        <x:v>Júnior/Subordinada</x:v>
      </x:c>
      <x:c r="D420" s="21" t="n">
        <x:v>46113</x:v>
      </x:c>
      <x:c r="E420" s="25" t="n">
        <x:v>14359345</x:v>
      </x:c>
      <x:c r="F420" s="25" t="str">
        <x:v>n/d</x:v>
      </x:c>
      <x:c r="G420" s="25" t="str">
        <x:v>n/d</x:v>
      </x:c>
      <x:c r="H420" s="25" t="str">
        <x:v>n/d</x:v>
      </x:c>
      <x:c r="I420" s="25" t="n">
        <x:v>0</x:v>
      </x:c>
      <x:c r="J420" s="25" t="n">
        <x:v>0</x:v>
      </x:c>
      <x:c r="K420" s="20" t="str">
        <x:v>Realizado</x:v>
      </x:c>
      <x:c r="L420" s="20" t="str">
        <x:v>CVM_CRI_2026_CLASSE</x:v>
      </x:c>
      <x:c r="M420" s="20" t="str">
        <x:v>Documentado</x:v>
      </x:c>
      <x:c r="N420" s="20" t="str">
        <x:v>Saldo final: n/d por conflito de unidade, controlado por Valor_Atualizado_Emissao. Unidade sem reconciliação permanece n/d; pagamentos realizados ficam documentados.</x:v>
      </x:c>
    </x:row>
    <x:row r="421">
      <x:c r="A421" s="20" t="str">
        <x:v>CRI_K4</x:v>
      </x:c>
      <x:c r="B421" s="20" t="str">
        <x:v>Série 7</x:v>
      </x:c>
      <x:c r="C421" s="20" t="str">
        <x:v>Júnior/Subordinada</x:v>
      </x:c>
      <x:c r="D421" s="21" t="n">
        <x:v>46143</x:v>
      </x:c>
      <x:c r="E421" s="25" t="str">
        <x:v>n/d</x:v>
      </x:c>
      <x:c r="F421" s="25" t="str">
        <x:v>n/d</x:v>
      </x:c>
      <x:c r="G421" s="25" t="str">
        <x:v>n/d</x:v>
      </x:c>
      <x:c r="H421" s="25" t="str">
        <x:v>n/d</x:v>
      </x:c>
      <x:c r="I421" s="25" t="n">
        <x:v>0</x:v>
      </x:c>
      <x:c r="J421" s="25" t="n">
        <x:v>0</x:v>
      </x:c>
      <x:c r="K421" s="20" t="str">
        <x:v>Realizado</x:v>
      </x:c>
      <x:c r="L421" s="20" t="str">
        <x:v>CVM_CRI_2026_CLASSE</x:v>
      </x:c>
      <x:c r="M421" s="20" t="str">
        <x:v>Documentado</x:v>
      </x:c>
      <x:c r="N421" s="20" t="str">
        <x:v>Saldo final: n/d por conflito de unidade, controlado por Valor_Atualizado_Emissao. Unidade sem reconciliação permanece n/d; pagamentos realizados ficam documentados.</x:v>
      </x:c>
    </x:row>
    <x:row r="422">
      <x:c r="A422" s="20" t="str">
        <x:v>CRI_K4</x:v>
      </x:c>
      <x:c r="B422" s="20" t="str">
        <x:v>Série 1</x:v>
      </x:c>
      <x:c r="C422" s="20" t="str">
        <x:v>Super Sênior A</x:v>
      </x:c>
      <x:c r="D422" s="21" t="n">
        <x:v>47746</x:v>
      </x:c>
      <x:c r="E422" s="25" t="str">
        <x:v>n/d</x:v>
      </x:c>
      <x:c r="F422" s="25" t="str">
        <x:v>n/d</x:v>
      </x:c>
      <x:c r="G422" s="25" t="str">
        <x:v>n/d</x:v>
      </x:c>
      <x:c r="H422" s="25" t="str">
        <x:v>n/d</x:v>
      </x:c>
      <x:c r="I422" s="25" t="str">
        <x:v>n/d</x:v>
      </x:c>
      <x:c r="J422" s="25" t="str">
        <x:v>n/d</x:v>
      </x:c>
      <x:c r="K422" s="20" t="str">
        <x:v>Projetado</x:v>
      </x:c>
      <x:c r="L422" s="20" t="str">
        <x:v>ANX_CRI4_INICIO_20250929</x:v>
      </x:c>
      <x:c r="M422" s="20" t="str">
        <x:v>n/d</x:v>
      </x:c>
      <x:c r="N422" s="20" t="str">
        <x:v>Curva contratual mensal completa não localizada; a data de vencimento não foi transformada em projeção bullet.</x:v>
      </x:c>
    </x:row>
    <x:row r="423">
      <x:c r="A423" s="20" t="str">
        <x:v>CRI_K4</x:v>
      </x:c>
      <x:c r="B423" s="20" t="str">
        <x:v>Série 2</x:v>
      </x:c>
      <x:c r="C423" s="20" t="str">
        <x:v>Super Sênior B</x:v>
      </x:c>
      <x:c r="D423" s="21" t="n">
        <x:v>47746</x:v>
      </x:c>
      <x:c r="E423" s="25" t="str">
        <x:v>n/d</x:v>
      </x:c>
      <x:c r="F423" s="25" t="str">
        <x:v>n/d</x:v>
      </x:c>
      <x:c r="G423" s="25" t="str">
        <x:v>n/d</x:v>
      </x:c>
      <x:c r="H423" s="25" t="str">
        <x:v>n/d</x:v>
      </x:c>
      <x:c r="I423" s="25" t="str">
        <x:v>n/d</x:v>
      </x:c>
      <x:c r="J423" s="25" t="str">
        <x:v>n/d</x:v>
      </x:c>
      <x:c r="K423" s="20" t="str">
        <x:v>Projetado</x:v>
      </x:c>
      <x:c r="L423" s="20" t="str">
        <x:v>ANX_CRI4_INICIO_20250929</x:v>
      </x:c>
      <x:c r="M423" s="20" t="str">
        <x:v>n/d</x:v>
      </x:c>
      <x:c r="N423" s="20" t="str">
        <x:v>Curva contratual mensal completa não localizada; a data de vencimento não foi transformada em projeção bullet.</x:v>
      </x:c>
    </x:row>
    <x:row r="424">
      <x:c r="A424" s="20" t="str">
        <x:v>CRI_K4</x:v>
      </x:c>
      <x:c r="B424" s="20" t="str">
        <x:v>Série 3</x:v>
      </x:c>
      <x:c r="C424" s="20" t="str">
        <x:v>Sênior A</x:v>
      </x:c>
      <x:c r="D424" s="21" t="n">
        <x:v>48844</x:v>
      </x:c>
      <x:c r="E424" s="25" t="str">
        <x:v>n/d</x:v>
      </x:c>
      <x:c r="F424" s="25" t="str">
        <x:v>n/d</x:v>
      </x:c>
      <x:c r="G424" s="25" t="str">
        <x:v>n/d</x:v>
      </x:c>
      <x:c r="H424" s="25" t="str">
        <x:v>n/d</x:v>
      </x:c>
      <x:c r="I424" s="25" t="str">
        <x:v>n/d</x:v>
      </x:c>
      <x:c r="J424" s="25" t="str">
        <x:v>n/d</x:v>
      </x:c>
      <x:c r="K424" s="20" t="str">
        <x:v>Projetado</x:v>
      </x:c>
      <x:c r="L424" s="20" t="str">
        <x:v>ANX_CRI4_INICIO_20250929</x:v>
      </x:c>
      <x:c r="M424" s="20" t="str">
        <x:v>n/d</x:v>
      </x:c>
      <x:c r="N424" s="20" t="str">
        <x:v>Curva contratual mensal completa não localizada; a data de vencimento não foi transformada em projeção bullet.</x:v>
      </x:c>
    </x:row>
    <x:row r="425">
      <x:c r="A425" s="20" t="str">
        <x:v>CRI_K4</x:v>
      </x:c>
      <x:c r="B425" s="20" t="str">
        <x:v>Série 4</x:v>
      </x:c>
      <x:c r="C425" s="20" t="str">
        <x:v>Sênior B</x:v>
      </x:c>
      <x:c r="D425" s="21" t="n">
        <x:v>48844</x:v>
      </x:c>
      <x:c r="E425" s="25" t="str">
        <x:v>n/d</x:v>
      </x:c>
      <x:c r="F425" s="25" t="str">
        <x:v>n/d</x:v>
      </x:c>
      <x:c r="G425" s="25" t="str">
        <x:v>n/d</x:v>
      </x:c>
      <x:c r="H425" s="25" t="str">
        <x:v>n/d</x:v>
      </x:c>
      <x:c r="I425" s="25" t="str">
        <x:v>n/d</x:v>
      </x:c>
      <x:c r="J425" s="25" t="str">
        <x:v>n/d</x:v>
      </x:c>
      <x:c r="K425" s="20" t="str">
        <x:v>Projetado</x:v>
      </x:c>
      <x:c r="L425" s="20" t="str">
        <x:v>ANX_CRI4_INICIO_20250929</x:v>
      </x:c>
      <x:c r="M425" s="20" t="str">
        <x:v>n/d</x:v>
      </x:c>
      <x:c r="N425" s="20" t="str">
        <x:v>Curva contratual mensal completa não localizada; a data de vencimento não foi transformada em projeção bullet.</x:v>
      </x:c>
    </x:row>
    <x:row r="426">
      <x:c r="A426" s="20" t="str">
        <x:v>CRI_K4</x:v>
      </x:c>
      <x:c r="B426" s="20" t="str">
        <x:v>Série 5</x:v>
      </x:c>
      <x:c r="C426" s="20" t="str">
        <x:v>Mezanino</x:v>
      </x:c>
      <x:c r="D426" s="21" t="n">
        <x:v>49576</x:v>
      </x:c>
      <x:c r="E426" s="25" t="str">
        <x:v>n/d</x:v>
      </x:c>
      <x:c r="F426" s="25" t="str">
        <x:v>n/d</x:v>
      </x:c>
      <x:c r="G426" s="25" t="str">
        <x:v>n/d</x:v>
      </x:c>
      <x:c r="H426" s="25" t="str">
        <x:v>n/d</x:v>
      </x:c>
      <x:c r="I426" s="25" t="str">
        <x:v>n/d</x:v>
      </x:c>
      <x:c r="J426" s="25" t="str">
        <x:v>n/d</x:v>
      </x:c>
      <x:c r="K426" s="20" t="str">
        <x:v>Projetado</x:v>
      </x:c>
      <x:c r="L426" s="20" t="str">
        <x:v>ANX_CRI4_INICIO_20250929</x:v>
      </x:c>
      <x:c r="M426" s="20" t="str">
        <x:v>n/d</x:v>
      </x:c>
      <x:c r="N426" s="20" t="str">
        <x:v>Curva contratual mensal completa não localizada; a data de vencimento não foi transformada em projeção bullet.</x:v>
      </x:c>
    </x:row>
    <x:row r="427">
      <x:c r="A427" s="20" t="str">
        <x:v>CRI_K4</x:v>
      </x:c>
      <x:c r="B427" s="20" t="str">
        <x:v>Série 6</x:v>
      </x:c>
      <x:c r="C427" s="20" t="str">
        <x:v>Subordinada</x:v>
      </x:c>
      <x:c r="D427" s="21" t="n">
        <x:v>49576</x:v>
      </x:c>
      <x:c r="E427" s="25" t="str">
        <x:v>n/d</x:v>
      </x:c>
      <x:c r="F427" s="25" t="str">
        <x:v>n/d</x:v>
      </x:c>
      <x:c r="G427" s="25" t="str">
        <x:v>n/d</x:v>
      </x:c>
      <x:c r="H427" s="25" t="str">
        <x:v>n/d</x:v>
      </x:c>
      <x:c r="I427" s="25" t="str">
        <x:v>n/d</x:v>
      </x:c>
      <x:c r="J427" s="25" t="str">
        <x:v>n/d</x:v>
      </x:c>
      <x:c r="K427" s="20" t="str">
        <x:v>Projetado</x:v>
      </x:c>
      <x:c r="L427" s="20" t="str">
        <x:v>ANX_CRI4_INICIO_20250929</x:v>
      </x:c>
      <x:c r="M427" s="20" t="str">
        <x:v>n/d</x:v>
      </x:c>
      <x:c r="N427" s="20" t="str">
        <x:v>Curva contratual mensal completa não localizada; a data de vencimento não foi transformada em projeção bullet.</x:v>
      </x:c>
    </x:row>
    <x:row r="428">
      <x:c r="A428" s="20" t="str">
        <x:v>CRI_K4</x:v>
      </x:c>
      <x:c r="B428" s="20" t="str">
        <x:v>Série 7</x:v>
      </x:c>
      <x:c r="C428" s="20" t="str">
        <x:v>Júnior/Subordinada</x:v>
      </x:c>
      <x:c r="D428" s="21" t="n">
        <x:v>50305</x:v>
      </x:c>
      <x:c r="E428" s="25" t="str">
        <x:v>n/d</x:v>
      </x:c>
      <x:c r="F428" s="25" t="str">
        <x:v>n/d</x:v>
      </x:c>
      <x:c r="G428" s="25" t="str">
        <x:v>n/d</x:v>
      </x:c>
      <x:c r="H428" s="25" t="str">
        <x:v>n/d</x:v>
      </x:c>
      <x:c r="I428" s="25" t="str">
        <x:v>n/d</x:v>
      </x:c>
      <x:c r="J428" s="25" t="str">
        <x:v>n/d</x:v>
      </x:c>
      <x:c r="K428" s="20" t="str">
        <x:v>Projetado</x:v>
      </x:c>
      <x:c r="L428" s="20" t="str">
        <x:v>ANX_CRI4_INICIO_20250929</x:v>
      </x:c>
      <x:c r="M428" s="20" t="str">
        <x:v>n/d</x:v>
      </x:c>
      <x:c r="N428" s="20" t="str">
        <x:v>Curva contratual mensal completa não localizada; a data de vencimento não foi transformada em projeção bullet.</x:v>
      </x:c>
    </x:row>
    <x:row r="429">
      <x:c r="A429" s="20" t="str">
        <x:v>CRI_V174</x:v>
      </x:c>
      <x:c r="B429" s="20" t="str">
        <x:v>Série 1</x:v>
      </x:c>
      <x:c r="C429" s="20" t="str">
        <x:v>Super Sênior A</x:v>
      </x:c>
      <x:c r="D429" s="21" t="n">
        <x:v>46143</x:v>
      </x:c>
      <x:c r="E429" s="25" t="str">
        <x:v>n/d</x:v>
      </x:c>
      <x:c r="F429" s="25" t="str">
        <x:v>n/d</x:v>
      </x:c>
      <x:c r="G429" s="25" t="str">
        <x:v>n/d</x:v>
      </x:c>
      <x:c r="H429" s="25" t="str">
        <x:v>n/d</x:v>
      </x:c>
      <x:c r="I429" s="25" t="n">
        <x:v>0</x:v>
      </x:c>
      <x:c r="J429" s="25" t="n">
        <x:v>0</x:v>
      </x:c>
      <x:c r="K429" s="20" t="str">
        <x:v>Realizado</x:v>
      </x:c>
      <x:c r="L429" s="20" t="str">
        <x:v>CVM_CRI_2026_CLASSE</x:v>
      </x:c>
      <x:c r="M429" s="20" t="str">
        <x:v>Documentado</x:v>
      </x:c>
      <x:c r="N429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30">
      <x:c r="A430" s="20" t="str">
        <x:v>CRI_V174</x:v>
      </x:c>
      <x:c r="B430" s="20" t="str">
        <x:v>Série 1</x:v>
      </x:c>
      <x:c r="C430" s="20" t="str">
        <x:v>Super Sênior A</x:v>
      </x:c>
      <x:c r="D430" s="21" t="n">
        <x:v>46174</x:v>
      </x:c>
      <x:c r="E430" s="25" t="str">
        <x:v>n/d</x:v>
      </x:c>
      <x:c r="F430" s="25" t="str">
        <x:v>n/d</x:v>
      </x:c>
      <x:c r="G430" s="25" t="str">
        <x:v>n/d</x:v>
      </x:c>
      <x:c r="H430" s="25" t="str">
        <x:v>n/d</x:v>
      </x:c>
      <x:c r="I430" s="25" t="n">
        <x:v>0</x:v>
      </x:c>
      <x:c r="J430" s="25" t="n">
        <x:v>0</x:v>
      </x:c>
      <x:c r="K430" s="20" t="str">
        <x:v>Realizado</x:v>
      </x:c>
      <x:c r="L430" s="20" t="str">
        <x:v>CVM_CRI_2026_CLASSE</x:v>
      </x:c>
      <x:c r="M430" s="20" t="str">
        <x:v>Documentado</x:v>
      </x:c>
      <x:c r="N430" s="20" t="str">
        <x:v>Saldo final: n/d, controlado por Valor_Atualizado_Emissao. Unidade sem reconciliação permanece n/d; pagamentos realizados ficam documentados.</x:v>
      </x:c>
    </x:row>
    <x:row r="431">
      <x:c r="A431" s="20" t="str">
        <x:v>CRI_V174</x:v>
      </x:c>
      <x:c r="B431" s="20" t="str">
        <x:v>Série 2</x:v>
      </x:c>
      <x:c r="C431" s="20" t="str">
        <x:v>Super Sênior B</x:v>
      </x:c>
      <x:c r="D431" s="21" t="n">
        <x:v>46143</x:v>
      </x:c>
      <x:c r="E431" s="25" t="str">
        <x:v>n/d</x:v>
      </x:c>
      <x:c r="F431" s="25" t="str">
        <x:v>n/d</x:v>
      </x:c>
      <x:c r="G431" s="25" t="str">
        <x:v>n/d</x:v>
      </x:c>
      <x:c r="H431" s="25" t="str">
        <x:v>n/d</x:v>
      </x:c>
      <x:c r="I431" s="25" t="n">
        <x:v>0</x:v>
      </x:c>
      <x:c r="J431" s="25" t="n">
        <x:v>0</x:v>
      </x:c>
      <x:c r="K431" s="20" t="str">
        <x:v>Realizado</x:v>
      </x:c>
      <x:c r="L431" s="20" t="str">
        <x:v>CVM_CRI_2026_CLASSE</x:v>
      </x:c>
      <x:c r="M431" s="20" t="str">
        <x:v>Documentado</x:v>
      </x:c>
      <x:c r="N431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32">
      <x:c r="A432" s="20" t="str">
        <x:v>CRI_V174</x:v>
      </x:c>
      <x:c r="B432" s="20" t="str">
        <x:v>Série 2</x:v>
      </x:c>
      <x:c r="C432" s="20" t="str">
        <x:v>Super Sênior B</x:v>
      </x:c>
      <x:c r="D432" s="21" t="n">
        <x:v>46174</x:v>
      </x:c>
      <x:c r="E432" s="25" t="str">
        <x:v>n/d</x:v>
      </x:c>
      <x:c r="F432" s="25" t="str">
        <x:v>n/d</x:v>
      </x:c>
      <x:c r="G432" s="25" t="str">
        <x:v>n/d</x:v>
      </x:c>
      <x:c r="H432" s="25" t="str">
        <x:v>n/d</x:v>
      </x:c>
      <x:c r="I432" s="25" t="n">
        <x:v>0</x:v>
      </x:c>
      <x:c r="J432" s="25" t="n">
        <x:v>0</x:v>
      </x:c>
      <x:c r="K432" s="20" t="str">
        <x:v>Realizado</x:v>
      </x:c>
      <x:c r="L432" s="20" t="str">
        <x:v>CVM_CRI_2026_CLASSE</x:v>
      </x:c>
      <x:c r="M432" s="20" t="str">
        <x:v>Documentado</x:v>
      </x:c>
      <x:c r="N432" s="20" t="str">
        <x:v>Saldo final: n/d, controlado por Valor_Atualizado_Emissao. Unidade sem reconciliação permanece n/d; pagamentos realizados ficam documentados.</x:v>
      </x:c>
    </x:row>
    <x:row r="433">
      <x:c r="A433" s="20" t="str">
        <x:v>CRI_V174</x:v>
      </x:c>
      <x:c r="B433" s="20" t="str">
        <x:v>Série 3</x:v>
      </x:c>
      <x:c r="C433" s="20" t="str">
        <x:v>Sênior</x:v>
      </x:c>
      <x:c r="D433" s="21" t="n">
        <x:v>46143</x:v>
      </x:c>
      <x:c r="E433" s="25" t="str">
        <x:v>n/d</x:v>
      </x:c>
      <x:c r="F433" s="25" t="str">
        <x:v>n/d</x:v>
      </x:c>
      <x:c r="G433" s="25" t="str">
        <x:v>n/d</x:v>
      </x:c>
      <x:c r="H433" s="25" t="str">
        <x:v>n/d</x:v>
      </x:c>
      <x:c r="I433" s="25" t="n">
        <x:v>0</x:v>
      </x:c>
      <x:c r="J433" s="25" t="n">
        <x:v>0</x:v>
      </x:c>
      <x:c r="K433" s="20" t="str">
        <x:v>Realizado</x:v>
      </x:c>
      <x:c r="L433" s="20" t="str">
        <x:v>CVM_CRI_2026_CLASSE</x:v>
      </x:c>
      <x:c r="M433" s="20" t="str">
        <x:v>Documentado</x:v>
      </x:c>
      <x:c r="N433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34">
      <x:c r="A434" s="20" t="str">
        <x:v>CRI_V174</x:v>
      </x:c>
      <x:c r="B434" s="20" t="str">
        <x:v>Série 3</x:v>
      </x:c>
      <x:c r="C434" s="20" t="str">
        <x:v>Sênior</x:v>
      </x:c>
      <x:c r="D434" s="21" t="n">
        <x:v>46174</x:v>
      </x:c>
      <x:c r="E434" s="25" t="str">
        <x:v>n/d</x:v>
      </x:c>
      <x:c r="F434" s="25" t="str">
        <x:v>n/d</x:v>
      </x:c>
      <x:c r="G434" s="25" t="str">
        <x:v>n/d</x:v>
      </x:c>
      <x:c r="H434" s="25" t="str">
        <x:v>n/d</x:v>
      </x:c>
      <x:c r="I434" s="25" t="n">
        <x:v>0</x:v>
      </x:c>
      <x:c r="J434" s="25" t="n">
        <x:v>0</x:v>
      </x:c>
      <x:c r="K434" s="20" t="str">
        <x:v>Realizado</x:v>
      </x:c>
      <x:c r="L434" s="20" t="str">
        <x:v>CVM_CRI_2026_CLASSE</x:v>
      </x:c>
      <x:c r="M434" s="20" t="str">
        <x:v>Documentado</x:v>
      </x:c>
      <x:c r="N434" s="20" t="str">
        <x:v>Saldo final: n/d, controlado por Valor_Atualizado_Emissao. Unidade sem reconciliação permanece n/d; pagamentos realizados ficam documentados.</x:v>
      </x:c>
    </x:row>
    <x:row r="435">
      <x:c r="A435" s="20" t="str">
        <x:v>CRI_V174</x:v>
      </x:c>
      <x:c r="B435" s="20" t="str">
        <x:v>Série 4</x:v>
      </x:c>
      <x:c r="C435" s="20" t="str">
        <x:v>Mezanino</x:v>
      </x:c>
      <x:c r="D435" s="21" t="n">
        <x:v>46143</x:v>
      </x:c>
      <x:c r="E435" s="25" t="str">
        <x:v>n/d</x:v>
      </x:c>
      <x:c r="F435" s="25" t="str">
        <x:v>n/d</x:v>
      </x:c>
      <x:c r="G435" s="25" t="str">
        <x:v>n/d</x:v>
      </x:c>
      <x:c r="H435" s="25" t="str">
        <x:v>n/d</x:v>
      </x:c>
      <x:c r="I435" s="25" t="n">
        <x:v>0</x:v>
      </x:c>
      <x:c r="J435" s="25" t="n">
        <x:v>0</x:v>
      </x:c>
      <x:c r="K435" s="20" t="str">
        <x:v>Realizado</x:v>
      </x:c>
      <x:c r="L435" s="20" t="str">
        <x:v>CVM_CRI_2026_CLASSE</x:v>
      </x:c>
      <x:c r="M435" s="20" t="str">
        <x:v>Documentado</x:v>
      </x:c>
      <x:c r="N435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36">
      <x:c r="A436" s="20" t="str">
        <x:v>CRI_V174</x:v>
      </x:c>
      <x:c r="B436" s="20" t="str">
        <x:v>Série 4</x:v>
      </x:c>
      <x:c r="C436" s="20" t="str">
        <x:v>Mezanino</x:v>
      </x:c>
      <x:c r="D436" s="21" t="n">
        <x:v>46174</x:v>
      </x:c>
      <x:c r="E436" s="25" t="str">
        <x:v>n/d</x:v>
      </x:c>
      <x:c r="F436" s="25" t="str">
        <x:v>n/d</x:v>
      </x:c>
      <x:c r="G436" s="25" t="str">
        <x:v>n/d</x:v>
      </x:c>
      <x:c r="H436" s="25" t="str">
        <x:v>n/d</x:v>
      </x:c>
      <x:c r="I436" s="25" t="n">
        <x:v>0</x:v>
      </x:c>
      <x:c r="J436" s="25" t="n">
        <x:v>0</x:v>
      </x:c>
      <x:c r="K436" s="20" t="str">
        <x:v>Realizado</x:v>
      </x:c>
      <x:c r="L436" s="20" t="str">
        <x:v>CVM_CRI_2026_CLASSE</x:v>
      </x:c>
      <x:c r="M436" s="20" t="str">
        <x:v>Documentado</x:v>
      </x:c>
      <x:c r="N436" s="20" t="str">
        <x:v>Saldo final: n/d, controlado por Valor_Atualizado_Emissao. Unidade sem reconciliação permanece n/d; pagamentos realizados ficam documentados.</x:v>
      </x:c>
    </x:row>
    <x:row r="437">
      <x:c r="A437" s="20" t="str">
        <x:v>CRI_V174</x:v>
      </x:c>
      <x:c r="B437" s="20" t="str">
        <x:v>Série 5</x:v>
      </x:c>
      <x:c r="C437" s="20" t="str">
        <x:v>Subordinada</x:v>
      </x:c>
      <x:c r="D437" s="21" t="n">
        <x:v>46143</x:v>
      </x:c>
      <x:c r="E437" s="25" t="str">
        <x:v>n/d</x:v>
      </x:c>
      <x:c r="F437" s="25" t="str">
        <x:v>n/d</x:v>
      </x:c>
      <x:c r="G437" s="25" t="str">
        <x:v>n/d</x:v>
      </x:c>
      <x:c r="H437" s="25" t="str">
        <x:v>n/d</x:v>
      </x:c>
      <x:c r="I437" s="25" t="str">
        <x:v>n/d</x:v>
      </x:c>
      <x:c r="J437" s="25" t="str">
        <x:v>n/d</x:v>
      </x:c>
      <x:c r="K437" s="20" t="str">
        <x:v>Realizado</x:v>
      </x:c>
      <x:c r="L437" s="20" t="str">
        <x:v>CVM_CRI_2026_CLASSE</x:v>
      </x:c>
      <x:c r="M437" s="20" t="str">
        <x:v>Documentado</x:v>
      </x:c>
      <x:c r="N437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38">
      <x:c r="A438" s="20" t="str">
        <x:v>CRI_V174</x:v>
      </x:c>
      <x:c r="B438" s="20" t="str">
        <x:v>Série 5</x:v>
      </x:c>
      <x:c r="C438" s="20" t="str">
        <x:v>Subordinada</x:v>
      </x:c>
      <x:c r="D438" s="21" t="n">
        <x:v>46174</x:v>
      </x:c>
      <x:c r="E438" s="25" t="str">
        <x:v>n/d</x:v>
      </x:c>
      <x:c r="F438" s="25" t="str">
        <x:v>n/d</x:v>
      </x:c>
      <x:c r="G438" s="25" t="str">
        <x:v>n/d</x:v>
      </x:c>
      <x:c r="H438" s="25" t="str">
        <x:v>n/d</x:v>
      </x:c>
      <x:c r="I438" s="25" t="str">
        <x:v>n/d</x:v>
      </x:c>
      <x:c r="J438" s="25" t="str">
        <x:v>n/d</x:v>
      </x:c>
      <x:c r="K438" s="20" t="str">
        <x:v>Realizado</x:v>
      </x:c>
      <x:c r="L438" s="20" t="str">
        <x:v>CVM_CRI_2026_CLASSE</x:v>
      </x:c>
      <x:c r="M438" s="20" t="str">
        <x:v>Documentado</x:v>
      </x:c>
      <x:c r="N438" s="20" t="str">
        <x:v>Saldo final: n/d, controlado por Valor_Atualizado_Emissao. Unidade sem reconciliação permanece n/d; pagamentos realizados ficam documentados.</x:v>
      </x:c>
    </x:row>
    <x:row r="439">
      <x:c r="A439" s="20" t="str">
        <x:v>CRI_V174</x:v>
      </x:c>
      <x:c r="B439" s="20" t="str">
        <x:v>Série 6</x:v>
      </x:c>
      <x:c r="C439" s="20" t="str">
        <x:v>Júnior/Subordinada</x:v>
      </x:c>
      <x:c r="D439" s="21" t="n">
        <x:v>46143</x:v>
      </x:c>
      <x:c r="E439" s="25" t="str">
        <x:v>n/d</x:v>
      </x:c>
      <x:c r="F439" s="25" t="str">
        <x:v>n/d</x:v>
      </x:c>
      <x:c r="G439" s="25" t="str">
        <x:v>n/d</x:v>
      </x:c>
      <x:c r="H439" s="25" t="str">
        <x:v>n/d</x:v>
      </x:c>
      <x:c r="I439" s="25" t="n">
        <x:v>0</x:v>
      </x:c>
      <x:c r="J439" s="25" t="n">
        <x:v>0</x:v>
      </x:c>
      <x:c r="K439" s="20" t="str">
        <x:v>Realizado</x:v>
      </x:c>
      <x:c r="L439" s="20" t="str">
        <x:v>CVM_CRI_2026_CLASSE</x:v>
      </x:c>
      <x:c r="M439" s="20" t="str">
        <x:v>Documentado</x:v>
      </x:c>
      <x:c r="N439" s="20" t="str">
        <x:v>Saldo final: n/d, controlado por Valor_Atualizado_Emissao. Unidade sem reconciliação permanece n/d; pagamentos realizados ficam documentados. Saldo inicial da primeira competência permanece n/d; Total_Integralizado não foi usado como saldo corrente.</x:v>
      </x:c>
    </x:row>
    <x:row r="440">
      <x:c r="A440" s="20" t="str">
        <x:v>CRI_V174</x:v>
      </x:c>
      <x:c r="B440" s="20" t="str">
        <x:v>Série 6</x:v>
      </x:c>
      <x:c r="C440" s="20" t="str">
        <x:v>Júnior/Subordinada</x:v>
      </x:c>
      <x:c r="D440" s="21" t="n">
        <x:v>46174</x:v>
      </x:c>
      <x:c r="E440" s="25" t="str">
        <x:v>n/d</x:v>
      </x:c>
      <x:c r="F440" s="25" t="str">
        <x:v>n/d</x:v>
      </x:c>
      <x:c r="G440" s="25" t="str">
        <x:v>n/d</x:v>
      </x:c>
      <x:c r="H440" s="25" t="str">
        <x:v>n/d</x:v>
      </x:c>
      <x:c r="I440" s="25" t="n">
        <x:v>0</x:v>
      </x:c>
      <x:c r="J440" s="25" t="n">
        <x:v>0</x:v>
      </x:c>
      <x:c r="K440" s="20" t="str">
        <x:v>Realizado</x:v>
      </x:c>
      <x:c r="L440" s="20" t="str">
        <x:v>CVM_CRI_2026_CLASSE</x:v>
      </x:c>
      <x:c r="M440" s="20" t="str">
        <x:v>Documentado</x:v>
      </x:c>
      <x:c r="N440" s="20" t="str">
        <x:v>Saldo final: n/d, controlado por Valor_Atualizado_Emissao. Unidade sem reconciliação permanece n/d; pagamentos realizados ficam documentados.</x:v>
      </x:c>
    </x:row>
    <x:row r="441">
      <x:c r="A441" s="20" t="str">
        <x:v>CRI_V174</x:v>
      </x:c>
      <x:c r="B441" s="20" t="str">
        <x:v>Série 1</x:v>
      </x:c>
      <x:c r="C441" s="20" t="str">
        <x:v>Super Sênior A</x:v>
      </x:c>
      <x:c r="D441" s="21" t="n">
        <x:v>47988</x:v>
      </x:c>
      <x:c r="E441" s="25" t="str">
        <x:v>n/d</x:v>
      </x:c>
      <x:c r="F441" s="25" t="str">
        <x:v>n/d</x:v>
      </x:c>
      <x:c r="G441" s="25" t="str">
        <x:v>n/d</x:v>
      </x:c>
      <x:c r="H441" s="25" t="str">
        <x:v>n/d</x:v>
      </x:c>
      <x:c r="I441" s="25" t="str">
        <x:v>n/d</x:v>
      </x:c>
      <x:c r="J441" s="25" t="str">
        <x:v>n/d</x:v>
      </x:c>
      <x:c r="K441" s="20" t="str">
        <x:v>Projetado</x:v>
      </x:c>
      <x:c r="L441" s="20" t="str">
        <x:v>ANX_CRIV_LAM_PREL_20260417</x:v>
      </x:c>
      <x:c r="M441" s="20" t="str">
        <x:v>n/d</x:v>
      </x:c>
      <x:c r="N441" s="20" t="str">
        <x:v>Curva contratual mensal completa não localizada; a data de vencimento não foi transformada em projeção bullet.</x:v>
      </x:c>
    </x:row>
    <x:row r="442">
      <x:c r="A442" s="20" t="str">
        <x:v>CRI_V174</x:v>
      </x:c>
      <x:c r="B442" s="20" t="str">
        <x:v>Série 2</x:v>
      </x:c>
      <x:c r="C442" s="20" t="str">
        <x:v>Super Sênior B</x:v>
      </x:c>
      <x:c r="D442" s="21" t="n">
        <x:v>47988</x:v>
      </x:c>
      <x:c r="E442" s="25" t="str">
        <x:v>n/d</x:v>
      </x:c>
      <x:c r="F442" s="25" t="str">
        <x:v>n/d</x:v>
      </x:c>
      <x:c r="G442" s="25" t="str">
        <x:v>n/d</x:v>
      </x:c>
      <x:c r="H442" s="25" t="str">
        <x:v>n/d</x:v>
      </x:c>
      <x:c r="I442" s="25" t="str">
        <x:v>n/d</x:v>
      </x:c>
      <x:c r="J442" s="25" t="str">
        <x:v>n/d</x:v>
      </x:c>
      <x:c r="K442" s="20" t="str">
        <x:v>Projetado</x:v>
      </x:c>
      <x:c r="L442" s="20" t="str">
        <x:v>ANX_CRIV_LAM_PREL_20260417</x:v>
      </x:c>
      <x:c r="M442" s="20" t="str">
        <x:v>n/d</x:v>
      </x:c>
      <x:c r="N442" s="20" t="str">
        <x:v>Curva contratual mensal completa não localizada; a data de vencimento não foi transformada em projeção bullet.</x:v>
      </x:c>
    </x:row>
    <x:row r="443">
      <x:c r="A443" s="20" t="str">
        <x:v>CRI_V174</x:v>
      </x:c>
      <x:c r="B443" s="20" t="str">
        <x:v>Série 3</x:v>
      </x:c>
      <x:c r="C443" s="20" t="str">
        <x:v>Sênior</x:v>
      </x:c>
      <x:c r="D443" s="21" t="n">
        <x:v>49086</x:v>
      </x:c>
      <x:c r="E443" s="25" t="str">
        <x:v>n/d</x:v>
      </x:c>
      <x:c r="F443" s="25" t="str">
        <x:v>n/d</x:v>
      </x:c>
      <x:c r="G443" s="25" t="str">
        <x:v>n/d</x:v>
      </x:c>
      <x:c r="H443" s="25" t="str">
        <x:v>n/d</x:v>
      </x:c>
      <x:c r="I443" s="25" t="str">
        <x:v>n/d</x:v>
      </x:c>
      <x:c r="J443" s="25" t="str">
        <x:v>n/d</x:v>
      </x:c>
      <x:c r="K443" s="20" t="str">
        <x:v>Projetado</x:v>
      </x:c>
      <x:c r="L443" s="20" t="str">
        <x:v>ANX_CRIV_LAM_PREL_20260417</x:v>
      </x:c>
      <x:c r="M443" s="20" t="str">
        <x:v>n/d</x:v>
      </x:c>
      <x:c r="N443" s="20" t="str">
        <x:v>Curva contratual mensal completa não localizada; a data de vencimento não foi transformada em projeção bullet.</x:v>
      </x:c>
    </x:row>
    <x:row r="444">
      <x:c r="A444" s="20" t="str">
        <x:v>CRI_V174</x:v>
      </x:c>
      <x:c r="B444" s="20" t="str">
        <x:v>Série 4</x:v>
      </x:c>
      <x:c r="C444" s="20" t="str">
        <x:v>Mezanino</x:v>
      </x:c>
      <x:c r="D444" s="21" t="n">
        <x:v>49815</x:v>
      </x:c>
      <x:c r="E444" s="25" t="str">
        <x:v>n/d</x:v>
      </x:c>
      <x:c r="F444" s="25" t="str">
        <x:v>n/d</x:v>
      </x:c>
      <x:c r="G444" s="25" t="str">
        <x:v>n/d</x:v>
      </x:c>
      <x:c r="H444" s="25" t="str">
        <x:v>n/d</x:v>
      </x:c>
      <x:c r="I444" s="25" t="str">
        <x:v>n/d</x:v>
      </x:c>
      <x:c r="J444" s="25" t="str">
        <x:v>n/d</x:v>
      </x:c>
      <x:c r="K444" s="20" t="str">
        <x:v>Projetado</x:v>
      </x:c>
      <x:c r="L444" s="20" t="str">
        <x:v>ANX_CRIV_LAM_PREL_20260417</x:v>
      </x:c>
      <x:c r="M444" s="20" t="str">
        <x:v>n/d</x:v>
      </x:c>
      <x:c r="N444" s="20" t="str">
        <x:v>Curva contratual mensal completa não localizada; a data de vencimento não foi transformada em projeção bullet.</x:v>
      </x:c>
    </x:row>
    <x:row r="445">
      <x:c r="A445" s="20" t="str">
        <x:v>CRI_V174</x:v>
      </x:c>
      <x:c r="B445" s="20" t="str">
        <x:v>Série 5</x:v>
      </x:c>
      <x:c r="C445" s="20" t="str">
        <x:v>Subordinada</x:v>
      </x:c>
      <x:c r="D445" s="21" t="n">
        <x:v>49815</x:v>
      </x:c>
      <x:c r="E445" s="25" t="str">
        <x:v>n/d</x:v>
      </x:c>
      <x:c r="F445" s="25" t="str">
        <x:v>n/d</x:v>
      </x:c>
      <x:c r="G445" s="25" t="str">
        <x:v>n/d</x:v>
      </x:c>
      <x:c r="H445" s="25" t="str">
        <x:v>n/d</x:v>
      </x:c>
      <x:c r="I445" s="25" t="str">
        <x:v>n/d</x:v>
      </x:c>
      <x:c r="J445" s="25" t="str">
        <x:v>n/d</x:v>
      </x:c>
      <x:c r="K445" s="20" t="str">
        <x:v>Projetado</x:v>
      </x:c>
      <x:c r="L445" s="20" t="str">
        <x:v>ANX_CRIV_LAM_PREL_20260417</x:v>
      </x:c>
      <x:c r="M445" s="20" t="str">
        <x:v>n/d</x:v>
      </x:c>
      <x:c r="N445" s="20" t="str">
        <x:v>Curva contratual mensal completa não localizada; a data de vencimento não foi transformada em projeção bullet.</x:v>
      </x:c>
    </x:row>
    <x:row r="446">
      <x:c r="A446" s="20" t="str">
        <x:v>CRI_V174</x:v>
      </x:c>
      <x:c r="B446" s="20" t="str">
        <x:v>Série 6</x:v>
      </x:c>
      <x:c r="C446" s="20" t="str">
        <x:v>Júnior/Subordinada</x:v>
      </x:c>
      <x:c r="D446" s="21" t="n">
        <x:v>50545</x:v>
      </x:c>
      <x:c r="E446" s="25" t="str">
        <x:v>n/d</x:v>
      </x:c>
      <x:c r="F446" s="25" t="str">
        <x:v>n/d</x:v>
      </x:c>
      <x:c r="G446" s="25" t="str">
        <x:v>n/d</x:v>
      </x:c>
      <x:c r="H446" s="25" t="str">
        <x:v>n/d</x:v>
      </x:c>
      <x:c r="I446" s="25" t="str">
        <x:v>n/d</x:v>
      </x:c>
      <x:c r="J446" s="25" t="str">
        <x:v>n/d</x:v>
      </x:c>
      <x:c r="K446" s="20" t="str">
        <x:v>Projetado</x:v>
      </x:c>
      <x:c r="L446" s="20" t="str">
        <x:v>ANX_CRIV_LAM_PREL_20260417</x:v>
      </x:c>
      <x:c r="M446" s="20" t="str">
        <x:v>n/d</x:v>
      </x:c>
      <x:c r="N446" s="20" t="str">
        <x:v>Curva contratual mensal completa não localizada; a data de vencimento não foi transformada em projeção bullet.</x:v>
      </x:c>
    </x:row>
    <x:row r="447">
      <x:c r="A447" s="20" t="str">
        <x:v>CRI_V177</x:v>
      </x:c>
      <x:c r="B447" s="20" t="str">
        <x:v>Série 1</x:v>
      </x:c>
      <x:c r="C447" s="20" t="str">
        <x:v>Sênior A</x:v>
      </x:c>
      <x:c r="D447" s="21" t="n">
        <x:v>47988</x:v>
      </x:c>
      <x:c r="E447" s="25" t="str">
        <x:v>n/d</x:v>
      </x:c>
      <x:c r="F447" s="25" t="str">
        <x:v>n/d</x:v>
      </x:c>
      <x:c r="G447" s="25" t="str">
        <x:v>n/d</x:v>
      </x:c>
      <x:c r="H447" s="25" t="str">
        <x:v>n/d</x:v>
      </x:c>
      <x:c r="I447" s="25" t="str">
        <x:v>n/d</x:v>
      </x:c>
      <x:c r="J447" s="25" t="str">
        <x:v>n/d</x:v>
      </x:c>
      <x:c r="K447" s="20" t="str">
        <x:v>Projetado</x:v>
      </x:c>
      <x:c r="L447" s="20" t="str">
        <x:v>CVM_FUNDOSNET_VERT177_20260720</x:v>
      </x:c>
      <x:c r="M447" s="20" t="str">
        <x:v>n/d</x:v>
      </x:c>
      <x:c r="N447" s="20" t="str">
        <x:v>Curva contratual mensal completa não localizada; a data de vencimento não foi transformada em projeção bullet.</x:v>
      </x:c>
    </x:row>
    <x:row r="448">
      <x:c r="A448" s="20" t="str">
        <x:v>CRI_V177</x:v>
      </x:c>
      <x:c r="B448" s="20" t="str">
        <x:v>Série 2</x:v>
      </x:c>
      <x:c r="C448" s="20" t="str">
        <x:v>Sênior B</x:v>
      </x:c>
      <x:c r="D448" s="21" t="n">
        <x:v>48050</x:v>
      </x:c>
      <x:c r="E448" s="25" t="str">
        <x:v>n/d</x:v>
      </x:c>
      <x:c r="F448" s="25" t="str">
        <x:v>n/d</x:v>
      </x:c>
      <x:c r="G448" s="25" t="str">
        <x:v>n/d</x:v>
      </x:c>
      <x:c r="H448" s="25" t="str">
        <x:v>n/d</x:v>
      </x:c>
      <x:c r="I448" s="25" t="str">
        <x:v>n/d</x:v>
      </x:c>
      <x:c r="J448" s="25" t="str">
        <x:v>n/d</x:v>
      </x:c>
      <x:c r="K448" s="20" t="str">
        <x:v>Projetado</x:v>
      </x:c>
      <x:c r="L448" s="20" t="str">
        <x:v>CVM_FUNDOSNET_VERT177_20260720</x:v>
      </x:c>
      <x:c r="M448" s="20" t="str">
        <x:v>n/d</x:v>
      </x:c>
      <x:c r="N448" s="20" t="str">
        <x:v>Curva contratual mensal completa não localizada; a data de vencimento não foi transformada em projeção bullet.</x:v>
      </x:c>
    </x:row>
    <x:row r="449">
      <x:c r="A449" s="20" t="str">
        <x:v>CRI_V177</x:v>
      </x:c>
      <x:c r="B449" s="20" t="str">
        <x:v>Série 3</x:v>
      </x:c>
      <x:c r="C449" s="20" t="str">
        <x:v>Mezanino I</x:v>
      </x:c>
      <x:c r="D449" s="21" t="n">
        <x:v>49877</x:v>
      </x:c>
      <x:c r="E449" s="25" t="str">
        <x:v>n/d</x:v>
      </x:c>
      <x:c r="F449" s="25" t="str">
        <x:v>n/d</x:v>
      </x:c>
      <x:c r="G449" s="25" t="str">
        <x:v>n/d</x:v>
      </x:c>
      <x:c r="H449" s="25" t="str">
        <x:v>n/d</x:v>
      </x:c>
      <x:c r="I449" s="25" t="str">
        <x:v>n/d</x:v>
      </x:c>
      <x:c r="J449" s="25" t="str">
        <x:v>n/d</x:v>
      </x:c>
      <x:c r="K449" s="20" t="str">
        <x:v>Projetado</x:v>
      </x:c>
      <x:c r="L449" s="20" t="str">
        <x:v>CVM_FUNDOSNET_VERT177_20260720</x:v>
      </x:c>
      <x:c r="M449" s="20" t="str">
        <x:v>n/d</x:v>
      </x:c>
      <x:c r="N449" s="20" t="str">
        <x:v>Curva contratual mensal completa não localizada; a data de vencimento não foi transformada em projeção bullet.</x:v>
      </x:c>
    </x:row>
    <x:row r="450">
      <x:c r="A450" s="20" t="str">
        <x:v>CRI_V177</x:v>
      </x:c>
      <x:c r="B450" s="20" t="str">
        <x:v>Série 4</x:v>
      </x:c>
      <x:c r="C450" s="20" t="str">
        <x:v>Mezanino II</x:v>
      </x:c>
      <x:c r="D450" s="21" t="n">
        <x:v>49877</x:v>
      </x:c>
      <x:c r="E450" s="25" t="str">
        <x:v>n/d</x:v>
      </x:c>
      <x:c r="F450" s="25" t="str">
        <x:v>n/d</x:v>
      </x:c>
      <x:c r="G450" s="25" t="str">
        <x:v>n/d</x:v>
      </x:c>
      <x:c r="H450" s="25" t="str">
        <x:v>n/d</x:v>
      </x:c>
      <x:c r="I450" s="25" t="str">
        <x:v>n/d</x:v>
      </x:c>
      <x:c r="J450" s="25" t="str">
        <x:v>n/d</x:v>
      </x:c>
      <x:c r="K450" s="20" t="str">
        <x:v>Projetado</x:v>
      </x:c>
      <x:c r="L450" s="20" t="str">
        <x:v>CVM_FUNDOSNET_VERT177_20260720</x:v>
      </x:c>
      <x:c r="M450" s="20" t="str">
        <x:v>n/d</x:v>
      </x:c>
      <x:c r="N450" s="20" t="str">
        <x:v>Curva contratual mensal completa não localizada; a data de vencimento não foi transformada em projeção bullet.</x:v>
      </x:c>
    </x:row>
    <x:row r="451">
      <x:c r="A451" s="20" t="str">
        <x:v>CRI_V177</x:v>
      </x:c>
      <x:c r="B451" s="20" t="str">
        <x:v>Série 5</x:v>
      </x:c>
      <x:c r="C451" s="20" t="str">
        <x:v>Júnior/Subordinada</x:v>
      </x:c>
      <x:c r="D451" s="21" t="n">
        <x:v>50606</x:v>
      </x:c>
      <x:c r="E451" s="25" t="str">
        <x:v>n/d</x:v>
      </x:c>
      <x:c r="F451" s="25" t="str">
        <x:v>n/d</x:v>
      </x:c>
      <x:c r="G451" s="25" t="str">
        <x:v>n/d</x:v>
      </x:c>
      <x:c r="H451" s="25" t="str">
        <x:v>n/d</x:v>
      </x:c>
      <x:c r="I451" s="25" t="str">
        <x:v>n/d</x:v>
      </x:c>
      <x:c r="J451" s="25" t="str">
        <x:v>n/d</x:v>
      </x:c>
      <x:c r="K451" s="20" t="str">
        <x:v>Projetado</x:v>
      </x:c>
      <x:c r="L451" s="20" t="str">
        <x:v>CVM_FUNDOSNET_VERT177_20260720</x:v>
      </x:c>
      <x:c r="M451" s="20" t="str">
        <x:v>n/d</x:v>
      </x:c>
      <x:c r="N451" s="20" t="str">
        <x:v>Curva contratual mensal completa não localizada; a data de vencimento não foi transformada em projeção bullet.</x:v>
      </x:c>
    </x:row>
  </x:sheetData>
  <x:mergeCells>
    <x:mergeCell ref="A1:N1"/>
    <x:mergeCell ref="A2:N2"/>
    <x:mergeCell ref="A3:N3"/>
  </x:mergeCells>
  <x:pageMargins left="0.7" right="0.7" top="0.75" bottom="0.75" header="0.3" footer="0.3"/>
  <x:drawing xmlns:r="http://schemas.openxmlformats.org/officeDocument/2006/relationships" r:id="Raaa84a8b809e4052"/>
  <x:tableParts count="1">
    <x:tablePart xmlns:r="http://schemas.openxmlformats.org/officeDocument/2006/relationships" r:id="R2b6f8f7450c64ad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1" hidden="0" customWidth="1"/>
    <x:col min="5" max="5" width="20" hidden="0" customWidth="1"/>
    <x:col min="6" max="6" width="20" hidden="0" customWidth="1"/>
    <x:col min="7" max="7" width="22" hidden="0" customWidth="1"/>
    <x:col min="8" max="8" width="24" hidden="0" customWidth="1"/>
    <x:col min="9" max="9" width="15" hidden="0" customWidth="1"/>
    <x:col min="10" max="10" width="14" hidden="0" customWidth="1"/>
    <x:col min="11" max="11" width="21" hidden="0" customWidth="1"/>
    <x:col min="12" max="12" width="18" hidden="0" customWidth="1"/>
    <x:col min="13" max="13" width="42" hidden="0" customWidth="1"/>
    <x:col min="14" max="14" width="34" hidden="0" customWidth="1"/>
    <x:col min="15" max="15" width="19" hidden="0" customWidth="1"/>
    <x:col min="16" max="16" width="42" hidden="0" customWidth="1"/>
    <x:col min="18" max="18" width="7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2" hidden="0" customWidth="1"/>
  </x:cols>
  <x:sheetData>
    <x:row r="1" ht="30" customHeight="1">
      <x:c r="A1" s="3" t="str">
        <x:v>14 Antes Depois</x:v>
      </x:c>
    </x:row>
    <x:row r="2" ht="34" customHeight="1">
      <x:c r="A2" s="7" t="str">
        <x:v>A janela t−3 a t+3 acompanha PL, carteira, PDD e atraso em torno da cessão. Sem tape por CCB, seleção do pool e mudança de denominador não se separam.</x:v>
      </x:c>
    </x:row>
    <x:row r="3" ht="24" customHeight="1">
      <x:c r="A3" s="11" t="str">
        <x:v>Data-base: 2023-09-30 a 2024-08-31 | Fontes: CVM_FIDC_2023_I_IV_V_X2; ANX_CRI1_PROSP_20240216; CVM_FIDC_2024_I_IV_V_X2; ANX_CRI2_RATING_202406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</x:row>
    <x:row r="5" ht="30" customHeight="1">
      <x:c r="A5" s="16" t="str">
        <x:v>fidc</x:v>
      </x:c>
      <x:c r="B5" s="16" t="str">
        <x:v>cri_evento</x:v>
      </x:c>
      <x:c r="C5" s="16" t="str">
        <x:v>competencia</x:v>
      </x:c>
      <x:c r="D5" s="16" t="str">
        <x:v>mob</x:v>
      </x:c>
      <x:c r="E5" s="16" t="str">
        <x:v>pl_R$mi</x:v>
      </x:c>
      <x:c r="F5" s="16" t="str">
        <x:v>carteira_R$mi</x:v>
      </x:c>
      <x:c r="G5" s="16" t="str">
        <x:v>pdd_pct_carteira</x:v>
      </x:c>
      <x:c r="H5" s="16" t="str">
        <x:v>saldo_90d_pct_carteira</x:v>
      </x:c>
      <x:c r="I5" s="16" t="str">
        <x:v>wam_observado</x:v>
      </x:c>
      <x:c r="J5" s="16" t="str">
        <x:v>ticket_medio</x:v>
      </x:c>
      <x:c r="K5" s="16" t="str">
        <x:v>subordinacao_pct</x:v>
      </x:c>
      <x:c r="L5" s="16" t="str">
        <x:v>evento</x:v>
      </x:c>
      <x:c r="M5" s="16" t="str">
        <x:v>leitura</x:v>
      </x:c>
      <x:c r="N5" s="16" t="str">
        <x:v>fonte_id</x:v>
      </x:c>
      <x:c r="O5" s="16" t="str">
        <x:v>status</x:v>
      </x:c>
      <x:c r="P5" s="16" t="str">
        <x:v>nota_metodo</x:v>
      </x:c>
      <x:c r="R5" s="70" t="str">
        <x:v>mob</x:v>
      </x:c>
      <x:c r="S5" s="70" t="str">
        <x:v>FIDC_II / CRI_K1</x:v>
      </x:c>
      <x:c r="T5" s="70" t="str">
        <x:v>FIDC_IV / CRI_K1</x:v>
      </x:c>
      <x:c r="U5" s="70" t="str">
        <x:v>FIDC_II / CRI_K2</x:v>
      </x:c>
      <x:c r="V5" s="70" t="str">
        <x:v>FIDC_IV / CRI_K2</x:v>
      </x:c>
      <x:c r="W5" s="70" t="str">
        <x:v>Evento t=0</x:v>
      </x:c>
    </x:row>
    <x:row r="6">
      <x:c r="A6" s="20" t="str">
        <x:v>FIDC_II</x:v>
      </x:c>
      <x:c r="B6" s="20" t="str">
        <x:v>CRI_K1</x:v>
      </x:c>
      <x:c r="C6" s="21" t="n">
        <x:v>45199</x:v>
      </x:c>
      <x:c r="D6" s="27" t="n">
        <x:v>-3</x:v>
      </x:c>
      <x:c r="E6" s="23" t="n">
        <x:v>596.0342101699999</x:v>
      </x:c>
      <x:c r="F6" s="23" t="n">
        <x:v>594.72775768</x:v>
      </x:c>
      <x:c r="G6" s="26" t="n">
        <x:v>0.10894716063490531</x:v>
      </x:c>
      <x:c r="H6" s="26" t="n">
        <x:v>0.01430292062234118</x:v>
      </x:c>
      <x:c r="I6" s="24" t="str">
        <x:v>n/d</x:v>
      </x:c>
      <x:c r="J6" s="20" t="str">
        <x:v>n/d</x:v>
      </x:c>
      <x:c r="K6" s="26" t="str">
        <x:v>n/d</x:v>
      </x:c>
      <x:c r="L6" s="20" t="str">
        <x:v>janela t−3 a t+3</x:v>
      </x:c>
      <x:c r="M6" s="20" t="str">
        <x:v>Os agregados mostram a trajetória do denominador, PDD e atraso. Sem tape por CCB, não se separa seleção do pool de mudança de denominador.</x:v>
      </x:c>
      <x:c r="N6" s="20" t="str">
        <x:v>CVM_FIDC_2023_I_IV_V_X2 | ANX_CRI1_PROSP_20240216</x:v>
      </x:c>
      <x:c r="O6" s="20" t="str">
        <x:v>Documentado</x:v>
      </x:c>
      <x:c r="P6" s="20" t="str">
        <x:v>Meses relativos ao fechamento da competência da cessão; ausência de classe subordinada identificável, aging, WAM ou ticket permanece n/d.</x:v>
      </x:c>
      <x:c r="R6" s="67" t="n">
        <x:v>-3</x:v>
      </x:c>
      <x:c r="S6" s="71" t="n">
        <x:v>0.10894716063490531</x:v>
      </x:c>
      <x:c r="T6" s="71" t="n">
        <x:v>0.02426834552927768</x:v>
      </x:c>
      <x:c r="U6" s="71" t="n">
        <x:v>0.09499553419493141</x:v>
      </x:c>
      <x:c r="V6" s="71" t="n">
        <x:v>0.0276169645767039</x:v>
      </x:c>
      <x:c r="W6" s="71"/>
    </x:row>
    <x:row r="7">
      <x:c r="A7" s="20" t="str">
        <x:v>FIDC_II</x:v>
      </x:c>
      <x:c r="B7" s="20" t="str">
        <x:v>CRI_K1</x:v>
      </x:c>
      <x:c r="C7" s="21" t="n">
        <x:v>45230</x:v>
      </x:c>
      <x:c r="D7" s="27" t="n">
        <x:v>-2</x:v>
      </x:c>
      <x:c r="E7" s="23" t="n">
        <x:v>586.21283971</x:v>
      </x:c>
      <x:c r="F7" s="23" t="n">
        <x:v>585.28845266</x:v>
      </x:c>
      <x:c r="G7" s="26" t="n">
        <x:v>0.10992325699850072</x:v>
      </x:c>
      <x:c r="H7" s="26" t="n">
        <x:v>0.015408778490354028</x:v>
      </x:c>
      <x:c r="I7" s="24" t="str">
        <x:v>n/d</x:v>
      </x:c>
      <x:c r="J7" s="20" t="str">
        <x:v>n/d</x:v>
      </x:c>
      <x:c r="K7" s="26" t="n">
        <x:v>0.21671766874564832</x:v>
      </x:c>
      <x:c r="L7" s="20" t="str">
        <x:v>janela t−3 a t+3</x:v>
      </x:c>
      <x:c r="M7" s="20" t="str">
        <x:v>Os agregados mostram a trajetória do denominador, PDD e atraso. Sem tape por CCB, não se separa seleção do pool de mudança de denominador.</x:v>
      </x:c>
      <x:c r="N7" s="20" t="str">
        <x:v>CVM_FIDC_2023_I_IV_V_X2 | ANX_CRI1_PROSP_20240216</x:v>
      </x:c>
      <x:c r="O7" s="20" t="str">
        <x:v>Documentado</x:v>
      </x:c>
      <x:c r="P7" s="20" t="str">
        <x:v>Meses relativos ao fechamento da competência da cessão; ausência de classe subordinada identificável, aging, WAM ou ticket permanece n/d.</x:v>
      </x:c>
      <x:c r="R7" s="67" t="n">
        <x:v>-2</x:v>
      </x:c>
      <x:c r="S7" s="71" t="n">
        <x:v>0.10992325699850072</x:v>
      </x:c>
      <x:c r="T7" s="71" t="n">
        <x:v>0.027349020979459134</x:v>
      </x:c>
      <x:c r="U7" s="71" t="n">
        <x:v>0.09373170099694215</x:v>
      </x:c>
      <x:c r="V7" s="71" t="n">
        <x:v>0.02926740867408426</x:v>
      </x:c>
      <x:c r="W7" s="71"/>
    </x:row>
    <x:row r="8">
      <x:c r="A8" s="20" t="str">
        <x:v>FIDC_II</x:v>
      </x:c>
      <x:c r="B8" s="20" t="str">
        <x:v>CRI_K1</x:v>
      </x:c>
      <x:c r="C8" s="21" t="n">
        <x:v>45260</x:v>
      </x:c>
      <x:c r="D8" s="27" t="n">
        <x:v>-1</x:v>
      </x:c>
      <x:c r="E8" s="23" t="n">
        <x:v>580.0461005</x:v>
      </x:c>
      <x:c r="F8" s="23" t="n">
        <x:v>578.88133269</x:v>
      </x:c>
      <x:c r="G8" s="26" t="n">
        <x:v>0.11082633988537363</x:v>
      </x:c>
      <x:c r="H8" s="26" t="n">
        <x:v>0.016333399603789527</x:v>
      </x:c>
      <x:c r="I8" s="24" t="str">
        <x:v>n/d</x:v>
      </x:c>
      <x:c r="J8" s="20" t="str">
        <x:v>n/d</x:v>
      </x:c>
      <x:c r="K8" s="26" t="n">
        <x:v>0.22247162664282874</x:v>
      </x:c>
      <x:c r="L8" s="20" t="str">
        <x:v>janela t−3 a t+3</x:v>
      </x:c>
      <x:c r="M8" s="20" t="str">
        <x:v>Os agregados mostram a trajetória do denominador, PDD e atraso. Sem tape por CCB, não se separa seleção do pool de mudança de denominador.</x:v>
      </x:c>
      <x:c r="N8" s="20" t="str">
        <x:v>CVM_FIDC_2023_I_IV_V_X2 | ANX_CRI1_PROSP_20240216</x:v>
      </x:c>
      <x:c r="O8" s="20" t="str">
        <x:v>Documentado</x:v>
      </x:c>
      <x:c r="P8" s="20" t="str">
        <x:v>Meses relativos ao fechamento da competência da cessão; ausência de classe subordinada identificável, aging, WAM ou ticket permanece n/d.</x:v>
      </x:c>
      <x:c r="R8" s="67" t="n">
        <x:v>-1</x:v>
      </x:c>
      <x:c r="S8" s="71" t="n">
        <x:v>0.11082633988537363</x:v>
      </x:c>
      <x:c r="T8" s="71" t="n">
        <x:v>0.030622688477332856</x:v>
      </x:c>
      <x:c r="U8" s="71" t="n">
        <x:v>0.09620764443013347</x:v>
      </x:c>
      <x:c r="V8" s="71" t="n">
        <x:v>0.03028876283332397</x:v>
      </x:c>
      <x:c r="W8" s="71"/>
    </x:row>
    <x:row r="9">
      <x:c r="A9" s="20" t="str">
        <x:v>FIDC_II</x:v>
      </x:c>
      <x:c r="B9" s="20" t="str">
        <x:v>CRI_K1</x:v>
      </x:c>
      <x:c r="C9" s="21" t="n">
        <x:v>45291</x:v>
      </x:c>
      <x:c r="D9" s="27" t="n">
        <x:v>0</x:v>
      </x:c>
      <x:c r="E9" s="23" t="n">
        <x:v>557.47879134</x:v>
      </x:c>
      <x:c r="F9" s="23" t="n">
        <x:v>555.99234625</x:v>
      </x:c>
      <x:c r="G9" s="26" t="n">
        <x:v>0.062066978354560404</x:v>
      </x:c>
      <x:c r="H9" s="26" t="n">
        <x:v>0.006911680665963844</x:v>
      </x:c>
      <x:c r="I9" s="24" t="str">
        <x:v>n/d</x:v>
      </x:c>
      <x:c r="J9" s="20" t="str">
        <x:v>n/d</x:v>
      </x:c>
      <x:c r="K9" s="26" t="n">
        <x:v>0.20584406095145233</x:v>
      </x:c>
      <x:c r="L9" s="20" t="str">
        <x:v>cessão em t=0</x:v>
      </x:c>
      <x:c r="M9" s="20" t="str">
        <x:v>Os agregados mostram a trajetória do denominador, PDD e atraso. Sem tape por CCB, não se separa seleção do pool de mudança de denominador.</x:v>
      </x:c>
      <x:c r="N9" s="20" t="str">
        <x:v>CVM_FIDC_2023_I_IV_V_X2 | ANX_CRI1_PROSP_20240216</x:v>
      </x:c>
      <x:c r="O9" s="20" t="str">
        <x:v>Documentado</x:v>
      </x:c>
      <x:c r="P9" s="20" t="str">
        <x:v>Meses relativos ao fechamento da competência da cessão; ausência de classe subordinada identificável, aging, WAM ou ticket permanece n/d.</x:v>
      </x:c>
      <x:c r="R9" s="67" t="n">
        <x:v>0</x:v>
      </x:c>
      <x:c r="S9" s="71" t="n">
        <x:v>0.062066978354560404</x:v>
      </x:c>
      <x:c r="T9" s="71" t="n">
        <x:v>0.02673675492654163</x:v>
      </x:c>
      <x:c r="U9" s="71" t="n">
        <x:v>0.10111749760760996</x:v>
      </x:c>
      <x:c r="V9" s="71" t="n">
        <x:v>0.03226139975138977</x:v>
      </x:c>
      <x:c r="W9" s="71" t="n">
        <x:v>0.15946864995333537</x:v>
      </x:c>
    </x:row>
    <x:row r="10">
      <x:c r="A10" s="20" t="str">
        <x:v>FIDC_II</x:v>
      </x:c>
      <x:c r="B10" s="20" t="str">
        <x:v>CRI_K1</x:v>
      </x:c>
      <x:c r="C10" s="21" t="n">
        <x:v>45322</x:v>
      </x:c>
      <x:c r="D10" s="27" t="n">
        <x:v>1</x:v>
      </x:c>
      <x:c r="E10" s="23" t="n">
        <x:v>535.84920333</x:v>
      </x:c>
      <x:c r="F10" s="23" t="n">
        <x:v>532.93707837</x:v>
      </x:c>
      <x:c r="G10" s="26" t="n">
        <x:v>0.06320013657712881</x:v>
      </x:c>
      <x:c r="H10" s="26" t="n">
        <x:v>0.0025428206536966757</x:v>
      </x:c>
      <x:c r="I10" s="24" t="str">
        <x:v>n/d</x:v>
      </x:c>
      <x:c r="J10" s="20" t="str">
        <x:v>n/d</x:v>
      </x:c>
      <x:c r="K10" s="26" t="n">
        <x:v>0.20409887555066092</x:v>
      </x:c>
      <x:c r="L10" s="20" t="str">
        <x:v>janela t−3 a t+3</x:v>
      </x:c>
      <x:c r="M10" s="20" t="str">
        <x:v>Os agregados mostram a trajetória do denominador, PDD e atraso. Sem tape por CCB, não se separa seleção do pool de mudança de denominador.</x:v>
      </x:c>
      <x:c r="N10" s="20" t="str">
        <x:v>CVM_FIDC_2024_I_IV_V_X2 | ANX_CRI1_PROSP_20240216</x:v>
      </x:c>
      <x:c r="O10" s="20" t="str">
        <x:v>Documentado</x:v>
      </x:c>
      <x:c r="P10" s="20" t="str">
        <x:v>Meses relativos ao fechamento da competência da cessão; ausência de classe subordinada identificável, aging, WAM ou ticket permanece n/d.</x:v>
      </x:c>
      <x:c r="R10" s="67" t="n">
        <x:v>1</x:v>
      </x:c>
      <x:c r="S10" s="71" t="n">
        <x:v>0.06320013657712881</x:v>
      </x:c>
      <x:c r="T10" s="71" t="n">
        <x:v>0.026005553125265046</x:v>
      </x:c>
      <x:c r="U10" s="71" t="n">
        <x:v>0.10234474799028986</x:v>
      </x:c>
      <x:c r="V10" s="71" t="n">
        <x:v>0.03408343603691515</x:v>
      </x:c>
      <x:c r="W10" s="71"/>
    </x:row>
    <x:row r="11">
      <x:c r="A11" s="20" t="str">
        <x:v>FIDC_II</x:v>
      </x:c>
      <x:c r="B11" s="20" t="str">
        <x:v>CRI_K1</x:v>
      </x:c>
      <x:c r="C11" s="21" t="n">
        <x:v>45351</x:v>
      </x:c>
      <x:c r="D11" s="27" t="n">
        <x:v>2</x:v>
      </x:c>
      <x:c r="E11" s="23" t="n">
        <x:v>374.9118366</x:v>
      </x:c>
      <x:c r="F11" s="23" t="n">
        <x:v>374.19103036</x:v>
      </x:c>
      <x:c r="G11" s="26" t="n">
        <x:v>0.09499553419493141</x:v>
      </x:c>
      <x:c r="H11" s="26" t="n">
        <x:v>0.009845928338943521</x:v>
      </x:c>
      <x:c r="I11" s="24" t="str">
        <x:v>n/d</x:v>
      </x:c>
      <x:c r="J11" s="20" t="str">
        <x:v>n/d</x:v>
      </x:c>
      <x:c r="K11" s="26" t="n">
        <x:v>0.21495074230580807</x:v>
      </x:c>
      <x:c r="L11" s="20" t="str">
        <x:v>janela t−3 a t+3</x:v>
      </x:c>
      <x:c r="M11" s="20" t="str">
        <x:v>Os agregados mostram a trajetória do denominador, PDD e atraso. Sem tape por CCB, não se separa seleção do pool de mudança de denominador.</x:v>
      </x:c>
      <x:c r="N11" s="20" t="str">
        <x:v>CVM_FIDC_2024_I_IV_V_X2 | ANX_CRI1_PROSP_20240216</x:v>
      </x:c>
      <x:c r="O11" s="20" t="str">
        <x:v>Documentado</x:v>
      </x:c>
      <x:c r="P11" s="20" t="str">
        <x:v>Meses relativos ao fechamento da competência da cessão; ausência de classe subordinada identificável, aging, WAM ou ticket permanece n/d.</x:v>
      </x:c>
      <x:c r="R11" s="67" t="n">
        <x:v>2</x:v>
      </x:c>
      <x:c r="S11" s="71" t="n">
        <x:v>0.09499553419493141</x:v>
      </x:c>
      <x:c r="T11" s="71" t="n">
        <x:v>0.0276169645767039</x:v>
      </x:c>
      <x:c r="U11" s="71" t="n">
        <x:v>0.14705023525496894</x:v>
      </x:c>
      <x:c r="V11" s="71" t="n">
        <x:v>0.04444320768645189</x:v>
      </x:c>
      <x:c r="W11" s="71"/>
    </x:row>
    <x:row r="12">
      <x:c r="A12" s="20" t="str">
        <x:v>FIDC_II</x:v>
      </x:c>
      <x:c r="B12" s="20" t="str">
        <x:v>CRI_K1</x:v>
      </x:c>
      <x:c r="C12" s="21" t="n">
        <x:v>45382</x:v>
      </x:c>
      <x:c r="D12" s="27" t="n">
        <x:v>3</x:v>
      </x:c>
      <x:c r="E12" s="23" t="n">
        <x:v>358.81230752</x:v>
      </x:c>
      <x:c r="F12" s="23" t="n">
        <x:v>357.9950492</x:v>
      </x:c>
      <x:c r="G12" s="26" t="n">
        <x:v>0.09373170099694215</x:v>
      </x:c>
      <x:c r="H12" s="26" t="n">
        <x:v>0.010366724842406005</x:v>
      </x:c>
      <x:c r="I12" s="24" t="str">
        <x:v>n/d</x:v>
      </x:c>
      <x:c r="J12" s="20" t="str">
        <x:v>n/d</x:v>
      </x:c>
      <x:c r="K12" s="26" t="n">
        <x:v>0.2092360881065432</x:v>
      </x:c>
      <x:c r="L12" s="20" t="str">
        <x:v>janela t−3 a t+3</x:v>
      </x:c>
      <x:c r="M12" s="20" t="str">
        <x:v>Os agregados mostram a trajetória do denominador, PDD e atraso. Sem tape por CCB, não se separa seleção do pool de mudança de denominador.</x:v>
      </x:c>
      <x:c r="N12" s="20" t="str">
        <x:v>CVM_FIDC_2024_I_IV_V_X2 | ANX_CRI1_PROSP_20240216</x:v>
      </x:c>
      <x:c r="O12" s="20" t="str">
        <x:v>Documentado</x:v>
      </x:c>
      <x:c r="P12" s="20" t="str">
        <x:v>Meses relativos ao fechamento da competência da cessão; ausência de classe subordinada identificável, aging, WAM ou ticket permanece n/d.</x:v>
      </x:c>
      <x:c r="R12" s="67" t="n">
        <x:v>3</x:v>
      </x:c>
      <x:c r="S12" s="71" t="n">
        <x:v>0.09373170099694215</x:v>
      </x:c>
      <x:c r="T12" s="71" t="n">
        <x:v>0.02926740867408426</x:v>
      </x:c>
      <x:c r="U12" s="71" t="n">
        <x:v>0.1476561573641994</x:v>
      </x:c>
      <x:c r="V12" s="71" t="n">
        <x:v>0.04731846545606779</x:v>
      </x:c>
      <x:c r="W12" s="71"/>
    </x:row>
    <x:row r="13">
      <x:c r="A13" s="20" t="str">
        <x:v>FIDC_IV</x:v>
      </x:c>
      <x:c r="B13" s="20" t="str">
        <x:v>CRI_K1</x:v>
      </x:c>
      <x:c r="C13" s="21" t="n">
        <x:v>45199</x:v>
      </x:c>
      <x:c r="D13" s="27" t="n">
        <x:v>-3</x:v>
      </x:c>
      <x:c r="E13" s="23" t="n">
        <x:v>866.34206176</x:v>
      </x:c>
      <x:c r="F13" s="23" t="n">
        <x:v>870.66871965</x:v>
      </x:c>
      <x:c r="G13" s="26" t="n">
        <x:v>0.02426834552927768</x:v>
      </x:c>
      <x:c r="H13" s="26" t="n">
        <x:v>0.0028071785339692833</x:v>
      </x:c>
      <x:c r="I13" s="24" t="str">
        <x:v>n/d</x:v>
      </x:c>
      <x:c r="J13" s="20" t="str">
        <x:v>n/d</x:v>
      </x:c>
      <x:c r="K13" s="26" t="str">
        <x:v>n/d</x:v>
      </x:c>
      <x:c r="L13" s="20" t="str">
        <x:v>janela t−3 a t+3</x:v>
      </x:c>
      <x:c r="M13" s="20" t="str">
        <x:v>Os agregados mostram a trajetória do denominador, PDD e atraso. Sem tape por CCB, não se separa seleção do pool de mudança de denominador.</x:v>
      </x:c>
      <x:c r="N13" s="20" t="str">
        <x:v>CVM_FIDC_2023_I_IV_V_X2 | ANX_CRI1_PROSP_20240216</x:v>
      </x:c>
      <x:c r="O13" s="20" t="str">
        <x:v>Documentado</x:v>
      </x:c>
      <x:c r="P13" s="20" t="str">
        <x:v>Meses relativos ao fechamento da competência da cessão; ausência de classe subordinada identificável, aging, WAM ou ticket permanece n/d.</x:v>
      </x:c>
    </x:row>
    <x:row r="14">
      <x:c r="A14" s="20" t="str">
        <x:v>FIDC_IV</x:v>
      </x:c>
      <x:c r="B14" s="20" t="str">
        <x:v>CRI_K1</x:v>
      </x:c>
      <x:c r="C14" s="21" t="n">
        <x:v>45230</x:v>
      </x:c>
      <x:c r="D14" s="27" t="n">
        <x:v>-2</x:v>
      </x:c>
      <x:c r="E14" s="23" t="n">
        <x:v>868.04899156</x:v>
      </x:c>
      <x:c r="F14" s="23" t="n">
        <x:v>868.14162627</x:v>
      </x:c>
      <x:c r="G14" s="26" t="n">
        <x:v>0.027349020979459134</x:v>
      </x:c>
      <x:c r="H14" s="26" t="n">
        <x:v>0.0034495300874659673</x:v>
      </x:c>
      <x:c r="I14" s="24" t="str">
        <x:v>n/d</x:v>
      </x:c>
      <x:c r="J14" s="20" t="str">
        <x:v>n/d</x:v>
      </x:c>
      <x:c r="K14" s="26" t="n">
        <x:v>0.2794961073210156</x:v>
      </x:c>
      <x:c r="L14" s="20" t="str">
        <x:v>janela t−3 a t+3</x:v>
      </x:c>
      <x:c r="M14" s="20" t="str">
        <x:v>Os agregados mostram a trajetória do denominador, PDD e atraso. Sem tape por CCB, não se separa seleção do pool de mudança de denominador.</x:v>
      </x:c>
      <x:c r="N14" s="20" t="str">
        <x:v>CVM_FIDC_2023_I_IV_V_X2 | ANX_CRI1_PROSP_20240216</x:v>
      </x:c>
      <x:c r="O14" s="20" t="str">
        <x:v>Documentado</x:v>
      </x:c>
      <x:c r="P14" s="20" t="str">
        <x:v>Meses relativos ao fechamento da competência da cessão; ausência de classe subordinada identificável, aging, WAM ou ticket permanece n/d.</x:v>
      </x:c>
    </x:row>
    <x:row r="15">
      <x:c r="A15" s="20" t="str">
        <x:v>FIDC_IV</x:v>
      </x:c>
      <x:c r="B15" s="20" t="str">
        <x:v>CRI_K1</x:v>
      </x:c>
      <x:c r="C15" s="21" t="n">
        <x:v>45260</x:v>
      </x:c>
      <x:c r="D15" s="27" t="n">
        <x:v>-1</x:v>
      </x:c>
      <x:c r="E15" s="23" t="n">
        <x:v>887.40289522</x:v>
      </x:c>
      <x:c r="F15" s="23" t="n">
        <x:v>886.99103967</x:v>
      </x:c>
      <x:c r="G15" s="26" t="n">
        <x:v>0.030622688477332856</x:v>
      </x:c>
      <x:c r="H15" s="26" t="n">
        <x:v>0.004058517999617348</x:v>
      </x:c>
      <x:c r="I15" s="24" t="str">
        <x:v>n/d</x:v>
      </x:c>
      <x:c r="J15" s="20" t="str">
        <x:v>n/d</x:v>
      </x:c>
      <x:c r="K15" s="26" t="n">
        <x:v>0.2914052797358129</x:v>
      </x:c>
      <x:c r="L15" s="20" t="str">
        <x:v>janela t−3 a t+3</x:v>
      </x:c>
      <x:c r="M15" s="20" t="str">
        <x:v>Os agregados mostram a trajetória do denominador, PDD e atraso. Sem tape por CCB, não se separa seleção do pool de mudança de denominador.</x:v>
      </x:c>
      <x:c r="N15" s="20" t="str">
        <x:v>CVM_FIDC_2023_I_IV_V_X2 | ANX_CRI1_PROSP_20240216</x:v>
      </x:c>
      <x:c r="O15" s="20" t="str">
        <x:v>Documentado</x:v>
      </x:c>
      <x:c r="P15" s="20" t="str">
        <x:v>Meses relativos ao fechamento da competência da cessão; ausência de classe subordinada identificável, aging, WAM ou ticket permanece n/d.</x:v>
      </x:c>
    </x:row>
    <x:row r="16">
      <x:c r="A16" s="20" t="str">
        <x:v>FIDC_IV</x:v>
      </x:c>
      <x:c r="B16" s="20" t="str">
        <x:v>CRI_K1</x:v>
      </x:c>
      <x:c r="C16" s="21" t="n">
        <x:v>45291</x:v>
      </x:c>
      <x:c r="D16" s="27" t="n">
        <x:v>0</x:v>
      </x:c>
      <x:c r="E16" s="23" t="n">
        <x:v>1042.14019803</x:v>
      </x:c>
      <x:c r="F16" s="23" t="n">
        <x:v>1033.24954939</x:v>
      </x:c>
      <x:c r="G16" s="26" t="n">
        <x:v>0.02673675492654163</x:v>
      </x:c>
      <x:c r="H16" s="26" t="n">
        <x:v>0.0035050359152230667</x:v>
      </x:c>
      <x:c r="I16" s="24" t="str">
        <x:v>n/d</x:v>
      </x:c>
      <x:c r="J16" s="20" t="str">
        <x:v>n/d</x:v>
      </x:c>
      <x:c r="K16" s="26" t="n">
        <x:v>0.2711045366053957</x:v>
      </x:c>
      <x:c r="L16" s="20" t="str">
        <x:v>cessão em t=0</x:v>
      </x:c>
      <x:c r="M16" s="20" t="str">
        <x:v>Os agregados mostram a trajetória do denominador, PDD e atraso. Sem tape por CCB, não se separa seleção do pool de mudança de denominador.</x:v>
      </x:c>
      <x:c r="N16" s="20" t="str">
        <x:v>CVM_FIDC_2023_I_IV_V_X2 | ANX_CRI1_PROSP_20240216</x:v>
      </x:c>
      <x:c r="O16" s="20" t="str">
        <x:v>Documentado</x:v>
      </x:c>
      <x:c r="P16" s="20" t="str">
        <x:v>Meses relativos ao fechamento da competência da cessão; ausência de classe subordinada identificável, aging, WAM ou ticket permanece n/d.</x:v>
      </x:c>
    </x:row>
    <x:row r="17">
      <x:c r="A17" s="20" t="str">
        <x:v>FIDC_IV</x:v>
      </x:c>
      <x:c r="B17" s="20" t="str">
        <x:v>CRI_K1</x:v>
      </x:c>
      <x:c r="C17" s="21" t="n">
        <x:v>45322</x:v>
      </x:c>
      <x:c r="D17" s="27" t="n">
        <x:v>1</x:v>
      </x:c>
      <x:c r="E17" s="23" t="n">
        <x:v>1124.76852441</x:v>
      </x:c>
      <x:c r="F17" s="23" t="n">
        <x:v>1122.9628006500002</x:v>
      </x:c>
      <x:c r="G17" s="26" t="n">
        <x:v>0.026005553125265046</x:v>
      </x:c>
      <x:c r="H17" s="26" t="n">
        <x:v>0.0029942494693980404</x:v>
      </x:c>
      <x:c r="I17" s="24" t="str">
        <x:v>n/d</x:v>
      </x:c>
      <x:c r="J17" s="20" t="str">
        <x:v>n/d</x:v>
      </x:c>
      <x:c r="K17" s="26" t="n">
        <x:v>0.28205708768638704</x:v>
      </x:c>
      <x:c r="L17" s="20" t="str">
        <x:v>janela t−3 a t+3</x:v>
      </x:c>
      <x:c r="M17" s="20" t="str">
        <x:v>Os agregados mostram a trajetória do denominador, PDD e atraso. Sem tape por CCB, não se separa seleção do pool de mudança de denominador.</x:v>
      </x:c>
      <x:c r="N17" s="20" t="str">
        <x:v>CVM_FIDC_2024_I_IV_V_X2 | ANX_CRI1_PROSP_20240216</x:v>
      </x:c>
      <x:c r="O17" s="20" t="str">
        <x:v>Documentado</x:v>
      </x:c>
      <x:c r="P17" s="20" t="str">
        <x:v>Meses relativos ao fechamento da competência da cessão; ausência de classe subordinada identificável, aging, WAM ou ticket permanece n/d.</x:v>
      </x:c>
    </x:row>
    <x:row r="18">
      <x:c r="A18" s="20" t="str">
        <x:v>FIDC_IV</x:v>
      </x:c>
      <x:c r="B18" s="20" t="str">
        <x:v>CRI_K1</x:v>
      </x:c>
      <x:c r="C18" s="21" t="n">
        <x:v>45351</x:v>
      </x:c>
      <x:c r="D18" s="27" t="n">
        <x:v>2</x:v>
      </x:c>
      <x:c r="E18" s="23" t="n">
        <x:v>1167.57186011</x:v>
      </x:c>
      <x:c r="F18" s="23" t="n">
        <x:v>1168.12413147</x:v>
      </x:c>
      <x:c r="G18" s="26" t="n">
        <x:v>0.0276169645767039</x:v>
      </x:c>
      <x:c r="H18" s="26" t="n">
        <x:v>0.0035914302658233742</x:v>
      </x:c>
      <x:c r="I18" s="24" t="str">
        <x:v>n/d</x:v>
      </x:c>
      <x:c r="J18" s="20" t="str">
        <x:v>n/d</x:v>
      </x:c>
      <x:c r="K18" s="26" t="n">
        <x:v>0.27557796847241883</x:v>
      </x:c>
      <x:c r="L18" s="20" t="str">
        <x:v>janela t−3 a t+3</x:v>
      </x:c>
      <x:c r="M18" s="20" t="str">
        <x:v>Os agregados mostram a trajetória do denominador, PDD e atraso. Sem tape por CCB, não se separa seleção do pool de mudança de denominador.</x:v>
      </x:c>
      <x:c r="N18" s="20" t="str">
        <x:v>CVM_FIDC_2024_I_IV_V_X2 | ANX_CRI1_PROSP_20240216</x:v>
      </x:c>
      <x:c r="O18" s="20" t="str">
        <x:v>Documentado</x:v>
      </x:c>
      <x:c r="P18" s="20" t="str">
        <x:v>Meses relativos ao fechamento da competência da cessão; ausência de classe subordinada identificável, aging, WAM ou ticket permanece n/d.</x:v>
      </x:c>
    </x:row>
    <x:row r="19">
      <x:c r="A19" s="20" t="str">
        <x:v>FIDC_IV</x:v>
      </x:c>
      <x:c r="B19" s="20" t="str">
        <x:v>CRI_K1</x:v>
      </x:c>
      <x:c r="C19" s="21" t="n">
        <x:v>45382</x:v>
      </x:c>
      <x:c r="D19" s="27" t="n">
        <x:v>3</x:v>
      </x:c>
      <x:c r="E19" s="23" t="n">
        <x:v>1169.37978751</x:v>
      </x:c>
      <x:c r="F19" s="23" t="n">
        <x:v>1167.2088851600001</x:v>
      </x:c>
      <x:c r="G19" s="26" t="n">
        <x:v>0.02926740867408426</x:v>
      </x:c>
      <x:c r="H19" s="26" t="n">
        <x:v>0.003994894846401736</x:v>
      </x:c>
      <x:c r="I19" s="24" t="str">
        <x:v>n/d</x:v>
      </x:c>
      <x:c r="J19" s="20" t="str">
        <x:v>n/d</x:v>
      </x:c>
      <x:c r="K19" s="26" t="n">
        <x:v>0.276319366171627</x:v>
      </x:c>
      <x:c r="L19" s="20" t="str">
        <x:v>janela t−3 a t+3</x:v>
      </x:c>
      <x:c r="M19" s="20" t="str">
        <x:v>Os agregados mostram a trajetória do denominador, PDD e atraso. Sem tape por CCB, não se separa seleção do pool de mudança de denominador.</x:v>
      </x:c>
      <x:c r="N19" s="20" t="str">
        <x:v>CVM_FIDC_2024_I_IV_V_X2 | ANX_CRI1_PROSP_20240216</x:v>
      </x:c>
      <x:c r="O19" s="20" t="str">
        <x:v>Documentado</x:v>
      </x:c>
      <x:c r="P19" s="20" t="str">
        <x:v>Meses relativos ao fechamento da competência da cessão; ausência de classe subordinada identificável, aging, WAM ou ticket permanece n/d.</x:v>
      </x:c>
    </x:row>
    <x:row r="20">
      <x:c r="A20" s="20" t="str">
        <x:v>FIDC_II</x:v>
      </x:c>
      <x:c r="B20" s="20" t="str">
        <x:v>CRI_K2</x:v>
      </x:c>
      <x:c r="C20" s="21" t="n">
        <x:v>45351</x:v>
      </x:c>
      <x:c r="D20" s="27" t="n">
        <x:v>-3</x:v>
      </x:c>
      <x:c r="E20" s="23" t="n">
        <x:v>374.9118366</x:v>
      </x:c>
      <x:c r="F20" s="23" t="n">
        <x:v>374.19103036</x:v>
      </x:c>
      <x:c r="G20" s="26" t="n">
        <x:v>0.09499553419493141</x:v>
      </x:c>
      <x:c r="H20" s="26" t="n">
        <x:v>0.009845928338943521</x:v>
      </x:c>
      <x:c r="I20" s="24" t="str">
        <x:v>n/d</x:v>
      </x:c>
      <x:c r="J20" s="20" t="str">
        <x:v>n/d</x:v>
      </x:c>
      <x:c r="K20" s="26" t="n">
        <x:v>0.21495074230580807</x:v>
      </x:c>
      <x:c r="L20" s="20" t="str">
        <x:v>janela t−3 a t+3</x:v>
      </x:c>
      <x:c r="M20" s="20" t="str">
        <x:v>Os agregados mostram a trajetória do denominador, PDD e atraso. Sem tape por CCB, não se separa seleção do pool de mudança de denominador.</x:v>
      </x:c>
      <x:c r="N20" s="20" t="str">
        <x:v>CVM_FIDC_2024_I_IV_V_X2 | ANX_CRI2_RATING_202406</x:v>
      </x:c>
      <x:c r="O20" s="20" t="str">
        <x:v>Documentado</x:v>
      </x:c>
      <x:c r="P20" s="20" t="str">
        <x:v>Meses relativos ao fechamento da competência da cessão; ausência de classe subordinada identificável, aging, WAM ou ticket permanece n/d.</x:v>
      </x:c>
    </x:row>
    <x:row r="21">
      <x:c r="A21" s="20" t="str">
        <x:v>FIDC_II</x:v>
      </x:c>
      <x:c r="B21" s="20" t="str">
        <x:v>CRI_K2</x:v>
      </x:c>
      <x:c r="C21" s="21" t="n">
        <x:v>45382</x:v>
      </x:c>
      <x:c r="D21" s="27" t="n">
        <x:v>-2</x:v>
      </x:c>
      <x:c r="E21" s="23" t="n">
        <x:v>358.81230752</x:v>
      </x:c>
      <x:c r="F21" s="23" t="n">
        <x:v>357.9950492</x:v>
      </x:c>
      <x:c r="G21" s="26" t="n">
        <x:v>0.09373170099694215</x:v>
      </x:c>
      <x:c r="H21" s="26" t="n">
        <x:v>0.010366724842406005</x:v>
      </x:c>
      <x:c r="I21" s="24" t="str">
        <x:v>n/d</x:v>
      </x:c>
      <x:c r="J21" s="20" t="str">
        <x:v>n/d</x:v>
      </x:c>
      <x:c r="K21" s="26" t="n">
        <x:v>0.2092360881065432</x:v>
      </x:c>
      <x:c r="L21" s="20" t="str">
        <x:v>janela t−3 a t+3</x:v>
      </x:c>
      <x:c r="M21" s="20" t="str">
        <x:v>Os agregados mostram a trajetória do denominador, PDD e atraso. Sem tape por CCB, não se separa seleção do pool de mudança de denominador.</x:v>
      </x:c>
      <x:c r="N21" s="20" t="str">
        <x:v>CVM_FIDC_2024_I_IV_V_X2 | ANX_CRI2_RATING_202406</x:v>
      </x:c>
      <x:c r="O21" s="20" t="str">
        <x:v>Documentado</x:v>
      </x:c>
      <x:c r="P21" s="20" t="str">
        <x:v>Meses relativos ao fechamento da competência da cessão; ausência de classe subordinada identificável, aging, WAM ou ticket permanece n/d.</x:v>
      </x:c>
    </x:row>
    <x:row r="22">
      <x:c r="A22" s="20" t="str">
        <x:v>FIDC_II</x:v>
      </x:c>
      <x:c r="B22" s="20" t="str">
        <x:v>CRI_K2</x:v>
      </x:c>
      <x:c r="C22" s="21" t="n">
        <x:v>45412</x:v>
      </x:c>
      <x:c r="D22" s="27" t="n">
        <x:v>-1</x:v>
      </x:c>
      <x:c r="E22" s="23" t="n">
        <x:v>351.03004002999995</x:v>
      </x:c>
      <x:c r="F22" s="23" t="n">
        <x:v>349.52960016000003</x:v>
      </x:c>
      <x:c r="G22" s="26" t="n">
        <x:v>0.09620764443013347</x:v>
      </x:c>
      <x:c r="H22" s="26" t="n">
        <x:v>0.010747857086439438</x:v>
      </x:c>
      <x:c r="I22" s="24" t="str">
        <x:v>n/d</x:v>
      </x:c>
      <x:c r="J22" s="20" t="str">
        <x:v>n/d</x:v>
      </x:c>
      <x:c r="K22" s="26" t="n">
        <x:v>0.20787441120349937</x:v>
      </x:c>
      <x:c r="L22" s="20" t="str">
        <x:v>janela t−3 a t+3</x:v>
      </x:c>
      <x:c r="M22" s="20" t="str">
        <x:v>Os agregados mostram a trajetória do denominador, PDD e atraso. Sem tape por CCB, não se separa seleção do pool de mudança de denominador.</x:v>
      </x:c>
      <x:c r="N22" s="20" t="str">
        <x:v>CVM_FIDC_2024_I_IV_V_X2 | ANX_CRI2_RATING_202406</x:v>
      </x:c>
      <x:c r="O22" s="20" t="str">
        <x:v>Documentado</x:v>
      </x:c>
      <x:c r="P22" s="20" t="str">
        <x:v>Meses relativos ao fechamento da competência da cessão; ausência de classe subordinada identificável, aging, WAM ou ticket permanece n/d.</x:v>
      </x:c>
    </x:row>
    <x:row r="23">
      <x:c r="A23" s="20" t="str">
        <x:v>FIDC_II</x:v>
      </x:c>
      <x:c r="B23" s="20" t="str">
        <x:v>CRI_K2</x:v>
      </x:c>
      <x:c r="C23" s="21" t="n">
        <x:v>45443</x:v>
      </x:c>
      <x:c r="D23" s="27" t="n">
        <x:v>0</x:v>
      </x:c>
      <x:c r="E23" s="23" t="n">
        <x:v>339.71554220999997</x:v>
      </x:c>
      <x:c r="F23" s="23" t="n">
        <x:v>338.41657774000004</x:v>
      </x:c>
      <x:c r="G23" s="26" t="n">
        <x:v>0.10111749760760996</x:v>
      </x:c>
      <x:c r="H23" s="26" t="n">
        <x:v>0.011785268371409894</x:v>
      </x:c>
      <x:c r="I23" s="24" t="str">
        <x:v>n/d</x:v>
      </x:c>
      <x:c r="J23" s="20" t="str">
        <x:v>n/d</x:v>
      </x:c>
      <x:c r="K23" s="26" t="n">
        <x:v>0.20743449536598155</x:v>
      </x:c>
      <x:c r="L23" s="20" t="str">
        <x:v>cessão em t=0</x:v>
      </x:c>
      <x:c r="M23" s="20" t="str">
        <x:v>Os agregados mostram a trajetória do denominador, PDD e atraso. Sem tape por CCB, não se separa seleção do pool de mudança de denominador.</x:v>
      </x:c>
      <x:c r="N23" s="20" t="str">
        <x:v>CVM_FIDC_2024_I_IV_V_X2 | ANX_CRI2_RATING_202406</x:v>
      </x:c>
      <x:c r="O23" s="20" t="str">
        <x:v>Documentado</x:v>
      </x:c>
      <x:c r="P23" s="20" t="str">
        <x:v>Meses relativos ao fechamento da competência da cessão; ausência de classe subordinada identificável, aging, WAM ou ticket permanece n/d.</x:v>
      </x:c>
    </x:row>
    <x:row r="24">
      <x:c r="A24" s="20" t="str">
        <x:v>FIDC_II</x:v>
      </x:c>
      <x:c r="B24" s="20" t="str">
        <x:v>CRI_K2</x:v>
      </x:c>
      <x:c r="C24" s="21" t="n">
        <x:v>45473</x:v>
      </x:c>
      <x:c r="D24" s="27" t="n">
        <x:v>1</x:v>
      </x:c>
      <x:c r="E24" s="23" t="n">
        <x:v>330.27028631</x:v>
      </x:c>
      <x:c r="F24" s="23" t="n">
        <x:v>329.86141803</x:v>
      </x:c>
      <x:c r="G24" s="26" t="n">
        <x:v>0.10234474799028986</x:v>
      </x:c>
      <x:c r="H24" s="26" t="n">
        <x:v>0.012155400422232279</x:v>
      </x:c>
      <x:c r="I24" s="24" t="str">
        <x:v>n/d</x:v>
      </x:c>
      <x:c r="J24" s="20" t="str">
        <x:v>n/d</x:v>
      </x:c>
      <x:c r="K24" s="26" t="n">
        <x:v>0.207858183522875</x:v>
      </x:c>
      <x:c r="L24" s="20" t="str">
        <x:v>janela t−3 a t+3</x:v>
      </x:c>
      <x:c r="M24" s="20" t="str">
        <x:v>Os agregados mostram a trajetória do denominador, PDD e atraso. Sem tape por CCB, não se separa seleção do pool de mudança de denominador.</x:v>
      </x:c>
      <x:c r="N24" s="20" t="str">
        <x:v>CVM_FIDC_2024_I_IV_V_X2 | ANX_CRI2_RATING_202406</x:v>
      </x:c>
      <x:c r="O24" s="20" t="str">
        <x:v>Documentado</x:v>
      </x:c>
      <x:c r="P24" s="20" t="str">
        <x:v>Meses relativos ao fechamento da competência da cessão; ausência de classe subordinada identificável, aging, WAM ou ticket permanece n/d.</x:v>
      </x:c>
    </x:row>
    <x:row r="25">
      <x:c r="A25" s="20" t="str">
        <x:v>FIDC_II</x:v>
      </x:c>
      <x:c r="B25" s="20" t="str">
        <x:v>CRI_K2</x:v>
      </x:c>
      <x:c r="C25" s="21" t="n">
        <x:v>45504</x:v>
      </x:c>
      <x:c r="D25" s="27" t="n">
        <x:v>2</x:v>
      </x:c>
      <x:c r="E25" s="23" t="n">
        <x:v>217.22531544</x:v>
      </x:c>
      <x:c r="F25" s="23" t="n">
        <x:v>217.23418099</x:v>
      </x:c>
      <x:c r="G25" s="26" t="n">
        <x:v>0.14705023525496894</x:v>
      </x:c>
      <x:c r="H25" s="26" t="n">
        <x:v>0.01740479980070009</x:v>
      </x:c>
      <x:c r="I25" s="24" t="str">
        <x:v>n/d</x:v>
      </x:c>
      <x:c r="J25" s="20" t="str">
        <x:v>n/d</x:v>
      </x:c>
      <x:c r="K25" s="26" t="n">
        <x:v>0.22927365334950642</x:v>
      </x:c>
      <x:c r="L25" s="20" t="str">
        <x:v>janela t−3 a t+3</x:v>
      </x:c>
      <x:c r="M25" s="20" t="str">
        <x:v>Os agregados mostram a trajetória do denominador, PDD e atraso. Sem tape por CCB, não se separa seleção do pool de mudança de denominador.</x:v>
      </x:c>
      <x:c r="N25" s="20" t="str">
        <x:v>CVM_FIDC_2024_I_IV_V_X2 | ANX_CRI2_RATING_202406</x:v>
      </x:c>
      <x:c r="O25" s="20" t="str">
        <x:v>Documentado</x:v>
      </x:c>
      <x:c r="P25" s="20" t="str">
        <x:v>Meses relativos ao fechamento da competência da cessão; ausência de classe subordinada identificável, aging, WAM ou ticket permanece n/d.</x:v>
      </x:c>
    </x:row>
    <x:row r="26">
      <x:c r="A26" s="20" t="str">
        <x:v>FIDC_II</x:v>
      </x:c>
      <x:c r="B26" s="20" t="str">
        <x:v>CRI_K2</x:v>
      </x:c>
      <x:c r="C26" s="21" t="n">
        <x:v>45535</x:v>
      </x:c>
      <x:c r="D26" s="27" t="n">
        <x:v>3</x:v>
      </x:c>
      <x:c r="E26" s="23" t="n">
        <x:v>208.21287919</x:v>
      </x:c>
      <x:c r="F26" s="23" t="n">
        <x:v>206.32302319</x:v>
      </x:c>
      <x:c r="G26" s="26" t="n">
        <x:v>0.1476561573641994</x:v>
      </x:c>
      <x:c r="H26" s="26" t="n">
        <x:v>0.018111141850412318</x:v>
      </x:c>
      <x:c r="I26" s="24" t="str">
        <x:v>n/d</x:v>
      </x:c>
      <x:c r="J26" s="20" t="str">
        <x:v>n/d</x:v>
      </x:c>
      <x:c r="K26" s="26" t="n">
        <x:v>0.23191564115014474</x:v>
      </x:c>
      <x:c r="L26" s="20" t="str">
        <x:v>janela t−3 a t+3</x:v>
      </x:c>
      <x:c r="M26" s="20" t="str">
        <x:v>Os agregados mostram a trajetória do denominador, PDD e atraso. Sem tape por CCB, não se separa seleção do pool de mudança de denominador.</x:v>
      </x:c>
      <x:c r="N26" s="20" t="str">
        <x:v>CVM_FIDC_2024_I_IV_V_X2 | ANX_CRI2_RATING_202406</x:v>
      </x:c>
      <x:c r="O26" s="20" t="str">
        <x:v>Documentado</x:v>
      </x:c>
      <x:c r="P26" s="20" t="str">
        <x:v>Meses relativos ao fechamento da competência da cessão; ausência de classe subordinada identificável, aging, WAM ou ticket permanece n/d.</x:v>
      </x:c>
    </x:row>
    <x:row r="27">
      <x:c r="A27" s="20" t="str">
        <x:v>FIDC_IV</x:v>
      </x:c>
      <x:c r="B27" s="20" t="str">
        <x:v>CRI_K2</x:v>
      </x:c>
      <x:c r="C27" s="21" t="n">
        <x:v>45351</x:v>
      </x:c>
      <x:c r="D27" s="27" t="n">
        <x:v>-3</x:v>
      </x:c>
      <x:c r="E27" s="23" t="n">
        <x:v>1167.57186011</x:v>
      </x:c>
      <x:c r="F27" s="23" t="n">
        <x:v>1168.12413147</x:v>
      </x:c>
      <x:c r="G27" s="26" t="n">
        <x:v>0.0276169645767039</x:v>
      </x:c>
      <x:c r="H27" s="26" t="n">
        <x:v>0.0035914302658233742</x:v>
      </x:c>
      <x:c r="I27" s="24" t="str">
        <x:v>n/d</x:v>
      </x:c>
      <x:c r="J27" s="20" t="str">
        <x:v>n/d</x:v>
      </x:c>
      <x:c r="K27" s="26" t="n">
        <x:v>0.27557796847241883</x:v>
      </x:c>
      <x:c r="L27" s="20" t="str">
        <x:v>janela t−3 a t+3</x:v>
      </x:c>
      <x:c r="M27" s="20" t="str">
        <x:v>Os agregados mostram a trajetória do denominador, PDD e atraso. Sem tape por CCB, não se separa seleção do pool de mudança de denominador.</x:v>
      </x:c>
      <x:c r="N27" s="20" t="str">
        <x:v>CVM_FIDC_2024_I_IV_V_X2 | ANX_CRI2_RATING_202406</x:v>
      </x:c>
      <x:c r="O27" s="20" t="str">
        <x:v>Documentado</x:v>
      </x:c>
      <x:c r="P27" s="20" t="str">
        <x:v>Meses relativos ao fechamento da competência da cessão; ausência de classe subordinada identificável, aging, WAM ou ticket permanece n/d.</x:v>
      </x:c>
    </x:row>
    <x:row r="28">
      <x:c r="A28" s="20" t="str">
        <x:v>FIDC_IV</x:v>
      </x:c>
      <x:c r="B28" s="20" t="str">
        <x:v>CRI_K2</x:v>
      </x:c>
      <x:c r="C28" s="21" t="n">
        <x:v>45382</x:v>
      </x:c>
      <x:c r="D28" s="27" t="n">
        <x:v>-2</x:v>
      </x:c>
      <x:c r="E28" s="23" t="n">
        <x:v>1169.37978751</x:v>
      </x:c>
      <x:c r="F28" s="23" t="n">
        <x:v>1167.2088851600001</x:v>
      </x:c>
      <x:c r="G28" s="26" t="n">
        <x:v>0.02926740867408426</x:v>
      </x:c>
      <x:c r="H28" s="26" t="n">
        <x:v>0.003994894846401736</x:v>
      </x:c>
      <x:c r="I28" s="24" t="str">
        <x:v>n/d</x:v>
      </x:c>
      <x:c r="J28" s="20" t="str">
        <x:v>n/d</x:v>
      </x:c>
      <x:c r="K28" s="26" t="n">
        <x:v>0.276319366171627</x:v>
      </x:c>
      <x:c r="L28" s="20" t="str">
        <x:v>janela t−3 a t+3</x:v>
      </x:c>
      <x:c r="M28" s="20" t="str">
        <x:v>Os agregados mostram a trajetória do denominador, PDD e atraso. Sem tape por CCB, não se separa seleção do pool de mudança de denominador.</x:v>
      </x:c>
      <x:c r="N28" s="20" t="str">
        <x:v>CVM_FIDC_2024_I_IV_V_X2 | ANX_CRI2_RATING_202406</x:v>
      </x:c>
      <x:c r="O28" s="20" t="str">
        <x:v>Documentado</x:v>
      </x:c>
      <x:c r="P28" s="20" t="str">
        <x:v>Meses relativos ao fechamento da competência da cessão; ausência de classe subordinada identificável, aging, WAM ou ticket permanece n/d.</x:v>
      </x:c>
    </x:row>
    <x:row r="29">
      <x:c r="A29" s="20" t="str">
        <x:v>FIDC_IV</x:v>
      </x:c>
      <x:c r="B29" s="20" t="str">
        <x:v>CRI_K2</x:v>
      </x:c>
      <x:c r="C29" s="21" t="n">
        <x:v>45412</x:v>
      </x:c>
      <x:c r="D29" s="27" t="n">
        <x:v>-1</x:v>
      </x:c>
      <x:c r="E29" s="23" t="n">
        <x:v>1164.6743877200001</x:v>
      </x:c>
      <x:c r="F29" s="23" t="n">
        <x:v>1162.9915045999999</x:v>
      </x:c>
      <x:c r="G29" s="26" t="n">
        <x:v>0.03028876283332397</x:v>
      </x:c>
      <x:c r="H29" s="26" t="n">
        <x:v>0.004037986633114053</x:v>
      </x:c>
      <x:c r="I29" s="24" t="str">
        <x:v>n/d</x:v>
      </x:c>
      <x:c r="J29" s="20" t="str">
        <x:v>n/d</x:v>
      </x:c>
      <x:c r="K29" s="26" t="n">
        <x:v>0.26234076912712806</x:v>
      </x:c>
      <x:c r="L29" s="20" t="str">
        <x:v>janela t−3 a t+3</x:v>
      </x:c>
      <x:c r="M29" s="20" t="str">
        <x:v>Os agregados mostram a trajetória do denominador, PDD e atraso. Sem tape por CCB, não se separa seleção do pool de mudança de denominador.</x:v>
      </x:c>
      <x:c r="N29" s="20" t="str">
        <x:v>CVM_FIDC_2024_I_IV_V_X2 | ANX_CRI2_RATING_202406</x:v>
      </x:c>
      <x:c r="O29" s="20" t="str">
        <x:v>Documentado</x:v>
      </x:c>
      <x:c r="P29" s="20" t="str">
        <x:v>Meses relativos ao fechamento da competência da cessão; ausência de classe subordinada identificável, aging, WAM ou ticket permanece n/d.</x:v>
      </x:c>
    </x:row>
    <x:row r="30">
      <x:c r="A30" s="20" t="str">
        <x:v>FIDC_IV</x:v>
      </x:c>
      <x:c r="B30" s="20" t="str">
        <x:v>CRI_K2</x:v>
      </x:c>
      <x:c r="C30" s="21" t="n">
        <x:v>45443</x:v>
      </x:c>
      <x:c r="D30" s="27" t="n">
        <x:v>0</x:v>
      </x:c>
      <x:c r="E30" s="23" t="n">
        <x:v>1198.7644278</x:v>
      </x:c>
      <x:c r="F30" s="23" t="n">
        <x:v>1195.02669218</x:v>
      </x:c>
      <x:c r="G30" s="26" t="n">
        <x:v>0.03226139975138977</x:v>
      </x:c>
      <x:c r="H30" s="26" t="n">
        <x:v>0.004364879424144545</x:v>
      </x:c>
      <x:c r="I30" s="24" t="str">
        <x:v>n/d</x:v>
      </x:c>
      <x:c r="J30" s="20" t="str">
        <x:v>n/d</x:v>
      </x:c>
      <x:c r="K30" s="26" t="n">
        <x:v>0.2934190319160498</x:v>
      </x:c>
      <x:c r="L30" s="20" t="str">
        <x:v>cessão em t=0</x:v>
      </x:c>
      <x:c r="M30" s="20" t="str">
        <x:v>Os agregados mostram a trajetória do denominador, PDD e atraso. Sem tape por CCB, não se separa seleção do pool de mudança de denominador.</x:v>
      </x:c>
      <x:c r="N30" s="20" t="str">
        <x:v>CVM_FIDC_2024_I_IV_V_X2 | ANX_CRI2_RATING_202406</x:v>
      </x:c>
      <x:c r="O30" s="20" t="str">
        <x:v>Documentado</x:v>
      </x:c>
      <x:c r="P30" s="20" t="str">
        <x:v>Meses relativos ao fechamento da competência da cessão; ausência de classe subordinada identificável, aging, WAM ou ticket permanece n/d.</x:v>
      </x:c>
    </x:row>
    <x:row r="31">
      <x:c r="A31" s="20" t="str">
        <x:v>FIDC_IV</x:v>
      </x:c>
      <x:c r="B31" s="20" t="str">
        <x:v>CRI_K2</x:v>
      </x:c>
      <x:c r="C31" s="21" t="n">
        <x:v>45473</x:v>
      </x:c>
      <x:c r="D31" s="27" t="n">
        <x:v>1</x:v>
      </x:c>
      <x:c r="E31" s="23" t="n">
        <x:v>1203.67772498</x:v>
      </x:c>
      <x:c r="F31" s="23" t="n">
        <x:v>1204.25981716</x:v>
      </x:c>
      <x:c r="G31" s="26" t="n">
        <x:v>0.03408343603691515</x:v>
      </x:c>
      <x:c r="H31" s="26" t="n">
        <x:v>0.004595094439877657</x:v>
      </x:c>
      <x:c r="I31" s="24" t="str">
        <x:v>n/d</x:v>
      </x:c>
      <x:c r="J31" s="20" t="str">
        <x:v>n/d</x:v>
      </x:c>
      <x:c r="K31" s="26" t="n">
        <x:v>0.29706398293383607</x:v>
      </x:c>
      <x:c r="L31" s="20" t="str">
        <x:v>janela t−3 a t+3</x:v>
      </x:c>
      <x:c r="M31" s="20" t="str">
        <x:v>Os agregados mostram a trajetória do denominador, PDD e atraso. Sem tape por CCB, não se separa seleção do pool de mudança de denominador.</x:v>
      </x:c>
      <x:c r="N31" s="20" t="str">
        <x:v>CVM_FIDC_2024_I_IV_V_X2 | ANX_CRI2_RATING_202406</x:v>
      </x:c>
      <x:c r="O31" s="20" t="str">
        <x:v>Documentado</x:v>
      </x:c>
      <x:c r="P31" s="20" t="str">
        <x:v>Meses relativos ao fechamento da competência da cessão; ausência de classe subordinada identificável, aging, WAM ou ticket permanece n/d.</x:v>
      </x:c>
    </x:row>
    <x:row r="32">
      <x:c r="A32" s="20" t="str">
        <x:v>FIDC_IV</x:v>
      </x:c>
      <x:c r="B32" s="20" t="str">
        <x:v>CRI_K2</x:v>
      </x:c>
      <x:c r="C32" s="21" t="n">
        <x:v>45504</x:v>
      </x:c>
      <x:c r="D32" s="27" t="n">
        <x:v>2</x:v>
      </x:c>
      <x:c r="E32" s="23" t="n">
        <x:v>1004.55311101</x:v>
      </x:c>
      <x:c r="F32" s="23" t="n">
        <x:v>1005.6720040399999</x:v>
      </x:c>
      <x:c r="G32" s="26" t="n">
        <x:v>0.04444320768645189</x:v>
      </x:c>
      <x:c r="H32" s="26" t="n">
        <x:v>0.005911258657015921</x:v>
      </x:c>
      <x:c r="I32" s="24" t="str">
        <x:v>n/d</x:v>
      </x:c>
      <x:c r="J32" s="20" t="str">
        <x:v>n/d</x:v>
      </x:c>
      <x:c r="K32" s="26" t="n">
        <x:v>0.29671975926723865</x:v>
      </x:c>
      <x:c r="L32" s="20" t="str">
        <x:v>janela t−3 a t+3</x:v>
      </x:c>
      <x:c r="M32" s="20" t="str">
        <x:v>Os agregados mostram a trajetória do denominador, PDD e atraso. Sem tape por CCB, não se separa seleção do pool de mudança de denominador.</x:v>
      </x:c>
      <x:c r="N32" s="20" t="str">
        <x:v>CVM_FIDC_2024_I_IV_V_X2 | ANX_CRI2_RATING_202406</x:v>
      </x:c>
      <x:c r="O32" s="20" t="str">
        <x:v>Documentado</x:v>
      </x:c>
      <x:c r="P32" s="20" t="str">
        <x:v>Meses relativos ao fechamento da competência da cessão; ausência de classe subordinada identificável, aging, WAM ou ticket permanece n/d.</x:v>
      </x:c>
    </x:row>
    <x:row r="33">
      <x:c r="A33" s="20" t="str">
        <x:v>FIDC_IV</x:v>
      </x:c>
      <x:c r="B33" s="20" t="str">
        <x:v>CRI_K2</x:v>
      </x:c>
      <x:c r="C33" s="21" t="n">
        <x:v>45535</x:v>
      </x:c>
      <x:c r="D33" s="27" t="n">
        <x:v>3</x:v>
      </x:c>
      <x:c r="E33" s="23" t="n">
        <x:v>1005.5887184500001</x:v>
      </x:c>
      <x:c r="F33" s="23" t="n">
        <x:v>1006.7554490800001</x:v>
      </x:c>
      <x:c r="G33" s="26" t="n">
        <x:v>0.04731846545606779</x:v>
      </x:c>
      <x:c r="H33" s="26" t="n">
        <x:v>0.0060372090218674575</x:v>
      </x:c>
      <x:c r="I33" s="24" t="str">
        <x:v>n/d</x:v>
      </x:c>
      <x:c r="J33" s="20" t="str">
        <x:v>n/d</x:v>
      </x:c>
      <x:c r="K33" s="26" t="n">
        <x:v>0.2987363707148162</x:v>
      </x:c>
      <x:c r="L33" s="20" t="str">
        <x:v>janela t−3 a t+3</x:v>
      </x:c>
      <x:c r="M33" s="20" t="str">
        <x:v>Os agregados mostram a trajetória do denominador, PDD e atraso. Sem tape por CCB, não se separa seleção do pool de mudança de denominador.</x:v>
      </x:c>
      <x:c r="N33" s="20" t="str">
        <x:v>CVM_FIDC_2024_I_IV_V_X2 | ANX_CRI2_RATING_202406</x:v>
      </x:c>
      <x:c r="O33" s="20" t="str">
        <x:v>Documentado</x:v>
      </x:c>
      <x:c r="P33" s="20" t="str">
        <x:v>Meses relativos ao fechamento da competência da cessão; ausência de classe subordinada identificável, aging, WAM ou ticket permanece n/d.</x:v>
      </x:c>
    </x:row>
  </x:sheetData>
  <x:mergeCells>
    <x:mergeCell ref="A1:P1"/>
    <x:mergeCell ref="A2:P2"/>
    <x:mergeCell ref="A3:P3"/>
  </x:mergeCells>
  <x:pageMargins left="0.7" right="0.7" top="0.75" bottom="0.75" header="0.3" footer="0.3"/>
  <x:drawing xmlns:r="http://schemas.openxmlformats.org/officeDocument/2006/relationships" r:id="R3d4149f7acd54dfd"/>
  <x:tableParts count="1">
    <x:tablePart xmlns:r="http://schemas.openxmlformats.org/officeDocument/2006/relationships" r:id="R5e777ac104d2491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15" hidden="0" customWidth="1"/>
    <x:col min="5" max="5" width="42" hidden="0" customWidth="1"/>
    <x:col min="6" max="6" width="42" hidden="0" customWidth="1"/>
    <x:col min="7" max="7" width="34" hidden="0" customWidth="1"/>
    <x:col min="8" max="8" width="19" hidden="0" customWidth="1"/>
    <x:col min="9" max="9" width="42" hidden="0" customWidth="1"/>
  </x:cols>
  <x:sheetData>
    <x:row r="1" ht="30" customHeight="1">
      <x:c r="A1" s="3" t="str">
        <x:v>15 FIDC vs CRI</x:v>
      </x:c>
    </x:row>
    <x:row r="2" ht="34" customHeight="1">
      <x:c r="A2" s="7" t="str">
        <x:v>O veredito aponta onde cada instrumento tem vantagem observável e quais dados faltam. Campos n/d não são tratados como evidência favorável.</x:v>
      </x:c>
    </x:row>
    <x:row r="3" ht="24" customHeight="1">
      <x:c r="A3" s="11" t="str">
        <x:v>Data-base: por linha | Fontes: METH_COMPARACAO_FIDC_CRI</x:v>
      </x:c>
    </x:row>
    <x:row r="4" ht="16" customHeight="1">
      <x:c r="A4" s="22" t="str"/>
      <x:c r="B4" s="22"/>
      <x:c r="C4" s="22"/>
      <x:c r="D4" s="22"/>
      <x:c r="E4" s="22"/>
      <x:c r="F4" s="22"/>
      <x:c r="G4" s="22"/>
      <x:c r="H4" s="22"/>
      <x:c r="I4" s="22"/>
    </x:row>
    <x:row r="5" ht="34" customHeight="1">
      <x:c r="A5" s="16" t="str">
        <x:v>dimensao</x:v>
      </x:c>
      <x:c r="B5" s="16" t="str">
        <x:v>como_funciona_no_FIDC</x:v>
      </x:c>
      <x:c r="C5" s="16" t="str">
        <x:v>como_funciona_no_CRI</x:v>
      </x:c>
      <x:c r="D5" s="16" t="str">
        <x:v>vantagem_real</x:v>
      </x:c>
      <x:c r="E5" s="16" t="str">
        <x:v>evidencia</x:v>
      </x:c>
      <x:c r="F5" s="16" t="str">
        <x:v>o_que_falta_para_confirmar</x:v>
      </x:c>
      <x:c r="G5" s="16" t="str">
        <x:v>fonte_id</x:v>
      </x:c>
      <x:c r="H5" s="16" t="str">
        <x:v>status</x:v>
      </x:c>
      <x:c r="I5" s="16" t="str">
        <x:v>nota_metodo</x:v>
      </x:c>
    </x:row>
    <x:row r="6">
      <x:c r="A6" s="20" t="str">
        <x:v>Velocidade de originação</x:v>
      </x:c>
      <x:c r="B6" s="20" t="str">
        <x:v>Veículo warehouse compra continuamente enquanto há revolvência e capital.</x:v>
      </x:c>
      <x:c r="C6" s="20" t="str">
        <x:v>Oferta exige documentação, registro, bookbuilding quando aplicável e liquidação.</x:v>
      </x:c>
      <x:c r="D6" s="20" t="str">
        <x:v>FIDC</x:v>
      </x:c>
      <x:c r="E6" s="20" t="str">
        <x:v>mandato e períodos de revolvência dos regulamentos</x:v>
      </x:c>
      <x:c r="F6" s="20" t="str">
        <x:v>tempo de execução comparável por operação</x:v>
      </x:c>
      <x:c r="G6" s="20" t="str">
        <x:v>METH_COMPARACAO_FIDC_CRI</x:v>
      </x:c>
      <x:c r="H6" s="20" t="str">
        <x:v>Inferido</x:v>
      </x:c>
      <x:c r="I6" s="20" t="str">
        <x:v>Veredito limitado às fontes públicas listadas; n/d não é convertido em vantagem.</x:v>
      </x:c>
    </x:row>
    <x:row r="7">
      <x:c r="A7" s="20" t="str">
        <x:v>Prazo do passivo</x:v>
      </x:c>
      <x:c r="B7" s="20" t="str">
        <x:v>Depende do suplemento; vários vencimentos efetivos estão n/d nos documentos públicos.</x:v>
      </x:c>
      <x:c r="C7" s="20" t="str">
        <x:v>Séries chegam a 2038 e alongam o funding do pool cedido.</x:v>
      </x:c>
      <x:c r="D7" s="20" t="str">
        <x:v>CRI</x:v>
      </x:c>
      <x:c r="E7" s="20" t="str">
        <x:v>02_Series e 05_Prazos_WAM</x:v>
      </x:c>
      <x:c r="F7" s="20" t="str">
        <x:v>vencimentos efetivos dos FIDCs</x:v>
      </x:c>
      <x:c r="G7" s="20" t="str">
        <x:v>METH_COMPARACAO_FIDC_CRI</x:v>
      </x:c>
      <x:c r="H7" s="20" t="str">
        <x:v>Inferido</x:v>
      </x:c>
      <x:c r="I7" s="20" t="str">
        <x:v>Veredito limitado às fontes públicas listadas; n/d não é convertido em vantagem.</x:v>
      </x:c>
    </x:row>
    <x:row r="8">
      <x:c r="A8" s="20" t="str">
        <x:v>Risco de rollover</x:v>
      </x:c>
      <x:c r="B8" s="20" t="str">
        <x:v>Surge no fim da revolvência e no vencimento das cotas; datas n/d limitam quantificação.</x:v>
      </x:c>
      <x:c r="C8" s="20" t="str">
        <x:v>Take-out trava prazo por série e reduz rollover do pool transferido.</x:v>
      </x:c>
      <x:c r="D8" s="20" t="str">
        <x:v>CRI</x:v>
      </x:c>
      <x:c r="E8" s="20" t="str">
        <x:v>05_Prazos_WAM</x:v>
      </x:c>
      <x:c r="F8" s="20" t="str">
        <x:v>cronogramas completos dos FIDCs</x:v>
      </x:c>
      <x:c r="G8" s="20" t="str">
        <x:v>METH_COMPARACAO_FIDC_CRI</x:v>
      </x:c>
      <x:c r="H8" s="20" t="str">
        <x:v>Inferido</x:v>
      </x:c>
      <x:c r="I8" s="20" t="str">
        <x:v>Veredito limitado às fontes públicas listadas; n/d não é convertido em vantagem.</x:v>
      </x:c>
    </x:row>
    <x:row r="9">
      <x:c r="A9" s="20" t="str">
        <x:v>Custo</x:v>
      </x:c>
      <x:c r="B9" s="20" t="str">
        <x:v>Taxas e custos recorrentes são parcialmente públicos.</x:v>
      </x:c>
      <x:c r="C9" s="20" t="str">
        <x:v>Taxas contratadas são públicas; equivalência DI/all-in está n/d sem curva datada e custos completos.</x:v>
      </x:c>
      <x:c r="D9" s="20" t="str">
        <x:v>neutro</x:v>
      </x:c>
      <x:c r="E9" s="20" t="str">
        <x:v>12_Custo_Captacao</x:v>
      </x:c>
      <x:c r="F9" s="20" t="str">
        <x:v>curva B3/inflação implícita, hedge, preço de cessão e custos recorrentes</x:v>
      </x:c>
      <x:c r="G9" s="20" t="str">
        <x:v>METH_COMPARACAO_FIDC_CRI</x:v>
      </x:c>
      <x:c r="H9" s="20" t="str">
        <x:v>Inferido</x:v>
      </x:c>
      <x:c r="I9" s="20" t="str">
        <x:v>Veredito limitado às fontes públicas listadas; n/d não é convertido em vantagem.</x:v>
      </x:c>
    </x:row>
    <x:row r="10">
      <x:c r="A10" s="20" t="str">
        <x:v>Base de investidores</x:v>
      </x:c>
      <x:c r="B10" s="20" t="str">
        <x:v>Cotas públicas concentram investidores qualificados/profissionais conforme a oferta.</x:v>
      </x:c>
      <x:c r="C10" s="20" t="str">
        <x:v>Ofertas encerradas alcançaram milhares de pessoas físicas em várias emissões.</x:v>
      </x:c>
      <x:c r="D10" s="20" t="str">
        <x:v>CRI</x:v>
      </x:c>
      <x:c r="E10" s="20" t="str">
        <x:v>10_Subscritores</x:v>
      </x:c>
      <x:c r="F10" s="20" t="str">
        <x:v>posição corrente por titular</x:v>
      </x:c>
      <x:c r="G10" s="20" t="str">
        <x:v>METH_COMPARACAO_FIDC_CRI</x:v>
      </x:c>
      <x:c r="H10" s="20" t="str">
        <x:v>Inferido</x:v>
      </x:c>
      <x:c r="I10" s="20" t="str">
        <x:v>Veredito limitado às fontes públicas listadas; n/d não é convertido em vantagem.</x:v>
      </x:c>
    </x:row>
    <x:row r="11">
      <x:c r="A11" s="20" t="str">
        <x:v>Granularidade exigida do pool</x:v>
      </x:c>
      <x:c r="B11" s="20" t="str">
        <x:v>Limites variam de 0,10% a 20%; alguns FIDCs têm caps de top 10/integrador.</x:v>
      </x:c>
      <x:c r="C11" s="20" t="str">
        <x:v>CRIs normalmente apertam WAM e concentração individual do pool cedido.</x:v>
      </x:c>
      <x:c r="D11" s="20" t="str">
        <x:v>CRI</x:v>
      </x:c>
      <x:c r="E11" s="20" t="str">
        <x:v>03_Elegibilidade e 04_Concentracao</x:v>
      </x:c>
      <x:c r="F11" s="20" t="str">
        <x:v>tape atual por CCB</x:v>
      </x:c>
      <x:c r="G11" s="20" t="str">
        <x:v>METH_COMPARACAO_FIDC_CRI</x:v>
      </x:c>
      <x:c r="H11" s="20" t="str">
        <x:v>Inferido</x:v>
      </x:c>
      <x:c r="I11" s="20" t="str">
        <x:v>Veredito limitado às fontes públicas listadas; n/d não é convertido em vantagem.</x:v>
      </x:c>
    </x:row>
    <x:row r="12">
      <x:c r="A12" s="20" t="str">
        <x:v>Retenção de risco</x:v>
      </x:c>
      <x:c r="B12" s="20" t="str">
        <x:v>Júnior costuma ficar com a originadora/relacionadas e pode ter saque condicionado.</x:v>
      </x:c>
      <x:c r="C12" s="20" t="str">
        <x:v>Série privada subordinada fica com Solfácil/relacionadas nas estruturas documentadas.</x:v>
      </x:c>
      <x:c r="D12" s="20" t="str">
        <x:v>neutro</x:v>
      </x:c>
      <x:c r="E12" s="20" t="str">
        <x:v>02_Series e 07_Subordinada</x:v>
      </x:c>
      <x:c r="F12" s="20" t="str">
        <x:v>titularidade corrente e capital econômico retido</x:v>
      </x:c>
      <x:c r="G12" s="20" t="str">
        <x:v>METH_COMPARACAO_FIDC_CRI</x:v>
      </x:c>
      <x:c r="H12" s="20" t="str">
        <x:v>Inferido</x:v>
      </x:c>
      <x:c r="I12" s="20" t="str">
        <x:v>Veredito limitado às fontes públicas listadas; n/d não é convertido em vantagem.</x:v>
      </x:c>
    </x:row>
    <x:row r="13">
      <x:c r="A13" s="20" t="str">
        <x:v>Flexibilidade de revolvência</x:v>
      </x:c>
      <x:c r="B13" s="20" t="str">
        <x:v>Permite compras e gestão do denominador durante o período contratual.</x:v>
      </x:c>
      <x:c r="C13" s="20" t="str">
        <x:v>Pool fica vinculado; amortização e substituições seguem o termo.</x:v>
      </x:c>
      <x:c r="D13" s="20" t="str">
        <x:v>FIDC</x:v>
      </x:c>
      <x:c r="E13" s="20" t="str">
        <x:v>06_Waterfall</x:v>
      </x:c>
      <x:c r="F13" s="20" t="str">
        <x:v>uso efetivo de substituições por operação</x:v>
      </x:c>
      <x:c r="G13" s="20" t="str">
        <x:v>METH_COMPARACAO_FIDC_CRI</x:v>
      </x:c>
      <x:c r="H13" s="20" t="str">
        <x:v>Inferido</x:v>
      </x:c>
      <x:c r="I13" s="20" t="str">
        <x:v>Veredito limitado às fontes públicas listadas; n/d não é convertido em vantagem.</x:v>
      </x:c>
    </x:row>
    <x:row r="14">
      <x:c r="A14" s="20" t="str">
        <x:v>Custo fixo por veículo</x:v>
      </x:c>
      <x:c r="B14" s="20" t="str">
        <x:v>Administração, gestão, custódia e cobrança recorrem durante a vida do fundo.</x:v>
      </x:c>
      <x:c r="C14" s="20" t="str">
        <x:v>Distribuição, securitização, agente, rating e escrituração incidem por emissão.</x:v>
      </x:c>
      <x:c r="D14" s="20" t="str">
        <x:v>neutro</x:v>
      </x:c>
      <x:c r="E14" s="20" t="str">
        <x:v>12_Custo_Captacao</x:v>
      </x:c>
      <x:c r="F14" s="20" t="str">
        <x:v>todas as faturas e PL médio</x:v>
      </x:c>
      <x:c r="G14" s="20" t="str">
        <x:v>METH_COMPARACAO_FIDC_CRI</x:v>
      </x:c>
      <x:c r="H14" s="20" t="str">
        <x:v>Inferido</x:v>
      </x:c>
      <x:c r="I14" s="20" t="str">
        <x:v>Veredito limitado às fontes públicas listadas; n/d não é convertido em vantagem.</x:v>
      </x:c>
    </x:row>
    <x:row r="15">
      <x:c r="A15" s="20" t="str">
        <x:v>Transparência pós-emissão</x:v>
      </x:c>
      <x:c r="B15" s="20" t="str">
        <x:v>Informe Mensal publica PL, carteira, aging e cotas por classe.</x:v>
      </x:c>
      <x:c r="C15" s="20" t="str">
        <x:v>Informe Mensal publica saldo, créditos, pagamentos e classes; posição de investidores permanece n/d.</x:v>
      </x:c>
      <x:c r="D15" s="20" t="str">
        <x:v>FIDC</x:v>
      </x:c>
      <x:c r="E15" s="20" t="str">
        <x:v>08_PDD, 10_Subscritores e 13_Cronograma</x:v>
      </x:c>
      <x:c r="F15" s="20" t="str">
        <x:v>tape por CCB e posição corrente</x:v>
      </x:c>
      <x:c r="G15" s="20" t="str">
        <x:v>METH_COMPARACAO_FIDC_CRI</x:v>
      </x:c>
      <x:c r="H15" s="20" t="str">
        <x:v>Inferido</x:v>
      </x:c>
      <x:c r="I15" s="20" t="str">
        <x:v>Veredito limitado às fontes públicas listadas; n/d não é convertido em vantagem.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b17a8c6bb7a4ea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13" hidden="0" customWidth="1"/>
    <x:col min="7" max="7" width="24" hidden="0" customWidth="1"/>
    <x:col min="8" max="8" width="24" hidden="0" customWidth="1"/>
    <x:col min="9" max="9" width="13" hidden="0" customWidth="1"/>
    <x:col min="10" max="10" width="24" hidden="0" customWidth="1"/>
    <x:col min="11" max="11" width="42" hidden="0" customWidth="1"/>
    <x:col min="12" max="12" width="11" hidden="0" customWidth="1"/>
    <x:col min="13" max="13" width="34" hidden="0" customWidth="1"/>
    <x:col min="14" max="14" width="19" hidden="0" customWidth="1"/>
    <x:col min="15" max="15" width="42" hidden="0" customWidth="1"/>
  </x:cols>
  <x:sheetData>
    <x:row r="1" ht="30" customHeight="1">
      <x:c r="A1" s="3" t="str">
        <x:v>16 Conflitos</x:v>
      </x:c>
    </x:row>
    <x:row r="2" ht="34" customHeight="1">
      <x:c r="A2" s="7" t="str">
        <x:v>Toda divergência conserva os dois valores e a decisão adotada. Laranja marca conflitos reconciliados, sem ocultar a fonte descartada.</x:v>
      </x:c>
    </x:row>
    <x:row r="3" ht="24" customHeight="1">
      <x:c r="A3" s="11" t="str">
        <x:v>Data-base: por linha | Fontes: ANX_XP_20260428; ANX_CRI1_PROSP_20240216; ANX_CRI2_BOOK_20240620; CVM_CRI_2026_CLASSE; ANX_CRI2_RATING_202406; ver 17_Fontes</x:v>
      </x:c>
    </x:row>
    <x:row r="4" ht="16" customHeight="1">
      <x:c r="A4" s="22" t="str">
        <x:v>Legenda: laranja = divergência reconciliada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 ht="34" customHeight="1">
      <x:c r="A5" s="16" t="str">
        <x:v>conflito_id</x:v>
      </x:c>
      <x:c r="B5" s="16" t="str">
        <x:v>veiculo_id</x:v>
      </x:c>
      <x:c r="C5" s="16" t="str">
        <x:v>campo</x:v>
      </x:c>
      <x:c r="D5" s="16" t="str">
        <x:v>valor_fonte_A</x:v>
      </x:c>
      <x:c r="E5" s="16" t="str">
        <x:v>fonte_A</x:v>
      </x:c>
      <x:c r="F5" s="16" t="str">
        <x:v>data_base_A</x:v>
      </x:c>
      <x:c r="G5" s="16" t="str">
        <x:v>valor_fonte_B</x:v>
      </x:c>
      <x:c r="H5" s="16" t="str">
        <x:v>fonte_B</x:v>
      </x:c>
      <x:c r="I5" s="16" t="str">
        <x:v>data_base_B</x:v>
      </x:c>
      <x:c r="J5" s="16" t="str">
        <x:v>valor_adotado</x:v>
      </x:c>
      <x:c r="K5" s="16" t="str">
        <x:v>decisao_justificativa</x:v>
      </x:c>
      <x:c r="L5" s="16" t="str">
        <x:v>conflito</x:v>
      </x:c>
      <x:c r="M5" s="16" t="str">
        <x:v>fonte_id</x:v>
      </x:c>
      <x:c r="N5" s="16" t="str">
        <x:v>status</x:v>
      </x:c>
      <x:c r="O5" s="16" t="str">
        <x:v>nota_metodo</x:v>
      </x:c>
    </x:row>
    <x:row r="6">
      <x:c r="A6" s="20" t="str">
        <x:v>CONF_01</x:v>
      </x:c>
      <x:c r="B6" s="20" t="str">
        <x:v>CRI_K1</x:v>
      </x:c>
      <x:c r="C6" s="20" t="str">
        <x:v>volume da emissão</x:v>
      </x:c>
      <x:c r="D6" s="20" t="str">
        <x:v>R$600 mi</x:v>
      </x:c>
      <x:c r="E6" s="20" t="str">
        <x:v>ANX_XP_20260428</x:v>
      </x:c>
      <x:c r="F6" s="21" t="n">
        <x:v>46140</x:v>
      </x:c>
      <x:c r="G6" s="20" t="str">
        <x:v>R$588 mi público / R$603 mi total</x:v>
      </x:c>
      <x:c r="H6" s="20" t="str">
        <x:v>ANX_CRI1_PROSP_20240216</x:v>
      </x:c>
      <x:c r="I6" s="21" t="n">
        <x:v>45338</x:v>
      </x:c>
      <x:c r="J6" s="20" t="str">
        <x:v>R$588 mi público; R$603 mi total</x:v>
      </x:c>
      <x:c r="K6" s="20" t="str">
        <x:v>O deck arredonda e mistura perímetros; o prospecto separa oferta pública e série privada.</x:v>
      </x:c>
      <x:c r="L6" s="20" t="str">
        <x:v>sim</x:v>
      </x:c>
      <x:c r="M6" s="20" t="str">
        <x:v>ANX_XP_20260428 | ANX_CRI1_PROSP_20240216</x:v>
      </x:c>
      <x:c r="N6" s="20" t="str">
        <x:v>Documentado</x:v>
      </x:c>
      <x:c r="O6" s="20" t="str">
        <x:v>Conflito tratado explicitamente; nenhuma fonte foi sobrescrita silenciosamente.</x:v>
      </x:c>
    </x:row>
    <x:row r="7">
      <x:c r="A7" s="20" t="str">
        <x:v>CONF_02</x:v>
      </x:c>
      <x:c r="B7" s="20" t="str">
        <x:v>CRI_K1</x:v>
      </x:c>
      <x:c r="C7" s="20" t="str">
        <x:v>taxa Série 3</x:v>
      </x:c>
      <x:c r="D7" s="20" t="str">
        <x:v>16,48% (número)</x:v>
      </x:c>
      <x:c r="E7" s="20" t="str">
        <x:v>ANX_CRI1_PROSP_20240216 p.14</x:v>
      </x:c>
      <x:c r="F7" s="21" t="n">
        <x:v>45338</x:v>
      </x:c>
      <x:c r="G7" s="20" t="str">
        <x:v>17,48% (por extenso)</x:v>
      </x:c>
      <x:c r="H7" s="20" t="str">
        <x:v>ANX_CRI1_PROSP_20240216 p.211</x:v>
      </x:c>
      <x:c r="I7" s="21" t="n">
        <x:v>45338</x:v>
      </x:c>
      <x:c r="J7" s="20" t="str">
        <x:v>16,48% com conflito=sim</x:v>
      </x:c>
      <x:c r="K7" s="20" t="str">
        <x:v>O valor numérico foi preservado; confirmação operacional continua pendente.</x:v>
      </x:c>
      <x:c r="L7" s="20" t="str">
        <x:v>sim</x:v>
      </x:c>
      <x:c r="M7" s="20" t="str">
        <x:v>ANX_CRI1_PROSP_20240216</x:v>
      </x:c>
      <x:c r="N7" s="20" t="str">
        <x:v>Documentado</x:v>
      </x:c>
      <x:c r="O7" s="20" t="str">
        <x:v>Conflito tratado explicitamente; nenhuma fonte foi sobrescrita silenciosamente.</x:v>
      </x:c>
    </x:row>
    <x:row r="8">
      <x:c r="A8" s="20" t="str">
        <x:v>CONF_03</x:v>
      </x:c>
      <x:c r="B8" s="20" t="str">
        <x:v>CRI_K1</x:v>
      </x:c>
      <x:c r="C8" s="20" t="str">
        <x:v>gatilho de atraso</x:v>
      </x:c>
      <x:c r="D8" s="20" t="str">
        <x:v>3 meses</x:v>
      </x:c>
      <x:c r="E8" s="20" t="str">
        <x:v>ANX_XP_20260428 p.17</x:v>
      </x:c>
      <x:c r="F8" s="21" t="n">
        <x:v>46140</x:v>
      </x:c>
      <x:c r="G8" s="20" t="str">
        <x:v>2 verificações; 3 conformes para cura</x:v>
      </x:c>
      <x:c r="H8" s="20" t="str">
        <x:v>ANX_CRI1_PROSP_20240216 p.228</x:v>
      </x:c>
      <x:c r="I8" s="21" t="n">
        <x:v>45338</x:v>
      </x:c>
      <x:c r="J8" s="20" t="str">
        <x:v>2 verificações</x:v>
      </x:c>
      <x:c r="K8" s="20" t="str">
        <x:v>O termo definitivo define o gatilho e distingue a cura.</x:v>
      </x:c>
      <x:c r="L8" s="20" t="str">
        <x:v>sim</x:v>
      </x:c>
      <x:c r="M8" s="20" t="str">
        <x:v>ANX_XP_20260428 | ANX_CRI1_PROSP_20240216</x:v>
      </x:c>
      <x:c r="N8" s="20" t="str">
        <x:v>Documentado</x:v>
      </x:c>
      <x:c r="O8" s="20" t="str">
        <x:v>Conflito tratado explicitamente; nenhuma fonte foi sobrescrita silenciosamente.</x:v>
      </x:c>
    </x:row>
    <x:row r="9">
      <x:c r="A9" s="20" t="str">
        <x:v>CONF_04</x:v>
      </x:c>
      <x:c r="B9" s="20" t="str">
        <x:v>CRI_K1</x:v>
      </x:c>
      <x:c r="C9" s="20" t="str">
        <x:v>custo de distribuição</x:v>
      </x:c>
      <x:c r="D9" s="20" t="str">
        <x:v>R$13,8567 mi</x:v>
      </x:c>
      <x:c r="E9" s="20" t="str">
        <x:v>ANX_CRI1_PROSP_20240216 p.85</x:v>
      </x:c>
      <x:c r="F9" s="21" t="n">
        <x:v>45338</x:v>
      </x:c>
      <x:c r="G9" s="20" t="str">
        <x:v>R$1,5732 mi</x:v>
      </x:c>
      <x:c r="H9" s="20" t="str">
        <x:v>ANX_CRI1_PROSP_20240216 p.312</x:v>
      </x:c>
      <x:c r="I9" s="21" t="n">
        <x:v>45338</x:v>
      </x:c>
      <x:c r="J9" s="20" t="str">
        <x:v>R$13,8567 mi como custo amplo; subtotal separado</x:v>
      </x:c>
      <x:c r="K9" s="20" t="str">
        <x:v>A tabela ampla contém distribuição e prestadores; o anexo é subtotal restrito.</x:v>
      </x:c>
      <x:c r="L9" s="20" t="str">
        <x:v>sim</x:v>
      </x:c>
      <x:c r="M9" s="20" t="str">
        <x:v>ANX_CRI1_PROSP_20240216</x:v>
      </x:c>
      <x:c r="N9" s="20" t="str">
        <x:v>Documentado</x:v>
      </x:c>
      <x:c r="O9" s="20" t="str">
        <x:v>Conflito tratado explicitamente; nenhuma fonte foi sobrescrita silenciosamente.</x:v>
      </x:c>
    </x:row>
    <x:row r="10">
      <x:c r="A10" s="20" t="str">
        <x:v>CONF_05</x:v>
      </x:c>
      <x:c r="B10" s="20" t="str">
        <x:v>CRI_K2</x:v>
      </x:c>
      <x:c r="C10" s="20" t="str">
        <x:v>volume</x:v>
      </x:c>
      <x:c r="D10" s="20" t="str">
        <x:v>R$727,5 mi</x:v>
      </x:c>
      <x:c r="E10" s="20" t="str">
        <x:v>ANX_CRI2_BOOK_20240620</x:v>
      </x:c>
      <x:c r="F10" s="21" t="n">
        <x:v>45463</x:v>
      </x:c>
      <x:c r="G10" s="20" t="str">
        <x:v>R$750,0 mi</x:v>
      </x:c>
      <x:c r="H10" s="20" t="str">
        <x:v>ANX_XP_20260428 p.16</x:v>
      </x:c>
      <x:c r="I10" s="21" t="n">
        <x:v>46140</x:v>
      </x:c>
      <x:c r="J10" s="20" t="str">
        <x:v>R$727,5 mi público; R$750,0 mi total</x:v>
      </x:c>
      <x:c r="K10" s="20" t="str">
        <x:v>A diferença é a série privada de R$22,5 mi.</x:v>
      </x:c>
      <x:c r="L10" s="20" t="str">
        <x:v>sim</x:v>
      </x:c>
      <x:c r="M10" s="20" t="str">
        <x:v>ANX_CRI2_BOOK_20240620 | ANX_XP_20260428</x:v>
      </x:c>
      <x:c r="N10" s="20" t="str">
        <x:v>Documentado</x:v>
      </x:c>
      <x:c r="O10" s="20" t="str">
        <x:v>Conflito tratado explicitamente; nenhuma fonte foi sobrescrita silenciosamente.</x:v>
      </x:c>
    </x:row>
    <x:row r="11">
      <x:c r="A11" s="20" t="str">
        <x:v>CONF_06</x:v>
      </x:c>
      <x:c r="B11" s="20" t="str">
        <x:v>CRI_K2</x:v>
      </x:c>
      <x:c r="C11" s="20" t="str">
        <x:v>identificadores no Informe Mensal</x:v>
      </x:c>
      <x:c r="D11" s="20" t="str">
        <x:v>ISINs/maturidades copiados da 1ª emissão</x:v>
      </x:c>
      <x:c r="E11" s="20" t="str">
        <x:v>CVM_CRI_2026_CLASSE</x:v>
      </x:c>
      <x:c r="F11" s="21" t="n">
        <x:v>46174</x:v>
      </x:c>
      <x:c r="G11" s="20" t="str">
        <x:v>ISINs e vencimentos da 2ª emissão</x:v>
      </x:c>
      <x:c r="H11" s="20" t="str">
        <x:v>ANX_CRI2_RATING_202406</x:v>
      </x:c>
      <x:c r="I11" s="21" t="str">
        <x:v>2024-06-01 a 2024-06-30</x:v>
      </x:c>
      <x:c r="J11" s="20" t="str">
        <x:v>documentos da oferta; saldo por número da série</x:v>
      </x:c>
      <x:c r="K11" s="20" t="str">
        <x:v>O filing corrente contém campos incompatíveis com a emissão.</x:v>
      </x:c>
      <x:c r="L11" s="20" t="str">
        <x:v>sim</x:v>
      </x:c>
      <x:c r="M11" s="20" t="str">
        <x:v>CVM_CRI_2026_CLASSE | ANX_CRI2_RATING_202406</x:v>
      </x:c>
      <x:c r="N11" s="20" t="str">
        <x:v>Documentado</x:v>
      </x:c>
      <x:c r="O11" s="20" t="str">
        <x:v>Conflito tratado explicitamente; nenhuma fonte foi sobrescrita silenciosamente.</x:v>
      </x:c>
    </x:row>
    <x:row r="12">
      <x:c r="A12" s="20" t="str">
        <x:v>CONF_07</x:v>
      </x:c>
      <x:c r="B12" s="20" t="str">
        <x:v>CRI_K3</x:v>
      </x:c>
      <x:c r="C12" s="20" t="str">
        <x:v>volume</x:v>
      </x:c>
      <x:c r="D12" s="20" t="str">
        <x:v>R$600 mi</x:v>
      </x:c>
      <x:c r="E12" s="20" t="str">
        <x:v>ANX_XP_20260428 p.11</x:v>
      </x:c>
      <x:c r="F12" s="21" t="n">
        <x:v>46140</x:v>
      </x:c>
      <x:c r="G12" s="20" t="str">
        <x:v>R$750 mi total / R$727,5 mi público</x:v>
      </x:c>
      <x:c r="H12" s="20" t="str">
        <x:v>CVM_OFERTAS_RCVM160_20260822 | CVM_CRI_2026_CLASSE</x:v>
      </x:c>
      <x:c r="I12" s="21" t="str">
        <x:v>2026-08-20 | 2026-06-01</x:v>
      </x:c>
      <x:c r="J12" s="20" t="str">
        <x:v>R$727,5 mi público; R$750 mi total</x:v>
      </x:c>
      <x:c r="K12" s="20" t="str">
        <x:v>Oferta encerrada e Informe Mensal têm competência e perímetro definidos.</x:v>
      </x:c>
      <x:c r="L12" s="20" t="str">
        <x:v>sim</x:v>
      </x:c>
      <x:c r="M12" s="20" t="str">
        <x:v>ANX_XP_20260428 | CVM_OFERTAS_RCVM160_20260822 | CVM_CRI_2026_CLASSE</x:v>
      </x:c>
      <x:c r="N12" s="20" t="str">
        <x:v>Documentado</x:v>
      </x:c>
      <x:c r="O12" s="20" t="str">
        <x:v>Conflito tratado explicitamente; nenhuma fonte foi sobrescrita silenciosamente.</x:v>
      </x:c>
    </x:row>
    <x:row r="13">
      <x:c r="A13" s="20" t="str">
        <x:v>CONF_08</x:v>
      </x:c>
      <x:c r="B13" s="20" t="str">
        <x:v>CRI_K3</x:v>
      </x:c>
      <x:c r="C13" s="20" t="str">
        <x:v>taxa contratada</x:v>
      </x:c>
      <x:c r="D13" s="20" t="str">
        <x:v>taxas preliminares/tetos</x:v>
      </x:c>
      <x:c r="E13" s="20" t="str">
        <x:v>ANX_CRI3_LAM_PREL_20250422</x:v>
      </x:c>
      <x:c r="F13" s="21" t="n">
        <x:v>45769</x:v>
      </x:c>
      <x:c r="G13" s="20" t="str">
        <x:v>campo Taxa_Juros inválido no filing</x:v>
      </x:c>
      <x:c r="H13" s="20" t="str">
        <x:v>CVM_CRI_2026_CLASSE</x:v>
      </x:c>
      <x:c r="I13" s="21" t="n">
        <x:v>46174</x:v>
      </x:c>
      <x:c r="J13" s="20" t="str">
        <x:v>taxa contratada n/d; preliminar em coluna própria</x:v>
      </x:c>
      <x:c r="K13" s="20" t="str">
        <x:v>Teto de bookbuilding não é taxa final.</x:v>
      </x:c>
      <x:c r="L13" s="20" t="str">
        <x:v>sim</x:v>
      </x:c>
      <x:c r="M13" s="20" t="str">
        <x:v>ANX_CRI3_LAM_PREL_20250422 | CVM_CRI_2026_CLASSE</x:v>
      </x:c>
      <x:c r="N13" s="20" t="str">
        <x:v>Documentado</x:v>
      </x:c>
      <x:c r="O13" s="20" t="str">
        <x:v>Conflito tratado explicitamente; nenhuma fonte foi sobrescrita silenciosamente.</x:v>
      </x:c>
    </x:row>
    <x:row r="14">
      <x:c r="A14" s="20" t="str">
        <x:v>CONF_09</x:v>
      </x:c>
      <x:c r="B14" s="20" t="str">
        <x:v>CRI_K4</x:v>
      </x:c>
      <x:c r="C14" s="20" t="str">
        <x:v>número de séries e volume</x:v>
      </x:c>
      <x:c r="D14" s="20" t="str">
        <x:v>7 séries / R$450 mi</x:v>
      </x:c>
      <x:c r="E14" s="20" t="str">
        <x:v>ANX_XP_20260428</x:v>
      </x:c>
      <x:c r="F14" s="21" t="n">
        <x:v>46140</x:v>
      </x:c>
      <x:c r="G14" s="20" t="str">
        <x:v>6 séries públicas / R$436,5 mi</x:v>
      </x:c>
      <x:c r="H14" s="20" t="str">
        <x:v>ANX_CRI4_INICIO_20250929</x:v>
      </x:c>
      <x:c r="I14" s="21" t="n">
        <x:v>45929</x:v>
      </x:c>
      <x:c r="J14" s="20" t="str">
        <x:v>7 totais: 6 públicas + 1 privada; R$450 mi total</x:v>
      </x:c>
      <x:c r="K14" s="20" t="str">
        <x:v>Os dois números descrevem perímetros distintos.</x:v>
      </x:c>
      <x:c r="L14" s="20" t="str">
        <x:v>sim</x:v>
      </x:c>
      <x:c r="M14" s="20" t="str">
        <x:v>ANX_XP_20260428 | ANX_CRI4_INICIO_20250929</x:v>
      </x:c>
      <x:c r="N14" s="20" t="str">
        <x:v>Documentado</x:v>
      </x:c>
      <x:c r="O14" s="20" t="str">
        <x:v>Conflito tratado explicitamente; nenhuma fonte foi sobrescrita silenciosamente.</x:v>
      </x:c>
    </x:row>
    <x:row r="15">
      <x:c r="A15" s="20" t="str">
        <x:v>CONF_10</x:v>
      </x:c>
      <x:c r="B15" s="20" t="str">
        <x:v>CRI_K4</x:v>
      </x:c>
      <x:c r="C15" s="20" t="str">
        <x:v>data de emissão</x:v>
      </x:c>
      <x:c r="D15" s="20" t="str">
        <x:v>2025-09-28</x:v>
      </x:c>
      <x:c r="E15" s="20" t="str">
        <x:v>CVM_CRI_2026_CLASSE</x:v>
      </x:c>
      <x:c r="F15" s="21" t="n">
        <x:v>46174</x:v>
      </x:c>
      <x:c r="G15" s="20" t="str">
        <x:v>2025-09-29 (registro/anúncio)</x:v>
      </x:c>
      <x:c r="H15" s="20" t="str">
        <x:v>ANX_CRI4_INICIO_20250929</x:v>
      </x:c>
      <x:c r="I15" s="21" t="n">
        <x:v>45929</x:v>
      </x:c>
      <x:c r="J15" s="20" t="str">
        <x:v>2025-09-28 emissão; 2025-09-29 registro/anúncio</x:v>
      </x:c>
      <x:c r="K15" s="20" t="str">
        <x:v>As datas se referem a eventos jurídicos diferentes.</x:v>
      </x:c>
      <x:c r="L15" s="20" t="str">
        <x:v>sim</x:v>
      </x:c>
      <x:c r="M15" s="20" t="str">
        <x:v>CVM_CRI_2026_CLASSE | ANX_CRI4_INICIO_20250929</x:v>
      </x:c>
      <x:c r="N15" s="20" t="str">
        <x:v>Documentado</x:v>
      </x:c>
      <x:c r="O15" s="20" t="str">
        <x:v>Conflito tratado explicitamente; nenhuma fonte foi sobrescrita silenciosamente.</x:v>
      </x:c>
    </x:row>
    <x:row r="16">
      <x:c r="A16" s="20" t="str">
        <x:v>CONF_11</x:v>
      </x:c>
      <x:c r="B16" s="20" t="str">
        <x:v>CRI_V174</x:v>
      </x:c>
      <x:c r="C16" s="20" t="str">
        <x:v>data</x:v>
      </x:c>
      <x:c r="D16" s="20" t="str">
        <x:v>2026-05-29</x:v>
      </x:c>
      <x:c r="E16" s="20" t="str">
        <x:v>USER_REQUEST_20260822</x:v>
      </x:c>
      <x:c r="F16" s="21" t="n">
        <x:v>46256</x:v>
      </x:c>
      <x:c r="G16" s="20" t="str">
        <x:v>2026-05-20 emissão; encerramento 2026-05-28</x:v>
      </x:c>
      <x:c r="H16" s="20" t="str">
        <x:v>CVM_CRI_2026_GERAL | CVM_OFERTAS_RCVM160_20260822</x:v>
      </x:c>
      <x:c r="I16" s="21" t="str">
        <x:v>2026-06-01 | 2026-08-20</x:v>
      </x:c>
      <x:c r="J16" s="20" t="str">
        <x:v>2026-05-20</x:v>
      </x:c>
      <x:c r="K16" s="20" t="str">
        <x:v>O Informe Mensal identifica a data jurídica da emissão.</x:v>
      </x:c>
      <x:c r="L16" s="20" t="str">
        <x:v>sim</x:v>
      </x:c>
      <x:c r="M16" s="20" t="str">
        <x:v>USER_REQUEST_20260822 | CVM_CRI_2026_GERAL | CVM_OFERTAS_RCVM160_20260822</x:v>
      </x:c>
      <x:c r="N16" s="20" t="str">
        <x:v>Documentado</x:v>
      </x:c>
      <x:c r="O16" s="20" t="str">
        <x:v>Conflito tratado explicitamente; nenhuma fonte foi sobrescrita silenciosamente.</x:v>
      </x:c>
    </x:row>
    <x:row r="17">
      <x:c r="A17" s="20" t="str">
        <x:v>CONF_12</x:v>
      </x:c>
      <x:c r="B17" s="20" t="str">
        <x:v>CRI_V177</x:v>
      </x:c>
      <x:c r="C17" s="20" t="str">
        <x:v>data</x:v>
      </x:c>
      <x:c r="D17" s="20" t="str">
        <x:v>2026-07-31</x:v>
      </x:c>
      <x:c r="E17" s="20" t="str">
        <x:v>USER_REQUEST_20260822</x:v>
      </x:c>
      <x:c r="F17" s="21" t="n">
        <x:v>46256</x:v>
      </x:c>
      <x:c r="G17" s="20" t="str">
        <x:v>2026-07-21 emissão; termo/anúncio 2026-07-20</x:v>
      </x:c>
      <x:c r="H17" s="20" t="str">
        <x:v>CVM_FUNDOSNET_VERT177_20260720</x:v>
      </x:c>
      <x:c r="I17" s="21" t="n">
        <x:v>46223</x:v>
      </x:c>
      <x:c r="J17" s="20" t="str">
        <x:v>2026-07-21</x:v>
      </x:c>
      <x:c r="K17" s="20" t="str">
        <x:v>O termo fixa a emissão; 31/07 não é a data jurídica documentada.</x:v>
      </x:c>
      <x:c r="L17" s="20" t="str">
        <x:v>sim</x:v>
      </x:c>
      <x:c r="M17" s="20" t="str">
        <x:v>USER_REQUEST_20260822 | CVM_FUNDOSNET_VERT177_20260720</x:v>
      </x:c>
      <x:c r="N17" s="20" t="str">
        <x:v>Documentado</x:v>
      </x:c>
      <x:c r="O17" s="20" t="str">
        <x:v>Conflito tratado explicitamente; nenhuma fonte foi sobrescrita silenciosamente.</x:v>
      </x:c>
    </x:row>
    <x:row r="18">
      <x:c r="A18" s="20" t="str">
        <x:v>CONF_13</x:v>
      </x:c>
      <x:c r="B18" s="20" t="str">
        <x:v>Universo</x:v>
      </x:c>
      <x:c r="C18" s="20" t="str">
        <x:v>quantidade de séries</x:v>
      </x:c>
      <x:c r="D18" s="20" t="str">
        <x:v>34 séries totais</x:v>
      </x:c>
      <x:c r="E18" s="20" t="str">
        <x:v>USER_REQUEST_20260822</x:v>
      </x:c>
      <x:c r="F18" s="21" t="n">
        <x:v>46256</x:v>
      </x:c>
      <x:c r="G18" s="20" t="str">
        <x:v>31 identificadores no resultado agregado inicial da busca B3</x:v>
      </x:c>
      <x:c r="H18" s="20" t="str">
        <x:v>UNIVERSO_SEARCH_20260822</x:v>
      </x:c>
      <x:c r="I18" s="21" t="n">
        <x:v>46256</x:v>
      </x:c>
      <x:c r="J18" s="20" t="str">
        <x:v>34 séries: 28 públicas + 6 privadas, confirmadas nos seis termos</x:v>
      </x:c>
      <x:c r="K18" s="20" t="str">
        <x:v>Os termos por emissão prevalecem; a visão agregada de busca omitiu três séries e não define o universo contratual.</x:v>
      </x:c>
      <x:c r="L18" s="20" t="str">
        <x:v>sim</x:v>
      </x:c>
      <x:c r="M18" s="20" t="str">
        <x:v>USER_REQUEST_20260822 | UNIVERSO_SEARCH_20260822</x:v>
      </x:c>
      <x:c r="N18" s="20" t="str">
        <x:v>Documentado</x:v>
      </x:c>
      <x:c r="O18" s="20" t="str">
        <x:v>Conflito tratado explicitamente; nenhuma fonte foi sobrescrita silenciosamente.</x:v>
      </x:c>
    </x:row>
    <x:row r="19">
      <x:c r="A19" s="20" t="str">
        <x:v>CONF_14</x:v>
      </x:c>
      <x:c r="B19" s="20" t="str">
        <x:v>FIDC_II</x:v>
      </x:c>
      <x:c r="C19" s="20" t="str">
        <x:v>targets de capital</x:v>
      </x:c>
      <x:c r="D19" s="20" t="str">
        <x:v>80% / 16% / 6%</x:v>
      </x:c>
      <x:c r="E19" s="20" t="str">
        <x:v>DOC_FIDC_II_REG_202412</x:v>
      </x:c>
      <x:c r="F19" s="21" t="str">
        <x:v>2024-12-01 a 2024-12-31</x:v>
      </x:c>
      <x:c r="G19" s="20" t="str">
        <x:v>soma 102%</x:v>
      </x:c>
      <x:c r="H19" s="20" t="str">
        <x:v>METH_RECONCILIACAO</x:v>
      </x:c>
      <x:c r="I19" s="21" t="n">
        <x:v>46256</x:v>
      </x:c>
      <x:c r="J19" s="20" t="str">
        <x:v>preservar redação; não normalizar</x:v>
      </x:c>
      <x:c r="K19" s="20" t="str">
        <x:v>Inconsistência aritmética do regulamento permanece explícita.</x:v>
      </x:c>
      <x:c r="L19" s="20" t="str">
        <x:v>sim</x:v>
      </x:c>
      <x:c r="M19" s="20" t="str">
        <x:v>DOC_FIDC_II_REG_202412 | METH_RECONCILIACAO</x:v>
      </x:c>
      <x:c r="N19" s="20" t="str">
        <x:v>Documentado</x:v>
      </x:c>
      <x:c r="O19" s="20" t="str">
        <x:v>Conflito tratado explicitamente; nenhuma fonte foi sobrescrita silenciosamente.</x:v>
      </x:c>
    </x:row>
    <x:row r="20">
      <x:c r="A20" s="20" t="str">
        <x:v>CONF_15</x:v>
      </x:c>
      <x:c r="B20" s="20" t="str">
        <x:v>CRI_K1</x:v>
      </x:c>
      <x:c r="C20" s="20" t="str">
        <x:v>limite PF/PJ</x:v>
      </x:c>
      <x:c r="D20" s="20" t="str">
        <x:v>valor nominal no resumo</x:v>
      </x:c>
      <x:c r="E20" s="20" t="str">
        <x:v>ANX_CRI1_PROSP_20240216</x:v>
      </x:c>
      <x:c r="F20" s="21" t="n">
        <x:v>45338</x:v>
      </x:c>
      <x:c r="G20" s="20" t="str">
        <x:v>valor presente no termo consolidado</x:v>
      </x:c>
      <x:c r="H20" s="20" t="str">
        <x:v>ANX_CRI1_PROSP_20240216</x:v>
      </x:c>
      <x:c r="I20" s="21" t="n">
        <x:v>45338</x:v>
      </x:c>
      <x:c r="J20" s="20" t="str">
        <x:v>valor presente</x:v>
      </x:c>
      <x:c r="K20" s="20" t="str">
        <x:v>O termo consolidado é a redação contratual específica.</x:v>
      </x:c>
      <x:c r="L20" s="20" t="str">
        <x:v>sim</x:v>
      </x:c>
      <x:c r="M20" s="20" t="str">
        <x:v>ANX_CRI1_PROSP_20240216</x:v>
      </x:c>
      <x:c r="N20" s="20" t="str">
        <x:v>Documentado</x:v>
      </x:c>
      <x:c r="O20" s="20" t="str">
        <x:v>Conflito tratado explicitamente; nenhuma fonte foi sobrescrita silenciosamente.</x:v>
      </x:c>
    </x:row>
    <x:row r="21">
      <x:c r="A21" s="20" t="str">
        <x:v>CONF_16</x:v>
      </x:c>
      <x:c r="B21" s="20" t="str">
        <x:v>CRI_K1</x:v>
      </x:c>
      <x:c r="C21" s="20" t="str">
        <x:v>volume na página da securitizadora</x:v>
      </x:c>
      <x:c r="D21" s="20" t="str">
        <x:v>R$600 mi</x:v>
      </x:c>
      <x:c r="E21" s="20" t="str">
        <x:v>KANASTRA_API_20260822</x:v>
      </x:c>
      <x:c r="F21" s="21" t="n">
        <x:v>46256</x:v>
      </x:c>
      <x:c r="G21" s="20" t="str">
        <x:v>R$588 mi público / R$603 mi total</x:v>
      </x:c>
      <x:c r="H21" s="20" t="str">
        <x:v>ANX_CRI1_PROSP_20240216</x:v>
      </x:c>
      <x:c r="I21" s="21" t="n">
        <x:v>45338</x:v>
      </x:c>
      <x:c r="J21" s="20" t="str">
        <x:v>R$588 mi público; R$603 mi total</x:v>
      </x:c>
      <x:c r="K21" s="20" t="str">
        <x:v>A página comercial arredonda o volume; o prospecto separa oferta pública e série privada.</x:v>
      </x:c>
      <x:c r="L21" s="20" t="str">
        <x:v>sim</x:v>
      </x:c>
      <x:c r="M21" s="20" t="str">
        <x:v>KANASTRA_API_20260822 | ANX_CRI1_PROSP_20240216</x:v>
      </x:c>
      <x:c r="N21" s="20" t="str">
        <x:v>Documentado</x:v>
      </x:c>
      <x:c r="O21" s="20" t="str">
        <x:v>Conflito tratado explicitamente; nenhuma fonte foi sobrescrita silenciosamente.</x:v>
      </x:c>
    </x:row>
    <x:row r="22">
      <x:c r="A22" s="20" t="str">
        <x:v>CONF_17</x:v>
      </x:c>
      <x:c r="B22" s="20" t="str">
        <x:v>CRI_K3</x:v>
      </x:c>
      <x:c r="C22" s="20" t="str">
        <x:v>número da emissão na página da securitizadora</x:v>
      </x:c>
      <x:c r="D22" s="20" t="str">
        <x:v>1ª emissão</x:v>
      </x:c>
      <x:c r="E22" s="20" t="str">
        <x:v>KANASTRA_API_20260822</x:v>
      </x:c>
      <x:c r="F22" s="21" t="n">
        <x:v>46256</x:v>
      </x:c>
      <x:c r="G22" s="20" t="str">
        <x:v>3ª emissão</x:v>
      </x:c>
      <x:c r="H22" s="20" t="str">
        <x:v>CVM_FUNDOSNET_TERMOS_CRI_20260822</x:v>
      </x:c>
      <x:c r="I22" s="21" t="n">
        <x:v>46256</x:v>
      </x:c>
      <x:c r="J22" s="20" t="str">
        <x:v>3ª emissão</x:v>
      </x:c>
      <x:c r="K22" s="20" t="str">
        <x:v>O termo oficial define a numeração jurídica da emissão.</x:v>
      </x:c>
      <x:c r="L22" s="20" t="str">
        <x:v>sim</x:v>
      </x:c>
      <x:c r="M22" s="20" t="str">
        <x:v>KANASTRA_API_20260822 | CVM_FUNDOSNET_TERMOS_CRI_20260822</x:v>
      </x:c>
      <x:c r="N22" s="20" t="str">
        <x:v>Documentado</x:v>
      </x:c>
      <x:c r="O22" s="20" t="str">
        <x:v>Conflito tratado explicitamente; nenhuma fonte foi sobrescrita silenciosamente.</x:v>
      </x:c>
    </x:row>
    <x:row r="23">
      <x:c r="A23" s="20" t="str">
        <x:v>CONF_18</x:v>
      </x:c>
      <x:c r="B23" s="20" t="str">
        <x:v>CRI_V177</x:v>
      </x:c>
      <x:c r="C23" s="20" t="str">
        <x:v>data no portal da securitizadora</x:v>
      </x:c>
      <x:c r="D23" s="20" t="str">
        <x:v>2026-07-08</x:v>
      </x:c>
      <x:c r="E23" s="20" t="str">
        <x:v>VERT_DATA_20260822</x:v>
      </x:c>
      <x:c r="F23" s="21" t="n">
        <x:v>46256</x:v>
      </x:c>
      <x:c r="G23" s="20" t="str">
        <x:v>2026-07-21</x:v>
      </x:c>
      <x:c r="H23" s="20" t="str">
        <x:v>CVM_FUNDOSNET_VERT177_20260720</x:v>
      </x:c>
      <x:c r="I23" s="21" t="n">
        <x:v>46223</x:v>
      </x:c>
      <x:c r="J23" s="20" t="str">
        <x:v>2026-07-21</x:v>
      </x:c>
      <x:c r="K23" s="20" t="str">
        <x:v>O termo oficial fixa a data jurídica; o portal exibe uma data operacional distinta.</x:v>
      </x:c>
      <x:c r="L23" s="20" t="str">
        <x:v>sim</x:v>
      </x:c>
      <x:c r="M23" s="20" t="str">
        <x:v>VERT_DATA_20260822 | CVM_FUNDOSNET_VERT177_20260720</x:v>
      </x:c>
      <x:c r="N23" s="20" t="str">
        <x:v>Documentado</x:v>
      </x:c>
      <x:c r="O23" s="20" t="str">
        <x:v>Conflito tratado explicitamente; nenhuma fonte foi sobrescrita silenciosamente.</x:v>
      </x:c>
    </x:row>
    <x:row r="24">
      <x:c r="A24" s="20" t="str">
        <x:v>CONF_19</x:v>
      </x:c>
      <x:c r="B24" s="20" t="str">
        <x:v>CRIs</x:v>
      </x:c>
      <x:c r="C24" s="20" t="str">
        <x:v>unidade de Valor_Certificados no Informe Mensal</x:v>
      </x:c>
      <x:c r="D24" s="20" t="str">
        <x:v>saldo agregado em R$ em parte das competências</x:v>
      </x:c>
      <x:c r="E24" s="20" t="str">
        <x:v>CVM_CRI_2024_CLASSE</x:v>
      </x:c>
      <x:c r="F24" s="21" t="str">
        <x:v>2024-01-01 a 2024-12-31</x:v>
      </x:c>
      <x:c r="G24" s="20" t="str">
        <x:v>valor unitário próximo de R$1 mil em outras competências</x:v>
      </x:c>
      <x:c r="H24" s="20" t="str">
        <x:v>CVM_CRI_2026_CLASSE</x:v>
      </x:c>
      <x:c r="I24" s="21" t="n">
        <x:v>46174</x:v>
      </x:c>
      <x:c r="J24" s="20" t="str">
        <x:v>usar apenas saldo claramente agregado; caso ambíguo = n/d</x:v>
      </x:c>
      <x:c r="K24" s="20" t="str">
        <x:v>A unidade muda no próprio campo e a quantidade corrente não reconcilia o valor unitário; nenhuma multiplicação ou roll-forward foi estimado.</x:v>
      </x:c>
      <x:c r="L24" s="20" t="str">
        <x:v>sim</x:v>
      </x:c>
      <x:c r="M24" s="20" t="str">
        <x:v>CVM_CRI_2024_CLASSE | CVM_CRI_2026_CLASSE</x:v>
      </x:c>
      <x:c r="N24" s="20" t="str">
        <x:v>Documentado</x:v>
      </x:c>
      <x:c r="O24" s="20" t="str">
        <x:v>Conflito tratado explicitamente; nenhuma fonte foi sobrescrita silenciosamente.</x:v>
      </x:c>
    </x:row>
    <x:row r="25">
      <x:c r="A25" s="20" t="str">
        <x:v>CONF_20</x:v>
      </x:c>
      <x:c r="B25" s="20" t="str">
        <x:v>Universo</x:v>
      </x:c>
      <x:c r="C25" s="20" t="str">
        <x:v>volume público agregado</x:v>
      </x:c>
      <x:c r="D25" s="20" t="str">
        <x:v>R$ 3563.628000 mi</x:v>
      </x:c>
      <x:c r="E25" s="20" t="str">
        <x:v>CVM_OFERTAS_RCVM160_20260822</x:v>
      </x:c>
      <x:c r="F25" s="21" t="n">
        <x:v>46254</x:v>
      </x:c>
      <x:c r="G25" s="20" t="str">
        <x:v>R$ 3563.632822 mi</x:v>
      </x:c>
      <x:c r="H25" s="20" t="str">
        <x:v>CVM_FUNDOSNET_TERMOS_CRI_20260822</x:v>
      </x:c>
      <x:c r="I25" s="21" t="n">
        <x:v>46256</x:v>
      </x:c>
      <x:c r="J25" s="20" t="str">
        <x:v>R$ 3563.628000 mi no agregado; valores por série preservados</x:v>
      </x:c>
      <x:c r="K25" s="20" t="str">
        <x:v>O agregado adota o volume registrado na CVM; os valores nominais individuais permanecem como publicados nos termos. A diferença de pequena monta continua explícita.</x:v>
      </x:c>
      <x:c r="L25" s="20" t="str">
        <x:v>sim</x:v>
      </x:c>
      <x:c r="M25" s="20" t="str">
        <x:v>CVM_OFERTAS_RCVM160_20260822 | CVM_FUNDOSNET_TERMOS_CRI_20260822</x:v>
      </x:c>
      <x:c r="N25" s="20" t="str">
        <x:v>Documentado</x:v>
      </x:c>
      <x:c r="O25" s="20" t="str">
        <x:v>Conflito tratado explicitamente; nenhuma fonte foi sobrescrita silenciosamente.</x:v>
      </x:c>
    </x:row>
  </x:sheetData>
  <x:mergeCells>
    <x:mergeCell ref="A1:O1"/>
    <x:mergeCell ref="A2:O2"/>
    <x:mergeCell ref="A3:O3"/>
  </x:mergeCells>
  <x:conditionalFormatting sqref="L6:L25">
    <x:cfRule type="containsText" dxfId="0" priority="1" operator="containsText" text="sim"/>
  </x:conditionalFormatting>
  <x:pageMargins left="0.7" right="0.7" top="0.75" bottom="0.75" header="0.3" footer="0.3"/>
  <x:tableParts count="1">
    <x:tablePart xmlns:r="http://schemas.openxmlformats.org/officeDocument/2006/relationships" r:id="Rb0c585345a4648b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42" hidden="0" customWidth="1"/>
    <x:col min="4" max="4" width="13" hidden="0" customWidth="1"/>
    <x:col min="5" max="5" width="13" hidden="0" customWidth="1"/>
    <x:col min="6" max="6" width="24" hidden="0" customWidth="1"/>
    <x:col min="7" max="7" width="19" hidden="0" customWidth="1"/>
    <x:col min="8" max="8" width="24" hidden="0" customWidth="1"/>
    <x:col min="9" max="9" width="42" hidden="0" customWidth="1"/>
    <x:col min="10" max="10" width="19" hidden="0" customWidth="1"/>
    <x:col min="11" max="11" width="42" hidden="0" customWidth="1"/>
  </x:cols>
  <x:sheetData>
    <x:row r="1" ht="30" customHeight="1">
      <x:c r="A1" s="3" t="str">
        <x:v>17 Fontes</x:v>
      </x:c>
    </x:row>
    <x:row r="2" ht="34" customHeight="1">
      <x:c r="A2" s="7" t="str">
        <x:v>O inventário mapeia cada fonte_id para documento, URL, data-base e trecho. Fontes não obtidas continuam registradas como lacuna.</x:v>
      </x:c>
    </x:row>
    <x:row r="3" ht="24" customHeight="1">
      <x:c r="A3" s="11" t="str">
        <x:v>Data-base: 2023-01-01 a 2026-08-22 | Fontes: CVM_CADASTRO_20260821; CVM_FIDC_202607_I_IV; CVM_FIDC_202607_X2; CVM_FIDC_202607_X1; CVM_FIDC_202607_I_V; ver 17_Fontes</x:v>
      </x:c>
    </x:row>
    <x:row r="4" ht="16" customHeight="1">
      <x:c r="A4" s="22" t="str">
        <x:v>Legenda: laranja = fonte tentada e não localizada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4" customHeight="1">
      <x:c r="A5" s="16" t="str">
        <x:v>fonte_id</x:v>
      </x:c>
      <x:c r="B5" s="16" t="str">
        <x:v>documento</x:v>
      </x:c>
      <x:c r="C5" s="16" t="str">
        <x:v>url_ou_caminho</x:v>
      </x:c>
      <x:c r="D5" s="16" t="str">
        <x:v>data_acesso</x:v>
      </x:c>
      <x:c r="E5" s="16" t="str">
        <x:v>data_base</x:v>
      </x:c>
      <x:c r="F5" s="16" t="str">
        <x:v>trecho_ou_pagina</x:v>
      </x:c>
      <x:c r="G5" s="16" t="str">
        <x:v>status_obtencao</x:v>
      </x:c>
      <x:c r="H5" s="16" t="str">
        <x:v>sha256</x:v>
      </x:c>
      <x:c r="I5" s="16" t="str">
        <x:v>observacao</x:v>
      </x:c>
      <x:c r="J5" s="16" t="str">
        <x:v>status</x:v>
      </x:c>
      <x:c r="K5" s="16" t="str">
        <x:v>nota_metodo</x:v>
      </x:c>
    </x:row>
    <x:row r="6">
      <x:c r="A6" s="20" t="str">
        <x:v>CVM_CADASTRO_20260821</x:v>
      </x:c>
      <x:c r="B6" s="20" t="str">
        <x:v>Cadastro de Fundos/Classes CVM</x:v>
      </x:c>
      <x:c r="C6" s="20" t="str">
        <x:v>https://dados.cvm.gov.br/dados/FI/CAD/DADOS/registro_fundo_classe.zip</x:v>
      </x:c>
      <x:c r="D6" s="21" t="n">
        <x:v>46256</x:v>
      </x:c>
      <x:c r="E6" s="21" t="n">
        <x:v>46255</x:v>
      </x:c>
      <x:c r="F6" s="20" t="str">
        <x:v>linhas dos 7 CNPJs</x:v>
      </x:c>
      <x:c r="G6" s="20" t="str">
        <x:v>obtido</x:v>
      </x:c>
      <x:c r="H6" s="20" t="str">
        <x:v>n/d</x:v>
      </x:c>
      <x:c r="I6" s="20" t="str">
        <x:v>n/d</x:v>
      </x:c>
      <x:c r="J6" s="20" t="str">
        <x:v>Documentado</x:v>
      </x:c>
      <x:c r="K6" s="20" t="str">
        <x:v>Inventário fechado antes do build; fontes não obtidas permanecem registradas.</x:v>
      </x:c>
    </x:row>
    <x:row r="7">
      <x:c r="A7" s="20" t="str">
        <x:v>CVM_FIDC_202607_I_IV</x:v>
      </x:c>
      <x:c r="B7" s="20" t="str">
        <x:v>Informe Mensal FIDC 2026-07</x:v>
      </x:c>
      <x:c r="C7" s="20" t="str">
        <x:v>https://dados.cvm.gov.br/dados/FIDC/DOC/INF_MENSAL/DADOS/inf_mensal_fidc_202607.zip</x:v>
      </x:c>
      <x:c r="D7" s="21" t="n">
        <x:v>46256</x:v>
      </x:c>
      <x:c r="E7" s="21" t="n">
        <x:v>46234</x:v>
      </x:c>
      <x:c r="F7" s="20" t="str">
        <x:v>Tabelas I e IV</x:v>
      </x:c>
      <x:c r="G7" s="20" t="str">
        <x:v>obtido</x:v>
      </x:c>
      <x:c r="H7" s="20" t="str">
        <x:v>n/d</x:v>
      </x:c>
      <x:c r="I7" s="20" t="str">
        <x:v>n/d</x:v>
      </x:c>
      <x:c r="J7" s="20" t="str">
        <x:v>Documentado</x:v>
      </x:c>
      <x:c r="K7" s="20" t="str">
        <x:v>Inventário fechado antes do build; fontes não obtidas permanecem registradas.</x:v>
      </x:c>
    </x:row>
    <x:row r="8">
      <x:c r="A8" s="20" t="str">
        <x:v>CVM_FIDC_202607_X2</x:v>
      </x:c>
      <x:c r="B8" s="20" t="str">
        <x:v>Informe Mensal FIDC 2026-07</x:v>
      </x:c>
      <x:c r="C8" s="20" t="str">
        <x:v>https://dados.cvm.gov.br/dados/FIDC/DOC/INF_MENSAL/DADOS/inf_mensal_fidc_202607.zip</x:v>
      </x:c>
      <x:c r="D8" s="21" t="n">
        <x:v>46256</x:v>
      </x:c>
      <x:c r="E8" s="21" t="n">
        <x:v>46234</x:v>
      </x:c>
      <x:c r="F8" s="20" t="str">
        <x:v>Tabela X_2</x:v>
      </x:c>
      <x:c r="G8" s="20" t="str">
        <x:v>obtido</x:v>
      </x:c>
      <x:c r="H8" s="20" t="str">
        <x:v>n/d</x:v>
      </x:c>
      <x:c r="I8" s="20" t="str">
        <x:v>n/d</x:v>
      </x:c>
      <x:c r="J8" s="20" t="str">
        <x:v>Documentado</x:v>
      </x:c>
      <x:c r="K8" s="20" t="str">
        <x:v>Inventário fechado antes do build; fontes não obtidas permanecem registradas.</x:v>
      </x:c>
    </x:row>
    <x:row r="9">
      <x:c r="A9" s="20" t="str">
        <x:v>CVM_FIDC_202607_X1</x:v>
      </x:c>
      <x:c r="B9" s="20" t="str">
        <x:v>Informe Mensal FIDC 2026-07</x:v>
      </x:c>
      <x:c r="C9" s="20" t="str">
        <x:v>https://dados.cvm.gov.br/dados/FIDC/DOC/INF_MENSAL/DADOS/inf_mensal_fidc_202607.zip</x:v>
      </x:c>
      <x:c r="D9" s="21" t="n">
        <x:v>46256</x:v>
      </x:c>
      <x:c r="E9" s="21" t="n">
        <x:v>46234</x:v>
      </x:c>
      <x:c r="F9" s="20" t="str">
        <x:v>Tabela X_1</x:v>
      </x:c>
      <x:c r="G9" s="20" t="str">
        <x:v>obtido</x:v>
      </x:c>
      <x:c r="H9" s="20" t="str">
        <x:v>n/d</x:v>
      </x:c>
      <x:c r="I9" s="20" t="str">
        <x:v>n/d</x:v>
      </x:c>
      <x:c r="J9" s="20" t="str">
        <x:v>Documentado</x:v>
      </x:c>
      <x:c r="K9" s="20" t="str">
        <x:v>Inventário fechado antes do build; fontes não obtidas permanecem registradas.</x:v>
      </x:c>
    </x:row>
    <x:row r="10">
      <x:c r="A10" s="20" t="str">
        <x:v>CVM_FIDC_202607_I_V</x:v>
      </x:c>
      <x:c r="B10" s="20" t="str">
        <x:v>Informe Mensal FIDC 2026-07</x:v>
      </x:c>
      <x:c r="C10" s="20" t="str">
        <x:v>https://dados.cvm.gov.br/dados/FIDC/DOC/INF_MENSAL/DADOS/inf_mensal_fidc_202607.zip</x:v>
      </x:c>
      <x:c r="D10" s="21" t="n">
        <x:v>46256</x:v>
      </x:c>
      <x:c r="E10" s="21" t="n">
        <x:v>46234</x:v>
      </x:c>
      <x:c r="F10" s="20" t="str">
        <x:v>Tabelas I e V</x:v>
      </x:c>
      <x:c r="G10" s="20" t="str">
        <x:v>obtido</x:v>
      </x:c>
      <x:c r="H10" s="20" t="str">
        <x:v>n/d</x:v>
      </x:c>
      <x:c r="I10" s="20" t="str">
        <x:v>n/d</x:v>
      </x:c>
      <x:c r="J10" s="20" t="str">
        <x:v>Documentado</x:v>
      </x:c>
      <x:c r="K10" s="20" t="str">
        <x:v>Inventário fechado antes do build; fontes não obtidas permanecem registradas.</x:v>
      </x:c>
    </x:row>
    <x:row r="11">
      <x:c r="A11" s="20" t="str">
        <x:v>CVM_FIDC_202607_VIII</x:v>
      </x:c>
      <x:c r="B11" s="20" t="str">
        <x:v>Informe Mensal FIDC 2026-07</x:v>
      </x:c>
      <x:c r="C11" s="20" t="str">
        <x:v>https://dados.cvm.gov.br/dados/FIDC/DOC/INF_MENSAL/DADOS/inf_mensal_fidc_202607.zip</x:v>
      </x:c>
      <x:c r="D11" s="21" t="n">
        <x:v>46256</x:v>
      </x:c>
      <x:c r="E11" s="21" t="n">
        <x:v>46234</x:v>
      </x:c>
      <x:c r="F11" s="20" t="str">
        <x:v>Tabela VIII</x:v>
      </x:c>
      <x:c r="G11" s="20" t="str">
        <x:v>obtido</x:v>
      </x:c>
      <x:c r="H11" s="20" t="str">
        <x:v>n/d</x:v>
      </x:c>
      <x:c r="I11" s="20" t="str">
        <x:v>n/d</x:v>
      </x:c>
      <x:c r="J11" s="20" t="str">
        <x:v>Documentado</x:v>
      </x:c>
      <x:c r="K11" s="20" t="str">
        <x:v>Inventário fechado antes do build; fontes não obtidas permanecem registradas.</x:v>
      </x:c>
    </x:row>
    <x:row r="12">
      <x:c r="A12" s="20" t="str">
        <x:v>CVM_FIDC_202607_I_V_X2</x:v>
      </x:c>
      <x:c r="B12" s="20" t="str">
        <x:v>Informe Mensal FIDC 2026-07</x:v>
      </x:c>
      <x:c r="C12" s="20" t="str">
        <x:v>https://dados.cvm.gov.br/dados/FIDC/DOC/INF_MENSAL/DADOS/inf_mensal_fidc_202607.zip</x:v>
      </x:c>
      <x:c r="D12" s="21" t="n">
        <x:v>46256</x:v>
      </x:c>
      <x:c r="E12" s="21" t="n">
        <x:v>46234</x:v>
      </x:c>
      <x:c r="F12" s="20" t="str">
        <x:v>Tabelas I, V e X_2</x:v>
      </x:c>
      <x:c r="G12" s="20" t="str">
        <x:v>obtido</x:v>
      </x:c>
      <x:c r="H12" s="20" t="str">
        <x:v>n/d</x:v>
      </x:c>
      <x:c r="I12" s="20" t="str">
        <x:v>n/d</x:v>
      </x:c>
      <x:c r="J12" s="20" t="str">
        <x:v>Documentado</x:v>
      </x:c>
      <x:c r="K12" s="20" t="str">
        <x:v>Inventário fechado antes do build; fontes não obtidas permanecem registradas.</x:v>
      </x:c>
    </x:row>
    <x:row r="13">
      <x:c r="A13" s="20" t="str">
        <x:v>CVM_FIDC_2023_I_IV_V_X2</x:v>
      </x:c>
      <x:c r="B13" s="20" t="str">
        <x:v>Informe Mensal FIDC 2023</x:v>
      </x:c>
      <x:c r="C13" s="20" t="str">
        <x:v>https://dados.cvm.gov.br/dados/FIDC/DOC/INF_MENSAL/DADOS/inf_mensal_fidc_2023.zip</x:v>
      </x:c>
      <x:c r="D13" s="21" t="n">
        <x:v>46256</x:v>
      </x:c>
      <x:c r="E13" s="21" t="str">
        <x:v>2023-01-01 a 2023-12-31</x:v>
      </x:c>
      <x:c r="F13" s="20" t="str">
        <x:v>Tabelas I, IV, V e X_2</x:v>
      </x:c>
      <x:c r="G13" s="20" t="str">
        <x:v>obtido</x:v>
      </x:c>
      <x:c r="H13" s="20" t="str">
        <x:v>n/d</x:v>
      </x:c>
      <x:c r="I13" s="20" t="str">
        <x:v>n/d</x:v>
      </x:c>
      <x:c r="J13" s="20" t="str">
        <x:v>Documentado</x:v>
      </x:c>
      <x:c r="K13" s="20" t="str">
        <x:v>Inventário fechado antes do build; fontes não obtidas permanecem registradas.</x:v>
      </x:c>
    </x:row>
    <x:row r="14">
      <x:c r="A14" s="20" t="str">
        <x:v>CVM_FIDC_2024_I_IV_V_X2</x:v>
      </x:c>
      <x:c r="B14" s="20" t="str">
        <x:v>Informe Mensal FIDC 2024</x:v>
      </x:c>
      <x:c r="C14" s="20" t="str">
        <x:v>https://dados.cvm.gov.br/dados/FIDC/DOC/INF_MENSAL/DADOS/inf_mensal_fidc_2024.zip</x:v>
      </x:c>
      <x:c r="D14" s="21" t="n">
        <x:v>46256</x:v>
      </x:c>
      <x:c r="E14" s="21" t="str">
        <x:v>2024-01-01 a 2024-12-31</x:v>
      </x:c>
      <x:c r="F14" s="20" t="str">
        <x:v>Tabelas I, IV, V e X_2</x:v>
      </x:c>
      <x:c r="G14" s="20" t="str">
        <x:v>obtido</x:v>
      </x:c>
      <x:c r="H14" s="20" t="str">
        <x:v>n/d</x:v>
      </x:c>
      <x:c r="I14" s="20" t="str">
        <x:v>n/d</x:v>
      </x:c>
      <x:c r="J14" s="20" t="str">
        <x:v>Documentado</x:v>
      </x:c>
      <x:c r="K14" s="20" t="str">
        <x:v>Inventário fechado antes do build; fontes não obtidas permanecem registradas.</x:v>
      </x:c>
    </x:row>
    <x:row r="15">
      <x:c r="A15" s="20" t="str">
        <x:v>CVM_CRI_2024_CLASSE</x:v>
      </x:c>
      <x:c r="B15" s="20" t="str">
        <x:v>Informe Mensal CRI 2024</x:v>
      </x:c>
      <x:c r="C15" s="20" t="str">
        <x:v>https://dados.cvm.gov.br/dados/SEC/DOC/INF_MENSAL/DADOS/inf_mensal_cri_2024.zip</x:v>
      </x:c>
      <x:c r="D15" s="21" t="n">
        <x:v>46256</x:v>
      </x:c>
      <x:c r="E15" s="21" t="str">
        <x:v>2024-01-01 a 2024-12-31</x:v>
      </x:c>
      <x:c r="F15" s="20" t="str">
        <x:v>classe/série</x:v>
      </x:c>
      <x:c r="G15" s="20" t="str">
        <x:v>obtido</x:v>
      </x:c>
      <x:c r="H15" s="20" t="str">
        <x:v>n/d</x:v>
      </x:c>
      <x:c r="I15" s="20" t="str">
        <x:v>n/d</x:v>
      </x:c>
      <x:c r="J15" s="20" t="str">
        <x:v>Documentado</x:v>
      </x:c>
      <x:c r="K15" s="20" t="str">
        <x:v>Inventário fechado antes do build; fontes não obtidas permanecem registradas.</x:v>
      </x:c>
    </x:row>
    <x:row r="16">
      <x:c r="A16" s="20" t="str">
        <x:v>CVM_CRI_2025_CLASSE</x:v>
      </x:c>
      <x:c r="B16" s="20" t="str">
        <x:v>Informe Mensal CRI 2025</x:v>
      </x:c>
      <x:c r="C16" s="20" t="str">
        <x:v>https://dados.cvm.gov.br/dados/SEC/DOC/INF_MENSAL/DADOS/inf_mensal_cri_2025.zip</x:v>
      </x:c>
      <x:c r="D16" s="21" t="n">
        <x:v>46256</x:v>
      </x:c>
      <x:c r="E16" s="21" t="str">
        <x:v>2025-01-01 a 2025-12-31</x:v>
      </x:c>
      <x:c r="F16" s="20" t="str">
        <x:v>classe/série</x:v>
      </x:c>
      <x:c r="G16" s="20" t="str">
        <x:v>obtido</x:v>
      </x:c>
      <x:c r="H16" s="20" t="str">
        <x:v>n/d</x:v>
      </x:c>
      <x:c r="I16" s="20" t="str">
        <x:v>n/d</x:v>
      </x:c>
      <x:c r="J16" s="20" t="str">
        <x:v>Documentado</x:v>
      </x:c>
      <x:c r="K16" s="20" t="str">
        <x:v>Inventário fechado antes do build; fontes não obtidas permanecem registradas.</x:v>
      </x:c>
    </x:row>
    <x:row r="17">
      <x:c r="A17" s="20" t="str">
        <x:v>CVM_CRI_2026_CLASSE</x:v>
      </x:c>
      <x:c r="B17" s="20" t="str">
        <x:v>Informe Mensal CRI 2026</x:v>
      </x:c>
      <x:c r="C17" s="20" t="str">
        <x:v>https://dados.cvm.gov.br/dados/SEC/DOC/INF_MENSAL/DADOS/inf_mensal_cri_2026.zip</x:v>
      </x:c>
      <x:c r="D17" s="21" t="n">
        <x:v>46256</x:v>
      </x:c>
      <x:c r="E17" s="21" t="str">
        <x:v>2026-01-01 a 2026-06-01</x:v>
      </x:c>
      <x:c r="F17" s="20" t="str">
        <x:v>classe/série</x:v>
      </x:c>
      <x:c r="G17" s="20" t="str">
        <x:v>obtido</x:v>
      </x:c>
      <x:c r="H17" s="20" t="str">
        <x:v>n/d</x:v>
      </x:c>
      <x:c r="I17" s="20" t="str">
        <x:v>n/d</x:v>
      </x:c>
      <x:c r="J17" s="20" t="str">
        <x:v>Documentado</x:v>
      </x:c>
      <x:c r="K17" s="20" t="str">
        <x:v>Inventário fechado antes do build; fontes não obtidas permanecem registradas.</x:v>
      </x:c>
    </x:row>
    <x:row r="18">
      <x:c r="A18" s="20" t="str">
        <x:v>CVM_CRI_2026_GERAL_ATIVO</x:v>
      </x:c>
      <x:c r="B18" s="20" t="str">
        <x:v>Informe Mensal CRI 2026</x:v>
      </x:c>
      <x:c r="C18" s="20" t="str">
        <x:v>https://dados.cvm.gov.br/dados/SEC/DOC/INF_MENSAL/DADOS/inf_mensal_cri_2026.zip</x:v>
      </x:c>
      <x:c r="D18" s="21" t="n">
        <x:v>46256</x:v>
      </x:c>
      <x:c r="E18" s="21" t="n">
        <x:v>46174</x:v>
      </x:c>
      <x:c r="F18" s="20" t="str">
        <x:v>geral e ativo/passivo</x:v>
      </x:c>
      <x:c r="G18" s="20" t="str">
        <x:v>obtido</x:v>
      </x:c>
      <x:c r="H18" s="20" t="str">
        <x:v>n/d</x:v>
      </x:c>
      <x:c r="I18" s="20" t="str">
        <x:v>n/d</x:v>
      </x:c>
      <x:c r="J18" s="20" t="str">
        <x:v>Documentado</x:v>
      </x:c>
      <x:c r="K18" s="20" t="str">
        <x:v>Inventário fechado antes do build; fontes não obtidas permanecem registradas.</x:v>
      </x:c>
    </x:row>
    <x:row r="19">
      <x:c r="A19" s="20" t="str">
        <x:v>CVM_CRI_2026_ATIVO_CARTEIRA</x:v>
      </x:c>
      <x:c r="B19" s="20" t="str">
        <x:v>Informe Mensal CRI 2026</x:v>
      </x:c>
      <x:c r="C19" s="20" t="str">
        <x:v>https://dados.cvm.gov.br/dados/SEC/DOC/INF_MENSAL/DADOS/inf_mensal_cri_2026.zip</x:v>
      </x:c>
      <x:c r="D19" s="21" t="n">
        <x:v>46256</x:v>
      </x:c>
      <x:c r="E19" s="21" t="n">
        <x:v>46174</x:v>
      </x:c>
      <x:c r="F19" s="20" t="str">
        <x:v>ativo/passivo e carteira</x:v>
      </x:c>
      <x:c r="G19" s="20" t="str">
        <x:v>obtido</x:v>
      </x:c>
      <x:c r="H19" s="20" t="str">
        <x:v>n/d</x:v>
      </x:c>
      <x:c r="I19" s="20" t="str">
        <x:v>n/d</x:v>
      </x:c>
      <x:c r="J19" s="20" t="str">
        <x:v>Documentado</x:v>
      </x:c>
      <x:c r="K19" s="20" t="str">
        <x:v>Inventário fechado antes do build; fontes não obtidas permanecem registradas.</x:v>
      </x:c>
    </x:row>
    <x:row r="20">
      <x:c r="A20" s="20" t="str">
        <x:v>CVM_CRI_2026_CREDITOS</x:v>
      </x:c>
      <x:c r="B20" s="20" t="str">
        <x:v>Informe Mensal CRI 2026</x:v>
      </x:c>
      <x:c r="C20" s="20" t="str">
        <x:v>https://dados.cvm.gov.br/dados/SEC/DOC/INF_MENSAL/DADOS/inf_mensal_cri_2026.zip</x:v>
      </x:c>
      <x:c r="D20" s="21" t="n">
        <x:v>46256</x:v>
      </x:c>
      <x:c r="E20" s="21" t="n">
        <x:v>46174</x:v>
      </x:c>
      <x:c r="F20" s="20" t="str">
        <x:v>créditos</x:v>
      </x:c>
      <x:c r="G20" s="20" t="str">
        <x:v>obtido</x:v>
      </x:c>
      <x:c r="H20" s="20" t="str">
        <x:v>n/d</x:v>
      </x:c>
      <x:c r="I20" s="20" t="str">
        <x:v>n/d</x:v>
      </x:c>
      <x:c r="J20" s="20" t="str">
        <x:v>Documentado</x:v>
      </x:c>
      <x:c r="K20" s="20" t="str">
        <x:v>Inventário fechado antes do build; fontes não obtidas permanecem registradas.</x:v>
      </x:c>
    </x:row>
    <x:row r="21">
      <x:c r="A21" s="20" t="str">
        <x:v>CVM_OFERTAS_RCVM160_20260822</x:v>
      </x:c>
      <x:c r="B21" s="20" t="str">
        <x:v>Ofertas Públicas — RCVM 160</x:v>
      </x:c>
      <x:c r="C21" s="20" t="str">
        <x:v>https://dados.cvm.gov.br/dados/OFERTA/DISTRIB/DADOS/oferta_distribuicao.zip</x:v>
      </x:c>
      <x:c r="D21" s="21" t="n">
        <x:v>46256</x:v>
      </x:c>
      <x:c r="E21" s="21" t="n">
        <x:v>46256</x:v>
      </x:c>
      <x:c r="F21" s="20" t="str">
        <x:v>requerimentos 4201, 15843, 20290, 22096, 25971, 27183</x:v>
      </x:c>
      <x:c r="G21" s="20" t="str">
        <x:v>obtido</x:v>
      </x:c>
      <x:c r="H21" s="20" t="str">
        <x:v>n/d</x:v>
      </x:c>
      <x:c r="I21" s="20" t="str">
        <x:v>n/d</x:v>
      </x:c>
      <x:c r="J21" s="20" t="str">
        <x:v>Documentado</x:v>
      </x:c>
      <x:c r="K21" s="20" t="str">
        <x:v>Inventário fechado antes do build; fontes não obtidas permanecem registradas.</x:v>
      </x:c>
    </x:row>
    <x:row r="22">
      <x:c r="A22" s="20" t="str">
        <x:v>DOC_FIDC_I_REG_202411</x:v>
      </x:c>
      <x:c r="B22" s="20" t="str">
        <x:v>Regulamento Solfácil FIDC I</x:v>
      </x:c>
      <x:c r="C22" s="20" t="str">
        <x:v>/tmp/solfacil_sources_20260822/fidc1_reg_202411.pdf</x:v>
      </x:c>
      <x:c r="D22" s="21" t="n">
        <x:v>46256</x:v>
      </x:c>
      <x:c r="E22" s="21" t="str">
        <x:v>2024-11-01 a 2024-11-30</x:v>
      </x:c>
      <x:c r="F22" s="20" t="str">
        <x:v>páginas citadas em cada linha</x:v>
      </x:c>
      <x:c r="G22" s="20" t="str">
        <x:v>obtido</x:v>
      </x:c>
      <x:c r="H22" s="20" t="str">
        <x:v>d70daa3</x:v>
      </x:c>
      <x:c r="I22" s="20" t="str">
        <x:v>Documento obtido via Fundos.NET; mês documental expresso como intervalo; hash abreviado no inventário.</x:v>
      </x:c>
      <x:c r="J22" s="20" t="str">
        <x:v>Documentado</x:v>
      </x:c>
      <x:c r="K22" s="20" t="str">
        <x:v>Inventário fechado antes do build; fontes não obtidas permanecem registradas.</x:v>
      </x:c>
    </x:row>
    <x:row r="23">
      <x:c r="A23" s="20" t="str">
        <x:v>DOC_FIDC_II_REG_202412</x:v>
      </x:c>
      <x:c r="B23" s="20" t="str">
        <x:v>Regulamento Solfácil FIDC II</x:v>
      </x:c>
      <x:c r="C23" s="20" t="str">
        <x:v>/tmp/solfacil_sources_20260822/fidc2_reg_202412.pdf</x:v>
      </x:c>
      <x:c r="D23" s="21" t="n">
        <x:v>46256</x:v>
      </x:c>
      <x:c r="E23" s="21" t="str">
        <x:v>2024-12-01 a 2024-12-31</x:v>
      </x:c>
      <x:c r="F23" s="20" t="str">
        <x:v>páginas citadas em cada linha</x:v>
      </x:c>
      <x:c r="G23" s="20" t="str">
        <x:v>obtido</x:v>
      </x:c>
      <x:c r="H23" s="20" t="str">
        <x:v>025001</x:v>
      </x:c>
      <x:c r="I23" s="20" t="str">
        <x:v>Documento obtido via Fundos.NET; mês documental expresso como intervalo; hash abreviado no inventário.</x:v>
      </x:c>
      <x:c r="J23" s="20" t="str">
        <x:v>Documentado</x:v>
      </x:c>
      <x:c r="K23" s="20" t="str">
        <x:v>Inventário fechado antes do build; fontes não obtidas permanecem registradas.</x:v>
      </x:c>
    </x:row>
    <x:row r="24">
      <x:c r="A24" s="20" t="str">
        <x:v>DOC_FIDC_III_REG_202512</x:v>
      </x:c>
      <x:c r="B24" s="20" t="str">
        <x:v>Regulamento Solfácil FIDC III</x:v>
      </x:c>
      <x:c r="C24" s="20" t="str">
        <x:v>/tmp/solfacil_sources_20260822/fidc3_reg_202512.pdf</x:v>
      </x:c>
      <x:c r="D24" s="21" t="n">
        <x:v>46256</x:v>
      </x:c>
      <x:c r="E24" s="21" t="str">
        <x:v>2025-12-01 a 2025-12-31</x:v>
      </x:c>
      <x:c r="F24" s="20" t="str">
        <x:v>páginas citadas em cada linha</x:v>
      </x:c>
      <x:c r="G24" s="20" t="str">
        <x:v>obtido</x:v>
      </x:c>
      <x:c r="H24" s="20" t="str">
        <x:v>31378</x:v>
      </x:c>
      <x:c r="I24" s="20" t="str">
        <x:v>Documento obtido via Fundos.NET; mês documental expresso como intervalo; hash abreviado no inventário.</x:v>
      </x:c>
      <x:c r="J24" s="20" t="str">
        <x:v>Documentado</x:v>
      </x:c>
      <x:c r="K24" s="20" t="str">
        <x:v>Inventário fechado antes do build; fontes não obtidas permanecem registradas.</x:v>
      </x:c>
    </x:row>
    <x:row r="25">
      <x:c r="A25" s="20" t="str">
        <x:v>DOC_FIDC_IV_REG_202510</x:v>
      </x:c>
      <x:c r="B25" s="20" t="str">
        <x:v>Regulamento Solfácil FIDC IV</x:v>
      </x:c>
      <x:c r="C25" s="20" t="str">
        <x:v>/tmp/solfacil_sources_20260822/fidc4_reg_202510.pdf</x:v>
      </x:c>
      <x:c r="D25" s="21" t="n">
        <x:v>46256</x:v>
      </x:c>
      <x:c r="E25" s="21" t="str">
        <x:v>2025-10-01 a 2025-10-31</x:v>
      </x:c>
      <x:c r="F25" s="20" t="str">
        <x:v>páginas citadas em cada linha</x:v>
      </x:c>
      <x:c r="G25" s="20" t="str">
        <x:v>obtido</x:v>
      </x:c>
      <x:c r="H25" s="20" t="str">
        <x:v>38355</x:v>
      </x:c>
      <x:c r="I25" s="20" t="str">
        <x:v>Documento obtido via Fundos.NET; mês documental expresso como intervalo; hash abreviado no inventário.</x:v>
      </x:c>
      <x:c r="J25" s="20" t="str">
        <x:v>Documentado</x:v>
      </x:c>
      <x:c r="K25" s="20" t="str">
        <x:v>Inventário fechado antes do build; fontes não obtidas permanecem registradas.</x:v>
      </x:c>
    </x:row>
    <x:row r="26">
      <x:c r="A26" s="20" t="str">
        <x:v>DOC_FIDC_V_REG_202411</x:v>
      </x:c>
      <x:c r="B26" s="20" t="str">
        <x:v>Regulamento Solfácil FIDC V</x:v>
      </x:c>
      <x:c r="C26" s="20" t="str">
        <x:v>/tmp/solfacil_sources_20260822/fidc5_reg_202411.pdf</x:v>
      </x:c>
      <x:c r="D26" s="21" t="n">
        <x:v>46256</x:v>
      </x:c>
      <x:c r="E26" s="21" t="str">
        <x:v>2024-11-01 a 2024-11-30</x:v>
      </x:c>
      <x:c r="F26" s="20" t="str">
        <x:v>páginas citadas em cada linha</x:v>
      </x:c>
      <x:c r="G26" s="20" t="str">
        <x:v>obtido</x:v>
      </x:c>
      <x:c r="H26" s="20" t="str">
        <x:v>4373</x:v>
      </x:c>
      <x:c r="I26" s="20" t="str">
        <x:v>Documento obtido via Fundos.NET; mês documental expresso como intervalo; hash abreviado no inventário.</x:v>
      </x:c>
      <x:c r="J26" s="20" t="str">
        <x:v>Documentado</x:v>
      </x:c>
      <x:c r="K26" s="20" t="str">
        <x:v>Inventário fechado antes do build; fontes não obtidas permanecem registradas.</x:v>
      </x:c>
    </x:row>
    <x:row r="27">
      <x:c r="A27" s="20" t="str">
        <x:v>DOC_FIDC_VI_REG_202605</x:v>
      </x:c>
      <x:c r="B27" s="20" t="str">
        <x:v>Regulamento Solfácil FIDC VI</x:v>
      </x:c>
      <x:c r="C27" s="20" t="str">
        <x:v>/tmp/solfacil_sources_20260822/fidc6_reg_202605.pdf</x:v>
      </x:c>
      <x:c r="D27" s="21" t="n">
        <x:v>46256</x:v>
      </x:c>
      <x:c r="E27" s="21" t="str">
        <x:v>2026-05-01 a 2026-05-31</x:v>
      </x:c>
      <x:c r="F27" s="20" t="str">
        <x:v>páginas citadas em cada linha</x:v>
      </x:c>
      <x:c r="G27" s="20" t="str">
        <x:v>obtido</x:v>
      </x:c>
      <x:c r="H27" s="20" t="str">
        <x:v>0d88</x:v>
      </x:c>
      <x:c r="I27" s="20" t="str">
        <x:v>Documento obtido via Fundos.NET; mês documental expresso como intervalo; hash abreviado no inventário.</x:v>
      </x:c>
      <x:c r="J27" s="20" t="str">
        <x:v>Documentado</x:v>
      </x:c>
      <x:c r="K27" s="20" t="str">
        <x:v>Inventário fechado antes do build; fontes não obtidas permanecem registradas.</x:v>
      </x:c>
    </x:row>
    <x:row r="28">
      <x:c r="A28" s="20" t="str">
        <x:v>DOC_FIDC_VII_REG_202605</x:v>
      </x:c>
      <x:c r="B28" s="20" t="str">
        <x:v>Regulamento Solfácil FIDC VII</x:v>
      </x:c>
      <x:c r="C28" s="20" t="str">
        <x:v>/tmp/solfacil_sources_20260822/fidc7_reg_202605.pdf</x:v>
      </x:c>
      <x:c r="D28" s="21" t="n">
        <x:v>46256</x:v>
      </x:c>
      <x:c r="E28" s="21" t="str">
        <x:v>2026-05-01 a 2026-05-31</x:v>
      </x:c>
      <x:c r="F28" s="20" t="str">
        <x:v>páginas citadas em cada linha</x:v>
      </x:c>
      <x:c r="G28" s="20" t="str">
        <x:v>obtido</x:v>
      </x:c>
      <x:c r="H28" s="20" t="str">
        <x:v>312d</x:v>
      </x:c>
      <x:c r="I28" s="20" t="str">
        <x:v>Documento obtido via Fundos.NET; mês documental expresso como intervalo; hash abreviado no inventário.</x:v>
      </x:c>
      <x:c r="J28" s="20" t="str">
        <x:v>Documentado</x:v>
      </x:c>
      <x:c r="K28" s="20" t="str">
        <x:v>Inventário fechado antes do build; fontes não obtidas permanecem registradas.</x:v>
      </x:c>
    </x:row>
    <x:row r="29">
      <x:c r="A29" s="20" t="str">
        <x:v>ANX_XP_20260428</x:v>
      </x:c>
      <x:c r="B29" s="20" t="str">
        <x:v>Analise-de-Credito-Solfacil-4.pdf</x:v>
      </x:c>
      <x:c r="C29" s="20" t="str">
        <x:v>/Users/matheusjprates/Desktop/Analise-de-Credito-Solfacil-4.pdf</x:v>
      </x:c>
      <x:c r="D29" s="21" t="n">
        <x:v>46256</x:v>
      </x:c>
      <x:c r="E29" s="21" t="n">
        <x:v>46140</x:v>
      </x:c>
      <x:c r="F29" s="20" t="str">
        <x:v>21 páginas</x:v>
      </x:c>
      <x:c r="G29" s="20" t="str">
        <x:v>obtido</x:v>
      </x:c>
      <x:c r="H29" s="20" t="str">
        <x:v>121122ccca06d567c667382383628a640ce336ca6936bb75f26b92142c320f36</x:v>
      </x:c>
      <x:c r="I29" s="20" t="str">
        <x:v>n/d</x:v>
      </x:c>
      <x:c r="J29" s="20" t="str">
        <x:v>Documentado</x:v>
      </x:c>
      <x:c r="K29" s="20" t="str">
        <x:v>Inventário fechado antes do build; fontes não obtidas permanecem registradas.</x:v>
      </x:c>
    </x:row>
    <x:row r="30">
      <x:c r="A30" s="20" t="str">
        <x:v>ANX_CRI1_PROSP_20240216</x:v>
      </x:c>
      <x:c r="B30" s="20" t="str">
        <x:v>CRI Solfácil — Prospecto Definitivo — 1ª emissão</x:v>
      </x:c>
      <x:c r="C30" s="20" t="str">
        <x:v>/Users/matheusjprates/Desktop/CRI Solfácil - Prospecto Definitivo - 1emissao.pdf</x:v>
      </x:c>
      <x:c r="D30" s="21" t="n">
        <x:v>46256</x:v>
      </x:c>
      <x:c r="E30" s="21" t="n">
        <x:v>45338</x:v>
      </x:c>
      <x:c r="F30" s="20" t="str">
        <x:v>1.026 páginas</x:v>
      </x:c>
      <x:c r="G30" s="20" t="str">
        <x:v>obtido</x:v>
      </x:c>
      <x:c r="H30" s="20" t="str">
        <x:v>dff12b90c7dadf7bc390a78c078bf23edfe271b914c19f5d6130263eec53130d</x:v>
      </x:c>
      <x:c r="I30" s="20" t="str">
        <x:v>n/d</x:v>
      </x:c>
      <x:c r="J30" s="20" t="str">
        <x:v>Documentado</x:v>
      </x:c>
      <x:c r="K30" s="20" t="str">
        <x:v>Inventário fechado antes do build; fontes não obtidas permanecem registradas.</x:v>
      </x:c>
    </x:row>
    <x:row r="31">
      <x:c r="A31" s="20" t="str">
        <x:v>ANX_CRI2_BOOK_20240620</x:v>
      </x:c>
      <x:c r="B31" s="20" t="str">
        <x:v>Comunicado ao Mercado — 2ª emissão</x:v>
      </x:c>
      <x:c r="C31" s="20" t="str">
        <x:v>/Users/matheusjprates/Desktop/Comunicado ao Mercado (1).pdf</x:v>
      </x:c>
      <x:c r="D31" s="21" t="n">
        <x:v>46256</x:v>
      </x:c>
      <x:c r="E31" s="21" t="n">
        <x:v>45463</x:v>
      </x:c>
      <x:c r="F31" s="20" t="str">
        <x:v>3 páginas</x:v>
      </x:c>
      <x:c r="G31" s="20" t="str">
        <x:v>obtido</x:v>
      </x:c>
      <x:c r="H31" s="20" t="str">
        <x:v>6b50a8e593debb9a110f9fed9a5b64c685e7d651c6535f4e7ea3b0d1d2e2e675</x:v>
      </x:c>
      <x:c r="I31" s="20" t="str">
        <x:v>n/d</x:v>
      </x:c>
      <x:c r="J31" s="20" t="str">
        <x:v>Documentado</x:v>
      </x:c>
      <x:c r="K31" s="20" t="str">
        <x:v>Inventário fechado antes do build; fontes não obtidas permanecem registradas.</x:v>
      </x:c>
    </x:row>
    <x:row r="32">
      <x:c r="A32" s="20" t="str">
        <x:v>ANX_CRI2_RATING_202406</x:v>
      </x:c>
      <x:c r="B32" s="20" t="str">
        <x:v>Prospecto Definitivo Rating — 2ª emissão</x:v>
      </x:c>
      <x:c r="C32" s="20" t="str">
        <x:v>/Users/matheusjprates/Desktop/Prospecto Definitivo Rating.pdf</x:v>
      </x:c>
      <x:c r="D32" s="21" t="n">
        <x:v>46256</x:v>
      </x:c>
      <x:c r="E32" s="21" t="str">
        <x:v>2024-06-01 a 2024-06-30</x:v>
      </x:c>
      <x:c r="F32" s="20" t="str">
        <x:v>1.205 páginas</x:v>
      </x:c>
      <x:c r="G32" s="20" t="str">
        <x:v>obtido</x:v>
      </x:c>
      <x:c r="H32" s="20" t="str">
        <x:v>c631</x:v>
      </x:c>
      <x:c r="I32" s="20" t="str">
        <x:v>Mês documental expresso como intervalo; hash abreviado; documento local integral.</x:v>
      </x:c>
      <x:c r="J32" s="20" t="str">
        <x:v>Documentado</x:v>
      </x:c>
      <x:c r="K32" s="20" t="str">
        <x:v>Inventário fechado antes do build; fontes não obtidas permanecem registradas.</x:v>
      </x:c>
    </x:row>
    <x:row r="33">
      <x:c r="A33" s="20" t="str">
        <x:v>ANX_CRI3_LAM_PREL_20250422</x:v>
      </x:c>
      <x:c r="B33" s="20" t="str">
        <x:v>CRI Solfácil III — Lâmina preliminar</x:v>
      </x:c>
      <x:c r="C33" s="20" t="str">
        <x:v>/Users/matheusjprates/Desktop/CRI Solfácil III - Lâmina da Oferta 22-04-2025_V007.pdf</x:v>
      </x:c>
      <x:c r="D33" s="21" t="n">
        <x:v>46256</x:v>
      </x:c>
      <x:c r="E33" s="21" t="n">
        <x:v>45769</x:v>
      </x:c>
      <x:c r="F33" s="20" t="str">
        <x:v>11 páginas</x:v>
      </x:c>
      <x:c r="G33" s="20" t="str">
        <x:v>obtido</x:v>
      </x:c>
      <x:c r="H33" s="20" t="str">
        <x:v>42633730859c5763e3817e18588c7fa99bb95b4ebdf1391ff8db876e4ea3c5f8</x:v>
      </x:c>
      <x:c r="I33" s="20" t="str">
        <x:v>n/d</x:v>
      </x:c>
      <x:c r="J33" s="20" t="str">
        <x:v>Documentado</x:v>
      </x:c>
      <x:c r="K33" s="20" t="str">
        <x:v>Inventário fechado antes do build; fontes não obtidas permanecem registradas.</x:v>
      </x:c>
    </x:row>
    <x:row r="34">
      <x:c r="A34" s="20" t="str">
        <x:v>ANX_CRI4_INICIO_20250929</x:v>
      </x:c>
      <x:c r="B34" s="20" t="str">
        <x:v>Anúncio de Início — 4ª emissão Kanastra</x:v>
      </x:c>
      <x:c r="C34" s="20" t="str">
        <x:v>/Users/matheusjprates/Desktop/INICIO_SOLFACIL_29-09-2025_V005.pdf</x:v>
      </x:c>
      <x:c r="D34" s="21" t="n">
        <x:v>46256</x:v>
      </x:c>
      <x:c r="E34" s="21" t="n">
        <x:v>45929</x:v>
      </x:c>
      <x:c r="F34" s="20" t="str">
        <x:v>3 páginas</x:v>
      </x:c>
      <x:c r="G34" s="20" t="str">
        <x:v>obtido</x:v>
      </x:c>
      <x:c r="H34" s="20" t="str">
        <x:v>1e04df</x:v>
      </x:c>
      <x:c r="I34" s="20" t="str">
        <x:v>As duas cópias anexadas são idênticas; hash abreviado.</x:v>
      </x:c>
      <x:c r="J34" s="20" t="str">
        <x:v>Documentado</x:v>
      </x:c>
      <x:c r="K34" s="20" t="str">
        <x:v>Inventário fechado antes do build; fontes não obtidas permanecem registradas.</x:v>
      </x:c>
    </x:row>
    <x:row r="35">
      <x:c r="A35" s="20" t="str">
        <x:v>ANX_CRIV_LAM_PREL_20260417</x:v>
      </x:c>
      <x:c r="B35" s="20" t="str">
        <x:v>CRI Solfácil V — Lâmina preliminar VERT 174ª</x:v>
      </x:c>
      <x:c r="C35" s="20" t="str">
        <x:v>/Users/matheusjprates/Desktop/CRI_Solfacil_V_Lamina_17.04.2026_v004.pdf</x:v>
      </x:c>
      <x:c r="D35" s="21" t="n">
        <x:v>46256</x:v>
      </x:c>
      <x:c r="E35" s="21" t="n">
        <x:v>46129</x:v>
      </x:c>
      <x:c r="F35" s="20" t="str">
        <x:v>11 páginas</x:v>
      </x:c>
      <x:c r="G35" s="20" t="str">
        <x:v>obtido</x:v>
      </x:c>
      <x:c r="H35" s="20" t="str">
        <x:v>2b8bc77858879b7d7c4c138fb0d7846de7d30623118f80822a140a7f5963af07</x:v>
      </x:c>
      <x:c r="I35" s="20" t="str">
        <x:v>n/d</x:v>
      </x:c>
      <x:c r="J35" s="20" t="str">
        <x:v>Documentado</x:v>
      </x:c>
      <x:c r="K35" s="20" t="str">
        <x:v>Inventário fechado antes do build; fontes não obtidas permanecem registradas.</x:v>
      </x:c>
    </x:row>
    <x:row r="36">
      <x:c r="A36" s="20" t="str">
        <x:v>CVM_FUNDOSNET_VERT177_20260720</x:v>
      </x:c>
      <x:c r="B36" s="20" t="str">
        <x:v>Termo e Anúncio de Início VERT 177ª</x:v>
      </x:c>
      <x:c r="C36" s="20" t="str">
        <x:v>https://fnet.bmfbovespa.com.br/fnet/publico/visualizarProtocoloDocumentoCVM?idDocumento=1260549 | https://fnet.bmfbovespa.com.br/fnet/publico/visualizarProtocoloDocumentoCVM?idDocumento=1260554</x:v>
      </x:c>
      <x:c r="D36" s="21" t="n">
        <x:v>46256</x:v>
      </x:c>
      <x:c r="E36" s="21" t="n">
        <x:v>46223</x:v>
      </x:c>
      <x:c r="F36" s="20" t="str">
        <x:v>5 séries; montantes, taxas e vencimentos</x:v>
      </x:c>
      <x:c r="G36" s="20" t="str">
        <x:v>obtido</x:v>
      </x:c>
      <x:c r="H36" s="20" t="str">
        <x:v>n/d</x:v>
      </x:c>
      <x:c r="I36" s="20" t="str">
        <x:v>n/d</x:v>
      </x:c>
      <x:c r="J36" s="20" t="str">
        <x:v>Documentado</x:v>
      </x:c>
      <x:c r="K36" s="20" t="str">
        <x:v>Inventário fechado antes do build; fontes não obtidas permanecem registradas.</x:v>
      </x:c>
    </x:row>
    <x:row r="37">
      <x:c r="A37" s="20" t="str">
        <x:v>CVM_FUNDOSNET_TERMOS_CRI_20260822</x:v>
      </x:c>
      <x:c r="B37" s="20" t="str">
        <x:v>Termos oficiais das seis operações</x:v>
      </x:c>
      <x:c r="C37" s="20" t="str">
        <x:v>https://fnet.bmfbovespa.com.br/fnet/publico/visualizarProtocoloDocumentoCVM?idDocumento=605873 | https://fnet.bmfbovespa.com.br/fnet/publico/visualizarProtocoloDocumentoCVM?idDocumento=677969 | https://fnet.bmfbovespa.com.br/fnet/publico/visualizarProtocoloDocumentoCVM?idDocumento=917001 | https://fnet.bmfbovespa.com.br/fnet/publico/visualizarProtocoloDocumentoCVM?idDocumento=1001402 | https://fnet.bmfbovespa.com.br/fnet/publico/visualizarProtocoloDocumentoCVM?idDocumento=1166447 | https://fnet.bmfbovespa.com.br/fnet/publico/visualizarProtocoloDocumentoCVM?idDocumento=1260549</x:v>
      </x:c>
      <x:c r="D37" s="21" t="n">
        <x:v>46256</x:v>
      </x:c>
      <x:c r="E37" s="21" t="n">
        <x:v>46256</x:v>
      </x:c>
      <x:c r="F37" s="20" t="str">
        <x:v>contagem 5+5+6+7+6+5 = 34; 28 públicas + 6 privadas</x:v>
      </x:c>
      <x:c r="G37" s="20" t="str">
        <x:v>obtido</x:v>
      </x:c>
      <x:c r="H37" s="20" t="str">
        <x:v>n/d</x:v>
      </x:c>
      <x:c r="I37" s="20" t="str">
        <x:v>n/d</x:v>
      </x:c>
      <x:c r="J37" s="20" t="str">
        <x:v>Documentado</x:v>
      </x:c>
      <x:c r="K37" s="20" t="str">
        <x:v>Inventário fechado antes do build; fontes não obtidas permanecem registradas.</x:v>
      </x:c>
    </x:row>
    <x:row r="38">
      <x:c r="A38" s="20" t="str">
        <x:v>KANASTRA_API_20260822</x:v>
      </x:c>
      <x:c r="B38" s="20" t="str">
        <x:v>API pública de securitizações Kanastra</x:v>
      </x:c>
      <x:c r="C38" s="20" t="str">
        <x:v>https://kanastra.com.br/api/website/securitizations?page=1&amp;size=100</x:v>
      </x:c>
      <x:c r="D38" s="21" t="n">
        <x:v>46256</x:v>
      </x:c>
      <x:c r="E38" s="21" t="n">
        <x:v>46256</x:v>
      </x:c>
      <x:c r="F38" s="20" t="str">
        <x:v>15 emissões; quatro resultados Solfácil</x:v>
      </x:c>
      <x:c r="G38" s="20" t="str">
        <x:v>obtido</x:v>
      </x:c>
      <x:c r="H38" s="20" t="str">
        <x:v>n/d</x:v>
      </x:c>
      <x:c r="I38" s="20" t="str">
        <x:v>A API não lista CRI Solfácil posterior à 4ª emissão Kanastra na data de acesso.</x:v>
      </x:c>
      <x:c r="J38" s="20" t="str">
        <x:v>Documentado</x:v>
      </x:c>
      <x:c r="K38" s="20" t="str">
        <x:v>Inventário fechado antes do build; fontes não obtidas permanecem registradas.</x:v>
      </x:c>
    </x:row>
    <x:row r="39">
      <x:c r="A39" s="20" t="str">
        <x:v>VERT_DATA_20260822</x:v>
      </x:c>
      <x:c r="B39" s="20" t="str">
        <x:v>Portal público de emissões VERT</x:v>
      </x:c>
      <x:c r="C39" s="20" t="str">
        <x:v>https://data.vert-capital.app/?q=Solfacil&amp;company=securitizadora&amp;skip_redirect=true</x:v>
      </x:c>
      <x:c r="D39" s="21" t="n">
        <x:v>46256</x:v>
      </x:c>
      <x:c r="E39" s="21" t="n">
        <x:v>46256</x:v>
      </x:c>
      <x:c r="F39" s="20" t="str">
        <x:v>VERT 174ª e 177ª; uma debênture de 2022</x:v>
      </x:c>
      <x:c r="G39" s="20" t="str">
        <x:v>obtido</x:v>
      </x:c>
      <x:c r="H39" s="20" t="str">
        <x:v>n/d</x:v>
      </x:c>
      <x:c r="I39" s="20" t="str">
        <x:v>O portal não lista CRI Solfácil posterior à 177ª; a data exibida da 177ª diverge do termo oficial.</x:v>
      </x:c>
      <x:c r="J39" s="20" t="str">
        <x:v>Documentado</x:v>
      </x:c>
      <x:c r="K39" s="20" t="str">
        <x:v>Inventário fechado antes do build; fontes não obtidas permanecem registradas.</x:v>
      </x:c>
    </x:row>
    <x:row r="40">
      <x:c r="A40" s="20" t="str">
        <x:v>USER_REQUEST_20260822</x:v>
      </x:c>
      <x:c r="B40" s="20" t="str">
        <x:v>Universo inicial informado no pedido</x:v>
      </x:c>
      <x:c r="C40" s="20" t="str">
        <x:v>conversa local do trabalho</x:v>
      </x:c>
      <x:c r="D40" s="21" t="n">
        <x:v>46256</x:v>
      </x:c>
      <x:c r="E40" s="21" t="n">
        <x:v>46256</x:v>
      </x:c>
      <x:c r="F40" s="20" t="str">
        <x:v>datas e contagens indicadas como ponto de partida</x:v>
      </x:c>
      <x:c r="G40" s="20" t="str">
        <x:v>obtido</x:v>
      </x:c>
      <x:c r="H40" s="20" t="str">
        <x:v>n/d</x:v>
      </x:c>
      <x:c r="I40" s="20" t="str">
        <x:v>Ponto de partida reconciliado com fontes públicas; não tratado como prova documental isolada.</x:v>
      </x:c>
      <x:c r="J40" s="20" t="str">
        <x:v>Documentado</x:v>
      </x:c>
      <x:c r="K40" s="20" t="str">
        <x:v>Inventário fechado antes do build; fontes não obtidas permanecem registradas.</x:v>
      </x:c>
    </x:row>
    <x:row r="41">
      <x:c r="A41" s="20" t="str">
        <x:v>UNIVERSO_SEARCH_20260822</x:v>
      </x:c>
      <x:c r="B41" s="20" t="str">
        <x:v>Busca de universo CVM/B3/Fundos.NET/Kanastra/VERT</x:v>
      </x:c>
      <x:c r="C41" s="20" t="str">
        <x:v>https://fnet.bmfbovespa.com.br/fnet/publico/abrirGerenciadorDocumentosCertificadosCVM | https://dados.cvm.gov.br/dataset/oferta-distrib | https://kanastra.com.br/api/website/securitizations?page=1&amp;size=100 | https://data.vert-capital.app/?q=Solfacil&amp;company=securitizadora&amp;skip_redirect=true</x:v>
      </x:c>
      <x:c r="D41" s="21" t="n">
        <x:v>46256</x:v>
      </x:c>
      <x:c r="E41" s="21" t="n">
        <x:v>46256</x:v>
      </x:c>
      <x:c r="F41" s="20" t="str">
        <x:v>SOLFACIL/SOLFÁCIL/SOL FACIL; Kanastra/VERT; entregas 2026-08-21 e 2026-08-22</x:v>
      </x:c>
      <x:c r="G41" s="20" t="str">
        <x:v>obtido</x:v>
      </x:c>
      <x:c r="H41" s="20" t="str">
        <x:v>n/d</x:v>
      </x:c>
      <x:c r="I41" s="20" t="str">
        <x:v>Encontrados 7 FIDCs e 6 operações de CRI. Kanastra e VERT não listam emissão posterior; o CSV de ofertas tinha corte em 20/08/2026.</x:v>
      </x:c>
      <x:c r="J41" s="20" t="str">
        <x:v>Documentado</x:v>
      </x:c>
      <x:c r="K41" s="20" t="str">
        <x:v>Inventário fechado antes do build; fontes não obtidas permanecem registradas.</x:v>
      </x:c>
    </x:row>
    <x:row r="42">
      <x:c r="A42" s="20" t="str">
        <x:v>B3_CURVA_DI_20260822</x:v>
      </x:c>
      <x:c r="B42" s="20" t="str">
        <x:v>B3 — Taxas Referenciais</x:v>
      </x:c>
      <x:c r="C42" s="20" t="str">
        <x:v>https://www.b3.com.br/pt_br/market-data-e-indices/servicos-de-dados/market-data/consultas/mercado-de-derivativos/indicadores/indicadores-financeiros/</x:v>
      </x:c>
      <x:c r="D42" s="21" t="n">
        <x:v>46256</x:v>
      </x:c>
      <x:c r="E42" s="21" t="n">
        <x:v>46256</x:v>
      </x:c>
      <x:c r="F42" s="20" t="str">
        <x:v>tentativa de curva datada</x:v>
      </x:c>
      <x:c r="G42" s="20" t="str">
        <x:v>não localizado</x:v>
      </x:c>
      <x:c r="H42" s="20" t="str">
        <x:v>n/d</x:v>
      </x:c>
      <x:c r="I42" s="20" t="str">
        <x:v>Página dinâmica acessada; curva DI futura completa da data-base não extraída.</x:v>
      </x:c>
      <x:c r="J42" s="20" t="str">
        <x:v>n/d</x:v>
      </x:c>
      <x:c r="K42" s="20" t="str">
        <x:v>Inventário fechado antes do build; fontes não obtidas permanecem registradas.</x:v>
      </x:c>
    </x:row>
    <x:row r="43">
      <x:c r="A43" s="20" t="str">
        <x:v>ANBIMA_CURVA_20260822</x:v>
      </x:c>
      <x:c r="B43" s="20" t="str">
        <x:v>ANBIMA Data — curvas/estoque</x:v>
      </x:c>
      <x:c r="C43" s="20" t="str">
        <x:v>https://data.anbima.com.br/</x:v>
      </x:c>
      <x:c r="D43" s="21" t="n">
        <x:v>46256</x:v>
      </x:c>
      <x:c r="E43" s="21" t="n">
        <x:v>46256</x:v>
      </x:c>
      <x:c r="F43" s="20" t="str">
        <x:v>tentativa de inflação implícita/estoque</x:v>
      </x:c>
      <x:c r="G43" s="20" t="str">
        <x:v>não localizado</x:v>
      </x:c>
      <x:c r="H43" s="20" t="str">
        <x:v>n/d</x:v>
      </x:c>
      <x:c r="I43" s="20" t="str">
        <x:v>Série datada necessária para equivalência; sem estimativa manual.</x:v>
      </x:c>
      <x:c r="J43" s="20" t="str">
        <x:v>n/d</x:v>
      </x:c>
      <x:c r="K43" s="20" t="str">
        <x:v>Inventário fechado antes do build; fontes não obtidas permanecem registradas.</x:v>
      </x:c>
    </x:row>
    <x:row r="44">
      <x:c r="A44" s="20" t="str">
        <x:v>METH_WATERFALL_COMPARATIVO</x:v>
      </x:c>
      <x:c r="B44" s="20" t="str">
        <x:v>Síntese comparativa de waterfalls</x:v>
      </x:c>
      <x:c r="C44" s="20" t="str">
        <x:v>gerado por tools/prepare_solfacil_data.py</x:v>
      </x:c>
      <x:c r="D44" s="21" t="n">
        <x:v>46256</x:v>
      </x:c>
      <x:c r="E44" s="21" t="n">
        <x:v>46256</x:v>
      </x:c>
      <x:c r="F44" s="20" t="str">
        <x:v>método reproduzível</x:v>
      </x:c>
      <x:c r="G44" s="20" t="str">
        <x:v>obtido</x:v>
      </x:c>
      <x:c r="H44" s="20" t="str">
        <x:v>n/d</x:v>
      </x:c>
      <x:c r="I44" s="20" t="str">
        <x:v>n/d</x:v>
      </x:c>
      <x:c r="J44" s="20" t="str">
        <x:v>Documentado</x:v>
      </x:c>
      <x:c r="K44" s="20" t="str">
        <x:v>Inventário fechado antes do build; fontes não obtidas permanecem registradas.</x:v>
      </x:c>
    </x:row>
    <x:row r="45">
      <x:c r="A45" s="20" t="str">
        <x:v>METH_MATRIZ_ELEGIBILIDADE</x:v>
      </x:c>
      <x:c r="B45" s="20" t="str">
        <x:v>Cruzamento de elegibilidade</x:v>
      </x:c>
      <x:c r="C45" s="20" t="str">
        <x:v>gerado por tools/prepare_solfacil_data.py</x:v>
      </x:c>
      <x:c r="D45" s="21" t="n">
        <x:v>46256</x:v>
      </x:c>
      <x:c r="E45" s="21" t="n">
        <x:v>46256</x:v>
      </x:c>
      <x:c r="F45" s="20" t="str">
        <x:v>método reproduzível</x:v>
      </x:c>
      <x:c r="G45" s="20" t="str">
        <x:v>obtido</x:v>
      </x:c>
      <x:c r="H45" s="20" t="str">
        <x:v>n/d</x:v>
      </x:c>
      <x:c r="I45" s="20" t="str">
        <x:v>n/d</x:v>
      </x:c>
      <x:c r="J45" s="20" t="str">
        <x:v>Documentado</x:v>
      </x:c>
      <x:c r="K45" s="20" t="str">
        <x:v>Inventário fechado antes do build; fontes não obtidas permanecem registradas.</x:v>
      </x:c>
    </x:row>
    <x:row r="46">
      <x:c r="A46" s="20" t="str">
        <x:v>METH_COMPARACAO_FIDC_CRI</x:v>
      </x:c>
      <x:c r="B46" s="20" t="str">
        <x:v>Matriz de comparação FIDC×CRI</x:v>
      </x:c>
      <x:c r="C46" s="20" t="str">
        <x:v>gerado por tools/prepare_solfacil_data.py</x:v>
      </x:c>
      <x:c r="D46" s="21" t="n">
        <x:v>46256</x:v>
      </x:c>
      <x:c r="E46" s="21" t="n">
        <x:v>46256</x:v>
      </x:c>
      <x:c r="F46" s="20" t="str">
        <x:v>método reproduzível</x:v>
      </x:c>
      <x:c r="G46" s="20" t="str">
        <x:v>obtido</x:v>
      </x:c>
      <x:c r="H46" s="20" t="str">
        <x:v>n/d</x:v>
      </x:c>
      <x:c r="I46" s="20" t="str">
        <x:v>n/d</x:v>
      </x:c>
      <x:c r="J46" s="20" t="str">
        <x:v>Documentado</x:v>
      </x:c>
      <x:c r="K46" s="20" t="str">
        <x:v>Inventário fechado antes do build; fontes não obtidas permanecem registradas.</x:v>
      </x:c>
    </x:row>
    <x:row r="47">
      <x:c r="A47" s="20" t="str">
        <x:v>METH_RECONCILIACAO</x:v>
      </x:c>
      <x:c r="B47" s="20" t="str">
        <x:v>Reconciliação por código</x:v>
      </x:c>
      <x:c r="C47" s="20" t="str">
        <x:v>gerado por tools/prepare_solfacil_data.py</x:v>
      </x:c>
      <x:c r="D47" s="21" t="n">
        <x:v>46256</x:v>
      </x:c>
      <x:c r="E47" s="21" t="n">
        <x:v>46256</x:v>
      </x:c>
      <x:c r="F47" s="20" t="str">
        <x:v>método reproduzível</x:v>
      </x:c>
      <x:c r="G47" s="20" t="str">
        <x:v>obtido</x:v>
      </x:c>
      <x:c r="H47" s="20" t="str">
        <x:v>n/d</x:v>
      </x:c>
      <x:c r="I47" s="20" t="str">
        <x:v>n/d</x:v>
      </x:c>
      <x:c r="J47" s="20" t="str">
        <x:v>Documentado</x:v>
      </x:c>
      <x:c r="K47" s="20" t="str">
        <x:v>Inventário fechado antes do build; fontes não obtidas permanecem registradas.</x:v>
      </x:c>
    </x:row>
    <x:row r="48">
      <x:c r="A48" s="20" t="str">
        <x:v>CVM_CRI_2026_GERAL</x:v>
      </x:c>
      <x:c r="B48" s="20" t="str">
        <x:v>Informe Mensal CRI 2026</x:v>
      </x:c>
      <x:c r="C48" s="20" t="str">
        <x:v>https://dados.cvm.gov.br/dados/SEC/DOC/INF_MENSAL/DADOS/inf_mensal_cri_2026.zip</x:v>
      </x:c>
      <x:c r="D48" s="21" t="n">
        <x:v>46256</x:v>
      </x:c>
      <x:c r="E48" s="21" t="n">
        <x:v>46174</x:v>
      </x:c>
      <x:c r="F48" s="20" t="str">
        <x:v>geral e ativo/passivo</x:v>
      </x:c>
      <x:c r="G48" s="20" t="str">
        <x:v>obtido</x:v>
      </x:c>
      <x:c r="H48" s="20" t="str">
        <x:v>n/d</x:v>
      </x:c>
      <x:c r="I48" s="20" t="str">
        <x:v>n/d</x:v>
      </x:c>
      <x:c r="J48" s="20" t="str">
        <x:v>Documentado</x:v>
      </x:c>
      <x:c r="K48" s="20" t="str">
        <x:v>Inventário fechado antes do build; fontes não obtidas permanecem registradas.</x:v>
      </x:c>
    </x:row>
  </x:sheetData>
  <x:mergeCells>
    <x:mergeCell ref="A1:K1"/>
    <x:mergeCell ref="A2:K2"/>
    <x:mergeCell ref="A3:K3"/>
  </x:mergeCells>
  <x:conditionalFormatting sqref="G6:G48">
    <x:cfRule type="containsText" dxfId="1" priority="1" operator="containsText" text="não localizado"/>
  </x:conditionalFormatting>
  <x:pageMargins left="0.7" right="0.7" top="0.75" bottom="0.75" header="0.3" footer="0.3"/>
  <x:tableParts count="1">
    <x:tablePart xmlns:r="http://schemas.openxmlformats.org/officeDocument/2006/relationships" r:id="R766c1d3b2ff74de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7" hidden="0" customWidth="1"/>
    <x:col min="4" max="4" width="42" hidden="0" customWidth="1"/>
    <x:col min="5" max="5" width="34" hidden="0" customWidth="1"/>
    <x:col min="6" max="6" width="19" hidden="0" customWidth="1"/>
    <x:col min="7" max="7" width="42" hidden="0" customWidth="1"/>
  </x:cols>
  <x:sheetData>
    <x:row r="1" ht="30" customHeight="1">
      <x:c r="A1" s="3" t="str">
        <x:v>18 Metodologia</x:v>
      </x:c>
    </x:row>
    <x:row r="2" ht="34" customHeight="1">
      <x:c r="A2" s="7" t="str">
        <x:v>As fórmulas e qualificadores permitem reproduzir cada métrica calculada. Nenhuma fórmula converte n/d em zero.</x:v>
      </x:c>
    </x:row>
    <x:row r="3" ht="24" customHeight="1">
      <x:c r="A3" s="11" t="str">
        <x:v>Data-base: por linha | Fontes: METH_RECONCILIACAO; CVM_FIDC_202607_X2; CVM_FIDC_202607_I_V; CVM_CRI_2026_ATIVO_CARTEIRA; CVM_FIDC_202607_VIII; ver 17_Fontes</x:v>
      </x:c>
    </x:row>
    <x:row r="4" ht="16" customHeight="1">
      <x:c r="A4" s="22" t="str"/>
      <x:c r="B4" s="22"/>
      <x:c r="C4" s="22"/>
      <x:c r="D4" s="22"/>
      <x:c r="E4" s="22"/>
      <x:c r="F4" s="22"/>
      <x:c r="G4" s="22"/>
    </x:row>
    <x:row r="5" ht="34" customHeight="1">
      <x:c r="A5" s="16" t="str">
        <x:v>metrica</x:v>
      </x:c>
      <x:c r="B5" s="16" t="str">
        <x:v>formula</x:v>
      </x:c>
      <x:c r="C5" s="16" t="str">
        <x:v>unidade</x:v>
      </x:c>
      <x:c r="D5" s="16" t="str">
        <x:v>qualificador</x:v>
      </x:c>
      <x:c r="E5" s="16" t="str">
        <x:v>fonte_id</x:v>
      </x:c>
      <x:c r="F5" s="16" t="str">
        <x:v>status</x:v>
      </x:c>
      <x:c r="G5" s="16" t="str">
        <x:v>nota_metodo</x:v>
      </x:c>
    </x:row>
    <x:row r="6">
      <x:c r="A6" s="20" t="str">
        <x:v>WAM observado</x:v>
      </x:c>
      <x:c r="B6" s="20" t="str">
        <x:v>Σ(saldo_i × dias até vencimento_i) / Σ saldo_i</x:v>
      </x:c>
      <x:c r="C6" s="20" t="str">
        <x:v>dias</x:v>
      </x:c>
      <x:c r="D6" s="20" t="str">
        <x:v>Exige tape por recebível; teto contratual fica em coluna separada.</x:v>
      </x:c>
      <x:c r="E6" s="20" t="str">
        <x:v>METH_RECONCILIACAO</x:v>
      </x:c>
      <x:c r="F6" s="20" t="str">
        <x:v>Documentado</x:v>
      </x:c>
      <x:c r="G6" s="20" t="str">
        <x:v>Fórmula implementada em tools/prepare_solfacil_data.py quando os insumos existem.</x:v>
      </x:c>
    </x:row>
    <x:row r="7">
      <x:c r="A7" s="20" t="str">
        <x:v>Prazo máximo em meses</x:v>
      </x:c>
      <x:c r="B7" s="20" t="str">
        <x:v>prazo_max_recebivel_dias / 30,4375</x:v>
      </x:c>
      <x:c r="C7" s="20" t="str">
        <x:v>meses</x:v>
      </x:c>
      <x:c r="D7" s="20" t="str">
        <x:v>Conversão de comparação; contrato continua regido em dias quando assim redigido.</x:v>
      </x:c>
      <x:c r="E7" s="20" t="str">
        <x:v>METH_RECONCILIACAO</x:v>
      </x:c>
      <x:c r="F7" s="20" t="str">
        <x:v>Documentado</x:v>
      </x:c>
      <x:c r="G7" s="20" t="str">
        <x:v>Fórmula implementada em tools/prepare_solfacil_data.py quando os insumos existem.</x:v>
      </x:c>
    </x:row>
    <x:row r="8">
      <x:c r="A8" s="20" t="str">
        <x:v>Subordinação / attachment</x:v>
      </x:c>
      <x:c r="B8" s="20" t="str">
        <x:v>(NAV mezanino + NAV júnior) / carteira bruta</x:v>
      </x:c>
      <x:c r="C8" s="20" t="str">
        <x:v>% da carteira</x:v>
      </x:c>
      <x:c r="D8" s="20" t="str">
        <x:v>NAV por classe vem do Informe Mensal; carteira bruta deve manter o mesmo perímetro.</x:v>
      </x:c>
      <x:c r="E8" s="20" t="str">
        <x:v>CVM_FIDC_202607_X2</x:v>
      </x:c>
      <x:c r="F8" s="20" t="str">
        <x:v>Documentado</x:v>
      </x:c>
      <x:c r="G8" s="20" t="str">
        <x:v>Fórmula implementada em tools/prepare_solfacil_data.py quando os insumos existem.</x:v>
      </x:c>
    </x:row>
    <x:row r="9">
      <x:c r="A9" s="20" t="str">
        <x:v>Attachment após saque</x:v>
      </x:c>
      <x:c r="B9" s="20" t="str">
        <x:v>(NAV mezanino pós + NAV júnior pós) / carteira bruta pós</x:v>
      </x:c>
      <x:c r="C9" s="20" t="str">
        <x:v>% da carteira</x:v>
      </x:c>
      <x:c r="D9" s="20" t="str">
        <x:v>Fica n/d sem valor/data do saque observado.</x:v>
      </x:c>
      <x:c r="E9" s="20" t="str">
        <x:v>METH_RECONCILIACAO</x:v>
      </x:c>
      <x:c r="F9" s="20" t="str">
        <x:v>Documentado</x:v>
      </x:c>
      <x:c r="G9" s="20" t="str">
        <x:v>Fórmula implementada em tools/prepare_solfacil_data.py quando os insumos existem.</x:v>
      </x:c>
    </x:row>
    <x:row r="10">
      <x:c r="A10" s="20" t="str">
        <x:v>Folga ao piso</x:v>
      </x:c>
      <x:c r="B10" s="20" t="str">
        <x:v>[Sub_NAV − piso × PL] / [1 − piso]</x:v>
      </x:c>
      <x:c r="C10" s="20" t="str">
        <x:v>R$</x:v>
      </x:c>
      <x:c r="D10" s="20" t="str">
        <x:v>Só calculável quando Sub_NAV, PL e piso têm a mesma competência.</x:v>
      </x:c>
      <x:c r="E10" s="20" t="str">
        <x:v>METH_RECONCILIACAO</x:v>
      </x:c>
      <x:c r="F10" s="20" t="str">
        <x:v>Documentado</x:v>
      </x:c>
      <x:c r="G10" s="20" t="str">
        <x:v>Fórmula implementada em tools/prepare_solfacil_data.py quando os insumos existem.</x:v>
      </x:c>
    </x:row>
    <x:row r="11">
      <x:c r="A11" s="20" t="str">
        <x:v>PDD observada</x:v>
      </x:c>
      <x:c r="B11" s="20" t="str">
        <x:v>redução ao valor de recuperação / carteira ou créditos</x:v>
      </x:c>
      <x:c r="C11" s="20" t="str">
        <x:v>% da carteira</x:v>
      </x:c>
      <x:c r="D11" s="20" t="str">
        <x:v>Denominador aparece no nome da coluna; não combina FIDC e CRI sem coluna de data-base.</x:v>
      </x:c>
      <x:c r="E11" s="20" t="str">
        <x:v>CVM_FIDC_202607_I_V | CVM_CRI_2026_ATIVO_CARTEIRA</x:v>
      </x:c>
      <x:c r="F11" s="20" t="str">
        <x:v>Documentado</x:v>
      </x:c>
      <x:c r="G11" s="20" t="str">
        <x:v>Fórmula implementada em tools/prepare_solfacil_data.py quando os insumos existem.</x:v>
      </x:c>
    </x:row>
    <x:row r="12">
      <x:c r="A12" s="20" t="str">
        <x:v>Saldo acima de 90 dias</x:v>
      </x:c>
      <x:c r="B12" s="20" t="str">
        <x:v>Σ faixas 91–120, 121–150, 151–180 e posteriores / carteira</x:v>
      </x:c>
      <x:c r="C12" s="20" t="str">
        <x:v>% da carteira</x:v>
      </x:c>
      <x:c r="D12" s="20" t="str">
        <x:v>A faixa CVM até 30 dias não permite separar 0–15 e 16–30.</x:v>
      </x:c>
      <x:c r="E12" s="20" t="str">
        <x:v>CVM_FIDC_202607_I_V | CVM_CRI_2026_ATIVO_CARTEIRA</x:v>
      </x:c>
      <x:c r="F12" s="20" t="str">
        <x:v>Documentado</x:v>
      </x:c>
      <x:c r="G12" s="20" t="str">
        <x:v>Fórmula implementada em tools/prepare_solfacil_data.py quando os insumos existem.</x:v>
      </x:c>
    </x:row>
    <x:row r="13">
      <x:c r="A13" s="20" t="str">
        <x:v>Efeito vagão</x:v>
      </x:c>
      <x:c r="B13" s="20" t="str">
        <x:v>sinalizar quando PDD / saldo &gt;90d &gt; 100%</x:v>
      </x:c>
      <x:c r="C13" s="20" t="str">
        <x:v>sim/não/indício</x:v>
      </x:c>
      <x:c r="D13" s="20" t="str">
        <x:v>Razão acima de 100% é indício; confirmação contratual vem do regulamento/termo.</x:v>
      </x:c>
      <x:c r="E13" s="20" t="str">
        <x:v>METH_RECONCILIACAO</x:v>
      </x:c>
      <x:c r="F13" s="20" t="str">
        <x:v>Documentado</x:v>
      </x:c>
      <x:c r="G13" s="20" t="str">
        <x:v>Fórmula implementada em tools/prepare_solfacil_data.py quando os insumos existem.</x:v>
      </x:c>
    </x:row>
    <x:row r="14">
      <x:c r="A14" s="20" t="str">
        <x:v>Concentração observada</x:v>
      </x:c>
      <x:c r="B14" s="20" t="str">
        <x:v>maior valor da Tabela VIII / carteira; top10 = soma dos 10 maiores / carteira</x:v>
      </x:c>
      <x:c r="C14" s="20" t="str">
        <x:v>% da carteira</x:v>
      </x:c>
      <x:c r="D14" s="20" t="str">
        <x:v>Tabela VIII não identifica os devedores; zeros publicados são preservados.</x:v>
      </x:c>
      <x:c r="E14" s="20" t="str">
        <x:v>CVM_FIDC_202607_VIII</x:v>
      </x:c>
      <x:c r="F14" s="20" t="str">
        <x:v>Documentado</x:v>
      </x:c>
      <x:c r="G14" s="20" t="str">
        <x:v>Fórmula implementada em tools/prepare_solfacil_data.py quando os insumos existem.</x:v>
      </x:c>
    </x:row>
    <x:row r="15">
      <x:c r="A15" s="20" t="str">
        <x:v>Gap ativo–passivo</x:v>
      </x:c>
      <x:c r="B15" s="20" t="str">
        <x:v>prazo legal da série mais longa − teto de WAM</x:v>
      </x:c>
      <x:c r="C15" s="20" t="str">
        <x:v>meses</x:v>
      </x:c>
      <x:c r="D15" s="20" t="str">
        <x:v>É um comparador conservador e não uma duration financeira.</x:v>
      </x:c>
      <x:c r="E15" s="20" t="str">
        <x:v>METH_RECONCILIACAO</x:v>
      </x:c>
      <x:c r="F15" s="20" t="str">
        <x:v>Documentado</x:v>
      </x:c>
      <x:c r="G15" s="20" t="str">
        <x:v>Fórmula implementada em tools/prepare_solfacil_data.py quando os insumos existem.</x:v>
      </x:c>
    </x:row>
    <x:row r="16">
      <x:c r="A16" s="20" t="str">
        <x:v>Equivalência para DI</x:v>
      </x:c>
      <x:c r="B16" s="20" t="str">
        <x:v>resolver taxa equivalente com curva DI futura B3 e inflação implícita NTN-B na data-base</x:v>
      </x:c>
      <x:c r="C16" s="20" t="str">
        <x:v>bps sobre DI</x:v>
      </x:c>
      <x:c r="D16" s="20" t="str">
        <x:v>Sem as curvas datadas, resultado permanece n/d; não há estimativa de cabeça.</x:v>
      </x:c>
      <x:c r="E16" s="20" t="str">
        <x:v>B3_CURVA_DI_20260822 | ANBIMA_CURVA_20260822</x:v>
      </x:c>
      <x:c r="F16" s="20" t="str">
        <x:v>Documentado</x:v>
      </x:c>
      <x:c r="G16" s="20" t="str">
        <x:v>Fórmula implementada em tools/prepare_solfacil_data.py quando os insumos existem.</x:v>
      </x:c>
    </x:row>
    <x:row r="17">
      <x:c r="A17" s="20" t="str">
        <x:v>Custo all-in</x:v>
      </x:c>
      <x:c r="B17" s="20" t="str">
        <x:v>custo ponderado das cotas/séries públicas + custos fixos anualizados / PL médio</x:v>
      </x:c>
      <x:c r="C17" s="20" t="str">
        <x:v>bps a.a.</x:v>
      </x:c>
      <x:c r="D17" s="20" t="str">
        <x:v>Preço de cessão, hedge e capital retido ficam fora salvo divulgação específica.</x:v>
      </x:c>
      <x:c r="E17" s="20" t="str">
        <x:v>METH_RECONCILIACAO</x:v>
      </x:c>
      <x:c r="F17" s="20" t="str">
        <x:v>Documentado</x:v>
      </x:c>
      <x:c r="G17" s="20" t="str">
        <x:v>Fórmula implementada em tools/prepare_solfacil_data.py quando os insumos existem.</x:v>
      </x:c>
    </x:row>
    <x:row r="18">
      <x:c r="A18" s="20" t="str">
        <x:v>Saldo mensal realizado</x:v>
      </x:c>
      <x:c r="B18" s="20" t="str">
        <x:v>Valor_Certificados quando claramente agregado em R$; saldo inicial = saldo final anterior documentado</x:v>
      </x:c>
      <x:c r="C18" s="20" t="str">
        <x:v>R$</x:v>
      </x:c>
      <x:c r="D18" s="20" t="str">
        <x:v>Na primeira competência, saldo inicial permanece n/d; Total_Integralizado não substitui saldo corrente. Valor unitário/ambíguo permanece n/d.</x:v>
      </x:c>
      <x:c r="E18" s="20" t="str">
        <x:v>CVM_CRI_2026_CLASSE</x:v>
      </x:c>
      <x:c r="F18" s="20" t="str">
        <x:v>Documentado</x:v>
      </x:c>
      <x:c r="G18" s="20" t="str">
        <x:v>Fórmula implementada em tools/prepare_solfacil_data.py quando os insumos existem.</x:v>
      </x:c>
    </x:row>
    <x:row r="19">
      <x:c r="A19" s="20" t="str">
        <x:v>Antes/depois</x:v>
      </x:c>
      <x:c r="B19" s="20" t="str">
        <x:v>competências t−3…t+3 relativas ao mês da cessão</x:v>
      </x:c>
      <x:c r="C19" s="20" t="str">
        <x:v>índice/moeda/%</x:v>
      </x:c>
      <x:c r="D19" s="20" t="str">
        <x:v>Sem tape por CCB, mudança de denominador e seleção do pool não são separáveis.</x:v>
      </x:c>
      <x:c r="E19" s="20" t="str">
        <x:v>CVM_FIDC_2023_I_IV_V_X2 | CVM_FIDC_2024_I_IV_V_X2</x:v>
      </x:c>
      <x:c r="F19" s="20" t="str">
        <x:v>Documentado</x:v>
      </x:c>
      <x:c r="G19" s="20" t="str">
        <x:v>Fórmula implementada em tools/prepare_solfacil_data.py quando os insumos existem.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7baf025b80fc440f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19" hidden="0" customWidth="1"/>
    <x:col min="5" max="5" width="42" hidden="0" customWidth="1"/>
  </x:cols>
  <x:sheetData>
    <x:row r="1" ht="30" customHeight="1">
      <x:c r="A1" s="3" t="str">
        <x:v>19 Glossario</x:v>
      </x:c>
    </x:row>
    <x:row r="2" ht="34" customHeight="1">
      <x:c r="A2" s="7" t="str">
        <x:v>Os termos usados no material aparecem em português direto. Cada definição descreve a função econômica do conceito.</x:v>
      </x:c>
    </x:row>
    <x:row r="3" ht="24" customHeight="1">
      <x:c r="A3" s="11" t="str">
        <x:v>Data-base: por linha | Fontes: METH_COMPARACAO_FIDC_CRI</x:v>
      </x:c>
    </x:row>
    <x:row r="4" ht="16" customHeight="1">
      <x:c r="A4" s="22" t="str"/>
      <x:c r="B4" s="22"/>
      <x:c r="C4" s="22"/>
      <x:c r="D4" s="22"/>
      <x:c r="E4" s="22"/>
    </x:row>
    <x:row r="5" ht="34" customHeight="1">
      <x:c r="A5" s="16" t="str">
        <x:v>termo</x:v>
      </x:c>
      <x:c r="B5" s="16" t="str">
        <x:v>definicao</x:v>
      </x:c>
      <x:c r="C5" s="16" t="str">
        <x:v>fonte_id</x:v>
      </x:c>
      <x:c r="D5" s="16" t="str">
        <x:v>status</x:v>
      </x:c>
      <x:c r="E5" s="16" t="str">
        <x:v>nota_metodo</x:v>
      </x:c>
    </x:row>
    <x:row r="6">
      <x:c r="A6" s="20" t="str">
        <x:v>Waterfall</x:v>
      </x:c>
      <x:c r="B6" s="20" t="str">
        <x:v>Ordem contratual de uso do caixa para despesas, juros e principal de cada camada.</x:v>
      </x:c>
      <x:c r="C6" s="20" t="str">
        <x:v>METH_COMPARACAO_FIDC_CRI</x:v>
      </x:c>
      <x:c r="D6" s="20" t="str">
        <x:v>Documentado</x:v>
      </x:c>
      <x:c r="E6" s="20" t="str">
        <x:v>Definição em português direto usada no workbook e no deck.</x:v>
      </x:c>
    </x:row>
    <x:row r="7">
      <x:c r="A7" s="20" t="str">
        <x:v>Pró-rata</x:v>
      </x:c>
      <x:c r="B7" s="20" t="str">
        <x:v>Pagamento distribuído entre camadas conforme percentuais ou metas, condicionado aos testes.</x:v>
      </x:c>
      <x:c r="C7" s="20" t="str">
        <x:v>METH_COMPARACAO_FIDC_CRI</x:v>
      </x:c>
      <x:c r="D7" s="20" t="str">
        <x:v>Documentado</x:v>
      </x:c>
      <x:c r="E7" s="20" t="str">
        <x:v>Definição em português direto usada no workbook e no deck.</x:v>
      </x:c>
    </x:row>
    <x:row r="8">
      <x:c r="A8" s="20" t="str">
        <x:v>Sequencial</x:v>
      </x:c>
      <x:c r="B8" s="20" t="str">
        <x:v>Pagamento que quita primeiro a camada prioritária e só depois avança para a seguinte.</x:v>
      </x:c>
      <x:c r="C8" s="20" t="str">
        <x:v>METH_COMPARACAO_FIDC_CRI</x:v>
      </x:c>
      <x:c r="D8" s="20" t="str">
        <x:v>Documentado</x:v>
      </x:c>
      <x:c r="E8" s="20" t="str">
        <x:v>Definição em português direto usada no workbook e no deck.</x:v>
      </x:c>
    </x:row>
    <x:row r="9">
      <x:c r="A9" s="20" t="str">
        <x:v>Attachment point</x:v>
      </x:c>
      <x:c r="B9" s="20" t="str">
        <x:v>Parcela da carteira que absorve perda antes de a camada sênior começar a perder.</x:v>
      </x:c>
      <x:c r="C9" s="20" t="str">
        <x:v>METH_COMPARACAO_FIDC_CRI</x:v>
      </x:c>
      <x:c r="D9" s="20" t="str">
        <x:v>Documentado</x:v>
      </x:c>
      <x:c r="E9" s="20" t="str">
        <x:v>Definição em português direto usada no workbook e no deck.</x:v>
      </x:c>
    </x:row>
    <x:row r="10">
      <x:c r="A10" s="20" t="str">
        <x:v>Efeito vagão</x:v>
      </x:c>
      <x:c r="B10" s="20" t="str">
        <x:v>Regra que leva o atraso de uma parcela para a classificação do saldo integral do contrato.</x:v>
      </x:c>
      <x:c r="C10" s="20" t="str">
        <x:v>METH_COMPARACAO_FIDC_CRI</x:v>
      </x:c>
      <x:c r="D10" s="20" t="str">
        <x:v>Documentado</x:v>
      </x:c>
      <x:c r="E10" s="20" t="str">
        <x:v>Definição em português direto usada no workbook e no deck.</x:v>
      </x:c>
    </x:row>
    <x:row r="11">
      <x:c r="A11" s="20" t="str">
        <x:v>Seasoning</x:v>
      </x:c>
      <x:c r="B11" s="20" t="str">
        <x:v>Tempo mínimo de histórico do crédito antes de poder entrar na carteira.</x:v>
      </x:c>
      <x:c r="C11" s="20" t="str">
        <x:v>METH_COMPARACAO_FIDC_CRI</x:v>
      </x:c>
      <x:c r="D11" s="20" t="str">
        <x:v>Documentado</x:v>
      </x:c>
      <x:c r="E11" s="20" t="str">
        <x:v>Definição em português direto usada no workbook e no deck.</x:v>
      </x:c>
    </x:row>
    <x:row r="12">
      <x:c r="A12" s="20" t="str">
        <x:v>Take-out</x:v>
      </x:c>
      <x:c r="B12" s="20" t="str">
        <x:v>Transferência de créditos do veículo de estoque para uma emissão de prazo mais longo.</x:v>
      </x:c>
      <x:c r="C12" s="20" t="str">
        <x:v>METH_COMPARACAO_FIDC_CRI</x:v>
      </x:c>
      <x:c r="D12" s="20" t="str">
        <x:v>Documentado</x:v>
      </x:c>
      <x:c r="E12" s="20" t="str">
        <x:v>Definição em português direto usada no workbook e no deck.</x:v>
      </x:c>
    </x:row>
    <x:row r="13">
      <x:c r="A13" s="20" t="str">
        <x:v>Warehouse</x:v>
      </x:c>
      <x:c r="B13" s="20" t="str">
        <x:v>Veículo que acumula créditos antes da cessão ou securitização.</x:v>
      </x:c>
      <x:c r="C13" s="20" t="str">
        <x:v>METH_COMPARACAO_FIDC_CRI</x:v>
      </x:c>
      <x:c r="D13" s="20" t="str">
        <x:v>Documentado</x:v>
      </x:c>
      <x:c r="E13" s="20" t="str">
        <x:v>Definição em português direto usada no workbook e no deck.</x:v>
      </x:c>
    </x:row>
    <x:row r="14">
      <x:c r="A14" s="20" t="str">
        <x:v>Cash sweep</x:v>
      </x:c>
      <x:c r="B14" s="20" t="str">
        <x:v>Uso acelerado do caixa para reduzir principal quando um teste é descumprido.</x:v>
      </x:c>
      <x:c r="C14" s="20" t="str">
        <x:v>METH_COMPARACAO_FIDC_CRI</x:v>
      </x:c>
      <x:c r="D14" s="20" t="str">
        <x:v>Documentado</x:v>
      </x:c>
      <x:c r="E14" s="20" t="str">
        <x:v>Definição em português direto usada no workbook e no deck.</x:v>
      </x:c>
    </x:row>
    <x:row r="15">
      <x:c r="A15" s="20" t="str">
        <x:v>MTM</x:v>
      </x:c>
      <x:c r="B15" s="20" t="str">
        <x:v>Valor de mercado de uma posição, especialmente derivativos usados para proteção.</x:v>
      </x:c>
      <x:c r="C15" s="20" t="str">
        <x:v>METH_COMPARACAO_FIDC_CRI</x:v>
      </x:c>
      <x:c r="D15" s="20" t="str">
        <x:v>Documentado</x:v>
      </x:c>
      <x:c r="E15" s="20" t="str">
        <x:v>Definição em português direto usada no workbook e no deck.</x:v>
      </x:c>
    </x:row>
    <x:row r="16">
      <x:c r="A16" s="20" t="str">
        <x:v>Cota subordinada</x:v>
      </x:c>
      <x:c r="B16" s="20" t="str">
        <x:v>Cota que absorve perdas antes das cotas mais prioritárias.</x:v>
      </x:c>
      <x:c r="C16" s="20" t="str">
        <x:v>METH_COMPARACAO_FIDC_CRI</x:v>
      </x:c>
      <x:c r="D16" s="20" t="str">
        <x:v>Documentado</x:v>
      </x:c>
      <x:c r="E16" s="20" t="str">
        <x:v>Definição em português direto usada no workbook e no deck.</x:v>
      </x:c>
    </x:row>
    <x:row r="17">
      <x:c r="A17" s="20" t="str">
        <x:v>Super sênior</x:v>
      </x:c>
      <x:c r="B17" s="20" t="str">
        <x:v>Camada com primeira prioridade de pagamento e maior proteção estrutural.</x:v>
      </x:c>
      <x:c r="C17" s="20" t="str">
        <x:v>METH_COMPARACAO_FIDC_CRI</x:v>
      </x:c>
      <x:c r="D17" s="20" t="str">
        <x:v>Documentado</x:v>
      </x:c>
      <x:c r="E17" s="20" t="str">
        <x:v>Definição em português direto usada no workbook e no deck.</x:v>
      </x:c>
    </x:row>
    <x:row r="18">
      <x:c r="A18" s="20" t="str">
        <x:v>Mezanino</x:v>
      </x:c>
      <x:c r="B18" s="20" t="str">
        <x:v>Camada intermediária entre sênior e júnior na ordem de perdas e pagamentos.</x:v>
      </x:c>
      <x:c r="C18" s="20" t="str">
        <x:v>METH_COMPARACAO_FIDC_CRI</x:v>
      </x:c>
      <x:c r="D18" s="20" t="str">
        <x:v>Documentado</x:v>
      </x:c>
      <x:c r="E18" s="20" t="str">
        <x:v>Definição em português direto usada no workbook e no deck.</x:v>
      </x:c>
    </x:row>
    <x:row r="19">
      <x:c r="A19" s="20" t="str">
        <x:v>PDD</x:v>
      </x:c>
      <x:c r="B19" s="20" t="str">
        <x:v>Redução contábil que reconhece perda esperada ou risco de não recuperação dos créditos.</x:v>
      </x:c>
      <x:c r="C19" s="20" t="str">
        <x:v>METH_COMPARACAO_FIDC_CRI</x:v>
      </x:c>
      <x:c r="D19" s="20" t="str">
        <x:v>Documentado</x:v>
      </x:c>
      <x:c r="E19" s="20" t="str">
        <x:v>Definição em português direto usada no workbook e no deck.</x:v>
      </x:c>
    </x:row>
    <x:row r="20">
      <x:c r="A20" s="20" t="str">
        <x:v>WAM</x:v>
      </x:c>
      <x:c r="B20" s="20" t="str">
        <x:v>Prazo médio da carteira ponderado pelo saldo de cada recebível.</x:v>
      </x:c>
      <x:c r="C20" s="20" t="str">
        <x:v>METH_COMPARACAO_FIDC_CRI</x:v>
      </x:c>
      <x:c r="D20" s="20" t="str">
        <x:v>Documentado</x:v>
      </x:c>
      <x:c r="E20" s="20" t="str">
        <x:v>Definição em português direto usada no workbook e no deck.</x:v>
      </x:c>
    </x:row>
    <x:row r="21">
      <x:c r="A21" s="20" t="str">
        <x:v>Revolvência</x:v>
      </x:c>
      <x:c r="B21" s="20" t="str">
        <x:v>Período em que cobranças podem financiar novas aquisições em vez de amortizar cotas.</x:v>
      </x:c>
      <x:c r="C21" s="20" t="str">
        <x:v>METH_COMPARACAO_FIDC_CRI</x:v>
      </x:c>
      <x:c r="D21" s="20" t="str">
        <x:v>Documentado</x:v>
      </x:c>
      <x:c r="E21" s="20" t="str">
        <x:v>Definição em português direto usada no workbook e no deck.</x:v>
      </x:c>
    </x:row>
    <x:row r="22">
      <x:c r="A22" s="20" t="str">
        <x:v>Desalavancagem</x:v>
      </x:c>
      <x:c r="B22" s="20" t="str">
        <x:v>Mudança que acelera pagamento das camadas prioritárias após um gatilho.</x:v>
      </x:c>
      <x:c r="C22" s="20" t="str">
        <x:v>METH_COMPARACAO_FIDC_CRI</x:v>
      </x:c>
      <x:c r="D22" s="20" t="str">
        <x:v>Documentado</x:v>
      </x:c>
      <x:c r="E22" s="20" t="str">
        <x:v>Definição em português direto usada no workbook e no deck.</x:v>
      </x:c>
    </x:row>
    <x:row r="23">
      <x:c r="A23" s="20" t="str">
        <x:v>Cessão</x:v>
      </x:c>
      <x:c r="B23" s="20" t="str">
        <x:v>Transferência jurídica e econômica de créditos entre cedente e comprador.</x:v>
      </x:c>
      <x:c r="C23" s="20" t="str">
        <x:v>METH_COMPARACAO_FIDC_CRI</x:v>
      </x:c>
      <x:c r="D23" s="20" t="str">
        <x:v>Documentado</x:v>
      </x:c>
      <x:c r="E23" s="20" t="str">
        <x:v>Definição em português direto usada no workbook e no deck.</x:v>
      </x:c>
    </x:row>
    <x:row r="24">
      <x:c r="A24" s="20" t="str">
        <x:v>Lastro</x:v>
      </x:c>
      <x:c r="B24" s="20" t="str">
        <x:v>Conjunto de créditos que gera o caixa destinado ao pagamento da emissão.</x:v>
      </x:c>
      <x:c r="C24" s="20" t="str">
        <x:v>METH_COMPARACAO_FIDC_CRI</x:v>
      </x:c>
      <x:c r="D24" s="20" t="str">
        <x:v>Documentado</x:v>
      </x:c>
      <x:c r="E24" s="20" t="str">
        <x:v>Definição em português direto usada no workbook e no deck.</x:v>
      </x:c>
    </x:row>
    <x:row r="25">
      <x:c r="A25" s="20" t="str">
        <x:v>Preço de aquisição</x:v>
      </x:c>
      <x:c r="B25" s="20" t="str">
        <x:v>Valor pago pelos créditos; um limite percentual não revela o preço efetivo praticado.</x:v>
      </x:c>
      <x:c r="C25" s="20" t="str">
        <x:v>METH_COMPARACAO_FIDC_CRI</x:v>
      </x:c>
      <x:c r="D25" s="20" t="str">
        <x:v>Documentado</x:v>
      </x:c>
      <x:c r="E25" s="20" t="str">
        <x:v>Definição em português direto usada no workbook e no deck.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8b90f00b62c4216"/>
  </x:tableParts>
</x:worksheet>
</file>