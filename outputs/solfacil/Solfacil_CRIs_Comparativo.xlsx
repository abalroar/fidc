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Not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%"/>
    <numFmt numFmtId="166" formatCode="#,##0.0"/>
    <numFmt numFmtId="167" formatCode="0.00&quot;%&quot;"/>
    <numFmt numFmtId="168" formatCode="0.0&quot;%&quot;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1F3864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sz val="9"/>
    </font>
    <font>
      <name val="Arial"/>
      <color rgb="000000FF"/>
      <sz val="9"/>
    </font>
    <font>
      <name val="Arial"/>
      <color rgb="00808080"/>
      <sz val="9"/>
    </font>
    <font>
      <name val="Arial"/>
      <b val="1"/>
      <color rgb="001F3864"/>
      <sz val="14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11" fillId="4" borderId="1" pivotButton="0" quotePrefix="0" xfId="0"/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166" fontId="12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2" fontId="12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2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164" fontId="8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2" fontId="8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CRIs Solfácil — comparativo das seis emissões</t>
        </is>
      </c>
    </row>
    <row r="2">
      <c r="A2" s="2" t="inlineStr">
        <is>
          <t>Estrutura conforme termos de securitização e prospectos; carteira e inadimplência conforme informe mensal de CRI de 31/08/2026 no Fundos.NET.</t>
        </is>
      </c>
    </row>
    <row r="4" ht="22" customHeight="1">
      <c r="A4" s="3" t="inlineStr">
        <is>
          <t>Indicador</t>
        </is>
      </c>
      <c r="B4" s="3" t="inlineStr">
        <is>
          <t>CRI I</t>
        </is>
      </c>
      <c r="C4" s="3" t="inlineStr">
        <is>
          <t>CRI II</t>
        </is>
      </c>
      <c r="D4" s="3" t="inlineStr">
        <is>
          <t>CRI III</t>
        </is>
      </c>
      <c r="E4" s="3" t="inlineStr">
        <is>
          <t>CRI IV</t>
        </is>
      </c>
      <c r="F4" s="3" t="inlineStr">
        <is>
          <t>CRI V</t>
        </is>
      </c>
      <c r="G4" s="3" t="inlineStr">
        <is>
          <t>CRI VI</t>
        </is>
      </c>
    </row>
    <row r="5" ht="16" customHeight="1">
      <c r="A5" s="4" t="inlineStr">
        <is>
          <t>IDENTIFICAÇÃO</t>
        </is>
      </c>
      <c r="B5" s="4" t="n"/>
      <c r="C5" s="4" t="n"/>
      <c r="D5" s="4" t="n"/>
      <c r="E5" s="4" t="n"/>
      <c r="F5" s="4" t="n"/>
      <c r="G5" s="4" t="n"/>
    </row>
    <row r="6" ht="18" customHeight="1">
      <c r="A6" s="5" t="inlineStr">
        <is>
          <t>Securitizadora</t>
        </is>
      </c>
      <c r="B6" s="6" t="inlineStr">
        <is>
          <t>Kanastra</t>
        </is>
      </c>
      <c r="C6" s="6" t="inlineStr">
        <is>
          <t>Kanastra</t>
        </is>
      </c>
      <c r="D6" s="6" t="inlineStr">
        <is>
          <t>Kanastra</t>
        </is>
      </c>
      <c r="E6" s="6" t="inlineStr">
        <is>
          <t>Kanastra</t>
        </is>
      </c>
      <c r="F6" s="6" t="inlineStr">
        <is>
          <t>Vert</t>
        </is>
      </c>
      <c r="G6" s="6" t="inlineStr">
        <is>
          <t>Vert</t>
        </is>
      </c>
    </row>
    <row r="7" ht="18" customHeight="1">
      <c r="A7" s="5" t="inlineStr">
        <is>
          <t>Nº da emissão</t>
        </is>
      </c>
      <c r="B7" s="6" t="inlineStr">
        <is>
          <t>1ª</t>
        </is>
      </c>
      <c r="C7" s="6" t="inlineStr">
        <is>
          <t>2ª</t>
        </is>
      </c>
      <c r="D7" s="6" t="inlineStr">
        <is>
          <t>3ª</t>
        </is>
      </c>
      <c r="E7" s="6" t="inlineStr">
        <is>
          <t>4ª</t>
        </is>
      </c>
      <c r="F7" s="6" t="inlineStr">
        <is>
          <t>174ª</t>
        </is>
      </c>
      <c r="G7" s="6" t="inlineStr">
        <is>
          <t>177ª</t>
        </is>
      </c>
    </row>
    <row r="8" ht="18" customHeight="1">
      <c r="A8" s="5" t="inlineStr">
        <is>
          <t>Data de emissão</t>
        </is>
      </c>
      <c r="B8" s="6" t="inlineStr">
        <is>
          <t>15/01/2024</t>
        </is>
      </c>
      <c r="C8" s="6" t="inlineStr">
        <is>
          <t>25/06/2024</t>
        </is>
      </c>
      <c r="D8" s="6" t="inlineStr">
        <is>
          <t>28/05/2025</t>
        </is>
      </c>
      <c r="E8" s="6" t="inlineStr">
        <is>
          <t>28/09/2025</t>
        </is>
      </c>
      <c r="F8" s="6" t="inlineStr">
        <is>
          <t>20/05/2026</t>
        </is>
      </c>
      <c r="G8" s="6" t="inlineStr">
        <is>
          <t>21/07/2026</t>
        </is>
      </c>
    </row>
    <row r="9" ht="18" customHeight="1">
      <c r="A9" s="5" t="inlineStr">
        <is>
          <t>Registro CVM</t>
        </is>
      </c>
      <c r="B9" s="6" t="inlineStr">
        <is>
          <t>16/02/2024</t>
        </is>
      </c>
      <c r="C9" s="6" t="inlineStr">
        <is>
          <t>21/06/2024</t>
        </is>
      </c>
      <c r="D9" s="6" t="inlineStr">
        <is>
          <t>03/06/2025</t>
        </is>
      </c>
      <c r="E9" s="6" t="inlineStr">
        <is>
          <t>29/09/2025</t>
        </is>
      </c>
      <c r="F9" s="6" t="inlineStr">
        <is>
          <t>20/05/2026</t>
        </is>
      </c>
      <c r="G9" s="6" t="inlineStr">
        <is>
          <t>20/07/2026</t>
        </is>
      </c>
    </row>
    <row r="10" ht="18" customHeight="1">
      <c r="A10" s="5" t="inlineStr">
        <is>
          <t>Encerramento da oferta</t>
        </is>
      </c>
      <c r="B10" s="6" t="inlineStr">
        <is>
          <t>23/02/2024</t>
        </is>
      </c>
      <c r="C10" s="6" t="inlineStr">
        <is>
          <t>28/06/2024</t>
        </is>
      </c>
      <c r="D10" s="6" t="inlineStr">
        <is>
          <t>06/06/2025</t>
        </is>
      </c>
      <c r="E10" s="6" t="inlineStr">
        <is>
          <t>13/10/2025</t>
        </is>
      </c>
      <c r="F10" s="6" t="inlineStr">
        <is>
          <t>28/05/2026</t>
        </is>
      </c>
      <c r="G10" s="6" t="inlineStr">
        <is>
          <t>02/09/2026</t>
        </is>
      </c>
    </row>
    <row r="11" ht="18" customHeight="1">
      <c r="A11" s="5" t="inlineStr">
        <is>
          <t>Coordenador líder</t>
        </is>
      </c>
      <c r="B11" s="6" t="inlineStr">
        <is>
          <t>Itaú BBA</t>
        </is>
      </c>
      <c r="C11" s="6" t="inlineStr">
        <is>
          <t>Itaú BBA</t>
        </is>
      </c>
      <c r="D11" s="6" t="inlineStr">
        <is>
          <t>Itaú BBA</t>
        </is>
      </c>
      <c r="E11" s="6" t="inlineStr">
        <is>
          <t>Itaú BBA</t>
        </is>
      </c>
      <c r="F11" s="6" t="inlineStr">
        <is>
          <t>XP</t>
        </is>
      </c>
      <c r="G11" s="6" t="inlineStr">
        <is>
          <t>XP e Bradesco BBI</t>
        </is>
      </c>
    </row>
    <row r="12" ht="18" customHeight="1">
      <c r="A12" s="5" t="inlineStr">
        <is>
          <t>Agente fiduciário</t>
        </is>
      </c>
      <c r="B12" s="6" t="inlineStr">
        <is>
          <t>Vórtx</t>
        </is>
      </c>
      <c r="C12" s="6" t="inlineStr">
        <is>
          <t>Oliveira Trust</t>
        </is>
      </c>
      <c r="D12" s="6" t="inlineStr">
        <is>
          <t>Oliveira Trust</t>
        </is>
      </c>
      <c r="E12" s="6" t="inlineStr">
        <is>
          <t>Oliveira Trust</t>
        </is>
      </c>
      <c r="F12" s="6" t="inlineStr">
        <is>
          <t>Oliveira Trust</t>
        </is>
      </c>
      <c r="G12" s="6" t="inlineStr">
        <is>
          <t>Oliveira Trust</t>
        </is>
      </c>
    </row>
    <row r="13" ht="18" customHeight="1">
      <c r="A13" s="5" t="inlineStr">
        <is>
          <t>Rating da camada de topo</t>
        </is>
      </c>
      <c r="B13" s="6" t="inlineStr">
        <is>
          <t>AA+sf(bra) / AAsf(bra) (Fitch)</t>
        </is>
      </c>
      <c r="C13" s="6" t="inlineStr">
        <is>
          <t>AAA (Moody's) / AA+ (Fitch)</t>
        </is>
      </c>
      <c r="D13" s="6" t="inlineStr">
        <is>
          <t>AAA (Moody's)</t>
        </is>
      </c>
      <c r="E13" s="6" t="inlineStr">
        <is>
          <t>AAA (Moody's)</t>
        </is>
      </c>
      <c r="F13" s="6" t="inlineStr">
        <is>
          <t>AAA (Moody's)</t>
        </is>
      </c>
      <c r="G13" s="6" t="inlineStr">
        <is>
          <t>Sem rating</t>
        </is>
      </c>
    </row>
    <row r="14" ht="18" customHeight="1">
      <c r="A14" s="5" t="inlineStr">
        <is>
          <t>Volume total emitido (R$ mm)</t>
        </is>
      </c>
      <c r="B14" s="7">
        <f>SUM('Séries'!D6:D10)</f>
        <v>600.0</v>
      </c>
      <c r="C14" s="7">
        <f>SUM('Séries'!D12:D16)</f>
        <v>750.0</v>
      </c>
      <c r="D14" s="7">
        <f>SUM('Séries'!D18:D23)</f>
        <v>750.0</v>
      </c>
      <c r="E14" s="7">
        <f>SUM('Séries'!D25:D31)</f>
        <v>450.0</v>
      </c>
      <c r="F14" s="7">
        <f>SUM('Séries'!D33:D38)</f>
        <v>470.599</v>
      </c>
      <c r="G14" s="7">
        <f>SUM('Séries'!D40:D44)</f>
        <v>450.0</v>
      </c>
    </row>
    <row r="15" ht="18" customHeight="1">
      <c r="A15" s="5" t="inlineStr">
        <is>
          <t>Nº de séries</t>
        </is>
      </c>
      <c r="B15" s="8" t="n">
        <v>5</v>
      </c>
      <c r="C15" s="8" t="n">
        <v>5</v>
      </c>
      <c r="D15" s="8" t="n">
        <v>6</v>
      </c>
      <c r="E15" s="8" t="n">
        <v>7</v>
      </c>
      <c r="F15" s="8" t="n">
        <v>6</v>
      </c>
      <c r="G15" s="8" t="n">
        <v>5</v>
      </c>
    </row>
    <row r="16" ht="16" customHeight="1">
      <c r="A16" s="4" t="inlineStr">
        <is>
          <t>SUBORDINAÇÃO NA EMISSÃO</t>
        </is>
      </c>
      <c r="B16" s="4" t="n"/>
      <c r="C16" s="4" t="n"/>
      <c r="D16" s="4" t="n"/>
      <c r="E16" s="4" t="n"/>
      <c r="F16" s="4" t="n"/>
      <c r="G16" s="4" t="n"/>
    </row>
    <row r="17" ht="18" customHeight="1">
      <c r="A17" s="5" t="inlineStr">
        <is>
          <t>Camada de topo</t>
        </is>
      </c>
      <c r="B17" s="6" t="inlineStr">
        <is>
          <t>Super Sênior</t>
        </is>
      </c>
      <c r="C17" s="6" t="inlineStr">
        <is>
          <t>Super Sênior</t>
        </is>
      </c>
      <c r="D17" s="6" t="inlineStr">
        <is>
          <t>Super Sênior</t>
        </is>
      </c>
      <c r="E17" s="6" t="inlineStr">
        <is>
          <t>Super Sênior</t>
        </is>
      </c>
      <c r="F17" s="6" t="inlineStr">
        <is>
          <t>Super Sênior</t>
        </is>
      </c>
      <c r="G17" s="6" t="inlineStr">
        <is>
          <t>Sênior A e B</t>
        </is>
      </c>
    </row>
    <row r="18" ht="18" customHeight="1">
      <c r="A18" s="5" t="inlineStr">
        <is>
          <t>Peso da camada de topo</t>
        </is>
      </c>
      <c r="B18" s="9">
        <f>SUM('Séries'!D6:D6)/SUM('Séries'!D6:D10)</f>
        <v>0.6</v>
      </c>
      <c r="C18" s="9">
        <f>SUM('Séries'!D12:D12)/SUM('Séries'!D12:D16)</f>
        <v>0.65</v>
      </c>
      <c r="D18" s="9">
        <f>SUM('Séries'!D18:D19)/SUM('Séries'!D18:D23)</f>
        <v>0.65</v>
      </c>
      <c r="E18" s="9">
        <f>SUM('Séries'!D25:D26)/SUM('Séries'!D25:D31)</f>
        <v>0.65</v>
      </c>
      <c r="F18" s="9">
        <f>SUM('Séries'!D33:D34)/SUM('Séries'!D33:D38)</f>
        <v>0.7000014875</v>
      </c>
      <c r="G18" s="9">
        <f>SUM('Séries'!D40:D41)/SUM('Séries'!D40:D44)</f>
        <v>0.85</v>
      </c>
    </row>
    <row r="19" ht="18" customHeight="1">
      <c r="A19" s="5" t="inlineStr">
        <is>
          <t>Subordinação abaixo do topo</t>
        </is>
      </c>
      <c r="B19" s="10">
        <f>1-SUM('Séries'!D6:D6)/SUM('Séries'!D6:D10)</f>
        <v>0.4</v>
      </c>
      <c r="C19" s="10">
        <f>1-SUM('Séries'!D12:D12)/SUM('Séries'!D12:D16)</f>
        <v>0.35</v>
      </c>
      <c r="D19" s="10">
        <f>1-SUM('Séries'!D18:D19)/SUM('Séries'!D18:D23)</f>
        <v>0.35</v>
      </c>
      <c r="E19" s="10">
        <f>1-SUM('Séries'!D25:D26)/SUM('Séries'!D25:D31)</f>
        <v>0.35</v>
      </c>
      <c r="F19" s="10">
        <f>1-SUM('Séries'!D33:D34)/SUM('Séries'!D33:D38)</f>
        <v>0.2999985125</v>
      </c>
      <c r="G19" s="10">
        <f>1-SUM('Séries'!D40:D41)/SUM('Séries'!D40:D44)</f>
        <v>0.15</v>
      </c>
    </row>
    <row r="20" ht="18" customHeight="1">
      <c r="A20" s="5" t="inlineStr">
        <is>
          <t>Subordinação abaixo da 2ª camada</t>
        </is>
      </c>
      <c r="B20" s="9">
        <f>1-SUM('Séries'!D6:D7)/SUM('Séries'!D6:D10)</f>
        <v>0.25</v>
      </c>
      <c r="C20" s="9">
        <f>1-SUM('Séries'!D12:D13)/SUM('Séries'!D12:D16)</f>
        <v>0.17</v>
      </c>
      <c r="D20" s="9">
        <f>1-SUM('Séries'!D18:D20)/SUM('Séries'!D18:D23)</f>
        <v>0.17</v>
      </c>
      <c r="E20" s="9">
        <f>1-SUM('Séries'!D25:D28)/SUM('Séries'!D25:D31)</f>
        <v>0.17</v>
      </c>
      <c r="F20" s="9">
        <f>1-SUM('Séries'!D33:D35)/SUM('Séries'!D33:D38)</f>
        <v>0.1499981938</v>
      </c>
      <c r="G20" s="9">
        <f>1-SUM('Séries'!D40:D42)/SUM('Séries'!D40:D44)</f>
        <v>0.07</v>
      </c>
    </row>
    <row r="21" ht="18" customHeight="1">
      <c r="A21" s="5" t="inlineStr">
        <is>
          <t>Razão de cobertura mínima — camada de topo</t>
        </is>
      </c>
      <c r="B21" s="11" t="inlineStr">
        <is>
          <t>–</t>
        </is>
      </c>
      <c r="C21" s="11" t="n">
        <v>159</v>
      </c>
      <c r="D21" s="11" t="n">
        <v>158.73</v>
      </c>
      <c r="E21" s="11" t="n">
        <v>158.73</v>
      </c>
      <c r="F21" s="11" t="n">
        <v>147.06</v>
      </c>
      <c r="G21" s="11" t="n">
        <v>120.48</v>
      </c>
    </row>
    <row r="22" ht="18" customHeight="1">
      <c r="A22" s="5" t="inlineStr">
        <is>
          <t>Razão de cobertura mínima — 2ª camada</t>
        </is>
      </c>
      <c r="B22" s="11" t="inlineStr">
        <is>
          <t>–</t>
        </is>
      </c>
      <c r="C22" s="11" t="n">
        <v>123</v>
      </c>
      <c r="D22" s="11" t="n">
        <v>123.46</v>
      </c>
      <c r="E22" s="11" t="n">
        <v>123.46</v>
      </c>
      <c r="F22" s="11" t="n">
        <v>120.48</v>
      </c>
      <c r="G22" s="11" t="n">
        <v>109.89</v>
      </c>
    </row>
    <row r="23" ht="18" customHeight="1">
      <c r="A23" s="5" t="inlineStr">
        <is>
          <t>Razão de cobertura mínima — 3ª camada</t>
        </is>
      </c>
      <c r="B23" s="11" t="inlineStr">
        <is>
          <t>–</t>
        </is>
      </c>
      <c r="C23" s="11" t="n">
        <v>110</v>
      </c>
      <c r="D23" s="11" t="n">
        <v>109.89</v>
      </c>
      <c r="E23" s="11" t="n">
        <v>109.89</v>
      </c>
      <c r="F23" s="11" t="n">
        <v>109.89</v>
      </c>
      <c r="G23" s="11" t="n">
        <v>105.26</v>
      </c>
    </row>
    <row r="24" ht="18" customHeight="1">
      <c r="A24" s="5" t="inlineStr">
        <is>
          <t>Razão de cobertura mínima — 4ª camada</t>
        </is>
      </c>
      <c r="B24" s="11" t="inlineStr">
        <is>
          <t>–</t>
        </is>
      </c>
      <c r="C24" s="11" t="n">
        <v>105</v>
      </c>
      <c r="D24" s="11" t="n">
        <v>105.26</v>
      </c>
      <c r="E24" s="11" t="n">
        <v>105.26</v>
      </c>
      <c r="F24" s="11" t="n">
        <v>105.26</v>
      </c>
      <c r="G24" s="11" t="inlineStr">
        <is>
          <t>–</t>
        </is>
      </c>
    </row>
    <row r="25" ht="18" customHeight="1">
      <c r="A25" s="5" t="inlineStr">
        <is>
          <t>Subordinação implícita no covenant do topo</t>
        </is>
      </c>
      <c r="B25" s="9" t="inlineStr">
        <is>
          <t>–</t>
        </is>
      </c>
      <c r="C25" s="9" t="n">
        <v>0.3710691823899371</v>
      </c>
      <c r="D25" s="9" t="n">
        <v>0.36999936999937</v>
      </c>
      <c r="E25" s="9" t="n">
        <v>0.36999936999937</v>
      </c>
      <c r="F25" s="9" t="n">
        <v>0.3200054399564803</v>
      </c>
      <c r="G25" s="9" t="n">
        <v>0.1699867197875167</v>
      </c>
    </row>
    <row r="26" ht="16" customHeight="1">
      <c r="A26" s="4" t="inlineStr">
        <is>
          <t>RETORNO E EXCESSO DE SPREAD</t>
        </is>
      </c>
      <c r="B26" s="4" t="n"/>
      <c r="C26" s="4" t="n"/>
      <c r="D26" s="4" t="n"/>
      <c r="E26" s="4" t="n"/>
      <c r="F26" s="4" t="n"/>
      <c r="G26" s="4" t="n"/>
    </row>
    <row r="27" ht="18" customHeight="1">
      <c r="A27" s="5" t="inlineStr">
        <is>
          <t>Taxa mínima da carteira (elegibilidade)</t>
        </is>
      </c>
      <c r="B27" s="12" t="n">
        <v>21.5</v>
      </c>
      <c r="C27" s="12" t="n">
        <v>21</v>
      </c>
      <c r="D27" s="12" t="n">
        <v>22</v>
      </c>
      <c r="E27" s="12" t="n">
        <v>21</v>
      </c>
      <c r="F27" s="12" t="n">
        <v>21</v>
      </c>
      <c r="G27" s="12" t="n">
        <v>21.5</v>
      </c>
    </row>
    <row r="28" ht="18" customHeight="1">
      <c r="A28" s="5" t="inlineStr">
        <is>
          <t>Custo médio ponderado das séries públicas</t>
        </is>
      </c>
      <c r="B28" s="11" t="n">
        <v>13.09275510204082</v>
      </c>
      <c r="C28" s="11" t="n">
        <v>14.54445773195876</v>
      </c>
      <c r="D28" s="11" t="n">
        <v>16.42371134020619</v>
      </c>
      <c r="E28" s="11" t="n">
        <v>15.3290824742268</v>
      </c>
      <c r="F28" s="11" t="n">
        <v>15.29517342014235</v>
      </c>
      <c r="G28" s="11" t="n">
        <v>16.07153493699886</v>
      </c>
    </row>
    <row r="29" ht="18" customHeight="1">
      <c r="A29" s="5" t="inlineStr">
        <is>
          <t>Excesso de spread bruto (p.p.)</t>
        </is>
      </c>
      <c r="B29" s="13" t="n">
        <v>8.407244897959183</v>
      </c>
      <c r="C29" s="13" t="n">
        <v>6.455542268041237</v>
      </c>
      <c r="D29" s="13" t="n">
        <v>5.576288659793814</v>
      </c>
      <c r="E29" s="13" t="n">
        <v>5.670917525773197</v>
      </c>
      <c r="F29" s="13" t="n">
        <v>5.704826579857649</v>
      </c>
      <c r="G29" s="13" t="n">
        <v>5.428465063001145</v>
      </c>
    </row>
    <row r="30" ht="16" customHeight="1">
      <c r="A30" s="4" t="inlineStr">
        <is>
          <t>CRITÉRIOS DE ELEGIBILIDADE</t>
        </is>
      </c>
      <c r="B30" s="4" t="n"/>
      <c r="C30" s="4" t="n"/>
      <c r="D30" s="4" t="n"/>
      <c r="E30" s="4" t="n"/>
      <c r="F30" s="4" t="n"/>
      <c r="G30" s="4" t="n"/>
    </row>
    <row r="31" ht="18" customHeight="1">
      <c r="A31" s="5" t="inlineStr">
        <is>
          <t>Prazo máximo do recebível</t>
        </is>
      </c>
      <c r="B31" s="6" t="inlineStr">
        <is>
          <t>3.845 dias (≈126 meses)</t>
        </is>
      </c>
      <c r="C31" s="6" t="inlineStr">
        <is>
          <t>3.845 dias (≈126 meses)</t>
        </is>
      </c>
      <c r="D31" s="6" t="inlineStr">
        <is>
          <t>3.845 dias (≈126 meses)</t>
        </is>
      </c>
      <c r="E31" s="6" t="inlineStr">
        <is>
          <t>3.845 dias (≈126 meses)</t>
        </is>
      </c>
      <c r="F31" s="6" t="inlineStr">
        <is>
          <t>3.845 dias (≈126 meses)</t>
        </is>
      </c>
      <c r="G31" s="6" t="inlineStr">
        <is>
          <t>3.845 dias (≈126 meses)</t>
        </is>
      </c>
    </row>
    <row r="32" ht="18" customHeight="1">
      <c r="A32" s="5" t="inlineStr">
        <is>
          <t>Prazo médio ponderado máximo</t>
        </is>
      </c>
      <c r="B32" s="6" t="inlineStr">
        <is>
          <t>2.000 dias (≈66 meses)</t>
        </is>
      </c>
      <c r="C32" s="6" t="inlineStr">
        <is>
          <t>2.000 dias (≈66 meses)</t>
        </is>
      </c>
      <c r="D32" s="6" t="inlineStr">
        <is>
          <t>2.000 dias (≈66 meses)</t>
        </is>
      </c>
      <c r="E32" s="6" t="inlineStr">
        <is>
          <t>2.000 dias (≈66 meses)</t>
        </is>
      </c>
      <c r="F32" s="6" t="inlineStr">
        <is>
          <t>2.000 dias (≈66 meses)</t>
        </is>
      </c>
      <c r="G32" s="6" t="inlineStr">
        <is>
          <t>2.000 dias (≈66 meses)</t>
        </is>
      </c>
    </row>
    <row r="33" ht="18" customHeight="1">
      <c r="A33" s="5" t="inlineStr">
        <is>
          <t>Carência máxima da CCB</t>
        </is>
      </c>
      <c r="B33" s="6" t="inlineStr">
        <is>
          <t>185 dias</t>
        </is>
      </c>
      <c r="C33" s="6" t="inlineStr">
        <is>
          <t>185 dias</t>
        </is>
      </c>
      <c r="D33" s="6" t="inlineStr">
        <is>
          <t>185 dias</t>
        </is>
      </c>
      <c r="E33" s="6" t="inlineStr">
        <is>
          <t>185 dias</t>
        </is>
      </c>
      <c r="F33" s="6" t="inlineStr">
        <is>
          <t>185 dias</t>
        </is>
      </c>
      <c r="G33" s="6" t="inlineStr">
        <is>
          <t>185 dias</t>
        </is>
      </c>
    </row>
    <row r="34" ht="18" customHeight="1">
      <c r="A34" s="5" t="inlineStr">
        <is>
          <t>Idade máxima do devedor PF</t>
        </is>
      </c>
      <c r="B34" s="6" t="inlineStr">
        <is>
          <t>71 anos</t>
        </is>
      </c>
      <c r="C34" s="6" t="inlineStr">
        <is>
          <t>71 anos</t>
        </is>
      </c>
      <c r="D34" s="6" t="inlineStr">
        <is>
          <t>71 anos</t>
        </is>
      </c>
      <c r="E34" s="6" t="inlineStr">
        <is>
          <t>71 anos</t>
        </is>
      </c>
      <c r="F34" s="6" t="inlineStr">
        <is>
          <t>71 anos</t>
        </is>
      </c>
      <c r="G34" s="6" t="inlineStr">
        <is>
          <t>71 anos</t>
        </is>
      </c>
    </row>
    <row r="35" ht="18" customHeight="1">
      <c r="A35" s="5" t="inlineStr">
        <is>
          <t>Requisito do devedor PJ</t>
        </is>
      </c>
      <c r="B35" s="6" t="inlineStr">
        <is>
          <t>Constituído há ≥ 2 anos</t>
        </is>
      </c>
      <c r="C35" s="6" t="inlineStr">
        <is>
          <t>Constituído há ≥ 2 anos</t>
        </is>
      </c>
      <c r="D35" s="6" t="inlineStr">
        <is>
          <t>Constituído há ≥ 2 anos</t>
        </is>
      </c>
      <c r="E35" s="6" t="inlineStr">
        <is>
          <t>Constituído há ≥ 2 anos</t>
        </is>
      </c>
      <c r="F35" s="6" t="inlineStr">
        <is>
          <t>Constituído há ≥ 2 anos</t>
        </is>
      </c>
      <c r="G35" s="6" t="inlineStr">
        <is>
          <t>Constituído há ≥ 2 anos</t>
        </is>
      </c>
    </row>
    <row r="36" ht="18" customHeight="1">
      <c r="A36" s="5" t="inlineStr">
        <is>
          <t>Teto por devedor PF (R$ mil)</t>
        </is>
      </c>
      <c r="B36" s="14" t="n">
        <v>350</v>
      </c>
      <c r="C36" s="14" t="n">
        <v>350</v>
      </c>
      <c r="D36" s="14" t="n">
        <v>350</v>
      </c>
      <c r="E36" s="14" t="n">
        <v>350</v>
      </c>
      <c r="F36" s="14" t="n">
        <v>350</v>
      </c>
      <c r="G36" s="14" t="n">
        <v>350</v>
      </c>
    </row>
    <row r="37" ht="18" customHeight="1">
      <c r="A37" s="5" t="inlineStr">
        <is>
          <t>Teto por devedor PJ (R$ mil)</t>
        </is>
      </c>
      <c r="B37" s="14" t="n">
        <v>600</v>
      </c>
      <c r="C37" s="14" t="n">
        <v>600</v>
      </c>
      <c r="D37" s="14" t="n">
        <v>700</v>
      </c>
      <c r="E37" s="14" t="n">
        <v>700</v>
      </c>
      <c r="F37" s="14" t="n">
        <v>700</v>
      </c>
      <c r="G37" s="14" t="n">
        <v>700</v>
      </c>
    </row>
    <row r="38" ht="26" customHeight="1">
      <c r="A38" s="5" t="inlineStr">
        <is>
          <t>Concentração máxima por devedor</t>
        </is>
      </c>
      <c r="B38" s="6" t="inlineStr">
        <is>
          <t>0,10% do patrimônio separado</t>
        </is>
      </c>
      <c r="C38" s="6" t="inlineStr">
        <is>
          <t>0,10% do patrimônio separado</t>
        </is>
      </c>
      <c r="D38" s="6" t="inlineStr">
        <is>
          <t>0,10% do patrimônio separado</t>
        </is>
      </c>
      <c r="E38" s="6" t="inlineStr">
        <is>
          <t>0,25% do patrimônio separado</t>
        </is>
      </c>
      <c r="F38" s="6" t="inlineStr">
        <is>
          <t>0,15% caindo a 0,07%</t>
        </is>
      </c>
      <c r="G38" s="6" t="inlineStr">
        <is>
          <t>0,11% do valor da emissão</t>
        </is>
      </c>
    </row>
    <row r="39" ht="18" customHeight="1">
      <c r="A39" s="5" t="inlineStr">
        <is>
          <t>Revolvência</t>
        </is>
      </c>
      <c r="B39" s="6" t="inlineStr">
        <is>
          <t>Não</t>
        </is>
      </c>
      <c r="C39" s="6" t="inlineStr">
        <is>
          <t>Não</t>
        </is>
      </c>
      <c r="D39" s="6" t="inlineStr">
        <is>
          <t>Não</t>
        </is>
      </c>
      <c r="E39" s="6" t="inlineStr">
        <is>
          <t>Não</t>
        </is>
      </c>
      <c r="F39" s="6" t="inlineStr">
        <is>
          <t>Não</t>
        </is>
      </c>
      <c r="G39" s="6" t="inlineStr">
        <is>
          <t>Não</t>
        </is>
      </c>
    </row>
    <row r="40" ht="18" customHeight="1">
      <c r="A40" s="5" t="inlineStr">
        <is>
          <t>Regime fiduciário</t>
        </is>
      </c>
      <c r="B40" s="6" t="inlineStr">
        <is>
          <t>Sim</t>
        </is>
      </c>
      <c r="C40" s="6" t="inlineStr">
        <is>
          <t>Sim</t>
        </is>
      </c>
      <c r="D40" s="6" t="inlineStr">
        <is>
          <t>Sim</t>
        </is>
      </c>
      <c r="E40" s="6" t="inlineStr">
        <is>
          <t>Sim</t>
        </is>
      </c>
      <c r="F40" s="6" t="inlineStr">
        <is>
          <t>Sim</t>
        </is>
      </c>
      <c r="G40" s="6" t="inlineStr">
        <is>
          <t>Sim</t>
        </is>
      </c>
    </row>
    <row r="41" ht="26" customHeight="1">
      <c r="A41" s="5" t="inlineStr">
        <is>
          <t>Lastro</t>
        </is>
      </c>
      <c r="B41" s="6" t="inlineStr">
        <is>
          <t>CCB pré-fixada de financiamento de Sistema Solar</t>
        </is>
      </c>
      <c r="C41" s="6" t="inlineStr">
        <is>
          <t>CCB pré-fixada de financiamento de Sistema Solar</t>
        </is>
      </c>
      <c r="D41" s="6" t="inlineStr">
        <is>
          <t>CCB pré-fixada de financiamento de Sistema Solar</t>
        </is>
      </c>
      <c r="E41" s="6" t="inlineStr">
        <is>
          <t>CCB pré-fixada de financiamento de Sistema Solar</t>
        </is>
      </c>
      <c r="F41" s="6" t="inlineStr">
        <is>
          <t>CCB pré-fixada de financiamento de Sistema Solar</t>
        </is>
      </c>
      <c r="G41" s="6" t="inlineStr">
        <is>
          <t>CCB pré-fixada de financiamento de Sistema Solar</t>
        </is>
      </c>
    </row>
    <row r="42" ht="16" customHeight="1">
      <c r="A42" s="4" t="inlineStr">
        <is>
          <t>CARTEIRA E INADIMPLÊNCIA EM 31/08/2026</t>
        </is>
      </c>
      <c r="B42" s="4" t="n"/>
      <c r="C42" s="4" t="n"/>
      <c r="D42" s="4" t="n"/>
      <c r="E42" s="4" t="n"/>
      <c r="F42" s="4" t="n"/>
      <c r="G42" s="4" t="n"/>
    </row>
    <row r="43" ht="18" customHeight="1">
      <c r="A43" s="5" t="inlineStr">
        <is>
          <t>Carteira de direitos creditórios (R$ mm)</t>
        </is>
      </c>
      <c r="B43" s="15" t="n">
        <v>277.81</v>
      </c>
      <c r="C43" s="15" t="n">
        <v>389.83</v>
      </c>
      <c r="D43" s="15" t="n">
        <v>545.0599999999999</v>
      </c>
      <c r="E43" s="15" t="n">
        <v>383.01</v>
      </c>
      <c r="F43" s="15" t="n">
        <v>443.62</v>
      </c>
      <c r="G43" s="15" t="n">
        <v>445.88</v>
      </c>
    </row>
    <row r="44" ht="18" customHeight="1">
      <c r="A44" s="5" t="inlineStr">
        <is>
          <t>Saldo das séries (R$ mm)</t>
        </is>
      </c>
      <c r="B44" s="15" t="n">
        <v>226.28</v>
      </c>
      <c r="C44" s="15" t="n">
        <v>352.73</v>
      </c>
      <c r="D44" s="15" t="n">
        <v>536.6</v>
      </c>
      <c r="E44" s="15" t="n">
        <v>384.81</v>
      </c>
      <c r="F44" s="15" t="n">
        <v>457.91</v>
      </c>
      <c r="G44" s="15" t="n">
        <v>457.21</v>
      </c>
    </row>
    <row r="45" ht="18" customHeight="1">
      <c r="A45" s="5" t="inlineStr">
        <is>
          <t>PDD (R$ mm)</t>
        </is>
      </c>
      <c r="B45" s="16" t="n">
        <v>43.62</v>
      </c>
      <c r="C45" s="16" t="n">
        <v>46.94</v>
      </c>
      <c r="D45" s="16" t="n">
        <v>26.04</v>
      </c>
      <c r="E45" s="16" t="n">
        <v>15.8</v>
      </c>
      <c r="F45" s="16" t="n">
        <v>0</v>
      </c>
      <c r="G45" s="16" t="n">
        <v>0.49</v>
      </c>
    </row>
    <row r="46" ht="18" customHeight="1">
      <c r="A46" s="5" t="inlineStr">
        <is>
          <t>PDD / carteira</t>
        </is>
      </c>
      <c r="B46" s="9" t="n">
        <v>0.1570137864007775</v>
      </c>
      <c r="C46" s="9" t="n">
        <v>0.120411461406254</v>
      </c>
      <c r="D46" s="9" t="n">
        <v>0.04777455692951235</v>
      </c>
      <c r="E46" s="9" t="n">
        <v>0.04125218662698102</v>
      </c>
      <c r="F46" s="9" t="n">
        <v>0</v>
      </c>
      <c r="G46" s="9" t="n">
        <v>0.001098950390239526</v>
      </c>
    </row>
    <row r="47" ht="18" customHeight="1">
      <c r="A47" s="5" t="inlineStr">
        <is>
          <t>Saldo em atraso / carteira</t>
        </is>
      </c>
      <c r="B47" s="9" t="n">
        <v>0.08027068860012239</v>
      </c>
      <c r="C47" s="9" t="n">
        <v>0.06092399250955545</v>
      </c>
      <c r="D47" s="9" t="n">
        <v>0.02098851502586871</v>
      </c>
      <c r="E47" s="9" t="n">
        <v>0.0151170987702671</v>
      </c>
      <c r="F47" s="9" t="n">
        <v>0.003516523150444074</v>
      </c>
      <c r="G47" s="9" t="n">
        <v>0.003319278729703059</v>
      </c>
    </row>
    <row r="48" ht="18" customHeight="1">
      <c r="A48" s="5" t="inlineStr">
        <is>
          <t>NPL acima de 90 dias / carteira</t>
        </is>
      </c>
      <c r="B48" s="10" t="n">
        <v>0.0588531730319283</v>
      </c>
      <c r="C48" s="10" t="n">
        <v>0.03927352948721238</v>
      </c>
      <c r="D48" s="10" t="n">
        <v>0.009338421458188089</v>
      </c>
      <c r="E48" s="10" t="n">
        <v>0.006892770423748727</v>
      </c>
      <c r="F48" s="10" t="n">
        <v>0</v>
      </c>
      <c r="G48" s="10" t="n">
        <v>0</v>
      </c>
    </row>
    <row r="49" ht="18" customHeight="1">
      <c r="A49" s="5" t="inlineStr">
        <is>
          <t>Cobertura PDD / NPL acima de 90 dias</t>
        </is>
      </c>
      <c r="B49" s="17" t="n">
        <v>2.667889908256881</v>
      </c>
      <c r="C49" s="17" t="n">
        <v>3.065969954278249</v>
      </c>
      <c r="D49" s="17" t="n">
        <v>5.115913555992141</v>
      </c>
      <c r="E49" s="17" t="n">
        <v>5.984848484848484</v>
      </c>
      <c r="F49" s="17" t="inlineStr">
        <is>
          <t>n.a.</t>
        </is>
      </c>
      <c r="G49" s="17" t="inlineStr">
        <is>
          <t>n.a.</t>
        </is>
      </c>
    </row>
    <row r="50" ht="18" customHeight="1">
      <c r="A50" s="5" t="inlineStr">
        <is>
          <t>Duration reportada no informe</t>
        </is>
      </c>
      <c r="B50" s="6" t="inlineStr">
        <is>
          <t>4 anos e 5 meses</t>
        </is>
      </c>
      <c r="C50" s="6" t="inlineStr">
        <is>
          <t>1 ano e 2 meses</t>
        </is>
      </c>
      <c r="D50" s="6" t="inlineStr">
        <is>
          <t>1 ano e 6 meses</t>
        </is>
      </c>
      <c r="E50" s="6" t="inlineStr">
        <is>
          <t>4 anos</t>
        </is>
      </c>
      <c r="F50" s="6" t="inlineStr">
        <is>
          <t>n.d.</t>
        </is>
      </c>
      <c r="G50" s="6" t="inlineStr">
        <is>
          <t>26,7 meses</t>
        </is>
      </c>
    </row>
    <row r="51" ht="18" customHeight="1">
      <c r="A51" s="5" t="inlineStr">
        <is>
          <t>Meses desde a emissão (em ago/26)</t>
        </is>
      </c>
      <c r="B51" s="8" t="n">
        <v>31</v>
      </c>
      <c r="C51" s="8" t="n">
        <v>26</v>
      </c>
      <c r="D51" s="8" t="n">
        <v>15</v>
      </c>
      <c r="E51" s="8" t="n">
        <v>11</v>
      </c>
      <c r="F51" s="8" t="n">
        <v>3</v>
      </c>
      <c r="G51" s="8" t="n">
        <v>1</v>
      </c>
    </row>
    <row r="53" ht="52" customHeight="1">
      <c r="A53" s="18" t="inlineStr">
        <is>
          <t>Excesso de spread bruto = taxa mínima contratual da carteira menos o custo médio ponderado das séries públicas, com as pós-fixadas convertidas ao CDI de 13,65% a.a. É um piso estático: usa o mínimo de elegibilidade da carteira, não o retorno efetivo, e não desconta taxas, despesas nem perdas. O CRI I não traz nível numérico para as razões de cobertura: o termo define a fórmula sem fixar o patamar. O CRI VI não tem camada Super Sênior, então sua camada de topo é a Sênior A e B e as razões de cobertura ficam deslocadas uma linha para cima. A PDD zerada do CRI V é o que consta do informe de 08/2026 e aparenta ser campo não preenchido.</t>
        </is>
      </c>
    </row>
  </sheetData>
  <mergeCells count="1">
    <mergeCell ref="A53:G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4" customWidth="1" min="3" max="3"/>
    <col width="11" customWidth="1" min="4" max="4"/>
    <col width="11" customWidth="1" min="5" max="5"/>
    <col width="20" customWidth="1" min="6" max="6"/>
    <col width="13" customWidth="1" min="7" max="7"/>
    <col width="13" customWidth="1" min="8" max="8"/>
    <col width="15" customWidth="1" min="9" max="9"/>
    <col width="11" customWidth="1" min="10" max="10"/>
  </cols>
  <sheetData>
    <row r="1">
      <c r="A1" s="19" t="inlineStr">
        <is>
          <t>Séries por emissão — valores integralizados</t>
        </is>
      </c>
    </row>
    <row r="2">
      <c r="A2" s="2" t="inlineStr">
        <is>
          <t>Valores em R$ milhões, em azul as entradas. Custo a.a. converte as séries pós-fixadas ao CDI da célula B3.</t>
        </is>
      </c>
    </row>
    <row r="3">
      <c r="A3" s="20" t="inlineStr">
        <is>
          <t>CDI de referência (% a.a.)</t>
        </is>
      </c>
      <c r="B3" s="21" t="n">
        <v>13.65</v>
      </c>
    </row>
    <row r="5" ht="24" customHeight="1">
      <c r="A5" s="22" t="inlineStr">
        <is>
          <t>Emissão</t>
        </is>
      </c>
      <c r="B5" s="22" t="inlineStr">
        <is>
          <t>Série</t>
        </is>
      </c>
      <c r="C5" s="22" t="inlineStr">
        <is>
          <t>Camada</t>
        </is>
      </c>
      <c r="D5" s="22" t="inlineStr">
        <is>
          <t>R$ mm</t>
        </is>
      </c>
      <c r="E5" s="22" t="inlineStr">
        <is>
          <t>% do total</t>
        </is>
      </c>
      <c r="F5" s="22" t="inlineStr">
        <is>
          <t>Remuneração</t>
        </is>
      </c>
      <c r="G5" s="22" t="inlineStr">
        <is>
          <t>Custo a.a. (%)</t>
        </is>
      </c>
      <c r="H5" s="22" t="inlineStr">
        <is>
          <t>Vencimento</t>
        </is>
      </c>
      <c r="I5" s="22" t="inlineStr">
        <is>
          <t>ISIN</t>
        </is>
      </c>
      <c r="J5" s="22" t="inlineStr">
        <is>
          <t>Colocação</t>
        </is>
      </c>
    </row>
    <row r="6">
      <c r="A6" s="23" t="inlineStr">
        <is>
          <t>CRI I</t>
        </is>
      </c>
      <c r="B6" s="24" t="inlineStr">
        <is>
          <t>1ª</t>
        </is>
      </c>
      <c r="C6" s="24" t="inlineStr">
        <is>
          <t>Super Sênior</t>
        </is>
      </c>
      <c r="D6" s="25" t="n">
        <v>360</v>
      </c>
      <c r="E6" s="26">
        <f>D6/SUM($D$6:$D$10)</f>
        <v>0.6</v>
      </c>
      <c r="F6" s="24" t="inlineStr">
        <is>
          <t>Pré 11,51%</t>
        </is>
      </c>
      <c r="G6" s="27" t="n">
        <v>11.51</v>
      </c>
      <c r="H6" s="24" t="inlineStr">
        <is>
          <t>–</t>
        </is>
      </c>
      <c r="I6" s="24" t="inlineStr">
        <is>
          <t>BRKNSTCRI000</t>
        </is>
      </c>
      <c r="J6" s="24" t="inlineStr">
        <is>
          <t>Pública</t>
        </is>
      </c>
    </row>
    <row r="7">
      <c r="A7" s="23" t="inlineStr">
        <is>
          <t>CRI I</t>
        </is>
      </c>
      <c r="B7" s="24" t="inlineStr">
        <is>
          <t>2ª</t>
        </is>
      </c>
      <c r="C7" s="24" t="inlineStr">
        <is>
          <t>Sênior</t>
        </is>
      </c>
      <c r="D7" s="25" t="n">
        <v>90</v>
      </c>
      <c r="E7" s="26">
        <f>D7/SUM($D$6:$D$10)</f>
        <v>0.15</v>
      </c>
      <c r="F7" s="24" t="inlineStr">
        <is>
          <t>Pré 12,74%</t>
        </is>
      </c>
      <c r="G7" s="27" t="n">
        <v>12.74</v>
      </c>
      <c r="H7" s="24" t="inlineStr">
        <is>
          <t>–</t>
        </is>
      </c>
      <c r="I7" s="24" t="inlineStr">
        <is>
          <t>BRKNSTCRI018</t>
        </is>
      </c>
      <c r="J7" s="24" t="inlineStr">
        <is>
          <t>Pública</t>
        </is>
      </c>
    </row>
    <row r="8">
      <c r="A8" s="23" t="inlineStr">
        <is>
          <t>CRI I</t>
        </is>
      </c>
      <c r="B8" s="24" t="inlineStr">
        <is>
          <t>3ª</t>
        </is>
      </c>
      <c r="C8" s="24" t="inlineStr">
        <is>
          <t>Mezanino</t>
        </is>
      </c>
      <c r="D8" s="25" t="n">
        <v>108</v>
      </c>
      <c r="E8" s="26">
        <f>D8/SUM($D$6:$D$10)</f>
        <v>0.18</v>
      </c>
      <c r="F8" s="24" t="inlineStr">
        <is>
          <t>Pré 16,48%</t>
        </is>
      </c>
      <c r="G8" s="27" t="n">
        <v>16.48</v>
      </c>
      <c r="H8" s="24" t="inlineStr">
        <is>
          <t>–</t>
        </is>
      </c>
      <c r="I8" s="24" t="inlineStr">
        <is>
          <t>BRKNSTCRI026</t>
        </is>
      </c>
      <c r="J8" s="24" t="inlineStr">
        <is>
          <t>Pública</t>
        </is>
      </c>
    </row>
    <row r="9">
      <c r="A9" s="23" t="inlineStr">
        <is>
          <t>CRI I</t>
        </is>
      </c>
      <c r="B9" s="24" t="inlineStr">
        <is>
          <t>4ª</t>
        </is>
      </c>
      <c r="C9" s="24" t="inlineStr">
        <is>
          <t>Subordinado</t>
        </is>
      </c>
      <c r="D9" s="25" t="n">
        <v>30</v>
      </c>
      <c r="E9" s="26">
        <f>D9/SUM($D$6:$D$10)</f>
        <v>0.05</v>
      </c>
      <c r="F9" s="24" t="inlineStr">
        <is>
          <t>Pré 20,95%</t>
        </is>
      </c>
      <c r="G9" s="27" t="n">
        <v>20.95</v>
      </c>
      <c r="H9" s="24" t="inlineStr">
        <is>
          <t>–</t>
        </is>
      </c>
      <c r="I9" s="24" t="inlineStr">
        <is>
          <t>BRKNSTCRI034</t>
        </is>
      </c>
      <c r="J9" s="24" t="inlineStr">
        <is>
          <t>Pública</t>
        </is>
      </c>
    </row>
    <row r="10">
      <c r="A10" s="23" t="inlineStr">
        <is>
          <t>CRI I</t>
        </is>
      </c>
      <c r="B10" s="24" t="inlineStr">
        <is>
          <t>5ª</t>
        </is>
      </c>
      <c r="C10" s="24" t="inlineStr">
        <is>
          <t>Subordinado Jr (privada)</t>
        </is>
      </c>
      <c r="D10" s="25" t="n">
        <v>12</v>
      </c>
      <c r="E10" s="26">
        <f>D10/SUM($D$6:$D$10)</f>
        <v>0.02</v>
      </c>
      <c r="F10" s="24" t="inlineStr">
        <is>
          <t>9,86% (informe)</t>
        </is>
      </c>
      <c r="G10" s="27" t="n">
        <v>9.859999999999999</v>
      </c>
      <c r="H10" s="24" t="inlineStr">
        <is>
          <t>–</t>
        </is>
      </c>
      <c r="I10" s="24" t="inlineStr">
        <is>
          <t>–</t>
        </is>
      </c>
      <c r="J10" s="24" t="inlineStr">
        <is>
          <t>Privada</t>
        </is>
      </c>
    </row>
    <row r="12">
      <c r="A12" s="23" t="inlineStr">
        <is>
          <t>CRI II</t>
        </is>
      </c>
      <c r="B12" s="24" t="inlineStr">
        <is>
          <t>1ª</t>
        </is>
      </c>
      <c r="C12" s="24" t="inlineStr">
        <is>
          <t>Super Sênior</t>
        </is>
      </c>
      <c r="D12" s="25" t="n">
        <v>487.5</v>
      </c>
      <c r="E12" s="26">
        <f>D12/SUM($D$12:$D$16)</f>
        <v>0.65</v>
      </c>
      <c r="F12" s="24" t="inlineStr">
        <is>
          <t>Pré 13,1926%</t>
        </is>
      </c>
      <c r="G12" s="27" t="n">
        <v>13.1926</v>
      </c>
      <c r="H12" s="24" t="inlineStr">
        <is>
          <t>15/01/2031</t>
        </is>
      </c>
      <c r="I12" s="24" t="inlineStr">
        <is>
          <t>BRKNSTCRI059</t>
        </is>
      </c>
      <c r="J12" s="24" t="inlineStr">
        <is>
          <t>Pública</t>
        </is>
      </c>
    </row>
    <row r="13">
      <c r="A13" s="23" t="inlineStr">
        <is>
          <t>CRI II</t>
        </is>
      </c>
      <c r="B13" s="24" t="inlineStr">
        <is>
          <t>2ª</t>
        </is>
      </c>
      <c r="C13" s="24" t="inlineStr">
        <is>
          <t>Sênior</t>
        </is>
      </c>
      <c r="D13" s="25" t="n">
        <v>135</v>
      </c>
      <c r="E13" s="26">
        <f>D13/SUM($D$12:$D$16)</f>
        <v>0.18</v>
      </c>
      <c r="F13" s="24" t="inlineStr">
        <is>
          <t>Pré 14,5663%</t>
        </is>
      </c>
      <c r="G13" s="27" t="n">
        <v>14.5663</v>
      </c>
      <c r="H13" s="24" t="inlineStr">
        <is>
          <t>15/01/2031</t>
        </is>
      </c>
      <c r="I13" s="24" t="inlineStr">
        <is>
          <t>BRKNSTCRI067</t>
        </is>
      </c>
      <c r="J13" s="24" t="inlineStr">
        <is>
          <t>Pública</t>
        </is>
      </c>
    </row>
    <row r="14">
      <c r="A14" s="23" t="inlineStr">
        <is>
          <t>CRI II</t>
        </is>
      </c>
      <c r="B14" s="24" t="inlineStr">
        <is>
          <t>3ª</t>
        </is>
      </c>
      <c r="C14" s="24" t="inlineStr">
        <is>
          <t>Mezanino</t>
        </is>
      </c>
      <c r="D14" s="25" t="n">
        <v>75</v>
      </c>
      <c r="E14" s="26">
        <f>D14/SUM($D$12:$D$16)</f>
        <v>0.1</v>
      </c>
      <c r="F14" s="24" t="inlineStr">
        <is>
          <t>CDI + 6,00%</t>
        </is>
      </c>
      <c r="G14" s="27" t="n">
        <v>19.65</v>
      </c>
      <c r="H14" s="24" t="inlineStr">
        <is>
          <t>15/01/2034</t>
        </is>
      </c>
      <c r="I14" s="24" t="inlineStr">
        <is>
          <t>BRKNSTCRI075</t>
        </is>
      </c>
      <c r="J14" s="24" t="inlineStr">
        <is>
          <t>Pública</t>
        </is>
      </c>
    </row>
    <row r="15">
      <c r="A15" s="23" t="inlineStr">
        <is>
          <t>CRI II</t>
        </is>
      </c>
      <c r="B15" s="24" t="inlineStr">
        <is>
          <t>4ª</t>
        </is>
      </c>
      <c r="C15" s="24" t="inlineStr">
        <is>
          <t>Subordinado</t>
        </is>
      </c>
      <c r="D15" s="25" t="n">
        <v>30</v>
      </c>
      <c r="E15" s="26">
        <f>D15/SUM($D$12:$D$16)</f>
        <v>0.04</v>
      </c>
      <c r="F15" s="24" t="inlineStr">
        <is>
          <t>CDI + 10,00%</t>
        </is>
      </c>
      <c r="G15" s="27" t="n">
        <v>23.65</v>
      </c>
      <c r="H15" s="24" t="inlineStr">
        <is>
          <t>15/01/2034</t>
        </is>
      </c>
      <c r="I15" s="24" t="inlineStr">
        <is>
          <t>BRKNSTCRI083</t>
        </is>
      </c>
      <c r="J15" s="24" t="inlineStr">
        <is>
          <t>Pública</t>
        </is>
      </c>
    </row>
    <row r="16">
      <c r="A16" s="23" t="inlineStr">
        <is>
          <t>CRI II</t>
        </is>
      </c>
      <c r="B16" s="24" t="inlineStr">
        <is>
          <t>5ª</t>
        </is>
      </c>
      <c r="C16" s="24" t="inlineStr">
        <is>
          <t>Subordinado Jr (privada)</t>
        </is>
      </c>
      <c r="D16" s="25" t="n">
        <v>22.5</v>
      </c>
      <c r="E16" s="26">
        <f>D16/SUM($D$12:$D$16)</f>
        <v>0.03</v>
      </c>
      <c r="F16" s="24" t="inlineStr">
        <is>
          <t>n.d.</t>
        </is>
      </c>
      <c r="G16" s="28" t="inlineStr">
        <is>
          <t>n.d.</t>
        </is>
      </c>
      <c r="H16" s="24" t="inlineStr">
        <is>
          <t>15/01/2036</t>
        </is>
      </c>
      <c r="I16" s="24" t="inlineStr">
        <is>
          <t>–</t>
        </is>
      </c>
      <c r="J16" s="24" t="inlineStr">
        <is>
          <t>Privada</t>
        </is>
      </c>
    </row>
    <row r="18">
      <c r="A18" s="23" t="inlineStr">
        <is>
          <t>CRI III</t>
        </is>
      </c>
      <c r="B18" s="24" t="inlineStr">
        <is>
          <t>1ª</t>
        </is>
      </c>
      <c r="C18" s="24" t="inlineStr">
        <is>
          <t>Super Sênior A</t>
        </is>
      </c>
      <c r="D18" s="25" t="n">
        <v>367.5</v>
      </c>
      <c r="E18" s="26">
        <f>D18/SUM($D$18:$D$23)</f>
        <v>0.49</v>
      </c>
      <c r="F18" s="24" t="inlineStr">
        <is>
          <t>Pré 15,50%</t>
        </is>
      </c>
      <c r="G18" s="27" t="n">
        <v>15.5</v>
      </c>
      <c r="H18" s="24" t="inlineStr">
        <is>
          <t>–</t>
        </is>
      </c>
      <c r="I18" s="24" t="inlineStr">
        <is>
          <t>BRKNSTCRI0A4</t>
        </is>
      </c>
      <c r="J18" s="24" t="inlineStr">
        <is>
          <t>Pública</t>
        </is>
      </c>
    </row>
    <row r="19">
      <c r="A19" s="23" t="inlineStr">
        <is>
          <t>CRI III</t>
        </is>
      </c>
      <c r="B19" s="24" t="inlineStr">
        <is>
          <t>2ª</t>
        </is>
      </c>
      <c r="C19" s="24" t="inlineStr">
        <is>
          <t>Super Sênior B</t>
        </is>
      </c>
      <c r="D19" s="25" t="n">
        <v>120</v>
      </c>
      <c r="E19" s="26">
        <f>D19/SUM($D$18:$D$23)</f>
        <v>0.16</v>
      </c>
      <c r="F19" s="24" t="inlineStr">
        <is>
          <t>Pré 15,50%</t>
        </is>
      </c>
      <c r="G19" s="27" t="n">
        <v>15.5</v>
      </c>
      <c r="H19" s="24" t="inlineStr">
        <is>
          <t>–</t>
        </is>
      </c>
      <c r="I19" s="24" t="inlineStr">
        <is>
          <t>BRKNSTCRI0B2</t>
        </is>
      </c>
      <c r="J19" s="24" t="inlineStr">
        <is>
          <t>Pública</t>
        </is>
      </c>
    </row>
    <row r="20">
      <c r="A20" s="23" t="inlineStr">
        <is>
          <t>CRI III</t>
        </is>
      </c>
      <c r="B20" s="24" t="inlineStr">
        <is>
          <t>3ª</t>
        </is>
      </c>
      <c r="C20" s="24" t="inlineStr">
        <is>
          <t>Sênior</t>
        </is>
      </c>
      <c r="D20" s="25" t="n">
        <v>135</v>
      </c>
      <c r="E20" s="26">
        <f>D20/SUM($D$18:$D$23)</f>
        <v>0.18</v>
      </c>
      <c r="F20" s="24" t="inlineStr">
        <is>
          <t>Pré 16,50%</t>
        </is>
      </c>
      <c r="G20" s="27" t="n">
        <v>16.5</v>
      </c>
      <c r="H20" s="24" t="inlineStr">
        <is>
          <t>–</t>
        </is>
      </c>
      <c r="I20" s="24" t="inlineStr">
        <is>
          <t>BRKNSTCRI0C0</t>
        </is>
      </c>
      <c r="J20" s="24" t="inlineStr">
        <is>
          <t>Pública</t>
        </is>
      </c>
    </row>
    <row r="21">
      <c r="A21" s="23" t="inlineStr">
        <is>
          <t>CRI III</t>
        </is>
      </c>
      <c r="B21" s="24" t="inlineStr">
        <is>
          <t>4ª</t>
        </is>
      </c>
      <c r="C21" s="24" t="inlineStr">
        <is>
          <t>Mezanino</t>
        </is>
      </c>
      <c r="D21" s="25" t="n">
        <v>75</v>
      </c>
      <c r="E21" s="26">
        <f>D21/SUM($D$18:$D$23)</f>
        <v>0.1</v>
      </c>
      <c r="F21" s="24" t="inlineStr">
        <is>
          <t>CDI + 5,75%</t>
        </is>
      </c>
      <c r="G21" s="27" t="n">
        <v>19.4</v>
      </c>
      <c r="H21" s="24" t="inlineStr">
        <is>
          <t>–</t>
        </is>
      </c>
      <c r="I21" s="24" t="inlineStr">
        <is>
          <t>BRKNSTCRI0D8</t>
        </is>
      </c>
      <c r="J21" s="24" t="inlineStr">
        <is>
          <t>Pública</t>
        </is>
      </c>
    </row>
    <row r="22">
      <c r="A22" s="23" t="inlineStr">
        <is>
          <t>CRI III</t>
        </is>
      </c>
      <c r="B22" s="24" t="inlineStr">
        <is>
          <t>5ª</t>
        </is>
      </c>
      <c r="C22" s="24" t="inlineStr">
        <is>
          <t>Subordinado</t>
        </is>
      </c>
      <c r="D22" s="25" t="n">
        <v>30</v>
      </c>
      <c r="E22" s="26">
        <f>D22/SUM($D$18:$D$23)</f>
        <v>0.04</v>
      </c>
      <c r="F22" s="24" t="inlineStr">
        <is>
          <t>CDI + 10,00%</t>
        </is>
      </c>
      <c r="G22" s="27" t="n">
        <v>23.65</v>
      </c>
      <c r="H22" s="24" t="inlineStr">
        <is>
          <t>–</t>
        </is>
      </c>
      <c r="I22" s="24" t="inlineStr">
        <is>
          <t>BRKNSTCRI0E6</t>
        </is>
      </c>
      <c r="J22" s="24" t="inlineStr">
        <is>
          <t>Pública</t>
        </is>
      </c>
    </row>
    <row r="23">
      <c r="A23" s="23" t="inlineStr">
        <is>
          <t>CRI III</t>
        </is>
      </c>
      <c r="B23" s="24" t="inlineStr">
        <is>
          <t>6ª</t>
        </is>
      </c>
      <c r="C23" s="24" t="inlineStr">
        <is>
          <t>Subordinado Jr (privada)</t>
        </is>
      </c>
      <c r="D23" s="25" t="n">
        <v>22.5</v>
      </c>
      <c r="E23" s="26">
        <f>D23/SUM($D$18:$D$23)</f>
        <v>0.03</v>
      </c>
      <c r="F23" s="24" t="inlineStr">
        <is>
          <t>n.d.</t>
        </is>
      </c>
      <c r="G23" s="28" t="inlineStr">
        <is>
          <t>n.d.</t>
        </is>
      </c>
      <c r="H23" s="24" t="inlineStr">
        <is>
          <t>–</t>
        </is>
      </c>
      <c r="I23" s="24" t="inlineStr">
        <is>
          <t>–</t>
        </is>
      </c>
      <c r="J23" s="24" t="inlineStr">
        <is>
          <t>Privada</t>
        </is>
      </c>
    </row>
    <row r="25">
      <c r="A25" s="23" t="inlineStr">
        <is>
          <t>CRI IV</t>
        </is>
      </c>
      <c r="B25" s="24" t="inlineStr">
        <is>
          <t>1ª</t>
        </is>
      </c>
      <c r="C25" s="24" t="inlineStr">
        <is>
          <t>Super Sênior A</t>
        </is>
      </c>
      <c r="D25" s="25" t="n">
        <v>195</v>
      </c>
      <c r="E25" s="26">
        <f>D25/SUM($D$25:$D$31)</f>
        <v>0.4333333333</v>
      </c>
      <c r="F25" s="24" t="inlineStr">
        <is>
          <t>Pré 14,2216%</t>
        </is>
      </c>
      <c r="G25" s="27" t="n">
        <v>14.2216</v>
      </c>
      <c r="H25" s="24" t="inlineStr">
        <is>
          <t>20/09/2030</t>
        </is>
      </c>
      <c r="I25" s="24" t="inlineStr">
        <is>
          <t>BRKNSTCRI0G1</t>
        </is>
      </c>
      <c r="J25" s="24" t="inlineStr">
        <is>
          <t>Pública</t>
        </is>
      </c>
    </row>
    <row r="26">
      <c r="A26" s="23" t="inlineStr">
        <is>
          <t>CRI IV</t>
        </is>
      </c>
      <c r="B26" s="24" t="inlineStr">
        <is>
          <t>2ª</t>
        </is>
      </c>
      <c r="C26" s="24" t="inlineStr">
        <is>
          <t>Super Sênior B</t>
        </is>
      </c>
      <c r="D26" s="25" t="n">
        <v>97.5</v>
      </c>
      <c r="E26" s="26">
        <f>D26/SUM($D$25:$D$31)</f>
        <v>0.2166666667</v>
      </c>
      <c r="F26" s="24" t="inlineStr">
        <is>
          <t>Pré 14,2216%</t>
        </is>
      </c>
      <c r="G26" s="27" t="n">
        <v>14.2216</v>
      </c>
      <c r="H26" s="24" t="inlineStr">
        <is>
          <t>20/09/2030</t>
        </is>
      </c>
      <c r="I26" s="24" t="inlineStr">
        <is>
          <t>BRKNSTCRI0K3</t>
        </is>
      </c>
      <c r="J26" s="24" t="inlineStr">
        <is>
          <t>Pública</t>
        </is>
      </c>
    </row>
    <row r="27">
      <c r="A27" s="23" t="inlineStr">
        <is>
          <t>CRI IV</t>
        </is>
      </c>
      <c r="B27" s="24" t="inlineStr">
        <is>
          <t>3ª</t>
        </is>
      </c>
      <c r="C27" s="24" t="inlineStr">
        <is>
          <t>Sênior A</t>
        </is>
      </c>
      <c r="D27" s="25" t="n">
        <v>54</v>
      </c>
      <c r="E27" s="26">
        <f>D27/SUM($D$25:$D$31)</f>
        <v>0.12</v>
      </c>
      <c r="F27" s="24" t="inlineStr">
        <is>
          <t>Pré 15,3565%</t>
        </is>
      </c>
      <c r="G27" s="27" t="n">
        <v>15.3565</v>
      </c>
      <c r="H27" s="24" t="inlineStr">
        <is>
          <t>22/09/2033</t>
        </is>
      </c>
      <c r="I27" s="24" t="inlineStr">
        <is>
          <t>BRKNSTCRI0H9</t>
        </is>
      </c>
      <c r="J27" s="24" t="inlineStr">
        <is>
          <t>Pública</t>
        </is>
      </c>
    </row>
    <row r="28">
      <c r="A28" s="23" t="inlineStr">
        <is>
          <t>CRI IV</t>
        </is>
      </c>
      <c r="B28" s="24" t="inlineStr">
        <is>
          <t>4ª</t>
        </is>
      </c>
      <c r="C28" s="24" t="inlineStr">
        <is>
          <t>Sênior B</t>
        </is>
      </c>
      <c r="D28" s="25" t="n">
        <v>27</v>
      </c>
      <c r="E28" s="26">
        <f>D28/SUM($D$25:$D$31)</f>
        <v>0.06</v>
      </c>
      <c r="F28" s="24" t="inlineStr">
        <is>
          <t>Pré 15,3565%</t>
        </is>
      </c>
      <c r="G28" s="27" t="n">
        <v>15.3565</v>
      </c>
      <c r="H28" s="24" t="inlineStr">
        <is>
          <t>22/09/2033</t>
        </is>
      </c>
      <c r="I28" s="24" t="inlineStr">
        <is>
          <t>BRKNSTCRI0M9</t>
        </is>
      </c>
      <c r="J28" s="24" t="inlineStr">
        <is>
          <t>Pública</t>
        </is>
      </c>
    </row>
    <row r="29">
      <c r="A29" s="23" t="inlineStr">
        <is>
          <t>CRI IV</t>
        </is>
      </c>
      <c r="B29" s="24" t="inlineStr">
        <is>
          <t>5ª</t>
        </is>
      </c>
      <c r="C29" s="24" t="inlineStr">
        <is>
          <t>Mezanino</t>
        </is>
      </c>
      <c r="D29" s="25" t="n">
        <v>45</v>
      </c>
      <c r="E29" s="26">
        <f>D29/SUM($D$25:$D$31)</f>
        <v>0.1</v>
      </c>
      <c r="F29" s="24" t="inlineStr">
        <is>
          <t>CDI + 5,50%</t>
        </is>
      </c>
      <c r="G29" s="27" t="n">
        <v>19.15</v>
      </c>
      <c r="H29" s="24" t="inlineStr">
        <is>
          <t>24/09/2035</t>
        </is>
      </c>
      <c r="I29" s="24" t="inlineStr">
        <is>
          <t>BRKNSTCRI0I7</t>
        </is>
      </c>
      <c r="J29" s="24" t="inlineStr">
        <is>
          <t>Pública</t>
        </is>
      </c>
    </row>
    <row r="30">
      <c r="A30" s="23" t="inlineStr">
        <is>
          <t>CRI IV</t>
        </is>
      </c>
      <c r="B30" s="24" t="inlineStr">
        <is>
          <t>6ª</t>
        </is>
      </c>
      <c r="C30" s="24" t="inlineStr">
        <is>
          <t>Subordinado</t>
        </is>
      </c>
      <c r="D30" s="25" t="n">
        <v>18</v>
      </c>
      <c r="E30" s="26">
        <f>D30/SUM($D$25:$D$31)</f>
        <v>0.04</v>
      </c>
      <c r="F30" s="24" t="inlineStr">
        <is>
          <t>CDI + 10,00%</t>
        </is>
      </c>
      <c r="G30" s="27" t="n">
        <v>23.65</v>
      </c>
      <c r="H30" s="24" t="inlineStr">
        <is>
          <t>24/09/2035</t>
        </is>
      </c>
      <c r="I30" s="24" t="inlineStr">
        <is>
          <t>BRKNSTCRI0J5</t>
        </is>
      </c>
      <c r="J30" s="24" t="inlineStr">
        <is>
          <t>Pública</t>
        </is>
      </c>
    </row>
    <row r="31">
      <c r="A31" s="23" t="inlineStr">
        <is>
          <t>CRI IV</t>
        </is>
      </c>
      <c r="B31" s="24" t="inlineStr">
        <is>
          <t>7ª</t>
        </is>
      </c>
      <c r="C31" s="24" t="inlineStr">
        <is>
          <t>Subordinado Jr (privada)</t>
        </is>
      </c>
      <c r="D31" s="25" t="n">
        <v>13.5</v>
      </c>
      <c r="E31" s="26">
        <f>D31/SUM($D$25:$D$31)</f>
        <v>0.03</v>
      </c>
      <c r="F31" s="24" t="inlineStr">
        <is>
          <t>CDI + 13,2480%</t>
        </is>
      </c>
      <c r="G31" s="27" t="n">
        <v>26.898</v>
      </c>
      <c r="H31" s="24" t="inlineStr">
        <is>
          <t>22/09/2037</t>
        </is>
      </c>
      <c r="I31" s="24" t="inlineStr">
        <is>
          <t>BRKNSTCRI0N7</t>
        </is>
      </c>
      <c r="J31" s="24" t="inlineStr">
        <is>
          <t>Privada</t>
        </is>
      </c>
    </row>
    <row r="33">
      <c r="A33" s="23" t="inlineStr">
        <is>
          <t>CRI V</t>
        </is>
      </c>
      <c r="B33" s="24" t="inlineStr">
        <is>
          <t>1ª</t>
        </is>
      </c>
      <c r="C33" s="24" t="inlineStr">
        <is>
          <t>Super Sênior A</t>
        </is>
      </c>
      <c r="D33" s="25" t="n">
        <v>103.87</v>
      </c>
      <c r="E33" s="26">
        <f>D33/SUM($D$33:$D$38)</f>
        <v>0.2207187011</v>
      </c>
      <c r="F33" s="24" t="inlineStr">
        <is>
          <t>Pré 14,8064%</t>
        </is>
      </c>
      <c r="G33" s="27" t="n">
        <v>14.8064</v>
      </c>
      <c r="H33" s="24" t="inlineStr">
        <is>
          <t>20/05/2031</t>
        </is>
      </c>
      <c r="I33" s="24" t="inlineStr">
        <is>
          <t>BRVERTCRIDZ7</t>
        </is>
      </c>
      <c r="J33" s="24" t="inlineStr">
        <is>
          <t>Pública</t>
        </is>
      </c>
    </row>
    <row r="34">
      <c r="A34" s="23" t="inlineStr">
        <is>
          <t>CRI V</t>
        </is>
      </c>
      <c r="B34" s="24" t="inlineStr">
        <is>
          <t>2ª</t>
        </is>
      </c>
      <c r="C34" s="24" t="inlineStr">
        <is>
          <t>Super Sênior B</t>
        </is>
      </c>
      <c r="D34" s="25" t="n">
        <v>225.55</v>
      </c>
      <c r="E34" s="26">
        <f>D34/SUM($D$33:$D$38)</f>
        <v>0.4792827864</v>
      </c>
      <c r="F34" s="24" t="inlineStr">
        <is>
          <t>104% do CDI</t>
        </is>
      </c>
      <c r="G34" s="27" t="n">
        <v>14.196</v>
      </c>
      <c r="H34" s="24" t="inlineStr">
        <is>
          <t>20/05/2031</t>
        </is>
      </c>
      <c r="I34" s="24" t="inlineStr">
        <is>
          <t>BRVERTCRIE08</t>
        </is>
      </c>
      <c r="J34" s="24" t="inlineStr">
        <is>
          <t>Pública</t>
        </is>
      </c>
    </row>
    <row r="35">
      <c r="A35" s="23" t="inlineStr">
        <is>
          <t>CRI V</t>
        </is>
      </c>
      <c r="B35" s="24" t="inlineStr">
        <is>
          <t>3ª</t>
        </is>
      </c>
      <c r="C35" s="24" t="inlineStr">
        <is>
          <t>Sênior</t>
        </is>
      </c>
      <c r="D35" s="25" t="n">
        <v>70.59</v>
      </c>
      <c r="E35" s="26">
        <f>D35/SUM($D$33:$D$38)</f>
        <v>0.1500003187</v>
      </c>
      <c r="F35" s="24" t="inlineStr">
        <is>
          <t>Pré 15,7760%</t>
        </is>
      </c>
      <c r="G35" s="27" t="n">
        <v>15.776</v>
      </c>
      <c r="H35" s="24" t="inlineStr">
        <is>
          <t>22/05/2034</t>
        </is>
      </c>
      <c r="I35" s="24" t="inlineStr">
        <is>
          <t>BRVERTCRIE16</t>
        </is>
      </c>
      <c r="J35" s="24" t="inlineStr">
        <is>
          <t>Pública</t>
        </is>
      </c>
    </row>
    <row r="36">
      <c r="A36" s="23" t="inlineStr">
        <is>
          <t>CRI V</t>
        </is>
      </c>
      <c r="B36" s="24" t="inlineStr">
        <is>
          <t>4ª</t>
        </is>
      </c>
      <c r="C36" s="24" t="inlineStr">
        <is>
          <t>Mezanino</t>
        </is>
      </c>
      <c r="D36" s="25" t="n">
        <v>37.647</v>
      </c>
      <c r="E36" s="26">
        <f>D36/SUM($D$33:$D$38)</f>
        <v>0.079998045</v>
      </c>
      <c r="F36" s="24" t="inlineStr">
        <is>
          <t>CDI + 5,50%</t>
        </is>
      </c>
      <c r="G36" s="27" t="n">
        <v>19.15</v>
      </c>
      <c r="H36" s="24" t="inlineStr">
        <is>
          <t>20/05/2036</t>
        </is>
      </c>
      <c r="I36" s="24" t="inlineStr">
        <is>
          <t>BRVERTCRIE24</t>
        </is>
      </c>
      <c r="J36" s="24" t="inlineStr">
        <is>
          <t>Pública</t>
        </is>
      </c>
    </row>
    <row r="37">
      <c r="A37" s="23" t="inlineStr">
        <is>
          <t>CRI V</t>
        </is>
      </c>
      <c r="B37" s="24" t="inlineStr">
        <is>
          <t>5ª</t>
        </is>
      </c>
      <c r="C37" s="24" t="inlineStr">
        <is>
          <t>Subordinado</t>
        </is>
      </c>
      <c r="D37" s="25" t="n">
        <v>18.824</v>
      </c>
      <c r="E37" s="26">
        <f>D37/SUM($D$33:$D$38)</f>
        <v>0.040000085</v>
      </c>
      <c r="F37" s="24" t="inlineStr">
        <is>
          <t>CDI + 8,00%</t>
        </is>
      </c>
      <c r="G37" s="27" t="n">
        <v>21.65</v>
      </c>
      <c r="H37" s="24" t="inlineStr">
        <is>
          <t>20/05/2036</t>
        </is>
      </c>
      <c r="I37" s="24" t="inlineStr">
        <is>
          <t>BRVERTCRIE32</t>
        </is>
      </c>
      <c r="J37" s="24" t="inlineStr">
        <is>
          <t>Pública</t>
        </is>
      </c>
    </row>
    <row r="38">
      <c r="A38" s="23" t="inlineStr">
        <is>
          <t>CRI V</t>
        </is>
      </c>
      <c r="B38" s="24" t="inlineStr">
        <is>
          <t>6ª</t>
        </is>
      </c>
      <c r="C38" s="24" t="inlineStr">
        <is>
          <t>Subordinado Jr (privada)</t>
        </is>
      </c>
      <c r="D38" s="25" t="n">
        <v>14.118</v>
      </c>
      <c r="E38" s="26">
        <f>D38/SUM($D$33:$D$38)</f>
        <v>0.0300000637</v>
      </c>
      <c r="F38" s="24" t="inlineStr">
        <is>
          <t>Pré 14,06%</t>
        </is>
      </c>
      <c r="G38" s="27" t="n">
        <v>14.06</v>
      </c>
      <c r="H38" s="24" t="inlineStr">
        <is>
          <t>–</t>
        </is>
      </c>
      <c r="I38" s="24" t="inlineStr">
        <is>
          <t>–</t>
        </is>
      </c>
      <c r="J38" s="24" t="inlineStr">
        <is>
          <t>Privada</t>
        </is>
      </c>
    </row>
    <row r="40">
      <c r="A40" s="23" t="inlineStr">
        <is>
          <t>CRI VI</t>
        </is>
      </c>
      <c r="B40" s="24" t="inlineStr">
        <is>
          <t>1ª</t>
        </is>
      </c>
      <c r="C40" s="24" t="inlineStr">
        <is>
          <t>Sênior A</t>
        </is>
      </c>
      <c r="D40" s="25" t="n">
        <v>100</v>
      </c>
      <c r="E40" s="26">
        <f>D40/SUM($D$40:$D$44)</f>
        <v>0.2222222222</v>
      </c>
      <c r="F40" s="24" t="inlineStr">
        <is>
          <t>CDI + 1,50%</t>
        </is>
      </c>
      <c r="G40" s="27" t="n">
        <v>15.15</v>
      </c>
      <c r="H40" s="24" t="inlineStr">
        <is>
          <t>20/05/2031</t>
        </is>
      </c>
      <c r="I40" s="24" t="inlineStr">
        <is>
          <t>BRVERTCRIEC4</t>
        </is>
      </c>
      <c r="J40" s="24" t="inlineStr">
        <is>
          <t>Pública</t>
        </is>
      </c>
    </row>
    <row r="41">
      <c r="A41" s="23" t="inlineStr">
        <is>
          <t>CRI VI</t>
        </is>
      </c>
      <c r="B41" s="24" t="inlineStr">
        <is>
          <t>2ª</t>
        </is>
      </c>
      <c r="C41" s="24" t="inlineStr">
        <is>
          <t>Sênior B</t>
        </is>
      </c>
      <c r="D41" s="25" t="n">
        <v>282.5</v>
      </c>
      <c r="E41" s="26">
        <f>D41/SUM($D$40:$D$44)</f>
        <v>0.6277777778</v>
      </c>
      <c r="F41" s="24" t="inlineStr">
        <is>
          <t>CDI + 2,00%</t>
        </is>
      </c>
      <c r="G41" s="27" t="n">
        <v>15.65</v>
      </c>
      <c r="H41" s="24" t="inlineStr">
        <is>
          <t>21/07/2031</t>
        </is>
      </c>
      <c r="I41" s="24" t="inlineStr">
        <is>
          <t>BRVERTCRIED2</t>
        </is>
      </c>
      <c r="J41" s="24" t="inlineStr">
        <is>
          <t>Pública</t>
        </is>
      </c>
    </row>
    <row r="42">
      <c r="A42" s="23" t="inlineStr">
        <is>
          <t>CRI VI</t>
        </is>
      </c>
      <c r="B42" s="24" t="inlineStr">
        <is>
          <t>3ª</t>
        </is>
      </c>
      <c r="C42" s="24" t="inlineStr">
        <is>
          <t>Mezanino I</t>
        </is>
      </c>
      <c r="D42" s="25" t="n">
        <v>36</v>
      </c>
      <c r="E42" s="26">
        <f>D42/SUM($D$40:$D$44)</f>
        <v>0.08</v>
      </c>
      <c r="F42" s="24" t="inlineStr">
        <is>
          <t>CDI + 5,50%</t>
        </is>
      </c>
      <c r="G42" s="27" t="n">
        <v>19.15</v>
      </c>
      <c r="H42" s="24" t="inlineStr">
        <is>
          <t>21/07/2036</t>
        </is>
      </c>
      <c r="I42" s="24" t="inlineStr">
        <is>
          <t>BRVERTCRIEE0</t>
        </is>
      </c>
      <c r="J42" s="24" t="inlineStr">
        <is>
          <t>Pública</t>
        </is>
      </c>
    </row>
    <row r="43">
      <c r="A43" s="23" t="inlineStr">
        <is>
          <t>CRI VI</t>
        </is>
      </c>
      <c r="B43" s="24" t="inlineStr">
        <is>
          <t>4ª</t>
        </is>
      </c>
      <c r="C43" s="24" t="inlineStr">
        <is>
          <t>Mezanino II</t>
        </is>
      </c>
      <c r="D43" s="25" t="n">
        <v>18</v>
      </c>
      <c r="E43" s="26">
        <f>D43/SUM($D$40:$D$44)</f>
        <v>0.04</v>
      </c>
      <c r="F43" s="24" t="inlineStr">
        <is>
          <t>CDI + 8,00%</t>
        </is>
      </c>
      <c r="G43" s="27" t="n">
        <v>21.65</v>
      </c>
      <c r="H43" s="24" t="inlineStr">
        <is>
          <t>21/07/2036</t>
        </is>
      </c>
      <c r="I43" s="24" t="inlineStr">
        <is>
          <t>BRVERTCRIEF7</t>
        </is>
      </c>
      <c r="J43" s="24" t="inlineStr">
        <is>
          <t>Pública</t>
        </is>
      </c>
    </row>
    <row r="44">
      <c r="A44" s="23" t="inlineStr">
        <is>
          <t>CRI VI</t>
        </is>
      </c>
      <c r="B44" s="24" t="inlineStr">
        <is>
          <t>5ª</t>
        </is>
      </c>
      <c r="C44" s="24" t="inlineStr">
        <is>
          <t>Subordinada (privada)</t>
        </is>
      </c>
      <c r="D44" s="25" t="n">
        <v>13.5</v>
      </c>
      <c r="E44" s="26">
        <f>D44/SUM($D$40:$D$44)</f>
        <v>0.03</v>
      </c>
      <c r="F44" s="24" t="inlineStr">
        <is>
          <t>100% do CDI</t>
        </is>
      </c>
      <c r="G44" s="27" t="n">
        <v>13.65</v>
      </c>
      <c r="H44" s="24" t="inlineStr">
        <is>
          <t>20/07/2038</t>
        </is>
      </c>
      <c r="I44" s="24" t="inlineStr">
        <is>
          <t>BRVERTCRIEG5</t>
        </is>
      </c>
      <c r="J44" s="24" t="inlineStr">
        <is>
          <t>Privada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8" customWidth="1" min="2" max="2"/>
  </cols>
  <sheetData>
    <row r="1">
      <c r="A1" s="19" t="inlineStr">
        <is>
          <t>Notas, definições e fontes</t>
        </is>
      </c>
    </row>
    <row r="3">
      <c r="A3" s="29" t="inlineStr">
        <is>
          <t>Perímetro</t>
        </is>
      </c>
      <c r="B3" s="30" t="inlineStr">
        <is>
          <t>Seis emissões de CRI com lastro declarado em CCB originadas na Plataforma Solfácil: Kanastra 1ª a 4ª e Vert 174ª e 177ª. Identificadas na base de ofertas encerradas sob a Resolução CVM 160 e confirmadas no Fundos.NET.</t>
        </is>
      </c>
    </row>
    <row r="4">
      <c r="A4" s="29" t="inlineStr">
        <is>
          <t>Lastro</t>
        </is>
      </c>
      <c r="B4" s="30" t="inlineStr">
        <is>
          <t>Em todas as seis, o critério de elegibilidade exige CCB pré-fixada cujo recurso tenha destinação específica à aquisição de Sistema Solar em imóvel. Sistema Solar é definido como o conjunto de placas fotovoltaicas, equipamentos e sistemas acessórios para geração, armazenamento e utilização de energia solar, instalado por Integradores Solares. Nenhuma das emissões admite outro tipo de bem financiado.</t>
        </is>
      </c>
    </row>
    <row r="5">
      <c r="A5" s="29" t="inlineStr">
        <is>
          <t>Cadeia de originação</t>
        </is>
      </c>
      <c r="B5" s="30" t="inlineStr">
        <is>
          <t>A Solfácil Energia Solar Tecnologia e Serviços Financeiros é a originadora: opera a plataforma, faz a análise de crédito e seleciona os recebíveis. A CCB é emitida pelo devedor em favor de um Endossante Inicial — a BMP Sociedade de Crédito Direto e a Solfácil SCD, depois Solfácil SCFI. Os Integradores Solares são empresas terceiras aprovadas na plataforma, responsáveis por vender e instalar o sistema.</t>
        </is>
      </c>
    </row>
    <row r="6">
      <c r="A6" s="29" t="inlineStr">
        <is>
          <t>Equipamento</t>
        </is>
      </c>
      <c r="B6" s="30" t="inlineStr">
        <is>
          <t>O equipamento não é da Solfácil. Quem fornece e instala é o Integrador Solar. A Solfácil financia a operação e os documentos preveem alienação fiduciária dos equipamentos descritos na CCB, sem registro prévio em cartório.</t>
        </is>
      </c>
    </row>
    <row r="7">
      <c r="A7" s="29" t="inlineStr">
        <is>
          <t>Subordinação na emissão</t>
        </is>
      </c>
      <c r="B7" s="30" t="inlineStr">
        <is>
          <t>Soma das séries abaixo da camada em questão, dividida pelo total emitido, incluindo a série de colocação privada subscrita pela Solfácil.</t>
        </is>
      </c>
    </row>
    <row r="8">
      <c r="A8" s="29" t="inlineStr">
        <is>
          <t>Razão de cobertura</t>
        </is>
      </c>
      <c r="B8" s="30" t="inlineStr">
        <is>
          <t>Valor presente dos direitos creditórios líquido de PDD mais ativo financeiro, dividido pelo saldo devedor acumulado das séries até aquela camada. Apurada diariamente pela emissora e informada no informe mensal.</t>
        </is>
      </c>
    </row>
    <row r="9">
      <c r="A9" s="29" t="inlineStr">
        <is>
          <t>Subordinação implícita</t>
        </is>
      </c>
      <c r="B9" s="30" t="inlineStr">
        <is>
          <t>1 menos o inverso da razão de cobertura mínima. Difere da subordinação na emissão porque o numerador do covenant é a carteira, que é maior que a emissão.</t>
        </is>
      </c>
    </row>
    <row r="10">
      <c r="A10" s="29" t="inlineStr">
        <is>
          <t>Excesso de spread</t>
        </is>
      </c>
      <c r="B10" s="30" t="inlineStr">
        <is>
          <t>Taxa mínima contratual da carteira menos o custo médio ponderado das séries públicas. Séries pós-fixadas convertidas ao CDI de 13,65% a.a. (Selic de setembro de 2026, série 4389 do BCB).</t>
        </is>
      </c>
    </row>
    <row r="11">
      <c r="A11" s="29" t="inlineStr">
        <is>
          <t>NPL acima de 90 dias</t>
        </is>
      </c>
      <c r="B11" s="30" t="inlineStr">
        <is>
          <t>Soma das faixas de atraso de 91 a 120, 121 a 150, 151 a 180, 181 a 360 e acima de 361 dias do informe mensal de CRI.</t>
        </is>
      </c>
    </row>
    <row r="12">
      <c r="A12" s="29" t="inlineStr">
        <is>
          <t>Fontes</t>
        </is>
      </c>
      <c r="B12" s="30" t="inlineStr">
        <is>
          <t>Prospectos definitivos e termos de securitização registrados na CVM (processos SRE/0104/2024, SRE/1471/2024, SRE/1111/2025, SRE/2711/2025, SRE/1197/2026 e SRE/2316/2026); informes mensais de CRI de 08/2026 no Fundos.NET; base de ofertas públicas encerradas em dados.cvm.gov.br. Consulta em 19/10/2026.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2026-10-19T23:18:16Z</dcterms:created>
  <dcterms:modified xmlns:dcterms="http://purl.org/dc/terms/" xmlns:xsi="http://www.w3.org/2001/XMLSchema-instance" xsi:type="dcterms:W3CDTF">2026-10-19T23:18:17Z</dcterms:modified>
</cp:coreProperties>
</file>