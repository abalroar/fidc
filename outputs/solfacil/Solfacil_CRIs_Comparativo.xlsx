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Is" sheetId="1" state="visible" r:id="rId1"/>
    <sheet xmlns:r="http://schemas.openxmlformats.org/officeDocument/2006/relationships" name="Séries" sheetId="2" state="visible" r:id="rId2"/>
    <sheet xmlns:r="http://schemas.openxmlformats.org/officeDocument/2006/relationships" name="Nota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#,##0.000"/>
    <numFmt numFmtId="165" formatCode="0.0%"/>
    <numFmt numFmtId="166" formatCode="#,##0.0"/>
    <numFmt numFmtId="167" formatCode="+0.00;-0.00"/>
    <numFmt numFmtId="168" formatCode="0.00&quot;x&quot;"/>
    <numFmt numFmtId="169" formatCode="0.0&quot;x&quot;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b val="1"/>
      <color rgb="001F3864"/>
      <sz val="9"/>
    </font>
    <font>
      <name val="Arial"/>
      <sz val="9"/>
    </font>
    <font>
      <name val="Arial"/>
      <color rgb="000000FF"/>
      <sz val="9"/>
    </font>
    <font>
      <name val="Arial"/>
      <color rgb="00BFBFBF"/>
      <sz val="8"/>
    </font>
    <font>
      <name val="Arial"/>
      <color rgb="00808080"/>
      <sz val="9"/>
    </font>
    <font>
      <name val="Arial"/>
      <b val="1"/>
      <color rgb="00FFFFFF"/>
      <sz val="8"/>
    </font>
    <font>
      <name val="Arial"/>
      <b val="1"/>
      <color rgb="001F3864"/>
      <sz val="14"/>
    </font>
    <font>
      <name val="Arial"/>
      <b val="1"/>
      <color rgb="00FFFFFF"/>
      <sz val="9"/>
    </font>
    <font>
      <name val="Arial"/>
      <color rgb="00404040"/>
      <sz val="8"/>
    </font>
    <font>
      <name val="Arial"/>
      <b val="1"/>
      <sz val="9"/>
    </font>
    <font>
      <name val="Arial"/>
      <i val="1"/>
      <color rgb="00595959"/>
      <sz val="8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2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13" fillId="4" borderId="1" pivotButton="0" quotePrefix="0" xfId="0"/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6" fontId="15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15" fillId="0" borderId="1" applyAlignment="1" pivotButton="0" quotePrefix="0" xfId="0">
      <alignment horizontal="center" vertical="center" wrapText="1"/>
    </xf>
    <xf numFmtId="10" fontId="7" fillId="0" borderId="1" applyAlignment="1" pivotButton="0" quotePrefix="0" xfId="0">
      <alignment horizontal="center" vertical="center" wrapText="1"/>
    </xf>
    <xf numFmtId="167" fontId="15" fillId="0" borderId="1" applyAlignment="1" pivotButton="0" quotePrefix="0" xfId="0">
      <alignment horizontal="center" vertical="center" wrapText="1"/>
    </xf>
    <xf numFmtId="10" fontId="15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4" fontId="7" fillId="0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center" vertical="center" wrapText="1"/>
    </xf>
    <xf numFmtId="169" fontId="15" fillId="0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2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11" fillId="3" borderId="0" pivotButton="0" quotePrefix="0" xfId="0"/>
    <xf numFmtId="0" fontId="6" fillId="0" borderId="1" pivotButton="0" quotePrefix="0" xfId="0"/>
    <xf numFmtId="0" fontId="7" fillId="0" borderId="1" pivotButton="0" quotePrefix="0" xfId="0"/>
    <xf numFmtId="164" fontId="8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4" fontId="9" fillId="0" borderId="0" pivotButton="0" quotePrefix="0" xfId="0"/>
    <xf numFmtId="164" fontId="9" fillId="0" borderId="0" pivotButton="0" quotePrefix="0" xfId="0"/>
    <xf numFmtId="2" fontId="10" fillId="0" borderId="1" applyAlignment="1" pivotButton="0" quotePrefix="0" xfId="0">
      <alignment horizontal="right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62" customWidth="1" min="8" max="8"/>
  </cols>
  <sheetData>
    <row r="1">
      <c r="A1" s="1" t="inlineStr">
        <is>
          <t>CRIs Solfácil — comparativo das seis emissões</t>
        </is>
      </c>
    </row>
    <row r="2">
      <c r="A2" s="2" t="inlineStr">
        <is>
          <t>Estrutura conforme termos de securitização e prospectos definitivos registrados na CVM. Carteira, PDD, atraso e razões de cobertura na data-base de 31/08/2026, do informe mensal de CRI entregue no Fundos.NET. A coluna Fonte indica, linha a linha, de onde vem o dado.</t>
        </is>
      </c>
    </row>
    <row r="4" ht="22" customHeight="1">
      <c r="A4" s="3" t="inlineStr">
        <is>
          <t>Indicador</t>
        </is>
      </c>
      <c r="B4" s="3" t="inlineStr">
        <is>
          <t>CRI I</t>
        </is>
      </c>
      <c r="C4" s="3" t="inlineStr">
        <is>
          <t>CRI II</t>
        </is>
      </c>
      <c r="D4" s="3" t="inlineStr">
        <is>
          <t>CRI III</t>
        </is>
      </c>
      <c r="E4" s="3" t="inlineStr">
        <is>
          <t>CRI IV</t>
        </is>
      </c>
      <c r="F4" s="3" t="inlineStr">
        <is>
          <t>CRI V</t>
        </is>
      </c>
      <c r="G4" s="3" t="inlineStr">
        <is>
          <t>CRI VI</t>
        </is>
      </c>
      <c r="H4" s="3" t="inlineStr">
        <is>
          <t>Fonte</t>
        </is>
      </c>
    </row>
    <row r="5" ht="16" customHeight="1">
      <c r="A5" s="4" t="inlineStr">
        <is>
          <t>IDENTIFICAÇÃO</t>
        </is>
      </c>
      <c r="B5" s="4" t="n"/>
      <c r="C5" s="4" t="n"/>
      <c r="D5" s="4" t="n"/>
      <c r="E5" s="4" t="n"/>
      <c r="F5" s="4" t="n"/>
      <c r="G5" s="4" t="n"/>
      <c r="H5" s="4" t="n"/>
    </row>
    <row r="6" ht="18" customHeight="1">
      <c r="A6" s="5" t="inlineStr">
        <is>
          <t>Securitizadora</t>
        </is>
      </c>
      <c r="B6" s="6" t="inlineStr">
        <is>
          <t>Kanastra</t>
        </is>
      </c>
      <c r="C6" s="6" t="inlineStr">
        <is>
          <t>Kanastra</t>
        </is>
      </c>
      <c r="D6" s="6" t="inlineStr">
        <is>
          <t>Kanastra</t>
        </is>
      </c>
      <c r="E6" s="6" t="inlineStr">
        <is>
          <t>Kanastra</t>
        </is>
      </c>
      <c r="F6" s="6" t="inlineStr">
        <is>
          <t>Vert</t>
        </is>
      </c>
      <c r="G6" s="6" t="inlineStr">
        <is>
          <t>Vert</t>
        </is>
      </c>
      <c r="H6" s="7" t="inlineStr">
        <is>
          <t>Prospecto definitivo, capa</t>
        </is>
      </c>
    </row>
    <row r="7" ht="18" customHeight="1">
      <c r="A7" s="5" t="inlineStr">
        <is>
          <t>Nº da emissão</t>
        </is>
      </c>
      <c r="B7" s="6" t="inlineStr">
        <is>
          <t>1ª</t>
        </is>
      </c>
      <c r="C7" s="6" t="inlineStr">
        <is>
          <t>2ª</t>
        </is>
      </c>
      <c r="D7" s="6" t="inlineStr">
        <is>
          <t>3ª</t>
        </is>
      </c>
      <c r="E7" s="6" t="inlineStr">
        <is>
          <t>4ª</t>
        </is>
      </c>
      <c r="F7" s="6" t="inlineStr">
        <is>
          <t>174ª</t>
        </is>
      </c>
      <c r="G7" s="6" t="inlineStr">
        <is>
          <t>177ª</t>
        </is>
      </c>
      <c r="H7" s="7" t="inlineStr">
        <is>
          <t>Prospecto definitivo, capa</t>
        </is>
      </c>
    </row>
    <row r="8" ht="18" customHeight="1">
      <c r="A8" s="5" t="inlineStr">
        <is>
          <t>Data de emissão</t>
        </is>
      </c>
      <c r="B8" s="6" t="inlineStr">
        <is>
          <t>15/01/2024</t>
        </is>
      </c>
      <c r="C8" s="6" t="inlineStr">
        <is>
          <t>25/06/2024</t>
        </is>
      </c>
      <c r="D8" s="6" t="inlineStr">
        <is>
          <t>28/05/2025</t>
        </is>
      </c>
      <c r="E8" s="6" t="inlineStr">
        <is>
          <t>28/09/2025</t>
        </is>
      </c>
      <c r="F8" s="6" t="inlineStr">
        <is>
          <t>20/05/2026</t>
        </is>
      </c>
      <c r="G8" s="6" t="inlineStr">
        <is>
          <t>21/07/2026</t>
        </is>
      </c>
      <c r="H8" s="7" t="inlineStr">
        <is>
          <t>Termo de securitização, preâmbulo</t>
        </is>
      </c>
    </row>
    <row r="9" ht="18" customHeight="1">
      <c r="A9" s="5" t="inlineStr">
        <is>
          <t>Registro CVM</t>
        </is>
      </c>
      <c r="B9" s="6" t="inlineStr">
        <is>
          <t>16/02/2024</t>
        </is>
      </c>
      <c r="C9" s="6" t="inlineStr">
        <is>
          <t>21/06/2024</t>
        </is>
      </c>
      <c r="D9" s="6" t="inlineStr">
        <is>
          <t>03/06/2025</t>
        </is>
      </c>
      <c r="E9" s="6" t="inlineStr">
        <is>
          <t>29/09/2025</t>
        </is>
      </c>
      <c r="F9" s="6" t="inlineStr">
        <is>
          <t>20/05/2026</t>
        </is>
      </c>
      <c r="G9" s="6" t="inlineStr">
        <is>
          <t>20/07/2026</t>
        </is>
      </c>
      <c r="H9" s="7" t="inlineStr">
        <is>
          <t>CVM/SRE, ato de registro da oferta</t>
        </is>
      </c>
    </row>
    <row r="10" ht="18" customHeight="1">
      <c r="A10" s="5" t="inlineStr">
        <is>
          <t>Encerramento da oferta</t>
        </is>
      </c>
      <c r="B10" s="6" t="inlineStr">
        <is>
          <t>23/02/2024</t>
        </is>
      </c>
      <c r="C10" s="6" t="inlineStr">
        <is>
          <t>28/06/2024</t>
        </is>
      </c>
      <c r="D10" s="6" t="inlineStr">
        <is>
          <t>06/06/2025</t>
        </is>
      </c>
      <c r="E10" s="6" t="inlineStr">
        <is>
          <t>13/10/2025</t>
        </is>
      </c>
      <c r="F10" s="6" t="inlineStr">
        <is>
          <t>28/05/2026</t>
        </is>
      </c>
      <c r="G10" s="6" t="inlineStr">
        <is>
          <t>02/09/2026</t>
        </is>
      </c>
      <c r="H10" s="7" t="inlineStr">
        <is>
          <t>Anúncio de encerramento (CVM/SRE)</t>
        </is>
      </c>
    </row>
    <row r="11" ht="18" customHeight="1">
      <c r="A11" s="5" t="inlineStr">
        <is>
          <t>Coordenador líder</t>
        </is>
      </c>
      <c r="B11" s="6" t="inlineStr">
        <is>
          <t>Itaú BBA</t>
        </is>
      </c>
      <c r="C11" s="6" t="inlineStr">
        <is>
          <t>Itaú BBA</t>
        </is>
      </c>
      <c r="D11" s="6" t="inlineStr">
        <is>
          <t>Itaú BBA</t>
        </is>
      </c>
      <c r="E11" s="6" t="inlineStr">
        <is>
          <t>Itaú BBA</t>
        </is>
      </c>
      <c r="F11" s="6" t="inlineStr">
        <is>
          <t>XP</t>
        </is>
      </c>
      <c r="G11" s="6" t="inlineStr">
        <is>
          <t>XP e Bradesco BBI</t>
        </is>
      </c>
      <c r="H11" s="7" t="inlineStr">
        <is>
          <t>Prospecto definitivo, capa</t>
        </is>
      </c>
    </row>
    <row r="12" ht="18" customHeight="1">
      <c r="A12" s="5" t="inlineStr">
        <is>
          <t>Agente fiduciário</t>
        </is>
      </c>
      <c r="B12" s="6" t="inlineStr">
        <is>
          <t>Vórtx</t>
        </is>
      </c>
      <c r="C12" s="6" t="inlineStr">
        <is>
          <t>Oliveira Trust</t>
        </is>
      </c>
      <c r="D12" s="6" t="inlineStr">
        <is>
          <t>Oliveira Trust</t>
        </is>
      </c>
      <c r="E12" s="6" t="inlineStr">
        <is>
          <t>Oliveira Trust</t>
        </is>
      </c>
      <c r="F12" s="6" t="inlineStr">
        <is>
          <t>Oliveira Trust</t>
        </is>
      </c>
      <c r="G12" s="6" t="inlineStr">
        <is>
          <t>Oliveira Trust</t>
        </is>
      </c>
      <c r="H12" s="7" t="inlineStr">
        <is>
          <t>Prospecto definitivo, capa</t>
        </is>
      </c>
    </row>
    <row r="13" ht="18" customHeight="1">
      <c r="A13" s="5" t="inlineStr">
        <is>
          <t>Rating da camada de topo</t>
        </is>
      </c>
      <c r="B13" s="6" t="inlineStr">
        <is>
          <t>AA+sf(bra) / AAsf(bra) (Fitch)</t>
        </is>
      </c>
      <c r="C13" s="6" t="inlineStr">
        <is>
          <t>AAA (Moody's) / AA+ (Fitch)</t>
        </is>
      </c>
      <c r="D13" s="6" t="inlineStr">
        <is>
          <t>AAA (Moody's)</t>
        </is>
      </c>
      <c r="E13" s="6" t="inlineStr">
        <is>
          <t>AAA (Moody's)</t>
        </is>
      </c>
      <c r="F13" s="6" t="inlineStr">
        <is>
          <t>AAA (Moody's)</t>
        </is>
      </c>
      <c r="G13" s="6" t="inlineStr">
        <is>
          <t>Sem rating</t>
        </is>
      </c>
      <c r="H13" s="7" t="inlineStr">
        <is>
          <t>Relatório de rating da agência</t>
        </is>
      </c>
    </row>
    <row r="14" ht="18" customHeight="1">
      <c r="A14" s="5" t="inlineStr">
        <is>
          <t>Volume total emitido (R$ mm)</t>
        </is>
      </c>
      <c r="B14" s="8">
        <f>SUM('Séries'!D6:D10)</f>
        <v>600.0</v>
      </c>
      <c r="C14" s="8">
        <f>SUM('Séries'!D12:D16)</f>
        <v>750.0</v>
      </c>
      <c r="D14" s="8">
        <f>SUM('Séries'!D18:D23)</f>
        <v>750.0</v>
      </c>
      <c r="E14" s="8">
        <f>SUM('Séries'!D25:D31)</f>
        <v>450.0</v>
      </c>
      <c r="F14" s="8">
        <f>SUM('Séries'!D33:D38)</f>
        <v>470.599</v>
      </c>
      <c r="G14" s="8">
        <f>SUM('Séries'!D40:D44)</f>
        <v>450.0</v>
      </c>
      <c r="H14" s="7" t="inlineStr">
        <is>
          <t>Soma da aba Séries; quadro de séries do TS</t>
        </is>
      </c>
    </row>
    <row r="15" ht="18" customHeight="1">
      <c r="A15" s="5" t="inlineStr">
        <is>
          <t>Nº de séries</t>
        </is>
      </c>
      <c r="B15" s="9" t="n">
        <v>5</v>
      </c>
      <c r="C15" s="9" t="n">
        <v>5</v>
      </c>
      <c r="D15" s="9" t="n">
        <v>6</v>
      </c>
      <c r="E15" s="9" t="n">
        <v>7</v>
      </c>
      <c r="F15" s="9" t="n">
        <v>6</v>
      </c>
      <c r="G15" s="9" t="n">
        <v>5</v>
      </c>
      <c r="H15" s="7" t="inlineStr">
        <is>
          <t>TS, quadro de séries</t>
        </is>
      </c>
    </row>
    <row r="16" ht="16" customHeight="1">
      <c r="A16" s="4" t="inlineStr">
        <is>
          <t>SUBORDINAÇÃO NA EMISSÃO</t>
        </is>
      </c>
      <c r="B16" s="4" t="n"/>
      <c r="C16" s="4" t="n"/>
      <c r="D16" s="4" t="n"/>
      <c r="E16" s="4" t="n"/>
      <c r="F16" s="4" t="n"/>
      <c r="G16" s="4" t="n"/>
      <c r="H16" s="4" t="n"/>
    </row>
    <row r="17" ht="18" customHeight="1">
      <c r="A17" s="5" t="inlineStr">
        <is>
          <t>Camada de topo</t>
        </is>
      </c>
      <c r="B17" s="6" t="inlineStr">
        <is>
          <t>Super Sênior</t>
        </is>
      </c>
      <c r="C17" s="6" t="inlineStr">
        <is>
          <t>Super Sênior</t>
        </is>
      </c>
      <c r="D17" s="6" t="inlineStr">
        <is>
          <t>Super Sênior</t>
        </is>
      </c>
      <c r="E17" s="6" t="inlineStr">
        <is>
          <t>Super Sênior</t>
        </is>
      </c>
      <c r="F17" s="6" t="inlineStr">
        <is>
          <t>Super Sênior</t>
        </is>
      </c>
      <c r="G17" s="6" t="inlineStr">
        <is>
          <t>Sênior A e B</t>
        </is>
      </c>
      <c r="H17" s="7" t="inlineStr">
        <is>
          <t>TS, classe de cada série</t>
        </is>
      </c>
    </row>
    <row r="18" ht="18" customHeight="1">
      <c r="A18" s="5" t="inlineStr">
        <is>
          <t>Peso da camada de topo</t>
        </is>
      </c>
      <c r="B18" s="10">
        <f>SUM('Séries'!D6:D6)/SUM('Séries'!D6:D10)</f>
        <v>0.6</v>
      </c>
      <c r="C18" s="10">
        <f>SUM('Séries'!D12:D12)/SUM('Séries'!D12:D16)</f>
        <v>0.65</v>
      </c>
      <c r="D18" s="10">
        <f>SUM('Séries'!D18:D19)/SUM('Séries'!D18:D23)</f>
        <v>0.65</v>
      </c>
      <c r="E18" s="10">
        <f>SUM('Séries'!D25:D26)/SUM('Séries'!D25:D31)</f>
        <v>0.65</v>
      </c>
      <c r="F18" s="10">
        <f>SUM('Séries'!D33:D34)/SUM('Séries'!D33:D38)</f>
        <v>0.7000014875</v>
      </c>
      <c r="G18" s="10">
        <f>SUM('Séries'!D40:D41)/SUM('Séries'!D40:D44)</f>
        <v>0.85</v>
      </c>
      <c r="H18" s="7" t="inlineStr">
        <is>
          <t>Cálculo sobre a aba Séries</t>
        </is>
      </c>
    </row>
    <row r="19" ht="18" customHeight="1">
      <c r="A19" s="5" t="inlineStr">
        <is>
          <t>Subordinação abaixo do topo</t>
        </is>
      </c>
      <c r="B19" s="11">
        <f>1-SUM('Séries'!D6:D6)/SUM('Séries'!D6:D10)</f>
        <v>0.4</v>
      </c>
      <c r="C19" s="11">
        <f>1-SUM('Séries'!D12:D12)/SUM('Séries'!D12:D16)</f>
        <v>0.35</v>
      </c>
      <c r="D19" s="11">
        <f>1-SUM('Séries'!D18:D19)/SUM('Séries'!D18:D23)</f>
        <v>0.35</v>
      </c>
      <c r="E19" s="11">
        <f>1-SUM('Séries'!D25:D26)/SUM('Séries'!D25:D31)</f>
        <v>0.35</v>
      </c>
      <c r="F19" s="11">
        <f>1-SUM('Séries'!D33:D34)/SUM('Séries'!D33:D38)</f>
        <v>0.2999985125</v>
      </c>
      <c r="G19" s="11">
        <f>1-SUM('Séries'!D40:D41)/SUM('Séries'!D40:D44)</f>
        <v>0.15</v>
      </c>
      <c r="H19" s="7" t="inlineStr">
        <is>
          <t>Cálculo sobre a aba Séries</t>
        </is>
      </c>
    </row>
    <row r="20" ht="18" customHeight="1">
      <c r="A20" s="5" t="inlineStr">
        <is>
          <t>Subordinação abaixo da 2ª camada</t>
        </is>
      </c>
      <c r="B20" s="10">
        <f>1-SUM('Séries'!D6:D7)/SUM('Séries'!D6:D10)</f>
        <v>0.25</v>
      </c>
      <c r="C20" s="10">
        <f>1-SUM('Séries'!D12:D13)/SUM('Séries'!D12:D16)</f>
        <v>0.17</v>
      </c>
      <c r="D20" s="10">
        <f>1-SUM('Séries'!D18:D20)/SUM('Séries'!D18:D23)</f>
        <v>0.17</v>
      </c>
      <c r="E20" s="10">
        <f>1-SUM('Séries'!D25:D28)/SUM('Séries'!D25:D31)</f>
        <v>0.17</v>
      </c>
      <c r="F20" s="10">
        <f>1-SUM('Séries'!D33:D35)/SUM('Séries'!D33:D38)</f>
        <v>0.1499981938</v>
      </c>
      <c r="G20" s="10">
        <f>1-SUM('Séries'!D40:D42)/SUM('Séries'!D40:D44)</f>
        <v>0.07</v>
      </c>
      <c r="H20" s="7" t="inlineStr">
        <is>
          <t>Cálculo sobre a aba Séries</t>
        </is>
      </c>
    </row>
    <row r="21" ht="16" customHeight="1">
      <c r="A21" s="4" t="inlineStr">
        <is>
          <t>RAZÃO DE COBERTURA — MÍNIMO DO COVENANT vs 31/08/2026</t>
        </is>
      </c>
      <c r="B21" s="4" t="n"/>
      <c r="C21" s="4" t="n"/>
      <c r="D21" s="4" t="n"/>
      <c r="E21" s="4" t="n"/>
      <c r="F21" s="4" t="n"/>
      <c r="G21" s="4" t="n"/>
      <c r="H21" s="4" t="n"/>
    </row>
    <row r="22" ht="18" customHeight="1">
      <c r="A22" s="5" t="inlineStr">
        <is>
          <t>Mínimo — camada de topo</t>
        </is>
      </c>
      <c r="B22" s="12" t="inlineStr">
        <is>
          <t>–</t>
        </is>
      </c>
      <c r="C22" s="12" t="n">
        <v>1.59</v>
      </c>
      <c r="D22" s="12" t="n">
        <v>1.5873</v>
      </c>
      <c r="E22" s="12" t="n">
        <v>1.5873</v>
      </c>
      <c r="F22" s="12" t="n">
        <v>1.4706</v>
      </c>
      <c r="G22" s="12" t="n">
        <v>1.2048</v>
      </c>
      <c r="H22" s="7" t="inlineStr">
        <is>
          <t>TS, definição de Razão de Cobertura</t>
        </is>
      </c>
    </row>
    <row r="23" ht="18" customHeight="1">
      <c r="A23" s="5" t="inlineStr">
        <is>
          <t>Em 31/08/2026 — camada de topo</t>
        </is>
      </c>
      <c r="B23" s="12" t="n">
        <v>1.5447</v>
      </c>
      <c r="C23" s="12" t="n">
        <v>1.6275</v>
      </c>
      <c r="D23" s="12" t="n">
        <v>1.5972</v>
      </c>
      <c r="E23" s="12" t="n">
        <v>1.6083</v>
      </c>
      <c r="F23" s="12" t="n">
        <v>1.4846</v>
      </c>
      <c r="G23" s="12" t="n">
        <v>1.1772</v>
      </c>
      <c r="H23" s="7" t="inlineStr">
        <is>
          <t>Informe 08/2026 (CRI II a IV) ou cálculo sobre o informe (CRI I, V, VI)</t>
        </is>
      </c>
    </row>
    <row r="24" ht="18" customHeight="1">
      <c r="A24" s="5" t="inlineStr">
        <is>
          <t>Folga — camada de topo (p.p.)</t>
        </is>
      </c>
      <c r="B24" s="13" t="inlineStr">
        <is>
          <t>–</t>
        </is>
      </c>
      <c r="C24" s="13" t="n">
        <v>3.75</v>
      </c>
      <c r="D24" s="13" t="n">
        <v>0.9900000000000091</v>
      </c>
      <c r="E24" s="13" t="n">
        <v>2.100000000000023</v>
      </c>
      <c r="F24" s="13" t="n">
        <v>1.400000000000006</v>
      </c>
      <c r="G24" s="13" t="n">
        <v>-2.760000000000005</v>
      </c>
      <c r="H24" s="7" t="inlineStr">
        <is>
          <t>Linha anterior menos o mínimo</t>
        </is>
      </c>
    </row>
    <row r="25" ht="18" customHeight="1">
      <c r="A25" s="5" t="inlineStr">
        <is>
          <t>Mínimo — 2ª camada</t>
        </is>
      </c>
      <c r="B25" s="12" t="inlineStr">
        <is>
          <t>–</t>
        </is>
      </c>
      <c r="C25" s="12" t="n">
        <v>1.23</v>
      </c>
      <c r="D25" s="12" t="n">
        <v>1.2346</v>
      </c>
      <c r="E25" s="12" t="n">
        <v>1.2346</v>
      </c>
      <c r="F25" s="12" t="n">
        <v>1.2048</v>
      </c>
      <c r="G25" s="12" t="n">
        <v>1.0989</v>
      </c>
      <c r="H25" s="7" t="inlineStr">
        <is>
          <t>TS, definição de Razão de Cobertura</t>
        </is>
      </c>
    </row>
    <row r="26" ht="18" customHeight="1">
      <c r="A26" s="5" t="inlineStr">
        <is>
          <t>Em 31/08/2026 — 2ª camada</t>
        </is>
      </c>
      <c r="B26" s="12" t="n">
        <v>1.158</v>
      </c>
      <c r="C26" s="12" t="n">
        <v>1.2643</v>
      </c>
      <c r="D26" s="12" t="n">
        <v>1.2422</v>
      </c>
      <c r="E26" s="12" t="n">
        <v>1.2351</v>
      </c>
      <c r="F26" s="12" t="n">
        <v>1.1999</v>
      </c>
      <c r="G26" s="12" t="n">
        <v>1.0756</v>
      </c>
      <c r="H26" s="7" t="inlineStr">
        <is>
          <t>Informe 08/2026 (CRI II a IV) ou cálculo sobre o informe (CRI I, V, VI)</t>
        </is>
      </c>
    </row>
    <row r="27" ht="18" customHeight="1">
      <c r="A27" s="5" t="inlineStr">
        <is>
          <t>Folga — 2ª camada (p.p.)</t>
        </is>
      </c>
      <c r="B27" s="13" t="inlineStr">
        <is>
          <t>–</t>
        </is>
      </c>
      <c r="C27" s="13" t="n">
        <v>3.430000000000007</v>
      </c>
      <c r="D27" s="13" t="n">
        <v>0.7600000000000051</v>
      </c>
      <c r="E27" s="13" t="n">
        <v>0.05000000000001137</v>
      </c>
      <c r="F27" s="13" t="n">
        <v>-0.4900000000000091</v>
      </c>
      <c r="G27" s="13" t="n">
        <v>-2.329999999999998</v>
      </c>
      <c r="H27" s="7" t="inlineStr">
        <is>
          <t>Linha anterior menos o mínimo</t>
        </is>
      </c>
    </row>
    <row r="28" ht="18" customHeight="1">
      <c r="A28" s="5" t="inlineStr">
        <is>
          <t>Mínimo — 3ª camada</t>
        </is>
      </c>
      <c r="B28" s="12" t="inlineStr">
        <is>
          <t>–</t>
        </is>
      </c>
      <c r="C28" s="12" t="n">
        <v>1.1</v>
      </c>
      <c r="D28" s="12" t="n">
        <v>1.0989</v>
      </c>
      <c r="E28" s="12" t="n">
        <v>1.0989</v>
      </c>
      <c r="F28" s="12" t="n">
        <v>1.0989</v>
      </c>
      <c r="G28" s="12" t="n">
        <v>1.0526</v>
      </c>
      <c r="H28" s="7" t="inlineStr">
        <is>
          <t>TS, definição de Razão de Cobertura</t>
        </is>
      </c>
    </row>
    <row r="29" ht="18" customHeight="1">
      <c r="A29" s="5" t="inlineStr">
        <is>
          <t>Em 31/08/2026 — 3ª camada</t>
        </is>
      </c>
      <c r="B29" s="12" t="n">
        <v>1.0963</v>
      </c>
      <c r="C29" s="12" t="n">
        <v>1.1244</v>
      </c>
      <c r="D29" s="12" t="n">
        <v>1.1054</v>
      </c>
      <c r="E29" s="12" t="n">
        <v>1.08</v>
      </c>
      <c r="F29" s="12" t="n">
        <v>1.0874</v>
      </c>
      <c r="G29" s="12" t="n">
        <v>1.031</v>
      </c>
      <c r="H29" s="7" t="inlineStr">
        <is>
          <t>Informe 08/2026 (CRI II a IV) ou cálculo sobre o informe (CRI I, V, VI)</t>
        </is>
      </c>
    </row>
    <row r="30" ht="18" customHeight="1">
      <c r="A30" s="5" t="inlineStr">
        <is>
          <t>Folga — 3ª camada (p.p.)</t>
        </is>
      </c>
      <c r="B30" s="13" t="inlineStr">
        <is>
          <t>–</t>
        </is>
      </c>
      <c r="C30" s="13" t="n">
        <v>2.439999999999998</v>
      </c>
      <c r="D30" s="13" t="n">
        <v>0.6500000000000057</v>
      </c>
      <c r="E30" s="13" t="n">
        <v>-1.890000000000001</v>
      </c>
      <c r="F30" s="13" t="n">
        <v>-1.150000000000006</v>
      </c>
      <c r="G30" s="13" t="n">
        <v>-2.160000000000011</v>
      </c>
      <c r="H30" s="7" t="inlineStr">
        <is>
          <t>Linha anterior menos o mínimo</t>
        </is>
      </c>
    </row>
    <row r="31" ht="18" customHeight="1">
      <c r="A31" s="5" t="inlineStr">
        <is>
          <t>Mínimo — 4ª camada</t>
        </is>
      </c>
      <c r="B31" s="12" t="inlineStr">
        <is>
          <t>–</t>
        </is>
      </c>
      <c r="C31" s="12" t="n">
        <v>1.05</v>
      </c>
      <c r="D31" s="12" t="n">
        <v>1.0526</v>
      </c>
      <c r="E31" s="12" t="n">
        <v>1.0526</v>
      </c>
      <c r="F31" s="12" t="n">
        <v>1.0526</v>
      </c>
      <c r="G31" s="12" t="inlineStr">
        <is>
          <t>–</t>
        </is>
      </c>
      <c r="H31" s="7" t="inlineStr">
        <is>
          <t>TS, definição de Razão de Cobertura</t>
        </is>
      </c>
    </row>
    <row r="32" ht="18" customHeight="1">
      <c r="A32" s="5" t="inlineStr">
        <is>
          <t>Em 31/08/2026 — 4ª camada</t>
        </is>
      </c>
      <c r="B32" s="12" t="inlineStr">
        <is>
          <t>–</t>
        </is>
      </c>
      <c r="C32" s="12" t="n">
        <v>1.0767</v>
      </c>
      <c r="D32" s="12" t="n">
        <v>1.0504</v>
      </c>
      <c r="E32" s="12" t="n">
        <v>1.0273</v>
      </c>
      <c r="F32" s="12" t="n">
        <v>1.0385</v>
      </c>
      <c r="G32" s="12" t="inlineStr">
        <is>
          <t>–</t>
        </is>
      </c>
      <c r="H32" s="7" t="inlineStr">
        <is>
          <t>Informe 08/2026 (CRI II a IV) ou cálculo sobre o informe (CRI I, V, VI)</t>
        </is>
      </c>
    </row>
    <row r="33" ht="18" customHeight="1">
      <c r="A33" s="5" t="inlineStr">
        <is>
          <t>Folga — 4ª camada (p.p.)</t>
        </is>
      </c>
      <c r="B33" s="13" t="inlineStr">
        <is>
          <t>–</t>
        </is>
      </c>
      <c r="C33" s="13" t="n">
        <v>2.670000000000002</v>
      </c>
      <c r="D33" s="13" t="n">
        <v>-0.2199999999999989</v>
      </c>
      <c r="E33" s="13" t="n">
        <v>-2.530000000000001</v>
      </c>
      <c r="F33" s="13" t="n">
        <v>-1.410000000000011</v>
      </c>
      <c r="G33" s="13" t="inlineStr">
        <is>
          <t>–</t>
        </is>
      </c>
      <c r="H33" s="7" t="inlineStr">
        <is>
          <t>Linha anterior menos o mínimo</t>
        </is>
      </c>
    </row>
    <row r="34" ht="28" customHeight="1">
      <c r="A34" s="5" t="inlineStr">
        <is>
          <t>Origem do nível em 31/08/2026</t>
        </is>
      </c>
      <c r="B34" s="6" t="inlineStr">
        <is>
          <t>Calculado</t>
        </is>
      </c>
      <c r="C34" s="6" t="inlineStr">
        <is>
          <t>Informe</t>
        </is>
      </c>
      <c r="D34" s="6" t="inlineStr">
        <is>
          <t>Informe</t>
        </is>
      </c>
      <c r="E34" s="6" t="inlineStr">
        <is>
          <t>Informe</t>
        </is>
      </c>
      <c r="F34" s="6" t="inlineStr">
        <is>
          <t>Calculado</t>
        </is>
      </c>
      <c r="G34" s="6" t="inlineStr">
        <is>
          <t>Calculado</t>
        </is>
      </c>
      <c r="H34" s="7" t="inlineStr">
        <is>
          <t>Informe = campo IndiceSubordinacaoDataBase; Calculado = (carteira − PDD + ativo financeiro) ÷ saldo acumulado das séries</t>
        </is>
      </c>
    </row>
    <row r="35" ht="16" customHeight="1">
      <c r="A35" s="4" t="inlineStr">
        <is>
          <t>RETORNO E EXCESSO DE SPREAD</t>
        </is>
      </c>
      <c r="B35" s="4" t="n"/>
      <c r="C35" s="4" t="n"/>
      <c r="D35" s="4" t="n"/>
      <c r="E35" s="4" t="n"/>
      <c r="F35" s="4" t="n"/>
      <c r="G35" s="4" t="n"/>
      <c r="H35" s="4" t="n"/>
    </row>
    <row r="36" ht="30" customHeight="1">
      <c r="A36" s="5" t="inlineStr">
        <is>
          <t>Taxa média mínima de retorno da carteira</t>
        </is>
      </c>
      <c r="B36" s="12" t="n">
        <v>0.215</v>
      </c>
      <c r="C36" s="12" t="n">
        <v>0.21</v>
      </c>
      <c r="D36" s="12" t="n">
        <v>0.22</v>
      </c>
      <c r="E36" s="12" t="n">
        <v>0.21</v>
      </c>
      <c r="F36" s="12" t="n">
        <v>0.21</v>
      </c>
      <c r="G36" s="12" t="n">
        <v>0.215</v>
      </c>
      <c r="H36" s="7" t="inlineStr">
        <is>
          <t>TS, definição "Taxa Média Mínima de Retorno" (critério de elegibilidade, verificado pro forma a cada cessão)</t>
        </is>
      </c>
    </row>
    <row r="37" ht="34" customHeight="1">
      <c r="A37" s="5" t="inlineStr">
        <is>
          <t>Custo médio ponderado das séries públicas</t>
        </is>
      </c>
      <c r="B37" s="12">
        <f>SUM('Séries'!K6:K10)/SUM('Séries'!L6:L10)/100</f>
        <v>0.130927551</v>
      </c>
      <c r="C37" s="12">
        <f>SUM('Séries'!K12:K16)/SUM('Séries'!L12:L16)/100</f>
        <v>0.1454445773</v>
      </c>
      <c r="D37" s="12">
        <f>SUM('Séries'!K18:K23)/SUM('Séries'!L18:L23)/100</f>
        <v>0.1642371134</v>
      </c>
      <c r="E37" s="12">
        <f>SUM('Séries'!K25:K31)/SUM('Séries'!L25:L31)/100</f>
        <v>0.1532908247</v>
      </c>
      <c r="F37" s="12">
        <f>SUM('Séries'!K33:K38)/SUM('Séries'!L33:L38)/100</f>
        <v>0.1529517342</v>
      </c>
      <c r="G37" s="12">
        <f>SUM('Séries'!K40:K44)/SUM('Séries'!L40:L44)/100</f>
        <v>0.1607153494</v>
      </c>
      <c r="H37" s="7" t="inlineStr">
        <is>
          <t>Cálculo próprio: média das remunerações das séries públicas do TS ponderada pelo volume; pós-fixadas convertidas ao CDI da célula B3 da aba Séries (13,65% a.a.)</t>
        </is>
      </c>
    </row>
    <row r="38" ht="34" customHeight="1">
      <c r="A38" s="5" t="inlineStr">
        <is>
          <t>Excesso de spread bruto (p.p.)</t>
        </is>
      </c>
      <c r="B38" s="14">
        <f>21.5/100-SUM('Séries'!K6:K10)/SUM('Séries'!L6:L10)/100</f>
        <v>0.084072449</v>
      </c>
      <c r="C38" s="14">
        <f>21.0/100-SUM('Séries'!K12:K16)/SUM('Séries'!L12:L16)/100</f>
        <v>0.0645554227</v>
      </c>
      <c r="D38" s="14">
        <f>22.0/100-SUM('Séries'!K18:K23)/SUM('Séries'!L18:L23)/100</f>
        <v>0.0557628866</v>
      </c>
      <c r="E38" s="14">
        <f>21.0/100-SUM('Séries'!K25:K31)/SUM('Séries'!L25:L31)/100</f>
        <v>0.0567091753</v>
      </c>
      <c r="F38" s="14">
        <f>21.0/100-SUM('Séries'!K33:K38)/SUM('Séries'!L33:L38)/100</f>
        <v>0.0570482658</v>
      </c>
      <c r="G38" s="14">
        <f>21.5/100-SUM('Séries'!K40:K44)/SUM('Séries'!L40:L44)/100</f>
        <v>0.0542846506</v>
      </c>
      <c r="H38" s="7" t="inlineStr">
        <is>
          <t>Cálculo próprio: as duas linhas acima. Piso estático: usa o mínimo de elegibilidade, não o retorno efetivo, e não desconta taxas, despesas nem perdas</t>
        </is>
      </c>
    </row>
    <row r="39" ht="16" customHeight="1">
      <c r="A39" s="4" t="inlineStr">
        <is>
          <t>COMPRA DA CARTEIRA PELA SECURITIZADORA</t>
        </is>
      </c>
      <c r="B39" s="4" t="n"/>
      <c r="C39" s="4" t="n"/>
      <c r="D39" s="4" t="n"/>
      <c r="E39" s="4" t="n"/>
      <c r="F39" s="4" t="n"/>
      <c r="G39" s="4" t="n"/>
      <c r="H39" s="4" t="n"/>
    </row>
    <row r="40" ht="26" customHeight="1">
      <c r="A40" s="5" t="inlineStr">
        <is>
          <t>Cedente</t>
        </is>
      </c>
      <c r="B40" s="6" t="inlineStr">
        <is>
          <t>FIDC Solfácil II</t>
        </is>
      </c>
      <c r="C40" s="6" t="inlineStr">
        <is>
          <t>FIDC Solfácil II e IV</t>
        </is>
      </c>
      <c r="D40" s="6" t="inlineStr">
        <is>
          <t>FIDC Solfácil II, IV e VI</t>
        </is>
      </c>
      <c r="E40" s="6" t="inlineStr">
        <is>
          <t>FIDC Solfácil II, IV e VI, e Solfácil</t>
        </is>
      </c>
      <c r="F40" s="6" t="inlineStr">
        <is>
          <t>FIDC Solfácil VI e Solfácil</t>
        </is>
      </c>
      <c r="G40" s="6" t="inlineStr">
        <is>
          <t>FIDC Solfácil VI e VII, e Solfácil</t>
        </is>
      </c>
      <c r="H40" s="7" t="inlineStr">
        <is>
          <t>TS, definição "Cedentes"</t>
        </is>
      </c>
    </row>
    <row r="41" ht="30" customHeight="1">
      <c r="A41" s="5" t="inlineStr">
        <is>
          <t>Preço de aquisição</t>
        </is>
      </c>
      <c r="B41" s="6" t="inlineStr">
        <is>
          <t>Valor presente das parcelas vincendas descontadas pela Taxa de Retorno da própria CCB, no máximo</t>
        </is>
      </c>
      <c r="C41" s="6" t="inlineStr">
        <is>
          <t>Valor presente das parcelas vincendas descontadas pela Taxa de Retorno da própria CCB, no máximo</t>
        </is>
      </c>
      <c r="D41" s="6" t="inlineStr">
        <is>
          <t>Valor presente das parcelas vincendas descontadas pela Taxa de Retorno da própria CCB, no máximo</t>
        </is>
      </c>
      <c r="E41" s="6" t="inlineStr">
        <is>
          <t>Valor presente das parcelas vincendas descontadas pela Taxa de Retorno da própria CCB, no máximo</t>
        </is>
      </c>
      <c r="F41" s="6" t="inlineStr">
        <is>
          <t>Valor presente das parcelas vincendas descontadas pela Taxa de Retorno da própria CCB, no máximo</t>
        </is>
      </c>
      <c r="G41" s="6" t="inlineStr">
        <is>
          <t>Valor presente das parcelas vincendas descontadas pela Taxa de Retorno da própria CCB, no máximo</t>
        </is>
      </c>
      <c r="H41" s="7" t="inlineStr">
        <is>
          <t>TS, definição "Preço de Aquisição"</t>
        </is>
      </c>
    </row>
    <row r="42" ht="34" customHeight="1">
      <c r="A42" s="5" t="inlineStr">
        <is>
          <t>Teto do FIDC cedente na compra da CCB (% do saldo contábil)</t>
        </is>
      </c>
      <c r="B42" s="6" t="inlineStr">
        <is>
          <t>n.d. no regulamento vigente</t>
        </is>
      </c>
      <c r="C42" s="6" t="inlineStr">
        <is>
          <t>100,5% (FIDC II)</t>
        </is>
      </c>
      <c r="D42" s="6" t="inlineStr">
        <is>
          <t>100,5% (II) / 101,0% (VI)</t>
        </is>
      </c>
      <c r="E42" s="6" t="inlineStr">
        <is>
          <t>100,5% (II) / 101,0% (VI)</t>
        </is>
      </c>
      <c r="F42" s="6" t="inlineStr">
        <is>
          <t>101,0% (FIDC VI)</t>
        </is>
      </c>
      <c r="G42" s="6" t="inlineStr">
        <is>
          <t>101,0% (VI) / 104,0% (VII)</t>
        </is>
      </c>
      <c r="H42" s="7" t="inlineStr">
        <is>
          <t>Regulamento do FIDC cedente, Critérios de Elegibilidade (FIDC II 100,5%; FIDC VI 101,0%; FIDC VII 104,0%)</t>
        </is>
      </c>
    </row>
    <row r="43" ht="40" customHeight="1">
      <c r="A43" s="5" t="inlineStr">
        <is>
          <t>Ágio apurado na venda pelo FIDC</t>
        </is>
      </c>
      <c r="B43" s="6" t="inlineStr">
        <is>
          <t>Regulamento do FIDC II não prevê essa destinação</t>
        </is>
      </c>
      <c r="C43" s="6" t="inlineStr">
        <is>
          <t>Regulamentos dos FIDC II e IV não preveem essa destinação</t>
        </is>
      </c>
      <c r="D43" s="6" t="inlineStr">
        <is>
          <t>FIDC VI: vai à cota júnior. FIDC II e IV não preveem</t>
        </is>
      </c>
      <c r="E43" s="6" t="inlineStr">
        <is>
          <t>FIDC VI: vai à cota júnior. FIDC II e IV não preveem</t>
        </is>
      </c>
      <c r="F43" s="6" t="inlineStr">
        <is>
          <t>Vai integralmente à cota subordinada júnior, se subordinação e cobertura ficarem enquadradas pro forma</t>
        </is>
      </c>
      <c r="G43" s="6" t="inlineStr">
        <is>
          <t>Vai integralmente à cota subordinada júnior, se subordinação e cobertura ficarem enquadradas pro forma</t>
        </is>
      </c>
      <c r="H43" s="7" t="inlineStr">
        <is>
          <t>Regulamentos FIDC VI e VII, ordem de alocação do Evento de Venda: ágio = valor que exceder o valor presente da carteira, nunca o valor de face</t>
        </is>
      </c>
    </row>
    <row r="44" ht="26" customHeight="1">
      <c r="A44" s="5" t="inlineStr">
        <is>
          <t>Preço de recompra (hipóteses de recompra)</t>
        </is>
      </c>
      <c r="B44" s="6" t="inlineStr">
        <is>
          <t>Valor presente do direito creditório na data da recompra</t>
        </is>
      </c>
      <c r="C44" s="6" t="inlineStr">
        <is>
          <t>Valor presente do direito creditório na data da recompra</t>
        </is>
      </c>
      <c r="D44" s="6" t="inlineStr">
        <is>
          <t>Valor presente do direito creditório na data da recompra</t>
        </is>
      </c>
      <c r="E44" s="6" t="inlineStr">
        <is>
          <t>Valor presente do direito creditório na data da recompra</t>
        </is>
      </c>
      <c r="F44" s="6" t="inlineStr">
        <is>
          <t>Valor presente do direito creditório na data da recompra</t>
        </is>
      </c>
      <c r="G44" s="6" t="inlineStr">
        <is>
          <t>Valor presente do direito creditório na data da recompra</t>
        </is>
      </c>
      <c r="H44" s="7" t="inlineStr">
        <is>
          <t>TS, definição "Preço de Recompra"</t>
        </is>
      </c>
    </row>
    <row r="45" ht="16" customHeight="1">
      <c r="A45" s="4" t="inlineStr">
        <is>
          <t>CRITÉRIOS DE ELEGIBILIDADE</t>
        </is>
      </c>
      <c r="B45" s="4" t="n"/>
      <c r="C45" s="4" t="n"/>
      <c r="D45" s="4" t="n"/>
      <c r="E45" s="4" t="n"/>
      <c r="F45" s="4" t="n"/>
      <c r="G45" s="4" t="n"/>
      <c r="H45" s="4" t="n"/>
    </row>
    <row r="46" ht="18" customHeight="1">
      <c r="A46" s="5" t="inlineStr">
        <is>
          <t>Prazo máximo do recebível</t>
        </is>
      </c>
      <c r="B46" s="6" t="inlineStr">
        <is>
          <t>3.845 dias (≈126 meses)</t>
        </is>
      </c>
      <c r="C46" s="6" t="inlineStr">
        <is>
          <t>3.845 dias (≈126 meses)</t>
        </is>
      </c>
      <c r="D46" s="6" t="inlineStr">
        <is>
          <t>3.845 dias (≈126 meses)</t>
        </is>
      </c>
      <c r="E46" s="6" t="inlineStr">
        <is>
          <t>3.845 dias (≈126 meses)</t>
        </is>
      </c>
      <c r="F46" s="6" t="inlineStr">
        <is>
          <t>3.845 dias (≈126 meses)</t>
        </is>
      </c>
      <c r="G46" s="6" t="inlineStr">
        <is>
          <t>3.845 dias (≈126 meses)</t>
        </is>
      </c>
      <c r="H46" s="7" t="inlineStr">
        <is>
          <t>Prospecto definitivo / termo de securitização (CVM)</t>
        </is>
      </c>
    </row>
    <row r="47" ht="18" customHeight="1">
      <c r="A47" s="5" t="inlineStr">
        <is>
          <t>Prazo médio ponderado máximo</t>
        </is>
      </c>
      <c r="B47" s="6" t="inlineStr">
        <is>
          <t>2.000 dias (≈66 meses)</t>
        </is>
      </c>
      <c r="C47" s="6" t="inlineStr">
        <is>
          <t>2.000 dias (≈66 meses)</t>
        </is>
      </c>
      <c r="D47" s="6" t="inlineStr">
        <is>
          <t>2.000 dias (≈66 meses)</t>
        </is>
      </c>
      <c r="E47" s="6" t="inlineStr">
        <is>
          <t>2.000 dias (≈66 meses)</t>
        </is>
      </c>
      <c r="F47" s="6" t="inlineStr">
        <is>
          <t>2.000 dias (≈66 meses)</t>
        </is>
      </c>
      <c r="G47" s="6" t="inlineStr">
        <is>
          <t>2.000 dias (≈66 meses)</t>
        </is>
      </c>
      <c r="H47" s="7" t="inlineStr">
        <is>
          <t>Prospecto definitivo / termo de securitização (CVM)</t>
        </is>
      </c>
    </row>
    <row r="48" ht="18" customHeight="1">
      <c r="A48" s="5" t="inlineStr">
        <is>
          <t>Carência máxima da CCB</t>
        </is>
      </c>
      <c r="B48" s="6" t="inlineStr">
        <is>
          <t>185 dias</t>
        </is>
      </c>
      <c r="C48" s="6" t="inlineStr">
        <is>
          <t>185 dias</t>
        </is>
      </c>
      <c r="D48" s="6" t="inlineStr">
        <is>
          <t>185 dias</t>
        </is>
      </c>
      <c r="E48" s="6" t="inlineStr">
        <is>
          <t>185 dias</t>
        </is>
      </c>
      <c r="F48" s="6" t="inlineStr">
        <is>
          <t>185 dias</t>
        </is>
      </c>
      <c r="G48" s="6" t="inlineStr">
        <is>
          <t>185 dias</t>
        </is>
      </c>
      <c r="H48" s="7" t="inlineStr">
        <is>
          <t>Prospecto definitivo / termo de securitização (CVM)</t>
        </is>
      </c>
    </row>
    <row r="49" ht="18" customHeight="1">
      <c r="A49" s="5" t="inlineStr">
        <is>
          <t>Idade máxima do devedor PF</t>
        </is>
      </c>
      <c r="B49" s="6" t="inlineStr">
        <is>
          <t>71 anos</t>
        </is>
      </c>
      <c r="C49" s="6" t="inlineStr">
        <is>
          <t>71 anos</t>
        </is>
      </c>
      <c r="D49" s="6" t="inlineStr">
        <is>
          <t>71 anos</t>
        </is>
      </c>
      <c r="E49" s="6" t="inlineStr">
        <is>
          <t>71 anos</t>
        </is>
      </c>
      <c r="F49" s="6" t="inlineStr">
        <is>
          <t>71 anos</t>
        </is>
      </c>
      <c r="G49" s="6" t="inlineStr">
        <is>
          <t>71 anos</t>
        </is>
      </c>
      <c r="H49" s="7" t="inlineStr">
        <is>
          <t>Prospecto definitivo / termo de securitização (CVM)</t>
        </is>
      </c>
    </row>
    <row r="50" ht="18" customHeight="1">
      <c r="A50" s="5" t="inlineStr">
        <is>
          <t>Requisito do devedor PJ</t>
        </is>
      </c>
      <c r="B50" s="6" t="inlineStr">
        <is>
          <t>Constituído há ≥ 2 anos</t>
        </is>
      </c>
      <c r="C50" s="6" t="inlineStr">
        <is>
          <t>Constituído há ≥ 2 anos</t>
        </is>
      </c>
      <c r="D50" s="6" t="inlineStr">
        <is>
          <t>Constituído há ≥ 2 anos</t>
        </is>
      </c>
      <c r="E50" s="6" t="inlineStr">
        <is>
          <t>Constituído há ≥ 2 anos</t>
        </is>
      </c>
      <c r="F50" s="6" t="inlineStr">
        <is>
          <t>Constituído há ≥ 2 anos</t>
        </is>
      </c>
      <c r="G50" s="6" t="inlineStr">
        <is>
          <t>Constituído há ≥ 2 anos</t>
        </is>
      </c>
      <c r="H50" s="7" t="inlineStr">
        <is>
          <t>Prospecto definitivo / termo de securitização (CVM)</t>
        </is>
      </c>
    </row>
    <row r="51" ht="18" customHeight="1">
      <c r="A51" s="5" t="inlineStr">
        <is>
          <t>Teto por devedor PF (R$ mil)</t>
        </is>
      </c>
      <c r="B51" s="15" t="n">
        <v>350</v>
      </c>
      <c r="C51" s="15" t="n">
        <v>350</v>
      </c>
      <c r="D51" s="15" t="n">
        <v>350</v>
      </c>
      <c r="E51" s="15" t="n">
        <v>350</v>
      </c>
      <c r="F51" s="15" t="n">
        <v>350</v>
      </c>
      <c r="G51" s="15" t="n">
        <v>350</v>
      </c>
      <c r="H51" s="7" t="inlineStr">
        <is>
          <t>Prospecto definitivo / termo de securitização (CVM)</t>
        </is>
      </c>
    </row>
    <row r="52" ht="18" customHeight="1">
      <c r="A52" s="5" t="inlineStr">
        <is>
          <t>Teto por devedor PJ (R$ mil)</t>
        </is>
      </c>
      <c r="B52" s="15" t="n">
        <v>600</v>
      </c>
      <c r="C52" s="15" t="n">
        <v>600</v>
      </c>
      <c r="D52" s="15" t="n">
        <v>700</v>
      </c>
      <c r="E52" s="15" t="n">
        <v>700</v>
      </c>
      <c r="F52" s="15" t="n">
        <v>700</v>
      </c>
      <c r="G52" s="15" t="n">
        <v>700</v>
      </c>
      <c r="H52" s="7" t="inlineStr">
        <is>
          <t>Prospecto definitivo / termo de securitização (CVM)</t>
        </is>
      </c>
    </row>
    <row r="53" ht="26" customHeight="1">
      <c r="A53" s="5" t="inlineStr">
        <is>
          <t>Concentração máxima por devedor</t>
        </is>
      </c>
      <c r="B53" s="6" t="inlineStr">
        <is>
          <t>0,10% do patrimônio separado</t>
        </is>
      </c>
      <c r="C53" s="6" t="inlineStr">
        <is>
          <t>0,10% do patrimônio separado</t>
        </is>
      </c>
      <c r="D53" s="6" t="inlineStr">
        <is>
          <t>0,10% do patrimônio separado</t>
        </is>
      </c>
      <c r="E53" s="6" t="inlineStr">
        <is>
          <t>0,25% do patrimônio separado</t>
        </is>
      </c>
      <c r="F53" s="6" t="inlineStr">
        <is>
          <t>0,15% caindo a 0,07%</t>
        </is>
      </c>
      <c r="G53" s="6" t="inlineStr">
        <is>
          <t>0,11% do valor da emissão</t>
        </is>
      </c>
      <c r="H53" s="7" t="inlineStr">
        <is>
          <t>Prospecto definitivo / termo de securitização (CVM)</t>
        </is>
      </c>
    </row>
    <row r="54" ht="18" customHeight="1">
      <c r="A54" s="5" t="inlineStr">
        <is>
          <t>Revolvência</t>
        </is>
      </c>
      <c r="B54" s="6" t="inlineStr">
        <is>
          <t>Não</t>
        </is>
      </c>
      <c r="C54" s="6" t="inlineStr">
        <is>
          <t>Não</t>
        </is>
      </c>
      <c r="D54" s="6" t="inlineStr">
        <is>
          <t>Não</t>
        </is>
      </c>
      <c r="E54" s="6" t="inlineStr">
        <is>
          <t>Não</t>
        </is>
      </c>
      <c r="F54" s="6" t="inlineStr">
        <is>
          <t>Não</t>
        </is>
      </c>
      <c r="G54" s="6" t="inlineStr">
        <is>
          <t>Não</t>
        </is>
      </c>
      <c r="H54" s="7" t="inlineStr">
        <is>
          <t>Prospecto definitivo / termo de securitização (CVM)</t>
        </is>
      </c>
    </row>
    <row r="55" ht="18" customHeight="1">
      <c r="A55" s="5" t="inlineStr">
        <is>
          <t>Regime fiduciário</t>
        </is>
      </c>
      <c r="B55" s="6" t="inlineStr">
        <is>
          <t>Sim</t>
        </is>
      </c>
      <c r="C55" s="6" t="inlineStr">
        <is>
          <t>Sim</t>
        </is>
      </c>
      <c r="D55" s="6" t="inlineStr">
        <is>
          <t>Sim</t>
        </is>
      </c>
      <c r="E55" s="6" t="inlineStr">
        <is>
          <t>Sim</t>
        </is>
      </c>
      <c r="F55" s="6" t="inlineStr">
        <is>
          <t>Sim</t>
        </is>
      </c>
      <c r="G55" s="6" t="inlineStr">
        <is>
          <t>Sim</t>
        </is>
      </c>
      <c r="H55" s="7" t="inlineStr">
        <is>
          <t>Prospecto definitivo / termo de securitização (CVM)</t>
        </is>
      </c>
    </row>
    <row r="56" ht="26" customHeight="1">
      <c r="A56" s="5" t="inlineStr">
        <is>
          <t>Lastro</t>
        </is>
      </c>
      <c r="B56" s="6" t="inlineStr">
        <is>
          <t>CCB pré-fixada de financiamento de Sistema Solar</t>
        </is>
      </c>
      <c r="C56" s="6" t="inlineStr">
        <is>
          <t>CCB pré-fixada de financiamento de Sistema Solar</t>
        </is>
      </c>
      <c r="D56" s="6" t="inlineStr">
        <is>
          <t>CCB pré-fixada de financiamento de Sistema Solar</t>
        </is>
      </c>
      <c r="E56" s="6" t="inlineStr">
        <is>
          <t>CCB pré-fixada de financiamento de Sistema Solar</t>
        </is>
      </c>
      <c r="F56" s="6" t="inlineStr">
        <is>
          <t>CCB pré-fixada de financiamento de Sistema Solar</t>
        </is>
      </c>
      <c r="G56" s="6" t="inlineStr">
        <is>
          <t>CCB pré-fixada de financiamento de Sistema Solar</t>
        </is>
      </c>
      <c r="H56" s="7" t="inlineStr">
        <is>
          <t>Prospecto definitivo / termo de securitização (CVM)</t>
        </is>
      </c>
    </row>
    <row r="57" ht="16" customHeight="1">
      <c r="A57" s="4" t="inlineStr">
        <is>
          <t>CARTEIRA E INADIMPLÊNCIA EM 31/08/2026</t>
        </is>
      </c>
      <c r="B57" s="4" t="n"/>
      <c r="C57" s="4" t="n"/>
      <c r="D57" s="4" t="n"/>
      <c r="E57" s="4" t="n"/>
      <c r="F57" s="4" t="n"/>
      <c r="G57" s="4" t="n"/>
      <c r="H57" s="4" t="n"/>
    </row>
    <row r="58" ht="26" customHeight="1">
      <c r="A58" s="5" t="inlineStr">
        <is>
          <t>Carteira de direitos creditórios (R$ mm)</t>
        </is>
      </c>
      <c r="B58" s="16" t="n">
        <v>277.7655</v>
      </c>
      <c r="C58" s="16" t="n">
        <v>389.8072</v>
      </c>
      <c r="D58" s="16" t="n">
        <v>545.0604</v>
      </c>
      <c r="E58" s="16" t="n">
        <v>382.995</v>
      </c>
      <c r="F58" s="16" t="n">
        <v>443.6201</v>
      </c>
      <c r="G58" s="16" t="n">
        <v>445.8813</v>
      </c>
      <c r="H58" s="7" t="inlineStr">
        <is>
          <t>Informe mensal de CRI 08/2026 (Fundos.NET): a vencer sem atraso + a vencer com atraso + vencidos não pagos</t>
        </is>
      </c>
    </row>
    <row r="59" ht="26" customHeight="1">
      <c r="A59" s="5" t="inlineStr">
        <is>
          <t>Ativo financeiro (R$ mm)</t>
        </is>
      </c>
      <c r="B59" s="16" t="n">
        <v>13.9352</v>
      </c>
      <c r="C59" s="16" t="n">
        <v>17.2181</v>
      </c>
      <c r="D59" s="16" t="n">
        <v>24.0119</v>
      </c>
      <c r="E59" s="16" t="n">
        <v>14.1357</v>
      </c>
      <c r="F59" s="16" t="n">
        <v>16.6805</v>
      </c>
      <c r="G59" s="16" t="n">
        <v>11.8817</v>
      </c>
      <c r="H59" s="7" t="inlineStr">
        <is>
          <t>Informe mensal de CRI 08/2026 (Fundos.NET): títulos públicos, compromissadas e cotas de FI de liquidez diária</t>
        </is>
      </c>
    </row>
    <row r="60" ht="18" customHeight="1">
      <c r="A60" s="5" t="inlineStr">
        <is>
          <t>Saldo das séries (R$ mm)</t>
        </is>
      </c>
      <c r="B60" s="16" t="n">
        <v>226.28</v>
      </c>
      <c r="C60" s="16" t="n">
        <v>352.73</v>
      </c>
      <c r="D60" s="16" t="n">
        <v>536.6</v>
      </c>
      <c r="E60" s="16" t="n">
        <v>384.81</v>
      </c>
      <c r="F60" s="16" t="n">
        <v>457.91</v>
      </c>
      <c r="G60" s="16" t="n">
        <v>457.21</v>
      </c>
      <c r="H60" s="7" t="inlineStr">
        <is>
          <t>Informe mensal de CRI 08/2026 (Fundos.NET): saldo por série</t>
        </is>
      </c>
    </row>
    <row r="61" ht="18" customHeight="1">
      <c r="A61" s="5" t="inlineStr">
        <is>
          <t>PDD (R$ mm)</t>
        </is>
      </c>
      <c r="B61" s="17" t="n">
        <v>43.6175</v>
      </c>
      <c r="C61" s="17" t="n">
        <v>46.9353</v>
      </c>
      <c r="D61" s="17" t="n">
        <v>26.0372</v>
      </c>
      <c r="E61" s="17" t="n">
        <v>15.8003</v>
      </c>
      <c r="F61" s="17" t="n">
        <v>0</v>
      </c>
      <c r="G61" s="17" t="n">
        <v>0.4938</v>
      </c>
      <c r="H61" s="7" t="inlineStr">
        <is>
          <t>Informe mensal de CRI 08/2026 (Fundos.NET): provisão para redução ao valor recuperável</t>
        </is>
      </c>
    </row>
    <row r="62" ht="18" customHeight="1">
      <c r="A62" s="5" t="inlineStr">
        <is>
          <t>PDD / carteira</t>
        </is>
      </c>
      <c r="B62" s="10" t="n">
        <v>0.15702994072338</v>
      </c>
      <c r="C62" s="10" t="n">
        <v>0.12040644708461</v>
      </c>
      <c r="D62" s="10" t="n">
        <v>0.04776938482414059</v>
      </c>
      <c r="E62" s="10" t="n">
        <v>0.0412545855690022</v>
      </c>
      <c r="F62" s="10" t="n">
        <v>0</v>
      </c>
      <c r="G62" s="10" t="n">
        <v>0.001107469633734359</v>
      </c>
      <c r="H62" s="7" t="inlineStr">
        <is>
          <t>Cálculo sobre as duas linhas acima</t>
        </is>
      </c>
    </row>
    <row r="63" ht="34" customHeight="1">
      <c r="A63" s="5" t="inlineStr">
        <is>
          <t>Saldo de arrasto (R$ mm)</t>
        </is>
      </c>
      <c r="B63" s="16" t="n">
        <v>22.2968</v>
      </c>
      <c r="C63" s="16" t="n">
        <v>23.7481</v>
      </c>
      <c r="D63" s="16" t="n">
        <v>11.4449</v>
      </c>
      <c r="E63" s="16" t="n">
        <v>5.7914</v>
      </c>
      <c r="F63" s="16" t="n">
        <v>42.4165</v>
      </c>
      <c r="G63" s="16" t="n">
        <v>44.7006</v>
      </c>
      <c r="H63" s="7" t="inlineStr">
        <is>
          <t>Informe mensal de CRI 08/2026 (Fundos.NET): créditos a vencer com parcelas atrasadas, ou seja, saldo integral dos contratos com ao menos uma parcela em atraso</t>
        </is>
      </c>
    </row>
    <row r="64" ht="26" customHeight="1">
      <c r="A64" s="5" t="inlineStr">
        <is>
          <t>Saldo de arrasto / carteira</t>
        </is>
      </c>
      <c r="B64" s="11" t="n">
        <v>0.08027202802363866</v>
      </c>
      <c r="C64" s="11" t="n">
        <v>0.0609226817770426</v>
      </c>
      <c r="D64" s="11" t="n">
        <v>0.02099748945254508</v>
      </c>
      <c r="E64" s="11" t="n">
        <v>0.01512134623167404</v>
      </c>
      <c r="F64" s="11" t="n">
        <v>0.09561446832548841</v>
      </c>
      <c r="G64" s="11" t="n">
        <v>0.100252242020466</v>
      </c>
      <c r="H64" s="7" t="inlineStr">
        <is>
          <t>Cálculo sobre as duas linhas acima. Única métrica de atraso comparável entre as seis emissões</t>
        </is>
      </c>
    </row>
    <row r="65" ht="34" customHeight="1">
      <c r="A65" s="5" t="inlineStr">
        <is>
          <t>Base das faixas de atraso no informe</t>
        </is>
      </c>
      <c r="B65" s="6" t="inlineStr">
        <is>
          <t>Saldo de arrasto</t>
        </is>
      </c>
      <c r="C65" s="6" t="inlineStr">
        <is>
          <t>Saldo de arrasto</t>
        </is>
      </c>
      <c r="D65" s="6" t="inlineStr">
        <is>
          <t>Saldo de arrasto</t>
        </is>
      </c>
      <c r="E65" s="6" t="inlineStr">
        <is>
          <t>Saldo de arrasto</t>
        </is>
      </c>
      <c r="F65" s="6" t="inlineStr">
        <is>
          <t>Parcelas em atraso</t>
        </is>
      </c>
      <c r="G65" s="6" t="inlineStr">
        <is>
          <t>Parcelas em atraso</t>
        </is>
      </c>
      <c r="H65" s="7" t="inlineStr">
        <is>
          <t>Verificado somando as faixas: na Kanastra a soma fecha com o saldo de arrasto; na Vert fecha com as parcelas vencidas apenas</t>
        </is>
      </c>
    </row>
    <row r="66" ht="26" customHeight="1">
      <c r="A66" s="5" t="inlineStr">
        <is>
          <t>Soma das faixas de atraso (R$ mm)</t>
        </is>
      </c>
      <c r="B66" s="16" t="n">
        <v>22.2968</v>
      </c>
      <c r="C66" s="16" t="n">
        <v>23.7481</v>
      </c>
      <c r="D66" s="16" t="n">
        <v>11.4449</v>
      </c>
      <c r="E66" s="16" t="n">
        <v>5.7914</v>
      </c>
      <c r="F66" s="16" t="n">
        <v>1.5582</v>
      </c>
      <c r="G66" s="16" t="n">
        <v>1.4806</v>
      </c>
      <c r="H66" s="7" t="inlineStr">
        <is>
          <t>Informe mensal de CRI 08/2026 (Fundos.NET): faixas de 1 a 30 até acima de 361 dias</t>
        </is>
      </c>
    </row>
    <row r="67" ht="40" customHeight="1">
      <c r="A67" s="5" t="inlineStr">
        <is>
          <t>Atraso acima de 90 dias / carteira</t>
        </is>
      </c>
      <c r="B67" s="11" t="n">
        <v>0.0588795224748934</v>
      </c>
      <c r="C67" s="11" t="n">
        <v>0.03927890505870594</v>
      </c>
      <c r="D67" s="11" t="n">
        <v>0.009342817786799408</v>
      </c>
      <c r="E67" s="11" t="n">
        <v>0.006882596378542801</v>
      </c>
      <c r="F67" s="11" t="n">
        <v>0</v>
      </c>
      <c r="G67" s="11" t="n">
        <v>0</v>
      </c>
      <c r="H67" s="7" t="inlineStr">
        <is>
          <t>Informe mensal de CRI 08/2026 (Fundos.NET): faixas de 91 a 120, 121 a 150, 151 a 180, 181 a 360 e acima de 361 dias. Comparável só dentro da mesma securitizadora</t>
        </is>
      </c>
    </row>
    <row r="68" ht="18" customHeight="1">
      <c r="A68" s="5" t="inlineStr">
        <is>
          <t>Cobertura da PDD sobre o atraso acima de 90 dias (x)</t>
        </is>
      </c>
      <c r="B68" s="18" t="n">
        <v>2.66697035103059</v>
      </c>
      <c r="C68" s="18" t="n">
        <v>3.065422697110612</v>
      </c>
      <c r="D68" s="18" t="n">
        <v>5.112952635299663</v>
      </c>
      <c r="E68" s="18" t="n">
        <v>5.994044006069802</v>
      </c>
      <c r="F68" s="6" t="inlineStr">
        <is>
          <t>n.a.</t>
        </is>
      </c>
      <c r="G68" s="6" t="inlineStr">
        <is>
          <t>n.a.</t>
        </is>
      </c>
      <c r="H68" s="7" t="inlineStr">
        <is>
          <t>Cálculo: PDD ÷ atraso acima de 90 dias</t>
        </is>
      </c>
    </row>
    <row r="69" ht="18" customHeight="1">
      <c r="A69" s="5" t="inlineStr">
        <is>
          <t>Duration reportada no informe</t>
        </is>
      </c>
      <c r="B69" s="6" t="inlineStr">
        <is>
          <t>4 anos e 5 meses</t>
        </is>
      </c>
      <c r="C69" s="6" t="inlineStr">
        <is>
          <t>1 ano e 2 meses</t>
        </is>
      </c>
      <c r="D69" s="6" t="inlineStr">
        <is>
          <t>1 ano e 6 meses</t>
        </is>
      </c>
      <c r="E69" s="6" t="inlineStr">
        <is>
          <t>4 anos</t>
        </is>
      </c>
      <c r="F69" s="6" t="inlineStr">
        <is>
          <t>n.d.</t>
        </is>
      </c>
      <c r="G69" s="6" t="inlineStr">
        <is>
          <t>26,7 meses</t>
        </is>
      </c>
      <c r="H69" s="7" t="inlineStr">
        <is>
          <t>Informe mensal de CRI 08/2026 (Fundos.NET)</t>
        </is>
      </c>
    </row>
    <row r="70" ht="18" customHeight="1">
      <c r="A70" s="5" t="inlineStr">
        <is>
          <t>Meses desde a emissão (em ago/26)</t>
        </is>
      </c>
      <c r="B70" s="9" t="n">
        <v>31</v>
      </c>
      <c r="C70" s="9" t="n">
        <v>26</v>
      </c>
      <c r="D70" s="9" t="n">
        <v>15</v>
      </c>
      <c r="E70" s="9" t="n">
        <v>11</v>
      </c>
      <c r="F70" s="9" t="n">
        <v>3</v>
      </c>
      <c r="G70" s="9" t="n">
        <v>1</v>
      </c>
      <c r="H70" s="7" t="inlineStr">
        <is>
          <t>Cálculo sobre a data de emissão</t>
        </is>
      </c>
    </row>
    <row r="71" ht="16" customHeight="1">
      <c r="A71" s="4" t="inlineStr">
        <is>
          <t>SUBORDINAÇÃO CONTRA INADIMPLÊNCIA EM 31/08/2026</t>
        </is>
      </c>
      <c r="B71" s="4" t="n"/>
      <c r="C71" s="4" t="n"/>
      <c r="D71" s="4" t="n"/>
      <c r="E71" s="4" t="n"/>
      <c r="F71" s="4" t="n"/>
      <c r="G71" s="4" t="n"/>
      <c r="H71" s="4" t="n"/>
    </row>
    <row r="72" ht="34" customHeight="1">
      <c r="A72" s="5" t="inlineStr">
        <is>
          <t>Proteção abaixo da camada de topo (R$ mm)</t>
        </is>
      </c>
      <c r="B72" s="16" t="n">
        <v>87.47859999999997</v>
      </c>
      <c r="C72" s="16" t="n">
        <v>138.7296</v>
      </c>
      <c r="D72" s="16" t="n">
        <v>204.3450999999999</v>
      </c>
      <c r="E72" s="16" t="n">
        <v>145.6304</v>
      </c>
      <c r="F72" s="16" t="n">
        <v>150.2506</v>
      </c>
      <c r="G72" s="16" t="n">
        <v>68.82920000000001</v>
      </c>
      <c r="H72" s="7" t="inlineStr">
        <is>
          <t>Cálculo: (carteira − PDD + ativo financeiro) menos o saldo acumulado das séries da camada de topo</t>
        </is>
      </c>
    </row>
    <row r="73" ht="18" customHeight="1">
      <c r="A73" s="5" t="inlineStr">
        <is>
          <t>Proteção abaixo do topo / carteira líquida de PDD</t>
        </is>
      </c>
      <c r="B73" s="11" t="n">
        <v>0.3526179926734256</v>
      </c>
      <c r="C73" s="11" t="n">
        <v>0.3852636840789803</v>
      </c>
      <c r="D73" s="11" t="n">
        <v>0.3763018265301818</v>
      </c>
      <c r="E73" s="11" t="n">
        <v>0.3819008397966698</v>
      </c>
      <c r="F73" s="11" t="n">
        <v>0.3264184317813185</v>
      </c>
      <c r="G73" s="11" t="n">
        <v>0.1505222744064109</v>
      </c>
      <c r="H73" s="7" t="inlineStr">
        <is>
          <t>Cálculo sobre a linha acima</t>
        </is>
      </c>
    </row>
    <row r="74" ht="40" customHeight="1">
      <c r="A74" s="5" t="inlineStr">
        <is>
          <t>Proteção ÷ saldo de arrasto (x)</t>
        </is>
      </c>
      <c r="B74" s="19" t="n">
        <v>3.92337016971045</v>
      </c>
      <c r="C74" s="19" t="n">
        <v>5.841713652881706</v>
      </c>
      <c r="D74" s="19" t="n">
        <v>17.85468636685335</v>
      </c>
      <c r="E74" s="19" t="n">
        <v>25.14597506647788</v>
      </c>
      <c r="F74" s="19" t="n">
        <v>3.542267749578583</v>
      </c>
      <c r="G74" s="19" t="n">
        <v>1.539782463770061</v>
      </c>
      <c r="H74" s="7" t="inlineStr">
        <is>
          <t>Cálculo: proteção abaixo do topo ÷ saldo de arrasto. Quantas vezes o atraso teria de virar perda integral para atingir a camada de topo</t>
        </is>
      </c>
    </row>
    <row r="75" ht="34" customHeight="1">
      <c r="A75" s="5" t="inlineStr">
        <is>
          <t>Proteção ÷ atraso acima de 90 dias (x)</t>
        </is>
      </c>
      <c r="B75" s="20" t="n">
        <v>5.348835502944106</v>
      </c>
      <c r="C75" s="20" t="n">
        <v>9.060661476566176</v>
      </c>
      <c r="D75" s="20" t="n">
        <v>40.12746445683764</v>
      </c>
      <c r="E75" s="20" t="n">
        <v>55.24673748103186</v>
      </c>
      <c r="F75" s="6" t="inlineStr">
        <is>
          <t>n.a.</t>
        </is>
      </c>
      <c r="G75" s="6" t="inlineStr">
        <is>
          <t>n.a.</t>
        </is>
      </c>
      <c r="H75" s="7" t="inlineStr">
        <is>
          <t>Cálculo. n.a. nas emissões da Vert, que não reportam atraso acima de 90 dias nas faixas</t>
        </is>
      </c>
    </row>
    <row r="76" ht="18" customHeight="1">
      <c r="A76" s="5" t="inlineStr">
        <is>
          <t>Proteção ÷ PDD (x)</t>
        </is>
      </c>
      <c r="B76" s="20" t="n">
        <v>2.005584914311915</v>
      </c>
      <c r="C76" s="20" t="n">
        <v>2.955762507110853</v>
      </c>
      <c r="D76" s="20" t="n">
        <v>7.848197962914598</v>
      </c>
      <c r="E76" s="20" t="n">
        <v>9.216938918881288</v>
      </c>
      <c r="F76" s="6" t="inlineStr">
        <is>
          <t>n.a.</t>
        </is>
      </c>
      <c r="G76" s="20" t="n">
        <v>139.3867962737951</v>
      </c>
      <c r="H76" s="7" t="inlineStr">
        <is>
          <t>Cálculo. n.a. no CRI V, cuja PDD vem zerada no informe</t>
        </is>
      </c>
    </row>
    <row r="77" ht="16" customHeight="1">
      <c r="A77" s="4" t="inlineStr">
        <is>
          <t>DISPONIBILIDADE DA INFORMAÇÃO</t>
        </is>
      </c>
      <c r="B77" s="4" t="n"/>
      <c r="C77" s="4" t="n"/>
      <c r="D77" s="4" t="n"/>
      <c r="E77" s="4" t="n"/>
      <c r="F77" s="4" t="n"/>
      <c r="G77" s="4" t="n"/>
      <c r="H77" s="4" t="n"/>
    </row>
    <row r="78" ht="26" customHeight="1">
      <c r="A78" s="5" t="inlineStr">
        <is>
          <t>Informe mensal de CRI</t>
        </is>
      </c>
      <c r="B78" s="6" t="inlineStr">
        <is>
          <t>Mensal, público, no Fundos.NET</t>
        </is>
      </c>
      <c r="C78" s="6" t="inlineStr">
        <is>
          <t>Mensal, público, no Fundos.NET</t>
        </is>
      </c>
      <c r="D78" s="6" t="inlineStr">
        <is>
          <t>Mensal, público, no Fundos.NET</t>
        </is>
      </c>
      <c r="E78" s="6" t="inlineStr">
        <is>
          <t>Mensal, público, no Fundos.NET</t>
        </is>
      </c>
      <c r="F78" s="6" t="inlineStr">
        <is>
          <t>Mensal, público, no Fundos.NET</t>
        </is>
      </c>
      <c r="G78" s="6" t="inlineStr">
        <is>
          <t>Mensal, público, no Fundos.NET</t>
        </is>
      </c>
      <c r="H78" s="7" t="inlineStr">
        <is>
          <t>fnet.bmfbovespa.com.br, gerenciador de documentos de certificados, tipo de fundo CRI</t>
        </is>
      </c>
    </row>
    <row r="79" ht="26" customHeight="1">
      <c r="A79" s="5" t="inlineStr">
        <is>
          <t>Prazo de entrega</t>
        </is>
      </c>
      <c r="B79" s="6" t="inlineStr">
        <is>
          <t>Até o 15º dia do mês seguinte à data-base</t>
        </is>
      </c>
      <c r="C79" s="6" t="inlineStr">
        <is>
          <t>Até o 15º dia do mês seguinte à data-base</t>
        </is>
      </c>
      <c r="D79" s="6" t="inlineStr">
        <is>
          <t>Até o 15º dia do mês seguinte à data-base</t>
        </is>
      </c>
      <c r="E79" s="6" t="inlineStr">
        <is>
          <t>Até o 15º dia do mês seguinte à data-base</t>
        </is>
      </c>
      <c r="F79" s="6" t="inlineStr">
        <is>
          <t>Até o 15º dia do mês seguinte à data-base</t>
        </is>
      </c>
      <c r="G79" s="6" t="inlineStr">
        <is>
          <t>Até o 15º dia do mês seguinte à data-base</t>
        </is>
      </c>
      <c r="H79" s="7" t="inlineStr">
        <is>
          <t>Resolução CVM 60, art. 42 — informe mensal da securitizadora</t>
        </is>
      </c>
    </row>
    <row r="80" ht="26" customHeight="1">
      <c r="A80" s="5" t="inlineStr">
        <is>
          <t>Relatório do agente fiduciário</t>
        </is>
      </c>
      <c r="B80" s="6" t="inlineStr">
        <is>
          <t>Anual, até 30 de abril, no Fundos.NET e no site do AF</t>
        </is>
      </c>
      <c r="C80" s="6" t="inlineStr">
        <is>
          <t>Anual, até 30 de abril, no Fundos.NET e no site do AF</t>
        </is>
      </c>
      <c r="D80" s="6" t="inlineStr">
        <is>
          <t>Anual, até 30 de abril, no Fundos.NET e no site do AF</t>
        </is>
      </c>
      <c r="E80" s="6" t="inlineStr">
        <is>
          <t>Anual, até 30 de abril, no Fundos.NET e no site do AF</t>
        </is>
      </c>
      <c r="F80" s="6" t="inlineStr">
        <is>
          <t>Anual, até 30 de abril, no Fundos.NET e no site do AF</t>
        </is>
      </c>
      <c r="G80" s="6" t="inlineStr">
        <is>
          <t>Anual, até 30 de abril, no Fundos.NET e no site do AF</t>
        </is>
      </c>
      <c r="H80" s="7" t="inlineStr">
        <is>
          <t>Resolução CVM 17, art. 15</t>
        </is>
      </c>
    </row>
    <row r="81" ht="30" customHeight="1">
      <c r="A81" s="5" t="inlineStr">
        <is>
          <t>O que o informe não traz</t>
        </is>
      </c>
      <c r="B81" s="6" t="inlineStr">
        <is>
          <t>Safras, curvas de perda, taxa média efetiva da carteira e renegociações</t>
        </is>
      </c>
      <c r="C81" s="6" t="inlineStr">
        <is>
          <t>Safras, curvas de perda, taxa média efetiva da carteira e renegociações</t>
        </is>
      </c>
      <c r="D81" s="6" t="inlineStr">
        <is>
          <t>Safras, curvas de perda, taxa média efetiva da carteira e renegociações</t>
        </is>
      </c>
      <c r="E81" s="6" t="inlineStr">
        <is>
          <t>Safras, curvas de perda, taxa média efetiva da carteira e renegociações</t>
        </is>
      </c>
      <c r="F81" s="6" t="inlineStr">
        <is>
          <t>Safras, curvas de perda, taxa média efetiva da carteira e renegociações</t>
        </is>
      </c>
      <c r="G81" s="6" t="inlineStr">
        <is>
          <t>Safras, curvas de perda, taxa média efetiva da carteira e renegociações</t>
        </is>
      </c>
      <c r="H81" s="7" t="inlineStr">
        <is>
          <t>Constatação: campos ausentes do informe mensal de CRI</t>
        </is>
      </c>
    </row>
    <row r="83" ht="78" customHeight="1">
      <c r="A83" s="21" t="inlineStr">
        <is>
          <t>Leitura das razões de cobertura: todas estão em percentual verdadeiro, 158,73% significa carteira líquida de PDD mais ativo financeiro igual a 1,5873 vez o saldo das séries daquela camada. O CRI I não traz nível numérico de razão de cobertura: o termo define a fórmula sem fixar patamar, e o informe reporta índice de subordinação (45,9% abaixo da 1ª série) em vez de razão de cobertura. CRI V e CRI VI: o campo IndiceSubordinacaoDataBase do informe da Vert vem preenchido com o peso de cada série na emissão, não com a razão de cobertura, então o nível foi calculado a partir dos saldos do próprio informe. A PDD zerada do CRI V é o que consta do informe de 08/2026 e aparenta ser campo não preenchido. Atraso acima de 90 dias nas emissões da Vert aparece zerado porque as faixas da Vert medem parcelas vencidas, não saldo de arrasto.</t>
        </is>
      </c>
    </row>
  </sheetData>
  <mergeCells count="2">
    <mergeCell ref="A2:H2"/>
    <mergeCell ref="A83:H8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24" customWidth="1" min="3" max="3"/>
    <col width="11" customWidth="1" min="4" max="4"/>
    <col width="11" customWidth="1" min="5" max="5"/>
    <col width="20" customWidth="1" min="6" max="6"/>
    <col width="13" customWidth="1" min="7" max="7"/>
    <col width="13" customWidth="1" min="8" max="8"/>
    <col width="15" customWidth="1" min="9" max="9"/>
    <col width="11" customWidth="1" min="10" max="10"/>
    <col width="14" customWidth="1" min="11" max="11"/>
    <col width="14" customWidth="1" min="12" max="12"/>
  </cols>
  <sheetData>
    <row r="1">
      <c r="A1" s="22" t="inlineStr">
        <is>
          <t>Séries por emissão — valores integralizados</t>
        </is>
      </c>
    </row>
    <row r="2">
      <c r="A2" s="2" t="inlineStr">
        <is>
          <t>Valores em R$ milhões, em azul as entradas. Custo a.a. converte as séries pós-fixadas ao CDI da célula B3.</t>
        </is>
      </c>
    </row>
    <row r="3">
      <c r="A3" s="23" t="inlineStr">
        <is>
          <t>CDI de referência (% a.a.)</t>
        </is>
      </c>
      <c r="B3" s="24" t="n">
        <v>13.65</v>
      </c>
    </row>
    <row r="5" ht="24" customHeight="1">
      <c r="A5" s="25" t="inlineStr">
        <is>
          <t>Emissão</t>
        </is>
      </c>
      <c r="B5" s="25" t="inlineStr">
        <is>
          <t>Série</t>
        </is>
      </c>
      <c r="C5" s="25" t="inlineStr">
        <is>
          <t>Camada</t>
        </is>
      </c>
      <c r="D5" s="25" t="inlineStr">
        <is>
          <t>R$ mm</t>
        </is>
      </c>
      <c r="E5" s="25" t="inlineStr">
        <is>
          <t>% do total</t>
        </is>
      </c>
      <c r="F5" s="25" t="inlineStr">
        <is>
          <t>Remuneração</t>
        </is>
      </c>
      <c r="G5" s="25" t="inlineStr">
        <is>
          <t>Custo a.a. (%)</t>
        </is>
      </c>
      <c r="H5" s="25" t="inlineStr">
        <is>
          <t>Vencimento</t>
        </is>
      </c>
      <c r="I5" s="25" t="inlineStr">
        <is>
          <t>ISIN</t>
        </is>
      </c>
      <c r="J5" s="25" t="inlineStr">
        <is>
          <t>Colocação</t>
        </is>
      </c>
      <c r="K5" s="26" t="inlineStr">
        <is>
          <t>aux: R$ x custo</t>
        </is>
      </c>
      <c r="L5" s="26" t="inlineStr">
        <is>
          <t>aux: R$ público</t>
        </is>
      </c>
    </row>
    <row r="6">
      <c r="A6" s="27" t="inlineStr">
        <is>
          <t>CRI I</t>
        </is>
      </c>
      <c r="B6" s="28" t="inlineStr">
        <is>
          <t>1ª</t>
        </is>
      </c>
      <c r="C6" s="28" t="inlineStr">
        <is>
          <t>Super Sênior</t>
        </is>
      </c>
      <c r="D6" s="29" t="n">
        <v>360</v>
      </c>
      <c r="E6" s="30">
        <f>D6/SUM($D$6:$D$10)</f>
        <v>0.6</v>
      </c>
      <c r="F6" s="28" t="inlineStr">
        <is>
          <t>Pré 11,51%</t>
        </is>
      </c>
      <c r="G6" s="31" t="n">
        <v>11.51</v>
      </c>
      <c r="H6" s="28" t="inlineStr">
        <is>
          <t>–</t>
        </is>
      </c>
      <c r="I6" s="28" t="inlineStr">
        <is>
          <t>BRKNSTCRI000</t>
        </is>
      </c>
      <c r="J6" s="28" t="inlineStr">
        <is>
          <t>Pública</t>
        </is>
      </c>
      <c r="K6" s="32">
        <f>IF($J6="Pública",IFERROR($D6*$G6,0),0)</f>
        <v>4143.6</v>
      </c>
      <c r="L6" s="33">
        <f>IF(AND($J6="Pública",ISNUMBER($G6)),$D6,0)</f>
        <v>360.0</v>
      </c>
    </row>
    <row r="7">
      <c r="A7" s="27" t="inlineStr">
        <is>
          <t>CRI I</t>
        </is>
      </c>
      <c r="B7" s="28" t="inlineStr">
        <is>
          <t>2ª</t>
        </is>
      </c>
      <c r="C7" s="28" t="inlineStr">
        <is>
          <t>Sênior</t>
        </is>
      </c>
      <c r="D7" s="29" t="n">
        <v>90</v>
      </c>
      <c r="E7" s="30">
        <f>D7/SUM($D$6:$D$10)</f>
        <v>0.15</v>
      </c>
      <c r="F7" s="28" t="inlineStr">
        <is>
          <t>Pré 12,74%</t>
        </is>
      </c>
      <c r="G7" s="31" t="n">
        <v>12.74</v>
      </c>
      <c r="H7" s="28" t="inlineStr">
        <is>
          <t>–</t>
        </is>
      </c>
      <c r="I7" s="28" t="inlineStr">
        <is>
          <t>BRKNSTCRI018</t>
        </is>
      </c>
      <c r="J7" s="28" t="inlineStr">
        <is>
          <t>Pública</t>
        </is>
      </c>
      <c r="K7" s="32">
        <f>IF($J7="Pública",IFERROR($D7*$G7,0),0)</f>
        <v>1146.6</v>
      </c>
      <c r="L7" s="33">
        <f>IF(AND($J7="Pública",ISNUMBER($G7)),$D7,0)</f>
        <v>90.0</v>
      </c>
    </row>
    <row r="8">
      <c r="A8" s="27" t="inlineStr">
        <is>
          <t>CRI I</t>
        </is>
      </c>
      <c r="B8" s="28" t="inlineStr">
        <is>
          <t>3ª</t>
        </is>
      </c>
      <c r="C8" s="28" t="inlineStr">
        <is>
          <t>Mezanino</t>
        </is>
      </c>
      <c r="D8" s="29" t="n">
        <v>108</v>
      </c>
      <c r="E8" s="30">
        <f>D8/SUM($D$6:$D$10)</f>
        <v>0.18</v>
      </c>
      <c r="F8" s="28" t="inlineStr">
        <is>
          <t>Pré 16,48%</t>
        </is>
      </c>
      <c r="G8" s="31" t="n">
        <v>16.48</v>
      </c>
      <c r="H8" s="28" t="inlineStr">
        <is>
          <t>–</t>
        </is>
      </c>
      <c r="I8" s="28" t="inlineStr">
        <is>
          <t>BRKNSTCRI026</t>
        </is>
      </c>
      <c r="J8" s="28" t="inlineStr">
        <is>
          <t>Pública</t>
        </is>
      </c>
      <c r="K8" s="32">
        <f>IF($J8="Pública",IFERROR($D8*$G8,0),0)</f>
        <v>1779.84</v>
      </c>
      <c r="L8" s="33">
        <f>IF(AND($J8="Pública",ISNUMBER($G8)),$D8,0)</f>
        <v>108.0</v>
      </c>
    </row>
    <row r="9">
      <c r="A9" s="27" t="inlineStr">
        <is>
          <t>CRI I</t>
        </is>
      </c>
      <c r="B9" s="28" t="inlineStr">
        <is>
          <t>4ª</t>
        </is>
      </c>
      <c r="C9" s="28" t="inlineStr">
        <is>
          <t>Subordinado</t>
        </is>
      </c>
      <c r="D9" s="29" t="n">
        <v>30</v>
      </c>
      <c r="E9" s="30">
        <f>D9/SUM($D$6:$D$10)</f>
        <v>0.05</v>
      </c>
      <c r="F9" s="28" t="inlineStr">
        <is>
          <t>Pré 20,95%</t>
        </is>
      </c>
      <c r="G9" s="31" t="n">
        <v>20.95</v>
      </c>
      <c r="H9" s="28" t="inlineStr">
        <is>
          <t>–</t>
        </is>
      </c>
      <c r="I9" s="28" t="inlineStr">
        <is>
          <t>BRKNSTCRI034</t>
        </is>
      </c>
      <c r="J9" s="28" t="inlineStr">
        <is>
          <t>Pública</t>
        </is>
      </c>
      <c r="K9" s="32">
        <f>IF($J9="Pública",IFERROR($D9*$G9,0),0)</f>
        <v>628.5</v>
      </c>
      <c r="L9" s="33">
        <f>IF(AND($J9="Pública",ISNUMBER($G9)),$D9,0)</f>
        <v>30.0</v>
      </c>
    </row>
    <row r="10">
      <c r="A10" s="27" t="inlineStr">
        <is>
          <t>CRI I</t>
        </is>
      </c>
      <c r="B10" s="28" t="inlineStr">
        <is>
          <t>5ª</t>
        </is>
      </c>
      <c r="C10" s="28" t="inlineStr">
        <is>
          <t>Subordinado Jr (privada)</t>
        </is>
      </c>
      <c r="D10" s="29" t="n">
        <v>12</v>
      </c>
      <c r="E10" s="30">
        <f>D10/SUM($D$6:$D$10)</f>
        <v>0.02</v>
      </c>
      <c r="F10" s="28" t="inlineStr">
        <is>
          <t>9,86% (informe)</t>
        </is>
      </c>
      <c r="G10" s="31" t="n">
        <v>9.859999999999999</v>
      </c>
      <c r="H10" s="28" t="inlineStr">
        <is>
          <t>–</t>
        </is>
      </c>
      <c r="I10" s="28" t="inlineStr">
        <is>
          <t>–</t>
        </is>
      </c>
      <c r="J10" s="28" t="inlineStr">
        <is>
          <t>Privada</t>
        </is>
      </c>
      <c r="K10" s="32">
        <f>IF($J10="Pública",IFERROR($D10*$G10,0),0)</f>
        <v>0.0</v>
      </c>
      <c r="L10" s="33">
        <f>IF(AND($J10="Pública",ISNUMBER($G10)),$D10,0)</f>
        <v>0.0</v>
      </c>
    </row>
    <row r="12">
      <c r="A12" s="27" t="inlineStr">
        <is>
          <t>CRI II</t>
        </is>
      </c>
      <c r="B12" s="28" t="inlineStr">
        <is>
          <t>1ª</t>
        </is>
      </c>
      <c r="C12" s="28" t="inlineStr">
        <is>
          <t>Super Sênior</t>
        </is>
      </c>
      <c r="D12" s="29" t="n">
        <v>487.5</v>
      </c>
      <c r="E12" s="30">
        <f>D12/SUM($D$12:$D$16)</f>
        <v>0.65</v>
      </c>
      <c r="F12" s="28" t="inlineStr">
        <is>
          <t>Pré 13,1926%</t>
        </is>
      </c>
      <c r="G12" s="31" t="n">
        <v>13.1926</v>
      </c>
      <c r="H12" s="28" t="inlineStr">
        <is>
          <t>15/01/2031</t>
        </is>
      </c>
      <c r="I12" s="28" t="inlineStr">
        <is>
          <t>BRKNSTCRI059</t>
        </is>
      </c>
      <c r="J12" s="28" t="inlineStr">
        <is>
          <t>Pública</t>
        </is>
      </c>
      <c r="K12" s="32">
        <f>IF($J12="Pública",IFERROR($D12*$G12,0),0)</f>
        <v>6431.3925</v>
      </c>
      <c r="L12" s="33">
        <f>IF(AND($J12="Pública",ISNUMBER($G12)),$D12,0)</f>
        <v>487.5</v>
      </c>
    </row>
    <row r="13">
      <c r="A13" s="27" t="inlineStr">
        <is>
          <t>CRI II</t>
        </is>
      </c>
      <c r="B13" s="28" t="inlineStr">
        <is>
          <t>2ª</t>
        </is>
      </c>
      <c r="C13" s="28" t="inlineStr">
        <is>
          <t>Sênior</t>
        </is>
      </c>
      <c r="D13" s="29" t="n">
        <v>135</v>
      </c>
      <c r="E13" s="30">
        <f>D13/SUM($D$12:$D$16)</f>
        <v>0.18</v>
      </c>
      <c r="F13" s="28" t="inlineStr">
        <is>
          <t>Pré 14,5663%</t>
        </is>
      </c>
      <c r="G13" s="31" t="n">
        <v>14.5663</v>
      </c>
      <c r="H13" s="28" t="inlineStr">
        <is>
          <t>15/01/2031</t>
        </is>
      </c>
      <c r="I13" s="28" t="inlineStr">
        <is>
          <t>BRKNSTCRI067</t>
        </is>
      </c>
      <c r="J13" s="28" t="inlineStr">
        <is>
          <t>Pública</t>
        </is>
      </c>
      <c r="K13" s="32">
        <f>IF($J13="Pública",IFERROR($D13*$G13,0),0)</f>
        <v>1966.4505</v>
      </c>
      <c r="L13" s="33">
        <f>IF(AND($J13="Pública",ISNUMBER($G13)),$D13,0)</f>
        <v>135.0</v>
      </c>
    </row>
    <row r="14">
      <c r="A14" s="27" t="inlineStr">
        <is>
          <t>CRI II</t>
        </is>
      </c>
      <c r="B14" s="28" t="inlineStr">
        <is>
          <t>3ª</t>
        </is>
      </c>
      <c r="C14" s="28" t="inlineStr">
        <is>
          <t>Mezanino</t>
        </is>
      </c>
      <c r="D14" s="29" t="n">
        <v>75</v>
      </c>
      <c r="E14" s="30">
        <f>D14/SUM($D$12:$D$16)</f>
        <v>0.1</v>
      </c>
      <c r="F14" s="28" t="inlineStr">
        <is>
          <t>CDI + 6,00%</t>
        </is>
      </c>
      <c r="G14" s="31">
        <f>$B$3+6.00</f>
        <v>19.65</v>
      </c>
      <c r="H14" s="28" t="inlineStr">
        <is>
          <t>15/01/2034</t>
        </is>
      </c>
      <c r="I14" s="28" t="inlineStr">
        <is>
          <t>BRKNSTCRI075</t>
        </is>
      </c>
      <c r="J14" s="28" t="inlineStr">
        <is>
          <t>Pública</t>
        </is>
      </c>
      <c r="K14" s="32">
        <f>IF($J14="Pública",IFERROR($D14*$G14,0),0)</f>
        <v>1473.75</v>
      </c>
      <c r="L14" s="33">
        <f>IF(AND($J14="Pública",ISNUMBER($G14)),$D14,0)</f>
        <v>75.0</v>
      </c>
    </row>
    <row r="15">
      <c r="A15" s="27" t="inlineStr">
        <is>
          <t>CRI II</t>
        </is>
      </c>
      <c r="B15" s="28" t="inlineStr">
        <is>
          <t>4ª</t>
        </is>
      </c>
      <c r="C15" s="28" t="inlineStr">
        <is>
          <t>Subordinado</t>
        </is>
      </c>
      <c r="D15" s="29" t="n">
        <v>30</v>
      </c>
      <c r="E15" s="30">
        <f>D15/SUM($D$12:$D$16)</f>
        <v>0.04</v>
      </c>
      <c r="F15" s="28" t="inlineStr">
        <is>
          <t>CDI + 10,00%</t>
        </is>
      </c>
      <c r="G15" s="31">
        <f>$B$3+10.00</f>
        <v>23.65</v>
      </c>
      <c r="H15" s="28" t="inlineStr">
        <is>
          <t>15/01/2034</t>
        </is>
      </c>
      <c r="I15" s="28" t="inlineStr">
        <is>
          <t>BRKNSTCRI083</t>
        </is>
      </c>
      <c r="J15" s="28" t="inlineStr">
        <is>
          <t>Pública</t>
        </is>
      </c>
      <c r="K15" s="32">
        <f>IF($J15="Pública",IFERROR($D15*$G15,0),0)</f>
        <v>709.5</v>
      </c>
      <c r="L15" s="33">
        <f>IF(AND($J15="Pública",ISNUMBER($G15)),$D15,0)</f>
        <v>30.0</v>
      </c>
    </row>
    <row r="16">
      <c r="A16" s="27" t="inlineStr">
        <is>
          <t>CRI II</t>
        </is>
      </c>
      <c r="B16" s="28" t="inlineStr">
        <is>
          <t>5ª</t>
        </is>
      </c>
      <c r="C16" s="28" t="inlineStr">
        <is>
          <t>Subordinado Jr (privada)</t>
        </is>
      </c>
      <c r="D16" s="29" t="n">
        <v>22.5</v>
      </c>
      <c r="E16" s="30">
        <f>D16/SUM($D$12:$D$16)</f>
        <v>0.03</v>
      </c>
      <c r="F16" s="28" t="inlineStr">
        <is>
          <t>n.d.</t>
        </is>
      </c>
      <c r="G16" s="34" t="inlineStr">
        <is>
          <t>n.d.</t>
        </is>
      </c>
      <c r="H16" s="28" t="inlineStr">
        <is>
          <t>15/01/2036</t>
        </is>
      </c>
      <c r="I16" s="28" t="inlineStr">
        <is>
          <t>–</t>
        </is>
      </c>
      <c r="J16" s="28" t="inlineStr">
        <is>
          <t>Privada</t>
        </is>
      </c>
      <c r="K16" s="32">
        <f>IF($J16="Pública",IFERROR($D16*$G16,0),0)</f>
        <v>0.0</v>
      </c>
      <c r="L16" s="33">
        <f>IF(AND($J16="Pública",ISNUMBER($G16)),$D16,0)</f>
        <v>0.0</v>
      </c>
    </row>
    <row r="18">
      <c r="A18" s="27" t="inlineStr">
        <is>
          <t>CRI III</t>
        </is>
      </c>
      <c r="B18" s="28" t="inlineStr">
        <is>
          <t>1ª</t>
        </is>
      </c>
      <c r="C18" s="28" t="inlineStr">
        <is>
          <t>Super Sênior A</t>
        </is>
      </c>
      <c r="D18" s="29" t="n">
        <v>367.5</v>
      </c>
      <c r="E18" s="30">
        <f>D18/SUM($D$18:$D$23)</f>
        <v>0.49</v>
      </c>
      <c r="F18" s="28" t="inlineStr">
        <is>
          <t>Pré 15,50%</t>
        </is>
      </c>
      <c r="G18" s="31" t="n">
        <v>15.5</v>
      </c>
      <c r="H18" s="28" t="inlineStr">
        <is>
          <t>–</t>
        </is>
      </c>
      <c r="I18" s="28" t="inlineStr">
        <is>
          <t>BRKNSTCRI0A4</t>
        </is>
      </c>
      <c r="J18" s="28" t="inlineStr">
        <is>
          <t>Pública</t>
        </is>
      </c>
      <c r="K18" s="32">
        <f>IF($J18="Pública",IFERROR($D18*$G18,0),0)</f>
        <v>5696.25</v>
      </c>
      <c r="L18" s="33">
        <f>IF(AND($J18="Pública",ISNUMBER($G18)),$D18,0)</f>
        <v>367.5</v>
      </c>
    </row>
    <row r="19">
      <c r="A19" s="27" t="inlineStr">
        <is>
          <t>CRI III</t>
        </is>
      </c>
      <c r="B19" s="28" t="inlineStr">
        <is>
          <t>2ª</t>
        </is>
      </c>
      <c r="C19" s="28" t="inlineStr">
        <is>
          <t>Super Sênior B</t>
        </is>
      </c>
      <c r="D19" s="29" t="n">
        <v>120</v>
      </c>
      <c r="E19" s="30">
        <f>D19/SUM($D$18:$D$23)</f>
        <v>0.16</v>
      </c>
      <c r="F19" s="28" t="inlineStr">
        <is>
          <t>Pré 15,50%</t>
        </is>
      </c>
      <c r="G19" s="31" t="n">
        <v>15.5</v>
      </c>
      <c r="H19" s="28" t="inlineStr">
        <is>
          <t>–</t>
        </is>
      </c>
      <c r="I19" s="28" t="inlineStr">
        <is>
          <t>BRKNSTCRI0B2</t>
        </is>
      </c>
      <c r="J19" s="28" t="inlineStr">
        <is>
          <t>Pública</t>
        </is>
      </c>
      <c r="K19" s="32">
        <f>IF($J19="Pública",IFERROR($D19*$G19,0),0)</f>
        <v>1860.0</v>
      </c>
      <c r="L19" s="33">
        <f>IF(AND($J19="Pública",ISNUMBER($G19)),$D19,0)</f>
        <v>120.0</v>
      </c>
    </row>
    <row r="20">
      <c r="A20" s="27" t="inlineStr">
        <is>
          <t>CRI III</t>
        </is>
      </c>
      <c r="B20" s="28" t="inlineStr">
        <is>
          <t>3ª</t>
        </is>
      </c>
      <c r="C20" s="28" t="inlineStr">
        <is>
          <t>Sênior</t>
        </is>
      </c>
      <c r="D20" s="29" t="n">
        <v>135</v>
      </c>
      <c r="E20" s="30">
        <f>D20/SUM($D$18:$D$23)</f>
        <v>0.18</v>
      </c>
      <c r="F20" s="28" t="inlineStr">
        <is>
          <t>Pré 16,50%</t>
        </is>
      </c>
      <c r="G20" s="31" t="n">
        <v>16.5</v>
      </c>
      <c r="H20" s="28" t="inlineStr">
        <is>
          <t>–</t>
        </is>
      </c>
      <c r="I20" s="28" t="inlineStr">
        <is>
          <t>BRKNSTCRI0C0</t>
        </is>
      </c>
      <c r="J20" s="28" t="inlineStr">
        <is>
          <t>Pública</t>
        </is>
      </c>
      <c r="K20" s="32">
        <f>IF($J20="Pública",IFERROR($D20*$G20,0),0)</f>
        <v>2227.5</v>
      </c>
      <c r="L20" s="33">
        <f>IF(AND($J20="Pública",ISNUMBER($G20)),$D20,0)</f>
        <v>135.0</v>
      </c>
    </row>
    <row r="21">
      <c r="A21" s="27" t="inlineStr">
        <is>
          <t>CRI III</t>
        </is>
      </c>
      <c r="B21" s="28" t="inlineStr">
        <is>
          <t>4ª</t>
        </is>
      </c>
      <c r="C21" s="28" t="inlineStr">
        <is>
          <t>Mezanino</t>
        </is>
      </c>
      <c r="D21" s="29" t="n">
        <v>75</v>
      </c>
      <c r="E21" s="30">
        <f>D21/SUM($D$18:$D$23)</f>
        <v>0.1</v>
      </c>
      <c r="F21" s="28" t="inlineStr">
        <is>
          <t>CDI + 5,75%</t>
        </is>
      </c>
      <c r="G21" s="31">
        <f>$B$3+5.75</f>
        <v>19.4</v>
      </c>
      <c r="H21" s="28" t="inlineStr">
        <is>
          <t>–</t>
        </is>
      </c>
      <c r="I21" s="28" t="inlineStr">
        <is>
          <t>BRKNSTCRI0D8</t>
        </is>
      </c>
      <c r="J21" s="28" t="inlineStr">
        <is>
          <t>Pública</t>
        </is>
      </c>
      <c r="K21" s="32">
        <f>IF($J21="Pública",IFERROR($D21*$G21,0),0)</f>
        <v>1455.0</v>
      </c>
      <c r="L21" s="33">
        <f>IF(AND($J21="Pública",ISNUMBER($G21)),$D21,0)</f>
        <v>75.0</v>
      </c>
    </row>
    <row r="22">
      <c r="A22" s="27" t="inlineStr">
        <is>
          <t>CRI III</t>
        </is>
      </c>
      <c r="B22" s="28" t="inlineStr">
        <is>
          <t>5ª</t>
        </is>
      </c>
      <c r="C22" s="28" t="inlineStr">
        <is>
          <t>Subordinado</t>
        </is>
      </c>
      <c r="D22" s="29" t="n">
        <v>30</v>
      </c>
      <c r="E22" s="30">
        <f>D22/SUM($D$18:$D$23)</f>
        <v>0.04</v>
      </c>
      <c r="F22" s="28" t="inlineStr">
        <is>
          <t>CDI + 10,00%</t>
        </is>
      </c>
      <c r="G22" s="31">
        <f>$B$3+10.00</f>
        <v>23.65</v>
      </c>
      <c r="H22" s="28" t="inlineStr">
        <is>
          <t>–</t>
        </is>
      </c>
      <c r="I22" s="28" t="inlineStr">
        <is>
          <t>BRKNSTCRI0E6</t>
        </is>
      </c>
      <c r="J22" s="28" t="inlineStr">
        <is>
          <t>Pública</t>
        </is>
      </c>
      <c r="K22" s="32">
        <f>IF($J22="Pública",IFERROR($D22*$G22,0),0)</f>
        <v>709.5</v>
      </c>
      <c r="L22" s="33">
        <f>IF(AND($J22="Pública",ISNUMBER($G22)),$D22,0)</f>
        <v>30.0</v>
      </c>
    </row>
    <row r="23">
      <c r="A23" s="27" t="inlineStr">
        <is>
          <t>CRI III</t>
        </is>
      </c>
      <c r="B23" s="28" t="inlineStr">
        <is>
          <t>6ª</t>
        </is>
      </c>
      <c r="C23" s="28" t="inlineStr">
        <is>
          <t>Subordinado Jr (privada)</t>
        </is>
      </c>
      <c r="D23" s="29" t="n">
        <v>22.5</v>
      </c>
      <c r="E23" s="30">
        <f>D23/SUM($D$18:$D$23)</f>
        <v>0.03</v>
      </c>
      <c r="F23" s="28" t="inlineStr">
        <is>
          <t>n.d.</t>
        </is>
      </c>
      <c r="G23" s="34" t="inlineStr">
        <is>
          <t>n.d.</t>
        </is>
      </c>
      <c r="H23" s="28" t="inlineStr">
        <is>
          <t>–</t>
        </is>
      </c>
      <c r="I23" s="28" t="inlineStr">
        <is>
          <t>–</t>
        </is>
      </c>
      <c r="J23" s="28" t="inlineStr">
        <is>
          <t>Privada</t>
        </is>
      </c>
      <c r="K23" s="32">
        <f>IF($J23="Pública",IFERROR($D23*$G23,0),0)</f>
        <v>0.0</v>
      </c>
      <c r="L23" s="33">
        <f>IF(AND($J23="Pública",ISNUMBER($G23)),$D23,0)</f>
        <v>0.0</v>
      </c>
    </row>
    <row r="25">
      <c r="A25" s="27" t="inlineStr">
        <is>
          <t>CRI IV</t>
        </is>
      </c>
      <c r="B25" s="28" t="inlineStr">
        <is>
          <t>1ª</t>
        </is>
      </c>
      <c r="C25" s="28" t="inlineStr">
        <is>
          <t>Super Sênior A</t>
        </is>
      </c>
      <c r="D25" s="29" t="n">
        <v>195</v>
      </c>
      <c r="E25" s="30">
        <f>D25/SUM($D$25:$D$31)</f>
        <v>0.4333333333</v>
      </c>
      <c r="F25" s="28" t="inlineStr">
        <is>
          <t>Pré 14,2216%</t>
        </is>
      </c>
      <c r="G25" s="31" t="n">
        <v>14.2216</v>
      </c>
      <c r="H25" s="28" t="inlineStr">
        <is>
          <t>20/09/2030</t>
        </is>
      </c>
      <c r="I25" s="28" t="inlineStr">
        <is>
          <t>BRKNSTCRI0G1</t>
        </is>
      </c>
      <c r="J25" s="28" t="inlineStr">
        <is>
          <t>Pública</t>
        </is>
      </c>
      <c r="K25" s="32">
        <f>IF($J25="Pública",IFERROR($D25*$G25,0),0)</f>
        <v>2773.212</v>
      </c>
      <c r="L25" s="33">
        <f>IF(AND($J25="Pública",ISNUMBER($G25)),$D25,0)</f>
        <v>195.0</v>
      </c>
    </row>
    <row r="26">
      <c r="A26" s="27" t="inlineStr">
        <is>
          <t>CRI IV</t>
        </is>
      </c>
      <c r="B26" s="28" t="inlineStr">
        <is>
          <t>2ª</t>
        </is>
      </c>
      <c r="C26" s="28" t="inlineStr">
        <is>
          <t>Super Sênior B</t>
        </is>
      </c>
      <c r="D26" s="29" t="n">
        <v>97.5</v>
      </c>
      <c r="E26" s="30">
        <f>D26/SUM($D$25:$D$31)</f>
        <v>0.2166666667</v>
      </c>
      <c r="F26" s="28" t="inlineStr">
        <is>
          <t>Pré 14,2216%</t>
        </is>
      </c>
      <c r="G26" s="31" t="n">
        <v>14.2216</v>
      </c>
      <c r="H26" s="28" t="inlineStr">
        <is>
          <t>20/09/2030</t>
        </is>
      </c>
      <c r="I26" s="28" t="inlineStr">
        <is>
          <t>BRKNSTCRI0K3</t>
        </is>
      </c>
      <c r="J26" s="28" t="inlineStr">
        <is>
          <t>Pública</t>
        </is>
      </c>
      <c r="K26" s="32">
        <f>IF($J26="Pública",IFERROR($D26*$G26,0),0)</f>
        <v>1386.606</v>
      </c>
      <c r="L26" s="33">
        <f>IF(AND($J26="Pública",ISNUMBER($G26)),$D26,0)</f>
        <v>97.5</v>
      </c>
    </row>
    <row r="27">
      <c r="A27" s="27" t="inlineStr">
        <is>
          <t>CRI IV</t>
        </is>
      </c>
      <c r="B27" s="28" t="inlineStr">
        <is>
          <t>3ª</t>
        </is>
      </c>
      <c r="C27" s="28" t="inlineStr">
        <is>
          <t>Sênior A</t>
        </is>
      </c>
      <c r="D27" s="29" t="n">
        <v>54</v>
      </c>
      <c r="E27" s="30">
        <f>D27/SUM($D$25:$D$31)</f>
        <v>0.12</v>
      </c>
      <c r="F27" s="28" t="inlineStr">
        <is>
          <t>Pré 15,3565%</t>
        </is>
      </c>
      <c r="G27" s="31" t="n">
        <v>15.3565</v>
      </c>
      <c r="H27" s="28" t="inlineStr">
        <is>
          <t>22/09/2033</t>
        </is>
      </c>
      <c r="I27" s="28" t="inlineStr">
        <is>
          <t>BRKNSTCRI0H9</t>
        </is>
      </c>
      <c r="J27" s="28" t="inlineStr">
        <is>
          <t>Pública</t>
        </is>
      </c>
      <c r="K27" s="32">
        <f>IF($J27="Pública",IFERROR($D27*$G27,0),0)</f>
        <v>829.251</v>
      </c>
      <c r="L27" s="33">
        <f>IF(AND($J27="Pública",ISNUMBER($G27)),$D27,0)</f>
        <v>54.0</v>
      </c>
    </row>
    <row r="28">
      <c r="A28" s="27" t="inlineStr">
        <is>
          <t>CRI IV</t>
        </is>
      </c>
      <c r="B28" s="28" t="inlineStr">
        <is>
          <t>4ª</t>
        </is>
      </c>
      <c r="C28" s="28" t="inlineStr">
        <is>
          <t>Sênior B</t>
        </is>
      </c>
      <c r="D28" s="29" t="n">
        <v>27</v>
      </c>
      <c r="E28" s="30">
        <f>D28/SUM($D$25:$D$31)</f>
        <v>0.06</v>
      </c>
      <c r="F28" s="28" t="inlineStr">
        <is>
          <t>Pré 15,3565%</t>
        </is>
      </c>
      <c r="G28" s="31" t="n">
        <v>15.3565</v>
      </c>
      <c r="H28" s="28" t="inlineStr">
        <is>
          <t>22/09/2033</t>
        </is>
      </c>
      <c r="I28" s="28" t="inlineStr">
        <is>
          <t>BRKNSTCRI0M9</t>
        </is>
      </c>
      <c r="J28" s="28" t="inlineStr">
        <is>
          <t>Pública</t>
        </is>
      </c>
      <c r="K28" s="32">
        <f>IF($J28="Pública",IFERROR($D28*$G28,0),0)</f>
        <v>414.6255</v>
      </c>
      <c r="L28" s="33">
        <f>IF(AND($J28="Pública",ISNUMBER($G28)),$D28,0)</f>
        <v>27.0</v>
      </c>
    </row>
    <row r="29">
      <c r="A29" s="27" t="inlineStr">
        <is>
          <t>CRI IV</t>
        </is>
      </c>
      <c r="B29" s="28" t="inlineStr">
        <is>
          <t>5ª</t>
        </is>
      </c>
      <c r="C29" s="28" t="inlineStr">
        <is>
          <t>Mezanino</t>
        </is>
      </c>
      <c r="D29" s="29" t="n">
        <v>45</v>
      </c>
      <c r="E29" s="30">
        <f>D29/SUM($D$25:$D$31)</f>
        <v>0.1</v>
      </c>
      <c r="F29" s="28" t="inlineStr">
        <is>
          <t>CDI + 5,50%</t>
        </is>
      </c>
      <c r="G29" s="31">
        <f>$B$3+5.50</f>
        <v>19.15</v>
      </c>
      <c r="H29" s="28" t="inlineStr">
        <is>
          <t>24/09/2035</t>
        </is>
      </c>
      <c r="I29" s="28" t="inlineStr">
        <is>
          <t>BRKNSTCRI0I7</t>
        </is>
      </c>
      <c r="J29" s="28" t="inlineStr">
        <is>
          <t>Pública</t>
        </is>
      </c>
      <c r="K29" s="32">
        <f>IF($J29="Pública",IFERROR($D29*$G29,0),0)</f>
        <v>861.75</v>
      </c>
      <c r="L29" s="33">
        <f>IF(AND($J29="Pública",ISNUMBER($G29)),$D29,0)</f>
        <v>45.0</v>
      </c>
    </row>
    <row r="30">
      <c r="A30" s="27" t="inlineStr">
        <is>
          <t>CRI IV</t>
        </is>
      </c>
      <c r="B30" s="28" t="inlineStr">
        <is>
          <t>6ª</t>
        </is>
      </c>
      <c r="C30" s="28" t="inlineStr">
        <is>
          <t>Subordinado</t>
        </is>
      </c>
      <c r="D30" s="29" t="n">
        <v>18</v>
      </c>
      <c r="E30" s="30">
        <f>D30/SUM($D$25:$D$31)</f>
        <v>0.04</v>
      </c>
      <c r="F30" s="28" t="inlineStr">
        <is>
          <t>CDI + 10,00%</t>
        </is>
      </c>
      <c r="G30" s="31">
        <f>$B$3+10.00</f>
        <v>23.65</v>
      </c>
      <c r="H30" s="28" t="inlineStr">
        <is>
          <t>24/09/2035</t>
        </is>
      </c>
      <c r="I30" s="28" t="inlineStr">
        <is>
          <t>BRKNSTCRI0J5</t>
        </is>
      </c>
      <c r="J30" s="28" t="inlineStr">
        <is>
          <t>Pública</t>
        </is>
      </c>
      <c r="K30" s="32">
        <f>IF($J30="Pública",IFERROR($D30*$G30,0),0)</f>
        <v>425.7</v>
      </c>
      <c r="L30" s="33">
        <f>IF(AND($J30="Pública",ISNUMBER($G30)),$D30,0)</f>
        <v>18.0</v>
      </c>
    </row>
    <row r="31">
      <c r="A31" s="27" t="inlineStr">
        <is>
          <t>CRI IV</t>
        </is>
      </c>
      <c r="B31" s="28" t="inlineStr">
        <is>
          <t>7ª</t>
        </is>
      </c>
      <c r="C31" s="28" t="inlineStr">
        <is>
          <t>Subordinado Jr (privada)</t>
        </is>
      </c>
      <c r="D31" s="29" t="n">
        <v>13.5</v>
      </c>
      <c r="E31" s="30">
        <f>D31/SUM($D$25:$D$31)</f>
        <v>0.03</v>
      </c>
      <c r="F31" s="28" t="inlineStr">
        <is>
          <t>CDI + 13,2480%</t>
        </is>
      </c>
      <c r="G31" s="31">
        <f>$B$3+13.2480</f>
        <v>26.898</v>
      </c>
      <c r="H31" s="28" t="inlineStr">
        <is>
          <t>22/09/2037</t>
        </is>
      </c>
      <c r="I31" s="28" t="inlineStr">
        <is>
          <t>BRKNSTCRI0N7</t>
        </is>
      </c>
      <c r="J31" s="28" t="inlineStr">
        <is>
          <t>Privada</t>
        </is>
      </c>
      <c r="K31" s="32">
        <f>IF($J31="Pública",IFERROR($D31*$G31,0),0)</f>
        <v>0.0</v>
      </c>
      <c r="L31" s="33">
        <f>IF(AND($J31="Pública",ISNUMBER($G31)),$D31,0)</f>
        <v>0.0</v>
      </c>
    </row>
    <row r="33">
      <c r="A33" s="27" t="inlineStr">
        <is>
          <t>CRI V</t>
        </is>
      </c>
      <c r="B33" s="28" t="inlineStr">
        <is>
          <t>1ª</t>
        </is>
      </c>
      <c r="C33" s="28" t="inlineStr">
        <is>
          <t>Super Sênior A</t>
        </is>
      </c>
      <c r="D33" s="29" t="n">
        <v>103.87</v>
      </c>
      <c r="E33" s="30">
        <f>D33/SUM($D$33:$D$38)</f>
        <v>0.2207187011</v>
      </c>
      <c r="F33" s="28" t="inlineStr">
        <is>
          <t>Pré 14,8064%</t>
        </is>
      </c>
      <c r="G33" s="31" t="n">
        <v>14.8064</v>
      </c>
      <c r="H33" s="28" t="inlineStr">
        <is>
          <t>20/05/2031</t>
        </is>
      </c>
      <c r="I33" s="28" t="inlineStr">
        <is>
          <t>BRVERTCRIDZ7</t>
        </is>
      </c>
      <c r="J33" s="28" t="inlineStr">
        <is>
          <t>Pública</t>
        </is>
      </c>
      <c r="K33" s="32">
        <f>IF($J33="Pública",IFERROR($D33*$G33,0),0)</f>
        <v>1537.940768</v>
      </c>
      <c r="L33" s="33">
        <f>IF(AND($J33="Pública",ISNUMBER($G33)),$D33,0)</f>
        <v>103.87</v>
      </c>
    </row>
    <row r="34">
      <c r="A34" s="27" t="inlineStr">
        <is>
          <t>CRI V</t>
        </is>
      </c>
      <c r="B34" s="28" t="inlineStr">
        <is>
          <t>2ª</t>
        </is>
      </c>
      <c r="C34" s="28" t="inlineStr">
        <is>
          <t>Super Sênior B</t>
        </is>
      </c>
      <c r="D34" s="29" t="n">
        <v>225.55</v>
      </c>
      <c r="E34" s="30">
        <f>D34/SUM($D$33:$D$38)</f>
        <v>0.4792827864</v>
      </c>
      <c r="F34" s="28" t="inlineStr">
        <is>
          <t>104% do CDI</t>
        </is>
      </c>
      <c r="G34" s="31">
        <f>$B$3*1.04</f>
        <v>14.196</v>
      </c>
      <c r="H34" s="28" t="inlineStr">
        <is>
          <t>20/05/2031</t>
        </is>
      </c>
      <c r="I34" s="28" t="inlineStr">
        <is>
          <t>BRVERTCRIE08</t>
        </is>
      </c>
      <c r="J34" s="28" t="inlineStr">
        <is>
          <t>Pública</t>
        </is>
      </c>
      <c r="K34" s="32">
        <f>IF($J34="Pública",IFERROR($D34*$G34,0),0)</f>
        <v>3201.9078</v>
      </c>
      <c r="L34" s="33">
        <f>IF(AND($J34="Pública",ISNUMBER($G34)),$D34,0)</f>
        <v>225.55</v>
      </c>
    </row>
    <row r="35">
      <c r="A35" s="27" t="inlineStr">
        <is>
          <t>CRI V</t>
        </is>
      </c>
      <c r="B35" s="28" t="inlineStr">
        <is>
          <t>3ª</t>
        </is>
      </c>
      <c r="C35" s="28" t="inlineStr">
        <is>
          <t>Sênior</t>
        </is>
      </c>
      <c r="D35" s="29" t="n">
        <v>70.59</v>
      </c>
      <c r="E35" s="30">
        <f>D35/SUM($D$33:$D$38)</f>
        <v>0.1500003187</v>
      </c>
      <c r="F35" s="28" t="inlineStr">
        <is>
          <t>Pré 15,7760%</t>
        </is>
      </c>
      <c r="G35" s="31" t="n">
        <v>15.776</v>
      </c>
      <c r="H35" s="28" t="inlineStr">
        <is>
          <t>22/05/2034</t>
        </is>
      </c>
      <c r="I35" s="28" t="inlineStr">
        <is>
          <t>BRVERTCRIE16</t>
        </is>
      </c>
      <c r="J35" s="28" t="inlineStr">
        <is>
          <t>Pública</t>
        </is>
      </c>
      <c r="K35" s="32">
        <f>IF($J35="Pública",IFERROR($D35*$G35,0),0)</f>
        <v>1113.62784</v>
      </c>
      <c r="L35" s="33">
        <f>IF(AND($J35="Pública",ISNUMBER($G35)),$D35,0)</f>
        <v>70.59</v>
      </c>
    </row>
    <row r="36">
      <c r="A36" s="27" t="inlineStr">
        <is>
          <t>CRI V</t>
        </is>
      </c>
      <c r="B36" s="28" t="inlineStr">
        <is>
          <t>4ª</t>
        </is>
      </c>
      <c r="C36" s="28" t="inlineStr">
        <is>
          <t>Mezanino</t>
        </is>
      </c>
      <c r="D36" s="29" t="n">
        <v>37.647</v>
      </c>
      <c r="E36" s="30">
        <f>D36/SUM($D$33:$D$38)</f>
        <v>0.079998045</v>
      </c>
      <c r="F36" s="28" t="inlineStr">
        <is>
          <t>CDI + 5,50%</t>
        </is>
      </c>
      <c r="G36" s="31">
        <f>$B$3+5.50</f>
        <v>19.15</v>
      </c>
      <c r="H36" s="28" t="inlineStr">
        <is>
          <t>20/05/2036</t>
        </is>
      </c>
      <c r="I36" s="28" t="inlineStr">
        <is>
          <t>BRVERTCRIE24</t>
        </is>
      </c>
      <c r="J36" s="28" t="inlineStr">
        <is>
          <t>Pública</t>
        </is>
      </c>
      <c r="K36" s="32">
        <f>IF($J36="Pública",IFERROR($D36*$G36,0),0)</f>
        <v>720.94005</v>
      </c>
      <c r="L36" s="33">
        <f>IF(AND($J36="Pública",ISNUMBER($G36)),$D36,0)</f>
        <v>37.647</v>
      </c>
    </row>
    <row r="37">
      <c r="A37" s="27" t="inlineStr">
        <is>
          <t>CRI V</t>
        </is>
      </c>
      <c r="B37" s="28" t="inlineStr">
        <is>
          <t>5ª</t>
        </is>
      </c>
      <c r="C37" s="28" t="inlineStr">
        <is>
          <t>Subordinado</t>
        </is>
      </c>
      <c r="D37" s="29" t="n">
        <v>18.824</v>
      </c>
      <c r="E37" s="30">
        <f>D37/SUM($D$33:$D$38)</f>
        <v>0.040000085</v>
      </c>
      <c r="F37" s="28" t="inlineStr">
        <is>
          <t>CDI + 8,00%</t>
        </is>
      </c>
      <c r="G37" s="31">
        <f>$B$3+8.00</f>
        <v>21.65</v>
      </c>
      <c r="H37" s="28" t="inlineStr">
        <is>
          <t>20/05/2036</t>
        </is>
      </c>
      <c r="I37" s="28" t="inlineStr">
        <is>
          <t>BRVERTCRIE32</t>
        </is>
      </c>
      <c r="J37" s="28" t="inlineStr">
        <is>
          <t>Pública</t>
        </is>
      </c>
      <c r="K37" s="32">
        <f>IF($J37="Pública",IFERROR($D37*$G37,0),0)</f>
        <v>407.5396</v>
      </c>
      <c r="L37" s="33">
        <f>IF(AND($J37="Pública",ISNUMBER($G37)),$D37,0)</f>
        <v>18.824</v>
      </c>
    </row>
    <row r="38">
      <c r="A38" s="27" t="inlineStr">
        <is>
          <t>CRI V</t>
        </is>
      </c>
      <c r="B38" s="28" t="inlineStr">
        <is>
          <t>6ª</t>
        </is>
      </c>
      <c r="C38" s="28" t="inlineStr">
        <is>
          <t>Subordinado Jr (privada)</t>
        </is>
      </c>
      <c r="D38" s="29" t="n">
        <v>14.118</v>
      </c>
      <c r="E38" s="30">
        <f>D38/SUM($D$33:$D$38)</f>
        <v>0.0300000637</v>
      </c>
      <c r="F38" s="28" t="inlineStr">
        <is>
          <t>Pré 14,06%</t>
        </is>
      </c>
      <c r="G38" s="31" t="n">
        <v>14.06</v>
      </c>
      <c r="H38" s="28" t="inlineStr">
        <is>
          <t>–</t>
        </is>
      </c>
      <c r="I38" s="28" t="inlineStr">
        <is>
          <t>–</t>
        </is>
      </c>
      <c r="J38" s="28" t="inlineStr">
        <is>
          <t>Privada</t>
        </is>
      </c>
      <c r="K38" s="32">
        <f>IF($J38="Pública",IFERROR($D38*$G38,0),0)</f>
        <v>0.0</v>
      </c>
      <c r="L38" s="33">
        <f>IF(AND($J38="Pública",ISNUMBER($G38)),$D38,0)</f>
        <v>0.0</v>
      </c>
    </row>
    <row r="40">
      <c r="A40" s="27" t="inlineStr">
        <is>
          <t>CRI VI</t>
        </is>
      </c>
      <c r="B40" s="28" t="inlineStr">
        <is>
          <t>1ª</t>
        </is>
      </c>
      <c r="C40" s="28" t="inlineStr">
        <is>
          <t>Sênior A</t>
        </is>
      </c>
      <c r="D40" s="29" t="n">
        <v>100</v>
      </c>
      <c r="E40" s="30">
        <f>D40/SUM($D$40:$D$44)</f>
        <v>0.2222222222</v>
      </c>
      <c r="F40" s="28" t="inlineStr">
        <is>
          <t>CDI + 1,50%</t>
        </is>
      </c>
      <c r="G40" s="31">
        <f>$B$3+1.50</f>
        <v>15.15</v>
      </c>
      <c r="H40" s="28" t="inlineStr">
        <is>
          <t>20/05/2031</t>
        </is>
      </c>
      <c r="I40" s="28" t="inlineStr">
        <is>
          <t>BRVERTCRIEC4</t>
        </is>
      </c>
      <c r="J40" s="28" t="inlineStr">
        <is>
          <t>Pública</t>
        </is>
      </c>
      <c r="K40" s="32">
        <f>IF($J40="Pública",IFERROR($D40*$G40,0),0)</f>
        <v>1515.0</v>
      </c>
      <c r="L40" s="33">
        <f>IF(AND($J40="Pública",ISNUMBER($G40)),$D40,0)</f>
        <v>100.0</v>
      </c>
    </row>
    <row r="41">
      <c r="A41" s="27" t="inlineStr">
        <is>
          <t>CRI VI</t>
        </is>
      </c>
      <c r="B41" s="28" t="inlineStr">
        <is>
          <t>2ª</t>
        </is>
      </c>
      <c r="C41" s="28" t="inlineStr">
        <is>
          <t>Sênior B</t>
        </is>
      </c>
      <c r="D41" s="29" t="n">
        <v>282.5</v>
      </c>
      <c r="E41" s="30">
        <f>D41/SUM($D$40:$D$44)</f>
        <v>0.6277777778</v>
      </c>
      <c r="F41" s="28" t="inlineStr">
        <is>
          <t>CDI + 2,00%</t>
        </is>
      </c>
      <c r="G41" s="31">
        <f>$B$3+2.00</f>
        <v>15.65</v>
      </c>
      <c r="H41" s="28" t="inlineStr">
        <is>
          <t>21/07/2031</t>
        </is>
      </c>
      <c r="I41" s="28" t="inlineStr">
        <is>
          <t>BRVERTCRIED2</t>
        </is>
      </c>
      <c r="J41" s="28" t="inlineStr">
        <is>
          <t>Pública</t>
        </is>
      </c>
      <c r="K41" s="32">
        <f>IF($J41="Pública",IFERROR($D41*$G41,0),0)</f>
        <v>4421.125</v>
      </c>
      <c r="L41" s="33">
        <f>IF(AND($J41="Pública",ISNUMBER($G41)),$D41,0)</f>
        <v>282.5</v>
      </c>
    </row>
    <row r="42">
      <c r="A42" s="27" t="inlineStr">
        <is>
          <t>CRI VI</t>
        </is>
      </c>
      <c r="B42" s="28" t="inlineStr">
        <is>
          <t>3ª</t>
        </is>
      </c>
      <c r="C42" s="28" t="inlineStr">
        <is>
          <t>Mezanino I</t>
        </is>
      </c>
      <c r="D42" s="29" t="n">
        <v>36</v>
      </c>
      <c r="E42" s="30">
        <f>D42/SUM($D$40:$D$44)</f>
        <v>0.08</v>
      </c>
      <c r="F42" s="28" t="inlineStr">
        <is>
          <t>CDI + 5,50%</t>
        </is>
      </c>
      <c r="G42" s="31">
        <f>$B$3+5.50</f>
        <v>19.15</v>
      </c>
      <c r="H42" s="28" t="inlineStr">
        <is>
          <t>21/07/2036</t>
        </is>
      </c>
      <c r="I42" s="28" t="inlineStr">
        <is>
          <t>BRVERTCRIEE0</t>
        </is>
      </c>
      <c r="J42" s="28" t="inlineStr">
        <is>
          <t>Pública</t>
        </is>
      </c>
      <c r="K42" s="32">
        <f>IF($J42="Pública",IFERROR($D42*$G42,0),0)</f>
        <v>689.4</v>
      </c>
      <c r="L42" s="33">
        <f>IF(AND($J42="Pública",ISNUMBER($G42)),$D42,0)</f>
        <v>36.0</v>
      </c>
    </row>
    <row r="43">
      <c r="A43" s="27" t="inlineStr">
        <is>
          <t>CRI VI</t>
        </is>
      </c>
      <c r="B43" s="28" t="inlineStr">
        <is>
          <t>4ª</t>
        </is>
      </c>
      <c r="C43" s="28" t="inlineStr">
        <is>
          <t>Mezanino II</t>
        </is>
      </c>
      <c r="D43" s="29" t="n">
        <v>18</v>
      </c>
      <c r="E43" s="30">
        <f>D43/SUM($D$40:$D$44)</f>
        <v>0.04</v>
      </c>
      <c r="F43" s="28" t="inlineStr">
        <is>
          <t>CDI + 8,00%</t>
        </is>
      </c>
      <c r="G43" s="31">
        <f>$B$3+8.00</f>
        <v>21.65</v>
      </c>
      <c r="H43" s="28" t="inlineStr">
        <is>
          <t>21/07/2036</t>
        </is>
      </c>
      <c r="I43" s="28" t="inlineStr">
        <is>
          <t>BRVERTCRIEF7</t>
        </is>
      </c>
      <c r="J43" s="28" t="inlineStr">
        <is>
          <t>Pública</t>
        </is>
      </c>
      <c r="K43" s="32">
        <f>IF($J43="Pública",IFERROR($D43*$G43,0),0)</f>
        <v>389.7</v>
      </c>
      <c r="L43" s="33">
        <f>IF(AND($J43="Pública",ISNUMBER($G43)),$D43,0)</f>
        <v>18.0</v>
      </c>
    </row>
    <row r="44">
      <c r="A44" s="27" t="inlineStr">
        <is>
          <t>CRI VI</t>
        </is>
      </c>
      <c r="B44" s="28" t="inlineStr">
        <is>
          <t>5ª</t>
        </is>
      </c>
      <c r="C44" s="28" t="inlineStr">
        <is>
          <t>Subordinada (privada)</t>
        </is>
      </c>
      <c r="D44" s="29" t="n">
        <v>13.5</v>
      </c>
      <c r="E44" s="30">
        <f>D44/SUM($D$40:$D$44)</f>
        <v>0.03</v>
      </c>
      <c r="F44" s="28" t="inlineStr">
        <is>
          <t>100% do CDI</t>
        </is>
      </c>
      <c r="G44" s="31">
        <f>$B$3*1.0</f>
        <v>13.65</v>
      </c>
      <c r="H44" s="28" t="inlineStr">
        <is>
          <t>20/07/2038</t>
        </is>
      </c>
      <c r="I44" s="28" t="inlineStr">
        <is>
          <t>BRVERTCRIEG5</t>
        </is>
      </c>
      <c r="J44" s="28" t="inlineStr">
        <is>
          <t>Privada</t>
        </is>
      </c>
      <c r="K44" s="32">
        <f>IF($J44="Pública",IFERROR($D44*$G44,0),0)</f>
        <v>0.0</v>
      </c>
      <c r="L44" s="33">
        <f>IF(AND($J44="Pública",ISNUMBER($G44)),$D44,0)</f>
        <v>0.0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5" customWidth="1" min="2" max="2"/>
  </cols>
  <sheetData>
    <row r="1">
      <c r="A1" s="22" t="inlineStr">
        <is>
          <t>Notas, definições e fontes</t>
        </is>
      </c>
    </row>
    <row r="3" ht="39" customHeight="1">
      <c r="A3" s="35" t="inlineStr">
        <is>
          <t>Perímetro</t>
        </is>
      </c>
      <c r="B3" s="36" t="inlineStr">
        <is>
          <t>Seis emissões de CRI com lastro declarado em CCB originadas na Plataforma Solfácil: Kanastra 1ª a 4ª (CNPJ 48.238.484/0001-38) e Vert 174ª e 177ª (CNPJ 25.005.683/0001-09). Identificadas na base de ofertas encerradas sob a Resolução CVM 160 e confirmadas no Fundos.NET.</t>
        </is>
      </c>
    </row>
    <row r="4" ht="52" customHeight="1">
      <c r="A4" s="35" t="inlineStr">
        <is>
          <t>Data-base dos dados atuais</t>
        </is>
      </c>
      <c r="B4" s="36" t="inlineStr">
        <is>
          <t>31/08/2026. Vem do informe mensal de CRI de competência 08/2026 entregue por cada securitizadora no Fundos.NET, em XML. Consulta em 20/10/2026. Os seis arquivos são: Kanastra 1ª a 4ª emissão e Vert 174ª e 177ª séries da 1ª emissão. É o documento mais recente disponível: o informe de 09/2026 vence no 15º dia de outubro e ainda não estava publicado para todas.</t>
        </is>
      </c>
    </row>
    <row r="5" ht="28" customHeight="1">
      <c r="A5" s="35" t="inlineStr">
        <is>
          <t>Como chegar ao informe</t>
        </is>
      </c>
      <c r="B5" s="36" t="inlineStr">
        <is>
          <t>fnet.bmfbovespa.com.br/fnet/publico/abrirGerenciadorDocumentosCertificadosCVM, tipo de fundo CRI, buscar pela securitizadora, categoria Informe Mensal. Público, sem cadastro.</t>
        </is>
      </c>
    </row>
    <row r="6" ht="52" customHeight="1">
      <c r="A6" s="35" t="inlineStr">
        <is>
          <t>Taxa média mínima de retorno</t>
        </is>
      </c>
      <c r="B6" s="36" t="inlineStr">
        <is>
          <t>Definição expressa no termo de securitização, entre os critérios de elegibilidade: 21,5% a.a. no CRI I, 21% no CRI II, 22% no CRI III, 21% no CRI IV, 21% no CRI V e 21,5% no CRI VI. É um mínimo para a média da carteira, verificado pro forma a cada cessão, não um piso por crédito. Não é a taxa efetiva da carteira, que não é divulgada.</t>
        </is>
      </c>
    </row>
    <row r="7" ht="52" customHeight="1">
      <c r="A7" s="35" t="inlineStr">
        <is>
          <t>Custo médio ponderado das séries</t>
        </is>
      </c>
      <c r="B7" s="36" t="inlineStr">
        <is>
          <t>Cálculo próprio. Toma a remuneração contratual de cada série pública no termo de securitização e pondera pelo volume integralizado. As séries pós-fixadas em CDI foram convertidas somando o spread ao CDI de 13,65% a.a. (Selic anualizada de setembro de 2026, série 4389 do SGS do Banco Central). A série de colocação privada, subscrita pela Solfácil, fica fora da conta. Trocar o CDI na célula B3 da aba Séries recalcula tudo.</t>
        </is>
      </c>
    </row>
    <row r="8" ht="39" customHeight="1">
      <c r="A8" s="35" t="inlineStr">
        <is>
          <t>Excesso de spread bruto</t>
        </is>
      </c>
      <c r="B8" s="36" t="inlineStr">
        <is>
          <t>Cálculo próprio: taxa média mínima de retorno menos o custo médio ponderado das séries públicas. É um piso estático. Usa o mínimo de elegibilidade e não o retorno efetivo da carteira, e não desconta taxa de administração, taxa de gestão, despesas do patrimônio separado nem perda de crédito. O excesso disponível de fato é menor.</t>
        </is>
      </c>
    </row>
    <row r="9" ht="39" customHeight="1">
      <c r="A9" s="35" t="inlineStr">
        <is>
          <t>Razão de cobertura</t>
        </is>
      </c>
      <c r="B9" s="36" t="inlineStr">
        <is>
          <t>Valor presente dos direitos creditórios líquido de PDD mais ativo financeiro, dividido pelo saldo devedor acumulado das séries até aquela camada. Apurada pela emissora e informada no campo IndiceSubordinacaoDataBase do informe mensal, com o mínimo no campo IndiceSubordinacaoMinimo.</t>
        </is>
      </c>
    </row>
    <row r="10" ht="65" customHeight="1">
      <c r="A10" s="35" t="inlineStr">
        <is>
          <t>Divergência de preenchimento</t>
        </is>
      </c>
      <c r="B10" s="36" t="inlineStr">
        <is>
          <t>CRI II a IV: a Kanastra preenche o campo com a razão de cobertura e o nível confere com o cálculo a partir dos saldos do próprio informe, com diferença de até 0,2 p.p. CRI I: a Kanastra preenche com índice de subordinação (45,85% abaixo da 1ª série, 30,81% abaixo da 2ª). CRI V e VI: a Vert preenche com o peso de cada série na emissão, cujos valores somam 100%, o que não é razão de cobertura nem índice de subordinação; nesses dois a razão foi calculada.</t>
        </is>
      </c>
    </row>
    <row r="11" ht="91" customHeight="1">
      <c r="A11" s="35" t="inlineStr">
        <is>
          <t>Saldo de arrasto e parcelas em atraso</t>
        </is>
      </c>
      <c r="B11" s="36" t="inlineStr">
        <is>
          <t>Saldo de arrasto é o saldo devedor integral de todo contrato com ao menos uma parcela em atraso. Parcelas em atraso são só as prestações vencidas e não pagas. O informe tem campos para os dois, mas o preenchimento divide-se por securitizadora: na Kanastra a soma das faixas de aging fecha exatamente com o saldo de arrasto, logo o aging dela é de arrasto; na Vert a soma das faixas fica muito abaixo do saldo de arrasto declarado (1,6 contra 42,4 R$ mm no CRI V; 1,5 contra 44,7 no CRI VI), logo o aging dela é de parcelas. Por isso a comparação de atraso acima de 90 dias entre Kanastra e Vert não é válida, e o saldo de arrasto sobre carteira é a única métrica de atraso comparável entre as seis.</t>
        </is>
      </c>
    </row>
    <row r="12" ht="65" customHeight="1">
      <c r="A12" s="35" t="inlineStr">
        <is>
          <t>Compra da carteira pela securitizadora</t>
        </is>
      </c>
      <c r="B12" s="36" t="inlineStr">
        <is>
          <t>O preço de aquisição é definido no termo de securitização como o valor presente das parcelas vincendas descontadas pela Taxa de Retorno da própria CCB, e o termo diz que o preço deve corresponder a no máximo esse valor. Não há ágio contratual sobre o valor presente do crédito nessa ponta. O ágio ou deságio que os prospectos mencionam na integralização é sobre o preço do CRI, definido pelos coordenadores no ato da subscrição e aplicado igualmente a todos os CRI da série.</t>
        </is>
      </c>
    </row>
    <row r="13" ht="65" customHeight="1">
      <c r="A13" s="35" t="inlineStr">
        <is>
          <t>Compra da carteira pelo FIDC</t>
        </is>
      </c>
      <c r="B13" s="36" t="inlineStr">
        <is>
          <t>Nessa ponta há ágio contratual sobre o valor contábil. O regulamento define Saldo Contábil da CCB como o valor presente das parcelas descontadas pela taxa de juros da própria CCB, e fixa teto para o preço de aquisição: 100,5% do saldo contábil no FIDC II, 101,0% no FIDC VI e 104,0% no FIDC VII. O FIDC IV, cujo regulamento é anterior à adaptação à Resolução CVM 175, define Preço de Compra sem teto percentual. Do outro lado, o preço fica limitado pela Taxa Mínima de Transferência, piso para a taxa de desconto usada na compra.</t>
        </is>
      </c>
    </row>
    <row r="14" ht="104" customHeight="1">
      <c r="A14" s="35" t="inlineStr">
        <is>
          <t>Ganho do FIDC na venda</t>
        </is>
      </c>
      <c r="B14" s="36" t="inlineStr">
        <is>
          <t>Sim, o FIDC apura ganho no take-out e esse ganho é distribuído. Os regulamentos do FIDC VI e do FIDC VII, na ordem de alocação de recursos de um Evento de Venda, mandam pagar aos titulares de cotas subordinadas júnior o valor do ágio na venda dos direitos creditórios, desde que, considerando pro forma o pagamento, os índices de subordinação e as razões de cobertura fiquem enquadrados. O FIDC VII define ágio como exclusivamente o valor que exceder o valor presente da carteira de CCB detida pelo fundo, vedando o uso do valor original, nominal ou de face como base. No FIDC VII o pagamento é líquido da premiação por amortização antecipada e do MtM negativo dos derivativos não coberto pela reserva de MtM. Efeito de crédito: o ágio do take-out sai do fundo para a cota júnior, isto é, para a Solfácil, em vez de ficar retido como colchão, respeitados os covenants.</t>
        </is>
      </c>
    </row>
    <row r="15" ht="28" customHeight="1">
      <c r="A15" s="35" t="inlineStr">
        <is>
          <t>Proteção abaixo da camada de topo</t>
        </is>
      </c>
      <c r="B15" s="36" t="inlineStr">
        <is>
          <t>Carteira líquida de PDD mais ativo financeiro, menos o saldo acumulado das séries da camada de topo. É o colchão em reais que teria de ser consumido antes de a camada de topo perder principal.</t>
        </is>
      </c>
    </row>
    <row r="16" ht="52" customHeight="1">
      <c r="A16" s="35" t="inlineStr">
        <is>
          <t>Lastro</t>
        </is>
      </c>
      <c r="B16" s="36" t="inlineStr">
        <is>
          <t>Em todas as seis, o critério de elegibilidade exige CCB pré-fixada cujo recurso tenha destinação específica à aquisição de Sistema Solar em imóvel: placas fotovoltaicas, equipamentos e sistemas acessórios para geração, armazenamento e utilização de energia solar, instalados por Integradores Solares. Nenhuma das emissões admite outro tipo de bem financiado.</t>
        </is>
      </c>
    </row>
    <row r="17" ht="65" customHeight="1">
      <c r="A17" s="35" t="inlineStr">
        <is>
          <t>Cadeia de originação</t>
        </is>
      </c>
      <c r="B17" s="36" t="inlineStr">
        <is>
          <t>A Solfácil Energia Solar Tecnologia e Serviços Financeiros (31.931.053/0001-50) opera a plataforma, faz a análise de crédito e é agente de cobrança. A CCB é emitida pelo devedor em favor de um endossante inicial — BMP Sociedade de Crédito Direto, depois Solfácil SCD e Solfácil SCFI (48.755.901/0001-10). O equipamento é fornecido e instalado pelo Integrador Solar, empresa terceira aprovada na plataforma, e não pela Solfácil. Há alienação fiduciária dos equipamentos descritos na CCB, sem registro prévio em cartório.</t>
        </is>
      </c>
    </row>
    <row r="18" ht="52" customHeight="1">
      <c r="A18" s="35" t="inlineStr">
        <is>
          <t>Fontes documentais</t>
        </is>
      </c>
      <c r="B18" s="36" t="inlineStr">
        <is>
          <t>Prospectos definitivos e termos de securitização registrados na CVM (processos SRE/0104/2024, SRE/1471/2024, SRE/1111/2025, SRE/2711/2025, SRE/1197/2026 e SRE/2316/2026); regulamentos dos FIDC Solfácil II, IV, VI e VII no Fundos.NET; informes mensais de CRI de competência 08/2026 no Fundos.NET; base de ofertas públicas encerradas em dados.cvm.gov.br; série 4389 do SGS do Banco Central. Consulta em 20/10/2026.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2026-10-20T13:26:03Z</dcterms:created>
  <dcterms:modified xmlns:dcterms="http://purl.org/dc/terms/" xmlns:xsi="http://www.w3.org/2001/XMLSchema-instance" xsi:type="dcterms:W3CDTF">2026-10-20T13:26:03Z</dcterms:modified>
</cp:coreProperties>
</file>