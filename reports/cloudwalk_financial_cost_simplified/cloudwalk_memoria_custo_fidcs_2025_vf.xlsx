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matheusjprates/fidc/reports/cloudwalk_financial_cost_simplified/"/>
    </mc:Choice>
  </mc:AlternateContent>
  <xr:revisionPtr revIDLastSave="0" documentId="8_{9BD1E100-2F9A-1245-8D29-D84E51D014AF}" xr6:coauthVersionLast="47" xr6:coauthVersionMax="47" xr10:uidLastSave="{00000000-0000-0000-0000-000000000000}"/>
  <bookViews>
    <workbookView xWindow="0" yWindow="660" windowWidth="29400" windowHeight="17380" activeTab="1" xr2:uid="{00000000-000D-0000-FFFF-FFFF00000000}"/>
  </bookViews>
  <sheets>
    <sheet name="Resumo" sheetId="1" r:id="rId1"/>
    <sheet name="Preço por Série" sheetId="2" r:id="rId2"/>
    <sheet name="Memoria Fundo a Fundo" sheetId="3" r:id="rId3"/>
    <sheet name="Mensal" sheetId="4" r:id="rId4"/>
    <sheet name="CDI mensal" sheetId="5" r:id="rId5"/>
    <sheet name="Caixa LFT" sheetId="6" r:id="rId6"/>
    <sheet name="Custo por Fundo" sheetId="7" r:id="rId7"/>
    <sheet name="Lacunas CDI" sheetId="8" r:id="rId8"/>
    <sheet name="PL Waterfall" sheetId="9" r:id="rId9"/>
    <sheet name="PL Steps" sheetId="10" r:id="rId10"/>
    <sheet name="_chart_mensal" sheetId="11" r:id="rId11"/>
  </sheets>
  <calcPr calcId="0"/>
</workbook>
</file>

<file path=xl/sharedStrings.xml><?xml version="1.0" encoding="utf-8"?>
<sst xmlns="http://schemas.openxmlformats.org/spreadsheetml/2006/main" count="1883" uniqueCount="301">
  <si>
    <t>Cloudwalk - custo financeiro FIDCs</t>
  </si>
  <si>
    <t>Memória gerencial com CDI mensal composto, amortizações documentais e waterfall de PL.</t>
  </si>
  <si>
    <t>Despesa financeira bruta</t>
  </si>
  <si>
    <t>Gross-up de receita</t>
  </si>
  <si>
    <t>Aplicação caixa/LFT</t>
  </si>
  <si>
    <t>Rendimento caixa/LFT</t>
  </si>
  <si>
    <t>Despesa líquida</t>
  </si>
  <si>
    <t>Saldo médio remunerado</t>
  </si>
  <si>
    <t>Linhas sem CDI+</t>
  </si>
  <si>
    <t>FIDC</t>
  </si>
  <si>
    <t>Série</t>
  </si>
  <si>
    <t>Classe</t>
  </si>
  <si>
    <t>CDI+ a.a.</t>
  </si>
  <si>
    <t>Fonte</t>
  </si>
  <si>
    <t>Volume</t>
  </si>
  <si>
    <t>Saldo médio</t>
  </si>
  <si>
    <t>Custo</t>
  </si>
  <si>
    <t>Chave</t>
  </si>
  <si>
    <t>A.I.</t>
  </si>
  <si>
    <t>1ª série mezanino</t>
  </si>
  <si>
    <t>Mezanino</t>
  </si>
  <si>
    <t>3.85%</t>
  </si>
  <si>
    <t>Documento</t>
  </si>
  <si>
    <t>R$ 260 mi</t>
  </si>
  <si>
    <t>R$ 45 mi</t>
  </si>
  <si>
    <t>57609282000146|1ª série mezanino</t>
  </si>
  <si>
    <t>1ª série sênior</t>
  </si>
  <si>
    <t>Sênior</t>
  </si>
  <si>
    <t>0.85%</t>
  </si>
  <si>
    <t>R$ 1.7 bi</t>
  </si>
  <si>
    <t>R$ 239 mi</t>
  </si>
  <si>
    <t>57609282000146|1ª série sênior</t>
  </si>
  <si>
    <t>Akira I</t>
  </si>
  <si>
    <t>1.14%</t>
  </si>
  <si>
    <t>R$ 500 mi</t>
  </si>
  <si>
    <t>R$ 72 mi</t>
  </si>
  <si>
    <t>42085830000109|1ª série sênior</t>
  </si>
  <si>
    <t>Akira Ii</t>
  </si>
  <si>
    <t>1ª série sênior - rerratificação 2025</t>
  </si>
  <si>
    <t>1.35%</t>
  </si>
  <si>
    <t>R$ 1.5 bi</t>
  </si>
  <si>
    <t>R$ 843 mi</t>
  </si>
  <si>
    <t>R$ 126 mi</t>
  </si>
  <si>
    <t>44124617000194|1ª série sênior - rerratificação 2025</t>
  </si>
  <si>
    <t>Bela</t>
  </si>
  <si>
    <t>1ª série mezanino A</t>
  </si>
  <si>
    <t>R$ 303 mi</t>
  </si>
  <si>
    <t>R$ 89 mi</t>
  </si>
  <si>
    <t>R$ 13 mi</t>
  </si>
  <si>
    <t>62393679000183|1ª série mezanino A</t>
  </si>
  <si>
    <t>1ª série mezanino B</t>
  </si>
  <si>
    <t>4.20%</t>
  </si>
  <si>
    <t>R$ 76 mi</t>
  </si>
  <si>
    <t>R$ 14 mi</t>
  </si>
  <si>
    <t>62393679000183|1ª série mezanino B</t>
  </si>
  <si>
    <t>0.75%</t>
  </si>
  <si>
    <t>R$ 3.6 bi</t>
  </si>
  <si>
    <t>R$ 1.1 bi</t>
  </si>
  <si>
    <t>R$ 155 mi</t>
  </si>
  <si>
    <t>62393679000183|1ª série sênior</t>
  </si>
  <si>
    <t>2ª série mezanino A</t>
  </si>
  <si>
    <t>R$ 397 mi</t>
  </si>
  <si>
    <t>R$ 0</t>
  </si>
  <si>
    <t>62393679000183|2ª série mezanino A</t>
  </si>
  <si>
    <t>2ª série mezanino B</t>
  </si>
  <si>
    <t>R$ 340 mi</t>
  </si>
  <si>
    <t>62393679000183|2ª série mezanino B</t>
  </si>
  <si>
    <t>2ª série sênior</t>
  </si>
  <si>
    <t>R$ 4.8 bi</t>
  </si>
  <si>
    <t>62393679000183|2ª série sênior</t>
  </si>
  <si>
    <t>Big Picture I</t>
  </si>
  <si>
    <t>1.20%</t>
  </si>
  <si>
    <t>Manual</t>
  </si>
  <si>
    <t>R$ 878 mi</t>
  </si>
  <si>
    <t>R$ 128 mi</t>
  </si>
  <si>
    <t>54218673000141|1ª série sênior</t>
  </si>
  <si>
    <t>Big Picture Ii</t>
  </si>
  <si>
    <t>1.50%</t>
  </si>
  <si>
    <t>R$ 291 mi</t>
  </si>
  <si>
    <t>R$ 43 mi</t>
  </si>
  <si>
    <t>54218941000125|1ª série sênior</t>
  </si>
  <si>
    <t>Big Picture Iii</t>
  </si>
  <si>
    <t>1.90%</t>
  </si>
  <si>
    <t>R$ 142 mi</t>
  </si>
  <si>
    <t>R$ 22 mi</t>
  </si>
  <si>
    <t>54219179000100|1ª série sênior</t>
  </si>
  <si>
    <t>Big Picture Iv</t>
  </si>
  <si>
    <t>3.00%</t>
  </si>
  <si>
    <t>R$ 240 mi</t>
  </si>
  <si>
    <t>R$ 39 mi</t>
  </si>
  <si>
    <t>54248022000102|1ª série sênior</t>
  </si>
  <si>
    <t>Kick Ass I</t>
  </si>
  <si>
    <t>1.15%</t>
  </si>
  <si>
    <t>R$ 278 mi</t>
  </si>
  <si>
    <t>R$ 40 mi</t>
  </si>
  <si>
    <t>42085816000105|1ª série sênior</t>
  </si>
  <si>
    <t>Pi</t>
  </si>
  <si>
    <t>1.70%</t>
  </si>
  <si>
    <t>R$ 227 mi</t>
  </si>
  <si>
    <t>R$ 165 mi</t>
  </si>
  <si>
    <t>R$ 25 mi</t>
  </si>
  <si>
    <t>60356171000180|1ª série mezanino A</t>
  </si>
  <si>
    <t>4.99%</t>
  </si>
  <si>
    <t>R$ 194 mi</t>
  </si>
  <si>
    <t>R$ 141 mi</t>
  </si>
  <si>
    <t>R$ 26 mi</t>
  </si>
  <si>
    <t>60356171000180|1ª série mezanino B</t>
  </si>
  <si>
    <t>0.95%</t>
  </si>
  <si>
    <t>R$ 1.6 bi</t>
  </si>
  <si>
    <t>R$ 1.2 bi</t>
  </si>
  <si>
    <t>R$ 176 mi</t>
  </si>
  <si>
    <t>60356171000180|1ª série sênior</t>
  </si>
  <si>
    <t>R$ 777 mi</t>
  </si>
  <si>
    <t>R$ 114 mi</t>
  </si>
  <si>
    <t>60356171000180|2ª série sênior</t>
  </si>
  <si>
    <t>fund_name</t>
  </si>
  <si>
    <t>short_name</t>
  </si>
  <si>
    <t>cnpj</t>
  </si>
  <si>
    <t>classe</t>
  </si>
  <si>
    <t>class_macro</t>
  </si>
  <si>
    <t>issue_date</t>
  </si>
  <si>
    <t>spread_cdi_plus_aa</t>
  </si>
  <si>
    <t>saldo_inicio_periodo</t>
  </si>
  <si>
    <t>saldo_medio_programado</t>
  </si>
  <si>
    <t>amortizacao_no_periodo</t>
  </si>
  <si>
    <t>custo_programado_bruto</t>
  </si>
  <si>
    <t>amortization_convention</t>
  </si>
  <si>
    <t>warnings</t>
  </si>
  <si>
    <t>source</t>
  </si>
  <si>
    <t>CLOUDWALK A.I. FUNDO DE INVESTIMENTO EM DIREITOS CREDITÓRIOS SEGMENTO MEIOS DE PAGAMENTO</t>
  </si>
  <si>
    <t>57.609.282/0001-46</t>
  </si>
  <si>
    <t>senior</t>
  </si>
  <si>
    <t>2024-10-14</t>
  </si>
  <si>
    <t>cumulative</t>
  </si>
  <si>
    <t>757906_regulamento_regulamento_757906_2024-10-14.pdf · p.3-4 · ID 757906</t>
  </si>
  <si>
    <t>CLOUDWALK PI FUNDO DE INVESTIMENTO EM DIREITOS CREDITÓRIOS SEGMENTO MEIOS DE PAGAMENTO</t>
  </si>
  <si>
    <t>60.356.171/0001-80</t>
  </si>
  <si>
    <t>2025-04-11</t>
  </si>
  <si>
    <t>incremental</t>
  </si>
  <si>
    <t>883040_regulamento_regulamento_883040_2025-04-11.pdf · p.6-8 · ID 883040</t>
  </si>
  <si>
    <t>CLOUDWALK BELA FUNDO DE INVESTIMENTO EM DIREITOS CREDITÓRIOS SEGMENTO MEIOS DE PAGAMENTO</t>
  </si>
  <si>
    <t>62.393.679/0001-83</t>
  </si>
  <si>
    <t>2025-09-16</t>
  </si>
  <si>
    <t>988402_regulamento_regulamento_988402_2025-09-09.pdf · p.8-10 · 1117954_regulamento_regulamento_1117954_2026-02-19.pdf · p.138-141</t>
  </si>
  <si>
    <t>CLOUDWALK BIG PICTURE I FUNDO DE INVESTIMENTO EM DIREITOS CREDITÓRIOS SEGMENTO MEIOS DE PAGAMENTO</t>
  </si>
  <si>
    <t>54.218.673/0001-41</t>
  </si>
  <si>
    <t>2024-04-15</t>
  </si>
  <si>
    <t>Cronograma documental lista datas sem percentuais; waterfall usa amortização linear entre as datas documentadas.</t>
  </si>
  <si>
    <t>622660_regulamento_regulamento_622660_2024-03-14.pdf · p.115-116 · ID 622660; 644981_emissao_emissao_644981_2024-04-25.pdf · ID 644981</t>
  </si>
  <si>
    <t>CLOUDWALK AKIRA II FIDC</t>
  </si>
  <si>
    <t>44.124.617/0001-94</t>
  </si>
  <si>
    <t>2025-02-28</t>
  </si>
  <si>
    <t>current_balance</t>
  </si>
  <si>
    <t>851797_assembleia_assembleia_851797_2025-02-28.pdf · p.4-5 · ID 851797</t>
  </si>
  <si>
    <t>883040_regulamento_regulamento_883040_2025-04-11.pdf · p.10-12 · ID 883040</t>
  </si>
  <si>
    <t>CLOUDWALK AKIRA I FUNDO DE INVESTIMENTO EM DIREITOS CREDITÓRIOS</t>
  </si>
  <si>
    <t>42.085.830/0001-09</t>
  </si>
  <si>
    <t>2022-01-21</t>
  </si>
  <si>
    <t>966441_regulamento_regulamento_966441_2025-07-24.pdf · p.114-115 · ID 966441</t>
  </si>
  <si>
    <t>mezzanino</t>
  </si>
  <si>
    <t>linear_de_intervalo_documentado</t>
  </si>
  <si>
    <t>Texto informa apenas intervalo de amortização; cálculo usa parcelas mensais lineares nesse intervalo.</t>
  </si>
  <si>
    <t>757906_regulamento_regulamento_757906_2024-10-14.pdf · p.6-7 · ID 757906</t>
  </si>
  <si>
    <t>CLOUDWALK BIG PICTURE II FUNDO DE INVESTIMENTO EM DIREITOS CREDITÓRIOS SEGMENTO MEIOS DE PAGAMENTO</t>
  </si>
  <si>
    <t>54.218.941/0001-25</t>
  </si>
  <si>
    <t>622662_regulamento_regulamento_622662_2024-03-14.pdf · p.116-117 · ID 622662; 644982_emissao_emissao_644982_2024-04-25.pdf · ID 644982</t>
  </si>
  <si>
    <t>CLOUDWALK KICK ASS I FUNDO DE INVESTIMENTO EM DIREITOS CREDITÓRIOS</t>
  </si>
  <si>
    <t>42.085.816/0001-05</t>
  </si>
  <si>
    <t>2021-08-23</t>
  </si>
  <si>
    <t>209028_regulamento_regulamento_209028_2021-08-23.pdf · p.4-5 · ID 209028</t>
  </si>
  <si>
    <t>CLOUDWALK BIG PICTURE IV FUNDO DE INVESTIMENTO EM DIREITOS CREDITÓRIOS SEGMENTO MEIOS DE PAGAMENTO</t>
  </si>
  <si>
    <t>54.248.022/0001-02</t>
  </si>
  <si>
    <t>2024-04-16</t>
  </si>
  <si>
    <t>622677_regulamento_regulamento_622677_2024-03-14.pdf · p.119-120 · ID 622677; 644984_emissao_emissao_644984_2024-04-25.pdf · ID 644984</t>
  </si>
  <si>
    <t>883040_regulamento_regulamento_883040_2025-04-11.pdf · p.19-21 · ID 883040</t>
  </si>
  <si>
    <t>883040_regulamento_regulamento_883040_2025-04-11.pdf · p.15-17 · ID 883040</t>
  </si>
  <si>
    <t>CLOUDWALK BIG PICTURE III FUNDO DE INVESTIMENTO EM DIREITOS CREDITÓRIOS SEGMENTO MEIOS DE PAGAMENTO</t>
  </si>
  <si>
    <t>54.219.179/0001-00</t>
  </si>
  <si>
    <t>622664_regulamento_regulamento_622664_2024-03-14.pdf · p.117-118 · ID 622664; 644983_emissao_emissao_644983_2024-04-25.pdf · ID 644983</t>
  </si>
  <si>
    <t>1117954_regulamento_regulamento_1117954_2026-02-19.pdf · p.160-163</t>
  </si>
  <si>
    <t>1117954_regulamento_regulamento_1117954_2026-02-19.pdf · p.149-152</t>
  </si>
  <si>
    <t>2026-02-27</t>
  </si>
  <si>
    <t>1117954_regulamento_regulamento_1117954_2026-02-19.pdf · p.142-145 · 1124808_emissao_emissao_1124808_2026-02-27.pdf</t>
  </si>
  <si>
    <t>1117954_regulamento_regulamento_1117954_2026-02-19.pdf · p.153-156</t>
  </si>
  <si>
    <t>1117954_regulamento_regulamento_1117954_2026-02-19.pdf · p.164-166</t>
  </si>
  <si>
    <t>mes</t>
  </si>
  <si>
    <t>saldo_base</t>
  </si>
  <si>
    <t>dias_corridos</t>
  </si>
  <si>
    <t>dias_uteis</t>
  </si>
  <si>
    <t>cdi_mensal</t>
  </si>
  <si>
    <t>dias_uteis_cdi_mes</t>
  </si>
  <si>
    <t>taxa_total_aa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</si>
  <si>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</si>
  <si>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</si>
  <si>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</si>
  <si>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</si>
  <si>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</si>
  <si>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</si>
  <si>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</si>
  <si>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</si>
  <si>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</si>
  <si>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</si>
  <si>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</si>
  <si>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</si>
  <si>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cdi_aa_equivalente</t>
  </si>
  <si>
    <t>data_inicio</t>
  </si>
  <si>
    <t>data_fim</t>
  </si>
  <si>
    <t>2025-01-02</t>
  </si>
  <si>
    <t>2025-01-31</t>
  </si>
  <si>
    <t>B3/Cetip MediaCDI diário composto por mês</t>
  </si>
  <si>
    <t>2025-02-03</t>
  </si>
  <si>
    <t>2025-03-05</t>
  </si>
  <si>
    <t>2025-03-31</t>
  </si>
  <si>
    <t>2025-04-01</t>
  </si>
  <si>
    <t>2025-04-30</t>
  </si>
  <si>
    <t>2025-05-02</t>
  </si>
  <si>
    <t>2025-05-30</t>
  </si>
  <si>
    <t>2025-06-02</t>
  </si>
  <si>
    <t>2025-06-30</t>
  </si>
  <si>
    <t>2025-07-01</t>
  </si>
  <si>
    <t>2025-07-31</t>
  </si>
  <si>
    <t>2025-08-01</t>
  </si>
  <si>
    <t>2025-08-29</t>
  </si>
  <si>
    <t>2025-09-01</t>
  </si>
  <si>
    <t>2025-09-30</t>
  </si>
  <si>
    <t>2025-10-01</t>
  </si>
  <si>
    <t>2025-10-31</t>
  </si>
  <si>
    <t>2025-11-03</t>
  </si>
  <si>
    <t>2025-11-28</t>
  </si>
  <si>
    <t>2025-12-01</t>
  </si>
  <si>
    <t>2025-12-31</t>
  </si>
  <si>
    <t>CNPJ</t>
  </si>
  <si>
    <t>Competência</t>
  </si>
  <si>
    <t>PL total</t>
  </si>
  <si>
    <t>Caixa</t>
  </si>
  <si>
    <t>Títulos públicos</t>
  </si>
  <si>
    <t>Recebíveis</t>
  </si>
  <si>
    <t>Caixa/Títulos reportado</t>
  </si>
  <si>
    <t>Proxy PL - recebíveis</t>
  </si>
  <si>
    <t>Método</t>
  </si>
  <si>
    <t>Rendimento estimado</t>
  </si>
  <si>
    <t>Incluído</t>
  </si>
  <si>
    <t>57609282000146</t>
  </si>
  <si>
    <t>04/2026</t>
  </si>
  <si>
    <t>proxy_pl_menos_recebiveis</t>
  </si>
  <si>
    <t>/Users/matheusjprates/fidc/.cache/fundonet-ime/f76497b64ec6ef8ee7a36f6d20d3c4201f6b669e60959dca5ee161010f9d9482</t>
  </si>
  <si>
    <t>42085830000109</t>
  </si>
  <si>
    <t>/Users/matheusjprates/fidc/.cache/fundonet-ime/fd86eff0ad66039dc3629017eb8c82c6f95737aa2fe7d5e09ede2cb36164a497</t>
  </si>
  <si>
    <t>44124617000194</t>
  </si>
  <si>
    <t>02/2026</t>
  </si>
  <si>
    <t>/Users/matheusjprates/fidc/.cache/fundonet-ime/020d6992ee0ee64920d1ff2a26cd13d0b2e5ad87a06310d71550b9d7d6a2e087</t>
  </si>
  <si>
    <t>62393679000183</t>
  </si>
  <si>
    <t>03/2026</t>
  </si>
  <si>
    <t>/Users/matheusjprates/fidc/.cache/fundonet-ime/eef0fdff163e3d6b03c72e651b9d5fccd28f640b3a5de9cc045c17d670878531</t>
  </si>
  <si>
    <t>54218673000141</t>
  </si>
  <si>
    <t>/Users/matheusjprates/fidc/.cache/fundonet-ime/6d7911954b6bfd5d88dbb9b2cb7689a7e136d9776138c98c5b8ebebabc9fd598</t>
  </si>
  <si>
    <t>54218941000125</t>
  </si>
  <si>
    <t>/Users/matheusjprates/fidc/.cache/fundonet-ime/7f656501b51a0284484441b4a6c4d7d90ce17723f2d32d6545693546c44aeb9d</t>
  </si>
  <si>
    <t>54219179000100</t>
  </si>
  <si>
    <t>/Users/matheusjprates/fidc/.cache/fundonet-ime/5cac18e77b791b2a25fe7591f510e4eafb96725ddc4d65cef1617a290f310791</t>
  </si>
  <si>
    <t>54248022000102</t>
  </si>
  <si>
    <t>/Users/matheusjprates/fidc/.cache/fundonet-ime/61fcba08004298c9a641280037674fb28b693dc71e7515657f0b688180de9d82</t>
  </si>
  <si>
    <t>42085816000105</t>
  </si>
  <si>
    <t>/Users/matheusjprates/fidc/.cache/fundonet-ime/163bd9171ead8306d74f4b25afadf176e9ee4de0a79511819ee45979eeccd5ff</t>
  </si>
  <si>
    <t>60356171000180</t>
  </si>
  <si>
    <t>/Users/matheusjprates/fidc/.cache/fundonet-ime/5acce43b9d41d6bd4f7a1ac802c802a0c7819d53be92ded4a19b2c907480b5ef</t>
  </si>
  <si>
    <t>status</t>
  </si>
  <si>
    <t>Sem dados</t>
  </si>
  <si>
    <t>start_comp</t>
  </si>
  <si>
    <t>end_comp</t>
  </si>
  <si>
    <t>pl_inicial</t>
  </si>
  <si>
    <t>captacoes</t>
  </si>
  <si>
    <t>resgates</t>
  </si>
  <si>
    <t>amortizacoes</t>
  </si>
  <si>
    <t>accrual_rentabilidade_residual</t>
  </si>
  <si>
    <t>pl_final</t>
  </si>
  <si>
    <t>event_rows</t>
  </si>
  <si>
    <t>02/2025</t>
  </si>
  <si>
    <t>12/2025</t>
  </si>
  <si>
    <t>/Users/matheusjprates/fidc/.cache/fundonet-ime/a11bf39426d167ec4c85ac72aa77e99d01949f974c935b125ed0ada1a7248e0e</t>
  </si>
  <si>
    <t>ok</t>
  </si>
  <si>
    <t>/Users/matheusjprates/fidc/.cache/fundonet-ime/d8ba5a45334d7fdb7c7d5fca75bf9fcad7183a8a35d8f5b8056fb62e948afc7e</t>
  </si>
  <si>
    <t>/Users/matheusjprates/fidc/.cache/fundonet-ime/8c4f1664780bc2d79b6b82349249561e13ed5e9dbb821f32db56ad7b6c2787ff</t>
  </si>
  <si>
    <t>/Users/matheusjprates/fidc/.cache/fundonet-ime/b1b4f85e32dd225f84600e7f8ef382830038da25c85782af2aee20c08fde5cc9</t>
  </si>
  <si>
    <t>/Users/matheusjprates/fidc/.cache/fundonet-ime/c39bc6024082ad74719971e723fbcbb52d1e243821eea59de9fe7d1238e998f2</t>
  </si>
  <si>
    <t>/Users/matheusjprates/fidc/.cache/fundonet-ime/38ce98fd160b68940ab5abc8c2d298e869a367699bcebd1f25151452689d5c33</t>
  </si>
  <si>
    <t>/Users/matheusjprates/fidc/.cache/fundonet-ime/052ee35a1616aafe32ac65e4310bc8fa47fdc6d84ecca2fc618f23ec57ab6004</t>
  </si>
  <si>
    <t>12/2024</t>
  </si>
  <si>
    <t>04/2025</t>
  </si>
  <si>
    <t>09/2025</t>
  </si>
  <si>
    <t>etapa</t>
  </si>
  <si>
    <t>valor</t>
  </si>
  <si>
    <t>measure</t>
  </si>
  <si>
    <t>PL inicial</t>
  </si>
  <si>
    <t>total</t>
  </si>
  <si>
    <t>Captações</t>
  </si>
  <si>
    <t>relative</t>
  </si>
  <si>
    <t>Resgates</t>
  </si>
  <si>
    <t>Amortizações</t>
  </si>
  <si>
    <t>Accrual / rentab.</t>
  </si>
  <si>
    <t>PL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</si>
</sst>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8"/>
      <color rgb="FF111111"/>
      <name val="Calibri"/>
      <family val="2"/>
    </font>
    <font>
      <sz val="10"/>
      <color rgb="FF68727D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11111"/>
      </patternFill>
    </fill>
  </fills>
  <borders count="2">
    <border>
      <left/>
      <right/>
      <top/>
      <bottom/>
      <diagonal/>
    </border>
    <border>
      <left/>
      <right/>
      <top/>
      <bottom style="thin">
        <color rgb="FFDDE3EA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 applyAlignment="1">
      <alignment vertical="center"/>
    </xf>
    <xf numFmtId="3" fontId="0" fillId="0" borderId="1" xfId="0" applyNumberFormat="1" applyBorder="1" applyAlignment="1">
      <alignment vertical="center"/>
    </xf>
    <xf numFmtId="0" fontId="3" fillId="2" borderId="0" xfId="0" applyFont="1" applyFill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Custo bruto por fundo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'Custo por Fundo'!$C$1</c:f>
              <c:strCache>
                <c:ptCount val="1"/>
                <c:pt idx="0">
                  <c:v>custo_programado_bruto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'Custo por Fundo'!$A$2:$A$11</c:f>
              <c:strCache>
                <c:ptCount val="10"/>
                <c:pt idx="0">
                  <c:v>Pi</c:v>
                </c:pt>
                <c:pt idx="1">
                  <c:v>A.I.</c:v>
                </c:pt>
                <c:pt idx="2">
                  <c:v>Bela</c:v>
                </c:pt>
                <c:pt idx="3">
                  <c:v>Big Picture I</c:v>
                </c:pt>
                <c:pt idx="4">
                  <c:v>Akira Ii</c:v>
                </c:pt>
                <c:pt idx="5">
                  <c:v>Akira I</c:v>
                </c:pt>
                <c:pt idx="6">
                  <c:v>Big Picture Ii</c:v>
                </c:pt>
                <c:pt idx="7">
                  <c:v>Kick Ass I</c:v>
                </c:pt>
                <c:pt idx="8">
                  <c:v>Big Picture Iv</c:v>
                </c:pt>
                <c:pt idx="9">
                  <c:v>Big Picture Iii</c:v>
                </c:pt>
              </c:strCache>
            </c:strRef>
          </c:cat>
          <c:val>
            <c:numRef>
              <c:f>'Custo por Fundo'!$C$2:$C$11</c:f>
              <c:numCache>
                <c:formatCode>#,##0.00</c:formatCode>
                <c:ptCount val="10"/>
                <c:pt idx="0">
                  <c:v>341408918.37</c:v>
                </c:pt>
                <c:pt idx="1">
                  <c:v>283146646.94999999</c:v>
                </c:pt>
                <c:pt idx="2">
                  <c:v>182172879.13</c:v>
                </c:pt>
                <c:pt idx="3">
                  <c:v>127660187.51000001</c:v>
                </c:pt>
                <c:pt idx="4">
                  <c:v>125684871.97</c:v>
                </c:pt>
                <c:pt idx="5">
                  <c:v>72443094.969999999</c:v>
                </c:pt>
                <c:pt idx="6">
                  <c:v>43200222.729999997</c:v>
                </c:pt>
                <c:pt idx="7">
                  <c:v>40251954.140000001</c:v>
                </c:pt>
                <c:pt idx="8">
                  <c:v>39167515.07</c:v>
                </c:pt>
                <c:pt idx="9">
                  <c:v>21717774.77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52-CE4A-B94D-17CDC77F74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Custo bruto mensal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_chart_mensal!$B$1</c:f>
              <c:strCache>
                <c:ptCount val="1"/>
                <c:pt idx="0">
                  <c:v>custo_programado_bruto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_chart_mensal!$A$2:$A$13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_chart_mensal!$B$2:$B$13</c:f>
              <c:numCache>
                <c:formatCode>#,##0.00</c:formatCode>
                <c:ptCount val="12"/>
                <c:pt idx="0">
                  <c:v>48470154.539999999</c:v>
                </c:pt>
                <c:pt idx="1">
                  <c:v>47497716.390000001</c:v>
                </c:pt>
                <c:pt idx="2">
                  <c:v>59083409.939999998</c:v>
                </c:pt>
                <c:pt idx="3">
                  <c:v>86206203.299999997</c:v>
                </c:pt>
                <c:pt idx="4">
                  <c:v>108431356.52</c:v>
                </c:pt>
                <c:pt idx="5">
                  <c:v>104362021.97</c:v>
                </c:pt>
                <c:pt idx="6">
                  <c:v>121245771.56</c:v>
                </c:pt>
                <c:pt idx="7">
                  <c:v>110207120.84999999</c:v>
                </c:pt>
                <c:pt idx="8">
                  <c:v>139804498.13999999</c:v>
                </c:pt>
                <c:pt idx="9">
                  <c:v>170853011.94</c:v>
                </c:pt>
                <c:pt idx="10">
                  <c:v>138280016.53999999</c:v>
                </c:pt>
                <c:pt idx="11">
                  <c:v>142412783.88999999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2E8-C04D-929F-825809762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Mês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R$</a:t>
                </a:r>
              </a:p>
            </c:rich>
          </c:tx>
          <c:overlay val="1"/>
        </c:title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3</xdr:row>
      <xdr:rowOff>0</xdr:rowOff>
    </xdr:from>
    <xdr:ext cx="78486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19</xdr:row>
      <xdr:rowOff>0</xdr:rowOff>
    </xdr:from>
    <xdr:ext cx="7874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pane ySplit="3" topLeftCell="A4" activePane="bottomLeft" state="frozen"/>
      <selection pane="bottomLeft" activeCell="O16" sqref="O16"/>
    </sheetView>
  </sheetViews>
  <sheetFormatPr baseColWidth="10" defaultColWidth="8.83203125" defaultRowHeight="15" x14ac:dyDescent="0.2"/>
  <cols>
    <col min="1" max="1" width="42" customWidth="1"/>
    <col min="2" max="2" width="20" customWidth="1"/>
  </cols>
  <sheetData>
    <row r="1" spans="1:2" ht="24" x14ac:dyDescent="0.3">
      <c r="A1" s="1" t="s">
        <v>0</v>
      </c>
    </row>
    <row r="2" spans="1:2" x14ac:dyDescent="0.2">
      <c r="A2" s="2" t="s">
        <v>1</v>
      </c>
    </row>
    <row r="4" spans="1:2" x14ac:dyDescent="0.2">
      <c r="A4" s="3" t="s">
        <v>2</v>
      </c>
      <c r="B4" s="4">
        <v>1276854065.6099999</v>
      </c>
    </row>
    <row r="5" spans="1:2" x14ac:dyDescent="0.2">
      <c r="A5" s="3" t="s">
        <v>3</v>
      </c>
      <c r="B5" s="4">
        <v>1276854065.6099999</v>
      </c>
    </row>
    <row r="6" spans="1:2" x14ac:dyDescent="0.2">
      <c r="A6" s="3" t="s">
        <v>4</v>
      </c>
      <c r="B6" s="4">
        <v>1589720095.48</v>
      </c>
    </row>
    <row r="7" spans="1:2" x14ac:dyDescent="0.2">
      <c r="A7" s="3" t="s">
        <v>5</v>
      </c>
      <c r="B7" s="4">
        <v>227715713.72999999</v>
      </c>
    </row>
    <row r="8" spans="1:2" x14ac:dyDescent="0.2">
      <c r="A8" s="3" t="s">
        <v>6</v>
      </c>
      <c r="B8" s="4">
        <v>1049138351.88</v>
      </c>
    </row>
    <row r="9" spans="1:2" x14ac:dyDescent="0.2">
      <c r="A9" s="3" t="s">
        <v>7</v>
      </c>
      <c r="B9" s="4">
        <v>8624140392.9400005</v>
      </c>
    </row>
    <row r="10" spans="1:2" x14ac:dyDescent="0.2">
      <c r="A10" s="3" t="s">
        <v>8</v>
      </c>
      <c r="B10" s="4">
        <v>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"/>
  <sheetViews>
    <sheetView tabSelected="1" workbookViewId="0">
      <pane ySplit="1" topLeftCell="A2" activePane="bottomLeft" state="frozen"/>
      <selection pane="bottomLeft" activeCell="E19" sqref="E19"/>
    </sheetView>
  </sheetViews>
  <sheetFormatPr baseColWidth="10" defaultColWidth="8.83203125" defaultRowHeight="15" x14ac:dyDescent="0.2"/>
  <cols>
    <col min="1" max="1" width="17" customWidth="1"/>
    <col min="2" max="2" width="39" customWidth="1"/>
    <col min="3" max="3" width="10" customWidth="1"/>
    <col min="4" max="6" width="11" customWidth="1"/>
    <col min="7" max="7" width="13" customWidth="1"/>
    <col min="8" max="8" width="11" customWidth="1"/>
    <col min="9" max="9" width="42" customWidth="1"/>
  </cols>
  <sheetData>
    <row r="1" spans="1:9" x14ac:dyDescent="0.2">
      <c r="A1" s="5" t="s">
        <v>9</v>
      </c>
      <c r="B1" s="5" t="s">
        <v>10</v>
      </c>
      <c r="C1" s="5" t="s">
        <v>11</v>
      </c>
      <c r="D1" s="5" t="s">
        <v>12</v>
      </c>
      <c r="E1" s="5" t="s">
        <v>13</v>
      </c>
      <c r="F1" s="5" t="s">
        <v>14</v>
      </c>
      <c r="G1" s="5" t="s">
        <v>15</v>
      </c>
      <c r="H1" s="5" t="s">
        <v>16</v>
      </c>
      <c r="I1" s="5" t="s">
        <v>17</v>
      </c>
    </row>
    <row r="2" spans="1:9" x14ac:dyDescent="0.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23</v>
      </c>
      <c r="H2" t="s">
        <v>24</v>
      </c>
      <c r="I2" t="s">
        <v>25</v>
      </c>
    </row>
    <row r="3" spans="1:9" x14ac:dyDescent="0.2">
      <c r="A3" t="s">
        <v>18</v>
      </c>
      <c r="B3" t="s">
        <v>26</v>
      </c>
      <c r="C3" t="s">
        <v>27</v>
      </c>
      <c r="D3" t="s">
        <v>28</v>
      </c>
      <c r="E3" t="s">
        <v>22</v>
      </c>
      <c r="F3" t="s">
        <v>29</v>
      </c>
      <c r="G3" t="s">
        <v>29</v>
      </c>
      <c r="H3" t="s">
        <v>30</v>
      </c>
      <c r="I3" t="s">
        <v>31</v>
      </c>
    </row>
    <row r="4" spans="1:9" x14ac:dyDescent="0.2">
      <c r="A4" t="s">
        <v>32</v>
      </c>
      <c r="B4" t="s">
        <v>26</v>
      </c>
      <c r="C4" t="s">
        <v>27</v>
      </c>
      <c r="D4" t="s">
        <v>33</v>
      </c>
      <c r="E4" t="s">
        <v>22</v>
      </c>
      <c r="F4" t="s">
        <v>34</v>
      </c>
      <c r="G4" t="s">
        <v>34</v>
      </c>
      <c r="H4" t="s">
        <v>35</v>
      </c>
      <c r="I4" t="s">
        <v>36</v>
      </c>
    </row>
    <row r="5" spans="1:9" x14ac:dyDescent="0.2">
      <c r="A5" t="s">
        <v>37</v>
      </c>
      <c r="B5" t="s">
        <v>38</v>
      </c>
      <c r="C5" t="s">
        <v>27</v>
      </c>
      <c r="D5" t="s">
        <v>39</v>
      </c>
      <c r="E5" t="s">
        <v>22</v>
      </c>
      <c r="F5" t="s">
        <v>40</v>
      </c>
      <c r="G5" t="s">
        <v>41</v>
      </c>
      <c r="H5" t="s">
        <v>42</v>
      </c>
      <c r="I5" t="s">
        <v>43</v>
      </c>
    </row>
    <row r="6" spans="1:9" x14ac:dyDescent="0.2">
      <c r="A6" t="s">
        <v>44</v>
      </c>
      <c r="B6" t="s">
        <v>45</v>
      </c>
      <c r="C6" t="s">
        <v>20</v>
      </c>
      <c r="D6" t="s">
        <v>39</v>
      </c>
      <c r="E6" t="s">
        <v>22</v>
      </c>
      <c r="F6" t="s">
        <v>46</v>
      </c>
      <c r="G6" t="s">
        <v>47</v>
      </c>
      <c r="H6" t="s">
        <v>48</v>
      </c>
      <c r="I6" t="s">
        <v>49</v>
      </c>
    </row>
    <row r="7" spans="1:9" x14ac:dyDescent="0.2">
      <c r="A7" t="s">
        <v>44</v>
      </c>
      <c r="B7" t="s">
        <v>50</v>
      </c>
      <c r="C7" t="s">
        <v>20</v>
      </c>
      <c r="D7" t="s">
        <v>51</v>
      </c>
      <c r="E7" t="s">
        <v>22</v>
      </c>
      <c r="F7" t="s">
        <v>23</v>
      </c>
      <c r="G7" t="s">
        <v>52</v>
      </c>
      <c r="H7" t="s">
        <v>53</v>
      </c>
      <c r="I7" t="s">
        <v>54</v>
      </c>
    </row>
    <row r="8" spans="1:9" x14ac:dyDescent="0.2">
      <c r="A8" t="s">
        <v>44</v>
      </c>
      <c r="B8" t="s">
        <v>26</v>
      </c>
      <c r="C8" t="s">
        <v>27</v>
      </c>
      <c r="D8" t="s">
        <v>55</v>
      </c>
      <c r="E8" t="s">
        <v>22</v>
      </c>
      <c r="F8" t="s">
        <v>56</v>
      </c>
      <c r="G8" t="s">
        <v>57</v>
      </c>
      <c r="H8" t="s">
        <v>58</v>
      </c>
      <c r="I8" t="s">
        <v>59</v>
      </c>
    </row>
    <row r="9" spans="1:9" x14ac:dyDescent="0.2">
      <c r="A9" t="s">
        <v>44</v>
      </c>
      <c r="B9" t="s">
        <v>60</v>
      </c>
      <c r="C9" t="s">
        <v>20</v>
      </c>
      <c r="D9" t="s">
        <v>39</v>
      </c>
      <c r="E9" t="s">
        <v>22</v>
      </c>
      <c r="F9" t="s">
        <v>61</v>
      </c>
      <c r="G9" t="s">
        <v>62</v>
      </c>
      <c r="H9" t="s">
        <v>62</v>
      </c>
      <c r="I9" t="s">
        <v>63</v>
      </c>
    </row>
    <row r="10" spans="1:9" x14ac:dyDescent="0.2">
      <c r="A10" t="s">
        <v>44</v>
      </c>
      <c r="B10" t="s">
        <v>64</v>
      </c>
      <c r="C10" t="s">
        <v>20</v>
      </c>
      <c r="D10" t="s">
        <v>51</v>
      </c>
      <c r="E10" t="s">
        <v>22</v>
      </c>
      <c r="F10" t="s">
        <v>65</v>
      </c>
      <c r="G10" t="s">
        <v>62</v>
      </c>
      <c r="H10" t="s">
        <v>62</v>
      </c>
      <c r="I10" t="s">
        <v>66</v>
      </c>
    </row>
    <row r="11" spans="1:9" x14ac:dyDescent="0.2">
      <c r="A11" t="s">
        <v>44</v>
      </c>
      <c r="B11" t="s">
        <v>67</v>
      </c>
      <c r="C11" t="s">
        <v>27</v>
      </c>
      <c r="D11" t="s">
        <v>55</v>
      </c>
      <c r="E11" t="s">
        <v>22</v>
      </c>
      <c r="F11" t="s">
        <v>68</v>
      </c>
      <c r="G11" t="s">
        <v>62</v>
      </c>
      <c r="H11" t="s">
        <v>62</v>
      </c>
      <c r="I11" t="s">
        <v>69</v>
      </c>
    </row>
    <row r="12" spans="1:9" x14ac:dyDescent="0.2">
      <c r="A12" t="s">
        <v>70</v>
      </c>
      <c r="B12" t="s">
        <v>26</v>
      </c>
      <c r="C12" t="s">
        <v>27</v>
      </c>
      <c r="D12" t="s">
        <v>71</v>
      </c>
      <c r="E12" t="s">
        <v>72</v>
      </c>
      <c r="F12" t="s">
        <v>73</v>
      </c>
      <c r="G12" t="s">
        <v>73</v>
      </c>
      <c r="H12" t="s">
        <v>74</v>
      </c>
      <c r="I12" t="s">
        <v>75</v>
      </c>
    </row>
    <row r="13" spans="1:9" x14ac:dyDescent="0.2">
      <c r="A13" t="s">
        <v>76</v>
      </c>
      <c r="B13" t="s">
        <v>26</v>
      </c>
      <c r="C13" t="s">
        <v>27</v>
      </c>
      <c r="D13" t="s">
        <v>77</v>
      </c>
      <c r="E13" t="s">
        <v>72</v>
      </c>
      <c r="F13" t="s">
        <v>78</v>
      </c>
      <c r="G13" t="s">
        <v>78</v>
      </c>
      <c r="H13" t="s">
        <v>79</v>
      </c>
      <c r="I13" t="s">
        <v>80</v>
      </c>
    </row>
    <row r="14" spans="1:9" x14ac:dyDescent="0.2">
      <c r="A14" t="s">
        <v>81</v>
      </c>
      <c r="B14" t="s">
        <v>26</v>
      </c>
      <c r="C14" t="s">
        <v>27</v>
      </c>
      <c r="D14" t="s">
        <v>82</v>
      </c>
      <c r="E14" t="s">
        <v>72</v>
      </c>
      <c r="F14" t="s">
        <v>83</v>
      </c>
      <c r="G14" t="s">
        <v>83</v>
      </c>
      <c r="H14" t="s">
        <v>84</v>
      </c>
      <c r="I14" t="s">
        <v>85</v>
      </c>
    </row>
    <row r="15" spans="1:9" x14ac:dyDescent="0.2">
      <c r="A15" t="s">
        <v>86</v>
      </c>
      <c r="B15" t="s">
        <v>26</v>
      </c>
      <c r="C15" t="s">
        <v>27</v>
      </c>
      <c r="D15" t="s">
        <v>87</v>
      </c>
      <c r="E15" t="s">
        <v>72</v>
      </c>
      <c r="F15" t="s">
        <v>88</v>
      </c>
      <c r="G15" t="s">
        <v>88</v>
      </c>
      <c r="H15" t="s">
        <v>89</v>
      </c>
      <c r="I15" t="s">
        <v>90</v>
      </c>
    </row>
    <row r="16" spans="1:9" x14ac:dyDescent="0.2">
      <c r="A16" t="s">
        <v>91</v>
      </c>
      <c r="B16" t="s">
        <v>26</v>
      </c>
      <c r="C16" t="s">
        <v>27</v>
      </c>
      <c r="D16" t="s">
        <v>92</v>
      </c>
      <c r="E16" t="s">
        <v>22</v>
      </c>
      <c r="F16" t="s">
        <v>78</v>
      </c>
      <c r="G16" t="s">
        <v>93</v>
      </c>
      <c r="H16" t="s">
        <v>94</v>
      </c>
      <c r="I16" t="s">
        <v>95</v>
      </c>
    </row>
    <row r="17" spans="1:9" x14ac:dyDescent="0.2">
      <c r="A17" t="s">
        <v>96</v>
      </c>
      <c r="B17" t="s">
        <v>45</v>
      </c>
      <c r="C17" t="s">
        <v>20</v>
      </c>
      <c r="D17" t="s">
        <v>97</v>
      </c>
      <c r="E17" t="s">
        <v>22</v>
      </c>
      <c r="F17" t="s">
        <v>98</v>
      </c>
      <c r="G17" t="s">
        <v>99</v>
      </c>
      <c r="H17" t="s">
        <v>100</v>
      </c>
      <c r="I17" t="s">
        <v>101</v>
      </c>
    </row>
    <row r="18" spans="1:9" x14ac:dyDescent="0.2">
      <c r="A18" t="s">
        <v>96</v>
      </c>
      <c r="B18" t="s">
        <v>50</v>
      </c>
      <c r="C18" t="s">
        <v>20</v>
      </c>
      <c r="D18" t="s">
        <v>102</v>
      </c>
      <c r="E18" t="s">
        <v>22</v>
      </c>
      <c r="F18" t="s">
        <v>103</v>
      </c>
      <c r="G18" t="s">
        <v>104</v>
      </c>
      <c r="H18" t="s">
        <v>105</v>
      </c>
      <c r="I18" t="s">
        <v>106</v>
      </c>
    </row>
    <row r="19" spans="1:9" x14ac:dyDescent="0.2">
      <c r="A19" t="s">
        <v>96</v>
      </c>
      <c r="B19" t="s">
        <v>26</v>
      </c>
      <c r="C19" t="s">
        <v>27</v>
      </c>
      <c r="D19" t="s">
        <v>107</v>
      </c>
      <c r="E19" t="s">
        <v>22</v>
      </c>
      <c r="F19" t="s">
        <v>108</v>
      </c>
      <c r="G19" t="s">
        <v>109</v>
      </c>
      <c r="H19" t="s">
        <v>110</v>
      </c>
      <c r="I19" t="s">
        <v>111</v>
      </c>
    </row>
    <row r="20" spans="1:9" x14ac:dyDescent="0.2">
      <c r="A20" t="s">
        <v>96</v>
      </c>
      <c r="B20" t="s">
        <v>67</v>
      </c>
      <c r="C20" t="s">
        <v>27</v>
      </c>
      <c r="D20" t="s">
        <v>107</v>
      </c>
      <c r="E20" t="s">
        <v>22</v>
      </c>
      <c r="F20" t="s">
        <v>57</v>
      </c>
      <c r="G20" t="s">
        <v>112</v>
      </c>
      <c r="H20" t="s">
        <v>113</v>
      </c>
      <c r="I20" t="s">
        <v>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42" customWidth="1"/>
    <col min="2" max="2" width="17" customWidth="1"/>
    <col min="3" max="3" width="20" customWidth="1"/>
    <col min="4" max="4" width="39" customWidth="1"/>
    <col min="5" max="5" width="13" customWidth="1"/>
    <col min="6" max="6" width="12" customWidth="1"/>
    <col min="7" max="7" width="20" customWidth="1"/>
    <col min="8" max="8" width="22" customWidth="1"/>
    <col min="9" max="11" width="24" customWidth="1"/>
    <col min="12" max="12" width="33" customWidth="1"/>
    <col min="13" max="14" width="42" customWidth="1"/>
  </cols>
  <sheetData>
    <row r="1" spans="1:14" x14ac:dyDescent="0.2">
      <c r="A1" s="5" t="s">
        <v>115</v>
      </c>
      <c r="B1" s="5" t="s">
        <v>116</v>
      </c>
      <c r="C1" s="5" t="s">
        <v>117</v>
      </c>
      <c r="D1" s="5" t="s">
        <v>118</v>
      </c>
      <c r="E1" s="5" t="s">
        <v>119</v>
      </c>
      <c r="F1" s="5" t="s">
        <v>120</v>
      </c>
      <c r="G1" s="5" t="s">
        <v>121</v>
      </c>
      <c r="H1" s="5" t="s">
        <v>122</v>
      </c>
      <c r="I1" s="5" t="s">
        <v>123</v>
      </c>
      <c r="J1" s="5" t="s">
        <v>124</v>
      </c>
      <c r="K1" s="5" t="s">
        <v>125</v>
      </c>
      <c r="L1" s="5" t="s">
        <v>126</v>
      </c>
      <c r="M1" s="5" t="s">
        <v>127</v>
      </c>
      <c r="N1" s="5" t="s">
        <v>128</v>
      </c>
    </row>
    <row r="2" spans="1:14" x14ac:dyDescent="0.2">
      <c r="A2" t="s">
        <v>129</v>
      </c>
      <c r="B2" t="s">
        <v>18</v>
      </c>
      <c r="C2" t="s">
        <v>130</v>
      </c>
      <c r="D2" t="s">
        <v>26</v>
      </c>
      <c r="E2" t="s">
        <v>131</v>
      </c>
      <c r="F2" t="s">
        <v>132</v>
      </c>
      <c r="G2" s="6">
        <v>8.5000000000000006E-3</v>
      </c>
      <c r="H2" s="6">
        <v>1680000000</v>
      </c>
      <c r="I2" s="6">
        <v>1680000000</v>
      </c>
      <c r="J2" s="6">
        <v>0</v>
      </c>
      <c r="K2" s="6">
        <v>238565611.25</v>
      </c>
      <c r="L2" t="s">
        <v>133</v>
      </c>
      <c r="N2" t="s">
        <v>134</v>
      </c>
    </row>
    <row r="3" spans="1:14" x14ac:dyDescent="0.2">
      <c r="A3" t="s">
        <v>135</v>
      </c>
      <c r="B3" t="s">
        <v>96</v>
      </c>
      <c r="C3" t="s">
        <v>136</v>
      </c>
      <c r="D3" t="s">
        <v>26</v>
      </c>
      <c r="E3" t="s">
        <v>131</v>
      </c>
      <c r="F3" t="s">
        <v>137</v>
      </c>
      <c r="G3" s="6">
        <v>9.4999999999999998E-3</v>
      </c>
      <c r="H3" s="6">
        <v>0</v>
      </c>
      <c r="I3" s="6">
        <v>1197945205.48</v>
      </c>
      <c r="J3" s="6">
        <v>0</v>
      </c>
      <c r="K3" s="6">
        <v>175754780.13</v>
      </c>
      <c r="L3" t="s">
        <v>138</v>
      </c>
      <c r="N3" t="s">
        <v>139</v>
      </c>
    </row>
    <row r="4" spans="1:14" x14ac:dyDescent="0.2">
      <c r="A4" t="s">
        <v>140</v>
      </c>
      <c r="B4" t="s">
        <v>44</v>
      </c>
      <c r="C4" t="s">
        <v>141</v>
      </c>
      <c r="D4" t="s">
        <v>26</v>
      </c>
      <c r="E4" t="s">
        <v>131</v>
      </c>
      <c r="F4" t="s">
        <v>142</v>
      </c>
      <c r="G4" s="6">
        <v>7.4999999999999997E-3</v>
      </c>
      <c r="H4" s="6">
        <v>0</v>
      </c>
      <c r="I4" s="6">
        <v>1066222167.12</v>
      </c>
      <c r="J4" s="6">
        <v>0</v>
      </c>
      <c r="K4" s="6">
        <v>155079301.16999999</v>
      </c>
      <c r="L4" t="s">
        <v>138</v>
      </c>
      <c r="N4" t="s">
        <v>143</v>
      </c>
    </row>
    <row r="5" spans="1:14" x14ac:dyDescent="0.2">
      <c r="A5" t="s">
        <v>144</v>
      </c>
      <c r="B5" t="s">
        <v>70</v>
      </c>
      <c r="C5" t="s">
        <v>145</v>
      </c>
      <c r="D5" t="s">
        <v>26</v>
      </c>
      <c r="E5" t="s">
        <v>131</v>
      </c>
      <c r="F5" t="s">
        <v>146</v>
      </c>
      <c r="G5" s="6">
        <v>1.2E-2</v>
      </c>
      <c r="H5" s="6">
        <v>877500000</v>
      </c>
      <c r="I5" s="6">
        <v>877500000</v>
      </c>
      <c r="J5" s="6">
        <v>0</v>
      </c>
      <c r="K5" s="6">
        <v>127660187.51000001</v>
      </c>
      <c r="L5" t="s">
        <v>138</v>
      </c>
      <c r="M5" t="s">
        <v>147</v>
      </c>
      <c r="N5" t="s">
        <v>148</v>
      </c>
    </row>
    <row r="6" spans="1:14" x14ac:dyDescent="0.2">
      <c r="A6" t="s">
        <v>149</v>
      </c>
      <c r="B6" t="s">
        <v>37</v>
      </c>
      <c r="C6" t="s">
        <v>150</v>
      </c>
      <c r="D6" t="s">
        <v>38</v>
      </c>
      <c r="E6" t="s">
        <v>131</v>
      </c>
      <c r="F6" t="s">
        <v>151</v>
      </c>
      <c r="G6" s="6">
        <v>1.35E-2</v>
      </c>
      <c r="H6" s="6">
        <v>0</v>
      </c>
      <c r="I6" s="6">
        <v>843445726.64999998</v>
      </c>
      <c r="J6" s="6">
        <v>1439998093.0999999</v>
      </c>
      <c r="K6" s="6">
        <v>125684871.97</v>
      </c>
      <c r="L6" t="s">
        <v>152</v>
      </c>
      <c r="N6" t="s">
        <v>153</v>
      </c>
    </row>
    <row r="7" spans="1:14" x14ac:dyDescent="0.2">
      <c r="A7" t="s">
        <v>135</v>
      </c>
      <c r="B7" t="s">
        <v>96</v>
      </c>
      <c r="C7" t="s">
        <v>136</v>
      </c>
      <c r="D7" t="s">
        <v>67</v>
      </c>
      <c r="E7" t="s">
        <v>131</v>
      </c>
      <c r="F7" t="s">
        <v>137</v>
      </c>
      <c r="G7" s="6">
        <v>9.4999999999999998E-3</v>
      </c>
      <c r="H7" s="6">
        <v>0</v>
      </c>
      <c r="I7" s="6">
        <v>777251869.66999996</v>
      </c>
      <c r="J7" s="6">
        <v>0</v>
      </c>
      <c r="K7" s="6">
        <v>114033372.17</v>
      </c>
      <c r="L7" t="s">
        <v>138</v>
      </c>
      <c r="N7" t="s">
        <v>154</v>
      </c>
    </row>
    <row r="8" spans="1:14" x14ac:dyDescent="0.2">
      <c r="A8" t="s">
        <v>155</v>
      </c>
      <c r="B8" t="s">
        <v>32</v>
      </c>
      <c r="C8" t="s">
        <v>156</v>
      </c>
      <c r="D8" t="s">
        <v>26</v>
      </c>
      <c r="E8" t="s">
        <v>131</v>
      </c>
      <c r="F8" t="s">
        <v>157</v>
      </c>
      <c r="G8" s="6">
        <v>1.14E-2</v>
      </c>
      <c r="H8" s="6">
        <v>500000000</v>
      </c>
      <c r="I8" s="6">
        <v>500000000</v>
      </c>
      <c r="J8" s="6">
        <v>0</v>
      </c>
      <c r="K8" s="6">
        <v>72443094.969999999</v>
      </c>
      <c r="L8" t="s">
        <v>138</v>
      </c>
      <c r="M8" t="s">
        <v>147</v>
      </c>
      <c r="N8" t="s">
        <v>158</v>
      </c>
    </row>
    <row r="9" spans="1:14" x14ac:dyDescent="0.2">
      <c r="A9" t="s">
        <v>129</v>
      </c>
      <c r="B9" t="s">
        <v>18</v>
      </c>
      <c r="C9" t="s">
        <v>130</v>
      </c>
      <c r="D9" t="s">
        <v>19</v>
      </c>
      <c r="E9" t="s">
        <v>159</v>
      </c>
      <c r="F9" t="s">
        <v>132</v>
      </c>
      <c r="G9" s="6">
        <v>3.85E-2</v>
      </c>
      <c r="H9" s="6">
        <v>260000000</v>
      </c>
      <c r="I9" s="6">
        <v>260000000</v>
      </c>
      <c r="J9" s="6">
        <v>0</v>
      </c>
      <c r="K9" s="6">
        <v>44581035.700000003</v>
      </c>
      <c r="L9" t="s">
        <v>160</v>
      </c>
      <c r="M9" t="s">
        <v>161</v>
      </c>
      <c r="N9" t="s">
        <v>162</v>
      </c>
    </row>
    <row r="10" spans="1:14" x14ac:dyDescent="0.2">
      <c r="A10" t="s">
        <v>163</v>
      </c>
      <c r="B10" t="s">
        <v>76</v>
      </c>
      <c r="C10" t="s">
        <v>164</v>
      </c>
      <c r="D10" t="s">
        <v>26</v>
      </c>
      <c r="E10" t="s">
        <v>131</v>
      </c>
      <c r="F10" t="s">
        <v>146</v>
      </c>
      <c r="G10" s="6">
        <v>1.4999999999999999E-2</v>
      </c>
      <c r="H10" s="6">
        <v>291000000</v>
      </c>
      <c r="I10" s="6">
        <v>291000000</v>
      </c>
      <c r="J10" s="6">
        <v>0</v>
      </c>
      <c r="K10" s="6">
        <v>43200222.729999997</v>
      </c>
      <c r="L10" t="s">
        <v>138</v>
      </c>
      <c r="M10" t="s">
        <v>147</v>
      </c>
      <c r="N10" t="s">
        <v>165</v>
      </c>
    </row>
    <row r="11" spans="1:14" x14ac:dyDescent="0.2">
      <c r="A11" t="s">
        <v>166</v>
      </c>
      <c r="B11" t="s">
        <v>91</v>
      </c>
      <c r="C11" t="s">
        <v>167</v>
      </c>
      <c r="D11" t="s">
        <v>26</v>
      </c>
      <c r="E11" t="s">
        <v>131</v>
      </c>
      <c r="F11" t="s">
        <v>168</v>
      </c>
      <c r="G11" s="6">
        <v>1.15E-2</v>
      </c>
      <c r="H11" s="6">
        <v>291000000</v>
      </c>
      <c r="I11" s="6">
        <v>277579452.05000001</v>
      </c>
      <c r="J11" s="6">
        <v>97000000</v>
      </c>
      <c r="K11" s="6">
        <v>40251954.140000001</v>
      </c>
      <c r="L11" t="s">
        <v>138</v>
      </c>
      <c r="M11" t="s">
        <v>147</v>
      </c>
      <c r="N11" t="s">
        <v>169</v>
      </c>
    </row>
    <row r="12" spans="1:14" x14ac:dyDescent="0.2">
      <c r="A12" t="s">
        <v>170</v>
      </c>
      <c r="B12" t="s">
        <v>86</v>
      </c>
      <c r="C12" t="s">
        <v>171</v>
      </c>
      <c r="D12" t="s">
        <v>26</v>
      </c>
      <c r="E12" t="s">
        <v>131</v>
      </c>
      <c r="F12" t="s">
        <v>172</v>
      </c>
      <c r="G12" s="6">
        <v>0.03</v>
      </c>
      <c r="H12" s="6">
        <v>240000000</v>
      </c>
      <c r="I12" s="6">
        <v>240000000</v>
      </c>
      <c r="J12" s="6">
        <v>0</v>
      </c>
      <c r="K12" s="6">
        <v>39167515.07</v>
      </c>
      <c r="L12" t="s">
        <v>138</v>
      </c>
      <c r="M12" t="s">
        <v>147</v>
      </c>
      <c r="N12" t="s">
        <v>173</v>
      </c>
    </row>
    <row r="13" spans="1:14" x14ac:dyDescent="0.2">
      <c r="A13" t="s">
        <v>135</v>
      </c>
      <c r="B13" t="s">
        <v>96</v>
      </c>
      <c r="C13" t="s">
        <v>136</v>
      </c>
      <c r="D13" t="s">
        <v>50</v>
      </c>
      <c r="E13" t="s">
        <v>159</v>
      </c>
      <c r="F13" t="s">
        <v>137</v>
      </c>
      <c r="G13" s="6">
        <v>4.99E-2</v>
      </c>
      <c r="H13" s="6">
        <v>0</v>
      </c>
      <c r="I13" s="6">
        <v>141085506</v>
      </c>
      <c r="J13" s="6">
        <v>0</v>
      </c>
      <c r="K13" s="6">
        <v>26251435.379999999</v>
      </c>
      <c r="L13" t="s">
        <v>160</v>
      </c>
      <c r="M13" t="s">
        <v>161</v>
      </c>
      <c r="N13" t="s">
        <v>174</v>
      </c>
    </row>
    <row r="14" spans="1:14" x14ac:dyDescent="0.2">
      <c r="A14" t="s">
        <v>135</v>
      </c>
      <c r="B14" t="s">
        <v>96</v>
      </c>
      <c r="C14" t="s">
        <v>136</v>
      </c>
      <c r="D14" t="s">
        <v>45</v>
      </c>
      <c r="E14" t="s">
        <v>159</v>
      </c>
      <c r="F14" t="s">
        <v>137</v>
      </c>
      <c r="G14" s="6">
        <v>1.7000000000000001E-2</v>
      </c>
      <c r="H14" s="6">
        <v>0</v>
      </c>
      <c r="I14" s="6">
        <v>164599756.38</v>
      </c>
      <c r="J14" s="6">
        <v>0</v>
      </c>
      <c r="K14" s="6">
        <v>25369330.690000001</v>
      </c>
      <c r="L14" t="s">
        <v>160</v>
      </c>
      <c r="M14" t="s">
        <v>161</v>
      </c>
      <c r="N14" t="s">
        <v>175</v>
      </c>
    </row>
    <row r="15" spans="1:14" x14ac:dyDescent="0.2">
      <c r="A15" t="s">
        <v>176</v>
      </c>
      <c r="B15" t="s">
        <v>81</v>
      </c>
      <c r="C15" t="s">
        <v>177</v>
      </c>
      <c r="D15" t="s">
        <v>26</v>
      </c>
      <c r="E15" t="s">
        <v>131</v>
      </c>
      <c r="F15" t="s">
        <v>146</v>
      </c>
      <c r="G15" s="6">
        <v>1.9E-2</v>
      </c>
      <c r="H15" s="6">
        <v>142500000</v>
      </c>
      <c r="I15" s="6">
        <v>142500000</v>
      </c>
      <c r="J15" s="6">
        <v>0</v>
      </c>
      <c r="K15" s="6">
        <v>21717774.77</v>
      </c>
      <c r="L15" t="s">
        <v>138</v>
      </c>
      <c r="M15" t="s">
        <v>147</v>
      </c>
      <c r="N15" t="s">
        <v>178</v>
      </c>
    </row>
    <row r="16" spans="1:14" x14ac:dyDescent="0.2">
      <c r="A16" t="s">
        <v>140</v>
      </c>
      <c r="B16" t="s">
        <v>44</v>
      </c>
      <c r="C16" t="s">
        <v>141</v>
      </c>
      <c r="D16" t="s">
        <v>50</v>
      </c>
      <c r="E16" t="s">
        <v>159</v>
      </c>
      <c r="F16" t="s">
        <v>142</v>
      </c>
      <c r="G16" s="6">
        <v>4.2000000000000003E-2</v>
      </c>
      <c r="H16" s="6">
        <v>0</v>
      </c>
      <c r="I16" s="6">
        <v>76158789.040000007</v>
      </c>
      <c r="J16" s="6">
        <v>0</v>
      </c>
      <c r="K16" s="6">
        <v>13642953.07</v>
      </c>
      <c r="L16" t="s">
        <v>160</v>
      </c>
      <c r="M16" t="s">
        <v>161</v>
      </c>
      <c r="N16" t="s">
        <v>179</v>
      </c>
    </row>
    <row r="17" spans="1:14" x14ac:dyDescent="0.2">
      <c r="A17" t="s">
        <v>140</v>
      </c>
      <c r="B17" t="s">
        <v>44</v>
      </c>
      <c r="C17" t="s">
        <v>141</v>
      </c>
      <c r="D17" t="s">
        <v>45</v>
      </c>
      <c r="E17" t="s">
        <v>159</v>
      </c>
      <c r="F17" t="s">
        <v>142</v>
      </c>
      <c r="G17" s="6">
        <v>1.35E-2</v>
      </c>
      <c r="H17" s="6">
        <v>0</v>
      </c>
      <c r="I17" s="6">
        <v>88851920.549999997</v>
      </c>
      <c r="J17" s="6">
        <v>0</v>
      </c>
      <c r="K17" s="6">
        <v>13450624.890000001</v>
      </c>
      <c r="L17" t="s">
        <v>160</v>
      </c>
      <c r="M17" t="s">
        <v>161</v>
      </c>
      <c r="N17" t="s">
        <v>180</v>
      </c>
    </row>
    <row r="18" spans="1:14" x14ac:dyDescent="0.2">
      <c r="A18" t="s">
        <v>140</v>
      </c>
      <c r="B18" t="s">
        <v>44</v>
      </c>
      <c r="C18" t="s">
        <v>141</v>
      </c>
      <c r="D18" t="s">
        <v>67</v>
      </c>
      <c r="E18" t="s">
        <v>131</v>
      </c>
      <c r="F18" t="s">
        <v>181</v>
      </c>
      <c r="G18" s="6">
        <v>7.4999999999999997E-3</v>
      </c>
      <c r="H18" s="6">
        <v>0</v>
      </c>
      <c r="I18" s="6">
        <v>0</v>
      </c>
      <c r="J18" s="6">
        <v>0</v>
      </c>
      <c r="K18" s="6">
        <v>0</v>
      </c>
      <c r="L18" t="s">
        <v>138</v>
      </c>
      <c r="N18" t="s">
        <v>182</v>
      </c>
    </row>
    <row r="19" spans="1:14" x14ac:dyDescent="0.2">
      <c r="A19" t="s">
        <v>140</v>
      </c>
      <c r="B19" t="s">
        <v>44</v>
      </c>
      <c r="C19" t="s">
        <v>141</v>
      </c>
      <c r="D19" t="s">
        <v>60</v>
      </c>
      <c r="E19" t="s">
        <v>159</v>
      </c>
      <c r="F19" t="s">
        <v>181</v>
      </c>
      <c r="G19" s="6">
        <v>1.35E-2</v>
      </c>
      <c r="H19" s="6">
        <v>0</v>
      </c>
      <c r="I19" s="6">
        <v>0</v>
      </c>
      <c r="J19" s="6">
        <v>0</v>
      </c>
      <c r="K19" s="6">
        <v>0</v>
      </c>
      <c r="L19" t="s">
        <v>160</v>
      </c>
      <c r="M19" t="s">
        <v>161</v>
      </c>
      <c r="N19" t="s">
        <v>183</v>
      </c>
    </row>
    <row r="20" spans="1:14" x14ac:dyDescent="0.2">
      <c r="A20" t="s">
        <v>140</v>
      </c>
      <c r="B20" t="s">
        <v>44</v>
      </c>
      <c r="C20" t="s">
        <v>141</v>
      </c>
      <c r="D20" t="s">
        <v>64</v>
      </c>
      <c r="E20" t="s">
        <v>159</v>
      </c>
      <c r="F20" t="s">
        <v>181</v>
      </c>
      <c r="G20" s="6">
        <v>4.2000000000000003E-2</v>
      </c>
      <c r="H20" s="6">
        <v>0</v>
      </c>
      <c r="I20" s="6">
        <v>0</v>
      </c>
      <c r="J20" s="6">
        <v>0</v>
      </c>
      <c r="K20" s="6">
        <v>0</v>
      </c>
      <c r="L20" t="s">
        <v>160</v>
      </c>
      <c r="M20" t="s">
        <v>161</v>
      </c>
      <c r="N20" t="s">
        <v>184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5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42" customWidth="1"/>
    <col min="3" max="3" width="20" customWidth="1"/>
    <col min="4" max="4" width="39" customWidth="1"/>
    <col min="5" max="5" width="13" customWidth="1"/>
    <col min="6" max="6" width="14" customWidth="1"/>
    <col min="7" max="7" width="15" customWidth="1"/>
    <col min="8" max="8" width="12" customWidth="1"/>
    <col min="9" max="9" width="24" customWidth="1"/>
    <col min="10" max="10" width="14" customWidth="1"/>
    <col min="11" max="12" width="20" customWidth="1"/>
    <col min="13" max="13" width="15" customWidth="1"/>
  </cols>
  <sheetData>
    <row r="1" spans="1:13" x14ac:dyDescent="0.2">
      <c r="A1" s="5" t="s">
        <v>185</v>
      </c>
      <c r="B1" s="5" t="s">
        <v>115</v>
      </c>
      <c r="C1" s="5" t="s">
        <v>117</v>
      </c>
      <c r="D1" s="5" t="s">
        <v>118</v>
      </c>
      <c r="E1" s="5" t="s">
        <v>119</v>
      </c>
      <c r="F1" s="5" t="s">
        <v>186</v>
      </c>
      <c r="G1" s="5" t="s">
        <v>187</v>
      </c>
      <c r="H1" s="5" t="s">
        <v>188</v>
      </c>
      <c r="I1" s="5" t="s">
        <v>125</v>
      </c>
      <c r="J1" s="5" t="s">
        <v>189</v>
      </c>
      <c r="K1" s="5" t="s">
        <v>190</v>
      </c>
      <c r="L1" s="5" t="s">
        <v>121</v>
      </c>
      <c r="M1" s="5" t="s">
        <v>191</v>
      </c>
    </row>
    <row r="2" spans="1:13" x14ac:dyDescent="0.2">
      <c r="A2" t="s">
        <v>192</v>
      </c>
      <c r="B2" t="s">
        <v>166</v>
      </c>
      <c r="C2" t="s">
        <v>167</v>
      </c>
      <c r="D2" t="s">
        <v>26</v>
      </c>
      <c r="E2" t="s">
        <v>131</v>
      </c>
      <c r="F2" s="6">
        <v>291000000</v>
      </c>
      <c r="G2">
        <v>31</v>
      </c>
      <c r="H2">
        <v>22</v>
      </c>
      <c r="I2" s="6">
        <v>3242005.71</v>
      </c>
      <c r="J2" s="6">
        <v>1.01320561E-2</v>
      </c>
      <c r="K2">
        <v>22</v>
      </c>
      <c r="L2" s="6">
        <v>1.15E-2</v>
      </c>
      <c r="M2" s="6">
        <v>0.15474265000000001</v>
      </c>
    </row>
    <row r="3" spans="1:13" x14ac:dyDescent="0.2">
      <c r="A3" t="s">
        <v>193</v>
      </c>
      <c r="B3" t="s">
        <v>166</v>
      </c>
      <c r="C3" t="s">
        <v>167</v>
      </c>
      <c r="D3" t="s">
        <v>26</v>
      </c>
      <c r="E3" t="s">
        <v>131</v>
      </c>
      <c r="F3" s="6">
        <v>291000000</v>
      </c>
      <c r="G3">
        <v>28</v>
      </c>
      <c r="H3">
        <v>20</v>
      </c>
      <c r="I3" s="6">
        <v>3134119.35</v>
      </c>
      <c r="J3" s="6">
        <v>9.8533215999999993E-3</v>
      </c>
      <c r="K3">
        <v>20</v>
      </c>
      <c r="L3" s="6">
        <v>1.15E-2</v>
      </c>
      <c r="M3" s="6">
        <v>0.15474265000000001</v>
      </c>
    </row>
    <row r="4" spans="1:13" x14ac:dyDescent="0.2">
      <c r="A4" t="s">
        <v>194</v>
      </c>
      <c r="B4" t="s">
        <v>166</v>
      </c>
      <c r="C4" t="s">
        <v>167</v>
      </c>
      <c r="D4" t="s">
        <v>26</v>
      </c>
      <c r="E4" t="s">
        <v>131</v>
      </c>
      <c r="F4" s="6">
        <v>291000000</v>
      </c>
      <c r="G4">
        <v>31</v>
      </c>
      <c r="H4">
        <v>19</v>
      </c>
      <c r="I4" s="6">
        <v>3058743.66</v>
      </c>
      <c r="J4" s="6">
        <v>9.6403444000000005E-3</v>
      </c>
      <c r="K4">
        <v>19</v>
      </c>
      <c r="L4" s="6">
        <v>1.15E-2</v>
      </c>
      <c r="M4" s="6">
        <v>0.15474265000000001</v>
      </c>
    </row>
    <row r="5" spans="1:13" x14ac:dyDescent="0.2">
      <c r="A5" t="s">
        <v>195</v>
      </c>
      <c r="B5" t="s">
        <v>166</v>
      </c>
      <c r="C5" t="s">
        <v>167</v>
      </c>
      <c r="D5" t="s">
        <v>26</v>
      </c>
      <c r="E5" t="s">
        <v>131</v>
      </c>
      <c r="F5" s="6">
        <v>291000000</v>
      </c>
      <c r="G5">
        <v>30</v>
      </c>
      <c r="H5">
        <v>20</v>
      </c>
      <c r="I5" s="6">
        <v>3339594.77</v>
      </c>
      <c r="J5" s="6">
        <v>1.05587822E-2</v>
      </c>
      <c r="K5">
        <v>20</v>
      </c>
      <c r="L5" s="6">
        <v>1.15E-2</v>
      </c>
      <c r="M5" s="6">
        <v>0.15474265000000001</v>
      </c>
    </row>
    <row r="6" spans="1:13" x14ac:dyDescent="0.2">
      <c r="A6" t="s">
        <v>196</v>
      </c>
      <c r="B6" t="s">
        <v>166</v>
      </c>
      <c r="C6" t="s">
        <v>167</v>
      </c>
      <c r="D6" t="s">
        <v>26</v>
      </c>
      <c r="E6" t="s">
        <v>131</v>
      </c>
      <c r="F6" s="6">
        <v>291000000</v>
      </c>
      <c r="G6">
        <v>31</v>
      </c>
      <c r="H6">
        <v>21</v>
      </c>
      <c r="I6" s="6">
        <v>3594423.68</v>
      </c>
      <c r="J6" s="6">
        <v>1.1387796299999999E-2</v>
      </c>
      <c r="K6">
        <v>21</v>
      </c>
      <c r="L6" s="6">
        <v>1.15E-2</v>
      </c>
      <c r="M6" s="6">
        <v>0.15474265000000001</v>
      </c>
    </row>
    <row r="7" spans="1:13" x14ac:dyDescent="0.2">
      <c r="A7" t="s">
        <v>197</v>
      </c>
      <c r="B7" t="s">
        <v>166</v>
      </c>
      <c r="C7" t="s">
        <v>167</v>
      </c>
      <c r="D7" t="s">
        <v>26</v>
      </c>
      <c r="E7" t="s">
        <v>131</v>
      </c>
      <c r="F7" s="6">
        <v>291000000</v>
      </c>
      <c r="G7">
        <v>30</v>
      </c>
      <c r="H7">
        <v>20</v>
      </c>
      <c r="I7" s="6">
        <v>3459527.49</v>
      </c>
      <c r="J7" s="6">
        <v>1.0970548300000001E-2</v>
      </c>
      <c r="K7">
        <v>20</v>
      </c>
      <c r="L7" s="6">
        <v>1.15E-2</v>
      </c>
      <c r="M7" s="6">
        <v>0.15474265000000001</v>
      </c>
    </row>
    <row r="8" spans="1:13" x14ac:dyDescent="0.2">
      <c r="A8" t="s">
        <v>198</v>
      </c>
      <c r="B8" t="s">
        <v>166</v>
      </c>
      <c r="C8" t="s">
        <v>167</v>
      </c>
      <c r="D8" t="s">
        <v>26</v>
      </c>
      <c r="E8" t="s">
        <v>131</v>
      </c>
      <c r="F8" s="6">
        <v>291000000</v>
      </c>
      <c r="G8">
        <v>31</v>
      </c>
      <c r="H8">
        <v>23</v>
      </c>
      <c r="I8" s="6">
        <v>4020112.41</v>
      </c>
      <c r="J8" s="6">
        <v>1.2757340000000001E-2</v>
      </c>
      <c r="K8">
        <v>23</v>
      </c>
      <c r="L8" s="6">
        <v>1.15E-2</v>
      </c>
      <c r="M8" s="6">
        <v>0.15474265000000001</v>
      </c>
    </row>
    <row r="9" spans="1:13" x14ac:dyDescent="0.2">
      <c r="A9" t="s">
        <v>199</v>
      </c>
      <c r="B9" t="s">
        <v>166</v>
      </c>
      <c r="C9" t="s">
        <v>167</v>
      </c>
      <c r="D9" t="s">
        <v>26</v>
      </c>
      <c r="E9" t="s">
        <v>131</v>
      </c>
      <c r="F9" s="6">
        <v>291000000</v>
      </c>
      <c r="G9">
        <v>31</v>
      </c>
      <c r="H9">
        <v>21</v>
      </c>
      <c r="I9" s="6">
        <v>3668343.69</v>
      </c>
      <c r="J9" s="6">
        <v>1.1641574999999999E-2</v>
      </c>
      <c r="K9">
        <v>21</v>
      </c>
      <c r="L9" s="6">
        <v>1.15E-2</v>
      </c>
      <c r="M9" s="6">
        <v>0.15474265000000001</v>
      </c>
    </row>
    <row r="10" spans="1:13" x14ac:dyDescent="0.2">
      <c r="A10" t="s">
        <v>200</v>
      </c>
      <c r="B10" t="s">
        <v>166</v>
      </c>
      <c r="C10" t="s">
        <v>167</v>
      </c>
      <c r="D10" t="s">
        <v>26</v>
      </c>
      <c r="E10" t="s">
        <v>131</v>
      </c>
      <c r="F10" s="6">
        <v>291000000</v>
      </c>
      <c r="G10">
        <v>26</v>
      </c>
      <c r="H10">
        <v>20</v>
      </c>
      <c r="I10" s="6">
        <v>3492616.65</v>
      </c>
      <c r="J10" s="6">
        <v>1.21993038E-2</v>
      </c>
      <c r="K10">
        <v>22</v>
      </c>
      <c r="L10" s="6">
        <v>1.15E-2</v>
      </c>
      <c r="M10" s="6">
        <v>0.15474265000000001</v>
      </c>
    </row>
    <row r="11" spans="1:13" x14ac:dyDescent="0.2">
      <c r="A11" t="s">
        <v>200</v>
      </c>
      <c r="B11" t="s">
        <v>166</v>
      </c>
      <c r="C11" t="s">
        <v>167</v>
      </c>
      <c r="D11" t="s">
        <v>26</v>
      </c>
      <c r="E11" t="s">
        <v>131</v>
      </c>
      <c r="F11" s="6">
        <v>266750000</v>
      </c>
      <c r="G11">
        <v>4</v>
      </c>
      <c r="H11">
        <v>2</v>
      </c>
      <c r="I11" s="6">
        <v>318440.40999999997</v>
      </c>
      <c r="J11" s="6">
        <v>1.21993038E-2</v>
      </c>
      <c r="K11">
        <v>22</v>
      </c>
      <c r="L11" s="6">
        <v>1.15E-2</v>
      </c>
      <c r="M11" s="6">
        <v>0.15474265000000001</v>
      </c>
    </row>
    <row r="12" spans="1:13" x14ac:dyDescent="0.2">
      <c r="A12" t="s">
        <v>201</v>
      </c>
      <c r="B12" t="s">
        <v>166</v>
      </c>
      <c r="C12" t="s">
        <v>167</v>
      </c>
      <c r="D12" t="s">
        <v>26</v>
      </c>
      <c r="E12" t="s">
        <v>131</v>
      </c>
      <c r="F12" s="6">
        <v>266750000</v>
      </c>
      <c r="G12">
        <v>26</v>
      </c>
      <c r="H12">
        <v>18</v>
      </c>
      <c r="I12" s="6">
        <v>2879687.15</v>
      </c>
      <c r="J12" s="6">
        <v>1.2757340000000001E-2</v>
      </c>
      <c r="K12">
        <v>23</v>
      </c>
      <c r="L12" s="6">
        <v>1.15E-2</v>
      </c>
      <c r="M12" s="6">
        <v>0.15474265000000001</v>
      </c>
    </row>
    <row r="13" spans="1:13" x14ac:dyDescent="0.2">
      <c r="A13" t="s">
        <v>201</v>
      </c>
      <c r="B13" t="s">
        <v>166</v>
      </c>
      <c r="C13" t="s">
        <v>167</v>
      </c>
      <c r="D13" t="s">
        <v>26</v>
      </c>
      <c r="E13" t="s">
        <v>131</v>
      </c>
      <c r="F13" s="6">
        <v>242500000</v>
      </c>
      <c r="G13">
        <v>5</v>
      </c>
      <c r="H13">
        <v>5</v>
      </c>
      <c r="I13" s="6">
        <v>724376.3</v>
      </c>
      <c r="J13" s="6">
        <v>1.2757340000000001E-2</v>
      </c>
      <c r="K13">
        <v>23</v>
      </c>
      <c r="L13" s="6">
        <v>1.15E-2</v>
      </c>
      <c r="M13" s="6">
        <v>0.15474265000000001</v>
      </c>
    </row>
    <row r="14" spans="1:13" x14ac:dyDescent="0.2">
      <c r="A14" t="s">
        <v>202</v>
      </c>
      <c r="B14" t="s">
        <v>166</v>
      </c>
      <c r="C14" t="s">
        <v>167</v>
      </c>
      <c r="D14" t="s">
        <v>26</v>
      </c>
      <c r="E14" t="s">
        <v>131</v>
      </c>
      <c r="F14" s="6">
        <v>242500000</v>
      </c>
      <c r="G14">
        <v>26</v>
      </c>
      <c r="H14">
        <v>17</v>
      </c>
      <c r="I14" s="6">
        <v>2471720.04</v>
      </c>
      <c r="J14" s="6">
        <v>1.0527039199999999E-2</v>
      </c>
      <c r="K14">
        <v>19</v>
      </c>
      <c r="L14" s="6">
        <v>1.15E-2</v>
      </c>
      <c r="M14" s="6">
        <v>0.15474265000000001</v>
      </c>
    </row>
    <row r="15" spans="1:13" x14ac:dyDescent="0.2">
      <c r="A15" t="s">
        <v>202</v>
      </c>
      <c r="B15" t="s">
        <v>166</v>
      </c>
      <c r="C15" t="s">
        <v>167</v>
      </c>
      <c r="D15" t="s">
        <v>26</v>
      </c>
      <c r="E15" t="s">
        <v>131</v>
      </c>
      <c r="F15" s="6">
        <v>218250000</v>
      </c>
      <c r="G15">
        <v>4</v>
      </c>
      <c r="H15">
        <v>2</v>
      </c>
      <c r="I15" s="6">
        <v>260542.15</v>
      </c>
      <c r="J15" s="6">
        <v>1.0527039199999999E-2</v>
      </c>
      <c r="K15">
        <v>19</v>
      </c>
      <c r="L15" s="6">
        <v>1.15E-2</v>
      </c>
      <c r="M15" s="6">
        <v>0.15474265000000001</v>
      </c>
    </row>
    <row r="16" spans="1:13" x14ac:dyDescent="0.2">
      <c r="A16" t="s">
        <v>203</v>
      </c>
      <c r="B16" t="s">
        <v>166</v>
      </c>
      <c r="C16" t="s">
        <v>167</v>
      </c>
      <c r="D16" t="s">
        <v>26</v>
      </c>
      <c r="E16" t="s">
        <v>131</v>
      </c>
      <c r="F16" s="6">
        <v>218250000</v>
      </c>
      <c r="G16">
        <v>26</v>
      </c>
      <c r="H16">
        <v>18</v>
      </c>
      <c r="I16" s="6">
        <v>2356107.66</v>
      </c>
      <c r="J16" s="6">
        <v>1.21993038E-2</v>
      </c>
      <c r="K16">
        <v>22</v>
      </c>
      <c r="L16" s="6">
        <v>1.15E-2</v>
      </c>
      <c r="M16" s="6">
        <v>0.15474265000000001</v>
      </c>
    </row>
    <row r="17" spans="1:13" x14ac:dyDescent="0.2">
      <c r="A17" t="s">
        <v>203</v>
      </c>
      <c r="B17" t="s">
        <v>166</v>
      </c>
      <c r="C17" t="s">
        <v>167</v>
      </c>
      <c r="D17" t="s">
        <v>26</v>
      </c>
      <c r="E17" t="s">
        <v>131</v>
      </c>
      <c r="F17" s="6">
        <v>194000000</v>
      </c>
      <c r="G17">
        <v>5</v>
      </c>
      <c r="H17">
        <v>2</v>
      </c>
      <c r="I17" s="6">
        <v>231593.02</v>
      </c>
      <c r="J17" s="6">
        <v>1.21993038E-2</v>
      </c>
      <c r="K17">
        <v>22</v>
      </c>
      <c r="L17" s="6">
        <v>1.15E-2</v>
      </c>
      <c r="M17" s="6">
        <v>0.15474265000000001</v>
      </c>
    </row>
    <row r="18" spans="1:13" x14ac:dyDescent="0.2">
      <c r="A18" t="s">
        <v>192</v>
      </c>
      <c r="B18" t="s">
        <v>155</v>
      </c>
      <c r="C18" t="s">
        <v>156</v>
      </c>
      <c r="D18" t="s">
        <v>26</v>
      </c>
      <c r="E18" t="s">
        <v>131</v>
      </c>
      <c r="F18" s="6">
        <v>500000000</v>
      </c>
      <c r="G18">
        <v>31</v>
      </c>
      <c r="H18">
        <v>22</v>
      </c>
      <c r="I18" s="6">
        <v>5566092.8200000003</v>
      </c>
      <c r="J18" s="6">
        <v>1.01320561E-2</v>
      </c>
      <c r="K18">
        <v>22</v>
      </c>
      <c r="L18" s="6">
        <v>1.14E-2</v>
      </c>
      <c r="M18" s="6">
        <v>0.15464264999999999</v>
      </c>
    </row>
    <row r="19" spans="1:13" x14ac:dyDescent="0.2">
      <c r="A19" t="s">
        <v>193</v>
      </c>
      <c r="B19" t="s">
        <v>155</v>
      </c>
      <c r="C19" t="s">
        <v>156</v>
      </c>
      <c r="D19" t="s">
        <v>26</v>
      </c>
      <c r="E19" t="s">
        <v>131</v>
      </c>
      <c r="F19" s="6">
        <v>500000000</v>
      </c>
      <c r="G19">
        <v>28</v>
      </c>
      <c r="H19">
        <v>20</v>
      </c>
      <c r="I19" s="6">
        <v>5381119.2300000004</v>
      </c>
      <c r="J19" s="6">
        <v>9.8533215999999993E-3</v>
      </c>
      <c r="K19">
        <v>20</v>
      </c>
      <c r="L19" s="6">
        <v>1.14E-2</v>
      </c>
      <c r="M19" s="6">
        <v>0.15464264999999999</v>
      </c>
    </row>
    <row r="20" spans="1:13" x14ac:dyDescent="0.2">
      <c r="A20" t="s">
        <v>194</v>
      </c>
      <c r="B20" t="s">
        <v>155</v>
      </c>
      <c r="C20" t="s">
        <v>156</v>
      </c>
      <c r="D20" t="s">
        <v>26</v>
      </c>
      <c r="E20" t="s">
        <v>131</v>
      </c>
      <c r="F20" s="6">
        <v>500000000</v>
      </c>
      <c r="G20">
        <v>31</v>
      </c>
      <c r="H20">
        <v>19</v>
      </c>
      <c r="I20" s="6">
        <v>5251806.96</v>
      </c>
      <c r="J20" s="6">
        <v>9.6403444000000005E-3</v>
      </c>
      <c r="K20">
        <v>19</v>
      </c>
      <c r="L20" s="6">
        <v>1.14E-2</v>
      </c>
      <c r="M20" s="6">
        <v>0.15464264999999999</v>
      </c>
    </row>
    <row r="21" spans="1:13" x14ac:dyDescent="0.2">
      <c r="A21" t="s">
        <v>195</v>
      </c>
      <c r="B21" t="s">
        <v>155</v>
      </c>
      <c r="C21" t="s">
        <v>156</v>
      </c>
      <c r="D21" t="s">
        <v>26</v>
      </c>
      <c r="E21" t="s">
        <v>131</v>
      </c>
      <c r="F21" s="6">
        <v>500000000</v>
      </c>
      <c r="G21">
        <v>30</v>
      </c>
      <c r="H21">
        <v>20</v>
      </c>
      <c r="I21" s="6">
        <v>5734167</v>
      </c>
      <c r="J21" s="6">
        <v>1.05587822E-2</v>
      </c>
      <c r="K21">
        <v>20</v>
      </c>
      <c r="L21" s="6">
        <v>1.14E-2</v>
      </c>
      <c r="M21" s="6">
        <v>0.15464264999999999</v>
      </c>
    </row>
    <row r="22" spans="1:13" x14ac:dyDescent="0.2">
      <c r="A22" t="s">
        <v>196</v>
      </c>
      <c r="B22" t="s">
        <v>155</v>
      </c>
      <c r="C22" t="s">
        <v>156</v>
      </c>
      <c r="D22" t="s">
        <v>26</v>
      </c>
      <c r="E22" t="s">
        <v>131</v>
      </c>
      <c r="F22" s="6">
        <v>500000000</v>
      </c>
      <c r="G22">
        <v>31</v>
      </c>
      <c r="H22">
        <v>21</v>
      </c>
      <c r="I22" s="6">
        <v>6171815.3399999999</v>
      </c>
      <c r="J22" s="6">
        <v>1.1387796299999999E-2</v>
      </c>
      <c r="K22">
        <v>21</v>
      </c>
      <c r="L22" s="6">
        <v>1.14E-2</v>
      </c>
      <c r="M22" s="6">
        <v>0.15464264999999999</v>
      </c>
    </row>
    <row r="23" spans="1:13" x14ac:dyDescent="0.2">
      <c r="A23" t="s">
        <v>197</v>
      </c>
      <c r="B23" t="s">
        <v>155</v>
      </c>
      <c r="C23" t="s">
        <v>156</v>
      </c>
      <c r="D23" t="s">
        <v>26</v>
      </c>
      <c r="E23" t="s">
        <v>131</v>
      </c>
      <c r="F23" s="6">
        <v>500000000</v>
      </c>
      <c r="G23">
        <v>30</v>
      </c>
      <c r="H23">
        <v>20</v>
      </c>
      <c r="I23" s="6">
        <v>5940235.3499999996</v>
      </c>
      <c r="J23" s="6">
        <v>1.0970548300000001E-2</v>
      </c>
      <c r="K23">
        <v>20</v>
      </c>
      <c r="L23" s="6">
        <v>1.14E-2</v>
      </c>
      <c r="M23" s="6">
        <v>0.15464264999999999</v>
      </c>
    </row>
    <row r="24" spans="1:13" x14ac:dyDescent="0.2">
      <c r="A24" t="s">
        <v>198</v>
      </c>
      <c r="B24" t="s">
        <v>155</v>
      </c>
      <c r="C24" t="s">
        <v>156</v>
      </c>
      <c r="D24" t="s">
        <v>26</v>
      </c>
      <c r="E24" t="s">
        <v>131</v>
      </c>
      <c r="F24" s="6">
        <v>500000000</v>
      </c>
      <c r="G24">
        <v>31</v>
      </c>
      <c r="H24">
        <v>23</v>
      </c>
      <c r="I24" s="6">
        <v>6902835.5099999998</v>
      </c>
      <c r="J24" s="6">
        <v>1.2757340000000001E-2</v>
      </c>
      <c r="K24">
        <v>23</v>
      </c>
      <c r="L24" s="6">
        <v>1.14E-2</v>
      </c>
      <c r="M24" s="6">
        <v>0.15464264999999999</v>
      </c>
    </row>
    <row r="25" spans="1:13" x14ac:dyDescent="0.2">
      <c r="A25" t="s">
        <v>199</v>
      </c>
      <c r="B25" t="s">
        <v>155</v>
      </c>
      <c r="C25" t="s">
        <v>156</v>
      </c>
      <c r="D25" t="s">
        <v>26</v>
      </c>
      <c r="E25" t="s">
        <v>131</v>
      </c>
      <c r="F25" s="6">
        <v>500000000</v>
      </c>
      <c r="G25">
        <v>31</v>
      </c>
      <c r="H25">
        <v>21</v>
      </c>
      <c r="I25" s="6">
        <v>6298824.6200000001</v>
      </c>
      <c r="J25" s="6">
        <v>1.1641574999999999E-2</v>
      </c>
      <c r="K25">
        <v>21</v>
      </c>
      <c r="L25" s="6">
        <v>1.14E-2</v>
      </c>
      <c r="M25" s="6">
        <v>0.15464264999999999</v>
      </c>
    </row>
    <row r="26" spans="1:13" x14ac:dyDescent="0.2">
      <c r="A26" t="s">
        <v>200</v>
      </c>
      <c r="B26" t="s">
        <v>155</v>
      </c>
      <c r="C26" t="s">
        <v>156</v>
      </c>
      <c r="D26" t="s">
        <v>26</v>
      </c>
      <c r="E26" t="s">
        <v>131</v>
      </c>
      <c r="F26" s="6">
        <v>500000000</v>
      </c>
      <c r="G26">
        <v>30</v>
      </c>
      <c r="H26">
        <v>22</v>
      </c>
      <c r="I26" s="6">
        <v>6600740.04</v>
      </c>
      <c r="J26" s="6">
        <v>1.21993038E-2</v>
      </c>
      <c r="K26">
        <v>22</v>
      </c>
      <c r="L26" s="6">
        <v>1.14E-2</v>
      </c>
      <c r="M26" s="6">
        <v>0.15464264999999999</v>
      </c>
    </row>
    <row r="27" spans="1:13" x14ac:dyDescent="0.2">
      <c r="A27" t="s">
        <v>201</v>
      </c>
      <c r="B27" t="s">
        <v>155</v>
      </c>
      <c r="C27" t="s">
        <v>156</v>
      </c>
      <c r="D27" t="s">
        <v>26</v>
      </c>
      <c r="E27" t="s">
        <v>131</v>
      </c>
      <c r="F27" s="6">
        <v>500000000</v>
      </c>
      <c r="G27">
        <v>31</v>
      </c>
      <c r="H27">
        <v>23</v>
      </c>
      <c r="I27" s="6">
        <v>6902835.5099999998</v>
      </c>
      <c r="J27" s="6">
        <v>1.2757340000000001E-2</v>
      </c>
      <c r="K27">
        <v>23</v>
      </c>
      <c r="L27" s="6">
        <v>1.14E-2</v>
      </c>
      <c r="M27" s="6">
        <v>0.15464264999999999</v>
      </c>
    </row>
    <row r="28" spans="1:13" x14ac:dyDescent="0.2">
      <c r="A28" t="s">
        <v>202</v>
      </c>
      <c r="B28" t="s">
        <v>155</v>
      </c>
      <c r="C28" t="s">
        <v>156</v>
      </c>
      <c r="D28" t="s">
        <v>26</v>
      </c>
      <c r="E28" t="s">
        <v>131</v>
      </c>
      <c r="F28" s="6">
        <v>500000000</v>
      </c>
      <c r="G28">
        <v>30</v>
      </c>
      <c r="H28">
        <v>19</v>
      </c>
      <c r="I28" s="6">
        <v>5695533.46</v>
      </c>
      <c r="J28" s="6">
        <v>1.0527039199999999E-2</v>
      </c>
      <c r="K28">
        <v>19</v>
      </c>
      <c r="L28" s="6">
        <v>1.14E-2</v>
      </c>
      <c r="M28" s="6">
        <v>0.15464264999999999</v>
      </c>
    </row>
    <row r="29" spans="1:13" x14ac:dyDescent="0.2">
      <c r="A29" t="s">
        <v>203</v>
      </c>
      <c r="B29" t="s">
        <v>155</v>
      </c>
      <c r="C29" t="s">
        <v>156</v>
      </c>
      <c r="D29" t="s">
        <v>26</v>
      </c>
      <c r="E29" t="s">
        <v>131</v>
      </c>
      <c r="F29" s="6">
        <v>500000000</v>
      </c>
      <c r="G29">
        <v>31</v>
      </c>
      <c r="H29">
        <v>20</v>
      </c>
      <c r="I29" s="6">
        <v>5997089.1299999999</v>
      </c>
      <c r="J29" s="6">
        <v>1.21993038E-2</v>
      </c>
      <c r="K29">
        <v>22</v>
      </c>
      <c r="L29" s="6">
        <v>1.14E-2</v>
      </c>
      <c r="M29" s="6">
        <v>0.15464264999999999</v>
      </c>
    </row>
    <row r="30" spans="1:13" x14ac:dyDescent="0.2">
      <c r="A30" t="s">
        <v>192</v>
      </c>
      <c r="B30" t="s">
        <v>149</v>
      </c>
      <c r="C30" t="s">
        <v>150</v>
      </c>
      <c r="D30" t="s">
        <v>38</v>
      </c>
      <c r="E30" t="s">
        <v>131</v>
      </c>
      <c r="F30" s="6">
        <v>0</v>
      </c>
      <c r="G30">
        <v>31</v>
      </c>
      <c r="H30">
        <v>22</v>
      </c>
      <c r="I30" s="6">
        <v>0</v>
      </c>
      <c r="J30" s="6">
        <v>1.01320561E-2</v>
      </c>
      <c r="K30">
        <v>22</v>
      </c>
      <c r="L30" s="6">
        <v>1.35E-2</v>
      </c>
      <c r="M30" s="6">
        <v>0.15674265000000001</v>
      </c>
    </row>
    <row r="31" spans="1:13" x14ac:dyDescent="0.2">
      <c r="A31" t="s">
        <v>193</v>
      </c>
      <c r="B31" t="s">
        <v>149</v>
      </c>
      <c r="C31" t="s">
        <v>150</v>
      </c>
      <c r="D31" t="s">
        <v>38</v>
      </c>
      <c r="E31" t="s">
        <v>131</v>
      </c>
      <c r="F31" s="6">
        <v>0</v>
      </c>
      <c r="G31">
        <v>26</v>
      </c>
      <c r="H31">
        <v>18</v>
      </c>
      <c r="I31" s="6">
        <v>0</v>
      </c>
      <c r="J31" s="6">
        <v>9.8533215999999993E-3</v>
      </c>
      <c r="K31">
        <v>20</v>
      </c>
      <c r="L31" s="6">
        <v>1.35E-2</v>
      </c>
      <c r="M31" s="6">
        <v>0.15674265000000001</v>
      </c>
    </row>
    <row r="32" spans="1:13" x14ac:dyDescent="0.2">
      <c r="A32" t="s">
        <v>193</v>
      </c>
      <c r="B32" t="s">
        <v>149</v>
      </c>
      <c r="C32" t="s">
        <v>150</v>
      </c>
      <c r="D32" t="s">
        <v>38</v>
      </c>
      <c r="E32" t="s">
        <v>131</v>
      </c>
      <c r="F32" s="6">
        <v>0</v>
      </c>
      <c r="G32">
        <v>1</v>
      </c>
      <c r="H32">
        <v>1</v>
      </c>
      <c r="I32" s="6">
        <v>0</v>
      </c>
      <c r="J32" s="6">
        <v>9.8533215999999993E-3</v>
      </c>
      <c r="K32">
        <v>20</v>
      </c>
      <c r="L32" s="6">
        <v>1.35E-2</v>
      </c>
      <c r="M32" s="6">
        <v>0.15674265000000001</v>
      </c>
    </row>
    <row r="33" spans="1:13" x14ac:dyDescent="0.2">
      <c r="A33" t="s">
        <v>193</v>
      </c>
      <c r="B33" t="s">
        <v>149</v>
      </c>
      <c r="C33" t="s">
        <v>150</v>
      </c>
      <c r="D33" t="s">
        <v>38</v>
      </c>
      <c r="E33" t="s">
        <v>131</v>
      </c>
      <c r="F33" s="6">
        <v>1260000000</v>
      </c>
      <c r="G33">
        <v>1</v>
      </c>
      <c r="H33">
        <v>1</v>
      </c>
      <c r="I33" s="6">
        <v>684955.47</v>
      </c>
      <c r="J33" s="6">
        <v>9.8533215999999993E-3</v>
      </c>
      <c r="K33">
        <v>20</v>
      </c>
      <c r="L33" s="6">
        <v>1.35E-2</v>
      </c>
      <c r="M33" s="6">
        <v>0.15674265000000001</v>
      </c>
    </row>
    <row r="34" spans="1:13" x14ac:dyDescent="0.2">
      <c r="A34" t="s">
        <v>194</v>
      </c>
      <c r="B34" t="s">
        <v>149</v>
      </c>
      <c r="C34" t="s">
        <v>150</v>
      </c>
      <c r="D34" t="s">
        <v>38</v>
      </c>
      <c r="E34" t="s">
        <v>131</v>
      </c>
      <c r="F34" s="6">
        <v>1260000000</v>
      </c>
      <c r="G34">
        <v>26</v>
      </c>
      <c r="H34">
        <v>16</v>
      </c>
      <c r="I34" s="6">
        <v>11303094.449999999</v>
      </c>
      <c r="J34" s="6">
        <v>9.6403444000000005E-3</v>
      </c>
      <c r="K34">
        <v>19</v>
      </c>
      <c r="L34" s="6">
        <v>1.35E-2</v>
      </c>
      <c r="M34" s="6">
        <v>0.15674265000000001</v>
      </c>
    </row>
    <row r="35" spans="1:13" x14ac:dyDescent="0.2">
      <c r="A35" t="s">
        <v>194</v>
      </c>
      <c r="B35" t="s">
        <v>149</v>
      </c>
      <c r="C35" t="s">
        <v>150</v>
      </c>
      <c r="D35" t="s">
        <v>38</v>
      </c>
      <c r="E35" t="s">
        <v>131</v>
      </c>
      <c r="F35" s="6">
        <v>1260000000</v>
      </c>
      <c r="G35">
        <v>5</v>
      </c>
      <c r="H35">
        <v>3</v>
      </c>
      <c r="I35" s="6">
        <v>2111648.23</v>
      </c>
      <c r="J35" s="6">
        <v>9.6403444000000005E-3</v>
      </c>
      <c r="K35">
        <v>19</v>
      </c>
      <c r="L35" s="6">
        <v>1.35E-2</v>
      </c>
      <c r="M35" s="6">
        <v>0.15674265000000001</v>
      </c>
    </row>
    <row r="36" spans="1:13" x14ac:dyDescent="0.2">
      <c r="A36" t="s">
        <v>195</v>
      </c>
      <c r="B36" t="s">
        <v>149</v>
      </c>
      <c r="C36" t="s">
        <v>150</v>
      </c>
      <c r="D36" t="s">
        <v>38</v>
      </c>
      <c r="E36" t="s">
        <v>131</v>
      </c>
      <c r="F36" s="6">
        <v>1260000000</v>
      </c>
      <c r="G36">
        <v>26</v>
      </c>
      <c r="H36">
        <v>17</v>
      </c>
      <c r="I36" s="6">
        <v>12450102.01</v>
      </c>
      <c r="J36" s="6">
        <v>1.05587822E-2</v>
      </c>
      <c r="K36">
        <v>20</v>
      </c>
      <c r="L36" s="6">
        <v>1.35E-2</v>
      </c>
      <c r="M36" s="6">
        <v>0.15674265000000001</v>
      </c>
    </row>
    <row r="37" spans="1:13" x14ac:dyDescent="0.2">
      <c r="A37" t="s">
        <v>195</v>
      </c>
      <c r="B37" t="s">
        <v>149</v>
      </c>
      <c r="C37" t="s">
        <v>150</v>
      </c>
      <c r="D37" t="s">
        <v>38</v>
      </c>
      <c r="E37" t="s">
        <v>131</v>
      </c>
      <c r="F37" s="6">
        <v>1260000000</v>
      </c>
      <c r="G37">
        <v>4</v>
      </c>
      <c r="H37">
        <v>3</v>
      </c>
      <c r="I37" s="6">
        <v>2188190.98</v>
      </c>
      <c r="J37" s="6">
        <v>1.05587822E-2</v>
      </c>
      <c r="K37">
        <v>20</v>
      </c>
      <c r="L37" s="6">
        <v>1.35E-2</v>
      </c>
      <c r="M37" s="6">
        <v>0.15674265000000001</v>
      </c>
    </row>
    <row r="38" spans="1:13" x14ac:dyDescent="0.2">
      <c r="A38" t="s">
        <v>196</v>
      </c>
      <c r="B38" t="s">
        <v>149</v>
      </c>
      <c r="C38" t="s">
        <v>150</v>
      </c>
      <c r="D38" t="s">
        <v>38</v>
      </c>
      <c r="E38" t="s">
        <v>131</v>
      </c>
      <c r="F38" s="6">
        <v>1260000000</v>
      </c>
      <c r="G38">
        <v>26</v>
      </c>
      <c r="H38">
        <v>17</v>
      </c>
      <c r="I38" s="6">
        <v>12753851.300000001</v>
      </c>
      <c r="J38" s="6">
        <v>1.1387796299999999E-2</v>
      </c>
      <c r="K38">
        <v>21</v>
      </c>
      <c r="L38" s="6">
        <v>1.35E-2</v>
      </c>
      <c r="M38" s="6">
        <v>0.15674265000000001</v>
      </c>
    </row>
    <row r="39" spans="1:13" x14ac:dyDescent="0.2">
      <c r="A39" t="s">
        <v>196</v>
      </c>
      <c r="B39" t="s">
        <v>149</v>
      </c>
      <c r="C39" t="s">
        <v>150</v>
      </c>
      <c r="D39" t="s">
        <v>38</v>
      </c>
      <c r="E39" t="s">
        <v>131</v>
      </c>
      <c r="F39" s="6">
        <v>1260000000</v>
      </c>
      <c r="G39">
        <v>5</v>
      </c>
      <c r="H39">
        <v>4</v>
      </c>
      <c r="I39" s="6">
        <v>2989360.7</v>
      </c>
      <c r="J39" s="6">
        <v>1.1387796299999999E-2</v>
      </c>
      <c r="K39">
        <v>21</v>
      </c>
      <c r="L39" s="6">
        <v>1.35E-2</v>
      </c>
      <c r="M39" s="6">
        <v>0.15674265000000001</v>
      </c>
    </row>
    <row r="40" spans="1:13" x14ac:dyDescent="0.2">
      <c r="A40" t="s">
        <v>197</v>
      </c>
      <c r="B40" t="s">
        <v>149</v>
      </c>
      <c r="C40" t="s">
        <v>150</v>
      </c>
      <c r="D40" t="s">
        <v>38</v>
      </c>
      <c r="E40" t="s">
        <v>131</v>
      </c>
      <c r="F40" s="6">
        <v>1260000000</v>
      </c>
      <c r="G40">
        <v>26</v>
      </c>
      <c r="H40">
        <v>18</v>
      </c>
      <c r="I40" s="6">
        <v>13653170.24</v>
      </c>
      <c r="J40" s="6">
        <v>1.0970548300000001E-2</v>
      </c>
      <c r="K40">
        <v>20</v>
      </c>
      <c r="L40" s="6">
        <v>1.35E-2</v>
      </c>
      <c r="M40" s="6">
        <v>0.15674265000000001</v>
      </c>
    </row>
    <row r="41" spans="1:13" x14ac:dyDescent="0.2">
      <c r="A41" t="s">
        <v>197</v>
      </c>
      <c r="B41" t="s">
        <v>149</v>
      </c>
      <c r="C41" t="s">
        <v>150</v>
      </c>
      <c r="D41" t="s">
        <v>38</v>
      </c>
      <c r="E41" t="s">
        <v>131</v>
      </c>
      <c r="F41" s="6">
        <v>1260000000</v>
      </c>
      <c r="G41">
        <v>4</v>
      </c>
      <c r="H41">
        <v>2</v>
      </c>
      <c r="I41" s="6">
        <v>1509762.51</v>
      </c>
      <c r="J41" s="6">
        <v>1.0970548300000001E-2</v>
      </c>
      <c r="K41">
        <v>20</v>
      </c>
      <c r="L41" s="6">
        <v>1.35E-2</v>
      </c>
      <c r="M41" s="6">
        <v>0.15674265000000001</v>
      </c>
    </row>
    <row r="42" spans="1:13" x14ac:dyDescent="0.2">
      <c r="A42" t="s">
        <v>198</v>
      </c>
      <c r="B42" t="s">
        <v>149</v>
      </c>
      <c r="C42" t="s">
        <v>150</v>
      </c>
      <c r="D42" t="s">
        <v>38</v>
      </c>
      <c r="E42" t="s">
        <v>131</v>
      </c>
      <c r="F42" s="6">
        <v>1260000000</v>
      </c>
      <c r="G42">
        <v>26</v>
      </c>
      <c r="H42">
        <v>19</v>
      </c>
      <c r="I42" s="6">
        <v>14552051.310000001</v>
      </c>
      <c r="J42" s="6">
        <v>1.2757340000000001E-2</v>
      </c>
      <c r="K42">
        <v>23</v>
      </c>
      <c r="L42" s="6">
        <v>1.35E-2</v>
      </c>
      <c r="M42" s="6">
        <v>0.15674265000000001</v>
      </c>
    </row>
    <row r="43" spans="1:13" x14ac:dyDescent="0.2">
      <c r="A43" t="s">
        <v>198</v>
      </c>
      <c r="B43" t="s">
        <v>149</v>
      </c>
      <c r="C43" t="s">
        <v>150</v>
      </c>
      <c r="D43" t="s">
        <v>38</v>
      </c>
      <c r="E43" t="s">
        <v>131</v>
      </c>
      <c r="F43" s="6">
        <v>1260000000</v>
      </c>
      <c r="G43">
        <v>5</v>
      </c>
      <c r="H43">
        <v>4</v>
      </c>
      <c r="I43" s="6">
        <v>3049718.56</v>
      </c>
      <c r="J43" s="6">
        <v>1.2757340000000001E-2</v>
      </c>
      <c r="K43">
        <v>23</v>
      </c>
      <c r="L43" s="6">
        <v>1.35E-2</v>
      </c>
      <c r="M43" s="6">
        <v>0.15674265000000001</v>
      </c>
    </row>
    <row r="44" spans="1:13" x14ac:dyDescent="0.2">
      <c r="A44" t="s">
        <v>199</v>
      </c>
      <c r="B44" t="s">
        <v>149</v>
      </c>
      <c r="C44" t="s">
        <v>150</v>
      </c>
      <c r="D44" t="s">
        <v>38</v>
      </c>
      <c r="E44" t="s">
        <v>131</v>
      </c>
      <c r="F44" s="6">
        <v>1260000000</v>
      </c>
      <c r="G44">
        <v>26</v>
      </c>
      <c r="H44">
        <v>18</v>
      </c>
      <c r="I44" s="6">
        <v>13781980.76</v>
      </c>
      <c r="J44" s="6">
        <v>1.1641574999999999E-2</v>
      </c>
      <c r="K44">
        <v>21</v>
      </c>
      <c r="L44" s="6">
        <v>1.35E-2</v>
      </c>
      <c r="M44" s="6">
        <v>0.15674265000000001</v>
      </c>
    </row>
    <row r="45" spans="1:13" x14ac:dyDescent="0.2">
      <c r="A45" t="s">
        <v>199</v>
      </c>
      <c r="B45" t="s">
        <v>149</v>
      </c>
      <c r="C45" t="s">
        <v>150</v>
      </c>
      <c r="D45" t="s">
        <v>38</v>
      </c>
      <c r="E45" t="s">
        <v>131</v>
      </c>
      <c r="F45" s="6">
        <v>1019970000</v>
      </c>
      <c r="G45">
        <v>5</v>
      </c>
      <c r="H45">
        <v>3</v>
      </c>
      <c r="I45" s="6">
        <v>1851000.75</v>
      </c>
      <c r="J45" s="6">
        <v>1.1641574999999999E-2</v>
      </c>
      <c r="K45">
        <v>21</v>
      </c>
      <c r="L45" s="6">
        <v>1.35E-2</v>
      </c>
      <c r="M45" s="6">
        <v>0.15674265000000001</v>
      </c>
    </row>
    <row r="46" spans="1:13" x14ac:dyDescent="0.2">
      <c r="A46" t="s">
        <v>200</v>
      </c>
      <c r="B46" t="s">
        <v>149</v>
      </c>
      <c r="C46" t="s">
        <v>150</v>
      </c>
      <c r="D46" t="s">
        <v>38</v>
      </c>
      <c r="E46" t="s">
        <v>131</v>
      </c>
      <c r="F46" s="6">
        <v>1019970000</v>
      </c>
      <c r="G46">
        <v>26</v>
      </c>
      <c r="H46">
        <v>20</v>
      </c>
      <c r="I46" s="6">
        <v>12403634.51</v>
      </c>
      <c r="J46" s="6">
        <v>1.21993038E-2</v>
      </c>
      <c r="K46">
        <v>22</v>
      </c>
      <c r="L46" s="6">
        <v>1.35E-2</v>
      </c>
      <c r="M46" s="6">
        <v>0.15674265000000001</v>
      </c>
    </row>
    <row r="47" spans="1:13" x14ac:dyDescent="0.2">
      <c r="A47" t="s">
        <v>200</v>
      </c>
      <c r="B47" t="s">
        <v>149</v>
      </c>
      <c r="C47" t="s">
        <v>150</v>
      </c>
      <c r="D47" t="s">
        <v>38</v>
      </c>
      <c r="E47" t="s">
        <v>131</v>
      </c>
      <c r="F47" s="6">
        <v>779971059</v>
      </c>
      <c r="G47">
        <v>4</v>
      </c>
      <c r="H47">
        <v>2</v>
      </c>
      <c r="I47" s="6">
        <v>943355</v>
      </c>
      <c r="J47" s="6">
        <v>1.21993038E-2</v>
      </c>
      <c r="K47">
        <v>22</v>
      </c>
      <c r="L47" s="6">
        <v>1.35E-2</v>
      </c>
      <c r="M47" s="6">
        <v>0.15674265000000001</v>
      </c>
    </row>
    <row r="48" spans="1:13" x14ac:dyDescent="0.2">
      <c r="A48" t="s">
        <v>201</v>
      </c>
      <c r="B48" t="s">
        <v>149</v>
      </c>
      <c r="C48" t="s">
        <v>150</v>
      </c>
      <c r="D48" t="s">
        <v>38</v>
      </c>
      <c r="E48" t="s">
        <v>131</v>
      </c>
      <c r="F48" s="6">
        <v>779971059</v>
      </c>
      <c r="G48">
        <v>26</v>
      </c>
      <c r="H48">
        <v>18</v>
      </c>
      <c r="I48" s="6">
        <v>8531385.8200000003</v>
      </c>
      <c r="J48" s="6">
        <v>1.2757340000000001E-2</v>
      </c>
      <c r="K48">
        <v>23</v>
      </c>
      <c r="L48" s="6">
        <v>1.35E-2</v>
      </c>
      <c r="M48" s="6">
        <v>0.15674265000000001</v>
      </c>
    </row>
    <row r="49" spans="1:13" x14ac:dyDescent="0.2">
      <c r="A49" t="s">
        <v>201</v>
      </c>
      <c r="B49" t="s">
        <v>149</v>
      </c>
      <c r="C49" t="s">
        <v>150</v>
      </c>
      <c r="D49" t="s">
        <v>38</v>
      </c>
      <c r="E49" t="s">
        <v>131</v>
      </c>
      <c r="F49" s="6">
        <v>539973964.14999998</v>
      </c>
      <c r="G49">
        <v>5</v>
      </c>
      <c r="H49">
        <v>5</v>
      </c>
      <c r="I49" s="6">
        <v>1634193.01</v>
      </c>
      <c r="J49" s="6">
        <v>1.2757340000000001E-2</v>
      </c>
      <c r="K49">
        <v>23</v>
      </c>
      <c r="L49" s="6">
        <v>1.35E-2</v>
      </c>
      <c r="M49" s="6">
        <v>0.15674265000000001</v>
      </c>
    </row>
    <row r="50" spans="1:13" x14ac:dyDescent="0.2">
      <c r="A50" t="s">
        <v>202</v>
      </c>
      <c r="B50" t="s">
        <v>149</v>
      </c>
      <c r="C50" t="s">
        <v>150</v>
      </c>
      <c r="D50" t="s">
        <v>38</v>
      </c>
      <c r="E50" t="s">
        <v>131</v>
      </c>
      <c r="F50" s="6">
        <v>539973964.14999998</v>
      </c>
      <c r="G50">
        <v>26</v>
      </c>
      <c r="H50">
        <v>17</v>
      </c>
      <c r="I50" s="6">
        <v>5576463.4699999997</v>
      </c>
      <c r="J50" s="6">
        <v>1.0527039199999999E-2</v>
      </c>
      <c r="K50">
        <v>19</v>
      </c>
      <c r="L50" s="6">
        <v>1.35E-2</v>
      </c>
      <c r="M50" s="6">
        <v>0.15674265000000001</v>
      </c>
    </row>
    <row r="51" spans="1:13" x14ac:dyDescent="0.2">
      <c r="A51" t="s">
        <v>202</v>
      </c>
      <c r="B51" t="s">
        <v>149</v>
      </c>
      <c r="C51" t="s">
        <v>150</v>
      </c>
      <c r="D51" t="s">
        <v>38</v>
      </c>
      <c r="E51" t="s">
        <v>131</v>
      </c>
      <c r="F51" s="6">
        <v>300009534.48000002</v>
      </c>
      <c r="G51">
        <v>4</v>
      </c>
      <c r="H51">
        <v>2</v>
      </c>
      <c r="I51" s="6">
        <v>362853.84</v>
      </c>
      <c r="J51" s="6">
        <v>1.0527039199999999E-2</v>
      </c>
      <c r="K51">
        <v>19</v>
      </c>
      <c r="L51" s="6">
        <v>1.35E-2</v>
      </c>
      <c r="M51" s="6">
        <v>0.15674265000000001</v>
      </c>
    </row>
    <row r="52" spans="1:13" x14ac:dyDescent="0.2">
      <c r="A52" t="s">
        <v>203</v>
      </c>
      <c r="B52" t="s">
        <v>149</v>
      </c>
      <c r="C52" t="s">
        <v>150</v>
      </c>
      <c r="D52" t="s">
        <v>38</v>
      </c>
      <c r="E52" t="s">
        <v>131</v>
      </c>
      <c r="F52" s="6">
        <v>300009534.48000002</v>
      </c>
      <c r="G52">
        <v>26</v>
      </c>
      <c r="H52">
        <v>18</v>
      </c>
      <c r="I52" s="6">
        <v>3281528.28</v>
      </c>
      <c r="J52" s="6">
        <v>1.21993038E-2</v>
      </c>
      <c r="K52">
        <v>22</v>
      </c>
      <c r="L52" s="6">
        <v>1.35E-2</v>
      </c>
      <c r="M52" s="6">
        <v>0.15674265000000001</v>
      </c>
    </row>
    <row r="53" spans="1:13" x14ac:dyDescent="0.2">
      <c r="A53" t="s">
        <v>203</v>
      </c>
      <c r="B53" t="s">
        <v>149</v>
      </c>
      <c r="C53" t="s">
        <v>150</v>
      </c>
      <c r="D53" t="s">
        <v>38</v>
      </c>
      <c r="E53" t="s">
        <v>131</v>
      </c>
      <c r="F53" s="6">
        <v>60001906.899999999</v>
      </c>
      <c r="G53">
        <v>5</v>
      </c>
      <c r="H53">
        <v>2</v>
      </c>
      <c r="I53" s="6">
        <v>72570.77</v>
      </c>
      <c r="J53" s="6">
        <v>1.21993038E-2</v>
      </c>
      <c r="K53">
        <v>22</v>
      </c>
      <c r="L53" s="6">
        <v>1.35E-2</v>
      </c>
      <c r="M53" s="6">
        <v>0.15674265000000001</v>
      </c>
    </row>
    <row r="54" spans="1:13" x14ac:dyDescent="0.2">
      <c r="A54" t="s">
        <v>192</v>
      </c>
      <c r="B54" t="s">
        <v>144</v>
      </c>
      <c r="C54" t="s">
        <v>145</v>
      </c>
      <c r="D54" t="s">
        <v>26</v>
      </c>
      <c r="E54" t="s">
        <v>131</v>
      </c>
      <c r="F54" s="6">
        <v>877500000</v>
      </c>
      <c r="G54">
        <v>31</v>
      </c>
      <c r="H54">
        <v>22</v>
      </c>
      <c r="I54" s="6">
        <v>9814432.5700000003</v>
      </c>
      <c r="J54" s="6">
        <v>1.01320561E-2</v>
      </c>
      <c r="K54">
        <v>22</v>
      </c>
      <c r="L54" s="6">
        <v>1.2E-2</v>
      </c>
      <c r="M54" s="6">
        <v>0.15524265000000001</v>
      </c>
    </row>
    <row r="55" spans="1:13" x14ac:dyDescent="0.2">
      <c r="A55" t="s">
        <v>193</v>
      </c>
      <c r="B55" t="s">
        <v>144</v>
      </c>
      <c r="C55" t="s">
        <v>145</v>
      </c>
      <c r="D55" t="s">
        <v>26</v>
      </c>
      <c r="E55" t="s">
        <v>131</v>
      </c>
      <c r="F55" s="6">
        <v>877500000</v>
      </c>
      <c r="G55">
        <v>28</v>
      </c>
      <c r="H55">
        <v>20</v>
      </c>
      <c r="I55" s="6">
        <v>9485612.2100000009</v>
      </c>
      <c r="J55" s="6">
        <v>9.8533215999999993E-3</v>
      </c>
      <c r="K55">
        <v>20</v>
      </c>
      <c r="L55" s="6">
        <v>1.2E-2</v>
      </c>
      <c r="M55" s="6">
        <v>0.15524265000000001</v>
      </c>
    </row>
    <row r="56" spans="1:13" x14ac:dyDescent="0.2">
      <c r="A56" t="s">
        <v>194</v>
      </c>
      <c r="B56" t="s">
        <v>144</v>
      </c>
      <c r="C56" t="s">
        <v>145</v>
      </c>
      <c r="D56" t="s">
        <v>26</v>
      </c>
      <c r="E56" t="s">
        <v>131</v>
      </c>
      <c r="F56" s="6">
        <v>877500000</v>
      </c>
      <c r="G56">
        <v>31</v>
      </c>
      <c r="H56">
        <v>19</v>
      </c>
      <c r="I56" s="6">
        <v>9256571.5999999996</v>
      </c>
      <c r="J56" s="6">
        <v>9.6403444000000005E-3</v>
      </c>
      <c r="K56">
        <v>19</v>
      </c>
      <c r="L56" s="6">
        <v>1.2E-2</v>
      </c>
      <c r="M56" s="6">
        <v>0.15524265000000001</v>
      </c>
    </row>
    <row r="57" spans="1:13" x14ac:dyDescent="0.2">
      <c r="A57" t="s">
        <v>195</v>
      </c>
      <c r="B57" t="s">
        <v>144</v>
      </c>
      <c r="C57" t="s">
        <v>145</v>
      </c>
      <c r="D57" t="s">
        <v>26</v>
      </c>
      <c r="E57" t="s">
        <v>131</v>
      </c>
      <c r="F57" s="6">
        <v>877500000</v>
      </c>
      <c r="G57">
        <v>30</v>
      </c>
      <c r="H57">
        <v>20</v>
      </c>
      <c r="I57" s="6">
        <v>10105240.220000001</v>
      </c>
      <c r="J57" s="6">
        <v>1.05587822E-2</v>
      </c>
      <c r="K57">
        <v>20</v>
      </c>
      <c r="L57" s="6">
        <v>1.2E-2</v>
      </c>
      <c r="M57" s="6">
        <v>0.15524265000000001</v>
      </c>
    </row>
    <row r="58" spans="1:13" x14ac:dyDescent="0.2">
      <c r="A58" t="s">
        <v>196</v>
      </c>
      <c r="B58" t="s">
        <v>144</v>
      </c>
      <c r="C58" t="s">
        <v>145</v>
      </c>
      <c r="D58" t="s">
        <v>26</v>
      </c>
      <c r="E58" t="s">
        <v>131</v>
      </c>
      <c r="F58" s="6">
        <v>877500000</v>
      </c>
      <c r="G58">
        <v>31</v>
      </c>
      <c r="H58">
        <v>21</v>
      </c>
      <c r="I58" s="6">
        <v>10875439.92</v>
      </c>
      <c r="J58" s="6">
        <v>1.1387796299999999E-2</v>
      </c>
      <c r="K58">
        <v>21</v>
      </c>
      <c r="L58" s="6">
        <v>1.2E-2</v>
      </c>
      <c r="M58" s="6">
        <v>0.15524265000000001</v>
      </c>
    </row>
    <row r="59" spans="1:13" x14ac:dyDescent="0.2">
      <c r="A59" t="s">
        <v>197</v>
      </c>
      <c r="B59" t="s">
        <v>144</v>
      </c>
      <c r="C59" t="s">
        <v>145</v>
      </c>
      <c r="D59" t="s">
        <v>26</v>
      </c>
      <c r="E59" t="s">
        <v>131</v>
      </c>
      <c r="F59" s="6">
        <v>877500000</v>
      </c>
      <c r="G59">
        <v>30</v>
      </c>
      <c r="H59">
        <v>20</v>
      </c>
      <c r="I59" s="6">
        <v>10466907.199999999</v>
      </c>
      <c r="J59" s="6">
        <v>1.0970548300000001E-2</v>
      </c>
      <c r="K59">
        <v>20</v>
      </c>
      <c r="L59" s="6">
        <v>1.2E-2</v>
      </c>
      <c r="M59" s="6">
        <v>0.15524265000000001</v>
      </c>
    </row>
    <row r="60" spans="1:13" x14ac:dyDescent="0.2">
      <c r="A60" t="s">
        <v>198</v>
      </c>
      <c r="B60" t="s">
        <v>144</v>
      </c>
      <c r="C60" t="s">
        <v>145</v>
      </c>
      <c r="D60" t="s">
        <v>26</v>
      </c>
      <c r="E60" t="s">
        <v>131</v>
      </c>
      <c r="F60" s="6">
        <v>877500000</v>
      </c>
      <c r="G60">
        <v>31</v>
      </c>
      <c r="H60">
        <v>23</v>
      </c>
      <c r="I60" s="6">
        <v>12162631.199999999</v>
      </c>
      <c r="J60" s="6">
        <v>1.2757340000000001E-2</v>
      </c>
      <c r="K60">
        <v>23</v>
      </c>
      <c r="L60" s="6">
        <v>1.2E-2</v>
      </c>
      <c r="M60" s="6">
        <v>0.15524265000000001</v>
      </c>
    </row>
    <row r="61" spans="1:13" x14ac:dyDescent="0.2">
      <c r="A61" t="s">
        <v>199</v>
      </c>
      <c r="B61" t="s">
        <v>144</v>
      </c>
      <c r="C61" t="s">
        <v>145</v>
      </c>
      <c r="D61" t="s">
        <v>26</v>
      </c>
      <c r="E61" t="s">
        <v>131</v>
      </c>
      <c r="F61" s="6">
        <v>877500000</v>
      </c>
      <c r="G61">
        <v>31</v>
      </c>
      <c r="H61">
        <v>21</v>
      </c>
      <c r="I61" s="6">
        <v>11098352.23</v>
      </c>
      <c r="J61" s="6">
        <v>1.1641574999999999E-2</v>
      </c>
      <c r="K61">
        <v>21</v>
      </c>
      <c r="L61" s="6">
        <v>1.2E-2</v>
      </c>
      <c r="M61" s="6">
        <v>0.15524265000000001</v>
      </c>
    </row>
    <row r="62" spans="1:13" x14ac:dyDescent="0.2">
      <c r="A62" t="s">
        <v>200</v>
      </c>
      <c r="B62" t="s">
        <v>144</v>
      </c>
      <c r="C62" t="s">
        <v>145</v>
      </c>
      <c r="D62" t="s">
        <v>26</v>
      </c>
      <c r="E62" t="s">
        <v>131</v>
      </c>
      <c r="F62" s="6">
        <v>877500000</v>
      </c>
      <c r="G62">
        <v>30</v>
      </c>
      <c r="H62">
        <v>22</v>
      </c>
      <c r="I62" s="6">
        <v>11630332.470000001</v>
      </c>
      <c r="J62" s="6">
        <v>1.21993038E-2</v>
      </c>
      <c r="K62">
        <v>22</v>
      </c>
      <c r="L62" s="6">
        <v>1.2E-2</v>
      </c>
      <c r="M62" s="6">
        <v>0.15524265000000001</v>
      </c>
    </row>
    <row r="63" spans="1:13" x14ac:dyDescent="0.2">
      <c r="A63" t="s">
        <v>201</v>
      </c>
      <c r="B63" t="s">
        <v>144</v>
      </c>
      <c r="C63" t="s">
        <v>145</v>
      </c>
      <c r="D63" t="s">
        <v>26</v>
      </c>
      <c r="E63" t="s">
        <v>131</v>
      </c>
      <c r="F63" s="6">
        <v>877500000</v>
      </c>
      <c r="G63">
        <v>31</v>
      </c>
      <c r="H63">
        <v>23</v>
      </c>
      <c r="I63" s="6">
        <v>12162631.199999999</v>
      </c>
      <c r="J63" s="6">
        <v>1.2757340000000001E-2</v>
      </c>
      <c r="K63">
        <v>23</v>
      </c>
      <c r="L63" s="6">
        <v>1.2E-2</v>
      </c>
      <c r="M63" s="6">
        <v>0.15524265000000001</v>
      </c>
    </row>
    <row r="64" spans="1:13" x14ac:dyDescent="0.2">
      <c r="A64" t="s">
        <v>202</v>
      </c>
      <c r="B64" t="s">
        <v>144</v>
      </c>
      <c r="C64" t="s">
        <v>145</v>
      </c>
      <c r="D64" t="s">
        <v>26</v>
      </c>
      <c r="E64" t="s">
        <v>131</v>
      </c>
      <c r="F64" s="6">
        <v>877500000</v>
      </c>
      <c r="G64">
        <v>30</v>
      </c>
      <c r="H64">
        <v>19</v>
      </c>
      <c r="I64" s="6">
        <v>10035346.41</v>
      </c>
      <c r="J64" s="6">
        <v>1.0527039199999999E-2</v>
      </c>
      <c r="K64">
        <v>19</v>
      </c>
      <c r="L64" s="6">
        <v>1.2E-2</v>
      </c>
      <c r="M64" s="6">
        <v>0.15524265000000001</v>
      </c>
    </row>
    <row r="65" spans="1:13" x14ac:dyDescent="0.2">
      <c r="A65" t="s">
        <v>203</v>
      </c>
      <c r="B65" t="s">
        <v>144</v>
      </c>
      <c r="C65" t="s">
        <v>145</v>
      </c>
      <c r="D65" t="s">
        <v>26</v>
      </c>
      <c r="E65" t="s">
        <v>131</v>
      </c>
      <c r="F65" s="6">
        <v>877500000</v>
      </c>
      <c r="G65">
        <v>31</v>
      </c>
      <c r="H65">
        <v>20</v>
      </c>
      <c r="I65" s="6">
        <v>10566690.27</v>
      </c>
      <c r="J65" s="6">
        <v>1.21993038E-2</v>
      </c>
      <c r="K65">
        <v>22</v>
      </c>
      <c r="L65" s="6">
        <v>1.2E-2</v>
      </c>
      <c r="M65" s="6">
        <v>0.15524265000000001</v>
      </c>
    </row>
    <row r="66" spans="1:13" x14ac:dyDescent="0.2">
      <c r="A66" t="s">
        <v>192</v>
      </c>
      <c r="B66" t="s">
        <v>163</v>
      </c>
      <c r="C66" t="s">
        <v>164</v>
      </c>
      <c r="D66" t="s">
        <v>26</v>
      </c>
      <c r="E66" t="s">
        <v>131</v>
      </c>
      <c r="F66" s="6">
        <v>291000000</v>
      </c>
      <c r="G66">
        <v>31</v>
      </c>
      <c r="H66">
        <v>22</v>
      </c>
      <c r="I66" s="6">
        <v>3330750.76</v>
      </c>
      <c r="J66" s="6">
        <v>1.01320561E-2</v>
      </c>
      <c r="K66">
        <v>22</v>
      </c>
      <c r="L66" s="6">
        <v>1.4999999999999999E-2</v>
      </c>
      <c r="M66" s="6">
        <v>0.15824265000000001</v>
      </c>
    </row>
    <row r="67" spans="1:13" x14ac:dyDescent="0.2">
      <c r="A67" t="s">
        <v>193</v>
      </c>
      <c r="B67" t="s">
        <v>163</v>
      </c>
      <c r="C67" t="s">
        <v>164</v>
      </c>
      <c r="D67" t="s">
        <v>26</v>
      </c>
      <c r="E67" t="s">
        <v>131</v>
      </c>
      <c r="F67" s="6">
        <v>291000000</v>
      </c>
      <c r="G67">
        <v>28</v>
      </c>
      <c r="H67">
        <v>20</v>
      </c>
      <c r="I67" s="6">
        <v>3214765.99</v>
      </c>
      <c r="J67" s="6">
        <v>9.8533215999999993E-3</v>
      </c>
      <c r="K67">
        <v>20</v>
      </c>
      <c r="L67" s="6">
        <v>1.4999999999999999E-2</v>
      </c>
      <c r="M67" s="6">
        <v>0.15824265000000001</v>
      </c>
    </row>
    <row r="68" spans="1:13" x14ac:dyDescent="0.2">
      <c r="A68" t="s">
        <v>194</v>
      </c>
      <c r="B68" t="s">
        <v>163</v>
      </c>
      <c r="C68" t="s">
        <v>164</v>
      </c>
      <c r="D68" t="s">
        <v>26</v>
      </c>
      <c r="E68" t="s">
        <v>131</v>
      </c>
      <c r="F68" s="6">
        <v>291000000</v>
      </c>
      <c r="G68">
        <v>31</v>
      </c>
      <c r="H68">
        <v>19</v>
      </c>
      <c r="I68" s="6">
        <v>3135337.8</v>
      </c>
      <c r="J68" s="6">
        <v>9.6403444000000005E-3</v>
      </c>
      <c r="K68">
        <v>19</v>
      </c>
      <c r="L68" s="6">
        <v>1.4999999999999999E-2</v>
      </c>
      <c r="M68" s="6">
        <v>0.15824265000000001</v>
      </c>
    </row>
    <row r="69" spans="1:13" x14ac:dyDescent="0.2">
      <c r="A69" t="s">
        <v>195</v>
      </c>
      <c r="B69" t="s">
        <v>163</v>
      </c>
      <c r="C69" t="s">
        <v>164</v>
      </c>
      <c r="D69" t="s">
        <v>26</v>
      </c>
      <c r="E69" t="s">
        <v>131</v>
      </c>
      <c r="F69" s="6">
        <v>291000000</v>
      </c>
      <c r="G69">
        <v>30</v>
      </c>
      <c r="H69">
        <v>20</v>
      </c>
      <c r="I69" s="6">
        <v>3420297.74</v>
      </c>
      <c r="J69" s="6">
        <v>1.05587822E-2</v>
      </c>
      <c r="K69">
        <v>20</v>
      </c>
      <c r="L69" s="6">
        <v>1.4999999999999999E-2</v>
      </c>
      <c r="M69" s="6">
        <v>0.15824265000000001</v>
      </c>
    </row>
    <row r="70" spans="1:13" x14ac:dyDescent="0.2">
      <c r="A70" t="s">
        <v>196</v>
      </c>
      <c r="B70" t="s">
        <v>163</v>
      </c>
      <c r="C70" t="s">
        <v>164</v>
      </c>
      <c r="D70" t="s">
        <v>26</v>
      </c>
      <c r="E70" t="s">
        <v>131</v>
      </c>
      <c r="F70" s="6">
        <v>291000000</v>
      </c>
      <c r="G70">
        <v>31</v>
      </c>
      <c r="H70">
        <v>21</v>
      </c>
      <c r="I70" s="6">
        <v>3679235.75</v>
      </c>
      <c r="J70" s="6">
        <v>1.1387796299999999E-2</v>
      </c>
      <c r="K70">
        <v>21</v>
      </c>
      <c r="L70" s="6">
        <v>1.4999999999999999E-2</v>
      </c>
      <c r="M70" s="6">
        <v>0.15824265000000001</v>
      </c>
    </row>
    <row r="71" spans="1:13" x14ac:dyDescent="0.2">
      <c r="A71" t="s">
        <v>197</v>
      </c>
      <c r="B71" t="s">
        <v>163</v>
      </c>
      <c r="C71" t="s">
        <v>164</v>
      </c>
      <c r="D71" t="s">
        <v>26</v>
      </c>
      <c r="E71" t="s">
        <v>131</v>
      </c>
      <c r="F71" s="6">
        <v>291000000</v>
      </c>
      <c r="G71">
        <v>30</v>
      </c>
      <c r="H71">
        <v>20</v>
      </c>
      <c r="I71" s="6">
        <v>3540263.35</v>
      </c>
      <c r="J71" s="6">
        <v>1.0970548300000001E-2</v>
      </c>
      <c r="K71">
        <v>20</v>
      </c>
      <c r="L71" s="6">
        <v>1.4999999999999999E-2</v>
      </c>
      <c r="M71" s="6">
        <v>0.15824265000000001</v>
      </c>
    </row>
    <row r="72" spans="1:13" x14ac:dyDescent="0.2">
      <c r="A72" t="s">
        <v>198</v>
      </c>
      <c r="B72" t="s">
        <v>163</v>
      </c>
      <c r="C72" t="s">
        <v>164</v>
      </c>
      <c r="D72" t="s">
        <v>26</v>
      </c>
      <c r="E72" t="s">
        <v>131</v>
      </c>
      <c r="F72" s="6">
        <v>291000000</v>
      </c>
      <c r="G72">
        <v>31</v>
      </c>
      <c r="H72">
        <v>23</v>
      </c>
      <c r="I72" s="6">
        <v>4113137.32</v>
      </c>
      <c r="J72" s="6">
        <v>1.2757340000000001E-2</v>
      </c>
      <c r="K72">
        <v>23</v>
      </c>
      <c r="L72" s="6">
        <v>1.4999999999999999E-2</v>
      </c>
      <c r="M72" s="6">
        <v>0.15824265000000001</v>
      </c>
    </row>
    <row r="73" spans="1:13" x14ac:dyDescent="0.2">
      <c r="A73" t="s">
        <v>199</v>
      </c>
      <c r="B73" t="s">
        <v>163</v>
      </c>
      <c r="C73" t="s">
        <v>164</v>
      </c>
      <c r="D73" t="s">
        <v>26</v>
      </c>
      <c r="E73" t="s">
        <v>131</v>
      </c>
      <c r="F73" s="6">
        <v>291000000</v>
      </c>
      <c r="G73">
        <v>31</v>
      </c>
      <c r="H73">
        <v>21</v>
      </c>
      <c r="I73" s="6">
        <v>3753177.04</v>
      </c>
      <c r="J73" s="6">
        <v>1.1641574999999999E-2</v>
      </c>
      <c r="K73">
        <v>21</v>
      </c>
      <c r="L73" s="6">
        <v>1.4999999999999999E-2</v>
      </c>
      <c r="M73" s="6">
        <v>0.15824265000000001</v>
      </c>
    </row>
    <row r="74" spans="1:13" x14ac:dyDescent="0.2">
      <c r="A74" t="s">
        <v>200</v>
      </c>
      <c r="B74" t="s">
        <v>163</v>
      </c>
      <c r="C74" t="s">
        <v>164</v>
      </c>
      <c r="D74" t="s">
        <v>26</v>
      </c>
      <c r="E74" t="s">
        <v>131</v>
      </c>
      <c r="F74" s="6">
        <v>291000000</v>
      </c>
      <c r="G74">
        <v>30</v>
      </c>
      <c r="H74">
        <v>22</v>
      </c>
      <c r="I74" s="6">
        <v>3933102.26</v>
      </c>
      <c r="J74" s="6">
        <v>1.21993038E-2</v>
      </c>
      <c r="K74">
        <v>22</v>
      </c>
      <c r="L74" s="6">
        <v>1.4999999999999999E-2</v>
      </c>
      <c r="M74" s="6">
        <v>0.15824265000000001</v>
      </c>
    </row>
    <row r="75" spans="1:13" x14ac:dyDescent="0.2">
      <c r="A75" t="s">
        <v>201</v>
      </c>
      <c r="B75" t="s">
        <v>163</v>
      </c>
      <c r="C75" t="s">
        <v>164</v>
      </c>
      <c r="D75" t="s">
        <v>26</v>
      </c>
      <c r="E75" t="s">
        <v>131</v>
      </c>
      <c r="F75" s="6">
        <v>291000000</v>
      </c>
      <c r="G75">
        <v>31</v>
      </c>
      <c r="H75">
        <v>23</v>
      </c>
      <c r="I75" s="6">
        <v>4113137.32</v>
      </c>
      <c r="J75" s="6">
        <v>1.2757340000000001E-2</v>
      </c>
      <c r="K75">
        <v>23</v>
      </c>
      <c r="L75" s="6">
        <v>1.4999999999999999E-2</v>
      </c>
      <c r="M75" s="6">
        <v>0.15824265000000001</v>
      </c>
    </row>
    <row r="76" spans="1:13" x14ac:dyDescent="0.2">
      <c r="A76" t="s">
        <v>202</v>
      </c>
      <c r="B76" t="s">
        <v>163</v>
      </c>
      <c r="C76" t="s">
        <v>164</v>
      </c>
      <c r="D76" t="s">
        <v>26</v>
      </c>
      <c r="E76" t="s">
        <v>131</v>
      </c>
      <c r="F76" s="6">
        <v>291000000</v>
      </c>
      <c r="G76">
        <v>30</v>
      </c>
      <c r="H76">
        <v>19</v>
      </c>
      <c r="I76" s="6">
        <v>3393655.81</v>
      </c>
      <c r="J76" s="6">
        <v>1.0527039199999999E-2</v>
      </c>
      <c r="K76">
        <v>19</v>
      </c>
      <c r="L76" s="6">
        <v>1.4999999999999999E-2</v>
      </c>
      <c r="M76" s="6">
        <v>0.15824265000000001</v>
      </c>
    </row>
    <row r="77" spans="1:13" x14ac:dyDescent="0.2">
      <c r="A77" t="s">
        <v>203</v>
      </c>
      <c r="B77" t="s">
        <v>163</v>
      </c>
      <c r="C77" t="s">
        <v>164</v>
      </c>
      <c r="D77" t="s">
        <v>26</v>
      </c>
      <c r="E77" t="s">
        <v>131</v>
      </c>
      <c r="F77" s="6">
        <v>291000000</v>
      </c>
      <c r="G77">
        <v>31</v>
      </c>
      <c r="H77">
        <v>20</v>
      </c>
      <c r="I77" s="6">
        <v>3573361.58</v>
      </c>
      <c r="J77" s="6">
        <v>1.21993038E-2</v>
      </c>
      <c r="K77">
        <v>22</v>
      </c>
      <c r="L77" s="6">
        <v>1.4999999999999999E-2</v>
      </c>
      <c r="M77" s="6">
        <v>0.15824265000000001</v>
      </c>
    </row>
    <row r="78" spans="1:13" x14ac:dyDescent="0.2">
      <c r="A78" t="s">
        <v>192</v>
      </c>
      <c r="B78" t="s">
        <v>176</v>
      </c>
      <c r="C78" t="s">
        <v>177</v>
      </c>
      <c r="D78" t="s">
        <v>26</v>
      </c>
      <c r="E78" t="s">
        <v>131</v>
      </c>
      <c r="F78" s="6">
        <v>142500000</v>
      </c>
      <c r="G78">
        <v>31</v>
      </c>
      <c r="H78">
        <v>22</v>
      </c>
      <c r="I78" s="6">
        <v>1680536.45</v>
      </c>
      <c r="J78" s="6">
        <v>1.01320561E-2</v>
      </c>
      <c r="K78">
        <v>22</v>
      </c>
      <c r="L78" s="6">
        <v>1.9E-2</v>
      </c>
      <c r="M78" s="6">
        <v>0.16224264999999999</v>
      </c>
    </row>
    <row r="79" spans="1:13" x14ac:dyDescent="0.2">
      <c r="A79" t="s">
        <v>193</v>
      </c>
      <c r="B79" t="s">
        <v>176</v>
      </c>
      <c r="C79" t="s">
        <v>177</v>
      </c>
      <c r="D79" t="s">
        <v>26</v>
      </c>
      <c r="E79" t="s">
        <v>131</v>
      </c>
      <c r="F79" s="6">
        <v>142500000</v>
      </c>
      <c r="G79">
        <v>28</v>
      </c>
      <c r="H79">
        <v>20</v>
      </c>
      <c r="I79" s="6">
        <v>1619221.46</v>
      </c>
      <c r="J79" s="6">
        <v>9.8533215999999993E-3</v>
      </c>
      <c r="K79">
        <v>20</v>
      </c>
      <c r="L79" s="6">
        <v>1.9E-2</v>
      </c>
      <c r="M79" s="6">
        <v>0.16224264999999999</v>
      </c>
    </row>
    <row r="80" spans="1:13" x14ac:dyDescent="0.2">
      <c r="A80" t="s">
        <v>194</v>
      </c>
      <c r="B80" t="s">
        <v>176</v>
      </c>
      <c r="C80" t="s">
        <v>177</v>
      </c>
      <c r="D80" t="s">
        <v>26</v>
      </c>
      <c r="E80" t="s">
        <v>131</v>
      </c>
      <c r="F80" s="6">
        <v>142500000</v>
      </c>
      <c r="G80">
        <v>31</v>
      </c>
      <c r="H80">
        <v>19</v>
      </c>
      <c r="I80" s="6">
        <v>1578065.33</v>
      </c>
      <c r="J80" s="6">
        <v>9.6403444000000005E-3</v>
      </c>
      <c r="K80">
        <v>19</v>
      </c>
      <c r="L80" s="6">
        <v>1.9E-2</v>
      </c>
      <c r="M80" s="6">
        <v>0.16224264999999999</v>
      </c>
    </row>
    <row r="81" spans="1:13" x14ac:dyDescent="0.2">
      <c r="A81" t="s">
        <v>195</v>
      </c>
      <c r="B81" t="s">
        <v>176</v>
      </c>
      <c r="C81" t="s">
        <v>177</v>
      </c>
      <c r="D81" t="s">
        <v>26</v>
      </c>
      <c r="E81" t="s">
        <v>131</v>
      </c>
      <c r="F81" s="6">
        <v>142500000</v>
      </c>
      <c r="G81">
        <v>30</v>
      </c>
      <c r="H81">
        <v>20</v>
      </c>
      <c r="I81" s="6">
        <v>1719899.88</v>
      </c>
      <c r="J81" s="6">
        <v>1.05587822E-2</v>
      </c>
      <c r="K81">
        <v>20</v>
      </c>
      <c r="L81" s="6">
        <v>1.9E-2</v>
      </c>
      <c r="M81" s="6">
        <v>0.16224264999999999</v>
      </c>
    </row>
    <row r="82" spans="1:13" x14ac:dyDescent="0.2">
      <c r="A82" t="s">
        <v>196</v>
      </c>
      <c r="B82" t="s">
        <v>176</v>
      </c>
      <c r="C82" t="s">
        <v>177</v>
      </c>
      <c r="D82" t="s">
        <v>26</v>
      </c>
      <c r="E82" t="s">
        <v>131</v>
      </c>
      <c r="F82" s="6">
        <v>142500000</v>
      </c>
      <c r="G82">
        <v>31</v>
      </c>
      <c r="H82">
        <v>21</v>
      </c>
      <c r="I82" s="6">
        <v>1848991.94</v>
      </c>
      <c r="J82" s="6">
        <v>1.1387796299999999E-2</v>
      </c>
      <c r="K82">
        <v>21</v>
      </c>
      <c r="L82" s="6">
        <v>1.9E-2</v>
      </c>
      <c r="M82" s="6">
        <v>0.16224264999999999</v>
      </c>
    </row>
    <row r="83" spans="1:13" x14ac:dyDescent="0.2">
      <c r="A83" t="s">
        <v>197</v>
      </c>
      <c r="B83" t="s">
        <v>176</v>
      </c>
      <c r="C83" t="s">
        <v>177</v>
      </c>
      <c r="D83" t="s">
        <v>26</v>
      </c>
      <c r="E83" t="s">
        <v>131</v>
      </c>
      <c r="F83" s="6">
        <v>142500000</v>
      </c>
      <c r="G83">
        <v>30</v>
      </c>
      <c r="H83">
        <v>20</v>
      </c>
      <c r="I83" s="6">
        <v>1778664.26</v>
      </c>
      <c r="J83" s="6">
        <v>1.0970548300000001E-2</v>
      </c>
      <c r="K83">
        <v>20</v>
      </c>
      <c r="L83" s="6">
        <v>1.9E-2</v>
      </c>
      <c r="M83" s="6">
        <v>0.16224264999999999</v>
      </c>
    </row>
    <row r="84" spans="1:13" x14ac:dyDescent="0.2">
      <c r="A84" t="s">
        <v>198</v>
      </c>
      <c r="B84" t="s">
        <v>176</v>
      </c>
      <c r="C84" t="s">
        <v>177</v>
      </c>
      <c r="D84" t="s">
        <v>26</v>
      </c>
      <c r="E84" t="s">
        <v>131</v>
      </c>
      <c r="F84" s="6">
        <v>142500000</v>
      </c>
      <c r="G84">
        <v>31</v>
      </c>
      <c r="H84">
        <v>23</v>
      </c>
      <c r="I84" s="6">
        <v>2066051.79</v>
      </c>
      <c r="J84" s="6">
        <v>1.2757340000000001E-2</v>
      </c>
      <c r="K84">
        <v>23</v>
      </c>
      <c r="L84" s="6">
        <v>1.9E-2</v>
      </c>
      <c r="M84" s="6">
        <v>0.16224264999999999</v>
      </c>
    </row>
    <row r="85" spans="1:13" x14ac:dyDescent="0.2">
      <c r="A85" t="s">
        <v>199</v>
      </c>
      <c r="B85" t="s">
        <v>176</v>
      </c>
      <c r="C85" t="s">
        <v>177</v>
      </c>
      <c r="D85" t="s">
        <v>26</v>
      </c>
      <c r="E85" t="s">
        <v>131</v>
      </c>
      <c r="F85" s="6">
        <v>142500000</v>
      </c>
      <c r="G85">
        <v>31</v>
      </c>
      <c r="H85">
        <v>21</v>
      </c>
      <c r="I85" s="6">
        <v>1885212.18</v>
      </c>
      <c r="J85" s="6">
        <v>1.1641574999999999E-2</v>
      </c>
      <c r="K85">
        <v>21</v>
      </c>
      <c r="L85" s="6">
        <v>1.9E-2</v>
      </c>
      <c r="M85" s="6">
        <v>0.16224264999999999</v>
      </c>
    </row>
    <row r="86" spans="1:13" x14ac:dyDescent="0.2">
      <c r="A86" t="s">
        <v>200</v>
      </c>
      <c r="B86" t="s">
        <v>176</v>
      </c>
      <c r="C86" t="s">
        <v>177</v>
      </c>
      <c r="D86" t="s">
        <v>26</v>
      </c>
      <c r="E86" t="s">
        <v>131</v>
      </c>
      <c r="F86" s="6">
        <v>142500000</v>
      </c>
      <c r="G86">
        <v>30</v>
      </c>
      <c r="H86">
        <v>22</v>
      </c>
      <c r="I86" s="6">
        <v>1975603.69</v>
      </c>
      <c r="J86" s="6">
        <v>1.21993038E-2</v>
      </c>
      <c r="K86">
        <v>22</v>
      </c>
      <c r="L86" s="6">
        <v>1.9E-2</v>
      </c>
      <c r="M86" s="6">
        <v>0.16224264999999999</v>
      </c>
    </row>
    <row r="87" spans="1:13" x14ac:dyDescent="0.2">
      <c r="A87" t="s">
        <v>201</v>
      </c>
      <c r="B87" t="s">
        <v>176</v>
      </c>
      <c r="C87" t="s">
        <v>177</v>
      </c>
      <c r="D87" t="s">
        <v>26</v>
      </c>
      <c r="E87" t="s">
        <v>131</v>
      </c>
      <c r="F87" s="6">
        <v>142500000</v>
      </c>
      <c r="G87">
        <v>31</v>
      </c>
      <c r="H87">
        <v>23</v>
      </c>
      <c r="I87" s="6">
        <v>2066051.79</v>
      </c>
      <c r="J87" s="6">
        <v>1.2757340000000001E-2</v>
      </c>
      <c r="K87">
        <v>23</v>
      </c>
      <c r="L87" s="6">
        <v>1.9E-2</v>
      </c>
      <c r="M87" s="6">
        <v>0.16224264999999999</v>
      </c>
    </row>
    <row r="88" spans="1:13" x14ac:dyDescent="0.2">
      <c r="A88" t="s">
        <v>202</v>
      </c>
      <c r="B88" t="s">
        <v>176</v>
      </c>
      <c r="C88" t="s">
        <v>177</v>
      </c>
      <c r="D88" t="s">
        <v>26</v>
      </c>
      <c r="E88" t="s">
        <v>131</v>
      </c>
      <c r="F88" s="6">
        <v>142500000</v>
      </c>
      <c r="G88">
        <v>30</v>
      </c>
      <c r="H88">
        <v>19</v>
      </c>
      <c r="I88" s="6">
        <v>1704598.78</v>
      </c>
      <c r="J88" s="6">
        <v>1.0527039199999999E-2</v>
      </c>
      <c r="K88">
        <v>19</v>
      </c>
      <c r="L88" s="6">
        <v>1.9E-2</v>
      </c>
      <c r="M88" s="6">
        <v>0.16224264999999999</v>
      </c>
    </row>
    <row r="89" spans="1:13" x14ac:dyDescent="0.2">
      <c r="A89" t="s">
        <v>203</v>
      </c>
      <c r="B89" t="s">
        <v>176</v>
      </c>
      <c r="C89" t="s">
        <v>177</v>
      </c>
      <c r="D89" t="s">
        <v>26</v>
      </c>
      <c r="E89" t="s">
        <v>131</v>
      </c>
      <c r="F89" s="6">
        <v>142500000</v>
      </c>
      <c r="G89">
        <v>31</v>
      </c>
      <c r="H89">
        <v>20</v>
      </c>
      <c r="I89" s="6">
        <v>1794877.22</v>
      </c>
      <c r="J89" s="6">
        <v>1.21993038E-2</v>
      </c>
      <c r="K89">
        <v>22</v>
      </c>
      <c r="L89" s="6">
        <v>1.9E-2</v>
      </c>
      <c r="M89" s="6">
        <v>0.16224264999999999</v>
      </c>
    </row>
    <row r="90" spans="1:13" x14ac:dyDescent="0.2">
      <c r="A90" t="s">
        <v>192</v>
      </c>
      <c r="B90" t="s">
        <v>170</v>
      </c>
      <c r="C90" t="s">
        <v>171</v>
      </c>
      <c r="D90" t="s">
        <v>26</v>
      </c>
      <c r="E90" t="s">
        <v>131</v>
      </c>
      <c r="F90" s="6">
        <v>240000000</v>
      </c>
      <c r="G90">
        <v>31</v>
      </c>
      <c r="H90">
        <v>22</v>
      </c>
      <c r="I90" s="6">
        <v>3058103.7</v>
      </c>
      <c r="J90" s="6">
        <v>1.01320561E-2</v>
      </c>
      <c r="K90">
        <v>22</v>
      </c>
      <c r="L90" s="6">
        <v>0.03</v>
      </c>
      <c r="M90" s="6">
        <v>0.17324265</v>
      </c>
    </row>
    <row r="91" spans="1:13" x14ac:dyDescent="0.2">
      <c r="A91" t="s">
        <v>193</v>
      </c>
      <c r="B91" t="s">
        <v>170</v>
      </c>
      <c r="C91" t="s">
        <v>171</v>
      </c>
      <c r="D91" t="s">
        <v>26</v>
      </c>
      <c r="E91" t="s">
        <v>131</v>
      </c>
      <c r="F91" s="6">
        <v>240000000</v>
      </c>
      <c r="G91">
        <v>28</v>
      </c>
      <c r="H91">
        <v>20</v>
      </c>
      <c r="I91" s="6">
        <v>2934037.08</v>
      </c>
      <c r="J91" s="6">
        <v>9.8533215999999993E-3</v>
      </c>
      <c r="K91">
        <v>20</v>
      </c>
      <c r="L91" s="6">
        <v>0.03</v>
      </c>
      <c r="M91" s="6">
        <v>0.17324265</v>
      </c>
    </row>
    <row r="92" spans="1:13" x14ac:dyDescent="0.2">
      <c r="A92" t="s">
        <v>194</v>
      </c>
      <c r="B92" t="s">
        <v>170</v>
      </c>
      <c r="C92" t="s">
        <v>171</v>
      </c>
      <c r="D92" t="s">
        <v>26</v>
      </c>
      <c r="E92" t="s">
        <v>131</v>
      </c>
      <c r="F92" s="6">
        <v>240000000</v>
      </c>
      <c r="G92">
        <v>31</v>
      </c>
      <c r="H92">
        <v>19</v>
      </c>
      <c r="I92" s="6">
        <v>2854314.8</v>
      </c>
      <c r="J92" s="6">
        <v>9.6403444000000005E-3</v>
      </c>
      <c r="K92">
        <v>19</v>
      </c>
      <c r="L92" s="6">
        <v>0.03</v>
      </c>
      <c r="M92" s="6">
        <v>0.17324265</v>
      </c>
    </row>
    <row r="93" spans="1:13" x14ac:dyDescent="0.2">
      <c r="A93" t="s">
        <v>195</v>
      </c>
      <c r="B93" t="s">
        <v>170</v>
      </c>
      <c r="C93" t="s">
        <v>171</v>
      </c>
      <c r="D93" t="s">
        <v>26</v>
      </c>
      <c r="E93" t="s">
        <v>131</v>
      </c>
      <c r="F93" s="6">
        <v>240000000</v>
      </c>
      <c r="G93">
        <v>30</v>
      </c>
      <c r="H93">
        <v>20</v>
      </c>
      <c r="I93" s="6">
        <v>3103745.29</v>
      </c>
      <c r="J93" s="6">
        <v>1.05587822E-2</v>
      </c>
      <c r="K93">
        <v>20</v>
      </c>
      <c r="L93" s="6">
        <v>0.03</v>
      </c>
      <c r="M93" s="6">
        <v>0.17324265</v>
      </c>
    </row>
    <row r="94" spans="1:13" x14ac:dyDescent="0.2">
      <c r="A94" t="s">
        <v>196</v>
      </c>
      <c r="B94" t="s">
        <v>170</v>
      </c>
      <c r="C94" t="s">
        <v>171</v>
      </c>
      <c r="D94" t="s">
        <v>26</v>
      </c>
      <c r="E94" t="s">
        <v>131</v>
      </c>
      <c r="F94" s="6">
        <v>240000000</v>
      </c>
      <c r="G94">
        <v>31</v>
      </c>
      <c r="H94">
        <v>21</v>
      </c>
      <c r="I94" s="6">
        <v>3331716.34</v>
      </c>
      <c r="J94" s="6">
        <v>1.1387796299999999E-2</v>
      </c>
      <c r="K94">
        <v>21</v>
      </c>
      <c r="L94" s="6">
        <v>0.03</v>
      </c>
      <c r="M94" s="6">
        <v>0.17324265</v>
      </c>
    </row>
    <row r="95" spans="1:13" x14ac:dyDescent="0.2">
      <c r="A95" t="s">
        <v>197</v>
      </c>
      <c r="B95" t="s">
        <v>170</v>
      </c>
      <c r="C95" t="s">
        <v>171</v>
      </c>
      <c r="D95" t="s">
        <v>26</v>
      </c>
      <c r="E95" t="s">
        <v>131</v>
      </c>
      <c r="F95" s="6">
        <v>240000000</v>
      </c>
      <c r="G95">
        <v>30</v>
      </c>
      <c r="H95">
        <v>20</v>
      </c>
      <c r="I95" s="6">
        <v>3202801.25</v>
      </c>
      <c r="J95" s="6">
        <v>1.0970548300000001E-2</v>
      </c>
      <c r="K95">
        <v>20</v>
      </c>
      <c r="L95" s="6">
        <v>0.03</v>
      </c>
      <c r="M95" s="6">
        <v>0.17324265</v>
      </c>
    </row>
    <row r="96" spans="1:13" x14ac:dyDescent="0.2">
      <c r="A96" t="s">
        <v>198</v>
      </c>
      <c r="B96" t="s">
        <v>170</v>
      </c>
      <c r="C96" t="s">
        <v>171</v>
      </c>
      <c r="D96" t="s">
        <v>26</v>
      </c>
      <c r="E96" t="s">
        <v>131</v>
      </c>
      <c r="F96" s="6">
        <v>240000000</v>
      </c>
      <c r="G96">
        <v>31</v>
      </c>
      <c r="H96">
        <v>23</v>
      </c>
      <c r="I96" s="6">
        <v>3718385.57</v>
      </c>
      <c r="J96" s="6">
        <v>1.2757340000000001E-2</v>
      </c>
      <c r="K96">
        <v>23</v>
      </c>
      <c r="L96" s="6">
        <v>0.03</v>
      </c>
      <c r="M96" s="6">
        <v>0.17324265</v>
      </c>
    </row>
    <row r="97" spans="1:13" x14ac:dyDescent="0.2">
      <c r="A97" t="s">
        <v>199</v>
      </c>
      <c r="B97" t="s">
        <v>170</v>
      </c>
      <c r="C97" t="s">
        <v>171</v>
      </c>
      <c r="D97" t="s">
        <v>26</v>
      </c>
      <c r="E97" t="s">
        <v>131</v>
      </c>
      <c r="F97" s="6">
        <v>240000000</v>
      </c>
      <c r="G97">
        <v>31</v>
      </c>
      <c r="H97">
        <v>21</v>
      </c>
      <c r="I97" s="6">
        <v>3392773.45</v>
      </c>
      <c r="J97" s="6">
        <v>1.1641574999999999E-2</v>
      </c>
      <c r="K97">
        <v>21</v>
      </c>
      <c r="L97" s="6">
        <v>0.03</v>
      </c>
      <c r="M97" s="6">
        <v>0.17324265</v>
      </c>
    </row>
    <row r="98" spans="1:13" x14ac:dyDescent="0.2">
      <c r="A98" t="s">
        <v>200</v>
      </c>
      <c r="B98" t="s">
        <v>170</v>
      </c>
      <c r="C98" t="s">
        <v>171</v>
      </c>
      <c r="D98" t="s">
        <v>26</v>
      </c>
      <c r="E98" t="s">
        <v>131</v>
      </c>
      <c r="F98" s="6">
        <v>240000000</v>
      </c>
      <c r="G98">
        <v>30</v>
      </c>
      <c r="H98">
        <v>22</v>
      </c>
      <c r="I98" s="6">
        <v>3555525.09</v>
      </c>
      <c r="J98" s="6">
        <v>1.21993038E-2</v>
      </c>
      <c r="K98">
        <v>22</v>
      </c>
      <c r="L98" s="6">
        <v>0.03</v>
      </c>
      <c r="M98" s="6">
        <v>0.17324265</v>
      </c>
    </row>
    <row r="99" spans="1:13" x14ac:dyDescent="0.2">
      <c r="A99" t="s">
        <v>201</v>
      </c>
      <c r="B99" t="s">
        <v>170</v>
      </c>
      <c r="C99" t="s">
        <v>171</v>
      </c>
      <c r="D99" t="s">
        <v>26</v>
      </c>
      <c r="E99" t="s">
        <v>131</v>
      </c>
      <c r="F99" s="6">
        <v>240000000</v>
      </c>
      <c r="G99">
        <v>31</v>
      </c>
      <c r="H99">
        <v>23</v>
      </c>
      <c r="I99" s="6">
        <v>3718385.57</v>
      </c>
      <c r="J99" s="6">
        <v>1.2757340000000001E-2</v>
      </c>
      <c r="K99">
        <v>23</v>
      </c>
      <c r="L99" s="6">
        <v>0.03</v>
      </c>
      <c r="M99" s="6">
        <v>0.17324265</v>
      </c>
    </row>
    <row r="100" spans="1:13" x14ac:dyDescent="0.2">
      <c r="A100" t="s">
        <v>202</v>
      </c>
      <c r="B100" t="s">
        <v>170</v>
      </c>
      <c r="C100" t="s">
        <v>171</v>
      </c>
      <c r="D100" t="s">
        <v>26</v>
      </c>
      <c r="E100" t="s">
        <v>131</v>
      </c>
      <c r="F100" s="6">
        <v>240000000</v>
      </c>
      <c r="G100">
        <v>30</v>
      </c>
      <c r="H100">
        <v>19</v>
      </c>
      <c r="I100" s="6">
        <v>3067596.36</v>
      </c>
      <c r="J100" s="6">
        <v>1.0527039199999999E-2</v>
      </c>
      <c r="K100">
        <v>19</v>
      </c>
      <c r="L100" s="6">
        <v>0.03</v>
      </c>
      <c r="M100" s="6">
        <v>0.17324265</v>
      </c>
    </row>
    <row r="101" spans="1:13" x14ac:dyDescent="0.2">
      <c r="A101" t="s">
        <v>203</v>
      </c>
      <c r="B101" t="s">
        <v>170</v>
      </c>
      <c r="C101" t="s">
        <v>171</v>
      </c>
      <c r="D101" t="s">
        <v>26</v>
      </c>
      <c r="E101" t="s">
        <v>131</v>
      </c>
      <c r="F101" s="6">
        <v>240000000</v>
      </c>
      <c r="G101">
        <v>31</v>
      </c>
      <c r="H101">
        <v>20</v>
      </c>
      <c r="I101" s="6">
        <v>3230130.56</v>
      </c>
      <c r="J101" s="6">
        <v>1.21993038E-2</v>
      </c>
      <c r="K101">
        <v>22</v>
      </c>
      <c r="L101" s="6">
        <v>0.03</v>
      </c>
      <c r="M101" s="6">
        <v>0.17324265</v>
      </c>
    </row>
    <row r="102" spans="1:13" x14ac:dyDescent="0.2">
      <c r="A102" t="s">
        <v>192</v>
      </c>
      <c r="B102" t="s">
        <v>129</v>
      </c>
      <c r="C102" t="s">
        <v>130</v>
      </c>
      <c r="D102" t="s">
        <v>26</v>
      </c>
      <c r="E102" t="s">
        <v>131</v>
      </c>
      <c r="F102" s="6">
        <v>1680000000</v>
      </c>
      <c r="G102">
        <v>31</v>
      </c>
      <c r="H102">
        <v>22</v>
      </c>
      <c r="I102" s="6">
        <v>18276293.739999998</v>
      </c>
      <c r="J102" s="6">
        <v>1.01320561E-2</v>
      </c>
      <c r="K102">
        <v>22</v>
      </c>
      <c r="L102" s="6">
        <v>8.5000000000000006E-3</v>
      </c>
      <c r="M102" s="6">
        <v>0.15174265000000001</v>
      </c>
    </row>
    <row r="103" spans="1:13" x14ac:dyDescent="0.2">
      <c r="A103" t="s">
        <v>193</v>
      </c>
      <c r="B103" t="s">
        <v>129</v>
      </c>
      <c r="C103" t="s">
        <v>130</v>
      </c>
      <c r="D103" t="s">
        <v>26</v>
      </c>
      <c r="E103" t="s">
        <v>131</v>
      </c>
      <c r="F103" s="6">
        <v>1680000000</v>
      </c>
      <c r="G103">
        <v>28</v>
      </c>
      <c r="H103">
        <v>20</v>
      </c>
      <c r="I103" s="6">
        <v>17693626.800000001</v>
      </c>
      <c r="J103" s="6">
        <v>9.8533215999999993E-3</v>
      </c>
      <c r="K103">
        <v>20</v>
      </c>
      <c r="L103" s="6">
        <v>8.5000000000000006E-3</v>
      </c>
      <c r="M103" s="6">
        <v>0.15174265000000001</v>
      </c>
    </row>
    <row r="104" spans="1:13" x14ac:dyDescent="0.2">
      <c r="A104" t="s">
        <v>194</v>
      </c>
      <c r="B104" t="s">
        <v>129</v>
      </c>
      <c r="C104" t="s">
        <v>130</v>
      </c>
      <c r="D104" t="s">
        <v>26</v>
      </c>
      <c r="E104" t="s">
        <v>131</v>
      </c>
      <c r="F104" s="6">
        <v>1680000000</v>
      </c>
      <c r="G104">
        <v>31</v>
      </c>
      <c r="H104">
        <v>19</v>
      </c>
      <c r="I104" s="6">
        <v>17278576.239999998</v>
      </c>
      <c r="J104" s="6">
        <v>9.6403444000000005E-3</v>
      </c>
      <c r="K104">
        <v>19</v>
      </c>
      <c r="L104" s="6">
        <v>8.5000000000000006E-3</v>
      </c>
      <c r="M104" s="6">
        <v>0.15174265000000001</v>
      </c>
    </row>
    <row r="105" spans="1:13" x14ac:dyDescent="0.2">
      <c r="A105" t="s">
        <v>195</v>
      </c>
      <c r="B105" t="s">
        <v>129</v>
      </c>
      <c r="C105" t="s">
        <v>130</v>
      </c>
      <c r="D105" t="s">
        <v>26</v>
      </c>
      <c r="E105" t="s">
        <v>131</v>
      </c>
      <c r="F105" s="6">
        <v>1680000000</v>
      </c>
      <c r="G105">
        <v>30</v>
      </c>
      <c r="H105">
        <v>20</v>
      </c>
      <c r="I105" s="6">
        <v>18879597.02</v>
      </c>
      <c r="J105" s="6">
        <v>1.05587822E-2</v>
      </c>
      <c r="K105">
        <v>20</v>
      </c>
      <c r="L105" s="6">
        <v>8.5000000000000006E-3</v>
      </c>
      <c r="M105" s="6">
        <v>0.15174265000000001</v>
      </c>
    </row>
    <row r="106" spans="1:13" x14ac:dyDescent="0.2">
      <c r="A106" t="s">
        <v>196</v>
      </c>
      <c r="B106" t="s">
        <v>129</v>
      </c>
      <c r="C106" t="s">
        <v>130</v>
      </c>
      <c r="D106" t="s">
        <v>26</v>
      </c>
      <c r="E106" t="s">
        <v>131</v>
      </c>
      <c r="F106" s="6">
        <v>1680000000</v>
      </c>
      <c r="G106">
        <v>31</v>
      </c>
      <c r="H106">
        <v>21</v>
      </c>
      <c r="I106" s="6">
        <v>20330385.710000001</v>
      </c>
      <c r="J106" s="6">
        <v>1.1387796299999999E-2</v>
      </c>
      <c r="K106">
        <v>21</v>
      </c>
      <c r="L106" s="6">
        <v>8.5000000000000006E-3</v>
      </c>
      <c r="M106" s="6">
        <v>0.15174265000000001</v>
      </c>
    </row>
    <row r="107" spans="1:13" x14ac:dyDescent="0.2">
      <c r="A107" t="s">
        <v>197</v>
      </c>
      <c r="B107" t="s">
        <v>129</v>
      </c>
      <c r="C107" t="s">
        <v>130</v>
      </c>
      <c r="D107" t="s">
        <v>26</v>
      </c>
      <c r="E107" t="s">
        <v>131</v>
      </c>
      <c r="F107" s="6">
        <v>1680000000</v>
      </c>
      <c r="G107">
        <v>30</v>
      </c>
      <c r="H107">
        <v>20</v>
      </c>
      <c r="I107" s="6">
        <v>19571828.899999999</v>
      </c>
      <c r="J107" s="6">
        <v>1.0970548300000001E-2</v>
      </c>
      <c r="K107">
        <v>20</v>
      </c>
      <c r="L107" s="6">
        <v>8.5000000000000006E-3</v>
      </c>
      <c r="M107" s="6">
        <v>0.15174265000000001</v>
      </c>
    </row>
    <row r="108" spans="1:13" x14ac:dyDescent="0.2">
      <c r="A108" t="s">
        <v>198</v>
      </c>
      <c r="B108" t="s">
        <v>129</v>
      </c>
      <c r="C108" t="s">
        <v>130</v>
      </c>
      <c r="D108" t="s">
        <v>26</v>
      </c>
      <c r="E108" t="s">
        <v>131</v>
      </c>
      <c r="F108" s="6">
        <v>1680000000</v>
      </c>
      <c r="G108">
        <v>31</v>
      </c>
      <c r="H108">
        <v>23</v>
      </c>
      <c r="I108" s="6">
        <v>22747221.219999999</v>
      </c>
      <c r="J108" s="6">
        <v>1.2757340000000001E-2</v>
      </c>
      <c r="K108">
        <v>23</v>
      </c>
      <c r="L108" s="6">
        <v>8.5000000000000006E-3</v>
      </c>
      <c r="M108" s="6">
        <v>0.15174265000000001</v>
      </c>
    </row>
    <row r="109" spans="1:13" x14ac:dyDescent="0.2">
      <c r="A109" t="s">
        <v>199</v>
      </c>
      <c r="B109" t="s">
        <v>129</v>
      </c>
      <c r="C109" t="s">
        <v>130</v>
      </c>
      <c r="D109" t="s">
        <v>26</v>
      </c>
      <c r="E109" t="s">
        <v>131</v>
      </c>
      <c r="F109" s="6">
        <v>1680000000</v>
      </c>
      <c r="G109">
        <v>31</v>
      </c>
      <c r="H109">
        <v>21</v>
      </c>
      <c r="I109" s="6">
        <v>20757034.789999999</v>
      </c>
      <c r="J109" s="6">
        <v>1.1641574999999999E-2</v>
      </c>
      <c r="K109">
        <v>21</v>
      </c>
      <c r="L109" s="6">
        <v>8.5000000000000006E-3</v>
      </c>
      <c r="M109" s="6">
        <v>0.15174265000000001</v>
      </c>
    </row>
    <row r="110" spans="1:13" x14ac:dyDescent="0.2">
      <c r="A110" t="s">
        <v>200</v>
      </c>
      <c r="B110" t="s">
        <v>129</v>
      </c>
      <c r="C110" t="s">
        <v>130</v>
      </c>
      <c r="D110" t="s">
        <v>26</v>
      </c>
      <c r="E110" t="s">
        <v>131</v>
      </c>
      <c r="F110" s="6">
        <v>1680000000</v>
      </c>
      <c r="G110">
        <v>30</v>
      </c>
      <c r="H110">
        <v>22</v>
      </c>
      <c r="I110" s="6">
        <v>21751837.059999999</v>
      </c>
      <c r="J110" s="6">
        <v>1.21993038E-2</v>
      </c>
      <c r="K110">
        <v>22</v>
      </c>
      <c r="L110" s="6">
        <v>8.5000000000000006E-3</v>
      </c>
      <c r="M110" s="6">
        <v>0.15174265000000001</v>
      </c>
    </row>
    <row r="111" spans="1:13" x14ac:dyDescent="0.2">
      <c r="A111" t="s">
        <v>201</v>
      </c>
      <c r="B111" t="s">
        <v>129</v>
      </c>
      <c r="C111" t="s">
        <v>130</v>
      </c>
      <c r="D111" t="s">
        <v>26</v>
      </c>
      <c r="E111" t="s">
        <v>131</v>
      </c>
      <c r="F111" s="6">
        <v>1680000000</v>
      </c>
      <c r="G111">
        <v>31</v>
      </c>
      <c r="H111">
        <v>23</v>
      </c>
      <c r="I111" s="6">
        <v>22747221.219999999</v>
      </c>
      <c r="J111" s="6">
        <v>1.2757340000000001E-2</v>
      </c>
      <c r="K111">
        <v>23</v>
      </c>
      <c r="L111" s="6">
        <v>8.5000000000000006E-3</v>
      </c>
      <c r="M111" s="6">
        <v>0.15174265000000001</v>
      </c>
    </row>
    <row r="112" spans="1:13" x14ac:dyDescent="0.2">
      <c r="A112" t="s">
        <v>202</v>
      </c>
      <c r="B112" t="s">
        <v>129</v>
      </c>
      <c r="C112" t="s">
        <v>130</v>
      </c>
      <c r="D112" t="s">
        <v>26</v>
      </c>
      <c r="E112" t="s">
        <v>131</v>
      </c>
      <c r="F112" s="6">
        <v>1680000000</v>
      </c>
      <c r="G112">
        <v>30</v>
      </c>
      <c r="H112">
        <v>19</v>
      </c>
      <c r="I112" s="6">
        <v>18769174.510000002</v>
      </c>
      <c r="J112" s="6">
        <v>1.0527039199999999E-2</v>
      </c>
      <c r="K112">
        <v>19</v>
      </c>
      <c r="L112" s="6">
        <v>8.5000000000000006E-3</v>
      </c>
      <c r="M112" s="6">
        <v>0.15174265000000001</v>
      </c>
    </row>
    <row r="113" spans="1:13" x14ac:dyDescent="0.2">
      <c r="A113" t="s">
        <v>203</v>
      </c>
      <c r="B113" t="s">
        <v>129</v>
      </c>
      <c r="C113" t="s">
        <v>130</v>
      </c>
      <c r="D113" t="s">
        <v>26</v>
      </c>
      <c r="E113" t="s">
        <v>131</v>
      </c>
      <c r="F113" s="6">
        <v>1680000000</v>
      </c>
      <c r="G113">
        <v>31</v>
      </c>
      <c r="H113">
        <v>20</v>
      </c>
      <c r="I113" s="6">
        <v>19762814.050000001</v>
      </c>
      <c r="J113" s="6">
        <v>1.21993038E-2</v>
      </c>
      <c r="K113">
        <v>22</v>
      </c>
      <c r="L113" s="6">
        <v>8.5000000000000006E-3</v>
      </c>
      <c r="M113" s="6">
        <v>0.15174265000000001</v>
      </c>
    </row>
    <row r="114" spans="1:13" x14ac:dyDescent="0.2">
      <c r="A114" t="s">
        <v>192</v>
      </c>
      <c r="B114" t="s">
        <v>129</v>
      </c>
      <c r="C114" t="s">
        <v>130</v>
      </c>
      <c r="D114" t="s">
        <v>19</v>
      </c>
      <c r="E114" t="s">
        <v>159</v>
      </c>
      <c r="F114" s="6">
        <v>260000000</v>
      </c>
      <c r="G114">
        <v>31</v>
      </c>
      <c r="H114">
        <v>22</v>
      </c>
      <c r="I114" s="6">
        <v>3501938.79</v>
      </c>
      <c r="J114" s="6">
        <v>1.01320561E-2</v>
      </c>
      <c r="K114">
        <v>22</v>
      </c>
      <c r="L114" s="6">
        <v>3.85E-2</v>
      </c>
      <c r="M114" s="6">
        <v>0.18174265000000001</v>
      </c>
    </row>
    <row r="115" spans="1:13" x14ac:dyDescent="0.2">
      <c r="A115" t="s">
        <v>193</v>
      </c>
      <c r="B115" t="s">
        <v>129</v>
      </c>
      <c r="C115" t="s">
        <v>130</v>
      </c>
      <c r="D115" t="s">
        <v>19</v>
      </c>
      <c r="E115" t="s">
        <v>159</v>
      </c>
      <c r="F115" s="6">
        <v>260000000</v>
      </c>
      <c r="G115">
        <v>28</v>
      </c>
      <c r="H115">
        <v>20</v>
      </c>
      <c r="I115" s="6">
        <v>3350258.8</v>
      </c>
      <c r="J115" s="6">
        <v>9.8533215999999993E-3</v>
      </c>
      <c r="K115">
        <v>20</v>
      </c>
      <c r="L115" s="6">
        <v>3.85E-2</v>
      </c>
      <c r="M115" s="6">
        <v>0.18174265000000001</v>
      </c>
    </row>
    <row r="116" spans="1:13" x14ac:dyDescent="0.2">
      <c r="A116" t="s">
        <v>194</v>
      </c>
      <c r="B116" t="s">
        <v>129</v>
      </c>
      <c r="C116" t="s">
        <v>130</v>
      </c>
      <c r="D116" t="s">
        <v>19</v>
      </c>
      <c r="E116" t="s">
        <v>159</v>
      </c>
      <c r="F116" s="6">
        <v>260000000</v>
      </c>
      <c r="G116">
        <v>31</v>
      </c>
      <c r="H116">
        <v>19</v>
      </c>
      <c r="I116" s="6">
        <v>3255250.87</v>
      </c>
      <c r="J116" s="6">
        <v>9.6403444000000005E-3</v>
      </c>
      <c r="K116">
        <v>19</v>
      </c>
      <c r="L116" s="6">
        <v>3.85E-2</v>
      </c>
      <c r="M116" s="6">
        <v>0.18174265000000001</v>
      </c>
    </row>
    <row r="117" spans="1:13" x14ac:dyDescent="0.2">
      <c r="A117" t="s">
        <v>195</v>
      </c>
      <c r="B117" t="s">
        <v>129</v>
      </c>
      <c r="C117" t="s">
        <v>130</v>
      </c>
      <c r="D117" t="s">
        <v>19</v>
      </c>
      <c r="E117" t="s">
        <v>159</v>
      </c>
      <c r="F117" s="6">
        <v>260000000</v>
      </c>
      <c r="G117">
        <v>30</v>
      </c>
      <c r="H117">
        <v>20</v>
      </c>
      <c r="I117" s="6">
        <v>3534229.32</v>
      </c>
      <c r="J117" s="6">
        <v>1.05587822E-2</v>
      </c>
      <c r="K117">
        <v>20</v>
      </c>
      <c r="L117" s="6">
        <v>3.85E-2</v>
      </c>
      <c r="M117" s="6">
        <v>0.18174265000000001</v>
      </c>
    </row>
    <row r="118" spans="1:13" x14ac:dyDescent="0.2">
      <c r="A118" t="s">
        <v>196</v>
      </c>
      <c r="B118" t="s">
        <v>129</v>
      </c>
      <c r="C118" t="s">
        <v>130</v>
      </c>
      <c r="D118" t="s">
        <v>19</v>
      </c>
      <c r="E118" t="s">
        <v>159</v>
      </c>
      <c r="F118" s="6">
        <v>260000000</v>
      </c>
      <c r="G118">
        <v>31</v>
      </c>
      <c r="H118">
        <v>21</v>
      </c>
      <c r="I118" s="6">
        <v>3789962.04</v>
      </c>
      <c r="J118" s="6">
        <v>1.1387796299999999E-2</v>
      </c>
      <c r="K118">
        <v>21</v>
      </c>
      <c r="L118" s="6">
        <v>3.85E-2</v>
      </c>
      <c r="M118" s="6">
        <v>0.18174265000000001</v>
      </c>
    </row>
    <row r="119" spans="1:13" x14ac:dyDescent="0.2">
      <c r="A119" t="s">
        <v>197</v>
      </c>
      <c r="B119" t="s">
        <v>129</v>
      </c>
      <c r="C119" t="s">
        <v>130</v>
      </c>
      <c r="D119" t="s">
        <v>19</v>
      </c>
      <c r="E119" t="s">
        <v>159</v>
      </c>
      <c r="F119" s="6">
        <v>260000000</v>
      </c>
      <c r="G119">
        <v>30</v>
      </c>
      <c r="H119">
        <v>20</v>
      </c>
      <c r="I119" s="6">
        <v>3641609.97</v>
      </c>
      <c r="J119" s="6">
        <v>1.0970548300000001E-2</v>
      </c>
      <c r="K119">
        <v>20</v>
      </c>
      <c r="L119" s="6">
        <v>3.85E-2</v>
      </c>
      <c r="M119" s="6">
        <v>0.18174265000000001</v>
      </c>
    </row>
    <row r="120" spans="1:13" x14ac:dyDescent="0.2">
      <c r="A120" t="s">
        <v>198</v>
      </c>
      <c r="B120" t="s">
        <v>129</v>
      </c>
      <c r="C120" t="s">
        <v>130</v>
      </c>
      <c r="D120" t="s">
        <v>19</v>
      </c>
      <c r="E120" t="s">
        <v>159</v>
      </c>
      <c r="F120" s="6">
        <v>260000000</v>
      </c>
      <c r="G120">
        <v>31</v>
      </c>
      <c r="H120">
        <v>23</v>
      </c>
      <c r="I120" s="6">
        <v>4226374.7300000004</v>
      </c>
      <c r="J120" s="6">
        <v>1.2757340000000001E-2</v>
      </c>
      <c r="K120">
        <v>23</v>
      </c>
      <c r="L120" s="6">
        <v>3.85E-2</v>
      </c>
      <c r="M120" s="6">
        <v>0.18174265000000001</v>
      </c>
    </row>
    <row r="121" spans="1:13" x14ac:dyDescent="0.2">
      <c r="A121" t="s">
        <v>199</v>
      </c>
      <c r="B121" t="s">
        <v>129</v>
      </c>
      <c r="C121" t="s">
        <v>130</v>
      </c>
      <c r="D121" t="s">
        <v>19</v>
      </c>
      <c r="E121" t="s">
        <v>159</v>
      </c>
      <c r="F121" s="6">
        <v>260000000</v>
      </c>
      <c r="G121">
        <v>31</v>
      </c>
      <c r="H121">
        <v>21</v>
      </c>
      <c r="I121" s="6">
        <v>3856152.55</v>
      </c>
      <c r="J121" s="6">
        <v>1.1641574999999999E-2</v>
      </c>
      <c r="K121">
        <v>21</v>
      </c>
      <c r="L121" s="6">
        <v>3.85E-2</v>
      </c>
      <c r="M121" s="6">
        <v>0.18174265000000001</v>
      </c>
    </row>
    <row r="122" spans="1:13" x14ac:dyDescent="0.2">
      <c r="A122" t="s">
        <v>200</v>
      </c>
      <c r="B122" t="s">
        <v>129</v>
      </c>
      <c r="C122" t="s">
        <v>130</v>
      </c>
      <c r="D122" t="s">
        <v>19</v>
      </c>
      <c r="E122" t="s">
        <v>159</v>
      </c>
      <c r="F122" s="6">
        <v>260000000</v>
      </c>
      <c r="G122">
        <v>30</v>
      </c>
      <c r="H122">
        <v>22</v>
      </c>
      <c r="I122" s="6">
        <v>4041198.75</v>
      </c>
      <c r="J122" s="6">
        <v>1.21993038E-2</v>
      </c>
      <c r="K122">
        <v>22</v>
      </c>
      <c r="L122" s="6">
        <v>3.85E-2</v>
      </c>
      <c r="M122" s="6">
        <v>0.18174265000000001</v>
      </c>
    </row>
    <row r="123" spans="1:13" x14ac:dyDescent="0.2">
      <c r="A123" t="s">
        <v>201</v>
      </c>
      <c r="B123" t="s">
        <v>129</v>
      </c>
      <c r="C123" t="s">
        <v>130</v>
      </c>
      <c r="D123" t="s">
        <v>19</v>
      </c>
      <c r="E123" t="s">
        <v>159</v>
      </c>
      <c r="F123" s="6">
        <v>260000000</v>
      </c>
      <c r="G123">
        <v>31</v>
      </c>
      <c r="H123">
        <v>23</v>
      </c>
      <c r="I123" s="6">
        <v>4226374.7300000004</v>
      </c>
      <c r="J123" s="6">
        <v>1.2757340000000001E-2</v>
      </c>
      <c r="K123">
        <v>23</v>
      </c>
      <c r="L123" s="6">
        <v>3.85E-2</v>
      </c>
      <c r="M123" s="6">
        <v>0.18174265000000001</v>
      </c>
    </row>
    <row r="124" spans="1:13" x14ac:dyDescent="0.2">
      <c r="A124" t="s">
        <v>202</v>
      </c>
      <c r="B124" t="s">
        <v>129</v>
      </c>
      <c r="C124" t="s">
        <v>130</v>
      </c>
      <c r="D124" t="s">
        <v>19</v>
      </c>
      <c r="E124" t="s">
        <v>159</v>
      </c>
      <c r="F124" s="6">
        <v>260000000</v>
      </c>
      <c r="G124">
        <v>30</v>
      </c>
      <c r="H124">
        <v>19</v>
      </c>
      <c r="I124" s="6">
        <v>3486449.11</v>
      </c>
      <c r="J124" s="6">
        <v>1.0527039199999999E-2</v>
      </c>
      <c r="K124">
        <v>19</v>
      </c>
      <c r="L124" s="6">
        <v>3.85E-2</v>
      </c>
      <c r="M124" s="6">
        <v>0.18174265000000001</v>
      </c>
    </row>
    <row r="125" spans="1:13" x14ac:dyDescent="0.2">
      <c r="A125" t="s">
        <v>203</v>
      </c>
      <c r="B125" t="s">
        <v>129</v>
      </c>
      <c r="C125" t="s">
        <v>130</v>
      </c>
      <c r="D125" t="s">
        <v>19</v>
      </c>
      <c r="E125" t="s">
        <v>159</v>
      </c>
      <c r="F125" s="6">
        <v>260000000</v>
      </c>
      <c r="G125">
        <v>31</v>
      </c>
      <c r="H125">
        <v>20</v>
      </c>
      <c r="I125" s="6">
        <v>3671236.04</v>
      </c>
      <c r="J125" s="6">
        <v>1.21993038E-2</v>
      </c>
      <c r="K125">
        <v>22</v>
      </c>
      <c r="L125" s="6">
        <v>3.85E-2</v>
      </c>
      <c r="M125" s="6">
        <v>0.18174265000000001</v>
      </c>
    </row>
    <row r="126" spans="1:13" x14ac:dyDescent="0.2">
      <c r="A126" t="s">
        <v>192</v>
      </c>
      <c r="B126" t="s">
        <v>135</v>
      </c>
      <c r="C126" t="s">
        <v>136</v>
      </c>
      <c r="D126" t="s">
        <v>26</v>
      </c>
      <c r="E126" t="s">
        <v>131</v>
      </c>
      <c r="F126" s="6">
        <v>0</v>
      </c>
      <c r="G126">
        <v>31</v>
      </c>
      <c r="H126">
        <v>22</v>
      </c>
      <c r="I126" s="6">
        <v>0</v>
      </c>
      <c r="J126" s="6">
        <v>1.01320561E-2</v>
      </c>
      <c r="K126">
        <v>22</v>
      </c>
      <c r="L126" s="6">
        <v>9.4999999999999998E-3</v>
      </c>
      <c r="M126" s="6">
        <v>0.15274265000000001</v>
      </c>
    </row>
    <row r="127" spans="1:13" x14ac:dyDescent="0.2">
      <c r="A127" t="s">
        <v>193</v>
      </c>
      <c r="B127" t="s">
        <v>135</v>
      </c>
      <c r="C127" t="s">
        <v>136</v>
      </c>
      <c r="D127" t="s">
        <v>26</v>
      </c>
      <c r="E127" t="s">
        <v>131</v>
      </c>
      <c r="F127" s="6">
        <v>0</v>
      </c>
      <c r="G127">
        <v>28</v>
      </c>
      <c r="H127">
        <v>20</v>
      </c>
      <c r="I127" s="6">
        <v>0</v>
      </c>
      <c r="J127" s="6">
        <v>9.8533215999999993E-3</v>
      </c>
      <c r="K127">
        <v>20</v>
      </c>
      <c r="L127" s="6">
        <v>9.4999999999999998E-3</v>
      </c>
      <c r="M127" s="6">
        <v>0.15274265000000001</v>
      </c>
    </row>
    <row r="128" spans="1:13" x14ac:dyDescent="0.2">
      <c r="A128" t="s">
        <v>194</v>
      </c>
      <c r="B128" t="s">
        <v>135</v>
      </c>
      <c r="C128" t="s">
        <v>136</v>
      </c>
      <c r="D128" t="s">
        <v>26</v>
      </c>
      <c r="E128" t="s">
        <v>131</v>
      </c>
      <c r="F128" s="6">
        <v>0</v>
      </c>
      <c r="G128">
        <v>31</v>
      </c>
      <c r="H128">
        <v>19</v>
      </c>
      <c r="I128" s="6">
        <v>0</v>
      </c>
      <c r="J128" s="6">
        <v>9.6403444000000005E-3</v>
      </c>
      <c r="K128">
        <v>19</v>
      </c>
      <c r="L128" s="6">
        <v>9.4999999999999998E-3</v>
      </c>
      <c r="M128" s="6">
        <v>0.15274265000000001</v>
      </c>
    </row>
    <row r="129" spans="1:13" x14ac:dyDescent="0.2">
      <c r="A129" t="s">
        <v>195</v>
      </c>
      <c r="B129" t="s">
        <v>135</v>
      </c>
      <c r="C129" t="s">
        <v>136</v>
      </c>
      <c r="D129" t="s">
        <v>26</v>
      </c>
      <c r="E129" t="s">
        <v>131</v>
      </c>
      <c r="F129" s="6">
        <v>0</v>
      </c>
      <c r="G129">
        <v>10</v>
      </c>
      <c r="H129">
        <v>8</v>
      </c>
      <c r="I129" s="6">
        <v>0</v>
      </c>
      <c r="J129" s="6">
        <v>1.05587822E-2</v>
      </c>
      <c r="K129">
        <v>20</v>
      </c>
      <c r="L129" s="6">
        <v>9.4999999999999998E-3</v>
      </c>
      <c r="M129" s="6">
        <v>0.15274265000000001</v>
      </c>
    </row>
    <row r="130" spans="1:13" x14ac:dyDescent="0.2">
      <c r="A130" t="s">
        <v>195</v>
      </c>
      <c r="B130" t="s">
        <v>135</v>
      </c>
      <c r="C130" t="s">
        <v>136</v>
      </c>
      <c r="D130" t="s">
        <v>26</v>
      </c>
      <c r="E130" t="s">
        <v>131</v>
      </c>
      <c r="F130" s="6">
        <v>1650000000</v>
      </c>
      <c r="G130">
        <v>20</v>
      </c>
      <c r="H130">
        <v>12</v>
      </c>
      <c r="I130" s="6">
        <v>11178998.109999999</v>
      </c>
      <c r="J130" s="6">
        <v>1.05587822E-2</v>
      </c>
      <c r="K130">
        <v>20</v>
      </c>
      <c r="L130" s="6">
        <v>9.4999999999999998E-3</v>
      </c>
      <c r="M130" s="6">
        <v>0.15274265000000001</v>
      </c>
    </row>
    <row r="131" spans="1:13" x14ac:dyDescent="0.2">
      <c r="A131" t="s">
        <v>196</v>
      </c>
      <c r="B131" t="s">
        <v>135</v>
      </c>
      <c r="C131" t="s">
        <v>136</v>
      </c>
      <c r="D131" t="s">
        <v>26</v>
      </c>
      <c r="E131" t="s">
        <v>131</v>
      </c>
      <c r="F131" s="6">
        <v>1650000000</v>
      </c>
      <c r="G131">
        <v>31</v>
      </c>
      <c r="H131">
        <v>21</v>
      </c>
      <c r="I131" s="6">
        <v>20105271.449999999</v>
      </c>
      <c r="J131" s="6">
        <v>1.1387796299999999E-2</v>
      </c>
      <c r="K131">
        <v>21</v>
      </c>
      <c r="L131" s="6">
        <v>9.4999999999999998E-3</v>
      </c>
      <c r="M131" s="6">
        <v>0.15274265000000001</v>
      </c>
    </row>
    <row r="132" spans="1:13" x14ac:dyDescent="0.2">
      <c r="A132" t="s">
        <v>197</v>
      </c>
      <c r="B132" t="s">
        <v>135</v>
      </c>
      <c r="C132" t="s">
        <v>136</v>
      </c>
      <c r="D132" t="s">
        <v>26</v>
      </c>
      <c r="E132" t="s">
        <v>131</v>
      </c>
      <c r="F132" s="6">
        <v>1650000000</v>
      </c>
      <c r="G132">
        <v>30</v>
      </c>
      <c r="H132">
        <v>20</v>
      </c>
      <c r="I132" s="6">
        <v>19353633.420000002</v>
      </c>
      <c r="J132" s="6">
        <v>1.0970548300000001E-2</v>
      </c>
      <c r="K132">
        <v>20</v>
      </c>
      <c r="L132" s="6">
        <v>9.4999999999999998E-3</v>
      </c>
      <c r="M132" s="6">
        <v>0.15274265000000001</v>
      </c>
    </row>
    <row r="133" spans="1:13" x14ac:dyDescent="0.2">
      <c r="A133" t="s">
        <v>198</v>
      </c>
      <c r="B133" t="s">
        <v>135</v>
      </c>
      <c r="C133" t="s">
        <v>136</v>
      </c>
      <c r="D133" t="s">
        <v>26</v>
      </c>
      <c r="E133" t="s">
        <v>131</v>
      </c>
      <c r="F133" s="6">
        <v>1650000000</v>
      </c>
      <c r="G133">
        <v>31</v>
      </c>
      <c r="H133">
        <v>23</v>
      </c>
      <c r="I133" s="6">
        <v>22492300.530000001</v>
      </c>
      <c r="J133" s="6">
        <v>1.2757340000000001E-2</v>
      </c>
      <c r="K133">
        <v>23</v>
      </c>
      <c r="L133" s="6">
        <v>9.4999999999999998E-3</v>
      </c>
      <c r="M133" s="6">
        <v>0.15274265000000001</v>
      </c>
    </row>
    <row r="134" spans="1:13" x14ac:dyDescent="0.2">
      <c r="A134" t="s">
        <v>199</v>
      </c>
      <c r="B134" t="s">
        <v>135</v>
      </c>
      <c r="C134" t="s">
        <v>136</v>
      </c>
      <c r="D134" t="s">
        <v>26</v>
      </c>
      <c r="E134" t="s">
        <v>131</v>
      </c>
      <c r="F134" s="6">
        <v>1650000000</v>
      </c>
      <c r="G134">
        <v>31</v>
      </c>
      <c r="H134">
        <v>21</v>
      </c>
      <c r="I134" s="6">
        <v>20524336.41</v>
      </c>
      <c r="J134" s="6">
        <v>1.1641574999999999E-2</v>
      </c>
      <c r="K134">
        <v>21</v>
      </c>
      <c r="L134" s="6">
        <v>9.4999999999999998E-3</v>
      </c>
      <c r="M134" s="6">
        <v>0.15274265000000001</v>
      </c>
    </row>
    <row r="135" spans="1:13" x14ac:dyDescent="0.2">
      <c r="A135" t="s">
        <v>200</v>
      </c>
      <c r="B135" t="s">
        <v>135</v>
      </c>
      <c r="C135" t="s">
        <v>136</v>
      </c>
      <c r="D135" t="s">
        <v>26</v>
      </c>
      <c r="E135" t="s">
        <v>131</v>
      </c>
      <c r="F135" s="6">
        <v>1650000000</v>
      </c>
      <c r="G135">
        <v>30</v>
      </c>
      <c r="H135">
        <v>22</v>
      </c>
      <c r="I135" s="6">
        <v>21508028.850000001</v>
      </c>
      <c r="J135" s="6">
        <v>1.21993038E-2</v>
      </c>
      <c r="K135">
        <v>22</v>
      </c>
      <c r="L135" s="6">
        <v>9.4999999999999998E-3</v>
      </c>
      <c r="M135" s="6">
        <v>0.15274265000000001</v>
      </c>
    </row>
    <row r="136" spans="1:13" x14ac:dyDescent="0.2">
      <c r="A136" t="s">
        <v>201</v>
      </c>
      <c r="B136" t="s">
        <v>135</v>
      </c>
      <c r="C136" t="s">
        <v>136</v>
      </c>
      <c r="D136" t="s">
        <v>26</v>
      </c>
      <c r="E136" t="s">
        <v>131</v>
      </c>
      <c r="F136" s="6">
        <v>1650000000</v>
      </c>
      <c r="G136">
        <v>31</v>
      </c>
      <c r="H136">
        <v>23</v>
      </c>
      <c r="I136" s="6">
        <v>22492300.530000001</v>
      </c>
      <c r="J136" s="6">
        <v>1.2757340000000001E-2</v>
      </c>
      <c r="K136">
        <v>23</v>
      </c>
      <c r="L136" s="6">
        <v>9.4999999999999998E-3</v>
      </c>
      <c r="M136" s="6">
        <v>0.15274265000000001</v>
      </c>
    </row>
    <row r="137" spans="1:13" x14ac:dyDescent="0.2">
      <c r="A137" t="s">
        <v>202</v>
      </c>
      <c r="B137" t="s">
        <v>135</v>
      </c>
      <c r="C137" t="s">
        <v>136</v>
      </c>
      <c r="D137" t="s">
        <v>26</v>
      </c>
      <c r="E137" t="s">
        <v>131</v>
      </c>
      <c r="F137" s="6">
        <v>1650000000</v>
      </c>
      <c r="G137">
        <v>30</v>
      </c>
      <c r="H137">
        <v>19</v>
      </c>
      <c r="I137" s="6">
        <v>18558687.93</v>
      </c>
      <c r="J137" s="6">
        <v>1.0527039199999999E-2</v>
      </c>
      <c r="K137">
        <v>19</v>
      </c>
      <c r="L137" s="6">
        <v>9.4999999999999998E-3</v>
      </c>
      <c r="M137" s="6">
        <v>0.15274265000000001</v>
      </c>
    </row>
    <row r="138" spans="1:13" x14ac:dyDescent="0.2">
      <c r="A138" t="s">
        <v>203</v>
      </c>
      <c r="B138" t="s">
        <v>135</v>
      </c>
      <c r="C138" t="s">
        <v>136</v>
      </c>
      <c r="D138" t="s">
        <v>26</v>
      </c>
      <c r="E138" t="s">
        <v>131</v>
      </c>
      <c r="F138" s="6">
        <v>1650000000</v>
      </c>
      <c r="G138">
        <v>31</v>
      </c>
      <c r="H138">
        <v>20</v>
      </c>
      <c r="I138" s="6">
        <v>19541222.890000001</v>
      </c>
      <c r="J138" s="6">
        <v>1.21993038E-2</v>
      </c>
      <c r="K138">
        <v>22</v>
      </c>
      <c r="L138" s="6">
        <v>9.4999999999999998E-3</v>
      </c>
      <c r="M138" s="6">
        <v>0.15274265000000001</v>
      </c>
    </row>
    <row r="139" spans="1:13" x14ac:dyDescent="0.2">
      <c r="A139" t="s">
        <v>192</v>
      </c>
      <c r="B139" t="s">
        <v>135</v>
      </c>
      <c r="C139" t="s">
        <v>136</v>
      </c>
      <c r="D139" t="s">
        <v>67</v>
      </c>
      <c r="E139" t="s">
        <v>131</v>
      </c>
      <c r="F139" s="6">
        <v>0</v>
      </c>
      <c r="G139">
        <v>31</v>
      </c>
      <c r="H139">
        <v>22</v>
      </c>
      <c r="I139" s="6">
        <v>0</v>
      </c>
      <c r="J139" s="6">
        <v>1.01320561E-2</v>
      </c>
      <c r="K139">
        <v>22</v>
      </c>
      <c r="L139" s="6">
        <v>9.4999999999999998E-3</v>
      </c>
      <c r="M139" s="6">
        <v>0.15274265000000001</v>
      </c>
    </row>
    <row r="140" spans="1:13" x14ac:dyDescent="0.2">
      <c r="A140" t="s">
        <v>193</v>
      </c>
      <c r="B140" t="s">
        <v>135</v>
      </c>
      <c r="C140" t="s">
        <v>136</v>
      </c>
      <c r="D140" t="s">
        <v>67</v>
      </c>
      <c r="E140" t="s">
        <v>131</v>
      </c>
      <c r="F140" s="6">
        <v>0</v>
      </c>
      <c r="G140">
        <v>28</v>
      </c>
      <c r="H140">
        <v>20</v>
      </c>
      <c r="I140" s="6">
        <v>0</v>
      </c>
      <c r="J140" s="6">
        <v>9.8533215999999993E-3</v>
      </c>
      <c r="K140">
        <v>20</v>
      </c>
      <c r="L140" s="6">
        <v>9.4999999999999998E-3</v>
      </c>
      <c r="M140" s="6">
        <v>0.15274265000000001</v>
      </c>
    </row>
    <row r="141" spans="1:13" x14ac:dyDescent="0.2">
      <c r="A141" t="s">
        <v>194</v>
      </c>
      <c r="B141" t="s">
        <v>135</v>
      </c>
      <c r="C141" t="s">
        <v>136</v>
      </c>
      <c r="D141" t="s">
        <v>67</v>
      </c>
      <c r="E141" t="s">
        <v>131</v>
      </c>
      <c r="F141" s="6">
        <v>0</v>
      </c>
      <c r="G141">
        <v>31</v>
      </c>
      <c r="H141">
        <v>19</v>
      </c>
      <c r="I141" s="6">
        <v>0</v>
      </c>
      <c r="J141" s="6">
        <v>9.6403444000000005E-3</v>
      </c>
      <c r="K141">
        <v>19</v>
      </c>
      <c r="L141" s="6">
        <v>9.4999999999999998E-3</v>
      </c>
      <c r="M141" s="6">
        <v>0.15274265000000001</v>
      </c>
    </row>
    <row r="142" spans="1:13" x14ac:dyDescent="0.2">
      <c r="A142" t="s">
        <v>195</v>
      </c>
      <c r="B142" t="s">
        <v>135</v>
      </c>
      <c r="C142" t="s">
        <v>136</v>
      </c>
      <c r="D142" t="s">
        <v>67</v>
      </c>
      <c r="E142" t="s">
        <v>131</v>
      </c>
      <c r="F142" s="6">
        <v>0</v>
      </c>
      <c r="G142">
        <v>10</v>
      </c>
      <c r="H142">
        <v>8</v>
      </c>
      <c r="I142" s="6">
        <v>0</v>
      </c>
      <c r="J142" s="6">
        <v>1.05587822E-2</v>
      </c>
      <c r="K142">
        <v>20</v>
      </c>
      <c r="L142" s="6">
        <v>9.4999999999999998E-3</v>
      </c>
      <c r="M142" s="6">
        <v>0.15274265000000001</v>
      </c>
    </row>
    <row r="143" spans="1:13" x14ac:dyDescent="0.2">
      <c r="A143" t="s">
        <v>195</v>
      </c>
      <c r="B143" t="s">
        <v>135</v>
      </c>
      <c r="C143" t="s">
        <v>136</v>
      </c>
      <c r="D143" t="s">
        <v>67</v>
      </c>
      <c r="E143" t="s">
        <v>131</v>
      </c>
      <c r="F143" s="6">
        <v>1070554462</v>
      </c>
      <c r="G143">
        <v>20</v>
      </c>
      <c r="H143">
        <v>12</v>
      </c>
      <c r="I143" s="6">
        <v>7253167.46</v>
      </c>
      <c r="J143" s="6">
        <v>1.05587822E-2</v>
      </c>
      <c r="K143">
        <v>20</v>
      </c>
      <c r="L143" s="6">
        <v>9.4999999999999998E-3</v>
      </c>
      <c r="M143" s="6">
        <v>0.15274265000000001</v>
      </c>
    </row>
    <row r="144" spans="1:13" x14ac:dyDescent="0.2">
      <c r="A144" t="s">
        <v>196</v>
      </c>
      <c r="B144" t="s">
        <v>135</v>
      </c>
      <c r="C144" t="s">
        <v>136</v>
      </c>
      <c r="D144" t="s">
        <v>67</v>
      </c>
      <c r="E144" t="s">
        <v>131</v>
      </c>
      <c r="F144" s="6">
        <v>1070554462</v>
      </c>
      <c r="G144">
        <v>31</v>
      </c>
      <c r="H144">
        <v>21</v>
      </c>
      <c r="I144" s="6">
        <v>13044720.039999999</v>
      </c>
      <c r="J144" s="6">
        <v>1.1387796299999999E-2</v>
      </c>
      <c r="K144">
        <v>21</v>
      </c>
      <c r="L144" s="6">
        <v>9.4999999999999998E-3</v>
      </c>
      <c r="M144" s="6">
        <v>0.15274265000000001</v>
      </c>
    </row>
    <row r="145" spans="1:13" x14ac:dyDescent="0.2">
      <c r="A145" t="s">
        <v>197</v>
      </c>
      <c r="B145" t="s">
        <v>135</v>
      </c>
      <c r="C145" t="s">
        <v>136</v>
      </c>
      <c r="D145" t="s">
        <v>67</v>
      </c>
      <c r="E145" t="s">
        <v>131</v>
      </c>
      <c r="F145" s="6">
        <v>1070554462</v>
      </c>
      <c r="G145">
        <v>30</v>
      </c>
      <c r="H145">
        <v>20</v>
      </c>
      <c r="I145" s="6">
        <v>12557041.59</v>
      </c>
      <c r="J145" s="6">
        <v>1.0970548300000001E-2</v>
      </c>
      <c r="K145">
        <v>20</v>
      </c>
      <c r="L145" s="6">
        <v>9.4999999999999998E-3</v>
      </c>
      <c r="M145" s="6">
        <v>0.15274265000000001</v>
      </c>
    </row>
    <row r="146" spans="1:13" x14ac:dyDescent="0.2">
      <c r="A146" t="s">
        <v>198</v>
      </c>
      <c r="B146" t="s">
        <v>135</v>
      </c>
      <c r="C146" t="s">
        <v>136</v>
      </c>
      <c r="D146" t="s">
        <v>67</v>
      </c>
      <c r="E146" t="s">
        <v>131</v>
      </c>
      <c r="F146" s="6">
        <v>1070554462</v>
      </c>
      <c r="G146">
        <v>31</v>
      </c>
      <c r="H146">
        <v>23</v>
      </c>
      <c r="I146" s="6">
        <v>14593474.359999999</v>
      </c>
      <c r="J146" s="6">
        <v>1.2757340000000001E-2</v>
      </c>
      <c r="K146">
        <v>23</v>
      </c>
      <c r="L146" s="6">
        <v>9.4999999999999998E-3</v>
      </c>
      <c r="M146" s="6">
        <v>0.15274265000000001</v>
      </c>
    </row>
    <row r="147" spans="1:13" x14ac:dyDescent="0.2">
      <c r="A147" t="s">
        <v>199</v>
      </c>
      <c r="B147" t="s">
        <v>135</v>
      </c>
      <c r="C147" t="s">
        <v>136</v>
      </c>
      <c r="D147" t="s">
        <v>67</v>
      </c>
      <c r="E147" t="s">
        <v>131</v>
      </c>
      <c r="F147" s="6">
        <v>1070554462</v>
      </c>
      <c r="G147">
        <v>31</v>
      </c>
      <c r="H147">
        <v>21</v>
      </c>
      <c r="I147" s="6">
        <v>13316618.140000001</v>
      </c>
      <c r="J147" s="6">
        <v>1.1641574999999999E-2</v>
      </c>
      <c r="K147">
        <v>21</v>
      </c>
      <c r="L147" s="6">
        <v>9.4999999999999998E-3</v>
      </c>
      <c r="M147" s="6">
        <v>0.15274265000000001</v>
      </c>
    </row>
    <row r="148" spans="1:13" x14ac:dyDescent="0.2">
      <c r="A148" t="s">
        <v>200</v>
      </c>
      <c r="B148" t="s">
        <v>135</v>
      </c>
      <c r="C148" t="s">
        <v>136</v>
      </c>
      <c r="D148" t="s">
        <v>67</v>
      </c>
      <c r="E148" t="s">
        <v>131</v>
      </c>
      <c r="F148" s="6">
        <v>1070554462</v>
      </c>
      <c r="G148">
        <v>30</v>
      </c>
      <c r="H148">
        <v>22</v>
      </c>
      <c r="I148" s="6">
        <v>13954858.34</v>
      </c>
      <c r="J148" s="6">
        <v>1.21993038E-2</v>
      </c>
      <c r="K148">
        <v>22</v>
      </c>
      <c r="L148" s="6">
        <v>9.4999999999999998E-3</v>
      </c>
      <c r="M148" s="6">
        <v>0.15274265000000001</v>
      </c>
    </row>
    <row r="149" spans="1:13" x14ac:dyDescent="0.2">
      <c r="A149" t="s">
        <v>201</v>
      </c>
      <c r="B149" t="s">
        <v>135</v>
      </c>
      <c r="C149" t="s">
        <v>136</v>
      </c>
      <c r="D149" t="s">
        <v>67</v>
      </c>
      <c r="E149" t="s">
        <v>131</v>
      </c>
      <c r="F149" s="6">
        <v>1070554462</v>
      </c>
      <c r="G149">
        <v>31</v>
      </c>
      <c r="H149">
        <v>23</v>
      </c>
      <c r="I149" s="6">
        <v>14593474.359999999</v>
      </c>
      <c r="J149" s="6">
        <v>1.2757340000000001E-2</v>
      </c>
      <c r="K149">
        <v>23</v>
      </c>
      <c r="L149" s="6">
        <v>9.4999999999999998E-3</v>
      </c>
      <c r="M149" s="6">
        <v>0.15274265000000001</v>
      </c>
    </row>
    <row r="150" spans="1:13" x14ac:dyDescent="0.2">
      <c r="A150" t="s">
        <v>202</v>
      </c>
      <c r="B150" t="s">
        <v>135</v>
      </c>
      <c r="C150" t="s">
        <v>136</v>
      </c>
      <c r="D150" t="s">
        <v>67</v>
      </c>
      <c r="E150" t="s">
        <v>131</v>
      </c>
      <c r="F150" s="6">
        <v>1070554462</v>
      </c>
      <c r="G150">
        <v>30</v>
      </c>
      <c r="H150">
        <v>19</v>
      </c>
      <c r="I150" s="6">
        <v>12041264.34</v>
      </c>
      <c r="J150" s="6">
        <v>1.0527039199999999E-2</v>
      </c>
      <c r="K150">
        <v>19</v>
      </c>
      <c r="L150" s="6">
        <v>9.4999999999999998E-3</v>
      </c>
      <c r="M150" s="6">
        <v>0.15274265000000001</v>
      </c>
    </row>
    <row r="151" spans="1:13" x14ac:dyDescent="0.2">
      <c r="A151" t="s">
        <v>203</v>
      </c>
      <c r="B151" t="s">
        <v>135</v>
      </c>
      <c r="C151" t="s">
        <v>136</v>
      </c>
      <c r="D151" t="s">
        <v>67</v>
      </c>
      <c r="E151" t="s">
        <v>131</v>
      </c>
      <c r="F151" s="6">
        <v>1070554462</v>
      </c>
      <c r="G151">
        <v>31</v>
      </c>
      <c r="H151">
        <v>20</v>
      </c>
      <c r="I151" s="6">
        <v>12678753.550000001</v>
      </c>
      <c r="J151" s="6">
        <v>1.21993038E-2</v>
      </c>
      <c r="K151">
        <v>22</v>
      </c>
      <c r="L151" s="6">
        <v>9.4999999999999998E-3</v>
      </c>
      <c r="M151" s="6">
        <v>0.15274265000000001</v>
      </c>
    </row>
    <row r="152" spans="1:13" x14ac:dyDescent="0.2">
      <c r="A152" t="s">
        <v>192</v>
      </c>
      <c r="B152" t="s">
        <v>135</v>
      </c>
      <c r="C152" t="s">
        <v>136</v>
      </c>
      <c r="D152" t="s">
        <v>45</v>
      </c>
      <c r="E152" t="s">
        <v>159</v>
      </c>
      <c r="F152" s="6">
        <v>0</v>
      </c>
      <c r="G152">
        <v>31</v>
      </c>
      <c r="H152">
        <v>22</v>
      </c>
      <c r="I152" s="6">
        <v>0</v>
      </c>
      <c r="J152" s="6">
        <v>1.01320561E-2</v>
      </c>
      <c r="K152">
        <v>22</v>
      </c>
      <c r="L152" s="6">
        <v>1.7000000000000001E-2</v>
      </c>
      <c r="M152" s="6">
        <v>0.16024264999999999</v>
      </c>
    </row>
    <row r="153" spans="1:13" x14ac:dyDescent="0.2">
      <c r="A153" t="s">
        <v>193</v>
      </c>
      <c r="B153" t="s">
        <v>135</v>
      </c>
      <c r="C153" t="s">
        <v>136</v>
      </c>
      <c r="D153" t="s">
        <v>45</v>
      </c>
      <c r="E153" t="s">
        <v>159</v>
      </c>
      <c r="F153" s="6">
        <v>0</v>
      </c>
      <c r="G153">
        <v>28</v>
      </c>
      <c r="H153">
        <v>20</v>
      </c>
      <c r="I153" s="6">
        <v>0</v>
      </c>
      <c r="J153" s="6">
        <v>9.8533215999999993E-3</v>
      </c>
      <c r="K153">
        <v>20</v>
      </c>
      <c r="L153" s="6">
        <v>1.7000000000000001E-2</v>
      </c>
      <c r="M153" s="6">
        <v>0.16024264999999999</v>
      </c>
    </row>
    <row r="154" spans="1:13" x14ac:dyDescent="0.2">
      <c r="A154" t="s">
        <v>194</v>
      </c>
      <c r="B154" t="s">
        <v>135</v>
      </c>
      <c r="C154" t="s">
        <v>136</v>
      </c>
      <c r="D154" t="s">
        <v>45</v>
      </c>
      <c r="E154" t="s">
        <v>159</v>
      </c>
      <c r="F154" s="6">
        <v>0</v>
      </c>
      <c r="G154">
        <v>31</v>
      </c>
      <c r="H154">
        <v>19</v>
      </c>
      <c r="I154" s="6">
        <v>0</v>
      </c>
      <c r="J154" s="6">
        <v>9.6403444000000005E-3</v>
      </c>
      <c r="K154">
        <v>19</v>
      </c>
      <c r="L154" s="6">
        <v>1.7000000000000001E-2</v>
      </c>
      <c r="M154" s="6">
        <v>0.16024264999999999</v>
      </c>
    </row>
    <row r="155" spans="1:13" x14ac:dyDescent="0.2">
      <c r="A155" t="s">
        <v>195</v>
      </c>
      <c r="B155" t="s">
        <v>135</v>
      </c>
      <c r="C155" t="s">
        <v>136</v>
      </c>
      <c r="D155" t="s">
        <v>45</v>
      </c>
      <c r="E155" t="s">
        <v>159</v>
      </c>
      <c r="F155" s="6">
        <v>0</v>
      </c>
      <c r="G155">
        <v>10</v>
      </c>
      <c r="H155">
        <v>8</v>
      </c>
      <c r="I155" s="6">
        <v>0</v>
      </c>
      <c r="J155" s="6">
        <v>1.05587822E-2</v>
      </c>
      <c r="K155">
        <v>20</v>
      </c>
      <c r="L155" s="6">
        <v>1.7000000000000001E-2</v>
      </c>
      <c r="M155" s="6">
        <v>0.16024264999999999</v>
      </c>
    </row>
    <row r="156" spans="1:13" x14ac:dyDescent="0.2">
      <c r="A156" t="s">
        <v>195</v>
      </c>
      <c r="B156" t="s">
        <v>135</v>
      </c>
      <c r="C156" t="s">
        <v>136</v>
      </c>
      <c r="D156" t="s">
        <v>45</v>
      </c>
      <c r="E156" t="s">
        <v>159</v>
      </c>
      <c r="F156" s="6">
        <v>226712872</v>
      </c>
      <c r="G156">
        <v>20</v>
      </c>
      <c r="H156">
        <v>12</v>
      </c>
      <c r="I156" s="6">
        <v>1616479.82</v>
      </c>
      <c r="J156" s="6">
        <v>1.05587822E-2</v>
      </c>
      <c r="K156">
        <v>20</v>
      </c>
      <c r="L156" s="6">
        <v>1.7000000000000001E-2</v>
      </c>
      <c r="M156" s="6">
        <v>0.16024264999999999</v>
      </c>
    </row>
    <row r="157" spans="1:13" x14ac:dyDescent="0.2">
      <c r="A157" t="s">
        <v>196</v>
      </c>
      <c r="B157" t="s">
        <v>135</v>
      </c>
      <c r="C157" t="s">
        <v>136</v>
      </c>
      <c r="D157" t="s">
        <v>45</v>
      </c>
      <c r="E157" t="s">
        <v>159</v>
      </c>
      <c r="F157" s="6">
        <v>226712872</v>
      </c>
      <c r="G157">
        <v>31</v>
      </c>
      <c r="H157">
        <v>21</v>
      </c>
      <c r="I157" s="6">
        <v>2904090.22</v>
      </c>
      <c r="J157" s="6">
        <v>1.1387796299999999E-2</v>
      </c>
      <c r="K157">
        <v>21</v>
      </c>
      <c r="L157" s="6">
        <v>1.7000000000000001E-2</v>
      </c>
      <c r="M157" s="6">
        <v>0.16024264999999999</v>
      </c>
    </row>
    <row r="158" spans="1:13" x14ac:dyDescent="0.2">
      <c r="A158" t="s">
        <v>197</v>
      </c>
      <c r="B158" t="s">
        <v>135</v>
      </c>
      <c r="C158" t="s">
        <v>136</v>
      </c>
      <c r="D158" t="s">
        <v>45</v>
      </c>
      <c r="E158" t="s">
        <v>159</v>
      </c>
      <c r="F158" s="6">
        <v>226712872</v>
      </c>
      <c r="G158">
        <v>30</v>
      </c>
      <c r="H158">
        <v>20</v>
      </c>
      <c r="I158" s="6">
        <v>2794008.75</v>
      </c>
      <c r="J158" s="6">
        <v>1.0970548300000001E-2</v>
      </c>
      <c r="K158">
        <v>20</v>
      </c>
      <c r="L158" s="6">
        <v>1.7000000000000001E-2</v>
      </c>
      <c r="M158" s="6">
        <v>0.16024264999999999</v>
      </c>
    </row>
    <row r="159" spans="1:13" x14ac:dyDescent="0.2">
      <c r="A159" t="s">
        <v>198</v>
      </c>
      <c r="B159" t="s">
        <v>135</v>
      </c>
      <c r="C159" t="s">
        <v>136</v>
      </c>
      <c r="D159" t="s">
        <v>45</v>
      </c>
      <c r="E159" t="s">
        <v>159</v>
      </c>
      <c r="F159" s="6">
        <v>226712872</v>
      </c>
      <c r="G159">
        <v>31</v>
      </c>
      <c r="H159">
        <v>23</v>
      </c>
      <c r="I159" s="6">
        <v>3245783.23</v>
      </c>
      <c r="J159" s="6">
        <v>1.2757340000000001E-2</v>
      </c>
      <c r="K159">
        <v>23</v>
      </c>
      <c r="L159" s="6">
        <v>1.7000000000000001E-2</v>
      </c>
      <c r="M159" s="6">
        <v>0.16024264999999999</v>
      </c>
    </row>
    <row r="160" spans="1:13" x14ac:dyDescent="0.2">
      <c r="A160" t="s">
        <v>199</v>
      </c>
      <c r="B160" t="s">
        <v>135</v>
      </c>
      <c r="C160" t="s">
        <v>136</v>
      </c>
      <c r="D160" t="s">
        <v>45</v>
      </c>
      <c r="E160" t="s">
        <v>159</v>
      </c>
      <c r="F160" s="6">
        <v>226712872</v>
      </c>
      <c r="G160">
        <v>31</v>
      </c>
      <c r="H160">
        <v>21</v>
      </c>
      <c r="I160" s="6">
        <v>2961706</v>
      </c>
      <c r="J160" s="6">
        <v>1.1641574999999999E-2</v>
      </c>
      <c r="K160">
        <v>21</v>
      </c>
      <c r="L160" s="6">
        <v>1.7000000000000001E-2</v>
      </c>
      <c r="M160" s="6">
        <v>0.16024264999999999</v>
      </c>
    </row>
    <row r="161" spans="1:13" x14ac:dyDescent="0.2">
      <c r="A161" t="s">
        <v>200</v>
      </c>
      <c r="B161" t="s">
        <v>135</v>
      </c>
      <c r="C161" t="s">
        <v>136</v>
      </c>
      <c r="D161" t="s">
        <v>45</v>
      </c>
      <c r="E161" t="s">
        <v>159</v>
      </c>
      <c r="F161" s="6">
        <v>226712872</v>
      </c>
      <c r="G161">
        <v>30</v>
      </c>
      <c r="H161">
        <v>22</v>
      </c>
      <c r="I161" s="6">
        <v>3103700.72</v>
      </c>
      <c r="J161" s="6">
        <v>1.21993038E-2</v>
      </c>
      <c r="K161">
        <v>22</v>
      </c>
      <c r="L161" s="6">
        <v>1.7000000000000001E-2</v>
      </c>
      <c r="M161" s="6">
        <v>0.16024264999999999</v>
      </c>
    </row>
    <row r="162" spans="1:13" x14ac:dyDescent="0.2">
      <c r="A162" t="s">
        <v>201</v>
      </c>
      <c r="B162" t="s">
        <v>135</v>
      </c>
      <c r="C162" t="s">
        <v>136</v>
      </c>
      <c r="D162" t="s">
        <v>45</v>
      </c>
      <c r="E162" t="s">
        <v>159</v>
      </c>
      <c r="F162" s="6">
        <v>226712872</v>
      </c>
      <c r="G162">
        <v>31</v>
      </c>
      <c r="H162">
        <v>23</v>
      </c>
      <c r="I162" s="6">
        <v>3245783.23</v>
      </c>
      <c r="J162" s="6">
        <v>1.2757340000000001E-2</v>
      </c>
      <c r="K162">
        <v>23</v>
      </c>
      <c r="L162" s="6">
        <v>1.7000000000000001E-2</v>
      </c>
      <c r="M162" s="6">
        <v>0.16024264999999999</v>
      </c>
    </row>
    <row r="163" spans="1:13" x14ac:dyDescent="0.2">
      <c r="A163" t="s">
        <v>202</v>
      </c>
      <c r="B163" t="s">
        <v>135</v>
      </c>
      <c r="C163" t="s">
        <v>136</v>
      </c>
      <c r="D163" t="s">
        <v>45</v>
      </c>
      <c r="E163" t="s">
        <v>159</v>
      </c>
      <c r="F163" s="6">
        <v>226712872</v>
      </c>
      <c r="G163">
        <v>30</v>
      </c>
      <c r="H163">
        <v>19</v>
      </c>
      <c r="I163" s="6">
        <v>2677979.71</v>
      </c>
      <c r="J163" s="6">
        <v>1.0527039199999999E-2</v>
      </c>
      <c r="K163">
        <v>19</v>
      </c>
      <c r="L163" s="6">
        <v>1.7000000000000001E-2</v>
      </c>
      <c r="M163" s="6">
        <v>0.16024264999999999</v>
      </c>
    </row>
    <row r="164" spans="1:13" x14ac:dyDescent="0.2">
      <c r="A164" t="s">
        <v>203</v>
      </c>
      <c r="B164" t="s">
        <v>135</v>
      </c>
      <c r="C164" t="s">
        <v>136</v>
      </c>
      <c r="D164" t="s">
        <v>45</v>
      </c>
      <c r="E164" t="s">
        <v>159</v>
      </c>
      <c r="F164" s="6">
        <v>226712872</v>
      </c>
      <c r="G164">
        <v>31</v>
      </c>
      <c r="H164">
        <v>20</v>
      </c>
      <c r="I164" s="6">
        <v>2819799.02</v>
      </c>
      <c r="J164" s="6">
        <v>1.21993038E-2</v>
      </c>
      <c r="K164">
        <v>22</v>
      </c>
      <c r="L164" s="6">
        <v>1.7000000000000001E-2</v>
      </c>
      <c r="M164" s="6">
        <v>0.16024264999999999</v>
      </c>
    </row>
    <row r="165" spans="1:13" x14ac:dyDescent="0.2">
      <c r="A165" t="s">
        <v>192</v>
      </c>
      <c r="B165" t="s">
        <v>135</v>
      </c>
      <c r="C165" t="s">
        <v>136</v>
      </c>
      <c r="D165" t="s">
        <v>50</v>
      </c>
      <c r="E165" t="s">
        <v>159</v>
      </c>
      <c r="F165" s="6">
        <v>0</v>
      </c>
      <c r="G165">
        <v>31</v>
      </c>
      <c r="H165">
        <v>22</v>
      </c>
      <c r="I165" s="6">
        <v>0</v>
      </c>
      <c r="J165" s="6">
        <v>1.01320561E-2</v>
      </c>
      <c r="K165">
        <v>22</v>
      </c>
      <c r="L165" s="6">
        <v>4.99E-2</v>
      </c>
      <c r="M165" s="6">
        <v>0.19314265</v>
      </c>
    </row>
    <row r="166" spans="1:13" x14ac:dyDescent="0.2">
      <c r="A166" t="s">
        <v>193</v>
      </c>
      <c r="B166" t="s">
        <v>135</v>
      </c>
      <c r="C166" t="s">
        <v>136</v>
      </c>
      <c r="D166" t="s">
        <v>50</v>
      </c>
      <c r="E166" t="s">
        <v>159</v>
      </c>
      <c r="F166" s="6">
        <v>0</v>
      </c>
      <c r="G166">
        <v>28</v>
      </c>
      <c r="H166">
        <v>20</v>
      </c>
      <c r="I166" s="6">
        <v>0</v>
      </c>
      <c r="J166" s="6">
        <v>9.8533215999999993E-3</v>
      </c>
      <c r="K166">
        <v>20</v>
      </c>
      <c r="L166" s="6">
        <v>4.99E-2</v>
      </c>
      <c r="M166" s="6">
        <v>0.19314265</v>
      </c>
    </row>
    <row r="167" spans="1:13" x14ac:dyDescent="0.2">
      <c r="A167" t="s">
        <v>194</v>
      </c>
      <c r="B167" t="s">
        <v>135</v>
      </c>
      <c r="C167" t="s">
        <v>136</v>
      </c>
      <c r="D167" t="s">
        <v>50</v>
      </c>
      <c r="E167" t="s">
        <v>159</v>
      </c>
      <c r="F167" s="6">
        <v>0</v>
      </c>
      <c r="G167">
        <v>31</v>
      </c>
      <c r="H167">
        <v>19</v>
      </c>
      <c r="I167" s="6">
        <v>0</v>
      </c>
      <c r="J167" s="6">
        <v>9.6403444000000005E-3</v>
      </c>
      <c r="K167">
        <v>19</v>
      </c>
      <c r="L167" s="6">
        <v>4.99E-2</v>
      </c>
      <c r="M167" s="6">
        <v>0.19314265</v>
      </c>
    </row>
    <row r="168" spans="1:13" x14ac:dyDescent="0.2">
      <c r="A168" t="s">
        <v>195</v>
      </c>
      <c r="B168" t="s">
        <v>135</v>
      </c>
      <c r="C168" t="s">
        <v>136</v>
      </c>
      <c r="D168" t="s">
        <v>50</v>
      </c>
      <c r="E168" t="s">
        <v>159</v>
      </c>
      <c r="F168" s="6">
        <v>0</v>
      </c>
      <c r="G168">
        <v>10</v>
      </c>
      <c r="H168">
        <v>8</v>
      </c>
      <c r="I168" s="6">
        <v>0</v>
      </c>
      <c r="J168" s="6">
        <v>1.05587822E-2</v>
      </c>
      <c r="K168">
        <v>20</v>
      </c>
      <c r="L168" s="6">
        <v>4.99E-2</v>
      </c>
      <c r="M168" s="6">
        <v>0.19314265</v>
      </c>
    </row>
    <row r="169" spans="1:13" x14ac:dyDescent="0.2">
      <c r="A169" t="s">
        <v>195</v>
      </c>
      <c r="B169" t="s">
        <v>135</v>
      </c>
      <c r="C169" t="s">
        <v>136</v>
      </c>
      <c r="D169" t="s">
        <v>50</v>
      </c>
      <c r="E169" t="s">
        <v>159</v>
      </c>
      <c r="F169" s="6">
        <v>194325319.59</v>
      </c>
      <c r="G169">
        <v>20</v>
      </c>
      <c r="H169">
        <v>12</v>
      </c>
      <c r="I169" s="6">
        <v>1682493.68</v>
      </c>
      <c r="J169" s="6">
        <v>1.05587822E-2</v>
      </c>
      <c r="K169">
        <v>20</v>
      </c>
      <c r="L169" s="6">
        <v>4.99E-2</v>
      </c>
      <c r="M169" s="6">
        <v>0.19314265</v>
      </c>
    </row>
    <row r="170" spans="1:13" x14ac:dyDescent="0.2">
      <c r="A170" t="s">
        <v>196</v>
      </c>
      <c r="B170" t="s">
        <v>135</v>
      </c>
      <c r="C170" t="s">
        <v>136</v>
      </c>
      <c r="D170" t="s">
        <v>50</v>
      </c>
      <c r="E170" t="s">
        <v>159</v>
      </c>
      <c r="F170" s="6">
        <v>194325319.59</v>
      </c>
      <c r="G170">
        <v>31</v>
      </c>
      <c r="H170">
        <v>21</v>
      </c>
      <c r="I170" s="6">
        <v>3012092.09</v>
      </c>
      <c r="J170" s="6">
        <v>1.1387796299999999E-2</v>
      </c>
      <c r="K170">
        <v>21</v>
      </c>
      <c r="L170" s="6">
        <v>4.99E-2</v>
      </c>
      <c r="M170" s="6">
        <v>0.19314265</v>
      </c>
    </row>
    <row r="171" spans="1:13" x14ac:dyDescent="0.2">
      <c r="A171" t="s">
        <v>197</v>
      </c>
      <c r="B171" t="s">
        <v>135</v>
      </c>
      <c r="C171" t="s">
        <v>136</v>
      </c>
      <c r="D171" t="s">
        <v>50</v>
      </c>
      <c r="E171" t="s">
        <v>159</v>
      </c>
      <c r="F171" s="6">
        <v>194325319.59</v>
      </c>
      <c r="G171">
        <v>30</v>
      </c>
      <c r="H171">
        <v>20</v>
      </c>
      <c r="I171" s="6">
        <v>2892567.69</v>
      </c>
      <c r="J171" s="6">
        <v>1.0970548300000001E-2</v>
      </c>
      <c r="K171">
        <v>20</v>
      </c>
      <c r="L171" s="6">
        <v>4.99E-2</v>
      </c>
      <c r="M171" s="6">
        <v>0.19314265</v>
      </c>
    </row>
    <row r="172" spans="1:13" x14ac:dyDescent="0.2">
      <c r="A172" t="s">
        <v>198</v>
      </c>
      <c r="B172" t="s">
        <v>135</v>
      </c>
      <c r="C172" t="s">
        <v>136</v>
      </c>
      <c r="D172" t="s">
        <v>50</v>
      </c>
      <c r="E172" t="s">
        <v>159</v>
      </c>
      <c r="F172" s="6">
        <v>194325319.59</v>
      </c>
      <c r="G172">
        <v>31</v>
      </c>
      <c r="H172">
        <v>23</v>
      </c>
      <c r="I172" s="6">
        <v>3355693.82</v>
      </c>
      <c r="J172" s="6">
        <v>1.2757340000000001E-2</v>
      </c>
      <c r="K172">
        <v>23</v>
      </c>
      <c r="L172" s="6">
        <v>4.99E-2</v>
      </c>
      <c r="M172" s="6">
        <v>0.19314265</v>
      </c>
    </row>
    <row r="173" spans="1:13" x14ac:dyDescent="0.2">
      <c r="A173" t="s">
        <v>199</v>
      </c>
      <c r="B173" t="s">
        <v>135</v>
      </c>
      <c r="C173" t="s">
        <v>136</v>
      </c>
      <c r="D173" t="s">
        <v>50</v>
      </c>
      <c r="E173" t="s">
        <v>159</v>
      </c>
      <c r="F173" s="6">
        <v>194325319.59</v>
      </c>
      <c r="G173">
        <v>31</v>
      </c>
      <c r="H173">
        <v>21</v>
      </c>
      <c r="I173" s="6">
        <v>3061608.24</v>
      </c>
      <c r="J173" s="6">
        <v>1.1641574999999999E-2</v>
      </c>
      <c r="K173">
        <v>21</v>
      </c>
      <c r="L173" s="6">
        <v>4.99E-2</v>
      </c>
      <c r="M173" s="6">
        <v>0.19314265</v>
      </c>
    </row>
    <row r="174" spans="1:13" x14ac:dyDescent="0.2">
      <c r="A174" t="s">
        <v>200</v>
      </c>
      <c r="B174" t="s">
        <v>135</v>
      </c>
      <c r="C174" t="s">
        <v>136</v>
      </c>
      <c r="D174" t="s">
        <v>50</v>
      </c>
      <c r="E174" t="s">
        <v>159</v>
      </c>
      <c r="F174" s="6">
        <v>194325319.59</v>
      </c>
      <c r="G174">
        <v>30</v>
      </c>
      <c r="H174">
        <v>22</v>
      </c>
      <c r="I174" s="6">
        <v>3208596.3</v>
      </c>
      <c r="J174" s="6">
        <v>1.21993038E-2</v>
      </c>
      <c r="K174">
        <v>22</v>
      </c>
      <c r="L174" s="6">
        <v>4.99E-2</v>
      </c>
      <c r="M174" s="6">
        <v>0.19314265</v>
      </c>
    </row>
    <row r="175" spans="1:13" x14ac:dyDescent="0.2">
      <c r="A175" t="s">
        <v>201</v>
      </c>
      <c r="B175" t="s">
        <v>135</v>
      </c>
      <c r="C175" t="s">
        <v>136</v>
      </c>
      <c r="D175" t="s">
        <v>50</v>
      </c>
      <c r="E175" t="s">
        <v>159</v>
      </c>
      <c r="F175" s="6">
        <v>194325319.59</v>
      </c>
      <c r="G175">
        <v>31</v>
      </c>
      <c r="H175">
        <v>23</v>
      </c>
      <c r="I175" s="6">
        <v>3355693.82</v>
      </c>
      <c r="J175" s="6">
        <v>1.2757340000000001E-2</v>
      </c>
      <c r="K175">
        <v>23</v>
      </c>
      <c r="L175" s="6">
        <v>4.99E-2</v>
      </c>
      <c r="M175" s="6">
        <v>0.19314265</v>
      </c>
    </row>
    <row r="176" spans="1:13" x14ac:dyDescent="0.2">
      <c r="A176" t="s">
        <v>202</v>
      </c>
      <c r="B176" t="s">
        <v>135</v>
      </c>
      <c r="C176" t="s">
        <v>136</v>
      </c>
      <c r="D176" t="s">
        <v>50</v>
      </c>
      <c r="E176" t="s">
        <v>159</v>
      </c>
      <c r="F176" s="6">
        <v>194325319.59</v>
      </c>
      <c r="G176">
        <v>30</v>
      </c>
      <c r="H176">
        <v>19</v>
      </c>
      <c r="I176" s="6">
        <v>2767960.17</v>
      </c>
      <c r="J176" s="6">
        <v>1.0527039199999999E-2</v>
      </c>
      <c r="K176">
        <v>19</v>
      </c>
      <c r="L176" s="6">
        <v>4.99E-2</v>
      </c>
      <c r="M176" s="6">
        <v>0.19314265</v>
      </c>
    </row>
    <row r="177" spans="1:13" x14ac:dyDescent="0.2">
      <c r="A177" t="s">
        <v>203</v>
      </c>
      <c r="B177" t="s">
        <v>135</v>
      </c>
      <c r="C177" t="s">
        <v>136</v>
      </c>
      <c r="D177" t="s">
        <v>50</v>
      </c>
      <c r="E177" t="s">
        <v>159</v>
      </c>
      <c r="F177" s="6">
        <v>194325319.59</v>
      </c>
      <c r="G177">
        <v>31</v>
      </c>
      <c r="H177">
        <v>20</v>
      </c>
      <c r="I177" s="6">
        <v>2914729.56</v>
      </c>
      <c r="J177" s="6">
        <v>1.21993038E-2</v>
      </c>
      <c r="K177">
        <v>22</v>
      </c>
      <c r="L177" s="6">
        <v>4.99E-2</v>
      </c>
      <c r="M177" s="6">
        <v>0.19314265</v>
      </c>
    </row>
    <row r="178" spans="1:13" x14ac:dyDescent="0.2">
      <c r="A178" t="s">
        <v>192</v>
      </c>
      <c r="B178" t="s">
        <v>140</v>
      </c>
      <c r="C178" t="s">
        <v>141</v>
      </c>
      <c r="D178" t="s">
        <v>26</v>
      </c>
      <c r="E178" t="s">
        <v>131</v>
      </c>
      <c r="F178" s="6">
        <v>0</v>
      </c>
      <c r="G178">
        <v>31</v>
      </c>
      <c r="H178">
        <v>22</v>
      </c>
      <c r="I178" s="6">
        <v>0</v>
      </c>
      <c r="J178" s="6">
        <v>1.01320561E-2</v>
      </c>
      <c r="K178">
        <v>22</v>
      </c>
      <c r="L178" s="6">
        <v>7.4999999999999997E-3</v>
      </c>
      <c r="M178" s="6">
        <v>0.15074265000000001</v>
      </c>
    </row>
    <row r="179" spans="1:13" x14ac:dyDescent="0.2">
      <c r="A179" t="s">
        <v>193</v>
      </c>
      <c r="B179" t="s">
        <v>140</v>
      </c>
      <c r="C179" t="s">
        <v>141</v>
      </c>
      <c r="D179" t="s">
        <v>26</v>
      </c>
      <c r="E179" t="s">
        <v>131</v>
      </c>
      <c r="F179" s="6">
        <v>0</v>
      </c>
      <c r="G179">
        <v>28</v>
      </c>
      <c r="H179">
        <v>20</v>
      </c>
      <c r="I179" s="6">
        <v>0</v>
      </c>
      <c r="J179" s="6">
        <v>9.8533215999999993E-3</v>
      </c>
      <c r="K179">
        <v>20</v>
      </c>
      <c r="L179" s="6">
        <v>7.4999999999999997E-3</v>
      </c>
      <c r="M179" s="6">
        <v>0.15074265000000001</v>
      </c>
    </row>
    <row r="180" spans="1:13" x14ac:dyDescent="0.2">
      <c r="A180" t="s">
        <v>194</v>
      </c>
      <c r="B180" t="s">
        <v>140</v>
      </c>
      <c r="C180" t="s">
        <v>141</v>
      </c>
      <c r="D180" t="s">
        <v>26</v>
      </c>
      <c r="E180" t="s">
        <v>131</v>
      </c>
      <c r="F180" s="6">
        <v>0</v>
      </c>
      <c r="G180">
        <v>31</v>
      </c>
      <c r="H180">
        <v>19</v>
      </c>
      <c r="I180" s="6">
        <v>0</v>
      </c>
      <c r="J180" s="6">
        <v>9.6403444000000005E-3</v>
      </c>
      <c r="K180">
        <v>19</v>
      </c>
      <c r="L180" s="6">
        <v>7.4999999999999997E-3</v>
      </c>
      <c r="M180" s="6">
        <v>0.15074265000000001</v>
      </c>
    </row>
    <row r="181" spans="1:13" x14ac:dyDescent="0.2">
      <c r="A181" t="s">
        <v>195</v>
      </c>
      <c r="B181" t="s">
        <v>140</v>
      </c>
      <c r="C181" t="s">
        <v>141</v>
      </c>
      <c r="D181" t="s">
        <v>26</v>
      </c>
      <c r="E181" t="s">
        <v>131</v>
      </c>
      <c r="F181" s="6">
        <v>0</v>
      </c>
      <c r="G181">
        <v>30</v>
      </c>
      <c r="H181">
        <v>20</v>
      </c>
      <c r="I181" s="6">
        <v>0</v>
      </c>
      <c r="J181" s="6">
        <v>1.05587822E-2</v>
      </c>
      <c r="K181">
        <v>20</v>
      </c>
      <c r="L181" s="6">
        <v>7.4999999999999997E-3</v>
      </c>
      <c r="M181" s="6">
        <v>0.15074265000000001</v>
      </c>
    </row>
    <row r="182" spans="1:13" x14ac:dyDescent="0.2">
      <c r="A182" t="s">
        <v>196</v>
      </c>
      <c r="B182" t="s">
        <v>140</v>
      </c>
      <c r="C182" t="s">
        <v>141</v>
      </c>
      <c r="D182" t="s">
        <v>26</v>
      </c>
      <c r="E182" t="s">
        <v>131</v>
      </c>
      <c r="F182" s="6">
        <v>0</v>
      </c>
      <c r="G182">
        <v>31</v>
      </c>
      <c r="H182">
        <v>21</v>
      </c>
      <c r="I182" s="6">
        <v>0</v>
      </c>
      <c r="J182" s="6">
        <v>1.1387796299999999E-2</v>
      </c>
      <c r="K182">
        <v>21</v>
      </c>
      <c r="L182" s="6">
        <v>7.4999999999999997E-3</v>
      </c>
      <c r="M182" s="6">
        <v>0.15074265000000001</v>
      </c>
    </row>
    <row r="183" spans="1:13" x14ac:dyDescent="0.2">
      <c r="A183" t="s">
        <v>197</v>
      </c>
      <c r="B183" t="s">
        <v>140</v>
      </c>
      <c r="C183" t="s">
        <v>141</v>
      </c>
      <c r="D183" t="s">
        <v>26</v>
      </c>
      <c r="E183" t="s">
        <v>131</v>
      </c>
      <c r="F183" s="6">
        <v>0</v>
      </c>
      <c r="G183">
        <v>30</v>
      </c>
      <c r="H183">
        <v>20</v>
      </c>
      <c r="I183" s="6">
        <v>0</v>
      </c>
      <c r="J183" s="6">
        <v>1.0970548300000001E-2</v>
      </c>
      <c r="K183">
        <v>20</v>
      </c>
      <c r="L183" s="6">
        <v>7.4999999999999997E-3</v>
      </c>
      <c r="M183" s="6">
        <v>0.15074265000000001</v>
      </c>
    </row>
    <row r="184" spans="1:13" x14ac:dyDescent="0.2">
      <c r="A184" t="s">
        <v>198</v>
      </c>
      <c r="B184" t="s">
        <v>140</v>
      </c>
      <c r="C184" t="s">
        <v>141</v>
      </c>
      <c r="D184" t="s">
        <v>26</v>
      </c>
      <c r="E184" t="s">
        <v>131</v>
      </c>
      <c r="F184" s="6">
        <v>0</v>
      </c>
      <c r="G184">
        <v>31</v>
      </c>
      <c r="H184">
        <v>23</v>
      </c>
      <c r="I184" s="6">
        <v>0</v>
      </c>
      <c r="J184" s="6">
        <v>1.2757340000000001E-2</v>
      </c>
      <c r="K184">
        <v>23</v>
      </c>
      <c r="L184" s="6">
        <v>7.4999999999999997E-3</v>
      </c>
      <c r="M184" s="6">
        <v>0.15074265000000001</v>
      </c>
    </row>
    <row r="185" spans="1:13" x14ac:dyDescent="0.2">
      <c r="A185" t="s">
        <v>199</v>
      </c>
      <c r="B185" t="s">
        <v>140</v>
      </c>
      <c r="C185" t="s">
        <v>141</v>
      </c>
      <c r="D185" t="s">
        <v>26</v>
      </c>
      <c r="E185" t="s">
        <v>131</v>
      </c>
      <c r="F185" s="6">
        <v>0</v>
      </c>
      <c r="G185">
        <v>31</v>
      </c>
      <c r="H185">
        <v>21</v>
      </c>
      <c r="I185" s="6">
        <v>0</v>
      </c>
      <c r="J185" s="6">
        <v>1.1641574999999999E-2</v>
      </c>
      <c r="K185">
        <v>21</v>
      </c>
      <c r="L185" s="6">
        <v>7.4999999999999997E-3</v>
      </c>
      <c r="M185" s="6">
        <v>0.15074265000000001</v>
      </c>
    </row>
    <row r="186" spans="1:13" x14ac:dyDescent="0.2">
      <c r="A186" t="s">
        <v>200</v>
      </c>
      <c r="B186" t="s">
        <v>140</v>
      </c>
      <c r="C186" t="s">
        <v>141</v>
      </c>
      <c r="D186" t="s">
        <v>26</v>
      </c>
      <c r="E186" t="s">
        <v>131</v>
      </c>
      <c r="F186" s="6">
        <v>0</v>
      </c>
      <c r="G186">
        <v>15</v>
      </c>
      <c r="H186">
        <v>11</v>
      </c>
      <c r="I186" s="6">
        <v>0</v>
      </c>
      <c r="J186" s="6">
        <v>1.21993038E-2</v>
      </c>
      <c r="K186">
        <v>22</v>
      </c>
      <c r="L186" s="6">
        <v>7.4999999999999997E-3</v>
      </c>
      <c r="M186" s="6">
        <v>0.15074265000000001</v>
      </c>
    </row>
    <row r="187" spans="1:13" x14ac:dyDescent="0.2">
      <c r="A187" t="s">
        <v>200</v>
      </c>
      <c r="B187" t="s">
        <v>140</v>
      </c>
      <c r="C187" t="s">
        <v>141</v>
      </c>
      <c r="D187" t="s">
        <v>26</v>
      </c>
      <c r="E187" t="s">
        <v>131</v>
      </c>
      <c r="F187" s="6">
        <v>3637113000</v>
      </c>
      <c r="G187">
        <v>15</v>
      </c>
      <c r="H187">
        <v>11</v>
      </c>
      <c r="I187" s="6">
        <v>23311559.120000001</v>
      </c>
      <c r="J187" s="6">
        <v>1.21993038E-2</v>
      </c>
      <c r="K187">
        <v>22</v>
      </c>
      <c r="L187" s="6">
        <v>7.4999999999999997E-3</v>
      </c>
      <c r="M187" s="6">
        <v>0.15074265000000001</v>
      </c>
    </row>
    <row r="188" spans="1:13" x14ac:dyDescent="0.2">
      <c r="A188" t="s">
        <v>201</v>
      </c>
      <c r="B188" t="s">
        <v>140</v>
      </c>
      <c r="C188" t="s">
        <v>141</v>
      </c>
      <c r="D188" t="s">
        <v>26</v>
      </c>
      <c r="E188" t="s">
        <v>131</v>
      </c>
      <c r="F188" s="6">
        <v>3637113000</v>
      </c>
      <c r="G188">
        <v>31</v>
      </c>
      <c r="H188">
        <v>23</v>
      </c>
      <c r="I188" s="6">
        <v>48912787.850000001</v>
      </c>
      <c r="J188" s="6">
        <v>1.2757340000000001E-2</v>
      </c>
      <c r="K188">
        <v>23</v>
      </c>
      <c r="L188" s="6">
        <v>7.4999999999999997E-3</v>
      </c>
      <c r="M188" s="6">
        <v>0.15074265000000001</v>
      </c>
    </row>
    <row r="189" spans="1:13" x14ac:dyDescent="0.2">
      <c r="A189" t="s">
        <v>202</v>
      </c>
      <c r="B189" t="s">
        <v>140</v>
      </c>
      <c r="C189" t="s">
        <v>141</v>
      </c>
      <c r="D189" t="s">
        <v>26</v>
      </c>
      <c r="E189" t="s">
        <v>131</v>
      </c>
      <c r="F189" s="6">
        <v>3637113000</v>
      </c>
      <c r="G189">
        <v>30</v>
      </c>
      <c r="H189">
        <v>19</v>
      </c>
      <c r="I189" s="6">
        <v>40359211.359999999</v>
      </c>
      <c r="J189" s="6">
        <v>1.0527039199999999E-2</v>
      </c>
      <c r="K189">
        <v>19</v>
      </c>
      <c r="L189" s="6">
        <v>7.4999999999999997E-3</v>
      </c>
      <c r="M189" s="6">
        <v>0.15074265000000001</v>
      </c>
    </row>
    <row r="190" spans="1:13" x14ac:dyDescent="0.2">
      <c r="A190" t="s">
        <v>203</v>
      </c>
      <c r="B190" t="s">
        <v>140</v>
      </c>
      <c r="C190" t="s">
        <v>141</v>
      </c>
      <c r="D190" t="s">
        <v>26</v>
      </c>
      <c r="E190" t="s">
        <v>131</v>
      </c>
      <c r="F190" s="6">
        <v>3637113000</v>
      </c>
      <c r="G190">
        <v>31</v>
      </c>
      <c r="H190">
        <v>20</v>
      </c>
      <c r="I190" s="6">
        <v>42495742.840000004</v>
      </c>
      <c r="J190" s="6">
        <v>1.21993038E-2</v>
      </c>
      <c r="K190">
        <v>22</v>
      </c>
      <c r="L190" s="6">
        <v>7.4999999999999997E-3</v>
      </c>
      <c r="M190" s="6">
        <v>0.15074265000000001</v>
      </c>
    </row>
    <row r="191" spans="1:13" x14ac:dyDescent="0.2">
      <c r="A191" t="s">
        <v>192</v>
      </c>
      <c r="B191" t="s">
        <v>140</v>
      </c>
      <c r="C191" t="s">
        <v>141</v>
      </c>
      <c r="D191" t="s">
        <v>45</v>
      </c>
      <c r="E191" t="s">
        <v>159</v>
      </c>
      <c r="F191" s="6">
        <v>0</v>
      </c>
      <c r="G191">
        <v>31</v>
      </c>
      <c r="H191">
        <v>22</v>
      </c>
      <c r="I191" s="6">
        <v>0</v>
      </c>
      <c r="J191" s="6">
        <v>1.01320561E-2</v>
      </c>
      <c r="K191">
        <v>22</v>
      </c>
      <c r="L191" s="6">
        <v>1.35E-2</v>
      </c>
      <c r="M191" s="6">
        <v>0.15674265000000001</v>
      </c>
    </row>
    <row r="192" spans="1:13" x14ac:dyDescent="0.2">
      <c r="A192" t="s">
        <v>193</v>
      </c>
      <c r="B192" t="s">
        <v>140</v>
      </c>
      <c r="C192" t="s">
        <v>141</v>
      </c>
      <c r="D192" t="s">
        <v>45</v>
      </c>
      <c r="E192" t="s">
        <v>159</v>
      </c>
      <c r="F192" s="6">
        <v>0</v>
      </c>
      <c r="G192">
        <v>28</v>
      </c>
      <c r="H192">
        <v>20</v>
      </c>
      <c r="I192" s="6">
        <v>0</v>
      </c>
      <c r="J192" s="6">
        <v>9.8533215999999993E-3</v>
      </c>
      <c r="K192">
        <v>20</v>
      </c>
      <c r="L192" s="6">
        <v>1.35E-2</v>
      </c>
      <c r="M192" s="6">
        <v>0.15674265000000001</v>
      </c>
    </row>
    <row r="193" spans="1:13" x14ac:dyDescent="0.2">
      <c r="A193" t="s">
        <v>194</v>
      </c>
      <c r="B193" t="s">
        <v>140</v>
      </c>
      <c r="C193" t="s">
        <v>141</v>
      </c>
      <c r="D193" t="s">
        <v>45</v>
      </c>
      <c r="E193" t="s">
        <v>159</v>
      </c>
      <c r="F193" s="6">
        <v>0</v>
      </c>
      <c r="G193">
        <v>31</v>
      </c>
      <c r="H193">
        <v>19</v>
      </c>
      <c r="I193" s="6">
        <v>0</v>
      </c>
      <c r="J193" s="6">
        <v>9.6403444000000005E-3</v>
      </c>
      <c r="K193">
        <v>19</v>
      </c>
      <c r="L193" s="6">
        <v>1.35E-2</v>
      </c>
      <c r="M193" s="6">
        <v>0.15674265000000001</v>
      </c>
    </row>
    <row r="194" spans="1:13" x14ac:dyDescent="0.2">
      <c r="A194" t="s">
        <v>195</v>
      </c>
      <c r="B194" t="s">
        <v>140</v>
      </c>
      <c r="C194" t="s">
        <v>141</v>
      </c>
      <c r="D194" t="s">
        <v>45</v>
      </c>
      <c r="E194" t="s">
        <v>159</v>
      </c>
      <c r="F194" s="6">
        <v>0</v>
      </c>
      <c r="G194">
        <v>30</v>
      </c>
      <c r="H194">
        <v>20</v>
      </c>
      <c r="I194" s="6">
        <v>0</v>
      </c>
      <c r="J194" s="6">
        <v>1.05587822E-2</v>
      </c>
      <c r="K194">
        <v>20</v>
      </c>
      <c r="L194" s="6">
        <v>1.35E-2</v>
      </c>
      <c r="M194" s="6">
        <v>0.15674265000000001</v>
      </c>
    </row>
    <row r="195" spans="1:13" x14ac:dyDescent="0.2">
      <c r="A195" t="s">
        <v>196</v>
      </c>
      <c r="B195" t="s">
        <v>140</v>
      </c>
      <c r="C195" t="s">
        <v>141</v>
      </c>
      <c r="D195" t="s">
        <v>45</v>
      </c>
      <c r="E195" t="s">
        <v>159</v>
      </c>
      <c r="F195" s="6">
        <v>0</v>
      </c>
      <c r="G195">
        <v>31</v>
      </c>
      <c r="H195">
        <v>21</v>
      </c>
      <c r="I195" s="6">
        <v>0</v>
      </c>
      <c r="J195" s="6">
        <v>1.1387796299999999E-2</v>
      </c>
      <c r="K195">
        <v>21</v>
      </c>
      <c r="L195" s="6">
        <v>1.35E-2</v>
      </c>
      <c r="M195" s="6">
        <v>0.15674265000000001</v>
      </c>
    </row>
    <row r="196" spans="1:13" x14ac:dyDescent="0.2">
      <c r="A196" t="s">
        <v>197</v>
      </c>
      <c r="B196" t="s">
        <v>140</v>
      </c>
      <c r="C196" t="s">
        <v>141</v>
      </c>
      <c r="D196" t="s">
        <v>45</v>
      </c>
      <c r="E196" t="s">
        <v>159</v>
      </c>
      <c r="F196" s="6">
        <v>0</v>
      </c>
      <c r="G196">
        <v>30</v>
      </c>
      <c r="H196">
        <v>20</v>
      </c>
      <c r="I196" s="6">
        <v>0</v>
      </c>
      <c r="J196" s="6">
        <v>1.0970548300000001E-2</v>
      </c>
      <c r="K196">
        <v>20</v>
      </c>
      <c r="L196" s="6">
        <v>1.35E-2</v>
      </c>
      <c r="M196" s="6">
        <v>0.15674265000000001</v>
      </c>
    </row>
    <row r="197" spans="1:13" x14ac:dyDescent="0.2">
      <c r="A197" t="s">
        <v>198</v>
      </c>
      <c r="B197" t="s">
        <v>140</v>
      </c>
      <c r="C197" t="s">
        <v>141</v>
      </c>
      <c r="D197" t="s">
        <v>45</v>
      </c>
      <c r="E197" t="s">
        <v>159</v>
      </c>
      <c r="F197" s="6">
        <v>0</v>
      </c>
      <c r="G197">
        <v>31</v>
      </c>
      <c r="H197">
        <v>23</v>
      </c>
      <c r="I197" s="6">
        <v>0</v>
      </c>
      <c r="J197" s="6">
        <v>1.2757340000000001E-2</v>
      </c>
      <c r="K197">
        <v>23</v>
      </c>
      <c r="L197" s="6">
        <v>1.35E-2</v>
      </c>
      <c r="M197" s="6">
        <v>0.15674265000000001</v>
      </c>
    </row>
    <row r="198" spans="1:13" x14ac:dyDescent="0.2">
      <c r="A198" t="s">
        <v>199</v>
      </c>
      <c r="B198" t="s">
        <v>140</v>
      </c>
      <c r="C198" t="s">
        <v>141</v>
      </c>
      <c r="D198" t="s">
        <v>45</v>
      </c>
      <c r="E198" t="s">
        <v>159</v>
      </c>
      <c r="F198" s="6">
        <v>0</v>
      </c>
      <c r="G198">
        <v>31</v>
      </c>
      <c r="H198">
        <v>21</v>
      </c>
      <c r="I198" s="6">
        <v>0</v>
      </c>
      <c r="J198" s="6">
        <v>1.1641574999999999E-2</v>
      </c>
      <c r="K198">
        <v>21</v>
      </c>
      <c r="L198" s="6">
        <v>1.35E-2</v>
      </c>
      <c r="M198" s="6">
        <v>0.15674265000000001</v>
      </c>
    </row>
    <row r="199" spans="1:13" x14ac:dyDescent="0.2">
      <c r="A199" t="s">
        <v>200</v>
      </c>
      <c r="B199" t="s">
        <v>140</v>
      </c>
      <c r="C199" t="s">
        <v>141</v>
      </c>
      <c r="D199" t="s">
        <v>45</v>
      </c>
      <c r="E199" t="s">
        <v>159</v>
      </c>
      <c r="F199" s="6">
        <v>0</v>
      </c>
      <c r="G199">
        <v>15</v>
      </c>
      <c r="H199">
        <v>11</v>
      </c>
      <c r="I199" s="6">
        <v>0</v>
      </c>
      <c r="J199" s="6">
        <v>1.21993038E-2</v>
      </c>
      <c r="K199">
        <v>22</v>
      </c>
      <c r="L199" s="6">
        <v>1.35E-2</v>
      </c>
      <c r="M199" s="6">
        <v>0.15674265000000001</v>
      </c>
    </row>
    <row r="200" spans="1:13" x14ac:dyDescent="0.2">
      <c r="A200" t="s">
        <v>200</v>
      </c>
      <c r="B200" t="s">
        <v>140</v>
      </c>
      <c r="C200" t="s">
        <v>141</v>
      </c>
      <c r="D200" t="s">
        <v>45</v>
      </c>
      <c r="E200" t="s">
        <v>159</v>
      </c>
      <c r="F200" s="6">
        <v>303093000</v>
      </c>
      <c r="G200">
        <v>15</v>
      </c>
      <c r="H200">
        <v>11</v>
      </c>
      <c r="I200" s="6">
        <v>2021702.16</v>
      </c>
      <c r="J200" s="6">
        <v>1.21993038E-2</v>
      </c>
      <c r="K200">
        <v>22</v>
      </c>
      <c r="L200" s="6">
        <v>1.35E-2</v>
      </c>
      <c r="M200" s="6">
        <v>0.15674265000000001</v>
      </c>
    </row>
    <row r="201" spans="1:13" x14ac:dyDescent="0.2">
      <c r="A201" t="s">
        <v>201</v>
      </c>
      <c r="B201" t="s">
        <v>140</v>
      </c>
      <c r="C201" t="s">
        <v>141</v>
      </c>
      <c r="D201" t="s">
        <v>45</v>
      </c>
      <c r="E201" t="s">
        <v>159</v>
      </c>
      <c r="F201" s="6">
        <v>303093000</v>
      </c>
      <c r="G201">
        <v>31</v>
      </c>
      <c r="H201">
        <v>23</v>
      </c>
      <c r="I201" s="6">
        <v>4242578.38</v>
      </c>
      <c r="J201" s="6">
        <v>1.2757340000000001E-2</v>
      </c>
      <c r="K201">
        <v>23</v>
      </c>
      <c r="L201" s="6">
        <v>1.35E-2</v>
      </c>
      <c r="M201" s="6">
        <v>0.15674265000000001</v>
      </c>
    </row>
    <row r="202" spans="1:13" x14ac:dyDescent="0.2">
      <c r="A202" t="s">
        <v>202</v>
      </c>
      <c r="B202" t="s">
        <v>140</v>
      </c>
      <c r="C202" t="s">
        <v>141</v>
      </c>
      <c r="D202" t="s">
        <v>45</v>
      </c>
      <c r="E202" t="s">
        <v>159</v>
      </c>
      <c r="F202" s="6">
        <v>303093000</v>
      </c>
      <c r="G202">
        <v>30</v>
      </c>
      <c r="H202">
        <v>19</v>
      </c>
      <c r="I202" s="6">
        <v>3500495.94</v>
      </c>
      <c r="J202" s="6">
        <v>1.0527039199999999E-2</v>
      </c>
      <c r="K202">
        <v>19</v>
      </c>
      <c r="L202" s="6">
        <v>1.35E-2</v>
      </c>
      <c r="M202" s="6">
        <v>0.15674265000000001</v>
      </c>
    </row>
    <row r="203" spans="1:13" x14ac:dyDescent="0.2">
      <c r="A203" t="s">
        <v>203</v>
      </c>
      <c r="B203" t="s">
        <v>140</v>
      </c>
      <c r="C203" t="s">
        <v>141</v>
      </c>
      <c r="D203" t="s">
        <v>45</v>
      </c>
      <c r="E203" t="s">
        <v>159</v>
      </c>
      <c r="F203" s="6">
        <v>303093000</v>
      </c>
      <c r="G203">
        <v>31</v>
      </c>
      <c r="H203">
        <v>20</v>
      </c>
      <c r="I203" s="6">
        <v>3685848.4</v>
      </c>
      <c r="J203" s="6">
        <v>1.21993038E-2</v>
      </c>
      <c r="K203">
        <v>22</v>
      </c>
      <c r="L203" s="6">
        <v>1.35E-2</v>
      </c>
      <c r="M203" s="6">
        <v>0.15674265000000001</v>
      </c>
    </row>
    <row r="204" spans="1:13" x14ac:dyDescent="0.2">
      <c r="A204" t="s">
        <v>192</v>
      </c>
      <c r="B204" t="s">
        <v>140</v>
      </c>
      <c r="C204" t="s">
        <v>141</v>
      </c>
      <c r="D204" t="s">
        <v>50</v>
      </c>
      <c r="E204" t="s">
        <v>159</v>
      </c>
      <c r="F204" s="6">
        <v>0</v>
      </c>
      <c r="G204">
        <v>31</v>
      </c>
      <c r="H204">
        <v>22</v>
      </c>
      <c r="I204" s="6">
        <v>0</v>
      </c>
      <c r="J204" s="6">
        <v>1.01320561E-2</v>
      </c>
      <c r="K204">
        <v>22</v>
      </c>
      <c r="L204" s="6">
        <v>4.2000000000000003E-2</v>
      </c>
      <c r="M204" s="6">
        <v>0.18524265000000001</v>
      </c>
    </row>
    <row r="205" spans="1:13" x14ac:dyDescent="0.2">
      <c r="A205" t="s">
        <v>193</v>
      </c>
      <c r="B205" t="s">
        <v>140</v>
      </c>
      <c r="C205" t="s">
        <v>141</v>
      </c>
      <c r="D205" t="s">
        <v>50</v>
      </c>
      <c r="E205" t="s">
        <v>159</v>
      </c>
      <c r="F205" s="6">
        <v>0</v>
      </c>
      <c r="G205">
        <v>28</v>
      </c>
      <c r="H205">
        <v>20</v>
      </c>
      <c r="I205" s="6">
        <v>0</v>
      </c>
      <c r="J205" s="6">
        <v>9.8533215999999993E-3</v>
      </c>
      <c r="K205">
        <v>20</v>
      </c>
      <c r="L205" s="6">
        <v>4.2000000000000003E-2</v>
      </c>
      <c r="M205" s="6">
        <v>0.18524265000000001</v>
      </c>
    </row>
    <row r="206" spans="1:13" x14ac:dyDescent="0.2">
      <c r="A206" t="s">
        <v>194</v>
      </c>
      <c r="B206" t="s">
        <v>140</v>
      </c>
      <c r="C206" t="s">
        <v>141</v>
      </c>
      <c r="D206" t="s">
        <v>50</v>
      </c>
      <c r="E206" t="s">
        <v>159</v>
      </c>
      <c r="F206" s="6">
        <v>0</v>
      </c>
      <c r="G206">
        <v>31</v>
      </c>
      <c r="H206">
        <v>19</v>
      </c>
      <c r="I206" s="6">
        <v>0</v>
      </c>
      <c r="J206" s="6">
        <v>9.6403444000000005E-3</v>
      </c>
      <c r="K206">
        <v>19</v>
      </c>
      <c r="L206" s="6">
        <v>4.2000000000000003E-2</v>
      </c>
      <c r="M206" s="6">
        <v>0.18524265000000001</v>
      </c>
    </row>
    <row r="207" spans="1:13" x14ac:dyDescent="0.2">
      <c r="A207" t="s">
        <v>195</v>
      </c>
      <c r="B207" t="s">
        <v>140</v>
      </c>
      <c r="C207" t="s">
        <v>141</v>
      </c>
      <c r="D207" t="s">
        <v>50</v>
      </c>
      <c r="E207" t="s">
        <v>159</v>
      </c>
      <c r="F207" s="6">
        <v>0</v>
      </c>
      <c r="G207">
        <v>30</v>
      </c>
      <c r="H207">
        <v>20</v>
      </c>
      <c r="I207" s="6">
        <v>0</v>
      </c>
      <c r="J207" s="6">
        <v>1.05587822E-2</v>
      </c>
      <c r="K207">
        <v>20</v>
      </c>
      <c r="L207" s="6">
        <v>4.2000000000000003E-2</v>
      </c>
      <c r="M207" s="6">
        <v>0.18524265000000001</v>
      </c>
    </row>
    <row r="208" spans="1:13" x14ac:dyDescent="0.2">
      <c r="A208" t="s">
        <v>196</v>
      </c>
      <c r="B208" t="s">
        <v>140</v>
      </c>
      <c r="C208" t="s">
        <v>141</v>
      </c>
      <c r="D208" t="s">
        <v>50</v>
      </c>
      <c r="E208" t="s">
        <v>159</v>
      </c>
      <c r="F208" s="6">
        <v>0</v>
      </c>
      <c r="G208">
        <v>31</v>
      </c>
      <c r="H208">
        <v>21</v>
      </c>
      <c r="I208" s="6">
        <v>0</v>
      </c>
      <c r="J208" s="6">
        <v>1.1387796299999999E-2</v>
      </c>
      <c r="K208">
        <v>21</v>
      </c>
      <c r="L208" s="6">
        <v>4.2000000000000003E-2</v>
      </c>
      <c r="M208" s="6">
        <v>0.18524265000000001</v>
      </c>
    </row>
    <row r="209" spans="1:13" x14ac:dyDescent="0.2">
      <c r="A209" t="s">
        <v>197</v>
      </c>
      <c r="B209" t="s">
        <v>140</v>
      </c>
      <c r="C209" t="s">
        <v>141</v>
      </c>
      <c r="D209" t="s">
        <v>50</v>
      </c>
      <c r="E209" t="s">
        <v>159</v>
      </c>
      <c r="F209" s="6">
        <v>0</v>
      </c>
      <c r="G209">
        <v>30</v>
      </c>
      <c r="H209">
        <v>20</v>
      </c>
      <c r="I209" s="6">
        <v>0</v>
      </c>
      <c r="J209" s="6">
        <v>1.0970548300000001E-2</v>
      </c>
      <c r="K209">
        <v>20</v>
      </c>
      <c r="L209" s="6">
        <v>4.2000000000000003E-2</v>
      </c>
      <c r="M209" s="6">
        <v>0.18524265000000001</v>
      </c>
    </row>
    <row r="210" spans="1:13" x14ac:dyDescent="0.2">
      <c r="A210" t="s">
        <v>198</v>
      </c>
      <c r="B210" t="s">
        <v>140</v>
      </c>
      <c r="C210" t="s">
        <v>141</v>
      </c>
      <c r="D210" t="s">
        <v>50</v>
      </c>
      <c r="E210" t="s">
        <v>159</v>
      </c>
      <c r="F210" s="6">
        <v>0</v>
      </c>
      <c r="G210">
        <v>31</v>
      </c>
      <c r="H210">
        <v>23</v>
      </c>
      <c r="I210" s="6">
        <v>0</v>
      </c>
      <c r="J210" s="6">
        <v>1.2757340000000001E-2</v>
      </c>
      <c r="K210">
        <v>23</v>
      </c>
      <c r="L210" s="6">
        <v>4.2000000000000003E-2</v>
      </c>
      <c r="M210" s="6">
        <v>0.18524265000000001</v>
      </c>
    </row>
    <row r="211" spans="1:13" x14ac:dyDescent="0.2">
      <c r="A211" t="s">
        <v>199</v>
      </c>
      <c r="B211" t="s">
        <v>140</v>
      </c>
      <c r="C211" t="s">
        <v>141</v>
      </c>
      <c r="D211" t="s">
        <v>50</v>
      </c>
      <c r="E211" t="s">
        <v>159</v>
      </c>
      <c r="F211" s="6">
        <v>0</v>
      </c>
      <c r="G211">
        <v>31</v>
      </c>
      <c r="H211">
        <v>21</v>
      </c>
      <c r="I211" s="6">
        <v>0</v>
      </c>
      <c r="J211" s="6">
        <v>1.1641574999999999E-2</v>
      </c>
      <c r="K211">
        <v>21</v>
      </c>
      <c r="L211" s="6">
        <v>4.2000000000000003E-2</v>
      </c>
      <c r="M211" s="6">
        <v>0.18524265000000001</v>
      </c>
    </row>
    <row r="212" spans="1:13" x14ac:dyDescent="0.2">
      <c r="A212" t="s">
        <v>200</v>
      </c>
      <c r="B212" t="s">
        <v>140</v>
      </c>
      <c r="C212" t="s">
        <v>141</v>
      </c>
      <c r="D212" t="s">
        <v>50</v>
      </c>
      <c r="E212" t="s">
        <v>159</v>
      </c>
      <c r="F212" s="6">
        <v>0</v>
      </c>
      <c r="G212">
        <v>15</v>
      </c>
      <c r="H212">
        <v>11</v>
      </c>
      <c r="I212" s="6">
        <v>0</v>
      </c>
      <c r="J212" s="6">
        <v>1.21993038E-2</v>
      </c>
      <c r="K212">
        <v>22</v>
      </c>
      <c r="L212" s="6">
        <v>4.2000000000000003E-2</v>
      </c>
      <c r="M212" s="6">
        <v>0.18524265000000001</v>
      </c>
    </row>
    <row r="213" spans="1:13" x14ac:dyDescent="0.2">
      <c r="A213" t="s">
        <v>200</v>
      </c>
      <c r="B213" t="s">
        <v>140</v>
      </c>
      <c r="C213" t="s">
        <v>141</v>
      </c>
      <c r="D213" t="s">
        <v>50</v>
      </c>
      <c r="E213" t="s">
        <v>159</v>
      </c>
      <c r="F213" s="6">
        <v>259794000</v>
      </c>
      <c r="G213">
        <v>15</v>
      </c>
      <c r="H213">
        <v>11</v>
      </c>
      <c r="I213" s="6">
        <v>2049666.72</v>
      </c>
      <c r="J213" s="6">
        <v>1.21993038E-2</v>
      </c>
      <c r="K213">
        <v>22</v>
      </c>
      <c r="L213" s="6">
        <v>4.2000000000000003E-2</v>
      </c>
      <c r="M213" s="6">
        <v>0.18524265000000001</v>
      </c>
    </row>
    <row r="214" spans="1:13" x14ac:dyDescent="0.2">
      <c r="A214" t="s">
        <v>201</v>
      </c>
      <c r="B214" t="s">
        <v>140</v>
      </c>
      <c r="C214" t="s">
        <v>141</v>
      </c>
      <c r="D214" t="s">
        <v>50</v>
      </c>
      <c r="E214" t="s">
        <v>159</v>
      </c>
      <c r="F214" s="6">
        <v>259794000</v>
      </c>
      <c r="G214">
        <v>31</v>
      </c>
      <c r="H214">
        <v>23</v>
      </c>
      <c r="I214" s="6">
        <v>4304114.1500000004</v>
      </c>
      <c r="J214" s="6">
        <v>1.2757340000000001E-2</v>
      </c>
      <c r="K214">
        <v>23</v>
      </c>
      <c r="L214" s="6">
        <v>4.2000000000000003E-2</v>
      </c>
      <c r="M214" s="6">
        <v>0.18524265000000001</v>
      </c>
    </row>
    <row r="215" spans="1:13" x14ac:dyDescent="0.2">
      <c r="A215" t="s">
        <v>202</v>
      </c>
      <c r="B215" t="s">
        <v>140</v>
      </c>
      <c r="C215" t="s">
        <v>141</v>
      </c>
      <c r="D215" t="s">
        <v>50</v>
      </c>
      <c r="E215" t="s">
        <v>159</v>
      </c>
      <c r="F215" s="6">
        <v>259794000</v>
      </c>
      <c r="G215">
        <v>30</v>
      </c>
      <c r="H215">
        <v>19</v>
      </c>
      <c r="I215" s="6">
        <v>3550483.15</v>
      </c>
      <c r="J215" s="6">
        <v>1.0527039199999999E-2</v>
      </c>
      <c r="K215">
        <v>19</v>
      </c>
      <c r="L215" s="6">
        <v>4.2000000000000003E-2</v>
      </c>
      <c r="M215" s="6">
        <v>0.18524265000000001</v>
      </c>
    </row>
    <row r="216" spans="1:13" x14ac:dyDescent="0.2">
      <c r="A216" t="s">
        <v>203</v>
      </c>
      <c r="B216" t="s">
        <v>140</v>
      </c>
      <c r="C216" t="s">
        <v>141</v>
      </c>
      <c r="D216" t="s">
        <v>50</v>
      </c>
      <c r="E216" t="s">
        <v>159</v>
      </c>
      <c r="F216" s="6">
        <v>259794000</v>
      </c>
      <c r="G216">
        <v>31</v>
      </c>
      <c r="H216">
        <v>20</v>
      </c>
      <c r="I216" s="6">
        <v>3738689.05</v>
      </c>
      <c r="J216" s="6">
        <v>1.21993038E-2</v>
      </c>
      <c r="K216">
        <v>22</v>
      </c>
      <c r="L216" s="6">
        <v>4.2000000000000003E-2</v>
      </c>
      <c r="M216" s="6">
        <v>0.18524265000000001</v>
      </c>
    </row>
    <row r="217" spans="1:13" x14ac:dyDescent="0.2">
      <c r="A217" t="s">
        <v>192</v>
      </c>
      <c r="B217" t="s">
        <v>140</v>
      </c>
      <c r="C217" t="s">
        <v>141</v>
      </c>
      <c r="D217" t="s">
        <v>67</v>
      </c>
      <c r="E217" t="s">
        <v>131</v>
      </c>
      <c r="F217" s="6">
        <v>0</v>
      </c>
      <c r="G217">
        <v>31</v>
      </c>
      <c r="H217">
        <v>22</v>
      </c>
      <c r="I217" s="6">
        <v>0</v>
      </c>
      <c r="J217" s="6">
        <v>1.01320561E-2</v>
      </c>
      <c r="K217">
        <v>22</v>
      </c>
      <c r="L217" s="6">
        <v>7.4999999999999997E-3</v>
      </c>
      <c r="M217" s="6">
        <v>0.15074265000000001</v>
      </c>
    </row>
    <row r="218" spans="1:13" x14ac:dyDescent="0.2">
      <c r="A218" t="s">
        <v>193</v>
      </c>
      <c r="B218" t="s">
        <v>140</v>
      </c>
      <c r="C218" t="s">
        <v>141</v>
      </c>
      <c r="D218" t="s">
        <v>67</v>
      </c>
      <c r="E218" t="s">
        <v>131</v>
      </c>
      <c r="F218" s="6">
        <v>0</v>
      </c>
      <c r="G218">
        <v>28</v>
      </c>
      <c r="H218">
        <v>20</v>
      </c>
      <c r="I218" s="6">
        <v>0</v>
      </c>
      <c r="J218" s="6">
        <v>9.8533215999999993E-3</v>
      </c>
      <c r="K218">
        <v>20</v>
      </c>
      <c r="L218" s="6">
        <v>7.4999999999999997E-3</v>
      </c>
      <c r="M218" s="6">
        <v>0.15074265000000001</v>
      </c>
    </row>
    <row r="219" spans="1:13" x14ac:dyDescent="0.2">
      <c r="A219" t="s">
        <v>194</v>
      </c>
      <c r="B219" t="s">
        <v>140</v>
      </c>
      <c r="C219" t="s">
        <v>141</v>
      </c>
      <c r="D219" t="s">
        <v>67</v>
      </c>
      <c r="E219" t="s">
        <v>131</v>
      </c>
      <c r="F219" s="6">
        <v>0</v>
      </c>
      <c r="G219">
        <v>31</v>
      </c>
      <c r="H219">
        <v>19</v>
      </c>
      <c r="I219" s="6">
        <v>0</v>
      </c>
      <c r="J219" s="6">
        <v>9.6403444000000005E-3</v>
      </c>
      <c r="K219">
        <v>19</v>
      </c>
      <c r="L219" s="6">
        <v>7.4999999999999997E-3</v>
      </c>
      <c r="M219" s="6">
        <v>0.15074265000000001</v>
      </c>
    </row>
    <row r="220" spans="1:13" x14ac:dyDescent="0.2">
      <c r="A220" t="s">
        <v>195</v>
      </c>
      <c r="B220" t="s">
        <v>140</v>
      </c>
      <c r="C220" t="s">
        <v>141</v>
      </c>
      <c r="D220" t="s">
        <v>67</v>
      </c>
      <c r="E220" t="s">
        <v>131</v>
      </c>
      <c r="F220" s="6">
        <v>0</v>
      </c>
      <c r="G220">
        <v>30</v>
      </c>
      <c r="H220">
        <v>20</v>
      </c>
      <c r="I220" s="6">
        <v>0</v>
      </c>
      <c r="J220" s="6">
        <v>1.05587822E-2</v>
      </c>
      <c r="K220">
        <v>20</v>
      </c>
      <c r="L220" s="6">
        <v>7.4999999999999997E-3</v>
      </c>
      <c r="M220" s="6">
        <v>0.15074265000000001</v>
      </c>
    </row>
    <row r="221" spans="1:13" x14ac:dyDescent="0.2">
      <c r="A221" t="s">
        <v>196</v>
      </c>
      <c r="B221" t="s">
        <v>140</v>
      </c>
      <c r="C221" t="s">
        <v>141</v>
      </c>
      <c r="D221" t="s">
        <v>67</v>
      </c>
      <c r="E221" t="s">
        <v>131</v>
      </c>
      <c r="F221" s="6">
        <v>0</v>
      </c>
      <c r="G221">
        <v>31</v>
      </c>
      <c r="H221">
        <v>21</v>
      </c>
      <c r="I221" s="6">
        <v>0</v>
      </c>
      <c r="J221" s="6">
        <v>1.1387796299999999E-2</v>
      </c>
      <c r="K221">
        <v>21</v>
      </c>
      <c r="L221" s="6">
        <v>7.4999999999999997E-3</v>
      </c>
      <c r="M221" s="6">
        <v>0.15074265000000001</v>
      </c>
    </row>
    <row r="222" spans="1:13" x14ac:dyDescent="0.2">
      <c r="A222" t="s">
        <v>197</v>
      </c>
      <c r="B222" t="s">
        <v>140</v>
      </c>
      <c r="C222" t="s">
        <v>141</v>
      </c>
      <c r="D222" t="s">
        <v>67</v>
      </c>
      <c r="E222" t="s">
        <v>131</v>
      </c>
      <c r="F222" s="6">
        <v>0</v>
      </c>
      <c r="G222">
        <v>30</v>
      </c>
      <c r="H222">
        <v>20</v>
      </c>
      <c r="I222" s="6">
        <v>0</v>
      </c>
      <c r="J222" s="6">
        <v>1.0970548300000001E-2</v>
      </c>
      <c r="K222">
        <v>20</v>
      </c>
      <c r="L222" s="6">
        <v>7.4999999999999997E-3</v>
      </c>
      <c r="M222" s="6">
        <v>0.15074265000000001</v>
      </c>
    </row>
    <row r="223" spans="1:13" x14ac:dyDescent="0.2">
      <c r="A223" t="s">
        <v>198</v>
      </c>
      <c r="B223" t="s">
        <v>140</v>
      </c>
      <c r="C223" t="s">
        <v>141</v>
      </c>
      <c r="D223" t="s">
        <v>67</v>
      </c>
      <c r="E223" t="s">
        <v>131</v>
      </c>
      <c r="F223" s="6">
        <v>0</v>
      </c>
      <c r="G223">
        <v>31</v>
      </c>
      <c r="H223">
        <v>23</v>
      </c>
      <c r="I223" s="6">
        <v>0</v>
      </c>
      <c r="J223" s="6">
        <v>1.2757340000000001E-2</v>
      </c>
      <c r="K223">
        <v>23</v>
      </c>
      <c r="L223" s="6">
        <v>7.4999999999999997E-3</v>
      </c>
      <c r="M223" s="6">
        <v>0.15074265000000001</v>
      </c>
    </row>
    <row r="224" spans="1:13" x14ac:dyDescent="0.2">
      <c r="A224" t="s">
        <v>199</v>
      </c>
      <c r="B224" t="s">
        <v>140</v>
      </c>
      <c r="C224" t="s">
        <v>141</v>
      </c>
      <c r="D224" t="s">
        <v>67</v>
      </c>
      <c r="E224" t="s">
        <v>131</v>
      </c>
      <c r="F224" s="6">
        <v>0</v>
      </c>
      <c r="G224">
        <v>31</v>
      </c>
      <c r="H224">
        <v>21</v>
      </c>
      <c r="I224" s="6">
        <v>0</v>
      </c>
      <c r="J224" s="6">
        <v>1.1641574999999999E-2</v>
      </c>
      <c r="K224">
        <v>21</v>
      </c>
      <c r="L224" s="6">
        <v>7.4999999999999997E-3</v>
      </c>
      <c r="M224" s="6">
        <v>0.15074265000000001</v>
      </c>
    </row>
    <row r="225" spans="1:13" x14ac:dyDescent="0.2">
      <c r="A225" t="s">
        <v>200</v>
      </c>
      <c r="B225" t="s">
        <v>140</v>
      </c>
      <c r="C225" t="s">
        <v>141</v>
      </c>
      <c r="D225" t="s">
        <v>67</v>
      </c>
      <c r="E225" t="s">
        <v>131</v>
      </c>
      <c r="F225" s="6">
        <v>0</v>
      </c>
      <c r="G225">
        <v>30</v>
      </c>
      <c r="H225">
        <v>22</v>
      </c>
      <c r="I225" s="6">
        <v>0</v>
      </c>
      <c r="J225" s="6">
        <v>1.21993038E-2</v>
      </c>
      <c r="K225">
        <v>22</v>
      </c>
      <c r="L225" s="6">
        <v>7.4999999999999997E-3</v>
      </c>
      <c r="M225" s="6">
        <v>0.15074265000000001</v>
      </c>
    </row>
    <row r="226" spans="1:13" x14ac:dyDescent="0.2">
      <c r="A226" t="s">
        <v>201</v>
      </c>
      <c r="B226" t="s">
        <v>140</v>
      </c>
      <c r="C226" t="s">
        <v>141</v>
      </c>
      <c r="D226" t="s">
        <v>67</v>
      </c>
      <c r="E226" t="s">
        <v>131</v>
      </c>
      <c r="F226" s="6">
        <v>0</v>
      </c>
      <c r="G226">
        <v>31</v>
      </c>
      <c r="H226">
        <v>23</v>
      </c>
      <c r="I226" s="6">
        <v>0</v>
      </c>
      <c r="J226" s="6">
        <v>1.2757340000000001E-2</v>
      </c>
      <c r="K226">
        <v>23</v>
      </c>
      <c r="L226" s="6">
        <v>7.4999999999999997E-3</v>
      </c>
      <c r="M226" s="6">
        <v>0.15074265000000001</v>
      </c>
    </row>
    <row r="227" spans="1:13" x14ac:dyDescent="0.2">
      <c r="A227" t="s">
        <v>202</v>
      </c>
      <c r="B227" t="s">
        <v>140</v>
      </c>
      <c r="C227" t="s">
        <v>141</v>
      </c>
      <c r="D227" t="s">
        <v>67</v>
      </c>
      <c r="E227" t="s">
        <v>131</v>
      </c>
      <c r="F227" s="6">
        <v>0</v>
      </c>
      <c r="G227">
        <v>30</v>
      </c>
      <c r="H227">
        <v>19</v>
      </c>
      <c r="I227" s="6">
        <v>0</v>
      </c>
      <c r="J227" s="6">
        <v>1.0527039199999999E-2</v>
      </c>
      <c r="K227">
        <v>19</v>
      </c>
      <c r="L227" s="6">
        <v>7.4999999999999997E-3</v>
      </c>
      <c r="M227" s="6">
        <v>0.15074265000000001</v>
      </c>
    </row>
    <row r="228" spans="1:13" x14ac:dyDescent="0.2">
      <c r="A228" t="s">
        <v>203</v>
      </c>
      <c r="B228" t="s">
        <v>140</v>
      </c>
      <c r="C228" t="s">
        <v>141</v>
      </c>
      <c r="D228" t="s">
        <v>67</v>
      </c>
      <c r="E228" t="s">
        <v>131</v>
      </c>
      <c r="F228" s="6">
        <v>0</v>
      </c>
      <c r="G228">
        <v>31</v>
      </c>
      <c r="H228">
        <v>20</v>
      </c>
      <c r="I228" s="6">
        <v>0</v>
      </c>
      <c r="J228" s="6">
        <v>1.21993038E-2</v>
      </c>
      <c r="K228">
        <v>22</v>
      </c>
      <c r="L228" s="6">
        <v>7.4999999999999997E-3</v>
      </c>
      <c r="M228" s="6">
        <v>0.15074265000000001</v>
      </c>
    </row>
    <row r="229" spans="1:13" x14ac:dyDescent="0.2">
      <c r="A229" t="s">
        <v>192</v>
      </c>
      <c r="B229" t="s">
        <v>140</v>
      </c>
      <c r="C229" t="s">
        <v>141</v>
      </c>
      <c r="D229" t="s">
        <v>60</v>
      </c>
      <c r="E229" t="s">
        <v>159</v>
      </c>
      <c r="F229" s="6">
        <v>0</v>
      </c>
      <c r="G229">
        <v>31</v>
      </c>
      <c r="H229">
        <v>22</v>
      </c>
      <c r="I229" s="6">
        <v>0</v>
      </c>
      <c r="J229" s="6">
        <v>1.01320561E-2</v>
      </c>
      <c r="K229">
        <v>22</v>
      </c>
      <c r="L229" s="6">
        <v>1.35E-2</v>
      </c>
      <c r="M229" s="6">
        <v>0.15674265000000001</v>
      </c>
    </row>
    <row r="230" spans="1:13" x14ac:dyDescent="0.2">
      <c r="A230" t="s">
        <v>193</v>
      </c>
      <c r="B230" t="s">
        <v>140</v>
      </c>
      <c r="C230" t="s">
        <v>141</v>
      </c>
      <c r="D230" t="s">
        <v>60</v>
      </c>
      <c r="E230" t="s">
        <v>159</v>
      </c>
      <c r="F230" s="6">
        <v>0</v>
      </c>
      <c r="G230">
        <v>28</v>
      </c>
      <c r="H230">
        <v>20</v>
      </c>
      <c r="I230" s="6">
        <v>0</v>
      </c>
      <c r="J230" s="6">
        <v>9.8533215999999993E-3</v>
      </c>
      <c r="K230">
        <v>20</v>
      </c>
      <c r="L230" s="6">
        <v>1.35E-2</v>
      </c>
      <c r="M230" s="6">
        <v>0.15674265000000001</v>
      </c>
    </row>
    <row r="231" spans="1:13" x14ac:dyDescent="0.2">
      <c r="A231" t="s">
        <v>194</v>
      </c>
      <c r="B231" t="s">
        <v>140</v>
      </c>
      <c r="C231" t="s">
        <v>141</v>
      </c>
      <c r="D231" t="s">
        <v>60</v>
      </c>
      <c r="E231" t="s">
        <v>159</v>
      </c>
      <c r="F231" s="6">
        <v>0</v>
      </c>
      <c r="G231">
        <v>31</v>
      </c>
      <c r="H231">
        <v>19</v>
      </c>
      <c r="I231" s="6">
        <v>0</v>
      </c>
      <c r="J231" s="6">
        <v>9.6403444000000005E-3</v>
      </c>
      <c r="K231">
        <v>19</v>
      </c>
      <c r="L231" s="6">
        <v>1.35E-2</v>
      </c>
      <c r="M231" s="6">
        <v>0.15674265000000001</v>
      </c>
    </row>
    <row r="232" spans="1:13" x14ac:dyDescent="0.2">
      <c r="A232" t="s">
        <v>195</v>
      </c>
      <c r="B232" t="s">
        <v>140</v>
      </c>
      <c r="C232" t="s">
        <v>141</v>
      </c>
      <c r="D232" t="s">
        <v>60</v>
      </c>
      <c r="E232" t="s">
        <v>159</v>
      </c>
      <c r="F232" s="6">
        <v>0</v>
      </c>
      <c r="G232">
        <v>30</v>
      </c>
      <c r="H232">
        <v>20</v>
      </c>
      <c r="I232" s="6">
        <v>0</v>
      </c>
      <c r="J232" s="6">
        <v>1.05587822E-2</v>
      </c>
      <c r="K232">
        <v>20</v>
      </c>
      <c r="L232" s="6">
        <v>1.35E-2</v>
      </c>
      <c r="M232" s="6">
        <v>0.15674265000000001</v>
      </c>
    </row>
    <row r="233" spans="1:13" x14ac:dyDescent="0.2">
      <c r="A233" t="s">
        <v>196</v>
      </c>
      <c r="B233" t="s">
        <v>140</v>
      </c>
      <c r="C233" t="s">
        <v>141</v>
      </c>
      <c r="D233" t="s">
        <v>60</v>
      </c>
      <c r="E233" t="s">
        <v>159</v>
      </c>
      <c r="F233" s="6">
        <v>0</v>
      </c>
      <c r="G233">
        <v>31</v>
      </c>
      <c r="H233">
        <v>21</v>
      </c>
      <c r="I233" s="6">
        <v>0</v>
      </c>
      <c r="J233" s="6">
        <v>1.1387796299999999E-2</v>
      </c>
      <c r="K233">
        <v>21</v>
      </c>
      <c r="L233" s="6">
        <v>1.35E-2</v>
      </c>
      <c r="M233" s="6">
        <v>0.15674265000000001</v>
      </c>
    </row>
    <row r="234" spans="1:13" x14ac:dyDescent="0.2">
      <c r="A234" t="s">
        <v>197</v>
      </c>
      <c r="B234" t="s">
        <v>140</v>
      </c>
      <c r="C234" t="s">
        <v>141</v>
      </c>
      <c r="D234" t="s">
        <v>60</v>
      </c>
      <c r="E234" t="s">
        <v>159</v>
      </c>
      <c r="F234" s="6">
        <v>0</v>
      </c>
      <c r="G234">
        <v>30</v>
      </c>
      <c r="H234">
        <v>20</v>
      </c>
      <c r="I234" s="6">
        <v>0</v>
      </c>
      <c r="J234" s="6">
        <v>1.0970548300000001E-2</v>
      </c>
      <c r="K234">
        <v>20</v>
      </c>
      <c r="L234" s="6">
        <v>1.35E-2</v>
      </c>
      <c r="M234" s="6">
        <v>0.15674265000000001</v>
      </c>
    </row>
    <row r="235" spans="1:13" x14ac:dyDescent="0.2">
      <c r="A235" t="s">
        <v>198</v>
      </c>
      <c r="B235" t="s">
        <v>140</v>
      </c>
      <c r="C235" t="s">
        <v>141</v>
      </c>
      <c r="D235" t="s">
        <v>60</v>
      </c>
      <c r="E235" t="s">
        <v>159</v>
      </c>
      <c r="F235" s="6">
        <v>0</v>
      </c>
      <c r="G235">
        <v>31</v>
      </c>
      <c r="H235">
        <v>23</v>
      </c>
      <c r="I235" s="6">
        <v>0</v>
      </c>
      <c r="J235" s="6">
        <v>1.2757340000000001E-2</v>
      </c>
      <c r="K235">
        <v>23</v>
      </c>
      <c r="L235" s="6">
        <v>1.35E-2</v>
      </c>
      <c r="M235" s="6">
        <v>0.15674265000000001</v>
      </c>
    </row>
    <row r="236" spans="1:13" x14ac:dyDescent="0.2">
      <c r="A236" t="s">
        <v>199</v>
      </c>
      <c r="B236" t="s">
        <v>140</v>
      </c>
      <c r="C236" t="s">
        <v>141</v>
      </c>
      <c r="D236" t="s">
        <v>60</v>
      </c>
      <c r="E236" t="s">
        <v>159</v>
      </c>
      <c r="F236" s="6">
        <v>0</v>
      </c>
      <c r="G236">
        <v>31</v>
      </c>
      <c r="H236">
        <v>21</v>
      </c>
      <c r="I236" s="6">
        <v>0</v>
      </c>
      <c r="J236" s="6">
        <v>1.1641574999999999E-2</v>
      </c>
      <c r="K236">
        <v>21</v>
      </c>
      <c r="L236" s="6">
        <v>1.35E-2</v>
      </c>
      <c r="M236" s="6">
        <v>0.15674265000000001</v>
      </c>
    </row>
    <row r="237" spans="1:13" x14ac:dyDescent="0.2">
      <c r="A237" t="s">
        <v>200</v>
      </c>
      <c r="B237" t="s">
        <v>140</v>
      </c>
      <c r="C237" t="s">
        <v>141</v>
      </c>
      <c r="D237" t="s">
        <v>60</v>
      </c>
      <c r="E237" t="s">
        <v>159</v>
      </c>
      <c r="F237" s="6">
        <v>0</v>
      </c>
      <c r="G237">
        <v>30</v>
      </c>
      <c r="H237">
        <v>22</v>
      </c>
      <c r="I237" s="6">
        <v>0</v>
      </c>
      <c r="J237" s="6">
        <v>1.21993038E-2</v>
      </c>
      <c r="K237">
        <v>22</v>
      </c>
      <c r="L237" s="6">
        <v>1.35E-2</v>
      </c>
      <c r="M237" s="6">
        <v>0.15674265000000001</v>
      </c>
    </row>
    <row r="238" spans="1:13" x14ac:dyDescent="0.2">
      <c r="A238" t="s">
        <v>201</v>
      </c>
      <c r="B238" t="s">
        <v>140</v>
      </c>
      <c r="C238" t="s">
        <v>141</v>
      </c>
      <c r="D238" t="s">
        <v>60</v>
      </c>
      <c r="E238" t="s">
        <v>159</v>
      </c>
      <c r="F238" s="6">
        <v>0</v>
      </c>
      <c r="G238">
        <v>31</v>
      </c>
      <c r="H238">
        <v>23</v>
      </c>
      <c r="I238" s="6">
        <v>0</v>
      </c>
      <c r="J238" s="6">
        <v>1.2757340000000001E-2</v>
      </c>
      <c r="K238">
        <v>23</v>
      </c>
      <c r="L238" s="6">
        <v>1.35E-2</v>
      </c>
      <c r="M238" s="6">
        <v>0.15674265000000001</v>
      </c>
    </row>
    <row r="239" spans="1:13" x14ac:dyDescent="0.2">
      <c r="A239" t="s">
        <v>202</v>
      </c>
      <c r="B239" t="s">
        <v>140</v>
      </c>
      <c r="C239" t="s">
        <v>141</v>
      </c>
      <c r="D239" t="s">
        <v>60</v>
      </c>
      <c r="E239" t="s">
        <v>159</v>
      </c>
      <c r="F239" s="6">
        <v>0</v>
      </c>
      <c r="G239">
        <v>30</v>
      </c>
      <c r="H239">
        <v>19</v>
      </c>
      <c r="I239" s="6">
        <v>0</v>
      </c>
      <c r="J239" s="6">
        <v>1.0527039199999999E-2</v>
      </c>
      <c r="K239">
        <v>19</v>
      </c>
      <c r="L239" s="6">
        <v>1.35E-2</v>
      </c>
      <c r="M239" s="6">
        <v>0.15674265000000001</v>
      </c>
    </row>
    <row r="240" spans="1:13" x14ac:dyDescent="0.2">
      <c r="A240" t="s">
        <v>203</v>
      </c>
      <c r="B240" t="s">
        <v>140</v>
      </c>
      <c r="C240" t="s">
        <v>141</v>
      </c>
      <c r="D240" t="s">
        <v>60</v>
      </c>
      <c r="E240" t="s">
        <v>159</v>
      </c>
      <c r="F240" s="6">
        <v>0</v>
      </c>
      <c r="G240">
        <v>31</v>
      </c>
      <c r="H240">
        <v>20</v>
      </c>
      <c r="I240" s="6">
        <v>0</v>
      </c>
      <c r="J240" s="6">
        <v>1.21993038E-2</v>
      </c>
      <c r="K240">
        <v>22</v>
      </c>
      <c r="L240" s="6">
        <v>1.35E-2</v>
      </c>
      <c r="M240" s="6">
        <v>0.15674265000000001</v>
      </c>
    </row>
    <row r="241" spans="1:13" x14ac:dyDescent="0.2">
      <c r="A241" t="s">
        <v>192</v>
      </c>
      <c r="B241" t="s">
        <v>140</v>
      </c>
      <c r="C241" t="s">
        <v>141</v>
      </c>
      <c r="D241" t="s">
        <v>64</v>
      </c>
      <c r="E241" t="s">
        <v>159</v>
      </c>
      <c r="F241" s="6">
        <v>0</v>
      </c>
      <c r="G241">
        <v>31</v>
      </c>
      <c r="H241">
        <v>22</v>
      </c>
      <c r="I241" s="6">
        <v>0</v>
      </c>
      <c r="J241" s="6">
        <v>1.01320561E-2</v>
      </c>
      <c r="K241">
        <v>22</v>
      </c>
      <c r="L241" s="6">
        <v>4.2000000000000003E-2</v>
      </c>
      <c r="M241" s="6">
        <v>0.18524265000000001</v>
      </c>
    </row>
    <row r="242" spans="1:13" x14ac:dyDescent="0.2">
      <c r="A242" t="s">
        <v>193</v>
      </c>
      <c r="B242" t="s">
        <v>140</v>
      </c>
      <c r="C242" t="s">
        <v>141</v>
      </c>
      <c r="D242" t="s">
        <v>64</v>
      </c>
      <c r="E242" t="s">
        <v>159</v>
      </c>
      <c r="F242" s="6">
        <v>0</v>
      </c>
      <c r="G242">
        <v>28</v>
      </c>
      <c r="H242">
        <v>20</v>
      </c>
      <c r="I242" s="6">
        <v>0</v>
      </c>
      <c r="J242" s="6">
        <v>9.8533215999999993E-3</v>
      </c>
      <c r="K242">
        <v>20</v>
      </c>
      <c r="L242" s="6">
        <v>4.2000000000000003E-2</v>
      </c>
      <c r="M242" s="6">
        <v>0.18524265000000001</v>
      </c>
    </row>
    <row r="243" spans="1:13" x14ac:dyDescent="0.2">
      <c r="A243" t="s">
        <v>194</v>
      </c>
      <c r="B243" t="s">
        <v>140</v>
      </c>
      <c r="C243" t="s">
        <v>141</v>
      </c>
      <c r="D243" t="s">
        <v>64</v>
      </c>
      <c r="E243" t="s">
        <v>159</v>
      </c>
      <c r="F243" s="6">
        <v>0</v>
      </c>
      <c r="G243">
        <v>31</v>
      </c>
      <c r="H243">
        <v>19</v>
      </c>
      <c r="I243" s="6">
        <v>0</v>
      </c>
      <c r="J243" s="6">
        <v>9.6403444000000005E-3</v>
      </c>
      <c r="K243">
        <v>19</v>
      </c>
      <c r="L243" s="6">
        <v>4.2000000000000003E-2</v>
      </c>
      <c r="M243" s="6">
        <v>0.18524265000000001</v>
      </c>
    </row>
    <row r="244" spans="1:13" x14ac:dyDescent="0.2">
      <c r="A244" t="s">
        <v>195</v>
      </c>
      <c r="B244" t="s">
        <v>140</v>
      </c>
      <c r="C244" t="s">
        <v>141</v>
      </c>
      <c r="D244" t="s">
        <v>64</v>
      </c>
      <c r="E244" t="s">
        <v>159</v>
      </c>
      <c r="F244" s="6">
        <v>0</v>
      </c>
      <c r="G244">
        <v>30</v>
      </c>
      <c r="H244">
        <v>20</v>
      </c>
      <c r="I244" s="6">
        <v>0</v>
      </c>
      <c r="J244" s="6">
        <v>1.05587822E-2</v>
      </c>
      <c r="K244">
        <v>20</v>
      </c>
      <c r="L244" s="6">
        <v>4.2000000000000003E-2</v>
      </c>
      <c r="M244" s="6">
        <v>0.18524265000000001</v>
      </c>
    </row>
    <row r="245" spans="1:13" x14ac:dyDescent="0.2">
      <c r="A245" t="s">
        <v>196</v>
      </c>
      <c r="B245" t="s">
        <v>140</v>
      </c>
      <c r="C245" t="s">
        <v>141</v>
      </c>
      <c r="D245" t="s">
        <v>64</v>
      </c>
      <c r="E245" t="s">
        <v>159</v>
      </c>
      <c r="F245" s="6">
        <v>0</v>
      </c>
      <c r="G245">
        <v>31</v>
      </c>
      <c r="H245">
        <v>21</v>
      </c>
      <c r="I245" s="6">
        <v>0</v>
      </c>
      <c r="J245" s="6">
        <v>1.1387796299999999E-2</v>
      </c>
      <c r="K245">
        <v>21</v>
      </c>
      <c r="L245" s="6">
        <v>4.2000000000000003E-2</v>
      </c>
      <c r="M245" s="6">
        <v>0.18524265000000001</v>
      </c>
    </row>
    <row r="246" spans="1:13" x14ac:dyDescent="0.2">
      <c r="A246" t="s">
        <v>197</v>
      </c>
      <c r="B246" t="s">
        <v>140</v>
      </c>
      <c r="C246" t="s">
        <v>141</v>
      </c>
      <c r="D246" t="s">
        <v>64</v>
      </c>
      <c r="E246" t="s">
        <v>159</v>
      </c>
      <c r="F246" s="6">
        <v>0</v>
      </c>
      <c r="G246">
        <v>30</v>
      </c>
      <c r="H246">
        <v>20</v>
      </c>
      <c r="I246" s="6">
        <v>0</v>
      </c>
      <c r="J246" s="6">
        <v>1.0970548300000001E-2</v>
      </c>
      <c r="K246">
        <v>20</v>
      </c>
      <c r="L246" s="6">
        <v>4.2000000000000003E-2</v>
      </c>
      <c r="M246" s="6">
        <v>0.18524265000000001</v>
      </c>
    </row>
    <row r="247" spans="1:13" x14ac:dyDescent="0.2">
      <c r="A247" t="s">
        <v>198</v>
      </c>
      <c r="B247" t="s">
        <v>140</v>
      </c>
      <c r="C247" t="s">
        <v>141</v>
      </c>
      <c r="D247" t="s">
        <v>64</v>
      </c>
      <c r="E247" t="s">
        <v>159</v>
      </c>
      <c r="F247" s="6">
        <v>0</v>
      </c>
      <c r="G247">
        <v>31</v>
      </c>
      <c r="H247">
        <v>23</v>
      </c>
      <c r="I247" s="6">
        <v>0</v>
      </c>
      <c r="J247" s="6">
        <v>1.2757340000000001E-2</v>
      </c>
      <c r="K247">
        <v>23</v>
      </c>
      <c r="L247" s="6">
        <v>4.2000000000000003E-2</v>
      </c>
      <c r="M247" s="6">
        <v>0.18524265000000001</v>
      </c>
    </row>
    <row r="248" spans="1:13" x14ac:dyDescent="0.2">
      <c r="A248" t="s">
        <v>199</v>
      </c>
      <c r="B248" t="s">
        <v>140</v>
      </c>
      <c r="C248" t="s">
        <v>141</v>
      </c>
      <c r="D248" t="s">
        <v>64</v>
      </c>
      <c r="E248" t="s">
        <v>159</v>
      </c>
      <c r="F248" s="6">
        <v>0</v>
      </c>
      <c r="G248">
        <v>31</v>
      </c>
      <c r="H248">
        <v>21</v>
      </c>
      <c r="I248" s="6">
        <v>0</v>
      </c>
      <c r="J248" s="6">
        <v>1.1641574999999999E-2</v>
      </c>
      <c r="K248">
        <v>21</v>
      </c>
      <c r="L248" s="6">
        <v>4.2000000000000003E-2</v>
      </c>
      <c r="M248" s="6">
        <v>0.18524265000000001</v>
      </c>
    </row>
    <row r="249" spans="1:13" x14ac:dyDescent="0.2">
      <c r="A249" t="s">
        <v>200</v>
      </c>
      <c r="B249" t="s">
        <v>140</v>
      </c>
      <c r="C249" t="s">
        <v>141</v>
      </c>
      <c r="D249" t="s">
        <v>64</v>
      </c>
      <c r="E249" t="s">
        <v>159</v>
      </c>
      <c r="F249" s="6">
        <v>0</v>
      </c>
      <c r="G249">
        <v>30</v>
      </c>
      <c r="H249">
        <v>22</v>
      </c>
      <c r="I249" s="6">
        <v>0</v>
      </c>
      <c r="J249" s="6">
        <v>1.21993038E-2</v>
      </c>
      <c r="K249">
        <v>22</v>
      </c>
      <c r="L249" s="6">
        <v>4.2000000000000003E-2</v>
      </c>
      <c r="M249" s="6">
        <v>0.18524265000000001</v>
      </c>
    </row>
    <row r="250" spans="1:13" x14ac:dyDescent="0.2">
      <c r="A250" t="s">
        <v>201</v>
      </c>
      <c r="B250" t="s">
        <v>140</v>
      </c>
      <c r="C250" t="s">
        <v>141</v>
      </c>
      <c r="D250" t="s">
        <v>64</v>
      </c>
      <c r="E250" t="s">
        <v>159</v>
      </c>
      <c r="F250" s="6">
        <v>0</v>
      </c>
      <c r="G250">
        <v>31</v>
      </c>
      <c r="H250">
        <v>23</v>
      </c>
      <c r="I250" s="6">
        <v>0</v>
      </c>
      <c r="J250" s="6">
        <v>1.2757340000000001E-2</v>
      </c>
      <c r="K250">
        <v>23</v>
      </c>
      <c r="L250" s="6">
        <v>4.2000000000000003E-2</v>
      </c>
      <c r="M250" s="6">
        <v>0.18524265000000001</v>
      </c>
    </row>
    <row r="251" spans="1:13" x14ac:dyDescent="0.2">
      <c r="A251" t="s">
        <v>202</v>
      </c>
      <c r="B251" t="s">
        <v>140</v>
      </c>
      <c r="C251" t="s">
        <v>141</v>
      </c>
      <c r="D251" t="s">
        <v>64</v>
      </c>
      <c r="E251" t="s">
        <v>159</v>
      </c>
      <c r="F251" s="6">
        <v>0</v>
      </c>
      <c r="G251">
        <v>30</v>
      </c>
      <c r="H251">
        <v>19</v>
      </c>
      <c r="I251" s="6">
        <v>0</v>
      </c>
      <c r="J251" s="6">
        <v>1.0527039199999999E-2</v>
      </c>
      <c r="K251">
        <v>19</v>
      </c>
      <c r="L251" s="6">
        <v>4.2000000000000003E-2</v>
      </c>
      <c r="M251" s="6">
        <v>0.18524265000000001</v>
      </c>
    </row>
    <row r="252" spans="1:13" x14ac:dyDescent="0.2">
      <c r="A252" t="s">
        <v>203</v>
      </c>
      <c r="B252" t="s">
        <v>140</v>
      </c>
      <c r="C252" t="s">
        <v>141</v>
      </c>
      <c r="D252" t="s">
        <v>64</v>
      </c>
      <c r="E252" t="s">
        <v>159</v>
      </c>
      <c r="F252" s="6">
        <v>0</v>
      </c>
      <c r="G252">
        <v>31</v>
      </c>
      <c r="H252">
        <v>20</v>
      </c>
      <c r="I252" s="6">
        <v>0</v>
      </c>
      <c r="J252" s="6">
        <v>1.21993038E-2</v>
      </c>
      <c r="K252">
        <v>22</v>
      </c>
      <c r="L252" s="6">
        <v>4.2000000000000003E-2</v>
      </c>
      <c r="M252" s="6">
        <v>0.18524265000000001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2" customWidth="1"/>
    <col min="3" max="3" width="21" customWidth="1"/>
    <col min="4" max="4" width="12" customWidth="1"/>
    <col min="5" max="5" width="13" customWidth="1"/>
    <col min="6" max="6" width="12" customWidth="1"/>
    <col min="7" max="7" width="42" customWidth="1"/>
  </cols>
  <sheetData>
    <row r="1" spans="1:7" x14ac:dyDescent="0.2">
      <c r="A1" s="5" t="s">
        <v>185</v>
      </c>
      <c r="B1" s="5" t="s">
        <v>189</v>
      </c>
      <c r="C1" s="5" t="s">
        <v>204</v>
      </c>
      <c r="D1" s="5" t="s">
        <v>188</v>
      </c>
      <c r="E1" s="5" t="s">
        <v>205</v>
      </c>
      <c r="F1" s="5" t="s">
        <v>206</v>
      </c>
      <c r="G1" s="5" t="s">
        <v>128</v>
      </c>
    </row>
    <row r="2" spans="1:7" x14ac:dyDescent="0.2">
      <c r="A2" t="s">
        <v>192</v>
      </c>
      <c r="B2" s="6">
        <v>1.013205609944645E-2</v>
      </c>
      <c r="C2" s="6">
        <v>0.1224054271238091</v>
      </c>
      <c r="D2">
        <v>22</v>
      </c>
      <c r="E2" t="s">
        <v>207</v>
      </c>
      <c r="F2" t="s">
        <v>208</v>
      </c>
      <c r="G2" t="s">
        <v>209</v>
      </c>
    </row>
    <row r="3" spans="1:7" x14ac:dyDescent="0.2">
      <c r="A3" t="s">
        <v>193</v>
      </c>
      <c r="B3" s="6">
        <v>9.8533215656892992E-3</v>
      </c>
      <c r="C3" s="6">
        <v>0.13149999999998679</v>
      </c>
      <c r="D3">
        <v>20</v>
      </c>
      <c r="E3" t="s">
        <v>210</v>
      </c>
      <c r="F3" t="s">
        <v>151</v>
      </c>
      <c r="G3" t="s">
        <v>209</v>
      </c>
    </row>
    <row r="4" spans="1:7" x14ac:dyDescent="0.2">
      <c r="A4" t="s">
        <v>194</v>
      </c>
      <c r="B4" s="6">
        <v>9.6403444064303567E-3</v>
      </c>
      <c r="C4" s="6">
        <v>0.1356998042719024</v>
      </c>
      <c r="D4">
        <v>19</v>
      </c>
      <c r="E4" t="s">
        <v>211</v>
      </c>
      <c r="F4" t="s">
        <v>212</v>
      </c>
      <c r="G4" t="s">
        <v>209</v>
      </c>
    </row>
    <row r="5" spans="1:7" x14ac:dyDescent="0.2">
      <c r="A5" t="s">
        <v>195</v>
      </c>
      <c r="B5" s="6">
        <v>1.0558782168431421E-2</v>
      </c>
      <c r="C5" s="6">
        <v>0.1414999999999873</v>
      </c>
      <c r="D5">
        <v>20</v>
      </c>
      <c r="E5" t="s">
        <v>213</v>
      </c>
      <c r="F5" t="s">
        <v>214</v>
      </c>
      <c r="G5" t="s">
        <v>209</v>
      </c>
    </row>
    <row r="6" spans="1:7" x14ac:dyDescent="0.2">
      <c r="A6" t="s">
        <v>196</v>
      </c>
      <c r="B6" s="6">
        <v>1.1387796284655581E-2</v>
      </c>
      <c r="C6" s="6">
        <v>0.14554593346249159</v>
      </c>
      <c r="D6">
        <v>21</v>
      </c>
      <c r="E6" t="s">
        <v>215</v>
      </c>
      <c r="F6" t="s">
        <v>216</v>
      </c>
      <c r="G6" t="s">
        <v>209</v>
      </c>
    </row>
    <row r="7" spans="1:7" x14ac:dyDescent="0.2">
      <c r="A7" t="s">
        <v>197</v>
      </c>
      <c r="B7" s="6">
        <v>1.09705482558673E-2</v>
      </c>
      <c r="C7" s="6">
        <v>0.1473743806488523</v>
      </c>
      <c r="D7">
        <v>20</v>
      </c>
      <c r="E7" t="s">
        <v>217</v>
      </c>
      <c r="F7" t="s">
        <v>218</v>
      </c>
      <c r="G7" t="s">
        <v>209</v>
      </c>
    </row>
    <row r="8" spans="1:7" x14ac:dyDescent="0.2">
      <c r="A8" t="s">
        <v>198</v>
      </c>
      <c r="B8" s="6">
        <v>1.2757340022908631E-2</v>
      </c>
      <c r="C8" s="6">
        <v>0.14899999999998581</v>
      </c>
      <c r="D8">
        <v>23</v>
      </c>
      <c r="E8" t="s">
        <v>219</v>
      </c>
      <c r="F8" t="s">
        <v>220</v>
      </c>
      <c r="G8" t="s">
        <v>209</v>
      </c>
    </row>
    <row r="9" spans="1:7" x14ac:dyDescent="0.2">
      <c r="A9" t="s">
        <v>199</v>
      </c>
      <c r="B9" s="6">
        <v>1.1641575009650349E-2</v>
      </c>
      <c r="C9" s="6">
        <v>0.14899999999998581</v>
      </c>
      <c r="D9">
        <v>21</v>
      </c>
      <c r="E9" t="s">
        <v>221</v>
      </c>
      <c r="F9" t="s">
        <v>222</v>
      </c>
      <c r="G9" t="s">
        <v>209</v>
      </c>
    </row>
    <row r="10" spans="1:7" x14ac:dyDescent="0.2">
      <c r="A10" t="s">
        <v>200</v>
      </c>
      <c r="B10" s="6">
        <v>1.219930377537759E-2</v>
      </c>
      <c r="C10" s="6">
        <v>0.14899999999998489</v>
      </c>
      <c r="D10">
        <v>22</v>
      </c>
      <c r="E10" t="s">
        <v>223</v>
      </c>
      <c r="F10" t="s">
        <v>224</v>
      </c>
      <c r="G10" t="s">
        <v>209</v>
      </c>
    </row>
    <row r="11" spans="1:7" x14ac:dyDescent="0.2">
      <c r="A11" t="s">
        <v>201</v>
      </c>
      <c r="B11" s="6">
        <v>1.2757340022908631E-2</v>
      </c>
      <c r="C11" s="6">
        <v>0.14899999999998581</v>
      </c>
      <c r="D11">
        <v>23</v>
      </c>
      <c r="E11" t="s">
        <v>225</v>
      </c>
      <c r="F11" t="s">
        <v>226</v>
      </c>
      <c r="G11" t="s">
        <v>209</v>
      </c>
    </row>
    <row r="12" spans="1:7" x14ac:dyDescent="0.2">
      <c r="A12" t="s">
        <v>202</v>
      </c>
      <c r="B12" s="6">
        <v>1.0527039246001509E-2</v>
      </c>
      <c r="C12" s="6">
        <v>0.14899999999998401</v>
      </c>
      <c r="D12">
        <v>19</v>
      </c>
      <c r="E12" t="s">
        <v>227</v>
      </c>
      <c r="F12" t="s">
        <v>228</v>
      </c>
      <c r="G12" t="s">
        <v>209</v>
      </c>
    </row>
    <row r="13" spans="1:7" x14ac:dyDescent="0.2">
      <c r="A13" t="s">
        <v>203</v>
      </c>
      <c r="B13" s="6">
        <v>1.219930377537759E-2</v>
      </c>
      <c r="C13" s="6">
        <v>0.14899999999998489</v>
      </c>
      <c r="D13">
        <v>22</v>
      </c>
      <c r="E13" t="s">
        <v>229</v>
      </c>
      <c r="F13" t="s">
        <v>230</v>
      </c>
      <c r="G13" t="s">
        <v>209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1"/>
  <sheetViews>
    <sheetView workbookViewId="0">
      <pane ySplit="1" topLeftCell="A2" activePane="bottomLeft" state="frozen"/>
      <selection pane="bottomLeft" activeCell="H12" sqref="H12"/>
    </sheetView>
  </sheetViews>
  <sheetFormatPr baseColWidth="10" defaultColWidth="8.83203125" defaultRowHeight="15" x14ac:dyDescent="0.2"/>
  <cols>
    <col min="1" max="1" width="17" customWidth="1"/>
    <col min="2" max="2" width="16" customWidth="1"/>
    <col min="3" max="3" width="13" customWidth="1"/>
    <col min="4" max="4" width="15" customWidth="1"/>
    <col min="5" max="5" width="10" customWidth="1"/>
    <col min="6" max="6" width="18" customWidth="1"/>
    <col min="7" max="7" width="15" customWidth="1"/>
    <col min="8" max="8" width="25" customWidth="1"/>
    <col min="9" max="9" width="23" customWidth="1"/>
    <col min="10" max="10" width="21" customWidth="1"/>
    <col min="11" max="11" width="27" customWidth="1"/>
    <col min="12" max="12" width="21" customWidth="1"/>
    <col min="13" max="13" width="10" customWidth="1"/>
    <col min="14" max="14" width="42" customWidth="1"/>
  </cols>
  <sheetData>
    <row r="1" spans="1:14" x14ac:dyDescent="0.2">
      <c r="A1" s="5" t="s">
        <v>9</v>
      </c>
      <c r="B1" s="5" t="s">
        <v>231</v>
      </c>
      <c r="C1" s="5" t="s">
        <v>232</v>
      </c>
      <c r="D1" s="5" t="s">
        <v>233</v>
      </c>
      <c r="E1" s="5" t="s">
        <v>234</v>
      </c>
      <c r="F1" s="5" t="s">
        <v>235</v>
      </c>
      <c r="G1" s="5" t="s">
        <v>236</v>
      </c>
      <c r="H1" s="5" t="s">
        <v>237</v>
      </c>
      <c r="I1" s="5" t="s">
        <v>238</v>
      </c>
      <c r="J1" s="5" t="s">
        <v>4</v>
      </c>
      <c r="K1" s="5" t="s">
        <v>239</v>
      </c>
      <c r="L1" s="5" t="s">
        <v>240</v>
      </c>
      <c r="M1" s="5" t="s">
        <v>241</v>
      </c>
      <c r="N1" s="5" t="s">
        <v>13</v>
      </c>
    </row>
    <row r="2" spans="1:14" x14ac:dyDescent="0.2">
      <c r="A2" t="s">
        <v>18</v>
      </c>
      <c r="B2" t="s">
        <v>242</v>
      </c>
      <c r="C2" t="s">
        <v>243</v>
      </c>
      <c r="D2" s="6">
        <v>2698638532.5700002</v>
      </c>
      <c r="E2" s="6">
        <v>0</v>
      </c>
      <c r="F2" s="6">
        <v>0</v>
      </c>
      <c r="G2" s="6">
        <v>2356415244.9899998</v>
      </c>
      <c r="H2" s="6">
        <v>0</v>
      </c>
      <c r="I2" s="6">
        <v>342223287.57999998</v>
      </c>
      <c r="J2" s="6">
        <v>342223287.57999998</v>
      </c>
      <c r="K2" t="s">
        <v>244</v>
      </c>
      <c r="L2" s="6">
        <v>49020969.420000002</v>
      </c>
      <c r="M2" t="b">
        <v>1</v>
      </c>
      <c r="N2" t="s">
        <v>245</v>
      </c>
    </row>
    <row r="3" spans="1:14" x14ac:dyDescent="0.2">
      <c r="A3" t="s">
        <v>32</v>
      </c>
      <c r="B3" t="s">
        <v>246</v>
      </c>
      <c r="C3" t="s">
        <v>243</v>
      </c>
      <c r="D3" s="6">
        <v>391894772.93000001</v>
      </c>
      <c r="E3" s="6">
        <v>833.14</v>
      </c>
      <c r="F3" s="6">
        <v>0</v>
      </c>
      <c r="G3" s="6">
        <v>314707513.10000002</v>
      </c>
      <c r="H3" s="6">
        <v>833.14</v>
      </c>
      <c r="I3" s="6">
        <v>77187259.829999998</v>
      </c>
      <c r="J3" s="6">
        <v>77187259.829999998</v>
      </c>
      <c r="K3" t="s">
        <v>244</v>
      </c>
      <c r="L3" s="6">
        <v>11056507.380000001</v>
      </c>
      <c r="M3" t="b">
        <v>1</v>
      </c>
      <c r="N3" t="s">
        <v>247</v>
      </c>
    </row>
    <row r="4" spans="1:14" x14ac:dyDescent="0.2">
      <c r="A4" t="s">
        <v>37</v>
      </c>
      <c r="B4" t="s">
        <v>248</v>
      </c>
      <c r="C4" t="s">
        <v>249</v>
      </c>
      <c r="D4" s="6">
        <v>39489516.460000001</v>
      </c>
      <c r="E4" s="6">
        <v>9161.67</v>
      </c>
      <c r="F4" s="6">
        <v>0</v>
      </c>
      <c r="G4" s="6">
        <v>27192824.219999999</v>
      </c>
      <c r="H4" s="6">
        <v>9161.67</v>
      </c>
      <c r="I4" s="6">
        <v>12296692.24</v>
      </c>
      <c r="J4" s="6">
        <v>12296692.24</v>
      </c>
      <c r="K4" t="s">
        <v>244</v>
      </c>
      <c r="L4" s="6">
        <v>1761410.74</v>
      </c>
      <c r="M4" t="b">
        <v>1</v>
      </c>
      <c r="N4" t="s">
        <v>250</v>
      </c>
    </row>
    <row r="5" spans="1:14" x14ac:dyDescent="0.2">
      <c r="A5" t="s">
        <v>44</v>
      </c>
      <c r="B5" t="s">
        <v>251</v>
      </c>
      <c r="C5" t="s">
        <v>252</v>
      </c>
      <c r="D5" s="6">
        <v>7939779760.04</v>
      </c>
      <c r="E5" s="6">
        <v>0</v>
      </c>
      <c r="F5" s="6">
        <v>0</v>
      </c>
      <c r="G5" s="6">
        <v>7505803608.3400002</v>
      </c>
      <c r="H5" s="6">
        <v>0</v>
      </c>
      <c r="I5" s="6">
        <v>433976151.69999999</v>
      </c>
      <c r="J5" s="6">
        <v>433976151.69999999</v>
      </c>
      <c r="K5" t="s">
        <v>244</v>
      </c>
      <c r="L5" s="6">
        <v>62163892.5</v>
      </c>
      <c r="M5" t="b">
        <v>1</v>
      </c>
      <c r="N5" t="s">
        <v>253</v>
      </c>
    </row>
    <row r="6" spans="1:14" x14ac:dyDescent="0.2">
      <c r="A6" t="s">
        <v>70</v>
      </c>
      <c r="B6" t="s">
        <v>254</v>
      </c>
      <c r="C6" t="s">
        <v>243</v>
      </c>
      <c r="D6" s="6">
        <v>904120581.40999997</v>
      </c>
      <c r="E6" s="6">
        <v>9985.74</v>
      </c>
      <c r="F6" s="6">
        <v>0</v>
      </c>
      <c r="G6" s="6">
        <v>767870408.79999995</v>
      </c>
      <c r="H6" s="6">
        <v>9985.74</v>
      </c>
      <c r="I6" s="6">
        <v>136250172.61000001</v>
      </c>
      <c r="J6" s="6">
        <v>136250172.61000001</v>
      </c>
      <c r="K6" t="s">
        <v>244</v>
      </c>
      <c r="L6" s="6">
        <v>19516835.32</v>
      </c>
      <c r="M6" t="b">
        <v>1</v>
      </c>
      <c r="N6" t="s">
        <v>255</v>
      </c>
    </row>
    <row r="7" spans="1:14" x14ac:dyDescent="0.2">
      <c r="A7" t="s">
        <v>76</v>
      </c>
      <c r="B7" t="s">
        <v>256</v>
      </c>
      <c r="C7" t="s">
        <v>243</v>
      </c>
      <c r="D7" s="6">
        <v>301887372.19</v>
      </c>
      <c r="E7" s="6">
        <v>1864.94</v>
      </c>
      <c r="F7" s="6">
        <v>0</v>
      </c>
      <c r="G7" s="6">
        <v>263904311.88999999</v>
      </c>
      <c r="H7" s="6">
        <v>1864.94</v>
      </c>
      <c r="I7" s="6">
        <v>37983060.299999997</v>
      </c>
      <c r="J7" s="6">
        <v>37983060.299999997</v>
      </c>
      <c r="K7" t="s">
        <v>244</v>
      </c>
      <c r="L7" s="6">
        <v>5440794.0800000001</v>
      </c>
      <c r="M7" t="b">
        <v>1</v>
      </c>
      <c r="N7" t="s">
        <v>257</v>
      </c>
    </row>
    <row r="8" spans="1:14" x14ac:dyDescent="0.2">
      <c r="A8" t="s">
        <v>81</v>
      </c>
      <c r="B8" t="s">
        <v>258</v>
      </c>
      <c r="C8" t="s">
        <v>243</v>
      </c>
      <c r="D8" s="6">
        <v>151754835.43000001</v>
      </c>
      <c r="E8" s="6">
        <v>2418.13</v>
      </c>
      <c r="F8" s="6">
        <v>0</v>
      </c>
      <c r="G8" s="6">
        <v>132097530.95999999</v>
      </c>
      <c r="H8" s="6">
        <v>2418.13</v>
      </c>
      <c r="I8" s="6">
        <v>19657304.469999999</v>
      </c>
      <c r="J8" s="6">
        <v>19657304.469999999</v>
      </c>
      <c r="K8" t="s">
        <v>244</v>
      </c>
      <c r="L8" s="6">
        <v>2815764.32</v>
      </c>
      <c r="M8" t="b">
        <v>1</v>
      </c>
      <c r="N8" t="s">
        <v>259</v>
      </c>
    </row>
    <row r="9" spans="1:14" x14ac:dyDescent="0.2">
      <c r="A9" t="s">
        <v>86</v>
      </c>
      <c r="B9" t="s">
        <v>260</v>
      </c>
      <c r="C9" t="s">
        <v>243</v>
      </c>
      <c r="D9" s="6">
        <v>308973054.63</v>
      </c>
      <c r="E9" s="6">
        <v>1218.96</v>
      </c>
      <c r="F9" s="6">
        <v>0</v>
      </c>
      <c r="G9" s="6">
        <v>270461977.47000003</v>
      </c>
      <c r="H9" s="6">
        <v>1218.96</v>
      </c>
      <c r="I9" s="6">
        <v>38511077.159999996</v>
      </c>
      <c r="J9" s="6">
        <v>38511077.159999996</v>
      </c>
      <c r="K9" t="s">
        <v>244</v>
      </c>
      <c r="L9" s="6">
        <v>5516428.6100000003</v>
      </c>
      <c r="M9" t="b">
        <v>1</v>
      </c>
      <c r="N9" t="s">
        <v>261</v>
      </c>
    </row>
    <row r="10" spans="1:14" x14ac:dyDescent="0.2">
      <c r="A10" t="s">
        <v>91</v>
      </c>
      <c r="B10" t="s">
        <v>262</v>
      </c>
      <c r="C10" t="s">
        <v>249</v>
      </c>
      <c r="D10" s="6">
        <v>157038535.84</v>
      </c>
      <c r="E10" s="6">
        <v>9872.44</v>
      </c>
      <c r="F10" s="6">
        <v>0</v>
      </c>
      <c r="G10" s="6">
        <v>127244044.86</v>
      </c>
      <c r="H10" s="6">
        <v>9872.44</v>
      </c>
      <c r="I10" s="6">
        <v>29794490.98</v>
      </c>
      <c r="J10" s="6">
        <v>29794490.98</v>
      </c>
      <c r="K10" t="s">
        <v>244</v>
      </c>
      <c r="L10" s="6">
        <v>4267841.74</v>
      </c>
      <c r="M10" t="b">
        <v>1</v>
      </c>
      <c r="N10" t="s">
        <v>263</v>
      </c>
    </row>
    <row r="11" spans="1:14" x14ac:dyDescent="0.2">
      <c r="A11" t="s">
        <v>96</v>
      </c>
      <c r="B11" t="s">
        <v>264</v>
      </c>
      <c r="C11" t="s">
        <v>243</v>
      </c>
      <c r="D11" s="6">
        <v>3254090127.1399999</v>
      </c>
      <c r="E11" s="6">
        <v>0</v>
      </c>
      <c r="F11" s="6">
        <v>0</v>
      </c>
      <c r="G11" s="6">
        <v>2792249528.5300002</v>
      </c>
      <c r="H11" s="6">
        <v>0</v>
      </c>
      <c r="I11" s="6">
        <v>461840598.61000001</v>
      </c>
      <c r="J11" s="6">
        <v>461840598.61000001</v>
      </c>
      <c r="K11" t="s">
        <v>244</v>
      </c>
      <c r="L11" s="6">
        <v>66155269.619999997</v>
      </c>
      <c r="M11" t="b">
        <v>1</v>
      </c>
      <c r="N11" t="s">
        <v>265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7" customWidth="1"/>
    <col min="2" max="3" width="24" customWidth="1"/>
  </cols>
  <sheetData>
    <row r="1" spans="1:3" x14ac:dyDescent="0.2">
      <c r="A1" s="5" t="s">
        <v>116</v>
      </c>
      <c r="B1" s="5" t="s">
        <v>123</v>
      </c>
      <c r="C1" s="5" t="s">
        <v>125</v>
      </c>
    </row>
    <row r="2" spans="1:3" x14ac:dyDescent="0.2">
      <c r="A2" t="s">
        <v>96</v>
      </c>
      <c r="B2" s="6">
        <v>2280882337.5300002</v>
      </c>
      <c r="C2" s="6">
        <v>341408918.37</v>
      </c>
    </row>
    <row r="3" spans="1:3" x14ac:dyDescent="0.2">
      <c r="A3" t="s">
        <v>18</v>
      </c>
      <c r="B3" s="6">
        <v>1940000000</v>
      </c>
      <c r="C3" s="6">
        <v>283146646.94999999</v>
      </c>
    </row>
    <row r="4" spans="1:3" x14ac:dyDescent="0.2">
      <c r="A4" t="s">
        <v>44</v>
      </c>
      <c r="B4" s="6">
        <v>1231232876.71</v>
      </c>
      <c r="C4" s="6">
        <v>182172879.13</v>
      </c>
    </row>
    <row r="5" spans="1:3" x14ac:dyDescent="0.2">
      <c r="A5" t="s">
        <v>70</v>
      </c>
      <c r="B5" s="6">
        <v>877500000</v>
      </c>
      <c r="C5" s="6">
        <v>127660187.51000001</v>
      </c>
    </row>
    <row r="6" spans="1:3" x14ac:dyDescent="0.2">
      <c r="A6" t="s">
        <v>37</v>
      </c>
      <c r="B6" s="6">
        <v>843445726.64999998</v>
      </c>
      <c r="C6" s="6">
        <v>125684871.97</v>
      </c>
    </row>
    <row r="7" spans="1:3" x14ac:dyDescent="0.2">
      <c r="A7" t="s">
        <v>32</v>
      </c>
      <c r="B7" s="6">
        <v>500000000</v>
      </c>
      <c r="C7" s="6">
        <v>72443094.969999999</v>
      </c>
    </row>
    <row r="8" spans="1:3" x14ac:dyDescent="0.2">
      <c r="A8" t="s">
        <v>76</v>
      </c>
      <c r="B8" s="6">
        <v>291000000</v>
      </c>
      <c r="C8" s="6">
        <v>43200222.729999997</v>
      </c>
    </row>
    <row r="9" spans="1:3" x14ac:dyDescent="0.2">
      <c r="A9" t="s">
        <v>91</v>
      </c>
      <c r="B9" s="6">
        <v>277579452.05000001</v>
      </c>
      <c r="C9" s="6">
        <v>40251954.140000001</v>
      </c>
    </row>
    <row r="10" spans="1:3" x14ac:dyDescent="0.2">
      <c r="A10" t="s">
        <v>86</v>
      </c>
      <c r="B10" s="6">
        <v>240000000</v>
      </c>
      <c r="C10" s="6">
        <v>39167515.07</v>
      </c>
    </row>
    <row r="11" spans="1:3" x14ac:dyDescent="0.2">
      <c r="A11" t="s">
        <v>81</v>
      </c>
      <c r="B11" s="6">
        <v>142500000</v>
      </c>
      <c r="C11" s="6">
        <v>21717774.77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</cols>
  <sheetData>
    <row r="1" spans="1:1" x14ac:dyDescent="0.2">
      <c r="A1" s="5" t="s">
        <v>266</v>
      </c>
    </row>
    <row r="2" spans="1:1" x14ac:dyDescent="0.2">
      <c r="A2" t="s">
        <v>267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1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42" customWidth="1"/>
    <col min="2" max="2" width="17" customWidth="1"/>
    <col min="3" max="3" width="16" customWidth="1"/>
    <col min="4" max="4" width="12" customWidth="1"/>
    <col min="5" max="5" width="10" customWidth="1"/>
    <col min="6" max="6" width="15" customWidth="1"/>
    <col min="7" max="7" width="12" customWidth="1"/>
    <col min="8" max="8" width="10" customWidth="1"/>
    <col min="9" max="9" width="14" customWidth="1"/>
    <col min="10" max="10" width="32" customWidth="1"/>
    <col min="11" max="11" width="15" customWidth="1"/>
    <col min="12" max="12" width="12" customWidth="1"/>
    <col min="13" max="13" width="42" customWidth="1"/>
    <col min="14" max="14" width="10" customWidth="1"/>
  </cols>
  <sheetData>
    <row r="1" spans="1:14" x14ac:dyDescent="0.2">
      <c r="A1" s="5" t="s">
        <v>115</v>
      </c>
      <c r="B1" s="5" t="s">
        <v>116</v>
      </c>
      <c r="C1" s="5" t="s">
        <v>117</v>
      </c>
      <c r="D1" s="5" t="s">
        <v>268</v>
      </c>
      <c r="E1" s="5" t="s">
        <v>269</v>
      </c>
      <c r="F1" s="5" t="s">
        <v>270</v>
      </c>
      <c r="G1" s="5" t="s">
        <v>271</v>
      </c>
      <c r="H1" s="5" t="s">
        <v>272</v>
      </c>
      <c r="I1" s="5" t="s">
        <v>273</v>
      </c>
      <c r="J1" s="5" t="s">
        <v>274</v>
      </c>
      <c r="K1" s="5" t="s">
        <v>275</v>
      </c>
      <c r="L1" s="5" t="s">
        <v>276</v>
      </c>
      <c r="M1" s="5" t="s">
        <v>128</v>
      </c>
      <c r="N1" s="5" t="s">
        <v>266</v>
      </c>
    </row>
    <row r="2" spans="1:14" x14ac:dyDescent="0.2">
      <c r="A2" t="s">
        <v>166</v>
      </c>
      <c r="B2" t="s">
        <v>91</v>
      </c>
      <c r="C2" t="s">
        <v>262</v>
      </c>
      <c r="D2" t="s">
        <v>277</v>
      </c>
      <c r="E2" t="s">
        <v>278</v>
      </c>
      <c r="F2" s="6">
        <v>307534985.44</v>
      </c>
      <c r="G2" s="6">
        <v>0</v>
      </c>
      <c r="H2" s="6">
        <v>0</v>
      </c>
      <c r="I2" s="6">
        <v>136005845.03999999</v>
      </c>
      <c r="J2" s="6">
        <v>35117617.259999998</v>
      </c>
      <c r="K2" s="6">
        <v>206646757.66</v>
      </c>
      <c r="L2">
        <v>13</v>
      </c>
      <c r="M2" t="s">
        <v>279</v>
      </c>
      <c r="N2" t="s">
        <v>280</v>
      </c>
    </row>
    <row r="3" spans="1:14" x14ac:dyDescent="0.2">
      <c r="A3" t="s">
        <v>155</v>
      </c>
      <c r="B3" t="s">
        <v>32</v>
      </c>
      <c r="C3" t="s">
        <v>246</v>
      </c>
      <c r="D3" t="s">
        <v>277</v>
      </c>
      <c r="E3" t="s">
        <v>278</v>
      </c>
      <c r="F3" s="6">
        <v>516085910.10000002</v>
      </c>
      <c r="G3" s="6">
        <v>0</v>
      </c>
      <c r="H3" s="6">
        <v>0</v>
      </c>
      <c r="I3" s="6">
        <v>61739293.189999998</v>
      </c>
      <c r="J3" s="6">
        <v>62369650.409999996</v>
      </c>
      <c r="K3" s="6">
        <v>516716267.31999999</v>
      </c>
      <c r="L3">
        <v>9</v>
      </c>
      <c r="M3" t="s">
        <v>281</v>
      </c>
      <c r="N3" t="s">
        <v>280</v>
      </c>
    </row>
    <row r="4" spans="1:14" x14ac:dyDescent="0.2">
      <c r="A4" t="s">
        <v>149</v>
      </c>
      <c r="B4" t="s">
        <v>37</v>
      </c>
      <c r="C4" t="s">
        <v>248</v>
      </c>
      <c r="D4" t="s">
        <v>277</v>
      </c>
      <c r="E4" t="s">
        <v>278</v>
      </c>
      <c r="F4" s="6">
        <v>1581635042.5899999</v>
      </c>
      <c r="G4" s="6">
        <v>0</v>
      </c>
      <c r="H4" s="6">
        <v>0</v>
      </c>
      <c r="I4" s="6">
        <v>1149879424.3</v>
      </c>
      <c r="J4" s="6">
        <v>-361728361.93000001</v>
      </c>
      <c r="K4" s="6">
        <v>70027256.359999999</v>
      </c>
      <c r="L4">
        <v>13</v>
      </c>
      <c r="M4" t="s">
        <v>282</v>
      </c>
      <c r="N4" t="s">
        <v>280</v>
      </c>
    </row>
    <row r="5" spans="1:14" x14ac:dyDescent="0.2">
      <c r="A5" t="s">
        <v>144</v>
      </c>
      <c r="B5" t="s">
        <v>70</v>
      </c>
      <c r="C5" t="s">
        <v>254</v>
      </c>
      <c r="D5" t="s">
        <v>277</v>
      </c>
      <c r="E5" t="s">
        <v>278</v>
      </c>
      <c r="F5" s="6">
        <v>903548569.89999998</v>
      </c>
      <c r="G5" s="6">
        <v>250000</v>
      </c>
      <c r="H5" s="6">
        <v>0</v>
      </c>
      <c r="I5" s="6">
        <v>108992870.79000001</v>
      </c>
      <c r="J5" s="6">
        <v>109575191.91</v>
      </c>
      <c r="K5" s="6">
        <v>904380891.01999998</v>
      </c>
      <c r="L5">
        <v>11</v>
      </c>
      <c r="M5" t="s">
        <v>283</v>
      </c>
      <c r="N5" t="s">
        <v>280</v>
      </c>
    </row>
    <row r="6" spans="1:14" x14ac:dyDescent="0.2">
      <c r="A6" t="s">
        <v>163</v>
      </c>
      <c r="B6" t="s">
        <v>76</v>
      </c>
      <c r="C6" t="s">
        <v>256</v>
      </c>
      <c r="D6" t="s">
        <v>277</v>
      </c>
      <c r="E6" t="s">
        <v>278</v>
      </c>
      <c r="F6" s="6">
        <v>301238935.18000001</v>
      </c>
      <c r="G6" s="6">
        <v>150000</v>
      </c>
      <c r="H6" s="6">
        <v>0</v>
      </c>
      <c r="I6" s="6">
        <v>36871527.270000003</v>
      </c>
      <c r="J6" s="6">
        <v>37341660.369999997</v>
      </c>
      <c r="K6" s="6">
        <v>301859068.27999997</v>
      </c>
      <c r="L6">
        <v>11</v>
      </c>
      <c r="M6" t="s">
        <v>284</v>
      </c>
      <c r="N6" t="s">
        <v>280</v>
      </c>
    </row>
    <row r="7" spans="1:14" x14ac:dyDescent="0.2">
      <c r="A7" t="s">
        <v>176</v>
      </c>
      <c r="B7" t="s">
        <v>81</v>
      </c>
      <c r="C7" t="s">
        <v>258</v>
      </c>
      <c r="D7" t="s">
        <v>277</v>
      </c>
      <c r="E7" t="s">
        <v>278</v>
      </c>
      <c r="F7" s="6">
        <v>150918917.50999999</v>
      </c>
      <c r="G7" s="6">
        <v>0</v>
      </c>
      <c r="H7" s="6">
        <v>0</v>
      </c>
      <c r="I7" s="6">
        <v>18528747.25</v>
      </c>
      <c r="J7" s="6">
        <v>19170036.050000001</v>
      </c>
      <c r="K7" s="6">
        <v>151560206.31</v>
      </c>
      <c r="L7">
        <v>10</v>
      </c>
      <c r="M7" t="s">
        <v>285</v>
      </c>
      <c r="N7" t="s">
        <v>280</v>
      </c>
    </row>
    <row r="8" spans="1:14" x14ac:dyDescent="0.2">
      <c r="A8" t="s">
        <v>170</v>
      </c>
      <c r="B8" t="s">
        <v>86</v>
      </c>
      <c r="C8" t="s">
        <v>260</v>
      </c>
      <c r="D8" t="s">
        <v>277</v>
      </c>
      <c r="E8" t="s">
        <v>278</v>
      </c>
      <c r="F8" s="6">
        <v>303797432.97000003</v>
      </c>
      <c r="G8" s="6">
        <v>0</v>
      </c>
      <c r="H8" s="6">
        <v>0</v>
      </c>
      <c r="I8" s="6">
        <v>38882839.630000003</v>
      </c>
      <c r="J8" s="6">
        <v>40998356.490000002</v>
      </c>
      <c r="K8" s="6">
        <v>305912949.82999998</v>
      </c>
      <c r="L8">
        <v>12</v>
      </c>
      <c r="M8" t="s">
        <v>286</v>
      </c>
      <c r="N8" t="s">
        <v>280</v>
      </c>
    </row>
    <row r="9" spans="1:14" x14ac:dyDescent="0.2">
      <c r="A9" t="s">
        <v>129</v>
      </c>
      <c r="B9" t="s">
        <v>18</v>
      </c>
      <c r="C9" t="s">
        <v>242</v>
      </c>
      <c r="D9" t="s">
        <v>287</v>
      </c>
      <c r="E9" t="s">
        <v>278</v>
      </c>
      <c r="F9" s="6">
        <v>2691581056.1500001</v>
      </c>
      <c r="G9" s="6">
        <v>0</v>
      </c>
      <c r="H9" s="6">
        <v>0</v>
      </c>
      <c r="I9" s="6">
        <v>378010741.64999998</v>
      </c>
      <c r="J9" s="6">
        <v>385870443.13</v>
      </c>
      <c r="K9" s="6">
        <v>2699440757.6300001</v>
      </c>
      <c r="L9">
        <v>24</v>
      </c>
      <c r="M9" t="s">
        <v>245</v>
      </c>
      <c r="N9" t="s">
        <v>280</v>
      </c>
    </row>
    <row r="10" spans="1:14" x14ac:dyDescent="0.2">
      <c r="A10" t="s">
        <v>135</v>
      </c>
      <c r="B10" t="s">
        <v>96</v>
      </c>
      <c r="C10" t="s">
        <v>264</v>
      </c>
      <c r="D10" t="s">
        <v>288</v>
      </c>
      <c r="E10" t="s">
        <v>278</v>
      </c>
      <c r="F10" s="6">
        <v>3247439113.3099999</v>
      </c>
      <c r="G10" s="6">
        <v>0</v>
      </c>
      <c r="H10" s="6">
        <v>0</v>
      </c>
      <c r="I10" s="6">
        <v>321315408.75999999</v>
      </c>
      <c r="J10" s="6">
        <v>327258639.82999998</v>
      </c>
      <c r="K10" s="6">
        <v>3253382344.3800001</v>
      </c>
      <c r="L10">
        <v>31</v>
      </c>
      <c r="M10" t="s">
        <v>265</v>
      </c>
      <c r="N10" t="s">
        <v>280</v>
      </c>
    </row>
    <row r="11" spans="1:14" x14ac:dyDescent="0.2">
      <c r="A11" t="s">
        <v>140</v>
      </c>
      <c r="B11" t="s">
        <v>44</v>
      </c>
      <c r="C11" t="s">
        <v>251</v>
      </c>
      <c r="D11" t="s">
        <v>289</v>
      </c>
      <c r="E11" t="s">
        <v>278</v>
      </c>
      <c r="F11" s="6">
        <v>4293033486.4899998</v>
      </c>
      <c r="G11" s="6">
        <v>44000000</v>
      </c>
      <c r="H11" s="6">
        <v>0</v>
      </c>
      <c r="I11" s="6">
        <v>159814594.78999999</v>
      </c>
      <c r="J11" s="6">
        <v>183829343.27000001</v>
      </c>
      <c r="K11" s="6">
        <v>4361048234.9700003</v>
      </c>
      <c r="L11">
        <v>10</v>
      </c>
      <c r="M11" t="s">
        <v>253</v>
      </c>
      <c r="N11" t="s">
        <v>280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9" customWidth="1"/>
    <col min="2" max="2" width="16" customWidth="1"/>
    <col min="3" max="3" width="10" customWidth="1"/>
  </cols>
  <sheetData>
    <row r="1" spans="1:3" x14ac:dyDescent="0.2">
      <c r="A1" s="5" t="s">
        <v>290</v>
      </c>
      <c r="B1" s="5" t="s">
        <v>291</v>
      </c>
      <c r="C1" s="5" t="s">
        <v>292</v>
      </c>
    </row>
    <row r="2" spans="1:3" x14ac:dyDescent="0.2">
      <c r="A2" t="s">
        <v>293</v>
      </c>
      <c r="B2" s="6">
        <v>14296813449.639999</v>
      </c>
      <c r="C2" t="s">
        <v>294</v>
      </c>
    </row>
    <row r="3" spans="1:3" x14ac:dyDescent="0.2">
      <c r="A3" t="s">
        <v>295</v>
      </c>
      <c r="B3" s="6">
        <v>44400000</v>
      </c>
      <c r="C3" t="s">
        <v>296</v>
      </c>
    </row>
    <row r="4" spans="1:3" x14ac:dyDescent="0.2">
      <c r="A4" t="s">
        <v>297</v>
      </c>
      <c r="B4" s="6">
        <v>0</v>
      </c>
      <c r="C4" t="s">
        <v>296</v>
      </c>
    </row>
    <row r="5" spans="1:3" x14ac:dyDescent="0.2">
      <c r="A5" t="s">
        <v>298</v>
      </c>
      <c r="B5" s="6">
        <v>-2410041292.6700001</v>
      </c>
      <c r="C5" t="s">
        <v>296</v>
      </c>
    </row>
    <row r="6" spans="1:3" x14ac:dyDescent="0.2">
      <c r="A6" t="s">
        <v>299</v>
      </c>
      <c r="B6" s="6">
        <v>839802576.78999996</v>
      </c>
      <c r="C6" t="s">
        <v>296</v>
      </c>
    </row>
    <row r="7" spans="1:3" x14ac:dyDescent="0.2">
      <c r="A7" t="s">
        <v>300</v>
      </c>
      <c r="B7" s="6">
        <v>12770974733.76</v>
      </c>
      <c r="C7" t="s">
        <v>294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3"/>
  <sheetViews>
    <sheetView workbookViewId="0">
      <pane ySplit="1" topLeftCell="A2" activePane="bottomLeft" state="frozen"/>
      <selection pane="bottomLeft" activeCell="B10" sqref="B10"/>
    </sheetView>
  </sheetViews>
  <sheetFormatPr baseColWidth="10" defaultColWidth="8.83203125" defaultRowHeight="15" x14ac:dyDescent="0.2"/>
  <cols>
    <col min="1" max="1" width="10" customWidth="1"/>
    <col min="2" max="2" width="24" customWidth="1"/>
  </cols>
  <sheetData>
    <row r="1" spans="1:2" x14ac:dyDescent="0.2">
      <c r="A1" s="5" t="s">
        <v>185</v>
      </c>
      <c r="B1" s="5" t="s">
        <v>125</v>
      </c>
    </row>
    <row r="2" spans="1:2" x14ac:dyDescent="0.2">
      <c r="A2" t="s">
        <v>192</v>
      </c>
      <c r="B2" s="6">
        <v>48470154.539999999</v>
      </c>
    </row>
    <row r="3" spans="1:2" x14ac:dyDescent="0.2">
      <c r="A3" t="s">
        <v>193</v>
      </c>
      <c r="B3" s="6">
        <v>47497716.390000001</v>
      </c>
    </row>
    <row r="4" spans="1:2" x14ac:dyDescent="0.2">
      <c r="A4" t="s">
        <v>194</v>
      </c>
      <c r="B4" s="6">
        <v>59083409.939999998</v>
      </c>
    </row>
    <row r="5" spans="1:2" x14ac:dyDescent="0.2">
      <c r="A5" t="s">
        <v>195</v>
      </c>
      <c r="B5" s="6">
        <v>86206203.299999997</v>
      </c>
    </row>
    <row r="6" spans="1:2" x14ac:dyDescent="0.2">
      <c r="A6" t="s">
        <v>196</v>
      </c>
      <c r="B6" s="6">
        <v>108431356.52</v>
      </c>
    </row>
    <row r="7" spans="1:2" x14ac:dyDescent="0.2">
      <c r="A7" t="s">
        <v>197</v>
      </c>
      <c r="B7" s="6">
        <v>104362021.97</v>
      </c>
    </row>
    <row r="8" spans="1:2" x14ac:dyDescent="0.2">
      <c r="A8" t="s">
        <v>198</v>
      </c>
      <c r="B8" s="6">
        <v>121245771.56</v>
      </c>
    </row>
    <row r="9" spans="1:2" x14ac:dyDescent="0.2">
      <c r="A9" t="s">
        <v>199</v>
      </c>
      <c r="B9" s="6">
        <v>110207120.84999999</v>
      </c>
    </row>
    <row r="10" spans="1:2" x14ac:dyDescent="0.2">
      <c r="A10" t="s">
        <v>200</v>
      </c>
      <c r="B10" s="6">
        <v>139804498.13999999</v>
      </c>
    </row>
    <row r="11" spans="1:2" x14ac:dyDescent="0.2">
      <c r="A11" t="s">
        <v>201</v>
      </c>
      <c r="B11" s="6">
        <v>170853011.94</v>
      </c>
    </row>
    <row r="12" spans="1:2" x14ac:dyDescent="0.2">
      <c r="A12" t="s">
        <v>202</v>
      </c>
      <c r="B12" s="6">
        <v>138280016.53999999</v>
      </c>
    </row>
    <row r="13" spans="1:2" x14ac:dyDescent="0.2">
      <c r="A13" t="s">
        <v>203</v>
      </c>
      <c r="B13" s="6">
        <v>142412783.88999999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Resumo</vt:lpstr>
      <vt:lpstr>Preço por Série</vt:lpstr>
      <vt:lpstr>Memoria Fundo a Fundo</vt:lpstr>
      <vt:lpstr>Mensal</vt:lpstr>
      <vt:lpstr>CDI mensal</vt:lpstr>
      <vt:lpstr>Caixa LFT</vt:lpstr>
      <vt:lpstr>Custo por Fundo</vt:lpstr>
      <vt:lpstr>Lacunas CDI</vt:lpstr>
      <vt:lpstr>PL Waterfall</vt:lpstr>
      <vt:lpstr>PL Steps</vt:lpstr>
      <vt:lpstr>_chart_mensal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Matheus Prates</cp:lastModifiedBy>
  <dcterms:created xsi:type="dcterms:W3CDTF">2026-05-23T17:29:53Z</dcterms:created>
  <dcterms:modified xsi:type="dcterms:W3CDTF">2026-05-23T17:34:23Z</dcterms:modified>
</cp:coreProperties>
</file>