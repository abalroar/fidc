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ChartData" sheetId="2" r:id="rId2"/>
    <sheet name="current_pl" sheetId="3" r:id="rId3"/>
    <sheet name="class_pl" sheetId="4" r:id="rId4"/>
    <sheet name="allocation" sheetId="5" r:id="rId5"/>
    <sheet name="year_fund" sheetId="6" r:id="rId6"/>
    <sheet name="year_summary" sheetId="7" r:id="rId7"/>
    <sheet name="schedule" sheetId="8" r:id="rId8"/>
    <sheet name="schedule_audit" sheetId="9" r:id="rId9"/>
  </sheets>
  <definedNames>
    <definedName name="_xlnm._FilterDatabase" localSheetId="4" hidden="1">allocation!$A$1:$R$42</definedName>
    <definedName name="_xlnm._FilterDatabase" localSheetId="3" hidden="1">class_pl!$A$1:$L$32</definedName>
    <definedName name="_xlnm._FilterDatabase" localSheetId="2" hidden="1">current_pl!$A$1:$I$12</definedName>
    <definedName name="_xlnm._FilterDatabase" localSheetId="7" hidden="1">schedule!$A$1:$N$175</definedName>
    <definedName name="_xlnm._FilterDatabase" localSheetId="8" hidden="1">schedule_audit!$A$1:$J$28</definedName>
    <definedName name="_xlnm._FilterDatabase" localSheetId="5" hidden="1">year_fund!$A$1:$C$17</definedName>
    <definedName name="_xlnm._FilterDatabase" localSheetId="6" hidden="1">year_summary!$A$1:$C$5</definedName>
  </definedNames>
  <calcPr calcId="124519" fullCalcOnLoad="1"/>
</workbook>
</file>

<file path=xl/sharedStrings.xml><?xml version="1.0" encoding="utf-8"?>
<sst xmlns="http://schemas.openxmlformats.org/spreadsheetml/2006/main" count="3291" uniqueCount="297">
  <si>
    <t>Cloudwalk FIDCs: run-off contratual do PL atual</t>
  </si>
  <si>
    <t>Gráficos nativos do Excel: waterfall principal e zoom dos vencimentos 2026 por FIDC. Valores em R$ bilhões.</t>
  </si>
  <si>
    <t>PL oficial atual</t>
  </si>
  <si>
    <t>Run-off 2026</t>
  </si>
  <si>
    <t>Run-off 2027</t>
  </si>
  <si>
    <t>Run-off 2028</t>
  </si>
  <si>
    <t>Run-off 2029+</t>
  </si>
  <si>
    <t>Fallback subordinadas</t>
  </si>
  <si>
    <t>Main waterfall chart data</t>
  </si>
  <si>
    <t>Categoria</t>
  </si>
  <si>
    <t>Base invisível</t>
  </si>
  <si>
    <t>PL atual total</t>
  </si>
  <si>
    <t>Kick Ass I</t>
  </si>
  <si>
    <t>Akira I</t>
  </si>
  <si>
    <t>Akira II</t>
  </si>
  <si>
    <t>Big Picture I</t>
  </si>
  <si>
    <t>Big Picture II</t>
  </si>
  <si>
    <t>Big Picture III</t>
  </si>
  <si>
    <t>Big Picture IV</t>
  </si>
  <si>
    <t>Cloudwalk A.I.</t>
  </si>
  <si>
    <t>Cloudwalk PI</t>
  </si>
  <si>
    <t>Bela</t>
  </si>
  <si>
    <t>PL pós runoff</t>
  </si>
  <si>
    <t>PL atual</t>
  </si>
  <si>
    <t>2026</t>
  </si>
  <si>
    <t>2027</t>
  </si>
  <si>
    <t>2028</t>
  </si>
  <si>
    <t>2029+</t>
  </si>
  <si>
    <t>Zoom 2026 chart data</t>
  </si>
  <si>
    <t>FIDC</t>
  </si>
  <si>
    <t>% do 2026</t>
  </si>
  <si>
    <t>% do PL total</t>
  </si>
  <si>
    <t>Chart audit</t>
  </si>
  <si>
    <t>Check</t>
  </si>
  <si>
    <t>R$ bi</t>
  </si>
  <si>
    <t>Soma buckets do waterfall</t>
  </si>
  <si>
    <t>Diferença</t>
  </si>
  <si>
    <t>Leitura executiva</t>
  </si>
  <si>
    <t>Item</t>
  </si>
  <si>
    <t>Nota</t>
  </si>
  <si>
    <t>Base</t>
  </si>
  <si>
    <t>PL atual por FIDC vem do último IME CVM/Fundos.NET em cache local.</t>
  </si>
  <si>
    <t>Cronograma</t>
  </si>
  <si>
    <t>Regulamentos/anexos determinam a distribuição temporal; quando há classe/cota no IME, a curva é aplicada por classe.</t>
  </si>
  <si>
    <t>Fallback</t>
  </si>
  <si>
    <t>Subordinadas sem calendário próprio seguem a curva documental remanescente do respectivo fundo e ficam marcadas em allocation.method_note.</t>
  </si>
  <si>
    <t>Reconciliação</t>
  </si>
  <si>
    <t>O total do waterfall fecha exatamente com o PL oficial atual; diferenças brutas entre soma de classes e PL total foram escaladas dentro de cada fundo.</t>
  </si>
  <si>
    <t>cnpj</t>
  </si>
  <si>
    <t>fund_name</t>
  </si>
  <si>
    <t>short_name</t>
  </si>
  <si>
    <t>latest_competencia</t>
  </si>
  <si>
    <t>competencia_base_date</t>
  </si>
  <si>
    <t>pl_atual</t>
  </si>
  <si>
    <t>situacao_cvm</t>
  </si>
  <si>
    <t>cache_status</t>
  </si>
  <si>
    <t>cache_dir</t>
  </si>
  <si>
    <t>42085816000105</t>
  </si>
  <si>
    <t>42085830000109</t>
  </si>
  <si>
    <t>42102603000144</t>
  </si>
  <si>
    <t>44124617000194</t>
  </si>
  <si>
    <t>54218673000141</t>
  </si>
  <si>
    <t>54218941000125</t>
  </si>
  <si>
    <t>54219179000100</t>
  </si>
  <si>
    <t>54248022000102</t>
  </si>
  <si>
    <t>57609282000146</t>
  </si>
  <si>
    <t>60356171000180</t>
  </si>
  <si>
    <t>62393679000183</t>
  </si>
  <si>
    <t>CLOUDWALK KICK ASS I FUNDO DE INVESTIMENTO EM DIREITOS CREDITÓRIOS SEGMENTO MEIOS DE PAGAMENTO</t>
  </si>
  <si>
    <t>CLOUDWALK AKIRA I FUNDO DE INVESTIMENTO EM DIREITOS CREDITÓRIOS SEGMENTO MEIOS DE PAGAMENTO</t>
  </si>
  <si>
    <t>CLOUDWALK KICK ASS II FUNDO DE INVESTIMENTO EM DIREITOS CREDITÓRIOS SEGMENTO MEIOS DE PAGAMENTO</t>
  </si>
  <si>
    <t>CLOUDWALK AKIRA II FIDC SEGMENTO MEIOS DE PAGAMENTO</t>
  </si>
  <si>
    <t>CLOUDWALK BIG PICTURE I FUNDO DE INVESTIMENTO EM DIREITOS CREDITÓRIOS SEGMENTO MEIOS DE PAGAMENTO</t>
  </si>
  <si>
    <t>CLOUDWALK BIG PICTURE II FUNDO DE INVESTIMENTO EM DIREITOS CREDITÓRIOS SEGMENTO MEIOS DE PAGAMENTO</t>
  </si>
  <si>
    <t>CLOUDWALK BIG PICTURE III FUNDO DE INVESTIMENTO EM DIREITOS CREDITÓRIOS SEGMENTO MEIOS DE PAGAMENTO</t>
  </si>
  <si>
    <t>CLOUDWALK BIG PICTURE IV FUNDO DE INVESTIMENTO EM DIREITOS CREDITÓRIOS SEGMENTO MEIOS DE PAGAMENTO</t>
  </si>
  <si>
    <t>CLOUDWALK A.I. FUNDO DE INVESTIMENTO EM DIREITOS CREDITÓRIOS SEGMENTO MEIOS DE PAGAMENTO</t>
  </si>
  <si>
    <t>CLOUDWALK PI FUNDO DE INVESTIMENTO EM DIREITOS CREDITÓRIOS SEGMENTO MEIOS DE PAGAMENTO</t>
  </si>
  <si>
    <t>CLOUDWALK BELA FUNDO DE INVESTIMENTO EM DIREITOS CREDITÓRIOS SEGMENTO MEIOS DE PAGAMENTO</t>
  </si>
  <si>
    <t>Kick Ass II</t>
  </si>
  <si>
    <t>02/2026</t>
  </si>
  <si>
    <t>05/2026</t>
  </si>
  <si>
    <t>02/2025</t>
  </si>
  <si>
    <t>04/2026</t>
  </si>
  <si>
    <t>2026-02-28</t>
  </si>
  <si>
    <t>2026-05-31</t>
  </si>
  <si>
    <t>2025-02-28</t>
  </si>
  <si>
    <t>2026-04-30</t>
  </si>
  <si>
    <t>Em Liquidação</t>
  </si>
  <si>
    <t>Em Funcionamento Normal</t>
  </si>
  <si>
    <t>Cancelado</t>
  </si>
  <si>
    <t>ok</t>
  </si>
  <si>
    <t>/Users/matheusjprates/fidc/.cache/fundonet-ime/a11bf39426d167ec4c85ac72aa77e99d01949f974c935b125ed0ada1a7248e0e</t>
  </si>
  <si>
    <t>/Users/matheusjprates/fidc/.cache/fundonet-ime/8df18e6d9df93e2350d152fb855dab28b4e11197cb2df8b283b00d3218223e05</t>
  </si>
  <si>
    <t>/Users/matheusjprates/fidc/.cache/fundonet-ime/4d4eef0cf8a0a993f532b4b149eb7872dad71d291f28dd1aa105c18ea1ac13c1</t>
  </si>
  <si>
    <t>/Users/matheusjprates/fidc/.cache/fundonet-ime/8c4f1664780bc2d79b6b82349249561e13ed5e9dbb821f32db56ad7b6c2787ff</t>
  </si>
  <si>
    <t>/Users/matheusjprates/fidc/.cache/fundonet-ime/b1b4f85e32dd225f84600e7f8ef382830038da25c85782af2aee20c08fde5cc9</t>
  </si>
  <si>
    <t>/Users/matheusjprates/fidc/.cache/fundonet-ime/94a49375e79bbde8d8914f726b688025e7c4599fe0bdf665bb00dca2d0b6c73c</t>
  </si>
  <si>
    <t>/Users/matheusjprates/fidc/.cache/fundonet-ime/80b46b8f5164ad437f8f3751729832cc2357338263240227b6f3721162fa3d84</t>
  </si>
  <si>
    <t>/Users/matheusjprates/fidc/.cache/fundonet-ime/d5db6bacd62a48515cbd8660a8cc9e6d8b7d26a9fab88ed9967401e3f6520749</t>
  </si>
  <si>
    <t>/Users/matheusjprates/fidc/.cache/fundonet-ime/e68b9eeb87006b186a4b845899632b53e5c482a9de7887da13c90ec3c78a07a0</t>
  </si>
  <si>
    <t>/Users/matheusjprates/fidc/.cache/fundonet-ime/cec7fe495f756ed1b6687b04da4097820825c588ece1dd383a66296d6ab62bb7</t>
  </si>
  <si>
    <t>/Users/matheusjprates/fidc/.cache/fundonet-ime/927c900326d079775033242583091c80e52827be25d057e30121cdbe3cd0e987</t>
  </si>
  <si>
    <t>competencia</t>
  </si>
  <si>
    <t>class_kind</t>
  </si>
  <si>
    <t>class_macro</t>
  </si>
  <si>
    <t>class_label</t>
  </si>
  <si>
    <t>qt_cotas</t>
  </si>
  <si>
    <t>vl_cota</t>
  </si>
  <si>
    <t>pl_classe</t>
  </si>
  <si>
    <t>pl_share_pct</t>
  </si>
  <si>
    <t>pl_reconciliacao_role</t>
  </si>
  <si>
    <t>senior</t>
  </si>
  <si>
    <t>subordinada</t>
  </si>
  <si>
    <t>mezzanino</t>
  </si>
  <si>
    <t>Sênior · Série 1</t>
  </si>
  <si>
    <t>Subordinada 1</t>
  </si>
  <si>
    <t>Sênior</t>
  </si>
  <si>
    <t>Subordinada</t>
  </si>
  <si>
    <t>Mezanino 1 · Série 1</t>
  </si>
  <si>
    <t>Subordinada 1 · item 2</t>
  </si>
  <si>
    <t>Sênior · Série 2</t>
  </si>
  <si>
    <t>Mezanino 2 · Série 1</t>
  </si>
  <si>
    <t>Subordinada 1 · item 3</t>
  </si>
  <si>
    <t>Mezanino 1 · Série 2</t>
  </si>
  <si>
    <t>Mezanino 1 · Série 3</t>
  </si>
  <si>
    <t>Mezanino 1 · Série 4</t>
  </si>
  <si>
    <t>Subordinada 1 · item 5</t>
  </si>
  <si>
    <t>classe_reportada</t>
  </si>
  <si>
    <t>class_key</t>
  </si>
  <si>
    <t>pl_classe_raw_ime</t>
  </si>
  <si>
    <t>pl_reconciliation_factor</t>
  </si>
  <si>
    <t>bucket</t>
  </si>
  <si>
    <t>allocation_share</t>
  </si>
  <si>
    <t>allocated_pl</t>
  </si>
  <si>
    <t>method_note</t>
  </si>
  <si>
    <t>senior_1</t>
  </si>
  <si>
    <t>subordinada_1</t>
  </si>
  <si>
    <t>mezz_1</t>
  </si>
  <si>
    <t>senior_2</t>
  </si>
  <si>
    <t>mezz_pi_a</t>
  </si>
  <si>
    <t>mezz_pi_b</t>
  </si>
  <si>
    <t>mezz_bela_1a</t>
  </si>
  <si>
    <t>mezz_bela_1b</t>
  </si>
  <si>
    <t>mezz_bela_2a</t>
  </si>
  <si>
    <t>mezz_bela_2b</t>
  </si>
  <si>
    <t>Sem PL</t>
  </si>
  <si>
    <t>PL da classe alocado pelo cronograma documental da própria classe/cota.</t>
  </si>
  <si>
    <t>Classe sem cronograma próprio parseável; PL alocado pela curva documental remanescente do fundo.</t>
  </si>
  <si>
    <t>PL da classe zerado no IME.</t>
  </si>
  <si>
    <t>share_total</t>
  </si>
  <si>
    <t>classe</t>
  </si>
  <si>
    <t>tipo</t>
  </si>
  <si>
    <t>source</t>
  </si>
  <si>
    <t>status_evidencia</t>
  </si>
  <si>
    <t>convention</t>
  </si>
  <si>
    <t>warning</t>
  </si>
  <si>
    <t>data_amortizacao</t>
  </si>
  <si>
    <t>scheduled_original_amount</t>
  </si>
  <si>
    <t>scheduled_original_share_remaining</t>
  </si>
  <si>
    <t>CLOUDWALK KICK ASS I FUNDO DE INVESTIMENTO EM DIREITOS CREDITÓRIOS</t>
  </si>
  <si>
    <t>CLOUDWALK AKIRA I FUNDO DE INVESTIMENTO EM DIREITOS CREDITÓRIOS</t>
  </si>
  <si>
    <t>CLOUDWALK AKIRA II FIDC</t>
  </si>
  <si>
    <t>1ª série sênior</t>
  </si>
  <si>
    <t>1ª série sênior - rerratificação 2025</t>
  </si>
  <si>
    <t>1ª série mezanino</t>
  </si>
  <si>
    <t>2ª série sênior</t>
  </si>
  <si>
    <t>1ª série mezanino A</t>
  </si>
  <si>
    <t>1ª série mezanino B</t>
  </si>
  <si>
    <t>2ª série mezanino A</t>
  </si>
  <si>
    <t>2ª série mezanino B</t>
  </si>
  <si>
    <t>Mezanino</t>
  </si>
  <si>
    <t>209028_regulamento_regulamento_209028_2021-08-23.pdf · p.4-5 · ID 209028</t>
  </si>
  <si>
    <t>966441_regulamento_regulamento_966441_2025-07-24.pdf · p.114-115 · ID 966441</t>
  </si>
  <si>
    <t>851797_assembleia_assembleia_851797_2025-02-28.pdf · p.4-5 · ID 851797</t>
  </si>
  <si>
    <t>622660_regulamento_regulamento_622660_2024-03-14.pdf · p.115-116 · ID 622660; 644981_emissao_emissao_644981_2024-04-25.pdf · ID 644981</t>
  </si>
  <si>
    <t>622662_regulamento_regulamento_622662_2024-03-14.pdf · p.116-117 · ID 622662; 644982_emissao_emissao_644982_2024-04-25.pdf · ID 644982</t>
  </si>
  <si>
    <t>622664_regulamento_regulamento_622664_2024-03-14.pdf · p.117-118 · ID 622664; 644983_emissao_emissao_644983_2024-04-25.pdf · ID 644983</t>
  </si>
  <si>
    <t>622677_regulamento_regulamento_622677_2024-03-14.pdf · p.119-120 · ID 622677; 644984_emissao_emissao_644984_2024-04-25.pdf · ID 644984</t>
  </si>
  <si>
    <t>757906_regulamento_regulamento_757906_2024-10-14.pdf · p.3-4 · ID 757906</t>
  </si>
  <si>
    <t>757906_regulamento_regulamento_757906_2024-10-14.pdf · p.6-7 · ID 757906</t>
  </si>
  <si>
    <t>883040_regulamento_regulamento_883040_2025-04-11.pdf · p.6-8 · ID 883040</t>
  </si>
  <si>
    <t>883040_regulamento_regulamento_883040_2025-04-11.pdf · p.10-12 · ID 883040</t>
  </si>
  <si>
    <t>883040_regulamento_regulamento_883040_2025-04-11.pdf · p.15-17 · ID 883040</t>
  </si>
  <si>
    <t>883040_regulamento_regulamento_883040_2025-04-11.pdf · p.19-21 · ID 883040</t>
  </si>
  <si>
    <t>988402_regulamento_regulamento_988402_2025-09-09.pdf · p.8-10 · 1117954_regulamento_regulamento_1117954_2026-02-19.pdf · p.138-141</t>
  </si>
  <si>
    <t>1117954_regulamento_regulamento_1117954_2026-02-19.pdf · p.149-152</t>
  </si>
  <si>
    <t>1117954_regulamento_regulamento_1117954_2026-02-19.pdf · p.160-163</t>
  </si>
  <si>
    <t>1117954_regulamento_regulamento_1117954_2026-02-19.pdf · p.142-145 · 1124808_emissao_emissao_1124808_2026-02-27.pdf</t>
  </si>
  <si>
    <t>1117954_regulamento_regulamento_1117954_2026-02-19.pdf · p.153-156</t>
  </si>
  <si>
    <t>1117954_regulamento_regulamento_1117954_2026-02-19.pdf · p.164-166</t>
  </si>
  <si>
    <t>Datas de amortização extraídas do apêndice; documento não informa percentuais, waterfall usa linearidade explícita com aviso.</t>
  </si>
  <si>
    <t>Datas de amortização confirmadas no apêndice consolidado; documento não informa percentuais, waterfall usa linearidade explícita com aviso.</t>
  </si>
  <si>
    <t>Cronograma de amortização por percentual do saldo extraído da rerratificação 2025; parser trata como percentual sobre saldo remanescente.</t>
  </si>
  <si>
    <t>Apêndice documental lista seis datas de amortização sem percentuais; waterfall usa amortização linear entre as datas documentadas com aviso explícito.</t>
  </si>
  <si>
    <t>Curadoria Cloudwalk; apêndice sênior completo; cronograma em percentuais acumulados</t>
  </si>
  <si>
    <t>Curadoria Cloudwalk; apêndice mezanino completo</t>
  </si>
  <si>
    <t>Curadoria Cloudwalk; apêndice sênior completo; cronograma em % sobre saldo inicial</t>
  </si>
  <si>
    <t>Curadoria Cloudwalk; apêndice mezanino A completo</t>
  </si>
  <si>
    <t>Curadoria Cloudwalk; apêndice mezanino B completo</t>
  </si>
  <si>
    <t>incremental</t>
  </si>
  <si>
    <t>current_balance</t>
  </si>
  <si>
    <t>cumulative</t>
  </si>
  <si>
    <t>linear_range</t>
  </si>
  <si>
    <t>Cronograma documental lista datas sem percentuais; waterfall usa amortização linear entre as datas documentadas.</t>
  </si>
  <si>
    <t>Cronograma documental informa intervalo de amortização sem percentuais; waterfall usa parcelas mensais lineares.</t>
  </si>
  <si>
    <t>2026-03-27</t>
  </si>
  <si>
    <t>2026-04-27</t>
  </si>
  <si>
    <t>2026-05-27</t>
  </si>
  <si>
    <t>2026-06-27</t>
  </si>
  <si>
    <t>2026-07-27</t>
  </si>
  <si>
    <t>2026-08-27</t>
  </si>
  <si>
    <t>2026-09-27</t>
  </si>
  <si>
    <t>2026-10-27</t>
  </si>
  <si>
    <t>2026-11-27</t>
  </si>
  <si>
    <t>2026-12-27</t>
  </si>
  <si>
    <t>2027-01-27</t>
  </si>
  <si>
    <t>2026-11-19</t>
  </si>
  <si>
    <t>2026-12-19</t>
  </si>
  <si>
    <t>2027-01-19</t>
  </si>
  <si>
    <t>2027-02-19</t>
  </si>
  <si>
    <t>2027-03-19</t>
  </si>
  <si>
    <t>2027-04-19</t>
  </si>
  <si>
    <t>2027-06-08</t>
  </si>
  <si>
    <t>2027-07-08</t>
  </si>
  <si>
    <t>2027-08-08</t>
  </si>
  <si>
    <t>2027-09-08</t>
  </si>
  <si>
    <t>2027-10-08</t>
  </si>
  <si>
    <t>2027-11-08</t>
  </si>
  <si>
    <t>2029-05-23</t>
  </si>
  <si>
    <t>2029-06-23</t>
  </si>
  <si>
    <t>2029-07-23</t>
  </si>
  <si>
    <t>2029-08-23</t>
  </si>
  <si>
    <t>2029-09-23</t>
  </si>
  <si>
    <t>2029-10-23</t>
  </si>
  <si>
    <t>2029-11-23</t>
  </si>
  <si>
    <t>2029-12-23</t>
  </si>
  <si>
    <t>2030-01-23</t>
  </si>
  <si>
    <t>2030-02-23</t>
  </si>
  <si>
    <t>2030-03-23</t>
  </si>
  <si>
    <t>2030-04-23</t>
  </si>
  <si>
    <t>2029-10-15</t>
  </si>
  <si>
    <t>2029-11-15</t>
  </si>
  <si>
    <t>2029-12-15</t>
  </si>
  <si>
    <t>2030-01-15</t>
  </si>
  <si>
    <t>2030-02-15</t>
  </si>
  <si>
    <t>2030-03-15</t>
  </si>
  <si>
    <t>2030-04-15</t>
  </si>
  <si>
    <t>2030-05-15</t>
  </si>
  <si>
    <t>2030-06-15</t>
  </si>
  <si>
    <t>2030-07-15</t>
  </si>
  <si>
    <t>2030-08-15</t>
  </si>
  <si>
    <t>2030-09-15</t>
  </si>
  <si>
    <t>2030-03-26</t>
  </si>
  <si>
    <t>2030-04-26</t>
  </si>
  <si>
    <t>2030-05-26</t>
  </si>
  <si>
    <t>2030-06-26</t>
  </si>
  <si>
    <t>2030-07-26</t>
  </si>
  <si>
    <t>2030-08-26</t>
  </si>
  <si>
    <t>2030-09-26</t>
  </si>
  <si>
    <t>2030-10-26</t>
  </si>
  <si>
    <t>2030-11-26</t>
  </si>
  <si>
    <t>2030-12-26</t>
  </si>
  <si>
    <t>2031-01-26</t>
  </si>
  <si>
    <t>2031-02-26</t>
  </si>
  <si>
    <t>status</t>
  </si>
  <si>
    <t>reason</t>
  </si>
  <si>
    <t>CLOUDWALK KICK ASS II FUNDO DE INVESTIMENTO EM DIREITOS CREDITÓRIOS</t>
  </si>
  <si>
    <t>Cotas subordinadas</t>
  </si>
  <si>
    <t>1ª série sênior - alteração</t>
  </si>
  <si>
    <t>1ª série sênior - rerratificação</t>
  </si>
  <si>
    <t>1ª série sênior - rerratificação 2023</t>
  </si>
  <si>
    <t>1ª série sênior - rerratificação 2024</t>
  </si>
  <si>
    <t>incluido</t>
  </si>
  <si>
    <t>excluido</t>
  </si>
  <si>
    <t>6 datas futuras após 2026-02-28.</t>
  </si>
  <si>
    <t>Amortização não mapeada no campo de curadoria.</t>
  </si>
  <si>
    <t>8 datas futuras após 2026-05-31.</t>
  </si>
  <si>
    <t>Série sem dívida futura ativa para o waterfall.</t>
  </si>
  <si>
    <t>Volume ausente/zero.</t>
  </si>
  <si>
    <t>4 datas futuras após 2026-02-28.</t>
  </si>
  <si>
    <t>6 datas futuras após 2026-04-30.</t>
  </si>
  <si>
    <t>6 datas futuras após 2026-05-31.</t>
  </si>
  <si>
    <t>12 datas futuras após 2026-05-31.</t>
  </si>
  <si>
    <t>211003_assembleia_assembleia_211003_2021-09-01.pdf · ID 211003</t>
  </si>
  <si>
    <t>828702_emissao_emissao_828702_2024-10-31.pdf · p.11, p.33, p.40-41 · 733239_regulamento_regulamento_733239_2024-09-05.pdf · p.113-114</t>
  </si>
  <si>
    <t>211105_assembleia_assembleia_211105_2021-09-02.pdf · ID 211105</t>
  </si>
  <si>
    <t>259049_regulamento_regulamento_259049_2022-01-21.pdf identifica CloudWalk Akira II, não Kick Ass II.</t>
  </si>
  <si>
    <t>733239_regulamento_regulamento_733239_2024-09-05.pdf · p.113-114 · 828702_emissao_emissao_828702_2024-10-31.pdf · p.11, p.33, p.40-41</t>
  </si>
  <si>
    <t>512611_assembleia_assembleia_512611_2023-08-23.pdf · p.6 · ID 512611</t>
  </si>
  <si>
    <t>724048_assembleia_assembleia_724048_2024-08-19.pdf · p.3 · ID 724048</t>
  </si>
  <si>
    <t>Curadoria Cloudwalk; emissão subordinada usada para recompor subordinação</t>
  </si>
  <si>
    <t>DF de encerramento informa resgate total e fim das atividades em 31/10/2024; histórico documental mantido fora do waterfall futuro. Histórico: 27/03/2024 16%; 29/04/2024 16%; 27/05/2024 16%; 27/06/2024 16%; 29/07/2024 16%; 27/08/2024 16%; 27/09/2024 0,667%; 28/10/2024 0,667%; 27/11/2024 0,667%; 27/12/2024 0,667%; 27/01/2025 0,667%; 27/02/2025 0,667%.</t>
  </si>
  <si>
    <t>Linha desativada para evitar duplicidade e erro de CNPJ/fundo no waterfall.</t>
  </si>
  <si>
    <t>Rerratificação traz cronograma histórico, mas DF posterior informa resgate total/encerramento; sem dívida futura ativa.</t>
  </si>
  <si>
    <t>Linha histórica mantida para trilha documental; não usar para evitar duplicidade.</t>
  </si>
  <si>
    <t>Curadoria Cloudwalk; benchmark alterado em ata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</si>
</sst>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%;[Red](0.0%);-"/>
    <numFmt numFmtId="166" formatCode="R$ #,##0;[Red]-R$ #,##0;-"/>
  </numFmts>
  <fonts count="8">
    <font>
      <sz val="11"/>
      <color theme="1"/>
      <name val="Calibri"/>
      <family val="2"/>
      <scheme val="minor"/>
    </font>
    <font>
      <b/>
      <sz val="20"/>
      <color rgb="FF1F1F1F"/>
      <name val="Calibri"/>
      <family val="2"/>
      <scheme val="minor"/>
    </font>
    <font>
      <sz val="10"/>
      <color rgb="FF666666"/>
      <name val="Calibri"/>
      <family val="2"/>
      <scheme val="minor"/>
    </font>
    <font>
      <sz val="9"/>
      <color rgb="FF666666"/>
      <name val="Calibri"/>
      <family val="2"/>
      <scheme val="minor"/>
    </font>
    <font>
      <b/>
      <sz val="15"/>
      <color rgb="FF1F1F1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22222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3F6F8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9EAF7"/>
        <bgColor indexed="64"/>
      </patternFill>
    </fill>
  </fills>
  <borders count="4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E7E7E7"/>
      </left>
      <right style="thin">
        <color rgb="FFE7E7E7"/>
      </right>
      <top style="thin">
        <color rgb="FFE7E7E7"/>
      </top>
      <bottom style="thin">
        <color rgb="FFE7E7E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5" fillId="3" borderId="0" xfId="0" applyFont="1" applyFill="1"/>
    <xf numFmtId="0" fontId="6" fillId="4" borderId="2" xfId="0" applyFont="1" applyFill="1" applyBorder="1"/>
    <xf numFmtId="0" fontId="7" fillId="0" borderId="3" xfId="0" applyFont="1" applyBorder="1"/>
    <xf numFmtId="0" fontId="5" fillId="3" borderId="1" xfId="0" applyFont="1" applyFill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222222"/>
                </a:solidFill>
              </a:defRPr>
            </a:pPr>
            <a:r>
              <a:rPr lang="en-US" sz="1400" b="1" baseline="0">
                <a:solidFill>
                  <a:srgbClr val="222222"/>
                </a:solidFill>
              </a:rPr>
              <a:t>Cloudwalk FIDCs: run-off contratual do PL atual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Base invisível</c:v>
          </c:tx>
          <c:spPr>
            <a:noFill/>
            <a:ln>
              <a:noFill/>
            </a:ln>
          </c:spPr>
          <c:cat>
            <c:strRef>
              <c:f>'ChartData'!$A$3:$A$8</c:f>
              <c:strCache>
                <c:ptCount val="6"/>
                <c:pt idx="0">
                  <c:v>PL atual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2029+</c:v>
                </c:pt>
                <c:pt idx="5">
                  <c:v>PL pós runoff</c:v>
                </c:pt>
              </c:strCache>
            </c:strRef>
          </c:cat>
          <c:val>
            <c:numRef>
              <c:f>'ChartData'!$B$3:$B$8</c:f>
              <c:numCache>
                <c:formatCode>General</c:formatCode>
                <c:ptCount val="6"/>
                <c:pt idx="0">
                  <c:v>0</c:v>
                </c:pt>
                <c:pt idx="1">
                  <c:v>17.09471495259375</c:v>
                </c:pt>
                <c:pt idx="2">
                  <c:v>13.237240965</c:v>
                </c:pt>
                <c:pt idx="3">
                  <c:v>13.237240965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v>PL atual total</c:v>
          </c:tx>
          <c:spPr>
            <a:solidFill>
              <a:srgbClr val="222222"/>
            </a:solidFill>
            <a:ln>
              <a:solidFill>
                <a:srgbClr val="222222"/>
              </a:solidFill>
            </a:ln>
          </c:spP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 sz="900" b="1" baseline="0">
                        <a:solidFill>
                          <a:srgbClr val="222222"/>
                        </a:solidFill>
                      </a:rPr>
                      <a:t>R$ 18,15 bi</a:t>
                    </a:r>
                  </a:p>
                </c:rich>
              </c:tx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</c:dLbls>
          <c:cat>
            <c:strRef>
              <c:f>'ChartData'!$A$3:$A$8</c:f>
              <c:strCache>
                <c:ptCount val="6"/>
                <c:pt idx="0">
                  <c:v>PL atual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2029+</c:v>
                </c:pt>
                <c:pt idx="5">
                  <c:v>PL pós runoff</c:v>
                </c:pt>
              </c:strCache>
            </c:strRef>
          </c:cat>
          <c:val>
            <c:numRef>
              <c:f>'ChartData'!$C$3:$C$8</c:f>
              <c:numCache>
                <c:formatCode>General</c:formatCode>
                <c:ptCount val="6"/>
                <c:pt idx="0">
                  <c:v>18.15352428672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v>Kick Ass I</c:v>
          </c:tx>
          <c:spPr>
            <a:solidFill>
              <a:srgbClr val="1F4E79"/>
            </a:solidFill>
            <a:ln>
              <a:solidFill>
                <a:srgbClr val="FFFFFF"/>
              </a:solidFill>
            </a:ln>
          </c:spP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</c:dLbls>
          <c:cat>
            <c:strRef>
              <c:f>'ChartData'!$A$3:$A$8</c:f>
              <c:strCache>
                <c:ptCount val="6"/>
                <c:pt idx="0">
                  <c:v>PL atual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2029+</c:v>
                </c:pt>
                <c:pt idx="5">
                  <c:v>PL pós runoff</c:v>
                </c:pt>
              </c:strCache>
            </c:strRef>
          </c:cat>
          <c:val>
            <c:numRef>
              <c:f>'ChartData'!$D$3:$D$8</c:f>
              <c:numCache>
                <c:formatCode>General</c:formatCode>
                <c:ptCount val="6"/>
                <c:pt idx="0">
                  <c:v>0</c:v>
                </c:pt>
                <c:pt idx="1">
                  <c:v>0.15703853584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v>Akira I</c:v>
          </c:tx>
          <c:spPr>
            <a:solidFill>
              <a:srgbClr val="ED7D31"/>
            </a:solidFill>
            <a:ln>
              <a:solidFill>
                <a:srgbClr val="FFFFFF"/>
              </a:solidFill>
            </a:ln>
          </c:spP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</c:dLbls>
          <c:cat>
            <c:strRef>
              <c:f>'ChartData'!$A$3:$A$8</c:f>
              <c:strCache>
                <c:ptCount val="6"/>
                <c:pt idx="0">
                  <c:v>PL atual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2029+</c:v>
                </c:pt>
                <c:pt idx="5">
                  <c:v>PL pós runoff</c:v>
                </c:pt>
              </c:strCache>
            </c:strRef>
          </c:cat>
          <c:val>
            <c:numRef>
              <c:f>'ChartData'!$E$3:$E$8</c:f>
              <c:numCache>
                <c:formatCode>General</c:formatCode>
                <c:ptCount val="6"/>
                <c:pt idx="0">
                  <c:v>0</c:v>
                </c:pt>
                <c:pt idx="1">
                  <c:v>0.3062715043062501</c:v>
                </c:pt>
                <c:pt idx="2">
                  <c:v>0.04375307204374995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4"/>
          <c:order val="4"/>
          <c:tx>
            <c:v>Akira II</c:v>
          </c:tx>
          <c:spPr>
            <a:solidFill>
              <a:srgbClr val="70AD47"/>
            </a:solidFill>
            <a:ln>
              <a:solidFill>
                <a:srgbClr val="FFFFFF"/>
              </a:solidFill>
            </a:ln>
          </c:spP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</c:dLbls>
          <c:cat>
            <c:strRef>
              <c:f>'ChartData'!$A$3:$A$8</c:f>
              <c:strCache>
                <c:ptCount val="6"/>
                <c:pt idx="0">
                  <c:v>PL atual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2029+</c:v>
                </c:pt>
                <c:pt idx="5">
                  <c:v>PL pós runoff</c:v>
                </c:pt>
              </c:strCache>
            </c:strRef>
          </c:cat>
          <c:val>
            <c:numRef>
              <c:f>'ChartData'!$F$3:$F$8</c:f>
              <c:numCache>
                <c:formatCode>General</c:formatCode>
                <c:ptCount val="6"/>
                <c:pt idx="0">
                  <c:v>0</c:v>
                </c:pt>
                <c:pt idx="1">
                  <c:v>0.03948951646000001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5"/>
          <c:order val="5"/>
          <c:tx>
            <c:v>Big Picture I</c:v>
          </c:tx>
          <c:spPr>
            <a:solidFill>
              <a:srgbClr val="5B9BD5"/>
            </a:solidFill>
            <a:ln>
              <a:solidFill>
                <a:srgbClr val="FFFFFF"/>
              </a:solidFill>
            </a:ln>
          </c:spP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FFFFFF"/>
                        </a:solidFill>
                      </a:rPr>
                      <a:t>R$ 0,60 bi</a:t>
                    </a:r>
                  </a:p>
                </c:rich>
              </c:tx>
              <c:dLblPos val="ctr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</c:dLbls>
          <c:cat>
            <c:strRef>
              <c:f>'ChartData'!$A$3:$A$8</c:f>
              <c:strCache>
                <c:ptCount val="6"/>
                <c:pt idx="0">
                  <c:v>PL atual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2029+</c:v>
                </c:pt>
                <c:pt idx="5">
                  <c:v>PL pós runoff</c:v>
                </c:pt>
              </c:strCache>
            </c:strRef>
          </c:cat>
          <c:val>
            <c:numRef>
              <c:f>'ChartData'!$G$3:$G$8</c:f>
              <c:numCache>
                <c:formatCode>General</c:formatCode>
                <c:ptCount val="6"/>
                <c:pt idx="0">
                  <c:v>0</c:v>
                </c:pt>
                <c:pt idx="1">
                  <c:v>0.3013735271366667</c:v>
                </c:pt>
                <c:pt idx="2">
                  <c:v>0.6027470542733331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6"/>
          <c:order val="6"/>
          <c:tx>
            <c:v>Big Picture II</c:v>
          </c:tx>
          <c:spPr>
            <a:solidFill>
              <a:srgbClr val="A5A5A5"/>
            </a:solidFill>
            <a:ln>
              <a:solidFill>
                <a:srgbClr val="FFFFFF"/>
              </a:solidFill>
            </a:ln>
          </c:spP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</c:dLbls>
          <c:cat>
            <c:strRef>
              <c:f>'ChartData'!$A$3:$A$8</c:f>
              <c:strCache>
                <c:ptCount val="6"/>
                <c:pt idx="0">
                  <c:v>PL atual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2029+</c:v>
                </c:pt>
                <c:pt idx="5">
                  <c:v>PL pós runoff</c:v>
                </c:pt>
              </c:strCache>
            </c:strRef>
          </c:cat>
          <c:val>
            <c:numRef>
              <c:f>'ChartData'!$H$3:$H$8</c:f>
              <c:numCache>
                <c:formatCode>General</c:formatCode>
                <c:ptCount val="6"/>
                <c:pt idx="0">
                  <c:v>0</c:v>
                </c:pt>
                <c:pt idx="1">
                  <c:v>0.1006941602233333</c:v>
                </c:pt>
                <c:pt idx="2">
                  <c:v>0.2013883204466667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7"/>
          <c:order val="7"/>
          <c:tx>
            <c:v>Big Picture III</c:v>
          </c:tx>
          <c:spPr>
            <a:solidFill>
              <a:srgbClr val="FFC000"/>
            </a:solidFill>
            <a:ln>
              <a:solidFill>
                <a:srgbClr val="FFFFFF"/>
              </a:solidFill>
            </a:ln>
          </c:spP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</c:dLbls>
          <c:cat>
            <c:strRef>
              <c:f>'ChartData'!$A$3:$A$8</c:f>
              <c:strCache>
                <c:ptCount val="6"/>
                <c:pt idx="0">
                  <c:v>PL atual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2029+</c:v>
                </c:pt>
                <c:pt idx="5">
                  <c:v>PL pós runoff</c:v>
                </c:pt>
              </c:strCache>
            </c:strRef>
          </c:cat>
          <c:val>
            <c:numRef>
              <c:f>'ChartData'!$I$3:$I$8</c:f>
              <c:numCache>
                <c:formatCode>General</c:formatCode>
                <c:ptCount val="6"/>
                <c:pt idx="0">
                  <c:v>0</c:v>
                </c:pt>
                <c:pt idx="1">
                  <c:v>0.05063603834333334</c:v>
                </c:pt>
                <c:pt idx="2">
                  <c:v>0.1012720766866667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8"/>
          <c:order val="8"/>
          <c:tx>
            <c:v>Big Picture IV</c:v>
          </c:tx>
          <c:spPr>
            <a:solidFill>
              <a:srgbClr val="4472C4"/>
            </a:solidFill>
            <a:ln>
              <a:solidFill>
                <a:srgbClr val="FFFFFF"/>
              </a:solidFill>
            </a:ln>
          </c:spP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</c:dLbls>
          <c:cat>
            <c:strRef>
              <c:f>'ChartData'!$A$3:$A$8</c:f>
              <c:strCache>
                <c:ptCount val="6"/>
                <c:pt idx="0">
                  <c:v>PL atual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2029+</c:v>
                </c:pt>
                <c:pt idx="5">
                  <c:v>PL pós runoff</c:v>
                </c:pt>
              </c:strCache>
            </c:strRef>
          </c:cat>
          <c:val>
            <c:numRef>
              <c:f>'ChartData'!$J$3:$J$8</c:f>
              <c:numCache>
                <c:formatCode>General</c:formatCode>
                <c:ptCount val="6"/>
                <c:pt idx="0">
                  <c:v>0</c:v>
                </c:pt>
                <c:pt idx="1">
                  <c:v>0.1033060518166667</c:v>
                </c:pt>
                <c:pt idx="2">
                  <c:v>0.2066121036333333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9"/>
          <c:order val="9"/>
          <c:tx>
            <c:v>Cloudwalk A.I.</c:v>
          </c:tx>
          <c:spPr>
            <a:solidFill>
              <a:srgbClr val="9E480E"/>
            </a:solidFill>
            <a:ln>
              <a:solidFill>
                <a:srgbClr val="FFFFFF"/>
              </a:solidFill>
            </a:ln>
          </c:spP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FFFFFF"/>
                        </a:solidFill>
                      </a:rPr>
                      <a:t>R$ 2,70 bi</a:t>
                    </a:r>
                  </a:p>
                </c:rich>
              </c:tx>
              <c:dLblPos val="ctr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</c:dLbls>
          <c:cat>
            <c:strRef>
              <c:f>'ChartData'!$A$3:$A$8</c:f>
              <c:strCache>
                <c:ptCount val="6"/>
                <c:pt idx="0">
                  <c:v>PL atual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2029+</c:v>
                </c:pt>
                <c:pt idx="5">
                  <c:v>PL pós runoff</c:v>
                </c:pt>
              </c:strCache>
            </c:strRef>
          </c:cat>
          <c:val>
            <c:numRef>
              <c:f>'ChartData'!$K$3:$K$8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2.70170136051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0"/>
          <c:order val="10"/>
          <c:tx>
            <c:v>Cloudwalk PI</c:v>
          </c:tx>
          <c:spPr>
            <a:solidFill>
              <a:srgbClr val="8064A2"/>
            </a:solidFill>
            <a:ln>
              <a:solidFill>
                <a:srgbClr val="FFFFFF"/>
              </a:solidFill>
            </a:ln>
          </c:spP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FFFFFF"/>
                        </a:solidFill>
                      </a:rPr>
                      <a:t>R$ 3,25 bi</a:t>
                    </a:r>
                  </a:p>
                </c:rich>
              </c:tx>
              <c:dLblPos val="ctr"/>
            </c:dLbl>
            <c:dLbl>
              <c:idx val="5"/>
              <c:delete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</c:dLbls>
          <c:cat>
            <c:strRef>
              <c:f>'ChartData'!$A$3:$A$8</c:f>
              <c:strCache>
                <c:ptCount val="6"/>
                <c:pt idx="0">
                  <c:v>PL atual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2029+</c:v>
                </c:pt>
                <c:pt idx="5">
                  <c:v>PL pós runoff</c:v>
                </c:pt>
              </c:strCache>
            </c:strRef>
          </c:cat>
          <c:val>
            <c:numRef>
              <c:f>'ChartData'!$L$3:$L$8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3.25235463279</c:v>
                </c:pt>
                <c:pt idx="5">
                  <c:v>0</c:v>
                </c:pt>
              </c:numCache>
            </c:numRef>
          </c:val>
        </c:ser>
        <c:ser>
          <c:idx val="11"/>
          <c:order val="11"/>
          <c:tx>
            <c:v>Bela</c:v>
          </c:tx>
          <c:spPr>
            <a:solidFill>
              <a:srgbClr val="C00000"/>
            </a:solidFill>
            <a:ln>
              <a:solidFill>
                <a:srgbClr val="FFFFFF"/>
              </a:solidFill>
            </a:ln>
          </c:spP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FFFFFF"/>
                        </a:solidFill>
                      </a:rPr>
                      <a:t>R$ 9,98 bi</a:t>
                    </a:r>
                  </a:p>
                </c:rich>
              </c:tx>
              <c:dLblPos val="ctr"/>
            </c:dLbl>
            <c:dLbl>
              <c:idx val="5"/>
              <c:delete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</c:dLbls>
          <c:cat>
            <c:strRef>
              <c:f>'ChartData'!$A$3:$A$8</c:f>
              <c:strCache>
                <c:ptCount val="6"/>
                <c:pt idx="0">
                  <c:v>PL atual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2029+</c:v>
                </c:pt>
                <c:pt idx="5">
                  <c:v>PL pós runoff</c:v>
                </c:pt>
              </c:strCache>
            </c:strRef>
          </c:cat>
          <c:val>
            <c:numRef>
              <c:f>'ChartData'!$M$3:$M$8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9.984886332209999</c:v>
                </c:pt>
                <c:pt idx="5">
                  <c:v>0</c:v>
                </c:pt>
              </c:numCache>
            </c:numRef>
          </c:val>
        </c:ser>
        <c:ser>
          <c:idx val="12"/>
          <c:order val="12"/>
          <c:tx>
            <c:v>PL pós runoff</c:v>
          </c:tx>
          <c:spPr>
            <a:solidFill>
              <a:srgbClr val="D9D9D9"/>
            </a:solidFill>
            <a:ln>
              <a:solidFill>
                <a:srgbClr val="888888"/>
              </a:solidFill>
            </a:ln>
          </c:spPr>
          <c:cat>
            <c:strRef>
              <c:f>'ChartData'!$A$3:$A$8</c:f>
              <c:strCache>
                <c:ptCount val="6"/>
                <c:pt idx="0">
                  <c:v>PL atual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2029+</c:v>
                </c:pt>
                <c:pt idx="5">
                  <c:v>PL pós runoff</c:v>
                </c:pt>
              </c:strCache>
            </c:strRef>
          </c:cat>
          <c:val>
            <c:numRef>
              <c:f>'ChartData'!$N$3:$N$8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spPr>
          <a:ln>
            <a:solidFill>
              <a:srgbClr val="333333"/>
            </a:solidFill>
          </a:ln>
        </c:spPr>
        <c:txPr>
          <a:bodyPr/>
          <a:lstStyle/>
          <a:p>
            <a:pPr>
              <a:defRPr sz="900" b="1" baseline="0"/>
            </a:pPr>
            <a:endParaRPr lang="en-US"/>
          </a:p>
        </c:txPr>
        <c:crossAx val="50010002"/>
        <c:crosses val="autoZero"/>
        <c:lblAlgn val="ctr"/>
        <c:lblOffset val="100"/>
      </c:catAx>
      <c:valAx>
        <c:axId val="50010002"/>
        <c:scaling>
          <c:orientation val="minMax"/>
          <c:max val="20.5"/>
          <c:min val="0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R$ bi</a:t>
                </a:r>
              </a:p>
            </c:rich>
          </c:tx>
          <c:layout/>
        </c:title>
        <c:numFmt formatCode="#,##0.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666666"/>
                </a:solidFill>
              </a:defRPr>
            </a:pPr>
            <a:endParaRPr lang="en-US"/>
          </a:p>
        </c:txPr>
        <c:crossAx val="50010001"/>
        <c:crosses val="autoZero"/>
        <c:crossBetween val="between"/>
        <c:majorUnit val="2.5"/>
      </c:valAx>
      <c:spPr>
        <a:solidFill>
          <a:srgbClr val="FBFBFB"/>
        </a:solidFill>
        <a:ln>
          <a:noFill/>
        </a:ln>
      </c:spPr>
    </c:plotArea>
    <c:legend>
      <c:legendPos val="b"/>
      <c:legendEntry>
        <c:idx val="0"/>
        <c:delete val="1"/>
      </c:legendEntry>
      <c:legendEntry>
        <c:idx val="12"/>
        <c:delete val="1"/>
      </c:legendEntry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22222"/>
                </a:solidFill>
              </a:defRPr>
            </a:pPr>
            <a:r>
              <a:rPr lang="en-US" sz="1200" b="1" baseline="0">
                <a:solidFill>
                  <a:srgbClr val="222222"/>
                </a:solidFill>
              </a:rPr>
              <a:t>Zoom 2026: principal vencendo por FIDC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Run-off 2026</c:v>
          </c:tx>
          <c:dPt>
            <c:idx val="0"/>
            <c:spPr>
              <a:solidFill>
                <a:srgbClr val="70AD47"/>
              </a:solidFill>
              <a:ln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FFC000"/>
              </a:solidFill>
              <a:ln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A5A5A5"/>
              </a:solidFill>
              <a:ln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4472C4"/>
              </a:solidFill>
              <a:ln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1F4E79"/>
              </a:solidFill>
              <a:ln>
                <a:solidFill>
                  <a:srgbClr val="FFFFFF"/>
                </a:solidFill>
              </a:ln>
            </c:spPr>
          </c:dPt>
          <c:dPt>
            <c:idx val="5"/>
            <c:spPr>
              <a:solidFill>
                <a:srgbClr val="5B9BD5"/>
              </a:solidFill>
              <a:ln>
                <a:solidFill>
                  <a:srgbClr val="FFFFFF"/>
                </a:solidFill>
              </a:ln>
            </c:spPr>
          </c:dPt>
          <c:dPt>
            <c:idx val="6"/>
            <c:spPr>
              <a:solidFill>
                <a:srgbClr val="ED7D31"/>
              </a:solidFill>
              <a:ln>
                <a:solidFill>
                  <a:srgbClr val="FFFFFF"/>
                </a:solidFill>
              </a:ln>
            </c:spPr>
          </c:dPt>
          <c:dLbls>
            <c:numFmt formatCode="R$ #,##0.00 &quot;bi&quot;" sourceLinked="0"/>
            <c:txPr>
              <a:bodyPr/>
              <a:lstStyle/>
              <a:p>
                <a:pPr>
                  <a:defRPr sz="800" b="1" baseline="0">
                    <a:solidFill>
                      <a:srgbClr val="222222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'ChartData'!$A$14:$A$20</c:f>
              <c:strCache>
                <c:ptCount val="7"/>
                <c:pt idx="0">
                  <c:v>Akira II</c:v>
                </c:pt>
                <c:pt idx="1">
                  <c:v>Big Picture III</c:v>
                </c:pt>
                <c:pt idx="2">
                  <c:v>Big Picture II</c:v>
                </c:pt>
                <c:pt idx="3">
                  <c:v>Big Picture IV</c:v>
                </c:pt>
                <c:pt idx="4">
                  <c:v>Kick Ass I</c:v>
                </c:pt>
                <c:pt idx="5">
                  <c:v>Big Picture I</c:v>
                </c:pt>
                <c:pt idx="6">
                  <c:v>Akira I</c:v>
                </c:pt>
              </c:strCache>
            </c:strRef>
          </c:cat>
          <c:val>
            <c:numRef>
              <c:f>'ChartData'!$B$14:$B$20</c:f>
              <c:numCache>
                <c:formatCode>General</c:formatCode>
                <c:ptCount val="7"/>
                <c:pt idx="0">
                  <c:v>0.03948951646000001</c:v>
                </c:pt>
                <c:pt idx="1">
                  <c:v>0.05063603834333334</c:v>
                </c:pt>
                <c:pt idx="2">
                  <c:v>0.1006941602233333</c:v>
                </c:pt>
                <c:pt idx="3">
                  <c:v>0.1033060518166667</c:v>
                </c:pt>
                <c:pt idx="4">
                  <c:v>0.15703853584</c:v>
                </c:pt>
                <c:pt idx="5">
                  <c:v>0.3013735271366667</c:v>
                </c:pt>
                <c:pt idx="6">
                  <c:v>0.3062715043062501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spPr>
          <a:ln>
            <a:noFill/>
          </a:ln>
        </c:spPr>
        <c:txPr>
          <a:bodyPr/>
          <a:lstStyle/>
          <a:p>
            <a:pPr>
              <a:defRPr sz="800" b="1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in val="0"/>
        </c:scaling>
        <c:axPos val="b"/>
        <c:majorGridlines>
          <c:spPr>
            <a:ln>
              <a:solidFill>
                <a:srgbClr val="E5E5E5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R$ bi</a:t>
                </a:r>
              </a:p>
            </c:rich>
          </c:tx>
          <c:layout/>
        </c:title>
        <c:numFmt formatCode="#,##0.00" sourceLinked="0"/>
        <c:tickLblPos val="nextTo"/>
        <c:txPr>
          <a:bodyPr/>
          <a:lstStyle/>
          <a:p>
            <a:pPr>
              <a:defRPr sz="800" baseline="0">
                <a:solidFill>
                  <a:srgbClr val="666666"/>
                </a:solidFill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solidFill>
          <a:srgbClr val="FBFBFB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12</xdr:col>
      <xdr:colOff>1695450</xdr:colOff>
      <xdr:row>35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6</xdr:col>
      <xdr:colOff>476250</xdr:colOff>
      <xdr:row>49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4E79"/>
  </sheetPr>
  <dimension ref="A1:T39"/>
  <sheetViews>
    <sheetView showGridLines="0" tabSelected="1" workbookViewId="0"/>
  </sheetViews>
  <sheetFormatPr defaultRowHeight="15"/>
  <cols>
    <col min="1" max="1" width="2.7109375" customWidth="1"/>
    <col min="2" max="6" width="16.7109375" customWidth="1"/>
    <col min="7" max="11" width="12.7109375" customWidth="1"/>
    <col min="12" max="12" width="16.7109375" customWidth="1"/>
    <col min="13" max="20" width="82.7109375" customWidth="1"/>
    <col min="21" max="21" width="2.7109375" customWidth="1"/>
  </cols>
  <sheetData>
    <row r="1" spans="2:20" ht="28" customHeight="1"/>
    <row r="2" spans="2:20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2:20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5" spans="2:20" ht="18" customHeight="1">
      <c r="B5" s="3" t="s">
        <v>2</v>
      </c>
      <c r="C5" s="3"/>
      <c r="E5" s="3" t="s">
        <v>3</v>
      </c>
      <c r="F5" s="3"/>
      <c r="H5" s="3" t="s">
        <v>4</v>
      </c>
      <c r="I5" s="3"/>
      <c r="K5" s="3" t="s">
        <v>5</v>
      </c>
      <c r="L5" s="3"/>
      <c r="N5" s="3" t="s">
        <v>6</v>
      </c>
      <c r="O5" s="3"/>
      <c r="Q5" s="3" t="s">
        <v>7</v>
      </c>
      <c r="R5" s="3"/>
    </row>
    <row r="6" spans="2:20" ht="27" customHeight="1">
      <c r="B6" s="4">
        <v>18.15352428672</v>
      </c>
      <c r="C6" s="4"/>
      <c r="E6" s="4">
        <v>1.05880933412625</v>
      </c>
      <c r="F6" s="4"/>
      <c r="H6" s="4">
        <v>3.85747398759375</v>
      </c>
      <c r="I6" s="4"/>
      <c r="K6" s="4">
        <v>0</v>
      </c>
      <c r="L6" s="4"/>
      <c r="N6" s="4">
        <v>13.237240965</v>
      </c>
      <c r="O6" s="4"/>
      <c r="Q6" s="4">
        <v>0.5478252715068727</v>
      </c>
      <c r="R6" s="4"/>
    </row>
    <row r="34" spans="12:20">
      <c r="L34" s="5" t="s">
        <v>37</v>
      </c>
      <c r="M34" s="5"/>
      <c r="N34" s="5"/>
      <c r="O34" s="5"/>
      <c r="P34" s="5"/>
      <c r="Q34" s="5"/>
      <c r="R34" s="5"/>
      <c r="S34" s="5"/>
      <c r="T34" s="5"/>
    </row>
    <row r="35" spans="12:20">
      <c r="L35" s="6" t="s">
        <v>38</v>
      </c>
      <c r="M35" s="6" t="s">
        <v>39</v>
      </c>
    </row>
    <row r="36" spans="12:20" ht="34" customHeight="1">
      <c r="L36" s="7" t="s">
        <v>40</v>
      </c>
      <c r="M36" s="7" t="s">
        <v>41</v>
      </c>
    </row>
    <row r="37" spans="12:20" ht="34" customHeight="1">
      <c r="L37" s="7" t="s">
        <v>42</v>
      </c>
      <c r="M37" s="7" t="s">
        <v>43</v>
      </c>
    </row>
    <row r="38" spans="12:20" ht="34" customHeight="1">
      <c r="L38" s="7" t="s">
        <v>44</v>
      </c>
      <c r="M38" s="7" t="s">
        <v>45</v>
      </c>
    </row>
    <row r="39" spans="12:20" ht="34" customHeight="1">
      <c r="L39" s="7" t="s">
        <v>46</v>
      </c>
      <c r="M39" s="7" t="s">
        <v>47</v>
      </c>
    </row>
  </sheetData>
  <mergeCells count="15">
    <mergeCell ref="B2:T2"/>
    <mergeCell ref="B3:T3"/>
    <mergeCell ref="B5:C5"/>
    <mergeCell ref="B6:C6"/>
    <mergeCell ref="E5:F5"/>
    <mergeCell ref="E6:F6"/>
    <mergeCell ref="H5:I5"/>
    <mergeCell ref="H6:I6"/>
    <mergeCell ref="K5:L5"/>
    <mergeCell ref="K6:L6"/>
    <mergeCell ref="N5:O5"/>
    <mergeCell ref="N6:O6"/>
    <mergeCell ref="Q5:R5"/>
    <mergeCell ref="Q6:R6"/>
    <mergeCell ref="L34:T3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0AD47"/>
  </sheetPr>
  <dimension ref="A1:N28"/>
  <sheetViews>
    <sheetView showGridLines="0" workbookViewId="0"/>
  </sheetViews>
  <sheetFormatPr defaultRowHeight="15"/>
  <cols>
    <col min="1" max="1" width="22.7109375" customWidth="1"/>
    <col min="2" max="15" width="15.7109375" customWidth="1"/>
  </cols>
  <sheetData>
    <row r="1" spans="1:14">
      <c r="A1" s="5" t="s">
        <v>8</v>
      </c>
    </row>
    <row r="2" spans="1:14">
      <c r="A2" s="8" t="s">
        <v>9</v>
      </c>
      <c r="B2" s="8" t="s">
        <v>10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8" t="s">
        <v>16</v>
      </c>
      <c r="I2" s="8" t="s">
        <v>17</v>
      </c>
      <c r="J2" s="8" t="s">
        <v>18</v>
      </c>
      <c r="K2" s="8" t="s">
        <v>19</v>
      </c>
      <c r="L2" s="8" t="s">
        <v>20</v>
      </c>
      <c r="M2" s="8" t="s">
        <v>21</v>
      </c>
      <c r="N2" s="8" t="s">
        <v>22</v>
      </c>
    </row>
    <row r="3" spans="1:14">
      <c r="A3" s="7" t="s">
        <v>23</v>
      </c>
      <c r="B3" s="9">
        <v>0</v>
      </c>
      <c r="C3" s="9">
        <v>18.15352428672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</row>
    <row r="4" spans="1:14">
      <c r="A4" s="7" t="s">
        <v>24</v>
      </c>
      <c r="B4" s="9">
        <v>17.09471495259375</v>
      </c>
      <c r="C4" s="9">
        <v>0</v>
      </c>
      <c r="D4" s="9">
        <v>0.15703853584</v>
      </c>
      <c r="E4" s="9">
        <v>0.3062715043062501</v>
      </c>
      <c r="F4" s="9">
        <v>0.03948951646000001</v>
      </c>
      <c r="G4" s="9">
        <v>0.3013735271366667</v>
      </c>
      <c r="H4" s="9">
        <v>0.1006941602233333</v>
      </c>
      <c r="I4" s="9">
        <v>0.05063603834333334</v>
      </c>
      <c r="J4" s="9">
        <v>0.1033060518166667</v>
      </c>
      <c r="K4" s="9">
        <v>0</v>
      </c>
      <c r="L4" s="9">
        <v>0</v>
      </c>
      <c r="M4" s="9">
        <v>0</v>
      </c>
      <c r="N4" s="9">
        <v>0</v>
      </c>
    </row>
    <row r="5" spans="1:14">
      <c r="A5" s="7" t="s">
        <v>25</v>
      </c>
      <c r="B5" s="9">
        <v>13.237240965</v>
      </c>
      <c r="C5" s="9">
        <v>0</v>
      </c>
      <c r="D5" s="9">
        <v>0</v>
      </c>
      <c r="E5" s="9">
        <v>0.04375307204374995</v>
      </c>
      <c r="F5" s="9">
        <v>0</v>
      </c>
      <c r="G5" s="9">
        <v>0.6027470542733331</v>
      </c>
      <c r="H5" s="9">
        <v>0.2013883204466667</v>
      </c>
      <c r="I5" s="9">
        <v>0.1012720766866667</v>
      </c>
      <c r="J5" s="9">
        <v>0.2066121036333333</v>
      </c>
      <c r="K5" s="9">
        <v>2.70170136051</v>
      </c>
      <c r="L5" s="9">
        <v>0</v>
      </c>
      <c r="M5" s="9">
        <v>0</v>
      </c>
      <c r="N5" s="9">
        <v>0</v>
      </c>
    </row>
    <row r="6" spans="1:14">
      <c r="A6" s="7" t="s">
        <v>26</v>
      </c>
      <c r="B6" s="9">
        <v>13.237240965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spans="1:14">
      <c r="A7" s="7" t="s">
        <v>27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3.25235463279</v>
      </c>
      <c r="M7" s="9">
        <v>9.984886332209999</v>
      </c>
      <c r="N7" s="9">
        <v>0</v>
      </c>
    </row>
    <row r="8" spans="1:14">
      <c r="A8" s="7" t="s">
        <v>22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12" spans="1:14">
      <c r="A12" s="5" t="s">
        <v>28</v>
      </c>
    </row>
    <row r="13" spans="1:14">
      <c r="A13" s="8" t="s">
        <v>29</v>
      </c>
      <c r="B13" s="8" t="s">
        <v>3</v>
      </c>
      <c r="C13" s="8" t="s">
        <v>30</v>
      </c>
      <c r="D13" s="8" t="s">
        <v>31</v>
      </c>
    </row>
    <row r="14" spans="1:14">
      <c r="A14" s="7" t="s">
        <v>14</v>
      </c>
      <c r="B14" s="9">
        <v>0.03948951646000001</v>
      </c>
      <c r="C14" s="10">
        <v>0.03729615445125209</v>
      </c>
      <c r="D14" s="10">
        <v>0.002175308542644147</v>
      </c>
    </row>
    <row r="15" spans="1:14">
      <c r="A15" s="7" t="s">
        <v>17</v>
      </c>
      <c r="B15" s="9">
        <v>0.05063603834333334</v>
      </c>
      <c r="C15" s="10">
        <v>0.04782356625626007</v>
      </c>
      <c r="D15" s="10">
        <v>0.002789322753178872</v>
      </c>
    </row>
    <row r="16" spans="1:14">
      <c r="A16" s="7" t="s">
        <v>16</v>
      </c>
      <c r="B16" s="9">
        <v>0.1006941602233333</v>
      </c>
      <c r="C16" s="10">
        <v>0.09510131520178568</v>
      </c>
      <c r="D16" s="10">
        <v>0.005546810560470341</v>
      </c>
    </row>
    <row r="17" spans="1:4">
      <c r="A17" s="7" t="s">
        <v>18</v>
      </c>
      <c r="B17" s="9">
        <v>0.1033060518166667</v>
      </c>
      <c r="C17" s="10">
        <v>0.09756813477840824</v>
      </c>
      <c r="D17" s="10">
        <v>0.00569068849580018</v>
      </c>
    </row>
    <row r="18" spans="1:4">
      <c r="A18" s="7" t="s">
        <v>12</v>
      </c>
      <c r="B18" s="9">
        <v>0.15703853584</v>
      </c>
      <c r="C18" s="10">
        <v>0.1483161611619067</v>
      </c>
      <c r="D18" s="10">
        <v>0.008650581196229743</v>
      </c>
    </row>
    <row r="19" spans="1:4">
      <c r="A19" s="7" t="s">
        <v>15</v>
      </c>
      <c r="B19" s="9">
        <v>0.3013735271366667</v>
      </c>
      <c r="C19" s="10">
        <v>0.2846343694026516</v>
      </c>
      <c r="D19" s="10">
        <v>0.01660137846385746</v>
      </c>
    </row>
    <row r="20" spans="1:4">
      <c r="A20" s="7" t="s">
        <v>13</v>
      </c>
      <c r="B20" s="9">
        <v>0.3062715043062501</v>
      </c>
      <c r="C20" s="10">
        <v>0.2892602987477355</v>
      </c>
      <c r="D20" s="10">
        <v>0.01687118707469377</v>
      </c>
    </row>
    <row r="24" spans="1:4">
      <c r="A24" s="5" t="s">
        <v>32</v>
      </c>
    </row>
    <row r="25" spans="1:4">
      <c r="A25" s="8" t="s">
        <v>33</v>
      </c>
      <c r="B25" s="8" t="s">
        <v>34</v>
      </c>
    </row>
    <row r="26" spans="1:4">
      <c r="A26" s="7" t="s">
        <v>2</v>
      </c>
      <c r="B26" s="9">
        <v>18.15352428672</v>
      </c>
    </row>
    <row r="27" spans="1:4">
      <c r="A27" s="7" t="s">
        <v>35</v>
      </c>
      <c r="B27" s="9">
        <v>18.15352428672</v>
      </c>
    </row>
    <row r="28" spans="1:4">
      <c r="A28" s="7" t="s">
        <v>36</v>
      </c>
      <c r="B28" s="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42.7109375" customWidth="1"/>
    <col min="3" max="3" width="17.7109375" customWidth="1"/>
    <col min="4" max="4" width="20.7109375" customWidth="1"/>
    <col min="5" max="5" width="23.7109375" customWidth="1"/>
    <col min="6" max="6" width="16.7109375" style="11" customWidth="1"/>
    <col min="7" max="7" width="25.7109375" customWidth="1"/>
    <col min="8" max="8" width="14.7109375" customWidth="1"/>
    <col min="9" max="9" width="42.7109375" customWidth="1"/>
  </cols>
  <sheetData>
    <row r="1" spans="1:9" s="8" customFormat="1" ht="22" customHeight="1">
      <c r="A1" s="8" t="s">
        <v>48</v>
      </c>
      <c r="B1" s="8" t="s">
        <v>49</v>
      </c>
      <c r="C1" s="8" t="s">
        <v>50</v>
      </c>
      <c r="D1" s="8" t="s">
        <v>51</v>
      </c>
      <c r="E1" s="8" t="s">
        <v>52</v>
      </c>
      <c r="F1" s="8" t="s">
        <v>53</v>
      </c>
      <c r="G1" s="8" t="s">
        <v>54</v>
      </c>
      <c r="H1" s="8" t="s">
        <v>55</v>
      </c>
      <c r="I1" s="8" t="s">
        <v>56</v>
      </c>
    </row>
    <row r="2" spans="1:9">
      <c r="A2" t="s">
        <v>57</v>
      </c>
      <c r="B2" t="s">
        <v>68</v>
      </c>
      <c r="C2" t="s">
        <v>12</v>
      </c>
      <c r="D2" t="s">
        <v>80</v>
      </c>
      <c r="E2" t="s">
        <v>84</v>
      </c>
      <c r="F2" s="11">
        <v>157038535.84</v>
      </c>
      <c r="G2" t="s">
        <v>88</v>
      </c>
      <c r="H2" t="s">
        <v>91</v>
      </c>
      <c r="I2" t="s">
        <v>92</v>
      </c>
    </row>
    <row r="3" spans="1:9">
      <c r="A3" t="s">
        <v>58</v>
      </c>
      <c r="B3" t="s">
        <v>69</v>
      </c>
      <c r="C3" t="s">
        <v>13</v>
      </c>
      <c r="D3" t="s">
        <v>81</v>
      </c>
      <c r="E3" t="s">
        <v>85</v>
      </c>
      <c r="F3" s="11">
        <v>350024576.35</v>
      </c>
      <c r="G3" t="s">
        <v>89</v>
      </c>
      <c r="H3" t="s">
        <v>91</v>
      </c>
      <c r="I3" t="s">
        <v>93</v>
      </c>
    </row>
    <row r="4" spans="1:9">
      <c r="A4" t="s">
        <v>59</v>
      </c>
      <c r="B4" t="s">
        <v>70</v>
      </c>
      <c r="C4" t="s">
        <v>79</v>
      </c>
      <c r="D4" t="s">
        <v>82</v>
      </c>
      <c r="E4" t="s">
        <v>86</v>
      </c>
      <c r="F4" s="11">
        <v>0</v>
      </c>
      <c r="G4" t="s">
        <v>90</v>
      </c>
      <c r="H4" t="s">
        <v>91</v>
      </c>
      <c r="I4" t="s">
        <v>94</v>
      </c>
    </row>
    <row r="5" spans="1:9">
      <c r="A5" t="s">
        <v>60</v>
      </c>
      <c r="B5" t="s">
        <v>71</v>
      </c>
      <c r="C5" t="s">
        <v>14</v>
      </c>
      <c r="D5" t="s">
        <v>80</v>
      </c>
      <c r="E5" t="s">
        <v>84</v>
      </c>
      <c r="F5" s="11">
        <v>39489516.46</v>
      </c>
      <c r="G5" t="s">
        <v>88</v>
      </c>
      <c r="H5" t="s">
        <v>91</v>
      </c>
      <c r="I5" t="s">
        <v>95</v>
      </c>
    </row>
    <row r="6" spans="1:9">
      <c r="A6" t="s">
        <v>61</v>
      </c>
      <c r="B6" t="s">
        <v>72</v>
      </c>
      <c r="C6" t="s">
        <v>15</v>
      </c>
      <c r="D6" t="s">
        <v>83</v>
      </c>
      <c r="E6" t="s">
        <v>87</v>
      </c>
      <c r="F6" s="11">
        <v>904120581.41</v>
      </c>
      <c r="G6" t="s">
        <v>89</v>
      </c>
      <c r="H6" t="s">
        <v>91</v>
      </c>
      <c r="I6" t="s">
        <v>96</v>
      </c>
    </row>
    <row r="7" spans="1:9">
      <c r="A7" t="s">
        <v>62</v>
      </c>
      <c r="B7" t="s">
        <v>73</v>
      </c>
      <c r="C7" t="s">
        <v>16</v>
      </c>
      <c r="D7" t="s">
        <v>81</v>
      </c>
      <c r="E7" t="s">
        <v>85</v>
      </c>
      <c r="F7" s="11">
        <v>302082480.67</v>
      </c>
      <c r="G7" t="s">
        <v>89</v>
      </c>
      <c r="H7" t="s">
        <v>91</v>
      </c>
      <c r="I7" t="s">
        <v>97</v>
      </c>
    </row>
    <row r="8" spans="1:9">
      <c r="A8" t="s">
        <v>63</v>
      </c>
      <c r="B8" t="s">
        <v>74</v>
      </c>
      <c r="C8" t="s">
        <v>17</v>
      </c>
      <c r="D8" t="s">
        <v>81</v>
      </c>
      <c r="E8" t="s">
        <v>85</v>
      </c>
      <c r="F8" s="11">
        <v>151908115.03</v>
      </c>
      <c r="G8" t="s">
        <v>89</v>
      </c>
      <c r="H8" t="s">
        <v>91</v>
      </c>
      <c r="I8" t="s">
        <v>98</v>
      </c>
    </row>
    <row r="9" spans="1:9">
      <c r="A9" t="s">
        <v>64</v>
      </c>
      <c r="B9" t="s">
        <v>75</v>
      </c>
      <c r="C9" t="s">
        <v>18</v>
      </c>
      <c r="D9" t="s">
        <v>81</v>
      </c>
      <c r="E9" t="s">
        <v>85</v>
      </c>
      <c r="F9" s="11">
        <v>309918155.45</v>
      </c>
      <c r="G9" t="s">
        <v>89</v>
      </c>
      <c r="H9" t="s">
        <v>91</v>
      </c>
      <c r="I9" t="s">
        <v>99</v>
      </c>
    </row>
    <row r="10" spans="1:9">
      <c r="A10" t="s">
        <v>65</v>
      </c>
      <c r="B10" t="s">
        <v>76</v>
      </c>
      <c r="C10" t="s">
        <v>19</v>
      </c>
      <c r="D10" t="s">
        <v>81</v>
      </c>
      <c r="E10" t="s">
        <v>85</v>
      </c>
      <c r="F10" s="11">
        <v>2701701360.51</v>
      </c>
      <c r="G10" t="s">
        <v>89</v>
      </c>
      <c r="H10" t="s">
        <v>91</v>
      </c>
      <c r="I10" t="s">
        <v>100</v>
      </c>
    </row>
    <row r="11" spans="1:9">
      <c r="A11" t="s">
        <v>66</v>
      </c>
      <c r="B11" t="s">
        <v>77</v>
      </c>
      <c r="C11" t="s">
        <v>20</v>
      </c>
      <c r="D11" t="s">
        <v>81</v>
      </c>
      <c r="E11" t="s">
        <v>85</v>
      </c>
      <c r="F11" s="11">
        <v>3252354632.79</v>
      </c>
      <c r="G11" t="s">
        <v>89</v>
      </c>
      <c r="H11" t="s">
        <v>91</v>
      </c>
      <c r="I11" t="s">
        <v>101</v>
      </c>
    </row>
    <row r="12" spans="1:9">
      <c r="A12" t="s">
        <v>67</v>
      </c>
      <c r="B12" t="s">
        <v>78</v>
      </c>
      <c r="C12" t="s">
        <v>21</v>
      </c>
      <c r="D12" t="s">
        <v>81</v>
      </c>
      <c r="E12" t="s">
        <v>85</v>
      </c>
      <c r="F12" s="11">
        <v>9984886332.209999</v>
      </c>
      <c r="G12" t="s">
        <v>89</v>
      </c>
      <c r="H12" t="s">
        <v>91</v>
      </c>
      <c r="I12" t="s">
        <v>102</v>
      </c>
    </row>
  </sheetData>
  <autoFilter ref="A1:I1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42.7109375" customWidth="1"/>
    <col min="3" max="3" width="17.7109375" customWidth="1"/>
    <col min="4" max="6" width="13.7109375" customWidth="1"/>
    <col min="7" max="7" width="24.7109375" customWidth="1"/>
    <col min="8" max="9" width="18.7109375" customWidth="1"/>
    <col min="10" max="12" width="16.7109375" style="11" customWidth="1"/>
  </cols>
  <sheetData>
    <row r="1" spans="1:12" s="8" customFormat="1" ht="22" customHeight="1">
      <c r="A1" s="8" t="s">
        <v>48</v>
      </c>
      <c r="B1" s="8" t="s">
        <v>49</v>
      </c>
      <c r="C1" s="8" t="s">
        <v>50</v>
      </c>
      <c r="D1" s="8" t="s">
        <v>103</v>
      </c>
      <c r="E1" s="8" t="s">
        <v>104</v>
      </c>
      <c r="F1" s="8" t="s">
        <v>105</v>
      </c>
      <c r="G1" s="8" t="s">
        <v>106</v>
      </c>
      <c r="H1" s="8" t="s">
        <v>107</v>
      </c>
      <c r="I1" s="8" t="s">
        <v>108</v>
      </c>
      <c r="J1" s="8" t="s">
        <v>109</v>
      </c>
      <c r="K1" s="8" t="s">
        <v>110</v>
      </c>
      <c r="L1" s="8" t="s">
        <v>111</v>
      </c>
    </row>
    <row r="2" spans="1:12">
      <c r="A2" t="s">
        <v>57</v>
      </c>
      <c r="B2" t="s">
        <v>68</v>
      </c>
      <c r="C2" t="s">
        <v>12</v>
      </c>
      <c r="D2" t="s">
        <v>80</v>
      </c>
      <c r="E2" t="s">
        <v>112</v>
      </c>
      <c r="F2" t="s">
        <v>112</v>
      </c>
      <c r="G2" t="s">
        <v>115</v>
      </c>
      <c r="H2">
        <v>291000</v>
      </c>
      <c r="I2">
        <v>500</v>
      </c>
      <c r="J2" s="11">
        <v>145500000</v>
      </c>
      <c r="K2" s="11">
        <v>92.65241755226059</v>
      </c>
      <c r="L2" s="11" t="s">
        <v>128</v>
      </c>
    </row>
    <row r="3" spans="1:12">
      <c r="A3" t="s">
        <v>57</v>
      </c>
      <c r="B3" t="s">
        <v>68</v>
      </c>
      <c r="C3" t="s">
        <v>12</v>
      </c>
      <c r="D3" t="s">
        <v>80</v>
      </c>
      <c r="E3" t="s">
        <v>113</v>
      </c>
      <c r="F3" t="s">
        <v>113</v>
      </c>
      <c r="G3" t="s">
        <v>116</v>
      </c>
      <c r="H3">
        <v>15294.88571197</v>
      </c>
      <c r="I3">
        <v>754.40484599</v>
      </c>
      <c r="J3" s="11">
        <v>11538535.89997338</v>
      </c>
      <c r="K3" s="11">
        <v>7.347582447739399</v>
      </c>
      <c r="L3" s="11" t="s">
        <v>128</v>
      </c>
    </row>
    <row r="4" spans="1:12">
      <c r="A4" t="s">
        <v>58</v>
      </c>
      <c r="B4" t="s">
        <v>69</v>
      </c>
      <c r="C4" t="s">
        <v>13</v>
      </c>
      <c r="D4" t="s">
        <v>81</v>
      </c>
      <c r="E4" t="s">
        <v>112</v>
      </c>
      <c r="F4" t="s">
        <v>112</v>
      </c>
      <c r="G4" t="s">
        <v>115</v>
      </c>
      <c r="H4">
        <v>500000</v>
      </c>
      <c r="I4">
        <v>667.43888634</v>
      </c>
      <c r="J4" s="11">
        <v>333719443.17</v>
      </c>
      <c r="K4" s="11">
        <v>95.3417176159266</v>
      </c>
      <c r="L4" s="11" t="s">
        <v>128</v>
      </c>
    </row>
    <row r="5" spans="1:12">
      <c r="A5" t="s">
        <v>58</v>
      </c>
      <c r="B5" t="s">
        <v>69</v>
      </c>
      <c r="C5" t="s">
        <v>13</v>
      </c>
      <c r="D5" t="s">
        <v>81</v>
      </c>
      <c r="E5" t="s">
        <v>113</v>
      </c>
      <c r="F5" t="s">
        <v>113</v>
      </c>
      <c r="G5" t="s">
        <v>116</v>
      </c>
      <c r="H5">
        <v>16099.02582643</v>
      </c>
      <c r="I5">
        <v>1012.80247363</v>
      </c>
      <c r="J5" s="11">
        <v>16305133.18004156</v>
      </c>
      <c r="K5" s="11">
        <v>4.658282384073408</v>
      </c>
      <c r="L5" s="11" t="s">
        <v>128</v>
      </c>
    </row>
    <row r="6" spans="1:12">
      <c r="A6" t="s">
        <v>59</v>
      </c>
      <c r="B6" t="s">
        <v>70</v>
      </c>
      <c r="C6" t="s">
        <v>79</v>
      </c>
      <c r="D6" t="s">
        <v>82</v>
      </c>
      <c r="E6" t="s">
        <v>112</v>
      </c>
      <c r="F6" t="s">
        <v>112</v>
      </c>
      <c r="G6" t="s">
        <v>117</v>
      </c>
      <c r="H6">
        <v>0</v>
      </c>
      <c r="I6">
        <v>0</v>
      </c>
      <c r="J6" s="11">
        <v>0</v>
      </c>
      <c r="L6" s="11" t="s">
        <v>128</v>
      </c>
    </row>
    <row r="7" spans="1:12">
      <c r="A7" t="s">
        <v>59</v>
      </c>
      <c r="B7" t="s">
        <v>70</v>
      </c>
      <c r="C7" t="s">
        <v>79</v>
      </c>
      <c r="D7" t="s">
        <v>82</v>
      </c>
      <c r="E7" t="s">
        <v>113</v>
      </c>
      <c r="F7" t="s">
        <v>113</v>
      </c>
      <c r="G7" t="s">
        <v>118</v>
      </c>
      <c r="H7">
        <v>0</v>
      </c>
      <c r="I7">
        <v>0</v>
      </c>
      <c r="J7" s="11">
        <v>0</v>
      </c>
      <c r="L7" s="11" t="s">
        <v>128</v>
      </c>
    </row>
    <row r="8" spans="1:12">
      <c r="A8" t="s">
        <v>60</v>
      </c>
      <c r="B8" t="s">
        <v>71</v>
      </c>
      <c r="C8" t="s">
        <v>14</v>
      </c>
      <c r="D8" t="s">
        <v>80</v>
      </c>
      <c r="E8" t="s">
        <v>112</v>
      </c>
      <c r="F8" t="s">
        <v>112</v>
      </c>
      <c r="G8" t="s">
        <v>115</v>
      </c>
      <c r="H8">
        <v>1500000</v>
      </c>
      <c r="I8">
        <v>23.50791901</v>
      </c>
      <c r="J8" s="11">
        <v>35261878.515</v>
      </c>
      <c r="K8" s="11">
        <v>89.29427770595262</v>
      </c>
      <c r="L8" s="11" t="s">
        <v>128</v>
      </c>
    </row>
    <row r="9" spans="1:12">
      <c r="A9" t="s">
        <v>60</v>
      </c>
      <c r="B9" t="s">
        <v>71</v>
      </c>
      <c r="C9" t="s">
        <v>14</v>
      </c>
      <c r="D9" t="s">
        <v>80</v>
      </c>
      <c r="E9" t="s">
        <v>113</v>
      </c>
      <c r="F9" t="s">
        <v>113</v>
      </c>
      <c r="G9" t="s">
        <v>116</v>
      </c>
      <c r="H9">
        <v>78115.19360666</v>
      </c>
      <c r="I9">
        <v>54.12055933</v>
      </c>
      <c r="J9" s="11">
        <v>4227637.97016368</v>
      </c>
      <c r="K9" s="11">
        <v>10.70572229404737</v>
      </c>
      <c r="L9" s="11" t="s">
        <v>128</v>
      </c>
    </row>
    <row r="10" spans="1:12">
      <c r="A10" t="s">
        <v>61</v>
      </c>
      <c r="B10" t="s">
        <v>72</v>
      </c>
      <c r="C10" t="s">
        <v>15</v>
      </c>
      <c r="D10" t="s">
        <v>83</v>
      </c>
      <c r="E10" t="s">
        <v>112</v>
      </c>
      <c r="F10" t="s">
        <v>112</v>
      </c>
      <c r="G10" t="s">
        <v>115</v>
      </c>
      <c r="H10">
        <v>877500</v>
      </c>
      <c r="I10">
        <v>1004.13749127</v>
      </c>
      <c r="J10" s="11">
        <v>881130648.5894251</v>
      </c>
      <c r="K10" s="11">
        <v>97.45720501304872</v>
      </c>
      <c r="L10" s="11" t="s">
        <v>128</v>
      </c>
    </row>
    <row r="11" spans="1:12">
      <c r="A11" t="s">
        <v>61</v>
      </c>
      <c r="B11" t="s">
        <v>72</v>
      </c>
      <c r="C11" t="s">
        <v>15</v>
      </c>
      <c r="D11" t="s">
        <v>83</v>
      </c>
      <c r="E11" t="s">
        <v>113</v>
      </c>
      <c r="F11" t="s">
        <v>113</v>
      </c>
      <c r="G11" t="s">
        <v>116</v>
      </c>
      <c r="H11">
        <v>23780.40393154</v>
      </c>
      <c r="I11">
        <v>966.7595591</v>
      </c>
      <c r="J11" s="11">
        <v>22989932.82007552</v>
      </c>
      <c r="K11" s="11">
        <v>2.542794986951277</v>
      </c>
      <c r="L11" s="11" t="s">
        <v>128</v>
      </c>
    </row>
    <row r="12" spans="1:12">
      <c r="A12" t="s">
        <v>62</v>
      </c>
      <c r="B12" t="s">
        <v>73</v>
      </c>
      <c r="C12" t="s">
        <v>16</v>
      </c>
      <c r="D12" t="s">
        <v>81</v>
      </c>
      <c r="E12" t="s">
        <v>112</v>
      </c>
      <c r="F12" t="s">
        <v>112</v>
      </c>
      <c r="G12" t="s">
        <v>115</v>
      </c>
      <c r="H12">
        <v>291000</v>
      </c>
      <c r="I12">
        <v>1004.75474447</v>
      </c>
      <c r="J12" s="11">
        <v>292383630.64077</v>
      </c>
      <c r="K12" s="11">
        <v>96.78933713453326</v>
      </c>
      <c r="L12" s="11" t="s">
        <v>128</v>
      </c>
    </row>
    <row r="13" spans="1:12">
      <c r="A13" t="s">
        <v>62</v>
      </c>
      <c r="B13" t="s">
        <v>73</v>
      </c>
      <c r="C13" t="s">
        <v>16</v>
      </c>
      <c r="D13" t="s">
        <v>81</v>
      </c>
      <c r="E13" t="s">
        <v>113</v>
      </c>
      <c r="F13" t="s">
        <v>113</v>
      </c>
      <c r="G13" t="s">
        <v>116</v>
      </c>
      <c r="H13">
        <v>9570.84175148</v>
      </c>
      <c r="I13">
        <v>1013.37481925</v>
      </c>
      <c r="J13" s="11">
        <v>9698850.029976398</v>
      </c>
      <c r="K13" s="11">
        <v>3.210662865466739</v>
      </c>
      <c r="L13" s="11" t="s">
        <v>128</v>
      </c>
    </row>
    <row r="14" spans="1:12">
      <c r="A14" t="s">
        <v>63</v>
      </c>
      <c r="B14" t="s">
        <v>74</v>
      </c>
      <c r="C14" t="s">
        <v>17</v>
      </c>
      <c r="D14" t="s">
        <v>81</v>
      </c>
      <c r="E14" t="s">
        <v>112</v>
      </c>
      <c r="F14" t="s">
        <v>112</v>
      </c>
      <c r="G14" t="s">
        <v>115</v>
      </c>
      <c r="H14">
        <v>142500</v>
      </c>
      <c r="I14">
        <v>1004.88020765</v>
      </c>
      <c r="J14" s="11">
        <v>143195429.590125</v>
      </c>
      <c r="K14" s="11">
        <v>94.25829800594411</v>
      </c>
      <c r="L14" s="11" t="s">
        <v>128</v>
      </c>
    </row>
    <row r="15" spans="1:12">
      <c r="A15" t="s">
        <v>63</v>
      </c>
      <c r="B15" t="s">
        <v>74</v>
      </c>
      <c r="C15" t="s">
        <v>17</v>
      </c>
      <c r="D15" t="s">
        <v>81</v>
      </c>
      <c r="E15" t="s">
        <v>113</v>
      </c>
      <c r="F15" t="s">
        <v>113</v>
      </c>
      <c r="G15" t="s">
        <v>116</v>
      </c>
      <c r="H15">
        <v>7732.03072889</v>
      </c>
      <c r="I15">
        <v>1128.12348345</v>
      </c>
      <c r="J15" s="11">
        <v>8722685.440017831</v>
      </c>
      <c r="K15" s="11">
        <v>5.74170199405589</v>
      </c>
      <c r="L15" s="11" t="s">
        <v>128</v>
      </c>
    </row>
    <row r="16" spans="1:12">
      <c r="A16" t="s">
        <v>64</v>
      </c>
      <c r="B16" t="s">
        <v>75</v>
      </c>
      <c r="C16" t="s">
        <v>18</v>
      </c>
      <c r="D16" t="s">
        <v>81</v>
      </c>
      <c r="E16" t="s">
        <v>112</v>
      </c>
      <c r="F16" t="s">
        <v>112</v>
      </c>
      <c r="G16" t="s">
        <v>115</v>
      </c>
      <c r="H16">
        <v>240000</v>
      </c>
      <c r="I16">
        <v>1005.22278812</v>
      </c>
      <c r="J16" s="11">
        <v>241253469.1488</v>
      </c>
      <c r="K16" s="11">
        <v>77.84425174574389</v>
      </c>
      <c r="L16" s="11" t="s">
        <v>128</v>
      </c>
    </row>
    <row r="17" spans="1:12">
      <c r="A17" t="s">
        <v>64</v>
      </c>
      <c r="B17" t="s">
        <v>75</v>
      </c>
      <c r="C17" t="s">
        <v>18</v>
      </c>
      <c r="D17" t="s">
        <v>81</v>
      </c>
      <c r="E17" t="s">
        <v>113</v>
      </c>
      <c r="F17" t="s">
        <v>113</v>
      </c>
      <c r="G17" t="s">
        <v>116</v>
      </c>
      <c r="H17">
        <v>60299.99519903</v>
      </c>
      <c r="I17">
        <v>1138.71794008</v>
      </c>
      <c r="J17" s="11">
        <v>68664686.31987333</v>
      </c>
      <c r="K17" s="11">
        <v>22.15574825425611</v>
      </c>
      <c r="L17" s="11" t="s">
        <v>128</v>
      </c>
    </row>
    <row r="18" spans="1:12">
      <c r="A18" t="s">
        <v>65</v>
      </c>
      <c r="B18" t="s">
        <v>76</v>
      </c>
      <c r="C18" t="s">
        <v>19</v>
      </c>
      <c r="D18" t="s">
        <v>81</v>
      </c>
      <c r="E18" t="s">
        <v>112</v>
      </c>
      <c r="F18" t="s">
        <v>112</v>
      </c>
      <c r="G18" t="s">
        <v>115</v>
      </c>
      <c r="H18">
        <v>2245624.99994067</v>
      </c>
      <c r="I18">
        <v>1008.5479334483</v>
      </c>
      <c r="J18" s="11">
        <v>2264820452.990002</v>
      </c>
      <c r="K18" s="11">
        <v>83.8294152749166</v>
      </c>
      <c r="L18" s="11" t="s">
        <v>128</v>
      </c>
    </row>
    <row r="19" spans="1:12">
      <c r="A19" t="s">
        <v>65</v>
      </c>
      <c r="B19" t="s">
        <v>76</v>
      </c>
      <c r="C19" t="s">
        <v>19</v>
      </c>
      <c r="D19" t="s">
        <v>81</v>
      </c>
      <c r="E19" t="s">
        <v>113</v>
      </c>
      <c r="F19" t="s">
        <v>114</v>
      </c>
      <c r="G19" t="s">
        <v>119</v>
      </c>
      <c r="H19">
        <v>347538</v>
      </c>
      <c r="I19">
        <v>1010.30922065012</v>
      </c>
      <c r="J19" s="11">
        <v>351120845.9263014</v>
      </c>
      <c r="K19" s="11">
        <v>12.99628637933617</v>
      </c>
      <c r="L19" s="11" t="s">
        <v>128</v>
      </c>
    </row>
    <row r="20" spans="1:12">
      <c r="A20" t="s">
        <v>65</v>
      </c>
      <c r="B20" t="s">
        <v>76</v>
      </c>
      <c r="C20" t="s">
        <v>19</v>
      </c>
      <c r="D20" t="s">
        <v>81</v>
      </c>
      <c r="E20" t="s">
        <v>113</v>
      </c>
      <c r="F20" t="s">
        <v>113</v>
      </c>
      <c r="G20" t="s">
        <v>120</v>
      </c>
      <c r="H20">
        <v>80136.845886055</v>
      </c>
      <c r="I20">
        <v>1070.17016511531</v>
      </c>
      <c r="J20" s="11">
        <v>85760061.59369963</v>
      </c>
      <c r="K20" s="11">
        <v>3.174298345747238</v>
      </c>
      <c r="L20" s="11" t="s">
        <v>128</v>
      </c>
    </row>
    <row r="21" spans="1:12">
      <c r="A21" t="s">
        <v>66</v>
      </c>
      <c r="B21" t="s">
        <v>77</v>
      </c>
      <c r="C21" t="s">
        <v>20</v>
      </c>
      <c r="D21" t="s">
        <v>81</v>
      </c>
      <c r="E21" t="s">
        <v>112</v>
      </c>
      <c r="F21" t="s">
        <v>112</v>
      </c>
      <c r="G21" t="s">
        <v>115</v>
      </c>
      <c r="H21">
        <v>1650000000</v>
      </c>
      <c r="I21">
        <v>1.00286095069788</v>
      </c>
      <c r="J21" s="11">
        <v>1654720568.651502</v>
      </c>
      <c r="K21" s="11">
        <v>50.87761807918262</v>
      </c>
      <c r="L21" s="11" t="s">
        <v>128</v>
      </c>
    </row>
    <row r="22" spans="1:12">
      <c r="A22" t="s">
        <v>66</v>
      </c>
      <c r="B22" t="s">
        <v>77</v>
      </c>
      <c r="C22" t="s">
        <v>20</v>
      </c>
      <c r="D22" t="s">
        <v>81</v>
      </c>
      <c r="E22" t="s">
        <v>112</v>
      </c>
      <c r="F22" t="s">
        <v>112</v>
      </c>
      <c r="G22" t="s">
        <v>121</v>
      </c>
      <c r="H22">
        <v>1070554462</v>
      </c>
      <c r="I22">
        <v>1.00286095080953</v>
      </c>
      <c r="J22" s="11">
        <v>1073617265.654705</v>
      </c>
      <c r="K22" s="11">
        <v>33.01046124646348</v>
      </c>
      <c r="L22" s="11" t="s">
        <v>128</v>
      </c>
    </row>
    <row r="23" spans="1:12">
      <c r="A23" t="s">
        <v>66</v>
      </c>
      <c r="B23" t="s">
        <v>77</v>
      </c>
      <c r="C23" t="s">
        <v>20</v>
      </c>
      <c r="D23" t="s">
        <v>81</v>
      </c>
      <c r="E23" t="s">
        <v>113</v>
      </c>
      <c r="F23" t="s">
        <v>114</v>
      </c>
      <c r="G23" t="s">
        <v>119</v>
      </c>
      <c r="H23">
        <v>226712872</v>
      </c>
      <c r="I23">
        <v>1.00300824654455</v>
      </c>
      <c r="J23" s="11">
        <v>227394880.213799</v>
      </c>
      <c r="K23" s="11">
        <v>6.991700041601247</v>
      </c>
      <c r="L23" s="11" t="s">
        <v>128</v>
      </c>
    </row>
    <row r="24" spans="1:12">
      <c r="A24" t="s">
        <v>66</v>
      </c>
      <c r="B24" t="s">
        <v>77</v>
      </c>
      <c r="C24" t="s">
        <v>20</v>
      </c>
      <c r="D24" t="s">
        <v>81</v>
      </c>
      <c r="E24" t="s">
        <v>113</v>
      </c>
      <c r="F24" t="s">
        <v>114</v>
      </c>
      <c r="G24" t="s">
        <v>122</v>
      </c>
      <c r="H24">
        <v>15889233</v>
      </c>
      <c r="I24">
        <v>12.2745422371867</v>
      </c>
      <c r="J24" s="11">
        <v>195033061.5750008</v>
      </c>
      <c r="K24" s="11">
        <v>5.996672675503814</v>
      </c>
      <c r="L24" s="11" t="s">
        <v>128</v>
      </c>
    </row>
    <row r="25" spans="1:12">
      <c r="A25" t="s">
        <v>66</v>
      </c>
      <c r="B25" t="s">
        <v>77</v>
      </c>
      <c r="C25" t="s">
        <v>20</v>
      </c>
      <c r="D25" t="s">
        <v>81</v>
      </c>
      <c r="E25" t="s">
        <v>113</v>
      </c>
      <c r="F25" t="s">
        <v>113</v>
      </c>
      <c r="G25" t="s">
        <v>123</v>
      </c>
      <c r="H25">
        <v>97096863.1323424</v>
      </c>
      <c r="I25">
        <v>1.04626301424934</v>
      </c>
      <c r="J25" s="11">
        <v>101588856.6950002</v>
      </c>
      <c r="K25" s="11">
        <v>3.123547957248837</v>
      </c>
      <c r="L25" s="11" t="s">
        <v>128</v>
      </c>
    </row>
    <row r="26" spans="1:12">
      <c r="A26" t="s">
        <v>67</v>
      </c>
      <c r="B26" t="s">
        <v>78</v>
      </c>
      <c r="C26" t="s">
        <v>21</v>
      </c>
      <c r="D26" t="s">
        <v>81</v>
      </c>
      <c r="E26" t="s">
        <v>112</v>
      </c>
      <c r="F26" t="s">
        <v>112</v>
      </c>
      <c r="G26" t="s">
        <v>115</v>
      </c>
      <c r="H26">
        <v>3637113</v>
      </c>
      <c r="I26">
        <v>1005.6509426</v>
      </c>
      <c r="J26" s="11">
        <v>3657666116.792714</v>
      </c>
      <c r="K26" s="11">
        <v>36.63202560386055</v>
      </c>
      <c r="L26" s="11" t="s">
        <v>128</v>
      </c>
    </row>
    <row r="27" spans="1:12">
      <c r="A27" t="s">
        <v>67</v>
      </c>
      <c r="B27" t="s">
        <v>78</v>
      </c>
      <c r="C27" t="s">
        <v>21</v>
      </c>
      <c r="D27" t="s">
        <v>81</v>
      </c>
      <c r="E27" t="s">
        <v>112</v>
      </c>
      <c r="F27" t="s">
        <v>112</v>
      </c>
      <c r="G27" t="s">
        <v>121</v>
      </c>
      <c r="H27">
        <v>4762886</v>
      </c>
      <c r="I27">
        <v>1007.576764</v>
      </c>
      <c r="J27" s="11">
        <v>4798973263.180904</v>
      </c>
      <c r="K27" s="11">
        <v>48.06237251726927</v>
      </c>
      <c r="L27" s="11" t="s">
        <v>128</v>
      </c>
    </row>
    <row r="28" spans="1:12">
      <c r="A28" t="s">
        <v>67</v>
      </c>
      <c r="B28" t="s">
        <v>78</v>
      </c>
      <c r="C28" t="s">
        <v>21</v>
      </c>
      <c r="D28" t="s">
        <v>81</v>
      </c>
      <c r="E28" t="s">
        <v>113</v>
      </c>
      <c r="F28" t="s">
        <v>114</v>
      </c>
      <c r="G28" t="s">
        <v>119</v>
      </c>
      <c r="H28">
        <v>303093</v>
      </c>
      <c r="I28">
        <v>1005.887924</v>
      </c>
      <c r="J28" s="11">
        <v>304877588.548932</v>
      </c>
      <c r="K28" s="11">
        <v>3.053390679508178</v>
      </c>
      <c r="L28" s="11" t="s">
        <v>128</v>
      </c>
    </row>
    <row r="29" spans="1:12">
      <c r="A29" t="s">
        <v>67</v>
      </c>
      <c r="B29" t="s">
        <v>78</v>
      </c>
      <c r="C29" t="s">
        <v>21</v>
      </c>
      <c r="D29" t="s">
        <v>81</v>
      </c>
      <c r="E29" t="s">
        <v>113</v>
      </c>
      <c r="F29" t="s">
        <v>114</v>
      </c>
      <c r="G29" t="s">
        <v>124</v>
      </c>
      <c r="H29">
        <v>259794</v>
      </c>
      <c r="I29">
        <v>1006.9954992</v>
      </c>
      <c r="J29" s="11">
        <v>261611388.7191648</v>
      </c>
      <c r="K29" s="11">
        <v>2.62007378033326</v>
      </c>
      <c r="L29" s="11" t="s">
        <v>128</v>
      </c>
    </row>
    <row r="30" spans="1:12">
      <c r="A30" t="s">
        <v>67</v>
      </c>
      <c r="B30" t="s">
        <v>78</v>
      </c>
      <c r="C30" t="s">
        <v>21</v>
      </c>
      <c r="D30" t="s">
        <v>81</v>
      </c>
      <c r="E30" t="s">
        <v>113</v>
      </c>
      <c r="F30" t="s">
        <v>114</v>
      </c>
      <c r="G30" t="s">
        <v>125</v>
      </c>
      <c r="H30">
        <v>396907</v>
      </c>
      <c r="I30">
        <v>1007.8912259</v>
      </c>
      <c r="J30" s="11">
        <v>400039082.7982913</v>
      </c>
      <c r="K30" s="11">
        <v>4.006446038454084</v>
      </c>
      <c r="L30" s="11" t="s">
        <v>128</v>
      </c>
    </row>
    <row r="31" spans="1:12">
      <c r="A31" t="s">
        <v>67</v>
      </c>
      <c r="B31" t="s">
        <v>78</v>
      </c>
      <c r="C31" t="s">
        <v>21</v>
      </c>
      <c r="D31" t="s">
        <v>81</v>
      </c>
      <c r="E31" t="s">
        <v>113</v>
      </c>
      <c r="F31" t="s">
        <v>114</v>
      </c>
      <c r="G31" t="s">
        <v>126</v>
      </c>
      <c r="H31">
        <v>340207</v>
      </c>
      <c r="I31">
        <v>1009.3543752</v>
      </c>
      <c r="J31" s="11">
        <v>343389423.9236664</v>
      </c>
      <c r="K31" s="11">
        <v>3.439091969470638</v>
      </c>
      <c r="L31" s="11" t="s">
        <v>128</v>
      </c>
    </row>
    <row r="32" spans="1:12">
      <c r="A32" t="s">
        <v>67</v>
      </c>
      <c r="B32" t="s">
        <v>78</v>
      </c>
      <c r="C32" t="s">
        <v>21</v>
      </c>
      <c r="D32" t="s">
        <v>81</v>
      </c>
      <c r="E32" t="s">
        <v>113</v>
      </c>
      <c r="F32" t="s">
        <v>113</v>
      </c>
      <c r="G32" t="s">
        <v>127</v>
      </c>
      <c r="H32">
        <v>74757.0941857</v>
      </c>
      <c r="I32">
        <v>2920.5183543</v>
      </c>
      <c r="J32" s="11">
        <v>218329465.6834706</v>
      </c>
      <c r="K32" s="11">
        <v>2.186599411104024</v>
      </c>
      <c r="L32" s="11" t="s">
        <v>128</v>
      </c>
    </row>
  </sheetData>
  <autoFilter ref="A1:L3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4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6.7109375" customWidth="1"/>
    <col min="3" max="3" width="42.7109375" customWidth="1"/>
    <col min="4" max="4" width="25.7109375" customWidth="1"/>
    <col min="5" max="5" width="20.7109375" customWidth="1"/>
    <col min="6" max="6" width="23.7109375" customWidth="1"/>
    <col min="7" max="7" width="16.7109375" style="11" customWidth="1"/>
    <col min="8" max="9" width="13.7109375" customWidth="1"/>
    <col min="10" max="10" width="24.7109375" customWidth="1"/>
    <col min="11" max="11" width="15.7109375" customWidth="1"/>
    <col min="12" max="14" width="16.7109375" style="11" customWidth="1"/>
    <col min="15" max="15" width="10.7109375" customWidth="1"/>
    <col min="16" max="16" width="12.7109375" style="10" customWidth="1"/>
    <col min="17" max="17" width="16.7109375" style="11" customWidth="1"/>
    <col min="18" max="18" width="42.7109375" customWidth="1"/>
  </cols>
  <sheetData>
    <row r="1" spans="1:18" s="8" customFormat="1" ht="22" customHeight="1">
      <c r="A1" s="8" t="s">
        <v>50</v>
      </c>
      <c r="B1" s="8" t="s">
        <v>48</v>
      </c>
      <c r="C1" s="8" t="s">
        <v>49</v>
      </c>
      <c r="D1" s="8" t="s">
        <v>54</v>
      </c>
      <c r="E1" s="8" t="s">
        <v>51</v>
      </c>
      <c r="F1" s="8" t="s">
        <v>52</v>
      </c>
      <c r="G1" s="8" t="s">
        <v>53</v>
      </c>
      <c r="H1" s="8" t="s">
        <v>104</v>
      </c>
      <c r="I1" s="8" t="s">
        <v>105</v>
      </c>
      <c r="J1" s="8" t="s">
        <v>106</v>
      </c>
      <c r="K1" s="8" t="s">
        <v>129</v>
      </c>
      <c r="L1" s="8" t="s">
        <v>130</v>
      </c>
      <c r="M1" s="8" t="s">
        <v>131</v>
      </c>
      <c r="N1" s="8" t="s">
        <v>109</v>
      </c>
      <c r="O1" s="8" t="s">
        <v>132</v>
      </c>
      <c r="P1" s="8" t="s">
        <v>133</v>
      </c>
      <c r="Q1" s="8" t="s">
        <v>134</v>
      </c>
      <c r="R1" s="8" t="s">
        <v>135</v>
      </c>
    </row>
    <row r="2" spans="1:18">
      <c r="A2" t="s">
        <v>12</v>
      </c>
      <c r="B2" t="s">
        <v>57</v>
      </c>
      <c r="C2" t="s">
        <v>68</v>
      </c>
      <c r="D2" t="s">
        <v>88</v>
      </c>
      <c r="E2" t="s">
        <v>80</v>
      </c>
      <c r="F2" t="s">
        <v>84</v>
      </c>
      <c r="G2" s="11">
        <v>157038535.84</v>
      </c>
      <c r="H2" t="s">
        <v>112</v>
      </c>
      <c r="I2" t="s">
        <v>112</v>
      </c>
      <c r="J2" t="s">
        <v>115</v>
      </c>
      <c r="K2" t="s">
        <v>136</v>
      </c>
      <c r="L2" s="11">
        <v>145500000</v>
      </c>
      <c r="M2" s="11">
        <v>0.9999999996180976</v>
      </c>
      <c r="N2" s="11">
        <v>145499999.9444332</v>
      </c>
      <c r="O2" t="s">
        <v>24</v>
      </c>
      <c r="P2" s="10">
        <v>1</v>
      </c>
      <c r="Q2" s="11">
        <v>145499999.9444332</v>
      </c>
      <c r="R2" t="s">
        <v>147</v>
      </c>
    </row>
    <row r="3" spans="1:18">
      <c r="A3" t="s">
        <v>12</v>
      </c>
      <c r="B3" t="s">
        <v>57</v>
      </c>
      <c r="C3" t="s">
        <v>68</v>
      </c>
      <c r="D3" t="s">
        <v>88</v>
      </c>
      <c r="E3" t="s">
        <v>80</v>
      </c>
      <c r="F3" t="s">
        <v>84</v>
      </c>
      <c r="G3" s="11">
        <v>157038535.84</v>
      </c>
      <c r="H3" t="s">
        <v>113</v>
      </c>
      <c r="I3" t="s">
        <v>113</v>
      </c>
      <c r="J3" t="s">
        <v>116</v>
      </c>
      <c r="K3" t="s">
        <v>137</v>
      </c>
      <c r="L3" s="11">
        <v>11538535.89997338</v>
      </c>
      <c r="M3" s="11">
        <v>0.9999999996180976</v>
      </c>
      <c r="N3" s="11">
        <v>11538535.89556679</v>
      </c>
      <c r="O3" t="s">
        <v>24</v>
      </c>
      <c r="P3" s="10">
        <v>1</v>
      </c>
      <c r="Q3" s="11">
        <v>11538535.89556679</v>
      </c>
      <c r="R3" t="s">
        <v>148</v>
      </c>
    </row>
    <row r="4" spans="1:18">
      <c r="A4" t="s">
        <v>13</v>
      </c>
      <c r="B4" t="s">
        <v>58</v>
      </c>
      <c r="C4" t="s">
        <v>69</v>
      </c>
      <c r="D4" t="s">
        <v>89</v>
      </c>
      <c r="E4" t="s">
        <v>81</v>
      </c>
      <c r="F4" t="s">
        <v>85</v>
      </c>
      <c r="G4" s="11">
        <v>350024576.35</v>
      </c>
      <c r="H4" t="s">
        <v>112</v>
      </c>
      <c r="I4" t="s">
        <v>112</v>
      </c>
      <c r="J4" t="s">
        <v>115</v>
      </c>
      <c r="K4" t="s">
        <v>136</v>
      </c>
      <c r="L4" s="11">
        <v>333719443.17</v>
      </c>
      <c r="M4" s="11">
        <v>0.9999999999998814</v>
      </c>
      <c r="N4" s="11">
        <v>333719443.1699604</v>
      </c>
      <c r="O4" t="s">
        <v>24</v>
      </c>
      <c r="P4" s="10">
        <v>0.8750000000000001</v>
      </c>
      <c r="Q4" s="11">
        <v>292004512.7737154</v>
      </c>
      <c r="R4" t="s">
        <v>147</v>
      </c>
    </row>
    <row r="5" spans="1:18">
      <c r="A5" t="s">
        <v>13</v>
      </c>
      <c r="B5" t="s">
        <v>58</v>
      </c>
      <c r="C5" t="s">
        <v>69</v>
      </c>
      <c r="D5" t="s">
        <v>89</v>
      </c>
      <c r="E5" t="s">
        <v>81</v>
      </c>
      <c r="F5" t="s">
        <v>85</v>
      </c>
      <c r="G5" s="11">
        <v>350024576.35</v>
      </c>
      <c r="H5" t="s">
        <v>112</v>
      </c>
      <c r="I5" t="s">
        <v>112</v>
      </c>
      <c r="J5" t="s">
        <v>115</v>
      </c>
      <c r="K5" t="s">
        <v>136</v>
      </c>
      <c r="L5" s="11">
        <v>333719443.17</v>
      </c>
      <c r="M5" s="11">
        <v>0.9999999999998814</v>
      </c>
      <c r="N5" s="11">
        <v>333719443.1699604</v>
      </c>
      <c r="O5" t="s">
        <v>25</v>
      </c>
      <c r="P5" s="10">
        <v>0.1249999999999998</v>
      </c>
      <c r="Q5" s="11">
        <v>41714930.396245</v>
      </c>
      <c r="R5" t="s">
        <v>147</v>
      </c>
    </row>
    <row r="6" spans="1:18">
      <c r="A6" t="s">
        <v>13</v>
      </c>
      <c r="B6" t="s">
        <v>58</v>
      </c>
      <c r="C6" t="s">
        <v>69</v>
      </c>
      <c r="D6" t="s">
        <v>89</v>
      </c>
      <c r="E6" t="s">
        <v>81</v>
      </c>
      <c r="F6" t="s">
        <v>85</v>
      </c>
      <c r="G6" s="11">
        <v>350024576.35</v>
      </c>
      <c r="H6" t="s">
        <v>113</v>
      </c>
      <c r="I6" t="s">
        <v>113</v>
      </c>
      <c r="J6" t="s">
        <v>116</v>
      </c>
      <c r="K6" t="s">
        <v>137</v>
      </c>
      <c r="L6" s="11">
        <v>16305133.18004156</v>
      </c>
      <c r="M6" s="11">
        <v>0.9999999999998814</v>
      </c>
      <c r="N6" s="11">
        <v>16305133.18003963</v>
      </c>
      <c r="O6" t="s">
        <v>24</v>
      </c>
      <c r="P6" s="10">
        <v>0.8750000000000001</v>
      </c>
      <c r="Q6" s="11">
        <v>14266991.53253467</v>
      </c>
      <c r="R6" t="s">
        <v>148</v>
      </c>
    </row>
    <row r="7" spans="1:18">
      <c r="A7" t="s">
        <v>13</v>
      </c>
      <c r="B7" t="s">
        <v>58</v>
      </c>
      <c r="C7" t="s">
        <v>69</v>
      </c>
      <c r="D7" t="s">
        <v>89</v>
      </c>
      <c r="E7" t="s">
        <v>81</v>
      </c>
      <c r="F7" t="s">
        <v>85</v>
      </c>
      <c r="G7" s="11">
        <v>350024576.35</v>
      </c>
      <c r="H7" t="s">
        <v>113</v>
      </c>
      <c r="I7" t="s">
        <v>113</v>
      </c>
      <c r="J7" t="s">
        <v>116</v>
      </c>
      <c r="K7" t="s">
        <v>137</v>
      </c>
      <c r="L7" s="11">
        <v>16305133.18004156</v>
      </c>
      <c r="M7" s="11">
        <v>0.9999999999998814</v>
      </c>
      <c r="N7" s="11">
        <v>16305133.18003963</v>
      </c>
      <c r="O7" t="s">
        <v>25</v>
      </c>
      <c r="P7" s="10">
        <v>0.1249999999999998</v>
      </c>
      <c r="Q7" s="11">
        <v>2038141.647504951</v>
      </c>
      <c r="R7" t="s">
        <v>148</v>
      </c>
    </row>
    <row r="8" spans="1:18">
      <c r="A8" t="s">
        <v>79</v>
      </c>
      <c r="B8" t="s">
        <v>59</v>
      </c>
      <c r="C8" t="s">
        <v>70</v>
      </c>
      <c r="D8" t="s">
        <v>90</v>
      </c>
      <c r="E8" t="s">
        <v>82</v>
      </c>
      <c r="F8" t="s">
        <v>86</v>
      </c>
      <c r="G8" s="11">
        <v>0</v>
      </c>
      <c r="H8" t="s">
        <v>112</v>
      </c>
      <c r="I8" t="s">
        <v>112</v>
      </c>
      <c r="J8" t="s">
        <v>117</v>
      </c>
      <c r="K8" t="s">
        <v>136</v>
      </c>
      <c r="L8" s="11">
        <v>0</v>
      </c>
      <c r="M8" s="11">
        <v>1</v>
      </c>
      <c r="N8" s="11">
        <v>0</v>
      </c>
      <c r="O8" t="s">
        <v>146</v>
      </c>
      <c r="P8" s="10">
        <v>0</v>
      </c>
      <c r="Q8" s="11">
        <v>0</v>
      </c>
      <c r="R8" t="s">
        <v>149</v>
      </c>
    </row>
    <row r="9" spans="1:18">
      <c r="A9" t="s">
        <v>79</v>
      </c>
      <c r="B9" t="s">
        <v>59</v>
      </c>
      <c r="C9" t="s">
        <v>70</v>
      </c>
      <c r="D9" t="s">
        <v>90</v>
      </c>
      <c r="E9" t="s">
        <v>82</v>
      </c>
      <c r="F9" t="s">
        <v>86</v>
      </c>
      <c r="G9" s="11">
        <v>0</v>
      </c>
      <c r="H9" t="s">
        <v>113</v>
      </c>
      <c r="I9" t="s">
        <v>113</v>
      </c>
      <c r="J9" t="s">
        <v>118</v>
      </c>
      <c r="K9" t="s">
        <v>137</v>
      </c>
      <c r="L9" s="11">
        <v>0</v>
      </c>
      <c r="M9" s="11">
        <v>1</v>
      </c>
      <c r="N9" s="11">
        <v>0</v>
      </c>
      <c r="O9" t="s">
        <v>146</v>
      </c>
      <c r="P9" s="10">
        <v>0</v>
      </c>
      <c r="Q9" s="11">
        <v>0</v>
      </c>
      <c r="R9" t="s">
        <v>149</v>
      </c>
    </row>
    <row r="10" spans="1:18">
      <c r="A10" t="s">
        <v>14</v>
      </c>
      <c r="B10" t="s">
        <v>60</v>
      </c>
      <c r="C10" t="s">
        <v>71</v>
      </c>
      <c r="D10" t="s">
        <v>88</v>
      </c>
      <c r="E10" t="s">
        <v>80</v>
      </c>
      <c r="F10" t="s">
        <v>84</v>
      </c>
      <c r="G10" s="11">
        <v>39489516.46</v>
      </c>
      <c r="H10" t="s">
        <v>112</v>
      </c>
      <c r="I10" t="s">
        <v>112</v>
      </c>
      <c r="J10" t="s">
        <v>115</v>
      </c>
      <c r="K10" t="s">
        <v>136</v>
      </c>
      <c r="L10" s="11">
        <v>35261878.515</v>
      </c>
      <c r="M10" s="11">
        <v>0.9999999993627757</v>
      </c>
      <c r="N10" s="11">
        <v>35261878.49253028</v>
      </c>
      <c r="O10" t="s">
        <v>24</v>
      </c>
      <c r="P10" s="10">
        <v>1</v>
      </c>
      <c r="Q10" s="11">
        <v>35261878.49253028</v>
      </c>
      <c r="R10" t="s">
        <v>147</v>
      </c>
    </row>
    <row r="11" spans="1:18">
      <c r="A11" t="s">
        <v>14</v>
      </c>
      <c r="B11" t="s">
        <v>60</v>
      </c>
      <c r="C11" t="s">
        <v>71</v>
      </c>
      <c r="D11" t="s">
        <v>88</v>
      </c>
      <c r="E11" t="s">
        <v>80</v>
      </c>
      <c r="F11" t="s">
        <v>84</v>
      </c>
      <c r="G11" s="11">
        <v>39489516.46</v>
      </c>
      <c r="H11" t="s">
        <v>113</v>
      </c>
      <c r="I11" t="s">
        <v>113</v>
      </c>
      <c r="J11" t="s">
        <v>116</v>
      </c>
      <c r="K11" t="s">
        <v>137</v>
      </c>
      <c r="L11" s="11">
        <v>4227637.97016368</v>
      </c>
      <c r="M11" s="11">
        <v>0.9999999993627757</v>
      </c>
      <c r="N11" s="11">
        <v>4227637.967469726</v>
      </c>
      <c r="O11" t="s">
        <v>24</v>
      </c>
      <c r="P11" s="10">
        <v>1</v>
      </c>
      <c r="Q11" s="11">
        <v>4227637.967469726</v>
      </c>
      <c r="R11" t="s">
        <v>148</v>
      </c>
    </row>
    <row r="12" spans="1:18">
      <c r="A12" t="s">
        <v>15</v>
      </c>
      <c r="B12" t="s">
        <v>61</v>
      </c>
      <c r="C12" t="s">
        <v>72</v>
      </c>
      <c r="D12" t="s">
        <v>89</v>
      </c>
      <c r="E12" t="s">
        <v>83</v>
      </c>
      <c r="F12" t="s">
        <v>87</v>
      </c>
      <c r="G12" s="11">
        <v>904120581.41</v>
      </c>
      <c r="H12" t="s">
        <v>112</v>
      </c>
      <c r="I12" t="s">
        <v>112</v>
      </c>
      <c r="J12" t="s">
        <v>115</v>
      </c>
      <c r="K12" t="s">
        <v>136</v>
      </c>
      <c r="L12" s="11">
        <v>881130648.5894251</v>
      </c>
      <c r="M12" s="11">
        <v>1.000000000000552</v>
      </c>
      <c r="N12" s="11">
        <v>881130648.5899117</v>
      </c>
      <c r="O12" t="s">
        <v>24</v>
      </c>
      <c r="P12" s="10">
        <v>0.3333333333333334</v>
      </c>
      <c r="Q12" s="11">
        <v>293710216.1966373</v>
      </c>
      <c r="R12" t="s">
        <v>147</v>
      </c>
    </row>
    <row r="13" spans="1:18">
      <c r="A13" t="s">
        <v>15</v>
      </c>
      <c r="B13" t="s">
        <v>61</v>
      </c>
      <c r="C13" t="s">
        <v>72</v>
      </c>
      <c r="D13" t="s">
        <v>89</v>
      </c>
      <c r="E13" t="s">
        <v>83</v>
      </c>
      <c r="F13" t="s">
        <v>87</v>
      </c>
      <c r="G13" s="11">
        <v>904120581.41</v>
      </c>
      <c r="H13" t="s">
        <v>112</v>
      </c>
      <c r="I13" t="s">
        <v>112</v>
      </c>
      <c r="J13" t="s">
        <v>115</v>
      </c>
      <c r="K13" t="s">
        <v>136</v>
      </c>
      <c r="L13" s="11">
        <v>881130648.5894251</v>
      </c>
      <c r="M13" s="11">
        <v>1.000000000000552</v>
      </c>
      <c r="N13" s="11">
        <v>881130648.5899117</v>
      </c>
      <c r="O13" t="s">
        <v>25</v>
      </c>
      <c r="P13" s="10">
        <v>0.6666666666666665</v>
      </c>
      <c r="Q13" s="11">
        <v>587420432.3932743</v>
      </c>
      <c r="R13" t="s">
        <v>147</v>
      </c>
    </row>
    <row r="14" spans="1:18">
      <c r="A14" t="s">
        <v>15</v>
      </c>
      <c r="B14" t="s">
        <v>61</v>
      </c>
      <c r="C14" t="s">
        <v>72</v>
      </c>
      <c r="D14" t="s">
        <v>89</v>
      </c>
      <c r="E14" t="s">
        <v>83</v>
      </c>
      <c r="F14" t="s">
        <v>87</v>
      </c>
      <c r="G14" s="11">
        <v>904120581.41</v>
      </c>
      <c r="H14" t="s">
        <v>113</v>
      </c>
      <c r="I14" t="s">
        <v>113</v>
      </c>
      <c r="J14" t="s">
        <v>116</v>
      </c>
      <c r="K14" t="s">
        <v>137</v>
      </c>
      <c r="L14" s="11">
        <v>22989932.82007552</v>
      </c>
      <c r="M14" s="11">
        <v>1.000000000000552</v>
      </c>
      <c r="N14" s="11">
        <v>22989932.82008822</v>
      </c>
      <c r="O14" t="s">
        <v>24</v>
      </c>
      <c r="P14" s="10">
        <v>0.3333333333333334</v>
      </c>
      <c r="Q14" s="11">
        <v>7663310.940029407</v>
      </c>
      <c r="R14" t="s">
        <v>148</v>
      </c>
    </row>
    <row r="15" spans="1:18">
      <c r="A15" t="s">
        <v>15</v>
      </c>
      <c r="B15" t="s">
        <v>61</v>
      </c>
      <c r="C15" t="s">
        <v>72</v>
      </c>
      <c r="D15" t="s">
        <v>89</v>
      </c>
      <c r="E15" t="s">
        <v>83</v>
      </c>
      <c r="F15" t="s">
        <v>87</v>
      </c>
      <c r="G15" s="11">
        <v>904120581.41</v>
      </c>
      <c r="H15" t="s">
        <v>113</v>
      </c>
      <c r="I15" t="s">
        <v>113</v>
      </c>
      <c r="J15" t="s">
        <v>116</v>
      </c>
      <c r="K15" t="s">
        <v>137</v>
      </c>
      <c r="L15" s="11">
        <v>22989932.82007552</v>
      </c>
      <c r="M15" s="11">
        <v>1.000000000000552</v>
      </c>
      <c r="N15" s="11">
        <v>22989932.82008822</v>
      </c>
      <c r="O15" t="s">
        <v>25</v>
      </c>
      <c r="P15" s="10">
        <v>0.6666666666666665</v>
      </c>
      <c r="Q15" s="11">
        <v>15326621.88005881</v>
      </c>
      <c r="R15" t="s">
        <v>148</v>
      </c>
    </row>
    <row r="16" spans="1:18">
      <c r="A16" t="s">
        <v>16</v>
      </c>
      <c r="B16" t="s">
        <v>62</v>
      </c>
      <c r="C16" t="s">
        <v>73</v>
      </c>
      <c r="D16" t="s">
        <v>89</v>
      </c>
      <c r="E16" t="s">
        <v>81</v>
      </c>
      <c r="F16" t="s">
        <v>85</v>
      </c>
      <c r="G16" s="11">
        <v>302082480.67</v>
      </c>
      <c r="H16" t="s">
        <v>112</v>
      </c>
      <c r="I16" t="s">
        <v>112</v>
      </c>
      <c r="J16" t="s">
        <v>115</v>
      </c>
      <c r="K16" t="s">
        <v>136</v>
      </c>
      <c r="L16" s="11">
        <v>292383630.64077</v>
      </c>
      <c r="M16" s="11">
        <v>0.9999999999975291</v>
      </c>
      <c r="N16" s="11">
        <v>292383630.6400476</v>
      </c>
      <c r="O16" t="s">
        <v>24</v>
      </c>
      <c r="P16" s="10">
        <v>0.3333333333333333</v>
      </c>
      <c r="Q16" s="11">
        <v>97461210.21334918</v>
      </c>
      <c r="R16" t="s">
        <v>147</v>
      </c>
    </row>
    <row r="17" spans="1:18">
      <c r="A17" t="s">
        <v>16</v>
      </c>
      <c r="B17" t="s">
        <v>62</v>
      </c>
      <c r="C17" t="s">
        <v>73</v>
      </c>
      <c r="D17" t="s">
        <v>89</v>
      </c>
      <c r="E17" t="s">
        <v>81</v>
      </c>
      <c r="F17" t="s">
        <v>85</v>
      </c>
      <c r="G17" s="11">
        <v>302082480.67</v>
      </c>
      <c r="H17" t="s">
        <v>112</v>
      </c>
      <c r="I17" t="s">
        <v>112</v>
      </c>
      <c r="J17" t="s">
        <v>115</v>
      </c>
      <c r="K17" t="s">
        <v>136</v>
      </c>
      <c r="L17" s="11">
        <v>292383630.64077</v>
      </c>
      <c r="M17" s="11">
        <v>0.9999999999975291</v>
      </c>
      <c r="N17" s="11">
        <v>292383630.6400476</v>
      </c>
      <c r="O17" t="s">
        <v>25</v>
      </c>
      <c r="P17" s="10">
        <v>0.6666666666666666</v>
      </c>
      <c r="Q17" s="11">
        <v>194922420.4266984</v>
      </c>
      <c r="R17" t="s">
        <v>147</v>
      </c>
    </row>
    <row r="18" spans="1:18">
      <c r="A18" t="s">
        <v>16</v>
      </c>
      <c r="B18" t="s">
        <v>62</v>
      </c>
      <c r="C18" t="s">
        <v>73</v>
      </c>
      <c r="D18" t="s">
        <v>89</v>
      </c>
      <c r="E18" t="s">
        <v>81</v>
      </c>
      <c r="F18" t="s">
        <v>85</v>
      </c>
      <c r="G18" s="11">
        <v>302082480.67</v>
      </c>
      <c r="H18" t="s">
        <v>113</v>
      </c>
      <c r="I18" t="s">
        <v>113</v>
      </c>
      <c r="J18" t="s">
        <v>116</v>
      </c>
      <c r="K18" t="s">
        <v>137</v>
      </c>
      <c r="L18" s="11">
        <v>9698850.029976398</v>
      </c>
      <c r="M18" s="11">
        <v>0.9999999999975291</v>
      </c>
      <c r="N18" s="11">
        <v>9698850.029952433</v>
      </c>
      <c r="O18" t="s">
        <v>24</v>
      </c>
      <c r="P18" s="10">
        <v>0.3333333333333333</v>
      </c>
      <c r="Q18" s="11">
        <v>3232950.009984144</v>
      </c>
      <c r="R18" t="s">
        <v>148</v>
      </c>
    </row>
    <row r="19" spans="1:18">
      <c r="A19" t="s">
        <v>16</v>
      </c>
      <c r="B19" t="s">
        <v>62</v>
      </c>
      <c r="C19" t="s">
        <v>73</v>
      </c>
      <c r="D19" t="s">
        <v>89</v>
      </c>
      <c r="E19" t="s">
        <v>81</v>
      </c>
      <c r="F19" t="s">
        <v>85</v>
      </c>
      <c r="G19" s="11">
        <v>302082480.67</v>
      </c>
      <c r="H19" t="s">
        <v>113</v>
      </c>
      <c r="I19" t="s">
        <v>113</v>
      </c>
      <c r="J19" t="s">
        <v>116</v>
      </c>
      <c r="K19" t="s">
        <v>137</v>
      </c>
      <c r="L19" s="11">
        <v>9698850.029976398</v>
      </c>
      <c r="M19" s="11">
        <v>0.9999999999975291</v>
      </c>
      <c r="N19" s="11">
        <v>9698850.029952433</v>
      </c>
      <c r="O19" t="s">
        <v>25</v>
      </c>
      <c r="P19" s="10">
        <v>0.6666666666666666</v>
      </c>
      <c r="Q19" s="11">
        <v>6465900.019968288</v>
      </c>
      <c r="R19" t="s">
        <v>148</v>
      </c>
    </row>
    <row r="20" spans="1:18">
      <c r="A20" t="s">
        <v>17</v>
      </c>
      <c r="B20" t="s">
        <v>63</v>
      </c>
      <c r="C20" t="s">
        <v>74</v>
      </c>
      <c r="D20" t="s">
        <v>89</v>
      </c>
      <c r="E20" t="s">
        <v>81</v>
      </c>
      <c r="F20" t="s">
        <v>85</v>
      </c>
      <c r="G20" s="11">
        <v>151908115.03</v>
      </c>
      <c r="H20" t="s">
        <v>112</v>
      </c>
      <c r="I20" t="s">
        <v>112</v>
      </c>
      <c r="J20" t="s">
        <v>115</v>
      </c>
      <c r="K20" t="s">
        <v>136</v>
      </c>
      <c r="L20" s="11">
        <v>143195429.590125</v>
      </c>
      <c r="M20" s="11">
        <v>0.9999341750643705</v>
      </c>
      <c r="N20" s="11">
        <v>143186003.7601898</v>
      </c>
      <c r="O20" t="s">
        <v>24</v>
      </c>
      <c r="P20" s="10">
        <v>0.3333333333333333</v>
      </c>
      <c r="Q20" s="11">
        <v>47728667.92006326</v>
      </c>
      <c r="R20" t="s">
        <v>147</v>
      </c>
    </row>
    <row r="21" spans="1:18">
      <c r="A21" t="s">
        <v>17</v>
      </c>
      <c r="B21" t="s">
        <v>63</v>
      </c>
      <c r="C21" t="s">
        <v>74</v>
      </c>
      <c r="D21" t="s">
        <v>89</v>
      </c>
      <c r="E21" t="s">
        <v>81</v>
      </c>
      <c r="F21" t="s">
        <v>85</v>
      </c>
      <c r="G21" s="11">
        <v>151908115.03</v>
      </c>
      <c r="H21" t="s">
        <v>112</v>
      </c>
      <c r="I21" t="s">
        <v>112</v>
      </c>
      <c r="J21" t="s">
        <v>115</v>
      </c>
      <c r="K21" t="s">
        <v>136</v>
      </c>
      <c r="L21" s="11">
        <v>143195429.590125</v>
      </c>
      <c r="M21" s="11">
        <v>0.9999341750643705</v>
      </c>
      <c r="N21" s="11">
        <v>143186003.7601898</v>
      </c>
      <c r="O21" t="s">
        <v>25</v>
      </c>
      <c r="P21" s="10">
        <v>0.6666666666666666</v>
      </c>
      <c r="Q21" s="11">
        <v>95457335.84012653</v>
      </c>
      <c r="R21" t="s">
        <v>147</v>
      </c>
    </row>
    <row r="22" spans="1:18">
      <c r="A22" t="s">
        <v>17</v>
      </c>
      <c r="B22" t="s">
        <v>63</v>
      </c>
      <c r="C22" t="s">
        <v>74</v>
      </c>
      <c r="D22" t="s">
        <v>89</v>
      </c>
      <c r="E22" t="s">
        <v>81</v>
      </c>
      <c r="F22" t="s">
        <v>85</v>
      </c>
      <c r="G22" s="11">
        <v>151908115.03</v>
      </c>
      <c r="H22" t="s">
        <v>113</v>
      </c>
      <c r="I22" t="s">
        <v>113</v>
      </c>
      <c r="J22" t="s">
        <v>116</v>
      </c>
      <c r="K22" t="s">
        <v>137</v>
      </c>
      <c r="L22" s="11">
        <v>8722685.440017831</v>
      </c>
      <c r="M22" s="11">
        <v>0.9999341750643705</v>
      </c>
      <c r="N22" s="11">
        <v>8722111.269810226</v>
      </c>
      <c r="O22" t="s">
        <v>24</v>
      </c>
      <c r="P22" s="10">
        <v>0.3333333333333333</v>
      </c>
      <c r="Q22" s="11">
        <v>2907370.423270075</v>
      </c>
      <c r="R22" t="s">
        <v>148</v>
      </c>
    </row>
    <row r="23" spans="1:18">
      <c r="A23" t="s">
        <v>17</v>
      </c>
      <c r="B23" t="s">
        <v>63</v>
      </c>
      <c r="C23" t="s">
        <v>74</v>
      </c>
      <c r="D23" t="s">
        <v>89</v>
      </c>
      <c r="E23" t="s">
        <v>81</v>
      </c>
      <c r="F23" t="s">
        <v>85</v>
      </c>
      <c r="G23" s="11">
        <v>151908115.03</v>
      </c>
      <c r="H23" t="s">
        <v>113</v>
      </c>
      <c r="I23" t="s">
        <v>113</v>
      </c>
      <c r="J23" t="s">
        <v>116</v>
      </c>
      <c r="K23" t="s">
        <v>137</v>
      </c>
      <c r="L23" s="11">
        <v>8722685.440017831</v>
      </c>
      <c r="M23" s="11">
        <v>0.9999341750643705</v>
      </c>
      <c r="N23" s="11">
        <v>8722111.269810226</v>
      </c>
      <c r="O23" t="s">
        <v>25</v>
      </c>
      <c r="P23" s="10">
        <v>0.6666666666666666</v>
      </c>
      <c r="Q23" s="11">
        <v>5814740.84654015</v>
      </c>
      <c r="R23" t="s">
        <v>148</v>
      </c>
    </row>
    <row r="24" spans="1:18">
      <c r="A24" t="s">
        <v>18</v>
      </c>
      <c r="B24" t="s">
        <v>64</v>
      </c>
      <c r="C24" t="s">
        <v>75</v>
      </c>
      <c r="D24" t="s">
        <v>89</v>
      </c>
      <c r="E24" t="s">
        <v>81</v>
      </c>
      <c r="F24" t="s">
        <v>85</v>
      </c>
      <c r="G24" s="11">
        <v>309918155.45</v>
      </c>
      <c r="H24" t="s">
        <v>112</v>
      </c>
      <c r="I24" t="s">
        <v>112</v>
      </c>
      <c r="J24" t="s">
        <v>115</v>
      </c>
      <c r="K24" t="s">
        <v>136</v>
      </c>
      <c r="L24" s="11">
        <v>241253469.1488</v>
      </c>
      <c r="M24" s="11">
        <v>0.9999999999397474</v>
      </c>
      <c r="N24" s="11">
        <v>241253469.1342639</v>
      </c>
      <c r="O24" t="s">
        <v>24</v>
      </c>
      <c r="P24" s="10">
        <v>0.3333333333333334</v>
      </c>
      <c r="Q24" s="11">
        <v>80417823.04475464</v>
      </c>
      <c r="R24" t="s">
        <v>147</v>
      </c>
    </row>
    <row r="25" spans="1:18">
      <c r="A25" t="s">
        <v>18</v>
      </c>
      <c r="B25" t="s">
        <v>64</v>
      </c>
      <c r="C25" t="s">
        <v>75</v>
      </c>
      <c r="D25" t="s">
        <v>89</v>
      </c>
      <c r="E25" t="s">
        <v>81</v>
      </c>
      <c r="F25" t="s">
        <v>85</v>
      </c>
      <c r="G25" s="11">
        <v>309918155.45</v>
      </c>
      <c r="H25" t="s">
        <v>112</v>
      </c>
      <c r="I25" t="s">
        <v>112</v>
      </c>
      <c r="J25" t="s">
        <v>115</v>
      </c>
      <c r="K25" t="s">
        <v>136</v>
      </c>
      <c r="L25" s="11">
        <v>241253469.1488</v>
      </c>
      <c r="M25" s="11">
        <v>0.9999999999397474</v>
      </c>
      <c r="N25" s="11">
        <v>241253469.1342639</v>
      </c>
      <c r="O25" t="s">
        <v>25</v>
      </c>
      <c r="P25" s="10">
        <v>0.6666666666666665</v>
      </c>
      <c r="Q25" s="11">
        <v>160835646.0895092</v>
      </c>
      <c r="R25" t="s">
        <v>147</v>
      </c>
    </row>
    <row r="26" spans="1:18">
      <c r="A26" t="s">
        <v>18</v>
      </c>
      <c r="B26" t="s">
        <v>64</v>
      </c>
      <c r="C26" t="s">
        <v>75</v>
      </c>
      <c r="D26" t="s">
        <v>89</v>
      </c>
      <c r="E26" t="s">
        <v>81</v>
      </c>
      <c r="F26" t="s">
        <v>85</v>
      </c>
      <c r="G26" s="11">
        <v>309918155.45</v>
      </c>
      <c r="H26" t="s">
        <v>113</v>
      </c>
      <c r="I26" t="s">
        <v>113</v>
      </c>
      <c r="J26" t="s">
        <v>116</v>
      </c>
      <c r="K26" t="s">
        <v>137</v>
      </c>
      <c r="L26" s="11">
        <v>68664686.31987333</v>
      </c>
      <c r="M26" s="11">
        <v>0.9999999999397474</v>
      </c>
      <c r="N26" s="11">
        <v>68664686.31573611</v>
      </c>
      <c r="O26" t="s">
        <v>24</v>
      </c>
      <c r="P26" s="10">
        <v>0.3333333333333334</v>
      </c>
      <c r="Q26" s="11">
        <v>22888228.77191204</v>
      </c>
      <c r="R26" t="s">
        <v>148</v>
      </c>
    </row>
    <row r="27" spans="1:18">
      <c r="A27" t="s">
        <v>18</v>
      </c>
      <c r="B27" t="s">
        <v>64</v>
      </c>
      <c r="C27" t="s">
        <v>75</v>
      </c>
      <c r="D27" t="s">
        <v>89</v>
      </c>
      <c r="E27" t="s">
        <v>81</v>
      </c>
      <c r="F27" t="s">
        <v>85</v>
      </c>
      <c r="G27" s="11">
        <v>309918155.45</v>
      </c>
      <c r="H27" t="s">
        <v>113</v>
      </c>
      <c r="I27" t="s">
        <v>113</v>
      </c>
      <c r="J27" t="s">
        <v>116</v>
      </c>
      <c r="K27" t="s">
        <v>137</v>
      </c>
      <c r="L27" s="11">
        <v>68664686.31987333</v>
      </c>
      <c r="M27" s="11">
        <v>0.9999999999397474</v>
      </c>
      <c r="N27" s="11">
        <v>68664686.31573611</v>
      </c>
      <c r="O27" t="s">
        <v>25</v>
      </c>
      <c r="P27" s="10">
        <v>0.6666666666666665</v>
      </c>
      <c r="Q27" s="11">
        <v>45776457.54382407</v>
      </c>
      <c r="R27" t="s">
        <v>148</v>
      </c>
    </row>
    <row r="28" spans="1:18">
      <c r="A28" t="s">
        <v>19</v>
      </c>
      <c r="B28" t="s">
        <v>65</v>
      </c>
      <c r="C28" t="s">
        <v>76</v>
      </c>
      <c r="D28" t="s">
        <v>89</v>
      </c>
      <c r="E28" t="s">
        <v>81</v>
      </c>
      <c r="F28" t="s">
        <v>85</v>
      </c>
      <c r="G28" s="11">
        <v>2701701360.51</v>
      </c>
      <c r="H28" t="s">
        <v>112</v>
      </c>
      <c r="I28" t="s">
        <v>112</v>
      </c>
      <c r="J28" t="s">
        <v>115</v>
      </c>
      <c r="K28" t="s">
        <v>136</v>
      </c>
      <c r="L28" s="11">
        <v>2264820452.990002</v>
      </c>
      <c r="M28" s="11">
        <v>0.9999999999999991</v>
      </c>
      <c r="N28" s="11">
        <v>2264820452.99</v>
      </c>
      <c r="O28" t="s">
        <v>25</v>
      </c>
      <c r="P28" s="10">
        <v>1</v>
      </c>
      <c r="Q28" s="11">
        <v>2264820452.99</v>
      </c>
      <c r="R28" t="s">
        <v>147</v>
      </c>
    </row>
    <row r="29" spans="1:18">
      <c r="A29" t="s">
        <v>19</v>
      </c>
      <c r="B29" t="s">
        <v>65</v>
      </c>
      <c r="C29" t="s">
        <v>76</v>
      </c>
      <c r="D29" t="s">
        <v>89</v>
      </c>
      <c r="E29" t="s">
        <v>81</v>
      </c>
      <c r="F29" t="s">
        <v>85</v>
      </c>
      <c r="G29" s="11">
        <v>2701701360.51</v>
      </c>
      <c r="H29" t="s">
        <v>113</v>
      </c>
      <c r="I29" t="s">
        <v>114</v>
      </c>
      <c r="J29" t="s">
        <v>119</v>
      </c>
      <c r="K29" t="s">
        <v>138</v>
      </c>
      <c r="L29" s="11">
        <v>351120845.9263014</v>
      </c>
      <c r="M29" s="11">
        <v>0.9999999999999991</v>
      </c>
      <c r="N29" s="11">
        <v>351120845.9263011</v>
      </c>
      <c r="O29" t="s">
        <v>25</v>
      </c>
      <c r="P29" s="10">
        <v>1</v>
      </c>
      <c r="Q29" s="11">
        <v>351120845.9263011</v>
      </c>
      <c r="R29" t="s">
        <v>147</v>
      </c>
    </row>
    <row r="30" spans="1:18">
      <c r="A30" t="s">
        <v>19</v>
      </c>
      <c r="B30" t="s">
        <v>65</v>
      </c>
      <c r="C30" t="s">
        <v>76</v>
      </c>
      <c r="D30" t="s">
        <v>89</v>
      </c>
      <c r="E30" t="s">
        <v>81</v>
      </c>
      <c r="F30" t="s">
        <v>85</v>
      </c>
      <c r="G30" s="11">
        <v>2701701360.51</v>
      </c>
      <c r="H30" t="s">
        <v>113</v>
      </c>
      <c r="I30" t="s">
        <v>113</v>
      </c>
      <c r="J30" t="s">
        <v>120</v>
      </c>
      <c r="K30" t="s">
        <v>137</v>
      </c>
      <c r="L30" s="11">
        <v>85760061.59369963</v>
      </c>
      <c r="M30" s="11">
        <v>0.9999999999999991</v>
      </c>
      <c r="N30" s="11">
        <v>85760061.59369956</v>
      </c>
      <c r="O30" t="s">
        <v>25</v>
      </c>
      <c r="P30" s="10">
        <v>1</v>
      </c>
      <c r="Q30" s="11">
        <v>85760061.59369956</v>
      </c>
      <c r="R30" t="s">
        <v>148</v>
      </c>
    </row>
    <row r="31" spans="1:18">
      <c r="A31" t="s">
        <v>20</v>
      </c>
      <c r="B31" t="s">
        <v>66</v>
      </c>
      <c r="C31" t="s">
        <v>77</v>
      </c>
      <c r="D31" t="s">
        <v>89</v>
      </c>
      <c r="E31" t="s">
        <v>81</v>
      </c>
      <c r="F31" t="s">
        <v>85</v>
      </c>
      <c r="G31" s="11">
        <v>3252354632.79</v>
      </c>
      <c r="H31" t="s">
        <v>112</v>
      </c>
      <c r="I31" t="s">
        <v>112</v>
      </c>
      <c r="J31" t="s">
        <v>115</v>
      </c>
      <c r="K31" t="s">
        <v>136</v>
      </c>
      <c r="L31" s="11">
        <v>1654720568.651502</v>
      </c>
      <c r="M31" s="11">
        <v>0.9999999999999978</v>
      </c>
      <c r="N31" s="11">
        <v>1654720568.651499</v>
      </c>
      <c r="O31" t="s">
        <v>27</v>
      </c>
      <c r="P31" s="10">
        <v>1</v>
      </c>
      <c r="Q31" s="11">
        <v>1654720568.651499</v>
      </c>
      <c r="R31" t="s">
        <v>147</v>
      </c>
    </row>
    <row r="32" spans="1:18">
      <c r="A32" t="s">
        <v>20</v>
      </c>
      <c r="B32" t="s">
        <v>66</v>
      </c>
      <c r="C32" t="s">
        <v>77</v>
      </c>
      <c r="D32" t="s">
        <v>89</v>
      </c>
      <c r="E32" t="s">
        <v>81</v>
      </c>
      <c r="F32" t="s">
        <v>85</v>
      </c>
      <c r="G32" s="11">
        <v>3252354632.79</v>
      </c>
      <c r="H32" t="s">
        <v>112</v>
      </c>
      <c r="I32" t="s">
        <v>112</v>
      </c>
      <c r="J32" t="s">
        <v>121</v>
      </c>
      <c r="K32" t="s">
        <v>139</v>
      </c>
      <c r="L32" s="11">
        <v>1073617265.654705</v>
      </c>
      <c r="M32" s="11">
        <v>0.9999999999999978</v>
      </c>
      <c r="N32" s="11">
        <v>1073617265.654703</v>
      </c>
      <c r="O32" t="s">
        <v>27</v>
      </c>
      <c r="P32" s="10">
        <v>1</v>
      </c>
      <c r="Q32" s="11">
        <v>1073617265.654703</v>
      </c>
      <c r="R32" t="s">
        <v>147</v>
      </c>
    </row>
    <row r="33" spans="1:18">
      <c r="A33" t="s">
        <v>20</v>
      </c>
      <c r="B33" t="s">
        <v>66</v>
      </c>
      <c r="C33" t="s">
        <v>77</v>
      </c>
      <c r="D33" t="s">
        <v>89</v>
      </c>
      <c r="E33" t="s">
        <v>81</v>
      </c>
      <c r="F33" t="s">
        <v>85</v>
      </c>
      <c r="G33" s="11">
        <v>3252354632.79</v>
      </c>
      <c r="H33" t="s">
        <v>113</v>
      </c>
      <c r="I33" t="s">
        <v>114</v>
      </c>
      <c r="J33" t="s">
        <v>119</v>
      </c>
      <c r="K33" t="s">
        <v>140</v>
      </c>
      <c r="L33" s="11">
        <v>227394880.213799</v>
      </c>
      <c r="M33" s="11">
        <v>0.9999999999999978</v>
      </c>
      <c r="N33" s="11">
        <v>227394880.2137985</v>
      </c>
      <c r="O33" t="s">
        <v>27</v>
      </c>
      <c r="P33" s="10">
        <v>1</v>
      </c>
      <c r="Q33" s="11">
        <v>227394880.2137985</v>
      </c>
      <c r="R33" t="s">
        <v>147</v>
      </c>
    </row>
    <row r="34" spans="1:18">
      <c r="A34" t="s">
        <v>20</v>
      </c>
      <c r="B34" t="s">
        <v>66</v>
      </c>
      <c r="C34" t="s">
        <v>77</v>
      </c>
      <c r="D34" t="s">
        <v>89</v>
      </c>
      <c r="E34" t="s">
        <v>81</v>
      </c>
      <c r="F34" t="s">
        <v>85</v>
      </c>
      <c r="G34" s="11">
        <v>3252354632.79</v>
      </c>
      <c r="H34" t="s">
        <v>113</v>
      </c>
      <c r="I34" t="s">
        <v>114</v>
      </c>
      <c r="J34" t="s">
        <v>122</v>
      </c>
      <c r="K34" t="s">
        <v>141</v>
      </c>
      <c r="L34" s="11">
        <v>195033061.5750008</v>
      </c>
      <c r="M34" s="11">
        <v>0.9999999999999978</v>
      </c>
      <c r="N34" s="11">
        <v>195033061.5750003</v>
      </c>
      <c r="O34" t="s">
        <v>27</v>
      </c>
      <c r="P34" s="10">
        <v>1</v>
      </c>
      <c r="Q34" s="11">
        <v>195033061.5750003</v>
      </c>
      <c r="R34" t="s">
        <v>147</v>
      </c>
    </row>
    <row r="35" spans="1:18">
      <c r="A35" t="s">
        <v>20</v>
      </c>
      <c r="B35" t="s">
        <v>66</v>
      </c>
      <c r="C35" t="s">
        <v>77</v>
      </c>
      <c r="D35" t="s">
        <v>89</v>
      </c>
      <c r="E35" t="s">
        <v>81</v>
      </c>
      <c r="F35" t="s">
        <v>85</v>
      </c>
      <c r="G35" s="11">
        <v>3252354632.79</v>
      </c>
      <c r="H35" t="s">
        <v>113</v>
      </c>
      <c r="I35" t="s">
        <v>113</v>
      </c>
      <c r="J35" t="s">
        <v>123</v>
      </c>
      <c r="K35" t="s">
        <v>137</v>
      </c>
      <c r="L35" s="11">
        <v>101588856.6950002</v>
      </c>
      <c r="M35" s="11">
        <v>0.9999999999999978</v>
      </c>
      <c r="N35" s="11">
        <v>101588856.695</v>
      </c>
      <c r="O35" t="s">
        <v>27</v>
      </c>
      <c r="P35" s="10">
        <v>1</v>
      </c>
      <c r="Q35" s="11">
        <v>101588856.695</v>
      </c>
      <c r="R35" t="s">
        <v>148</v>
      </c>
    </row>
    <row r="36" spans="1:18">
      <c r="A36" t="s">
        <v>21</v>
      </c>
      <c r="B36" t="s">
        <v>67</v>
      </c>
      <c r="C36" t="s">
        <v>78</v>
      </c>
      <c r="D36" t="s">
        <v>89</v>
      </c>
      <c r="E36" t="s">
        <v>81</v>
      </c>
      <c r="F36" t="s">
        <v>85</v>
      </c>
      <c r="G36" s="11">
        <v>9984886332.209999</v>
      </c>
      <c r="H36" t="s">
        <v>112</v>
      </c>
      <c r="I36" t="s">
        <v>112</v>
      </c>
      <c r="J36" t="s">
        <v>115</v>
      </c>
      <c r="K36" t="s">
        <v>136</v>
      </c>
      <c r="L36" s="11">
        <v>3657666116.792714</v>
      </c>
      <c r="M36" s="11">
        <v>1.000000000256674</v>
      </c>
      <c r="N36" s="11">
        <v>3657666117.73154</v>
      </c>
      <c r="O36" t="s">
        <v>27</v>
      </c>
      <c r="P36" s="10">
        <v>1</v>
      </c>
      <c r="Q36" s="11">
        <v>3657666117.73154</v>
      </c>
      <c r="R36" t="s">
        <v>147</v>
      </c>
    </row>
    <row r="37" spans="1:18">
      <c r="A37" t="s">
        <v>21</v>
      </c>
      <c r="B37" t="s">
        <v>67</v>
      </c>
      <c r="C37" t="s">
        <v>78</v>
      </c>
      <c r="D37" t="s">
        <v>89</v>
      </c>
      <c r="E37" t="s">
        <v>81</v>
      </c>
      <c r="F37" t="s">
        <v>85</v>
      </c>
      <c r="G37" s="11">
        <v>9984886332.209999</v>
      </c>
      <c r="H37" t="s">
        <v>112</v>
      </c>
      <c r="I37" t="s">
        <v>112</v>
      </c>
      <c r="J37" t="s">
        <v>121</v>
      </c>
      <c r="K37" t="s">
        <v>139</v>
      </c>
      <c r="L37" s="11">
        <v>4798973263.180904</v>
      </c>
      <c r="M37" s="11">
        <v>1.000000000256674</v>
      </c>
      <c r="N37" s="11">
        <v>4798973264.412674</v>
      </c>
      <c r="O37" t="s">
        <v>27</v>
      </c>
      <c r="P37" s="10">
        <v>1</v>
      </c>
      <c r="Q37" s="11">
        <v>4798973264.412674</v>
      </c>
      <c r="R37" t="s">
        <v>147</v>
      </c>
    </row>
    <row r="38" spans="1:18">
      <c r="A38" t="s">
        <v>21</v>
      </c>
      <c r="B38" t="s">
        <v>67</v>
      </c>
      <c r="C38" t="s">
        <v>78</v>
      </c>
      <c r="D38" t="s">
        <v>89</v>
      </c>
      <c r="E38" t="s">
        <v>81</v>
      </c>
      <c r="F38" t="s">
        <v>85</v>
      </c>
      <c r="G38" s="11">
        <v>9984886332.209999</v>
      </c>
      <c r="H38" t="s">
        <v>113</v>
      </c>
      <c r="I38" t="s">
        <v>114</v>
      </c>
      <c r="J38" t="s">
        <v>119</v>
      </c>
      <c r="K38" t="s">
        <v>142</v>
      </c>
      <c r="L38" s="11">
        <v>304877588.548932</v>
      </c>
      <c r="M38" s="11">
        <v>1.000000000256674</v>
      </c>
      <c r="N38" s="11">
        <v>304877588.6271861</v>
      </c>
      <c r="O38" t="s">
        <v>27</v>
      </c>
      <c r="P38" s="10">
        <v>1</v>
      </c>
      <c r="Q38" s="11">
        <v>304877588.6271861</v>
      </c>
      <c r="R38" t="s">
        <v>147</v>
      </c>
    </row>
    <row r="39" spans="1:18">
      <c r="A39" t="s">
        <v>21</v>
      </c>
      <c r="B39" t="s">
        <v>67</v>
      </c>
      <c r="C39" t="s">
        <v>78</v>
      </c>
      <c r="D39" t="s">
        <v>89</v>
      </c>
      <c r="E39" t="s">
        <v>81</v>
      </c>
      <c r="F39" t="s">
        <v>85</v>
      </c>
      <c r="G39" s="11">
        <v>9984886332.209999</v>
      </c>
      <c r="H39" t="s">
        <v>113</v>
      </c>
      <c r="I39" t="s">
        <v>114</v>
      </c>
      <c r="J39" t="s">
        <v>124</v>
      </c>
      <c r="K39" t="s">
        <v>143</v>
      </c>
      <c r="L39" s="11">
        <v>261611388.7191648</v>
      </c>
      <c r="M39" s="11">
        <v>1.000000000256674</v>
      </c>
      <c r="N39" s="11">
        <v>261611388.7863135</v>
      </c>
      <c r="O39" t="s">
        <v>27</v>
      </c>
      <c r="P39" s="10">
        <v>1</v>
      </c>
      <c r="Q39" s="11">
        <v>261611388.7863135</v>
      </c>
      <c r="R39" t="s">
        <v>147</v>
      </c>
    </row>
    <row r="40" spans="1:18">
      <c r="A40" t="s">
        <v>21</v>
      </c>
      <c r="B40" t="s">
        <v>67</v>
      </c>
      <c r="C40" t="s">
        <v>78</v>
      </c>
      <c r="D40" t="s">
        <v>89</v>
      </c>
      <c r="E40" t="s">
        <v>81</v>
      </c>
      <c r="F40" t="s">
        <v>85</v>
      </c>
      <c r="G40" s="11">
        <v>9984886332.209999</v>
      </c>
      <c r="H40" t="s">
        <v>113</v>
      </c>
      <c r="I40" t="s">
        <v>114</v>
      </c>
      <c r="J40" t="s">
        <v>125</v>
      </c>
      <c r="K40" t="s">
        <v>144</v>
      </c>
      <c r="L40" s="11">
        <v>400039082.7982913</v>
      </c>
      <c r="M40" s="11">
        <v>1.000000000256674</v>
      </c>
      <c r="N40" s="11">
        <v>400039082.9009708</v>
      </c>
      <c r="O40" t="s">
        <v>27</v>
      </c>
      <c r="P40" s="10">
        <v>1</v>
      </c>
      <c r="Q40" s="11">
        <v>400039082.9009708</v>
      </c>
      <c r="R40" t="s">
        <v>147</v>
      </c>
    </row>
    <row r="41" spans="1:18">
      <c r="A41" t="s">
        <v>21</v>
      </c>
      <c r="B41" t="s">
        <v>67</v>
      </c>
      <c r="C41" t="s">
        <v>78</v>
      </c>
      <c r="D41" t="s">
        <v>89</v>
      </c>
      <c r="E41" t="s">
        <v>81</v>
      </c>
      <c r="F41" t="s">
        <v>85</v>
      </c>
      <c r="G41" s="11">
        <v>9984886332.209999</v>
      </c>
      <c r="H41" t="s">
        <v>113</v>
      </c>
      <c r="I41" t="s">
        <v>114</v>
      </c>
      <c r="J41" t="s">
        <v>126</v>
      </c>
      <c r="K41" t="s">
        <v>145</v>
      </c>
      <c r="L41" s="11">
        <v>343389423.9236664</v>
      </c>
      <c r="M41" s="11">
        <v>1.000000000256674</v>
      </c>
      <c r="N41" s="11">
        <v>343389424.0118054</v>
      </c>
      <c r="O41" t="s">
        <v>27</v>
      </c>
      <c r="P41" s="10">
        <v>1</v>
      </c>
      <c r="Q41" s="11">
        <v>343389424.0118054</v>
      </c>
      <c r="R41" t="s">
        <v>147</v>
      </c>
    </row>
    <row r="42" spans="1:18">
      <c r="A42" t="s">
        <v>21</v>
      </c>
      <c r="B42" t="s">
        <v>67</v>
      </c>
      <c r="C42" t="s">
        <v>78</v>
      </c>
      <c r="D42" t="s">
        <v>89</v>
      </c>
      <c r="E42" t="s">
        <v>81</v>
      </c>
      <c r="F42" t="s">
        <v>85</v>
      </c>
      <c r="G42" s="11">
        <v>9984886332.209999</v>
      </c>
      <c r="H42" t="s">
        <v>113</v>
      </c>
      <c r="I42" t="s">
        <v>113</v>
      </c>
      <c r="J42" t="s">
        <v>127</v>
      </c>
      <c r="K42" t="s">
        <v>137</v>
      </c>
      <c r="L42" s="11">
        <v>218329465.6834706</v>
      </c>
      <c r="M42" s="11">
        <v>1.000000000256674</v>
      </c>
      <c r="N42" s="11">
        <v>218329465.73951</v>
      </c>
      <c r="O42" t="s">
        <v>27</v>
      </c>
      <c r="P42" s="10">
        <v>1</v>
      </c>
      <c r="Q42" s="11">
        <v>218329465.73951</v>
      </c>
      <c r="R42" t="s">
        <v>148</v>
      </c>
    </row>
  </sheetData>
  <autoFilter ref="A1:R4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7.7109375" customWidth="1"/>
    <col min="3" max="3" width="16.7109375" style="11" customWidth="1"/>
  </cols>
  <sheetData>
    <row r="1" spans="1:3" s="8" customFormat="1" ht="22" customHeight="1">
      <c r="A1" s="8" t="s">
        <v>132</v>
      </c>
      <c r="B1" s="8" t="s">
        <v>50</v>
      </c>
      <c r="C1" s="8" t="s">
        <v>134</v>
      </c>
    </row>
    <row r="2" spans="1:3">
      <c r="A2" t="s">
        <v>24</v>
      </c>
      <c r="B2" t="s">
        <v>13</v>
      </c>
      <c r="C2" s="11">
        <v>306271504.30625</v>
      </c>
    </row>
    <row r="3" spans="1:3">
      <c r="A3" t="s">
        <v>24</v>
      </c>
      <c r="B3" t="s">
        <v>14</v>
      </c>
      <c r="C3" s="11">
        <v>39489516.46000001</v>
      </c>
    </row>
    <row r="4" spans="1:3">
      <c r="A4" t="s">
        <v>24</v>
      </c>
      <c r="B4" t="s">
        <v>15</v>
      </c>
      <c r="C4" s="11">
        <v>301373527.1366667</v>
      </c>
    </row>
    <row r="5" spans="1:3">
      <c r="A5" t="s">
        <v>24</v>
      </c>
      <c r="B5" t="s">
        <v>16</v>
      </c>
      <c r="C5" s="11">
        <v>100694160.2233333</v>
      </c>
    </row>
    <row r="6" spans="1:3">
      <c r="A6" t="s">
        <v>24</v>
      </c>
      <c r="B6" t="s">
        <v>17</v>
      </c>
      <c r="C6" s="11">
        <v>50636038.34333334</v>
      </c>
    </row>
    <row r="7" spans="1:3">
      <c r="A7" t="s">
        <v>24</v>
      </c>
      <c r="B7" t="s">
        <v>18</v>
      </c>
      <c r="C7" s="11">
        <v>103306051.8166667</v>
      </c>
    </row>
    <row r="8" spans="1:3">
      <c r="A8" t="s">
        <v>24</v>
      </c>
      <c r="B8" t="s">
        <v>12</v>
      </c>
      <c r="C8" s="11">
        <v>157038535.84</v>
      </c>
    </row>
    <row r="9" spans="1:3">
      <c r="A9" t="s">
        <v>25</v>
      </c>
      <c r="B9" t="s">
        <v>13</v>
      </c>
      <c r="C9" s="11">
        <v>43753072.04374994</v>
      </c>
    </row>
    <row r="10" spans="1:3">
      <c r="A10" t="s">
        <v>25</v>
      </c>
      <c r="B10" t="s">
        <v>15</v>
      </c>
      <c r="C10" s="11">
        <v>602747054.2733331</v>
      </c>
    </row>
    <row r="11" spans="1:3">
      <c r="A11" t="s">
        <v>25</v>
      </c>
      <c r="B11" t="s">
        <v>16</v>
      </c>
      <c r="C11" s="11">
        <v>201388320.4466667</v>
      </c>
    </row>
    <row r="12" spans="1:3">
      <c r="A12" t="s">
        <v>25</v>
      </c>
      <c r="B12" t="s">
        <v>17</v>
      </c>
      <c r="C12" s="11">
        <v>101272076.6866667</v>
      </c>
    </row>
    <row r="13" spans="1:3">
      <c r="A13" t="s">
        <v>25</v>
      </c>
      <c r="B13" t="s">
        <v>18</v>
      </c>
      <c r="C13" s="11">
        <v>206612103.6333333</v>
      </c>
    </row>
    <row r="14" spans="1:3">
      <c r="A14" t="s">
        <v>25</v>
      </c>
      <c r="B14" t="s">
        <v>19</v>
      </c>
      <c r="C14" s="11">
        <v>2701701360.51</v>
      </c>
    </row>
    <row r="15" spans="1:3">
      <c r="A15" t="s">
        <v>27</v>
      </c>
      <c r="B15" t="s">
        <v>21</v>
      </c>
      <c r="C15" s="11">
        <v>9984886332.209999</v>
      </c>
    </row>
    <row r="16" spans="1:3">
      <c r="A16" t="s">
        <v>27</v>
      </c>
      <c r="B16" t="s">
        <v>20</v>
      </c>
      <c r="C16" s="11">
        <v>3252354632.79</v>
      </c>
    </row>
    <row r="17" spans="1:3">
      <c r="A17" t="s">
        <v>146</v>
      </c>
      <c r="B17" t="s">
        <v>79</v>
      </c>
      <c r="C17" s="11">
        <v>0</v>
      </c>
    </row>
  </sheetData>
  <autoFilter ref="A1:C1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6.7109375" style="11" customWidth="1"/>
    <col min="3" max="3" width="12.7109375" style="10" customWidth="1"/>
  </cols>
  <sheetData>
    <row r="1" spans="1:3" s="8" customFormat="1" ht="22" customHeight="1">
      <c r="A1" s="8" t="s">
        <v>132</v>
      </c>
      <c r="B1" s="8" t="s">
        <v>134</v>
      </c>
      <c r="C1" s="8" t="s">
        <v>150</v>
      </c>
    </row>
    <row r="2" spans="1:3">
      <c r="A2" t="s">
        <v>24</v>
      </c>
      <c r="B2" s="11">
        <v>1058809334.12625</v>
      </c>
      <c r="C2" s="10">
        <v>0.05832527708687453</v>
      </c>
    </row>
    <row r="3" spans="1:3">
      <c r="A3" t="s">
        <v>25</v>
      </c>
      <c r="B3" s="11">
        <v>3857473987.59375</v>
      </c>
      <c r="C3" s="10">
        <v>0.2124917413648236</v>
      </c>
    </row>
    <row r="4" spans="1:3">
      <c r="A4" t="s">
        <v>26</v>
      </c>
      <c r="B4" s="11">
        <v>0</v>
      </c>
      <c r="C4" s="10">
        <v>0</v>
      </c>
    </row>
    <row r="5" spans="1:3">
      <c r="A5" t="s">
        <v>27</v>
      </c>
      <c r="B5" s="11">
        <v>13237240965</v>
      </c>
      <c r="C5" s="10">
        <v>0.729182981548302</v>
      </c>
    </row>
  </sheetData>
  <autoFilter ref="A1:C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7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6.7109375" customWidth="1"/>
    <col min="3" max="3" width="42.7109375" customWidth="1"/>
    <col min="4" max="4" width="39.7109375" customWidth="1"/>
    <col min="5" max="5" width="10.7109375" customWidth="1"/>
    <col min="6" max="6" width="14.7109375" customWidth="1"/>
    <col min="7" max="8" width="42.7109375" customWidth="1"/>
    <col min="9" max="9" width="17.7109375" customWidth="1"/>
    <col min="10" max="10" width="42.7109375" customWidth="1"/>
    <col min="11" max="11" width="18.7109375" customWidth="1"/>
    <col min="12" max="12" width="10.7109375" customWidth="1"/>
    <col min="13" max="14" width="16.7109375" style="11" customWidth="1"/>
  </cols>
  <sheetData>
    <row r="1" spans="1:14" s="8" customFormat="1" ht="22" customHeight="1">
      <c r="A1" s="8" t="s">
        <v>50</v>
      </c>
      <c r="B1" s="8" t="s">
        <v>48</v>
      </c>
      <c r="C1" s="8" t="s">
        <v>49</v>
      </c>
      <c r="D1" s="8" t="s">
        <v>151</v>
      </c>
      <c r="E1" s="8" t="s">
        <v>152</v>
      </c>
      <c r="F1" s="8" t="s">
        <v>129</v>
      </c>
      <c r="G1" s="8" t="s">
        <v>153</v>
      </c>
      <c r="H1" s="8" t="s">
        <v>154</v>
      </c>
      <c r="I1" s="8" t="s">
        <v>155</v>
      </c>
      <c r="J1" s="8" t="s">
        <v>156</v>
      </c>
      <c r="K1" s="8" t="s">
        <v>157</v>
      </c>
      <c r="L1" s="8" t="s">
        <v>132</v>
      </c>
      <c r="M1" s="8" t="s">
        <v>158</v>
      </c>
      <c r="N1" s="8" t="s">
        <v>159</v>
      </c>
    </row>
    <row r="2" spans="1:14">
      <c r="A2" t="s">
        <v>12</v>
      </c>
      <c r="B2" t="s">
        <v>57</v>
      </c>
      <c r="C2" t="s">
        <v>160</v>
      </c>
      <c r="D2" t="s">
        <v>163</v>
      </c>
      <c r="E2" t="s">
        <v>117</v>
      </c>
      <c r="F2" t="s">
        <v>136</v>
      </c>
      <c r="G2" t="s">
        <v>172</v>
      </c>
      <c r="H2" t="s">
        <v>191</v>
      </c>
      <c r="I2" t="s">
        <v>200</v>
      </c>
      <c r="J2" t="s">
        <v>204</v>
      </c>
      <c r="K2" t="s">
        <v>206</v>
      </c>
      <c r="L2" t="s">
        <v>24</v>
      </c>
      <c r="M2" s="11">
        <v>24250000</v>
      </c>
      <c r="N2" s="11">
        <v>0.1666666666666667</v>
      </c>
    </row>
    <row r="3" spans="1:14">
      <c r="A3" t="s">
        <v>12</v>
      </c>
      <c r="B3" t="s">
        <v>57</v>
      </c>
      <c r="C3" t="s">
        <v>160</v>
      </c>
      <c r="D3" t="s">
        <v>163</v>
      </c>
      <c r="E3" t="s">
        <v>117</v>
      </c>
      <c r="F3" t="s">
        <v>136</v>
      </c>
      <c r="G3" t="s">
        <v>172</v>
      </c>
      <c r="H3" t="s">
        <v>191</v>
      </c>
      <c r="I3" t="s">
        <v>200</v>
      </c>
      <c r="J3" t="s">
        <v>204</v>
      </c>
      <c r="K3" t="s">
        <v>207</v>
      </c>
      <c r="L3" t="s">
        <v>24</v>
      </c>
      <c r="M3" s="11">
        <v>24250000</v>
      </c>
      <c r="N3" s="11">
        <v>0.1666666666666667</v>
      </c>
    </row>
    <row r="4" spans="1:14">
      <c r="A4" t="s">
        <v>12</v>
      </c>
      <c r="B4" t="s">
        <v>57</v>
      </c>
      <c r="C4" t="s">
        <v>160</v>
      </c>
      <c r="D4" t="s">
        <v>163</v>
      </c>
      <c r="E4" t="s">
        <v>117</v>
      </c>
      <c r="F4" t="s">
        <v>136</v>
      </c>
      <c r="G4" t="s">
        <v>172</v>
      </c>
      <c r="H4" t="s">
        <v>191</v>
      </c>
      <c r="I4" t="s">
        <v>200</v>
      </c>
      <c r="J4" t="s">
        <v>204</v>
      </c>
      <c r="K4" t="s">
        <v>208</v>
      </c>
      <c r="L4" t="s">
        <v>24</v>
      </c>
      <c r="M4" s="11">
        <v>24250000</v>
      </c>
      <c r="N4" s="11">
        <v>0.1666666666666667</v>
      </c>
    </row>
    <row r="5" spans="1:14">
      <c r="A5" t="s">
        <v>12</v>
      </c>
      <c r="B5" t="s">
        <v>57</v>
      </c>
      <c r="C5" t="s">
        <v>160</v>
      </c>
      <c r="D5" t="s">
        <v>163</v>
      </c>
      <c r="E5" t="s">
        <v>117</v>
      </c>
      <c r="F5" t="s">
        <v>136</v>
      </c>
      <c r="G5" t="s">
        <v>172</v>
      </c>
      <c r="H5" t="s">
        <v>191</v>
      </c>
      <c r="I5" t="s">
        <v>200</v>
      </c>
      <c r="J5" t="s">
        <v>204</v>
      </c>
      <c r="K5" t="s">
        <v>209</v>
      </c>
      <c r="L5" t="s">
        <v>24</v>
      </c>
      <c r="M5" s="11">
        <v>24250000</v>
      </c>
      <c r="N5" s="11">
        <v>0.1666666666666667</v>
      </c>
    </row>
    <row r="6" spans="1:14">
      <c r="A6" t="s">
        <v>12</v>
      </c>
      <c r="B6" t="s">
        <v>57</v>
      </c>
      <c r="C6" t="s">
        <v>160</v>
      </c>
      <c r="D6" t="s">
        <v>163</v>
      </c>
      <c r="E6" t="s">
        <v>117</v>
      </c>
      <c r="F6" t="s">
        <v>136</v>
      </c>
      <c r="G6" t="s">
        <v>172</v>
      </c>
      <c r="H6" t="s">
        <v>191</v>
      </c>
      <c r="I6" t="s">
        <v>200</v>
      </c>
      <c r="J6" t="s">
        <v>204</v>
      </c>
      <c r="K6" t="s">
        <v>210</v>
      </c>
      <c r="L6" t="s">
        <v>24</v>
      </c>
      <c r="M6" s="11">
        <v>24250000</v>
      </c>
      <c r="N6" s="11">
        <v>0.1666666666666667</v>
      </c>
    </row>
    <row r="7" spans="1:14">
      <c r="A7" t="s">
        <v>12</v>
      </c>
      <c r="B7" t="s">
        <v>57</v>
      </c>
      <c r="C7" t="s">
        <v>160</v>
      </c>
      <c r="D7" t="s">
        <v>163</v>
      </c>
      <c r="E7" t="s">
        <v>117</v>
      </c>
      <c r="F7" t="s">
        <v>136</v>
      </c>
      <c r="G7" t="s">
        <v>172</v>
      </c>
      <c r="H7" t="s">
        <v>191</v>
      </c>
      <c r="I7" t="s">
        <v>200</v>
      </c>
      <c r="J7" t="s">
        <v>204</v>
      </c>
      <c r="K7" t="s">
        <v>211</v>
      </c>
      <c r="L7" t="s">
        <v>24</v>
      </c>
      <c r="M7" s="11">
        <v>24250000</v>
      </c>
      <c r="N7" s="11">
        <v>0.1666666666666667</v>
      </c>
    </row>
    <row r="8" spans="1:14">
      <c r="A8" t="s">
        <v>13</v>
      </c>
      <c r="B8" t="s">
        <v>58</v>
      </c>
      <c r="C8" t="s">
        <v>161</v>
      </c>
      <c r="D8" t="s">
        <v>163</v>
      </c>
      <c r="E8" t="s">
        <v>117</v>
      </c>
      <c r="F8" t="s">
        <v>136</v>
      </c>
      <c r="G8" t="s">
        <v>173</v>
      </c>
      <c r="H8" t="s">
        <v>192</v>
      </c>
      <c r="I8" t="s">
        <v>200</v>
      </c>
      <c r="J8" t="s">
        <v>204</v>
      </c>
      <c r="K8" t="s">
        <v>209</v>
      </c>
      <c r="L8" t="s">
        <v>24</v>
      </c>
      <c r="M8" s="11">
        <v>41666666.66666667</v>
      </c>
      <c r="N8" s="11">
        <v>0.125</v>
      </c>
    </row>
    <row r="9" spans="1:14">
      <c r="A9" t="s">
        <v>13</v>
      </c>
      <c r="B9" t="s">
        <v>58</v>
      </c>
      <c r="C9" t="s">
        <v>161</v>
      </c>
      <c r="D9" t="s">
        <v>163</v>
      </c>
      <c r="E9" t="s">
        <v>117</v>
      </c>
      <c r="F9" t="s">
        <v>136</v>
      </c>
      <c r="G9" t="s">
        <v>173</v>
      </c>
      <c r="H9" t="s">
        <v>192</v>
      </c>
      <c r="I9" t="s">
        <v>200</v>
      </c>
      <c r="J9" t="s">
        <v>204</v>
      </c>
      <c r="K9" t="s">
        <v>210</v>
      </c>
      <c r="L9" t="s">
        <v>24</v>
      </c>
      <c r="M9" s="11">
        <v>41666666.66666667</v>
      </c>
      <c r="N9" s="11">
        <v>0.125</v>
      </c>
    </row>
    <row r="10" spans="1:14">
      <c r="A10" t="s">
        <v>13</v>
      </c>
      <c r="B10" t="s">
        <v>58</v>
      </c>
      <c r="C10" t="s">
        <v>161</v>
      </c>
      <c r="D10" t="s">
        <v>163</v>
      </c>
      <c r="E10" t="s">
        <v>117</v>
      </c>
      <c r="F10" t="s">
        <v>136</v>
      </c>
      <c r="G10" t="s">
        <v>173</v>
      </c>
      <c r="H10" t="s">
        <v>192</v>
      </c>
      <c r="I10" t="s">
        <v>200</v>
      </c>
      <c r="J10" t="s">
        <v>204</v>
      </c>
      <c r="K10" t="s">
        <v>211</v>
      </c>
      <c r="L10" t="s">
        <v>24</v>
      </c>
      <c r="M10" s="11">
        <v>41666666.66666667</v>
      </c>
      <c r="N10" s="11">
        <v>0.125</v>
      </c>
    </row>
    <row r="11" spans="1:14">
      <c r="A11" t="s">
        <v>13</v>
      </c>
      <c r="B11" t="s">
        <v>58</v>
      </c>
      <c r="C11" t="s">
        <v>161</v>
      </c>
      <c r="D11" t="s">
        <v>163</v>
      </c>
      <c r="E11" t="s">
        <v>117</v>
      </c>
      <c r="F11" t="s">
        <v>136</v>
      </c>
      <c r="G11" t="s">
        <v>173</v>
      </c>
      <c r="H11" t="s">
        <v>192</v>
      </c>
      <c r="I11" t="s">
        <v>200</v>
      </c>
      <c r="J11" t="s">
        <v>204</v>
      </c>
      <c r="K11" t="s">
        <v>212</v>
      </c>
      <c r="L11" t="s">
        <v>24</v>
      </c>
      <c r="M11" s="11">
        <v>41666666.66666667</v>
      </c>
      <c r="N11" s="11">
        <v>0.125</v>
      </c>
    </row>
    <row r="12" spans="1:14">
      <c r="A12" t="s">
        <v>13</v>
      </c>
      <c r="B12" t="s">
        <v>58</v>
      </c>
      <c r="C12" t="s">
        <v>161</v>
      </c>
      <c r="D12" t="s">
        <v>163</v>
      </c>
      <c r="E12" t="s">
        <v>117</v>
      </c>
      <c r="F12" t="s">
        <v>136</v>
      </c>
      <c r="G12" t="s">
        <v>173</v>
      </c>
      <c r="H12" t="s">
        <v>192</v>
      </c>
      <c r="I12" t="s">
        <v>200</v>
      </c>
      <c r="J12" t="s">
        <v>204</v>
      </c>
      <c r="K12" t="s">
        <v>213</v>
      </c>
      <c r="L12" t="s">
        <v>24</v>
      </c>
      <c r="M12" s="11">
        <v>41666666.66666667</v>
      </c>
      <c r="N12" s="11">
        <v>0.125</v>
      </c>
    </row>
    <row r="13" spans="1:14">
      <c r="A13" t="s">
        <v>13</v>
      </c>
      <c r="B13" t="s">
        <v>58</v>
      </c>
      <c r="C13" t="s">
        <v>161</v>
      </c>
      <c r="D13" t="s">
        <v>163</v>
      </c>
      <c r="E13" t="s">
        <v>117</v>
      </c>
      <c r="F13" t="s">
        <v>136</v>
      </c>
      <c r="G13" t="s">
        <v>173</v>
      </c>
      <c r="H13" t="s">
        <v>192</v>
      </c>
      <c r="I13" t="s">
        <v>200</v>
      </c>
      <c r="J13" t="s">
        <v>204</v>
      </c>
      <c r="K13" t="s">
        <v>214</v>
      </c>
      <c r="L13" t="s">
        <v>24</v>
      </c>
      <c r="M13" s="11">
        <v>41666666.66666667</v>
      </c>
      <c r="N13" s="11">
        <v>0.125</v>
      </c>
    </row>
    <row r="14" spans="1:14">
      <c r="A14" t="s">
        <v>13</v>
      </c>
      <c r="B14" t="s">
        <v>58</v>
      </c>
      <c r="C14" t="s">
        <v>161</v>
      </c>
      <c r="D14" t="s">
        <v>163</v>
      </c>
      <c r="E14" t="s">
        <v>117</v>
      </c>
      <c r="F14" t="s">
        <v>136</v>
      </c>
      <c r="G14" t="s">
        <v>173</v>
      </c>
      <c r="H14" t="s">
        <v>192</v>
      </c>
      <c r="I14" t="s">
        <v>200</v>
      </c>
      <c r="J14" t="s">
        <v>204</v>
      </c>
      <c r="K14" t="s">
        <v>215</v>
      </c>
      <c r="L14" t="s">
        <v>24</v>
      </c>
      <c r="M14" s="11">
        <v>41666666.66666667</v>
      </c>
      <c r="N14" s="11">
        <v>0.125</v>
      </c>
    </row>
    <row r="15" spans="1:14">
      <c r="A15" t="s">
        <v>13</v>
      </c>
      <c r="B15" t="s">
        <v>58</v>
      </c>
      <c r="C15" t="s">
        <v>161</v>
      </c>
      <c r="D15" t="s">
        <v>163</v>
      </c>
      <c r="E15" t="s">
        <v>117</v>
      </c>
      <c r="F15" t="s">
        <v>136</v>
      </c>
      <c r="G15" t="s">
        <v>173</v>
      </c>
      <c r="H15" t="s">
        <v>192</v>
      </c>
      <c r="I15" t="s">
        <v>200</v>
      </c>
      <c r="J15" t="s">
        <v>204</v>
      </c>
      <c r="K15" t="s">
        <v>216</v>
      </c>
      <c r="L15" t="s">
        <v>25</v>
      </c>
      <c r="M15" s="11">
        <v>41666666.66666661</v>
      </c>
      <c r="N15" s="11">
        <v>0.1249999999999998</v>
      </c>
    </row>
    <row r="16" spans="1:14">
      <c r="A16" t="s">
        <v>14</v>
      </c>
      <c r="B16" t="s">
        <v>60</v>
      </c>
      <c r="C16" t="s">
        <v>162</v>
      </c>
      <c r="D16" t="s">
        <v>164</v>
      </c>
      <c r="E16" t="s">
        <v>117</v>
      </c>
      <c r="F16" t="s">
        <v>136</v>
      </c>
      <c r="G16" t="s">
        <v>174</v>
      </c>
      <c r="H16" t="s">
        <v>193</v>
      </c>
      <c r="I16" t="s">
        <v>201</v>
      </c>
      <c r="K16" t="s">
        <v>206</v>
      </c>
      <c r="L16" t="s">
        <v>24</v>
      </c>
      <c r="M16" s="11">
        <v>9999917.80326573</v>
      </c>
      <c r="N16" s="11">
        <v>0.25</v>
      </c>
    </row>
    <row r="17" spans="1:14">
      <c r="A17" t="s">
        <v>14</v>
      </c>
      <c r="B17" t="s">
        <v>60</v>
      </c>
      <c r="C17" t="s">
        <v>162</v>
      </c>
      <c r="D17" t="s">
        <v>164</v>
      </c>
      <c r="E17" t="s">
        <v>117</v>
      </c>
      <c r="F17" t="s">
        <v>136</v>
      </c>
      <c r="G17" t="s">
        <v>174</v>
      </c>
      <c r="H17" t="s">
        <v>193</v>
      </c>
      <c r="I17" t="s">
        <v>201</v>
      </c>
      <c r="K17" t="s">
        <v>207</v>
      </c>
      <c r="L17" t="s">
        <v>24</v>
      </c>
      <c r="M17" s="11">
        <v>9998917.811485402</v>
      </c>
      <c r="N17" s="11">
        <v>0.249975</v>
      </c>
    </row>
    <row r="18" spans="1:14">
      <c r="A18" t="s">
        <v>14</v>
      </c>
      <c r="B18" t="s">
        <v>60</v>
      </c>
      <c r="C18" t="s">
        <v>162</v>
      </c>
      <c r="D18" t="s">
        <v>164</v>
      </c>
      <c r="E18" t="s">
        <v>117</v>
      </c>
      <c r="F18" t="s">
        <v>136</v>
      </c>
      <c r="G18" t="s">
        <v>174</v>
      </c>
      <c r="H18" t="s">
        <v>193</v>
      </c>
      <c r="I18" t="s">
        <v>201</v>
      </c>
      <c r="K18" t="s">
        <v>208</v>
      </c>
      <c r="L18" t="s">
        <v>24</v>
      </c>
      <c r="M18" s="11">
        <v>10000417.79915589</v>
      </c>
      <c r="N18" s="11">
        <v>0.2500125</v>
      </c>
    </row>
    <row r="19" spans="1:14">
      <c r="A19" t="s">
        <v>14</v>
      </c>
      <c r="B19" t="s">
        <v>60</v>
      </c>
      <c r="C19" t="s">
        <v>162</v>
      </c>
      <c r="D19" t="s">
        <v>164</v>
      </c>
      <c r="E19" t="s">
        <v>117</v>
      </c>
      <c r="F19" t="s">
        <v>136</v>
      </c>
      <c r="G19" t="s">
        <v>174</v>
      </c>
      <c r="H19" t="s">
        <v>193</v>
      </c>
      <c r="I19" t="s">
        <v>201</v>
      </c>
      <c r="K19" t="s">
        <v>209</v>
      </c>
      <c r="L19" t="s">
        <v>24</v>
      </c>
      <c r="M19" s="11">
        <v>10000417.79915589</v>
      </c>
      <c r="N19" s="11">
        <v>0.2500125</v>
      </c>
    </row>
    <row r="20" spans="1:14">
      <c r="A20" t="s">
        <v>15</v>
      </c>
      <c r="B20" t="s">
        <v>61</v>
      </c>
      <c r="C20" t="s">
        <v>72</v>
      </c>
      <c r="D20" t="s">
        <v>163</v>
      </c>
      <c r="E20" t="s">
        <v>117</v>
      </c>
      <c r="F20" t="s">
        <v>136</v>
      </c>
      <c r="G20" t="s">
        <v>175</v>
      </c>
      <c r="H20" t="s">
        <v>194</v>
      </c>
      <c r="I20" t="s">
        <v>200</v>
      </c>
      <c r="J20" t="s">
        <v>204</v>
      </c>
      <c r="K20" t="s">
        <v>217</v>
      </c>
      <c r="L20" t="s">
        <v>24</v>
      </c>
      <c r="M20" s="11">
        <v>146250000</v>
      </c>
      <c r="N20" s="11">
        <v>0.1666666666666667</v>
      </c>
    </row>
    <row r="21" spans="1:14">
      <c r="A21" t="s">
        <v>15</v>
      </c>
      <c r="B21" t="s">
        <v>61</v>
      </c>
      <c r="C21" t="s">
        <v>72</v>
      </c>
      <c r="D21" t="s">
        <v>163</v>
      </c>
      <c r="E21" t="s">
        <v>117</v>
      </c>
      <c r="F21" t="s">
        <v>136</v>
      </c>
      <c r="G21" t="s">
        <v>175</v>
      </c>
      <c r="H21" t="s">
        <v>194</v>
      </c>
      <c r="I21" t="s">
        <v>200</v>
      </c>
      <c r="J21" t="s">
        <v>204</v>
      </c>
      <c r="K21" t="s">
        <v>218</v>
      </c>
      <c r="L21" t="s">
        <v>24</v>
      </c>
      <c r="M21" s="11">
        <v>146250000</v>
      </c>
      <c r="N21" s="11">
        <v>0.1666666666666667</v>
      </c>
    </row>
    <row r="22" spans="1:14">
      <c r="A22" t="s">
        <v>15</v>
      </c>
      <c r="B22" t="s">
        <v>61</v>
      </c>
      <c r="C22" t="s">
        <v>72</v>
      </c>
      <c r="D22" t="s">
        <v>163</v>
      </c>
      <c r="E22" t="s">
        <v>117</v>
      </c>
      <c r="F22" t="s">
        <v>136</v>
      </c>
      <c r="G22" t="s">
        <v>175</v>
      </c>
      <c r="H22" t="s">
        <v>194</v>
      </c>
      <c r="I22" t="s">
        <v>200</v>
      </c>
      <c r="J22" t="s">
        <v>204</v>
      </c>
      <c r="K22" t="s">
        <v>219</v>
      </c>
      <c r="L22" t="s">
        <v>25</v>
      </c>
      <c r="M22" s="11">
        <v>146250000</v>
      </c>
      <c r="N22" s="11">
        <v>0.1666666666666667</v>
      </c>
    </row>
    <row r="23" spans="1:14">
      <c r="A23" t="s">
        <v>15</v>
      </c>
      <c r="B23" t="s">
        <v>61</v>
      </c>
      <c r="C23" t="s">
        <v>72</v>
      </c>
      <c r="D23" t="s">
        <v>163</v>
      </c>
      <c r="E23" t="s">
        <v>117</v>
      </c>
      <c r="F23" t="s">
        <v>136</v>
      </c>
      <c r="G23" t="s">
        <v>175</v>
      </c>
      <c r="H23" t="s">
        <v>194</v>
      </c>
      <c r="I23" t="s">
        <v>200</v>
      </c>
      <c r="J23" t="s">
        <v>204</v>
      </c>
      <c r="K23" t="s">
        <v>220</v>
      </c>
      <c r="L23" t="s">
        <v>25</v>
      </c>
      <c r="M23" s="11">
        <v>146250000</v>
      </c>
      <c r="N23" s="11">
        <v>0.1666666666666667</v>
      </c>
    </row>
    <row r="24" spans="1:14">
      <c r="A24" t="s">
        <v>15</v>
      </c>
      <c r="B24" t="s">
        <v>61</v>
      </c>
      <c r="C24" t="s">
        <v>72</v>
      </c>
      <c r="D24" t="s">
        <v>163</v>
      </c>
      <c r="E24" t="s">
        <v>117</v>
      </c>
      <c r="F24" t="s">
        <v>136</v>
      </c>
      <c r="G24" t="s">
        <v>175</v>
      </c>
      <c r="H24" t="s">
        <v>194</v>
      </c>
      <c r="I24" t="s">
        <v>200</v>
      </c>
      <c r="J24" t="s">
        <v>204</v>
      </c>
      <c r="K24" t="s">
        <v>221</v>
      </c>
      <c r="L24" t="s">
        <v>25</v>
      </c>
      <c r="M24" s="11">
        <v>146250000</v>
      </c>
      <c r="N24" s="11">
        <v>0.1666666666666667</v>
      </c>
    </row>
    <row r="25" spans="1:14">
      <c r="A25" t="s">
        <v>15</v>
      </c>
      <c r="B25" t="s">
        <v>61</v>
      </c>
      <c r="C25" t="s">
        <v>72</v>
      </c>
      <c r="D25" t="s">
        <v>163</v>
      </c>
      <c r="E25" t="s">
        <v>117</v>
      </c>
      <c r="F25" t="s">
        <v>136</v>
      </c>
      <c r="G25" t="s">
        <v>175</v>
      </c>
      <c r="H25" t="s">
        <v>194</v>
      </c>
      <c r="I25" t="s">
        <v>200</v>
      </c>
      <c r="J25" t="s">
        <v>204</v>
      </c>
      <c r="K25" t="s">
        <v>222</v>
      </c>
      <c r="L25" t="s">
        <v>25</v>
      </c>
      <c r="M25" s="11">
        <v>146249999.9999998</v>
      </c>
      <c r="N25" s="11">
        <v>0.1666666666666664</v>
      </c>
    </row>
    <row r="26" spans="1:14">
      <c r="A26" t="s">
        <v>16</v>
      </c>
      <c r="B26" t="s">
        <v>62</v>
      </c>
      <c r="C26" t="s">
        <v>73</v>
      </c>
      <c r="D26" t="s">
        <v>163</v>
      </c>
      <c r="E26" t="s">
        <v>117</v>
      </c>
      <c r="F26" t="s">
        <v>136</v>
      </c>
      <c r="G26" t="s">
        <v>176</v>
      </c>
      <c r="H26" t="s">
        <v>194</v>
      </c>
      <c r="I26" t="s">
        <v>200</v>
      </c>
      <c r="J26" t="s">
        <v>204</v>
      </c>
      <c r="K26" t="s">
        <v>217</v>
      </c>
      <c r="L26" t="s">
        <v>24</v>
      </c>
      <c r="M26" s="11">
        <v>48500000</v>
      </c>
      <c r="N26" s="11">
        <v>0.1666666666666667</v>
      </c>
    </row>
    <row r="27" spans="1:14">
      <c r="A27" t="s">
        <v>16</v>
      </c>
      <c r="B27" t="s">
        <v>62</v>
      </c>
      <c r="C27" t="s">
        <v>73</v>
      </c>
      <c r="D27" t="s">
        <v>163</v>
      </c>
      <c r="E27" t="s">
        <v>117</v>
      </c>
      <c r="F27" t="s">
        <v>136</v>
      </c>
      <c r="G27" t="s">
        <v>176</v>
      </c>
      <c r="H27" t="s">
        <v>194</v>
      </c>
      <c r="I27" t="s">
        <v>200</v>
      </c>
      <c r="J27" t="s">
        <v>204</v>
      </c>
      <c r="K27" t="s">
        <v>218</v>
      </c>
      <c r="L27" t="s">
        <v>24</v>
      </c>
      <c r="M27" s="11">
        <v>48500000</v>
      </c>
      <c r="N27" s="11">
        <v>0.1666666666666667</v>
      </c>
    </row>
    <row r="28" spans="1:14">
      <c r="A28" t="s">
        <v>16</v>
      </c>
      <c r="B28" t="s">
        <v>62</v>
      </c>
      <c r="C28" t="s">
        <v>73</v>
      </c>
      <c r="D28" t="s">
        <v>163</v>
      </c>
      <c r="E28" t="s">
        <v>117</v>
      </c>
      <c r="F28" t="s">
        <v>136</v>
      </c>
      <c r="G28" t="s">
        <v>176</v>
      </c>
      <c r="H28" t="s">
        <v>194</v>
      </c>
      <c r="I28" t="s">
        <v>200</v>
      </c>
      <c r="J28" t="s">
        <v>204</v>
      </c>
      <c r="K28" t="s">
        <v>219</v>
      </c>
      <c r="L28" t="s">
        <v>25</v>
      </c>
      <c r="M28" s="11">
        <v>48500000</v>
      </c>
      <c r="N28" s="11">
        <v>0.1666666666666667</v>
      </c>
    </row>
    <row r="29" spans="1:14">
      <c r="A29" t="s">
        <v>16</v>
      </c>
      <c r="B29" t="s">
        <v>62</v>
      </c>
      <c r="C29" t="s">
        <v>73</v>
      </c>
      <c r="D29" t="s">
        <v>163</v>
      </c>
      <c r="E29" t="s">
        <v>117</v>
      </c>
      <c r="F29" t="s">
        <v>136</v>
      </c>
      <c r="G29" t="s">
        <v>176</v>
      </c>
      <c r="H29" t="s">
        <v>194</v>
      </c>
      <c r="I29" t="s">
        <v>200</v>
      </c>
      <c r="J29" t="s">
        <v>204</v>
      </c>
      <c r="K29" t="s">
        <v>220</v>
      </c>
      <c r="L29" t="s">
        <v>25</v>
      </c>
      <c r="M29" s="11">
        <v>48500000</v>
      </c>
      <c r="N29" s="11">
        <v>0.1666666666666667</v>
      </c>
    </row>
    <row r="30" spans="1:14">
      <c r="A30" t="s">
        <v>16</v>
      </c>
      <c r="B30" t="s">
        <v>62</v>
      </c>
      <c r="C30" t="s">
        <v>73</v>
      </c>
      <c r="D30" t="s">
        <v>163</v>
      </c>
      <c r="E30" t="s">
        <v>117</v>
      </c>
      <c r="F30" t="s">
        <v>136</v>
      </c>
      <c r="G30" t="s">
        <v>176</v>
      </c>
      <c r="H30" t="s">
        <v>194</v>
      </c>
      <c r="I30" t="s">
        <v>200</v>
      </c>
      <c r="J30" t="s">
        <v>204</v>
      </c>
      <c r="K30" t="s">
        <v>221</v>
      </c>
      <c r="L30" t="s">
        <v>25</v>
      </c>
      <c r="M30" s="11">
        <v>48500000</v>
      </c>
      <c r="N30" s="11">
        <v>0.1666666666666667</v>
      </c>
    </row>
    <row r="31" spans="1:14">
      <c r="A31" t="s">
        <v>16</v>
      </c>
      <c r="B31" t="s">
        <v>62</v>
      </c>
      <c r="C31" t="s">
        <v>73</v>
      </c>
      <c r="D31" t="s">
        <v>163</v>
      </c>
      <c r="E31" t="s">
        <v>117</v>
      </c>
      <c r="F31" t="s">
        <v>136</v>
      </c>
      <c r="G31" t="s">
        <v>176</v>
      </c>
      <c r="H31" t="s">
        <v>194</v>
      </c>
      <c r="I31" t="s">
        <v>200</v>
      </c>
      <c r="J31" t="s">
        <v>204</v>
      </c>
      <c r="K31" t="s">
        <v>222</v>
      </c>
      <c r="L31" t="s">
        <v>25</v>
      </c>
      <c r="M31" s="11">
        <v>48500000</v>
      </c>
      <c r="N31" s="11">
        <v>0.1666666666666667</v>
      </c>
    </row>
    <row r="32" spans="1:14">
      <c r="A32" t="s">
        <v>17</v>
      </c>
      <c r="B32" t="s">
        <v>63</v>
      </c>
      <c r="C32" t="s">
        <v>74</v>
      </c>
      <c r="D32" t="s">
        <v>163</v>
      </c>
      <c r="E32" t="s">
        <v>117</v>
      </c>
      <c r="F32" t="s">
        <v>136</v>
      </c>
      <c r="G32" t="s">
        <v>177</v>
      </c>
      <c r="H32" t="s">
        <v>194</v>
      </c>
      <c r="I32" t="s">
        <v>200</v>
      </c>
      <c r="J32" t="s">
        <v>204</v>
      </c>
      <c r="K32" t="s">
        <v>217</v>
      </c>
      <c r="L32" t="s">
        <v>24</v>
      </c>
      <c r="M32" s="11">
        <v>23750000</v>
      </c>
      <c r="N32" s="11">
        <v>0.1666666666666667</v>
      </c>
    </row>
    <row r="33" spans="1:14">
      <c r="A33" t="s">
        <v>17</v>
      </c>
      <c r="B33" t="s">
        <v>63</v>
      </c>
      <c r="C33" t="s">
        <v>74</v>
      </c>
      <c r="D33" t="s">
        <v>163</v>
      </c>
      <c r="E33" t="s">
        <v>117</v>
      </c>
      <c r="F33" t="s">
        <v>136</v>
      </c>
      <c r="G33" t="s">
        <v>177</v>
      </c>
      <c r="H33" t="s">
        <v>194</v>
      </c>
      <c r="I33" t="s">
        <v>200</v>
      </c>
      <c r="J33" t="s">
        <v>204</v>
      </c>
      <c r="K33" t="s">
        <v>218</v>
      </c>
      <c r="L33" t="s">
        <v>24</v>
      </c>
      <c r="M33" s="11">
        <v>23750000</v>
      </c>
      <c r="N33" s="11">
        <v>0.1666666666666667</v>
      </c>
    </row>
    <row r="34" spans="1:14">
      <c r="A34" t="s">
        <v>17</v>
      </c>
      <c r="B34" t="s">
        <v>63</v>
      </c>
      <c r="C34" t="s">
        <v>74</v>
      </c>
      <c r="D34" t="s">
        <v>163</v>
      </c>
      <c r="E34" t="s">
        <v>117</v>
      </c>
      <c r="F34" t="s">
        <v>136</v>
      </c>
      <c r="G34" t="s">
        <v>177</v>
      </c>
      <c r="H34" t="s">
        <v>194</v>
      </c>
      <c r="I34" t="s">
        <v>200</v>
      </c>
      <c r="J34" t="s">
        <v>204</v>
      </c>
      <c r="K34" t="s">
        <v>219</v>
      </c>
      <c r="L34" t="s">
        <v>25</v>
      </c>
      <c r="M34" s="11">
        <v>23750000</v>
      </c>
      <c r="N34" s="11">
        <v>0.1666666666666667</v>
      </c>
    </row>
    <row r="35" spans="1:14">
      <c r="A35" t="s">
        <v>17</v>
      </c>
      <c r="B35" t="s">
        <v>63</v>
      </c>
      <c r="C35" t="s">
        <v>74</v>
      </c>
      <c r="D35" t="s">
        <v>163</v>
      </c>
      <c r="E35" t="s">
        <v>117</v>
      </c>
      <c r="F35" t="s">
        <v>136</v>
      </c>
      <c r="G35" t="s">
        <v>177</v>
      </c>
      <c r="H35" t="s">
        <v>194</v>
      </c>
      <c r="I35" t="s">
        <v>200</v>
      </c>
      <c r="J35" t="s">
        <v>204</v>
      </c>
      <c r="K35" t="s">
        <v>220</v>
      </c>
      <c r="L35" t="s">
        <v>25</v>
      </c>
      <c r="M35" s="11">
        <v>23750000</v>
      </c>
      <c r="N35" s="11">
        <v>0.1666666666666667</v>
      </c>
    </row>
    <row r="36" spans="1:14">
      <c r="A36" t="s">
        <v>17</v>
      </c>
      <c r="B36" t="s">
        <v>63</v>
      </c>
      <c r="C36" t="s">
        <v>74</v>
      </c>
      <c r="D36" t="s">
        <v>163</v>
      </c>
      <c r="E36" t="s">
        <v>117</v>
      </c>
      <c r="F36" t="s">
        <v>136</v>
      </c>
      <c r="G36" t="s">
        <v>177</v>
      </c>
      <c r="H36" t="s">
        <v>194</v>
      </c>
      <c r="I36" t="s">
        <v>200</v>
      </c>
      <c r="J36" t="s">
        <v>204</v>
      </c>
      <c r="K36" t="s">
        <v>221</v>
      </c>
      <c r="L36" t="s">
        <v>25</v>
      </c>
      <c r="M36" s="11">
        <v>23750000</v>
      </c>
      <c r="N36" s="11">
        <v>0.1666666666666667</v>
      </c>
    </row>
    <row r="37" spans="1:14">
      <c r="A37" t="s">
        <v>17</v>
      </c>
      <c r="B37" t="s">
        <v>63</v>
      </c>
      <c r="C37" t="s">
        <v>74</v>
      </c>
      <c r="D37" t="s">
        <v>163</v>
      </c>
      <c r="E37" t="s">
        <v>117</v>
      </c>
      <c r="F37" t="s">
        <v>136</v>
      </c>
      <c r="G37" t="s">
        <v>177</v>
      </c>
      <c r="H37" t="s">
        <v>194</v>
      </c>
      <c r="I37" t="s">
        <v>200</v>
      </c>
      <c r="J37" t="s">
        <v>204</v>
      </c>
      <c r="K37" t="s">
        <v>222</v>
      </c>
      <c r="L37" t="s">
        <v>25</v>
      </c>
      <c r="M37" s="11">
        <v>23750000</v>
      </c>
      <c r="N37" s="11">
        <v>0.1666666666666667</v>
      </c>
    </row>
    <row r="38" spans="1:14">
      <c r="A38" t="s">
        <v>18</v>
      </c>
      <c r="B38" t="s">
        <v>64</v>
      </c>
      <c r="C38" t="s">
        <v>75</v>
      </c>
      <c r="D38" t="s">
        <v>163</v>
      </c>
      <c r="E38" t="s">
        <v>117</v>
      </c>
      <c r="F38" t="s">
        <v>136</v>
      </c>
      <c r="G38" t="s">
        <v>178</v>
      </c>
      <c r="H38" t="s">
        <v>194</v>
      </c>
      <c r="I38" t="s">
        <v>200</v>
      </c>
      <c r="J38" t="s">
        <v>204</v>
      </c>
      <c r="K38" t="s">
        <v>217</v>
      </c>
      <c r="L38" t="s">
        <v>24</v>
      </c>
      <c r="M38" s="11">
        <v>40000000.00000001</v>
      </c>
      <c r="N38" s="11">
        <v>0.1666666666666667</v>
      </c>
    </row>
    <row r="39" spans="1:14">
      <c r="A39" t="s">
        <v>18</v>
      </c>
      <c r="B39" t="s">
        <v>64</v>
      </c>
      <c r="C39" t="s">
        <v>75</v>
      </c>
      <c r="D39" t="s">
        <v>163</v>
      </c>
      <c r="E39" t="s">
        <v>117</v>
      </c>
      <c r="F39" t="s">
        <v>136</v>
      </c>
      <c r="G39" t="s">
        <v>178</v>
      </c>
      <c r="H39" t="s">
        <v>194</v>
      </c>
      <c r="I39" t="s">
        <v>200</v>
      </c>
      <c r="J39" t="s">
        <v>204</v>
      </c>
      <c r="K39" t="s">
        <v>218</v>
      </c>
      <c r="L39" t="s">
        <v>24</v>
      </c>
      <c r="M39" s="11">
        <v>40000000.00000001</v>
      </c>
      <c r="N39" s="11">
        <v>0.1666666666666667</v>
      </c>
    </row>
    <row r="40" spans="1:14">
      <c r="A40" t="s">
        <v>18</v>
      </c>
      <c r="B40" t="s">
        <v>64</v>
      </c>
      <c r="C40" t="s">
        <v>75</v>
      </c>
      <c r="D40" t="s">
        <v>163</v>
      </c>
      <c r="E40" t="s">
        <v>117</v>
      </c>
      <c r="F40" t="s">
        <v>136</v>
      </c>
      <c r="G40" t="s">
        <v>178</v>
      </c>
      <c r="H40" t="s">
        <v>194</v>
      </c>
      <c r="I40" t="s">
        <v>200</v>
      </c>
      <c r="J40" t="s">
        <v>204</v>
      </c>
      <c r="K40" t="s">
        <v>219</v>
      </c>
      <c r="L40" t="s">
        <v>25</v>
      </c>
      <c r="M40" s="11">
        <v>40000000.00000001</v>
      </c>
      <c r="N40" s="11">
        <v>0.1666666666666667</v>
      </c>
    </row>
    <row r="41" spans="1:14">
      <c r="A41" t="s">
        <v>18</v>
      </c>
      <c r="B41" t="s">
        <v>64</v>
      </c>
      <c r="C41" t="s">
        <v>75</v>
      </c>
      <c r="D41" t="s">
        <v>163</v>
      </c>
      <c r="E41" t="s">
        <v>117</v>
      </c>
      <c r="F41" t="s">
        <v>136</v>
      </c>
      <c r="G41" t="s">
        <v>178</v>
      </c>
      <c r="H41" t="s">
        <v>194</v>
      </c>
      <c r="I41" t="s">
        <v>200</v>
      </c>
      <c r="J41" t="s">
        <v>204</v>
      </c>
      <c r="K41" t="s">
        <v>220</v>
      </c>
      <c r="L41" t="s">
        <v>25</v>
      </c>
      <c r="M41" s="11">
        <v>40000000.00000001</v>
      </c>
      <c r="N41" s="11">
        <v>0.1666666666666667</v>
      </c>
    </row>
    <row r="42" spans="1:14">
      <c r="A42" t="s">
        <v>18</v>
      </c>
      <c r="B42" t="s">
        <v>64</v>
      </c>
      <c r="C42" t="s">
        <v>75</v>
      </c>
      <c r="D42" t="s">
        <v>163</v>
      </c>
      <c r="E42" t="s">
        <v>117</v>
      </c>
      <c r="F42" t="s">
        <v>136</v>
      </c>
      <c r="G42" t="s">
        <v>178</v>
      </c>
      <c r="H42" t="s">
        <v>194</v>
      </c>
      <c r="I42" t="s">
        <v>200</v>
      </c>
      <c r="J42" t="s">
        <v>204</v>
      </c>
      <c r="K42" t="s">
        <v>221</v>
      </c>
      <c r="L42" t="s">
        <v>25</v>
      </c>
      <c r="M42" s="11">
        <v>40000000.00000001</v>
      </c>
      <c r="N42" s="11">
        <v>0.1666666666666667</v>
      </c>
    </row>
    <row r="43" spans="1:14">
      <c r="A43" t="s">
        <v>18</v>
      </c>
      <c r="B43" t="s">
        <v>64</v>
      </c>
      <c r="C43" t="s">
        <v>75</v>
      </c>
      <c r="D43" t="s">
        <v>163</v>
      </c>
      <c r="E43" t="s">
        <v>117</v>
      </c>
      <c r="F43" t="s">
        <v>136</v>
      </c>
      <c r="G43" t="s">
        <v>178</v>
      </c>
      <c r="H43" t="s">
        <v>194</v>
      </c>
      <c r="I43" t="s">
        <v>200</v>
      </c>
      <c r="J43" t="s">
        <v>204</v>
      </c>
      <c r="K43" t="s">
        <v>222</v>
      </c>
      <c r="L43" t="s">
        <v>25</v>
      </c>
      <c r="M43" s="11">
        <v>39999999.99999995</v>
      </c>
      <c r="N43" s="11">
        <v>0.1666666666666665</v>
      </c>
    </row>
    <row r="44" spans="1:14">
      <c r="A44" t="s">
        <v>19</v>
      </c>
      <c r="B44" t="s">
        <v>65</v>
      </c>
      <c r="C44" t="s">
        <v>76</v>
      </c>
      <c r="D44" t="s">
        <v>163</v>
      </c>
      <c r="E44" t="s">
        <v>117</v>
      </c>
      <c r="F44" t="s">
        <v>136</v>
      </c>
      <c r="G44" t="s">
        <v>179</v>
      </c>
      <c r="H44" t="s">
        <v>195</v>
      </c>
      <c r="I44" t="s">
        <v>202</v>
      </c>
      <c r="K44" t="s">
        <v>223</v>
      </c>
      <c r="L44" t="s">
        <v>25</v>
      </c>
      <c r="M44" s="11">
        <v>280000559.9999999</v>
      </c>
      <c r="N44" s="11">
        <v>0.166667</v>
      </c>
    </row>
    <row r="45" spans="1:14">
      <c r="A45" t="s">
        <v>19</v>
      </c>
      <c r="B45" t="s">
        <v>65</v>
      </c>
      <c r="C45" t="s">
        <v>76</v>
      </c>
      <c r="D45" t="s">
        <v>163</v>
      </c>
      <c r="E45" t="s">
        <v>117</v>
      </c>
      <c r="F45" t="s">
        <v>136</v>
      </c>
      <c r="G45" t="s">
        <v>179</v>
      </c>
      <c r="H45" t="s">
        <v>195</v>
      </c>
      <c r="I45" t="s">
        <v>202</v>
      </c>
      <c r="K45" t="s">
        <v>224</v>
      </c>
      <c r="L45" t="s">
        <v>25</v>
      </c>
      <c r="M45" s="11">
        <v>279998880.0000001</v>
      </c>
      <c r="N45" s="11">
        <v>0.166666</v>
      </c>
    </row>
    <row r="46" spans="1:14">
      <c r="A46" t="s">
        <v>19</v>
      </c>
      <c r="B46" t="s">
        <v>65</v>
      </c>
      <c r="C46" t="s">
        <v>76</v>
      </c>
      <c r="D46" t="s">
        <v>163</v>
      </c>
      <c r="E46" t="s">
        <v>117</v>
      </c>
      <c r="F46" t="s">
        <v>136</v>
      </c>
      <c r="G46" t="s">
        <v>179</v>
      </c>
      <c r="H46" t="s">
        <v>195</v>
      </c>
      <c r="I46" t="s">
        <v>202</v>
      </c>
      <c r="K46" t="s">
        <v>225</v>
      </c>
      <c r="L46" t="s">
        <v>25</v>
      </c>
      <c r="M46" s="11">
        <v>280000559.9999999</v>
      </c>
      <c r="N46" s="11">
        <v>0.166667</v>
      </c>
    </row>
    <row r="47" spans="1:14">
      <c r="A47" t="s">
        <v>19</v>
      </c>
      <c r="B47" t="s">
        <v>65</v>
      </c>
      <c r="C47" t="s">
        <v>76</v>
      </c>
      <c r="D47" t="s">
        <v>163</v>
      </c>
      <c r="E47" t="s">
        <v>117</v>
      </c>
      <c r="F47" t="s">
        <v>136</v>
      </c>
      <c r="G47" t="s">
        <v>179</v>
      </c>
      <c r="H47" t="s">
        <v>195</v>
      </c>
      <c r="I47" t="s">
        <v>202</v>
      </c>
      <c r="K47" t="s">
        <v>226</v>
      </c>
      <c r="L47" t="s">
        <v>25</v>
      </c>
      <c r="M47" s="11">
        <v>280000560.0000001</v>
      </c>
      <c r="N47" s="11">
        <v>0.1666670000000001</v>
      </c>
    </row>
    <row r="48" spans="1:14">
      <c r="A48" t="s">
        <v>19</v>
      </c>
      <c r="B48" t="s">
        <v>65</v>
      </c>
      <c r="C48" t="s">
        <v>76</v>
      </c>
      <c r="D48" t="s">
        <v>163</v>
      </c>
      <c r="E48" t="s">
        <v>117</v>
      </c>
      <c r="F48" t="s">
        <v>136</v>
      </c>
      <c r="G48" t="s">
        <v>179</v>
      </c>
      <c r="H48" t="s">
        <v>195</v>
      </c>
      <c r="I48" t="s">
        <v>202</v>
      </c>
      <c r="K48" t="s">
        <v>227</v>
      </c>
      <c r="L48" t="s">
        <v>25</v>
      </c>
      <c r="M48" s="11">
        <v>279998879.9999998</v>
      </c>
      <c r="N48" s="11">
        <v>0.1666659999999999</v>
      </c>
    </row>
    <row r="49" spans="1:14">
      <c r="A49" t="s">
        <v>19</v>
      </c>
      <c r="B49" t="s">
        <v>65</v>
      </c>
      <c r="C49" t="s">
        <v>76</v>
      </c>
      <c r="D49" t="s">
        <v>163</v>
      </c>
      <c r="E49" t="s">
        <v>117</v>
      </c>
      <c r="F49" t="s">
        <v>136</v>
      </c>
      <c r="G49" t="s">
        <v>179</v>
      </c>
      <c r="H49" t="s">
        <v>195</v>
      </c>
      <c r="I49" t="s">
        <v>202</v>
      </c>
      <c r="K49" t="s">
        <v>228</v>
      </c>
      <c r="L49" t="s">
        <v>25</v>
      </c>
      <c r="M49" s="11">
        <v>280000560.0000001</v>
      </c>
      <c r="N49" s="11">
        <v>0.1666670000000001</v>
      </c>
    </row>
    <row r="50" spans="1:14">
      <c r="A50" t="s">
        <v>19</v>
      </c>
      <c r="B50" t="s">
        <v>65</v>
      </c>
      <c r="C50" t="s">
        <v>76</v>
      </c>
      <c r="D50" t="s">
        <v>165</v>
      </c>
      <c r="E50" t="s">
        <v>171</v>
      </c>
      <c r="F50" t="s">
        <v>138</v>
      </c>
      <c r="G50" t="s">
        <v>180</v>
      </c>
      <c r="H50" t="s">
        <v>196</v>
      </c>
      <c r="I50" t="s">
        <v>203</v>
      </c>
      <c r="J50" t="s">
        <v>205</v>
      </c>
      <c r="K50" t="s">
        <v>223</v>
      </c>
      <c r="L50" t="s">
        <v>25</v>
      </c>
      <c r="M50" s="11">
        <v>43333333.33333334</v>
      </c>
      <c r="N50" s="11">
        <v>0.1666666666666667</v>
      </c>
    </row>
    <row r="51" spans="1:14">
      <c r="A51" t="s">
        <v>19</v>
      </c>
      <c r="B51" t="s">
        <v>65</v>
      </c>
      <c r="C51" t="s">
        <v>76</v>
      </c>
      <c r="D51" t="s">
        <v>165</v>
      </c>
      <c r="E51" t="s">
        <v>171</v>
      </c>
      <c r="F51" t="s">
        <v>138</v>
      </c>
      <c r="G51" t="s">
        <v>180</v>
      </c>
      <c r="H51" t="s">
        <v>196</v>
      </c>
      <c r="I51" t="s">
        <v>203</v>
      </c>
      <c r="J51" t="s">
        <v>205</v>
      </c>
      <c r="K51" t="s">
        <v>224</v>
      </c>
      <c r="L51" t="s">
        <v>25</v>
      </c>
      <c r="M51" s="11">
        <v>43333333.33333334</v>
      </c>
      <c r="N51" s="11">
        <v>0.1666666666666667</v>
      </c>
    </row>
    <row r="52" spans="1:14">
      <c r="A52" t="s">
        <v>19</v>
      </c>
      <c r="B52" t="s">
        <v>65</v>
      </c>
      <c r="C52" t="s">
        <v>76</v>
      </c>
      <c r="D52" t="s">
        <v>165</v>
      </c>
      <c r="E52" t="s">
        <v>171</v>
      </c>
      <c r="F52" t="s">
        <v>138</v>
      </c>
      <c r="G52" t="s">
        <v>180</v>
      </c>
      <c r="H52" t="s">
        <v>196</v>
      </c>
      <c r="I52" t="s">
        <v>203</v>
      </c>
      <c r="J52" t="s">
        <v>205</v>
      </c>
      <c r="K52" t="s">
        <v>225</v>
      </c>
      <c r="L52" t="s">
        <v>25</v>
      </c>
      <c r="M52" s="11">
        <v>43333333.33333334</v>
      </c>
      <c r="N52" s="11">
        <v>0.1666666666666667</v>
      </c>
    </row>
    <row r="53" spans="1:14">
      <c r="A53" t="s">
        <v>19</v>
      </c>
      <c r="B53" t="s">
        <v>65</v>
      </c>
      <c r="C53" t="s">
        <v>76</v>
      </c>
      <c r="D53" t="s">
        <v>165</v>
      </c>
      <c r="E53" t="s">
        <v>171</v>
      </c>
      <c r="F53" t="s">
        <v>138</v>
      </c>
      <c r="G53" t="s">
        <v>180</v>
      </c>
      <c r="H53" t="s">
        <v>196</v>
      </c>
      <c r="I53" t="s">
        <v>203</v>
      </c>
      <c r="J53" t="s">
        <v>205</v>
      </c>
      <c r="K53" t="s">
        <v>226</v>
      </c>
      <c r="L53" t="s">
        <v>25</v>
      </c>
      <c r="M53" s="11">
        <v>43333333.33333334</v>
      </c>
      <c r="N53" s="11">
        <v>0.1666666666666667</v>
      </c>
    </row>
    <row r="54" spans="1:14">
      <c r="A54" t="s">
        <v>19</v>
      </c>
      <c r="B54" t="s">
        <v>65</v>
      </c>
      <c r="C54" t="s">
        <v>76</v>
      </c>
      <c r="D54" t="s">
        <v>165</v>
      </c>
      <c r="E54" t="s">
        <v>171</v>
      </c>
      <c r="F54" t="s">
        <v>138</v>
      </c>
      <c r="G54" t="s">
        <v>180</v>
      </c>
      <c r="H54" t="s">
        <v>196</v>
      </c>
      <c r="I54" t="s">
        <v>203</v>
      </c>
      <c r="J54" t="s">
        <v>205</v>
      </c>
      <c r="K54" t="s">
        <v>227</v>
      </c>
      <c r="L54" t="s">
        <v>25</v>
      </c>
      <c r="M54" s="11">
        <v>43333333.33333334</v>
      </c>
      <c r="N54" s="11">
        <v>0.1666666666666667</v>
      </c>
    </row>
    <row r="55" spans="1:14">
      <c r="A55" t="s">
        <v>19</v>
      </c>
      <c r="B55" t="s">
        <v>65</v>
      </c>
      <c r="C55" t="s">
        <v>76</v>
      </c>
      <c r="D55" t="s">
        <v>165</v>
      </c>
      <c r="E55" t="s">
        <v>171</v>
      </c>
      <c r="F55" t="s">
        <v>138</v>
      </c>
      <c r="G55" t="s">
        <v>180</v>
      </c>
      <c r="H55" t="s">
        <v>196</v>
      </c>
      <c r="I55" t="s">
        <v>203</v>
      </c>
      <c r="J55" t="s">
        <v>205</v>
      </c>
      <c r="K55" t="s">
        <v>228</v>
      </c>
      <c r="L55" t="s">
        <v>25</v>
      </c>
      <c r="M55" s="11">
        <v>43333333.33333334</v>
      </c>
      <c r="N55" s="11">
        <v>0.1666666666666667</v>
      </c>
    </row>
    <row r="56" spans="1:14">
      <c r="A56" t="s">
        <v>20</v>
      </c>
      <c r="B56" t="s">
        <v>66</v>
      </c>
      <c r="C56" t="s">
        <v>77</v>
      </c>
      <c r="D56" t="s">
        <v>163</v>
      </c>
      <c r="E56" t="s">
        <v>117</v>
      </c>
      <c r="F56" t="s">
        <v>136</v>
      </c>
      <c r="G56" t="s">
        <v>181</v>
      </c>
      <c r="H56" t="s">
        <v>197</v>
      </c>
      <c r="I56" t="s">
        <v>200</v>
      </c>
      <c r="K56" t="s">
        <v>229</v>
      </c>
      <c r="L56" t="s">
        <v>27</v>
      </c>
      <c r="M56" s="11">
        <v>192555000</v>
      </c>
      <c r="N56" s="11">
        <v>0.1167</v>
      </c>
    </row>
    <row r="57" spans="1:14">
      <c r="A57" t="s">
        <v>20</v>
      </c>
      <c r="B57" t="s">
        <v>66</v>
      </c>
      <c r="C57" t="s">
        <v>77</v>
      </c>
      <c r="D57" t="s">
        <v>163</v>
      </c>
      <c r="E57" t="s">
        <v>117</v>
      </c>
      <c r="F57" t="s">
        <v>136</v>
      </c>
      <c r="G57" t="s">
        <v>181</v>
      </c>
      <c r="H57" t="s">
        <v>197</v>
      </c>
      <c r="I57" t="s">
        <v>200</v>
      </c>
      <c r="K57" t="s">
        <v>230</v>
      </c>
      <c r="L57" t="s">
        <v>27</v>
      </c>
      <c r="M57" s="11">
        <v>192555000</v>
      </c>
      <c r="N57" s="11">
        <v>0.1167</v>
      </c>
    </row>
    <row r="58" spans="1:14">
      <c r="A58" t="s">
        <v>20</v>
      </c>
      <c r="B58" t="s">
        <v>66</v>
      </c>
      <c r="C58" t="s">
        <v>77</v>
      </c>
      <c r="D58" t="s">
        <v>163</v>
      </c>
      <c r="E58" t="s">
        <v>117</v>
      </c>
      <c r="F58" t="s">
        <v>136</v>
      </c>
      <c r="G58" t="s">
        <v>181</v>
      </c>
      <c r="H58" t="s">
        <v>197</v>
      </c>
      <c r="I58" t="s">
        <v>200</v>
      </c>
      <c r="K58" t="s">
        <v>231</v>
      </c>
      <c r="L58" t="s">
        <v>27</v>
      </c>
      <c r="M58" s="11">
        <v>192555000</v>
      </c>
      <c r="N58" s="11">
        <v>0.1167</v>
      </c>
    </row>
    <row r="59" spans="1:14">
      <c r="A59" t="s">
        <v>20</v>
      </c>
      <c r="B59" t="s">
        <v>66</v>
      </c>
      <c r="C59" t="s">
        <v>77</v>
      </c>
      <c r="D59" t="s">
        <v>163</v>
      </c>
      <c r="E59" t="s">
        <v>117</v>
      </c>
      <c r="F59" t="s">
        <v>136</v>
      </c>
      <c r="G59" t="s">
        <v>181</v>
      </c>
      <c r="H59" t="s">
        <v>197</v>
      </c>
      <c r="I59" t="s">
        <v>200</v>
      </c>
      <c r="K59" t="s">
        <v>232</v>
      </c>
      <c r="L59" t="s">
        <v>27</v>
      </c>
      <c r="M59" s="11">
        <v>192555000</v>
      </c>
      <c r="N59" s="11">
        <v>0.1167</v>
      </c>
    </row>
    <row r="60" spans="1:14">
      <c r="A60" t="s">
        <v>20</v>
      </c>
      <c r="B60" t="s">
        <v>66</v>
      </c>
      <c r="C60" t="s">
        <v>77</v>
      </c>
      <c r="D60" t="s">
        <v>163</v>
      </c>
      <c r="E60" t="s">
        <v>117</v>
      </c>
      <c r="F60" t="s">
        <v>136</v>
      </c>
      <c r="G60" t="s">
        <v>181</v>
      </c>
      <c r="H60" t="s">
        <v>197</v>
      </c>
      <c r="I60" t="s">
        <v>200</v>
      </c>
      <c r="K60" t="s">
        <v>233</v>
      </c>
      <c r="L60" t="s">
        <v>27</v>
      </c>
      <c r="M60" s="11">
        <v>192555000</v>
      </c>
      <c r="N60" s="11">
        <v>0.1167</v>
      </c>
    </row>
    <row r="61" spans="1:14">
      <c r="A61" t="s">
        <v>20</v>
      </c>
      <c r="B61" t="s">
        <v>66</v>
      </c>
      <c r="C61" t="s">
        <v>77</v>
      </c>
      <c r="D61" t="s">
        <v>163</v>
      </c>
      <c r="E61" t="s">
        <v>117</v>
      </c>
      <c r="F61" t="s">
        <v>136</v>
      </c>
      <c r="G61" t="s">
        <v>181</v>
      </c>
      <c r="H61" t="s">
        <v>197</v>
      </c>
      <c r="I61" t="s">
        <v>200</v>
      </c>
      <c r="K61" t="s">
        <v>234</v>
      </c>
      <c r="L61" t="s">
        <v>27</v>
      </c>
      <c r="M61" s="11">
        <v>192555000</v>
      </c>
      <c r="N61" s="11">
        <v>0.1167</v>
      </c>
    </row>
    <row r="62" spans="1:14">
      <c r="A62" t="s">
        <v>20</v>
      </c>
      <c r="B62" t="s">
        <v>66</v>
      </c>
      <c r="C62" t="s">
        <v>77</v>
      </c>
      <c r="D62" t="s">
        <v>163</v>
      </c>
      <c r="E62" t="s">
        <v>117</v>
      </c>
      <c r="F62" t="s">
        <v>136</v>
      </c>
      <c r="G62" t="s">
        <v>181</v>
      </c>
      <c r="H62" t="s">
        <v>197</v>
      </c>
      <c r="I62" t="s">
        <v>200</v>
      </c>
      <c r="K62" t="s">
        <v>235</v>
      </c>
      <c r="L62" t="s">
        <v>27</v>
      </c>
      <c r="M62" s="11">
        <v>82500000</v>
      </c>
      <c r="N62" s="11">
        <v>0.05</v>
      </c>
    </row>
    <row r="63" spans="1:14">
      <c r="A63" t="s">
        <v>20</v>
      </c>
      <c r="B63" t="s">
        <v>66</v>
      </c>
      <c r="C63" t="s">
        <v>77</v>
      </c>
      <c r="D63" t="s">
        <v>163</v>
      </c>
      <c r="E63" t="s">
        <v>117</v>
      </c>
      <c r="F63" t="s">
        <v>136</v>
      </c>
      <c r="G63" t="s">
        <v>181</v>
      </c>
      <c r="H63" t="s">
        <v>197</v>
      </c>
      <c r="I63" t="s">
        <v>200</v>
      </c>
      <c r="K63" t="s">
        <v>236</v>
      </c>
      <c r="L63" t="s">
        <v>27</v>
      </c>
      <c r="M63" s="11">
        <v>82500000</v>
      </c>
      <c r="N63" s="11">
        <v>0.05</v>
      </c>
    </row>
    <row r="64" spans="1:14">
      <c r="A64" t="s">
        <v>20</v>
      </c>
      <c r="B64" t="s">
        <v>66</v>
      </c>
      <c r="C64" t="s">
        <v>77</v>
      </c>
      <c r="D64" t="s">
        <v>163</v>
      </c>
      <c r="E64" t="s">
        <v>117</v>
      </c>
      <c r="F64" t="s">
        <v>136</v>
      </c>
      <c r="G64" t="s">
        <v>181</v>
      </c>
      <c r="H64" t="s">
        <v>197</v>
      </c>
      <c r="I64" t="s">
        <v>200</v>
      </c>
      <c r="K64" t="s">
        <v>237</v>
      </c>
      <c r="L64" t="s">
        <v>27</v>
      </c>
      <c r="M64" s="11">
        <v>82500000</v>
      </c>
      <c r="N64" s="11">
        <v>0.05</v>
      </c>
    </row>
    <row r="65" spans="1:14">
      <c r="A65" t="s">
        <v>20</v>
      </c>
      <c r="B65" t="s">
        <v>66</v>
      </c>
      <c r="C65" t="s">
        <v>77</v>
      </c>
      <c r="D65" t="s">
        <v>163</v>
      </c>
      <c r="E65" t="s">
        <v>117</v>
      </c>
      <c r="F65" t="s">
        <v>136</v>
      </c>
      <c r="G65" t="s">
        <v>181</v>
      </c>
      <c r="H65" t="s">
        <v>197</v>
      </c>
      <c r="I65" t="s">
        <v>200</v>
      </c>
      <c r="K65" t="s">
        <v>238</v>
      </c>
      <c r="L65" t="s">
        <v>27</v>
      </c>
      <c r="M65" s="11">
        <v>82500000</v>
      </c>
      <c r="N65" s="11">
        <v>0.05</v>
      </c>
    </row>
    <row r="66" spans="1:14">
      <c r="A66" t="s">
        <v>20</v>
      </c>
      <c r="B66" t="s">
        <v>66</v>
      </c>
      <c r="C66" t="s">
        <v>77</v>
      </c>
      <c r="D66" t="s">
        <v>163</v>
      </c>
      <c r="E66" t="s">
        <v>117</v>
      </c>
      <c r="F66" t="s">
        <v>136</v>
      </c>
      <c r="G66" t="s">
        <v>181</v>
      </c>
      <c r="H66" t="s">
        <v>197</v>
      </c>
      <c r="I66" t="s">
        <v>200</v>
      </c>
      <c r="K66" t="s">
        <v>239</v>
      </c>
      <c r="L66" t="s">
        <v>27</v>
      </c>
      <c r="M66" s="11">
        <v>82500000</v>
      </c>
      <c r="N66" s="11">
        <v>0.05</v>
      </c>
    </row>
    <row r="67" spans="1:14">
      <c r="A67" t="s">
        <v>20</v>
      </c>
      <c r="B67" t="s">
        <v>66</v>
      </c>
      <c r="C67" t="s">
        <v>77</v>
      </c>
      <c r="D67" t="s">
        <v>163</v>
      </c>
      <c r="E67" t="s">
        <v>117</v>
      </c>
      <c r="F67" t="s">
        <v>136</v>
      </c>
      <c r="G67" t="s">
        <v>181</v>
      </c>
      <c r="H67" t="s">
        <v>197</v>
      </c>
      <c r="I67" t="s">
        <v>200</v>
      </c>
      <c r="K67" t="s">
        <v>240</v>
      </c>
      <c r="L67" t="s">
        <v>27</v>
      </c>
      <c r="M67" s="11">
        <v>82170000</v>
      </c>
      <c r="N67" s="11">
        <v>0.0498</v>
      </c>
    </row>
    <row r="68" spans="1:14">
      <c r="A68" t="s">
        <v>20</v>
      </c>
      <c r="B68" t="s">
        <v>66</v>
      </c>
      <c r="C68" t="s">
        <v>77</v>
      </c>
      <c r="D68" t="s">
        <v>166</v>
      </c>
      <c r="E68" t="s">
        <v>117</v>
      </c>
      <c r="F68" t="s">
        <v>139</v>
      </c>
      <c r="G68" t="s">
        <v>182</v>
      </c>
      <c r="H68" t="s">
        <v>197</v>
      </c>
      <c r="I68" t="s">
        <v>200</v>
      </c>
      <c r="K68" t="s">
        <v>229</v>
      </c>
      <c r="L68" t="s">
        <v>27</v>
      </c>
      <c r="M68" s="11">
        <v>124933705.7154</v>
      </c>
      <c r="N68" s="11">
        <v>0.1167</v>
      </c>
    </row>
    <row r="69" spans="1:14">
      <c r="A69" t="s">
        <v>20</v>
      </c>
      <c r="B69" t="s">
        <v>66</v>
      </c>
      <c r="C69" t="s">
        <v>77</v>
      </c>
      <c r="D69" t="s">
        <v>166</v>
      </c>
      <c r="E69" t="s">
        <v>117</v>
      </c>
      <c r="F69" t="s">
        <v>139</v>
      </c>
      <c r="G69" t="s">
        <v>182</v>
      </c>
      <c r="H69" t="s">
        <v>197</v>
      </c>
      <c r="I69" t="s">
        <v>200</v>
      </c>
      <c r="K69" t="s">
        <v>230</v>
      </c>
      <c r="L69" t="s">
        <v>27</v>
      </c>
      <c r="M69" s="11">
        <v>124933705.7154</v>
      </c>
      <c r="N69" s="11">
        <v>0.1167</v>
      </c>
    </row>
    <row r="70" spans="1:14">
      <c r="A70" t="s">
        <v>20</v>
      </c>
      <c r="B70" t="s">
        <v>66</v>
      </c>
      <c r="C70" t="s">
        <v>77</v>
      </c>
      <c r="D70" t="s">
        <v>166</v>
      </c>
      <c r="E70" t="s">
        <v>117</v>
      </c>
      <c r="F70" t="s">
        <v>139</v>
      </c>
      <c r="G70" t="s">
        <v>182</v>
      </c>
      <c r="H70" t="s">
        <v>197</v>
      </c>
      <c r="I70" t="s">
        <v>200</v>
      </c>
      <c r="K70" t="s">
        <v>231</v>
      </c>
      <c r="L70" t="s">
        <v>27</v>
      </c>
      <c r="M70" s="11">
        <v>124933705.7154</v>
      </c>
      <c r="N70" s="11">
        <v>0.1167</v>
      </c>
    </row>
    <row r="71" spans="1:14">
      <c r="A71" t="s">
        <v>20</v>
      </c>
      <c r="B71" t="s">
        <v>66</v>
      </c>
      <c r="C71" t="s">
        <v>77</v>
      </c>
      <c r="D71" t="s">
        <v>166</v>
      </c>
      <c r="E71" t="s">
        <v>117</v>
      </c>
      <c r="F71" t="s">
        <v>139</v>
      </c>
      <c r="G71" t="s">
        <v>182</v>
      </c>
      <c r="H71" t="s">
        <v>197</v>
      </c>
      <c r="I71" t="s">
        <v>200</v>
      </c>
      <c r="K71" t="s">
        <v>232</v>
      </c>
      <c r="L71" t="s">
        <v>27</v>
      </c>
      <c r="M71" s="11">
        <v>124933705.7154</v>
      </c>
      <c r="N71" s="11">
        <v>0.1167</v>
      </c>
    </row>
    <row r="72" spans="1:14">
      <c r="A72" t="s">
        <v>20</v>
      </c>
      <c r="B72" t="s">
        <v>66</v>
      </c>
      <c r="C72" t="s">
        <v>77</v>
      </c>
      <c r="D72" t="s">
        <v>166</v>
      </c>
      <c r="E72" t="s">
        <v>117</v>
      </c>
      <c r="F72" t="s">
        <v>139</v>
      </c>
      <c r="G72" t="s">
        <v>182</v>
      </c>
      <c r="H72" t="s">
        <v>197</v>
      </c>
      <c r="I72" t="s">
        <v>200</v>
      </c>
      <c r="K72" t="s">
        <v>233</v>
      </c>
      <c r="L72" t="s">
        <v>27</v>
      </c>
      <c r="M72" s="11">
        <v>124933705.7154</v>
      </c>
      <c r="N72" s="11">
        <v>0.1167</v>
      </c>
    </row>
    <row r="73" spans="1:14">
      <c r="A73" t="s">
        <v>20</v>
      </c>
      <c r="B73" t="s">
        <v>66</v>
      </c>
      <c r="C73" t="s">
        <v>77</v>
      </c>
      <c r="D73" t="s">
        <v>166</v>
      </c>
      <c r="E73" t="s">
        <v>117</v>
      </c>
      <c r="F73" t="s">
        <v>139</v>
      </c>
      <c r="G73" t="s">
        <v>182</v>
      </c>
      <c r="H73" t="s">
        <v>197</v>
      </c>
      <c r="I73" t="s">
        <v>200</v>
      </c>
      <c r="K73" t="s">
        <v>234</v>
      </c>
      <c r="L73" t="s">
        <v>27</v>
      </c>
      <c r="M73" s="11">
        <v>124933705.7154</v>
      </c>
      <c r="N73" s="11">
        <v>0.1167</v>
      </c>
    </row>
    <row r="74" spans="1:14">
      <c r="A74" t="s">
        <v>20</v>
      </c>
      <c r="B74" t="s">
        <v>66</v>
      </c>
      <c r="C74" t="s">
        <v>77</v>
      </c>
      <c r="D74" t="s">
        <v>166</v>
      </c>
      <c r="E74" t="s">
        <v>117</v>
      </c>
      <c r="F74" t="s">
        <v>139</v>
      </c>
      <c r="G74" t="s">
        <v>182</v>
      </c>
      <c r="H74" t="s">
        <v>197</v>
      </c>
      <c r="I74" t="s">
        <v>200</v>
      </c>
      <c r="K74" t="s">
        <v>235</v>
      </c>
      <c r="L74" t="s">
        <v>27</v>
      </c>
      <c r="M74" s="11">
        <v>53527723.1</v>
      </c>
      <c r="N74" s="11">
        <v>0.05</v>
      </c>
    </row>
    <row r="75" spans="1:14">
      <c r="A75" t="s">
        <v>20</v>
      </c>
      <c r="B75" t="s">
        <v>66</v>
      </c>
      <c r="C75" t="s">
        <v>77</v>
      </c>
      <c r="D75" t="s">
        <v>166</v>
      </c>
      <c r="E75" t="s">
        <v>117</v>
      </c>
      <c r="F75" t="s">
        <v>139</v>
      </c>
      <c r="G75" t="s">
        <v>182</v>
      </c>
      <c r="H75" t="s">
        <v>197</v>
      </c>
      <c r="I75" t="s">
        <v>200</v>
      </c>
      <c r="K75" t="s">
        <v>236</v>
      </c>
      <c r="L75" t="s">
        <v>27</v>
      </c>
      <c r="M75" s="11">
        <v>53527723.1</v>
      </c>
      <c r="N75" s="11">
        <v>0.05</v>
      </c>
    </row>
    <row r="76" spans="1:14">
      <c r="A76" t="s">
        <v>20</v>
      </c>
      <c r="B76" t="s">
        <v>66</v>
      </c>
      <c r="C76" t="s">
        <v>77</v>
      </c>
      <c r="D76" t="s">
        <v>166</v>
      </c>
      <c r="E76" t="s">
        <v>117</v>
      </c>
      <c r="F76" t="s">
        <v>139</v>
      </c>
      <c r="G76" t="s">
        <v>182</v>
      </c>
      <c r="H76" t="s">
        <v>197</v>
      </c>
      <c r="I76" t="s">
        <v>200</v>
      </c>
      <c r="K76" t="s">
        <v>237</v>
      </c>
      <c r="L76" t="s">
        <v>27</v>
      </c>
      <c r="M76" s="11">
        <v>53527723.1</v>
      </c>
      <c r="N76" s="11">
        <v>0.05</v>
      </c>
    </row>
    <row r="77" spans="1:14">
      <c r="A77" t="s">
        <v>20</v>
      </c>
      <c r="B77" t="s">
        <v>66</v>
      </c>
      <c r="C77" t="s">
        <v>77</v>
      </c>
      <c r="D77" t="s">
        <v>166</v>
      </c>
      <c r="E77" t="s">
        <v>117</v>
      </c>
      <c r="F77" t="s">
        <v>139</v>
      </c>
      <c r="G77" t="s">
        <v>182</v>
      </c>
      <c r="H77" t="s">
        <v>197</v>
      </c>
      <c r="I77" t="s">
        <v>200</v>
      </c>
      <c r="K77" t="s">
        <v>238</v>
      </c>
      <c r="L77" t="s">
        <v>27</v>
      </c>
      <c r="M77" s="11">
        <v>53527723.1</v>
      </c>
      <c r="N77" s="11">
        <v>0.05</v>
      </c>
    </row>
    <row r="78" spans="1:14">
      <c r="A78" t="s">
        <v>20</v>
      </c>
      <c r="B78" t="s">
        <v>66</v>
      </c>
      <c r="C78" t="s">
        <v>77</v>
      </c>
      <c r="D78" t="s">
        <v>166</v>
      </c>
      <c r="E78" t="s">
        <v>117</v>
      </c>
      <c r="F78" t="s">
        <v>139</v>
      </c>
      <c r="G78" t="s">
        <v>182</v>
      </c>
      <c r="H78" t="s">
        <v>197</v>
      </c>
      <c r="I78" t="s">
        <v>200</v>
      </c>
      <c r="K78" t="s">
        <v>239</v>
      </c>
      <c r="L78" t="s">
        <v>27</v>
      </c>
      <c r="M78" s="11">
        <v>53527723.1</v>
      </c>
      <c r="N78" s="11">
        <v>0.05</v>
      </c>
    </row>
    <row r="79" spans="1:14">
      <c r="A79" t="s">
        <v>20</v>
      </c>
      <c r="B79" t="s">
        <v>66</v>
      </c>
      <c r="C79" t="s">
        <v>77</v>
      </c>
      <c r="D79" t="s">
        <v>166</v>
      </c>
      <c r="E79" t="s">
        <v>117</v>
      </c>
      <c r="F79" t="s">
        <v>139</v>
      </c>
      <c r="G79" t="s">
        <v>182</v>
      </c>
      <c r="H79" t="s">
        <v>197</v>
      </c>
      <c r="I79" t="s">
        <v>200</v>
      </c>
      <c r="K79" t="s">
        <v>240</v>
      </c>
      <c r="L79" t="s">
        <v>27</v>
      </c>
      <c r="M79" s="11">
        <v>53313612.20759998</v>
      </c>
      <c r="N79" s="11">
        <v>0.04979999999999998</v>
      </c>
    </row>
    <row r="80" spans="1:14">
      <c r="A80" t="s">
        <v>20</v>
      </c>
      <c r="B80" t="s">
        <v>66</v>
      </c>
      <c r="C80" t="s">
        <v>77</v>
      </c>
      <c r="D80" t="s">
        <v>167</v>
      </c>
      <c r="E80" t="s">
        <v>171</v>
      </c>
      <c r="F80" t="s">
        <v>140</v>
      </c>
      <c r="G80" t="s">
        <v>183</v>
      </c>
      <c r="H80" t="s">
        <v>198</v>
      </c>
      <c r="I80" t="s">
        <v>203</v>
      </c>
      <c r="J80" t="s">
        <v>205</v>
      </c>
      <c r="K80" t="s">
        <v>229</v>
      </c>
      <c r="L80" t="s">
        <v>27</v>
      </c>
      <c r="M80" s="11">
        <v>18892739.33333333</v>
      </c>
      <c r="N80" s="11">
        <v>0.08333333333333333</v>
      </c>
    </row>
    <row r="81" spans="1:14">
      <c r="A81" t="s">
        <v>20</v>
      </c>
      <c r="B81" t="s">
        <v>66</v>
      </c>
      <c r="C81" t="s">
        <v>77</v>
      </c>
      <c r="D81" t="s">
        <v>167</v>
      </c>
      <c r="E81" t="s">
        <v>171</v>
      </c>
      <c r="F81" t="s">
        <v>140</v>
      </c>
      <c r="G81" t="s">
        <v>183</v>
      </c>
      <c r="H81" t="s">
        <v>198</v>
      </c>
      <c r="I81" t="s">
        <v>203</v>
      </c>
      <c r="J81" t="s">
        <v>205</v>
      </c>
      <c r="K81" t="s">
        <v>230</v>
      </c>
      <c r="L81" t="s">
        <v>27</v>
      </c>
      <c r="M81" s="11">
        <v>18892739.33333333</v>
      </c>
      <c r="N81" s="11">
        <v>0.08333333333333333</v>
      </c>
    </row>
    <row r="82" spans="1:14">
      <c r="A82" t="s">
        <v>20</v>
      </c>
      <c r="B82" t="s">
        <v>66</v>
      </c>
      <c r="C82" t="s">
        <v>77</v>
      </c>
      <c r="D82" t="s">
        <v>167</v>
      </c>
      <c r="E82" t="s">
        <v>171</v>
      </c>
      <c r="F82" t="s">
        <v>140</v>
      </c>
      <c r="G82" t="s">
        <v>183</v>
      </c>
      <c r="H82" t="s">
        <v>198</v>
      </c>
      <c r="I82" t="s">
        <v>203</v>
      </c>
      <c r="J82" t="s">
        <v>205</v>
      </c>
      <c r="K82" t="s">
        <v>231</v>
      </c>
      <c r="L82" t="s">
        <v>27</v>
      </c>
      <c r="M82" s="11">
        <v>18892739.33333333</v>
      </c>
      <c r="N82" s="11">
        <v>0.08333333333333333</v>
      </c>
    </row>
    <row r="83" spans="1:14">
      <c r="A83" t="s">
        <v>20</v>
      </c>
      <c r="B83" t="s">
        <v>66</v>
      </c>
      <c r="C83" t="s">
        <v>77</v>
      </c>
      <c r="D83" t="s">
        <v>167</v>
      </c>
      <c r="E83" t="s">
        <v>171</v>
      </c>
      <c r="F83" t="s">
        <v>140</v>
      </c>
      <c r="G83" t="s">
        <v>183</v>
      </c>
      <c r="H83" t="s">
        <v>198</v>
      </c>
      <c r="I83" t="s">
        <v>203</v>
      </c>
      <c r="J83" t="s">
        <v>205</v>
      </c>
      <c r="K83" t="s">
        <v>232</v>
      </c>
      <c r="L83" t="s">
        <v>27</v>
      </c>
      <c r="M83" s="11">
        <v>18892739.33333333</v>
      </c>
      <c r="N83" s="11">
        <v>0.08333333333333333</v>
      </c>
    </row>
    <row r="84" spans="1:14">
      <c r="A84" t="s">
        <v>20</v>
      </c>
      <c r="B84" t="s">
        <v>66</v>
      </c>
      <c r="C84" t="s">
        <v>77</v>
      </c>
      <c r="D84" t="s">
        <v>167</v>
      </c>
      <c r="E84" t="s">
        <v>171</v>
      </c>
      <c r="F84" t="s">
        <v>140</v>
      </c>
      <c r="G84" t="s">
        <v>183</v>
      </c>
      <c r="H84" t="s">
        <v>198</v>
      </c>
      <c r="I84" t="s">
        <v>203</v>
      </c>
      <c r="J84" t="s">
        <v>205</v>
      </c>
      <c r="K84" t="s">
        <v>233</v>
      </c>
      <c r="L84" t="s">
        <v>27</v>
      </c>
      <c r="M84" s="11">
        <v>18892739.33333333</v>
      </c>
      <c r="N84" s="11">
        <v>0.08333333333333333</v>
      </c>
    </row>
    <row r="85" spans="1:14">
      <c r="A85" t="s">
        <v>20</v>
      </c>
      <c r="B85" t="s">
        <v>66</v>
      </c>
      <c r="C85" t="s">
        <v>77</v>
      </c>
      <c r="D85" t="s">
        <v>167</v>
      </c>
      <c r="E85" t="s">
        <v>171</v>
      </c>
      <c r="F85" t="s">
        <v>140</v>
      </c>
      <c r="G85" t="s">
        <v>183</v>
      </c>
      <c r="H85" t="s">
        <v>198</v>
      </c>
      <c r="I85" t="s">
        <v>203</v>
      </c>
      <c r="J85" t="s">
        <v>205</v>
      </c>
      <c r="K85" t="s">
        <v>234</v>
      </c>
      <c r="L85" t="s">
        <v>27</v>
      </c>
      <c r="M85" s="11">
        <v>18892739.33333333</v>
      </c>
      <c r="N85" s="11">
        <v>0.08333333333333333</v>
      </c>
    </row>
    <row r="86" spans="1:14">
      <c r="A86" t="s">
        <v>20</v>
      </c>
      <c r="B86" t="s">
        <v>66</v>
      </c>
      <c r="C86" t="s">
        <v>77</v>
      </c>
      <c r="D86" t="s">
        <v>167</v>
      </c>
      <c r="E86" t="s">
        <v>171</v>
      </c>
      <c r="F86" t="s">
        <v>140</v>
      </c>
      <c r="G86" t="s">
        <v>183</v>
      </c>
      <c r="H86" t="s">
        <v>198</v>
      </c>
      <c r="I86" t="s">
        <v>203</v>
      </c>
      <c r="J86" t="s">
        <v>205</v>
      </c>
      <c r="K86" t="s">
        <v>235</v>
      </c>
      <c r="L86" t="s">
        <v>27</v>
      </c>
      <c r="M86" s="11">
        <v>18892739.33333333</v>
      </c>
      <c r="N86" s="11">
        <v>0.08333333333333333</v>
      </c>
    </row>
    <row r="87" spans="1:14">
      <c r="A87" t="s">
        <v>20</v>
      </c>
      <c r="B87" t="s">
        <v>66</v>
      </c>
      <c r="C87" t="s">
        <v>77</v>
      </c>
      <c r="D87" t="s">
        <v>167</v>
      </c>
      <c r="E87" t="s">
        <v>171</v>
      </c>
      <c r="F87" t="s">
        <v>140</v>
      </c>
      <c r="G87" t="s">
        <v>183</v>
      </c>
      <c r="H87" t="s">
        <v>198</v>
      </c>
      <c r="I87" t="s">
        <v>203</v>
      </c>
      <c r="J87" t="s">
        <v>205</v>
      </c>
      <c r="K87" t="s">
        <v>236</v>
      </c>
      <c r="L87" t="s">
        <v>27</v>
      </c>
      <c r="M87" s="11">
        <v>18892739.33333333</v>
      </c>
      <c r="N87" s="11">
        <v>0.08333333333333333</v>
      </c>
    </row>
    <row r="88" spans="1:14">
      <c r="A88" t="s">
        <v>20</v>
      </c>
      <c r="B88" t="s">
        <v>66</v>
      </c>
      <c r="C88" t="s">
        <v>77</v>
      </c>
      <c r="D88" t="s">
        <v>167</v>
      </c>
      <c r="E88" t="s">
        <v>171</v>
      </c>
      <c r="F88" t="s">
        <v>140</v>
      </c>
      <c r="G88" t="s">
        <v>183</v>
      </c>
      <c r="H88" t="s">
        <v>198</v>
      </c>
      <c r="I88" t="s">
        <v>203</v>
      </c>
      <c r="J88" t="s">
        <v>205</v>
      </c>
      <c r="K88" t="s">
        <v>237</v>
      </c>
      <c r="L88" t="s">
        <v>27</v>
      </c>
      <c r="M88" s="11">
        <v>18892739.33333333</v>
      </c>
      <c r="N88" s="11">
        <v>0.08333333333333333</v>
      </c>
    </row>
    <row r="89" spans="1:14">
      <c r="A89" t="s">
        <v>20</v>
      </c>
      <c r="B89" t="s">
        <v>66</v>
      </c>
      <c r="C89" t="s">
        <v>77</v>
      </c>
      <c r="D89" t="s">
        <v>167</v>
      </c>
      <c r="E89" t="s">
        <v>171</v>
      </c>
      <c r="F89" t="s">
        <v>140</v>
      </c>
      <c r="G89" t="s">
        <v>183</v>
      </c>
      <c r="H89" t="s">
        <v>198</v>
      </c>
      <c r="I89" t="s">
        <v>203</v>
      </c>
      <c r="J89" t="s">
        <v>205</v>
      </c>
      <c r="K89" t="s">
        <v>238</v>
      </c>
      <c r="L89" t="s">
        <v>27</v>
      </c>
      <c r="M89" s="11">
        <v>18892739.33333333</v>
      </c>
      <c r="N89" s="11">
        <v>0.08333333333333333</v>
      </c>
    </row>
    <row r="90" spans="1:14">
      <c r="A90" t="s">
        <v>20</v>
      </c>
      <c r="B90" t="s">
        <v>66</v>
      </c>
      <c r="C90" t="s">
        <v>77</v>
      </c>
      <c r="D90" t="s">
        <v>167</v>
      </c>
      <c r="E90" t="s">
        <v>171</v>
      </c>
      <c r="F90" t="s">
        <v>140</v>
      </c>
      <c r="G90" t="s">
        <v>183</v>
      </c>
      <c r="H90" t="s">
        <v>198</v>
      </c>
      <c r="I90" t="s">
        <v>203</v>
      </c>
      <c r="J90" t="s">
        <v>205</v>
      </c>
      <c r="K90" t="s">
        <v>239</v>
      </c>
      <c r="L90" t="s">
        <v>27</v>
      </c>
      <c r="M90" s="11">
        <v>18892739.33333333</v>
      </c>
      <c r="N90" s="11">
        <v>0.08333333333333333</v>
      </c>
    </row>
    <row r="91" spans="1:14">
      <c r="A91" t="s">
        <v>20</v>
      </c>
      <c r="B91" t="s">
        <v>66</v>
      </c>
      <c r="C91" t="s">
        <v>77</v>
      </c>
      <c r="D91" t="s">
        <v>167</v>
      </c>
      <c r="E91" t="s">
        <v>171</v>
      </c>
      <c r="F91" t="s">
        <v>140</v>
      </c>
      <c r="G91" t="s">
        <v>183</v>
      </c>
      <c r="H91" t="s">
        <v>198</v>
      </c>
      <c r="I91" t="s">
        <v>203</v>
      </c>
      <c r="J91" t="s">
        <v>205</v>
      </c>
      <c r="K91" t="s">
        <v>240</v>
      </c>
      <c r="L91" t="s">
        <v>27</v>
      </c>
      <c r="M91" s="11">
        <v>18892739.33333333</v>
      </c>
      <c r="N91" s="11">
        <v>0.08333333333333333</v>
      </c>
    </row>
    <row r="92" spans="1:14">
      <c r="A92" t="s">
        <v>20</v>
      </c>
      <c r="B92" t="s">
        <v>66</v>
      </c>
      <c r="C92" t="s">
        <v>77</v>
      </c>
      <c r="D92" t="s">
        <v>168</v>
      </c>
      <c r="E92" t="s">
        <v>171</v>
      </c>
      <c r="F92" t="s">
        <v>141</v>
      </c>
      <c r="G92" t="s">
        <v>184</v>
      </c>
      <c r="H92" t="s">
        <v>199</v>
      </c>
      <c r="I92" t="s">
        <v>203</v>
      </c>
      <c r="J92" t="s">
        <v>205</v>
      </c>
      <c r="K92" t="s">
        <v>229</v>
      </c>
      <c r="L92" t="s">
        <v>27</v>
      </c>
      <c r="M92" s="11">
        <v>16193776.6325</v>
      </c>
      <c r="N92" s="11">
        <v>0.08333333333333333</v>
      </c>
    </row>
    <row r="93" spans="1:14">
      <c r="A93" t="s">
        <v>20</v>
      </c>
      <c r="B93" t="s">
        <v>66</v>
      </c>
      <c r="C93" t="s">
        <v>77</v>
      </c>
      <c r="D93" t="s">
        <v>168</v>
      </c>
      <c r="E93" t="s">
        <v>171</v>
      </c>
      <c r="F93" t="s">
        <v>141</v>
      </c>
      <c r="G93" t="s">
        <v>184</v>
      </c>
      <c r="H93" t="s">
        <v>199</v>
      </c>
      <c r="I93" t="s">
        <v>203</v>
      </c>
      <c r="J93" t="s">
        <v>205</v>
      </c>
      <c r="K93" t="s">
        <v>230</v>
      </c>
      <c r="L93" t="s">
        <v>27</v>
      </c>
      <c r="M93" s="11">
        <v>16193776.6325</v>
      </c>
      <c r="N93" s="11">
        <v>0.08333333333333333</v>
      </c>
    </row>
    <row r="94" spans="1:14">
      <c r="A94" t="s">
        <v>20</v>
      </c>
      <c r="B94" t="s">
        <v>66</v>
      </c>
      <c r="C94" t="s">
        <v>77</v>
      </c>
      <c r="D94" t="s">
        <v>168</v>
      </c>
      <c r="E94" t="s">
        <v>171</v>
      </c>
      <c r="F94" t="s">
        <v>141</v>
      </c>
      <c r="G94" t="s">
        <v>184</v>
      </c>
      <c r="H94" t="s">
        <v>199</v>
      </c>
      <c r="I94" t="s">
        <v>203</v>
      </c>
      <c r="J94" t="s">
        <v>205</v>
      </c>
      <c r="K94" t="s">
        <v>231</v>
      </c>
      <c r="L94" t="s">
        <v>27</v>
      </c>
      <c r="M94" s="11">
        <v>16193776.6325</v>
      </c>
      <c r="N94" s="11">
        <v>0.08333333333333333</v>
      </c>
    </row>
    <row r="95" spans="1:14">
      <c r="A95" t="s">
        <v>20</v>
      </c>
      <c r="B95" t="s">
        <v>66</v>
      </c>
      <c r="C95" t="s">
        <v>77</v>
      </c>
      <c r="D95" t="s">
        <v>168</v>
      </c>
      <c r="E95" t="s">
        <v>171</v>
      </c>
      <c r="F95" t="s">
        <v>141</v>
      </c>
      <c r="G95" t="s">
        <v>184</v>
      </c>
      <c r="H95" t="s">
        <v>199</v>
      </c>
      <c r="I95" t="s">
        <v>203</v>
      </c>
      <c r="J95" t="s">
        <v>205</v>
      </c>
      <c r="K95" t="s">
        <v>232</v>
      </c>
      <c r="L95" t="s">
        <v>27</v>
      </c>
      <c r="M95" s="11">
        <v>16193776.6325</v>
      </c>
      <c r="N95" s="11">
        <v>0.08333333333333333</v>
      </c>
    </row>
    <row r="96" spans="1:14">
      <c r="A96" t="s">
        <v>20</v>
      </c>
      <c r="B96" t="s">
        <v>66</v>
      </c>
      <c r="C96" t="s">
        <v>77</v>
      </c>
      <c r="D96" t="s">
        <v>168</v>
      </c>
      <c r="E96" t="s">
        <v>171</v>
      </c>
      <c r="F96" t="s">
        <v>141</v>
      </c>
      <c r="G96" t="s">
        <v>184</v>
      </c>
      <c r="H96" t="s">
        <v>199</v>
      </c>
      <c r="I96" t="s">
        <v>203</v>
      </c>
      <c r="J96" t="s">
        <v>205</v>
      </c>
      <c r="K96" t="s">
        <v>233</v>
      </c>
      <c r="L96" t="s">
        <v>27</v>
      </c>
      <c r="M96" s="11">
        <v>16193776.6325</v>
      </c>
      <c r="N96" s="11">
        <v>0.08333333333333333</v>
      </c>
    </row>
    <row r="97" spans="1:14">
      <c r="A97" t="s">
        <v>20</v>
      </c>
      <c r="B97" t="s">
        <v>66</v>
      </c>
      <c r="C97" t="s">
        <v>77</v>
      </c>
      <c r="D97" t="s">
        <v>168</v>
      </c>
      <c r="E97" t="s">
        <v>171</v>
      </c>
      <c r="F97" t="s">
        <v>141</v>
      </c>
      <c r="G97" t="s">
        <v>184</v>
      </c>
      <c r="H97" t="s">
        <v>199</v>
      </c>
      <c r="I97" t="s">
        <v>203</v>
      </c>
      <c r="J97" t="s">
        <v>205</v>
      </c>
      <c r="K97" t="s">
        <v>234</v>
      </c>
      <c r="L97" t="s">
        <v>27</v>
      </c>
      <c r="M97" s="11">
        <v>16193776.6325</v>
      </c>
      <c r="N97" s="11">
        <v>0.08333333333333333</v>
      </c>
    </row>
    <row r="98" spans="1:14">
      <c r="A98" t="s">
        <v>20</v>
      </c>
      <c r="B98" t="s">
        <v>66</v>
      </c>
      <c r="C98" t="s">
        <v>77</v>
      </c>
      <c r="D98" t="s">
        <v>168</v>
      </c>
      <c r="E98" t="s">
        <v>171</v>
      </c>
      <c r="F98" t="s">
        <v>141</v>
      </c>
      <c r="G98" t="s">
        <v>184</v>
      </c>
      <c r="H98" t="s">
        <v>199</v>
      </c>
      <c r="I98" t="s">
        <v>203</v>
      </c>
      <c r="J98" t="s">
        <v>205</v>
      </c>
      <c r="K98" t="s">
        <v>235</v>
      </c>
      <c r="L98" t="s">
        <v>27</v>
      </c>
      <c r="M98" s="11">
        <v>16193776.6325</v>
      </c>
      <c r="N98" s="11">
        <v>0.08333333333333333</v>
      </c>
    </row>
    <row r="99" spans="1:14">
      <c r="A99" t="s">
        <v>20</v>
      </c>
      <c r="B99" t="s">
        <v>66</v>
      </c>
      <c r="C99" t="s">
        <v>77</v>
      </c>
      <c r="D99" t="s">
        <v>168</v>
      </c>
      <c r="E99" t="s">
        <v>171</v>
      </c>
      <c r="F99" t="s">
        <v>141</v>
      </c>
      <c r="G99" t="s">
        <v>184</v>
      </c>
      <c r="H99" t="s">
        <v>199</v>
      </c>
      <c r="I99" t="s">
        <v>203</v>
      </c>
      <c r="J99" t="s">
        <v>205</v>
      </c>
      <c r="K99" t="s">
        <v>236</v>
      </c>
      <c r="L99" t="s">
        <v>27</v>
      </c>
      <c r="M99" s="11">
        <v>16193776.6325</v>
      </c>
      <c r="N99" s="11">
        <v>0.08333333333333333</v>
      </c>
    </row>
    <row r="100" spans="1:14">
      <c r="A100" t="s">
        <v>20</v>
      </c>
      <c r="B100" t="s">
        <v>66</v>
      </c>
      <c r="C100" t="s">
        <v>77</v>
      </c>
      <c r="D100" t="s">
        <v>168</v>
      </c>
      <c r="E100" t="s">
        <v>171</v>
      </c>
      <c r="F100" t="s">
        <v>141</v>
      </c>
      <c r="G100" t="s">
        <v>184</v>
      </c>
      <c r="H100" t="s">
        <v>199</v>
      </c>
      <c r="I100" t="s">
        <v>203</v>
      </c>
      <c r="J100" t="s">
        <v>205</v>
      </c>
      <c r="K100" t="s">
        <v>237</v>
      </c>
      <c r="L100" t="s">
        <v>27</v>
      </c>
      <c r="M100" s="11">
        <v>16193776.6325</v>
      </c>
      <c r="N100" s="11">
        <v>0.08333333333333333</v>
      </c>
    </row>
    <row r="101" spans="1:14">
      <c r="A101" t="s">
        <v>20</v>
      </c>
      <c r="B101" t="s">
        <v>66</v>
      </c>
      <c r="C101" t="s">
        <v>77</v>
      </c>
      <c r="D101" t="s">
        <v>168</v>
      </c>
      <c r="E101" t="s">
        <v>171</v>
      </c>
      <c r="F101" t="s">
        <v>141</v>
      </c>
      <c r="G101" t="s">
        <v>184</v>
      </c>
      <c r="H101" t="s">
        <v>199</v>
      </c>
      <c r="I101" t="s">
        <v>203</v>
      </c>
      <c r="J101" t="s">
        <v>205</v>
      </c>
      <c r="K101" t="s">
        <v>238</v>
      </c>
      <c r="L101" t="s">
        <v>27</v>
      </c>
      <c r="M101" s="11">
        <v>16193776.6325</v>
      </c>
      <c r="N101" s="11">
        <v>0.08333333333333333</v>
      </c>
    </row>
    <row r="102" spans="1:14">
      <c r="A102" t="s">
        <v>20</v>
      </c>
      <c r="B102" t="s">
        <v>66</v>
      </c>
      <c r="C102" t="s">
        <v>77</v>
      </c>
      <c r="D102" t="s">
        <v>168</v>
      </c>
      <c r="E102" t="s">
        <v>171</v>
      </c>
      <c r="F102" t="s">
        <v>141</v>
      </c>
      <c r="G102" t="s">
        <v>184</v>
      </c>
      <c r="H102" t="s">
        <v>199</v>
      </c>
      <c r="I102" t="s">
        <v>203</v>
      </c>
      <c r="J102" t="s">
        <v>205</v>
      </c>
      <c r="K102" t="s">
        <v>239</v>
      </c>
      <c r="L102" t="s">
        <v>27</v>
      </c>
      <c r="M102" s="11">
        <v>16193776.6325</v>
      </c>
      <c r="N102" s="11">
        <v>0.08333333333333333</v>
      </c>
    </row>
    <row r="103" spans="1:14">
      <c r="A103" t="s">
        <v>20</v>
      </c>
      <c r="B103" t="s">
        <v>66</v>
      </c>
      <c r="C103" t="s">
        <v>77</v>
      </c>
      <c r="D103" t="s">
        <v>168</v>
      </c>
      <c r="E103" t="s">
        <v>171</v>
      </c>
      <c r="F103" t="s">
        <v>141</v>
      </c>
      <c r="G103" t="s">
        <v>184</v>
      </c>
      <c r="H103" t="s">
        <v>199</v>
      </c>
      <c r="I103" t="s">
        <v>203</v>
      </c>
      <c r="J103" t="s">
        <v>205</v>
      </c>
      <c r="K103" t="s">
        <v>240</v>
      </c>
      <c r="L103" t="s">
        <v>27</v>
      </c>
      <c r="M103" s="11">
        <v>16193776.6325</v>
      </c>
      <c r="N103" s="11">
        <v>0.08333333333333333</v>
      </c>
    </row>
    <row r="104" spans="1:14">
      <c r="A104" t="s">
        <v>21</v>
      </c>
      <c r="B104" t="s">
        <v>67</v>
      </c>
      <c r="C104" t="s">
        <v>78</v>
      </c>
      <c r="D104" t="s">
        <v>163</v>
      </c>
      <c r="E104" t="s">
        <v>117</v>
      </c>
      <c r="F104" t="s">
        <v>136</v>
      </c>
      <c r="G104" t="s">
        <v>185</v>
      </c>
      <c r="H104" t="s">
        <v>197</v>
      </c>
      <c r="I104" t="s">
        <v>200</v>
      </c>
      <c r="K104" t="s">
        <v>241</v>
      </c>
      <c r="L104" t="s">
        <v>27</v>
      </c>
      <c r="M104" s="11">
        <v>303091537.6289999</v>
      </c>
      <c r="N104" s="11">
        <v>0.08333299999999999</v>
      </c>
    </row>
    <row r="105" spans="1:14">
      <c r="A105" t="s">
        <v>21</v>
      </c>
      <c r="B105" t="s">
        <v>67</v>
      </c>
      <c r="C105" t="s">
        <v>78</v>
      </c>
      <c r="D105" t="s">
        <v>163</v>
      </c>
      <c r="E105" t="s">
        <v>117</v>
      </c>
      <c r="F105" t="s">
        <v>136</v>
      </c>
      <c r="G105" t="s">
        <v>185</v>
      </c>
      <c r="H105" t="s">
        <v>197</v>
      </c>
      <c r="I105" t="s">
        <v>200</v>
      </c>
      <c r="K105" t="s">
        <v>242</v>
      </c>
      <c r="L105" t="s">
        <v>27</v>
      </c>
      <c r="M105" s="11">
        <v>303091537.6289999</v>
      </c>
      <c r="N105" s="11">
        <v>0.08333299999999999</v>
      </c>
    </row>
    <row r="106" spans="1:14">
      <c r="A106" t="s">
        <v>21</v>
      </c>
      <c r="B106" t="s">
        <v>67</v>
      </c>
      <c r="C106" t="s">
        <v>78</v>
      </c>
      <c r="D106" t="s">
        <v>163</v>
      </c>
      <c r="E106" t="s">
        <v>117</v>
      </c>
      <c r="F106" t="s">
        <v>136</v>
      </c>
      <c r="G106" t="s">
        <v>185</v>
      </c>
      <c r="H106" t="s">
        <v>197</v>
      </c>
      <c r="I106" t="s">
        <v>200</v>
      </c>
      <c r="K106" t="s">
        <v>243</v>
      </c>
      <c r="L106" t="s">
        <v>27</v>
      </c>
      <c r="M106" s="11">
        <v>303091537.6289999</v>
      </c>
      <c r="N106" s="11">
        <v>0.08333299999999999</v>
      </c>
    </row>
    <row r="107" spans="1:14">
      <c r="A107" t="s">
        <v>21</v>
      </c>
      <c r="B107" t="s">
        <v>67</v>
      </c>
      <c r="C107" t="s">
        <v>78</v>
      </c>
      <c r="D107" t="s">
        <v>163</v>
      </c>
      <c r="E107" t="s">
        <v>117</v>
      </c>
      <c r="F107" t="s">
        <v>136</v>
      </c>
      <c r="G107" t="s">
        <v>185</v>
      </c>
      <c r="H107" t="s">
        <v>197</v>
      </c>
      <c r="I107" t="s">
        <v>200</v>
      </c>
      <c r="K107" t="s">
        <v>244</v>
      </c>
      <c r="L107" t="s">
        <v>27</v>
      </c>
      <c r="M107" s="11">
        <v>303091537.6289999</v>
      </c>
      <c r="N107" s="11">
        <v>0.08333299999999999</v>
      </c>
    </row>
    <row r="108" spans="1:14">
      <c r="A108" t="s">
        <v>21</v>
      </c>
      <c r="B108" t="s">
        <v>67</v>
      </c>
      <c r="C108" t="s">
        <v>78</v>
      </c>
      <c r="D108" t="s">
        <v>163</v>
      </c>
      <c r="E108" t="s">
        <v>117</v>
      </c>
      <c r="F108" t="s">
        <v>136</v>
      </c>
      <c r="G108" t="s">
        <v>185</v>
      </c>
      <c r="H108" t="s">
        <v>197</v>
      </c>
      <c r="I108" t="s">
        <v>200</v>
      </c>
      <c r="K108" t="s">
        <v>245</v>
      </c>
      <c r="L108" t="s">
        <v>27</v>
      </c>
      <c r="M108" s="11">
        <v>303091537.6289999</v>
      </c>
      <c r="N108" s="11">
        <v>0.08333299999999999</v>
      </c>
    </row>
    <row r="109" spans="1:14">
      <c r="A109" t="s">
        <v>21</v>
      </c>
      <c r="B109" t="s">
        <v>67</v>
      </c>
      <c r="C109" t="s">
        <v>78</v>
      </c>
      <c r="D109" t="s">
        <v>163</v>
      </c>
      <c r="E109" t="s">
        <v>117</v>
      </c>
      <c r="F109" t="s">
        <v>136</v>
      </c>
      <c r="G109" t="s">
        <v>185</v>
      </c>
      <c r="H109" t="s">
        <v>197</v>
      </c>
      <c r="I109" t="s">
        <v>200</v>
      </c>
      <c r="K109" t="s">
        <v>246</v>
      </c>
      <c r="L109" t="s">
        <v>27</v>
      </c>
      <c r="M109" s="11">
        <v>303091537.6289999</v>
      </c>
      <c r="N109" s="11">
        <v>0.08333299999999999</v>
      </c>
    </row>
    <row r="110" spans="1:14">
      <c r="A110" t="s">
        <v>21</v>
      </c>
      <c r="B110" t="s">
        <v>67</v>
      </c>
      <c r="C110" t="s">
        <v>78</v>
      </c>
      <c r="D110" t="s">
        <v>163</v>
      </c>
      <c r="E110" t="s">
        <v>117</v>
      </c>
      <c r="F110" t="s">
        <v>136</v>
      </c>
      <c r="G110" t="s">
        <v>185</v>
      </c>
      <c r="H110" t="s">
        <v>197</v>
      </c>
      <c r="I110" t="s">
        <v>200</v>
      </c>
      <c r="K110" t="s">
        <v>247</v>
      </c>
      <c r="L110" t="s">
        <v>27</v>
      </c>
      <c r="M110" s="11">
        <v>303091537.6289999</v>
      </c>
      <c r="N110" s="11">
        <v>0.08333299999999999</v>
      </c>
    </row>
    <row r="111" spans="1:14">
      <c r="A111" t="s">
        <v>21</v>
      </c>
      <c r="B111" t="s">
        <v>67</v>
      </c>
      <c r="C111" t="s">
        <v>78</v>
      </c>
      <c r="D111" t="s">
        <v>163</v>
      </c>
      <c r="E111" t="s">
        <v>117</v>
      </c>
      <c r="F111" t="s">
        <v>136</v>
      </c>
      <c r="G111" t="s">
        <v>185</v>
      </c>
      <c r="H111" t="s">
        <v>197</v>
      </c>
      <c r="I111" t="s">
        <v>200</v>
      </c>
      <c r="K111" t="s">
        <v>248</v>
      </c>
      <c r="L111" t="s">
        <v>27</v>
      </c>
      <c r="M111" s="11">
        <v>303091537.6289999</v>
      </c>
      <c r="N111" s="11">
        <v>0.08333299999999999</v>
      </c>
    </row>
    <row r="112" spans="1:14">
      <c r="A112" t="s">
        <v>21</v>
      </c>
      <c r="B112" t="s">
        <v>67</v>
      </c>
      <c r="C112" t="s">
        <v>78</v>
      </c>
      <c r="D112" t="s">
        <v>163</v>
      </c>
      <c r="E112" t="s">
        <v>117</v>
      </c>
      <c r="F112" t="s">
        <v>136</v>
      </c>
      <c r="G112" t="s">
        <v>185</v>
      </c>
      <c r="H112" t="s">
        <v>197</v>
      </c>
      <c r="I112" t="s">
        <v>200</v>
      </c>
      <c r="K112" t="s">
        <v>249</v>
      </c>
      <c r="L112" t="s">
        <v>27</v>
      </c>
      <c r="M112" s="11">
        <v>303091537.6289999</v>
      </c>
      <c r="N112" s="11">
        <v>0.08333299999999999</v>
      </c>
    </row>
    <row r="113" spans="1:14">
      <c r="A113" t="s">
        <v>21</v>
      </c>
      <c r="B113" t="s">
        <v>67</v>
      </c>
      <c r="C113" t="s">
        <v>78</v>
      </c>
      <c r="D113" t="s">
        <v>163</v>
      </c>
      <c r="E113" t="s">
        <v>117</v>
      </c>
      <c r="F113" t="s">
        <v>136</v>
      </c>
      <c r="G113" t="s">
        <v>185</v>
      </c>
      <c r="H113" t="s">
        <v>197</v>
      </c>
      <c r="I113" t="s">
        <v>200</v>
      </c>
      <c r="K113" t="s">
        <v>250</v>
      </c>
      <c r="L113" t="s">
        <v>27</v>
      </c>
      <c r="M113" s="11">
        <v>303091537.6289999</v>
      </c>
      <c r="N113" s="11">
        <v>0.08333299999999999</v>
      </c>
    </row>
    <row r="114" spans="1:14">
      <c r="A114" t="s">
        <v>21</v>
      </c>
      <c r="B114" t="s">
        <v>67</v>
      </c>
      <c r="C114" t="s">
        <v>78</v>
      </c>
      <c r="D114" t="s">
        <v>163</v>
      </c>
      <c r="E114" t="s">
        <v>117</v>
      </c>
      <c r="F114" t="s">
        <v>136</v>
      </c>
      <c r="G114" t="s">
        <v>185</v>
      </c>
      <c r="H114" t="s">
        <v>197</v>
      </c>
      <c r="I114" t="s">
        <v>200</v>
      </c>
      <c r="K114" t="s">
        <v>251</v>
      </c>
      <c r="L114" t="s">
        <v>27</v>
      </c>
      <c r="M114" s="11">
        <v>303091537.6289999</v>
      </c>
      <c r="N114" s="11">
        <v>0.08333299999999999</v>
      </c>
    </row>
    <row r="115" spans="1:14">
      <c r="A115" t="s">
        <v>21</v>
      </c>
      <c r="B115" t="s">
        <v>67</v>
      </c>
      <c r="C115" t="s">
        <v>78</v>
      </c>
      <c r="D115" t="s">
        <v>163</v>
      </c>
      <c r="E115" t="s">
        <v>117</v>
      </c>
      <c r="F115" t="s">
        <v>136</v>
      </c>
      <c r="G115" t="s">
        <v>185</v>
      </c>
      <c r="H115" t="s">
        <v>197</v>
      </c>
      <c r="I115" t="s">
        <v>200</v>
      </c>
      <c r="K115" t="s">
        <v>252</v>
      </c>
      <c r="L115" t="s">
        <v>27</v>
      </c>
      <c r="M115" s="11">
        <v>303106086.0810006</v>
      </c>
      <c r="N115" s="11">
        <v>0.08333700000000016</v>
      </c>
    </row>
    <row r="116" spans="1:14">
      <c r="A116" t="s">
        <v>21</v>
      </c>
      <c r="B116" t="s">
        <v>67</v>
      </c>
      <c r="C116" t="s">
        <v>78</v>
      </c>
      <c r="D116" t="s">
        <v>167</v>
      </c>
      <c r="E116" t="s">
        <v>171</v>
      </c>
      <c r="F116" t="s">
        <v>142</v>
      </c>
      <c r="G116" t="s">
        <v>186</v>
      </c>
      <c r="H116" t="s">
        <v>198</v>
      </c>
      <c r="I116" t="s">
        <v>203</v>
      </c>
      <c r="J116" t="s">
        <v>205</v>
      </c>
      <c r="K116" t="s">
        <v>241</v>
      </c>
      <c r="L116" t="s">
        <v>27</v>
      </c>
      <c r="M116" s="11">
        <v>25257750</v>
      </c>
      <c r="N116" s="11">
        <v>0.08333333333333333</v>
      </c>
    </row>
    <row r="117" spans="1:14">
      <c r="A117" t="s">
        <v>21</v>
      </c>
      <c r="B117" t="s">
        <v>67</v>
      </c>
      <c r="C117" t="s">
        <v>78</v>
      </c>
      <c r="D117" t="s">
        <v>167</v>
      </c>
      <c r="E117" t="s">
        <v>171</v>
      </c>
      <c r="F117" t="s">
        <v>142</v>
      </c>
      <c r="G117" t="s">
        <v>186</v>
      </c>
      <c r="H117" t="s">
        <v>198</v>
      </c>
      <c r="I117" t="s">
        <v>203</v>
      </c>
      <c r="J117" t="s">
        <v>205</v>
      </c>
      <c r="K117" t="s">
        <v>242</v>
      </c>
      <c r="L117" t="s">
        <v>27</v>
      </c>
      <c r="M117" s="11">
        <v>25257750</v>
      </c>
      <c r="N117" s="11">
        <v>0.08333333333333333</v>
      </c>
    </row>
    <row r="118" spans="1:14">
      <c r="A118" t="s">
        <v>21</v>
      </c>
      <c r="B118" t="s">
        <v>67</v>
      </c>
      <c r="C118" t="s">
        <v>78</v>
      </c>
      <c r="D118" t="s">
        <v>167</v>
      </c>
      <c r="E118" t="s">
        <v>171</v>
      </c>
      <c r="F118" t="s">
        <v>142</v>
      </c>
      <c r="G118" t="s">
        <v>186</v>
      </c>
      <c r="H118" t="s">
        <v>198</v>
      </c>
      <c r="I118" t="s">
        <v>203</v>
      </c>
      <c r="J118" t="s">
        <v>205</v>
      </c>
      <c r="K118" t="s">
        <v>243</v>
      </c>
      <c r="L118" t="s">
        <v>27</v>
      </c>
      <c r="M118" s="11">
        <v>25257750</v>
      </c>
      <c r="N118" s="11">
        <v>0.08333333333333333</v>
      </c>
    </row>
    <row r="119" spans="1:14">
      <c r="A119" t="s">
        <v>21</v>
      </c>
      <c r="B119" t="s">
        <v>67</v>
      </c>
      <c r="C119" t="s">
        <v>78</v>
      </c>
      <c r="D119" t="s">
        <v>167</v>
      </c>
      <c r="E119" t="s">
        <v>171</v>
      </c>
      <c r="F119" t="s">
        <v>142</v>
      </c>
      <c r="G119" t="s">
        <v>186</v>
      </c>
      <c r="H119" t="s">
        <v>198</v>
      </c>
      <c r="I119" t="s">
        <v>203</v>
      </c>
      <c r="J119" t="s">
        <v>205</v>
      </c>
      <c r="K119" t="s">
        <v>244</v>
      </c>
      <c r="L119" t="s">
        <v>27</v>
      </c>
      <c r="M119" s="11">
        <v>25257750</v>
      </c>
      <c r="N119" s="11">
        <v>0.08333333333333333</v>
      </c>
    </row>
    <row r="120" spans="1:14">
      <c r="A120" t="s">
        <v>21</v>
      </c>
      <c r="B120" t="s">
        <v>67</v>
      </c>
      <c r="C120" t="s">
        <v>78</v>
      </c>
      <c r="D120" t="s">
        <v>167</v>
      </c>
      <c r="E120" t="s">
        <v>171</v>
      </c>
      <c r="F120" t="s">
        <v>142</v>
      </c>
      <c r="G120" t="s">
        <v>186</v>
      </c>
      <c r="H120" t="s">
        <v>198</v>
      </c>
      <c r="I120" t="s">
        <v>203</v>
      </c>
      <c r="J120" t="s">
        <v>205</v>
      </c>
      <c r="K120" t="s">
        <v>245</v>
      </c>
      <c r="L120" t="s">
        <v>27</v>
      </c>
      <c r="M120" s="11">
        <v>25257750</v>
      </c>
      <c r="N120" s="11">
        <v>0.08333333333333333</v>
      </c>
    </row>
    <row r="121" spans="1:14">
      <c r="A121" t="s">
        <v>21</v>
      </c>
      <c r="B121" t="s">
        <v>67</v>
      </c>
      <c r="C121" t="s">
        <v>78</v>
      </c>
      <c r="D121" t="s">
        <v>167</v>
      </c>
      <c r="E121" t="s">
        <v>171</v>
      </c>
      <c r="F121" t="s">
        <v>142</v>
      </c>
      <c r="G121" t="s">
        <v>186</v>
      </c>
      <c r="H121" t="s">
        <v>198</v>
      </c>
      <c r="I121" t="s">
        <v>203</v>
      </c>
      <c r="J121" t="s">
        <v>205</v>
      </c>
      <c r="K121" t="s">
        <v>246</v>
      </c>
      <c r="L121" t="s">
        <v>27</v>
      </c>
      <c r="M121" s="11">
        <v>25257750</v>
      </c>
      <c r="N121" s="11">
        <v>0.08333333333333333</v>
      </c>
    </row>
    <row r="122" spans="1:14">
      <c r="A122" t="s">
        <v>21</v>
      </c>
      <c r="B122" t="s">
        <v>67</v>
      </c>
      <c r="C122" t="s">
        <v>78</v>
      </c>
      <c r="D122" t="s">
        <v>167</v>
      </c>
      <c r="E122" t="s">
        <v>171</v>
      </c>
      <c r="F122" t="s">
        <v>142</v>
      </c>
      <c r="G122" t="s">
        <v>186</v>
      </c>
      <c r="H122" t="s">
        <v>198</v>
      </c>
      <c r="I122" t="s">
        <v>203</v>
      </c>
      <c r="J122" t="s">
        <v>205</v>
      </c>
      <c r="K122" t="s">
        <v>247</v>
      </c>
      <c r="L122" t="s">
        <v>27</v>
      </c>
      <c r="M122" s="11">
        <v>25257750</v>
      </c>
      <c r="N122" s="11">
        <v>0.08333333333333333</v>
      </c>
    </row>
    <row r="123" spans="1:14">
      <c r="A123" t="s">
        <v>21</v>
      </c>
      <c r="B123" t="s">
        <v>67</v>
      </c>
      <c r="C123" t="s">
        <v>78</v>
      </c>
      <c r="D123" t="s">
        <v>167</v>
      </c>
      <c r="E123" t="s">
        <v>171</v>
      </c>
      <c r="F123" t="s">
        <v>142</v>
      </c>
      <c r="G123" t="s">
        <v>186</v>
      </c>
      <c r="H123" t="s">
        <v>198</v>
      </c>
      <c r="I123" t="s">
        <v>203</v>
      </c>
      <c r="J123" t="s">
        <v>205</v>
      </c>
      <c r="K123" t="s">
        <v>248</v>
      </c>
      <c r="L123" t="s">
        <v>27</v>
      </c>
      <c r="M123" s="11">
        <v>25257750</v>
      </c>
      <c r="N123" s="11">
        <v>0.08333333333333333</v>
      </c>
    </row>
    <row r="124" spans="1:14">
      <c r="A124" t="s">
        <v>21</v>
      </c>
      <c r="B124" t="s">
        <v>67</v>
      </c>
      <c r="C124" t="s">
        <v>78</v>
      </c>
      <c r="D124" t="s">
        <v>167</v>
      </c>
      <c r="E124" t="s">
        <v>171</v>
      </c>
      <c r="F124" t="s">
        <v>142</v>
      </c>
      <c r="G124" t="s">
        <v>186</v>
      </c>
      <c r="H124" t="s">
        <v>198</v>
      </c>
      <c r="I124" t="s">
        <v>203</v>
      </c>
      <c r="J124" t="s">
        <v>205</v>
      </c>
      <c r="K124" t="s">
        <v>249</v>
      </c>
      <c r="L124" t="s">
        <v>27</v>
      </c>
      <c r="M124" s="11">
        <v>25257750</v>
      </c>
      <c r="N124" s="11">
        <v>0.08333333333333333</v>
      </c>
    </row>
    <row r="125" spans="1:14">
      <c r="A125" t="s">
        <v>21</v>
      </c>
      <c r="B125" t="s">
        <v>67</v>
      </c>
      <c r="C125" t="s">
        <v>78</v>
      </c>
      <c r="D125" t="s">
        <v>167</v>
      </c>
      <c r="E125" t="s">
        <v>171</v>
      </c>
      <c r="F125" t="s">
        <v>142</v>
      </c>
      <c r="G125" t="s">
        <v>186</v>
      </c>
      <c r="H125" t="s">
        <v>198</v>
      </c>
      <c r="I125" t="s">
        <v>203</v>
      </c>
      <c r="J125" t="s">
        <v>205</v>
      </c>
      <c r="K125" t="s">
        <v>250</v>
      </c>
      <c r="L125" t="s">
        <v>27</v>
      </c>
      <c r="M125" s="11">
        <v>25257750</v>
      </c>
      <c r="N125" s="11">
        <v>0.08333333333333333</v>
      </c>
    </row>
    <row r="126" spans="1:14">
      <c r="A126" t="s">
        <v>21</v>
      </c>
      <c r="B126" t="s">
        <v>67</v>
      </c>
      <c r="C126" t="s">
        <v>78</v>
      </c>
      <c r="D126" t="s">
        <v>167</v>
      </c>
      <c r="E126" t="s">
        <v>171</v>
      </c>
      <c r="F126" t="s">
        <v>142</v>
      </c>
      <c r="G126" t="s">
        <v>186</v>
      </c>
      <c r="H126" t="s">
        <v>198</v>
      </c>
      <c r="I126" t="s">
        <v>203</v>
      </c>
      <c r="J126" t="s">
        <v>205</v>
      </c>
      <c r="K126" t="s">
        <v>251</v>
      </c>
      <c r="L126" t="s">
        <v>27</v>
      </c>
      <c r="M126" s="11">
        <v>25257750</v>
      </c>
      <c r="N126" s="11">
        <v>0.08333333333333333</v>
      </c>
    </row>
    <row r="127" spans="1:14">
      <c r="A127" t="s">
        <v>21</v>
      </c>
      <c r="B127" t="s">
        <v>67</v>
      </c>
      <c r="C127" t="s">
        <v>78</v>
      </c>
      <c r="D127" t="s">
        <v>167</v>
      </c>
      <c r="E127" t="s">
        <v>171</v>
      </c>
      <c r="F127" t="s">
        <v>142</v>
      </c>
      <c r="G127" t="s">
        <v>186</v>
      </c>
      <c r="H127" t="s">
        <v>198</v>
      </c>
      <c r="I127" t="s">
        <v>203</v>
      </c>
      <c r="J127" t="s">
        <v>205</v>
      </c>
      <c r="K127" t="s">
        <v>252</v>
      </c>
      <c r="L127" t="s">
        <v>27</v>
      </c>
      <c r="M127" s="11">
        <v>25257750</v>
      </c>
      <c r="N127" s="11">
        <v>0.08333333333333333</v>
      </c>
    </row>
    <row r="128" spans="1:14">
      <c r="A128" t="s">
        <v>21</v>
      </c>
      <c r="B128" t="s">
        <v>67</v>
      </c>
      <c r="C128" t="s">
        <v>78</v>
      </c>
      <c r="D128" t="s">
        <v>168</v>
      </c>
      <c r="E128" t="s">
        <v>171</v>
      </c>
      <c r="F128" t="s">
        <v>143</v>
      </c>
      <c r="G128" t="s">
        <v>187</v>
      </c>
      <c r="H128" t="s">
        <v>199</v>
      </c>
      <c r="I128" t="s">
        <v>203</v>
      </c>
      <c r="J128" t="s">
        <v>205</v>
      </c>
      <c r="K128" t="s">
        <v>241</v>
      </c>
      <c r="L128" t="s">
        <v>27</v>
      </c>
      <c r="M128" s="11">
        <v>21649500</v>
      </c>
      <c r="N128" s="11">
        <v>0.08333333333333333</v>
      </c>
    </row>
    <row r="129" spans="1:14">
      <c r="A129" t="s">
        <v>21</v>
      </c>
      <c r="B129" t="s">
        <v>67</v>
      </c>
      <c r="C129" t="s">
        <v>78</v>
      </c>
      <c r="D129" t="s">
        <v>168</v>
      </c>
      <c r="E129" t="s">
        <v>171</v>
      </c>
      <c r="F129" t="s">
        <v>143</v>
      </c>
      <c r="G129" t="s">
        <v>187</v>
      </c>
      <c r="H129" t="s">
        <v>199</v>
      </c>
      <c r="I129" t="s">
        <v>203</v>
      </c>
      <c r="J129" t="s">
        <v>205</v>
      </c>
      <c r="K129" t="s">
        <v>242</v>
      </c>
      <c r="L129" t="s">
        <v>27</v>
      </c>
      <c r="M129" s="11">
        <v>21649500</v>
      </c>
      <c r="N129" s="11">
        <v>0.08333333333333333</v>
      </c>
    </row>
    <row r="130" spans="1:14">
      <c r="A130" t="s">
        <v>21</v>
      </c>
      <c r="B130" t="s">
        <v>67</v>
      </c>
      <c r="C130" t="s">
        <v>78</v>
      </c>
      <c r="D130" t="s">
        <v>168</v>
      </c>
      <c r="E130" t="s">
        <v>171</v>
      </c>
      <c r="F130" t="s">
        <v>143</v>
      </c>
      <c r="G130" t="s">
        <v>187</v>
      </c>
      <c r="H130" t="s">
        <v>199</v>
      </c>
      <c r="I130" t="s">
        <v>203</v>
      </c>
      <c r="J130" t="s">
        <v>205</v>
      </c>
      <c r="K130" t="s">
        <v>243</v>
      </c>
      <c r="L130" t="s">
        <v>27</v>
      </c>
      <c r="M130" s="11">
        <v>21649500</v>
      </c>
      <c r="N130" s="11">
        <v>0.08333333333333333</v>
      </c>
    </row>
    <row r="131" spans="1:14">
      <c r="A131" t="s">
        <v>21</v>
      </c>
      <c r="B131" t="s">
        <v>67</v>
      </c>
      <c r="C131" t="s">
        <v>78</v>
      </c>
      <c r="D131" t="s">
        <v>168</v>
      </c>
      <c r="E131" t="s">
        <v>171</v>
      </c>
      <c r="F131" t="s">
        <v>143</v>
      </c>
      <c r="G131" t="s">
        <v>187</v>
      </c>
      <c r="H131" t="s">
        <v>199</v>
      </c>
      <c r="I131" t="s">
        <v>203</v>
      </c>
      <c r="J131" t="s">
        <v>205</v>
      </c>
      <c r="K131" t="s">
        <v>244</v>
      </c>
      <c r="L131" t="s">
        <v>27</v>
      </c>
      <c r="M131" s="11">
        <v>21649500</v>
      </c>
      <c r="N131" s="11">
        <v>0.08333333333333333</v>
      </c>
    </row>
    <row r="132" spans="1:14">
      <c r="A132" t="s">
        <v>21</v>
      </c>
      <c r="B132" t="s">
        <v>67</v>
      </c>
      <c r="C132" t="s">
        <v>78</v>
      </c>
      <c r="D132" t="s">
        <v>168</v>
      </c>
      <c r="E132" t="s">
        <v>171</v>
      </c>
      <c r="F132" t="s">
        <v>143</v>
      </c>
      <c r="G132" t="s">
        <v>187</v>
      </c>
      <c r="H132" t="s">
        <v>199</v>
      </c>
      <c r="I132" t="s">
        <v>203</v>
      </c>
      <c r="J132" t="s">
        <v>205</v>
      </c>
      <c r="K132" t="s">
        <v>245</v>
      </c>
      <c r="L132" t="s">
        <v>27</v>
      </c>
      <c r="M132" s="11">
        <v>21649500</v>
      </c>
      <c r="N132" s="11">
        <v>0.08333333333333333</v>
      </c>
    </row>
    <row r="133" spans="1:14">
      <c r="A133" t="s">
        <v>21</v>
      </c>
      <c r="B133" t="s">
        <v>67</v>
      </c>
      <c r="C133" t="s">
        <v>78</v>
      </c>
      <c r="D133" t="s">
        <v>168</v>
      </c>
      <c r="E133" t="s">
        <v>171</v>
      </c>
      <c r="F133" t="s">
        <v>143</v>
      </c>
      <c r="G133" t="s">
        <v>187</v>
      </c>
      <c r="H133" t="s">
        <v>199</v>
      </c>
      <c r="I133" t="s">
        <v>203</v>
      </c>
      <c r="J133" t="s">
        <v>205</v>
      </c>
      <c r="K133" t="s">
        <v>246</v>
      </c>
      <c r="L133" t="s">
        <v>27</v>
      </c>
      <c r="M133" s="11">
        <v>21649500</v>
      </c>
      <c r="N133" s="11">
        <v>0.08333333333333333</v>
      </c>
    </row>
    <row r="134" spans="1:14">
      <c r="A134" t="s">
        <v>21</v>
      </c>
      <c r="B134" t="s">
        <v>67</v>
      </c>
      <c r="C134" t="s">
        <v>78</v>
      </c>
      <c r="D134" t="s">
        <v>168</v>
      </c>
      <c r="E134" t="s">
        <v>171</v>
      </c>
      <c r="F134" t="s">
        <v>143</v>
      </c>
      <c r="G134" t="s">
        <v>187</v>
      </c>
      <c r="H134" t="s">
        <v>199</v>
      </c>
      <c r="I134" t="s">
        <v>203</v>
      </c>
      <c r="J134" t="s">
        <v>205</v>
      </c>
      <c r="K134" t="s">
        <v>247</v>
      </c>
      <c r="L134" t="s">
        <v>27</v>
      </c>
      <c r="M134" s="11">
        <v>21649500</v>
      </c>
      <c r="N134" s="11">
        <v>0.08333333333333333</v>
      </c>
    </row>
    <row r="135" spans="1:14">
      <c r="A135" t="s">
        <v>21</v>
      </c>
      <c r="B135" t="s">
        <v>67</v>
      </c>
      <c r="C135" t="s">
        <v>78</v>
      </c>
      <c r="D135" t="s">
        <v>168</v>
      </c>
      <c r="E135" t="s">
        <v>171</v>
      </c>
      <c r="F135" t="s">
        <v>143</v>
      </c>
      <c r="G135" t="s">
        <v>187</v>
      </c>
      <c r="H135" t="s">
        <v>199</v>
      </c>
      <c r="I135" t="s">
        <v>203</v>
      </c>
      <c r="J135" t="s">
        <v>205</v>
      </c>
      <c r="K135" t="s">
        <v>248</v>
      </c>
      <c r="L135" t="s">
        <v>27</v>
      </c>
      <c r="M135" s="11">
        <v>21649500</v>
      </c>
      <c r="N135" s="11">
        <v>0.08333333333333333</v>
      </c>
    </row>
    <row r="136" spans="1:14">
      <c r="A136" t="s">
        <v>21</v>
      </c>
      <c r="B136" t="s">
        <v>67</v>
      </c>
      <c r="C136" t="s">
        <v>78</v>
      </c>
      <c r="D136" t="s">
        <v>168</v>
      </c>
      <c r="E136" t="s">
        <v>171</v>
      </c>
      <c r="F136" t="s">
        <v>143</v>
      </c>
      <c r="G136" t="s">
        <v>187</v>
      </c>
      <c r="H136" t="s">
        <v>199</v>
      </c>
      <c r="I136" t="s">
        <v>203</v>
      </c>
      <c r="J136" t="s">
        <v>205</v>
      </c>
      <c r="K136" t="s">
        <v>249</v>
      </c>
      <c r="L136" t="s">
        <v>27</v>
      </c>
      <c r="M136" s="11">
        <v>21649500</v>
      </c>
      <c r="N136" s="11">
        <v>0.08333333333333333</v>
      </c>
    </row>
    <row r="137" spans="1:14">
      <c r="A137" t="s">
        <v>21</v>
      </c>
      <c r="B137" t="s">
        <v>67</v>
      </c>
      <c r="C137" t="s">
        <v>78</v>
      </c>
      <c r="D137" t="s">
        <v>168</v>
      </c>
      <c r="E137" t="s">
        <v>171</v>
      </c>
      <c r="F137" t="s">
        <v>143</v>
      </c>
      <c r="G137" t="s">
        <v>187</v>
      </c>
      <c r="H137" t="s">
        <v>199</v>
      </c>
      <c r="I137" t="s">
        <v>203</v>
      </c>
      <c r="J137" t="s">
        <v>205</v>
      </c>
      <c r="K137" t="s">
        <v>250</v>
      </c>
      <c r="L137" t="s">
        <v>27</v>
      </c>
      <c r="M137" s="11">
        <v>21649500</v>
      </c>
      <c r="N137" s="11">
        <v>0.08333333333333333</v>
      </c>
    </row>
    <row r="138" spans="1:14">
      <c r="A138" t="s">
        <v>21</v>
      </c>
      <c r="B138" t="s">
        <v>67</v>
      </c>
      <c r="C138" t="s">
        <v>78</v>
      </c>
      <c r="D138" t="s">
        <v>168</v>
      </c>
      <c r="E138" t="s">
        <v>171</v>
      </c>
      <c r="F138" t="s">
        <v>143</v>
      </c>
      <c r="G138" t="s">
        <v>187</v>
      </c>
      <c r="H138" t="s">
        <v>199</v>
      </c>
      <c r="I138" t="s">
        <v>203</v>
      </c>
      <c r="J138" t="s">
        <v>205</v>
      </c>
      <c r="K138" t="s">
        <v>251</v>
      </c>
      <c r="L138" t="s">
        <v>27</v>
      </c>
      <c r="M138" s="11">
        <v>21649500</v>
      </c>
      <c r="N138" s="11">
        <v>0.08333333333333333</v>
      </c>
    </row>
    <row r="139" spans="1:14">
      <c r="A139" t="s">
        <v>21</v>
      </c>
      <c r="B139" t="s">
        <v>67</v>
      </c>
      <c r="C139" t="s">
        <v>78</v>
      </c>
      <c r="D139" t="s">
        <v>168</v>
      </c>
      <c r="E139" t="s">
        <v>171</v>
      </c>
      <c r="F139" t="s">
        <v>143</v>
      </c>
      <c r="G139" t="s">
        <v>187</v>
      </c>
      <c r="H139" t="s">
        <v>199</v>
      </c>
      <c r="I139" t="s">
        <v>203</v>
      </c>
      <c r="J139" t="s">
        <v>205</v>
      </c>
      <c r="K139" t="s">
        <v>252</v>
      </c>
      <c r="L139" t="s">
        <v>27</v>
      </c>
      <c r="M139" s="11">
        <v>21649500</v>
      </c>
      <c r="N139" s="11">
        <v>0.08333333333333333</v>
      </c>
    </row>
    <row r="140" spans="1:14">
      <c r="A140" t="s">
        <v>21</v>
      </c>
      <c r="B140" t="s">
        <v>67</v>
      </c>
      <c r="C140" t="s">
        <v>78</v>
      </c>
      <c r="D140" t="s">
        <v>166</v>
      </c>
      <c r="E140" t="s">
        <v>117</v>
      </c>
      <c r="F140" t="s">
        <v>139</v>
      </c>
      <c r="G140" t="s">
        <v>188</v>
      </c>
      <c r="H140" t="s">
        <v>197</v>
      </c>
      <c r="I140" t="s">
        <v>200</v>
      </c>
      <c r="K140" t="s">
        <v>253</v>
      </c>
      <c r="L140" t="s">
        <v>27</v>
      </c>
      <c r="M140" s="11">
        <v>396905579.0379999</v>
      </c>
      <c r="N140" s="11">
        <v>0.08333299999999999</v>
      </c>
    </row>
    <row r="141" spans="1:14">
      <c r="A141" t="s">
        <v>21</v>
      </c>
      <c r="B141" t="s">
        <v>67</v>
      </c>
      <c r="C141" t="s">
        <v>78</v>
      </c>
      <c r="D141" t="s">
        <v>166</v>
      </c>
      <c r="E141" t="s">
        <v>117</v>
      </c>
      <c r="F141" t="s">
        <v>139</v>
      </c>
      <c r="G141" t="s">
        <v>188</v>
      </c>
      <c r="H141" t="s">
        <v>197</v>
      </c>
      <c r="I141" t="s">
        <v>200</v>
      </c>
      <c r="K141" t="s">
        <v>254</v>
      </c>
      <c r="L141" t="s">
        <v>27</v>
      </c>
      <c r="M141" s="11">
        <v>396905579.0379999</v>
      </c>
      <c r="N141" s="11">
        <v>0.08333299999999999</v>
      </c>
    </row>
    <row r="142" spans="1:14">
      <c r="A142" t="s">
        <v>21</v>
      </c>
      <c r="B142" t="s">
        <v>67</v>
      </c>
      <c r="C142" t="s">
        <v>78</v>
      </c>
      <c r="D142" t="s">
        <v>166</v>
      </c>
      <c r="E142" t="s">
        <v>117</v>
      </c>
      <c r="F142" t="s">
        <v>139</v>
      </c>
      <c r="G142" t="s">
        <v>188</v>
      </c>
      <c r="H142" t="s">
        <v>197</v>
      </c>
      <c r="I142" t="s">
        <v>200</v>
      </c>
      <c r="K142" t="s">
        <v>255</v>
      </c>
      <c r="L142" t="s">
        <v>27</v>
      </c>
      <c r="M142" s="11">
        <v>396905579.0379999</v>
      </c>
      <c r="N142" s="11">
        <v>0.08333299999999999</v>
      </c>
    </row>
    <row r="143" spans="1:14">
      <c r="A143" t="s">
        <v>21</v>
      </c>
      <c r="B143" t="s">
        <v>67</v>
      </c>
      <c r="C143" t="s">
        <v>78</v>
      </c>
      <c r="D143" t="s">
        <v>166</v>
      </c>
      <c r="E143" t="s">
        <v>117</v>
      </c>
      <c r="F143" t="s">
        <v>139</v>
      </c>
      <c r="G143" t="s">
        <v>188</v>
      </c>
      <c r="H143" t="s">
        <v>197</v>
      </c>
      <c r="I143" t="s">
        <v>200</v>
      </c>
      <c r="K143" t="s">
        <v>256</v>
      </c>
      <c r="L143" t="s">
        <v>27</v>
      </c>
      <c r="M143" s="11">
        <v>396905579.0379999</v>
      </c>
      <c r="N143" s="11">
        <v>0.08333299999999999</v>
      </c>
    </row>
    <row r="144" spans="1:14">
      <c r="A144" t="s">
        <v>21</v>
      </c>
      <c r="B144" t="s">
        <v>67</v>
      </c>
      <c r="C144" t="s">
        <v>78</v>
      </c>
      <c r="D144" t="s">
        <v>166</v>
      </c>
      <c r="E144" t="s">
        <v>117</v>
      </c>
      <c r="F144" t="s">
        <v>139</v>
      </c>
      <c r="G144" t="s">
        <v>188</v>
      </c>
      <c r="H144" t="s">
        <v>197</v>
      </c>
      <c r="I144" t="s">
        <v>200</v>
      </c>
      <c r="K144" t="s">
        <v>257</v>
      </c>
      <c r="L144" t="s">
        <v>27</v>
      </c>
      <c r="M144" s="11">
        <v>396905579.0379999</v>
      </c>
      <c r="N144" s="11">
        <v>0.08333299999999999</v>
      </c>
    </row>
    <row r="145" spans="1:14">
      <c r="A145" t="s">
        <v>21</v>
      </c>
      <c r="B145" t="s">
        <v>67</v>
      </c>
      <c r="C145" t="s">
        <v>78</v>
      </c>
      <c r="D145" t="s">
        <v>166</v>
      </c>
      <c r="E145" t="s">
        <v>117</v>
      </c>
      <c r="F145" t="s">
        <v>139</v>
      </c>
      <c r="G145" t="s">
        <v>188</v>
      </c>
      <c r="H145" t="s">
        <v>197</v>
      </c>
      <c r="I145" t="s">
        <v>200</v>
      </c>
      <c r="K145" t="s">
        <v>258</v>
      </c>
      <c r="L145" t="s">
        <v>27</v>
      </c>
      <c r="M145" s="11">
        <v>396905579.0379999</v>
      </c>
      <c r="N145" s="11">
        <v>0.08333299999999999</v>
      </c>
    </row>
    <row r="146" spans="1:14">
      <c r="A146" t="s">
        <v>21</v>
      </c>
      <c r="B146" t="s">
        <v>67</v>
      </c>
      <c r="C146" t="s">
        <v>78</v>
      </c>
      <c r="D146" t="s">
        <v>166</v>
      </c>
      <c r="E146" t="s">
        <v>117</v>
      </c>
      <c r="F146" t="s">
        <v>139</v>
      </c>
      <c r="G146" t="s">
        <v>188</v>
      </c>
      <c r="H146" t="s">
        <v>197</v>
      </c>
      <c r="I146" t="s">
        <v>200</v>
      </c>
      <c r="K146" t="s">
        <v>259</v>
      </c>
      <c r="L146" t="s">
        <v>27</v>
      </c>
      <c r="M146" s="11">
        <v>396905579.0379999</v>
      </c>
      <c r="N146" s="11">
        <v>0.08333299999999999</v>
      </c>
    </row>
    <row r="147" spans="1:14">
      <c r="A147" t="s">
        <v>21</v>
      </c>
      <c r="B147" t="s">
        <v>67</v>
      </c>
      <c r="C147" t="s">
        <v>78</v>
      </c>
      <c r="D147" t="s">
        <v>166</v>
      </c>
      <c r="E147" t="s">
        <v>117</v>
      </c>
      <c r="F147" t="s">
        <v>139</v>
      </c>
      <c r="G147" t="s">
        <v>188</v>
      </c>
      <c r="H147" t="s">
        <v>197</v>
      </c>
      <c r="I147" t="s">
        <v>200</v>
      </c>
      <c r="K147" t="s">
        <v>260</v>
      </c>
      <c r="L147" t="s">
        <v>27</v>
      </c>
      <c r="M147" s="11">
        <v>396905579.0379999</v>
      </c>
      <c r="N147" s="11">
        <v>0.08333299999999999</v>
      </c>
    </row>
    <row r="148" spans="1:14">
      <c r="A148" t="s">
        <v>21</v>
      </c>
      <c r="B148" t="s">
        <v>67</v>
      </c>
      <c r="C148" t="s">
        <v>78</v>
      </c>
      <c r="D148" t="s">
        <v>166</v>
      </c>
      <c r="E148" t="s">
        <v>117</v>
      </c>
      <c r="F148" t="s">
        <v>139</v>
      </c>
      <c r="G148" t="s">
        <v>188</v>
      </c>
      <c r="H148" t="s">
        <v>197</v>
      </c>
      <c r="I148" t="s">
        <v>200</v>
      </c>
      <c r="K148" t="s">
        <v>261</v>
      </c>
      <c r="L148" t="s">
        <v>27</v>
      </c>
      <c r="M148" s="11">
        <v>396905579.0379999</v>
      </c>
      <c r="N148" s="11">
        <v>0.08333299999999999</v>
      </c>
    </row>
    <row r="149" spans="1:14">
      <c r="A149" t="s">
        <v>21</v>
      </c>
      <c r="B149" t="s">
        <v>67</v>
      </c>
      <c r="C149" t="s">
        <v>78</v>
      </c>
      <c r="D149" t="s">
        <v>166</v>
      </c>
      <c r="E149" t="s">
        <v>117</v>
      </c>
      <c r="F149" t="s">
        <v>139</v>
      </c>
      <c r="G149" t="s">
        <v>188</v>
      </c>
      <c r="H149" t="s">
        <v>197</v>
      </c>
      <c r="I149" t="s">
        <v>200</v>
      </c>
      <c r="K149" t="s">
        <v>262</v>
      </c>
      <c r="L149" t="s">
        <v>27</v>
      </c>
      <c r="M149" s="11">
        <v>396905579.0379999</v>
      </c>
      <c r="N149" s="11">
        <v>0.08333299999999999</v>
      </c>
    </row>
    <row r="150" spans="1:14">
      <c r="A150" t="s">
        <v>21</v>
      </c>
      <c r="B150" t="s">
        <v>67</v>
      </c>
      <c r="C150" t="s">
        <v>78</v>
      </c>
      <c r="D150" t="s">
        <v>166</v>
      </c>
      <c r="E150" t="s">
        <v>117</v>
      </c>
      <c r="F150" t="s">
        <v>139</v>
      </c>
      <c r="G150" t="s">
        <v>188</v>
      </c>
      <c r="H150" t="s">
        <v>197</v>
      </c>
      <c r="I150" t="s">
        <v>200</v>
      </c>
      <c r="K150" t="s">
        <v>263</v>
      </c>
      <c r="L150" t="s">
        <v>27</v>
      </c>
      <c r="M150" s="11">
        <v>396905579.0379999</v>
      </c>
      <c r="N150" s="11">
        <v>0.08333299999999999</v>
      </c>
    </row>
    <row r="151" spans="1:14">
      <c r="A151" t="s">
        <v>21</v>
      </c>
      <c r="B151" t="s">
        <v>67</v>
      </c>
      <c r="C151" t="s">
        <v>78</v>
      </c>
      <c r="D151" t="s">
        <v>166</v>
      </c>
      <c r="E151" t="s">
        <v>117</v>
      </c>
      <c r="F151" t="s">
        <v>139</v>
      </c>
      <c r="G151" t="s">
        <v>188</v>
      </c>
      <c r="H151" t="s">
        <v>197</v>
      </c>
      <c r="I151" t="s">
        <v>200</v>
      </c>
      <c r="K151" t="s">
        <v>264</v>
      </c>
      <c r="L151" t="s">
        <v>27</v>
      </c>
      <c r="M151" s="11">
        <v>396924630.5820006</v>
      </c>
      <c r="N151" s="11">
        <v>0.08333700000000012</v>
      </c>
    </row>
    <row r="152" spans="1:14">
      <c r="A152" t="s">
        <v>21</v>
      </c>
      <c r="B152" t="s">
        <v>67</v>
      </c>
      <c r="C152" t="s">
        <v>78</v>
      </c>
      <c r="D152" t="s">
        <v>169</v>
      </c>
      <c r="E152" t="s">
        <v>171</v>
      </c>
      <c r="F152" t="s">
        <v>144</v>
      </c>
      <c r="G152" t="s">
        <v>189</v>
      </c>
      <c r="H152" t="s">
        <v>198</v>
      </c>
      <c r="I152" t="s">
        <v>203</v>
      </c>
      <c r="J152" t="s">
        <v>205</v>
      </c>
      <c r="K152" t="s">
        <v>253</v>
      </c>
      <c r="L152" t="s">
        <v>27</v>
      </c>
      <c r="M152" s="11">
        <v>33075583.33333333</v>
      </c>
      <c r="N152" s="11">
        <v>0.08333333333333333</v>
      </c>
    </row>
    <row r="153" spans="1:14">
      <c r="A153" t="s">
        <v>21</v>
      </c>
      <c r="B153" t="s">
        <v>67</v>
      </c>
      <c r="C153" t="s">
        <v>78</v>
      </c>
      <c r="D153" t="s">
        <v>169</v>
      </c>
      <c r="E153" t="s">
        <v>171</v>
      </c>
      <c r="F153" t="s">
        <v>144</v>
      </c>
      <c r="G153" t="s">
        <v>189</v>
      </c>
      <c r="H153" t="s">
        <v>198</v>
      </c>
      <c r="I153" t="s">
        <v>203</v>
      </c>
      <c r="J153" t="s">
        <v>205</v>
      </c>
      <c r="K153" t="s">
        <v>254</v>
      </c>
      <c r="L153" t="s">
        <v>27</v>
      </c>
      <c r="M153" s="11">
        <v>33075583.33333333</v>
      </c>
      <c r="N153" s="11">
        <v>0.08333333333333333</v>
      </c>
    </row>
    <row r="154" spans="1:14">
      <c r="A154" t="s">
        <v>21</v>
      </c>
      <c r="B154" t="s">
        <v>67</v>
      </c>
      <c r="C154" t="s">
        <v>78</v>
      </c>
      <c r="D154" t="s">
        <v>169</v>
      </c>
      <c r="E154" t="s">
        <v>171</v>
      </c>
      <c r="F154" t="s">
        <v>144</v>
      </c>
      <c r="G154" t="s">
        <v>189</v>
      </c>
      <c r="H154" t="s">
        <v>198</v>
      </c>
      <c r="I154" t="s">
        <v>203</v>
      </c>
      <c r="J154" t="s">
        <v>205</v>
      </c>
      <c r="K154" t="s">
        <v>255</v>
      </c>
      <c r="L154" t="s">
        <v>27</v>
      </c>
      <c r="M154" s="11">
        <v>33075583.33333333</v>
      </c>
      <c r="N154" s="11">
        <v>0.08333333333333333</v>
      </c>
    </row>
    <row r="155" spans="1:14">
      <c r="A155" t="s">
        <v>21</v>
      </c>
      <c r="B155" t="s">
        <v>67</v>
      </c>
      <c r="C155" t="s">
        <v>78</v>
      </c>
      <c r="D155" t="s">
        <v>169</v>
      </c>
      <c r="E155" t="s">
        <v>171</v>
      </c>
      <c r="F155" t="s">
        <v>144</v>
      </c>
      <c r="G155" t="s">
        <v>189</v>
      </c>
      <c r="H155" t="s">
        <v>198</v>
      </c>
      <c r="I155" t="s">
        <v>203</v>
      </c>
      <c r="J155" t="s">
        <v>205</v>
      </c>
      <c r="K155" t="s">
        <v>256</v>
      </c>
      <c r="L155" t="s">
        <v>27</v>
      </c>
      <c r="M155" s="11">
        <v>33075583.33333333</v>
      </c>
      <c r="N155" s="11">
        <v>0.08333333333333333</v>
      </c>
    </row>
    <row r="156" spans="1:14">
      <c r="A156" t="s">
        <v>21</v>
      </c>
      <c r="B156" t="s">
        <v>67</v>
      </c>
      <c r="C156" t="s">
        <v>78</v>
      </c>
      <c r="D156" t="s">
        <v>169</v>
      </c>
      <c r="E156" t="s">
        <v>171</v>
      </c>
      <c r="F156" t="s">
        <v>144</v>
      </c>
      <c r="G156" t="s">
        <v>189</v>
      </c>
      <c r="H156" t="s">
        <v>198</v>
      </c>
      <c r="I156" t="s">
        <v>203</v>
      </c>
      <c r="J156" t="s">
        <v>205</v>
      </c>
      <c r="K156" t="s">
        <v>257</v>
      </c>
      <c r="L156" t="s">
        <v>27</v>
      </c>
      <c r="M156" s="11">
        <v>33075583.33333333</v>
      </c>
      <c r="N156" s="11">
        <v>0.08333333333333333</v>
      </c>
    </row>
    <row r="157" spans="1:14">
      <c r="A157" t="s">
        <v>21</v>
      </c>
      <c r="B157" t="s">
        <v>67</v>
      </c>
      <c r="C157" t="s">
        <v>78</v>
      </c>
      <c r="D157" t="s">
        <v>169</v>
      </c>
      <c r="E157" t="s">
        <v>171</v>
      </c>
      <c r="F157" t="s">
        <v>144</v>
      </c>
      <c r="G157" t="s">
        <v>189</v>
      </c>
      <c r="H157" t="s">
        <v>198</v>
      </c>
      <c r="I157" t="s">
        <v>203</v>
      </c>
      <c r="J157" t="s">
        <v>205</v>
      </c>
      <c r="K157" t="s">
        <v>258</v>
      </c>
      <c r="L157" t="s">
        <v>27</v>
      </c>
      <c r="M157" s="11">
        <v>33075583.33333333</v>
      </c>
      <c r="N157" s="11">
        <v>0.08333333333333333</v>
      </c>
    </row>
    <row r="158" spans="1:14">
      <c r="A158" t="s">
        <v>21</v>
      </c>
      <c r="B158" t="s">
        <v>67</v>
      </c>
      <c r="C158" t="s">
        <v>78</v>
      </c>
      <c r="D158" t="s">
        <v>169</v>
      </c>
      <c r="E158" t="s">
        <v>171</v>
      </c>
      <c r="F158" t="s">
        <v>144</v>
      </c>
      <c r="G158" t="s">
        <v>189</v>
      </c>
      <c r="H158" t="s">
        <v>198</v>
      </c>
      <c r="I158" t="s">
        <v>203</v>
      </c>
      <c r="J158" t="s">
        <v>205</v>
      </c>
      <c r="K158" t="s">
        <v>259</v>
      </c>
      <c r="L158" t="s">
        <v>27</v>
      </c>
      <c r="M158" s="11">
        <v>33075583.33333333</v>
      </c>
      <c r="N158" s="11">
        <v>0.08333333333333333</v>
      </c>
    </row>
    <row r="159" spans="1:14">
      <c r="A159" t="s">
        <v>21</v>
      </c>
      <c r="B159" t="s">
        <v>67</v>
      </c>
      <c r="C159" t="s">
        <v>78</v>
      </c>
      <c r="D159" t="s">
        <v>169</v>
      </c>
      <c r="E159" t="s">
        <v>171</v>
      </c>
      <c r="F159" t="s">
        <v>144</v>
      </c>
      <c r="G159" t="s">
        <v>189</v>
      </c>
      <c r="H159" t="s">
        <v>198</v>
      </c>
      <c r="I159" t="s">
        <v>203</v>
      </c>
      <c r="J159" t="s">
        <v>205</v>
      </c>
      <c r="K159" t="s">
        <v>260</v>
      </c>
      <c r="L159" t="s">
        <v>27</v>
      </c>
      <c r="M159" s="11">
        <v>33075583.33333333</v>
      </c>
      <c r="N159" s="11">
        <v>0.08333333333333333</v>
      </c>
    </row>
    <row r="160" spans="1:14">
      <c r="A160" t="s">
        <v>21</v>
      </c>
      <c r="B160" t="s">
        <v>67</v>
      </c>
      <c r="C160" t="s">
        <v>78</v>
      </c>
      <c r="D160" t="s">
        <v>169</v>
      </c>
      <c r="E160" t="s">
        <v>171</v>
      </c>
      <c r="F160" t="s">
        <v>144</v>
      </c>
      <c r="G160" t="s">
        <v>189</v>
      </c>
      <c r="H160" t="s">
        <v>198</v>
      </c>
      <c r="I160" t="s">
        <v>203</v>
      </c>
      <c r="J160" t="s">
        <v>205</v>
      </c>
      <c r="K160" t="s">
        <v>261</v>
      </c>
      <c r="L160" t="s">
        <v>27</v>
      </c>
      <c r="M160" s="11">
        <v>33075583.33333333</v>
      </c>
      <c r="N160" s="11">
        <v>0.08333333333333333</v>
      </c>
    </row>
    <row r="161" spans="1:14">
      <c r="A161" t="s">
        <v>21</v>
      </c>
      <c r="B161" t="s">
        <v>67</v>
      </c>
      <c r="C161" t="s">
        <v>78</v>
      </c>
      <c r="D161" t="s">
        <v>169</v>
      </c>
      <c r="E161" t="s">
        <v>171</v>
      </c>
      <c r="F161" t="s">
        <v>144</v>
      </c>
      <c r="G161" t="s">
        <v>189</v>
      </c>
      <c r="H161" t="s">
        <v>198</v>
      </c>
      <c r="I161" t="s">
        <v>203</v>
      </c>
      <c r="J161" t="s">
        <v>205</v>
      </c>
      <c r="K161" t="s">
        <v>262</v>
      </c>
      <c r="L161" t="s">
        <v>27</v>
      </c>
      <c r="M161" s="11">
        <v>33075583.33333333</v>
      </c>
      <c r="N161" s="11">
        <v>0.08333333333333333</v>
      </c>
    </row>
    <row r="162" spans="1:14">
      <c r="A162" t="s">
        <v>21</v>
      </c>
      <c r="B162" t="s">
        <v>67</v>
      </c>
      <c r="C162" t="s">
        <v>78</v>
      </c>
      <c r="D162" t="s">
        <v>169</v>
      </c>
      <c r="E162" t="s">
        <v>171</v>
      </c>
      <c r="F162" t="s">
        <v>144</v>
      </c>
      <c r="G162" t="s">
        <v>189</v>
      </c>
      <c r="H162" t="s">
        <v>198</v>
      </c>
      <c r="I162" t="s">
        <v>203</v>
      </c>
      <c r="J162" t="s">
        <v>205</v>
      </c>
      <c r="K162" t="s">
        <v>263</v>
      </c>
      <c r="L162" t="s">
        <v>27</v>
      </c>
      <c r="M162" s="11">
        <v>33075583.33333333</v>
      </c>
      <c r="N162" s="11">
        <v>0.08333333333333333</v>
      </c>
    </row>
    <row r="163" spans="1:14">
      <c r="A163" t="s">
        <v>21</v>
      </c>
      <c r="B163" t="s">
        <v>67</v>
      </c>
      <c r="C163" t="s">
        <v>78</v>
      </c>
      <c r="D163" t="s">
        <v>169</v>
      </c>
      <c r="E163" t="s">
        <v>171</v>
      </c>
      <c r="F163" t="s">
        <v>144</v>
      </c>
      <c r="G163" t="s">
        <v>189</v>
      </c>
      <c r="H163" t="s">
        <v>198</v>
      </c>
      <c r="I163" t="s">
        <v>203</v>
      </c>
      <c r="J163" t="s">
        <v>205</v>
      </c>
      <c r="K163" t="s">
        <v>264</v>
      </c>
      <c r="L163" t="s">
        <v>27</v>
      </c>
      <c r="M163" s="11">
        <v>33075583.33333333</v>
      </c>
      <c r="N163" s="11">
        <v>0.08333333333333333</v>
      </c>
    </row>
    <row r="164" spans="1:14">
      <c r="A164" t="s">
        <v>21</v>
      </c>
      <c r="B164" t="s">
        <v>67</v>
      </c>
      <c r="C164" t="s">
        <v>78</v>
      </c>
      <c r="D164" t="s">
        <v>170</v>
      </c>
      <c r="E164" t="s">
        <v>171</v>
      </c>
      <c r="F164" t="s">
        <v>145</v>
      </c>
      <c r="G164" t="s">
        <v>190</v>
      </c>
      <c r="H164" t="s">
        <v>199</v>
      </c>
      <c r="I164" t="s">
        <v>203</v>
      </c>
      <c r="J164" t="s">
        <v>205</v>
      </c>
      <c r="K164" t="s">
        <v>253</v>
      </c>
      <c r="L164" t="s">
        <v>27</v>
      </c>
      <c r="M164" s="11">
        <v>28350583.33333333</v>
      </c>
      <c r="N164" s="11">
        <v>0.08333333333333333</v>
      </c>
    </row>
    <row r="165" spans="1:14">
      <c r="A165" t="s">
        <v>21</v>
      </c>
      <c r="B165" t="s">
        <v>67</v>
      </c>
      <c r="C165" t="s">
        <v>78</v>
      </c>
      <c r="D165" t="s">
        <v>170</v>
      </c>
      <c r="E165" t="s">
        <v>171</v>
      </c>
      <c r="F165" t="s">
        <v>145</v>
      </c>
      <c r="G165" t="s">
        <v>190</v>
      </c>
      <c r="H165" t="s">
        <v>199</v>
      </c>
      <c r="I165" t="s">
        <v>203</v>
      </c>
      <c r="J165" t="s">
        <v>205</v>
      </c>
      <c r="K165" t="s">
        <v>254</v>
      </c>
      <c r="L165" t="s">
        <v>27</v>
      </c>
      <c r="M165" s="11">
        <v>28350583.33333333</v>
      </c>
      <c r="N165" s="11">
        <v>0.08333333333333333</v>
      </c>
    </row>
    <row r="166" spans="1:14">
      <c r="A166" t="s">
        <v>21</v>
      </c>
      <c r="B166" t="s">
        <v>67</v>
      </c>
      <c r="C166" t="s">
        <v>78</v>
      </c>
      <c r="D166" t="s">
        <v>170</v>
      </c>
      <c r="E166" t="s">
        <v>171</v>
      </c>
      <c r="F166" t="s">
        <v>145</v>
      </c>
      <c r="G166" t="s">
        <v>190</v>
      </c>
      <c r="H166" t="s">
        <v>199</v>
      </c>
      <c r="I166" t="s">
        <v>203</v>
      </c>
      <c r="J166" t="s">
        <v>205</v>
      </c>
      <c r="K166" t="s">
        <v>255</v>
      </c>
      <c r="L166" t="s">
        <v>27</v>
      </c>
      <c r="M166" s="11">
        <v>28350583.33333333</v>
      </c>
      <c r="N166" s="11">
        <v>0.08333333333333333</v>
      </c>
    </row>
    <row r="167" spans="1:14">
      <c r="A167" t="s">
        <v>21</v>
      </c>
      <c r="B167" t="s">
        <v>67</v>
      </c>
      <c r="C167" t="s">
        <v>78</v>
      </c>
      <c r="D167" t="s">
        <v>170</v>
      </c>
      <c r="E167" t="s">
        <v>171</v>
      </c>
      <c r="F167" t="s">
        <v>145</v>
      </c>
      <c r="G167" t="s">
        <v>190</v>
      </c>
      <c r="H167" t="s">
        <v>199</v>
      </c>
      <c r="I167" t="s">
        <v>203</v>
      </c>
      <c r="J167" t="s">
        <v>205</v>
      </c>
      <c r="K167" t="s">
        <v>256</v>
      </c>
      <c r="L167" t="s">
        <v>27</v>
      </c>
      <c r="M167" s="11">
        <v>28350583.33333333</v>
      </c>
      <c r="N167" s="11">
        <v>0.08333333333333333</v>
      </c>
    </row>
    <row r="168" spans="1:14">
      <c r="A168" t="s">
        <v>21</v>
      </c>
      <c r="B168" t="s">
        <v>67</v>
      </c>
      <c r="C168" t="s">
        <v>78</v>
      </c>
      <c r="D168" t="s">
        <v>170</v>
      </c>
      <c r="E168" t="s">
        <v>171</v>
      </c>
      <c r="F168" t="s">
        <v>145</v>
      </c>
      <c r="G168" t="s">
        <v>190</v>
      </c>
      <c r="H168" t="s">
        <v>199</v>
      </c>
      <c r="I168" t="s">
        <v>203</v>
      </c>
      <c r="J168" t="s">
        <v>205</v>
      </c>
      <c r="K168" t="s">
        <v>257</v>
      </c>
      <c r="L168" t="s">
        <v>27</v>
      </c>
      <c r="M168" s="11">
        <v>28350583.33333333</v>
      </c>
      <c r="N168" s="11">
        <v>0.08333333333333333</v>
      </c>
    </row>
    <row r="169" spans="1:14">
      <c r="A169" t="s">
        <v>21</v>
      </c>
      <c r="B169" t="s">
        <v>67</v>
      </c>
      <c r="C169" t="s">
        <v>78</v>
      </c>
      <c r="D169" t="s">
        <v>170</v>
      </c>
      <c r="E169" t="s">
        <v>171</v>
      </c>
      <c r="F169" t="s">
        <v>145</v>
      </c>
      <c r="G169" t="s">
        <v>190</v>
      </c>
      <c r="H169" t="s">
        <v>199</v>
      </c>
      <c r="I169" t="s">
        <v>203</v>
      </c>
      <c r="J169" t="s">
        <v>205</v>
      </c>
      <c r="K169" t="s">
        <v>258</v>
      </c>
      <c r="L169" t="s">
        <v>27</v>
      </c>
      <c r="M169" s="11">
        <v>28350583.33333333</v>
      </c>
      <c r="N169" s="11">
        <v>0.08333333333333333</v>
      </c>
    </row>
    <row r="170" spans="1:14">
      <c r="A170" t="s">
        <v>21</v>
      </c>
      <c r="B170" t="s">
        <v>67</v>
      </c>
      <c r="C170" t="s">
        <v>78</v>
      </c>
      <c r="D170" t="s">
        <v>170</v>
      </c>
      <c r="E170" t="s">
        <v>171</v>
      </c>
      <c r="F170" t="s">
        <v>145</v>
      </c>
      <c r="G170" t="s">
        <v>190</v>
      </c>
      <c r="H170" t="s">
        <v>199</v>
      </c>
      <c r="I170" t="s">
        <v>203</v>
      </c>
      <c r="J170" t="s">
        <v>205</v>
      </c>
      <c r="K170" t="s">
        <v>259</v>
      </c>
      <c r="L170" t="s">
        <v>27</v>
      </c>
      <c r="M170" s="11">
        <v>28350583.33333333</v>
      </c>
      <c r="N170" s="11">
        <v>0.08333333333333333</v>
      </c>
    </row>
    <row r="171" spans="1:14">
      <c r="A171" t="s">
        <v>21</v>
      </c>
      <c r="B171" t="s">
        <v>67</v>
      </c>
      <c r="C171" t="s">
        <v>78</v>
      </c>
      <c r="D171" t="s">
        <v>170</v>
      </c>
      <c r="E171" t="s">
        <v>171</v>
      </c>
      <c r="F171" t="s">
        <v>145</v>
      </c>
      <c r="G171" t="s">
        <v>190</v>
      </c>
      <c r="H171" t="s">
        <v>199</v>
      </c>
      <c r="I171" t="s">
        <v>203</v>
      </c>
      <c r="J171" t="s">
        <v>205</v>
      </c>
      <c r="K171" t="s">
        <v>260</v>
      </c>
      <c r="L171" t="s">
        <v>27</v>
      </c>
      <c r="M171" s="11">
        <v>28350583.33333333</v>
      </c>
      <c r="N171" s="11">
        <v>0.08333333333333333</v>
      </c>
    </row>
    <row r="172" spans="1:14">
      <c r="A172" t="s">
        <v>21</v>
      </c>
      <c r="B172" t="s">
        <v>67</v>
      </c>
      <c r="C172" t="s">
        <v>78</v>
      </c>
      <c r="D172" t="s">
        <v>170</v>
      </c>
      <c r="E172" t="s">
        <v>171</v>
      </c>
      <c r="F172" t="s">
        <v>145</v>
      </c>
      <c r="G172" t="s">
        <v>190</v>
      </c>
      <c r="H172" t="s">
        <v>199</v>
      </c>
      <c r="I172" t="s">
        <v>203</v>
      </c>
      <c r="J172" t="s">
        <v>205</v>
      </c>
      <c r="K172" t="s">
        <v>261</v>
      </c>
      <c r="L172" t="s">
        <v>27</v>
      </c>
      <c r="M172" s="11">
        <v>28350583.33333333</v>
      </c>
      <c r="N172" s="11">
        <v>0.08333333333333333</v>
      </c>
    </row>
    <row r="173" spans="1:14">
      <c r="A173" t="s">
        <v>21</v>
      </c>
      <c r="B173" t="s">
        <v>67</v>
      </c>
      <c r="C173" t="s">
        <v>78</v>
      </c>
      <c r="D173" t="s">
        <v>170</v>
      </c>
      <c r="E173" t="s">
        <v>171</v>
      </c>
      <c r="F173" t="s">
        <v>145</v>
      </c>
      <c r="G173" t="s">
        <v>190</v>
      </c>
      <c r="H173" t="s">
        <v>199</v>
      </c>
      <c r="I173" t="s">
        <v>203</v>
      </c>
      <c r="J173" t="s">
        <v>205</v>
      </c>
      <c r="K173" t="s">
        <v>262</v>
      </c>
      <c r="L173" t="s">
        <v>27</v>
      </c>
      <c r="M173" s="11">
        <v>28350583.33333333</v>
      </c>
      <c r="N173" s="11">
        <v>0.08333333333333333</v>
      </c>
    </row>
    <row r="174" spans="1:14">
      <c r="A174" t="s">
        <v>21</v>
      </c>
      <c r="B174" t="s">
        <v>67</v>
      </c>
      <c r="C174" t="s">
        <v>78</v>
      </c>
      <c r="D174" t="s">
        <v>170</v>
      </c>
      <c r="E174" t="s">
        <v>171</v>
      </c>
      <c r="F174" t="s">
        <v>145</v>
      </c>
      <c r="G174" t="s">
        <v>190</v>
      </c>
      <c r="H174" t="s">
        <v>199</v>
      </c>
      <c r="I174" t="s">
        <v>203</v>
      </c>
      <c r="J174" t="s">
        <v>205</v>
      </c>
      <c r="K174" t="s">
        <v>263</v>
      </c>
      <c r="L174" t="s">
        <v>27</v>
      </c>
      <c r="M174" s="11">
        <v>28350583.33333333</v>
      </c>
      <c r="N174" s="11">
        <v>0.08333333333333333</v>
      </c>
    </row>
    <row r="175" spans="1:14">
      <c r="A175" t="s">
        <v>21</v>
      </c>
      <c r="B175" t="s">
        <v>67</v>
      </c>
      <c r="C175" t="s">
        <v>78</v>
      </c>
      <c r="D175" t="s">
        <v>170</v>
      </c>
      <c r="E175" t="s">
        <v>171</v>
      </c>
      <c r="F175" t="s">
        <v>145</v>
      </c>
      <c r="G175" t="s">
        <v>190</v>
      </c>
      <c r="H175" t="s">
        <v>199</v>
      </c>
      <c r="I175" t="s">
        <v>203</v>
      </c>
      <c r="J175" t="s">
        <v>205</v>
      </c>
      <c r="K175" t="s">
        <v>264</v>
      </c>
      <c r="L175" t="s">
        <v>27</v>
      </c>
      <c r="M175" s="11">
        <v>28350583.33333333</v>
      </c>
      <c r="N175" s="11">
        <v>0.08333333333333333</v>
      </c>
    </row>
  </sheetData>
  <autoFilter ref="A1:N17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6.7109375" customWidth="1"/>
    <col min="3" max="3" width="42.7109375" customWidth="1"/>
    <col min="4" max="4" width="39.7109375" customWidth="1"/>
    <col min="5" max="5" width="13.7109375" customWidth="1"/>
    <col min="6" max="6" width="15.7109375" customWidth="1"/>
    <col min="7" max="7" width="10.7109375" customWidth="1"/>
    <col min="8" max="10" width="42.7109375" customWidth="1"/>
  </cols>
  <sheetData>
    <row r="1" spans="1:10" s="8" customFormat="1" ht="22" customHeight="1">
      <c r="A1" s="8" t="s">
        <v>50</v>
      </c>
      <c r="B1" s="8" t="s">
        <v>48</v>
      </c>
      <c r="C1" s="8" t="s">
        <v>49</v>
      </c>
      <c r="D1" s="8" t="s">
        <v>151</v>
      </c>
      <c r="E1" s="8" t="s">
        <v>152</v>
      </c>
      <c r="F1" s="8" t="s">
        <v>129</v>
      </c>
      <c r="G1" s="8" t="s">
        <v>265</v>
      </c>
      <c r="H1" s="8" t="s">
        <v>266</v>
      </c>
      <c r="I1" s="8" t="s">
        <v>153</v>
      </c>
      <c r="J1" s="8" t="s">
        <v>154</v>
      </c>
    </row>
    <row r="2" spans="1:10">
      <c r="A2" t="s">
        <v>12</v>
      </c>
      <c r="B2" t="s">
        <v>57</v>
      </c>
      <c r="C2" t="s">
        <v>160</v>
      </c>
      <c r="D2" t="s">
        <v>163</v>
      </c>
      <c r="E2" t="s">
        <v>117</v>
      </c>
      <c r="F2" t="s">
        <v>136</v>
      </c>
      <c r="G2" t="s">
        <v>273</v>
      </c>
      <c r="H2" t="s">
        <v>275</v>
      </c>
      <c r="I2" t="s">
        <v>172</v>
      </c>
      <c r="J2" t="s">
        <v>191</v>
      </c>
    </row>
    <row r="3" spans="1:10">
      <c r="A3" t="s">
        <v>12</v>
      </c>
      <c r="B3" t="s">
        <v>57</v>
      </c>
      <c r="C3" t="s">
        <v>160</v>
      </c>
      <c r="D3" t="s">
        <v>268</v>
      </c>
      <c r="E3" t="s">
        <v>118</v>
      </c>
      <c r="F3" t="s">
        <v>137</v>
      </c>
      <c r="G3" t="s">
        <v>274</v>
      </c>
      <c r="H3" t="s">
        <v>276</v>
      </c>
      <c r="I3" t="s">
        <v>284</v>
      </c>
      <c r="J3" t="s">
        <v>291</v>
      </c>
    </row>
    <row r="4" spans="1:10">
      <c r="A4" t="s">
        <v>13</v>
      </c>
      <c r="B4" t="s">
        <v>58</v>
      </c>
      <c r="C4" t="s">
        <v>161</v>
      </c>
      <c r="D4" t="s">
        <v>163</v>
      </c>
      <c r="E4" t="s">
        <v>117</v>
      </c>
      <c r="F4" t="s">
        <v>136</v>
      </c>
      <c r="G4" t="s">
        <v>273</v>
      </c>
      <c r="H4" t="s">
        <v>277</v>
      </c>
      <c r="I4" t="s">
        <v>173</v>
      </c>
      <c r="J4" t="s">
        <v>192</v>
      </c>
    </row>
    <row r="5" spans="1:10">
      <c r="A5" t="s">
        <v>79</v>
      </c>
      <c r="B5" t="s">
        <v>59</v>
      </c>
      <c r="C5" t="s">
        <v>267</v>
      </c>
      <c r="D5" t="s">
        <v>163</v>
      </c>
      <c r="E5" t="s">
        <v>117</v>
      </c>
      <c r="F5" t="s">
        <v>136</v>
      </c>
      <c r="G5" t="s">
        <v>274</v>
      </c>
      <c r="H5" t="s">
        <v>278</v>
      </c>
      <c r="I5" t="s">
        <v>285</v>
      </c>
      <c r="J5" t="s">
        <v>292</v>
      </c>
    </row>
    <row r="6" spans="1:10">
      <c r="A6" t="s">
        <v>79</v>
      </c>
      <c r="B6" t="s">
        <v>59</v>
      </c>
      <c r="C6" t="s">
        <v>267</v>
      </c>
      <c r="D6" t="s">
        <v>268</v>
      </c>
      <c r="E6" t="s">
        <v>118</v>
      </c>
      <c r="F6" t="s">
        <v>137</v>
      </c>
      <c r="G6" t="s">
        <v>274</v>
      </c>
      <c r="H6" t="s">
        <v>276</v>
      </c>
      <c r="I6" t="s">
        <v>286</v>
      </c>
      <c r="J6" t="s">
        <v>291</v>
      </c>
    </row>
    <row r="7" spans="1:10">
      <c r="A7" t="s">
        <v>79</v>
      </c>
      <c r="B7" t="s">
        <v>59</v>
      </c>
      <c r="C7" t="s">
        <v>267</v>
      </c>
      <c r="D7" t="s">
        <v>269</v>
      </c>
      <c r="E7" t="s">
        <v>117</v>
      </c>
      <c r="F7" t="s">
        <v>136</v>
      </c>
      <c r="G7" t="s">
        <v>274</v>
      </c>
      <c r="H7" t="s">
        <v>279</v>
      </c>
      <c r="I7" t="s">
        <v>287</v>
      </c>
      <c r="J7" t="s">
        <v>293</v>
      </c>
    </row>
    <row r="8" spans="1:10">
      <c r="A8" t="s">
        <v>79</v>
      </c>
      <c r="B8" t="s">
        <v>59</v>
      </c>
      <c r="C8" t="s">
        <v>267</v>
      </c>
      <c r="D8" t="s">
        <v>270</v>
      </c>
      <c r="E8" t="s">
        <v>117</v>
      </c>
      <c r="F8" t="s">
        <v>136</v>
      </c>
      <c r="G8" t="s">
        <v>274</v>
      </c>
      <c r="H8" t="s">
        <v>278</v>
      </c>
      <c r="I8" t="s">
        <v>288</v>
      </c>
      <c r="J8" t="s">
        <v>294</v>
      </c>
    </row>
    <row r="9" spans="1:10">
      <c r="A9" t="s">
        <v>14</v>
      </c>
      <c r="B9" t="s">
        <v>60</v>
      </c>
      <c r="C9" t="s">
        <v>162</v>
      </c>
      <c r="D9" t="s">
        <v>163</v>
      </c>
      <c r="E9" t="s">
        <v>117</v>
      </c>
      <c r="F9" t="s">
        <v>136</v>
      </c>
      <c r="G9" t="s">
        <v>274</v>
      </c>
      <c r="H9" t="s">
        <v>278</v>
      </c>
      <c r="I9" t="s">
        <v>174</v>
      </c>
      <c r="J9" t="s">
        <v>295</v>
      </c>
    </row>
    <row r="10" spans="1:10">
      <c r="A10" t="s">
        <v>14</v>
      </c>
      <c r="B10" t="s">
        <v>60</v>
      </c>
      <c r="C10" t="s">
        <v>162</v>
      </c>
      <c r="D10" t="s">
        <v>271</v>
      </c>
      <c r="E10" t="s">
        <v>117</v>
      </c>
      <c r="F10" t="s">
        <v>136</v>
      </c>
      <c r="G10" t="s">
        <v>274</v>
      </c>
      <c r="H10" t="s">
        <v>279</v>
      </c>
      <c r="I10" t="s">
        <v>289</v>
      </c>
      <c r="J10" t="s">
        <v>296</v>
      </c>
    </row>
    <row r="11" spans="1:10">
      <c r="A11" t="s">
        <v>14</v>
      </c>
      <c r="B11" t="s">
        <v>60</v>
      </c>
      <c r="C11" t="s">
        <v>162</v>
      </c>
      <c r="D11" t="s">
        <v>272</v>
      </c>
      <c r="E11" t="s">
        <v>117</v>
      </c>
      <c r="F11" t="s">
        <v>136</v>
      </c>
      <c r="G11" t="s">
        <v>274</v>
      </c>
      <c r="H11" t="s">
        <v>279</v>
      </c>
      <c r="I11" t="s">
        <v>290</v>
      </c>
      <c r="J11" t="s">
        <v>296</v>
      </c>
    </row>
    <row r="12" spans="1:10">
      <c r="A12" t="s">
        <v>14</v>
      </c>
      <c r="B12" t="s">
        <v>60</v>
      </c>
      <c r="C12" t="s">
        <v>162</v>
      </c>
      <c r="D12" t="s">
        <v>164</v>
      </c>
      <c r="E12" t="s">
        <v>117</v>
      </c>
      <c r="F12" t="s">
        <v>136</v>
      </c>
      <c r="G12" t="s">
        <v>273</v>
      </c>
      <c r="H12" t="s">
        <v>280</v>
      </c>
      <c r="I12" t="s">
        <v>174</v>
      </c>
      <c r="J12" t="s">
        <v>193</v>
      </c>
    </row>
    <row r="13" spans="1:10">
      <c r="A13" t="s">
        <v>15</v>
      </c>
      <c r="B13" t="s">
        <v>61</v>
      </c>
      <c r="C13" t="s">
        <v>72</v>
      </c>
      <c r="D13" t="s">
        <v>163</v>
      </c>
      <c r="E13" t="s">
        <v>117</v>
      </c>
      <c r="F13" t="s">
        <v>136</v>
      </c>
      <c r="G13" t="s">
        <v>273</v>
      </c>
      <c r="H13" t="s">
        <v>281</v>
      </c>
      <c r="I13" t="s">
        <v>175</v>
      </c>
      <c r="J13" t="s">
        <v>194</v>
      </c>
    </row>
    <row r="14" spans="1:10">
      <c r="A14" t="s">
        <v>16</v>
      </c>
      <c r="B14" t="s">
        <v>62</v>
      </c>
      <c r="C14" t="s">
        <v>73</v>
      </c>
      <c r="D14" t="s">
        <v>163</v>
      </c>
      <c r="E14" t="s">
        <v>117</v>
      </c>
      <c r="F14" t="s">
        <v>136</v>
      </c>
      <c r="G14" t="s">
        <v>273</v>
      </c>
      <c r="H14" t="s">
        <v>282</v>
      </c>
      <c r="I14" t="s">
        <v>176</v>
      </c>
      <c r="J14" t="s">
        <v>194</v>
      </c>
    </row>
    <row r="15" spans="1:10">
      <c r="A15" t="s">
        <v>17</v>
      </c>
      <c r="B15" t="s">
        <v>63</v>
      </c>
      <c r="C15" t="s">
        <v>74</v>
      </c>
      <c r="D15" t="s">
        <v>163</v>
      </c>
      <c r="E15" t="s">
        <v>117</v>
      </c>
      <c r="F15" t="s">
        <v>136</v>
      </c>
      <c r="G15" t="s">
        <v>273</v>
      </c>
      <c r="H15" t="s">
        <v>282</v>
      </c>
      <c r="I15" t="s">
        <v>177</v>
      </c>
      <c r="J15" t="s">
        <v>194</v>
      </c>
    </row>
    <row r="16" spans="1:10">
      <c r="A16" t="s">
        <v>18</v>
      </c>
      <c r="B16" t="s">
        <v>64</v>
      </c>
      <c r="C16" t="s">
        <v>75</v>
      </c>
      <c r="D16" t="s">
        <v>163</v>
      </c>
      <c r="E16" t="s">
        <v>117</v>
      </c>
      <c r="F16" t="s">
        <v>136</v>
      </c>
      <c r="G16" t="s">
        <v>273</v>
      </c>
      <c r="H16" t="s">
        <v>282</v>
      </c>
      <c r="I16" t="s">
        <v>178</v>
      </c>
      <c r="J16" t="s">
        <v>194</v>
      </c>
    </row>
    <row r="17" spans="1:10">
      <c r="A17" t="s">
        <v>19</v>
      </c>
      <c r="B17" t="s">
        <v>65</v>
      </c>
      <c r="C17" t="s">
        <v>76</v>
      </c>
      <c r="D17" t="s">
        <v>163</v>
      </c>
      <c r="E17" t="s">
        <v>117</v>
      </c>
      <c r="F17" t="s">
        <v>136</v>
      </c>
      <c r="G17" t="s">
        <v>273</v>
      </c>
      <c r="H17" t="s">
        <v>282</v>
      </c>
      <c r="I17" t="s">
        <v>179</v>
      </c>
      <c r="J17" t="s">
        <v>195</v>
      </c>
    </row>
    <row r="18" spans="1:10">
      <c r="A18" t="s">
        <v>19</v>
      </c>
      <c r="B18" t="s">
        <v>65</v>
      </c>
      <c r="C18" t="s">
        <v>76</v>
      </c>
      <c r="D18" t="s">
        <v>165</v>
      </c>
      <c r="E18" t="s">
        <v>171</v>
      </c>
      <c r="F18" t="s">
        <v>138</v>
      </c>
      <c r="G18" t="s">
        <v>273</v>
      </c>
      <c r="H18" t="s">
        <v>282</v>
      </c>
      <c r="I18" t="s">
        <v>180</v>
      </c>
      <c r="J18" t="s">
        <v>196</v>
      </c>
    </row>
    <row r="19" spans="1:10">
      <c r="A19" t="s">
        <v>20</v>
      </c>
      <c r="B19" t="s">
        <v>66</v>
      </c>
      <c r="C19" t="s">
        <v>77</v>
      </c>
      <c r="D19" t="s">
        <v>163</v>
      </c>
      <c r="E19" t="s">
        <v>117</v>
      </c>
      <c r="F19" t="s">
        <v>136</v>
      </c>
      <c r="G19" t="s">
        <v>273</v>
      </c>
      <c r="H19" t="s">
        <v>283</v>
      </c>
      <c r="I19" t="s">
        <v>181</v>
      </c>
      <c r="J19" t="s">
        <v>197</v>
      </c>
    </row>
    <row r="20" spans="1:10">
      <c r="A20" t="s">
        <v>20</v>
      </c>
      <c r="B20" t="s">
        <v>66</v>
      </c>
      <c r="C20" t="s">
        <v>77</v>
      </c>
      <c r="D20" t="s">
        <v>166</v>
      </c>
      <c r="E20" t="s">
        <v>117</v>
      </c>
      <c r="F20" t="s">
        <v>139</v>
      </c>
      <c r="G20" t="s">
        <v>273</v>
      </c>
      <c r="H20" t="s">
        <v>283</v>
      </c>
      <c r="I20" t="s">
        <v>182</v>
      </c>
      <c r="J20" t="s">
        <v>197</v>
      </c>
    </row>
    <row r="21" spans="1:10">
      <c r="A21" t="s">
        <v>20</v>
      </c>
      <c r="B21" t="s">
        <v>66</v>
      </c>
      <c r="C21" t="s">
        <v>77</v>
      </c>
      <c r="D21" t="s">
        <v>167</v>
      </c>
      <c r="E21" t="s">
        <v>171</v>
      </c>
      <c r="F21" t="s">
        <v>140</v>
      </c>
      <c r="G21" t="s">
        <v>273</v>
      </c>
      <c r="H21" t="s">
        <v>283</v>
      </c>
      <c r="I21" t="s">
        <v>183</v>
      </c>
      <c r="J21" t="s">
        <v>198</v>
      </c>
    </row>
    <row r="22" spans="1:10">
      <c r="A22" t="s">
        <v>20</v>
      </c>
      <c r="B22" t="s">
        <v>66</v>
      </c>
      <c r="C22" t="s">
        <v>77</v>
      </c>
      <c r="D22" t="s">
        <v>168</v>
      </c>
      <c r="E22" t="s">
        <v>171</v>
      </c>
      <c r="F22" t="s">
        <v>141</v>
      </c>
      <c r="G22" t="s">
        <v>273</v>
      </c>
      <c r="H22" t="s">
        <v>283</v>
      </c>
      <c r="I22" t="s">
        <v>184</v>
      </c>
      <c r="J22" t="s">
        <v>199</v>
      </c>
    </row>
    <row r="23" spans="1:10">
      <c r="A23" t="s">
        <v>21</v>
      </c>
      <c r="B23" t="s">
        <v>67</v>
      </c>
      <c r="C23" t="s">
        <v>78</v>
      </c>
      <c r="D23" t="s">
        <v>163</v>
      </c>
      <c r="E23" t="s">
        <v>117</v>
      </c>
      <c r="F23" t="s">
        <v>136</v>
      </c>
      <c r="G23" t="s">
        <v>273</v>
      </c>
      <c r="H23" t="s">
        <v>283</v>
      </c>
      <c r="I23" t="s">
        <v>185</v>
      </c>
      <c r="J23" t="s">
        <v>197</v>
      </c>
    </row>
    <row r="24" spans="1:10">
      <c r="A24" t="s">
        <v>21</v>
      </c>
      <c r="B24" t="s">
        <v>67</v>
      </c>
      <c r="C24" t="s">
        <v>78</v>
      </c>
      <c r="D24" t="s">
        <v>167</v>
      </c>
      <c r="E24" t="s">
        <v>171</v>
      </c>
      <c r="F24" t="s">
        <v>142</v>
      </c>
      <c r="G24" t="s">
        <v>273</v>
      </c>
      <c r="H24" t="s">
        <v>283</v>
      </c>
      <c r="I24" t="s">
        <v>186</v>
      </c>
      <c r="J24" t="s">
        <v>198</v>
      </c>
    </row>
    <row r="25" spans="1:10">
      <c r="A25" t="s">
        <v>21</v>
      </c>
      <c r="B25" t="s">
        <v>67</v>
      </c>
      <c r="C25" t="s">
        <v>78</v>
      </c>
      <c r="D25" t="s">
        <v>168</v>
      </c>
      <c r="E25" t="s">
        <v>171</v>
      </c>
      <c r="F25" t="s">
        <v>143</v>
      </c>
      <c r="G25" t="s">
        <v>273</v>
      </c>
      <c r="H25" t="s">
        <v>283</v>
      </c>
      <c r="I25" t="s">
        <v>187</v>
      </c>
      <c r="J25" t="s">
        <v>199</v>
      </c>
    </row>
    <row r="26" spans="1:10">
      <c r="A26" t="s">
        <v>21</v>
      </c>
      <c r="B26" t="s">
        <v>67</v>
      </c>
      <c r="C26" t="s">
        <v>78</v>
      </c>
      <c r="D26" t="s">
        <v>166</v>
      </c>
      <c r="E26" t="s">
        <v>117</v>
      </c>
      <c r="F26" t="s">
        <v>139</v>
      </c>
      <c r="G26" t="s">
        <v>273</v>
      </c>
      <c r="H26" t="s">
        <v>283</v>
      </c>
      <c r="I26" t="s">
        <v>188</v>
      </c>
      <c r="J26" t="s">
        <v>197</v>
      </c>
    </row>
    <row r="27" spans="1:10">
      <c r="A27" t="s">
        <v>21</v>
      </c>
      <c r="B27" t="s">
        <v>67</v>
      </c>
      <c r="C27" t="s">
        <v>78</v>
      </c>
      <c r="D27" t="s">
        <v>169</v>
      </c>
      <c r="E27" t="s">
        <v>171</v>
      </c>
      <c r="F27" t="s">
        <v>144</v>
      </c>
      <c r="G27" t="s">
        <v>273</v>
      </c>
      <c r="H27" t="s">
        <v>283</v>
      </c>
      <c r="I27" t="s">
        <v>189</v>
      </c>
      <c r="J27" t="s">
        <v>198</v>
      </c>
    </row>
    <row r="28" spans="1:10">
      <c r="A28" t="s">
        <v>21</v>
      </c>
      <c r="B28" t="s">
        <v>67</v>
      </c>
      <c r="C28" t="s">
        <v>78</v>
      </c>
      <c r="D28" t="s">
        <v>170</v>
      </c>
      <c r="E28" t="s">
        <v>171</v>
      </c>
      <c r="F28" t="s">
        <v>145</v>
      </c>
      <c r="G28" t="s">
        <v>273</v>
      </c>
      <c r="H28" t="s">
        <v>283</v>
      </c>
      <c r="I28" t="s">
        <v>190</v>
      </c>
      <c r="J28" t="s">
        <v>199</v>
      </c>
    </row>
  </sheetData>
  <autoFilter ref="A1:J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ChartData</vt:lpstr>
      <vt:lpstr>current_pl</vt:lpstr>
      <vt:lpstr>class_pl</vt:lpstr>
      <vt:lpstr>allocation</vt:lpstr>
      <vt:lpstr>year_fund</vt:lpstr>
      <vt:lpstr>year_summary</vt:lpstr>
      <vt:lpstr>schedule</vt:lpstr>
      <vt:lpstr>schedule_audit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2026-06-18T04:27:12Z</dcterms:created>
  <dcterms:modified xsi:type="dcterms:W3CDTF">2026-06-18T04:27:12Z</dcterms:modified>
</cp:coreProperties>
</file>